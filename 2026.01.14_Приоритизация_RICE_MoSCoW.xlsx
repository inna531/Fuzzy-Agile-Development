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1E31123F-F75C-459F-AE62-E33C9E4D9346}" xr6:coauthVersionLast="47" xr6:coauthVersionMax="47" xr10:uidLastSave="{00000000-0000-0000-0000-000000000000}"/>
  <bookViews>
    <workbookView xWindow="-120" yWindow="-120" windowWidth="20730" windowHeight="11040" tabRatio="839" firstSheet="5" activeTab="8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Четкий MoSCoW_коллект_взвеш ср" sheetId="9" r:id="rId4"/>
    <sheet name="FMoSCoW (трап_симм_формулы)" sheetId="7" r:id="rId5"/>
    <sheet name="FMoSCoW_1 эксп ноль слева" sheetId="13" r:id="rId6"/>
    <sheet name="FMoSCoW_коллект_нечеткие веса" sheetId="10" r:id="rId7"/>
    <sheet name="FMoSCoW_коллект_четкие веса" sheetId="11" r:id="rId8"/>
    <sheet name="FMoSCoW_колл_чв_ноль слева" sheetId="12" r:id="rId9"/>
    <sheet name="RICE_неч мод (трапеции_вправо)" sheetId="3" r:id="rId10"/>
    <sheet name="RICE_неч мод (трап_симм_числа)" sheetId="4" r:id="rId11"/>
    <sheet name="Шкалы параметров_MoSCoW" sheetId="8" r:id="rId12"/>
    <sheet name="Шкалы параметров" sheetId="5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6" i="13" l="1"/>
  <c r="F46" i="13"/>
  <c r="G46" i="13"/>
  <c r="H46" i="13"/>
  <c r="I46" i="13"/>
  <c r="J46" i="13"/>
  <c r="K46" i="13"/>
  <c r="L46" i="13"/>
  <c r="E50" i="13"/>
  <c r="E42" i="13"/>
  <c r="H52" i="13"/>
  <c r="G52" i="13"/>
  <c r="F52" i="13"/>
  <c r="E52" i="13"/>
  <c r="H49" i="13"/>
  <c r="G49" i="13"/>
  <c r="H48" i="13"/>
  <c r="G48" i="13"/>
  <c r="F48" i="13"/>
  <c r="E48" i="13"/>
  <c r="H45" i="13"/>
  <c r="G45" i="13"/>
  <c r="E45" i="13"/>
  <c r="I44" i="13"/>
  <c r="H44" i="13"/>
  <c r="G44" i="13"/>
  <c r="F44" i="13"/>
  <c r="E44" i="13"/>
  <c r="H41" i="13"/>
  <c r="G41" i="13"/>
  <c r="E41" i="13"/>
  <c r="H31" i="13"/>
  <c r="G31" i="13"/>
  <c r="K31" i="13" s="1"/>
  <c r="L31" i="13" s="1"/>
  <c r="F31" i="13"/>
  <c r="J31" i="13" s="1"/>
  <c r="I31" i="13" s="1"/>
  <c r="E31" i="13"/>
  <c r="H30" i="13"/>
  <c r="G30" i="13"/>
  <c r="K30" i="13" s="1"/>
  <c r="L30" i="13" s="1"/>
  <c r="F30" i="13"/>
  <c r="J30" i="13" s="1"/>
  <c r="I30" i="13" s="1"/>
  <c r="E30" i="13"/>
  <c r="H29" i="13"/>
  <c r="G29" i="13"/>
  <c r="K29" i="13" s="1"/>
  <c r="L29" i="13" s="1"/>
  <c r="F29" i="13"/>
  <c r="J29" i="13" s="1"/>
  <c r="K28" i="13"/>
  <c r="J28" i="13"/>
  <c r="K24" i="13"/>
  <c r="L52" i="13" s="1"/>
  <c r="J24" i="13"/>
  <c r="J52" i="13" s="1"/>
  <c r="J23" i="13"/>
  <c r="I23" i="13" s="1"/>
  <c r="G23" i="13"/>
  <c r="H51" i="13" s="1"/>
  <c r="F23" i="13"/>
  <c r="F51" i="13" s="1"/>
  <c r="E23" i="13"/>
  <c r="E51" i="13" s="1"/>
  <c r="H22" i="13"/>
  <c r="G22" i="13"/>
  <c r="H50" i="13" s="1"/>
  <c r="F22" i="13"/>
  <c r="F50" i="13" s="1"/>
  <c r="K21" i="13"/>
  <c r="L49" i="13" s="1"/>
  <c r="J21" i="13"/>
  <c r="J49" i="13" s="1"/>
  <c r="F21" i="13"/>
  <c r="F49" i="13" s="1"/>
  <c r="BN17" i="13"/>
  <c r="BR17" i="13" s="1"/>
  <c r="BM17" i="13"/>
  <c r="BL17" i="13"/>
  <c r="BQ17" i="13" s="1"/>
  <c r="BT17" i="13" s="1"/>
  <c r="BK17" i="13"/>
  <c r="BJ17" i="13"/>
  <c r="BI17" i="13"/>
  <c r="BH17" i="13"/>
  <c r="BG17" i="13"/>
  <c r="I17" i="13"/>
  <c r="H17" i="13"/>
  <c r="G17" i="13"/>
  <c r="J17" i="13" s="1"/>
  <c r="BN16" i="13"/>
  <c r="BR16" i="13" s="1"/>
  <c r="BM16" i="13"/>
  <c r="BL16" i="13"/>
  <c r="BQ16" i="13" s="1"/>
  <c r="BK16" i="13"/>
  <c r="BJ16" i="13"/>
  <c r="BP16" i="13" s="1"/>
  <c r="BI16" i="13"/>
  <c r="BH16" i="13"/>
  <c r="BO16" i="13" s="1"/>
  <c r="BG16" i="13"/>
  <c r="I16" i="13"/>
  <c r="H16" i="13"/>
  <c r="G16" i="13"/>
  <c r="J16" i="13" s="1"/>
  <c r="BN15" i="13"/>
  <c r="BR15" i="13" s="1"/>
  <c r="BM15" i="13"/>
  <c r="BL15" i="13"/>
  <c r="BK15" i="13"/>
  <c r="BQ15" i="13" s="1"/>
  <c r="BT15" i="13" s="1"/>
  <c r="BJ15" i="13"/>
  <c r="BI15" i="13"/>
  <c r="BP15" i="13" s="1"/>
  <c r="BH15" i="13"/>
  <c r="BG15" i="13"/>
  <c r="BO15" i="13" s="1"/>
  <c r="I15" i="13"/>
  <c r="H15" i="13"/>
  <c r="G15" i="13"/>
  <c r="J15" i="13" s="1"/>
  <c r="BN14" i="13"/>
  <c r="BM14" i="13"/>
  <c r="BR14" i="13" s="1"/>
  <c r="BL14" i="13"/>
  <c r="BQ14" i="13" s="1"/>
  <c r="BK14" i="13"/>
  <c r="BJ14" i="13"/>
  <c r="BI14" i="13"/>
  <c r="BP14" i="13" s="1"/>
  <c r="BH14" i="13"/>
  <c r="BG14" i="13"/>
  <c r="I14" i="13"/>
  <c r="J14" i="13" s="1"/>
  <c r="H14" i="13"/>
  <c r="G14" i="13"/>
  <c r="BN13" i="13"/>
  <c r="BM13" i="13"/>
  <c r="BL13" i="13"/>
  <c r="BQ13" i="13" s="1"/>
  <c r="BK13" i="13"/>
  <c r="BJ13" i="13"/>
  <c r="BI13" i="13"/>
  <c r="BH13" i="13"/>
  <c r="BO13" i="13" s="1"/>
  <c r="BG13" i="13"/>
  <c r="I13" i="13"/>
  <c r="H13" i="13"/>
  <c r="G13" i="13"/>
  <c r="J13" i="13" s="1"/>
  <c r="BP12" i="13"/>
  <c r="BN12" i="13"/>
  <c r="BR12" i="13" s="1"/>
  <c r="BM12" i="13"/>
  <c r="BL12" i="13"/>
  <c r="BQ12" i="13" s="1"/>
  <c r="BT12" i="13" s="1"/>
  <c r="BK12" i="13"/>
  <c r="BJ12" i="13"/>
  <c r="BI12" i="13"/>
  <c r="BH12" i="13"/>
  <c r="BO12" i="13" s="1"/>
  <c r="BS12" i="13" s="1"/>
  <c r="BU12" i="13" s="1"/>
  <c r="BG12" i="13"/>
  <c r="I12" i="13"/>
  <c r="H12" i="13"/>
  <c r="G12" i="13"/>
  <c r="J12" i="13" s="1"/>
  <c r="BN11" i="13"/>
  <c r="BR11" i="13" s="1"/>
  <c r="BM11" i="13"/>
  <c r="BL11" i="13"/>
  <c r="BQ11" i="13" s="1"/>
  <c r="BK11" i="13"/>
  <c r="BJ11" i="13"/>
  <c r="BI11" i="13"/>
  <c r="BP11" i="13" s="1"/>
  <c r="BH11" i="13"/>
  <c r="BG11" i="13"/>
  <c r="BO11" i="13" s="1"/>
  <c r="BS11" i="13" s="1"/>
  <c r="I11" i="13"/>
  <c r="H11" i="13"/>
  <c r="G11" i="13"/>
  <c r="J11" i="13" s="1"/>
  <c r="BQ10" i="13"/>
  <c r="BT10" i="13" s="1"/>
  <c r="BN10" i="13"/>
  <c r="BR10" i="13" s="1"/>
  <c r="BM10" i="13"/>
  <c r="BL10" i="13"/>
  <c r="BK10" i="13"/>
  <c r="BJ10" i="13"/>
  <c r="BI10" i="13"/>
  <c r="BP10" i="13" s="1"/>
  <c r="BH10" i="13"/>
  <c r="BO10" i="13" s="1"/>
  <c r="BG10" i="13"/>
  <c r="J10" i="13"/>
  <c r="I10" i="13"/>
  <c r="H10" i="13"/>
  <c r="G10" i="13"/>
  <c r="BN9" i="13"/>
  <c r="BM9" i="13"/>
  <c r="BR9" i="13" s="1"/>
  <c r="BL9" i="13"/>
  <c r="BK9" i="13"/>
  <c r="BJ9" i="13"/>
  <c r="BI9" i="13"/>
  <c r="BP9" i="13" s="1"/>
  <c r="BH9" i="13"/>
  <c r="BG9" i="13"/>
  <c r="I9" i="13"/>
  <c r="H9" i="13"/>
  <c r="G9" i="13"/>
  <c r="J9" i="13" s="1"/>
  <c r="BP8" i="13"/>
  <c r="BN8" i="13"/>
  <c r="BM8" i="13"/>
  <c r="BR8" i="13" s="1"/>
  <c r="BL8" i="13"/>
  <c r="BQ8" i="13" s="1"/>
  <c r="BT8" i="13" s="1"/>
  <c r="BK8" i="13"/>
  <c r="BJ8" i="13"/>
  <c r="BI8" i="13"/>
  <c r="BH8" i="13"/>
  <c r="BO8" i="13" s="1"/>
  <c r="BS8" i="13" s="1"/>
  <c r="BU8" i="13" s="1"/>
  <c r="BG8" i="13"/>
  <c r="I8" i="13"/>
  <c r="H8" i="13"/>
  <c r="G8" i="13"/>
  <c r="J8" i="13" s="1"/>
  <c r="E157" i="12"/>
  <c r="E153" i="12"/>
  <c r="E149" i="12"/>
  <c r="E105" i="12"/>
  <c r="E101" i="12"/>
  <c r="E97" i="12"/>
  <c r="E53" i="12"/>
  <c r="E49" i="12"/>
  <c r="E45" i="12"/>
  <c r="X215" i="12"/>
  <c r="H211" i="12"/>
  <c r="H207" i="12"/>
  <c r="N197" i="12"/>
  <c r="I188" i="12"/>
  <c r="V187" i="12"/>
  <c r="V215" i="12" s="1"/>
  <c r="O187" i="12"/>
  <c r="J187" i="12"/>
  <c r="J201" i="12" s="1"/>
  <c r="I187" i="12"/>
  <c r="G186" i="12"/>
  <c r="G214" i="12" s="1"/>
  <c r="C186" i="12"/>
  <c r="X185" i="12"/>
  <c r="X213" i="12" s="1"/>
  <c r="T185" i="12"/>
  <c r="T213" i="12" s="1"/>
  <c r="K185" i="12"/>
  <c r="D185" i="12"/>
  <c r="D213" i="12" s="1"/>
  <c r="P184" i="12"/>
  <c r="E184" i="12"/>
  <c r="T183" i="12"/>
  <c r="Q183" i="12"/>
  <c r="O183" i="12"/>
  <c r="O211" i="12" s="1"/>
  <c r="M183" i="12"/>
  <c r="H183" i="12"/>
  <c r="D183" i="12"/>
  <c r="U182" i="12"/>
  <c r="U210" i="12" s="1"/>
  <c r="L182" i="12"/>
  <c r="L210" i="12" s="1"/>
  <c r="G182" i="12"/>
  <c r="C182" i="12"/>
  <c r="X181" i="12"/>
  <c r="T181" i="12"/>
  <c r="T209" i="12" s="1"/>
  <c r="S181" i="12"/>
  <c r="S209" i="12" s="1"/>
  <c r="O181" i="12"/>
  <c r="O195" i="12" s="1"/>
  <c r="K181" i="12"/>
  <c r="I181" i="12"/>
  <c r="H181" i="12"/>
  <c r="U180" i="12"/>
  <c r="U208" i="12" s="1"/>
  <c r="X179" i="12"/>
  <c r="X207" i="12" s="1"/>
  <c r="T179" i="12"/>
  <c r="T207" i="12" s="1"/>
  <c r="M179" i="12"/>
  <c r="I179" i="12"/>
  <c r="I207" i="12" s="1"/>
  <c r="H179" i="12"/>
  <c r="D179" i="12"/>
  <c r="C179" i="12"/>
  <c r="C207" i="12" s="1"/>
  <c r="B174" i="12"/>
  <c r="C172" i="12" s="1"/>
  <c r="C173" i="12"/>
  <c r="C171" i="12"/>
  <c r="C174" i="12" s="1"/>
  <c r="B166" i="12"/>
  <c r="C165" i="12" s="1"/>
  <c r="C164" i="12"/>
  <c r="C166" i="12" s="1"/>
  <c r="H159" i="12"/>
  <c r="G159" i="12"/>
  <c r="F159" i="12"/>
  <c r="E159" i="12"/>
  <c r="G158" i="12"/>
  <c r="E158" i="12"/>
  <c r="H157" i="12"/>
  <c r="L156" i="12"/>
  <c r="K156" i="12"/>
  <c r="H156" i="12"/>
  <c r="G156" i="12"/>
  <c r="E156" i="12"/>
  <c r="I155" i="12"/>
  <c r="H155" i="12"/>
  <c r="G155" i="12"/>
  <c r="F155" i="12"/>
  <c r="E155" i="12"/>
  <c r="H154" i="12"/>
  <c r="G154" i="12"/>
  <c r="L152" i="12"/>
  <c r="K152" i="12"/>
  <c r="H152" i="12"/>
  <c r="G152" i="12"/>
  <c r="K151" i="12"/>
  <c r="I151" i="12"/>
  <c r="H151" i="12"/>
  <c r="G151" i="12"/>
  <c r="F151" i="12"/>
  <c r="E151" i="12"/>
  <c r="H150" i="12"/>
  <c r="G149" i="12"/>
  <c r="L148" i="12"/>
  <c r="K148" i="12"/>
  <c r="I148" i="12"/>
  <c r="H148" i="12"/>
  <c r="G148" i="12"/>
  <c r="G138" i="12"/>
  <c r="H138" i="12" s="1"/>
  <c r="F138" i="12"/>
  <c r="J138" i="12" s="1"/>
  <c r="I138" i="12" s="1"/>
  <c r="E138" i="12"/>
  <c r="K137" i="12"/>
  <c r="L137" i="12" s="1"/>
  <c r="I137" i="12"/>
  <c r="H137" i="12"/>
  <c r="G137" i="12"/>
  <c r="F137" i="12"/>
  <c r="J137" i="12" s="1"/>
  <c r="E137" i="12"/>
  <c r="H136" i="12"/>
  <c r="G136" i="12"/>
  <c r="K136" i="12" s="1"/>
  <c r="L136" i="12" s="1"/>
  <c r="F136" i="12"/>
  <c r="J136" i="12" s="1"/>
  <c r="K135" i="12"/>
  <c r="J135" i="12"/>
  <c r="K131" i="12"/>
  <c r="J131" i="12"/>
  <c r="I159" i="12" s="1"/>
  <c r="J130" i="12"/>
  <c r="I130" i="12"/>
  <c r="I150" i="12" s="1"/>
  <c r="G130" i="12"/>
  <c r="F130" i="12"/>
  <c r="F158" i="12" s="1"/>
  <c r="E130" i="12"/>
  <c r="E154" i="12" s="1"/>
  <c r="L129" i="12"/>
  <c r="L149" i="12" s="1"/>
  <c r="K129" i="12"/>
  <c r="H129" i="12"/>
  <c r="G129" i="12"/>
  <c r="G157" i="12" s="1"/>
  <c r="F129" i="12"/>
  <c r="K128" i="12"/>
  <c r="J128" i="12"/>
  <c r="I152" i="12" s="1"/>
  <c r="F128" i="12"/>
  <c r="BN124" i="12"/>
  <c r="Y188" i="12" s="1"/>
  <c r="Y216" i="12" s="1"/>
  <c r="BM124" i="12"/>
  <c r="X188" i="12" s="1"/>
  <c r="BL124" i="12"/>
  <c r="W188" i="12" s="1"/>
  <c r="BK124" i="12"/>
  <c r="BQ124" i="12" s="1"/>
  <c r="BJ124" i="12"/>
  <c r="U188" i="12" s="1"/>
  <c r="U216" i="12" s="1"/>
  <c r="BI124" i="12"/>
  <c r="BH124" i="12"/>
  <c r="S188" i="12" s="1"/>
  <c r="BG124" i="12"/>
  <c r="R188" i="12" s="1"/>
  <c r="R216" i="12" s="1"/>
  <c r="J124" i="12"/>
  <c r="I124" i="12"/>
  <c r="H124" i="12"/>
  <c r="G124" i="12"/>
  <c r="BN123" i="12"/>
  <c r="Y187" i="12" s="1"/>
  <c r="Y215" i="12" s="1"/>
  <c r="BM123" i="12"/>
  <c r="X187" i="12" s="1"/>
  <c r="BL123" i="12"/>
  <c r="W187" i="12" s="1"/>
  <c r="W215" i="12" s="1"/>
  <c r="BK123" i="12"/>
  <c r="BJ123" i="12"/>
  <c r="U187" i="12" s="1"/>
  <c r="U215" i="12" s="1"/>
  <c r="BI123" i="12"/>
  <c r="T187" i="12" s="1"/>
  <c r="BH123" i="12"/>
  <c r="BG123" i="12"/>
  <c r="R187" i="12" s="1"/>
  <c r="R215" i="12" s="1"/>
  <c r="I123" i="12"/>
  <c r="H123" i="12"/>
  <c r="J123" i="12" s="1"/>
  <c r="G123" i="12"/>
  <c r="BQ122" i="12"/>
  <c r="BN122" i="12"/>
  <c r="Y186" i="12" s="1"/>
  <c r="BM122" i="12"/>
  <c r="BL122" i="12"/>
  <c r="W186" i="12" s="1"/>
  <c r="W214" i="12" s="1"/>
  <c r="BK122" i="12"/>
  <c r="V186" i="12" s="1"/>
  <c r="V214" i="12" s="1"/>
  <c r="BJ122" i="12"/>
  <c r="U186" i="12" s="1"/>
  <c r="U214" i="12" s="1"/>
  <c r="BI122" i="12"/>
  <c r="BH122" i="12"/>
  <c r="BG122" i="12"/>
  <c r="R186" i="12" s="1"/>
  <c r="R214" i="12" s="1"/>
  <c r="I122" i="12"/>
  <c r="H122" i="12"/>
  <c r="G122" i="12"/>
  <c r="BN121" i="12"/>
  <c r="Y185" i="12" s="1"/>
  <c r="Y213" i="12" s="1"/>
  <c r="BM121" i="12"/>
  <c r="BL121" i="12"/>
  <c r="BK121" i="12"/>
  <c r="V185" i="12" s="1"/>
  <c r="V213" i="12" s="1"/>
  <c r="BJ121" i="12"/>
  <c r="BI121" i="12"/>
  <c r="BH121" i="12"/>
  <c r="BG121" i="12"/>
  <c r="R185" i="12" s="1"/>
  <c r="J121" i="12"/>
  <c r="I121" i="12"/>
  <c r="H121" i="12"/>
  <c r="G121" i="12"/>
  <c r="BN120" i="12"/>
  <c r="Y184" i="12" s="1"/>
  <c r="Y212" i="12" s="1"/>
  <c r="BM120" i="12"/>
  <c r="BR120" i="12" s="1"/>
  <c r="BL120" i="12"/>
  <c r="W184" i="12" s="1"/>
  <c r="BK120" i="12"/>
  <c r="BJ120" i="12"/>
  <c r="U184" i="12" s="1"/>
  <c r="U212" i="12" s="1"/>
  <c r="BI120" i="12"/>
  <c r="BH120" i="12"/>
  <c r="S184" i="12" s="1"/>
  <c r="BG120" i="12"/>
  <c r="R184" i="12" s="1"/>
  <c r="R212" i="12" s="1"/>
  <c r="J120" i="12"/>
  <c r="I120" i="12"/>
  <c r="H120" i="12"/>
  <c r="G120" i="12"/>
  <c r="BN119" i="12"/>
  <c r="Y183" i="12" s="1"/>
  <c r="Y211" i="12" s="1"/>
  <c r="BM119" i="12"/>
  <c r="BR119" i="12" s="1"/>
  <c r="BL119" i="12"/>
  <c r="W183" i="12" s="1"/>
  <c r="W211" i="12" s="1"/>
  <c r="BK119" i="12"/>
  <c r="V183" i="12" s="1"/>
  <c r="V211" i="12" s="1"/>
  <c r="BJ119" i="12"/>
  <c r="U183" i="12" s="1"/>
  <c r="U211" i="12" s="1"/>
  <c r="BI119" i="12"/>
  <c r="BP119" i="12" s="1"/>
  <c r="BH119" i="12"/>
  <c r="BO119" i="12" s="1"/>
  <c r="BG119" i="12"/>
  <c r="R183" i="12" s="1"/>
  <c r="R211" i="12" s="1"/>
  <c r="I119" i="12"/>
  <c r="H119" i="12"/>
  <c r="J119" i="12" s="1"/>
  <c r="G119" i="12"/>
  <c r="BN118" i="12"/>
  <c r="Y182" i="12" s="1"/>
  <c r="BM118" i="12"/>
  <c r="BL118" i="12"/>
  <c r="BQ118" i="12" s="1"/>
  <c r="BK118" i="12"/>
  <c r="V182" i="12" s="1"/>
  <c r="BJ118" i="12"/>
  <c r="BI118" i="12"/>
  <c r="BH118" i="12"/>
  <c r="S182" i="12" s="1"/>
  <c r="S210" i="12" s="1"/>
  <c r="BG118" i="12"/>
  <c r="R182" i="12" s="1"/>
  <c r="I118" i="12"/>
  <c r="H118" i="12"/>
  <c r="G118" i="12"/>
  <c r="BN117" i="12"/>
  <c r="Y181" i="12" s="1"/>
  <c r="Y209" i="12" s="1"/>
  <c r="BM117" i="12"/>
  <c r="BL117" i="12"/>
  <c r="BQ117" i="12" s="1"/>
  <c r="BK117" i="12"/>
  <c r="V181" i="12" s="1"/>
  <c r="V209" i="12" s="1"/>
  <c r="BJ117" i="12"/>
  <c r="BI117" i="12"/>
  <c r="BH117" i="12"/>
  <c r="BO117" i="12" s="1"/>
  <c r="BG117" i="12"/>
  <c r="R181" i="12" s="1"/>
  <c r="J117" i="12"/>
  <c r="I117" i="12"/>
  <c r="H117" i="12"/>
  <c r="G117" i="12"/>
  <c r="BN116" i="12"/>
  <c r="Y180" i="12" s="1"/>
  <c r="Y208" i="12" s="1"/>
  <c r="BM116" i="12"/>
  <c r="BR116" i="12" s="1"/>
  <c r="BL116" i="12"/>
  <c r="W180" i="12" s="1"/>
  <c r="W208" i="12" s="1"/>
  <c r="BK116" i="12"/>
  <c r="BJ116" i="12"/>
  <c r="BI116" i="12"/>
  <c r="BH116" i="12"/>
  <c r="S180" i="12" s="1"/>
  <c r="BG116" i="12"/>
  <c r="R180" i="12" s="1"/>
  <c r="R208" i="12" s="1"/>
  <c r="J116" i="12"/>
  <c r="I116" i="12"/>
  <c r="H116" i="12"/>
  <c r="G116" i="12"/>
  <c r="BP115" i="12"/>
  <c r="BN115" i="12"/>
  <c r="Y179" i="12" s="1"/>
  <c r="BM115" i="12"/>
  <c r="BR115" i="12" s="1"/>
  <c r="BL115" i="12"/>
  <c r="W179" i="12" s="1"/>
  <c r="W207" i="12" s="1"/>
  <c r="BK115" i="12"/>
  <c r="V179" i="12" s="1"/>
  <c r="V207" i="12" s="1"/>
  <c r="BJ115" i="12"/>
  <c r="U179" i="12" s="1"/>
  <c r="U207" i="12" s="1"/>
  <c r="BI115" i="12"/>
  <c r="BH115" i="12"/>
  <c r="BG115" i="12"/>
  <c r="R179" i="12" s="1"/>
  <c r="R207" i="12" s="1"/>
  <c r="I115" i="12"/>
  <c r="H115" i="12"/>
  <c r="J115" i="12" s="1"/>
  <c r="G115" i="12"/>
  <c r="H107" i="12"/>
  <c r="G107" i="12"/>
  <c r="F107" i="12"/>
  <c r="E107" i="12"/>
  <c r="G106" i="12"/>
  <c r="J105" i="12"/>
  <c r="F105" i="12"/>
  <c r="L104" i="12"/>
  <c r="H104" i="12"/>
  <c r="G104" i="12"/>
  <c r="K103" i="12"/>
  <c r="J103" i="12"/>
  <c r="H103" i="12"/>
  <c r="G103" i="12"/>
  <c r="F103" i="12"/>
  <c r="E103" i="12"/>
  <c r="F101" i="12"/>
  <c r="H100" i="12"/>
  <c r="G100" i="12"/>
  <c r="L99" i="12"/>
  <c r="K99" i="12"/>
  <c r="H99" i="12"/>
  <c r="G99" i="12"/>
  <c r="F99" i="12"/>
  <c r="E99" i="12"/>
  <c r="K96" i="12"/>
  <c r="H96" i="12"/>
  <c r="G96" i="12"/>
  <c r="F96" i="12"/>
  <c r="L86" i="12"/>
  <c r="H86" i="12"/>
  <c r="G86" i="12"/>
  <c r="K86" i="12" s="1"/>
  <c r="F86" i="12"/>
  <c r="E86" i="12" s="1"/>
  <c r="K85" i="12"/>
  <c r="L85" i="12" s="1"/>
  <c r="J85" i="12"/>
  <c r="I85" i="12" s="1"/>
  <c r="H85" i="12"/>
  <c r="G85" i="12"/>
  <c r="F85" i="12"/>
  <c r="E85" i="12" s="1"/>
  <c r="G84" i="12"/>
  <c r="F84" i="12"/>
  <c r="J84" i="12" s="1"/>
  <c r="K83" i="12"/>
  <c r="J83" i="12"/>
  <c r="K79" i="12"/>
  <c r="J79" i="12"/>
  <c r="G78" i="12"/>
  <c r="F78" i="12"/>
  <c r="F98" i="12" s="1"/>
  <c r="J77" i="12"/>
  <c r="G77" i="12"/>
  <c r="F77" i="12"/>
  <c r="K76" i="12"/>
  <c r="K104" i="12" s="1"/>
  <c r="F76" i="12"/>
  <c r="BN72" i="12"/>
  <c r="Q188" i="12" s="1"/>
  <c r="BM72" i="12"/>
  <c r="P188" i="12" s="1"/>
  <c r="BL72" i="12"/>
  <c r="O188" i="12" s="1"/>
  <c r="BK72" i="12"/>
  <c r="N188" i="12" s="1"/>
  <c r="BJ72" i="12"/>
  <c r="M188" i="12" s="1"/>
  <c r="BI72" i="12"/>
  <c r="L188" i="12" s="1"/>
  <c r="L216" i="12" s="1"/>
  <c r="BH72" i="12"/>
  <c r="BG72" i="12"/>
  <c r="J188" i="12" s="1"/>
  <c r="I72" i="12"/>
  <c r="H72" i="12"/>
  <c r="J72" i="12" s="1"/>
  <c r="G72" i="12"/>
  <c r="BN71" i="12"/>
  <c r="Q187" i="12" s="1"/>
  <c r="Q215" i="12" s="1"/>
  <c r="BM71" i="12"/>
  <c r="BL71" i="12"/>
  <c r="BK71" i="12"/>
  <c r="N187" i="12" s="1"/>
  <c r="BJ71" i="12"/>
  <c r="M187" i="12" s="1"/>
  <c r="BI71" i="12"/>
  <c r="BH71" i="12"/>
  <c r="K187" i="12" s="1"/>
  <c r="BG71" i="12"/>
  <c r="BO71" i="12" s="1"/>
  <c r="I71" i="12"/>
  <c r="H71" i="12"/>
  <c r="G71" i="12"/>
  <c r="BN70" i="12"/>
  <c r="Q186" i="12" s="1"/>
  <c r="Q214" i="12" s="1"/>
  <c r="BM70" i="12"/>
  <c r="P186" i="12" s="1"/>
  <c r="P200" i="12" s="1"/>
  <c r="BL70" i="12"/>
  <c r="BK70" i="12"/>
  <c r="N186" i="12" s="1"/>
  <c r="BJ70" i="12"/>
  <c r="BP70" i="12" s="1"/>
  <c r="BI70" i="12"/>
  <c r="L186" i="12" s="1"/>
  <c r="BH70" i="12"/>
  <c r="BG70" i="12"/>
  <c r="J186" i="12" s="1"/>
  <c r="J214" i="12" s="1"/>
  <c r="J70" i="12"/>
  <c r="I70" i="12"/>
  <c r="H70" i="12"/>
  <c r="G70" i="12"/>
  <c r="BN69" i="12"/>
  <c r="Q185" i="12" s="1"/>
  <c r="BM69" i="12"/>
  <c r="BL69" i="12"/>
  <c r="O185" i="12" s="1"/>
  <c r="BK69" i="12"/>
  <c r="BJ69" i="12"/>
  <c r="M185" i="12" s="1"/>
  <c r="BI69" i="12"/>
  <c r="BH69" i="12"/>
  <c r="BG69" i="12"/>
  <c r="J185" i="12" s="1"/>
  <c r="J69" i="12"/>
  <c r="I69" i="12"/>
  <c r="H69" i="12"/>
  <c r="G69" i="12"/>
  <c r="BN68" i="12"/>
  <c r="Q184" i="12" s="1"/>
  <c r="BM68" i="12"/>
  <c r="BL68" i="12"/>
  <c r="O184" i="12" s="1"/>
  <c r="O212" i="12" s="1"/>
  <c r="BK68" i="12"/>
  <c r="N184" i="12" s="1"/>
  <c r="N212" i="12" s="1"/>
  <c r="BJ68" i="12"/>
  <c r="M184" i="12" s="1"/>
  <c r="M198" i="12" s="1"/>
  <c r="BI68" i="12"/>
  <c r="L184" i="12" s="1"/>
  <c r="BH68" i="12"/>
  <c r="BG68" i="12"/>
  <c r="J184" i="12" s="1"/>
  <c r="I68" i="12"/>
  <c r="H68" i="12"/>
  <c r="J68" i="12" s="1"/>
  <c r="G68" i="12"/>
  <c r="BN67" i="12"/>
  <c r="BM67" i="12"/>
  <c r="BL67" i="12"/>
  <c r="BK67" i="12"/>
  <c r="N183" i="12" s="1"/>
  <c r="N211" i="12" s="1"/>
  <c r="BJ67" i="12"/>
  <c r="BI67" i="12"/>
  <c r="BH67" i="12"/>
  <c r="K183" i="12" s="1"/>
  <c r="BG67" i="12"/>
  <c r="J183" i="12" s="1"/>
  <c r="I67" i="12"/>
  <c r="H67" i="12"/>
  <c r="G67" i="12"/>
  <c r="J67" i="12" s="1"/>
  <c r="BR66" i="12"/>
  <c r="BP66" i="12"/>
  <c r="BN66" i="12"/>
  <c r="Q182" i="12" s="1"/>
  <c r="BM66" i="12"/>
  <c r="P182" i="12" s="1"/>
  <c r="BL66" i="12"/>
  <c r="BK66" i="12"/>
  <c r="N182" i="12" s="1"/>
  <c r="BJ66" i="12"/>
  <c r="M182" i="12" s="1"/>
  <c r="BI66" i="12"/>
  <c r="BH66" i="12"/>
  <c r="BG66" i="12"/>
  <c r="J182" i="12" s="1"/>
  <c r="I66" i="12"/>
  <c r="H66" i="12"/>
  <c r="J66" i="12" s="1"/>
  <c r="G66" i="12"/>
  <c r="BN65" i="12"/>
  <c r="Q181" i="12" s="1"/>
  <c r="BM65" i="12"/>
  <c r="P181" i="12" s="1"/>
  <c r="P195" i="12" s="1"/>
  <c r="BL65" i="12"/>
  <c r="BK65" i="12"/>
  <c r="N181" i="12" s="1"/>
  <c r="BJ65" i="12"/>
  <c r="M181" i="12" s="1"/>
  <c r="BI65" i="12"/>
  <c r="BH65" i="12"/>
  <c r="BG65" i="12"/>
  <c r="J181" i="12" s="1"/>
  <c r="I65" i="12"/>
  <c r="J65" i="12" s="1"/>
  <c r="H65" i="12"/>
  <c r="G65" i="12"/>
  <c r="BN64" i="12"/>
  <c r="Q180" i="12" s="1"/>
  <c r="BM64" i="12"/>
  <c r="BR64" i="12" s="1"/>
  <c r="BL64" i="12"/>
  <c r="O180" i="12" s="1"/>
  <c r="O208" i="12" s="1"/>
  <c r="BK64" i="12"/>
  <c r="N180" i="12" s="1"/>
  <c r="BJ64" i="12"/>
  <c r="M180" i="12" s="1"/>
  <c r="M194" i="12" s="1"/>
  <c r="BI64" i="12"/>
  <c r="L180" i="12" s="1"/>
  <c r="L194" i="12" s="1"/>
  <c r="BH64" i="12"/>
  <c r="BG64" i="12"/>
  <c r="J180" i="12" s="1"/>
  <c r="J208" i="12" s="1"/>
  <c r="J64" i="12"/>
  <c r="I64" i="12"/>
  <c r="H64" i="12"/>
  <c r="G64" i="12"/>
  <c r="BP63" i="12"/>
  <c r="BN63" i="12"/>
  <c r="Q179" i="12" s="1"/>
  <c r="Q193" i="12" s="1"/>
  <c r="BM63" i="12"/>
  <c r="BL63" i="12"/>
  <c r="BK63" i="12"/>
  <c r="N179" i="12" s="1"/>
  <c r="BJ63" i="12"/>
  <c r="BI63" i="12"/>
  <c r="L179" i="12" s="1"/>
  <c r="BH63" i="12"/>
  <c r="K179" i="12" s="1"/>
  <c r="K207" i="12" s="1"/>
  <c r="BG63" i="12"/>
  <c r="J179" i="12" s="1"/>
  <c r="J207" i="12" s="1"/>
  <c r="I63" i="12"/>
  <c r="H63" i="12"/>
  <c r="G63" i="12"/>
  <c r="J63" i="12" s="1"/>
  <c r="K55" i="12"/>
  <c r="H55" i="12"/>
  <c r="G55" i="12"/>
  <c r="F55" i="12"/>
  <c r="E55" i="12"/>
  <c r="G54" i="12"/>
  <c r="F54" i="12"/>
  <c r="K53" i="12"/>
  <c r="J53" i="12"/>
  <c r="I53" i="12"/>
  <c r="G53" i="12"/>
  <c r="F53" i="12"/>
  <c r="K52" i="12"/>
  <c r="H52" i="12"/>
  <c r="G52" i="12"/>
  <c r="F52" i="12"/>
  <c r="E52" i="12"/>
  <c r="K51" i="12"/>
  <c r="J51" i="12"/>
  <c r="H51" i="12"/>
  <c r="G51" i="12"/>
  <c r="F51" i="12"/>
  <c r="E51" i="12"/>
  <c r="K49" i="12"/>
  <c r="G49" i="12"/>
  <c r="F49" i="12"/>
  <c r="I48" i="12"/>
  <c r="H48" i="12"/>
  <c r="G48" i="12"/>
  <c r="F48" i="12"/>
  <c r="E48" i="12"/>
  <c r="K47" i="12"/>
  <c r="H47" i="12"/>
  <c r="G47" i="12"/>
  <c r="F47" i="12"/>
  <c r="E47" i="12"/>
  <c r="G46" i="12"/>
  <c r="F46" i="12"/>
  <c r="K45" i="12"/>
  <c r="J45" i="12"/>
  <c r="I45" i="12"/>
  <c r="G45" i="12"/>
  <c r="F45" i="12"/>
  <c r="K44" i="12"/>
  <c r="H44" i="12"/>
  <c r="G44" i="12"/>
  <c r="F44" i="12"/>
  <c r="E44" i="12"/>
  <c r="K34" i="12"/>
  <c r="L34" i="12" s="1"/>
  <c r="J34" i="12"/>
  <c r="I34" i="12" s="1"/>
  <c r="G34" i="12"/>
  <c r="H34" i="12" s="1"/>
  <c r="F34" i="12"/>
  <c r="E34" i="12"/>
  <c r="J33" i="12"/>
  <c r="I33" i="12"/>
  <c r="G33" i="12"/>
  <c r="H33" i="12" s="1"/>
  <c r="F33" i="12"/>
  <c r="E33" i="12"/>
  <c r="K32" i="12"/>
  <c r="L32" i="12" s="1"/>
  <c r="J32" i="12"/>
  <c r="H32" i="12"/>
  <c r="G32" i="12"/>
  <c r="F32" i="12"/>
  <c r="K31" i="12"/>
  <c r="J31" i="12"/>
  <c r="K27" i="12"/>
  <c r="L55" i="12" s="1"/>
  <c r="J27" i="12"/>
  <c r="I51" i="12" s="1"/>
  <c r="K26" i="12"/>
  <c r="K50" i="12" s="1"/>
  <c r="G26" i="12"/>
  <c r="F26" i="12"/>
  <c r="J26" i="12" s="1"/>
  <c r="E26" i="12"/>
  <c r="E54" i="12" s="1"/>
  <c r="K25" i="12"/>
  <c r="J25" i="12"/>
  <c r="J49" i="12" s="1"/>
  <c r="H25" i="12"/>
  <c r="G25" i="12"/>
  <c r="H53" i="12" s="1"/>
  <c r="F25" i="12"/>
  <c r="K24" i="12"/>
  <c r="J24" i="12"/>
  <c r="J52" i="12" s="1"/>
  <c r="F24" i="12"/>
  <c r="BN20" i="12"/>
  <c r="BM20" i="12"/>
  <c r="BL20" i="12"/>
  <c r="G188" i="12" s="1"/>
  <c r="BK20" i="12"/>
  <c r="F188" i="12" s="1"/>
  <c r="BJ20" i="12"/>
  <c r="E188" i="12" s="1"/>
  <c r="BI20" i="12"/>
  <c r="D188" i="12" s="1"/>
  <c r="BH20" i="12"/>
  <c r="C188" i="12" s="1"/>
  <c r="BG20" i="12"/>
  <c r="B188" i="12" s="1"/>
  <c r="I20" i="12"/>
  <c r="H20" i="12"/>
  <c r="G20" i="12"/>
  <c r="BR19" i="12"/>
  <c r="BN19" i="12"/>
  <c r="BM19" i="12"/>
  <c r="H187" i="12" s="1"/>
  <c r="BL19" i="12"/>
  <c r="BK19" i="12"/>
  <c r="F187" i="12" s="1"/>
  <c r="F215" i="12" s="1"/>
  <c r="BJ19" i="12"/>
  <c r="E187" i="12" s="1"/>
  <c r="BI19" i="12"/>
  <c r="D187" i="12" s="1"/>
  <c r="BH19" i="12"/>
  <c r="C187" i="12" s="1"/>
  <c r="BG19" i="12"/>
  <c r="B187" i="12" s="1"/>
  <c r="J19" i="12"/>
  <c r="I19" i="12"/>
  <c r="H19" i="12"/>
  <c r="G19" i="12"/>
  <c r="BN18" i="12"/>
  <c r="I186" i="12" s="1"/>
  <c r="BM18" i="12"/>
  <c r="H186" i="12" s="1"/>
  <c r="BL18" i="12"/>
  <c r="BK18" i="12"/>
  <c r="F186" i="12" s="1"/>
  <c r="F214" i="12" s="1"/>
  <c r="BJ18" i="12"/>
  <c r="E186" i="12" s="1"/>
  <c r="BI18" i="12"/>
  <c r="BH18" i="12"/>
  <c r="BG18" i="12"/>
  <c r="B186" i="12" s="1"/>
  <c r="J18" i="12"/>
  <c r="I18" i="12"/>
  <c r="H18" i="12"/>
  <c r="G18" i="12"/>
  <c r="BN17" i="12"/>
  <c r="I185" i="12" s="1"/>
  <c r="BM17" i="12"/>
  <c r="H185" i="12" s="1"/>
  <c r="BL17" i="12"/>
  <c r="G185" i="12" s="1"/>
  <c r="BK17" i="12"/>
  <c r="F185" i="12" s="1"/>
  <c r="BJ17" i="12"/>
  <c r="E185" i="12" s="1"/>
  <c r="E213" i="12" s="1"/>
  <c r="BI17" i="12"/>
  <c r="BP17" i="12" s="1"/>
  <c r="BH17" i="12"/>
  <c r="BO17" i="12" s="1"/>
  <c r="BG17" i="12"/>
  <c r="B185" i="12" s="1"/>
  <c r="I17" i="12"/>
  <c r="H17" i="12"/>
  <c r="J17" i="12" s="1"/>
  <c r="G17" i="12"/>
  <c r="BN16" i="12"/>
  <c r="I184" i="12" s="1"/>
  <c r="BM16" i="12"/>
  <c r="BL16" i="12"/>
  <c r="G184" i="12" s="1"/>
  <c r="BK16" i="12"/>
  <c r="F184" i="12" s="1"/>
  <c r="F212" i="12" s="1"/>
  <c r="BJ16" i="12"/>
  <c r="BI16" i="12"/>
  <c r="D184" i="12" s="1"/>
  <c r="D212" i="12" s="1"/>
  <c r="BH16" i="12"/>
  <c r="C184" i="12" s="1"/>
  <c r="BG16" i="12"/>
  <c r="B184" i="12" s="1"/>
  <c r="I16" i="12"/>
  <c r="H16" i="12"/>
  <c r="G16" i="12"/>
  <c r="BR15" i="12"/>
  <c r="BN15" i="12"/>
  <c r="I183" i="12" s="1"/>
  <c r="BM15" i="12"/>
  <c r="BL15" i="12"/>
  <c r="BK15" i="12"/>
  <c r="F183" i="12" s="1"/>
  <c r="BJ15" i="12"/>
  <c r="E183" i="12" s="1"/>
  <c r="BI15" i="12"/>
  <c r="BH15" i="12"/>
  <c r="C183" i="12" s="1"/>
  <c r="BG15" i="12"/>
  <c r="B183" i="12" s="1"/>
  <c r="B211" i="12" s="1"/>
  <c r="J15" i="12"/>
  <c r="I15" i="12"/>
  <c r="H15" i="12"/>
  <c r="G15" i="12"/>
  <c r="BN14" i="12"/>
  <c r="I182" i="12" s="1"/>
  <c r="I210" i="12" s="1"/>
  <c r="BM14" i="12"/>
  <c r="H182" i="12" s="1"/>
  <c r="BL14" i="12"/>
  <c r="BK14" i="12"/>
  <c r="F182" i="12" s="1"/>
  <c r="BJ14" i="12"/>
  <c r="E182" i="12" s="1"/>
  <c r="BI14" i="12"/>
  <c r="BH14" i="12"/>
  <c r="BG14" i="12"/>
  <c r="B182" i="12" s="1"/>
  <c r="B210" i="12" s="1"/>
  <c r="J14" i="12"/>
  <c r="I14" i="12"/>
  <c r="H14" i="12"/>
  <c r="G14" i="12"/>
  <c r="BP13" i="12"/>
  <c r="BN13" i="12"/>
  <c r="BM13" i="12"/>
  <c r="BR13" i="12" s="1"/>
  <c r="BL13" i="12"/>
  <c r="G181" i="12" s="1"/>
  <c r="G209" i="12" s="1"/>
  <c r="BK13" i="12"/>
  <c r="F181" i="12" s="1"/>
  <c r="BJ13" i="12"/>
  <c r="E181" i="12" s="1"/>
  <c r="E209" i="12" s="1"/>
  <c r="BI13" i="12"/>
  <c r="D181" i="12" s="1"/>
  <c r="BH13" i="12"/>
  <c r="BO13" i="12" s="1"/>
  <c r="BG13" i="12"/>
  <c r="B181" i="12" s="1"/>
  <c r="B195" i="12" s="1"/>
  <c r="I13" i="12"/>
  <c r="H13" i="12"/>
  <c r="J13" i="12" s="1"/>
  <c r="G13" i="12"/>
  <c r="BN12" i="12"/>
  <c r="I180" i="12" s="1"/>
  <c r="BM12" i="12"/>
  <c r="BL12" i="12"/>
  <c r="G180" i="12" s="1"/>
  <c r="G208" i="12" s="1"/>
  <c r="BK12" i="12"/>
  <c r="F180" i="12" s="1"/>
  <c r="BJ12" i="12"/>
  <c r="E180" i="12" s="1"/>
  <c r="BI12" i="12"/>
  <c r="D180" i="12" s="1"/>
  <c r="BH12" i="12"/>
  <c r="C180" i="12" s="1"/>
  <c r="BG12" i="12"/>
  <c r="B180" i="12" s="1"/>
  <c r="B208" i="12" s="1"/>
  <c r="I12" i="12"/>
  <c r="H12" i="12"/>
  <c r="G12" i="12"/>
  <c r="BR11" i="12"/>
  <c r="BN11" i="12"/>
  <c r="BM11" i="12"/>
  <c r="BL11" i="12"/>
  <c r="BK11" i="12"/>
  <c r="F179" i="12" s="1"/>
  <c r="BJ11" i="12"/>
  <c r="E179" i="12" s="1"/>
  <c r="E207" i="12" s="1"/>
  <c r="BI11" i="12"/>
  <c r="BH11" i="12"/>
  <c r="BG11" i="12"/>
  <c r="B179" i="12" s="1"/>
  <c r="J11" i="12"/>
  <c r="I11" i="12"/>
  <c r="H11" i="12"/>
  <c r="G11" i="12"/>
  <c r="S207" i="11"/>
  <c r="T207" i="11"/>
  <c r="U207" i="11"/>
  <c r="V207" i="11"/>
  <c r="W207" i="11"/>
  <c r="X207" i="11"/>
  <c r="Y207" i="11"/>
  <c r="S208" i="11"/>
  <c r="T208" i="11"/>
  <c r="U208" i="11"/>
  <c r="V208" i="11"/>
  <c r="W208" i="11"/>
  <c r="X208" i="11"/>
  <c r="Y208" i="11"/>
  <c r="S209" i="11"/>
  <c r="T209" i="11"/>
  <c r="U209" i="11"/>
  <c r="V209" i="11"/>
  <c r="W209" i="11"/>
  <c r="X209" i="11"/>
  <c r="Y209" i="11"/>
  <c r="S210" i="11"/>
  <c r="T210" i="11"/>
  <c r="U210" i="11"/>
  <c r="V210" i="11"/>
  <c r="W210" i="11"/>
  <c r="X210" i="11"/>
  <c r="Y210" i="11"/>
  <c r="S211" i="11"/>
  <c r="T211" i="11"/>
  <c r="U211" i="11"/>
  <c r="V211" i="11"/>
  <c r="W211" i="11"/>
  <c r="X211" i="11"/>
  <c r="Y211" i="11"/>
  <c r="S212" i="11"/>
  <c r="T212" i="11"/>
  <c r="U212" i="11"/>
  <c r="V212" i="11"/>
  <c r="W212" i="11"/>
  <c r="X212" i="11"/>
  <c r="Y212" i="11"/>
  <c r="S213" i="11"/>
  <c r="T213" i="11"/>
  <c r="U213" i="11"/>
  <c r="V213" i="11"/>
  <c r="W213" i="11"/>
  <c r="X213" i="11"/>
  <c r="Y213" i="11"/>
  <c r="S214" i="11"/>
  <c r="T214" i="11"/>
  <c r="U214" i="11"/>
  <c r="V214" i="11"/>
  <c r="W214" i="11"/>
  <c r="X214" i="11"/>
  <c r="Y214" i="11"/>
  <c r="S215" i="11"/>
  <c r="T215" i="11"/>
  <c r="U215" i="11"/>
  <c r="V215" i="11"/>
  <c r="W215" i="11"/>
  <c r="X215" i="11"/>
  <c r="Y215" i="11"/>
  <c r="S216" i="11"/>
  <c r="T216" i="11"/>
  <c r="U216" i="11"/>
  <c r="V216" i="11"/>
  <c r="W216" i="11"/>
  <c r="X216" i="11"/>
  <c r="Y216" i="11"/>
  <c r="R208" i="11"/>
  <c r="R209" i="11"/>
  <c r="R210" i="11"/>
  <c r="R211" i="11"/>
  <c r="R212" i="11"/>
  <c r="R213" i="11"/>
  <c r="R214" i="11"/>
  <c r="R215" i="11"/>
  <c r="R216" i="11"/>
  <c r="R207" i="11"/>
  <c r="K207" i="11"/>
  <c r="L207" i="11"/>
  <c r="M207" i="11"/>
  <c r="N207" i="11"/>
  <c r="O207" i="11"/>
  <c r="P207" i="11"/>
  <c r="Q207" i="11"/>
  <c r="K208" i="11"/>
  <c r="L208" i="11"/>
  <c r="M208" i="11"/>
  <c r="N208" i="11"/>
  <c r="O208" i="11"/>
  <c r="P208" i="11"/>
  <c r="Q208" i="11"/>
  <c r="K209" i="11"/>
  <c r="L209" i="11"/>
  <c r="M209" i="11"/>
  <c r="N209" i="11"/>
  <c r="O209" i="11"/>
  <c r="P209" i="11"/>
  <c r="Q209" i="11"/>
  <c r="K210" i="11"/>
  <c r="L210" i="11"/>
  <c r="M210" i="11"/>
  <c r="N210" i="11"/>
  <c r="O210" i="11"/>
  <c r="P210" i="11"/>
  <c r="Q210" i="11"/>
  <c r="K211" i="11"/>
  <c r="L211" i="11"/>
  <c r="M211" i="11"/>
  <c r="N211" i="11"/>
  <c r="O211" i="11"/>
  <c r="P211" i="11"/>
  <c r="Q211" i="11"/>
  <c r="K212" i="11"/>
  <c r="L212" i="11"/>
  <c r="M212" i="11"/>
  <c r="N212" i="11"/>
  <c r="O212" i="11"/>
  <c r="P212" i="11"/>
  <c r="Q212" i="11"/>
  <c r="K213" i="11"/>
  <c r="L213" i="11"/>
  <c r="M213" i="11"/>
  <c r="N213" i="11"/>
  <c r="O213" i="11"/>
  <c r="P213" i="11"/>
  <c r="Q213" i="11"/>
  <c r="K214" i="11"/>
  <c r="L214" i="11"/>
  <c r="M214" i="11"/>
  <c r="N214" i="11"/>
  <c r="O214" i="11"/>
  <c r="P214" i="11"/>
  <c r="Q214" i="11"/>
  <c r="K215" i="11"/>
  <c r="L215" i="11"/>
  <c r="M215" i="11"/>
  <c r="N215" i="11"/>
  <c r="O215" i="11"/>
  <c r="P215" i="11"/>
  <c r="Q215" i="11"/>
  <c r="K216" i="11"/>
  <c r="L216" i="11"/>
  <c r="M216" i="11"/>
  <c r="N216" i="11"/>
  <c r="O216" i="11"/>
  <c r="P216" i="11"/>
  <c r="Q216" i="11"/>
  <c r="J208" i="11"/>
  <c r="J209" i="11"/>
  <c r="J210" i="11"/>
  <c r="J211" i="11"/>
  <c r="J212" i="11"/>
  <c r="J213" i="11"/>
  <c r="J214" i="11"/>
  <c r="J215" i="11"/>
  <c r="J216" i="11"/>
  <c r="J207" i="11"/>
  <c r="B207" i="11"/>
  <c r="C207" i="11"/>
  <c r="D207" i="11"/>
  <c r="E207" i="11"/>
  <c r="F207" i="11"/>
  <c r="G207" i="11"/>
  <c r="H207" i="11"/>
  <c r="I207" i="11"/>
  <c r="C208" i="11"/>
  <c r="D208" i="11"/>
  <c r="E208" i="11"/>
  <c r="F208" i="11"/>
  <c r="G208" i="11"/>
  <c r="H208" i="11"/>
  <c r="I208" i="11"/>
  <c r="C209" i="11"/>
  <c r="D209" i="11"/>
  <c r="E209" i="11"/>
  <c r="F209" i="11"/>
  <c r="G209" i="11"/>
  <c r="H209" i="11"/>
  <c r="I209" i="11"/>
  <c r="C210" i="11"/>
  <c r="D210" i="11"/>
  <c r="E210" i="11"/>
  <c r="F210" i="11"/>
  <c r="G210" i="11"/>
  <c r="H210" i="11"/>
  <c r="I210" i="11"/>
  <c r="C211" i="11"/>
  <c r="D211" i="11"/>
  <c r="E211" i="11"/>
  <c r="F211" i="11"/>
  <c r="G211" i="11"/>
  <c r="H211" i="11"/>
  <c r="I211" i="11"/>
  <c r="C212" i="11"/>
  <c r="D212" i="11"/>
  <c r="E212" i="11"/>
  <c r="F212" i="11"/>
  <c r="G212" i="11"/>
  <c r="H212" i="11"/>
  <c r="I212" i="11"/>
  <c r="C213" i="11"/>
  <c r="D213" i="11"/>
  <c r="E213" i="11"/>
  <c r="F213" i="11"/>
  <c r="G213" i="11"/>
  <c r="H213" i="11"/>
  <c r="I213" i="11"/>
  <c r="C214" i="11"/>
  <c r="D214" i="11"/>
  <c r="E214" i="11"/>
  <c r="F214" i="11"/>
  <c r="G214" i="11"/>
  <c r="H214" i="11"/>
  <c r="I214" i="11"/>
  <c r="C215" i="11"/>
  <c r="D215" i="11"/>
  <c r="E215" i="11"/>
  <c r="F215" i="11"/>
  <c r="G215" i="11"/>
  <c r="H215" i="11"/>
  <c r="I215" i="11"/>
  <c r="C216" i="11"/>
  <c r="D216" i="11"/>
  <c r="E216" i="11"/>
  <c r="F216" i="11"/>
  <c r="G216" i="11"/>
  <c r="H216" i="11"/>
  <c r="I216" i="11"/>
  <c r="B208" i="11"/>
  <c r="B209" i="11"/>
  <c r="B210" i="11"/>
  <c r="B211" i="11"/>
  <c r="B212" i="11"/>
  <c r="B213" i="11"/>
  <c r="B214" i="11"/>
  <c r="B215" i="11"/>
  <c r="B216" i="11"/>
  <c r="K193" i="11"/>
  <c r="L193" i="11"/>
  <c r="M193" i="11"/>
  <c r="N193" i="11"/>
  <c r="O193" i="11"/>
  <c r="P193" i="11"/>
  <c r="Q193" i="11"/>
  <c r="K194" i="11"/>
  <c r="L194" i="11"/>
  <c r="M194" i="11"/>
  <c r="N194" i="11"/>
  <c r="O194" i="11"/>
  <c r="P194" i="11"/>
  <c r="Q194" i="11"/>
  <c r="K195" i="11"/>
  <c r="L195" i="11"/>
  <c r="M195" i="11"/>
  <c r="N195" i="11"/>
  <c r="O195" i="11"/>
  <c r="P195" i="11"/>
  <c r="Q195" i="11"/>
  <c r="K196" i="11"/>
  <c r="L196" i="11"/>
  <c r="M196" i="11"/>
  <c r="N196" i="11"/>
  <c r="O196" i="11"/>
  <c r="P196" i="11"/>
  <c r="Q196" i="11"/>
  <c r="K197" i="11"/>
  <c r="L197" i="11"/>
  <c r="M197" i="11"/>
  <c r="N197" i="11"/>
  <c r="O197" i="11"/>
  <c r="P197" i="11"/>
  <c r="Q197" i="11"/>
  <c r="K198" i="11"/>
  <c r="L198" i="11"/>
  <c r="M198" i="11"/>
  <c r="N198" i="11"/>
  <c r="O198" i="11"/>
  <c r="P198" i="11"/>
  <c r="Q198" i="11"/>
  <c r="K199" i="11"/>
  <c r="L199" i="11"/>
  <c r="M199" i="11"/>
  <c r="N199" i="11"/>
  <c r="O199" i="11"/>
  <c r="P199" i="11"/>
  <c r="Q199" i="11"/>
  <c r="K200" i="11"/>
  <c r="L200" i="11"/>
  <c r="M200" i="11"/>
  <c r="N200" i="11"/>
  <c r="O200" i="11"/>
  <c r="P200" i="11"/>
  <c r="Q200" i="11"/>
  <c r="K201" i="11"/>
  <c r="L201" i="11"/>
  <c r="M201" i="11"/>
  <c r="N201" i="11"/>
  <c r="O201" i="11"/>
  <c r="P201" i="11"/>
  <c r="Q201" i="11"/>
  <c r="K202" i="11"/>
  <c r="L202" i="11"/>
  <c r="M202" i="11"/>
  <c r="N202" i="11"/>
  <c r="O202" i="11"/>
  <c r="P202" i="11"/>
  <c r="Q202" i="11"/>
  <c r="J194" i="11"/>
  <c r="J195" i="11"/>
  <c r="J196" i="11"/>
  <c r="J197" i="11"/>
  <c r="J198" i="11"/>
  <c r="J199" i="11"/>
  <c r="J200" i="11"/>
  <c r="J201" i="11"/>
  <c r="J202" i="11"/>
  <c r="J193" i="11"/>
  <c r="C193" i="11"/>
  <c r="D193" i="11"/>
  <c r="E193" i="11"/>
  <c r="F193" i="11"/>
  <c r="G193" i="11"/>
  <c r="H193" i="11"/>
  <c r="I193" i="11"/>
  <c r="C194" i="11"/>
  <c r="D194" i="11"/>
  <c r="E194" i="11"/>
  <c r="F194" i="11"/>
  <c r="G194" i="11"/>
  <c r="H194" i="11"/>
  <c r="I194" i="11"/>
  <c r="C195" i="11"/>
  <c r="D195" i="11"/>
  <c r="E195" i="11"/>
  <c r="F195" i="11"/>
  <c r="G195" i="11"/>
  <c r="H195" i="11"/>
  <c r="I195" i="11"/>
  <c r="C196" i="11"/>
  <c r="D196" i="11"/>
  <c r="E196" i="11"/>
  <c r="F196" i="11"/>
  <c r="G196" i="11"/>
  <c r="H196" i="11"/>
  <c r="I196" i="11"/>
  <c r="C197" i="11"/>
  <c r="D197" i="11"/>
  <c r="E197" i="11"/>
  <c r="F197" i="11"/>
  <c r="G197" i="11"/>
  <c r="H197" i="11"/>
  <c r="I197" i="11"/>
  <c r="C198" i="11"/>
  <c r="D198" i="11"/>
  <c r="E198" i="11"/>
  <c r="F198" i="11"/>
  <c r="G198" i="11"/>
  <c r="H198" i="11"/>
  <c r="I198" i="11"/>
  <c r="C199" i="11"/>
  <c r="D199" i="11"/>
  <c r="E199" i="11"/>
  <c r="F199" i="11"/>
  <c r="G199" i="11"/>
  <c r="H199" i="11"/>
  <c r="I199" i="11"/>
  <c r="C200" i="11"/>
  <c r="D200" i="11"/>
  <c r="E200" i="11"/>
  <c r="F200" i="11"/>
  <c r="G200" i="11"/>
  <c r="H200" i="11"/>
  <c r="I200" i="11"/>
  <c r="C201" i="11"/>
  <c r="D201" i="11"/>
  <c r="E201" i="11"/>
  <c r="F201" i="11"/>
  <c r="G201" i="11"/>
  <c r="H201" i="11"/>
  <c r="I201" i="11"/>
  <c r="C202" i="11"/>
  <c r="D202" i="11"/>
  <c r="E202" i="11"/>
  <c r="F202" i="11"/>
  <c r="G202" i="11"/>
  <c r="H202" i="11"/>
  <c r="I202" i="11"/>
  <c r="B194" i="11"/>
  <c r="B195" i="11"/>
  <c r="B196" i="11"/>
  <c r="B197" i="11"/>
  <c r="B198" i="11"/>
  <c r="B199" i="11"/>
  <c r="B200" i="11"/>
  <c r="B201" i="11"/>
  <c r="B202" i="11"/>
  <c r="B193" i="11"/>
  <c r="C172" i="11"/>
  <c r="C173" i="11"/>
  <c r="C171" i="11"/>
  <c r="C174" i="11" s="1"/>
  <c r="B174" i="11"/>
  <c r="B166" i="11"/>
  <c r="C165" i="11" s="1"/>
  <c r="H159" i="11"/>
  <c r="G159" i="11"/>
  <c r="F159" i="11"/>
  <c r="E159" i="11"/>
  <c r="H156" i="11"/>
  <c r="G156" i="11"/>
  <c r="H155" i="11"/>
  <c r="G155" i="11"/>
  <c r="F155" i="11"/>
  <c r="E155" i="11"/>
  <c r="H152" i="11"/>
  <c r="G152" i="11"/>
  <c r="H151" i="11"/>
  <c r="G151" i="11"/>
  <c r="F151" i="11"/>
  <c r="E151" i="11"/>
  <c r="H148" i="11"/>
  <c r="G148" i="11"/>
  <c r="G138" i="11"/>
  <c r="H138" i="11" s="1"/>
  <c r="F138" i="11"/>
  <c r="J138" i="11" s="1"/>
  <c r="I138" i="11" s="1"/>
  <c r="G137" i="11"/>
  <c r="H137" i="11" s="1"/>
  <c r="F137" i="11"/>
  <c r="J137" i="11" s="1"/>
  <c r="I137" i="11" s="1"/>
  <c r="E137" i="11"/>
  <c r="H136" i="11"/>
  <c r="G136" i="11"/>
  <c r="K136" i="11" s="1"/>
  <c r="L136" i="11" s="1"/>
  <c r="F136" i="11"/>
  <c r="J136" i="11" s="1"/>
  <c r="K135" i="11"/>
  <c r="J135" i="11"/>
  <c r="K131" i="11"/>
  <c r="J131" i="11"/>
  <c r="G130" i="11"/>
  <c r="K130" i="11" s="1"/>
  <c r="F130" i="11"/>
  <c r="E130" i="11" s="1"/>
  <c r="E150" i="11" s="1"/>
  <c r="G129" i="11"/>
  <c r="K129" i="11" s="1"/>
  <c r="F129" i="11"/>
  <c r="J129" i="11" s="1"/>
  <c r="K128" i="11"/>
  <c r="F128" i="11"/>
  <c r="E148" i="11" s="1"/>
  <c r="BN124" i="11"/>
  <c r="Y188" i="11" s="1"/>
  <c r="BM124" i="11"/>
  <c r="X188" i="11" s="1"/>
  <c r="BL124" i="11"/>
  <c r="W188" i="11" s="1"/>
  <c r="BK124" i="11"/>
  <c r="V188" i="11" s="1"/>
  <c r="BJ124" i="11"/>
  <c r="U188" i="11" s="1"/>
  <c r="BI124" i="11"/>
  <c r="T188" i="11" s="1"/>
  <c r="BH124" i="11"/>
  <c r="S188" i="11" s="1"/>
  <c r="BG124" i="11"/>
  <c r="R188" i="11" s="1"/>
  <c r="I124" i="11"/>
  <c r="H124" i="11"/>
  <c r="G124" i="11"/>
  <c r="BN123" i="11"/>
  <c r="Y187" i="11" s="1"/>
  <c r="BM123" i="11"/>
  <c r="X187" i="11" s="1"/>
  <c r="BL123" i="11"/>
  <c r="W187" i="11" s="1"/>
  <c r="BK123" i="11"/>
  <c r="V187" i="11" s="1"/>
  <c r="BJ123" i="11"/>
  <c r="U187" i="11" s="1"/>
  <c r="BI123" i="11"/>
  <c r="T187" i="11" s="1"/>
  <c r="BH123" i="11"/>
  <c r="S187" i="11" s="1"/>
  <c r="BG123" i="11"/>
  <c r="R187" i="11" s="1"/>
  <c r="I123" i="11"/>
  <c r="H123" i="11"/>
  <c r="G123" i="11"/>
  <c r="BN122" i="11"/>
  <c r="Y186" i="11" s="1"/>
  <c r="BM122" i="11"/>
  <c r="X186" i="11" s="1"/>
  <c r="BL122" i="11"/>
  <c r="W186" i="11" s="1"/>
  <c r="BK122" i="11"/>
  <c r="V186" i="11" s="1"/>
  <c r="BJ122" i="11"/>
  <c r="U186" i="11" s="1"/>
  <c r="BI122" i="11"/>
  <c r="T186" i="11" s="1"/>
  <c r="BH122" i="11"/>
  <c r="S186" i="11" s="1"/>
  <c r="BG122" i="11"/>
  <c r="R186" i="11" s="1"/>
  <c r="I122" i="11"/>
  <c r="H122" i="11"/>
  <c r="G122" i="11"/>
  <c r="BN121" i="11"/>
  <c r="Y185" i="11" s="1"/>
  <c r="BM121" i="11"/>
  <c r="X185" i="11" s="1"/>
  <c r="BL121" i="11"/>
  <c r="W185" i="11" s="1"/>
  <c r="BK121" i="11"/>
  <c r="V185" i="11" s="1"/>
  <c r="BJ121" i="11"/>
  <c r="U185" i="11" s="1"/>
  <c r="BI121" i="11"/>
  <c r="T185" i="11" s="1"/>
  <c r="BH121" i="11"/>
  <c r="S185" i="11" s="1"/>
  <c r="BG121" i="11"/>
  <c r="R185" i="11" s="1"/>
  <c r="I121" i="11"/>
  <c r="H121" i="11"/>
  <c r="G121" i="11"/>
  <c r="BN120" i="11"/>
  <c r="Y184" i="11" s="1"/>
  <c r="BM120" i="11"/>
  <c r="X184" i="11" s="1"/>
  <c r="BL120" i="11"/>
  <c r="W184" i="11" s="1"/>
  <c r="BK120" i="11"/>
  <c r="V184" i="11" s="1"/>
  <c r="BJ120" i="11"/>
  <c r="U184" i="11" s="1"/>
  <c r="BI120" i="11"/>
  <c r="T184" i="11" s="1"/>
  <c r="BH120" i="11"/>
  <c r="S184" i="11" s="1"/>
  <c r="BG120" i="11"/>
  <c r="R184" i="11" s="1"/>
  <c r="I120" i="11"/>
  <c r="H120" i="11"/>
  <c r="G120" i="11"/>
  <c r="BN119" i="11"/>
  <c r="Y183" i="11" s="1"/>
  <c r="BM119" i="11"/>
  <c r="X183" i="11" s="1"/>
  <c r="BL119" i="11"/>
  <c r="W183" i="11" s="1"/>
  <c r="BK119" i="11"/>
  <c r="V183" i="11" s="1"/>
  <c r="BJ119" i="11"/>
  <c r="U183" i="11" s="1"/>
  <c r="BI119" i="11"/>
  <c r="T183" i="11" s="1"/>
  <c r="BH119" i="11"/>
  <c r="S183" i="11" s="1"/>
  <c r="BG119" i="11"/>
  <c r="R183" i="11" s="1"/>
  <c r="I119" i="11"/>
  <c r="H119" i="11"/>
  <c r="G119" i="11"/>
  <c r="BN118" i="11"/>
  <c r="Y182" i="11" s="1"/>
  <c r="BM118" i="11"/>
  <c r="X182" i="11" s="1"/>
  <c r="BL118" i="11"/>
  <c r="W182" i="11" s="1"/>
  <c r="BK118" i="11"/>
  <c r="V182" i="11" s="1"/>
  <c r="BJ118" i="11"/>
  <c r="U182" i="11" s="1"/>
  <c r="BI118" i="11"/>
  <c r="T182" i="11" s="1"/>
  <c r="BH118" i="11"/>
  <c r="S182" i="11" s="1"/>
  <c r="BG118" i="11"/>
  <c r="R182" i="11" s="1"/>
  <c r="I118" i="11"/>
  <c r="H118" i="11"/>
  <c r="G118" i="11"/>
  <c r="BN117" i="11"/>
  <c r="Y181" i="11" s="1"/>
  <c r="BM117" i="11"/>
  <c r="X181" i="11" s="1"/>
  <c r="BL117" i="11"/>
  <c r="W181" i="11" s="1"/>
  <c r="BK117" i="11"/>
  <c r="V181" i="11" s="1"/>
  <c r="BJ117" i="11"/>
  <c r="U181" i="11" s="1"/>
  <c r="BI117" i="11"/>
  <c r="T181" i="11" s="1"/>
  <c r="BH117" i="11"/>
  <c r="S181" i="11" s="1"/>
  <c r="BG117" i="11"/>
  <c r="R181" i="11" s="1"/>
  <c r="I117" i="11"/>
  <c r="H117" i="11"/>
  <c r="G117" i="11"/>
  <c r="BN116" i="11"/>
  <c r="Y180" i="11" s="1"/>
  <c r="BM116" i="11"/>
  <c r="X180" i="11" s="1"/>
  <c r="BL116" i="11"/>
  <c r="W180" i="11" s="1"/>
  <c r="BK116" i="11"/>
  <c r="V180" i="11" s="1"/>
  <c r="BJ116" i="11"/>
  <c r="U180" i="11" s="1"/>
  <c r="BI116" i="11"/>
  <c r="T180" i="11" s="1"/>
  <c r="BH116" i="11"/>
  <c r="S180" i="11" s="1"/>
  <c r="BG116" i="11"/>
  <c r="R180" i="11" s="1"/>
  <c r="I116" i="11"/>
  <c r="H116" i="11"/>
  <c r="G116" i="11"/>
  <c r="BN115" i="11"/>
  <c r="Y179" i="11" s="1"/>
  <c r="BM115" i="11"/>
  <c r="X179" i="11" s="1"/>
  <c r="BL115" i="11"/>
  <c r="W179" i="11" s="1"/>
  <c r="BK115" i="11"/>
  <c r="V179" i="11" s="1"/>
  <c r="BJ115" i="11"/>
  <c r="U179" i="11" s="1"/>
  <c r="BI115" i="11"/>
  <c r="T179" i="11" s="1"/>
  <c r="BH115" i="11"/>
  <c r="S179" i="11" s="1"/>
  <c r="BG115" i="11"/>
  <c r="R179" i="11" s="1"/>
  <c r="I115" i="11"/>
  <c r="H115" i="11"/>
  <c r="G115" i="11"/>
  <c r="H107" i="11"/>
  <c r="G107" i="11"/>
  <c r="F107" i="11"/>
  <c r="E107" i="11"/>
  <c r="H104" i="11"/>
  <c r="G104" i="11"/>
  <c r="H103" i="11"/>
  <c r="G103" i="11"/>
  <c r="F103" i="11"/>
  <c r="E103" i="11"/>
  <c r="H100" i="11"/>
  <c r="G100" i="11"/>
  <c r="H99" i="11"/>
  <c r="G99" i="11"/>
  <c r="F99" i="11"/>
  <c r="E99" i="11"/>
  <c r="H96" i="11"/>
  <c r="G96" i="11"/>
  <c r="G86" i="11"/>
  <c r="K86" i="11" s="1"/>
  <c r="L86" i="11" s="1"/>
  <c r="F86" i="11"/>
  <c r="J86" i="11" s="1"/>
  <c r="I86" i="11" s="1"/>
  <c r="G85" i="11"/>
  <c r="K85" i="11" s="1"/>
  <c r="L85" i="11" s="1"/>
  <c r="F85" i="11"/>
  <c r="J85" i="11" s="1"/>
  <c r="I85" i="11" s="1"/>
  <c r="G84" i="11"/>
  <c r="H84" i="11" s="1"/>
  <c r="F84" i="11"/>
  <c r="J84" i="11" s="1"/>
  <c r="K83" i="11"/>
  <c r="J83" i="11"/>
  <c r="K79" i="11"/>
  <c r="L107" i="11" s="1"/>
  <c r="J79" i="11"/>
  <c r="J107" i="11" s="1"/>
  <c r="J78" i="11"/>
  <c r="J106" i="11" s="1"/>
  <c r="G78" i="11"/>
  <c r="G106" i="11" s="1"/>
  <c r="F78" i="11"/>
  <c r="F106" i="11" s="1"/>
  <c r="G77" i="11"/>
  <c r="H77" i="11" s="1"/>
  <c r="F77" i="11"/>
  <c r="F105" i="11" s="1"/>
  <c r="K76" i="11"/>
  <c r="L100" i="11" s="1"/>
  <c r="F76" i="11"/>
  <c r="F104" i="11" s="1"/>
  <c r="BN72" i="11"/>
  <c r="Q188" i="11" s="1"/>
  <c r="BM72" i="11"/>
  <c r="P188" i="11" s="1"/>
  <c r="BL72" i="11"/>
  <c r="O188" i="11" s="1"/>
  <c r="BK72" i="11"/>
  <c r="N188" i="11" s="1"/>
  <c r="BJ72" i="11"/>
  <c r="M188" i="11" s="1"/>
  <c r="BI72" i="11"/>
  <c r="L188" i="11" s="1"/>
  <c r="BH72" i="11"/>
  <c r="K188" i="11" s="1"/>
  <c r="BG72" i="11"/>
  <c r="J188" i="11" s="1"/>
  <c r="I72" i="11"/>
  <c r="H72" i="11"/>
  <c r="G72" i="11"/>
  <c r="BN71" i="11"/>
  <c r="Q187" i="11" s="1"/>
  <c r="BM71" i="11"/>
  <c r="P187" i="11" s="1"/>
  <c r="BL71" i="11"/>
  <c r="O187" i="11" s="1"/>
  <c r="BK71" i="11"/>
  <c r="N187" i="11" s="1"/>
  <c r="BJ71" i="11"/>
  <c r="M187" i="11" s="1"/>
  <c r="BI71" i="11"/>
  <c r="L187" i="11" s="1"/>
  <c r="BH71" i="11"/>
  <c r="K187" i="11" s="1"/>
  <c r="BG71" i="11"/>
  <c r="J187" i="11" s="1"/>
  <c r="I71" i="11"/>
  <c r="H71" i="11"/>
  <c r="G71" i="11"/>
  <c r="BN70" i="11"/>
  <c r="Q186" i="11" s="1"/>
  <c r="BM70" i="11"/>
  <c r="P186" i="11" s="1"/>
  <c r="BL70" i="11"/>
  <c r="O186" i="11" s="1"/>
  <c r="BK70" i="11"/>
  <c r="N186" i="11" s="1"/>
  <c r="BJ70" i="11"/>
  <c r="M186" i="11" s="1"/>
  <c r="BI70" i="11"/>
  <c r="L186" i="11" s="1"/>
  <c r="BH70" i="11"/>
  <c r="K186" i="11" s="1"/>
  <c r="BG70" i="11"/>
  <c r="J186" i="11" s="1"/>
  <c r="I70" i="11"/>
  <c r="H70" i="11"/>
  <c r="G70" i="11"/>
  <c r="BN69" i="11"/>
  <c r="Q185" i="11" s="1"/>
  <c r="BM69" i="11"/>
  <c r="P185" i="11" s="1"/>
  <c r="BL69" i="11"/>
  <c r="O185" i="11" s="1"/>
  <c r="BK69" i="11"/>
  <c r="N185" i="11" s="1"/>
  <c r="BJ69" i="11"/>
  <c r="M185" i="11" s="1"/>
  <c r="BI69" i="11"/>
  <c r="L185" i="11" s="1"/>
  <c r="BH69" i="11"/>
  <c r="K185" i="11" s="1"/>
  <c r="BG69" i="11"/>
  <c r="J185" i="11" s="1"/>
  <c r="I69" i="11"/>
  <c r="H69" i="11"/>
  <c r="G69" i="11"/>
  <c r="BN68" i="11"/>
  <c r="Q184" i="11" s="1"/>
  <c r="BM68" i="11"/>
  <c r="P184" i="11" s="1"/>
  <c r="BL68" i="11"/>
  <c r="O184" i="11" s="1"/>
  <c r="BK68" i="11"/>
  <c r="N184" i="11" s="1"/>
  <c r="BJ68" i="11"/>
  <c r="M184" i="11" s="1"/>
  <c r="BI68" i="11"/>
  <c r="L184" i="11" s="1"/>
  <c r="BH68" i="11"/>
  <c r="K184" i="11" s="1"/>
  <c r="BG68" i="11"/>
  <c r="J184" i="11" s="1"/>
  <c r="I68" i="11"/>
  <c r="H68" i="11"/>
  <c r="G68" i="11"/>
  <c r="BN67" i="11"/>
  <c r="Q183" i="11" s="1"/>
  <c r="BM67" i="11"/>
  <c r="P183" i="11" s="1"/>
  <c r="BL67" i="11"/>
  <c r="O183" i="11" s="1"/>
  <c r="BK67" i="11"/>
  <c r="N183" i="11" s="1"/>
  <c r="BJ67" i="11"/>
  <c r="M183" i="11" s="1"/>
  <c r="BI67" i="11"/>
  <c r="L183" i="11" s="1"/>
  <c r="BH67" i="11"/>
  <c r="K183" i="11" s="1"/>
  <c r="BG67" i="11"/>
  <c r="J183" i="11" s="1"/>
  <c r="I67" i="11"/>
  <c r="H67" i="11"/>
  <c r="G67" i="11"/>
  <c r="BN66" i="11"/>
  <c r="Q182" i="11" s="1"/>
  <c r="BM66" i="11"/>
  <c r="P182" i="11" s="1"/>
  <c r="BL66" i="11"/>
  <c r="O182" i="11" s="1"/>
  <c r="BK66" i="11"/>
  <c r="N182" i="11" s="1"/>
  <c r="BJ66" i="11"/>
  <c r="M182" i="11" s="1"/>
  <c r="BI66" i="11"/>
  <c r="L182" i="11" s="1"/>
  <c r="BH66" i="11"/>
  <c r="K182" i="11" s="1"/>
  <c r="BG66" i="11"/>
  <c r="J182" i="11" s="1"/>
  <c r="I66" i="11"/>
  <c r="H66" i="11"/>
  <c r="G66" i="11"/>
  <c r="BN65" i="11"/>
  <c r="Q181" i="11" s="1"/>
  <c r="BM65" i="11"/>
  <c r="P181" i="11" s="1"/>
  <c r="BL65" i="11"/>
  <c r="O181" i="11" s="1"/>
  <c r="BK65" i="11"/>
  <c r="N181" i="11" s="1"/>
  <c r="BJ65" i="11"/>
  <c r="M181" i="11" s="1"/>
  <c r="BI65" i="11"/>
  <c r="L181" i="11" s="1"/>
  <c r="BH65" i="11"/>
  <c r="K181" i="11" s="1"/>
  <c r="BG65" i="11"/>
  <c r="J181" i="11" s="1"/>
  <c r="I65" i="11"/>
  <c r="H65" i="11"/>
  <c r="G65" i="11"/>
  <c r="BN64" i="11"/>
  <c r="Q180" i="11" s="1"/>
  <c r="BM64" i="11"/>
  <c r="P180" i="11" s="1"/>
  <c r="BL64" i="11"/>
  <c r="O180" i="11" s="1"/>
  <c r="BK64" i="11"/>
  <c r="N180" i="11" s="1"/>
  <c r="BJ64" i="11"/>
  <c r="M180" i="11" s="1"/>
  <c r="BI64" i="11"/>
  <c r="L180" i="11" s="1"/>
  <c r="BH64" i="11"/>
  <c r="K180" i="11" s="1"/>
  <c r="BG64" i="11"/>
  <c r="J180" i="11" s="1"/>
  <c r="I64" i="11"/>
  <c r="H64" i="11"/>
  <c r="G64" i="11"/>
  <c r="BN63" i="11"/>
  <c r="Q179" i="11" s="1"/>
  <c r="BM63" i="11"/>
  <c r="P179" i="11" s="1"/>
  <c r="BL63" i="11"/>
  <c r="O179" i="11" s="1"/>
  <c r="BK63" i="11"/>
  <c r="N179" i="11" s="1"/>
  <c r="BJ63" i="11"/>
  <c r="M179" i="11" s="1"/>
  <c r="BI63" i="11"/>
  <c r="L179" i="11" s="1"/>
  <c r="BH63" i="11"/>
  <c r="K179" i="11" s="1"/>
  <c r="BG63" i="11"/>
  <c r="J179" i="11" s="1"/>
  <c r="I63" i="11"/>
  <c r="H63" i="11"/>
  <c r="G63" i="11"/>
  <c r="H55" i="11"/>
  <c r="G55" i="11"/>
  <c r="F55" i="11"/>
  <c r="E55" i="11"/>
  <c r="H52" i="11"/>
  <c r="G52" i="11"/>
  <c r="H51" i="11"/>
  <c r="G51" i="11"/>
  <c r="F51" i="11"/>
  <c r="E51" i="11"/>
  <c r="H48" i="11"/>
  <c r="G48" i="11"/>
  <c r="H47" i="11"/>
  <c r="G47" i="11"/>
  <c r="F47" i="11"/>
  <c r="E47" i="11"/>
  <c r="H44" i="11"/>
  <c r="G44" i="11"/>
  <c r="G34" i="11"/>
  <c r="H34" i="11" s="1"/>
  <c r="F34" i="11"/>
  <c r="J34" i="11" s="1"/>
  <c r="I34" i="11" s="1"/>
  <c r="G33" i="11"/>
  <c r="H33" i="11" s="1"/>
  <c r="F33" i="11"/>
  <c r="J33" i="11" s="1"/>
  <c r="I33" i="11" s="1"/>
  <c r="G32" i="11"/>
  <c r="H32" i="11" s="1"/>
  <c r="F32" i="11"/>
  <c r="J32" i="11" s="1"/>
  <c r="K31" i="11"/>
  <c r="J31" i="11"/>
  <c r="K27" i="11"/>
  <c r="L55" i="11" s="1"/>
  <c r="J27" i="11"/>
  <c r="I55" i="11" s="1"/>
  <c r="G26" i="11"/>
  <c r="H54" i="11" s="1"/>
  <c r="F26" i="11"/>
  <c r="F54" i="11" s="1"/>
  <c r="J25" i="11"/>
  <c r="J53" i="11" s="1"/>
  <c r="G25" i="11"/>
  <c r="H25" i="11" s="1"/>
  <c r="F25" i="11"/>
  <c r="E53" i="11" s="1"/>
  <c r="K24" i="11"/>
  <c r="L52" i="11" s="1"/>
  <c r="F24" i="11"/>
  <c r="E52" i="11" s="1"/>
  <c r="BN20" i="11"/>
  <c r="I188" i="11" s="1"/>
  <c r="BM20" i="11"/>
  <c r="H188" i="11" s="1"/>
  <c r="BL20" i="11"/>
  <c r="G188" i="11" s="1"/>
  <c r="BK20" i="11"/>
  <c r="F188" i="11" s="1"/>
  <c r="BJ20" i="11"/>
  <c r="E188" i="11" s="1"/>
  <c r="BI20" i="11"/>
  <c r="D188" i="11" s="1"/>
  <c r="BH20" i="11"/>
  <c r="C188" i="11" s="1"/>
  <c r="BG20" i="11"/>
  <c r="B188" i="11" s="1"/>
  <c r="I20" i="11"/>
  <c r="H20" i="11"/>
  <c r="G20" i="11"/>
  <c r="BN19" i="11"/>
  <c r="I187" i="11" s="1"/>
  <c r="BM19" i="11"/>
  <c r="H187" i="11" s="1"/>
  <c r="BL19" i="11"/>
  <c r="G187" i="11" s="1"/>
  <c r="BK19" i="11"/>
  <c r="F187" i="11" s="1"/>
  <c r="BJ19" i="11"/>
  <c r="E187" i="11" s="1"/>
  <c r="BI19" i="11"/>
  <c r="D187" i="11" s="1"/>
  <c r="BH19" i="11"/>
  <c r="C187" i="11" s="1"/>
  <c r="BG19" i="11"/>
  <c r="B187" i="11" s="1"/>
  <c r="I19" i="11"/>
  <c r="H19" i="11"/>
  <c r="G19" i="11"/>
  <c r="BN18" i="11"/>
  <c r="I186" i="11" s="1"/>
  <c r="BM18" i="11"/>
  <c r="H186" i="11" s="1"/>
  <c r="BL18" i="11"/>
  <c r="G186" i="11" s="1"/>
  <c r="BK18" i="11"/>
  <c r="F186" i="11" s="1"/>
  <c r="BJ18" i="11"/>
  <c r="E186" i="11" s="1"/>
  <c r="BI18" i="11"/>
  <c r="D186" i="11" s="1"/>
  <c r="BH18" i="11"/>
  <c r="C186" i="11" s="1"/>
  <c r="BG18" i="11"/>
  <c r="B186" i="11" s="1"/>
  <c r="I18" i="11"/>
  <c r="H18" i="11"/>
  <c r="G18" i="11"/>
  <c r="J18" i="11" s="1"/>
  <c r="BN17" i="11"/>
  <c r="I185" i="11" s="1"/>
  <c r="BM17" i="11"/>
  <c r="H185" i="11" s="1"/>
  <c r="BL17" i="11"/>
  <c r="G185" i="11" s="1"/>
  <c r="BK17" i="11"/>
  <c r="F185" i="11" s="1"/>
  <c r="BJ17" i="11"/>
  <c r="E185" i="11" s="1"/>
  <c r="BI17" i="11"/>
  <c r="D185" i="11" s="1"/>
  <c r="BH17" i="11"/>
  <c r="C185" i="11" s="1"/>
  <c r="BG17" i="11"/>
  <c r="B185" i="11" s="1"/>
  <c r="I17" i="11"/>
  <c r="H17" i="11"/>
  <c r="G17" i="11"/>
  <c r="BN16" i="11"/>
  <c r="I184" i="11" s="1"/>
  <c r="BM16" i="11"/>
  <c r="H184" i="11" s="1"/>
  <c r="BL16" i="11"/>
  <c r="G184" i="11" s="1"/>
  <c r="BK16" i="11"/>
  <c r="F184" i="11" s="1"/>
  <c r="BJ16" i="11"/>
  <c r="E184" i="11" s="1"/>
  <c r="BI16" i="11"/>
  <c r="D184" i="11" s="1"/>
  <c r="BH16" i="11"/>
  <c r="C184" i="11" s="1"/>
  <c r="BG16" i="11"/>
  <c r="B184" i="11" s="1"/>
  <c r="I16" i="11"/>
  <c r="H16" i="11"/>
  <c r="G16" i="11"/>
  <c r="BN15" i="11"/>
  <c r="I183" i="11" s="1"/>
  <c r="BM15" i="11"/>
  <c r="H183" i="11" s="1"/>
  <c r="BL15" i="11"/>
  <c r="G183" i="11" s="1"/>
  <c r="BK15" i="11"/>
  <c r="F183" i="11" s="1"/>
  <c r="BJ15" i="11"/>
  <c r="E183" i="11" s="1"/>
  <c r="BI15" i="11"/>
  <c r="D183" i="11" s="1"/>
  <c r="BH15" i="11"/>
  <c r="C183" i="11" s="1"/>
  <c r="BG15" i="11"/>
  <c r="B183" i="11" s="1"/>
  <c r="I15" i="11"/>
  <c r="H15" i="11"/>
  <c r="G15" i="11"/>
  <c r="BN14" i="11"/>
  <c r="I182" i="11" s="1"/>
  <c r="BM14" i="11"/>
  <c r="H182" i="11" s="1"/>
  <c r="BL14" i="11"/>
  <c r="G182" i="11" s="1"/>
  <c r="BK14" i="11"/>
  <c r="F182" i="11" s="1"/>
  <c r="BJ14" i="11"/>
  <c r="E182" i="11" s="1"/>
  <c r="BI14" i="11"/>
  <c r="D182" i="11" s="1"/>
  <c r="BH14" i="11"/>
  <c r="C182" i="11" s="1"/>
  <c r="BG14" i="11"/>
  <c r="B182" i="11" s="1"/>
  <c r="I14" i="11"/>
  <c r="H14" i="11"/>
  <c r="G14" i="11"/>
  <c r="BN13" i="11"/>
  <c r="I181" i="11" s="1"/>
  <c r="BM13" i="11"/>
  <c r="H181" i="11" s="1"/>
  <c r="BL13" i="11"/>
  <c r="G181" i="11" s="1"/>
  <c r="BK13" i="11"/>
  <c r="F181" i="11" s="1"/>
  <c r="BJ13" i="11"/>
  <c r="E181" i="11" s="1"/>
  <c r="BI13" i="11"/>
  <c r="D181" i="11" s="1"/>
  <c r="BH13" i="11"/>
  <c r="C181" i="11" s="1"/>
  <c r="BG13" i="11"/>
  <c r="B181" i="11" s="1"/>
  <c r="I13" i="11"/>
  <c r="H13" i="11"/>
  <c r="G13" i="11"/>
  <c r="BN12" i="11"/>
  <c r="I180" i="11" s="1"/>
  <c r="BM12" i="11"/>
  <c r="H180" i="11" s="1"/>
  <c r="BL12" i="11"/>
  <c r="G180" i="11" s="1"/>
  <c r="BK12" i="11"/>
  <c r="F180" i="11" s="1"/>
  <c r="BJ12" i="11"/>
  <c r="E180" i="11" s="1"/>
  <c r="BI12" i="11"/>
  <c r="D180" i="11" s="1"/>
  <c r="BH12" i="11"/>
  <c r="C180" i="11" s="1"/>
  <c r="BG12" i="11"/>
  <c r="B180" i="11" s="1"/>
  <c r="I12" i="11"/>
  <c r="H12" i="11"/>
  <c r="G12" i="11"/>
  <c r="BN11" i="11"/>
  <c r="I179" i="11" s="1"/>
  <c r="BM11" i="11"/>
  <c r="H179" i="11" s="1"/>
  <c r="BL11" i="11"/>
  <c r="G179" i="11" s="1"/>
  <c r="BK11" i="11"/>
  <c r="F179" i="11" s="1"/>
  <c r="BJ11" i="11"/>
  <c r="E179" i="11" s="1"/>
  <c r="BI11" i="11"/>
  <c r="D179" i="11" s="1"/>
  <c r="BH11" i="11"/>
  <c r="C179" i="11" s="1"/>
  <c r="BG11" i="11"/>
  <c r="B179" i="11" s="1"/>
  <c r="I11" i="11"/>
  <c r="H11" i="11"/>
  <c r="G11" i="11"/>
  <c r="B205" i="10"/>
  <c r="R178" i="10"/>
  <c r="S178" i="10"/>
  <c r="T178" i="10"/>
  <c r="U178" i="10"/>
  <c r="U206" i="10" s="1"/>
  <c r="V178" i="10"/>
  <c r="W178" i="10"/>
  <c r="X178" i="10"/>
  <c r="Y178" i="10"/>
  <c r="Y206" i="10" s="1"/>
  <c r="R179" i="10"/>
  <c r="S179" i="10"/>
  <c r="T179" i="10"/>
  <c r="U179" i="10"/>
  <c r="U207" i="10" s="1"/>
  <c r="V179" i="10"/>
  <c r="W179" i="10"/>
  <c r="X179" i="10"/>
  <c r="Y179" i="10"/>
  <c r="Y207" i="10" s="1"/>
  <c r="R180" i="10"/>
  <c r="S180" i="10"/>
  <c r="T180" i="10"/>
  <c r="U180" i="10"/>
  <c r="U208" i="10" s="1"/>
  <c r="V180" i="10"/>
  <c r="W180" i="10"/>
  <c r="X180" i="10"/>
  <c r="Y180" i="10"/>
  <c r="Y208" i="10" s="1"/>
  <c r="R181" i="10"/>
  <c r="S181" i="10"/>
  <c r="T181" i="10"/>
  <c r="U181" i="10"/>
  <c r="U209" i="10" s="1"/>
  <c r="V181" i="10"/>
  <c r="W181" i="10"/>
  <c r="X181" i="10"/>
  <c r="Y181" i="10"/>
  <c r="Y209" i="10" s="1"/>
  <c r="R182" i="10"/>
  <c r="S182" i="10"/>
  <c r="T182" i="10"/>
  <c r="U182" i="10"/>
  <c r="U210" i="10" s="1"/>
  <c r="V182" i="10"/>
  <c r="W182" i="10"/>
  <c r="X182" i="10"/>
  <c r="Y182" i="10"/>
  <c r="Y210" i="10" s="1"/>
  <c r="R183" i="10"/>
  <c r="S183" i="10"/>
  <c r="T183" i="10"/>
  <c r="U183" i="10"/>
  <c r="U211" i="10" s="1"/>
  <c r="V183" i="10"/>
  <c r="W183" i="10"/>
  <c r="X183" i="10"/>
  <c r="Y183" i="10"/>
  <c r="Y211" i="10" s="1"/>
  <c r="R184" i="10"/>
  <c r="S184" i="10"/>
  <c r="T184" i="10"/>
  <c r="U184" i="10"/>
  <c r="U212" i="10" s="1"/>
  <c r="V184" i="10"/>
  <c r="W184" i="10"/>
  <c r="X184" i="10"/>
  <c r="Y184" i="10"/>
  <c r="Y212" i="10" s="1"/>
  <c r="R185" i="10"/>
  <c r="S185" i="10"/>
  <c r="T185" i="10"/>
  <c r="U185" i="10"/>
  <c r="U213" i="10" s="1"/>
  <c r="V185" i="10"/>
  <c r="W185" i="10"/>
  <c r="X185" i="10"/>
  <c r="Y185" i="10"/>
  <c r="Y213" i="10" s="1"/>
  <c r="R186" i="10"/>
  <c r="S186" i="10"/>
  <c r="T186" i="10"/>
  <c r="U186" i="10"/>
  <c r="U214" i="10" s="1"/>
  <c r="V186" i="10"/>
  <c r="W186" i="10"/>
  <c r="X186" i="10"/>
  <c r="Y186" i="10"/>
  <c r="Y214" i="10" s="1"/>
  <c r="S177" i="10"/>
  <c r="T177" i="10"/>
  <c r="U177" i="10"/>
  <c r="V177" i="10"/>
  <c r="W177" i="10"/>
  <c r="X177" i="10"/>
  <c r="Y177" i="10"/>
  <c r="R177" i="10"/>
  <c r="J178" i="10"/>
  <c r="K178" i="10"/>
  <c r="L178" i="10"/>
  <c r="L206" i="10" s="1"/>
  <c r="M178" i="10"/>
  <c r="M192" i="10" s="1"/>
  <c r="N178" i="10"/>
  <c r="O178" i="10"/>
  <c r="P178" i="10"/>
  <c r="P206" i="10" s="1"/>
  <c r="Q178" i="10"/>
  <c r="Q206" i="10" s="1"/>
  <c r="J179" i="10"/>
  <c r="K179" i="10"/>
  <c r="L179" i="10"/>
  <c r="L207" i="10" s="1"/>
  <c r="M179" i="10"/>
  <c r="M207" i="10" s="1"/>
  <c r="N179" i="10"/>
  <c r="O179" i="10"/>
  <c r="P179" i="10"/>
  <c r="P207" i="10" s="1"/>
  <c r="Q179" i="10"/>
  <c r="Q207" i="10" s="1"/>
  <c r="J180" i="10"/>
  <c r="K180" i="10"/>
  <c r="L180" i="10"/>
  <c r="L208" i="10" s="1"/>
  <c r="M180" i="10"/>
  <c r="M208" i="10" s="1"/>
  <c r="N180" i="10"/>
  <c r="O180" i="10"/>
  <c r="P180" i="10"/>
  <c r="P208" i="10" s="1"/>
  <c r="Q180" i="10"/>
  <c r="Q208" i="10" s="1"/>
  <c r="J181" i="10"/>
  <c r="K181" i="10"/>
  <c r="L181" i="10"/>
  <c r="L209" i="10" s="1"/>
  <c r="M181" i="10"/>
  <c r="M209" i="10" s="1"/>
  <c r="N181" i="10"/>
  <c r="O181" i="10"/>
  <c r="P181" i="10"/>
  <c r="P209" i="10" s="1"/>
  <c r="Q181" i="10"/>
  <c r="Q209" i="10" s="1"/>
  <c r="J182" i="10"/>
  <c r="K182" i="10"/>
  <c r="L182" i="10"/>
  <c r="L210" i="10" s="1"/>
  <c r="M182" i="10"/>
  <c r="M196" i="10" s="1"/>
  <c r="N182" i="10"/>
  <c r="O182" i="10"/>
  <c r="P182" i="10"/>
  <c r="P210" i="10" s="1"/>
  <c r="Q182" i="10"/>
  <c r="Q210" i="10" s="1"/>
  <c r="J183" i="10"/>
  <c r="K183" i="10"/>
  <c r="L183" i="10"/>
  <c r="L211" i="10" s="1"/>
  <c r="M183" i="10"/>
  <c r="M211" i="10" s="1"/>
  <c r="N183" i="10"/>
  <c r="O183" i="10"/>
  <c r="P183" i="10"/>
  <c r="P211" i="10" s="1"/>
  <c r="Q183" i="10"/>
  <c r="Q211" i="10" s="1"/>
  <c r="J184" i="10"/>
  <c r="K184" i="10"/>
  <c r="L184" i="10"/>
  <c r="L212" i="10" s="1"/>
  <c r="M184" i="10"/>
  <c r="M212" i="10" s="1"/>
  <c r="N184" i="10"/>
  <c r="O184" i="10"/>
  <c r="P184" i="10"/>
  <c r="P212" i="10" s="1"/>
  <c r="Q184" i="10"/>
  <c r="Q212" i="10" s="1"/>
  <c r="J185" i="10"/>
  <c r="K185" i="10"/>
  <c r="L185" i="10"/>
  <c r="L213" i="10" s="1"/>
  <c r="M185" i="10"/>
  <c r="M213" i="10" s="1"/>
  <c r="N185" i="10"/>
  <c r="O185" i="10"/>
  <c r="P185" i="10"/>
  <c r="P213" i="10" s="1"/>
  <c r="Q185" i="10"/>
  <c r="Q213" i="10" s="1"/>
  <c r="J186" i="10"/>
  <c r="K186" i="10"/>
  <c r="L186" i="10"/>
  <c r="L214" i="10" s="1"/>
  <c r="M186" i="10"/>
  <c r="M200" i="10" s="1"/>
  <c r="N186" i="10"/>
  <c r="O186" i="10"/>
  <c r="P186" i="10"/>
  <c r="P214" i="10" s="1"/>
  <c r="Q186" i="10"/>
  <c r="Q214" i="10" s="1"/>
  <c r="K177" i="10"/>
  <c r="L177" i="10"/>
  <c r="M177" i="10"/>
  <c r="N177" i="10"/>
  <c r="O177" i="10"/>
  <c r="P177" i="10"/>
  <c r="Q177" i="10"/>
  <c r="J177" i="10"/>
  <c r="B178" i="10"/>
  <c r="C178" i="10"/>
  <c r="D178" i="10"/>
  <c r="E178" i="10"/>
  <c r="F178" i="10"/>
  <c r="G178" i="10"/>
  <c r="H178" i="10"/>
  <c r="I178" i="10"/>
  <c r="B179" i="10"/>
  <c r="C179" i="10"/>
  <c r="D179" i="10"/>
  <c r="E179" i="10"/>
  <c r="E193" i="10" s="1"/>
  <c r="F179" i="10"/>
  <c r="G179" i="10"/>
  <c r="H179" i="10"/>
  <c r="I179" i="10"/>
  <c r="B180" i="10"/>
  <c r="C180" i="10"/>
  <c r="D180" i="10"/>
  <c r="D194" i="10" s="1"/>
  <c r="E180" i="10"/>
  <c r="E194" i="10" s="1"/>
  <c r="F180" i="10"/>
  <c r="G180" i="10"/>
  <c r="H180" i="10"/>
  <c r="I180" i="10"/>
  <c r="B181" i="10"/>
  <c r="C181" i="10"/>
  <c r="D181" i="10"/>
  <c r="E181" i="10"/>
  <c r="F181" i="10"/>
  <c r="G181" i="10"/>
  <c r="H181" i="10"/>
  <c r="I181" i="10"/>
  <c r="B182" i="10"/>
  <c r="C182" i="10"/>
  <c r="D182" i="10"/>
  <c r="E182" i="10"/>
  <c r="F182" i="10"/>
  <c r="G182" i="10"/>
  <c r="H182" i="10"/>
  <c r="I182" i="10"/>
  <c r="B183" i="10"/>
  <c r="C183" i="10"/>
  <c r="D183" i="10"/>
  <c r="E183" i="10"/>
  <c r="E197" i="10" s="1"/>
  <c r="F183" i="10"/>
  <c r="G183" i="10"/>
  <c r="H183" i="10"/>
  <c r="I183" i="10"/>
  <c r="B184" i="10"/>
  <c r="C184" i="10"/>
  <c r="D184" i="10"/>
  <c r="D198" i="10" s="1"/>
  <c r="E184" i="10"/>
  <c r="E198" i="10" s="1"/>
  <c r="F184" i="10"/>
  <c r="G184" i="10"/>
  <c r="H184" i="10"/>
  <c r="I184" i="10"/>
  <c r="B185" i="10"/>
  <c r="C185" i="10"/>
  <c r="D185" i="10"/>
  <c r="E185" i="10"/>
  <c r="F185" i="10"/>
  <c r="G185" i="10"/>
  <c r="H185" i="10"/>
  <c r="I185" i="10"/>
  <c r="B186" i="10"/>
  <c r="C186" i="10"/>
  <c r="D186" i="10"/>
  <c r="E186" i="10"/>
  <c r="F186" i="10"/>
  <c r="G186" i="10"/>
  <c r="H186" i="10"/>
  <c r="I186" i="10"/>
  <c r="C177" i="10"/>
  <c r="D177" i="10"/>
  <c r="E177" i="10"/>
  <c r="F177" i="10"/>
  <c r="F205" i="10" s="1"/>
  <c r="G177" i="10"/>
  <c r="H177" i="10"/>
  <c r="I177" i="10"/>
  <c r="B177" i="10"/>
  <c r="B191" i="10" s="1"/>
  <c r="E157" i="10"/>
  <c r="F157" i="10"/>
  <c r="G157" i="10"/>
  <c r="H157" i="10"/>
  <c r="I157" i="10"/>
  <c r="J157" i="10"/>
  <c r="K157" i="10"/>
  <c r="L157" i="10"/>
  <c r="E158" i="10"/>
  <c r="F158" i="10"/>
  <c r="G158" i="10"/>
  <c r="H158" i="10"/>
  <c r="I158" i="10"/>
  <c r="J158" i="10"/>
  <c r="K158" i="10"/>
  <c r="L158" i="10"/>
  <c r="E159" i="10"/>
  <c r="F159" i="10"/>
  <c r="G159" i="10"/>
  <c r="H159" i="10"/>
  <c r="I159" i="10"/>
  <c r="J159" i="10"/>
  <c r="K159" i="10"/>
  <c r="L159" i="10"/>
  <c r="L156" i="10"/>
  <c r="K156" i="10"/>
  <c r="J156" i="10"/>
  <c r="I156" i="10"/>
  <c r="H156" i="10"/>
  <c r="G156" i="10"/>
  <c r="F156" i="10"/>
  <c r="E156" i="10"/>
  <c r="E153" i="10"/>
  <c r="F153" i="10"/>
  <c r="G153" i="10"/>
  <c r="H153" i="10"/>
  <c r="I153" i="10"/>
  <c r="J153" i="10"/>
  <c r="K153" i="10"/>
  <c r="L153" i="10"/>
  <c r="E154" i="10"/>
  <c r="F154" i="10"/>
  <c r="G154" i="10"/>
  <c r="H154" i="10"/>
  <c r="I154" i="10"/>
  <c r="J154" i="10"/>
  <c r="K154" i="10"/>
  <c r="L154" i="10"/>
  <c r="E155" i="10"/>
  <c r="F155" i="10"/>
  <c r="G155" i="10"/>
  <c r="H155" i="10"/>
  <c r="I155" i="10"/>
  <c r="J155" i="10"/>
  <c r="K155" i="10"/>
  <c r="L155" i="10"/>
  <c r="L152" i="10"/>
  <c r="K152" i="10"/>
  <c r="J152" i="10"/>
  <c r="I152" i="10"/>
  <c r="H152" i="10"/>
  <c r="G152" i="10"/>
  <c r="F152" i="10"/>
  <c r="E152" i="10"/>
  <c r="E149" i="10"/>
  <c r="F149" i="10"/>
  <c r="G149" i="10"/>
  <c r="H149" i="10"/>
  <c r="I149" i="10"/>
  <c r="J149" i="10"/>
  <c r="K149" i="10"/>
  <c r="L149" i="10"/>
  <c r="E150" i="10"/>
  <c r="F150" i="10"/>
  <c r="G150" i="10"/>
  <c r="H150" i="10"/>
  <c r="I150" i="10"/>
  <c r="J150" i="10"/>
  <c r="K150" i="10"/>
  <c r="L150" i="10"/>
  <c r="E151" i="10"/>
  <c r="F151" i="10"/>
  <c r="G151" i="10"/>
  <c r="H151" i="10"/>
  <c r="I151" i="10"/>
  <c r="J151" i="10"/>
  <c r="K151" i="10"/>
  <c r="L151" i="10"/>
  <c r="L148" i="10"/>
  <c r="K148" i="10"/>
  <c r="J148" i="10"/>
  <c r="I148" i="10"/>
  <c r="E148" i="10"/>
  <c r="H148" i="10"/>
  <c r="G148" i="10"/>
  <c r="F148" i="10"/>
  <c r="E105" i="10"/>
  <c r="F105" i="10"/>
  <c r="G105" i="10"/>
  <c r="H105" i="10"/>
  <c r="I105" i="10"/>
  <c r="J105" i="10"/>
  <c r="K105" i="10"/>
  <c r="L105" i="10"/>
  <c r="E106" i="10"/>
  <c r="F106" i="10"/>
  <c r="G106" i="10"/>
  <c r="H106" i="10"/>
  <c r="I106" i="10"/>
  <c r="J106" i="10"/>
  <c r="K106" i="10"/>
  <c r="L106" i="10"/>
  <c r="E107" i="10"/>
  <c r="F107" i="10"/>
  <c r="G107" i="10"/>
  <c r="H107" i="10"/>
  <c r="I107" i="10"/>
  <c r="J107" i="10"/>
  <c r="K107" i="10"/>
  <c r="L107" i="10"/>
  <c r="L104" i="10"/>
  <c r="K104" i="10"/>
  <c r="J104" i="10"/>
  <c r="I104" i="10"/>
  <c r="H104" i="10"/>
  <c r="G104" i="10"/>
  <c r="F104" i="10"/>
  <c r="E104" i="10"/>
  <c r="E101" i="10"/>
  <c r="F101" i="10"/>
  <c r="G101" i="10"/>
  <c r="H101" i="10"/>
  <c r="I101" i="10"/>
  <c r="J101" i="10"/>
  <c r="K101" i="10"/>
  <c r="L101" i="10"/>
  <c r="E102" i="10"/>
  <c r="F102" i="10"/>
  <c r="G102" i="10"/>
  <c r="H102" i="10"/>
  <c r="I102" i="10"/>
  <c r="J102" i="10"/>
  <c r="K102" i="10"/>
  <c r="L102" i="10"/>
  <c r="E103" i="10"/>
  <c r="F103" i="10"/>
  <c r="G103" i="10"/>
  <c r="H103" i="10"/>
  <c r="I103" i="10"/>
  <c r="J103" i="10"/>
  <c r="K103" i="10"/>
  <c r="L103" i="10"/>
  <c r="L100" i="10"/>
  <c r="K100" i="10"/>
  <c r="J100" i="10"/>
  <c r="I100" i="10"/>
  <c r="F100" i="10"/>
  <c r="E100" i="10"/>
  <c r="H100" i="10"/>
  <c r="G100" i="10"/>
  <c r="E97" i="10"/>
  <c r="F97" i="10"/>
  <c r="G97" i="10"/>
  <c r="H97" i="10"/>
  <c r="I97" i="10"/>
  <c r="J97" i="10"/>
  <c r="K97" i="10"/>
  <c r="L97" i="10"/>
  <c r="E98" i="10"/>
  <c r="F98" i="10"/>
  <c r="G98" i="10"/>
  <c r="H98" i="10"/>
  <c r="I98" i="10"/>
  <c r="J98" i="10"/>
  <c r="K98" i="10"/>
  <c r="L98" i="10"/>
  <c r="E99" i="10"/>
  <c r="F99" i="10"/>
  <c r="G99" i="10"/>
  <c r="H99" i="10"/>
  <c r="I99" i="10"/>
  <c r="J99" i="10"/>
  <c r="K99" i="10"/>
  <c r="L99" i="10"/>
  <c r="L96" i="10"/>
  <c r="K96" i="10"/>
  <c r="J96" i="10"/>
  <c r="I96" i="10"/>
  <c r="H96" i="10"/>
  <c r="G96" i="10"/>
  <c r="F96" i="10"/>
  <c r="E96" i="10"/>
  <c r="E44" i="10"/>
  <c r="G63" i="10"/>
  <c r="R206" i="10"/>
  <c r="S206" i="10"/>
  <c r="T206" i="10"/>
  <c r="V206" i="10"/>
  <c r="W206" i="10"/>
  <c r="X206" i="10"/>
  <c r="R207" i="10"/>
  <c r="S207" i="10"/>
  <c r="T207" i="10"/>
  <c r="V207" i="10"/>
  <c r="W207" i="10"/>
  <c r="X207" i="10"/>
  <c r="R208" i="10"/>
  <c r="S208" i="10"/>
  <c r="T208" i="10"/>
  <c r="V208" i="10"/>
  <c r="AD208" i="10" s="1"/>
  <c r="W208" i="10"/>
  <c r="X208" i="10"/>
  <c r="R209" i="10"/>
  <c r="S209" i="10"/>
  <c r="T209" i="10"/>
  <c r="V209" i="10"/>
  <c r="W209" i="10"/>
  <c r="X209" i="10"/>
  <c r="R210" i="10"/>
  <c r="S210" i="10"/>
  <c r="T210" i="10"/>
  <c r="V210" i="10"/>
  <c r="W210" i="10"/>
  <c r="X210" i="10"/>
  <c r="R211" i="10"/>
  <c r="S211" i="10"/>
  <c r="T211" i="10"/>
  <c r="V211" i="10"/>
  <c r="W211" i="10"/>
  <c r="X211" i="10"/>
  <c r="R212" i="10"/>
  <c r="S212" i="10"/>
  <c r="T212" i="10"/>
  <c r="V212" i="10"/>
  <c r="W212" i="10"/>
  <c r="X212" i="10"/>
  <c r="R213" i="10"/>
  <c r="S213" i="10"/>
  <c r="T213" i="10"/>
  <c r="V213" i="10"/>
  <c r="W213" i="10"/>
  <c r="X213" i="10"/>
  <c r="R214" i="10"/>
  <c r="S214" i="10"/>
  <c r="T214" i="10"/>
  <c r="V214" i="10"/>
  <c r="W214" i="10"/>
  <c r="X214" i="10"/>
  <c r="Y205" i="10"/>
  <c r="X205" i="10"/>
  <c r="W205" i="10"/>
  <c r="V205" i="10"/>
  <c r="R205" i="10"/>
  <c r="S205" i="10"/>
  <c r="T205" i="10"/>
  <c r="U205" i="10"/>
  <c r="J206" i="10"/>
  <c r="K206" i="10"/>
  <c r="N206" i="10"/>
  <c r="O206" i="10"/>
  <c r="J207" i="10"/>
  <c r="K207" i="10"/>
  <c r="N207" i="10"/>
  <c r="O207" i="10"/>
  <c r="J208" i="10"/>
  <c r="K208" i="10"/>
  <c r="N208" i="10"/>
  <c r="O208" i="10"/>
  <c r="J209" i="10"/>
  <c r="K209" i="10"/>
  <c r="N209" i="10"/>
  <c r="O209" i="10"/>
  <c r="J210" i="10"/>
  <c r="K210" i="10"/>
  <c r="N210" i="10"/>
  <c r="O210" i="10"/>
  <c r="J211" i="10"/>
  <c r="K211" i="10"/>
  <c r="N211" i="10"/>
  <c r="O211" i="10"/>
  <c r="J212" i="10"/>
  <c r="K212" i="10"/>
  <c r="N212" i="10"/>
  <c r="O212" i="10"/>
  <c r="J213" i="10"/>
  <c r="K213" i="10"/>
  <c r="N213" i="10"/>
  <c r="O213" i="10"/>
  <c r="J214" i="10"/>
  <c r="K214" i="10"/>
  <c r="N214" i="10"/>
  <c r="O214" i="10"/>
  <c r="Q205" i="10"/>
  <c r="N205" i="10"/>
  <c r="P205" i="10"/>
  <c r="O205" i="10"/>
  <c r="M205" i="10"/>
  <c r="J205" i="10"/>
  <c r="L205" i="10"/>
  <c r="K205" i="10"/>
  <c r="B206" i="10"/>
  <c r="C206" i="10"/>
  <c r="D206" i="10"/>
  <c r="E206" i="10"/>
  <c r="F206" i="10"/>
  <c r="G206" i="10"/>
  <c r="H206" i="10"/>
  <c r="I206" i="10"/>
  <c r="B207" i="10"/>
  <c r="Z207" i="10" s="1"/>
  <c r="C207" i="10"/>
  <c r="AA207" i="10" s="1"/>
  <c r="D207" i="10"/>
  <c r="E207" i="10"/>
  <c r="F207" i="10"/>
  <c r="G207" i="10"/>
  <c r="H207" i="10"/>
  <c r="I207" i="10"/>
  <c r="B208" i="10"/>
  <c r="C208" i="10"/>
  <c r="D208" i="10"/>
  <c r="E208" i="10"/>
  <c r="F208" i="10"/>
  <c r="G208" i="10"/>
  <c r="H208" i="10"/>
  <c r="I208" i="10"/>
  <c r="B209" i="10"/>
  <c r="Z209" i="10" s="1"/>
  <c r="C209" i="10"/>
  <c r="AA209" i="10" s="1"/>
  <c r="D209" i="10"/>
  <c r="E209" i="10"/>
  <c r="F209" i="10"/>
  <c r="G209" i="10"/>
  <c r="H209" i="10"/>
  <c r="I209" i="10"/>
  <c r="B210" i="10"/>
  <c r="C210" i="10"/>
  <c r="D210" i="10"/>
  <c r="E210" i="10"/>
  <c r="F210" i="10"/>
  <c r="G210" i="10"/>
  <c r="H210" i="10"/>
  <c r="I210" i="10"/>
  <c r="B211" i="10"/>
  <c r="Z211" i="10" s="1"/>
  <c r="C211" i="10"/>
  <c r="AA211" i="10" s="1"/>
  <c r="D211" i="10"/>
  <c r="E211" i="10"/>
  <c r="F211" i="10"/>
  <c r="G211" i="10"/>
  <c r="H211" i="10"/>
  <c r="I211" i="10"/>
  <c r="B212" i="10"/>
  <c r="C212" i="10"/>
  <c r="D212" i="10"/>
  <c r="E212" i="10"/>
  <c r="F212" i="10"/>
  <c r="G212" i="10"/>
  <c r="H212" i="10"/>
  <c r="I212" i="10"/>
  <c r="B213" i="10"/>
  <c r="Z213" i="10" s="1"/>
  <c r="C213" i="10"/>
  <c r="AA213" i="10" s="1"/>
  <c r="D213" i="10"/>
  <c r="E213" i="10"/>
  <c r="F213" i="10"/>
  <c r="G213" i="10"/>
  <c r="H213" i="10"/>
  <c r="I213" i="10"/>
  <c r="B214" i="10"/>
  <c r="C214" i="10"/>
  <c r="D214" i="10"/>
  <c r="E214" i="10"/>
  <c r="F214" i="10"/>
  <c r="AD214" i="10" s="1"/>
  <c r="G214" i="10"/>
  <c r="H214" i="10"/>
  <c r="I214" i="10"/>
  <c r="I205" i="10"/>
  <c r="AG205" i="10" s="1"/>
  <c r="H205" i="10"/>
  <c r="AF205" i="10" s="1"/>
  <c r="G205" i="10"/>
  <c r="E205" i="10"/>
  <c r="D205" i="10"/>
  <c r="C205" i="10"/>
  <c r="J192" i="10"/>
  <c r="K192" i="10"/>
  <c r="L192" i="10"/>
  <c r="O192" i="10"/>
  <c r="J193" i="10"/>
  <c r="K193" i="10"/>
  <c r="O193" i="10"/>
  <c r="J194" i="10"/>
  <c r="K194" i="10"/>
  <c r="O194" i="10"/>
  <c r="J195" i="10"/>
  <c r="K195" i="10"/>
  <c r="L195" i="10"/>
  <c r="M195" i="10"/>
  <c r="O195" i="10"/>
  <c r="J196" i="10"/>
  <c r="K196" i="10"/>
  <c r="L196" i="10"/>
  <c r="O196" i="10"/>
  <c r="J197" i="10"/>
  <c r="K197" i="10"/>
  <c r="O197" i="10"/>
  <c r="J198" i="10"/>
  <c r="K198" i="10"/>
  <c r="O198" i="10"/>
  <c r="J199" i="10"/>
  <c r="K199" i="10"/>
  <c r="L199" i="10"/>
  <c r="M199" i="10"/>
  <c r="O199" i="10"/>
  <c r="J200" i="10"/>
  <c r="K200" i="10"/>
  <c r="L200" i="10"/>
  <c r="O200" i="10"/>
  <c r="M191" i="10"/>
  <c r="L191" i="10"/>
  <c r="K191" i="10"/>
  <c r="J191" i="10"/>
  <c r="B192" i="10"/>
  <c r="C192" i="10"/>
  <c r="D192" i="10"/>
  <c r="E192" i="10"/>
  <c r="G192" i="10"/>
  <c r="W192" i="10" s="1"/>
  <c r="B193" i="10"/>
  <c r="C193" i="10"/>
  <c r="D193" i="10"/>
  <c r="G193" i="10"/>
  <c r="W193" i="10" s="1"/>
  <c r="B194" i="10"/>
  <c r="R194" i="10" s="1"/>
  <c r="C194" i="10"/>
  <c r="G194" i="10"/>
  <c r="B195" i="10"/>
  <c r="C195" i="10"/>
  <c r="S195" i="10" s="1"/>
  <c r="D195" i="10"/>
  <c r="E195" i="10"/>
  <c r="G195" i="10"/>
  <c r="B196" i="10"/>
  <c r="R196" i="10" s="1"/>
  <c r="C196" i="10"/>
  <c r="D196" i="10"/>
  <c r="E196" i="10"/>
  <c r="G196" i="10"/>
  <c r="W196" i="10" s="1"/>
  <c r="B197" i="10"/>
  <c r="C197" i="10"/>
  <c r="D197" i="10"/>
  <c r="G197" i="10"/>
  <c r="B198" i="10"/>
  <c r="C198" i="10"/>
  <c r="G198" i="10"/>
  <c r="B199" i="10"/>
  <c r="C199" i="10"/>
  <c r="S199" i="10" s="1"/>
  <c r="D199" i="10"/>
  <c r="E199" i="10"/>
  <c r="G199" i="10"/>
  <c r="B200" i="10"/>
  <c r="R200" i="10" s="1"/>
  <c r="C200" i="10"/>
  <c r="D200" i="10"/>
  <c r="E200" i="10"/>
  <c r="G200" i="10"/>
  <c r="I191" i="10"/>
  <c r="E191" i="10"/>
  <c r="U191" i="10" s="1"/>
  <c r="D191" i="10"/>
  <c r="C191" i="10"/>
  <c r="F170" i="10"/>
  <c r="H170" i="10"/>
  <c r="H171" i="10"/>
  <c r="H172" i="10"/>
  <c r="G171" i="10"/>
  <c r="G172" i="10"/>
  <c r="G170" i="10"/>
  <c r="F164" i="10"/>
  <c r="H164" i="10"/>
  <c r="H192" i="10" s="1"/>
  <c r="H165" i="10"/>
  <c r="G165" i="10"/>
  <c r="O191" i="10" s="1"/>
  <c r="G164" i="10"/>
  <c r="G191" i="10" s="1"/>
  <c r="G116" i="10"/>
  <c r="H116" i="10"/>
  <c r="I116" i="10"/>
  <c r="G117" i="10"/>
  <c r="H117" i="10"/>
  <c r="I117" i="10"/>
  <c r="G118" i="10"/>
  <c r="H118" i="10"/>
  <c r="I118" i="10"/>
  <c r="G119" i="10"/>
  <c r="H119" i="10"/>
  <c r="I119" i="10"/>
  <c r="G120" i="10"/>
  <c r="H120" i="10"/>
  <c r="I120" i="10"/>
  <c r="G121" i="10"/>
  <c r="H121" i="10"/>
  <c r="I121" i="10"/>
  <c r="G122" i="10"/>
  <c r="H122" i="10"/>
  <c r="I122" i="10"/>
  <c r="G123" i="10"/>
  <c r="H123" i="10"/>
  <c r="I123" i="10"/>
  <c r="G124" i="10"/>
  <c r="H124" i="10"/>
  <c r="I124" i="10"/>
  <c r="H115" i="10"/>
  <c r="I115" i="10"/>
  <c r="G115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H63" i="10"/>
  <c r="I63" i="10"/>
  <c r="G11" i="10"/>
  <c r="G138" i="10"/>
  <c r="F138" i="10"/>
  <c r="J138" i="10" s="1"/>
  <c r="I138" i="10" s="1"/>
  <c r="E138" i="10"/>
  <c r="G137" i="10"/>
  <c r="K137" i="10" s="1"/>
  <c r="L137" i="10" s="1"/>
  <c r="F137" i="10"/>
  <c r="G136" i="10"/>
  <c r="K136" i="10" s="1"/>
  <c r="L136" i="10" s="1"/>
  <c r="F136" i="10"/>
  <c r="J136" i="10" s="1"/>
  <c r="K135" i="10"/>
  <c r="J135" i="10"/>
  <c r="K131" i="10"/>
  <c r="J131" i="10"/>
  <c r="G130" i="10"/>
  <c r="F130" i="10"/>
  <c r="G129" i="10"/>
  <c r="H129" i="10" s="1"/>
  <c r="F129" i="10"/>
  <c r="K128" i="10"/>
  <c r="F128" i="10"/>
  <c r="BN124" i="10"/>
  <c r="BM124" i="10"/>
  <c r="BL124" i="10"/>
  <c r="BK124" i="10"/>
  <c r="BJ124" i="10"/>
  <c r="BI124" i="10"/>
  <c r="BH124" i="10"/>
  <c r="BG124" i="10"/>
  <c r="BN123" i="10"/>
  <c r="BM123" i="10"/>
  <c r="BL123" i="10"/>
  <c r="BK123" i="10"/>
  <c r="BJ123" i="10"/>
  <c r="BI123" i="10"/>
  <c r="BH123" i="10"/>
  <c r="BG123" i="10"/>
  <c r="BN122" i="10"/>
  <c r="BM122" i="10"/>
  <c r="BL122" i="10"/>
  <c r="BK122" i="10"/>
  <c r="BJ122" i="10"/>
  <c r="BI122" i="10"/>
  <c r="BH122" i="10"/>
  <c r="BG122" i="10"/>
  <c r="BN121" i="10"/>
  <c r="BM121" i="10"/>
  <c r="BL121" i="10"/>
  <c r="BK121" i="10"/>
  <c r="BJ121" i="10"/>
  <c r="BI121" i="10"/>
  <c r="BH121" i="10"/>
  <c r="BG121" i="10"/>
  <c r="BN120" i="10"/>
  <c r="BM120" i="10"/>
  <c r="BL120" i="10"/>
  <c r="BK120" i="10"/>
  <c r="BJ120" i="10"/>
  <c r="BI120" i="10"/>
  <c r="BH120" i="10"/>
  <c r="BG120" i="10"/>
  <c r="BN119" i="10"/>
  <c r="BM119" i="10"/>
  <c r="BL119" i="10"/>
  <c r="BK119" i="10"/>
  <c r="BJ119" i="10"/>
  <c r="BI119" i="10"/>
  <c r="BH119" i="10"/>
  <c r="BO119" i="10" s="1"/>
  <c r="BG119" i="10"/>
  <c r="BN118" i="10"/>
  <c r="BM118" i="10"/>
  <c r="BL118" i="10"/>
  <c r="BK118" i="10"/>
  <c r="BJ118" i="10"/>
  <c r="BI118" i="10"/>
  <c r="BH118" i="10"/>
  <c r="BG118" i="10"/>
  <c r="BN117" i="10"/>
  <c r="BM117" i="10"/>
  <c r="BL117" i="10"/>
  <c r="BK117" i="10"/>
  <c r="BJ117" i="10"/>
  <c r="BI117" i="10"/>
  <c r="BH117" i="10"/>
  <c r="BG117" i="10"/>
  <c r="BN116" i="10"/>
  <c r="BM116" i="10"/>
  <c r="BL116" i="10"/>
  <c r="BQ116" i="10" s="1"/>
  <c r="BK116" i="10"/>
  <c r="BJ116" i="10"/>
  <c r="BI116" i="10"/>
  <c r="BH116" i="10"/>
  <c r="BG116" i="10"/>
  <c r="BN115" i="10"/>
  <c r="BM115" i="10"/>
  <c r="BL115" i="10"/>
  <c r="BK115" i="10"/>
  <c r="BJ115" i="10"/>
  <c r="BI115" i="10"/>
  <c r="BP115" i="10" s="1"/>
  <c r="BH115" i="10"/>
  <c r="BO115" i="10" s="1"/>
  <c r="BG115" i="10"/>
  <c r="G86" i="10"/>
  <c r="K86" i="10" s="1"/>
  <c r="L86" i="10" s="1"/>
  <c r="F86" i="10"/>
  <c r="J86" i="10" s="1"/>
  <c r="I86" i="10" s="1"/>
  <c r="G85" i="10"/>
  <c r="K85" i="10" s="1"/>
  <c r="L85" i="10" s="1"/>
  <c r="F85" i="10"/>
  <c r="J85" i="10" s="1"/>
  <c r="I85" i="10" s="1"/>
  <c r="E85" i="10"/>
  <c r="G84" i="10"/>
  <c r="K84" i="10" s="1"/>
  <c r="L84" i="10" s="1"/>
  <c r="F84" i="10"/>
  <c r="J84" i="10" s="1"/>
  <c r="K83" i="10"/>
  <c r="J83" i="10"/>
  <c r="K79" i="10"/>
  <c r="J79" i="10"/>
  <c r="G78" i="10"/>
  <c r="F78" i="10"/>
  <c r="E78" i="10"/>
  <c r="G77" i="10"/>
  <c r="H77" i="10" s="1"/>
  <c r="F77" i="10"/>
  <c r="K76" i="10"/>
  <c r="F76" i="10"/>
  <c r="BN72" i="10"/>
  <c r="BM72" i="10"/>
  <c r="BL72" i="10"/>
  <c r="BK72" i="10"/>
  <c r="BJ72" i="10"/>
  <c r="BI72" i="10"/>
  <c r="BH72" i="10"/>
  <c r="BG72" i="10"/>
  <c r="BN71" i="10"/>
  <c r="BM71" i="10"/>
  <c r="BL71" i="10"/>
  <c r="BK71" i="10"/>
  <c r="BJ71" i="10"/>
  <c r="BI71" i="10"/>
  <c r="BH71" i="10"/>
  <c r="BG71" i="10"/>
  <c r="BN70" i="10"/>
  <c r="BM70" i="10"/>
  <c r="BL70" i="10"/>
  <c r="BK70" i="10"/>
  <c r="BJ70" i="10"/>
  <c r="BI70" i="10"/>
  <c r="BH70" i="10"/>
  <c r="BG70" i="10"/>
  <c r="BN69" i="10"/>
  <c r="BM69" i="10"/>
  <c r="BL69" i="10"/>
  <c r="BK69" i="10"/>
  <c r="BJ69" i="10"/>
  <c r="BI69" i="10"/>
  <c r="BH69" i="10"/>
  <c r="BG69" i="10"/>
  <c r="BN68" i="10"/>
  <c r="BM68" i="10"/>
  <c r="BL68" i="10"/>
  <c r="BK68" i="10"/>
  <c r="BJ68" i="10"/>
  <c r="BI68" i="10"/>
  <c r="BH68" i="10"/>
  <c r="BG68" i="10"/>
  <c r="BN67" i="10"/>
  <c r="BM67" i="10"/>
  <c r="BL67" i="10"/>
  <c r="BK67" i="10"/>
  <c r="BJ67" i="10"/>
  <c r="BI67" i="10"/>
  <c r="BH67" i="10"/>
  <c r="BG67" i="10"/>
  <c r="BO67" i="10" s="1"/>
  <c r="BN66" i="10"/>
  <c r="BM66" i="10"/>
  <c r="BL66" i="10"/>
  <c r="BK66" i="10"/>
  <c r="BJ66" i="10"/>
  <c r="BI66" i="10"/>
  <c r="BH66" i="10"/>
  <c r="BG66" i="10"/>
  <c r="BN65" i="10"/>
  <c r="BM65" i="10"/>
  <c r="BL65" i="10"/>
  <c r="BK65" i="10"/>
  <c r="BJ65" i="10"/>
  <c r="BI65" i="10"/>
  <c r="BH65" i="10"/>
  <c r="BG65" i="10"/>
  <c r="BN64" i="10"/>
  <c r="BM64" i="10"/>
  <c r="BL64" i="10"/>
  <c r="BK64" i="10"/>
  <c r="BJ64" i="10"/>
  <c r="BI64" i="10"/>
  <c r="BH64" i="10"/>
  <c r="BG64" i="10"/>
  <c r="BN63" i="10"/>
  <c r="BM63" i="10"/>
  <c r="BL63" i="10"/>
  <c r="BK63" i="10"/>
  <c r="BJ63" i="10"/>
  <c r="BI63" i="10"/>
  <c r="BH63" i="10"/>
  <c r="BG63" i="10"/>
  <c r="BP13" i="13" l="1"/>
  <c r="BS13" i="13" s="1"/>
  <c r="BU13" i="13" s="1"/>
  <c r="BR13" i="13"/>
  <c r="BT13" i="13"/>
  <c r="BO14" i="13"/>
  <c r="BQ9" i="13"/>
  <c r="BP17" i="13"/>
  <c r="BO17" i="13"/>
  <c r="BS17" i="13" s="1"/>
  <c r="BU17" i="13" s="1"/>
  <c r="BO9" i="13"/>
  <c r="BS9" i="13" s="1"/>
  <c r="BS10" i="13"/>
  <c r="BU10" i="13" s="1"/>
  <c r="BT11" i="13"/>
  <c r="BU11" i="13" s="1"/>
  <c r="I51" i="13"/>
  <c r="I47" i="13"/>
  <c r="I43" i="13"/>
  <c r="BT14" i="13"/>
  <c r="BS15" i="13"/>
  <c r="BU15" i="13" s="1"/>
  <c r="BS16" i="13"/>
  <c r="BT16" i="13"/>
  <c r="BT9" i="13"/>
  <c r="BS14" i="13"/>
  <c r="I41" i="13"/>
  <c r="E43" i="13"/>
  <c r="I45" i="13"/>
  <c r="E47" i="13"/>
  <c r="I48" i="13"/>
  <c r="E49" i="13"/>
  <c r="I49" i="13"/>
  <c r="I52" i="13"/>
  <c r="J22" i="13"/>
  <c r="K23" i="13"/>
  <c r="F41" i="13"/>
  <c r="J41" i="13"/>
  <c r="F42" i="13"/>
  <c r="F43" i="13"/>
  <c r="J43" i="13"/>
  <c r="J44" i="13"/>
  <c r="F45" i="13"/>
  <c r="J45" i="13"/>
  <c r="F47" i="13"/>
  <c r="J47" i="13"/>
  <c r="J48" i="13"/>
  <c r="J51" i="13"/>
  <c r="K22" i="13"/>
  <c r="K41" i="13"/>
  <c r="G42" i="13"/>
  <c r="G43" i="13"/>
  <c r="K44" i="13"/>
  <c r="K45" i="13"/>
  <c r="G47" i="13"/>
  <c r="K48" i="13"/>
  <c r="K49" i="13"/>
  <c r="G50" i="13"/>
  <c r="G51" i="13"/>
  <c r="K52" i="13"/>
  <c r="L41" i="13"/>
  <c r="H42" i="13"/>
  <c r="H43" i="13"/>
  <c r="L44" i="13"/>
  <c r="L45" i="13"/>
  <c r="H47" i="13"/>
  <c r="L48" i="13"/>
  <c r="BP123" i="12"/>
  <c r="BO121" i="12"/>
  <c r="BS119" i="12"/>
  <c r="BQ121" i="12"/>
  <c r="W182" i="12"/>
  <c r="W210" i="12" s="1"/>
  <c r="X183" i="12"/>
  <c r="X211" i="12" s="1"/>
  <c r="S185" i="12"/>
  <c r="BO122" i="12"/>
  <c r="S186" i="12"/>
  <c r="S214" i="12" s="1"/>
  <c r="V188" i="12"/>
  <c r="V216" i="12" s="1"/>
  <c r="BO115" i="12"/>
  <c r="BS115" i="12" s="1"/>
  <c r="BQ20" i="12"/>
  <c r="O199" i="12"/>
  <c r="O213" i="12"/>
  <c r="BR69" i="12"/>
  <c r="BP68" i="12"/>
  <c r="BO68" i="12"/>
  <c r="BQ68" i="12"/>
  <c r="BT68" i="12" s="1"/>
  <c r="BR68" i="12"/>
  <c r="BO66" i="12"/>
  <c r="BS66" i="12" s="1"/>
  <c r="BO70" i="12"/>
  <c r="BS70" i="12" s="1"/>
  <c r="L214" i="12"/>
  <c r="L200" i="12"/>
  <c r="K186" i="12"/>
  <c r="K214" i="12" s="1"/>
  <c r="N202" i="12"/>
  <c r="N216" i="12"/>
  <c r="BP72" i="12"/>
  <c r="BQ71" i="12"/>
  <c r="Z208" i="12"/>
  <c r="BO64" i="12"/>
  <c r="AE208" i="12"/>
  <c r="P180" i="12"/>
  <c r="P208" i="12" s="1"/>
  <c r="BQ63" i="12"/>
  <c r="J193" i="12"/>
  <c r="C185" i="12"/>
  <c r="BQ16" i="12"/>
  <c r="BQ12" i="12"/>
  <c r="H199" i="12"/>
  <c r="H213" i="12"/>
  <c r="Q194" i="12"/>
  <c r="Q208" i="12"/>
  <c r="E196" i="12"/>
  <c r="U196" i="12" s="1"/>
  <c r="E210" i="12"/>
  <c r="I197" i="12"/>
  <c r="I211" i="12"/>
  <c r="I213" i="12"/>
  <c r="I199" i="12"/>
  <c r="I26" i="12"/>
  <c r="J54" i="12"/>
  <c r="J46" i="12"/>
  <c r="J50" i="12"/>
  <c r="BS121" i="12"/>
  <c r="E214" i="12"/>
  <c r="E200" i="12"/>
  <c r="Q210" i="12"/>
  <c r="AG210" i="12" s="1"/>
  <c r="Q196" i="12"/>
  <c r="C215" i="12"/>
  <c r="C201" i="12"/>
  <c r="G216" i="12"/>
  <c r="G202" i="12"/>
  <c r="D195" i="12"/>
  <c r="D209" i="12"/>
  <c r="C211" i="12"/>
  <c r="C197" i="12"/>
  <c r="G198" i="12"/>
  <c r="G212" i="12"/>
  <c r="F202" i="12"/>
  <c r="V202" i="12" s="1"/>
  <c r="F216" i="12"/>
  <c r="M209" i="12"/>
  <c r="M195" i="12"/>
  <c r="BR12" i="12"/>
  <c r="BT12" i="12" s="1"/>
  <c r="H180" i="12"/>
  <c r="F195" i="12"/>
  <c r="F209" i="12"/>
  <c r="L187" i="12"/>
  <c r="BP71" i="12"/>
  <c r="BS71" i="12" s="1"/>
  <c r="BO72" i="12"/>
  <c r="K188" i="12"/>
  <c r="O216" i="12"/>
  <c r="O202" i="12"/>
  <c r="G102" i="12"/>
  <c r="H98" i="12"/>
  <c r="K78" i="12"/>
  <c r="G98" i="12"/>
  <c r="BR117" i="12"/>
  <c r="BR121" i="12"/>
  <c r="H197" i="12"/>
  <c r="K184" i="12"/>
  <c r="M213" i="12"/>
  <c r="M199" i="12"/>
  <c r="M216" i="12"/>
  <c r="M202" i="12"/>
  <c r="B197" i="12"/>
  <c r="E199" i="12"/>
  <c r="U199" i="12" s="1"/>
  <c r="Q200" i="12"/>
  <c r="M208" i="12"/>
  <c r="B207" i="12"/>
  <c r="Z207" i="12" s="1"/>
  <c r="B193" i="12"/>
  <c r="R193" i="12" s="1"/>
  <c r="F207" i="12"/>
  <c r="F193" i="12"/>
  <c r="BO11" i="12"/>
  <c r="F194" i="12"/>
  <c r="F208" i="12"/>
  <c r="BO12" i="12"/>
  <c r="BQ14" i="12"/>
  <c r="F211" i="12"/>
  <c r="AD211" i="12" s="1"/>
  <c r="F197" i="12"/>
  <c r="V197" i="12" s="1"/>
  <c r="BO15" i="12"/>
  <c r="B212" i="12"/>
  <c r="B198" i="12"/>
  <c r="BO16" i="12"/>
  <c r="BR17" i="12"/>
  <c r="BQ18" i="12"/>
  <c r="BT18" i="12" s="1"/>
  <c r="B215" i="12"/>
  <c r="B201" i="12"/>
  <c r="R201" i="12" s="1"/>
  <c r="BO19" i="12"/>
  <c r="BS19" i="12" s="1"/>
  <c r="BU19" i="12" s="1"/>
  <c r="B216" i="12"/>
  <c r="B202" i="12"/>
  <c r="BO20" i="12"/>
  <c r="L52" i="12"/>
  <c r="L48" i="12"/>
  <c r="L44" i="12"/>
  <c r="H54" i="12"/>
  <c r="H50" i="12"/>
  <c r="H46" i="12"/>
  <c r="I44" i="12"/>
  <c r="J47" i="12"/>
  <c r="K48" i="12"/>
  <c r="I49" i="12"/>
  <c r="F50" i="12"/>
  <c r="I52" i="12"/>
  <c r="J55" i="12"/>
  <c r="BQ64" i="12"/>
  <c r="BT64" i="12" s="1"/>
  <c r="J195" i="12"/>
  <c r="R195" i="12" s="1"/>
  <c r="J209" i="12"/>
  <c r="N209" i="12"/>
  <c r="N195" i="12"/>
  <c r="BO65" i="12"/>
  <c r="BS65" i="12" s="1"/>
  <c r="M210" i="12"/>
  <c r="M196" i="12"/>
  <c r="Q213" i="12"/>
  <c r="Q199" i="12"/>
  <c r="N214" i="12"/>
  <c r="AD214" i="12" s="1"/>
  <c r="N200" i="12"/>
  <c r="BR70" i="12"/>
  <c r="M215" i="12"/>
  <c r="M201" i="12"/>
  <c r="H77" i="12"/>
  <c r="H97" i="12" s="1"/>
  <c r="H105" i="12"/>
  <c r="G105" i="12"/>
  <c r="H101" i="12"/>
  <c r="K77" i="12"/>
  <c r="I107" i="12"/>
  <c r="I103" i="12"/>
  <c r="I99" i="12"/>
  <c r="J99" i="12"/>
  <c r="H102" i="12"/>
  <c r="V180" i="12"/>
  <c r="V208" i="12" s="1"/>
  <c r="BQ116" i="12"/>
  <c r="BT116" i="12" s="1"/>
  <c r="BO116" i="12"/>
  <c r="BT117" i="12"/>
  <c r="V184" i="12"/>
  <c r="V212" i="12" s="1"/>
  <c r="AD212" i="12" s="1"/>
  <c r="BQ120" i="12"/>
  <c r="BT120" i="12" s="1"/>
  <c r="BO120" i="12"/>
  <c r="BT121" i="12"/>
  <c r="BO124" i="12"/>
  <c r="K138" i="12"/>
  <c r="L138" i="12" s="1"/>
  <c r="D193" i="12"/>
  <c r="D207" i="12"/>
  <c r="O179" i="12"/>
  <c r="C181" i="12"/>
  <c r="P210" i="12"/>
  <c r="P196" i="12"/>
  <c r="Y210" i="12"/>
  <c r="S183" i="12"/>
  <c r="S211" i="12" s="1"/>
  <c r="E198" i="12"/>
  <c r="U198" i="12" s="1"/>
  <c r="E212" i="12"/>
  <c r="L212" i="12"/>
  <c r="L198" i="12"/>
  <c r="Y214" i="12"/>
  <c r="O215" i="12"/>
  <c r="O201" i="12"/>
  <c r="C193" i="12"/>
  <c r="O194" i="12"/>
  <c r="I196" i="12"/>
  <c r="D198" i="12"/>
  <c r="T198" i="12" s="1"/>
  <c r="AA198" i="12" s="1"/>
  <c r="Q201" i="12"/>
  <c r="O209" i="12"/>
  <c r="H215" i="12"/>
  <c r="D208" i="12"/>
  <c r="D194" i="12"/>
  <c r="T194" i="12" s="1"/>
  <c r="BR16" i="12"/>
  <c r="BT16" i="12" s="1"/>
  <c r="H184" i="12"/>
  <c r="B213" i="12"/>
  <c r="B199" i="12"/>
  <c r="R199" i="12" s="1"/>
  <c r="F199" i="12"/>
  <c r="F213" i="12"/>
  <c r="I214" i="12"/>
  <c r="AG214" i="12" s="1"/>
  <c r="I200" i="12"/>
  <c r="Y200" i="12" s="1"/>
  <c r="D216" i="12"/>
  <c r="D202" i="12"/>
  <c r="H188" i="12"/>
  <c r="BR20" i="12"/>
  <c r="BT20" i="12" s="1"/>
  <c r="L54" i="12"/>
  <c r="L50" i="12"/>
  <c r="L46" i="12"/>
  <c r="K46" i="12"/>
  <c r="K54" i="12"/>
  <c r="BP65" i="12"/>
  <c r="L181" i="12"/>
  <c r="BR65" i="12"/>
  <c r="BQ66" i="12"/>
  <c r="BT66" i="12" s="1"/>
  <c r="BU66" i="12" s="1"/>
  <c r="O182" i="12"/>
  <c r="K211" i="12"/>
  <c r="K197" i="12"/>
  <c r="J212" i="12"/>
  <c r="J198" i="12"/>
  <c r="K215" i="12"/>
  <c r="K201" i="12"/>
  <c r="J216" i="12"/>
  <c r="J202" i="12"/>
  <c r="J78" i="12"/>
  <c r="E78" i="12"/>
  <c r="F106" i="12"/>
  <c r="F102" i="12"/>
  <c r="BQ115" i="12"/>
  <c r="BT115" i="12" s="1"/>
  <c r="BU115" i="12" s="1"/>
  <c r="BP117" i="12"/>
  <c r="BS117" i="12" s="1"/>
  <c r="BU117" i="12" s="1"/>
  <c r="U181" i="12"/>
  <c r="U209" i="12" s="1"/>
  <c r="T182" i="12"/>
  <c r="T210" i="12" s="1"/>
  <c r="BP118" i="12"/>
  <c r="BR118" i="12"/>
  <c r="BT118" i="12" s="1"/>
  <c r="X182" i="12"/>
  <c r="X210" i="12" s="1"/>
  <c r="BQ119" i="12"/>
  <c r="BT119" i="12" s="1"/>
  <c r="BU119" i="12" s="1"/>
  <c r="BP121" i="12"/>
  <c r="U185" i="12"/>
  <c r="U213" i="12" s="1"/>
  <c r="AC213" i="12" s="1"/>
  <c r="T186" i="12"/>
  <c r="T214" i="12" s="1"/>
  <c r="BP122" i="12"/>
  <c r="BS122" i="12" s="1"/>
  <c r="X186" i="12"/>
  <c r="X214" i="12" s="1"/>
  <c r="BR122" i="12"/>
  <c r="BT122" i="12" s="1"/>
  <c r="BO123" i="12"/>
  <c r="BS123" i="12" s="1"/>
  <c r="S187" i="12"/>
  <c r="S215" i="12" s="1"/>
  <c r="BQ123" i="12"/>
  <c r="F157" i="12"/>
  <c r="F153" i="12"/>
  <c r="F149" i="12"/>
  <c r="J129" i="12"/>
  <c r="I158" i="12"/>
  <c r="I154" i="12"/>
  <c r="I193" i="12"/>
  <c r="Y193" i="12" s="1"/>
  <c r="S179" i="12"/>
  <c r="S207" i="12" s="1"/>
  <c r="AA207" i="12" s="1"/>
  <c r="E194" i="12"/>
  <c r="U194" i="12" s="1"/>
  <c r="E208" i="12"/>
  <c r="AC208" i="12" s="1"/>
  <c r="H209" i="12"/>
  <c r="H195" i="12"/>
  <c r="X195" i="12" s="1"/>
  <c r="AC195" i="12" s="1"/>
  <c r="K182" i="12"/>
  <c r="D197" i="12"/>
  <c r="D211" i="12"/>
  <c r="Q198" i="12"/>
  <c r="Q212" i="12"/>
  <c r="C199" i="12"/>
  <c r="I215" i="12"/>
  <c r="AG215" i="12" s="1"/>
  <c r="I201" i="12"/>
  <c r="Y201" i="12" s="1"/>
  <c r="G194" i="12"/>
  <c r="W194" i="12" s="1"/>
  <c r="E195" i="12"/>
  <c r="U195" i="12" s="1"/>
  <c r="B196" i="12"/>
  <c r="N198" i="12"/>
  <c r="D199" i="12"/>
  <c r="F201" i="12"/>
  <c r="L208" i="12"/>
  <c r="BS13" i="12"/>
  <c r="BQ13" i="12"/>
  <c r="BT13" i="12" s="1"/>
  <c r="F210" i="12"/>
  <c r="F196" i="12"/>
  <c r="BO14" i="12"/>
  <c r="BS14" i="12" s="1"/>
  <c r="E211" i="12"/>
  <c r="AC211" i="12" s="1"/>
  <c r="E197" i="12"/>
  <c r="BS17" i="12"/>
  <c r="G213" i="12"/>
  <c r="G199" i="12"/>
  <c r="W199" i="12" s="1"/>
  <c r="BQ17" i="12"/>
  <c r="B214" i="12"/>
  <c r="Z214" i="12" s="1"/>
  <c r="B200" i="12"/>
  <c r="BO18" i="12"/>
  <c r="E201" i="12"/>
  <c r="E215" i="12"/>
  <c r="E202" i="12"/>
  <c r="U202" i="12" s="1"/>
  <c r="E216" i="12"/>
  <c r="I47" i="12"/>
  <c r="J48" i="12"/>
  <c r="E50" i="12"/>
  <c r="I55" i="12"/>
  <c r="L193" i="12"/>
  <c r="L207" i="12"/>
  <c r="BR63" i="12"/>
  <c r="BT63" i="12" s="1"/>
  <c r="P179" i="12"/>
  <c r="N194" i="12"/>
  <c r="N208" i="12"/>
  <c r="BP64" i="12"/>
  <c r="BS64" i="12" s="1"/>
  <c r="BU64" i="12" s="1"/>
  <c r="Q209" i="12"/>
  <c r="Q195" i="12"/>
  <c r="L183" i="12"/>
  <c r="BP67" i="12"/>
  <c r="BR67" i="12"/>
  <c r="P183" i="12"/>
  <c r="BS68" i="12"/>
  <c r="P187" i="12"/>
  <c r="BR71" i="12"/>
  <c r="BQ72" i="12"/>
  <c r="H106" i="12"/>
  <c r="M193" i="12"/>
  <c r="M207" i="12"/>
  <c r="AC207" i="12" s="1"/>
  <c r="I209" i="12"/>
  <c r="AG209" i="12" s="1"/>
  <c r="I195" i="12"/>
  <c r="Y195" i="12" s="1"/>
  <c r="G200" i="12"/>
  <c r="K193" i="12"/>
  <c r="J194" i="12"/>
  <c r="G195" i="12"/>
  <c r="W195" i="12" s="1"/>
  <c r="O197" i="12"/>
  <c r="O198" i="12"/>
  <c r="B209" i="12"/>
  <c r="BQ11" i="12"/>
  <c r="BT11" i="12" s="1"/>
  <c r="G179" i="12"/>
  <c r="BP11" i="12"/>
  <c r="J12" i="12"/>
  <c r="C208" i="12"/>
  <c r="C194" i="12"/>
  <c r="BP12" i="12"/>
  <c r="AC209" i="12"/>
  <c r="BP14" i="12"/>
  <c r="D182" i="12"/>
  <c r="H210" i="12"/>
  <c r="AF210" i="12" s="1"/>
  <c r="H196" i="12"/>
  <c r="BR14" i="12"/>
  <c r="BQ15" i="12"/>
  <c r="BT15" i="12" s="1"/>
  <c r="G183" i="12"/>
  <c r="BP15" i="12"/>
  <c r="J16" i="12"/>
  <c r="C212" i="12"/>
  <c r="C198" i="12"/>
  <c r="BP16" i="12"/>
  <c r="BP18" i="12"/>
  <c r="D186" i="12"/>
  <c r="H214" i="12"/>
  <c r="H200" i="12"/>
  <c r="X200" i="12" s="1"/>
  <c r="BR18" i="12"/>
  <c r="G187" i="12"/>
  <c r="BQ19" i="12"/>
  <c r="BT19" i="12" s="1"/>
  <c r="BP19" i="12"/>
  <c r="J20" i="12"/>
  <c r="C216" i="12"/>
  <c r="C202" i="12"/>
  <c r="BP20" i="12"/>
  <c r="L53" i="12"/>
  <c r="L49" i="12"/>
  <c r="L45" i="12"/>
  <c r="L25" i="12"/>
  <c r="K33" i="12"/>
  <c r="L33" i="12" s="1"/>
  <c r="J44" i="12"/>
  <c r="E46" i="12"/>
  <c r="G50" i="12"/>
  <c r="N207" i="12"/>
  <c r="N193" i="12"/>
  <c r="BO63" i="12"/>
  <c r="BS63" i="12" s="1"/>
  <c r="BQ65" i="12"/>
  <c r="J210" i="12"/>
  <c r="J196" i="12"/>
  <c r="N210" i="12"/>
  <c r="N196" i="12"/>
  <c r="J211" i="12"/>
  <c r="Z211" i="12" s="1"/>
  <c r="J197" i="12"/>
  <c r="BQ67" i="12"/>
  <c r="BT67" i="12" s="1"/>
  <c r="J199" i="12"/>
  <c r="J213" i="12"/>
  <c r="N185" i="12"/>
  <c r="BQ69" i="12"/>
  <c r="BO69" i="12"/>
  <c r="N215" i="12"/>
  <c r="AD215" i="12" s="1"/>
  <c r="N201" i="12"/>
  <c r="BT71" i="12"/>
  <c r="Q202" i="12"/>
  <c r="Q216" i="12"/>
  <c r="E104" i="12"/>
  <c r="E100" i="12"/>
  <c r="E96" i="12"/>
  <c r="J76" i="12"/>
  <c r="F104" i="12"/>
  <c r="F100" i="12"/>
  <c r="I105" i="12"/>
  <c r="I101" i="12"/>
  <c r="I97" i="12"/>
  <c r="J101" i="12"/>
  <c r="J97" i="12"/>
  <c r="L107" i="12"/>
  <c r="K107" i="12"/>
  <c r="L103" i="12"/>
  <c r="H84" i="12"/>
  <c r="K84" i="12"/>
  <c r="L84" i="12" s="1"/>
  <c r="G97" i="12"/>
  <c r="G101" i="12"/>
  <c r="J107" i="12"/>
  <c r="L157" i="12"/>
  <c r="K157" i="12"/>
  <c r="L153" i="12"/>
  <c r="K130" i="12"/>
  <c r="G150" i="12"/>
  <c r="H158" i="12"/>
  <c r="K159" i="12"/>
  <c r="L155" i="12"/>
  <c r="K155" i="12"/>
  <c r="L151" i="12"/>
  <c r="K149" i="12"/>
  <c r="K153" i="12"/>
  <c r="L159" i="12"/>
  <c r="H193" i="12"/>
  <c r="Y207" i="12"/>
  <c r="K180" i="12"/>
  <c r="S208" i="12"/>
  <c r="X209" i="12"/>
  <c r="G210" i="12"/>
  <c r="G196" i="12"/>
  <c r="M211" i="12"/>
  <c r="M197" i="12"/>
  <c r="T211" i="12"/>
  <c r="P212" i="12"/>
  <c r="P198" i="12"/>
  <c r="W212" i="12"/>
  <c r="S213" i="12"/>
  <c r="M186" i="12"/>
  <c r="S216" i="12"/>
  <c r="E193" i="12"/>
  <c r="U193" i="12" s="1"/>
  <c r="B194" i="12"/>
  <c r="L196" i="12"/>
  <c r="F198" i="12"/>
  <c r="V198" i="12" s="1"/>
  <c r="F200" i="12"/>
  <c r="V200" i="12" s="1"/>
  <c r="P209" i="12"/>
  <c r="M212" i="12"/>
  <c r="C213" i="12"/>
  <c r="J215" i="12"/>
  <c r="BO67" i="12"/>
  <c r="P216" i="12"/>
  <c r="P202" i="12"/>
  <c r="BR72" i="12"/>
  <c r="J86" i="12"/>
  <c r="I86" i="12" s="1"/>
  <c r="L96" i="12"/>
  <c r="K100" i="12"/>
  <c r="R209" i="12"/>
  <c r="R210" i="12"/>
  <c r="Z210" i="12" s="1"/>
  <c r="V210" i="12"/>
  <c r="BO118" i="12"/>
  <c r="BS118" i="12" s="1"/>
  <c r="R213" i="12"/>
  <c r="T215" i="12"/>
  <c r="BR123" i="12"/>
  <c r="F156" i="12"/>
  <c r="F152" i="12"/>
  <c r="F148" i="12"/>
  <c r="J158" i="12"/>
  <c r="J154" i="12"/>
  <c r="J150" i="12"/>
  <c r="E148" i="12"/>
  <c r="H149" i="12"/>
  <c r="E150" i="12"/>
  <c r="G153" i="12"/>
  <c r="X180" i="12"/>
  <c r="X208" i="12" s="1"/>
  <c r="K209" i="12"/>
  <c r="C196" i="12"/>
  <c r="C210" i="12"/>
  <c r="S212" i="12"/>
  <c r="X184" i="12"/>
  <c r="X212" i="12" s="1"/>
  <c r="K213" i="12"/>
  <c r="P185" i="12"/>
  <c r="C200" i="12"/>
  <c r="C214" i="12"/>
  <c r="I202" i="12"/>
  <c r="Y202" i="12" s="1"/>
  <c r="I216" i="12"/>
  <c r="W216" i="12"/>
  <c r="J200" i="12"/>
  <c r="L202" i="12"/>
  <c r="BP69" i="12"/>
  <c r="O186" i="12"/>
  <c r="BQ70" i="12"/>
  <c r="BT70" i="12" s="1"/>
  <c r="BU70" i="12" s="1"/>
  <c r="J71" i="12"/>
  <c r="F97" i="12"/>
  <c r="L100" i="12"/>
  <c r="BP116" i="12"/>
  <c r="J118" i="12"/>
  <c r="BP120" i="12"/>
  <c r="J122" i="12"/>
  <c r="T188" i="12"/>
  <c r="T216" i="12" s="1"/>
  <c r="BP124" i="12"/>
  <c r="X216" i="12"/>
  <c r="BR124" i="12"/>
  <c r="BT124" i="12" s="1"/>
  <c r="J156" i="12"/>
  <c r="J152" i="12"/>
  <c r="J148" i="12"/>
  <c r="J159" i="12"/>
  <c r="J155" i="12"/>
  <c r="J151" i="12"/>
  <c r="E152" i="12"/>
  <c r="H153" i="12"/>
  <c r="I156" i="12"/>
  <c r="Q207" i="12"/>
  <c r="I194" i="12"/>
  <c r="I208" i="12"/>
  <c r="T180" i="12"/>
  <c r="T208" i="12" s="1"/>
  <c r="W181" i="12"/>
  <c r="W209" i="12" s="1"/>
  <c r="AE209" i="12" s="1"/>
  <c r="Q197" i="12"/>
  <c r="I212" i="12"/>
  <c r="AG212" i="12" s="1"/>
  <c r="I198" i="12"/>
  <c r="T184" i="12"/>
  <c r="T212" i="12" s="1"/>
  <c r="L185" i="12"/>
  <c r="W185" i="12"/>
  <c r="W213" i="12" s="1"/>
  <c r="K195" i="12"/>
  <c r="K199" i="12"/>
  <c r="Q211" i="12"/>
  <c r="D215" i="12"/>
  <c r="D201" i="12"/>
  <c r="H201" i="12"/>
  <c r="H45" i="12"/>
  <c r="L47" i="12"/>
  <c r="H49" i="12"/>
  <c r="L51" i="12"/>
  <c r="P214" i="12"/>
  <c r="F150" i="12"/>
  <c r="F154" i="12"/>
  <c r="J63" i="11"/>
  <c r="J67" i="11"/>
  <c r="J71" i="11"/>
  <c r="U200" i="11"/>
  <c r="J65" i="11"/>
  <c r="J69" i="11"/>
  <c r="J19" i="11"/>
  <c r="E78" i="11"/>
  <c r="E106" i="11" s="1"/>
  <c r="J116" i="11"/>
  <c r="J120" i="11"/>
  <c r="J128" i="11"/>
  <c r="J152" i="11" s="1"/>
  <c r="H129" i="11"/>
  <c r="H157" i="11" s="1"/>
  <c r="J130" i="11"/>
  <c r="E138" i="11"/>
  <c r="F148" i="11"/>
  <c r="C164" i="11"/>
  <c r="C166" i="11" s="1"/>
  <c r="J14" i="11"/>
  <c r="BP19" i="11"/>
  <c r="BP20" i="11"/>
  <c r="E85" i="11"/>
  <c r="BP15" i="11"/>
  <c r="BP16" i="11"/>
  <c r="G101" i="11"/>
  <c r="BP11" i="11"/>
  <c r="BP12" i="11"/>
  <c r="J15" i="11"/>
  <c r="J16" i="11"/>
  <c r="F45" i="11"/>
  <c r="F49" i="11"/>
  <c r="J55" i="11"/>
  <c r="K103" i="11"/>
  <c r="J118" i="11"/>
  <c r="J11" i="11"/>
  <c r="K32" i="11"/>
  <c r="L32" i="11" s="1"/>
  <c r="K47" i="11"/>
  <c r="F52" i="11"/>
  <c r="K84" i="11"/>
  <c r="L84" i="11" s="1"/>
  <c r="J117" i="11"/>
  <c r="J121" i="11"/>
  <c r="BQ13" i="11"/>
  <c r="G53" i="11"/>
  <c r="K104" i="11"/>
  <c r="K26" i="11"/>
  <c r="L54" i="11" s="1"/>
  <c r="F48" i="11"/>
  <c r="G49" i="11"/>
  <c r="J68" i="11"/>
  <c r="L96" i="11"/>
  <c r="L104" i="11"/>
  <c r="J12" i="11"/>
  <c r="J20" i="11"/>
  <c r="K25" i="11"/>
  <c r="K45" i="11" s="1"/>
  <c r="F44" i="11"/>
  <c r="G45" i="11"/>
  <c r="J51" i="11"/>
  <c r="K55" i="11"/>
  <c r="BP63" i="11"/>
  <c r="BQ64" i="11"/>
  <c r="BP66" i="11"/>
  <c r="BP67" i="11"/>
  <c r="BQ68" i="11"/>
  <c r="BP70" i="11"/>
  <c r="BP71" i="11"/>
  <c r="BQ72" i="11"/>
  <c r="G97" i="11"/>
  <c r="K100" i="11"/>
  <c r="G105" i="11"/>
  <c r="J115" i="11"/>
  <c r="J119" i="11"/>
  <c r="J123" i="11"/>
  <c r="BQ124" i="11"/>
  <c r="BQ17" i="11"/>
  <c r="K96" i="11"/>
  <c r="J64" i="11"/>
  <c r="J72" i="11"/>
  <c r="J122" i="11"/>
  <c r="J13" i="11"/>
  <c r="J17" i="11"/>
  <c r="J47" i="11"/>
  <c r="K51" i="11"/>
  <c r="F53" i="11"/>
  <c r="J66" i="11"/>
  <c r="J70" i="11"/>
  <c r="K77" i="11"/>
  <c r="K105" i="11" s="1"/>
  <c r="I78" i="11"/>
  <c r="I106" i="11" s="1"/>
  <c r="E86" i="11"/>
  <c r="K99" i="11"/>
  <c r="K107" i="11"/>
  <c r="BQ115" i="11"/>
  <c r="BP117" i="11"/>
  <c r="BP118" i="11"/>
  <c r="BQ119" i="11"/>
  <c r="BP121" i="11"/>
  <c r="BP122" i="11"/>
  <c r="J124" i="11"/>
  <c r="J157" i="11"/>
  <c r="J153" i="11"/>
  <c r="J149" i="11"/>
  <c r="I157" i="11"/>
  <c r="I153" i="11"/>
  <c r="I149" i="11"/>
  <c r="L158" i="11"/>
  <c r="L154" i="11"/>
  <c r="L150" i="11"/>
  <c r="K158" i="11"/>
  <c r="K154" i="11"/>
  <c r="K150" i="11"/>
  <c r="BQ12" i="11"/>
  <c r="BR13" i="11"/>
  <c r="BO14" i="11"/>
  <c r="BQ16" i="11"/>
  <c r="BR17" i="11"/>
  <c r="BO18" i="11"/>
  <c r="BQ20" i="11"/>
  <c r="K33" i="11"/>
  <c r="L33" i="11" s="1"/>
  <c r="K34" i="11"/>
  <c r="L34" i="11" s="1"/>
  <c r="K44" i="11"/>
  <c r="G46" i="11"/>
  <c r="K48" i="11"/>
  <c r="G50" i="11"/>
  <c r="K52" i="11"/>
  <c r="G54" i="11"/>
  <c r="BQ63" i="11"/>
  <c r="BR64" i="11"/>
  <c r="BT64" i="11" s="1"/>
  <c r="BO65" i="11"/>
  <c r="BQ67" i="11"/>
  <c r="BR68" i="11"/>
  <c r="BO69" i="11"/>
  <c r="BQ71" i="11"/>
  <c r="BR72" i="11"/>
  <c r="H85" i="11"/>
  <c r="H86" i="11"/>
  <c r="H97" i="11"/>
  <c r="H98" i="11"/>
  <c r="L99" i="11"/>
  <c r="H101" i="11"/>
  <c r="H102" i="11"/>
  <c r="L103" i="11"/>
  <c r="H105" i="11"/>
  <c r="H106" i="11"/>
  <c r="BR115" i="11"/>
  <c r="BT115" i="11" s="1"/>
  <c r="BO116" i="11"/>
  <c r="BQ118" i="11"/>
  <c r="BR119" i="11"/>
  <c r="BT119" i="11" s="1"/>
  <c r="BO120" i="11"/>
  <c r="BQ122" i="11"/>
  <c r="BR123" i="11"/>
  <c r="BO124" i="11"/>
  <c r="J156" i="11"/>
  <c r="I152" i="11"/>
  <c r="E158" i="11"/>
  <c r="E154" i="11"/>
  <c r="J158" i="11"/>
  <c r="J154" i="11"/>
  <c r="J150" i="11"/>
  <c r="BO11" i="11"/>
  <c r="BS11" i="11" s="1"/>
  <c r="AB207" i="11"/>
  <c r="BQ11" i="11"/>
  <c r="BR12" i="11"/>
  <c r="R195" i="11"/>
  <c r="V195" i="11"/>
  <c r="BO13" i="11"/>
  <c r="AA210" i="11"/>
  <c r="S196" i="11"/>
  <c r="AE210" i="11"/>
  <c r="W196" i="11"/>
  <c r="BP14" i="11"/>
  <c r="AF211" i="11"/>
  <c r="BQ15" i="11"/>
  <c r="BR16" i="11"/>
  <c r="R199" i="11"/>
  <c r="AD213" i="11"/>
  <c r="V199" i="11"/>
  <c r="BO17" i="11"/>
  <c r="AA214" i="11"/>
  <c r="S200" i="11"/>
  <c r="AE214" i="11"/>
  <c r="W200" i="11"/>
  <c r="BP18" i="11"/>
  <c r="BQ19" i="11"/>
  <c r="BR20" i="11"/>
  <c r="L44" i="11"/>
  <c r="H45" i="11"/>
  <c r="H46" i="11"/>
  <c r="L47" i="11"/>
  <c r="L48" i="11"/>
  <c r="H49" i="11"/>
  <c r="H50" i="11"/>
  <c r="L51" i="11"/>
  <c r="H53" i="11"/>
  <c r="BR63" i="11"/>
  <c r="BO64" i="11"/>
  <c r="BP65" i="11"/>
  <c r="BQ66" i="11"/>
  <c r="BR67" i="11"/>
  <c r="BO68" i="11"/>
  <c r="BP69" i="11"/>
  <c r="BQ70" i="11"/>
  <c r="BR71" i="11"/>
  <c r="BO72" i="11"/>
  <c r="J76" i="11"/>
  <c r="E96" i="11"/>
  <c r="E97" i="11"/>
  <c r="I99" i="11"/>
  <c r="E100" i="11"/>
  <c r="E101" i="11"/>
  <c r="I103" i="11"/>
  <c r="E104" i="11"/>
  <c r="E105" i="11"/>
  <c r="I107" i="11"/>
  <c r="BO115" i="11"/>
  <c r="BP116" i="11"/>
  <c r="BQ117" i="11"/>
  <c r="BR118" i="11"/>
  <c r="BO119" i="11"/>
  <c r="BP120" i="11"/>
  <c r="BQ121" i="11"/>
  <c r="BR122" i="11"/>
  <c r="BO123" i="11"/>
  <c r="BP124" i="11"/>
  <c r="L156" i="11"/>
  <c r="L152" i="11"/>
  <c r="K156" i="11"/>
  <c r="K152" i="11"/>
  <c r="K148" i="11"/>
  <c r="F158" i="11"/>
  <c r="F154" i="11"/>
  <c r="F150" i="11"/>
  <c r="L148" i="11"/>
  <c r="BR11" i="11"/>
  <c r="AD208" i="11"/>
  <c r="BO12" i="11"/>
  <c r="BS12" i="11" s="1"/>
  <c r="S195" i="11"/>
  <c r="AE209" i="11"/>
  <c r="BP13" i="11"/>
  <c r="AB210" i="11"/>
  <c r="AF210" i="11"/>
  <c r="BQ14" i="11"/>
  <c r="BR15" i="11"/>
  <c r="BO16" i="11"/>
  <c r="BP17" i="11"/>
  <c r="AB214" i="11"/>
  <c r="T200" i="11"/>
  <c r="BQ18" i="11"/>
  <c r="BR19" i="11"/>
  <c r="Z216" i="11"/>
  <c r="BO20" i="11"/>
  <c r="BS20" i="11" s="1"/>
  <c r="J24" i="11"/>
  <c r="E26" i="11"/>
  <c r="J26" i="11"/>
  <c r="E33" i="11"/>
  <c r="E34" i="11"/>
  <c r="E44" i="11"/>
  <c r="E45" i="11"/>
  <c r="I45" i="11"/>
  <c r="I47" i="11"/>
  <c r="E48" i="11"/>
  <c r="E49" i="11"/>
  <c r="I49" i="11"/>
  <c r="I51" i="11"/>
  <c r="I53" i="11"/>
  <c r="BO63" i="11"/>
  <c r="BP64" i="11"/>
  <c r="BQ65" i="11"/>
  <c r="BR66" i="11"/>
  <c r="BO67" i="11"/>
  <c r="BP68" i="11"/>
  <c r="BQ69" i="11"/>
  <c r="BR70" i="11"/>
  <c r="BO71" i="11"/>
  <c r="BP72" i="11"/>
  <c r="J77" i="11"/>
  <c r="K78" i="11"/>
  <c r="F96" i="11"/>
  <c r="F97" i="11"/>
  <c r="F98" i="11"/>
  <c r="J98" i="11"/>
  <c r="J99" i="11"/>
  <c r="F100" i="11"/>
  <c r="F101" i="11"/>
  <c r="F102" i="11"/>
  <c r="J102" i="11"/>
  <c r="J103" i="11"/>
  <c r="BP115" i="11"/>
  <c r="BQ116" i="11"/>
  <c r="BR117" i="11"/>
  <c r="BO118" i="11"/>
  <c r="BP119" i="11"/>
  <c r="BQ120" i="11"/>
  <c r="BR121" i="11"/>
  <c r="BO122" i="11"/>
  <c r="BP123" i="11"/>
  <c r="F157" i="11"/>
  <c r="F153" i="11"/>
  <c r="F149" i="11"/>
  <c r="E157" i="11"/>
  <c r="E153" i="11"/>
  <c r="K157" i="11"/>
  <c r="K153" i="11"/>
  <c r="K149" i="11"/>
  <c r="H158" i="11"/>
  <c r="H154" i="11"/>
  <c r="G158" i="11"/>
  <c r="G154" i="11"/>
  <c r="G150" i="11"/>
  <c r="J159" i="11"/>
  <c r="J155" i="11"/>
  <c r="J151" i="11"/>
  <c r="I159" i="11"/>
  <c r="I155" i="11"/>
  <c r="I151" i="11"/>
  <c r="K137" i="11"/>
  <c r="L137" i="11" s="1"/>
  <c r="K138" i="11"/>
  <c r="L138" i="11" s="1"/>
  <c r="E149" i="11"/>
  <c r="R193" i="11"/>
  <c r="U196" i="11"/>
  <c r="BR14" i="11"/>
  <c r="AD211" i="11"/>
  <c r="V197" i="11"/>
  <c r="BO15" i="11"/>
  <c r="BS15" i="11" s="1"/>
  <c r="AA212" i="11"/>
  <c r="S198" i="11"/>
  <c r="AE212" i="11"/>
  <c r="W198" i="11"/>
  <c r="AF213" i="11"/>
  <c r="BR18" i="11"/>
  <c r="Z215" i="11"/>
  <c r="BO19" i="11"/>
  <c r="BS19" i="11" s="1"/>
  <c r="AE216" i="11"/>
  <c r="J45" i="11"/>
  <c r="F46" i="11"/>
  <c r="J49" i="11"/>
  <c r="F50" i="11"/>
  <c r="BR65" i="11"/>
  <c r="BO66" i="11"/>
  <c r="BR69" i="11"/>
  <c r="BO70" i="11"/>
  <c r="BS70" i="11" s="1"/>
  <c r="G98" i="11"/>
  <c r="G102" i="11"/>
  <c r="BR116" i="11"/>
  <c r="BO117" i="11"/>
  <c r="BS117" i="11" s="1"/>
  <c r="BR120" i="11"/>
  <c r="BO121" i="11"/>
  <c r="BS121" i="11" s="1"/>
  <c r="BQ123" i="11"/>
  <c r="BR124" i="11"/>
  <c r="BT124" i="11" s="1"/>
  <c r="F156" i="11"/>
  <c r="F152" i="11"/>
  <c r="E156" i="11"/>
  <c r="E152" i="11"/>
  <c r="H153" i="11"/>
  <c r="G157" i="11"/>
  <c r="G153" i="11"/>
  <c r="G149" i="11"/>
  <c r="L129" i="11"/>
  <c r="L149" i="11" s="1"/>
  <c r="I130" i="11"/>
  <c r="L159" i="11"/>
  <c r="L155" i="11"/>
  <c r="L151" i="11"/>
  <c r="K159" i="11"/>
  <c r="K155" i="11"/>
  <c r="K151" i="11"/>
  <c r="H149" i="11"/>
  <c r="H150" i="11"/>
  <c r="Y194" i="11"/>
  <c r="Y202" i="11"/>
  <c r="AA214" i="10"/>
  <c r="AA212" i="10"/>
  <c r="AA210" i="10"/>
  <c r="AH210" i="10" s="1"/>
  <c r="AA208" i="10"/>
  <c r="AH208" i="10" s="1"/>
  <c r="AA206" i="10"/>
  <c r="AB205" i="10"/>
  <c r="Z214" i="10"/>
  <c r="AH214" i="10" s="1"/>
  <c r="AD213" i="10"/>
  <c r="Z212" i="10"/>
  <c r="AD211" i="10"/>
  <c r="Z210" i="10"/>
  <c r="AD209" i="10"/>
  <c r="Z208" i="10"/>
  <c r="AD207" i="10"/>
  <c r="Z206" i="10"/>
  <c r="AH206" i="10" s="1"/>
  <c r="AD212" i="10"/>
  <c r="AD210" i="10"/>
  <c r="AD206" i="10"/>
  <c r="W200" i="10"/>
  <c r="W197" i="10"/>
  <c r="R193" i="10"/>
  <c r="S192" i="10"/>
  <c r="Z192" i="10" s="1"/>
  <c r="AE205" i="10"/>
  <c r="AC205" i="10"/>
  <c r="AI205" i="10" s="1"/>
  <c r="R192" i="10"/>
  <c r="AA205" i="10"/>
  <c r="AK205" i="10"/>
  <c r="AE214" i="10"/>
  <c r="AJ214" i="10" s="1"/>
  <c r="AE213" i="10"/>
  <c r="AH213" i="10"/>
  <c r="AE212" i="10"/>
  <c r="AJ212" i="10" s="1"/>
  <c r="AE211" i="10"/>
  <c r="AE210" i="10"/>
  <c r="AJ210" i="10" s="1"/>
  <c r="AE209" i="10"/>
  <c r="AE208" i="10"/>
  <c r="AJ208" i="10" s="1"/>
  <c r="AE207" i="10"/>
  <c r="AJ207" i="10" s="1"/>
  <c r="AE206" i="10"/>
  <c r="AJ206" i="10" s="1"/>
  <c r="T200" i="10"/>
  <c r="U199" i="10"/>
  <c r="W198" i="10"/>
  <c r="M198" i="10"/>
  <c r="U198" i="10" s="1"/>
  <c r="M194" i="10"/>
  <c r="U194" i="10" s="1"/>
  <c r="S200" i="10"/>
  <c r="T199" i="10"/>
  <c r="S197" i="10"/>
  <c r="T196" i="10"/>
  <c r="U195" i="10"/>
  <c r="W194" i="10"/>
  <c r="L198" i="10"/>
  <c r="T198" i="10" s="1"/>
  <c r="M197" i="10"/>
  <c r="U197" i="10" s="1"/>
  <c r="L194" i="10"/>
  <c r="T194" i="10" s="1"/>
  <c r="M193" i="10"/>
  <c r="U193" i="10" s="1"/>
  <c r="AG214" i="10"/>
  <c r="AG213" i="10"/>
  <c r="AK213" i="10" s="1"/>
  <c r="AC213" i="10"/>
  <c r="AG212" i="10"/>
  <c r="AC212" i="10"/>
  <c r="AG211" i="10"/>
  <c r="AK211" i="10" s="1"/>
  <c r="AC211" i="10"/>
  <c r="AG210" i="10"/>
  <c r="AG209" i="10"/>
  <c r="AC209" i="10"/>
  <c r="AG208" i="10"/>
  <c r="AC208" i="10"/>
  <c r="AG207" i="10"/>
  <c r="AC207" i="10"/>
  <c r="AG206" i="10"/>
  <c r="M214" i="10"/>
  <c r="AC214" i="10" s="1"/>
  <c r="M210" i="10"/>
  <c r="AC210" i="10" s="1"/>
  <c r="M206" i="10"/>
  <c r="AC206" i="10" s="1"/>
  <c r="R198" i="10"/>
  <c r="R197" i="10"/>
  <c r="S196" i="10"/>
  <c r="T195" i="10"/>
  <c r="S193" i="10"/>
  <c r="Z193" i="10" s="1"/>
  <c r="T192" i="10"/>
  <c r="AA192" i="10" s="1"/>
  <c r="AD192" i="10" s="1"/>
  <c r="L197" i="10"/>
  <c r="L193" i="10"/>
  <c r="AF214" i="10"/>
  <c r="AB214" i="10"/>
  <c r="AF213" i="10"/>
  <c r="AB213" i="10"/>
  <c r="AF212" i="10"/>
  <c r="AB212" i="10"/>
  <c r="AI212" i="10" s="1"/>
  <c r="AF211" i="10"/>
  <c r="AB211" i="10"/>
  <c r="AF210" i="10"/>
  <c r="AK210" i="10" s="1"/>
  <c r="AB210" i="10"/>
  <c r="AI210" i="10" s="1"/>
  <c r="AF209" i="10"/>
  <c r="AK209" i="10" s="1"/>
  <c r="AB209" i="10"/>
  <c r="AI209" i="10" s="1"/>
  <c r="AL209" i="10" s="1"/>
  <c r="AF208" i="10"/>
  <c r="AK208" i="10" s="1"/>
  <c r="AM208" i="10" s="1"/>
  <c r="AB208" i="10"/>
  <c r="AI208" i="10" s="1"/>
  <c r="AF207" i="10"/>
  <c r="AB207" i="10"/>
  <c r="AF206" i="10"/>
  <c r="AK206" i="10" s="1"/>
  <c r="AB206" i="10"/>
  <c r="AD205" i="10"/>
  <c r="W191" i="10"/>
  <c r="Z205" i="10"/>
  <c r="R191" i="10"/>
  <c r="AH207" i="10"/>
  <c r="AH212" i="10"/>
  <c r="AH211" i="10"/>
  <c r="AH209" i="10"/>
  <c r="Z200" i="10"/>
  <c r="AJ211" i="10"/>
  <c r="Z196" i="10"/>
  <c r="AK212" i="10"/>
  <c r="BO123" i="10"/>
  <c r="BQ123" i="10"/>
  <c r="AA199" i="10"/>
  <c r="AA195" i="10"/>
  <c r="S191" i="10"/>
  <c r="U200" i="10"/>
  <c r="R199" i="10"/>
  <c r="Z199" i="10" s="1"/>
  <c r="T197" i="10"/>
  <c r="U196" i="10"/>
  <c r="AA196" i="10" s="1"/>
  <c r="R195" i="10"/>
  <c r="Z195" i="10" s="1"/>
  <c r="S194" i="10"/>
  <c r="Z194" i="10" s="1"/>
  <c r="T193" i="10"/>
  <c r="U192" i="10"/>
  <c r="K138" i="10"/>
  <c r="L138" i="10" s="1"/>
  <c r="H138" i="10"/>
  <c r="P192" i="10"/>
  <c r="X192" i="10" s="1"/>
  <c r="P193" i="10"/>
  <c r="P194" i="10"/>
  <c r="P195" i="10"/>
  <c r="P196" i="10"/>
  <c r="P197" i="10"/>
  <c r="P198" i="10"/>
  <c r="P199" i="10"/>
  <c r="P200" i="10"/>
  <c r="Q192" i="10"/>
  <c r="Q193" i="10"/>
  <c r="Q194" i="10"/>
  <c r="Q195" i="10"/>
  <c r="Q196" i="10"/>
  <c r="Q197" i="10"/>
  <c r="Q198" i="10"/>
  <c r="Q199" i="10"/>
  <c r="Q200" i="10"/>
  <c r="Q191" i="10"/>
  <c r="Y191" i="10" s="1"/>
  <c r="T191" i="10"/>
  <c r="AA191" i="10" s="1"/>
  <c r="W199" i="10"/>
  <c r="S198" i="10"/>
  <c r="Z198" i="10" s="1"/>
  <c r="W195" i="10"/>
  <c r="P191" i="10"/>
  <c r="J137" i="10"/>
  <c r="I137" i="10" s="1"/>
  <c r="E137" i="10"/>
  <c r="F191" i="10"/>
  <c r="F200" i="10"/>
  <c r="F199" i="10"/>
  <c r="F198" i="10"/>
  <c r="F197" i="10"/>
  <c r="F196" i="10"/>
  <c r="F195" i="10"/>
  <c r="F194" i="10"/>
  <c r="F193" i="10"/>
  <c r="F192" i="10"/>
  <c r="N200" i="10"/>
  <c r="N199" i="10"/>
  <c r="N198" i="10"/>
  <c r="N197" i="10"/>
  <c r="N196" i="10"/>
  <c r="N195" i="10"/>
  <c r="N194" i="10"/>
  <c r="N193" i="10"/>
  <c r="N192" i="10"/>
  <c r="BQ124" i="10"/>
  <c r="J128" i="10"/>
  <c r="J63" i="10"/>
  <c r="J123" i="10"/>
  <c r="I200" i="10"/>
  <c r="I199" i="10"/>
  <c r="I198" i="10"/>
  <c r="I197" i="10"/>
  <c r="Y197" i="10" s="1"/>
  <c r="I196" i="10"/>
  <c r="I195" i="10"/>
  <c r="I194" i="10"/>
  <c r="I193" i="10"/>
  <c r="Y193" i="10" s="1"/>
  <c r="I192" i="10"/>
  <c r="N191" i="10"/>
  <c r="BR67" i="10"/>
  <c r="BP69" i="10"/>
  <c r="BR69" i="10"/>
  <c r="BP70" i="10"/>
  <c r="BR70" i="10"/>
  <c r="BP72" i="10"/>
  <c r="BR72" i="10"/>
  <c r="BP118" i="10"/>
  <c r="BR118" i="10"/>
  <c r="BP119" i="10"/>
  <c r="BP122" i="10"/>
  <c r="H191" i="10"/>
  <c r="H200" i="10"/>
  <c r="H199" i="10"/>
  <c r="H198" i="10"/>
  <c r="X198" i="10" s="1"/>
  <c r="H197" i="10"/>
  <c r="H196" i="10"/>
  <c r="H195" i="10"/>
  <c r="H194" i="10"/>
  <c r="X194" i="10" s="1"/>
  <c r="H193" i="10"/>
  <c r="BO69" i="10"/>
  <c r="BS69" i="10" s="1"/>
  <c r="BO71" i="10"/>
  <c r="J72" i="10"/>
  <c r="J68" i="10"/>
  <c r="J67" i="10"/>
  <c r="J64" i="10"/>
  <c r="J121" i="10"/>
  <c r="J118" i="10"/>
  <c r="J117" i="10"/>
  <c r="BQ69" i="10"/>
  <c r="J71" i="10"/>
  <c r="J130" i="10"/>
  <c r="I130" i="10" s="1"/>
  <c r="BQ70" i="10"/>
  <c r="BP65" i="10"/>
  <c r="BP67" i="10"/>
  <c r="BS67" i="10" s="1"/>
  <c r="BP68" i="10"/>
  <c r="E86" i="10"/>
  <c r="BR122" i="10"/>
  <c r="E130" i="10"/>
  <c r="J122" i="10"/>
  <c r="BQ64" i="10"/>
  <c r="BO68" i="10"/>
  <c r="BS68" i="10" s="1"/>
  <c r="J69" i="10"/>
  <c r="J65" i="10"/>
  <c r="J115" i="10"/>
  <c r="J119" i="10"/>
  <c r="BP64" i="10"/>
  <c r="BR64" i="10"/>
  <c r="BT70" i="10"/>
  <c r="BQ71" i="10"/>
  <c r="J76" i="10"/>
  <c r="J78" i="10"/>
  <c r="I78" i="10" s="1"/>
  <c r="H136" i="10"/>
  <c r="H137" i="10"/>
  <c r="J70" i="10"/>
  <c r="J66" i="10"/>
  <c r="J124" i="10"/>
  <c r="J120" i="10"/>
  <c r="J116" i="10"/>
  <c r="BQ66" i="10"/>
  <c r="BQ67" i="10"/>
  <c r="BT67" i="10" s="1"/>
  <c r="BR63" i="10"/>
  <c r="BP66" i="10"/>
  <c r="BQ68" i="10"/>
  <c r="BO63" i="10"/>
  <c r="BO64" i="10"/>
  <c r="BR68" i="10"/>
  <c r="BO70" i="10"/>
  <c r="BS70" i="10" s="1"/>
  <c r="BO72" i="10"/>
  <c r="BS72" i="10" s="1"/>
  <c r="BQ72" i="10"/>
  <c r="BT72" i="10" s="1"/>
  <c r="H84" i="10"/>
  <c r="H85" i="10"/>
  <c r="H86" i="10"/>
  <c r="BR117" i="10"/>
  <c r="BQ118" i="10"/>
  <c r="BP121" i="10"/>
  <c r="BO120" i="10"/>
  <c r="BO122" i="10"/>
  <c r="BQ122" i="10"/>
  <c r="BP123" i="10"/>
  <c r="BS123" i="10" s="1"/>
  <c r="BR123" i="10"/>
  <c r="BR119" i="10"/>
  <c r="BQ119" i="10"/>
  <c r="BO117" i="10"/>
  <c r="BQ117" i="10"/>
  <c r="BP117" i="10"/>
  <c r="BP124" i="10"/>
  <c r="BR124" i="10"/>
  <c r="BT124" i="10" s="1"/>
  <c r="BO124" i="10"/>
  <c r="BO121" i="10"/>
  <c r="BQ121" i="10"/>
  <c r="BR121" i="10"/>
  <c r="BO118" i="10"/>
  <c r="BQ115" i="10"/>
  <c r="BQ120" i="10"/>
  <c r="BP120" i="10"/>
  <c r="BS120" i="10" s="1"/>
  <c r="BR120" i="10"/>
  <c r="BP116" i="10"/>
  <c r="BR116" i="10"/>
  <c r="BT116" i="10" s="1"/>
  <c r="BO116" i="10"/>
  <c r="BS115" i="10"/>
  <c r="BR115" i="10"/>
  <c r="BO66" i="10"/>
  <c r="BQ65" i="10"/>
  <c r="BO65" i="10"/>
  <c r="BS65" i="10" s="1"/>
  <c r="BR65" i="10"/>
  <c r="BP71" i="10"/>
  <c r="BS71" i="10" s="1"/>
  <c r="BR71" i="10"/>
  <c r="BT71" i="10" s="1"/>
  <c r="BP63" i="10"/>
  <c r="BQ63" i="10"/>
  <c r="BR66" i="10"/>
  <c r="BS119" i="10"/>
  <c r="J129" i="10"/>
  <c r="K130" i="10"/>
  <c r="K129" i="10"/>
  <c r="BT68" i="10"/>
  <c r="BT69" i="10"/>
  <c r="BS66" i="10"/>
  <c r="J77" i="10"/>
  <c r="K78" i="10"/>
  <c r="K77" i="10"/>
  <c r="H55" i="10"/>
  <c r="G55" i="10"/>
  <c r="F55" i="10"/>
  <c r="E55" i="10"/>
  <c r="H52" i="10"/>
  <c r="G52" i="10"/>
  <c r="H51" i="10"/>
  <c r="G51" i="10"/>
  <c r="F51" i="10"/>
  <c r="E51" i="10"/>
  <c r="H48" i="10"/>
  <c r="G48" i="10"/>
  <c r="H47" i="10"/>
  <c r="G47" i="10"/>
  <c r="F47" i="10"/>
  <c r="E47" i="10"/>
  <c r="H44" i="10"/>
  <c r="G44" i="10"/>
  <c r="G34" i="10"/>
  <c r="K34" i="10" s="1"/>
  <c r="L34" i="10" s="1"/>
  <c r="F34" i="10"/>
  <c r="J34" i="10" s="1"/>
  <c r="I34" i="10" s="1"/>
  <c r="G33" i="10"/>
  <c r="K33" i="10" s="1"/>
  <c r="L33" i="10" s="1"/>
  <c r="F33" i="10"/>
  <c r="J33" i="10" s="1"/>
  <c r="I33" i="10" s="1"/>
  <c r="G32" i="10"/>
  <c r="K32" i="10" s="1"/>
  <c r="L32" i="10" s="1"/>
  <c r="F32" i="10"/>
  <c r="J32" i="10" s="1"/>
  <c r="K31" i="10"/>
  <c r="J31" i="10"/>
  <c r="K27" i="10"/>
  <c r="L55" i="10" s="1"/>
  <c r="J27" i="10"/>
  <c r="J55" i="10" s="1"/>
  <c r="G26" i="10"/>
  <c r="G54" i="10" s="1"/>
  <c r="F26" i="10"/>
  <c r="F54" i="10" s="1"/>
  <c r="G25" i="10"/>
  <c r="F25" i="10"/>
  <c r="F53" i="10" s="1"/>
  <c r="K24" i="10"/>
  <c r="K52" i="10" s="1"/>
  <c r="F24" i="10"/>
  <c r="J24" i="10" s="1"/>
  <c r="BN20" i="10"/>
  <c r="BM20" i="10"/>
  <c r="BL20" i="10"/>
  <c r="BK20" i="10"/>
  <c r="BJ20" i="10"/>
  <c r="BI20" i="10"/>
  <c r="BH20" i="10"/>
  <c r="BG20" i="10"/>
  <c r="I20" i="10"/>
  <c r="H20" i="10"/>
  <c r="G20" i="10"/>
  <c r="BN19" i="10"/>
  <c r="BM19" i="10"/>
  <c r="BL19" i="10"/>
  <c r="BK19" i="10"/>
  <c r="BJ19" i="10"/>
  <c r="BI19" i="10"/>
  <c r="BH19" i="10"/>
  <c r="BG19" i="10"/>
  <c r="I19" i="10"/>
  <c r="H19" i="10"/>
  <c r="G19" i="10"/>
  <c r="BN18" i="10"/>
  <c r="BM18" i="10"/>
  <c r="BL18" i="10"/>
  <c r="BK18" i="10"/>
  <c r="BJ18" i="10"/>
  <c r="BI18" i="10"/>
  <c r="BH18" i="10"/>
  <c r="BG18" i="10"/>
  <c r="I18" i="10"/>
  <c r="H18" i="10"/>
  <c r="G18" i="10"/>
  <c r="BN17" i="10"/>
  <c r="BM17" i="10"/>
  <c r="BL17" i="10"/>
  <c r="BK17" i="10"/>
  <c r="BJ17" i="10"/>
  <c r="BI17" i="10"/>
  <c r="BH17" i="10"/>
  <c r="BG17" i="10"/>
  <c r="I17" i="10"/>
  <c r="H17" i="10"/>
  <c r="G17" i="10"/>
  <c r="BN16" i="10"/>
  <c r="BM16" i="10"/>
  <c r="BL16" i="10"/>
  <c r="BK16" i="10"/>
  <c r="BJ16" i="10"/>
  <c r="BI16" i="10"/>
  <c r="BH16" i="10"/>
  <c r="BG16" i="10"/>
  <c r="I16" i="10"/>
  <c r="H16" i="10"/>
  <c r="G16" i="10"/>
  <c r="BN15" i="10"/>
  <c r="BM15" i="10"/>
  <c r="BL15" i="10"/>
  <c r="BK15" i="10"/>
  <c r="BJ15" i="10"/>
  <c r="BI15" i="10"/>
  <c r="BH15" i="10"/>
  <c r="BG15" i="10"/>
  <c r="I15" i="10"/>
  <c r="H15" i="10"/>
  <c r="G15" i="10"/>
  <c r="BN14" i="10"/>
  <c r="BM14" i="10"/>
  <c r="BL14" i="10"/>
  <c r="BK14" i="10"/>
  <c r="BJ14" i="10"/>
  <c r="BI14" i="10"/>
  <c r="BH14" i="10"/>
  <c r="BG14" i="10"/>
  <c r="I14" i="10"/>
  <c r="H14" i="10"/>
  <c r="G14" i="10"/>
  <c r="BN13" i="10"/>
  <c r="BM13" i="10"/>
  <c r="BL13" i="10"/>
  <c r="BK13" i="10"/>
  <c r="BJ13" i="10"/>
  <c r="BI13" i="10"/>
  <c r="BH13" i="10"/>
  <c r="BG13" i="10"/>
  <c r="I13" i="10"/>
  <c r="H13" i="10"/>
  <c r="G13" i="10"/>
  <c r="BN12" i="10"/>
  <c r="BM12" i="10"/>
  <c r="BL12" i="10"/>
  <c r="BK12" i="10"/>
  <c r="BJ12" i="10"/>
  <c r="BI12" i="10"/>
  <c r="BH12" i="10"/>
  <c r="BG12" i="10"/>
  <c r="I12" i="10"/>
  <c r="H12" i="10"/>
  <c r="G12" i="10"/>
  <c r="BN11" i="10"/>
  <c r="BM11" i="10"/>
  <c r="BL11" i="10"/>
  <c r="BK11" i="10"/>
  <c r="BJ11" i="10"/>
  <c r="BI11" i="10"/>
  <c r="BH11" i="10"/>
  <c r="BG11" i="10"/>
  <c r="I11" i="10"/>
  <c r="H11" i="10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BU9" i="13" l="1"/>
  <c r="L51" i="13"/>
  <c r="L47" i="13"/>
  <c r="L43" i="13"/>
  <c r="K51" i="13"/>
  <c r="K47" i="13"/>
  <c r="K43" i="13"/>
  <c r="J50" i="13"/>
  <c r="J42" i="13"/>
  <c r="I50" i="13"/>
  <c r="I42" i="13"/>
  <c r="L22" i="13"/>
  <c r="L50" i="13" s="1"/>
  <c r="K50" i="13"/>
  <c r="K42" i="13"/>
  <c r="BU16" i="13"/>
  <c r="BU14" i="13"/>
  <c r="BU121" i="12"/>
  <c r="AE213" i="12"/>
  <c r="AB212" i="12"/>
  <c r="AG207" i="12"/>
  <c r="AH207" i="12"/>
  <c r="BS20" i="12"/>
  <c r="AG213" i="12"/>
  <c r="BT69" i="12"/>
  <c r="R198" i="12"/>
  <c r="Z212" i="12"/>
  <c r="BU68" i="12"/>
  <c r="AK210" i="12"/>
  <c r="X196" i="12"/>
  <c r="K200" i="12"/>
  <c r="S200" i="12" s="1"/>
  <c r="Z200" i="12" s="1"/>
  <c r="R194" i="12"/>
  <c r="AE216" i="12"/>
  <c r="BS72" i="12"/>
  <c r="AD216" i="12"/>
  <c r="BU71" i="12"/>
  <c r="AC215" i="12"/>
  <c r="P194" i="12"/>
  <c r="V194" i="12"/>
  <c r="AB194" i="12" s="1"/>
  <c r="Y194" i="12"/>
  <c r="AD208" i="12"/>
  <c r="AJ208" i="12" s="1"/>
  <c r="AD207" i="12"/>
  <c r="T193" i="12"/>
  <c r="AA213" i="12"/>
  <c r="G215" i="12"/>
  <c r="AE215" i="12" s="1"/>
  <c r="AJ215" i="12" s="1"/>
  <c r="G201" i="12"/>
  <c r="W201" i="12" s="1"/>
  <c r="D200" i="12"/>
  <c r="T200" i="12" s="1"/>
  <c r="D214" i="12"/>
  <c r="AB214" i="12" s="1"/>
  <c r="G211" i="12"/>
  <c r="AE211" i="12" s="1"/>
  <c r="AJ211" i="12" s="1"/>
  <c r="G197" i="12"/>
  <c r="W197" i="12" s="1"/>
  <c r="AB197" i="12" s="1"/>
  <c r="AA214" i="12"/>
  <c r="AH214" i="12" s="1"/>
  <c r="G207" i="12"/>
  <c r="G193" i="12"/>
  <c r="L197" i="12"/>
  <c r="T197" i="12" s="1"/>
  <c r="AA197" i="12" s="1"/>
  <c r="L211" i="12"/>
  <c r="R200" i="12"/>
  <c r="R196" i="12"/>
  <c r="AB211" i="12"/>
  <c r="AI211" i="12" s="1"/>
  <c r="BT123" i="12"/>
  <c r="J106" i="12"/>
  <c r="I78" i="12"/>
  <c r="J102" i="12"/>
  <c r="J98" i="12"/>
  <c r="Z213" i="12"/>
  <c r="C209" i="12"/>
  <c r="AA209" i="12" s="1"/>
  <c r="C195" i="12"/>
  <c r="S195" i="12" s="1"/>
  <c r="Z195" i="12" s="1"/>
  <c r="AD195" i="12" s="1"/>
  <c r="BU20" i="12"/>
  <c r="K106" i="12"/>
  <c r="L102" i="12"/>
  <c r="K102" i="12"/>
  <c r="L98" i="12"/>
  <c r="K98" i="12"/>
  <c r="L106" i="12"/>
  <c r="L201" i="12"/>
  <c r="T201" i="12" s="1"/>
  <c r="AA201" i="12" s="1"/>
  <c r="L215" i="12"/>
  <c r="S197" i="12"/>
  <c r="Z197" i="12" s="1"/>
  <c r="BU122" i="12"/>
  <c r="S201" i="12"/>
  <c r="Z201" i="12" s="1"/>
  <c r="AG211" i="12"/>
  <c r="L213" i="12"/>
  <c r="AB213" i="12" s="1"/>
  <c r="AI213" i="12" s="1"/>
  <c r="L199" i="12"/>
  <c r="BU118" i="12"/>
  <c r="N199" i="12"/>
  <c r="V199" i="12" s="1"/>
  <c r="AB199" i="12" s="1"/>
  <c r="N213" i="12"/>
  <c r="AD213" i="12" s="1"/>
  <c r="AJ213" i="12" s="1"/>
  <c r="P201" i="12"/>
  <c r="X201" i="12" s="1"/>
  <c r="AC201" i="12" s="1"/>
  <c r="P215" i="12"/>
  <c r="AF215" i="12" s="1"/>
  <c r="AK215" i="12" s="1"/>
  <c r="AB208" i="12"/>
  <c r="AI208" i="12" s="1"/>
  <c r="AA193" i="12"/>
  <c r="D210" i="12"/>
  <c r="AB210" i="12" s="1"/>
  <c r="D196" i="12"/>
  <c r="T196" i="12" s="1"/>
  <c r="AA196" i="12" s="1"/>
  <c r="AF209" i="12"/>
  <c r="AK209" i="12" s="1"/>
  <c r="J157" i="12"/>
  <c r="J153" i="12"/>
  <c r="J149" i="12"/>
  <c r="I149" i="12"/>
  <c r="I157" i="12"/>
  <c r="I153" i="12"/>
  <c r="L209" i="12"/>
  <c r="L195" i="12"/>
  <c r="H216" i="12"/>
  <c r="AF216" i="12" s="1"/>
  <c r="H202" i="12"/>
  <c r="X202" i="12" s="1"/>
  <c r="AC202" i="12" s="1"/>
  <c r="Y196" i="12"/>
  <c r="AC196" i="12" s="1"/>
  <c r="Y198" i="12"/>
  <c r="O200" i="12"/>
  <c r="W200" i="12" s="1"/>
  <c r="AB200" i="12" s="1"/>
  <c r="O214" i="12"/>
  <c r="AE214" i="12" s="1"/>
  <c r="AJ214" i="12" s="1"/>
  <c r="BS67" i="12"/>
  <c r="BU67" i="12" s="1"/>
  <c r="M200" i="12"/>
  <c r="U200" i="12" s="1"/>
  <c r="M214" i="12"/>
  <c r="K208" i="12"/>
  <c r="AA208" i="12" s="1"/>
  <c r="AH208" i="12" s="1"/>
  <c r="K194" i="12"/>
  <c r="K154" i="12"/>
  <c r="L150" i="12"/>
  <c r="K150" i="12"/>
  <c r="K158" i="12"/>
  <c r="L158" i="12"/>
  <c r="L154" i="12"/>
  <c r="BS69" i="12"/>
  <c r="BU69" i="12" s="1"/>
  <c r="BT65" i="12"/>
  <c r="BU65" i="12" s="1"/>
  <c r="AC200" i="12"/>
  <c r="BT72" i="12"/>
  <c r="BU72" i="12" s="1"/>
  <c r="P211" i="12"/>
  <c r="AF211" i="12" s="1"/>
  <c r="AK211" i="12" s="1"/>
  <c r="P197" i="12"/>
  <c r="X197" i="12" s="1"/>
  <c r="AC197" i="12" s="1"/>
  <c r="U201" i="12"/>
  <c r="BU17" i="12"/>
  <c r="V196" i="12"/>
  <c r="BU13" i="12"/>
  <c r="V201" i="12"/>
  <c r="S199" i="12"/>
  <c r="Z199" i="12" s="1"/>
  <c r="O196" i="12"/>
  <c r="W196" i="12" s="1"/>
  <c r="AB196" i="12" s="1"/>
  <c r="O210" i="12"/>
  <c r="T202" i="12"/>
  <c r="AA202" i="12" s="1"/>
  <c r="H212" i="12"/>
  <c r="AF212" i="12" s="1"/>
  <c r="AK212" i="12" s="1"/>
  <c r="H198" i="12"/>
  <c r="X198" i="12" s="1"/>
  <c r="O207" i="12"/>
  <c r="O193" i="12"/>
  <c r="BS124" i="12"/>
  <c r="BU124" i="12" s="1"/>
  <c r="BS120" i="12"/>
  <c r="BU120" i="12" s="1"/>
  <c r="R202" i="12"/>
  <c r="BS16" i="12"/>
  <c r="BU16" i="12" s="1"/>
  <c r="BS15" i="12"/>
  <c r="BU15" i="12" s="1"/>
  <c r="BT14" i="12"/>
  <c r="BU14" i="12" s="1"/>
  <c r="BS11" i="12"/>
  <c r="BU11" i="12" s="1"/>
  <c r="R197" i="12"/>
  <c r="K202" i="12"/>
  <c r="S202" i="12" s="1"/>
  <c r="K216" i="12"/>
  <c r="AA216" i="12" s="1"/>
  <c r="AD209" i="12"/>
  <c r="AJ209" i="12" s="1"/>
  <c r="AM209" i="12" s="1"/>
  <c r="AA211" i="12"/>
  <c r="AH211" i="12" s="1"/>
  <c r="AL211" i="12" s="1"/>
  <c r="AA215" i="12"/>
  <c r="I50" i="12"/>
  <c r="I54" i="12"/>
  <c r="I46" i="12"/>
  <c r="Y197" i="12"/>
  <c r="E106" i="12"/>
  <c r="E102" i="12"/>
  <c r="E98" i="12"/>
  <c r="H194" i="12"/>
  <c r="X194" i="12" s="1"/>
  <c r="H208" i="12"/>
  <c r="AF208" i="12" s="1"/>
  <c r="W198" i="12"/>
  <c r="AB198" i="12" s="1"/>
  <c r="T195" i="12"/>
  <c r="AA195" i="12" s="1"/>
  <c r="I104" i="12"/>
  <c r="I100" i="12"/>
  <c r="I96" i="12"/>
  <c r="J104" i="12"/>
  <c r="J100" i="12"/>
  <c r="J96" i="12"/>
  <c r="S194" i="12"/>
  <c r="Z194" i="12" s="1"/>
  <c r="AB215" i="12"/>
  <c r="AG208" i="12"/>
  <c r="AG216" i="12"/>
  <c r="P199" i="12"/>
  <c r="X199" i="12" s="1"/>
  <c r="P213" i="12"/>
  <c r="AF213" i="12" s="1"/>
  <c r="AA210" i="12"/>
  <c r="AH210" i="12" s="1"/>
  <c r="AE210" i="12"/>
  <c r="BU63" i="12"/>
  <c r="AF214" i="12"/>
  <c r="AK214" i="12" s="1"/>
  <c r="Z209" i="12"/>
  <c r="P193" i="12"/>
  <c r="X193" i="12" s="1"/>
  <c r="AC193" i="12" s="1"/>
  <c r="P207" i="12"/>
  <c r="AF207" i="12" s="1"/>
  <c r="AK207" i="12" s="1"/>
  <c r="AC216" i="12"/>
  <c r="BS18" i="12"/>
  <c r="BU18" i="12" s="1"/>
  <c r="BT17" i="12"/>
  <c r="U197" i="12"/>
  <c r="AD210" i="12"/>
  <c r="T199" i="12"/>
  <c r="AA199" i="12" s="1"/>
  <c r="K196" i="12"/>
  <c r="S196" i="12" s="1"/>
  <c r="Z196" i="12" s="1"/>
  <c r="AD196" i="12" s="1"/>
  <c r="K210" i="12"/>
  <c r="BU123" i="12"/>
  <c r="AB216" i="12"/>
  <c r="AA194" i="12"/>
  <c r="S193" i="12"/>
  <c r="Z193" i="12" s="1"/>
  <c r="AD193" i="12" s="1"/>
  <c r="AC212" i="12"/>
  <c r="AB207" i="12"/>
  <c r="AI207" i="12" s="1"/>
  <c r="AL207" i="12" s="1"/>
  <c r="BS116" i="12"/>
  <c r="BU116" i="12" s="1"/>
  <c r="K97" i="12"/>
  <c r="L77" i="12"/>
  <c r="L105" i="12"/>
  <c r="K105" i="12"/>
  <c r="L101" i="12"/>
  <c r="L97" i="12"/>
  <c r="K101" i="12"/>
  <c r="Z216" i="12"/>
  <c r="Z215" i="12"/>
  <c r="BS12" i="12"/>
  <c r="BU12" i="12" s="1"/>
  <c r="V193" i="12"/>
  <c r="K198" i="12"/>
  <c r="S198" i="12" s="1"/>
  <c r="Z198" i="12" s="1"/>
  <c r="AD198" i="12" s="1"/>
  <c r="K212" i="12"/>
  <c r="AA212" i="12" s="1"/>
  <c r="V195" i="12"/>
  <c r="AB195" i="12" s="1"/>
  <c r="AE195" i="12" s="1"/>
  <c r="AE212" i="12"/>
  <c r="AJ212" i="12" s="1"/>
  <c r="AB209" i="12"/>
  <c r="AI209" i="12" s="1"/>
  <c r="W202" i="12"/>
  <c r="AB202" i="12" s="1"/>
  <c r="AE202" i="12" s="1"/>
  <c r="AC214" i="12"/>
  <c r="Y199" i="12"/>
  <c r="AC210" i="12"/>
  <c r="E102" i="11"/>
  <c r="E98" i="11"/>
  <c r="AA209" i="11"/>
  <c r="AA213" i="11"/>
  <c r="AF214" i="11"/>
  <c r="U197" i="11"/>
  <c r="I156" i="11"/>
  <c r="U201" i="11"/>
  <c r="W195" i="11"/>
  <c r="AB195" i="11" s="1"/>
  <c r="R194" i="11"/>
  <c r="I148" i="11"/>
  <c r="J148" i="11"/>
  <c r="AA208" i="11"/>
  <c r="BS16" i="11"/>
  <c r="Z212" i="11"/>
  <c r="I102" i="11"/>
  <c r="Y197" i="11"/>
  <c r="Y196" i="11"/>
  <c r="Z207" i="11"/>
  <c r="BS63" i="11"/>
  <c r="Z208" i="11"/>
  <c r="I98" i="11"/>
  <c r="BT13" i="11"/>
  <c r="AH208" i="11"/>
  <c r="Z195" i="11"/>
  <c r="L46" i="11"/>
  <c r="L25" i="11"/>
  <c r="L49" i="11" s="1"/>
  <c r="AB215" i="11"/>
  <c r="AD209" i="11"/>
  <c r="AJ209" i="11" s="1"/>
  <c r="L77" i="11"/>
  <c r="L97" i="11" s="1"/>
  <c r="BT68" i="11"/>
  <c r="K101" i="11"/>
  <c r="BT72" i="11"/>
  <c r="K50" i="11"/>
  <c r="Y195" i="11"/>
  <c r="BS66" i="11"/>
  <c r="S202" i="11"/>
  <c r="AD215" i="11"/>
  <c r="BS71" i="11"/>
  <c r="BS67" i="11"/>
  <c r="V202" i="11"/>
  <c r="S199" i="11"/>
  <c r="Z199" i="11" s="1"/>
  <c r="AD212" i="11"/>
  <c r="AJ212" i="11" s="1"/>
  <c r="U202" i="11"/>
  <c r="T197" i="11"/>
  <c r="Z209" i="11"/>
  <c r="AF207" i="11"/>
  <c r="AH212" i="11"/>
  <c r="AE213" i="11"/>
  <c r="AJ213" i="11" s="1"/>
  <c r="AF215" i="11"/>
  <c r="K54" i="11"/>
  <c r="K46" i="11"/>
  <c r="Y198" i="11"/>
  <c r="Y200" i="11"/>
  <c r="BT123" i="11"/>
  <c r="K97" i="11"/>
  <c r="AA216" i="11"/>
  <c r="AH216" i="11" s="1"/>
  <c r="R201" i="11"/>
  <c r="X199" i="11"/>
  <c r="S194" i="11"/>
  <c r="Z194" i="11" s="1"/>
  <c r="Y201" i="11"/>
  <c r="BS122" i="11"/>
  <c r="BS118" i="11"/>
  <c r="AD216" i="11"/>
  <c r="AJ216" i="11" s="1"/>
  <c r="T196" i="11"/>
  <c r="L50" i="11"/>
  <c r="T201" i="11"/>
  <c r="Z213" i="11"/>
  <c r="AH213" i="11" s="1"/>
  <c r="AB211" i="11"/>
  <c r="T193" i="11"/>
  <c r="K53" i="11"/>
  <c r="K49" i="11"/>
  <c r="BT17" i="11"/>
  <c r="X197" i="11"/>
  <c r="AC197" i="11" s="1"/>
  <c r="W202" i="11"/>
  <c r="W199" i="11"/>
  <c r="AB199" i="11" s="1"/>
  <c r="R198" i="11"/>
  <c r="Z198" i="11" s="1"/>
  <c r="R202" i="11"/>
  <c r="X196" i="11"/>
  <c r="AC196" i="11" s="1"/>
  <c r="X201" i="11"/>
  <c r="U194" i="11"/>
  <c r="X193" i="11"/>
  <c r="Y193" i="11"/>
  <c r="Y199" i="11"/>
  <c r="V201" i="11"/>
  <c r="X200" i="11"/>
  <c r="V198" i="11"/>
  <c r="AB198" i="11" s="1"/>
  <c r="V194" i="11"/>
  <c r="U193" i="11"/>
  <c r="U198" i="11"/>
  <c r="J54" i="11"/>
  <c r="J50" i="11"/>
  <c r="J46" i="11"/>
  <c r="I26" i="11"/>
  <c r="AC214" i="11"/>
  <c r="AI214" i="11" s="1"/>
  <c r="AG210" i="11"/>
  <c r="AK210" i="11" s="1"/>
  <c r="BS119" i="11"/>
  <c r="BU119" i="11" s="1"/>
  <c r="BT117" i="11"/>
  <c r="BU117" i="11" s="1"/>
  <c r="J104" i="11"/>
  <c r="J100" i="11"/>
  <c r="J96" i="11"/>
  <c r="I104" i="11"/>
  <c r="I100" i="11"/>
  <c r="I96" i="11"/>
  <c r="AC201" i="11"/>
  <c r="AC211" i="11"/>
  <c r="T199" i="11"/>
  <c r="BT63" i="11"/>
  <c r="X202" i="11"/>
  <c r="AC202" i="11" s="1"/>
  <c r="AC216" i="11"/>
  <c r="S201" i="11"/>
  <c r="AD214" i="11"/>
  <c r="AJ214" i="11" s="1"/>
  <c r="U199" i="11"/>
  <c r="AF212" i="11"/>
  <c r="W197" i="11"/>
  <c r="AB197" i="11" s="1"/>
  <c r="BS14" i="11"/>
  <c r="Z210" i="11"/>
  <c r="AH210" i="11" s="1"/>
  <c r="AG208" i="11"/>
  <c r="T194" i="11"/>
  <c r="S193" i="11"/>
  <c r="Z193" i="11" s="1"/>
  <c r="X195" i="11"/>
  <c r="AB209" i="11"/>
  <c r="V193" i="11"/>
  <c r="I158" i="11"/>
  <c r="I154" i="11"/>
  <c r="I150" i="11"/>
  <c r="AG213" i="11"/>
  <c r="AK213" i="11" s="1"/>
  <c r="L153" i="11"/>
  <c r="BT116" i="11"/>
  <c r="K106" i="11"/>
  <c r="K102" i="11"/>
  <c r="K98" i="11"/>
  <c r="L106" i="11"/>
  <c r="L102" i="11"/>
  <c r="L98" i="11"/>
  <c r="E54" i="11"/>
  <c r="E50" i="11"/>
  <c r="E46" i="11"/>
  <c r="AG214" i="11"/>
  <c r="AK214" i="11" s="1"/>
  <c r="BT14" i="11"/>
  <c r="AA196" i="11"/>
  <c r="BS72" i="11"/>
  <c r="BU72" i="11" s="1"/>
  <c r="BS68" i="11"/>
  <c r="BU68" i="11" s="1"/>
  <c r="BS64" i="11"/>
  <c r="BU64" i="11" s="1"/>
  <c r="AC215" i="11"/>
  <c r="AG211" i="11"/>
  <c r="AK211" i="11" s="1"/>
  <c r="BT11" i="11"/>
  <c r="BU11" i="11" s="1"/>
  <c r="AB213" i="11"/>
  <c r="BT122" i="11"/>
  <c r="BT67" i="11"/>
  <c r="AG216" i="11"/>
  <c r="AB216" i="11"/>
  <c r="AA215" i="11"/>
  <c r="AH215" i="11" s="1"/>
  <c r="R200" i="11"/>
  <c r="Z200" i="11" s="1"/>
  <c r="BT16" i="11"/>
  <c r="BU16" i="11" s="1"/>
  <c r="T198" i="11"/>
  <c r="AE211" i="11"/>
  <c r="AJ211" i="11" s="1"/>
  <c r="V196" i="11"/>
  <c r="AB196" i="11" s="1"/>
  <c r="X194" i="11"/>
  <c r="AC194" i="11" s="1"/>
  <c r="AB208" i="11"/>
  <c r="AA207" i="11"/>
  <c r="AF209" i="11"/>
  <c r="AC209" i="11"/>
  <c r="AD207" i="11"/>
  <c r="L157" i="11"/>
  <c r="J105" i="11"/>
  <c r="J101" i="11"/>
  <c r="J97" i="11"/>
  <c r="I105" i="11"/>
  <c r="I101" i="11"/>
  <c r="I97" i="11"/>
  <c r="BT69" i="11"/>
  <c r="BT65" i="11"/>
  <c r="J52" i="11"/>
  <c r="J48" i="11"/>
  <c r="J44" i="11"/>
  <c r="I52" i="11"/>
  <c r="I48" i="11"/>
  <c r="I44" i="11"/>
  <c r="BT18" i="11"/>
  <c r="AA200" i="11"/>
  <c r="BS123" i="11"/>
  <c r="BU123" i="11" s="1"/>
  <c r="BT121" i="11"/>
  <c r="BU121" i="11" s="1"/>
  <c r="BS115" i="11"/>
  <c r="BU115" i="11" s="1"/>
  <c r="AG215" i="11"/>
  <c r="BT15" i="11"/>
  <c r="BU15" i="11" s="1"/>
  <c r="BS13" i="11"/>
  <c r="AC207" i="11"/>
  <c r="AI207" i="11" s="1"/>
  <c r="AC213" i="11"/>
  <c r="BS120" i="11"/>
  <c r="BT118" i="11"/>
  <c r="BT71" i="11"/>
  <c r="BS65" i="11"/>
  <c r="AF216" i="11"/>
  <c r="W201" i="11"/>
  <c r="BS18" i="11"/>
  <c r="Z214" i="11"/>
  <c r="AH214" i="11" s="1"/>
  <c r="X198" i="11"/>
  <c r="AC212" i="11"/>
  <c r="S197" i="11"/>
  <c r="AD210" i="11"/>
  <c r="AJ210" i="11" s="1"/>
  <c r="U195" i="11"/>
  <c r="AF208" i="11"/>
  <c r="W193" i="11"/>
  <c r="R197" i="11"/>
  <c r="AG209" i="11"/>
  <c r="W194" i="11"/>
  <c r="AB194" i="11" s="1"/>
  <c r="BT120" i="11"/>
  <c r="AC210" i="11"/>
  <c r="AI210" i="11" s="1"/>
  <c r="BT70" i="11"/>
  <c r="BU70" i="11" s="1"/>
  <c r="BT66" i="11"/>
  <c r="BT19" i="11"/>
  <c r="BU19" i="11" s="1"/>
  <c r="BS17" i="11"/>
  <c r="BU17" i="11" s="1"/>
  <c r="AG207" i="11"/>
  <c r="BS124" i="11"/>
  <c r="BU124" i="11" s="1"/>
  <c r="BS116" i="11"/>
  <c r="BS69" i="11"/>
  <c r="BU69" i="11" s="1"/>
  <c r="BT20" i="11"/>
  <c r="BU20" i="11" s="1"/>
  <c r="T202" i="11"/>
  <c r="AE215" i="11"/>
  <c r="V200" i="11"/>
  <c r="AB200" i="11" s="1"/>
  <c r="AG212" i="11"/>
  <c r="AB212" i="11"/>
  <c r="AI212" i="11" s="1"/>
  <c r="AA211" i="11"/>
  <c r="R196" i="11"/>
  <c r="Z196" i="11" s="1"/>
  <c r="BT12" i="11"/>
  <c r="BU12" i="11" s="1"/>
  <c r="AC208" i="11"/>
  <c r="AE207" i="11"/>
  <c r="Z211" i="11"/>
  <c r="T195" i="11"/>
  <c r="AE208" i="11"/>
  <c r="AJ208" i="11" s="1"/>
  <c r="AI213" i="10"/>
  <c r="AL213" i="10" s="1"/>
  <c r="AJ205" i="10"/>
  <c r="AM205" i="10" s="1"/>
  <c r="AJ213" i="10"/>
  <c r="AM213" i="10" s="1"/>
  <c r="AN213" i="10" s="1"/>
  <c r="AH205" i="10"/>
  <c r="AI211" i="10"/>
  <c r="AL211" i="10" s="1"/>
  <c r="AN211" i="10" s="1"/>
  <c r="AJ209" i="10"/>
  <c r="AM209" i="10"/>
  <c r="AN209" i="10" s="1"/>
  <c r="AI207" i="10"/>
  <c r="AL207" i="10" s="1"/>
  <c r="AK207" i="10"/>
  <c r="AM207" i="10" s="1"/>
  <c r="AI206" i="10"/>
  <c r="AL206" i="10" s="1"/>
  <c r="AL208" i="10"/>
  <c r="AN208" i="10" s="1"/>
  <c r="AL210" i="10"/>
  <c r="AL212" i="10"/>
  <c r="AM210" i="10"/>
  <c r="AM206" i="10"/>
  <c r="AN206" i="10" s="1"/>
  <c r="Z191" i="10"/>
  <c r="AM212" i="10"/>
  <c r="AA198" i="10"/>
  <c r="Y196" i="10"/>
  <c r="Z197" i="10"/>
  <c r="Y192" i="10"/>
  <c r="AC192" i="10" s="1"/>
  <c r="AA200" i="10"/>
  <c r="AD200" i="10" s="1"/>
  <c r="AA194" i="10"/>
  <c r="AI214" i="10"/>
  <c r="AL214" i="10" s="1"/>
  <c r="AK214" i="10"/>
  <c r="AM214" i="10" s="1"/>
  <c r="X196" i="10"/>
  <c r="X200" i="10"/>
  <c r="AM211" i="10"/>
  <c r="X193" i="10"/>
  <c r="AC193" i="10" s="1"/>
  <c r="X197" i="10"/>
  <c r="Y195" i="10"/>
  <c r="Y199" i="10"/>
  <c r="AA193" i="10"/>
  <c r="AD193" i="10" s="1"/>
  <c r="AA197" i="10"/>
  <c r="X191" i="10"/>
  <c r="AD196" i="10"/>
  <c r="AL205" i="10"/>
  <c r="AN205" i="10" s="1"/>
  <c r="AD194" i="10"/>
  <c r="BT123" i="10"/>
  <c r="BS122" i="10"/>
  <c r="BS118" i="10"/>
  <c r="BT118" i="10"/>
  <c r="BU70" i="10"/>
  <c r="BU69" i="10"/>
  <c r="Y200" i="10"/>
  <c r="AC200" i="10" s="1"/>
  <c r="AD191" i="10"/>
  <c r="X199" i="10"/>
  <c r="V194" i="10"/>
  <c r="AB194" i="10" s="1"/>
  <c r="AD195" i="10"/>
  <c r="Y194" i="10"/>
  <c r="AC194" i="10" s="1"/>
  <c r="Y198" i="10"/>
  <c r="AC198" i="10" s="1"/>
  <c r="AD199" i="10"/>
  <c r="X195" i="10"/>
  <c r="AC195" i="10" s="1"/>
  <c r="V198" i="10"/>
  <c r="AB198" i="10" s="1"/>
  <c r="AC197" i="10"/>
  <c r="AC191" i="10"/>
  <c r="V192" i="10"/>
  <c r="AB192" i="10" s="1"/>
  <c r="V196" i="10"/>
  <c r="AB196" i="10" s="1"/>
  <c r="V200" i="10"/>
  <c r="AB200" i="10" s="1"/>
  <c r="AD198" i="10"/>
  <c r="BT117" i="10"/>
  <c r="V195" i="10"/>
  <c r="AB195" i="10" s="1"/>
  <c r="V199" i="10"/>
  <c r="AB199" i="10" s="1"/>
  <c r="V193" i="10"/>
  <c r="AB193" i="10" s="1"/>
  <c r="V197" i="10"/>
  <c r="AB197" i="10" s="1"/>
  <c r="V191" i="10"/>
  <c r="AB191" i="10" s="1"/>
  <c r="BT66" i="10"/>
  <c r="BU67" i="10"/>
  <c r="BS121" i="10"/>
  <c r="BT122" i="10"/>
  <c r="BT64" i="10"/>
  <c r="BT63" i="10"/>
  <c r="BT119" i="10"/>
  <c r="BU119" i="10" s="1"/>
  <c r="BU122" i="10"/>
  <c r="BP19" i="10"/>
  <c r="BR19" i="10"/>
  <c r="BU68" i="10"/>
  <c r="BS63" i="10"/>
  <c r="BS64" i="10"/>
  <c r="BU72" i="10"/>
  <c r="BQ12" i="10"/>
  <c r="BQ16" i="10"/>
  <c r="BQ20" i="10"/>
  <c r="BS116" i="10"/>
  <c r="BU116" i="10" s="1"/>
  <c r="BP12" i="10"/>
  <c r="BP16" i="10"/>
  <c r="BP20" i="10"/>
  <c r="BU118" i="10"/>
  <c r="BS117" i="10"/>
  <c r="BU117" i="10" s="1"/>
  <c r="BS124" i="10"/>
  <c r="BU124" i="10" s="1"/>
  <c r="BU123" i="10"/>
  <c r="BT115" i="10"/>
  <c r="BU115" i="10" s="1"/>
  <c r="BT121" i="10"/>
  <c r="BU121" i="10" s="1"/>
  <c r="BT120" i="10"/>
  <c r="BU120" i="10" s="1"/>
  <c r="BT65" i="10"/>
  <c r="BU65" i="10" s="1"/>
  <c r="BU71" i="10"/>
  <c r="L129" i="10"/>
  <c r="BU66" i="10"/>
  <c r="L77" i="10"/>
  <c r="BO14" i="10"/>
  <c r="BQ14" i="10"/>
  <c r="BO18" i="10"/>
  <c r="BQ18" i="10"/>
  <c r="BQ13" i="10"/>
  <c r="J15" i="10"/>
  <c r="BQ17" i="10"/>
  <c r="J12" i="10"/>
  <c r="BP13" i="10"/>
  <c r="BR13" i="10"/>
  <c r="J16" i="10"/>
  <c r="BP17" i="10"/>
  <c r="BR17" i="10"/>
  <c r="BT17" i="10" s="1"/>
  <c r="J20" i="10"/>
  <c r="BO11" i="10"/>
  <c r="BQ11" i="10"/>
  <c r="BO15" i="10"/>
  <c r="BQ15" i="10"/>
  <c r="BO19" i="10"/>
  <c r="BQ19" i="10"/>
  <c r="BT19" i="10" s="1"/>
  <c r="H50" i="10"/>
  <c r="BP11" i="10"/>
  <c r="BR11" i="10"/>
  <c r="BP15" i="10"/>
  <c r="BR15" i="10"/>
  <c r="E34" i="10"/>
  <c r="BP14" i="10"/>
  <c r="BR14" i="10"/>
  <c r="BP18" i="10"/>
  <c r="BR18" i="10"/>
  <c r="E33" i="10"/>
  <c r="J19" i="10"/>
  <c r="H33" i="10"/>
  <c r="H34" i="10"/>
  <c r="E45" i="10"/>
  <c r="I51" i="10"/>
  <c r="E53" i="10"/>
  <c r="BR12" i="10"/>
  <c r="BT12" i="10" s="1"/>
  <c r="BO13" i="10"/>
  <c r="BR16" i="10"/>
  <c r="BT16" i="10" s="1"/>
  <c r="BO17" i="10"/>
  <c r="BR20" i="10"/>
  <c r="H46" i="10"/>
  <c r="L48" i="10"/>
  <c r="H54" i="10"/>
  <c r="L44" i="10"/>
  <c r="L52" i="10"/>
  <c r="J11" i="10"/>
  <c r="BO12" i="10"/>
  <c r="J13" i="10"/>
  <c r="J14" i="10"/>
  <c r="BO16" i="10"/>
  <c r="BS16" i="10" s="1"/>
  <c r="J17" i="10"/>
  <c r="J18" i="10"/>
  <c r="BO20" i="10"/>
  <c r="E26" i="10"/>
  <c r="E50" i="10" s="1"/>
  <c r="J26" i="10"/>
  <c r="J46" i="10" s="1"/>
  <c r="I47" i="10"/>
  <c r="E49" i="10"/>
  <c r="I55" i="10"/>
  <c r="BS19" i="10"/>
  <c r="I52" i="10"/>
  <c r="J52" i="10"/>
  <c r="J48" i="10"/>
  <c r="J44" i="10"/>
  <c r="I48" i="10"/>
  <c r="I44" i="10"/>
  <c r="H25" i="10"/>
  <c r="H45" i="10" s="1"/>
  <c r="H32" i="10"/>
  <c r="E48" i="10"/>
  <c r="E52" i="10"/>
  <c r="J25" i="10"/>
  <c r="K26" i="10"/>
  <c r="F44" i="10"/>
  <c r="F45" i="10"/>
  <c r="F46" i="10"/>
  <c r="J47" i="10"/>
  <c r="F48" i="10"/>
  <c r="F49" i="10"/>
  <c r="F50" i="10"/>
  <c r="J51" i="10"/>
  <c r="F52" i="10"/>
  <c r="K25" i="10"/>
  <c r="K44" i="10"/>
  <c r="G45" i="10"/>
  <c r="G46" i="10"/>
  <c r="K47" i="10"/>
  <c r="K48" i="10"/>
  <c r="G49" i="10"/>
  <c r="G50" i="10"/>
  <c r="K51" i="10"/>
  <c r="G53" i="10"/>
  <c r="K55" i="10"/>
  <c r="L47" i="10"/>
  <c r="L51" i="10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J8" i="6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Q8" i="7" s="1"/>
  <c r="BM8" i="7"/>
  <c r="BN8" i="7"/>
  <c r="BG8" i="7"/>
  <c r="E52" i="7"/>
  <c r="F52" i="7"/>
  <c r="G52" i="7"/>
  <c r="H52" i="7"/>
  <c r="E48" i="7"/>
  <c r="F48" i="7"/>
  <c r="G48" i="7"/>
  <c r="H48" i="7"/>
  <c r="G49" i="7"/>
  <c r="E44" i="7"/>
  <c r="F44" i="7"/>
  <c r="G44" i="7"/>
  <c r="H44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K24" i="7"/>
  <c r="L44" i="7" s="1"/>
  <c r="J24" i="7"/>
  <c r="I52" i="7" s="1"/>
  <c r="G23" i="7"/>
  <c r="H51" i="7" s="1"/>
  <c r="F23" i="7"/>
  <c r="E23" i="7" s="1"/>
  <c r="E51" i="7" s="1"/>
  <c r="G22" i="7"/>
  <c r="H22" i="7" s="1"/>
  <c r="F22" i="7"/>
  <c r="E50" i="7" s="1"/>
  <c r="F21" i="7"/>
  <c r="F49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L42" i="13" l="1"/>
  <c r="AI215" i="12"/>
  <c r="AI212" i="12"/>
  <c r="AK213" i="12"/>
  <c r="AM213" i="12" s="1"/>
  <c r="AM211" i="12"/>
  <c r="AN211" i="12" s="1"/>
  <c r="AH212" i="12"/>
  <c r="AL212" i="12" s="1"/>
  <c r="Z202" i="12"/>
  <c r="AD202" i="12" s="1"/>
  <c r="AK216" i="12"/>
  <c r="AH216" i="12"/>
  <c r="AC198" i="12"/>
  <c r="AE196" i="12"/>
  <c r="AE200" i="12"/>
  <c r="AF202" i="12"/>
  <c r="AI216" i="12"/>
  <c r="AJ216" i="12"/>
  <c r="AM216" i="12" s="1"/>
  <c r="AC194" i="12"/>
  <c r="AE194" i="12" s="1"/>
  <c r="AF194" i="12" s="1"/>
  <c r="AC199" i="12"/>
  <c r="AE199" i="12" s="1"/>
  <c r="AE198" i="12"/>
  <c r="AD194" i="12"/>
  <c r="AL208" i="12"/>
  <c r="AF196" i="12"/>
  <c r="AD199" i="12"/>
  <c r="AD197" i="12"/>
  <c r="I106" i="12"/>
  <c r="I102" i="12"/>
  <c r="I98" i="12"/>
  <c r="AA200" i="12"/>
  <c r="AK208" i="12"/>
  <c r="AM208" i="12" s="1"/>
  <c r="W193" i="12"/>
  <c r="AB193" i="12" s="1"/>
  <c r="AE193" i="12" s="1"/>
  <c r="AF193" i="12" s="1"/>
  <c r="AE197" i="12"/>
  <c r="AB201" i="12"/>
  <c r="AE201" i="12" s="1"/>
  <c r="AH215" i="12"/>
  <c r="AL215" i="12" s="1"/>
  <c r="AN215" i="12" s="1"/>
  <c r="AD200" i="12"/>
  <c r="AF200" i="12" s="1"/>
  <c r="AF198" i="12"/>
  <c r="AD201" i="12"/>
  <c r="AF195" i="12"/>
  <c r="AE207" i="12"/>
  <c r="AJ207" i="12" s="1"/>
  <c r="AM207" i="12" s="1"/>
  <c r="AN207" i="12" s="1"/>
  <c r="AM215" i="12"/>
  <c r="AM212" i="12"/>
  <c r="AJ210" i="12"/>
  <c r="AM210" i="12" s="1"/>
  <c r="AM214" i="12"/>
  <c r="AI210" i="12"/>
  <c r="AL210" i="12" s="1"/>
  <c r="AH209" i="12"/>
  <c r="AL209" i="12" s="1"/>
  <c r="AN209" i="12" s="1"/>
  <c r="AI214" i="12"/>
  <c r="AL214" i="12" s="1"/>
  <c r="AN214" i="12" s="1"/>
  <c r="AH213" i="12"/>
  <c r="AL213" i="12" s="1"/>
  <c r="AK207" i="11"/>
  <c r="AI211" i="11"/>
  <c r="Z202" i="11"/>
  <c r="AB202" i="11"/>
  <c r="AC199" i="11"/>
  <c r="AE199" i="11" s="1"/>
  <c r="AA197" i="11"/>
  <c r="AE194" i="11"/>
  <c r="AH207" i="11"/>
  <c r="AL207" i="11" s="1"/>
  <c r="AI215" i="11"/>
  <c r="AL215" i="11" s="1"/>
  <c r="AA193" i="11"/>
  <c r="AD193" i="11" s="1"/>
  <c r="AH209" i="11"/>
  <c r="AK216" i="11"/>
  <c r="AM216" i="11" s="1"/>
  <c r="AI216" i="11"/>
  <c r="AL216" i="11" s="1"/>
  <c r="AJ215" i="11"/>
  <c r="BU116" i="11"/>
  <c r="BU63" i="11"/>
  <c r="L101" i="11"/>
  <c r="AK215" i="11"/>
  <c r="Z201" i="11"/>
  <c r="L105" i="11"/>
  <c r="AA195" i="11"/>
  <c r="AD195" i="11" s="1"/>
  <c r="AB201" i="11"/>
  <c r="AE201" i="11" s="1"/>
  <c r="BU122" i="11"/>
  <c r="AC200" i="11"/>
  <c r="AE200" i="11" s="1"/>
  <c r="AA201" i="11"/>
  <c r="BU66" i="11"/>
  <c r="L53" i="11"/>
  <c r="BU18" i="11"/>
  <c r="L45" i="11"/>
  <c r="AC193" i="11"/>
  <c r="AL212" i="11"/>
  <c r="AA202" i="11"/>
  <c r="AD202" i="11" s="1"/>
  <c r="BU118" i="11"/>
  <c r="BU13" i="11"/>
  <c r="BU67" i="11"/>
  <c r="BU71" i="11"/>
  <c r="AC195" i="11"/>
  <c r="AE195" i="11" s="1"/>
  <c r="AF195" i="11" s="1"/>
  <c r="AE202" i="11"/>
  <c r="AK208" i="11"/>
  <c r="AM208" i="11" s="1"/>
  <c r="AK209" i="11"/>
  <c r="AM209" i="11" s="1"/>
  <c r="AE196" i="11"/>
  <c r="AD200" i="11"/>
  <c r="AM214" i="11"/>
  <c r="AJ207" i="11"/>
  <c r="AH211" i="11"/>
  <c r="AC198" i="11"/>
  <c r="AE198" i="11" s="1"/>
  <c r="BU120" i="11"/>
  <c r="AM213" i="11"/>
  <c r="AD196" i="11"/>
  <c r="AA198" i="11"/>
  <c r="AD198" i="11" s="1"/>
  <c r="AA194" i="11"/>
  <c r="AD194" i="11" s="1"/>
  <c r="AF194" i="11" s="1"/>
  <c r="AA199" i="11"/>
  <c r="AD199" i="11" s="1"/>
  <c r="AB193" i="11"/>
  <c r="Z197" i="11"/>
  <c r="AL214" i="11"/>
  <c r="AN214" i="11" s="1"/>
  <c r="AI208" i="11"/>
  <c r="AL208" i="11" s="1"/>
  <c r="AI213" i="11"/>
  <c r="AL213" i="11" s="1"/>
  <c r="BU14" i="11"/>
  <c r="AM210" i="11"/>
  <c r="BU65" i="11"/>
  <c r="AE197" i="11"/>
  <c r="AI209" i="11"/>
  <c r="AK212" i="11"/>
  <c r="AM212" i="11" s="1"/>
  <c r="AN212" i="11" s="1"/>
  <c r="I54" i="11"/>
  <c r="I50" i="11"/>
  <c r="I46" i="11"/>
  <c r="AM211" i="11"/>
  <c r="AL210" i="11"/>
  <c r="AN212" i="10"/>
  <c r="AN210" i="10"/>
  <c r="AN207" i="10"/>
  <c r="AE195" i="10"/>
  <c r="AC199" i="10"/>
  <c r="AD197" i="10"/>
  <c r="AC196" i="10"/>
  <c r="AE196" i="10" s="1"/>
  <c r="AF196" i="10" s="1"/>
  <c r="AN214" i="10"/>
  <c r="AE199" i="10"/>
  <c r="AE193" i="10"/>
  <c r="AF193" i="10" s="1"/>
  <c r="AF199" i="10"/>
  <c r="AF195" i="10"/>
  <c r="AE192" i="10"/>
  <c r="AF192" i="10" s="1"/>
  <c r="AE200" i="10"/>
  <c r="AF200" i="10" s="1"/>
  <c r="AE194" i="10"/>
  <c r="AF194" i="10" s="1"/>
  <c r="AE191" i="10"/>
  <c r="AF191" i="10" s="1"/>
  <c r="AE198" i="10"/>
  <c r="AF198" i="10" s="1"/>
  <c r="AE197" i="10"/>
  <c r="AF197" i="10" s="1"/>
  <c r="BS14" i="10"/>
  <c r="BT11" i="10"/>
  <c r="J50" i="10"/>
  <c r="BS12" i="10"/>
  <c r="BT14" i="10"/>
  <c r="BU14" i="10" s="1"/>
  <c r="BU64" i="10"/>
  <c r="BT13" i="10"/>
  <c r="BU63" i="10"/>
  <c r="E46" i="10"/>
  <c r="BS20" i="10"/>
  <c r="BU20" i="10" s="1"/>
  <c r="BU16" i="10"/>
  <c r="BS15" i="10"/>
  <c r="BS13" i="10"/>
  <c r="BU13" i="10" s="1"/>
  <c r="BT20" i="10"/>
  <c r="BT15" i="10"/>
  <c r="BT18" i="10"/>
  <c r="BS11" i="10"/>
  <c r="BU11" i="10" s="1"/>
  <c r="BS17" i="10"/>
  <c r="BU17" i="10" s="1"/>
  <c r="BS18" i="10"/>
  <c r="BU19" i="10"/>
  <c r="BU15" i="10"/>
  <c r="BU12" i="10"/>
  <c r="J54" i="10"/>
  <c r="I26" i="10"/>
  <c r="E54" i="10"/>
  <c r="F50" i="7"/>
  <c r="BQ16" i="7"/>
  <c r="BQ14" i="7"/>
  <c r="BO14" i="7"/>
  <c r="BQ13" i="7"/>
  <c r="BO13" i="7"/>
  <c r="BR12" i="7"/>
  <c r="BP12" i="7"/>
  <c r="E46" i="7"/>
  <c r="BO8" i="7"/>
  <c r="E45" i="7"/>
  <c r="H47" i="7"/>
  <c r="H43" i="7"/>
  <c r="E47" i="7"/>
  <c r="G51" i="7"/>
  <c r="F51" i="7"/>
  <c r="K48" i="7"/>
  <c r="H50" i="7"/>
  <c r="H46" i="7"/>
  <c r="G50" i="7"/>
  <c r="BQ9" i="7"/>
  <c r="BO9" i="7"/>
  <c r="E49" i="7"/>
  <c r="G47" i="7"/>
  <c r="G46" i="7"/>
  <c r="L52" i="7"/>
  <c r="E41" i="7"/>
  <c r="L48" i="7"/>
  <c r="F47" i="7"/>
  <c r="F46" i="7"/>
  <c r="K52" i="7"/>
  <c r="BP17" i="7"/>
  <c r="L54" i="10"/>
  <c r="L50" i="10"/>
  <c r="L46" i="10"/>
  <c r="K54" i="10"/>
  <c r="K50" i="10"/>
  <c r="K46" i="10"/>
  <c r="H49" i="10"/>
  <c r="I53" i="10"/>
  <c r="J53" i="10"/>
  <c r="J49" i="10"/>
  <c r="J45" i="10"/>
  <c r="I49" i="10"/>
  <c r="I45" i="10"/>
  <c r="L25" i="10"/>
  <c r="L45" i="10" s="1"/>
  <c r="K53" i="10"/>
  <c r="K49" i="10"/>
  <c r="K45" i="10"/>
  <c r="H53" i="10"/>
  <c r="BR16" i="7"/>
  <c r="BT16" i="7" s="1"/>
  <c r="BP16" i="7"/>
  <c r="BQ17" i="7"/>
  <c r="BO17" i="7"/>
  <c r="BO16" i="7"/>
  <c r="BP11" i="7"/>
  <c r="BR10" i="7"/>
  <c r="BP10" i="7"/>
  <c r="BQ12" i="7"/>
  <c r="BT12" i="7" s="1"/>
  <c r="BO12" i="7"/>
  <c r="BQ11" i="7"/>
  <c r="BO11" i="7"/>
  <c r="BQ10" i="7"/>
  <c r="BO10" i="7"/>
  <c r="BR15" i="7"/>
  <c r="BP15" i="7"/>
  <c r="BQ15" i="7"/>
  <c r="BO15" i="7"/>
  <c r="BR9" i="7"/>
  <c r="BP9" i="7"/>
  <c r="BR14" i="7"/>
  <c r="BT14" i="7" s="1"/>
  <c r="BP14" i="7"/>
  <c r="BR13" i="7"/>
  <c r="BT13" i="7" s="1"/>
  <c r="BP13" i="7"/>
  <c r="BR11" i="7"/>
  <c r="BR8" i="7"/>
  <c r="BT8" i="7" s="1"/>
  <c r="BP8" i="7"/>
  <c r="BR17" i="7"/>
  <c r="J48" i="7"/>
  <c r="I48" i="7"/>
  <c r="J52" i="7"/>
  <c r="F41" i="7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30" i="7"/>
  <c r="J21" i="7"/>
  <c r="E31" i="7"/>
  <c r="K21" i="7"/>
  <c r="K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AN210" i="12" l="1"/>
  <c r="AN212" i="12"/>
  <c r="AN213" i="12"/>
  <c r="AL216" i="12"/>
  <c r="AN216" i="12"/>
  <c r="AF199" i="12"/>
  <c r="AN208" i="12"/>
  <c r="AF201" i="12"/>
  <c r="AF197" i="12"/>
  <c r="AL209" i="11"/>
  <c r="AM215" i="11"/>
  <c r="AN215" i="11" s="1"/>
  <c r="AL211" i="11"/>
  <c r="AN211" i="11" s="1"/>
  <c r="AM207" i="11"/>
  <c r="AN216" i="11"/>
  <c r="AD197" i="11"/>
  <c r="AE193" i="11"/>
  <c r="AF193" i="11" s="1"/>
  <c r="AF199" i="11"/>
  <c r="AD201" i="11"/>
  <c r="AF201" i="11" s="1"/>
  <c r="AF200" i="11"/>
  <c r="AF197" i="11"/>
  <c r="AF196" i="11"/>
  <c r="AN210" i="11"/>
  <c r="AN209" i="11"/>
  <c r="AN213" i="11"/>
  <c r="AN207" i="11"/>
  <c r="AN208" i="11"/>
  <c r="AF198" i="11"/>
  <c r="AF202" i="11"/>
  <c r="BU18" i="10"/>
  <c r="L49" i="10"/>
  <c r="L53" i="10"/>
  <c r="I54" i="10"/>
  <c r="I50" i="10"/>
  <c r="I46" i="10"/>
  <c r="BS8" i="7"/>
  <c r="BS13" i="7"/>
  <c r="BU13" i="7" s="1"/>
  <c r="BT10" i="7"/>
  <c r="BS14" i="7"/>
  <c r="BU14" i="7" s="1"/>
  <c r="BS12" i="7"/>
  <c r="BU8" i="7"/>
  <c r="BT15" i="7"/>
  <c r="BT9" i="7"/>
  <c r="BS9" i="7"/>
  <c r="BS15" i="7"/>
  <c r="BS11" i="7"/>
  <c r="BS16" i="7"/>
  <c r="BU16" i="7" s="1"/>
  <c r="BS17" i="7"/>
  <c r="L51" i="7"/>
  <c r="K47" i="7"/>
  <c r="L47" i="7"/>
  <c r="K51" i="7"/>
  <c r="BU12" i="7"/>
  <c r="K46" i="7"/>
  <c r="K50" i="7"/>
  <c r="J45" i="7"/>
  <c r="J49" i="7"/>
  <c r="I45" i="7"/>
  <c r="I49" i="7"/>
  <c r="BS10" i="7"/>
  <c r="J47" i="7"/>
  <c r="J51" i="7"/>
  <c r="I50" i="7"/>
  <c r="J46" i="7"/>
  <c r="J50" i="7"/>
  <c r="I46" i="7"/>
  <c r="BT17" i="7"/>
  <c r="BT11" i="7"/>
  <c r="BU15" i="7"/>
  <c r="K45" i="7"/>
  <c r="K49" i="7"/>
  <c r="H41" i="7"/>
  <c r="H45" i="7"/>
  <c r="H49" i="7"/>
  <c r="I23" i="7"/>
  <c r="J43" i="7"/>
  <c r="J42" i="7"/>
  <c r="J41" i="7"/>
  <c r="I41" i="7"/>
  <c r="L22" i="7"/>
  <c r="L50" i="7" s="1"/>
  <c r="K42" i="7"/>
  <c r="L43" i="7"/>
  <c r="K43" i="7"/>
  <c r="L45" i="7"/>
  <c r="K41" i="7"/>
  <c r="BU10" i="7" l="1"/>
  <c r="BU9" i="7"/>
  <c r="BU11" i="7"/>
  <c r="BU17" i="7"/>
  <c r="I47" i="7"/>
  <c r="I51" i="7"/>
  <c r="L46" i="7"/>
  <c r="L42" i="7"/>
  <c r="L41" i="7"/>
  <c r="L49" i="7"/>
  <c r="I42" i="7"/>
  <c r="I43" i="7"/>
  <c r="I17" i="7" l="1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J8" i="7" l="1"/>
  <c r="J12" i="7"/>
  <c r="J16" i="7"/>
  <c r="J11" i="7"/>
  <c r="J10" i="7"/>
  <c r="J14" i="7"/>
  <c r="J15" i="7"/>
  <c r="J9" i="7"/>
  <c r="J13" i="7"/>
  <c r="J17" i="7"/>
  <c r="J6" i="5"/>
  <c r="J5" i="5"/>
  <c r="J7" i="5"/>
  <c r="J8" i="5"/>
  <c r="J9" i="5"/>
  <c r="I58" i="4" l="1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G59" i="4" l="1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I60" i="4" l="1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F42" i="4" l="1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<sst xmlns="http://schemas.openxmlformats.org/spreadsheetml/2006/main" count="3124" uniqueCount="226">
  <si>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</si>
  <si>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</si>
  <si>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</si>
  <si>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</si>
  <si>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</si>
  <si>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</si>
  <si>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</si>
  <si>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</si>
  <si>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</si>
  <si>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</si>
  <si>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</si>
  <si>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</si>
  <si>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</si>
  <si>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</si>
  <si>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</si>
  <si>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</si>
  <si>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</si>
  <si>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</si>
  <si>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</si>
  <si>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</si>
  <si>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</si>
  <si>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</si>
  <si>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</si>
  <si>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</si>
  <si>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</si>
  <si>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</si>
  <si>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</si>
  <si>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</si>
  <si>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</si>
  <si>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</si>
  <si>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</si>
  <si>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</si>
  <si>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</si>
  <si>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</si>
  <si>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</si>
  <si>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</si>
  <si>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</si>
  <si>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</si>
  <si>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</si>
  <si>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</si>
  <si>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</si>
  <si>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</si>
  <si>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</si>
  <si>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</si>
  <si>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</si>
  <si>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</si>
  <si>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</si>
  <si>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</si>
  <si>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</si>
  <si>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</si>
  <si>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</si>
  <si>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</si>
  <si>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</si>
  <si>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</si>
  <si>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</si>
  <si>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</si>
  <si>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</si>
  <si>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</si>
  <si>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</si>
  <si>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</si>
  <si>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</si>
  <si>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</si>
  <si>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</si>
  <si>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</si>
  <si>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</si>
  <si>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</si>
  <si>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</si>
  <si>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</si>
  <si>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</si>
  <si>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</si>
  <si>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</si>
  <si>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</si>
  <si>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</si>
  <si>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</si>
  <si>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</si>
  <si>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</si>
  <si>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</si>
  <si>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</si>
  <si>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</si>
  <si>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</si>
  <si>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</si>
  <si>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</si>
  <si>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</si>
  <si>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</si>
  <si>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</si>
  <si>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</si>
  <si>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</si>
  <si>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</si>
  <si>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</si>
  <si>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</si>
  <si>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</si>
  <si>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</si>
  <si>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</si>
  <si>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</si>
  <si>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</si>
  <si>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</si>
  <si>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</si>
  <si>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</si>
  <si>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433-437.</t>
    </r>
    <r>
      <rPr>
        <sz val="11"/>
        <color theme="1"/>
        <rFont val="Calibri"/>
        <family val="2"/>
        <charset val="204"/>
        <scheme val="minor"/>
      </rPr>
      <t>)</t>
    </r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</si>
  <si>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</si>
  <si>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</si>
  <si>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</si>
  <si>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</si>
  <si>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</si>
  <si>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</si>
  <si>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</si>
  <si>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</si>
  <si>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</si>
  <si>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</si>
  <si>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</si>
  <si>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</si>
  <si>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</si>
  <si>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</si>
  <si>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</si>
  <si>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</si>
  <si>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</si>
  <si>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</si>
  <si>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</si>
  <si>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</si>
  <si>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</si>
  <si>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</si>
  <si>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</si>
  <si>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</si>
  <si>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</si>
  <si>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</si>
  <si>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</si>
  <si>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</si>
  <si>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</si>
  <si>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</si>
  <si>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</si>
  <si>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</si>
  <si>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</si>
  <si>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</si>
  <si>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</si>
  <si>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</si>
  <si>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</si>
  <si>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</si>
  <si>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</si>
  <si>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</si>
  <si>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</si>
  <si>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</si>
  <si>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</si>
  <si>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</si>
  <si>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</si>
  <si>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</si>
  <si>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</si>
  <si>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</si>
  <si>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</si>
  <si>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</si>
  <si>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</si>
  <si>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</si>
  <si>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</si>
  <si>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</si>
  <si>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</si>
  <si>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</si>
  <si>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</si>
  <si>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</si>
  <si>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</si>
  <si>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</si>
  <si>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</si>
  <si>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</si>
  <si>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</si>
  <si>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</si>
  <si>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</si>
  <si>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</si>
  <si>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</si>
  <si>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</si>
  <si>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</si>
  <si>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</si>
  <si>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</si>
  <si>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</si>
  <si>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</si>
  <si>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</si>
  <si>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</si>
  <si>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</si>
  <si>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</si>
  <si>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</si>
  <si>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</si>
  <si>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</si>
  <si>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</si>
  <si>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</si>
  <si>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</si>
  <si>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</si>
  <si>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</si>
  <si>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</si>
  <si>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</si>
  <si>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</si>
  <si>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</si>
  <si>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</si>
  <si>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</si>
  <si>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</si>
  <si>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4_Весовые коэффициенты для функциональных требований</t>
  </si>
  <si>
    <t>Таблица 5_произведение веса функционального FR требования на приоритет нефункционального требовани NFR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</si>
  <si>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</si>
  <si>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</si>
  <si>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</si>
  <si>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</si>
  <si>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</si>
  <si>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</si>
  <si>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</si>
  <si>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</si>
  <si>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</si>
  <si>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</si>
  <si>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</si>
  <si>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</si>
  <si>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</si>
  <si>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</si>
  <si>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</si>
  <si>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</si>
  <si>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</si>
  <si>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</si>
  <si>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</si>
  <si>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</si>
  <si>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</si>
  <si>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</si>
  <si>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</si>
  <si>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</si>
  <si>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</si>
  <si>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</si>
  <si>
    <t>Таблица 5_Удельные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</si>
  <si>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нечетких трапециевидных чисел 2-го типа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</si>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</sst>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FF0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53">
    <xf numFmtId="0" fontId="0" fillId="0" borderId="0" xfId="0"/>
    <xf numFmtId="0" fontId="6" fillId="0" borderId="0" xfId="0" applyFont="1"/>
    <xf numFmtId="0" fontId="0" fillId="0" borderId="1" xfId="0" applyBorder="1"/>
    <xf numFmtId="0" fontId="6" fillId="0" borderId="1" xfId="0" applyFont="1" applyBorder="1"/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6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6" fillId="2" borderId="5" xfId="0" applyFont="1" applyFill="1" applyBorder="1"/>
    <xf numFmtId="0" fontId="6" fillId="3" borderId="21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6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6" fillId="0" borderId="18" xfId="0" applyFont="1" applyBorder="1"/>
    <xf numFmtId="0" fontId="6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6" fillId="0" borderId="24" xfId="0" applyNumberFormat="1" applyFont="1" applyBorder="1"/>
    <xf numFmtId="3" fontId="6" fillId="0" borderId="25" xfId="0" applyNumberFormat="1" applyFont="1" applyBorder="1"/>
    <xf numFmtId="3" fontId="6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6" fillId="4" borderId="1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6" fillId="0" borderId="0" xfId="0" applyFont="1" applyAlignment="1">
      <alignment horizontal="center" vertical="center"/>
    </xf>
    <xf numFmtId="2" fontId="6" fillId="6" borderId="18" xfId="0" applyNumberFormat="1" applyFont="1" applyFill="1" applyBorder="1"/>
    <xf numFmtId="2" fontId="6" fillId="6" borderId="20" xfId="0" applyNumberFormat="1" applyFont="1" applyFill="1" applyBorder="1"/>
    <xf numFmtId="2" fontId="6" fillId="0" borderId="0" xfId="0" applyNumberFormat="1" applyFont="1"/>
    <xf numFmtId="2" fontId="6" fillId="7" borderId="35" xfId="0" applyNumberFormat="1" applyFont="1" applyFill="1" applyBorder="1"/>
    <xf numFmtId="4" fontId="6" fillId="0" borderId="24" xfId="0" applyNumberFormat="1" applyFont="1" applyBorder="1"/>
    <xf numFmtId="4" fontId="6" fillId="0" borderId="25" xfId="0" applyNumberFormat="1" applyFont="1" applyBorder="1"/>
    <xf numFmtId="4" fontId="6" fillId="0" borderId="26" xfId="0" applyNumberFormat="1" applyFont="1" applyBorder="1"/>
    <xf numFmtId="2" fontId="6" fillId="6" borderId="19" xfId="0" applyNumberFormat="1" applyFont="1" applyFill="1" applyBorder="1"/>
    <xf numFmtId="2" fontId="6" fillId="7" borderId="36" xfId="0" applyNumberFormat="1" applyFont="1" applyFill="1" applyBorder="1"/>
    <xf numFmtId="2" fontId="6" fillId="8" borderId="6" xfId="0" applyNumberFormat="1" applyFont="1" applyFill="1" applyBorder="1"/>
    <xf numFmtId="0" fontId="6" fillId="4" borderId="1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5" fillId="0" borderId="0" xfId="0" applyFont="1"/>
    <xf numFmtId="0" fontId="8" fillId="0" borderId="0" xfId="0" applyFont="1"/>
    <xf numFmtId="0" fontId="4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1" fillId="0" borderId="0" xfId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4" fontId="6" fillId="0" borderId="26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vertical="center"/>
    </xf>
    <xf numFmtId="0" fontId="0" fillId="0" borderId="8" xfId="0" applyBorder="1"/>
    <xf numFmtId="0" fontId="3" fillId="0" borderId="13" xfId="0" applyFont="1" applyBorder="1" applyAlignment="1">
      <alignment vertical="center"/>
    </xf>
    <xf numFmtId="0" fontId="0" fillId="0" borderId="13" xfId="0" applyBorder="1"/>
    <xf numFmtId="0" fontId="3" fillId="0" borderId="37" xfId="0" applyFont="1" applyBorder="1" applyAlignment="1">
      <alignment vertical="center" wrapText="1"/>
    </xf>
    <xf numFmtId="0" fontId="6" fillId="0" borderId="10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2" fillId="0" borderId="7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24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2" fontId="2" fillId="0" borderId="38" xfId="0" applyNumberFormat="1" applyFont="1" applyBorder="1"/>
    <xf numFmtId="2" fontId="2" fillId="0" borderId="40" xfId="0" applyNumberFormat="1" applyFont="1" applyBorder="1"/>
    <xf numFmtId="2" fontId="2" fillId="0" borderId="41" xfId="0" applyNumberFormat="1" applyFont="1" applyBorder="1"/>
    <xf numFmtId="2" fontId="2" fillId="0" borderId="42" xfId="0" applyNumberFormat="1" applyFont="1" applyBorder="1"/>
    <xf numFmtId="2" fontId="2" fillId="0" borderId="43" xfId="0" applyNumberFormat="1" applyFont="1" applyBorder="1"/>
    <xf numFmtId="2" fontId="2" fillId="0" borderId="36" xfId="0" applyNumberFormat="1" applyFont="1" applyBorder="1"/>
    <xf numFmtId="2" fontId="2" fillId="0" borderId="39" xfId="0" applyNumberFormat="1" applyFont="1" applyBorder="1"/>
    <xf numFmtId="2" fontId="2" fillId="0" borderId="0" xfId="0" applyNumberFormat="1" applyFont="1"/>
    <xf numFmtId="2" fontId="2" fillId="0" borderId="44" xfId="0" applyNumberFormat="1" applyFont="1" applyBorder="1"/>
    <xf numFmtId="0" fontId="0" fillId="0" borderId="5" xfId="0" applyBorder="1" applyAlignment="1">
      <alignment wrapText="1"/>
    </xf>
    <xf numFmtId="0" fontId="12" fillId="0" borderId="0" xfId="0" applyFont="1" applyAlignment="1">
      <alignment wrapText="1"/>
    </xf>
    <xf numFmtId="164" fontId="0" fillId="0" borderId="11" xfId="0" applyNumberFormat="1" applyBorder="1"/>
    <xf numFmtId="164" fontId="0" fillId="0" borderId="14" xfId="0" applyNumberFormat="1" applyBorder="1"/>
    <xf numFmtId="0" fontId="13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6" fillId="0" borderId="1" xfId="0" applyFont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1" xfId="0" applyNumberFormat="1" applyFill="1" applyBorder="1" applyAlignment="1">
      <alignment wrapText="1"/>
    </xf>
    <xf numFmtId="4" fontId="0" fillId="3" borderId="14" xfId="0" applyNumberFormat="1" applyFill="1" applyBorder="1" applyAlignment="1">
      <alignment wrapText="1"/>
    </xf>
    <xf numFmtId="0" fontId="0" fillId="3" borderId="10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37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6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wrapText="1"/>
    </xf>
    <xf numFmtId="0" fontId="3" fillId="0" borderId="17" xfId="0" applyFont="1" applyBorder="1" applyAlignment="1">
      <alignment wrapText="1"/>
    </xf>
    <xf numFmtId="0" fontId="0" fillId="0" borderId="47" xfId="0" applyBorder="1"/>
    <xf numFmtId="0" fontId="0" fillId="0" borderId="48" xfId="0" applyBorder="1"/>
    <xf numFmtId="0" fontId="0" fillId="0" borderId="21" xfId="0" applyBorder="1"/>
    <xf numFmtId="0" fontId="3" fillId="0" borderId="21" xfId="0" applyFont="1" applyBorder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6" fillId="0" borderId="24" xfId="0" applyFont="1" applyBorder="1" applyAlignment="1">
      <alignment wrapText="1"/>
    </xf>
    <xf numFmtId="0" fontId="6" fillId="0" borderId="26" xfId="0" applyFont="1" applyBorder="1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6" fillId="0" borderId="18" xfId="0" applyFont="1" applyBorder="1" applyAlignment="1">
      <alignment horizontal="center" vertical="center" wrapText="1"/>
    </xf>
    <xf numFmtId="0" fontId="0" fillId="9" borderId="0" xfId="0" applyFill="1"/>
    <xf numFmtId="0" fontId="0" fillId="9" borderId="10" xfId="0" applyFill="1" applyBorder="1"/>
    <xf numFmtId="0" fontId="0" fillId="9" borderId="1" xfId="0" applyFill="1" applyBorder="1"/>
    <xf numFmtId="0" fontId="0" fillId="9" borderId="11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38" xfId="0" applyFill="1" applyBorder="1"/>
    <xf numFmtId="0" fontId="0" fillId="9" borderId="40" xfId="0" applyFill="1" applyBorder="1"/>
    <xf numFmtId="0" fontId="0" fillId="9" borderId="41" xfId="0" applyFill="1" applyBorder="1"/>
    <xf numFmtId="0" fontId="0" fillId="9" borderId="42" xfId="0" applyFill="1" applyBorder="1"/>
    <xf numFmtId="0" fontId="0" fillId="9" borderId="43" xfId="0" applyFill="1" applyBorder="1"/>
    <xf numFmtId="0" fontId="0" fillId="9" borderId="36" xfId="0" applyFill="1" applyBorder="1"/>
    <xf numFmtId="0" fontId="0" fillId="0" borderId="52" xfId="0" applyBorder="1"/>
    <xf numFmtId="0" fontId="6" fillId="0" borderId="45" xfId="0" applyFont="1" applyBorder="1" applyAlignment="1">
      <alignment horizontal="center" vertical="center" wrapText="1"/>
    </xf>
    <xf numFmtId="0" fontId="6" fillId="0" borderId="24" xfId="0" applyFont="1" applyBorder="1"/>
    <xf numFmtId="0" fontId="6" fillId="0" borderId="26" xfId="0" applyFont="1" applyBorder="1"/>
    <xf numFmtId="0" fontId="0" fillId="0" borderId="31" xfId="0" applyBorder="1"/>
    <xf numFmtId="0" fontId="6" fillId="0" borderId="49" xfId="0" applyFont="1" applyBorder="1"/>
    <xf numFmtId="0" fontId="6" fillId="0" borderId="51" xfId="0" applyFont="1" applyBorder="1"/>
    <xf numFmtId="0" fontId="6" fillId="0" borderId="53" xfId="0" applyFont="1" applyBorder="1" applyAlignment="1">
      <alignment horizontal="center" vertical="center" wrapText="1"/>
    </xf>
    <xf numFmtId="0" fontId="0" fillId="0" borderId="15" xfId="0" applyBorder="1"/>
    <xf numFmtId="0" fontId="0" fillId="9" borderId="39" xfId="0" applyFill="1" applyBorder="1"/>
    <xf numFmtId="0" fontId="0" fillId="9" borderId="44" xfId="0" applyFill="1" applyBorder="1"/>
    <xf numFmtId="0" fontId="0" fillId="7" borderId="41" xfId="0" applyFill="1" applyBorder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/>
    <xf numFmtId="0" fontId="0" fillId="0" borderId="18" xfId="0" applyBorder="1"/>
    <xf numFmtId="0" fontId="0" fillId="0" borderId="20" xfId="0" applyBorder="1"/>
    <xf numFmtId="0" fontId="6" fillId="0" borderId="45" xfId="0" applyFont="1" applyBorder="1"/>
    <xf numFmtId="0" fontId="6" fillId="0" borderId="35" xfId="0" applyFont="1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40" xfId="0" applyBorder="1" applyAlignment="1">
      <alignment wrapText="1"/>
    </xf>
    <xf numFmtId="4" fontId="6" fillId="0" borderId="24" xfId="0" applyNumberFormat="1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FFCC"/>
      <color rgb="FFCCFFFF"/>
      <color rgb="FF66CCFF"/>
      <color rgb="FFCCFFCC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204" t="s">
        <v>6</v>
      </c>
      <c r="C4" s="203" t="s">
        <v>7</v>
      </c>
      <c r="D4" s="203"/>
      <c r="E4" s="203"/>
      <c r="F4" s="203"/>
      <c r="G4" s="203" t="s">
        <v>0</v>
      </c>
    </row>
    <row r="5" spans="2:7" x14ac:dyDescent="0.25">
      <c r="B5" s="205"/>
      <c r="C5" s="4" t="s">
        <v>1</v>
      </c>
      <c r="D5" s="4" t="s">
        <v>2</v>
      </c>
      <c r="E5" s="4" t="s">
        <v>3</v>
      </c>
      <c r="F5" s="4" t="s">
        <v>4</v>
      </c>
      <c r="G5" s="203"/>
    </row>
    <row r="6" spans="2:7" ht="45" x14ac:dyDescent="0.25">
      <c r="B6" s="206"/>
      <c r="C6" s="4" t="s">
        <v>11</v>
      </c>
      <c r="D6" s="5" t="s">
        <v>13</v>
      </c>
      <c r="E6" s="4" t="s">
        <v>12</v>
      </c>
      <c r="F6" s="4" t="s">
        <v>14</v>
      </c>
      <c r="G6" s="203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210" t="s">
        <v>7</v>
      </c>
      <c r="C14" s="207" t="s">
        <v>6</v>
      </c>
      <c r="D14" s="208"/>
      <c r="E14" s="209"/>
    </row>
    <row r="15" spans="2:7" x14ac:dyDescent="0.25">
      <c r="B15" s="211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67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10" t="s">
        <v>7</v>
      </c>
      <c r="C5" s="207" t="s">
        <v>6</v>
      </c>
      <c r="D5" s="208"/>
      <c r="E5" s="209"/>
    </row>
    <row r="6" spans="2:10" x14ac:dyDescent="0.25">
      <c r="B6" s="211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12" t="s">
        <v>17</v>
      </c>
      <c r="D15" s="213"/>
      <c r="E15" s="213"/>
      <c r="F15" s="214"/>
      <c r="G15" s="212" t="s">
        <v>18</v>
      </c>
      <c r="H15" s="213"/>
      <c r="I15" s="213"/>
      <c r="J15" s="214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12" t="s">
        <v>17</v>
      </c>
      <c r="D33" s="213"/>
      <c r="E33" s="213"/>
      <c r="F33" s="214"/>
      <c r="G33" s="212" t="s">
        <v>18</v>
      </c>
      <c r="H33" s="213"/>
      <c r="I33" s="213"/>
      <c r="J33" s="214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12" t="s">
        <v>17</v>
      </c>
      <c r="D51" s="213"/>
      <c r="E51" s="213"/>
      <c r="F51" s="214"/>
      <c r="G51" s="212" t="s">
        <v>18</v>
      </c>
      <c r="H51" s="213"/>
      <c r="I51" s="213"/>
      <c r="J51" s="214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topLeftCell="B43" workbookViewId="0">
      <selection activeCell="B21" sqref="B21:C2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16" t="s">
        <v>98</v>
      </c>
      <c r="B3" s="217"/>
      <c r="C3" s="217"/>
      <c r="D3" s="218"/>
      <c r="E3" s="218"/>
    </row>
    <row r="4" spans="1:10" x14ac:dyDescent="0.25">
      <c r="A4" s="1" t="s">
        <v>110</v>
      </c>
      <c r="B4" s="99"/>
      <c r="C4" s="99"/>
    </row>
    <row r="5" spans="1:10" x14ac:dyDescent="0.25">
      <c r="A5" s="100" t="s">
        <v>109</v>
      </c>
      <c r="B5" s="99"/>
      <c r="C5" s="99"/>
    </row>
    <row r="6" spans="1:10" ht="75.75" customHeight="1" x14ac:dyDescent="0.25">
      <c r="A6" s="215" t="s">
        <v>85</v>
      </c>
      <c r="B6" s="215" t="s">
        <v>86</v>
      </c>
      <c r="C6" s="215" t="s">
        <v>87</v>
      </c>
      <c r="D6" s="215" t="s">
        <v>127</v>
      </c>
      <c r="E6" s="215"/>
      <c r="F6" s="215"/>
      <c r="G6" s="215" t="s">
        <v>128</v>
      </c>
      <c r="H6" s="215"/>
      <c r="I6" s="215"/>
      <c r="J6" s="215" t="s">
        <v>118</v>
      </c>
    </row>
    <row r="7" spans="1:10" s="97" customFormat="1" ht="18" customHeight="1" x14ac:dyDescent="0.25">
      <c r="A7" s="215"/>
      <c r="B7" s="215"/>
      <c r="C7" s="215"/>
      <c r="D7" s="107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15"/>
    </row>
    <row r="8" spans="1:10" ht="30" x14ac:dyDescent="0.25">
      <c r="A8" s="102" t="s">
        <v>8</v>
      </c>
      <c r="B8" s="102" t="s">
        <v>84</v>
      </c>
      <c r="C8" s="103" t="s">
        <v>72</v>
      </c>
      <c r="D8" s="110" t="s">
        <v>104</v>
      </c>
      <c r="E8" s="110" t="s">
        <v>105</v>
      </c>
      <c r="F8" s="110" t="s">
        <v>104</v>
      </c>
      <c r="G8" s="110">
        <f>IF(D8=$A$21,$B$21,(IF(D8=$A$22,$B$22,IF(D8=$A$23,$B$23,$B$24))))</f>
        <v>1</v>
      </c>
      <c r="H8" s="110">
        <f t="shared" ref="H8:I8" si="0">IF(E8=$A$21,$B$21,(IF(E8=$A$22,$B$22,IF(E8=$A$23,$B$23,$B$24))))</f>
        <v>0.66</v>
      </c>
      <c r="I8" s="110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10" t="s">
        <v>106</v>
      </c>
      <c r="E9" s="110" t="s">
        <v>106</v>
      </c>
      <c r="F9" s="110" t="s">
        <v>105</v>
      </c>
      <c r="G9" s="110">
        <f>IF(D9=$A$21,$B$21,(IF(D9=$A$22,$B$22,IF(D9=$A$23,$B$23,$B$24))))</f>
        <v>0.33</v>
      </c>
      <c r="H9" s="110">
        <f t="shared" ref="H9:H10" si="1">IF(E9=$A$21,$B$21,(IF(E9=$A$22,$B$22,IF(E9=$A$23,$B$23,$B$24))))</f>
        <v>0.33</v>
      </c>
      <c r="I9" s="110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10" t="s">
        <v>105</v>
      </c>
      <c r="E10" s="110" t="s">
        <v>105</v>
      </c>
      <c r="F10" s="110" t="s">
        <v>105</v>
      </c>
      <c r="G10" s="110">
        <f t="shared" ref="G10:G17" si="4">IF(D10=$A$21,$B$21,(IF(D10=$A$22,$B$22,IF(D10=$A$23,$B$23,$B$24))))</f>
        <v>0.66</v>
      </c>
      <c r="H10" s="110">
        <f t="shared" si="1"/>
        <v>0.66</v>
      </c>
      <c r="I10" s="110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10" t="s">
        <v>104</v>
      </c>
      <c r="E11" s="110" t="s">
        <v>105</v>
      </c>
      <c r="F11" s="110" t="s">
        <v>105</v>
      </c>
      <c r="G11" s="110">
        <f t="shared" si="4"/>
        <v>1</v>
      </c>
      <c r="H11" s="110">
        <f t="shared" ref="H11:H17" si="5">IF(E11=$A$21,$B$21,(IF(E11=$A$22,$B$22,IF(E11=$A$23,$B$23,$B$24))))</f>
        <v>0.66</v>
      </c>
      <c r="I11" s="110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10" t="s">
        <v>105</v>
      </c>
      <c r="E12" s="110" t="s">
        <v>104</v>
      </c>
      <c r="F12" s="110" t="s">
        <v>105</v>
      </c>
      <c r="G12" s="110">
        <f t="shared" si="4"/>
        <v>0.66</v>
      </c>
      <c r="H12" s="110">
        <f t="shared" si="5"/>
        <v>1</v>
      </c>
      <c r="I12" s="110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10" t="s">
        <v>104</v>
      </c>
      <c r="E13" s="110" t="s">
        <v>105</v>
      </c>
      <c r="F13" s="110" t="s">
        <v>106</v>
      </c>
      <c r="G13" s="110">
        <f t="shared" si="4"/>
        <v>1</v>
      </c>
      <c r="H13" s="110">
        <f t="shared" si="5"/>
        <v>0.66</v>
      </c>
      <c r="I13" s="110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10" t="s">
        <v>104</v>
      </c>
      <c r="E14" s="110" t="s">
        <v>105</v>
      </c>
      <c r="F14" s="110" t="s">
        <v>106</v>
      </c>
      <c r="G14" s="110">
        <f t="shared" si="4"/>
        <v>1</v>
      </c>
      <c r="H14" s="110">
        <f t="shared" si="5"/>
        <v>0.66</v>
      </c>
      <c r="I14" s="110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10" t="s">
        <v>105</v>
      </c>
      <c r="E15" s="110" t="s">
        <v>104</v>
      </c>
      <c r="F15" s="110" t="s">
        <v>104</v>
      </c>
      <c r="G15" s="110">
        <f t="shared" si="4"/>
        <v>0.66</v>
      </c>
      <c r="H15" s="110">
        <f t="shared" si="5"/>
        <v>1</v>
      </c>
      <c r="I15" s="110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10" t="s">
        <v>105</v>
      </c>
      <c r="E16" s="110" t="s">
        <v>104</v>
      </c>
      <c r="F16" s="110" t="s">
        <v>105</v>
      </c>
      <c r="G16" s="110">
        <f t="shared" si="4"/>
        <v>0.66</v>
      </c>
      <c r="H16" s="110">
        <f t="shared" si="5"/>
        <v>1</v>
      </c>
      <c r="I16" s="110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10" t="s">
        <v>106</v>
      </c>
      <c r="E17" s="110" t="s">
        <v>104</v>
      </c>
      <c r="F17" s="110" t="s">
        <v>105</v>
      </c>
      <c r="G17" s="110">
        <f t="shared" si="4"/>
        <v>0.33</v>
      </c>
      <c r="H17" s="110">
        <f t="shared" si="5"/>
        <v>1</v>
      </c>
      <c r="I17" s="110">
        <f t="shared" si="6"/>
        <v>0.66</v>
      </c>
      <c r="J17" s="2">
        <f t="shared" si="3"/>
        <v>8.2750000000000004</v>
      </c>
    </row>
    <row r="19" spans="1:10" x14ac:dyDescent="0.25">
      <c r="A19" s="100" t="s">
        <v>111</v>
      </c>
    </row>
    <row r="20" spans="1:10" x14ac:dyDescent="0.25">
      <c r="A20" s="107" t="s">
        <v>103</v>
      </c>
      <c r="B20" s="108" t="s">
        <v>122</v>
      </c>
      <c r="C20" s="108" t="s">
        <v>123</v>
      </c>
    </row>
    <row r="21" spans="1:10" x14ac:dyDescent="0.25">
      <c r="A21" s="102" t="s">
        <v>104</v>
      </c>
      <c r="B21" s="2">
        <v>1</v>
      </c>
      <c r="C21" s="2">
        <v>7.5</v>
      </c>
    </row>
    <row r="22" spans="1:10" x14ac:dyDescent="0.25">
      <c r="A22" s="102" t="s">
        <v>105</v>
      </c>
      <c r="B22" s="2">
        <v>0.66</v>
      </c>
      <c r="C22" s="2">
        <v>5</v>
      </c>
    </row>
    <row r="23" spans="1:10" x14ac:dyDescent="0.25">
      <c r="A23" s="102" t="s">
        <v>106</v>
      </c>
      <c r="B23" s="2">
        <v>0.33</v>
      </c>
      <c r="C23" s="2">
        <v>2.5</v>
      </c>
    </row>
    <row r="24" spans="1:10" x14ac:dyDescent="0.25">
      <c r="A24" s="102" t="s">
        <v>107</v>
      </c>
      <c r="B24" s="2">
        <v>0</v>
      </c>
      <c r="C24" s="2">
        <v>1</v>
      </c>
    </row>
    <row r="26" spans="1:10" x14ac:dyDescent="0.25">
      <c r="A26" s="100" t="s">
        <v>112</v>
      </c>
    </row>
    <row r="27" spans="1:10" ht="60.75" thickBot="1" x14ac:dyDescent="0.3">
      <c r="A27" s="107" t="s">
        <v>117</v>
      </c>
      <c r="B27" s="108" t="s">
        <v>99</v>
      </c>
      <c r="C27" s="107" t="s">
        <v>108</v>
      </c>
      <c r="D27" s="109" t="s">
        <v>113</v>
      </c>
    </row>
    <row r="28" spans="1:10" x14ac:dyDescent="0.25">
      <c r="A28" s="125" t="s">
        <v>114</v>
      </c>
      <c r="B28" s="104" t="s">
        <v>100</v>
      </c>
      <c r="C28" s="2" t="s">
        <v>104</v>
      </c>
      <c r="D28" s="105">
        <v>7.5</v>
      </c>
    </row>
    <row r="29" spans="1:10" x14ac:dyDescent="0.25">
      <c r="A29" s="126" t="s">
        <v>115</v>
      </c>
      <c r="B29" s="104" t="s">
        <v>101</v>
      </c>
      <c r="C29" s="2" t="s">
        <v>106</v>
      </c>
      <c r="D29" s="105">
        <v>2.5</v>
      </c>
    </row>
    <row r="30" spans="1:10" ht="15.75" thickBot="1" x14ac:dyDescent="0.3">
      <c r="A30" s="127" t="s">
        <v>116</v>
      </c>
      <c r="B30" s="104" t="s">
        <v>102</v>
      </c>
      <c r="C30" s="2" t="s">
        <v>105</v>
      </c>
      <c r="D30" s="105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10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13"/>
  <sheetViews>
    <sheetView topLeftCell="A94" workbookViewId="0">
      <selection activeCell="B108" sqref="B108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216" t="s">
        <v>98</v>
      </c>
      <c r="B3" s="217"/>
      <c r="C3" s="217"/>
      <c r="D3" s="218"/>
      <c r="E3" s="218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49" t="s">
        <v>160</v>
      </c>
      <c r="B6" s="99"/>
      <c r="C6" s="99"/>
    </row>
    <row r="7" spans="1:10" x14ac:dyDescent="0.25">
      <c r="A7" s="1" t="s">
        <v>110</v>
      </c>
      <c r="B7" s="99"/>
      <c r="C7" s="99"/>
    </row>
    <row r="8" spans="1:10" x14ac:dyDescent="0.25">
      <c r="A8" s="100" t="s">
        <v>163</v>
      </c>
      <c r="B8" s="99"/>
      <c r="C8" s="99"/>
    </row>
    <row r="9" spans="1:10" ht="75.75" customHeight="1" x14ac:dyDescent="0.25">
      <c r="A9" s="215" t="s">
        <v>85</v>
      </c>
      <c r="B9" s="215" t="s">
        <v>86</v>
      </c>
      <c r="C9" s="215" t="s">
        <v>87</v>
      </c>
      <c r="D9" s="215" t="s">
        <v>127</v>
      </c>
      <c r="E9" s="215"/>
      <c r="F9" s="215"/>
      <c r="G9" s="215" t="s">
        <v>128</v>
      </c>
      <c r="H9" s="215"/>
      <c r="I9" s="215"/>
      <c r="J9" s="215" t="s">
        <v>118</v>
      </c>
    </row>
    <row r="10" spans="1:10" s="97" customFormat="1" ht="18" customHeight="1" x14ac:dyDescent="0.25">
      <c r="A10" s="215"/>
      <c r="B10" s="215"/>
      <c r="C10" s="215"/>
      <c r="D10" s="107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15"/>
    </row>
    <row r="11" spans="1:10" ht="30" x14ac:dyDescent="0.25">
      <c r="A11" s="102" t="s">
        <v>8</v>
      </c>
      <c r="B11" s="102" t="s">
        <v>84</v>
      </c>
      <c r="C11" s="103" t="s">
        <v>72</v>
      </c>
      <c r="D11" s="156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56" t="s">
        <v>106</v>
      </c>
      <c r="E12" s="156" t="s">
        <v>106</v>
      </c>
      <c r="F12" s="156" t="s">
        <v>105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56" t="s">
        <v>105</v>
      </c>
      <c r="E13" s="156" t="s">
        <v>105</v>
      </c>
      <c r="F13" s="156" t="s">
        <v>105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56" t="s">
        <v>104</v>
      </c>
      <c r="E14" s="156" t="s">
        <v>105</v>
      </c>
      <c r="F14" s="156" t="s">
        <v>105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56" t="s">
        <v>105</v>
      </c>
      <c r="E15" s="156" t="s">
        <v>104</v>
      </c>
      <c r="F15" s="156" t="s">
        <v>105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56" t="s">
        <v>104</v>
      </c>
      <c r="E16" s="156" t="s">
        <v>105</v>
      </c>
      <c r="F16" s="156" t="s">
        <v>106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56" t="s">
        <v>105</v>
      </c>
      <c r="E18" s="156" t="s">
        <v>104</v>
      </c>
      <c r="F18" s="156" t="s">
        <v>104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56" t="s">
        <v>105</v>
      </c>
      <c r="E19" s="156" t="s">
        <v>104</v>
      </c>
      <c r="F19" s="156" t="s">
        <v>105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56" t="s">
        <v>106</v>
      </c>
      <c r="E20" s="156" t="s">
        <v>104</v>
      </c>
      <c r="F20" s="156" t="s">
        <v>105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164</v>
      </c>
    </row>
    <row r="23" spans="1:10" x14ac:dyDescent="0.25">
      <c r="A23" s="107" t="s">
        <v>103</v>
      </c>
      <c r="B23" s="108" t="s">
        <v>122</v>
      </c>
      <c r="C23" s="108" t="s">
        <v>123</v>
      </c>
    </row>
    <row r="24" spans="1:10" x14ac:dyDescent="0.25">
      <c r="A24" s="102" t="s">
        <v>104</v>
      </c>
      <c r="B24" s="2">
        <v>1</v>
      </c>
      <c r="C24" s="2">
        <v>7.5</v>
      </c>
    </row>
    <row r="25" spans="1:10" x14ac:dyDescent="0.25">
      <c r="A25" s="102" t="s">
        <v>105</v>
      </c>
      <c r="B25" s="2">
        <v>0.66</v>
      </c>
      <c r="C25" s="2">
        <v>5</v>
      </c>
    </row>
    <row r="26" spans="1:10" x14ac:dyDescent="0.25">
      <c r="A26" s="102" t="s">
        <v>106</v>
      </c>
      <c r="B26" s="2">
        <v>0.33</v>
      </c>
      <c r="C26" s="2">
        <v>2.5</v>
      </c>
    </row>
    <row r="27" spans="1:10" x14ac:dyDescent="0.25">
      <c r="A27" s="102" t="s">
        <v>107</v>
      </c>
      <c r="B27" s="2">
        <v>0</v>
      </c>
      <c r="C27" s="2">
        <v>1</v>
      </c>
    </row>
    <row r="29" spans="1:10" x14ac:dyDescent="0.25">
      <c r="A29" s="100" t="s">
        <v>165</v>
      </c>
    </row>
    <row r="30" spans="1:10" ht="60.75" thickBot="1" x14ac:dyDescent="0.3">
      <c r="A30" s="107" t="s">
        <v>117</v>
      </c>
      <c r="B30" s="108" t="s">
        <v>99</v>
      </c>
      <c r="C30" s="107" t="s">
        <v>108</v>
      </c>
      <c r="D30" s="109" t="s">
        <v>174</v>
      </c>
    </row>
    <row r="31" spans="1:10" x14ac:dyDescent="0.25">
      <c r="A31" s="125" t="s">
        <v>114</v>
      </c>
      <c r="B31" s="104" t="s">
        <v>100</v>
      </c>
      <c r="C31" s="2" t="s">
        <v>104</v>
      </c>
      <c r="D31" s="150">
        <v>7.5</v>
      </c>
    </row>
    <row r="32" spans="1:10" x14ac:dyDescent="0.25">
      <c r="A32" s="126" t="s">
        <v>115</v>
      </c>
      <c r="B32" s="104" t="s">
        <v>101</v>
      </c>
      <c r="C32" s="2" t="s">
        <v>106</v>
      </c>
      <c r="D32" s="150">
        <v>2.5</v>
      </c>
    </row>
    <row r="33" spans="1:10" ht="15.75" thickBot="1" x14ac:dyDescent="0.3">
      <c r="A33" s="127" t="s">
        <v>116</v>
      </c>
      <c r="B33" s="104" t="s">
        <v>102</v>
      </c>
      <c r="C33" s="2" t="s">
        <v>105</v>
      </c>
      <c r="D33" s="150">
        <v>5</v>
      </c>
    </row>
    <row r="36" spans="1:10" ht="18.75" x14ac:dyDescent="0.3">
      <c r="A36" s="149" t="s">
        <v>161</v>
      </c>
      <c r="B36" s="99"/>
      <c r="C36" s="99"/>
    </row>
    <row r="37" spans="1:10" x14ac:dyDescent="0.25">
      <c r="A37" s="1" t="s">
        <v>110</v>
      </c>
      <c r="B37" s="99"/>
      <c r="C37" s="99"/>
    </row>
    <row r="38" spans="1:10" x14ac:dyDescent="0.25">
      <c r="A38" s="100" t="s">
        <v>166</v>
      </c>
      <c r="B38" s="99"/>
      <c r="C38" s="99"/>
    </row>
    <row r="39" spans="1:10" ht="75.75" customHeight="1" x14ac:dyDescent="0.25">
      <c r="A39" s="215" t="s">
        <v>85</v>
      </c>
      <c r="B39" s="215" t="s">
        <v>86</v>
      </c>
      <c r="C39" s="215" t="s">
        <v>87</v>
      </c>
      <c r="D39" s="215" t="s">
        <v>127</v>
      </c>
      <c r="E39" s="215"/>
      <c r="F39" s="215"/>
      <c r="G39" s="215" t="s">
        <v>128</v>
      </c>
      <c r="H39" s="215"/>
      <c r="I39" s="215"/>
      <c r="J39" s="215" t="s">
        <v>118</v>
      </c>
    </row>
    <row r="40" spans="1:10" s="97" customFormat="1" ht="18" customHeight="1" x14ac:dyDescent="0.25">
      <c r="A40" s="215"/>
      <c r="B40" s="215"/>
      <c r="C40" s="215"/>
      <c r="D40" s="107" t="s">
        <v>114</v>
      </c>
      <c r="E40" s="107" t="s">
        <v>115</v>
      </c>
      <c r="F40" s="107" t="s">
        <v>116</v>
      </c>
      <c r="G40" s="107" t="s">
        <v>114</v>
      </c>
      <c r="H40" s="107" t="s">
        <v>115</v>
      </c>
      <c r="I40" s="107" t="s">
        <v>116</v>
      </c>
      <c r="J40" s="215"/>
    </row>
    <row r="41" spans="1:10" ht="30" x14ac:dyDescent="0.25">
      <c r="A41" s="102" t="s">
        <v>8</v>
      </c>
      <c r="B41" s="102" t="s">
        <v>84</v>
      </c>
      <c r="C41" s="103" t="s">
        <v>72</v>
      </c>
      <c r="D41" s="156" t="s">
        <v>106</v>
      </c>
      <c r="E41" s="156" t="s">
        <v>105</v>
      </c>
      <c r="F41" s="156" t="s">
        <v>104</v>
      </c>
      <c r="G41" s="110">
        <f>IF(D41=$A$24,$B$24,(IF(D41=$A$25,$B$25,IF(D41=$A$26,$B$26,$B$27))))</f>
        <v>0.33</v>
      </c>
      <c r="H41" s="110">
        <f t="shared" ref="H41:H50" si="3">IF(E41=$A$24,$B$24,(IF(E41=$A$25,$B$25,IF(E41=$A$26,$B$26,$B$27))))</f>
        <v>0.66</v>
      </c>
      <c r="I41" s="110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56" t="s">
        <v>106</v>
      </c>
      <c r="E42" s="156" t="s">
        <v>106</v>
      </c>
      <c r="F42" s="156" t="s">
        <v>105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56" t="s">
        <v>105</v>
      </c>
      <c r="E43" s="156" t="s">
        <v>104</v>
      </c>
      <c r="F43" s="156" t="s">
        <v>105</v>
      </c>
      <c r="G43" s="110">
        <f t="shared" ref="G43:G50" si="6">IF(D43=$A$24,$B$24,(IF(D43=$A$25,$B$25,IF(D43=$A$26,$B$26,$B$27))))</f>
        <v>0.66</v>
      </c>
      <c r="H43" s="110">
        <f t="shared" si="3"/>
        <v>1</v>
      </c>
      <c r="I43" s="110">
        <f t="shared" si="4"/>
        <v>0.66</v>
      </c>
      <c r="J43" s="2">
        <f t="shared" si="5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56" t="s">
        <v>104</v>
      </c>
      <c r="E44" s="156" t="s">
        <v>105</v>
      </c>
      <c r="F44" s="156" t="s">
        <v>106</v>
      </c>
      <c r="G44" s="110">
        <f t="shared" si="6"/>
        <v>1</v>
      </c>
      <c r="H44" s="110">
        <f t="shared" si="3"/>
        <v>0.66</v>
      </c>
      <c r="I44" s="110">
        <f t="shared" si="4"/>
        <v>0.33</v>
      </c>
      <c r="J44" s="2">
        <f t="shared" si="5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56" t="s">
        <v>105</v>
      </c>
      <c r="E45" s="156" t="s">
        <v>104</v>
      </c>
      <c r="F45" s="156" t="s">
        <v>105</v>
      </c>
      <c r="G45" s="110">
        <f t="shared" si="6"/>
        <v>0.66</v>
      </c>
      <c r="H45" s="110">
        <f t="shared" si="3"/>
        <v>1</v>
      </c>
      <c r="I45" s="110">
        <f t="shared" si="4"/>
        <v>0.66</v>
      </c>
      <c r="J45" s="2">
        <f t="shared" si="5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56" t="s">
        <v>104</v>
      </c>
      <c r="E46" s="156" t="s">
        <v>105</v>
      </c>
      <c r="F46" s="156" t="s">
        <v>106</v>
      </c>
      <c r="G46" s="110">
        <f t="shared" si="6"/>
        <v>1</v>
      </c>
      <c r="H46" s="110">
        <f t="shared" si="3"/>
        <v>0.66</v>
      </c>
      <c r="I46" s="110">
        <f t="shared" si="4"/>
        <v>0.33</v>
      </c>
      <c r="J46" s="2">
        <f t="shared" si="5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56" t="s">
        <v>104</v>
      </c>
      <c r="E47" s="156" t="s">
        <v>105</v>
      </c>
      <c r="F47" s="156" t="s">
        <v>106</v>
      </c>
      <c r="G47" s="110">
        <f t="shared" si="6"/>
        <v>1</v>
      </c>
      <c r="H47" s="110">
        <f t="shared" si="3"/>
        <v>0.66</v>
      </c>
      <c r="I47" s="110">
        <f t="shared" si="4"/>
        <v>0.33</v>
      </c>
      <c r="J47" s="2">
        <f t="shared" si="5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56" t="s">
        <v>105</v>
      </c>
      <c r="E48" s="156" t="s">
        <v>106</v>
      </c>
      <c r="F48" s="156" t="s">
        <v>104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4"/>
        <v>1</v>
      </c>
      <c r="J48" s="2">
        <f t="shared" si="5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56" t="s">
        <v>106</v>
      </c>
      <c r="E49" s="156" t="s">
        <v>104</v>
      </c>
      <c r="F49" s="156" t="s">
        <v>105</v>
      </c>
      <c r="G49" s="110">
        <f t="shared" si="6"/>
        <v>0.33</v>
      </c>
      <c r="H49" s="110">
        <f t="shared" si="3"/>
        <v>1</v>
      </c>
      <c r="I49" s="110">
        <f t="shared" si="4"/>
        <v>0.66</v>
      </c>
      <c r="J49" s="2">
        <f t="shared" si="5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56" t="s">
        <v>106</v>
      </c>
      <c r="E50" s="156" t="s">
        <v>104</v>
      </c>
      <c r="F50" s="156" t="s">
        <v>105</v>
      </c>
      <c r="G50" s="110">
        <f t="shared" si="6"/>
        <v>0.33</v>
      </c>
      <c r="H50" s="110">
        <f t="shared" si="3"/>
        <v>1</v>
      </c>
      <c r="I50" s="110">
        <f t="shared" si="4"/>
        <v>0.66</v>
      </c>
      <c r="J50" s="2">
        <f t="shared" si="5"/>
        <v>13.275</v>
      </c>
    </row>
    <row r="52" spans="1:10" x14ac:dyDescent="0.25">
      <c r="A52" s="100" t="s">
        <v>167</v>
      </c>
    </row>
    <row r="53" spans="1:10" x14ac:dyDescent="0.25">
      <c r="A53" s="107" t="s">
        <v>103</v>
      </c>
      <c r="B53" s="108" t="s">
        <v>122</v>
      </c>
      <c r="C53" s="108" t="s">
        <v>123</v>
      </c>
    </row>
    <row r="54" spans="1:10" x14ac:dyDescent="0.25">
      <c r="A54" s="102" t="s">
        <v>104</v>
      </c>
      <c r="B54" s="2">
        <v>1</v>
      </c>
      <c r="C54" s="2">
        <v>7.5</v>
      </c>
    </row>
    <row r="55" spans="1:10" x14ac:dyDescent="0.25">
      <c r="A55" s="102" t="s">
        <v>105</v>
      </c>
      <c r="B55" s="2">
        <v>0.66</v>
      </c>
      <c r="C55" s="2">
        <v>5</v>
      </c>
    </row>
    <row r="56" spans="1:10" x14ac:dyDescent="0.25">
      <c r="A56" s="102" t="s">
        <v>106</v>
      </c>
      <c r="B56" s="2">
        <v>0.33</v>
      </c>
      <c r="C56" s="2">
        <v>2.5</v>
      </c>
    </row>
    <row r="57" spans="1:10" x14ac:dyDescent="0.25">
      <c r="A57" s="102" t="s">
        <v>107</v>
      </c>
      <c r="B57" s="2">
        <v>0</v>
      </c>
      <c r="C57" s="2">
        <v>1</v>
      </c>
    </row>
    <row r="59" spans="1:10" x14ac:dyDescent="0.25">
      <c r="A59" s="100" t="s">
        <v>168</v>
      </c>
    </row>
    <row r="60" spans="1:10" ht="60.75" thickBot="1" x14ac:dyDescent="0.3">
      <c r="A60" s="107" t="s">
        <v>117</v>
      </c>
      <c r="B60" s="108" t="s">
        <v>99</v>
      </c>
      <c r="C60" s="107" t="s">
        <v>108</v>
      </c>
      <c r="D60" s="109" t="s">
        <v>173</v>
      </c>
    </row>
    <row r="61" spans="1:10" x14ac:dyDescent="0.25">
      <c r="A61" s="125" t="s">
        <v>114</v>
      </c>
      <c r="B61" s="104" t="s">
        <v>100</v>
      </c>
      <c r="C61" s="2" t="s">
        <v>104</v>
      </c>
      <c r="D61" s="150">
        <v>7.5</v>
      </c>
    </row>
    <row r="62" spans="1:10" x14ac:dyDescent="0.25">
      <c r="A62" s="126" t="s">
        <v>115</v>
      </c>
      <c r="B62" s="104" t="s">
        <v>101</v>
      </c>
      <c r="C62" s="2" t="s">
        <v>104</v>
      </c>
      <c r="D62" s="150">
        <v>7.5</v>
      </c>
    </row>
    <row r="63" spans="1:10" ht="15.75" thickBot="1" x14ac:dyDescent="0.3">
      <c r="A63" s="127" t="s">
        <v>116</v>
      </c>
      <c r="B63" s="104" t="s">
        <v>102</v>
      </c>
      <c r="C63" s="2" t="s">
        <v>105</v>
      </c>
      <c r="D63" s="150">
        <v>5</v>
      </c>
    </row>
    <row r="66" spans="1:10" ht="18.75" x14ac:dyDescent="0.3">
      <c r="A66" s="149" t="s">
        <v>162</v>
      </c>
      <c r="B66" s="99"/>
      <c r="C66" s="99"/>
    </row>
    <row r="67" spans="1:10" x14ac:dyDescent="0.25">
      <c r="A67" s="1" t="s">
        <v>110</v>
      </c>
      <c r="B67" s="99"/>
      <c r="C67" s="99"/>
    </row>
    <row r="68" spans="1:10" x14ac:dyDescent="0.25">
      <c r="A68" s="100" t="s">
        <v>169</v>
      </c>
      <c r="B68" s="99"/>
      <c r="C68" s="99"/>
    </row>
    <row r="69" spans="1:10" ht="90.75" customHeight="1" x14ac:dyDescent="0.25">
      <c r="A69" s="215" t="s">
        <v>85</v>
      </c>
      <c r="B69" s="215" t="s">
        <v>86</v>
      </c>
      <c r="C69" s="215" t="s">
        <v>87</v>
      </c>
      <c r="D69" s="215" t="s">
        <v>127</v>
      </c>
      <c r="E69" s="215"/>
      <c r="F69" s="215"/>
      <c r="G69" s="215" t="s">
        <v>128</v>
      </c>
      <c r="H69" s="215"/>
      <c r="I69" s="215"/>
      <c r="J69" s="215" t="s">
        <v>118</v>
      </c>
    </row>
    <row r="70" spans="1:10" x14ac:dyDescent="0.25">
      <c r="A70" s="215"/>
      <c r="B70" s="215"/>
      <c r="C70" s="215"/>
      <c r="D70" s="107" t="s">
        <v>114</v>
      </c>
      <c r="E70" s="107" t="s">
        <v>115</v>
      </c>
      <c r="F70" s="107" t="s">
        <v>116</v>
      </c>
      <c r="G70" s="107" t="s">
        <v>114</v>
      </c>
      <c r="H70" s="107" t="s">
        <v>115</v>
      </c>
      <c r="I70" s="107" t="s">
        <v>116</v>
      </c>
      <c r="J70" s="215"/>
    </row>
    <row r="71" spans="1:10" ht="30" x14ac:dyDescent="0.25">
      <c r="A71" s="102" t="s">
        <v>8</v>
      </c>
      <c r="B71" s="102" t="s">
        <v>84</v>
      </c>
      <c r="C71" s="103" t="s">
        <v>72</v>
      </c>
      <c r="D71" s="156" t="s">
        <v>106</v>
      </c>
      <c r="E71" s="156" t="s">
        <v>105</v>
      </c>
      <c r="F71" s="156" t="s">
        <v>104</v>
      </c>
      <c r="G71" s="110">
        <f>IF(D71=$A$24,$B$24,(IF(D71=$A$25,$B$25,IF(D71=$A$26,$B$26,$B$27))))</f>
        <v>0.33</v>
      </c>
      <c r="H71" s="110">
        <f t="shared" ref="H71:H80" si="7">IF(E71=$A$24,$B$24,(IF(E71=$A$25,$B$25,IF(E71=$A$26,$B$26,$B$27))))</f>
        <v>0.66</v>
      </c>
      <c r="I71" s="110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56" t="s">
        <v>105</v>
      </c>
      <c r="E72" s="156" t="s">
        <v>106</v>
      </c>
      <c r="F72" s="156" t="s">
        <v>106</v>
      </c>
      <c r="G72" s="110">
        <f>IF(D72=$A$24,$B$24,(IF(D72=$A$25,$B$25,IF(D72=$A$26,$B$26,$B$27))))</f>
        <v>0.66</v>
      </c>
      <c r="H72" s="110">
        <f t="shared" si="7"/>
        <v>0.33</v>
      </c>
      <c r="I72" s="110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56" t="s">
        <v>105</v>
      </c>
      <c r="E73" s="156" t="s">
        <v>104</v>
      </c>
      <c r="F73" s="156" t="s">
        <v>105</v>
      </c>
      <c r="G73" s="110">
        <f t="shared" ref="G73:G77" si="10">IF(D73=$A$24,$B$24,(IF(D73=$A$25,$B$25,IF(D73=$A$26,$B$26,$B$27))))</f>
        <v>0.66</v>
      </c>
      <c r="H73" s="110">
        <f t="shared" si="7"/>
        <v>1</v>
      </c>
      <c r="I73" s="110">
        <f t="shared" si="8"/>
        <v>0.66</v>
      </c>
      <c r="J73" s="2">
        <f t="shared" si="9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56" t="s">
        <v>104</v>
      </c>
      <c r="E74" s="156" t="s">
        <v>105</v>
      </c>
      <c r="F74" s="156" t="s">
        <v>106</v>
      </c>
      <c r="G74" s="110">
        <f t="shared" si="10"/>
        <v>1</v>
      </c>
      <c r="H74" s="110">
        <f t="shared" si="7"/>
        <v>0.66</v>
      </c>
      <c r="I74" s="110">
        <f t="shared" si="8"/>
        <v>0.33</v>
      </c>
      <c r="J74" s="2">
        <f t="shared" si="9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56" t="s">
        <v>105</v>
      </c>
      <c r="E75" s="156" t="s">
        <v>104</v>
      </c>
      <c r="F75" s="156" t="s">
        <v>106</v>
      </c>
      <c r="G75" s="110">
        <f t="shared" si="10"/>
        <v>0.66</v>
      </c>
      <c r="H75" s="110">
        <f t="shared" si="7"/>
        <v>1</v>
      </c>
      <c r="I75" s="110">
        <f t="shared" si="8"/>
        <v>0.33</v>
      </c>
      <c r="J75" s="2">
        <f t="shared" si="9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56" t="s">
        <v>106</v>
      </c>
      <c r="E76" s="156" t="s">
        <v>105</v>
      </c>
      <c r="F76" s="156" t="s">
        <v>106</v>
      </c>
      <c r="G76" s="110">
        <f t="shared" si="10"/>
        <v>0.33</v>
      </c>
      <c r="H76" s="110">
        <f t="shared" si="7"/>
        <v>0.66</v>
      </c>
      <c r="I76" s="110">
        <f t="shared" si="8"/>
        <v>0.33</v>
      </c>
      <c r="J76" s="2">
        <f t="shared" si="9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56" t="s">
        <v>104</v>
      </c>
      <c r="E77" s="156" t="s">
        <v>105</v>
      </c>
      <c r="F77" s="156" t="s">
        <v>106</v>
      </c>
      <c r="G77" s="110">
        <f t="shared" si="10"/>
        <v>1</v>
      </c>
      <c r="H77" s="110">
        <f t="shared" si="7"/>
        <v>0.66</v>
      </c>
      <c r="I77" s="110">
        <f t="shared" si="8"/>
        <v>0.33</v>
      </c>
      <c r="J77" s="2">
        <f t="shared" si="9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56" t="s">
        <v>105</v>
      </c>
      <c r="E78" s="156" t="s">
        <v>106</v>
      </c>
      <c r="F78" s="156" t="s">
        <v>104</v>
      </c>
      <c r="G78" s="110">
        <f>IF(D78=$A$24,$B$24,(IF(D78=$A$25,$B$25,IF(D78=$A$26,$B$26,$B$27))))</f>
        <v>0.66</v>
      </c>
      <c r="H78" s="110">
        <f t="shared" si="7"/>
        <v>0.33</v>
      </c>
      <c r="I78" s="110">
        <f t="shared" si="8"/>
        <v>1</v>
      </c>
      <c r="J78" s="2">
        <f t="shared" si="9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56" t="s">
        <v>105</v>
      </c>
      <c r="E79" s="156" t="s">
        <v>104</v>
      </c>
      <c r="F79" s="156" t="s">
        <v>106</v>
      </c>
      <c r="G79" s="110">
        <f t="shared" ref="G79:G80" si="11">IF(D79=$A$24,$B$24,(IF(D79=$A$25,$B$25,IF(D79=$A$26,$B$26,$B$27))))</f>
        <v>0.66</v>
      </c>
      <c r="H79" s="110">
        <f t="shared" si="7"/>
        <v>1</v>
      </c>
      <c r="I79" s="110">
        <f t="shared" si="8"/>
        <v>0.33</v>
      </c>
      <c r="J79" s="2">
        <f t="shared" si="9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56" t="s">
        <v>106</v>
      </c>
      <c r="E80" s="156" t="s">
        <v>104</v>
      </c>
      <c r="F80" s="156" t="s">
        <v>105</v>
      </c>
      <c r="G80" s="110">
        <f t="shared" si="11"/>
        <v>0.33</v>
      </c>
      <c r="H80" s="110">
        <f t="shared" si="7"/>
        <v>1</v>
      </c>
      <c r="I80" s="110">
        <f t="shared" si="8"/>
        <v>0.66</v>
      </c>
      <c r="J80" s="2">
        <f t="shared" si="9"/>
        <v>10.775</v>
      </c>
    </row>
    <row r="82" spans="1:4" x14ac:dyDescent="0.25">
      <c r="A82" s="100" t="s">
        <v>170</v>
      </c>
    </row>
    <row r="83" spans="1:4" x14ac:dyDescent="0.25">
      <c r="A83" s="107" t="s">
        <v>103</v>
      </c>
      <c r="B83" s="108" t="s">
        <v>122</v>
      </c>
      <c r="C83" s="108" t="s">
        <v>123</v>
      </c>
    </row>
    <row r="84" spans="1:4" x14ac:dyDescent="0.25">
      <c r="A84" s="102" t="s">
        <v>104</v>
      </c>
      <c r="B84" s="2">
        <v>1</v>
      </c>
      <c r="C84" s="2">
        <v>7.5</v>
      </c>
    </row>
    <row r="85" spans="1:4" x14ac:dyDescent="0.25">
      <c r="A85" s="102" t="s">
        <v>105</v>
      </c>
      <c r="B85" s="2">
        <v>0.66</v>
      </c>
      <c r="C85" s="2">
        <v>5</v>
      </c>
    </row>
    <row r="86" spans="1:4" x14ac:dyDescent="0.25">
      <c r="A86" s="102" t="s">
        <v>106</v>
      </c>
      <c r="B86" s="2">
        <v>0.33</v>
      </c>
      <c r="C86" s="2">
        <v>2.5</v>
      </c>
    </row>
    <row r="87" spans="1:4" x14ac:dyDescent="0.25">
      <c r="A87" s="102" t="s">
        <v>107</v>
      </c>
      <c r="B87" s="2">
        <v>0</v>
      </c>
      <c r="C87" s="2">
        <v>1</v>
      </c>
    </row>
    <row r="89" spans="1:4" x14ac:dyDescent="0.25">
      <c r="A89" s="100" t="s">
        <v>171</v>
      </c>
    </row>
    <row r="90" spans="1:4" ht="60.75" thickBot="1" x14ac:dyDescent="0.3">
      <c r="A90" s="107" t="s">
        <v>117</v>
      </c>
      <c r="B90" s="108" t="s">
        <v>99</v>
      </c>
      <c r="C90" s="107" t="s">
        <v>108</v>
      </c>
      <c r="D90" s="109" t="s">
        <v>172</v>
      </c>
    </row>
    <row r="91" spans="1:4" x14ac:dyDescent="0.25">
      <c r="A91" s="125" t="s">
        <v>114</v>
      </c>
      <c r="B91" s="104" t="s">
        <v>100</v>
      </c>
      <c r="C91" s="2" t="s">
        <v>106</v>
      </c>
      <c r="D91" s="150">
        <f>C86</f>
        <v>2.5</v>
      </c>
    </row>
    <row r="92" spans="1:4" x14ac:dyDescent="0.25">
      <c r="A92" s="126" t="s">
        <v>115</v>
      </c>
      <c r="B92" s="104" t="s">
        <v>101</v>
      </c>
      <c r="C92" s="2" t="s">
        <v>105</v>
      </c>
      <c r="D92" s="150">
        <f>C85</f>
        <v>5</v>
      </c>
    </row>
    <row r="93" spans="1:4" ht="15.75" thickBot="1" x14ac:dyDescent="0.3">
      <c r="A93" s="127" t="s">
        <v>116</v>
      </c>
      <c r="B93" s="104" t="s">
        <v>102</v>
      </c>
      <c r="C93" s="2" t="s">
        <v>104</v>
      </c>
      <c r="D93" s="150">
        <f>C84</f>
        <v>7.5</v>
      </c>
    </row>
    <row r="96" spans="1:4" x14ac:dyDescent="0.25">
      <c r="A96" s="1" t="s">
        <v>180</v>
      </c>
    </row>
    <row r="97" spans="1:6" s="97" customFormat="1" ht="30" x14ac:dyDescent="0.25">
      <c r="A97" s="151" t="s">
        <v>175</v>
      </c>
      <c r="B97" s="151" t="s">
        <v>178</v>
      </c>
      <c r="C97" s="151" t="s">
        <v>179</v>
      </c>
    </row>
    <row r="98" spans="1:6" x14ac:dyDescent="0.25">
      <c r="A98" s="2" t="s">
        <v>176</v>
      </c>
      <c r="B98" s="2">
        <v>0.5</v>
      </c>
      <c r="C98" s="2">
        <v>0.3</v>
      </c>
    </row>
    <row r="99" spans="1:6" x14ac:dyDescent="0.25">
      <c r="A99" s="2" t="s">
        <v>177</v>
      </c>
      <c r="B99" s="2">
        <v>0.5</v>
      </c>
      <c r="C99" s="2">
        <v>0.3</v>
      </c>
    </row>
    <row r="100" spans="1:6" x14ac:dyDescent="0.25">
      <c r="A100" s="2" t="s">
        <v>207</v>
      </c>
      <c r="B100" s="2"/>
      <c r="C100" s="2">
        <v>0.4</v>
      </c>
    </row>
    <row r="102" spans="1:6" x14ac:dyDescent="0.25">
      <c r="A102" s="1" t="s">
        <v>181</v>
      </c>
    </row>
    <row r="103" spans="1:6" s="97" customFormat="1" ht="75" customHeight="1" x14ac:dyDescent="0.25">
      <c r="A103" s="151" t="s">
        <v>182</v>
      </c>
      <c r="B103" s="151" t="s">
        <v>183</v>
      </c>
      <c r="C103" s="151" t="s">
        <v>184</v>
      </c>
      <c r="D103" s="151" t="s">
        <v>185</v>
      </c>
      <c r="E103" s="151" t="s">
        <v>186</v>
      </c>
      <c r="F103" s="151" t="s">
        <v>187</v>
      </c>
    </row>
    <row r="104" spans="1:6" x14ac:dyDescent="0.25">
      <c r="A104" s="102" t="s">
        <v>84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102" t="s">
        <v>73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2" si="15">B105*B$98+C105*B$99</f>
        <v>7.4250000000000007</v>
      </c>
      <c r="F105" s="2">
        <f t="shared" ref="F105:F112" si="16">B105*C$98+C105*C$99+D105*C$100</f>
        <v>6.7650000000000006</v>
      </c>
    </row>
    <row r="106" spans="1:6" x14ac:dyDescent="0.25">
      <c r="A106" s="102" t="s">
        <v>74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102" t="s">
        <v>75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102" t="s">
        <v>77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102" t="s">
        <v>78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102" t="s">
        <v>79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102" t="s">
        <v>80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102" t="s">
        <v>82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102" t="s">
        <v>83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</sheetData>
  <mergeCells count="19">
    <mergeCell ref="A3:E3"/>
    <mergeCell ref="A9:A10"/>
    <mergeCell ref="B9:B10"/>
    <mergeCell ref="C9:C10"/>
    <mergeCell ref="D9:F9"/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</mergeCells>
  <phoneticPr fontId="10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topLeftCell="A7" workbookViewId="0">
      <selection activeCell="AY13" sqref="AY13:BF14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16" t="s">
        <v>98</v>
      </c>
      <c r="B3" s="217"/>
      <c r="C3" s="217"/>
      <c r="D3" s="218"/>
      <c r="E3" s="218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15" t="s">
        <v>85</v>
      </c>
      <c r="B6" s="215" t="s">
        <v>86</v>
      </c>
      <c r="C6" s="238" t="s">
        <v>87</v>
      </c>
      <c r="D6" s="239" t="s">
        <v>127</v>
      </c>
      <c r="E6" s="237"/>
      <c r="F6" s="237"/>
      <c r="G6" s="237" t="s">
        <v>128</v>
      </c>
      <c r="H6" s="237"/>
      <c r="I6" s="237"/>
      <c r="J6" s="235" t="s">
        <v>157</v>
      </c>
      <c r="K6" s="223" t="s">
        <v>150</v>
      </c>
      <c r="L6" s="224"/>
      <c r="M6" s="224"/>
      <c r="N6" s="224"/>
      <c r="O6" s="224"/>
      <c r="P6" s="224"/>
      <c r="Q6" s="224"/>
      <c r="R6" s="225"/>
      <c r="S6" s="223" t="s">
        <v>148</v>
      </c>
      <c r="T6" s="224"/>
      <c r="U6" s="224"/>
      <c r="V6" s="224"/>
      <c r="W6" s="224"/>
      <c r="X6" s="224"/>
      <c r="Y6" s="224"/>
      <c r="Z6" s="225"/>
      <c r="AA6" s="223" t="s">
        <v>149</v>
      </c>
      <c r="AB6" s="224"/>
      <c r="AC6" s="224"/>
      <c r="AD6" s="224"/>
      <c r="AE6" s="224"/>
      <c r="AF6" s="224"/>
      <c r="AG6" s="224"/>
      <c r="AH6" s="225"/>
      <c r="AI6" s="223" t="s">
        <v>147</v>
      </c>
      <c r="AJ6" s="224"/>
      <c r="AK6" s="224"/>
      <c r="AL6" s="224"/>
      <c r="AM6" s="224"/>
      <c r="AN6" s="224"/>
      <c r="AO6" s="224"/>
      <c r="AP6" s="225"/>
      <c r="AQ6" s="223" t="s">
        <v>158</v>
      </c>
      <c r="AR6" s="224"/>
      <c r="AS6" s="224"/>
      <c r="AT6" s="224"/>
      <c r="AU6" s="224"/>
      <c r="AV6" s="224"/>
      <c r="AW6" s="224"/>
      <c r="AX6" s="225"/>
      <c r="AY6" s="223" t="s">
        <v>159</v>
      </c>
      <c r="AZ6" s="224"/>
      <c r="BA6" s="224"/>
      <c r="BB6" s="224"/>
      <c r="BC6" s="224"/>
      <c r="BD6" s="224"/>
      <c r="BE6" s="224"/>
      <c r="BF6" s="225"/>
      <c r="BG6" s="223" t="s">
        <v>205</v>
      </c>
      <c r="BH6" s="224"/>
      <c r="BI6" s="224"/>
      <c r="BJ6" s="224"/>
      <c r="BK6" s="224"/>
      <c r="BL6" s="224"/>
      <c r="BM6" s="224"/>
      <c r="BN6" s="225"/>
      <c r="BO6" s="226" t="s">
        <v>151</v>
      </c>
      <c r="BP6" s="227"/>
      <c r="BQ6" s="227"/>
      <c r="BR6" s="228"/>
      <c r="BS6" s="219" t="s">
        <v>153</v>
      </c>
      <c r="BT6" s="220"/>
      <c r="BU6" s="221" t="s">
        <v>156</v>
      </c>
    </row>
    <row r="7" spans="1:73" s="97" customFormat="1" ht="23.25" customHeight="1" thickBot="1" x14ac:dyDescent="0.3">
      <c r="A7" s="215"/>
      <c r="B7" s="215"/>
      <c r="C7" s="238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36"/>
      <c r="K7" s="223" t="s">
        <v>17</v>
      </c>
      <c r="L7" s="224"/>
      <c r="M7" s="224"/>
      <c r="N7" s="225"/>
      <c r="O7" s="223" t="s">
        <v>18</v>
      </c>
      <c r="P7" s="224"/>
      <c r="Q7" s="224"/>
      <c r="R7" s="225"/>
      <c r="S7" s="223" t="s">
        <v>17</v>
      </c>
      <c r="T7" s="224"/>
      <c r="U7" s="224"/>
      <c r="V7" s="225"/>
      <c r="W7" s="223" t="s">
        <v>18</v>
      </c>
      <c r="X7" s="224"/>
      <c r="Y7" s="224"/>
      <c r="Z7" s="225"/>
      <c r="AA7" s="223" t="s">
        <v>17</v>
      </c>
      <c r="AB7" s="224"/>
      <c r="AC7" s="224"/>
      <c r="AD7" s="225"/>
      <c r="AE7" s="223" t="s">
        <v>18</v>
      </c>
      <c r="AF7" s="224"/>
      <c r="AG7" s="224"/>
      <c r="AH7" s="225"/>
      <c r="AI7" s="223" t="s">
        <v>17</v>
      </c>
      <c r="AJ7" s="224"/>
      <c r="AK7" s="224"/>
      <c r="AL7" s="225"/>
      <c r="AM7" s="223" t="s">
        <v>18</v>
      </c>
      <c r="AN7" s="224"/>
      <c r="AO7" s="224"/>
      <c r="AP7" s="225"/>
      <c r="AQ7" s="223" t="s">
        <v>17</v>
      </c>
      <c r="AR7" s="224"/>
      <c r="AS7" s="224"/>
      <c r="AT7" s="225"/>
      <c r="AU7" s="223" t="s">
        <v>18</v>
      </c>
      <c r="AV7" s="224"/>
      <c r="AW7" s="224"/>
      <c r="AX7" s="225"/>
      <c r="AY7" s="223" t="s">
        <v>17</v>
      </c>
      <c r="AZ7" s="224"/>
      <c r="BA7" s="224"/>
      <c r="BB7" s="225"/>
      <c r="BC7" s="223" t="s">
        <v>18</v>
      </c>
      <c r="BD7" s="224"/>
      <c r="BE7" s="224"/>
      <c r="BF7" s="225"/>
      <c r="BG7" s="223" t="s">
        <v>17</v>
      </c>
      <c r="BH7" s="224"/>
      <c r="BI7" s="224"/>
      <c r="BJ7" s="225"/>
      <c r="BK7" s="223" t="s">
        <v>18</v>
      </c>
      <c r="BL7" s="224"/>
      <c r="BM7" s="224"/>
      <c r="BN7" s="225"/>
      <c r="BO7" s="229" t="s">
        <v>152</v>
      </c>
      <c r="BP7" s="230"/>
      <c r="BQ7" s="229" t="s">
        <v>26</v>
      </c>
      <c r="BR7" s="231"/>
      <c r="BS7" s="145" t="s">
        <v>154</v>
      </c>
      <c r="BT7" s="145" t="s">
        <v>155</v>
      </c>
      <c r="BU7" s="222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G17" si="0">IF(D8=$A$21,$B$21,(IF(D8=$A$22,$B$22,IF(D8=$A$23,$B$23,$B$24))))</f>
        <v>1</v>
      </c>
      <c r="H8" s="110">
        <f t="shared" ref="H8:H17" si="1">IF(E8=$A$21,$B$21,(IF(E8=$A$22,$B$22,IF(E8=$A$23,$B$23,$B$24))))</f>
        <v>0.66</v>
      </c>
      <c r="I8" s="110">
        <f t="shared" ref="I8:I17" si="2">IF(F8=$A$21,$B$21,(IF(F8=$A$22,$B$22,IF(F8=$A$23,$B$23,$B$24))))</f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8" si="3">AJ8+AR8+AZ8</f>
        <v>12.6</v>
      </c>
      <c r="BI8" s="83">
        <f t="shared" si="3"/>
        <v>15.81</v>
      </c>
      <c r="BJ8" s="83">
        <f t="shared" si="3"/>
        <v>20.655000000000001</v>
      </c>
      <c r="BK8" s="81">
        <f t="shared" si="3"/>
        <v>8.3199999999999985</v>
      </c>
      <c r="BL8" s="83">
        <f t="shared" si="3"/>
        <v>12.6</v>
      </c>
      <c r="BM8" s="83">
        <f t="shared" si="3"/>
        <v>15.81</v>
      </c>
      <c r="BN8" s="83">
        <f t="shared" si="3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1"/>
        <v>0.33</v>
      </c>
      <c r="I9" s="110">
        <f t="shared" si="2"/>
        <v>0.66</v>
      </c>
      <c r="J9" s="147">
        <f t="shared" ref="J9:J17" si="4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-0.33000000000000007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-0.10999999999999999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5">AI9+AQ9+AY9</f>
        <v>0.71500000000000019</v>
      </c>
      <c r="BH9">
        <f t="shared" ref="BH9:BH17" si="6">AJ9+AR9+AZ9</f>
        <v>4.4550000000000001</v>
      </c>
      <c r="BI9">
        <f t="shared" ref="BI9:BI17" si="7">AK9+AS9+BA9</f>
        <v>9.0749999999999993</v>
      </c>
      <c r="BJ9">
        <f t="shared" ref="BJ9:BJ17" si="8">AL9+AT9+BB9</f>
        <v>14.025</v>
      </c>
      <c r="BK9" s="87">
        <f t="shared" ref="BK9:BK17" si="9">AM9+AU9+BC9</f>
        <v>1.8190000000000008</v>
      </c>
      <c r="BL9">
        <f t="shared" ref="BL9:BL17" si="10">AN9+AV9+BD9</f>
        <v>4.4550000000000001</v>
      </c>
      <c r="BM9">
        <f t="shared" ref="BM9:BM17" si="11">AO9+AW9+BE9</f>
        <v>9.0749999999999993</v>
      </c>
      <c r="BN9">
        <f t="shared" ref="BN9:BN17" si="12">AP9+AX9+BF9</f>
        <v>12.430000000000003</v>
      </c>
      <c r="BO9" s="138">
        <f t="shared" ref="BO9:BO17" si="13">BO$5*BH9+(1-BO$5)*BG9</f>
        <v>3.7069999999999999</v>
      </c>
      <c r="BP9" s="143">
        <f t="shared" ref="BP9:BP17" si="14">BO$5*BI9+(1-BO$5)*BJ9</f>
        <v>10.065</v>
      </c>
      <c r="BQ9" s="138">
        <f t="shared" ref="BQ9:BQ17" si="15">BO$5*BL9+(1-BO$5)*BK9</f>
        <v>3.9278</v>
      </c>
      <c r="BR9" s="139">
        <f t="shared" ref="BR9:BR17" si="16">BO$5*BM9+(1-BO$5)*BN9</f>
        <v>9.7460000000000004</v>
      </c>
      <c r="BS9" s="87">
        <f t="shared" ref="BS9:BS17" si="17">(BO9+BP9)/2</f>
        <v>6.8859999999999992</v>
      </c>
      <c r="BT9" s="88">
        <f t="shared" ref="BT9:BT17" si="18">(BQ9+BR9)/2</f>
        <v>6.8369</v>
      </c>
      <c r="BU9" s="134">
        <f t="shared" ref="BU9:BU17" si="19">(BS9+BT9)/2</f>
        <v>6.8614499999999996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1"/>
        <v>0.66</v>
      </c>
      <c r="I10" s="110">
        <f t="shared" si="2"/>
        <v>0.66</v>
      </c>
      <c r="J10" s="147">
        <f t="shared" si="4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5"/>
        <v>4.0150000000000006</v>
      </c>
      <c r="BH10">
        <f t="shared" si="6"/>
        <v>7.4250000000000007</v>
      </c>
      <c r="BI10">
        <f t="shared" si="7"/>
        <v>12.705000000000002</v>
      </c>
      <c r="BJ10">
        <f t="shared" si="8"/>
        <v>19.965</v>
      </c>
      <c r="BK10" s="87">
        <f t="shared" si="9"/>
        <v>5.08</v>
      </c>
      <c r="BL10">
        <f t="shared" si="10"/>
        <v>7.4250000000000007</v>
      </c>
      <c r="BM10">
        <f t="shared" si="11"/>
        <v>12.705000000000002</v>
      </c>
      <c r="BN10">
        <f t="shared" si="12"/>
        <v>17.489999999999998</v>
      </c>
      <c r="BO10" s="138">
        <f t="shared" si="13"/>
        <v>6.7430000000000012</v>
      </c>
      <c r="BP10" s="143">
        <f t="shared" si="14"/>
        <v>14.157</v>
      </c>
      <c r="BQ10" s="138">
        <f t="shared" si="15"/>
        <v>6.9560000000000013</v>
      </c>
      <c r="BR10" s="139">
        <f t="shared" si="16"/>
        <v>13.662000000000001</v>
      </c>
      <c r="BS10" s="87">
        <f t="shared" si="17"/>
        <v>10.450000000000001</v>
      </c>
      <c r="BT10" s="88">
        <f t="shared" si="18"/>
        <v>10.309000000000001</v>
      </c>
      <c r="BU10" s="134">
        <f t="shared" si="19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1"/>
        <v>0.66</v>
      </c>
      <c r="I11" s="110">
        <f t="shared" si="2"/>
        <v>0.66</v>
      </c>
      <c r="J11" s="147">
        <f t="shared" si="4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5"/>
        <v>5.6500000000000012</v>
      </c>
      <c r="BH11">
        <f t="shared" si="6"/>
        <v>10.574999999999999</v>
      </c>
      <c r="BI11">
        <f t="shared" si="7"/>
        <v>14.545000000000002</v>
      </c>
      <c r="BJ11">
        <f t="shared" si="8"/>
        <v>20.309999999999999</v>
      </c>
      <c r="BK11" s="87">
        <f t="shared" si="9"/>
        <v>7.15</v>
      </c>
      <c r="BL11">
        <f t="shared" si="10"/>
        <v>10.574999999999999</v>
      </c>
      <c r="BM11">
        <f t="shared" si="11"/>
        <v>14.545000000000002</v>
      </c>
      <c r="BN11">
        <f t="shared" si="12"/>
        <v>18.36</v>
      </c>
      <c r="BO11" s="138">
        <f t="shared" si="13"/>
        <v>9.59</v>
      </c>
      <c r="BP11" s="143">
        <f t="shared" si="14"/>
        <v>15.698</v>
      </c>
      <c r="BQ11" s="138">
        <f t="shared" si="15"/>
        <v>9.8899999999999988</v>
      </c>
      <c r="BR11" s="139">
        <f t="shared" si="16"/>
        <v>15.308000000000002</v>
      </c>
      <c r="BS11" s="87">
        <f t="shared" si="17"/>
        <v>12.644</v>
      </c>
      <c r="BT11" s="88">
        <f t="shared" si="18"/>
        <v>12.599</v>
      </c>
      <c r="BU11" s="134">
        <f t="shared" si="19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1"/>
        <v>1</v>
      </c>
      <c r="I12" s="110">
        <f t="shared" si="2"/>
        <v>0.66</v>
      </c>
      <c r="J12" s="147">
        <f t="shared" si="4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5"/>
        <v>4.45</v>
      </c>
      <c r="BH12">
        <f t="shared" si="6"/>
        <v>8.3250000000000011</v>
      </c>
      <c r="BI12">
        <f t="shared" si="7"/>
        <v>13.395</v>
      </c>
      <c r="BJ12">
        <f t="shared" si="8"/>
        <v>20.310000000000002</v>
      </c>
      <c r="BK12" s="87">
        <f t="shared" si="9"/>
        <v>5.6650000000000009</v>
      </c>
      <c r="BL12">
        <f t="shared" si="10"/>
        <v>8.3250000000000011</v>
      </c>
      <c r="BM12">
        <f t="shared" si="11"/>
        <v>13.395</v>
      </c>
      <c r="BN12">
        <f t="shared" si="12"/>
        <v>17.96</v>
      </c>
      <c r="BO12" s="138">
        <f t="shared" si="13"/>
        <v>7.5500000000000007</v>
      </c>
      <c r="BP12" s="143">
        <f t="shared" si="14"/>
        <v>14.778</v>
      </c>
      <c r="BQ12" s="138">
        <f t="shared" si="15"/>
        <v>7.793000000000001</v>
      </c>
      <c r="BR12" s="139">
        <f t="shared" si="16"/>
        <v>14.308</v>
      </c>
      <c r="BS12" s="87">
        <f t="shared" si="17"/>
        <v>11.164000000000001</v>
      </c>
      <c r="BT12" s="88">
        <f t="shared" si="18"/>
        <v>11.0505</v>
      </c>
      <c r="BU12" s="134">
        <f t="shared" si="19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1"/>
        <v>0.66</v>
      </c>
      <c r="I13" s="110">
        <f t="shared" si="2"/>
        <v>0.33</v>
      </c>
      <c r="J13" s="147">
        <f t="shared" si="4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-0.32999999999999996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5"/>
        <v>4.1650000000000009</v>
      </c>
      <c r="BH13">
        <f t="shared" si="6"/>
        <v>9.09</v>
      </c>
      <c r="BI13">
        <f t="shared" si="7"/>
        <v>12.73</v>
      </c>
      <c r="BJ13">
        <f t="shared" si="8"/>
        <v>17.34</v>
      </c>
      <c r="BK13" s="87">
        <f t="shared" si="9"/>
        <v>5.6349999999999989</v>
      </c>
      <c r="BL13">
        <f t="shared" si="10"/>
        <v>9.09</v>
      </c>
      <c r="BM13">
        <f t="shared" si="11"/>
        <v>12.73</v>
      </c>
      <c r="BN13">
        <f t="shared" si="12"/>
        <v>15.83</v>
      </c>
      <c r="BO13" s="138">
        <f t="shared" si="13"/>
        <v>8.1050000000000004</v>
      </c>
      <c r="BP13" s="143">
        <f t="shared" si="14"/>
        <v>13.652000000000001</v>
      </c>
      <c r="BQ13" s="138">
        <f t="shared" si="15"/>
        <v>8.3989999999999991</v>
      </c>
      <c r="BR13" s="139">
        <f t="shared" si="16"/>
        <v>13.350000000000001</v>
      </c>
      <c r="BS13" s="87">
        <f t="shared" si="17"/>
        <v>10.878500000000001</v>
      </c>
      <c r="BT13" s="88">
        <f t="shared" si="18"/>
        <v>10.874500000000001</v>
      </c>
      <c r="BU13" s="134">
        <f t="shared" si="19"/>
        <v>10.8765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1"/>
        <v>0.66</v>
      </c>
      <c r="I14" s="110">
        <f t="shared" si="2"/>
        <v>0.33</v>
      </c>
      <c r="J14" s="147">
        <f t="shared" si="4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-0.32999999999999996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5"/>
        <v>4.1650000000000009</v>
      </c>
      <c r="BH14">
        <f t="shared" si="6"/>
        <v>9.09</v>
      </c>
      <c r="BI14">
        <f t="shared" si="7"/>
        <v>12.73</v>
      </c>
      <c r="BJ14">
        <f t="shared" si="8"/>
        <v>17.34</v>
      </c>
      <c r="BK14" s="87">
        <f t="shared" si="9"/>
        <v>5.6349999999999989</v>
      </c>
      <c r="BL14">
        <f t="shared" si="10"/>
        <v>9.09</v>
      </c>
      <c r="BM14">
        <f t="shared" si="11"/>
        <v>12.73</v>
      </c>
      <c r="BN14">
        <f t="shared" si="12"/>
        <v>15.83</v>
      </c>
      <c r="BO14" s="138">
        <f t="shared" si="13"/>
        <v>8.1050000000000004</v>
      </c>
      <c r="BP14" s="143">
        <f t="shared" si="14"/>
        <v>13.652000000000001</v>
      </c>
      <c r="BQ14" s="138">
        <f t="shared" si="15"/>
        <v>8.3989999999999991</v>
      </c>
      <c r="BR14" s="139">
        <f t="shared" si="16"/>
        <v>13.350000000000001</v>
      </c>
      <c r="BS14" s="87">
        <f t="shared" si="17"/>
        <v>10.878500000000001</v>
      </c>
      <c r="BT14" s="88">
        <f t="shared" si="18"/>
        <v>10.874500000000001</v>
      </c>
      <c r="BU14" s="134">
        <f t="shared" si="19"/>
        <v>10.8765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1"/>
        <v>1</v>
      </c>
      <c r="I15" s="110">
        <f t="shared" si="2"/>
        <v>1</v>
      </c>
      <c r="J15" s="147">
        <f t="shared" si="4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5"/>
        <v>5.26</v>
      </c>
      <c r="BH15">
        <f t="shared" si="6"/>
        <v>10.350000000000001</v>
      </c>
      <c r="BI15">
        <f t="shared" si="7"/>
        <v>14.66</v>
      </c>
      <c r="BJ15">
        <f t="shared" si="8"/>
        <v>20.655000000000001</v>
      </c>
      <c r="BK15" s="87">
        <f t="shared" si="9"/>
        <v>6.8349999999999991</v>
      </c>
      <c r="BL15">
        <f t="shared" si="10"/>
        <v>10.350000000000001</v>
      </c>
      <c r="BM15">
        <f t="shared" si="11"/>
        <v>14.66</v>
      </c>
      <c r="BN15">
        <f t="shared" si="12"/>
        <v>18.63</v>
      </c>
      <c r="BO15" s="138">
        <f t="shared" si="13"/>
        <v>9.3320000000000007</v>
      </c>
      <c r="BP15" s="143">
        <f t="shared" si="14"/>
        <v>15.859000000000002</v>
      </c>
      <c r="BQ15" s="138">
        <f t="shared" si="15"/>
        <v>9.6470000000000002</v>
      </c>
      <c r="BR15" s="139">
        <f t="shared" si="16"/>
        <v>15.454000000000001</v>
      </c>
      <c r="BS15" s="87">
        <f t="shared" si="17"/>
        <v>12.595500000000001</v>
      </c>
      <c r="BT15" s="88">
        <f t="shared" si="18"/>
        <v>12.5505</v>
      </c>
      <c r="BU15" s="134">
        <f t="shared" si="19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1"/>
        <v>1</v>
      </c>
      <c r="I16" s="110">
        <f t="shared" si="2"/>
        <v>0.66</v>
      </c>
      <c r="J16" s="147">
        <f t="shared" si="4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5"/>
        <v>4.45</v>
      </c>
      <c r="BH16">
        <f t="shared" si="6"/>
        <v>8.3250000000000011</v>
      </c>
      <c r="BI16">
        <f t="shared" si="7"/>
        <v>13.395</v>
      </c>
      <c r="BJ16">
        <f t="shared" si="8"/>
        <v>20.310000000000002</v>
      </c>
      <c r="BK16" s="87">
        <f t="shared" si="9"/>
        <v>5.6650000000000009</v>
      </c>
      <c r="BL16">
        <f t="shared" si="10"/>
        <v>8.3250000000000011</v>
      </c>
      <c r="BM16">
        <f t="shared" si="11"/>
        <v>13.395</v>
      </c>
      <c r="BN16">
        <f t="shared" si="12"/>
        <v>17.96</v>
      </c>
      <c r="BO16" s="138">
        <f t="shared" si="13"/>
        <v>7.5500000000000007</v>
      </c>
      <c r="BP16" s="143">
        <f t="shared" si="14"/>
        <v>14.778</v>
      </c>
      <c r="BQ16" s="138">
        <f t="shared" si="15"/>
        <v>7.793000000000001</v>
      </c>
      <c r="BR16" s="139">
        <f t="shared" si="16"/>
        <v>14.308</v>
      </c>
      <c r="BS16" s="87">
        <f t="shared" si="17"/>
        <v>11.164000000000001</v>
      </c>
      <c r="BT16" s="88">
        <f t="shared" si="18"/>
        <v>11.0505</v>
      </c>
      <c r="BU16" s="134">
        <f t="shared" si="19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1"/>
        <v>1</v>
      </c>
      <c r="I17" s="123">
        <f t="shared" si="2"/>
        <v>0.66</v>
      </c>
      <c r="J17" s="148">
        <f t="shared" si="4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-0.33000000000000007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5"/>
        <v>1.8650000000000002</v>
      </c>
      <c r="BH17" s="93">
        <f t="shared" si="6"/>
        <v>6.0150000000000006</v>
      </c>
      <c r="BI17" s="93">
        <f t="shared" si="7"/>
        <v>10.754999999999999</v>
      </c>
      <c r="BJ17" s="93">
        <f t="shared" si="8"/>
        <v>16.215</v>
      </c>
      <c r="BK17" s="91">
        <f t="shared" si="9"/>
        <v>3.1250000000000009</v>
      </c>
      <c r="BL17" s="93">
        <f t="shared" si="10"/>
        <v>6.0150000000000006</v>
      </c>
      <c r="BM17" s="93">
        <f t="shared" si="11"/>
        <v>10.754999999999999</v>
      </c>
      <c r="BN17" s="93">
        <f t="shared" si="12"/>
        <v>14.430000000000003</v>
      </c>
      <c r="BO17" s="140">
        <f t="shared" si="13"/>
        <v>5.1850000000000014</v>
      </c>
      <c r="BP17" s="144">
        <f t="shared" si="14"/>
        <v>11.846999999999998</v>
      </c>
      <c r="BQ17" s="140">
        <f t="shared" si="15"/>
        <v>5.4370000000000012</v>
      </c>
      <c r="BR17" s="141">
        <f t="shared" si="16"/>
        <v>11.489999999999998</v>
      </c>
      <c r="BS17" s="91">
        <f t="shared" si="17"/>
        <v>8.516</v>
      </c>
      <c r="BT17" s="94">
        <f t="shared" si="18"/>
        <v>8.4634999999999998</v>
      </c>
      <c r="BU17" s="135">
        <f t="shared" si="19"/>
        <v>8.4897500000000008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20">G22+0.11</f>
        <v>0.55000000000000004</v>
      </c>
      <c r="I22" s="89">
        <v>0.06</v>
      </c>
      <c r="J22">
        <f t="shared" ref="J22:K24" si="21">F22</f>
        <v>0.22000000000000003</v>
      </c>
      <c r="K22">
        <f t="shared" si="21"/>
        <v>0.44</v>
      </c>
      <c r="L22" s="90">
        <f t="shared" ref="L22" si="22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23">F23-0.11</f>
        <v>0.44000000000000006</v>
      </c>
      <c r="F23" s="111">
        <f t="shared" ref="F23" si="24">C23-0.11</f>
        <v>0.55000000000000004</v>
      </c>
      <c r="G23">
        <f t="shared" ref="G23" si="25">C23+0.11</f>
        <v>0.77</v>
      </c>
      <c r="H23" s="88">
        <v>1</v>
      </c>
      <c r="I23" s="89">
        <f t="shared" ref="I23" si="26">J23-0.08</f>
        <v>0.47000000000000003</v>
      </c>
      <c r="J23">
        <f t="shared" si="21"/>
        <v>0.55000000000000004</v>
      </c>
      <c r="K23">
        <f t="shared" si="21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21"/>
        <v>1</v>
      </c>
      <c r="K24" s="93">
        <f t="shared" si="21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27">G29+1.5</f>
        <v>4.5</v>
      </c>
      <c r="I29" s="89">
        <v>1.7</v>
      </c>
      <c r="J29">
        <f t="shared" ref="J29:K31" si="28">F29</f>
        <v>2</v>
      </c>
      <c r="K29">
        <f t="shared" si="28"/>
        <v>3</v>
      </c>
      <c r="L29" s="90">
        <f t="shared" ref="L29:L31" si="29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30">F30-1.5</f>
        <v>3</v>
      </c>
      <c r="F30" s="111">
        <f>C30-0.5</f>
        <v>4.5</v>
      </c>
      <c r="G30">
        <f>C30+0.5</f>
        <v>5.5</v>
      </c>
      <c r="H30" s="88">
        <f t="shared" si="27"/>
        <v>7</v>
      </c>
      <c r="I30" s="89">
        <f t="shared" ref="I30:I31" si="31">J30-1</f>
        <v>3.5</v>
      </c>
      <c r="J30">
        <f t="shared" si="28"/>
        <v>4.5</v>
      </c>
      <c r="K30">
        <f t="shared" si="28"/>
        <v>5.5</v>
      </c>
      <c r="L30" s="90">
        <f t="shared" si="29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30"/>
        <v>5.5</v>
      </c>
      <c r="F31" s="92">
        <f>C31-0.5</f>
        <v>7</v>
      </c>
      <c r="G31" s="93">
        <f>C31+0.5</f>
        <v>8</v>
      </c>
      <c r="H31" s="94">
        <f t="shared" si="27"/>
        <v>9.5</v>
      </c>
      <c r="I31" s="95">
        <f t="shared" si="31"/>
        <v>6</v>
      </c>
      <c r="J31" s="93">
        <f t="shared" si="28"/>
        <v>7</v>
      </c>
      <c r="K31" s="93">
        <f t="shared" si="28"/>
        <v>8</v>
      </c>
      <c r="L31" s="96">
        <f t="shared" si="29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32" t="s">
        <v>126</v>
      </c>
      <c r="F34" s="233"/>
      <c r="G34" s="233"/>
      <c r="H34" s="233"/>
      <c r="I34" s="233"/>
      <c r="J34" s="233"/>
      <c r="K34" s="233"/>
      <c r="L34" s="234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32" t="s">
        <v>134</v>
      </c>
      <c r="F40" s="233"/>
      <c r="G40" s="233"/>
      <c r="H40" s="233"/>
      <c r="I40" s="233"/>
      <c r="J40" s="233"/>
      <c r="K40" s="233"/>
      <c r="L40" s="234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87">
        <f t="shared" ref="E42:E44" si="32">E22*F$35+E$35*F22-F22*F$35</f>
        <v>-0.33000000000000007</v>
      </c>
      <c r="F42">
        <f t="shared" ref="F42:G42" si="33">F22*F$35</f>
        <v>1.5400000000000003</v>
      </c>
      <c r="G42">
        <f t="shared" si="33"/>
        <v>3.52</v>
      </c>
      <c r="H42" s="88">
        <f t="shared" ref="H42:H44" si="34">G22*H$35+G$35*H22-G22*G$35</f>
        <v>5.0600000000000005</v>
      </c>
      <c r="I42" s="87">
        <f t="shared" ref="I42:I44" si="35">I22*J$35+I$35*J22-J22*J$35</f>
        <v>0.19999999999999996</v>
      </c>
      <c r="J42">
        <f t="shared" ref="J42:K42" si="36">J22*J$35</f>
        <v>1.5400000000000003</v>
      </c>
      <c r="K42">
        <f t="shared" si="36"/>
        <v>3.52</v>
      </c>
      <c r="L42" s="88">
        <f t="shared" ref="L42:L44" si="3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si="32"/>
        <v>2.2549999999999999</v>
      </c>
      <c r="F43">
        <f t="shared" ref="F43:G43" si="38">F23*F$35</f>
        <v>3.8500000000000005</v>
      </c>
      <c r="G43">
        <f t="shared" si="38"/>
        <v>6.16</v>
      </c>
      <c r="H43" s="88">
        <f t="shared" si="34"/>
        <v>9.1550000000000011</v>
      </c>
      <c r="I43" s="87">
        <f t="shared" si="35"/>
        <v>2.7399999999999993</v>
      </c>
      <c r="J43">
        <f t="shared" ref="J43:K43" si="39">J23*J$35</f>
        <v>3.8500000000000005</v>
      </c>
      <c r="K43">
        <f t="shared" si="39"/>
        <v>6.16</v>
      </c>
      <c r="L43" s="88">
        <f t="shared" si="3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32"/>
        <v>3.8900000000000006</v>
      </c>
      <c r="F44" s="93">
        <f t="shared" ref="F44:G44" si="40">F24*F$35</f>
        <v>7</v>
      </c>
      <c r="G44" s="93">
        <f t="shared" si="40"/>
        <v>8</v>
      </c>
      <c r="H44" s="94">
        <f t="shared" si="34"/>
        <v>9.5</v>
      </c>
      <c r="I44" s="91">
        <f t="shared" si="35"/>
        <v>4.8099999999999987</v>
      </c>
      <c r="J44" s="93">
        <f t="shared" ref="J44:K44" si="41">J24*J$35</f>
        <v>7</v>
      </c>
      <c r="K44" s="93">
        <f t="shared" si="41"/>
        <v>8</v>
      </c>
      <c r="L44" s="94">
        <f t="shared" si="3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87">
        <f>E22*F$36+E$36*F22-F22*F$36</f>
        <v>-0.10999999999999999</v>
      </c>
      <c r="F46">
        <f t="shared" ref="F46:G46" si="42">F22*F$36</f>
        <v>0.44000000000000006</v>
      </c>
      <c r="G46">
        <f t="shared" si="42"/>
        <v>1.32</v>
      </c>
      <c r="H46" s="88">
        <f t="shared" ref="H46:H48" si="43">G22*H$36+G$36*H22-G22*G$36</f>
        <v>2.3099999999999996</v>
      </c>
      <c r="I46" s="87">
        <f t="shared" ref="I46:I48" si="44">I22*J$36+I$36*J22-J22*J$36</f>
        <v>5.3999999999999992E-2</v>
      </c>
      <c r="J46">
        <f t="shared" ref="J46:K46" si="45">J22*J$36</f>
        <v>0.44000000000000006</v>
      </c>
      <c r="K46">
        <f t="shared" si="45"/>
        <v>1.32</v>
      </c>
      <c r="L46" s="88">
        <f t="shared" ref="L46:L48" si="46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47">E23*F$36+E$36*F23-F23*F$36</f>
        <v>0.60499999999999998</v>
      </c>
      <c r="F47">
        <f t="shared" ref="F47:G47" si="48">F23*F$36</f>
        <v>1.1000000000000001</v>
      </c>
      <c r="G47">
        <f t="shared" si="48"/>
        <v>2.31</v>
      </c>
      <c r="H47" s="88">
        <f t="shared" si="43"/>
        <v>4.1549999999999994</v>
      </c>
      <c r="I47" s="87">
        <f t="shared" si="44"/>
        <v>0.77499999999999991</v>
      </c>
      <c r="J47">
        <f t="shared" ref="J47:K47" si="49">J23*J$36</f>
        <v>1.1000000000000001</v>
      </c>
      <c r="K47">
        <f t="shared" si="49"/>
        <v>2.31</v>
      </c>
      <c r="L47" s="88">
        <f t="shared" si="46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47"/>
        <v>1.04</v>
      </c>
      <c r="F48" s="93">
        <f t="shared" ref="F48:G48" si="50">F24*F$36</f>
        <v>2</v>
      </c>
      <c r="G48" s="93">
        <f t="shared" si="50"/>
        <v>3</v>
      </c>
      <c r="H48" s="94">
        <f t="shared" si="43"/>
        <v>4.5</v>
      </c>
      <c r="I48" s="91">
        <f t="shared" si="44"/>
        <v>1.3599999999999999</v>
      </c>
      <c r="J48" s="93">
        <f t="shared" ref="J48:K48" si="51">J24*J$36</f>
        <v>2</v>
      </c>
      <c r="K48" s="93">
        <f t="shared" si="51"/>
        <v>3</v>
      </c>
      <c r="L48" s="94">
        <f t="shared" si="46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87">
        <f t="shared" ref="E50:E52" si="52">E22*F$37+E$37*F22-F22*F$37</f>
        <v>-0.32999999999999996</v>
      </c>
      <c r="F50">
        <f t="shared" ref="F50:G50" si="53">F22*F$37</f>
        <v>0.9900000000000001</v>
      </c>
      <c r="G50">
        <f t="shared" si="53"/>
        <v>2.42</v>
      </c>
      <c r="H50" s="88">
        <f t="shared" ref="H50:H52" si="54">G22*H$37+G$37*H22-G22*G$37</f>
        <v>3.6850000000000005</v>
      </c>
      <c r="I50" s="87">
        <f t="shared" ref="I50:I52" si="55">I22*J$37+I$37*J22-J22*J$37</f>
        <v>4.9999999999999933E-2</v>
      </c>
      <c r="J50">
        <f t="shared" ref="J50:K50" si="56">J22*J$37</f>
        <v>0.9900000000000001</v>
      </c>
      <c r="K50">
        <f t="shared" si="56"/>
        <v>2.42</v>
      </c>
      <c r="L50" s="88">
        <f t="shared" ref="L50:L52" si="57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si="52"/>
        <v>1.1550000000000002</v>
      </c>
      <c r="F51">
        <f t="shared" ref="F51:G51" si="58">F23*F$37</f>
        <v>2.4750000000000001</v>
      </c>
      <c r="G51">
        <f t="shared" si="58"/>
        <v>4.2350000000000003</v>
      </c>
      <c r="H51" s="88">
        <f t="shared" si="54"/>
        <v>6.6550000000000002</v>
      </c>
      <c r="I51" s="87">
        <f t="shared" si="55"/>
        <v>1.5650000000000008</v>
      </c>
      <c r="J51">
        <f t="shared" ref="J51:K51" si="59">J23*J$37</f>
        <v>2.4750000000000001</v>
      </c>
      <c r="K51">
        <f t="shared" si="59"/>
        <v>4.2350000000000003</v>
      </c>
      <c r="L51" s="88">
        <f t="shared" si="57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52"/>
        <v>1.9649999999999999</v>
      </c>
      <c r="F52" s="93">
        <f t="shared" ref="F52:G52" si="60">F24*F$37</f>
        <v>4.5</v>
      </c>
      <c r="G52" s="93">
        <f t="shared" si="60"/>
        <v>5.5</v>
      </c>
      <c r="H52" s="94">
        <f t="shared" si="54"/>
        <v>7</v>
      </c>
      <c r="I52" s="91">
        <f t="shared" si="55"/>
        <v>2.7349999999999994</v>
      </c>
      <c r="J52" s="93">
        <f t="shared" ref="J52:K52" si="61">J24*J$37</f>
        <v>4.5</v>
      </c>
      <c r="K52" s="93">
        <f t="shared" si="61"/>
        <v>5.5</v>
      </c>
      <c r="L52" s="94">
        <f t="shared" si="57"/>
        <v>6.5</v>
      </c>
    </row>
  </sheetData>
  <mergeCells count="35">
    <mergeCell ref="A3:E3"/>
    <mergeCell ref="A6:A7"/>
    <mergeCell ref="B6:B7"/>
    <mergeCell ref="C6:C7"/>
    <mergeCell ref="D6:F6"/>
    <mergeCell ref="AA6:AH6"/>
    <mergeCell ref="AA7:AD7"/>
    <mergeCell ref="AE7:AH7"/>
    <mergeCell ref="E40:L40"/>
    <mergeCell ref="AI6:AP6"/>
    <mergeCell ref="J6:J7"/>
    <mergeCell ref="E34:L34"/>
    <mergeCell ref="K6:R6"/>
    <mergeCell ref="O7:R7"/>
    <mergeCell ref="K7:N7"/>
    <mergeCell ref="S6:Z6"/>
    <mergeCell ref="S7:V7"/>
    <mergeCell ref="W7:Z7"/>
    <mergeCell ref="G6:I6"/>
    <mergeCell ref="AY6:BF6"/>
    <mergeCell ref="AI7:AL7"/>
    <mergeCell ref="AM7:AP7"/>
    <mergeCell ref="AQ7:AT7"/>
    <mergeCell ref="AU7:AX7"/>
    <mergeCell ref="AY7:BB7"/>
    <mergeCell ref="BC7:BF7"/>
    <mergeCell ref="AQ6:AX6"/>
    <mergeCell ref="BS6:BT6"/>
    <mergeCell ref="BU6:BU7"/>
    <mergeCell ref="BG6:BN6"/>
    <mergeCell ref="BG7:BJ7"/>
    <mergeCell ref="BK7:BN7"/>
    <mergeCell ref="BO6:BR6"/>
    <mergeCell ref="BO7:BP7"/>
    <mergeCell ref="BQ7:BR7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8EFD8-9B5D-45A9-8624-5505780514E0}">
  <dimension ref="A1:BU52"/>
  <sheetViews>
    <sheetView topLeftCell="BG10" workbookViewId="0">
      <selection activeCell="BU9" sqref="BU9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16" t="s">
        <v>98</v>
      </c>
      <c r="B3" s="217"/>
      <c r="C3" s="217"/>
      <c r="D3" s="218"/>
      <c r="E3" s="218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215" t="s">
        <v>85</v>
      </c>
      <c r="B6" s="215" t="s">
        <v>86</v>
      </c>
      <c r="C6" s="238" t="s">
        <v>87</v>
      </c>
      <c r="D6" s="239" t="s">
        <v>127</v>
      </c>
      <c r="E6" s="237"/>
      <c r="F6" s="237"/>
      <c r="G6" s="237" t="s">
        <v>128</v>
      </c>
      <c r="H6" s="237"/>
      <c r="I6" s="237"/>
      <c r="J6" s="235" t="s">
        <v>157</v>
      </c>
      <c r="K6" s="223" t="s">
        <v>150</v>
      </c>
      <c r="L6" s="224"/>
      <c r="M6" s="224"/>
      <c r="N6" s="224"/>
      <c r="O6" s="224"/>
      <c r="P6" s="224"/>
      <c r="Q6" s="224"/>
      <c r="R6" s="225"/>
      <c r="S6" s="223" t="s">
        <v>148</v>
      </c>
      <c r="T6" s="224"/>
      <c r="U6" s="224"/>
      <c r="V6" s="224"/>
      <c r="W6" s="224"/>
      <c r="X6" s="224"/>
      <c r="Y6" s="224"/>
      <c r="Z6" s="225"/>
      <c r="AA6" s="223" t="s">
        <v>149</v>
      </c>
      <c r="AB6" s="224"/>
      <c r="AC6" s="224"/>
      <c r="AD6" s="224"/>
      <c r="AE6" s="224"/>
      <c r="AF6" s="224"/>
      <c r="AG6" s="224"/>
      <c r="AH6" s="225"/>
      <c r="AI6" s="223" t="s">
        <v>147</v>
      </c>
      <c r="AJ6" s="224"/>
      <c r="AK6" s="224"/>
      <c r="AL6" s="224"/>
      <c r="AM6" s="224"/>
      <c r="AN6" s="224"/>
      <c r="AO6" s="224"/>
      <c r="AP6" s="225"/>
      <c r="AQ6" s="223" t="s">
        <v>158</v>
      </c>
      <c r="AR6" s="224"/>
      <c r="AS6" s="224"/>
      <c r="AT6" s="224"/>
      <c r="AU6" s="224"/>
      <c r="AV6" s="224"/>
      <c r="AW6" s="224"/>
      <c r="AX6" s="225"/>
      <c r="AY6" s="223" t="s">
        <v>159</v>
      </c>
      <c r="AZ6" s="224"/>
      <c r="BA6" s="224"/>
      <c r="BB6" s="224"/>
      <c r="BC6" s="224"/>
      <c r="BD6" s="224"/>
      <c r="BE6" s="224"/>
      <c r="BF6" s="225"/>
      <c r="BG6" s="223" t="s">
        <v>205</v>
      </c>
      <c r="BH6" s="224"/>
      <c r="BI6" s="224"/>
      <c r="BJ6" s="224"/>
      <c r="BK6" s="224"/>
      <c r="BL6" s="224"/>
      <c r="BM6" s="224"/>
      <c r="BN6" s="225"/>
      <c r="BO6" s="226" t="s">
        <v>151</v>
      </c>
      <c r="BP6" s="227"/>
      <c r="BQ6" s="227"/>
      <c r="BR6" s="228"/>
      <c r="BS6" s="219" t="s">
        <v>153</v>
      </c>
      <c r="BT6" s="220"/>
      <c r="BU6" s="221" t="s">
        <v>156</v>
      </c>
    </row>
    <row r="7" spans="1:73" s="97" customFormat="1" ht="23.25" customHeight="1" thickBot="1" x14ac:dyDescent="0.3">
      <c r="A7" s="215"/>
      <c r="B7" s="215"/>
      <c r="C7" s="238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36"/>
      <c r="K7" s="223" t="s">
        <v>17</v>
      </c>
      <c r="L7" s="224"/>
      <c r="M7" s="224"/>
      <c r="N7" s="225"/>
      <c r="O7" s="223" t="s">
        <v>18</v>
      </c>
      <c r="P7" s="224"/>
      <c r="Q7" s="224"/>
      <c r="R7" s="225"/>
      <c r="S7" s="223" t="s">
        <v>17</v>
      </c>
      <c r="T7" s="224"/>
      <c r="U7" s="224"/>
      <c r="V7" s="225"/>
      <c r="W7" s="223" t="s">
        <v>18</v>
      </c>
      <c r="X7" s="224"/>
      <c r="Y7" s="224"/>
      <c r="Z7" s="225"/>
      <c r="AA7" s="223" t="s">
        <v>17</v>
      </c>
      <c r="AB7" s="224"/>
      <c r="AC7" s="224"/>
      <c r="AD7" s="225"/>
      <c r="AE7" s="223" t="s">
        <v>18</v>
      </c>
      <c r="AF7" s="224"/>
      <c r="AG7" s="224"/>
      <c r="AH7" s="225"/>
      <c r="AI7" s="223" t="s">
        <v>17</v>
      </c>
      <c r="AJ7" s="224"/>
      <c r="AK7" s="224"/>
      <c r="AL7" s="225"/>
      <c r="AM7" s="223" t="s">
        <v>18</v>
      </c>
      <c r="AN7" s="224"/>
      <c r="AO7" s="224"/>
      <c r="AP7" s="225"/>
      <c r="AQ7" s="223" t="s">
        <v>17</v>
      </c>
      <c r="AR7" s="224"/>
      <c r="AS7" s="224"/>
      <c r="AT7" s="225"/>
      <c r="AU7" s="223" t="s">
        <v>18</v>
      </c>
      <c r="AV7" s="224"/>
      <c r="AW7" s="224"/>
      <c r="AX7" s="225"/>
      <c r="AY7" s="223" t="s">
        <v>17</v>
      </c>
      <c r="AZ7" s="224"/>
      <c r="BA7" s="224"/>
      <c r="BB7" s="225"/>
      <c r="BC7" s="223" t="s">
        <v>18</v>
      </c>
      <c r="BD7" s="224"/>
      <c r="BE7" s="224"/>
      <c r="BF7" s="225"/>
      <c r="BG7" s="223" t="s">
        <v>17</v>
      </c>
      <c r="BH7" s="224"/>
      <c r="BI7" s="224"/>
      <c r="BJ7" s="225"/>
      <c r="BK7" s="223" t="s">
        <v>18</v>
      </c>
      <c r="BL7" s="224"/>
      <c r="BM7" s="224"/>
      <c r="BN7" s="225"/>
      <c r="BO7" s="229" t="s">
        <v>152</v>
      </c>
      <c r="BP7" s="230"/>
      <c r="BQ7" s="229" t="s">
        <v>26</v>
      </c>
      <c r="BR7" s="231"/>
      <c r="BS7" s="145" t="s">
        <v>154</v>
      </c>
      <c r="BT7" s="145" t="s">
        <v>155</v>
      </c>
      <c r="BU7" s="222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I17" si="0">IF(D8=$A$21,$B$21,(IF(D8=$A$22,$B$22,IF(D8=$A$23,$B$23,$B$24))))</f>
        <v>1</v>
      </c>
      <c r="H8" s="110">
        <f t="shared" si="0"/>
        <v>0.66</v>
      </c>
      <c r="I8" s="110">
        <f t="shared" si="0"/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17" si="1">AJ8+AR8+AZ8</f>
        <v>12.6</v>
      </c>
      <c r="BI8" s="83">
        <f t="shared" si="1"/>
        <v>15.81</v>
      </c>
      <c r="BJ8" s="83">
        <f t="shared" si="1"/>
        <v>20.655000000000001</v>
      </c>
      <c r="BK8" s="81">
        <f t="shared" si="1"/>
        <v>8.3199999999999985</v>
      </c>
      <c r="BL8" s="83">
        <f t="shared" si="1"/>
        <v>12.6</v>
      </c>
      <c r="BM8" s="83">
        <f t="shared" si="1"/>
        <v>15.81</v>
      </c>
      <c r="BN8" s="83">
        <f t="shared" si="1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0"/>
        <v>0.33</v>
      </c>
      <c r="I9" s="110">
        <f t="shared" si="0"/>
        <v>0.66</v>
      </c>
      <c r="J9" s="147">
        <f t="shared" ref="J9:J17" si="2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187">
        <v>0</v>
      </c>
      <c r="AJ9" s="179">
        <v>1.5400000000000003</v>
      </c>
      <c r="AK9" s="179">
        <v>3.52</v>
      </c>
      <c r="AL9" s="188">
        <v>5.0600000000000005</v>
      </c>
      <c r="AM9" s="187">
        <v>0.19999999999999996</v>
      </c>
      <c r="AN9" s="179">
        <v>1.5400000000000003</v>
      </c>
      <c r="AO9" s="179">
        <v>3.52</v>
      </c>
      <c r="AP9" s="188">
        <v>4.6000000000000014</v>
      </c>
      <c r="AQ9" s="187">
        <v>0</v>
      </c>
      <c r="AR9" s="179">
        <v>0.44000000000000006</v>
      </c>
      <c r="AS9" s="179">
        <v>1.32</v>
      </c>
      <c r="AT9" s="179">
        <v>2.3099999999999996</v>
      </c>
      <c r="AU9" s="187">
        <v>5.3999999999999992E-2</v>
      </c>
      <c r="AV9" s="179">
        <v>0.44000000000000006</v>
      </c>
      <c r="AW9" s="179">
        <v>1.32</v>
      </c>
      <c r="AX9" s="1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3">AI9+AQ9+AY9</f>
        <v>1.1550000000000002</v>
      </c>
      <c r="BH9">
        <f t="shared" si="1"/>
        <v>4.4550000000000001</v>
      </c>
      <c r="BI9">
        <f t="shared" si="1"/>
        <v>9.0749999999999993</v>
      </c>
      <c r="BJ9">
        <f t="shared" si="1"/>
        <v>14.025</v>
      </c>
      <c r="BK9" s="87">
        <f t="shared" si="1"/>
        <v>1.8190000000000008</v>
      </c>
      <c r="BL9">
        <f t="shared" si="1"/>
        <v>4.4550000000000001</v>
      </c>
      <c r="BM9">
        <f t="shared" si="1"/>
        <v>9.0749999999999993</v>
      </c>
      <c r="BN9">
        <f t="shared" si="1"/>
        <v>12.430000000000003</v>
      </c>
      <c r="BO9" s="138">
        <f t="shared" ref="BO9:BO17" si="4">BO$5*BH9+(1-BO$5)*BG9</f>
        <v>3.7949999999999999</v>
      </c>
      <c r="BP9" s="143">
        <f t="shared" ref="BP9:BP17" si="5">BO$5*BI9+(1-BO$5)*BJ9</f>
        <v>10.065</v>
      </c>
      <c r="BQ9" s="138">
        <f t="shared" ref="BQ9:BQ17" si="6">BO$5*BL9+(1-BO$5)*BK9</f>
        <v>3.9278</v>
      </c>
      <c r="BR9" s="139">
        <f t="shared" ref="BR9:BR17" si="7">BO$5*BM9+(1-BO$5)*BN9</f>
        <v>9.7460000000000004</v>
      </c>
      <c r="BS9" s="87">
        <f t="shared" ref="BS9:BS17" si="8">(BO9+BP9)/2</f>
        <v>6.93</v>
      </c>
      <c r="BT9" s="88">
        <f t="shared" ref="BT9:BT17" si="9">(BQ9+BR9)/2</f>
        <v>6.8369</v>
      </c>
      <c r="BU9" s="134">
        <f t="shared" ref="BU9:BU17" si="10">(BS9+BT9)/2</f>
        <v>6.8834499999999998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0"/>
        <v>0.66</v>
      </c>
      <c r="I10" s="110">
        <f t="shared" si="0"/>
        <v>0.66</v>
      </c>
      <c r="J10" s="147">
        <f t="shared" si="2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3"/>
        <v>4.0150000000000006</v>
      </c>
      <c r="BH10">
        <f t="shared" si="1"/>
        <v>7.4250000000000007</v>
      </c>
      <c r="BI10">
        <f t="shared" si="1"/>
        <v>12.705000000000002</v>
      </c>
      <c r="BJ10">
        <f t="shared" si="1"/>
        <v>19.965</v>
      </c>
      <c r="BK10" s="87">
        <f t="shared" si="1"/>
        <v>5.08</v>
      </c>
      <c r="BL10">
        <f t="shared" si="1"/>
        <v>7.4250000000000007</v>
      </c>
      <c r="BM10">
        <f t="shared" si="1"/>
        <v>12.705000000000002</v>
      </c>
      <c r="BN10">
        <f t="shared" si="1"/>
        <v>17.489999999999998</v>
      </c>
      <c r="BO10" s="138">
        <f t="shared" si="4"/>
        <v>6.7430000000000012</v>
      </c>
      <c r="BP10" s="143">
        <f t="shared" si="5"/>
        <v>14.157</v>
      </c>
      <c r="BQ10" s="138">
        <f t="shared" si="6"/>
        <v>6.9560000000000013</v>
      </c>
      <c r="BR10" s="139">
        <f t="shared" si="7"/>
        <v>13.662000000000001</v>
      </c>
      <c r="BS10" s="87">
        <f t="shared" si="8"/>
        <v>10.450000000000001</v>
      </c>
      <c r="BT10" s="88">
        <f t="shared" si="9"/>
        <v>10.309000000000001</v>
      </c>
      <c r="BU10" s="134">
        <f t="shared" si="10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0"/>
        <v>0.66</v>
      </c>
      <c r="I11" s="110">
        <f t="shared" si="0"/>
        <v>0.66</v>
      </c>
      <c r="J11" s="147">
        <f t="shared" si="2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3"/>
        <v>5.6500000000000012</v>
      </c>
      <c r="BH11">
        <f t="shared" si="1"/>
        <v>10.574999999999999</v>
      </c>
      <c r="BI11">
        <f t="shared" si="1"/>
        <v>14.545000000000002</v>
      </c>
      <c r="BJ11">
        <f t="shared" si="1"/>
        <v>20.309999999999999</v>
      </c>
      <c r="BK11" s="87">
        <f t="shared" si="1"/>
        <v>7.15</v>
      </c>
      <c r="BL11">
        <f t="shared" si="1"/>
        <v>10.574999999999999</v>
      </c>
      <c r="BM11">
        <f t="shared" si="1"/>
        <v>14.545000000000002</v>
      </c>
      <c r="BN11">
        <f t="shared" si="1"/>
        <v>18.36</v>
      </c>
      <c r="BO11" s="138">
        <f t="shared" si="4"/>
        <v>9.59</v>
      </c>
      <c r="BP11" s="143">
        <f t="shared" si="5"/>
        <v>15.698</v>
      </c>
      <c r="BQ11" s="138">
        <f t="shared" si="6"/>
        <v>9.8899999999999988</v>
      </c>
      <c r="BR11" s="139">
        <f t="shared" si="7"/>
        <v>15.308000000000002</v>
      </c>
      <c r="BS11" s="87">
        <f t="shared" si="8"/>
        <v>12.644</v>
      </c>
      <c r="BT11" s="88">
        <f t="shared" si="9"/>
        <v>12.599</v>
      </c>
      <c r="BU11" s="134">
        <f t="shared" si="10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0"/>
        <v>1</v>
      </c>
      <c r="I12" s="110">
        <f t="shared" si="0"/>
        <v>0.66</v>
      </c>
      <c r="J12" s="147">
        <f t="shared" si="2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3"/>
        <v>4.45</v>
      </c>
      <c r="BH12">
        <f t="shared" si="1"/>
        <v>8.3250000000000011</v>
      </c>
      <c r="BI12">
        <f t="shared" si="1"/>
        <v>13.395</v>
      </c>
      <c r="BJ12">
        <f t="shared" si="1"/>
        <v>20.310000000000002</v>
      </c>
      <c r="BK12" s="87">
        <f t="shared" si="1"/>
        <v>5.6650000000000009</v>
      </c>
      <c r="BL12">
        <f t="shared" si="1"/>
        <v>8.3250000000000011</v>
      </c>
      <c r="BM12">
        <f t="shared" si="1"/>
        <v>13.395</v>
      </c>
      <c r="BN12">
        <f t="shared" si="1"/>
        <v>17.96</v>
      </c>
      <c r="BO12" s="138">
        <f t="shared" si="4"/>
        <v>7.5500000000000007</v>
      </c>
      <c r="BP12" s="143">
        <f t="shared" si="5"/>
        <v>14.778</v>
      </c>
      <c r="BQ12" s="138">
        <f t="shared" si="6"/>
        <v>7.793000000000001</v>
      </c>
      <c r="BR12" s="139">
        <f t="shared" si="7"/>
        <v>14.308</v>
      </c>
      <c r="BS12" s="87">
        <f t="shared" si="8"/>
        <v>11.164000000000001</v>
      </c>
      <c r="BT12" s="88">
        <f t="shared" si="9"/>
        <v>11.0505</v>
      </c>
      <c r="BU12" s="134">
        <f t="shared" si="10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0"/>
        <v>0.66</v>
      </c>
      <c r="I13" s="110">
        <f t="shared" si="0"/>
        <v>0.33</v>
      </c>
      <c r="J13" s="147">
        <f t="shared" si="2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187">
        <v>0</v>
      </c>
      <c r="AZ13" s="179">
        <v>0.9900000000000001</v>
      </c>
      <c r="BA13" s="179">
        <v>2.42</v>
      </c>
      <c r="BB13" s="179">
        <v>3.6850000000000005</v>
      </c>
      <c r="BC13" s="187">
        <v>4.9999999999999933E-2</v>
      </c>
      <c r="BD13" s="179">
        <v>0.9900000000000001</v>
      </c>
      <c r="BE13" s="179">
        <v>2.42</v>
      </c>
      <c r="BF13" s="188">
        <v>3.3000000000000007</v>
      </c>
      <c r="BG13" s="87">
        <f t="shared" si="3"/>
        <v>4.495000000000001</v>
      </c>
      <c r="BH13">
        <f t="shared" si="1"/>
        <v>9.09</v>
      </c>
      <c r="BI13">
        <f t="shared" si="1"/>
        <v>12.73</v>
      </c>
      <c r="BJ13">
        <f t="shared" si="1"/>
        <v>17.34</v>
      </c>
      <c r="BK13" s="87">
        <f t="shared" si="1"/>
        <v>5.6349999999999989</v>
      </c>
      <c r="BL13">
        <f t="shared" si="1"/>
        <v>9.09</v>
      </c>
      <c r="BM13">
        <f t="shared" si="1"/>
        <v>12.73</v>
      </c>
      <c r="BN13">
        <f t="shared" si="1"/>
        <v>15.83</v>
      </c>
      <c r="BO13" s="138">
        <f t="shared" si="4"/>
        <v>8.1709999999999994</v>
      </c>
      <c r="BP13" s="143">
        <f t="shared" si="5"/>
        <v>13.652000000000001</v>
      </c>
      <c r="BQ13" s="138">
        <f t="shared" si="6"/>
        <v>8.3989999999999991</v>
      </c>
      <c r="BR13" s="139">
        <f t="shared" si="7"/>
        <v>13.350000000000001</v>
      </c>
      <c r="BS13" s="87">
        <f t="shared" si="8"/>
        <v>10.9115</v>
      </c>
      <c r="BT13" s="88">
        <f t="shared" si="9"/>
        <v>10.874500000000001</v>
      </c>
      <c r="BU13" s="134">
        <f t="shared" si="10"/>
        <v>10.893000000000001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0"/>
        <v>0.66</v>
      </c>
      <c r="I14" s="110">
        <f t="shared" si="0"/>
        <v>0.33</v>
      </c>
      <c r="J14" s="147">
        <f t="shared" si="2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187">
        <v>0</v>
      </c>
      <c r="AZ14" s="179">
        <v>0.9900000000000001</v>
      </c>
      <c r="BA14" s="179">
        <v>2.42</v>
      </c>
      <c r="BB14" s="179">
        <v>3.6850000000000005</v>
      </c>
      <c r="BC14" s="187">
        <v>4.9999999999999933E-2</v>
      </c>
      <c r="BD14" s="179">
        <v>0.9900000000000001</v>
      </c>
      <c r="BE14" s="179">
        <v>2.42</v>
      </c>
      <c r="BF14" s="188">
        <v>3.3000000000000007</v>
      </c>
      <c r="BG14" s="87">
        <f t="shared" si="3"/>
        <v>4.495000000000001</v>
      </c>
      <c r="BH14">
        <f t="shared" si="1"/>
        <v>9.09</v>
      </c>
      <c r="BI14">
        <f t="shared" si="1"/>
        <v>12.73</v>
      </c>
      <c r="BJ14">
        <f t="shared" si="1"/>
        <v>17.34</v>
      </c>
      <c r="BK14" s="87">
        <f t="shared" si="1"/>
        <v>5.6349999999999989</v>
      </c>
      <c r="BL14">
        <f t="shared" si="1"/>
        <v>9.09</v>
      </c>
      <c r="BM14">
        <f t="shared" si="1"/>
        <v>12.73</v>
      </c>
      <c r="BN14">
        <f t="shared" si="1"/>
        <v>15.83</v>
      </c>
      <c r="BO14" s="138">
        <f t="shared" si="4"/>
        <v>8.1709999999999994</v>
      </c>
      <c r="BP14" s="143">
        <f t="shared" si="5"/>
        <v>13.652000000000001</v>
      </c>
      <c r="BQ14" s="138">
        <f t="shared" si="6"/>
        <v>8.3989999999999991</v>
      </c>
      <c r="BR14" s="139">
        <f t="shared" si="7"/>
        <v>13.350000000000001</v>
      </c>
      <c r="BS14" s="87">
        <f t="shared" si="8"/>
        <v>10.9115</v>
      </c>
      <c r="BT14" s="88">
        <f t="shared" si="9"/>
        <v>10.874500000000001</v>
      </c>
      <c r="BU14" s="134">
        <f t="shared" si="10"/>
        <v>10.893000000000001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0"/>
        <v>1</v>
      </c>
      <c r="I15" s="110">
        <f t="shared" si="0"/>
        <v>1</v>
      </c>
      <c r="J15" s="147">
        <f t="shared" si="2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3"/>
        <v>5.26</v>
      </c>
      <c r="BH15">
        <f t="shared" si="1"/>
        <v>10.350000000000001</v>
      </c>
      <c r="BI15">
        <f t="shared" si="1"/>
        <v>14.66</v>
      </c>
      <c r="BJ15">
        <f t="shared" si="1"/>
        <v>20.655000000000001</v>
      </c>
      <c r="BK15" s="87">
        <f t="shared" si="1"/>
        <v>6.8349999999999991</v>
      </c>
      <c r="BL15">
        <f t="shared" si="1"/>
        <v>10.350000000000001</v>
      </c>
      <c r="BM15">
        <f t="shared" si="1"/>
        <v>14.66</v>
      </c>
      <c r="BN15">
        <f t="shared" si="1"/>
        <v>18.63</v>
      </c>
      <c r="BO15" s="138">
        <f t="shared" si="4"/>
        <v>9.3320000000000007</v>
      </c>
      <c r="BP15" s="143">
        <f t="shared" si="5"/>
        <v>15.859000000000002</v>
      </c>
      <c r="BQ15" s="138">
        <f t="shared" si="6"/>
        <v>9.6470000000000002</v>
      </c>
      <c r="BR15" s="139">
        <f t="shared" si="7"/>
        <v>15.454000000000001</v>
      </c>
      <c r="BS15" s="87">
        <f t="shared" si="8"/>
        <v>12.595500000000001</v>
      </c>
      <c r="BT15" s="88">
        <f t="shared" si="9"/>
        <v>12.5505</v>
      </c>
      <c r="BU15" s="134">
        <f t="shared" si="10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0"/>
        <v>1</v>
      </c>
      <c r="I16" s="110">
        <f t="shared" si="0"/>
        <v>0.66</v>
      </c>
      <c r="J16" s="147">
        <f t="shared" si="2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3"/>
        <v>4.45</v>
      </c>
      <c r="BH16">
        <f t="shared" si="1"/>
        <v>8.3250000000000011</v>
      </c>
      <c r="BI16">
        <f t="shared" si="1"/>
        <v>13.395</v>
      </c>
      <c r="BJ16">
        <f t="shared" si="1"/>
        <v>20.310000000000002</v>
      </c>
      <c r="BK16" s="87">
        <f t="shared" si="1"/>
        <v>5.6650000000000009</v>
      </c>
      <c r="BL16">
        <f t="shared" si="1"/>
        <v>8.3250000000000011</v>
      </c>
      <c r="BM16">
        <f t="shared" si="1"/>
        <v>13.395</v>
      </c>
      <c r="BN16">
        <f t="shared" si="1"/>
        <v>17.96</v>
      </c>
      <c r="BO16" s="138">
        <f t="shared" si="4"/>
        <v>7.5500000000000007</v>
      </c>
      <c r="BP16" s="143">
        <f t="shared" si="5"/>
        <v>14.778</v>
      </c>
      <c r="BQ16" s="138">
        <f t="shared" si="6"/>
        <v>7.793000000000001</v>
      </c>
      <c r="BR16" s="139">
        <f t="shared" si="7"/>
        <v>14.308</v>
      </c>
      <c r="BS16" s="87">
        <f t="shared" si="8"/>
        <v>11.164000000000001</v>
      </c>
      <c r="BT16" s="88">
        <f t="shared" si="9"/>
        <v>11.0505</v>
      </c>
      <c r="BU16" s="134">
        <f t="shared" si="10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0"/>
        <v>1</v>
      </c>
      <c r="I17" s="123">
        <f t="shared" si="0"/>
        <v>0.66</v>
      </c>
      <c r="J17" s="148">
        <f t="shared" si="2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189">
        <v>0</v>
      </c>
      <c r="AJ17" s="201">
        <v>1.5400000000000003</v>
      </c>
      <c r="AK17" s="201">
        <v>3.52</v>
      </c>
      <c r="AL17" s="190">
        <v>5.0600000000000005</v>
      </c>
      <c r="AM17" s="189">
        <v>0.19999999999999996</v>
      </c>
      <c r="AN17" s="201">
        <v>1.5400000000000003</v>
      </c>
      <c r="AO17" s="201">
        <v>3.52</v>
      </c>
      <c r="AP17" s="190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3"/>
        <v>2.1950000000000003</v>
      </c>
      <c r="BH17" s="93">
        <f t="shared" si="1"/>
        <v>6.0150000000000006</v>
      </c>
      <c r="BI17" s="93">
        <f t="shared" si="1"/>
        <v>10.754999999999999</v>
      </c>
      <c r="BJ17" s="93">
        <f t="shared" si="1"/>
        <v>16.215</v>
      </c>
      <c r="BK17" s="91">
        <f t="shared" si="1"/>
        <v>3.1250000000000009</v>
      </c>
      <c r="BL17" s="93">
        <f t="shared" si="1"/>
        <v>6.0150000000000006</v>
      </c>
      <c r="BM17" s="93">
        <f t="shared" si="1"/>
        <v>10.754999999999999</v>
      </c>
      <c r="BN17" s="93">
        <f t="shared" si="1"/>
        <v>14.430000000000003</v>
      </c>
      <c r="BO17" s="140">
        <f t="shared" si="4"/>
        <v>5.2510000000000012</v>
      </c>
      <c r="BP17" s="144">
        <f t="shared" si="5"/>
        <v>11.846999999999998</v>
      </c>
      <c r="BQ17" s="140">
        <f t="shared" si="6"/>
        <v>5.4370000000000012</v>
      </c>
      <c r="BR17" s="141">
        <f t="shared" si="7"/>
        <v>11.489999999999998</v>
      </c>
      <c r="BS17" s="91">
        <f t="shared" si="8"/>
        <v>8.5489999999999995</v>
      </c>
      <c r="BT17" s="94">
        <f t="shared" si="9"/>
        <v>8.4634999999999998</v>
      </c>
      <c r="BU17" s="135">
        <f t="shared" si="10"/>
        <v>8.5062499999999996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11">G22+0.11</f>
        <v>0.55000000000000004</v>
      </c>
      <c r="I22" s="89">
        <v>0.06</v>
      </c>
      <c r="J22">
        <f t="shared" ref="J22:K24" si="12">F22</f>
        <v>0.22000000000000003</v>
      </c>
      <c r="K22">
        <f t="shared" si="12"/>
        <v>0.44</v>
      </c>
      <c r="L22" s="90">
        <f t="shared" ref="L22" si="13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14">F23-0.11</f>
        <v>0.44000000000000006</v>
      </c>
      <c r="F23" s="111">
        <f t="shared" ref="F23" si="15">C23-0.11</f>
        <v>0.55000000000000004</v>
      </c>
      <c r="G23">
        <f t="shared" ref="G23" si="16">C23+0.11</f>
        <v>0.77</v>
      </c>
      <c r="H23" s="88">
        <v>1</v>
      </c>
      <c r="I23" s="89">
        <f t="shared" ref="I23" si="17">J23-0.08</f>
        <v>0.47000000000000003</v>
      </c>
      <c r="J23">
        <f t="shared" si="12"/>
        <v>0.55000000000000004</v>
      </c>
      <c r="K23">
        <f t="shared" si="12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12"/>
        <v>1</v>
      </c>
      <c r="K24" s="93">
        <f t="shared" si="12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18">G29+1.5</f>
        <v>4.5</v>
      </c>
      <c r="I29" s="89">
        <v>1.7</v>
      </c>
      <c r="J29">
        <f t="shared" ref="J29:K31" si="19">F29</f>
        <v>2</v>
      </c>
      <c r="K29">
        <f t="shared" si="19"/>
        <v>3</v>
      </c>
      <c r="L29" s="90">
        <f t="shared" ref="L29:L31" si="20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21">F30-1.5</f>
        <v>3</v>
      </c>
      <c r="F30" s="111">
        <f>C30-0.5</f>
        <v>4.5</v>
      </c>
      <c r="G30">
        <f>C30+0.5</f>
        <v>5.5</v>
      </c>
      <c r="H30" s="88">
        <f t="shared" si="18"/>
        <v>7</v>
      </c>
      <c r="I30" s="89">
        <f t="shared" ref="I30:I31" si="22">J30-1</f>
        <v>3.5</v>
      </c>
      <c r="J30">
        <f t="shared" si="19"/>
        <v>4.5</v>
      </c>
      <c r="K30">
        <f t="shared" si="19"/>
        <v>5.5</v>
      </c>
      <c r="L30" s="90">
        <f t="shared" si="20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21"/>
        <v>5.5</v>
      </c>
      <c r="F31" s="92">
        <f>C31-0.5</f>
        <v>7</v>
      </c>
      <c r="G31" s="93">
        <f>C31+0.5</f>
        <v>8</v>
      </c>
      <c r="H31" s="94">
        <f t="shared" si="18"/>
        <v>9.5</v>
      </c>
      <c r="I31" s="95">
        <f t="shared" si="22"/>
        <v>6</v>
      </c>
      <c r="J31" s="93">
        <f t="shared" si="19"/>
        <v>7</v>
      </c>
      <c r="K31" s="93">
        <f t="shared" si="19"/>
        <v>8</v>
      </c>
      <c r="L31" s="96">
        <f t="shared" si="20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32" t="s">
        <v>126</v>
      </c>
      <c r="F34" s="233"/>
      <c r="G34" s="233"/>
      <c r="H34" s="233"/>
      <c r="I34" s="233"/>
      <c r="J34" s="233"/>
      <c r="K34" s="233"/>
      <c r="L34" s="234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32" t="s">
        <v>134</v>
      </c>
      <c r="F40" s="233"/>
      <c r="G40" s="233"/>
      <c r="H40" s="233"/>
      <c r="I40" s="233"/>
      <c r="J40" s="233"/>
      <c r="K40" s="233"/>
      <c r="L40" s="234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202">
        <f>IF(E22*F$35+E$35*F22-F22*F$35&lt;0,0,E22*F$35+E$35*F22-F22*F$35)</f>
        <v>0</v>
      </c>
      <c r="F42" s="179">
        <f t="shared" ref="F42:G46" si="23">F22*F$35</f>
        <v>1.5400000000000003</v>
      </c>
      <c r="G42" s="179">
        <f t="shared" si="23"/>
        <v>3.52</v>
      </c>
      <c r="H42" s="188">
        <f t="shared" ref="H42:H44" si="24">G22*H$35+G$35*H22-G22*G$35</f>
        <v>5.0600000000000005</v>
      </c>
      <c r="I42" s="187">
        <f t="shared" ref="I42:I44" si="25">I22*J$35+I$35*J22-J22*J$35</f>
        <v>0.19999999999999996</v>
      </c>
      <c r="J42" s="179">
        <f t="shared" ref="J42:K46" si="26">J22*J$35</f>
        <v>1.5400000000000003</v>
      </c>
      <c r="K42" s="179">
        <f t="shared" si="26"/>
        <v>3.52</v>
      </c>
      <c r="L42" s="188">
        <f t="shared" ref="L42:L44" si="2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ref="E42:E44" si="28">E23*F$35+E$35*F23-F23*F$35</f>
        <v>2.2549999999999999</v>
      </c>
      <c r="F43">
        <f t="shared" si="23"/>
        <v>3.8500000000000005</v>
      </c>
      <c r="G43">
        <f t="shared" si="23"/>
        <v>6.16</v>
      </c>
      <c r="H43" s="88">
        <f t="shared" si="24"/>
        <v>9.1550000000000011</v>
      </c>
      <c r="I43" s="87">
        <f t="shared" si="25"/>
        <v>2.7399999999999993</v>
      </c>
      <c r="J43">
        <f t="shared" si="26"/>
        <v>3.8500000000000005</v>
      </c>
      <c r="K43">
        <f t="shared" si="26"/>
        <v>6.16</v>
      </c>
      <c r="L43" s="88">
        <f t="shared" si="2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28"/>
        <v>3.8900000000000006</v>
      </c>
      <c r="F44" s="93">
        <f t="shared" si="23"/>
        <v>7</v>
      </c>
      <c r="G44" s="93">
        <f t="shared" si="23"/>
        <v>8</v>
      </c>
      <c r="H44" s="94">
        <f t="shared" si="24"/>
        <v>9.5</v>
      </c>
      <c r="I44" s="91">
        <f t="shared" si="25"/>
        <v>4.8099999999999987</v>
      </c>
      <c r="J44" s="93">
        <f t="shared" si="26"/>
        <v>7</v>
      </c>
      <c r="K44" s="93">
        <f t="shared" si="26"/>
        <v>8</v>
      </c>
      <c r="L44" s="94">
        <f t="shared" si="2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202">
        <f>IF(E22*F$36+E$36*F22-F22*F$36&lt;0,0,E22*F$36+E$36*F22-F22*F$36)</f>
        <v>0</v>
      </c>
      <c r="F46" s="179">
        <f t="shared" ref="F46:G48" si="29">F22*F$36</f>
        <v>0.44000000000000006</v>
      </c>
      <c r="G46" s="179">
        <f t="shared" si="29"/>
        <v>1.32</v>
      </c>
      <c r="H46" s="188">
        <f t="shared" ref="H46:H48" si="30">G22*H$36+G$36*H22-G22*G$36</f>
        <v>2.3099999999999996</v>
      </c>
      <c r="I46" s="187">
        <f t="shared" ref="I46:I48" si="31">I22*J$36+I$36*J22-J22*J$36</f>
        <v>5.3999999999999992E-2</v>
      </c>
      <c r="J46" s="179">
        <f t="shared" ref="J46:K48" si="32">J22*J$36</f>
        <v>0.44000000000000006</v>
      </c>
      <c r="K46" s="179">
        <f t="shared" si="32"/>
        <v>1.32</v>
      </c>
      <c r="L46" s="188">
        <f t="shared" ref="L46:L48" si="33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34">E23*F$36+E$36*F23-F23*F$36</f>
        <v>0.60499999999999998</v>
      </c>
      <c r="F47">
        <f t="shared" si="29"/>
        <v>1.1000000000000001</v>
      </c>
      <c r="G47">
        <f t="shared" si="29"/>
        <v>2.31</v>
      </c>
      <c r="H47" s="88">
        <f t="shared" si="30"/>
        <v>4.1549999999999994</v>
      </c>
      <c r="I47" s="87">
        <f t="shared" si="31"/>
        <v>0.77499999999999991</v>
      </c>
      <c r="J47">
        <f t="shared" si="32"/>
        <v>1.1000000000000001</v>
      </c>
      <c r="K47">
        <f t="shared" si="32"/>
        <v>2.31</v>
      </c>
      <c r="L47" s="88">
        <f t="shared" si="33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34"/>
        <v>1.04</v>
      </c>
      <c r="F48" s="93">
        <f t="shared" si="29"/>
        <v>2</v>
      </c>
      <c r="G48" s="93">
        <f t="shared" si="29"/>
        <v>3</v>
      </c>
      <c r="H48" s="94">
        <f t="shared" si="30"/>
        <v>4.5</v>
      </c>
      <c r="I48" s="91">
        <f t="shared" si="31"/>
        <v>1.3599999999999999</v>
      </c>
      <c r="J48" s="93">
        <f t="shared" si="32"/>
        <v>2</v>
      </c>
      <c r="K48" s="93">
        <f t="shared" si="32"/>
        <v>3</v>
      </c>
      <c r="L48" s="94">
        <f t="shared" si="33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202">
        <f>IF(E22*F$37+E$37*F22-F22*F$37&lt;0,0,E22*F$37+E$37*F22-F22*F$37)</f>
        <v>0</v>
      </c>
      <c r="F50" s="179">
        <f t="shared" ref="F50:G52" si="35">F22*F$37</f>
        <v>0.9900000000000001</v>
      </c>
      <c r="G50" s="179">
        <f t="shared" si="35"/>
        <v>2.42</v>
      </c>
      <c r="H50" s="188">
        <f t="shared" ref="H50:H52" si="36">G22*H$37+G$37*H22-G22*G$37</f>
        <v>3.6850000000000005</v>
      </c>
      <c r="I50" s="187">
        <f t="shared" ref="I50:I52" si="37">I22*J$37+I$37*J22-J22*J$37</f>
        <v>4.9999999999999933E-2</v>
      </c>
      <c r="J50" s="179">
        <f t="shared" ref="J50:K52" si="38">J22*J$37</f>
        <v>0.9900000000000001</v>
      </c>
      <c r="K50" s="179">
        <f t="shared" si="38"/>
        <v>2.42</v>
      </c>
      <c r="L50" s="188">
        <f t="shared" ref="L50:L52" si="39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ref="E50:E52" si="40">E23*F$37+E$37*F23-F23*F$37</f>
        <v>1.1550000000000002</v>
      </c>
      <c r="F51">
        <f t="shared" si="35"/>
        <v>2.4750000000000001</v>
      </c>
      <c r="G51">
        <f t="shared" si="35"/>
        <v>4.2350000000000003</v>
      </c>
      <c r="H51" s="88">
        <f t="shared" si="36"/>
        <v>6.6550000000000002</v>
      </c>
      <c r="I51" s="87">
        <f t="shared" si="37"/>
        <v>1.5650000000000008</v>
      </c>
      <c r="J51">
        <f t="shared" si="38"/>
        <v>2.4750000000000001</v>
      </c>
      <c r="K51">
        <f t="shared" si="38"/>
        <v>4.2350000000000003</v>
      </c>
      <c r="L51" s="88">
        <f t="shared" si="39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40"/>
        <v>1.9649999999999999</v>
      </c>
      <c r="F52" s="93">
        <f t="shared" si="35"/>
        <v>4.5</v>
      </c>
      <c r="G52" s="93">
        <f t="shared" si="35"/>
        <v>5.5</v>
      </c>
      <c r="H52" s="94">
        <f t="shared" si="36"/>
        <v>7</v>
      </c>
      <c r="I52" s="91">
        <f t="shared" si="37"/>
        <v>2.7349999999999994</v>
      </c>
      <c r="J52" s="93">
        <f t="shared" si="38"/>
        <v>4.5</v>
      </c>
      <c r="K52" s="93">
        <f t="shared" si="38"/>
        <v>5.5</v>
      </c>
      <c r="L52" s="94">
        <f t="shared" si="39"/>
        <v>6.5</v>
      </c>
    </row>
  </sheetData>
  <mergeCells count="35">
    <mergeCell ref="BQ7:BR7"/>
    <mergeCell ref="E34:L34"/>
    <mergeCell ref="E40:L40"/>
    <mergeCell ref="AU7:AX7"/>
    <mergeCell ref="AY7:BB7"/>
    <mergeCell ref="BC7:BF7"/>
    <mergeCell ref="BG7:BJ7"/>
    <mergeCell ref="BK7:BN7"/>
    <mergeCell ref="BO7:BP7"/>
    <mergeCell ref="AY6:BF6"/>
    <mergeCell ref="BG6:BN6"/>
    <mergeCell ref="BO6:BR6"/>
    <mergeCell ref="BS6:BT6"/>
    <mergeCell ref="BU6:BU7"/>
    <mergeCell ref="K7:N7"/>
    <mergeCell ref="O7:R7"/>
    <mergeCell ref="S7:V7"/>
    <mergeCell ref="W7:Z7"/>
    <mergeCell ref="AA7:AD7"/>
    <mergeCell ref="J6:J7"/>
    <mergeCell ref="K6:R6"/>
    <mergeCell ref="S6:Z6"/>
    <mergeCell ref="AA6:AH6"/>
    <mergeCell ref="AI6:AP6"/>
    <mergeCell ref="AQ6:AX6"/>
    <mergeCell ref="AE7:AH7"/>
    <mergeCell ref="AI7:AL7"/>
    <mergeCell ref="AM7:AP7"/>
    <mergeCell ref="AQ7:AT7"/>
    <mergeCell ref="A3:E3"/>
    <mergeCell ref="A6:A7"/>
    <mergeCell ref="B6:B7"/>
    <mergeCell ref="C6:C7"/>
    <mergeCell ref="D6:F6"/>
    <mergeCell ref="G6:I6"/>
  </mergeCells>
  <hyperlinks>
    <hyperlink ref="B2" r:id="rId1" xr:uid="{1572D147-63FA-4B55-B0E8-0BFE3A8AF340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A3F5-D578-4179-B947-64AB661C8263}">
  <dimension ref="A1:BU214"/>
  <sheetViews>
    <sheetView topLeftCell="A171" workbookViewId="0">
      <selection activeCell="B165" sqref="B165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16" t="s">
        <v>98</v>
      </c>
      <c r="B3" s="217"/>
      <c r="C3" s="217"/>
      <c r="D3" s="218"/>
      <c r="E3" s="218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15" t="s">
        <v>85</v>
      </c>
      <c r="B9" s="215" t="s">
        <v>86</v>
      </c>
      <c r="C9" s="238" t="s">
        <v>87</v>
      </c>
      <c r="D9" s="239" t="s">
        <v>127</v>
      </c>
      <c r="E9" s="237"/>
      <c r="F9" s="237"/>
      <c r="G9" s="237" t="s">
        <v>128</v>
      </c>
      <c r="H9" s="237"/>
      <c r="I9" s="237"/>
      <c r="J9" s="235" t="s">
        <v>157</v>
      </c>
      <c r="K9" s="223" t="s">
        <v>150</v>
      </c>
      <c r="L9" s="224"/>
      <c r="M9" s="224"/>
      <c r="N9" s="224"/>
      <c r="O9" s="224"/>
      <c r="P9" s="224"/>
      <c r="Q9" s="224"/>
      <c r="R9" s="225"/>
      <c r="S9" s="223" t="s">
        <v>148</v>
      </c>
      <c r="T9" s="224"/>
      <c r="U9" s="224"/>
      <c r="V9" s="224"/>
      <c r="W9" s="224"/>
      <c r="X9" s="224"/>
      <c r="Y9" s="224"/>
      <c r="Z9" s="225"/>
      <c r="AA9" s="223" t="s">
        <v>149</v>
      </c>
      <c r="AB9" s="224"/>
      <c r="AC9" s="224"/>
      <c r="AD9" s="224"/>
      <c r="AE9" s="224"/>
      <c r="AF9" s="224"/>
      <c r="AG9" s="224"/>
      <c r="AH9" s="225"/>
      <c r="AI9" s="223" t="s">
        <v>147</v>
      </c>
      <c r="AJ9" s="224"/>
      <c r="AK9" s="224"/>
      <c r="AL9" s="224"/>
      <c r="AM9" s="224"/>
      <c r="AN9" s="224"/>
      <c r="AO9" s="224"/>
      <c r="AP9" s="225"/>
      <c r="AQ9" s="223" t="s">
        <v>158</v>
      </c>
      <c r="AR9" s="224"/>
      <c r="AS9" s="224"/>
      <c r="AT9" s="224"/>
      <c r="AU9" s="224"/>
      <c r="AV9" s="224"/>
      <c r="AW9" s="224"/>
      <c r="AX9" s="225"/>
      <c r="AY9" s="223" t="s">
        <v>159</v>
      </c>
      <c r="AZ9" s="224"/>
      <c r="BA9" s="224"/>
      <c r="BB9" s="224"/>
      <c r="BC9" s="224"/>
      <c r="BD9" s="224"/>
      <c r="BE9" s="224"/>
      <c r="BF9" s="225"/>
      <c r="BG9" s="223" t="s">
        <v>205</v>
      </c>
      <c r="BH9" s="224"/>
      <c r="BI9" s="224"/>
      <c r="BJ9" s="224"/>
      <c r="BK9" s="224"/>
      <c r="BL9" s="224"/>
      <c r="BM9" s="224"/>
      <c r="BN9" s="225"/>
      <c r="BO9" s="226" t="s">
        <v>151</v>
      </c>
      <c r="BP9" s="227"/>
      <c r="BQ9" s="227"/>
      <c r="BR9" s="228"/>
      <c r="BS9" s="219" t="s">
        <v>153</v>
      </c>
      <c r="BT9" s="220"/>
      <c r="BU9" s="221" t="s">
        <v>156</v>
      </c>
    </row>
    <row r="10" spans="1:73" s="97" customFormat="1" ht="23.25" customHeight="1" thickBot="1" x14ac:dyDescent="0.3">
      <c r="A10" s="215"/>
      <c r="B10" s="215"/>
      <c r="C10" s="238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36"/>
      <c r="K10" s="223" t="s">
        <v>17</v>
      </c>
      <c r="L10" s="224"/>
      <c r="M10" s="224"/>
      <c r="N10" s="225"/>
      <c r="O10" s="223" t="s">
        <v>18</v>
      </c>
      <c r="P10" s="224"/>
      <c r="Q10" s="224"/>
      <c r="R10" s="225"/>
      <c r="S10" s="223" t="s">
        <v>17</v>
      </c>
      <c r="T10" s="224"/>
      <c r="U10" s="224"/>
      <c r="V10" s="225"/>
      <c r="W10" s="223" t="s">
        <v>18</v>
      </c>
      <c r="X10" s="224"/>
      <c r="Y10" s="224"/>
      <c r="Z10" s="225"/>
      <c r="AA10" s="223" t="s">
        <v>17</v>
      </c>
      <c r="AB10" s="224"/>
      <c r="AC10" s="224"/>
      <c r="AD10" s="225"/>
      <c r="AE10" s="223" t="s">
        <v>18</v>
      </c>
      <c r="AF10" s="224"/>
      <c r="AG10" s="224"/>
      <c r="AH10" s="225"/>
      <c r="AI10" s="223" t="s">
        <v>17</v>
      </c>
      <c r="AJ10" s="224"/>
      <c r="AK10" s="224"/>
      <c r="AL10" s="225"/>
      <c r="AM10" s="223" t="s">
        <v>18</v>
      </c>
      <c r="AN10" s="224"/>
      <c r="AO10" s="224"/>
      <c r="AP10" s="225"/>
      <c r="AQ10" s="223" t="s">
        <v>17</v>
      </c>
      <c r="AR10" s="224"/>
      <c r="AS10" s="224"/>
      <c r="AT10" s="225"/>
      <c r="AU10" s="223" t="s">
        <v>18</v>
      </c>
      <c r="AV10" s="224"/>
      <c r="AW10" s="224"/>
      <c r="AX10" s="225"/>
      <c r="AY10" s="223" t="s">
        <v>17</v>
      </c>
      <c r="AZ10" s="224"/>
      <c r="BA10" s="224"/>
      <c r="BB10" s="225"/>
      <c r="BC10" s="223" t="s">
        <v>18</v>
      </c>
      <c r="BD10" s="224"/>
      <c r="BE10" s="224"/>
      <c r="BF10" s="225"/>
      <c r="BG10" s="223" t="s">
        <v>17</v>
      </c>
      <c r="BH10" s="224"/>
      <c r="BI10" s="224"/>
      <c r="BJ10" s="225"/>
      <c r="BK10" s="223" t="s">
        <v>18</v>
      </c>
      <c r="BL10" s="224"/>
      <c r="BM10" s="224"/>
      <c r="BN10" s="225"/>
      <c r="BO10" s="229" t="s">
        <v>152</v>
      </c>
      <c r="BP10" s="230"/>
      <c r="BQ10" s="229" t="s">
        <v>26</v>
      </c>
      <c r="BR10" s="231"/>
      <c r="BS10" s="145" t="s">
        <v>154</v>
      </c>
      <c r="BT10" s="145" t="s">
        <v>155</v>
      </c>
      <c r="BU10" s="222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-0.33000000000000007</v>
      </c>
      <c r="AJ12">
        <v>1.5400000000000003</v>
      </c>
      <c r="AK12">
        <v>3.52</v>
      </c>
      <c r="AL12" s="88">
        <v>5.0600000000000005</v>
      </c>
      <c r="AM12" s="87">
        <v>0.19999999999999996</v>
      </c>
      <c r="AN12">
        <v>1.5400000000000003</v>
      </c>
      <c r="AO12">
        <v>3.52</v>
      </c>
      <c r="AP12" s="88">
        <v>4.6000000000000014</v>
      </c>
      <c r="AQ12" s="87">
        <v>-0.10999999999999999</v>
      </c>
      <c r="AR12">
        <v>0.44000000000000006</v>
      </c>
      <c r="AS12">
        <v>1.32</v>
      </c>
      <c r="AT12">
        <v>2.3099999999999996</v>
      </c>
      <c r="AU12" s="87">
        <v>5.3999999999999992E-2</v>
      </c>
      <c r="AV12">
        <v>0.44000000000000006</v>
      </c>
      <c r="AW12">
        <v>1.32</v>
      </c>
      <c r="AX12" s="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87">
        <v>-0.32999999999999996</v>
      </c>
      <c r="AZ16">
        <v>0.9900000000000001</v>
      </c>
      <c r="BA16">
        <v>2.42</v>
      </c>
      <c r="BB16">
        <v>3.6850000000000005</v>
      </c>
      <c r="BC16" s="87">
        <v>4.9999999999999933E-2</v>
      </c>
      <c r="BD16">
        <v>0.9900000000000001</v>
      </c>
      <c r="BE16">
        <v>2.42</v>
      </c>
      <c r="BF16" s="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87">
        <v>-0.32999999999999996</v>
      </c>
      <c r="AZ17">
        <v>0.9900000000000001</v>
      </c>
      <c r="BA17">
        <v>2.42</v>
      </c>
      <c r="BB17">
        <v>3.6850000000000005</v>
      </c>
      <c r="BC17" s="87">
        <v>4.9999999999999933E-2</v>
      </c>
      <c r="BD17">
        <v>0.9900000000000001</v>
      </c>
      <c r="BE17">
        <v>2.42</v>
      </c>
      <c r="BF17" s="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32" t="s">
        <v>126</v>
      </c>
      <c r="F37" s="233"/>
      <c r="G37" s="233"/>
      <c r="H37" s="233"/>
      <c r="I37" s="233"/>
      <c r="J37" s="233"/>
      <c r="K37" s="233"/>
      <c r="L37" s="234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45.75" thickBot="1" x14ac:dyDescent="0.3">
      <c r="A43" s="128" t="s">
        <v>132</v>
      </c>
      <c r="B43" s="129" t="s">
        <v>133</v>
      </c>
      <c r="E43" s="232" t="s">
        <v>134</v>
      </c>
      <c r="F43" s="233"/>
      <c r="G43" s="233"/>
      <c r="H43" s="233"/>
      <c r="I43" s="233"/>
      <c r="J43" s="233"/>
      <c r="K43" s="233"/>
      <c r="L43" s="234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87">
        <f t="shared" ref="E45:E47" si="23">E25*F$38+E$38*F25-F25*F$38</f>
        <v>-0.33000000000000007</v>
      </c>
      <c r="F45">
        <f t="shared" ref="F45:G47" si="24">F25*F$38</f>
        <v>1.5400000000000003</v>
      </c>
      <c r="G45">
        <f t="shared" si="24"/>
        <v>3.52</v>
      </c>
      <c r="H45" s="88">
        <f t="shared" ref="H45:H47" si="25">G25*H$38+G$38*H25-G25*G$38</f>
        <v>5.0600000000000005</v>
      </c>
      <c r="I45" s="87">
        <f t="shared" ref="I45:I47" si="26">I25*J$38+I$38*J25-J25*J$38</f>
        <v>0.19999999999999996</v>
      </c>
      <c r="J45">
        <f t="shared" ref="J45:K47" si="27">J25*J$38</f>
        <v>1.5400000000000003</v>
      </c>
      <c r="K45">
        <f t="shared" si="27"/>
        <v>3.52</v>
      </c>
      <c r="L45" s="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87">
        <f>E25*F$39+E$39*F25-F25*F$39</f>
        <v>-0.10999999999999999</v>
      </c>
      <c r="F49">
        <f t="shared" ref="F49:G51" si="29">F25*F$39</f>
        <v>0.44000000000000006</v>
      </c>
      <c r="G49">
        <f t="shared" si="29"/>
        <v>1.32</v>
      </c>
      <c r="H49" s="88">
        <f t="shared" ref="H49:H51" si="30">G25*H$39+G$39*H25-G25*G$39</f>
        <v>2.3099999999999996</v>
      </c>
      <c r="I49" s="87">
        <f t="shared" ref="I49:I51" si="31">I25*J$39+I$39*J25-J25*J$39</f>
        <v>5.3999999999999992E-2</v>
      </c>
      <c r="J49">
        <f t="shared" ref="J49:K51" si="32">J25*J$39</f>
        <v>0.44000000000000006</v>
      </c>
      <c r="K49">
        <f t="shared" si="32"/>
        <v>1.32</v>
      </c>
      <c r="L49" s="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87">
        <f t="shared" ref="E53:E55" si="35">E25*F$40+E$40*F25-F25*F$40</f>
        <v>-0.32999999999999996</v>
      </c>
      <c r="F53">
        <f t="shared" ref="F53:G55" si="36">F25*F$40</f>
        <v>0.9900000000000001</v>
      </c>
      <c r="G53">
        <f t="shared" si="36"/>
        <v>2.42</v>
      </c>
      <c r="H53" s="88">
        <f t="shared" ref="H53:H55" si="37">G25*H$40+G$40*H25-G25*G$40</f>
        <v>3.6850000000000005</v>
      </c>
      <c r="I53" s="87">
        <f t="shared" ref="I53:I55" si="38">I25*J$40+I$40*J25-J25*J$40</f>
        <v>4.9999999999999933E-2</v>
      </c>
      <c r="J53">
        <f t="shared" ref="J53:K55" si="39">J25*J$40</f>
        <v>0.9900000000000001</v>
      </c>
      <c r="K53">
        <f t="shared" si="39"/>
        <v>2.42</v>
      </c>
      <c r="L53" s="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15" t="s">
        <v>85</v>
      </c>
      <c r="B61" s="215" t="s">
        <v>86</v>
      </c>
      <c r="C61" s="238" t="s">
        <v>87</v>
      </c>
      <c r="D61" s="239" t="s">
        <v>127</v>
      </c>
      <c r="E61" s="237"/>
      <c r="F61" s="237"/>
      <c r="G61" s="237" t="s">
        <v>128</v>
      </c>
      <c r="H61" s="237"/>
      <c r="I61" s="237"/>
      <c r="J61" s="235" t="s">
        <v>157</v>
      </c>
      <c r="K61" s="223" t="s">
        <v>150</v>
      </c>
      <c r="L61" s="224"/>
      <c r="M61" s="224"/>
      <c r="N61" s="224"/>
      <c r="O61" s="224"/>
      <c r="P61" s="224"/>
      <c r="Q61" s="224"/>
      <c r="R61" s="225"/>
      <c r="S61" s="223" t="s">
        <v>148</v>
      </c>
      <c r="T61" s="224"/>
      <c r="U61" s="224"/>
      <c r="V61" s="224"/>
      <c r="W61" s="224"/>
      <c r="X61" s="224"/>
      <c r="Y61" s="224"/>
      <c r="Z61" s="225"/>
      <c r="AA61" s="223" t="s">
        <v>149</v>
      </c>
      <c r="AB61" s="224"/>
      <c r="AC61" s="224"/>
      <c r="AD61" s="224"/>
      <c r="AE61" s="224"/>
      <c r="AF61" s="224"/>
      <c r="AG61" s="224"/>
      <c r="AH61" s="225"/>
      <c r="AI61" s="223" t="s">
        <v>147</v>
      </c>
      <c r="AJ61" s="224"/>
      <c r="AK61" s="224"/>
      <c r="AL61" s="224"/>
      <c r="AM61" s="224"/>
      <c r="AN61" s="224"/>
      <c r="AO61" s="224"/>
      <c r="AP61" s="225"/>
      <c r="AQ61" s="223" t="s">
        <v>158</v>
      </c>
      <c r="AR61" s="224"/>
      <c r="AS61" s="224"/>
      <c r="AT61" s="224"/>
      <c r="AU61" s="224"/>
      <c r="AV61" s="224"/>
      <c r="AW61" s="224"/>
      <c r="AX61" s="225"/>
      <c r="AY61" s="223" t="s">
        <v>159</v>
      </c>
      <c r="AZ61" s="224"/>
      <c r="BA61" s="224"/>
      <c r="BB61" s="224"/>
      <c r="BC61" s="224"/>
      <c r="BD61" s="224"/>
      <c r="BE61" s="224"/>
      <c r="BF61" s="225"/>
      <c r="BG61" s="223" t="s">
        <v>205</v>
      </c>
      <c r="BH61" s="224"/>
      <c r="BI61" s="224"/>
      <c r="BJ61" s="224"/>
      <c r="BK61" s="224"/>
      <c r="BL61" s="224"/>
      <c r="BM61" s="224"/>
      <c r="BN61" s="225"/>
      <c r="BO61" s="226" t="s">
        <v>151</v>
      </c>
      <c r="BP61" s="227"/>
      <c r="BQ61" s="227"/>
      <c r="BR61" s="228"/>
      <c r="BS61" s="219" t="s">
        <v>153</v>
      </c>
      <c r="BT61" s="220"/>
      <c r="BU61" s="221" t="s">
        <v>156</v>
      </c>
    </row>
    <row r="62" spans="1:73" s="97" customFormat="1" ht="23.25" customHeight="1" thickBot="1" x14ac:dyDescent="0.3">
      <c r="A62" s="215"/>
      <c r="B62" s="215"/>
      <c r="C62" s="238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36"/>
      <c r="K62" s="223" t="s">
        <v>17</v>
      </c>
      <c r="L62" s="224"/>
      <c r="M62" s="224"/>
      <c r="N62" s="225"/>
      <c r="O62" s="223" t="s">
        <v>18</v>
      </c>
      <c r="P62" s="224"/>
      <c r="Q62" s="224"/>
      <c r="R62" s="225"/>
      <c r="S62" s="223" t="s">
        <v>17</v>
      </c>
      <c r="T62" s="224"/>
      <c r="U62" s="224"/>
      <c r="V62" s="225"/>
      <c r="W62" s="223" t="s">
        <v>18</v>
      </c>
      <c r="X62" s="224"/>
      <c r="Y62" s="224"/>
      <c r="Z62" s="225"/>
      <c r="AA62" s="223" t="s">
        <v>17</v>
      </c>
      <c r="AB62" s="224"/>
      <c r="AC62" s="224"/>
      <c r="AD62" s="225"/>
      <c r="AE62" s="223" t="s">
        <v>18</v>
      </c>
      <c r="AF62" s="224"/>
      <c r="AG62" s="224"/>
      <c r="AH62" s="225"/>
      <c r="AI62" s="223" t="s">
        <v>17</v>
      </c>
      <c r="AJ62" s="224"/>
      <c r="AK62" s="224"/>
      <c r="AL62" s="225"/>
      <c r="AM62" s="223" t="s">
        <v>18</v>
      </c>
      <c r="AN62" s="224"/>
      <c r="AO62" s="224"/>
      <c r="AP62" s="225"/>
      <c r="AQ62" s="223" t="s">
        <v>17</v>
      </c>
      <c r="AR62" s="224"/>
      <c r="AS62" s="224"/>
      <c r="AT62" s="225"/>
      <c r="AU62" s="223" t="s">
        <v>18</v>
      </c>
      <c r="AV62" s="224"/>
      <c r="AW62" s="224"/>
      <c r="AX62" s="225"/>
      <c r="AY62" s="223" t="s">
        <v>17</v>
      </c>
      <c r="AZ62" s="224"/>
      <c r="BA62" s="224"/>
      <c r="BB62" s="225"/>
      <c r="BC62" s="223" t="s">
        <v>18</v>
      </c>
      <c r="BD62" s="224"/>
      <c r="BE62" s="224"/>
      <c r="BF62" s="225"/>
      <c r="BG62" s="223" t="s">
        <v>17</v>
      </c>
      <c r="BH62" s="224"/>
      <c r="BI62" s="224"/>
      <c r="BJ62" s="225"/>
      <c r="BK62" s="223" t="s">
        <v>18</v>
      </c>
      <c r="BL62" s="224"/>
      <c r="BM62" s="224"/>
      <c r="BN62" s="225"/>
      <c r="BO62" s="229" t="s">
        <v>152</v>
      </c>
      <c r="BP62" s="230"/>
      <c r="BQ62" s="229" t="s">
        <v>26</v>
      </c>
      <c r="BR62" s="231"/>
      <c r="BS62" s="145" t="s">
        <v>154</v>
      </c>
      <c r="BT62" s="145" t="s">
        <v>155</v>
      </c>
      <c r="BU62" s="222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63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81">
        <v>-0.33000000000000007</v>
      </c>
      <c r="AJ63" s="83">
        <v>1.5400000000000003</v>
      </c>
      <c r="AK63" s="83">
        <v>3.52</v>
      </c>
      <c r="AL63" s="84">
        <v>5.0600000000000005</v>
      </c>
      <c r="AM63" s="81">
        <v>0.19999999999999996</v>
      </c>
      <c r="AN63" s="83">
        <v>1.5400000000000003</v>
      </c>
      <c r="AO63" s="83">
        <v>3.52</v>
      </c>
      <c r="AP63" s="84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H72" si="42">AJ63+AR63+AZ63</f>
        <v>9.89</v>
      </c>
      <c r="BI63" s="83">
        <f t="shared" ref="BI63:BI72" si="43">AK63+AS63+BA63</f>
        <v>15.18</v>
      </c>
      <c r="BJ63" s="83">
        <f t="shared" ref="BJ63:BJ72" si="44">AL63+AT63+BB63</f>
        <v>21.215000000000003</v>
      </c>
      <c r="BK63" s="81">
        <f t="shared" ref="BK63:BK72" si="45">AM63+AU63+BC63</f>
        <v>5.6749999999999989</v>
      </c>
      <c r="BL63" s="83">
        <f t="shared" ref="BL63:BL72" si="46">AN63+AV63+BD63</f>
        <v>9.89</v>
      </c>
      <c r="BM63" s="83">
        <f t="shared" ref="BM63:BM72" si="47">AO63+AW63+BE63</f>
        <v>15.18</v>
      </c>
      <c r="BN63" s="83">
        <f t="shared" ref="BN63:BN72" si="48">AP63+AX63+BF63</f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9">IF(D64=$A$76,$B$76,(IF(D64=$A$77,$B$77,IF(D64=$A$78,$B$78,$B$79))))</f>
        <v>0.33</v>
      </c>
      <c r="H64" s="110">
        <f t="shared" ref="H64:H72" si="50">IF(E64=$A$76,$B$76,(IF(E64=$A$77,$B$77,IF(E64=$A$78,$B$78,$B$79))))</f>
        <v>0.33</v>
      </c>
      <c r="I64" s="110">
        <f t="shared" ref="I64:I72" si="51">IF(F64=$A$76,$B$76,(IF(F64=$A$77,$B$77,IF(F64=$A$78,$B$78,$B$79))))</f>
        <v>0.66</v>
      </c>
      <c r="J64" s="147">
        <f t="shared" ref="J64:J72" si="52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87">
        <v>-0.33000000000000007</v>
      </c>
      <c r="AJ64">
        <v>1.5400000000000003</v>
      </c>
      <c r="AK64">
        <v>3.52</v>
      </c>
      <c r="AL64" s="88">
        <v>5.0600000000000005</v>
      </c>
      <c r="AM64" s="87">
        <v>0.19999999999999996</v>
      </c>
      <c r="AN64">
        <v>1.5400000000000003</v>
      </c>
      <c r="AO64">
        <v>3.52</v>
      </c>
      <c r="AP64" s="88">
        <v>4.6000000000000014</v>
      </c>
      <c r="AQ64" s="87">
        <v>-0.33000000000000007</v>
      </c>
      <c r="AR64">
        <v>1.5400000000000003</v>
      </c>
      <c r="AS64">
        <v>3.52</v>
      </c>
      <c r="AT64">
        <v>5.0600000000000005</v>
      </c>
      <c r="AU64" s="87">
        <v>0.19999999999999996</v>
      </c>
      <c r="AV64">
        <v>1.5400000000000003</v>
      </c>
      <c r="AW64">
        <v>3.52</v>
      </c>
      <c r="AX64" s="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53">AI64+AQ64+AY64</f>
        <v>0.49500000000000011</v>
      </c>
      <c r="BH64">
        <f t="shared" si="42"/>
        <v>5.5550000000000006</v>
      </c>
      <c r="BI64">
        <f t="shared" si="43"/>
        <v>11.275</v>
      </c>
      <c r="BJ64">
        <f t="shared" si="44"/>
        <v>16.775000000000002</v>
      </c>
      <c r="BK64" s="87">
        <f t="shared" si="45"/>
        <v>1.9650000000000007</v>
      </c>
      <c r="BL64">
        <f t="shared" si="46"/>
        <v>5.5550000000000006</v>
      </c>
      <c r="BM64">
        <f t="shared" si="47"/>
        <v>11.275</v>
      </c>
      <c r="BN64">
        <f t="shared" si="48"/>
        <v>15.030000000000005</v>
      </c>
      <c r="BO64" s="138">
        <f t="shared" ref="BO64:BO72" si="54">BO$8*BH64+(1-BO$8)*BG64</f>
        <v>4.543000000000001</v>
      </c>
      <c r="BP64" s="143">
        <f t="shared" ref="BP64:BP72" si="55">BO$8*BI64+(1-BO$8)*BJ64</f>
        <v>12.375</v>
      </c>
      <c r="BQ64" s="138">
        <f t="shared" ref="BQ64:BQ72" si="56">BO$8*BL64+(1-BO$8)*BK64</f>
        <v>4.8370000000000006</v>
      </c>
      <c r="BR64" s="139">
        <f t="shared" ref="BR64:BR72" si="57">BO$8*BM64+(1-BO$8)*BN64</f>
        <v>12.026000000000002</v>
      </c>
      <c r="BS64" s="87">
        <f t="shared" ref="BS64:BS72" si="58">(BO64+BP64)/2</f>
        <v>8.4589999999999996</v>
      </c>
      <c r="BT64" s="88">
        <f t="shared" ref="BT64:BT72" si="59">(BQ64+BR64)/2</f>
        <v>8.4315000000000015</v>
      </c>
      <c r="BU64" s="134">
        <f t="shared" ref="BU64:BU72" si="60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9"/>
        <v>0.66</v>
      </c>
      <c r="H65" s="110">
        <f t="shared" si="50"/>
        <v>1</v>
      </c>
      <c r="I65" s="110">
        <f t="shared" si="51"/>
        <v>0.66</v>
      </c>
      <c r="J65" s="147">
        <f t="shared" si="52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53"/>
        <v>7.3000000000000007</v>
      </c>
      <c r="BH65">
        <f t="shared" si="42"/>
        <v>13.325000000000001</v>
      </c>
      <c r="BI65">
        <f t="shared" si="43"/>
        <v>18.395</v>
      </c>
      <c r="BJ65">
        <f t="shared" si="44"/>
        <v>25.310000000000002</v>
      </c>
      <c r="BK65" s="87">
        <f t="shared" si="45"/>
        <v>9.1149999999999984</v>
      </c>
      <c r="BL65">
        <f t="shared" si="46"/>
        <v>13.325000000000001</v>
      </c>
      <c r="BM65">
        <f t="shared" si="47"/>
        <v>18.395</v>
      </c>
      <c r="BN65">
        <f t="shared" si="48"/>
        <v>22.96</v>
      </c>
      <c r="BO65" s="138">
        <f t="shared" si="54"/>
        <v>12.120000000000001</v>
      </c>
      <c r="BP65" s="143">
        <f t="shared" si="55"/>
        <v>19.777999999999999</v>
      </c>
      <c r="BQ65" s="138">
        <f t="shared" si="56"/>
        <v>12.483000000000001</v>
      </c>
      <c r="BR65" s="139">
        <f t="shared" si="57"/>
        <v>19.308</v>
      </c>
      <c r="BS65" s="87">
        <f t="shared" si="58"/>
        <v>15.949</v>
      </c>
      <c r="BT65" s="88">
        <f t="shared" si="59"/>
        <v>15.8955</v>
      </c>
      <c r="BU65" s="134">
        <f t="shared" si="60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9"/>
        <v>1</v>
      </c>
      <c r="H66" s="110">
        <f t="shared" si="50"/>
        <v>0.66</v>
      </c>
      <c r="I66" s="110">
        <f t="shared" si="51"/>
        <v>0.33</v>
      </c>
      <c r="J66" s="147">
        <f t="shared" si="52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87">
        <v>-0.32999999999999996</v>
      </c>
      <c r="AZ66">
        <v>0.9900000000000001</v>
      </c>
      <c r="BA66">
        <v>2.42</v>
      </c>
      <c r="BB66">
        <v>3.6850000000000005</v>
      </c>
      <c r="BC66" s="87">
        <v>4.9999999999999933E-2</v>
      </c>
      <c r="BD66">
        <v>0.9900000000000001</v>
      </c>
      <c r="BE66">
        <v>2.42</v>
      </c>
      <c r="BF66" s="88">
        <v>3.3000000000000007</v>
      </c>
      <c r="BG66" s="87">
        <f t="shared" si="53"/>
        <v>5.8150000000000004</v>
      </c>
      <c r="BH66">
        <f t="shared" si="42"/>
        <v>11.840000000000002</v>
      </c>
      <c r="BI66">
        <f t="shared" si="43"/>
        <v>16.579999999999998</v>
      </c>
      <c r="BJ66">
        <f t="shared" si="44"/>
        <v>22.340000000000003</v>
      </c>
      <c r="BK66" s="87">
        <f t="shared" si="45"/>
        <v>7.5999999999999979</v>
      </c>
      <c r="BL66">
        <f t="shared" si="46"/>
        <v>11.840000000000002</v>
      </c>
      <c r="BM66">
        <f t="shared" si="47"/>
        <v>16.579999999999998</v>
      </c>
      <c r="BN66">
        <f t="shared" si="48"/>
        <v>20.43</v>
      </c>
      <c r="BO66" s="138">
        <f t="shared" si="54"/>
        <v>10.635000000000002</v>
      </c>
      <c r="BP66" s="143">
        <f t="shared" si="55"/>
        <v>17.731999999999999</v>
      </c>
      <c r="BQ66" s="138">
        <f t="shared" si="56"/>
        <v>10.992000000000001</v>
      </c>
      <c r="BR66" s="139">
        <f t="shared" si="57"/>
        <v>17.349999999999998</v>
      </c>
      <c r="BS66" s="87">
        <f t="shared" si="58"/>
        <v>14.1835</v>
      </c>
      <c r="BT66" s="88">
        <f t="shared" si="59"/>
        <v>14.170999999999999</v>
      </c>
      <c r="BU66" s="134">
        <f t="shared" si="60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9"/>
        <v>0.66</v>
      </c>
      <c r="H67" s="110">
        <f t="shared" si="50"/>
        <v>1</v>
      </c>
      <c r="I67" s="110">
        <f t="shared" si="51"/>
        <v>0.66</v>
      </c>
      <c r="J67" s="147">
        <f t="shared" si="52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53"/>
        <v>7.3000000000000007</v>
      </c>
      <c r="BH67">
        <f t="shared" si="42"/>
        <v>13.325000000000001</v>
      </c>
      <c r="BI67">
        <f t="shared" si="43"/>
        <v>18.395</v>
      </c>
      <c r="BJ67">
        <f t="shared" si="44"/>
        <v>25.310000000000002</v>
      </c>
      <c r="BK67" s="87">
        <f t="shared" si="45"/>
        <v>9.1149999999999984</v>
      </c>
      <c r="BL67">
        <f t="shared" si="46"/>
        <v>13.325000000000001</v>
      </c>
      <c r="BM67">
        <f t="shared" si="47"/>
        <v>18.395</v>
      </c>
      <c r="BN67">
        <f t="shared" si="48"/>
        <v>22.96</v>
      </c>
      <c r="BO67" s="138">
        <f t="shared" si="54"/>
        <v>12.120000000000001</v>
      </c>
      <c r="BP67" s="143">
        <f t="shared" si="55"/>
        <v>19.777999999999999</v>
      </c>
      <c r="BQ67" s="138">
        <f t="shared" si="56"/>
        <v>12.483000000000001</v>
      </c>
      <c r="BR67" s="139">
        <f t="shared" si="57"/>
        <v>19.308</v>
      </c>
      <c r="BS67" s="87">
        <f t="shared" si="58"/>
        <v>15.949</v>
      </c>
      <c r="BT67" s="88">
        <f t="shared" si="59"/>
        <v>15.8955</v>
      </c>
      <c r="BU67" s="134">
        <f t="shared" si="60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9"/>
        <v>1</v>
      </c>
      <c r="H68" s="110">
        <f t="shared" si="50"/>
        <v>0.66</v>
      </c>
      <c r="I68" s="110">
        <f t="shared" si="51"/>
        <v>0.33</v>
      </c>
      <c r="J68" s="147">
        <f t="shared" si="52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87">
        <v>-0.32999999999999996</v>
      </c>
      <c r="AZ68">
        <v>0.9900000000000001</v>
      </c>
      <c r="BA68">
        <v>2.42</v>
      </c>
      <c r="BB68">
        <v>3.6850000000000005</v>
      </c>
      <c r="BC68" s="87">
        <v>4.9999999999999933E-2</v>
      </c>
      <c r="BD68">
        <v>0.9900000000000001</v>
      </c>
      <c r="BE68">
        <v>2.42</v>
      </c>
      <c r="BF68" s="88">
        <v>3.3000000000000007</v>
      </c>
      <c r="BG68" s="87">
        <f t="shared" si="53"/>
        <v>5.8150000000000004</v>
      </c>
      <c r="BH68">
        <f t="shared" si="42"/>
        <v>11.840000000000002</v>
      </c>
      <c r="BI68">
        <f t="shared" si="43"/>
        <v>16.579999999999998</v>
      </c>
      <c r="BJ68">
        <f t="shared" si="44"/>
        <v>22.340000000000003</v>
      </c>
      <c r="BK68" s="87">
        <f t="shared" si="45"/>
        <v>7.5999999999999979</v>
      </c>
      <c r="BL68">
        <f t="shared" si="46"/>
        <v>11.840000000000002</v>
      </c>
      <c r="BM68">
        <f t="shared" si="47"/>
        <v>16.579999999999998</v>
      </c>
      <c r="BN68">
        <f t="shared" si="48"/>
        <v>20.43</v>
      </c>
      <c r="BO68" s="138">
        <f t="shared" si="54"/>
        <v>10.635000000000002</v>
      </c>
      <c r="BP68" s="143">
        <f t="shared" si="55"/>
        <v>17.731999999999999</v>
      </c>
      <c r="BQ68" s="138">
        <f t="shared" si="56"/>
        <v>10.992000000000001</v>
      </c>
      <c r="BR68" s="139">
        <f t="shared" si="57"/>
        <v>17.349999999999998</v>
      </c>
      <c r="BS68" s="87">
        <f t="shared" si="58"/>
        <v>14.1835</v>
      </c>
      <c r="BT68" s="88">
        <f t="shared" si="59"/>
        <v>14.170999999999999</v>
      </c>
      <c r="BU68" s="134">
        <f t="shared" si="60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9"/>
        <v>1</v>
      </c>
      <c r="H69" s="110">
        <f t="shared" si="50"/>
        <v>0.66</v>
      </c>
      <c r="I69" s="110">
        <f t="shared" si="51"/>
        <v>0.33</v>
      </c>
      <c r="J69" s="147">
        <f t="shared" si="52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87">
        <v>-0.32999999999999996</v>
      </c>
      <c r="AZ69">
        <v>0.9900000000000001</v>
      </c>
      <c r="BA69">
        <v>2.42</v>
      </c>
      <c r="BB69">
        <v>3.6850000000000005</v>
      </c>
      <c r="BC69" s="87">
        <v>4.9999999999999933E-2</v>
      </c>
      <c r="BD69">
        <v>0.9900000000000001</v>
      </c>
      <c r="BE69">
        <v>2.42</v>
      </c>
      <c r="BF69" s="88">
        <v>3.3000000000000007</v>
      </c>
      <c r="BG69" s="87">
        <f t="shared" si="53"/>
        <v>5.8150000000000004</v>
      </c>
      <c r="BH69">
        <f t="shared" si="42"/>
        <v>11.840000000000002</v>
      </c>
      <c r="BI69">
        <f t="shared" si="43"/>
        <v>16.579999999999998</v>
      </c>
      <c r="BJ69">
        <f t="shared" si="44"/>
        <v>22.340000000000003</v>
      </c>
      <c r="BK69" s="87">
        <f t="shared" si="45"/>
        <v>7.5999999999999979</v>
      </c>
      <c r="BL69">
        <f t="shared" si="46"/>
        <v>11.840000000000002</v>
      </c>
      <c r="BM69">
        <f t="shared" si="47"/>
        <v>16.579999999999998</v>
      </c>
      <c r="BN69">
        <f t="shared" si="48"/>
        <v>20.43</v>
      </c>
      <c r="BO69" s="138">
        <f t="shared" si="54"/>
        <v>10.635000000000002</v>
      </c>
      <c r="BP69" s="143">
        <f t="shared" si="55"/>
        <v>17.731999999999999</v>
      </c>
      <c r="BQ69" s="138">
        <f t="shared" si="56"/>
        <v>10.992000000000001</v>
      </c>
      <c r="BR69" s="139">
        <f t="shared" si="57"/>
        <v>17.349999999999998</v>
      </c>
      <c r="BS69" s="87">
        <f t="shared" si="58"/>
        <v>14.1835</v>
      </c>
      <c r="BT69" s="88">
        <f t="shared" si="59"/>
        <v>14.170999999999999</v>
      </c>
      <c r="BU69" s="134">
        <f t="shared" si="60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9"/>
        <v>0.66</v>
      </c>
      <c r="H70" s="110">
        <f t="shared" si="50"/>
        <v>0.33</v>
      </c>
      <c r="I70" s="110">
        <f t="shared" si="51"/>
        <v>1</v>
      </c>
      <c r="J70" s="147">
        <f t="shared" si="52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87">
        <v>-0.33000000000000007</v>
      </c>
      <c r="AR70">
        <v>1.5400000000000003</v>
      </c>
      <c r="AS70">
        <v>3.52</v>
      </c>
      <c r="AT70">
        <v>5.0600000000000005</v>
      </c>
      <c r="AU70" s="87">
        <v>0.19999999999999996</v>
      </c>
      <c r="AV70">
        <v>1.5400000000000003</v>
      </c>
      <c r="AW70">
        <v>3.52</v>
      </c>
      <c r="AX70" s="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53"/>
        <v>3.8899999999999997</v>
      </c>
      <c r="BH70">
        <f t="shared" si="42"/>
        <v>9.89</v>
      </c>
      <c r="BI70">
        <f t="shared" si="43"/>
        <v>15.18</v>
      </c>
      <c r="BJ70">
        <f t="shared" si="44"/>
        <v>21.215000000000003</v>
      </c>
      <c r="BK70" s="87">
        <f t="shared" si="45"/>
        <v>5.6749999999999989</v>
      </c>
      <c r="BL70">
        <f t="shared" si="46"/>
        <v>9.89</v>
      </c>
      <c r="BM70">
        <f t="shared" si="47"/>
        <v>15.18</v>
      </c>
      <c r="BN70">
        <f t="shared" si="48"/>
        <v>19.23</v>
      </c>
      <c r="BO70" s="138">
        <f t="shared" si="54"/>
        <v>8.6900000000000013</v>
      </c>
      <c r="BP70" s="143">
        <f t="shared" si="55"/>
        <v>16.387</v>
      </c>
      <c r="BQ70" s="138">
        <f t="shared" si="56"/>
        <v>9.0470000000000006</v>
      </c>
      <c r="BR70" s="139">
        <f t="shared" si="57"/>
        <v>15.989999999999998</v>
      </c>
      <c r="BS70" s="87">
        <f t="shared" si="58"/>
        <v>12.538500000000001</v>
      </c>
      <c r="BT70" s="88">
        <f t="shared" si="59"/>
        <v>12.5185</v>
      </c>
      <c r="BU70" s="134">
        <f t="shared" si="60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9"/>
        <v>0.33</v>
      </c>
      <c r="H71" s="110">
        <f t="shared" si="50"/>
        <v>1</v>
      </c>
      <c r="I71" s="110">
        <f t="shared" si="51"/>
        <v>0.66</v>
      </c>
      <c r="J71" s="147">
        <f t="shared" si="52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87">
        <v>-0.33000000000000007</v>
      </c>
      <c r="AJ71">
        <v>1.5400000000000003</v>
      </c>
      <c r="AK71">
        <v>3.52</v>
      </c>
      <c r="AL71" s="88">
        <v>5.0600000000000005</v>
      </c>
      <c r="AM71" s="87">
        <v>0.19999999999999996</v>
      </c>
      <c r="AN71">
        <v>1.5400000000000003</v>
      </c>
      <c r="AO71">
        <v>3.52</v>
      </c>
      <c r="AP71" s="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53"/>
        <v>4.7150000000000007</v>
      </c>
      <c r="BH71">
        <f t="shared" si="42"/>
        <v>11.015000000000001</v>
      </c>
      <c r="BI71">
        <f t="shared" si="43"/>
        <v>15.754999999999999</v>
      </c>
      <c r="BJ71">
        <f t="shared" si="44"/>
        <v>21.215</v>
      </c>
      <c r="BK71" s="87">
        <f t="shared" si="45"/>
        <v>6.5749999999999993</v>
      </c>
      <c r="BL71">
        <f t="shared" si="46"/>
        <v>11.015000000000001</v>
      </c>
      <c r="BM71">
        <f t="shared" si="47"/>
        <v>15.754999999999999</v>
      </c>
      <c r="BN71">
        <f t="shared" si="48"/>
        <v>19.430000000000003</v>
      </c>
      <c r="BO71" s="138">
        <f t="shared" si="54"/>
        <v>9.7550000000000008</v>
      </c>
      <c r="BP71" s="143">
        <f t="shared" si="55"/>
        <v>16.846999999999998</v>
      </c>
      <c r="BQ71" s="138">
        <f t="shared" si="56"/>
        <v>10.127000000000001</v>
      </c>
      <c r="BR71" s="139">
        <f t="shared" si="57"/>
        <v>16.489999999999998</v>
      </c>
      <c r="BS71" s="87">
        <f t="shared" si="58"/>
        <v>13.300999999999998</v>
      </c>
      <c r="BT71" s="88">
        <f t="shared" si="59"/>
        <v>13.308499999999999</v>
      </c>
      <c r="BU71" s="134">
        <f t="shared" si="60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9"/>
        <v>0.33</v>
      </c>
      <c r="H72" s="110">
        <f t="shared" si="50"/>
        <v>1</v>
      </c>
      <c r="I72" s="110">
        <f t="shared" si="51"/>
        <v>0.66</v>
      </c>
      <c r="J72" s="147">
        <f t="shared" si="52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91">
        <v>-0.33000000000000007</v>
      </c>
      <c r="AJ72" s="93">
        <v>1.5400000000000003</v>
      </c>
      <c r="AK72" s="93">
        <v>3.52</v>
      </c>
      <c r="AL72" s="94">
        <v>5.0600000000000005</v>
      </c>
      <c r="AM72" s="91">
        <v>0.19999999999999996</v>
      </c>
      <c r="AN72" s="93">
        <v>1.5400000000000003</v>
      </c>
      <c r="AO72" s="93">
        <v>3.52</v>
      </c>
      <c r="AP72" s="94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53"/>
        <v>4.7150000000000007</v>
      </c>
      <c r="BH72" s="93">
        <f t="shared" si="42"/>
        <v>11.015000000000001</v>
      </c>
      <c r="BI72" s="93">
        <f t="shared" si="43"/>
        <v>15.754999999999999</v>
      </c>
      <c r="BJ72" s="93">
        <f t="shared" si="44"/>
        <v>21.215</v>
      </c>
      <c r="BK72" s="91">
        <f t="shared" si="45"/>
        <v>6.5749999999999993</v>
      </c>
      <c r="BL72" s="93">
        <f t="shared" si="46"/>
        <v>11.015000000000001</v>
      </c>
      <c r="BM72" s="93">
        <f t="shared" si="47"/>
        <v>15.754999999999999</v>
      </c>
      <c r="BN72" s="93">
        <f t="shared" si="48"/>
        <v>19.430000000000003</v>
      </c>
      <c r="BO72" s="140">
        <f t="shared" si="54"/>
        <v>9.7550000000000008</v>
      </c>
      <c r="BP72" s="144">
        <f t="shared" si="55"/>
        <v>16.846999999999998</v>
      </c>
      <c r="BQ72" s="140">
        <f t="shared" si="56"/>
        <v>10.127000000000001</v>
      </c>
      <c r="BR72" s="141">
        <f t="shared" si="57"/>
        <v>16.489999999999998</v>
      </c>
      <c r="BS72" s="91">
        <f t="shared" si="58"/>
        <v>13.300999999999998</v>
      </c>
      <c r="BT72" s="94">
        <f t="shared" si="59"/>
        <v>13.308499999999999</v>
      </c>
      <c r="BU72" s="135">
        <f t="shared" si="60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61">G77+0.11</f>
        <v>0.55000000000000004</v>
      </c>
      <c r="I77" s="89">
        <v>0.06</v>
      </c>
      <c r="J77">
        <f t="shared" ref="J77:J79" si="62">F77</f>
        <v>0.22000000000000003</v>
      </c>
      <c r="K77">
        <f t="shared" ref="K77:K79" si="63">G77</f>
        <v>0.44</v>
      </c>
      <c r="L77" s="90">
        <f t="shared" ref="L77" si="64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65">F78-0.11</f>
        <v>0.44000000000000006</v>
      </c>
      <c r="F78" s="111">
        <f t="shared" ref="F78" si="66">C78-0.11</f>
        <v>0.55000000000000004</v>
      </c>
      <c r="G78">
        <f t="shared" ref="G78" si="67">C78+0.11</f>
        <v>0.77</v>
      </c>
      <c r="H78" s="88">
        <v>1</v>
      </c>
      <c r="I78" s="89">
        <f t="shared" ref="I78" si="68">J78-0.08</f>
        <v>0.47000000000000003</v>
      </c>
      <c r="J78">
        <f t="shared" si="62"/>
        <v>0.55000000000000004</v>
      </c>
      <c r="K78">
        <f t="shared" si="63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62"/>
        <v>1</v>
      </c>
      <c r="K79" s="93">
        <f t="shared" si="63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9">G84+1.5</f>
        <v>4.5</v>
      </c>
      <c r="I84" s="89">
        <v>1.7</v>
      </c>
      <c r="J84">
        <f t="shared" ref="J84:J86" si="70">F84</f>
        <v>2</v>
      </c>
      <c r="K84">
        <f t="shared" ref="K84:K86" si="71">G84</f>
        <v>3</v>
      </c>
      <c r="L84" s="90">
        <f t="shared" ref="L84:L86" si="7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73">F85-1.5</f>
        <v>3</v>
      </c>
      <c r="F85" s="111">
        <f>C85-0.5</f>
        <v>4.5</v>
      </c>
      <c r="G85">
        <f>C85+0.5</f>
        <v>5.5</v>
      </c>
      <c r="H85" s="88">
        <f t="shared" si="69"/>
        <v>7</v>
      </c>
      <c r="I85" s="89">
        <f t="shared" ref="I85:I86" si="74">J85-1</f>
        <v>3.5</v>
      </c>
      <c r="J85">
        <f t="shared" si="70"/>
        <v>4.5</v>
      </c>
      <c r="K85">
        <f t="shared" si="71"/>
        <v>5.5</v>
      </c>
      <c r="L85" s="90">
        <f t="shared" si="7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73"/>
        <v>5.5</v>
      </c>
      <c r="F86" s="92">
        <f>C86-0.5</f>
        <v>7</v>
      </c>
      <c r="G86" s="93">
        <f>C86+0.5</f>
        <v>8</v>
      </c>
      <c r="H86" s="94">
        <f t="shared" si="69"/>
        <v>9.5</v>
      </c>
      <c r="I86" s="95">
        <f t="shared" si="74"/>
        <v>6</v>
      </c>
      <c r="J86" s="93">
        <f t="shared" si="70"/>
        <v>7</v>
      </c>
      <c r="K86" s="93">
        <f t="shared" si="71"/>
        <v>8</v>
      </c>
      <c r="L86" s="96">
        <f t="shared" si="7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32" t="s">
        <v>126</v>
      </c>
      <c r="F89" s="233"/>
      <c r="G89" s="233"/>
      <c r="H89" s="233"/>
      <c r="I89" s="233"/>
      <c r="J89" s="233"/>
      <c r="K89" s="233"/>
      <c r="L89" s="234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45.75" thickBot="1" x14ac:dyDescent="0.3">
      <c r="A95" s="128" t="s">
        <v>132</v>
      </c>
      <c r="B95" s="129" t="s">
        <v>133</v>
      </c>
      <c r="E95" s="232" t="s">
        <v>134</v>
      </c>
      <c r="F95" s="233"/>
      <c r="G95" s="233"/>
      <c r="H95" s="233"/>
      <c r="I95" s="233"/>
      <c r="J95" s="233"/>
      <c r="K95" s="233"/>
      <c r="L95" s="234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87">
        <f t="shared" ref="E97:E99" si="75">E77*F$90+E$90*F77-F77*F$90</f>
        <v>-0.33000000000000007</v>
      </c>
      <c r="F97">
        <f t="shared" ref="F97:G97" si="76">F77*F$90</f>
        <v>1.5400000000000003</v>
      </c>
      <c r="G97">
        <f t="shared" si="76"/>
        <v>3.52</v>
      </c>
      <c r="H97" s="88">
        <f t="shared" ref="H97:H99" si="77">G77*H$90+G$90*H77-G77*G$90</f>
        <v>5.0600000000000005</v>
      </c>
      <c r="I97" s="87">
        <f t="shared" ref="I97:I99" si="78">I77*J$90+I$90*J77-J77*J$90</f>
        <v>0.19999999999999996</v>
      </c>
      <c r="J97">
        <f t="shared" ref="J97:K97" si="79">J77*J$90</f>
        <v>1.5400000000000003</v>
      </c>
      <c r="K97">
        <f t="shared" si="79"/>
        <v>3.52</v>
      </c>
      <c r="L97" s="88">
        <f t="shared" ref="L97:L99" si="8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75"/>
        <v>2.2549999999999999</v>
      </c>
      <c r="F98">
        <f t="shared" ref="F98:G98" si="81">F78*F$90</f>
        <v>3.8500000000000005</v>
      </c>
      <c r="G98">
        <f t="shared" si="81"/>
        <v>6.16</v>
      </c>
      <c r="H98" s="88">
        <f t="shared" si="77"/>
        <v>9.1550000000000011</v>
      </c>
      <c r="I98" s="87">
        <f t="shared" si="78"/>
        <v>2.7399999999999993</v>
      </c>
      <c r="J98">
        <f t="shared" ref="J98:K98" si="82">J78*J$90</f>
        <v>3.8500000000000005</v>
      </c>
      <c r="K98">
        <f t="shared" si="82"/>
        <v>6.16</v>
      </c>
      <c r="L98" s="88">
        <f t="shared" si="8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5"/>
        <v>3.8900000000000006</v>
      </c>
      <c r="F99" s="93">
        <f t="shared" ref="F99:G99" si="83">F79*F$90</f>
        <v>7</v>
      </c>
      <c r="G99" s="93">
        <f t="shared" si="83"/>
        <v>8</v>
      </c>
      <c r="H99" s="94">
        <f t="shared" si="77"/>
        <v>9.5</v>
      </c>
      <c r="I99" s="91">
        <f t="shared" si="78"/>
        <v>4.8099999999999987</v>
      </c>
      <c r="J99" s="93">
        <f t="shared" ref="J99:K99" si="84">J79*J$90</f>
        <v>7</v>
      </c>
      <c r="K99" s="93">
        <f t="shared" si="84"/>
        <v>8</v>
      </c>
      <c r="L99" s="94">
        <f t="shared" si="8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87">
        <f t="shared" ref="E101:E103" si="85">E77*F$91+E$91*F77-F77*F$91</f>
        <v>-0.33000000000000007</v>
      </c>
      <c r="F101">
        <f t="shared" ref="F101:G101" si="86">F77*F$91</f>
        <v>1.5400000000000003</v>
      </c>
      <c r="G101">
        <f t="shared" si="86"/>
        <v>3.52</v>
      </c>
      <c r="H101" s="88">
        <f t="shared" ref="H101:H103" si="87">G77*H$91+G$91*H77-G77*G$91</f>
        <v>5.0600000000000005</v>
      </c>
      <c r="I101" s="87">
        <f t="shared" ref="I101:I103" si="88">I77*J$91+I$91*J77-J77*J$91</f>
        <v>0.19999999999999996</v>
      </c>
      <c r="J101">
        <f t="shared" ref="J101:K101" si="89">J77*J$91</f>
        <v>1.5400000000000003</v>
      </c>
      <c r="K101">
        <f t="shared" si="89"/>
        <v>3.52</v>
      </c>
      <c r="L101" s="88">
        <f t="shared" ref="L101:L103" si="90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85"/>
        <v>2.2549999999999999</v>
      </c>
      <c r="F102">
        <f t="shared" ref="F102:G102" si="91">F78*F$91</f>
        <v>3.8500000000000005</v>
      </c>
      <c r="G102">
        <f t="shared" si="91"/>
        <v>6.16</v>
      </c>
      <c r="H102" s="88">
        <f t="shared" si="87"/>
        <v>9.1550000000000011</v>
      </c>
      <c r="I102" s="87">
        <f t="shared" si="88"/>
        <v>2.7399999999999993</v>
      </c>
      <c r="J102">
        <f t="shared" ref="J102:K102" si="92">J78*J$91</f>
        <v>3.8500000000000005</v>
      </c>
      <c r="K102">
        <f t="shared" si="92"/>
        <v>6.16</v>
      </c>
      <c r="L102" s="88">
        <f t="shared" si="90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85"/>
        <v>3.8900000000000006</v>
      </c>
      <c r="F103" s="93">
        <f t="shared" ref="F103:G103" si="93">F79*F$91</f>
        <v>7</v>
      </c>
      <c r="G103" s="93">
        <f t="shared" si="93"/>
        <v>8</v>
      </c>
      <c r="H103" s="94">
        <f t="shared" si="87"/>
        <v>9.5</v>
      </c>
      <c r="I103" s="91">
        <f t="shared" si="88"/>
        <v>4.8099999999999987</v>
      </c>
      <c r="J103" s="93">
        <f t="shared" ref="J103:K103" si="94">J79*J$91</f>
        <v>7</v>
      </c>
      <c r="K103" s="93">
        <f t="shared" si="94"/>
        <v>8</v>
      </c>
      <c r="L103" s="94">
        <f t="shared" si="90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87">
        <f t="shared" ref="E105:E107" si="95">E77*F$92+E$92*F77-F77*F$92</f>
        <v>-0.32999999999999996</v>
      </c>
      <c r="F105">
        <f t="shared" ref="F105:G105" si="96">F77*F$92</f>
        <v>0.9900000000000001</v>
      </c>
      <c r="G105">
        <f t="shared" si="96"/>
        <v>2.42</v>
      </c>
      <c r="H105" s="88">
        <f t="shared" ref="H105:H107" si="97">G77*H$92+G$92*H77-G77*G$92</f>
        <v>3.6850000000000005</v>
      </c>
      <c r="I105" s="87">
        <f t="shared" ref="I105:I107" si="98">I77*J$92+I$92*J77-J77*J$92</f>
        <v>4.9999999999999933E-2</v>
      </c>
      <c r="J105">
        <f t="shared" ref="J105:K105" si="99">J77*J$92</f>
        <v>0.9900000000000001</v>
      </c>
      <c r="K105">
        <f t="shared" si="99"/>
        <v>2.42</v>
      </c>
      <c r="L105" s="88">
        <f t="shared" ref="L105:L107" si="100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95"/>
        <v>1.1550000000000002</v>
      </c>
      <c r="F106">
        <f t="shared" ref="F106:G106" si="101">F78*F$92</f>
        <v>2.4750000000000001</v>
      </c>
      <c r="G106">
        <f t="shared" si="101"/>
        <v>4.2350000000000003</v>
      </c>
      <c r="H106" s="88">
        <f t="shared" si="97"/>
        <v>6.6550000000000002</v>
      </c>
      <c r="I106" s="87">
        <f t="shared" si="98"/>
        <v>1.5650000000000008</v>
      </c>
      <c r="J106">
        <f t="shared" ref="J106:K106" si="102">J78*J$92</f>
        <v>2.4750000000000001</v>
      </c>
      <c r="K106">
        <f t="shared" si="102"/>
        <v>4.2350000000000003</v>
      </c>
      <c r="L106" s="88">
        <f t="shared" si="100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95"/>
        <v>1.9649999999999999</v>
      </c>
      <c r="F107" s="93">
        <f t="shared" ref="F107:G107" si="103">F79*F$92</f>
        <v>4.5</v>
      </c>
      <c r="G107" s="93">
        <f t="shared" si="103"/>
        <v>5.5</v>
      </c>
      <c r="H107" s="94">
        <f t="shared" si="97"/>
        <v>7</v>
      </c>
      <c r="I107" s="91">
        <f t="shared" si="98"/>
        <v>2.7349999999999994</v>
      </c>
      <c r="J107" s="93">
        <f t="shared" ref="J107:K107" si="104">J79*J$92</f>
        <v>4.5</v>
      </c>
      <c r="K107" s="93">
        <f t="shared" si="104"/>
        <v>5.5</v>
      </c>
      <c r="L107" s="94">
        <f t="shared" si="100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15" t="s">
        <v>85</v>
      </c>
      <c r="B113" s="215" t="s">
        <v>86</v>
      </c>
      <c r="C113" s="238" t="s">
        <v>87</v>
      </c>
      <c r="D113" s="239" t="s">
        <v>127</v>
      </c>
      <c r="E113" s="237"/>
      <c r="F113" s="237"/>
      <c r="G113" s="237" t="s">
        <v>128</v>
      </c>
      <c r="H113" s="237"/>
      <c r="I113" s="237"/>
      <c r="J113" s="235" t="s">
        <v>157</v>
      </c>
      <c r="K113" s="223" t="s">
        <v>150</v>
      </c>
      <c r="L113" s="224"/>
      <c r="M113" s="224"/>
      <c r="N113" s="224"/>
      <c r="O113" s="224"/>
      <c r="P113" s="224"/>
      <c r="Q113" s="224"/>
      <c r="R113" s="225"/>
      <c r="S113" s="223" t="s">
        <v>148</v>
      </c>
      <c r="T113" s="224"/>
      <c r="U113" s="224"/>
      <c r="V113" s="224"/>
      <c r="W113" s="224"/>
      <c r="X113" s="224"/>
      <c r="Y113" s="224"/>
      <c r="Z113" s="225"/>
      <c r="AA113" s="223" t="s">
        <v>149</v>
      </c>
      <c r="AB113" s="224"/>
      <c r="AC113" s="224"/>
      <c r="AD113" s="224"/>
      <c r="AE113" s="224"/>
      <c r="AF113" s="224"/>
      <c r="AG113" s="224"/>
      <c r="AH113" s="225"/>
      <c r="AI113" s="223" t="s">
        <v>147</v>
      </c>
      <c r="AJ113" s="224"/>
      <c r="AK113" s="224"/>
      <c r="AL113" s="224"/>
      <c r="AM113" s="224"/>
      <c r="AN113" s="224"/>
      <c r="AO113" s="224"/>
      <c r="AP113" s="225"/>
      <c r="AQ113" s="223" t="s">
        <v>158</v>
      </c>
      <c r="AR113" s="224"/>
      <c r="AS113" s="224"/>
      <c r="AT113" s="224"/>
      <c r="AU113" s="224"/>
      <c r="AV113" s="224"/>
      <c r="AW113" s="224"/>
      <c r="AX113" s="225"/>
      <c r="AY113" s="223" t="s">
        <v>159</v>
      </c>
      <c r="AZ113" s="224"/>
      <c r="BA113" s="224"/>
      <c r="BB113" s="224"/>
      <c r="BC113" s="224"/>
      <c r="BD113" s="224"/>
      <c r="BE113" s="224"/>
      <c r="BF113" s="225"/>
      <c r="BG113" s="223" t="s">
        <v>205</v>
      </c>
      <c r="BH113" s="224"/>
      <c r="BI113" s="224"/>
      <c r="BJ113" s="224"/>
      <c r="BK113" s="224"/>
      <c r="BL113" s="224"/>
      <c r="BM113" s="224"/>
      <c r="BN113" s="225"/>
      <c r="BO113" s="226" t="s">
        <v>151</v>
      </c>
      <c r="BP113" s="227"/>
      <c r="BQ113" s="227"/>
      <c r="BR113" s="228"/>
      <c r="BS113" s="219" t="s">
        <v>153</v>
      </c>
      <c r="BT113" s="220"/>
      <c r="BU113" s="221" t="s">
        <v>156</v>
      </c>
    </row>
    <row r="114" spans="1:73" s="97" customFormat="1" ht="23.25" customHeight="1" thickBot="1" x14ac:dyDescent="0.3">
      <c r="A114" s="215"/>
      <c r="B114" s="215"/>
      <c r="C114" s="238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36"/>
      <c r="K114" s="223" t="s">
        <v>17</v>
      </c>
      <c r="L114" s="224"/>
      <c r="M114" s="224"/>
      <c r="N114" s="225"/>
      <c r="O114" s="223" t="s">
        <v>18</v>
      </c>
      <c r="P114" s="224"/>
      <c r="Q114" s="224"/>
      <c r="R114" s="225"/>
      <c r="S114" s="223" t="s">
        <v>17</v>
      </c>
      <c r="T114" s="224"/>
      <c r="U114" s="224"/>
      <c r="V114" s="225"/>
      <c r="W114" s="223" t="s">
        <v>18</v>
      </c>
      <c r="X114" s="224"/>
      <c r="Y114" s="224"/>
      <c r="Z114" s="225"/>
      <c r="AA114" s="223" t="s">
        <v>17</v>
      </c>
      <c r="AB114" s="224"/>
      <c r="AC114" s="224"/>
      <c r="AD114" s="225"/>
      <c r="AE114" s="223" t="s">
        <v>18</v>
      </c>
      <c r="AF114" s="224"/>
      <c r="AG114" s="224"/>
      <c r="AH114" s="225"/>
      <c r="AI114" s="223" t="s">
        <v>17</v>
      </c>
      <c r="AJ114" s="224"/>
      <c r="AK114" s="224"/>
      <c r="AL114" s="225"/>
      <c r="AM114" s="223" t="s">
        <v>18</v>
      </c>
      <c r="AN114" s="224"/>
      <c r="AO114" s="224"/>
      <c r="AP114" s="225"/>
      <c r="AQ114" s="223" t="s">
        <v>17</v>
      </c>
      <c r="AR114" s="224"/>
      <c r="AS114" s="224"/>
      <c r="AT114" s="225"/>
      <c r="AU114" s="223" t="s">
        <v>18</v>
      </c>
      <c r="AV114" s="224"/>
      <c r="AW114" s="224"/>
      <c r="AX114" s="225"/>
      <c r="AY114" s="223" t="s">
        <v>17</v>
      </c>
      <c r="AZ114" s="224"/>
      <c r="BA114" s="224"/>
      <c r="BB114" s="225"/>
      <c r="BC114" s="223" t="s">
        <v>18</v>
      </c>
      <c r="BD114" s="224"/>
      <c r="BE114" s="224"/>
      <c r="BF114" s="225"/>
      <c r="BG114" s="223" t="s">
        <v>17</v>
      </c>
      <c r="BH114" s="224"/>
      <c r="BI114" s="224"/>
      <c r="BJ114" s="225"/>
      <c r="BK114" s="223" t="s">
        <v>18</v>
      </c>
      <c r="BL114" s="224"/>
      <c r="BM114" s="224"/>
      <c r="BN114" s="225"/>
      <c r="BO114" s="229" t="s">
        <v>152</v>
      </c>
      <c r="BP114" s="230"/>
      <c r="BQ114" s="229" t="s">
        <v>26</v>
      </c>
      <c r="BR114" s="231"/>
      <c r="BS114" s="145" t="s">
        <v>154</v>
      </c>
      <c r="BT114" s="145" t="s">
        <v>155</v>
      </c>
      <c r="BU114" s="222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15" si="105">IF(E115=$A$128,$B$128,(IF(E115=$A$129,$B$129,IF(E115=$A$130,$B$130,$B$131))))</f>
        <v>0.66</v>
      </c>
      <c r="I115" s="110">
        <f t="shared" si="105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81">
        <v>-0.10999999999999999</v>
      </c>
      <c r="AJ115" s="83">
        <v>0.44000000000000006</v>
      </c>
      <c r="AK115" s="83">
        <v>1.32</v>
      </c>
      <c r="AL115" s="84">
        <v>2.3099999999999996</v>
      </c>
      <c r="AM115" s="81">
        <v>5.3999999999999992E-2</v>
      </c>
      <c r="AN115" s="83">
        <v>0.44000000000000006</v>
      </c>
      <c r="AO115" s="83">
        <v>1.32</v>
      </c>
      <c r="AP115" s="84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H124" si="106">AJ115+AR115+AZ115</f>
        <v>9.9149999999999991</v>
      </c>
      <c r="BI115" s="83">
        <f t="shared" ref="BI115:BI124" si="107">AK115+AS115+BA115</f>
        <v>13.555</v>
      </c>
      <c r="BJ115" s="83">
        <f t="shared" ref="BJ115:BJ124" si="108">AL115+AT115+BB115</f>
        <v>18.465</v>
      </c>
      <c r="BK115" s="81">
        <f t="shared" ref="BK115:BK124" si="109">AM115+AU115+BC115</f>
        <v>6.4289999999999994</v>
      </c>
      <c r="BL115" s="83">
        <f t="shared" ref="BL115:BL124" si="110">AN115+AV115+BD115</f>
        <v>9.9149999999999991</v>
      </c>
      <c r="BM115" s="83">
        <f t="shared" ref="BM115:BM124" si="111">AO115+AW115+BE115</f>
        <v>13.555</v>
      </c>
      <c r="BN115" s="83">
        <f t="shared" ref="BN115:BN124" si="112">AP115+AX115+BF115</f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113">IF(D116=$A$128,$B$128,(IF(D116=$A$129,$B$129,IF(D116=$A$130,$B$130,$B$131))))</f>
        <v>0.66</v>
      </c>
      <c r="H116" s="110">
        <f t="shared" ref="H116:H124" si="114">IF(E116=$A$128,$B$128,(IF(E116=$A$129,$B$129,IF(E116=$A$130,$B$130,$B$131))))</f>
        <v>0.33</v>
      </c>
      <c r="I116" s="110">
        <f t="shared" ref="I116:I124" si="115">IF(F116=$A$128,$B$128,(IF(F116=$A$129,$B$129,IF(F116=$A$130,$B$130,$B$131))))</f>
        <v>0.33</v>
      </c>
      <c r="J116" s="147">
        <f t="shared" ref="J116:J124" si="11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87">
        <v>-0.32999999999999996</v>
      </c>
      <c r="AR116">
        <v>0.9900000000000001</v>
      </c>
      <c r="AS116">
        <v>2.42</v>
      </c>
      <c r="AT116">
        <v>3.6850000000000005</v>
      </c>
      <c r="AU116" s="87">
        <v>4.9999999999999933E-2</v>
      </c>
      <c r="AV116">
        <v>0.9900000000000001</v>
      </c>
      <c r="AW116">
        <v>2.42</v>
      </c>
      <c r="AX116" s="88">
        <v>3.3000000000000007</v>
      </c>
      <c r="AY116" s="87">
        <v>-0.33000000000000007</v>
      </c>
      <c r="AZ116">
        <v>1.5400000000000003</v>
      </c>
      <c r="BA116">
        <v>3.52</v>
      </c>
      <c r="BB116">
        <v>5.0600000000000005</v>
      </c>
      <c r="BC116" s="87">
        <v>0.19999999999999996</v>
      </c>
      <c r="BD116">
        <v>1.5400000000000003</v>
      </c>
      <c r="BE116">
        <v>3.52</v>
      </c>
      <c r="BF116" s="88">
        <v>4.6000000000000014</v>
      </c>
      <c r="BG116" s="87">
        <f t="shared" ref="BG116:BG124" si="117">AI116+AQ116+AY116</f>
        <v>-5.5000000000000049E-2</v>
      </c>
      <c r="BH116">
        <f t="shared" si="106"/>
        <v>3.6300000000000008</v>
      </c>
      <c r="BI116">
        <f t="shared" si="107"/>
        <v>8.25</v>
      </c>
      <c r="BJ116">
        <f t="shared" si="108"/>
        <v>12.9</v>
      </c>
      <c r="BK116" s="87">
        <f t="shared" si="109"/>
        <v>1.0249999999999999</v>
      </c>
      <c r="BL116">
        <f t="shared" si="110"/>
        <v>3.6300000000000008</v>
      </c>
      <c r="BM116">
        <f t="shared" si="111"/>
        <v>8.25</v>
      </c>
      <c r="BN116">
        <f t="shared" si="112"/>
        <v>11.430000000000001</v>
      </c>
      <c r="BO116" s="138">
        <f t="shared" ref="BO116:BO124" si="118">BO$8*BH116+(1-BO$8)*BG116</f>
        <v>2.8930000000000007</v>
      </c>
      <c r="BP116" s="143">
        <f t="shared" ref="BP116:BP124" si="119">BO$8*BI116+(1-BO$8)*BJ116</f>
        <v>9.18</v>
      </c>
      <c r="BQ116" s="138">
        <f t="shared" ref="BQ116:BQ124" si="120">BO$8*BL116+(1-BO$8)*BK116</f>
        <v>3.1090000000000009</v>
      </c>
      <c r="BR116" s="139">
        <f t="shared" ref="BR116:BR124" si="121">BO$8*BM116+(1-BO$8)*BN116</f>
        <v>8.8859999999999992</v>
      </c>
      <c r="BS116" s="87">
        <f t="shared" ref="BS116:BS124" si="122">(BO116+BP116)/2</f>
        <v>6.0365000000000002</v>
      </c>
      <c r="BT116" s="88">
        <f t="shared" ref="BT116:BT124" si="123">(BQ116+BR116)/2</f>
        <v>5.9975000000000005</v>
      </c>
      <c r="BU116" s="134">
        <f t="shared" ref="BU116:BU124" si="12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113"/>
        <v>0.66</v>
      </c>
      <c r="H117" s="110">
        <f t="shared" si="114"/>
        <v>1</v>
      </c>
      <c r="I117" s="110">
        <f t="shared" si="115"/>
        <v>0.66</v>
      </c>
      <c r="J117" s="147">
        <f t="shared" si="11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117"/>
        <v>4.8249999999999993</v>
      </c>
      <c r="BH117">
        <f t="shared" si="106"/>
        <v>9.4499999999999993</v>
      </c>
      <c r="BI117">
        <f t="shared" si="107"/>
        <v>13.97</v>
      </c>
      <c r="BJ117">
        <f t="shared" si="108"/>
        <v>20.310000000000002</v>
      </c>
      <c r="BK117" s="87">
        <f t="shared" si="109"/>
        <v>6.2499999999999982</v>
      </c>
      <c r="BL117">
        <f t="shared" si="110"/>
        <v>9.4499999999999993</v>
      </c>
      <c r="BM117">
        <f t="shared" si="111"/>
        <v>13.97</v>
      </c>
      <c r="BN117">
        <f t="shared" si="112"/>
        <v>18.159999999999997</v>
      </c>
      <c r="BO117" s="138">
        <f t="shared" si="118"/>
        <v>8.5249999999999986</v>
      </c>
      <c r="BP117" s="143">
        <f t="shared" si="119"/>
        <v>15.238000000000001</v>
      </c>
      <c r="BQ117" s="138">
        <f t="shared" si="120"/>
        <v>8.8099999999999987</v>
      </c>
      <c r="BR117" s="139">
        <f t="shared" si="121"/>
        <v>14.808</v>
      </c>
      <c r="BS117" s="87">
        <f t="shared" si="122"/>
        <v>11.881499999999999</v>
      </c>
      <c r="BT117" s="88">
        <f t="shared" si="123"/>
        <v>11.808999999999999</v>
      </c>
      <c r="BU117" s="134">
        <f t="shared" si="12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113"/>
        <v>1</v>
      </c>
      <c r="H118" s="110">
        <f t="shared" si="114"/>
        <v>0.66</v>
      </c>
      <c r="I118" s="110">
        <f t="shared" si="115"/>
        <v>0.33</v>
      </c>
      <c r="J118" s="147">
        <f t="shared" si="11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87">
        <v>-0.33000000000000007</v>
      </c>
      <c r="AZ118">
        <v>1.5400000000000003</v>
      </c>
      <c r="BA118">
        <v>3.52</v>
      </c>
      <c r="BB118">
        <v>5.0600000000000005</v>
      </c>
      <c r="BC118" s="87">
        <v>0.19999999999999996</v>
      </c>
      <c r="BD118">
        <v>1.5400000000000003</v>
      </c>
      <c r="BE118">
        <v>3.52</v>
      </c>
      <c r="BF118" s="88">
        <v>4.6000000000000014</v>
      </c>
      <c r="BG118" s="87">
        <f t="shared" si="117"/>
        <v>1.8650000000000002</v>
      </c>
      <c r="BH118">
        <f t="shared" si="106"/>
        <v>6.0149999999999997</v>
      </c>
      <c r="BI118">
        <f t="shared" si="107"/>
        <v>10.755000000000001</v>
      </c>
      <c r="BJ118">
        <f t="shared" si="108"/>
        <v>16.215000000000003</v>
      </c>
      <c r="BK118" s="87">
        <f t="shared" si="109"/>
        <v>3.1250000000000009</v>
      </c>
      <c r="BL118">
        <f t="shared" si="110"/>
        <v>6.0149999999999997</v>
      </c>
      <c r="BM118">
        <f t="shared" si="111"/>
        <v>10.755000000000001</v>
      </c>
      <c r="BN118">
        <f t="shared" si="112"/>
        <v>14.430000000000003</v>
      </c>
      <c r="BO118" s="138">
        <f t="shared" si="118"/>
        <v>5.1850000000000005</v>
      </c>
      <c r="BP118" s="143">
        <f t="shared" si="119"/>
        <v>11.847000000000001</v>
      </c>
      <c r="BQ118" s="138">
        <f t="shared" si="120"/>
        <v>5.4370000000000003</v>
      </c>
      <c r="BR118" s="139">
        <f t="shared" si="121"/>
        <v>11.490000000000002</v>
      </c>
      <c r="BS118" s="87">
        <f t="shared" si="122"/>
        <v>8.5160000000000018</v>
      </c>
      <c r="BT118" s="88">
        <f t="shared" si="123"/>
        <v>8.4635000000000016</v>
      </c>
      <c r="BU118" s="134">
        <f t="shared" si="12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113"/>
        <v>0.66</v>
      </c>
      <c r="H119" s="110">
        <f t="shared" si="114"/>
        <v>1</v>
      </c>
      <c r="I119" s="110">
        <f t="shared" si="115"/>
        <v>0.33</v>
      </c>
      <c r="J119" s="147">
        <f t="shared" si="11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87">
        <v>-0.33000000000000007</v>
      </c>
      <c r="AZ119">
        <v>1.5400000000000003</v>
      </c>
      <c r="BA119">
        <v>3.52</v>
      </c>
      <c r="BB119">
        <v>5.0600000000000005</v>
      </c>
      <c r="BC119" s="87">
        <v>0.19999999999999996</v>
      </c>
      <c r="BD119">
        <v>1.5400000000000003</v>
      </c>
      <c r="BE119">
        <v>3.52</v>
      </c>
      <c r="BF119" s="88">
        <v>4.6000000000000014</v>
      </c>
      <c r="BG119" s="87">
        <f t="shared" si="117"/>
        <v>2.2399999999999998</v>
      </c>
      <c r="BH119">
        <f t="shared" si="106"/>
        <v>7.14</v>
      </c>
      <c r="BI119">
        <f t="shared" si="107"/>
        <v>11.33</v>
      </c>
      <c r="BJ119">
        <f t="shared" si="108"/>
        <v>16.215</v>
      </c>
      <c r="BK119" s="87">
        <f t="shared" si="109"/>
        <v>3.7099999999999991</v>
      </c>
      <c r="BL119">
        <f t="shared" si="110"/>
        <v>7.14</v>
      </c>
      <c r="BM119">
        <f t="shared" si="111"/>
        <v>11.33</v>
      </c>
      <c r="BN119">
        <f t="shared" si="112"/>
        <v>14.63</v>
      </c>
      <c r="BO119" s="138">
        <f t="shared" si="118"/>
        <v>6.1599999999999993</v>
      </c>
      <c r="BP119" s="143">
        <f t="shared" si="119"/>
        <v>12.306999999999999</v>
      </c>
      <c r="BQ119" s="138">
        <f t="shared" si="120"/>
        <v>6.4539999999999997</v>
      </c>
      <c r="BR119" s="139">
        <f t="shared" si="121"/>
        <v>11.99</v>
      </c>
      <c r="BS119" s="87">
        <f t="shared" si="122"/>
        <v>9.2334999999999994</v>
      </c>
      <c r="BT119" s="88">
        <f t="shared" si="123"/>
        <v>9.2219999999999995</v>
      </c>
      <c r="BU119" s="134">
        <f t="shared" si="12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113"/>
        <v>0.33</v>
      </c>
      <c r="H120" s="110">
        <f t="shared" si="114"/>
        <v>0.66</v>
      </c>
      <c r="I120" s="110">
        <f t="shared" si="115"/>
        <v>0.33</v>
      </c>
      <c r="J120" s="147">
        <f t="shared" si="11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-0.10999999999999999</v>
      </c>
      <c r="AJ120">
        <v>0.44000000000000006</v>
      </c>
      <c r="AK120">
        <v>1.32</v>
      </c>
      <c r="AL120" s="88">
        <v>2.3099999999999996</v>
      </c>
      <c r="AM120" s="87">
        <v>5.3999999999999992E-2</v>
      </c>
      <c r="AN120">
        <v>0.44000000000000006</v>
      </c>
      <c r="AO120">
        <v>1.32</v>
      </c>
      <c r="AP120" s="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87">
        <v>-0.33000000000000007</v>
      </c>
      <c r="AZ120">
        <v>1.5400000000000003</v>
      </c>
      <c r="BA120">
        <v>3.52</v>
      </c>
      <c r="BB120">
        <v>5.0600000000000005</v>
      </c>
      <c r="BC120" s="87">
        <v>0.19999999999999996</v>
      </c>
      <c r="BD120">
        <v>1.5400000000000003</v>
      </c>
      <c r="BE120">
        <v>3.52</v>
      </c>
      <c r="BF120" s="88">
        <v>4.6000000000000014</v>
      </c>
      <c r="BG120" s="87">
        <f t="shared" si="117"/>
        <v>0.7150000000000003</v>
      </c>
      <c r="BH120">
        <f t="shared" si="106"/>
        <v>4.4550000000000001</v>
      </c>
      <c r="BI120">
        <f t="shared" si="107"/>
        <v>9.0750000000000011</v>
      </c>
      <c r="BJ120">
        <f t="shared" si="108"/>
        <v>14.025</v>
      </c>
      <c r="BK120" s="87">
        <f t="shared" si="109"/>
        <v>1.8190000000000008</v>
      </c>
      <c r="BL120">
        <f t="shared" si="110"/>
        <v>4.4550000000000001</v>
      </c>
      <c r="BM120">
        <f t="shared" si="111"/>
        <v>9.0750000000000011</v>
      </c>
      <c r="BN120">
        <f t="shared" si="112"/>
        <v>12.430000000000003</v>
      </c>
      <c r="BO120" s="138">
        <f t="shared" si="118"/>
        <v>3.7069999999999999</v>
      </c>
      <c r="BP120" s="143">
        <f t="shared" si="119"/>
        <v>10.065000000000001</v>
      </c>
      <c r="BQ120" s="138">
        <f t="shared" si="120"/>
        <v>3.9278</v>
      </c>
      <c r="BR120" s="139">
        <f t="shared" si="121"/>
        <v>9.7460000000000022</v>
      </c>
      <c r="BS120" s="87">
        <f t="shared" si="122"/>
        <v>6.886000000000001</v>
      </c>
      <c r="BT120" s="88">
        <f t="shared" si="123"/>
        <v>6.8369000000000009</v>
      </c>
      <c r="BU120" s="134">
        <f t="shared" si="12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113"/>
        <v>1</v>
      </c>
      <c r="H121" s="110">
        <f t="shared" si="114"/>
        <v>0.66</v>
      </c>
      <c r="I121" s="110">
        <f t="shared" si="115"/>
        <v>0.33</v>
      </c>
      <c r="J121" s="147">
        <f t="shared" si="11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87">
        <v>-0.33000000000000007</v>
      </c>
      <c r="AZ121">
        <v>1.5400000000000003</v>
      </c>
      <c r="BA121">
        <v>3.52</v>
      </c>
      <c r="BB121">
        <v>5.0600000000000005</v>
      </c>
      <c r="BC121" s="87">
        <v>0.19999999999999996</v>
      </c>
      <c r="BD121">
        <v>1.5400000000000003</v>
      </c>
      <c r="BE121">
        <v>3.52</v>
      </c>
      <c r="BF121" s="88">
        <v>4.6000000000000014</v>
      </c>
      <c r="BG121" s="87">
        <f t="shared" si="117"/>
        <v>1.8650000000000002</v>
      </c>
      <c r="BH121">
        <f t="shared" si="106"/>
        <v>6.0149999999999997</v>
      </c>
      <c r="BI121">
        <f t="shared" si="107"/>
        <v>10.755000000000001</v>
      </c>
      <c r="BJ121">
        <f t="shared" si="108"/>
        <v>16.215000000000003</v>
      </c>
      <c r="BK121" s="87">
        <f t="shared" si="109"/>
        <v>3.1250000000000009</v>
      </c>
      <c r="BL121">
        <f t="shared" si="110"/>
        <v>6.0149999999999997</v>
      </c>
      <c r="BM121">
        <f t="shared" si="111"/>
        <v>10.755000000000001</v>
      </c>
      <c r="BN121">
        <f t="shared" si="112"/>
        <v>14.430000000000003</v>
      </c>
      <c r="BO121" s="138">
        <f t="shared" si="118"/>
        <v>5.1850000000000005</v>
      </c>
      <c r="BP121" s="143">
        <f t="shared" si="119"/>
        <v>11.847000000000001</v>
      </c>
      <c r="BQ121" s="138">
        <f t="shared" si="120"/>
        <v>5.4370000000000003</v>
      </c>
      <c r="BR121" s="139">
        <f t="shared" si="121"/>
        <v>11.490000000000002</v>
      </c>
      <c r="BS121" s="87">
        <f t="shared" si="122"/>
        <v>8.5160000000000018</v>
      </c>
      <c r="BT121" s="88">
        <f t="shared" si="123"/>
        <v>8.4635000000000016</v>
      </c>
      <c r="BU121" s="134">
        <f t="shared" si="12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113"/>
        <v>0.66</v>
      </c>
      <c r="H122" s="110">
        <f t="shared" si="114"/>
        <v>0.33</v>
      </c>
      <c r="I122" s="110">
        <f t="shared" si="115"/>
        <v>1</v>
      </c>
      <c r="J122" s="147">
        <f t="shared" si="11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87">
        <v>-0.32999999999999996</v>
      </c>
      <c r="AR122">
        <v>0.9900000000000001</v>
      </c>
      <c r="AS122">
        <v>2.42</v>
      </c>
      <c r="AT122">
        <v>3.6850000000000005</v>
      </c>
      <c r="AU122" s="87">
        <v>4.9999999999999933E-2</v>
      </c>
      <c r="AV122">
        <v>0.9900000000000001</v>
      </c>
      <c r="AW122">
        <v>2.42</v>
      </c>
      <c r="AX122" s="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117"/>
        <v>4.1650000000000009</v>
      </c>
      <c r="BH122">
        <f t="shared" si="106"/>
        <v>9.09</v>
      </c>
      <c r="BI122">
        <f t="shared" si="107"/>
        <v>12.73</v>
      </c>
      <c r="BJ122">
        <f t="shared" si="108"/>
        <v>17.34</v>
      </c>
      <c r="BK122" s="87">
        <f t="shared" si="109"/>
        <v>5.6349999999999989</v>
      </c>
      <c r="BL122">
        <f t="shared" si="110"/>
        <v>9.09</v>
      </c>
      <c r="BM122">
        <f t="shared" si="111"/>
        <v>12.73</v>
      </c>
      <c r="BN122">
        <f t="shared" si="112"/>
        <v>15.83</v>
      </c>
      <c r="BO122" s="138">
        <f t="shared" si="118"/>
        <v>8.1050000000000004</v>
      </c>
      <c r="BP122" s="143">
        <f t="shared" si="119"/>
        <v>13.652000000000001</v>
      </c>
      <c r="BQ122" s="138">
        <f t="shared" si="120"/>
        <v>8.3989999999999991</v>
      </c>
      <c r="BR122" s="139">
        <f t="shared" si="121"/>
        <v>13.350000000000001</v>
      </c>
      <c r="BS122" s="87">
        <f t="shared" si="122"/>
        <v>10.878500000000001</v>
      </c>
      <c r="BT122" s="88">
        <f t="shared" si="123"/>
        <v>10.874500000000001</v>
      </c>
      <c r="BU122" s="134">
        <f t="shared" si="12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113"/>
        <v>0.66</v>
      </c>
      <c r="H123" s="110">
        <f t="shared" si="114"/>
        <v>1</v>
      </c>
      <c r="I123" s="110">
        <f t="shared" si="115"/>
        <v>0.33</v>
      </c>
      <c r="J123" s="147">
        <f t="shared" si="11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87">
        <v>-0.33000000000000007</v>
      </c>
      <c r="AZ123">
        <v>1.5400000000000003</v>
      </c>
      <c r="BA123">
        <v>3.52</v>
      </c>
      <c r="BB123">
        <v>5.0600000000000005</v>
      </c>
      <c r="BC123" s="87">
        <v>0.19999999999999996</v>
      </c>
      <c r="BD123">
        <v>1.5400000000000003</v>
      </c>
      <c r="BE123">
        <v>3.52</v>
      </c>
      <c r="BF123" s="88">
        <v>4.6000000000000014</v>
      </c>
      <c r="BG123" s="87">
        <f t="shared" si="117"/>
        <v>2.2399999999999998</v>
      </c>
      <c r="BH123">
        <f t="shared" si="106"/>
        <v>7.14</v>
      </c>
      <c r="BI123">
        <f t="shared" si="107"/>
        <v>11.33</v>
      </c>
      <c r="BJ123">
        <f t="shared" si="108"/>
        <v>16.215</v>
      </c>
      <c r="BK123" s="87">
        <f t="shared" si="109"/>
        <v>3.7099999999999991</v>
      </c>
      <c r="BL123">
        <f t="shared" si="110"/>
        <v>7.14</v>
      </c>
      <c r="BM123">
        <f t="shared" si="111"/>
        <v>11.33</v>
      </c>
      <c r="BN123">
        <f t="shared" si="112"/>
        <v>14.63</v>
      </c>
      <c r="BO123" s="138">
        <f t="shared" si="118"/>
        <v>6.1599999999999993</v>
      </c>
      <c r="BP123" s="143">
        <f t="shared" si="119"/>
        <v>12.306999999999999</v>
      </c>
      <c r="BQ123" s="138">
        <f t="shared" si="120"/>
        <v>6.4539999999999997</v>
      </c>
      <c r="BR123" s="139">
        <f t="shared" si="121"/>
        <v>11.99</v>
      </c>
      <c r="BS123" s="87">
        <f t="shared" si="122"/>
        <v>9.2334999999999994</v>
      </c>
      <c r="BT123" s="88">
        <f t="shared" si="123"/>
        <v>9.2219999999999995</v>
      </c>
      <c r="BU123" s="134">
        <f t="shared" si="12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113"/>
        <v>0.33</v>
      </c>
      <c r="H124" s="110">
        <f t="shared" si="114"/>
        <v>1</v>
      </c>
      <c r="I124" s="110">
        <f t="shared" si="115"/>
        <v>0.66</v>
      </c>
      <c r="J124" s="147">
        <f t="shared" si="11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91">
        <v>-0.10999999999999999</v>
      </c>
      <c r="AJ124" s="93">
        <v>0.44000000000000006</v>
      </c>
      <c r="AK124" s="93">
        <v>1.32</v>
      </c>
      <c r="AL124" s="94">
        <v>2.3099999999999996</v>
      </c>
      <c r="AM124" s="91">
        <v>5.3999999999999992E-2</v>
      </c>
      <c r="AN124" s="93">
        <v>0.44000000000000006</v>
      </c>
      <c r="AO124" s="93">
        <v>1.32</v>
      </c>
      <c r="AP124" s="94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117"/>
        <v>4.1099999999999994</v>
      </c>
      <c r="BH124" s="93">
        <f t="shared" si="106"/>
        <v>8.7900000000000009</v>
      </c>
      <c r="BI124" s="93">
        <f t="shared" si="107"/>
        <v>12.98</v>
      </c>
      <c r="BJ124" s="93">
        <f t="shared" si="108"/>
        <v>18.465</v>
      </c>
      <c r="BK124" s="91">
        <f t="shared" si="109"/>
        <v>5.5289999999999981</v>
      </c>
      <c r="BL124" s="93">
        <f t="shared" si="110"/>
        <v>8.7900000000000009</v>
      </c>
      <c r="BM124" s="93">
        <f t="shared" si="111"/>
        <v>12.98</v>
      </c>
      <c r="BN124" s="93">
        <f t="shared" si="112"/>
        <v>16.63</v>
      </c>
      <c r="BO124" s="140">
        <f t="shared" si="118"/>
        <v>7.854000000000001</v>
      </c>
      <c r="BP124" s="144">
        <f t="shared" si="119"/>
        <v>14.077</v>
      </c>
      <c r="BQ124" s="140">
        <f t="shared" si="120"/>
        <v>8.1378000000000004</v>
      </c>
      <c r="BR124" s="141">
        <f t="shared" si="121"/>
        <v>13.709999999999999</v>
      </c>
      <c r="BS124" s="91">
        <f t="shared" si="122"/>
        <v>10.9655</v>
      </c>
      <c r="BT124" s="94">
        <f t="shared" si="123"/>
        <v>10.9239</v>
      </c>
      <c r="BU124" s="135">
        <f t="shared" si="12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125">G129+0.11</f>
        <v>0.55000000000000004</v>
      </c>
      <c r="I129" s="89">
        <v>0.06</v>
      </c>
      <c r="J129">
        <f t="shared" ref="J129:J131" si="126">F129</f>
        <v>0.22000000000000003</v>
      </c>
      <c r="K129">
        <f t="shared" ref="K129:K131" si="127">G129</f>
        <v>0.44</v>
      </c>
      <c r="L129" s="90">
        <f t="shared" ref="L129" si="128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129">F130-0.11</f>
        <v>0.44000000000000006</v>
      </c>
      <c r="F130" s="111">
        <f t="shared" ref="F130" si="130">C130-0.11</f>
        <v>0.55000000000000004</v>
      </c>
      <c r="G130">
        <f t="shared" ref="G130" si="131">C130+0.11</f>
        <v>0.77</v>
      </c>
      <c r="H130" s="88">
        <v>1</v>
      </c>
      <c r="I130" s="89">
        <f t="shared" ref="I130" si="132">J130-0.08</f>
        <v>0.47000000000000003</v>
      </c>
      <c r="J130">
        <f t="shared" si="126"/>
        <v>0.55000000000000004</v>
      </c>
      <c r="K130">
        <f t="shared" si="127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126"/>
        <v>1</v>
      </c>
      <c r="K131" s="93">
        <f t="shared" si="127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33">G136+1.5</f>
        <v>4.5</v>
      </c>
      <c r="I136" s="89">
        <v>1.7</v>
      </c>
      <c r="J136">
        <f t="shared" ref="J136:J138" si="134">F136</f>
        <v>2</v>
      </c>
      <c r="K136">
        <f t="shared" ref="K136:K138" si="135">G136</f>
        <v>3</v>
      </c>
      <c r="L136" s="90">
        <f t="shared" ref="L136:L138" si="136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37">F137-1.5</f>
        <v>3</v>
      </c>
      <c r="F137" s="111">
        <f>C137-0.5</f>
        <v>4.5</v>
      </c>
      <c r="G137">
        <f>C137+0.5</f>
        <v>5.5</v>
      </c>
      <c r="H137" s="88">
        <f t="shared" si="133"/>
        <v>7</v>
      </c>
      <c r="I137" s="89">
        <f t="shared" ref="I137:I138" si="138">J137-1</f>
        <v>3.5</v>
      </c>
      <c r="J137">
        <f t="shared" si="134"/>
        <v>4.5</v>
      </c>
      <c r="K137">
        <f t="shared" si="135"/>
        <v>5.5</v>
      </c>
      <c r="L137" s="90">
        <f t="shared" si="136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37"/>
        <v>5.5</v>
      </c>
      <c r="F138" s="92">
        <f>C138-0.5</f>
        <v>7</v>
      </c>
      <c r="G138" s="93">
        <f>C138+0.5</f>
        <v>8</v>
      </c>
      <c r="H138" s="94">
        <f t="shared" si="133"/>
        <v>9.5</v>
      </c>
      <c r="I138" s="95">
        <f t="shared" si="138"/>
        <v>6</v>
      </c>
      <c r="J138" s="93">
        <f t="shared" si="134"/>
        <v>7</v>
      </c>
      <c r="K138" s="93">
        <f t="shared" si="135"/>
        <v>8</v>
      </c>
      <c r="L138" s="96">
        <f t="shared" si="136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32" t="s">
        <v>126</v>
      </c>
      <c r="F141" s="233"/>
      <c r="G141" s="233"/>
      <c r="H141" s="233"/>
      <c r="I141" s="233"/>
      <c r="J141" s="233"/>
      <c r="K141" s="233"/>
      <c r="L141" s="234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45.75" thickBot="1" x14ac:dyDescent="0.3">
      <c r="A147" s="171" t="s">
        <v>132</v>
      </c>
      <c r="B147" s="172" t="s">
        <v>133</v>
      </c>
      <c r="E147" s="232" t="s">
        <v>134</v>
      </c>
      <c r="F147" s="233"/>
      <c r="G147" s="233"/>
      <c r="H147" s="233"/>
      <c r="I147" s="233"/>
      <c r="J147" s="233"/>
      <c r="K147" s="233"/>
      <c r="L147" s="234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87">
        <f t="shared" ref="E149:E151" si="139">E129*F$142+E$142*F129-F129*F$142</f>
        <v>-0.10999999999999999</v>
      </c>
      <c r="F149">
        <f t="shared" ref="F149:G149" si="140">F129*F$142</f>
        <v>0.44000000000000006</v>
      </c>
      <c r="G149">
        <f t="shared" si="140"/>
        <v>1.32</v>
      </c>
      <c r="H149" s="88">
        <f t="shared" ref="H149:H151" si="141">G129*H$142+G$142*H129-G129*G$142</f>
        <v>2.3099999999999996</v>
      </c>
      <c r="I149" s="87">
        <f t="shared" ref="I149:I151" si="142">I129*J$142+I$142*J129-J129*J$142</f>
        <v>5.3999999999999992E-2</v>
      </c>
      <c r="J149">
        <f t="shared" ref="J149:K149" si="143">J129*J$142</f>
        <v>0.44000000000000006</v>
      </c>
      <c r="K149">
        <f t="shared" si="143"/>
        <v>1.32</v>
      </c>
      <c r="L149" s="88">
        <f t="shared" ref="L149:L151" si="144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39"/>
        <v>0.60499999999999998</v>
      </c>
      <c r="F150">
        <f t="shared" ref="F150:G150" si="145">F130*F$142</f>
        <v>1.1000000000000001</v>
      </c>
      <c r="G150">
        <f t="shared" si="145"/>
        <v>2.31</v>
      </c>
      <c r="H150" s="88">
        <f t="shared" si="141"/>
        <v>4.1549999999999994</v>
      </c>
      <c r="I150" s="87">
        <f t="shared" si="142"/>
        <v>0.77499999999999991</v>
      </c>
      <c r="J150">
        <f t="shared" ref="J150:K150" si="146">J130*J$142</f>
        <v>1.1000000000000001</v>
      </c>
      <c r="K150">
        <f t="shared" si="146"/>
        <v>2.31</v>
      </c>
      <c r="L150" s="88">
        <f t="shared" si="144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39"/>
        <v>1.04</v>
      </c>
      <c r="F151" s="93">
        <f t="shared" ref="F151:G151" si="147">F131*F$142</f>
        <v>2</v>
      </c>
      <c r="G151" s="93">
        <f t="shared" si="147"/>
        <v>3</v>
      </c>
      <c r="H151" s="94">
        <f t="shared" si="141"/>
        <v>4.5</v>
      </c>
      <c r="I151" s="91">
        <f t="shared" si="142"/>
        <v>1.3599999999999999</v>
      </c>
      <c r="J151" s="93">
        <f t="shared" ref="J151:K151" si="148">J131*J$142</f>
        <v>2</v>
      </c>
      <c r="K151" s="93">
        <f t="shared" si="148"/>
        <v>3</v>
      </c>
      <c r="L151" s="94">
        <f t="shared" si="144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87">
        <f t="shared" ref="E153:E155" si="149">E129*F$143+E$143*F129-F129*F$143</f>
        <v>-0.32999999999999996</v>
      </c>
      <c r="F153">
        <f t="shared" ref="F153:G153" si="150">F129*F$143</f>
        <v>0.9900000000000001</v>
      </c>
      <c r="G153">
        <f t="shared" si="150"/>
        <v>2.42</v>
      </c>
      <c r="H153" s="88">
        <f t="shared" ref="H153:H155" si="151">G129*H$143+G$143*H129-G129*G$143</f>
        <v>3.6850000000000005</v>
      </c>
      <c r="I153" s="87">
        <f t="shared" ref="I153:I155" si="152">I129*J$143+I$143*J129-J129*J$143</f>
        <v>4.9999999999999933E-2</v>
      </c>
      <c r="J153">
        <f t="shared" ref="J153:K153" si="153">J129*J$143</f>
        <v>0.9900000000000001</v>
      </c>
      <c r="K153">
        <f t="shared" si="153"/>
        <v>2.42</v>
      </c>
      <c r="L153" s="88">
        <f t="shared" ref="L153:L155" si="154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49"/>
        <v>1.1550000000000002</v>
      </c>
      <c r="F154">
        <f t="shared" ref="F154:G154" si="155">F130*F$143</f>
        <v>2.4750000000000001</v>
      </c>
      <c r="G154">
        <f t="shared" si="155"/>
        <v>4.2350000000000003</v>
      </c>
      <c r="H154" s="88">
        <f t="shared" si="151"/>
        <v>6.6550000000000002</v>
      </c>
      <c r="I154" s="87">
        <f t="shared" si="152"/>
        <v>1.5650000000000008</v>
      </c>
      <c r="J154">
        <f t="shared" ref="J154:K154" si="156">J130*J$143</f>
        <v>2.4750000000000001</v>
      </c>
      <c r="K154">
        <f t="shared" si="156"/>
        <v>4.2350000000000003</v>
      </c>
      <c r="L154" s="88">
        <f t="shared" si="154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49"/>
        <v>1.9649999999999999</v>
      </c>
      <c r="F155" s="93">
        <f t="shared" ref="F155:G155" si="157">F131*F$143</f>
        <v>4.5</v>
      </c>
      <c r="G155" s="93">
        <f t="shared" si="157"/>
        <v>5.5</v>
      </c>
      <c r="H155" s="94">
        <f t="shared" si="151"/>
        <v>7</v>
      </c>
      <c r="I155" s="91">
        <f t="shared" si="152"/>
        <v>2.7349999999999994</v>
      </c>
      <c r="J155" s="93">
        <f t="shared" ref="J155:K155" si="158">J131*J$143</f>
        <v>4.5</v>
      </c>
      <c r="K155" s="93">
        <f t="shared" si="158"/>
        <v>5.5</v>
      </c>
      <c r="L155" s="94">
        <f t="shared" si="154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87">
        <f t="shared" ref="E157:E159" si="159">E129*F$144+E$144*F129-F129*F$144</f>
        <v>-0.33000000000000007</v>
      </c>
      <c r="F157">
        <f t="shared" ref="F157:G157" si="160">F129*F$144</f>
        <v>1.5400000000000003</v>
      </c>
      <c r="G157">
        <f t="shared" si="160"/>
        <v>3.52</v>
      </c>
      <c r="H157" s="88">
        <f t="shared" ref="H157:H159" si="161">G129*H$144+G$144*H129-G129*G$144</f>
        <v>5.0600000000000005</v>
      </c>
      <c r="I157" s="87">
        <f t="shared" ref="I157:I159" si="162">I129*J$144+I$144*J129-J129*J$144</f>
        <v>0.19999999999999996</v>
      </c>
      <c r="J157">
        <f t="shared" ref="J157:K157" si="163">J129*J$144</f>
        <v>1.5400000000000003</v>
      </c>
      <c r="K157">
        <f t="shared" si="163"/>
        <v>3.52</v>
      </c>
      <c r="L157" s="88">
        <f t="shared" ref="L157:L159" si="16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59"/>
        <v>2.2549999999999999</v>
      </c>
      <c r="F158">
        <f t="shared" ref="F158:G158" si="165">F130*F$144</f>
        <v>3.8500000000000005</v>
      </c>
      <c r="G158">
        <f t="shared" si="165"/>
        <v>6.16</v>
      </c>
      <c r="H158" s="88">
        <f t="shared" si="161"/>
        <v>9.1550000000000011</v>
      </c>
      <c r="I158" s="87">
        <f t="shared" si="162"/>
        <v>2.7399999999999993</v>
      </c>
      <c r="J158">
        <f t="shared" ref="J158:K158" si="166">J130*J$144</f>
        <v>3.8500000000000005</v>
      </c>
      <c r="K158">
        <f t="shared" si="166"/>
        <v>6.16</v>
      </c>
      <c r="L158" s="88">
        <f t="shared" si="16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59"/>
        <v>3.8900000000000006</v>
      </c>
      <c r="F159" s="93">
        <f t="shared" ref="F159:G159" si="167">F131*F$144</f>
        <v>7</v>
      </c>
      <c r="G159" s="93">
        <f t="shared" si="167"/>
        <v>8</v>
      </c>
      <c r="H159" s="94">
        <f t="shared" si="161"/>
        <v>9.5</v>
      </c>
      <c r="I159" s="91">
        <f t="shared" si="162"/>
        <v>4.8099999999999987</v>
      </c>
      <c r="J159" s="93">
        <f t="shared" ref="J159:K159" si="168">J131*J$144</f>
        <v>7</v>
      </c>
      <c r="K159" s="93">
        <f t="shared" si="168"/>
        <v>8</v>
      </c>
      <c r="L159" s="94">
        <f t="shared" si="164"/>
        <v>9</v>
      </c>
    </row>
    <row r="161" spans="1:25" x14ac:dyDescent="0.25">
      <c r="A161" s="1" t="s">
        <v>220</v>
      </c>
    </row>
    <row r="162" spans="1:25" ht="15.75" thickBot="1" x14ac:dyDescent="0.3">
      <c r="A162" s="1" t="s">
        <v>206</v>
      </c>
    </row>
    <row r="163" spans="1:25" x14ac:dyDescent="0.25">
      <c r="A163" s="163" t="s">
        <v>175</v>
      </c>
      <c r="B163" s="239" t="s">
        <v>17</v>
      </c>
      <c r="C163" s="248"/>
      <c r="D163" s="248"/>
      <c r="E163" s="249"/>
      <c r="F163" s="239" t="s">
        <v>18</v>
      </c>
      <c r="G163" s="248"/>
      <c r="H163" s="248"/>
      <c r="I163" s="249"/>
    </row>
    <row r="164" spans="1:25" x14ac:dyDescent="0.25">
      <c r="A164" s="161" t="s">
        <v>176</v>
      </c>
      <c r="B164" s="9">
        <v>0.3</v>
      </c>
      <c r="C164" s="2">
        <v>0.4</v>
      </c>
      <c r="D164" s="2">
        <v>0.6</v>
      </c>
      <c r="E164" s="10">
        <v>0.7</v>
      </c>
      <c r="F164" s="9">
        <f>0.35</f>
        <v>0.35</v>
      </c>
      <c r="G164" s="2">
        <f>C164</f>
        <v>0.4</v>
      </c>
      <c r="H164" s="2">
        <f>D164</f>
        <v>0.6</v>
      </c>
      <c r="I164" s="10">
        <v>0.65</v>
      </c>
    </row>
    <row r="165" spans="1:25" ht="15.75" thickBot="1" x14ac:dyDescent="0.3">
      <c r="A165" s="162" t="s">
        <v>177</v>
      </c>
      <c r="B165" s="160">
        <v>0.3</v>
      </c>
      <c r="C165" s="120">
        <v>0.4</v>
      </c>
      <c r="D165" s="120">
        <v>0.6</v>
      </c>
      <c r="E165" s="124">
        <v>0.7</v>
      </c>
      <c r="F165" s="160">
        <v>0.35</v>
      </c>
      <c r="G165" s="120">
        <f>C165</f>
        <v>0.4</v>
      </c>
      <c r="H165" s="120">
        <f>D165</f>
        <v>0.6</v>
      </c>
      <c r="I165" s="124">
        <v>0.65</v>
      </c>
    </row>
    <row r="167" spans="1:25" x14ac:dyDescent="0.25">
      <c r="A167" s="1" t="s">
        <v>219</v>
      </c>
    </row>
    <row r="168" spans="1:25" ht="15.75" thickBot="1" x14ac:dyDescent="0.3">
      <c r="A168" s="1" t="s">
        <v>208</v>
      </c>
    </row>
    <row r="169" spans="1:25" ht="15" customHeight="1" thickBot="1" x14ac:dyDescent="0.3">
      <c r="A169" s="170" t="s">
        <v>175</v>
      </c>
      <c r="B169" s="243" t="s">
        <v>17</v>
      </c>
      <c r="C169" s="244"/>
      <c r="D169" s="244"/>
      <c r="E169" s="245"/>
      <c r="F169" s="240" t="s">
        <v>18</v>
      </c>
      <c r="G169" s="244"/>
      <c r="H169" s="244"/>
      <c r="I169" s="245"/>
    </row>
    <row r="170" spans="1:25" x14ac:dyDescent="0.25">
      <c r="A170" s="168" t="s">
        <v>176</v>
      </c>
      <c r="B170" s="11">
        <v>0.1</v>
      </c>
      <c r="C170" s="12">
        <v>0.2</v>
      </c>
      <c r="D170" s="12">
        <v>0.4</v>
      </c>
      <c r="E170" s="13">
        <v>0.5</v>
      </c>
      <c r="F170" s="9">
        <f>0.15</f>
        <v>0.15</v>
      </c>
      <c r="G170" s="2">
        <f>C170</f>
        <v>0.2</v>
      </c>
      <c r="H170" s="2">
        <f>D170</f>
        <v>0.4</v>
      </c>
      <c r="I170" s="10">
        <v>0.45</v>
      </c>
    </row>
    <row r="171" spans="1:25" x14ac:dyDescent="0.25">
      <c r="A171" s="161" t="s">
        <v>177</v>
      </c>
      <c r="B171" s="9">
        <v>0.1</v>
      </c>
      <c r="C171" s="2">
        <v>0.2</v>
      </c>
      <c r="D171" s="2">
        <v>0.4</v>
      </c>
      <c r="E171" s="10">
        <v>0.5</v>
      </c>
      <c r="F171" s="9">
        <v>0.15</v>
      </c>
      <c r="G171" s="2">
        <f t="shared" ref="G171:H172" si="169">C171</f>
        <v>0.2</v>
      </c>
      <c r="H171" s="2">
        <f t="shared" si="169"/>
        <v>0.4</v>
      </c>
      <c r="I171" s="10">
        <v>0.45</v>
      </c>
    </row>
    <row r="172" spans="1:25" ht="15.75" thickBot="1" x14ac:dyDescent="0.3">
      <c r="A172" s="162" t="s">
        <v>207</v>
      </c>
      <c r="B172" s="160">
        <v>0.2</v>
      </c>
      <c r="C172" s="120">
        <v>0.3</v>
      </c>
      <c r="D172" s="120">
        <v>0.5</v>
      </c>
      <c r="E172" s="124">
        <v>0.6</v>
      </c>
      <c r="F172" s="160">
        <v>0.25</v>
      </c>
      <c r="G172" s="120">
        <f t="shared" si="169"/>
        <v>0.3</v>
      </c>
      <c r="H172" s="120">
        <f t="shared" si="169"/>
        <v>0.5</v>
      </c>
      <c r="I172" s="124">
        <v>0.55000000000000004</v>
      </c>
    </row>
    <row r="174" spans="1:25" ht="15.75" thickBot="1" x14ac:dyDescent="0.3">
      <c r="A174" t="s">
        <v>212</v>
      </c>
    </row>
    <row r="175" spans="1:25" ht="15.75" thickBot="1" x14ac:dyDescent="0.3">
      <c r="A175" s="246" t="s">
        <v>86</v>
      </c>
      <c r="B175" s="240" t="s">
        <v>209</v>
      </c>
      <c r="C175" s="241"/>
      <c r="D175" s="241"/>
      <c r="E175" s="241"/>
      <c r="F175" s="241"/>
      <c r="G175" s="241"/>
      <c r="H175" s="241"/>
      <c r="I175" s="242"/>
      <c r="J175" s="240" t="s">
        <v>210</v>
      </c>
      <c r="K175" s="241"/>
      <c r="L175" s="241"/>
      <c r="M175" s="241"/>
      <c r="N175" s="241"/>
      <c r="O175" s="241"/>
      <c r="P175" s="241"/>
      <c r="Q175" s="242"/>
      <c r="R175" s="240" t="s">
        <v>211</v>
      </c>
      <c r="S175" s="241"/>
      <c r="T175" s="241"/>
      <c r="U175" s="241"/>
      <c r="V175" s="241"/>
      <c r="W175" s="241"/>
      <c r="X175" s="241"/>
      <c r="Y175" s="242"/>
    </row>
    <row r="176" spans="1:25" ht="33.75" customHeight="1" thickBot="1" x14ac:dyDescent="0.3">
      <c r="A176" s="247"/>
      <c r="B176" s="243" t="s">
        <v>17</v>
      </c>
      <c r="C176" s="244"/>
      <c r="D176" s="244"/>
      <c r="E176" s="245"/>
      <c r="F176" s="240" t="s">
        <v>18</v>
      </c>
      <c r="G176" s="244"/>
      <c r="H176" s="244"/>
      <c r="I176" s="245"/>
      <c r="J176" s="243" t="s">
        <v>17</v>
      </c>
      <c r="K176" s="244"/>
      <c r="L176" s="244"/>
      <c r="M176" s="245"/>
      <c r="N176" s="240" t="s">
        <v>18</v>
      </c>
      <c r="O176" s="244"/>
      <c r="P176" s="244"/>
      <c r="Q176" s="245"/>
      <c r="R176" s="243" t="s">
        <v>17</v>
      </c>
      <c r="S176" s="244"/>
      <c r="T176" s="244"/>
      <c r="U176" s="245"/>
      <c r="V176" s="240" t="s">
        <v>18</v>
      </c>
      <c r="W176" s="244"/>
      <c r="X176" s="244"/>
      <c r="Y176" s="245"/>
    </row>
    <row r="177" spans="1:32" x14ac:dyDescent="0.25">
      <c r="A177" s="169" t="s">
        <v>84</v>
      </c>
      <c r="B177" s="11">
        <f>BG11</f>
        <v>6.4600000000000009</v>
      </c>
      <c r="C177" s="12">
        <f t="shared" ref="C177:I177" si="170">BH11</f>
        <v>12.6</v>
      </c>
      <c r="D177" s="12">
        <f t="shared" si="170"/>
        <v>15.81</v>
      </c>
      <c r="E177" s="13">
        <f t="shared" si="170"/>
        <v>20.655000000000001</v>
      </c>
      <c r="F177" s="11">
        <f t="shared" si="170"/>
        <v>8.3199999999999985</v>
      </c>
      <c r="G177" s="12">
        <f t="shared" si="170"/>
        <v>12.6</v>
      </c>
      <c r="H177" s="12">
        <f t="shared" si="170"/>
        <v>15.81</v>
      </c>
      <c r="I177" s="166">
        <f t="shared" si="170"/>
        <v>19.03</v>
      </c>
      <c r="J177" s="11">
        <f>BG63</f>
        <v>3.8899999999999997</v>
      </c>
      <c r="K177" s="12">
        <f t="shared" ref="K177:Q177" si="171">BH63</f>
        <v>9.89</v>
      </c>
      <c r="L177" s="12">
        <f t="shared" si="171"/>
        <v>15.18</v>
      </c>
      <c r="M177" s="13">
        <f t="shared" si="171"/>
        <v>21.215000000000003</v>
      </c>
      <c r="N177" s="11">
        <f t="shared" si="171"/>
        <v>5.6749999999999989</v>
      </c>
      <c r="O177" s="12">
        <f t="shared" si="171"/>
        <v>9.89</v>
      </c>
      <c r="P177" s="12">
        <f t="shared" si="171"/>
        <v>15.18</v>
      </c>
      <c r="Q177" s="13">
        <f t="shared" si="171"/>
        <v>19.23</v>
      </c>
      <c r="R177" s="11">
        <f>BG115</f>
        <v>4.9350000000000005</v>
      </c>
      <c r="S177" s="12">
        <f t="shared" ref="S177:Y177" si="172">BH115</f>
        <v>9.9149999999999991</v>
      </c>
      <c r="T177" s="12">
        <f t="shared" si="172"/>
        <v>13.555</v>
      </c>
      <c r="U177" s="13">
        <f t="shared" si="172"/>
        <v>18.465</v>
      </c>
      <c r="V177" s="11">
        <f t="shared" si="172"/>
        <v>6.4289999999999994</v>
      </c>
      <c r="W177" s="12">
        <f t="shared" si="172"/>
        <v>9.9149999999999991</v>
      </c>
      <c r="X177" s="12">
        <f t="shared" si="172"/>
        <v>13.555</v>
      </c>
      <c r="Y177" s="13">
        <f t="shared" si="172"/>
        <v>16.830000000000002</v>
      </c>
    </row>
    <row r="178" spans="1:32" x14ac:dyDescent="0.25">
      <c r="A178" s="164" t="s">
        <v>73</v>
      </c>
      <c r="B178" s="9">
        <f t="shared" ref="B178:B186" si="173">BG12</f>
        <v>0.71500000000000019</v>
      </c>
      <c r="C178" s="2">
        <f t="shared" ref="C178:C186" si="174">BH12</f>
        <v>4.4550000000000001</v>
      </c>
      <c r="D178" s="2">
        <f t="shared" ref="D178:D186" si="175">BI12</f>
        <v>9.0749999999999993</v>
      </c>
      <c r="E178" s="10">
        <f t="shared" ref="E178:E186" si="176">BJ12</f>
        <v>14.025</v>
      </c>
      <c r="F178" s="9">
        <f t="shared" ref="F178:F186" si="177">BK12</f>
        <v>1.8190000000000008</v>
      </c>
      <c r="G178" s="2">
        <f t="shared" ref="G178:G186" si="178">BL12</f>
        <v>4.4550000000000001</v>
      </c>
      <c r="H178" s="2">
        <f t="shared" ref="H178:H186" si="179">BM12</f>
        <v>9.0749999999999993</v>
      </c>
      <c r="I178" s="159">
        <f t="shared" ref="I178:I186" si="180">BN12</f>
        <v>12.430000000000003</v>
      </c>
      <c r="J178" s="9">
        <f t="shared" ref="J178:J186" si="181">BG64</f>
        <v>0.49500000000000011</v>
      </c>
      <c r="K178" s="2">
        <f t="shared" ref="K178:K186" si="182">BH64</f>
        <v>5.5550000000000006</v>
      </c>
      <c r="L178" s="2">
        <f t="shared" ref="L178:L186" si="183">BI64</f>
        <v>11.275</v>
      </c>
      <c r="M178" s="10">
        <f t="shared" ref="M178:M186" si="184">BJ64</f>
        <v>16.775000000000002</v>
      </c>
      <c r="N178" s="9">
        <f t="shared" ref="N178:N186" si="185">BK64</f>
        <v>1.9650000000000007</v>
      </c>
      <c r="O178" s="2">
        <f t="shared" ref="O178:O186" si="186">BL64</f>
        <v>5.5550000000000006</v>
      </c>
      <c r="P178" s="2">
        <f t="shared" ref="P178:P186" si="187">BM64</f>
        <v>11.275</v>
      </c>
      <c r="Q178" s="10">
        <f t="shared" ref="Q178:Q186" si="188">BN64</f>
        <v>15.030000000000005</v>
      </c>
      <c r="R178" s="9">
        <f t="shared" ref="R178:R186" si="189">BG116</f>
        <v>-5.5000000000000049E-2</v>
      </c>
      <c r="S178" s="2">
        <f t="shared" ref="S178:S186" si="190">BH116</f>
        <v>3.6300000000000008</v>
      </c>
      <c r="T178" s="2">
        <f t="shared" ref="T178:T186" si="191">BI116</f>
        <v>8.25</v>
      </c>
      <c r="U178" s="10">
        <f t="shared" ref="U178:U186" si="192">BJ116</f>
        <v>12.9</v>
      </c>
      <c r="V178" s="9">
        <f t="shared" ref="V178:V186" si="193">BK116</f>
        <v>1.0249999999999999</v>
      </c>
      <c r="W178" s="2">
        <f t="shared" ref="W178:W186" si="194">BL116</f>
        <v>3.6300000000000008</v>
      </c>
      <c r="X178" s="2">
        <f t="shared" ref="X178:X186" si="195">BM116</f>
        <v>8.25</v>
      </c>
      <c r="Y178" s="10">
        <f t="shared" ref="Y178:Y186" si="196">BN116</f>
        <v>11.430000000000001</v>
      </c>
    </row>
    <row r="179" spans="1:32" x14ac:dyDescent="0.25">
      <c r="A179" s="164" t="s">
        <v>74</v>
      </c>
      <c r="B179" s="9">
        <f t="shared" si="173"/>
        <v>4.0150000000000006</v>
      </c>
      <c r="C179" s="2">
        <f t="shared" si="174"/>
        <v>7.4250000000000007</v>
      </c>
      <c r="D179" s="2">
        <f t="shared" si="175"/>
        <v>12.705000000000002</v>
      </c>
      <c r="E179" s="10">
        <f t="shared" si="176"/>
        <v>19.965</v>
      </c>
      <c r="F179" s="9">
        <f t="shared" si="177"/>
        <v>5.08</v>
      </c>
      <c r="G179" s="2">
        <f t="shared" si="178"/>
        <v>7.4250000000000007</v>
      </c>
      <c r="H179" s="2">
        <f t="shared" si="179"/>
        <v>12.705000000000002</v>
      </c>
      <c r="I179" s="159">
        <f t="shared" si="180"/>
        <v>17.489999999999998</v>
      </c>
      <c r="J179" s="9">
        <f t="shared" si="181"/>
        <v>7.3000000000000007</v>
      </c>
      <c r="K179" s="2">
        <f t="shared" si="182"/>
        <v>13.325000000000001</v>
      </c>
      <c r="L179" s="2">
        <f t="shared" si="183"/>
        <v>18.395</v>
      </c>
      <c r="M179" s="10">
        <f t="shared" si="184"/>
        <v>25.310000000000002</v>
      </c>
      <c r="N179" s="9">
        <f t="shared" si="185"/>
        <v>9.1149999999999984</v>
      </c>
      <c r="O179" s="2">
        <f t="shared" si="186"/>
        <v>13.325000000000001</v>
      </c>
      <c r="P179" s="2">
        <f t="shared" si="187"/>
        <v>18.395</v>
      </c>
      <c r="Q179" s="10">
        <f t="shared" si="188"/>
        <v>22.96</v>
      </c>
      <c r="R179" s="9">
        <f t="shared" si="189"/>
        <v>4.8249999999999993</v>
      </c>
      <c r="S179" s="2">
        <f t="shared" si="190"/>
        <v>9.4499999999999993</v>
      </c>
      <c r="T179" s="2">
        <f t="shared" si="191"/>
        <v>13.97</v>
      </c>
      <c r="U179" s="10">
        <f t="shared" si="192"/>
        <v>20.310000000000002</v>
      </c>
      <c r="V179" s="9">
        <f t="shared" si="193"/>
        <v>6.2499999999999982</v>
      </c>
      <c r="W179" s="2">
        <f t="shared" si="194"/>
        <v>9.4499999999999993</v>
      </c>
      <c r="X179" s="2">
        <f t="shared" si="195"/>
        <v>13.97</v>
      </c>
      <c r="Y179" s="10">
        <f t="shared" si="196"/>
        <v>18.159999999999997</v>
      </c>
    </row>
    <row r="180" spans="1:32" x14ac:dyDescent="0.25">
      <c r="A180" s="164" t="s">
        <v>75</v>
      </c>
      <c r="B180" s="9">
        <f t="shared" si="173"/>
        <v>5.6500000000000012</v>
      </c>
      <c r="C180" s="2">
        <f t="shared" si="174"/>
        <v>10.574999999999999</v>
      </c>
      <c r="D180" s="2">
        <f t="shared" si="175"/>
        <v>14.545000000000002</v>
      </c>
      <c r="E180" s="10">
        <f t="shared" si="176"/>
        <v>20.309999999999999</v>
      </c>
      <c r="F180" s="9">
        <f t="shared" si="177"/>
        <v>7.15</v>
      </c>
      <c r="G180" s="2">
        <f t="shared" si="178"/>
        <v>10.574999999999999</v>
      </c>
      <c r="H180" s="2">
        <f t="shared" si="179"/>
        <v>14.545000000000002</v>
      </c>
      <c r="I180" s="159">
        <f t="shared" si="180"/>
        <v>18.36</v>
      </c>
      <c r="J180" s="9">
        <f t="shared" si="181"/>
        <v>5.8150000000000004</v>
      </c>
      <c r="K180" s="2">
        <f t="shared" si="182"/>
        <v>11.840000000000002</v>
      </c>
      <c r="L180" s="2">
        <f t="shared" si="183"/>
        <v>16.579999999999998</v>
      </c>
      <c r="M180" s="10">
        <f t="shared" si="184"/>
        <v>22.340000000000003</v>
      </c>
      <c r="N180" s="9">
        <f t="shared" si="185"/>
        <v>7.5999999999999979</v>
      </c>
      <c r="O180" s="2">
        <f t="shared" si="186"/>
        <v>11.840000000000002</v>
      </c>
      <c r="P180" s="2">
        <f t="shared" si="187"/>
        <v>16.579999999999998</v>
      </c>
      <c r="Q180" s="10">
        <f t="shared" si="188"/>
        <v>20.43</v>
      </c>
      <c r="R180" s="9">
        <f t="shared" si="189"/>
        <v>1.8650000000000002</v>
      </c>
      <c r="S180" s="2">
        <f t="shared" si="190"/>
        <v>6.0149999999999997</v>
      </c>
      <c r="T180" s="2">
        <f t="shared" si="191"/>
        <v>10.755000000000001</v>
      </c>
      <c r="U180" s="10">
        <f t="shared" si="192"/>
        <v>16.215000000000003</v>
      </c>
      <c r="V180" s="9">
        <f t="shared" si="193"/>
        <v>3.1250000000000009</v>
      </c>
      <c r="W180" s="2">
        <f t="shared" si="194"/>
        <v>6.0149999999999997</v>
      </c>
      <c r="X180" s="2">
        <f t="shared" si="195"/>
        <v>10.755000000000001</v>
      </c>
      <c r="Y180" s="10">
        <f t="shared" si="196"/>
        <v>14.430000000000003</v>
      </c>
    </row>
    <row r="181" spans="1:32" x14ac:dyDescent="0.25">
      <c r="A181" s="164" t="s">
        <v>77</v>
      </c>
      <c r="B181" s="9">
        <f t="shared" si="173"/>
        <v>4.45</v>
      </c>
      <c r="C181" s="2">
        <f t="shared" si="174"/>
        <v>8.3250000000000011</v>
      </c>
      <c r="D181" s="2">
        <f t="shared" si="175"/>
        <v>13.395</v>
      </c>
      <c r="E181" s="10">
        <f t="shared" si="176"/>
        <v>20.310000000000002</v>
      </c>
      <c r="F181" s="9">
        <f t="shared" si="177"/>
        <v>5.6650000000000009</v>
      </c>
      <c r="G181" s="2">
        <f t="shared" si="178"/>
        <v>8.3250000000000011</v>
      </c>
      <c r="H181" s="2">
        <f t="shared" si="179"/>
        <v>13.395</v>
      </c>
      <c r="I181" s="159">
        <f t="shared" si="180"/>
        <v>17.96</v>
      </c>
      <c r="J181" s="9">
        <f t="shared" si="181"/>
        <v>7.3000000000000007</v>
      </c>
      <c r="K181" s="2">
        <f t="shared" si="182"/>
        <v>13.325000000000001</v>
      </c>
      <c r="L181" s="2">
        <f t="shared" si="183"/>
        <v>18.395</v>
      </c>
      <c r="M181" s="10">
        <f t="shared" si="184"/>
        <v>25.310000000000002</v>
      </c>
      <c r="N181" s="9">
        <f t="shared" si="185"/>
        <v>9.1149999999999984</v>
      </c>
      <c r="O181" s="2">
        <f t="shared" si="186"/>
        <v>13.325000000000001</v>
      </c>
      <c r="P181" s="2">
        <f t="shared" si="187"/>
        <v>18.395</v>
      </c>
      <c r="Q181" s="10">
        <f t="shared" si="188"/>
        <v>22.96</v>
      </c>
      <c r="R181" s="9">
        <f t="shared" si="189"/>
        <v>2.2399999999999998</v>
      </c>
      <c r="S181" s="2">
        <f t="shared" si="190"/>
        <v>7.14</v>
      </c>
      <c r="T181" s="2">
        <f t="shared" si="191"/>
        <v>11.33</v>
      </c>
      <c r="U181" s="10">
        <f t="shared" si="192"/>
        <v>16.215</v>
      </c>
      <c r="V181" s="9">
        <f t="shared" si="193"/>
        <v>3.7099999999999991</v>
      </c>
      <c r="W181" s="2">
        <f t="shared" si="194"/>
        <v>7.14</v>
      </c>
      <c r="X181" s="2">
        <f t="shared" si="195"/>
        <v>11.33</v>
      </c>
      <c r="Y181" s="10">
        <f t="shared" si="196"/>
        <v>14.63</v>
      </c>
    </row>
    <row r="182" spans="1:32" x14ac:dyDescent="0.25">
      <c r="A182" s="164" t="s">
        <v>78</v>
      </c>
      <c r="B182" s="9">
        <f t="shared" si="173"/>
        <v>4.1650000000000009</v>
      </c>
      <c r="C182" s="2">
        <f t="shared" si="174"/>
        <v>9.09</v>
      </c>
      <c r="D182" s="2">
        <f t="shared" si="175"/>
        <v>12.73</v>
      </c>
      <c r="E182" s="10">
        <f t="shared" si="176"/>
        <v>17.34</v>
      </c>
      <c r="F182" s="9">
        <f t="shared" si="177"/>
        <v>5.6349999999999989</v>
      </c>
      <c r="G182" s="2">
        <f t="shared" si="178"/>
        <v>9.09</v>
      </c>
      <c r="H182" s="2">
        <f t="shared" si="179"/>
        <v>12.73</v>
      </c>
      <c r="I182" s="159">
        <f t="shared" si="180"/>
        <v>15.83</v>
      </c>
      <c r="J182" s="9">
        <f t="shared" si="181"/>
        <v>5.8150000000000004</v>
      </c>
      <c r="K182" s="2">
        <f t="shared" si="182"/>
        <v>11.840000000000002</v>
      </c>
      <c r="L182" s="2">
        <f t="shared" si="183"/>
        <v>16.579999999999998</v>
      </c>
      <c r="M182" s="10">
        <f t="shared" si="184"/>
        <v>22.340000000000003</v>
      </c>
      <c r="N182" s="9">
        <f t="shared" si="185"/>
        <v>7.5999999999999979</v>
      </c>
      <c r="O182" s="2">
        <f t="shared" si="186"/>
        <v>11.840000000000002</v>
      </c>
      <c r="P182" s="2">
        <f t="shared" si="187"/>
        <v>16.579999999999998</v>
      </c>
      <c r="Q182" s="10">
        <f t="shared" si="188"/>
        <v>20.43</v>
      </c>
      <c r="R182" s="9">
        <f t="shared" si="189"/>
        <v>0.7150000000000003</v>
      </c>
      <c r="S182" s="2">
        <f t="shared" si="190"/>
        <v>4.4550000000000001</v>
      </c>
      <c r="T182" s="2">
        <f t="shared" si="191"/>
        <v>9.0750000000000011</v>
      </c>
      <c r="U182" s="10">
        <f t="shared" si="192"/>
        <v>14.025</v>
      </c>
      <c r="V182" s="9">
        <f t="shared" si="193"/>
        <v>1.8190000000000008</v>
      </c>
      <c r="W182" s="2">
        <f t="shared" si="194"/>
        <v>4.4550000000000001</v>
      </c>
      <c r="X182" s="2">
        <f t="shared" si="195"/>
        <v>9.0750000000000011</v>
      </c>
      <c r="Y182" s="10">
        <f t="shared" si="196"/>
        <v>12.430000000000003</v>
      </c>
    </row>
    <row r="183" spans="1:32" x14ac:dyDescent="0.25">
      <c r="A183" s="164" t="s">
        <v>79</v>
      </c>
      <c r="B183" s="9">
        <f t="shared" si="173"/>
        <v>4.1650000000000009</v>
      </c>
      <c r="C183" s="2">
        <f t="shared" si="174"/>
        <v>9.09</v>
      </c>
      <c r="D183" s="2">
        <f t="shared" si="175"/>
        <v>12.73</v>
      </c>
      <c r="E183" s="10">
        <f t="shared" si="176"/>
        <v>17.34</v>
      </c>
      <c r="F183" s="9">
        <f t="shared" si="177"/>
        <v>5.6349999999999989</v>
      </c>
      <c r="G183" s="2">
        <f t="shared" si="178"/>
        <v>9.09</v>
      </c>
      <c r="H183" s="2">
        <f t="shared" si="179"/>
        <v>12.73</v>
      </c>
      <c r="I183" s="159">
        <f t="shared" si="180"/>
        <v>15.83</v>
      </c>
      <c r="J183" s="9">
        <f t="shared" si="181"/>
        <v>5.8150000000000004</v>
      </c>
      <c r="K183" s="2">
        <f t="shared" si="182"/>
        <v>11.840000000000002</v>
      </c>
      <c r="L183" s="2">
        <f t="shared" si="183"/>
        <v>16.579999999999998</v>
      </c>
      <c r="M183" s="10">
        <f t="shared" si="184"/>
        <v>22.340000000000003</v>
      </c>
      <c r="N183" s="9">
        <f t="shared" si="185"/>
        <v>7.5999999999999979</v>
      </c>
      <c r="O183" s="2">
        <f t="shared" si="186"/>
        <v>11.840000000000002</v>
      </c>
      <c r="P183" s="2">
        <f t="shared" si="187"/>
        <v>16.579999999999998</v>
      </c>
      <c r="Q183" s="10">
        <f t="shared" si="188"/>
        <v>20.43</v>
      </c>
      <c r="R183" s="9">
        <f t="shared" si="189"/>
        <v>1.8650000000000002</v>
      </c>
      <c r="S183" s="2">
        <f t="shared" si="190"/>
        <v>6.0149999999999997</v>
      </c>
      <c r="T183" s="2">
        <f t="shared" si="191"/>
        <v>10.755000000000001</v>
      </c>
      <c r="U183" s="10">
        <f t="shared" si="192"/>
        <v>16.215000000000003</v>
      </c>
      <c r="V183" s="9">
        <f t="shared" si="193"/>
        <v>3.1250000000000009</v>
      </c>
      <c r="W183" s="2">
        <f t="shared" si="194"/>
        <v>6.0149999999999997</v>
      </c>
      <c r="X183" s="2">
        <f t="shared" si="195"/>
        <v>10.755000000000001</v>
      </c>
      <c r="Y183" s="10">
        <f t="shared" si="196"/>
        <v>14.430000000000003</v>
      </c>
    </row>
    <row r="184" spans="1:32" x14ac:dyDescent="0.25">
      <c r="A184" s="164" t="s">
        <v>80</v>
      </c>
      <c r="B184" s="9">
        <f t="shared" si="173"/>
        <v>5.26</v>
      </c>
      <c r="C184" s="2">
        <f t="shared" si="174"/>
        <v>10.350000000000001</v>
      </c>
      <c r="D184" s="2">
        <f t="shared" si="175"/>
        <v>14.66</v>
      </c>
      <c r="E184" s="10">
        <f t="shared" si="176"/>
        <v>20.655000000000001</v>
      </c>
      <c r="F184" s="9">
        <f t="shared" si="177"/>
        <v>6.8349999999999991</v>
      </c>
      <c r="G184" s="2">
        <f t="shared" si="178"/>
        <v>10.350000000000001</v>
      </c>
      <c r="H184" s="2">
        <f t="shared" si="179"/>
        <v>14.66</v>
      </c>
      <c r="I184" s="159">
        <f t="shared" si="180"/>
        <v>18.63</v>
      </c>
      <c r="J184" s="9">
        <f t="shared" si="181"/>
        <v>3.8899999999999997</v>
      </c>
      <c r="K184" s="2">
        <f t="shared" si="182"/>
        <v>9.89</v>
      </c>
      <c r="L184" s="2">
        <f t="shared" si="183"/>
        <v>15.18</v>
      </c>
      <c r="M184" s="10">
        <f t="shared" si="184"/>
        <v>21.215000000000003</v>
      </c>
      <c r="N184" s="9">
        <f t="shared" si="185"/>
        <v>5.6749999999999989</v>
      </c>
      <c r="O184" s="2">
        <f t="shared" si="186"/>
        <v>9.89</v>
      </c>
      <c r="P184" s="2">
        <f t="shared" si="187"/>
        <v>15.18</v>
      </c>
      <c r="Q184" s="10">
        <f t="shared" si="188"/>
        <v>19.23</v>
      </c>
      <c r="R184" s="9">
        <f t="shared" si="189"/>
        <v>4.1650000000000009</v>
      </c>
      <c r="S184" s="2">
        <f t="shared" si="190"/>
        <v>9.09</v>
      </c>
      <c r="T184" s="2">
        <f t="shared" si="191"/>
        <v>12.73</v>
      </c>
      <c r="U184" s="10">
        <f t="shared" si="192"/>
        <v>17.34</v>
      </c>
      <c r="V184" s="9">
        <f t="shared" si="193"/>
        <v>5.6349999999999989</v>
      </c>
      <c r="W184" s="2">
        <f t="shared" si="194"/>
        <v>9.09</v>
      </c>
      <c r="X184" s="2">
        <f t="shared" si="195"/>
        <v>12.73</v>
      </c>
      <c r="Y184" s="10">
        <f t="shared" si="196"/>
        <v>15.83</v>
      </c>
    </row>
    <row r="185" spans="1:32" x14ac:dyDescent="0.25">
      <c r="A185" s="164" t="s">
        <v>82</v>
      </c>
      <c r="B185" s="9">
        <f t="shared" si="173"/>
        <v>4.45</v>
      </c>
      <c r="C185" s="2">
        <f t="shared" si="174"/>
        <v>8.3250000000000011</v>
      </c>
      <c r="D185" s="2">
        <f t="shared" si="175"/>
        <v>13.395</v>
      </c>
      <c r="E185" s="10">
        <f t="shared" si="176"/>
        <v>20.310000000000002</v>
      </c>
      <c r="F185" s="9">
        <f t="shared" si="177"/>
        <v>5.6650000000000009</v>
      </c>
      <c r="G185" s="2">
        <f t="shared" si="178"/>
        <v>8.3250000000000011</v>
      </c>
      <c r="H185" s="2">
        <f t="shared" si="179"/>
        <v>13.395</v>
      </c>
      <c r="I185" s="159">
        <f t="shared" si="180"/>
        <v>17.96</v>
      </c>
      <c r="J185" s="9">
        <f t="shared" si="181"/>
        <v>4.7150000000000007</v>
      </c>
      <c r="K185" s="2">
        <f t="shared" si="182"/>
        <v>11.015000000000001</v>
      </c>
      <c r="L185" s="2">
        <f t="shared" si="183"/>
        <v>15.754999999999999</v>
      </c>
      <c r="M185" s="10">
        <f t="shared" si="184"/>
        <v>21.215</v>
      </c>
      <c r="N185" s="9">
        <f t="shared" si="185"/>
        <v>6.5749999999999993</v>
      </c>
      <c r="O185" s="2">
        <f t="shared" si="186"/>
        <v>11.015000000000001</v>
      </c>
      <c r="P185" s="2">
        <f t="shared" si="187"/>
        <v>15.754999999999999</v>
      </c>
      <c r="Q185" s="10">
        <f t="shared" si="188"/>
        <v>19.430000000000003</v>
      </c>
      <c r="R185" s="9">
        <f t="shared" si="189"/>
        <v>2.2399999999999998</v>
      </c>
      <c r="S185" s="2">
        <f t="shared" si="190"/>
        <v>7.14</v>
      </c>
      <c r="T185" s="2">
        <f t="shared" si="191"/>
        <v>11.33</v>
      </c>
      <c r="U185" s="10">
        <f t="shared" si="192"/>
        <v>16.215</v>
      </c>
      <c r="V185" s="9">
        <f t="shared" si="193"/>
        <v>3.7099999999999991</v>
      </c>
      <c r="W185" s="2">
        <f t="shared" si="194"/>
        <v>7.14</v>
      </c>
      <c r="X185" s="2">
        <f t="shared" si="195"/>
        <v>11.33</v>
      </c>
      <c r="Y185" s="10">
        <f t="shared" si="196"/>
        <v>14.63</v>
      </c>
    </row>
    <row r="186" spans="1:32" ht="15.75" thickBot="1" x14ac:dyDescent="0.3">
      <c r="A186" s="165" t="s">
        <v>83</v>
      </c>
      <c r="B186" s="160">
        <f t="shared" si="173"/>
        <v>1.8650000000000002</v>
      </c>
      <c r="C186" s="120">
        <f t="shared" si="174"/>
        <v>6.0150000000000006</v>
      </c>
      <c r="D186" s="120">
        <f t="shared" si="175"/>
        <v>10.754999999999999</v>
      </c>
      <c r="E186" s="124">
        <f t="shared" si="176"/>
        <v>16.215</v>
      </c>
      <c r="F186" s="160">
        <f t="shared" si="177"/>
        <v>3.1250000000000009</v>
      </c>
      <c r="G186" s="120">
        <f t="shared" si="178"/>
        <v>6.0150000000000006</v>
      </c>
      <c r="H186" s="120">
        <f t="shared" si="179"/>
        <v>10.754999999999999</v>
      </c>
      <c r="I186" s="167">
        <f t="shared" si="180"/>
        <v>14.430000000000003</v>
      </c>
      <c r="J186" s="160">
        <f t="shared" si="181"/>
        <v>4.7150000000000007</v>
      </c>
      <c r="K186" s="120">
        <f t="shared" si="182"/>
        <v>11.015000000000001</v>
      </c>
      <c r="L186" s="120">
        <f t="shared" si="183"/>
        <v>15.754999999999999</v>
      </c>
      <c r="M186" s="124">
        <f t="shared" si="184"/>
        <v>21.215</v>
      </c>
      <c r="N186" s="160">
        <f t="shared" si="185"/>
        <v>6.5749999999999993</v>
      </c>
      <c r="O186" s="120">
        <f t="shared" si="186"/>
        <v>11.015000000000001</v>
      </c>
      <c r="P186" s="120">
        <f t="shared" si="187"/>
        <v>15.754999999999999</v>
      </c>
      <c r="Q186" s="124">
        <f t="shared" si="188"/>
        <v>19.430000000000003</v>
      </c>
      <c r="R186" s="160">
        <f t="shared" si="189"/>
        <v>4.1099999999999994</v>
      </c>
      <c r="S186" s="120">
        <f t="shared" si="190"/>
        <v>8.7900000000000009</v>
      </c>
      <c r="T186" s="120">
        <f t="shared" si="191"/>
        <v>12.98</v>
      </c>
      <c r="U186" s="124">
        <f t="shared" si="192"/>
        <v>18.465</v>
      </c>
      <c r="V186" s="160">
        <f t="shared" si="193"/>
        <v>5.5289999999999981</v>
      </c>
      <c r="W186" s="120">
        <f t="shared" si="194"/>
        <v>8.7900000000000009</v>
      </c>
      <c r="X186" s="120">
        <f t="shared" si="195"/>
        <v>12.98</v>
      </c>
      <c r="Y186" s="124">
        <f t="shared" si="196"/>
        <v>16.63</v>
      </c>
    </row>
    <row r="188" spans="1:32" ht="15.75" thickBot="1" x14ac:dyDescent="0.3">
      <c r="A188" t="s">
        <v>213</v>
      </c>
      <c r="Z188">
        <v>0.8</v>
      </c>
    </row>
    <row r="189" spans="1:32" ht="33" customHeight="1" thickBot="1" x14ac:dyDescent="0.3">
      <c r="A189" s="246" t="s">
        <v>86</v>
      </c>
      <c r="B189" s="240" t="s">
        <v>214</v>
      </c>
      <c r="C189" s="241"/>
      <c r="D189" s="241"/>
      <c r="E189" s="241"/>
      <c r="F189" s="241"/>
      <c r="G189" s="241"/>
      <c r="H189" s="241"/>
      <c r="I189" s="242"/>
      <c r="J189" s="240" t="s">
        <v>215</v>
      </c>
      <c r="K189" s="241"/>
      <c r="L189" s="241"/>
      <c r="M189" s="241"/>
      <c r="N189" s="241"/>
      <c r="O189" s="241"/>
      <c r="P189" s="241"/>
      <c r="Q189" s="242"/>
      <c r="R189" s="223" t="s">
        <v>216</v>
      </c>
      <c r="S189" s="224"/>
      <c r="T189" s="224"/>
      <c r="U189" s="224"/>
      <c r="V189" s="224"/>
      <c r="W189" s="224"/>
      <c r="X189" s="224"/>
      <c r="Y189" s="225"/>
      <c r="Z189" s="226" t="s">
        <v>151</v>
      </c>
      <c r="AA189" s="227"/>
      <c r="AB189" s="227"/>
      <c r="AC189" s="228"/>
      <c r="AD189" s="219" t="s">
        <v>153</v>
      </c>
      <c r="AE189" s="220"/>
      <c r="AF189" s="221" t="s">
        <v>156</v>
      </c>
    </row>
    <row r="190" spans="1:32" ht="27.75" customHeight="1" thickBot="1" x14ac:dyDescent="0.3">
      <c r="A190" s="247"/>
      <c r="B190" s="243" t="s">
        <v>17</v>
      </c>
      <c r="C190" s="244"/>
      <c r="D190" s="244"/>
      <c r="E190" s="245"/>
      <c r="F190" s="240" t="s">
        <v>18</v>
      </c>
      <c r="G190" s="244"/>
      <c r="H190" s="244"/>
      <c r="I190" s="245"/>
      <c r="J190" s="243" t="s">
        <v>17</v>
      </c>
      <c r="K190" s="244"/>
      <c r="L190" s="244"/>
      <c r="M190" s="245"/>
      <c r="N190" s="240" t="s">
        <v>18</v>
      </c>
      <c r="O190" s="244"/>
      <c r="P190" s="244"/>
      <c r="Q190" s="245"/>
      <c r="R190" s="223" t="s">
        <v>17</v>
      </c>
      <c r="S190" s="224"/>
      <c r="T190" s="224"/>
      <c r="U190" s="225"/>
      <c r="V190" s="223" t="s">
        <v>18</v>
      </c>
      <c r="W190" s="224"/>
      <c r="X190" s="224"/>
      <c r="Y190" s="225"/>
      <c r="Z190" s="229" t="s">
        <v>152</v>
      </c>
      <c r="AA190" s="230"/>
      <c r="AB190" s="229" t="s">
        <v>26</v>
      </c>
      <c r="AC190" s="231"/>
      <c r="AD190" s="145" t="s">
        <v>154</v>
      </c>
      <c r="AE190" s="145" t="s">
        <v>155</v>
      </c>
      <c r="AF190" s="222"/>
    </row>
    <row r="191" spans="1:32" ht="30.75" customHeight="1" x14ac:dyDescent="0.25">
      <c r="A191" s="169" t="s">
        <v>84</v>
      </c>
      <c r="B191" s="173">
        <f>B177*C$164+B$164*C177-C$164*C177</f>
        <v>1.3240000000000007</v>
      </c>
      <c r="C191" s="118">
        <f>C177*C$164</f>
        <v>5.04</v>
      </c>
      <c r="D191" s="118">
        <f>D177*D$164</f>
        <v>9.4860000000000007</v>
      </c>
      <c r="E191" s="174">
        <f>D$164*E177+D177*E$164-D$164*D177</f>
        <v>13.974</v>
      </c>
      <c r="F191" s="173">
        <f>F177*G$164+F$164*G177-G$164*G177</f>
        <v>2.6979999999999986</v>
      </c>
      <c r="G191" s="118">
        <f>G177*G$164</f>
        <v>5.04</v>
      </c>
      <c r="H191" s="118">
        <f>H177*H$164</f>
        <v>9.4860000000000007</v>
      </c>
      <c r="I191" s="174">
        <f>H$164*I177+H177*I$164-H$164*H177</f>
        <v>12.208500000000001</v>
      </c>
      <c r="J191" s="173">
        <f>J177*C$165+B$165*K177-K177*C$165</f>
        <v>0.56699999999999928</v>
      </c>
      <c r="K191" s="118">
        <f>K177*C$165</f>
        <v>3.9560000000000004</v>
      </c>
      <c r="L191" s="118">
        <f>L177*D$165</f>
        <v>9.1079999999999988</v>
      </c>
      <c r="M191" s="174">
        <f>M177*D$165+L177*E$165-L177*D$165</f>
        <v>14.247000000000002</v>
      </c>
      <c r="N191" s="173">
        <f>N177*G$165+F$165*O177-O177*G$165</f>
        <v>1.7754999999999992</v>
      </c>
      <c r="O191" s="118">
        <f>O177*G$165</f>
        <v>3.9560000000000004</v>
      </c>
      <c r="P191" s="118">
        <f>P177*H$165</f>
        <v>9.1079999999999988</v>
      </c>
      <c r="Q191" s="174">
        <f>Q177*H$165+P177*I$165-P177*H$165</f>
        <v>12.297000000000002</v>
      </c>
      <c r="R191" s="173">
        <f>B191+J191</f>
        <v>1.891</v>
      </c>
      <c r="S191" s="118">
        <f t="shared" ref="S191:Y191" si="197">C191+K191</f>
        <v>8.9960000000000004</v>
      </c>
      <c r="T191" s="118">
        <f t="shared" si="197"/>
        <v>18.594000000000001</v>
      </c>
      <c r="U191" s="174">
        <f t="shared" si="197"/>
        <v>28.221000000000004</v>
      </c>
      <c r="V191" s="173">
        <f t="shared" si="197"/>
        <v>4.4734999999999978</v>
      </c>
      <c r="W191" s="118">
        <f t="shared" si="197"/>
        <v>8.9960000000000004</v>
      </c>
      <c r="X191" s="118">
        <f t="shared" si="197"/>
        <v>18.594000000000001</v>
      </c>
      <c r="Y191" s="174">
        <f t="shared" si="197"/>
        <v>24.505500000000005</v>
      </c>
      <c r="Z191" s="136">
        <f>Z$188*S191+(1-Z$188)*R191</f>
        <v>7.5750000000000002</v>
      </c>
      <c r="AA191" s="142">
        <f>Z$188*T191+(1-Z$188)*U191</f>
        <v>20.519400000000001</v>
      </c>
      <c r="AB191" s="136">
        <f>Z$188*W191+(1-Z$188)*V191</f>
        <v>8.0914999999999999</v>
      </c>
      <c r="AC191" s="137">
        <f>Z$188*X191+(1-Z$188)*Y191</f>
        <v>19.776299999999999</v>
      </c>
      <c r="AD191" s="81">
        <f>(Z191+AA191)/2</f>
        <v>14.0472</v>
      </c>
      <c r="AE191" s="84">
        <f>(AB191+AC191)/2</f>
        <v>13.9339</v>
      </c>
      <c r="AF191" s="133">
        <f>(AD191+AE191)/2</f>
        <v>13.990549999999999</v>
      </c>
    </row>
    <row r="192" spans="1:32" x14ac:dyDescent="0.25">
      <c r="A192" s="164" t="s">
        <v>73</v>
      </c>
      <c r="B192" s="11">
        <f t="shared" ref="B192:B200" si="198">B178*C$164+B$164*C178-C$164*C178</f>
        <v>-0.15949999999999998</v>
      </c>
      <c r="C192" s="12">
        <f t="shared" ref="C192:D192" si="199">C178*C$164</f>
        <v>1.782</v>
      </c>
      <c r="D192" s="12">
        <f t="shared" si="199"/>
        <v>5.4449999999999994</v>
      </c>
      <c r="E192" s="13">
        <f t="shared" ref="E192:E200" si="200">D$164*E178+D178*E$164-D$164*D178</f>
        <v>9.322499999999998</v>
      </c>
      <c r="F192" s="11">
        <f t="shared" ref="F192:F200" si="201">F178*G$164+F$164*G178-G$164*G178</f>
        <v>0.50485000000000024</v>
      </c>
      <c r="G192" s="12">
        <f t="shared" ref="G192:H192" si="202">G178*G$164</f>
        <v>1.782</v>
      </c>
      <c r="H192" s="12">
        <f t="shared" si="202"/>
        <v>5.4449999999999994</v>
      </c>
      <c r="I192" s="13">
        <f t="shared" ref="I192:I200" si="203">H$164*I178+H178*I$164-H$164*H178</f>
        <v>7.9117500000000023</v>
      </c>
      <c r="J192" s="11">
        <f t="shared" ref="J192:J200" si="204">J178*C$165+B$165*K178-K178*C$165</f>
        <v>-0.35750000000000037</v>
      </c>
      <c r="K192" s="12">
        <f t="shared" ref="K192:L192" si="205">K178*C$165</f>
        <v>2.2220000000000004</v>
      </c>
      <c r="L192" s="12">
        <f t="shared" si="205"/>
        <v>6.7649999999999997</v>
      </c>
      <c r="M192" s="13">
        <f t="shared" ref="M192:M200" si="206">M178*D$165+L178*E$165-L178*D$165</f>
        <v>11.192500000000003</v>
      </c>
      <c r="N192" s="11">
        <f t="shared" ref="N192:N200" si="207">N178*G$165+F$165*O178-O178*G$165</f>
        <v>0.50824999999999987</v>
      </c>
      <c r="O192" s="12">
        <f t="shared" ref="O192:P192" si="208">O178*G$165</f>
        <v>2.2220000000000004</v>
      </c>
      <c r="P192" s="12">
        <f t="shared" si="208"/>
        <v>6.7649999999999997</v>
      </c>
      <c r="Q192" s="13">
        <f t="shared" ref="Q192:Q200" si="209">Q178*H$165+P178*I$165-P178*H$165</f>
        <v>9.5817500000000031</v>
      </c>
      <c r="R192" s="11">
        <f>B192+J192</f>
        <v>-0.51700000000000035</v>
      </c>
      <c r="S192" s="12">
        <f t="shared" ref="S192:S200" si="210">C192+K192</f>
        <v>4.0040000000000004</v>
      </c>
      <c r="T192" s="12">
        <f t="shared" ref="T192:T200" si="211">D192+L192</f>
        <v>12.209999999999999</v>
      </c>
      <c r="U192" s="13">
        <f t="shared" ref="U192:U200" si="212">E192+M192</f>
        <v>20.515000000000001</v>
      </c>
      <c r="V192" s="11">
        <f t="shared" ref="V192:V200" si="213">F192+N192</f>
        <v>1.0131000000000001</v>
      </c>
      <c r="W192" s="12">
        <f t="shared" ref="W192:W200" si="214">G192+O192</f>
        <v>4.0040000000000004</v>
      </c>
      <c r="X192" s="12">
        <f t="shared" ref="X192:X200" si="215">H192+P192</f>
        <v>12.209999999999999</v>
      </c>
      <c r="Y192" s="13">
        <f t="shared" ref="Y192:Y200" si="216">I192+Q192</f>
        <v>17.493500000000004</v>
      </c>
      <c r="Z192" s="138">
        <f t="shared" ref="Z192:Z200" si="217">Z$188*S192+(1-Z$188)*R192</f>
        <v>3.0998000000000006</v>
      </c>
      <c r="AA192" s="143">
        <f t="shared" ref="AA192:AA200" si="218">Z$188*T192+(1-Z$188)*U192</f>
        <v>13.870999999999999</v>
      </c>
      <c r="AB192" s="138">
        <f t="shared" ref="AB192:AB200" si="219">Z$188*W192+(1-Z$188)*V192</f>
        <v>3.4058200000000007</v>
      </c>
      <c r="AC192" s="139">
        <f t="shared" ref="AC192:AC200" si="220">Z$188*X192+(1-Z$188)*Y192</f>
        <v>13.2667</v>
      </c>
      <c r="AD192" s="87">
        <f t="shared" ref="AD192:AD200" si="221">(Z192+AA192)/2</f>
        <v>8.4854000000000003</v>
      </c>
      <c r="AE192" s="88">
        <f t="shared" ref="AE192:AE200" si="222">(AB192+AC192)/2</f>
        <v>8.3362600000000011</v>
      </c>
      <c r="AF192" s="134">
        <f t="shared" ref="AF192:AF200" si="223">(AD192+AE192)/2</f>
        <v>8.4108300000000007</v>
      </c>
    </row>
    <row r="193" spans="1:40" x14ac:dyDescent="0.25">
      <c r="A193" s="164" t="s">
        <v>74</v>
      </c>
      <c r="B193" s="11">
        <f t="shared" si="198"/>
        <v>0.86349999999999971</v>
      </c>
      <c r="C193" s="12">
        <f t="shared" ref="C193:D193" si="224">C179*C$164</f>
        <v>2.9700000000000006</v>
      </c>
      <c r="D193" s="12">
        <f t="shared" si="224"/>
        <v>7.6230000000000011</v>
      </c>
      <c r="E193" s="13">
        <f t="shared" si="200"/>
        <v>13.249500000000001</v>
      </c>
      <c r="F193" s="11">
        <f t="shared" si="201"/>
        <v>1.6607499999999993</v>
      </c>
      <c r="G193" s="12">
        <f t="shared" ref="G193:H193" si="225">G179*G$164</f>
        <v>2.9700000000000006</v>
      </c>
      <c r="H193" s="12">
        <f t="shared" si="225"/>
        <v>7.6230000000000011</v>
      </c>
      <c r="I193" s="13">
        <f t="shared" si="203"/>
        <v>11.129249999999999</v>
      </c>
      <c r="J193" s="11">
        <f t="shared" si="204"/>
        <v>1.5874999999999995</v>
      </c>
      <c r="K193" s="12">
        <f t="shared" ref="K193:L193" si="226">K179*C$165</f>
        <v>5.330000000000001</v>
      </c>
      <c r="L193" s="12">
        <f t="shared" si="226"/>
        <v>11.036999999999999</v>
      </c>
      <c r="M193" s="13">
        <f t="shared" si="206"/>
        <v>17.025500000000001</v>
      </c>
      <c r="N193" s="11">
        <f t="shared" si="207"/>
        <v>2.9797499999999983</v>
      </c>
      <c r="O193" s="12">
        <f t="shared" ref="O193:P193" si="227">O179*G$165</f>
        <v>5.330000000000001</v>
      </c>
      <c r="P193" s="12">
        <f t="shared" si="227"/>
        <v>11.036999999999999</v>
      </c>
      <c r="Q193" s="13">
        <f t="shared" si="209"/>
        <v>14.69575</v>
      </c>
      <c r="R193" s="11">
        <f t="shared" ref="R193:R200" si="228">B193+J193</f>
        <v>2.4509999999999992</v>
      </c>
      <c r="S193" s="12">
        <f t="shared" si="210"/>
        <v>8.3000000000000007</v>
      </c>
      <c r="T193" s="12">
        <f t="shared" si="211"/>
        <v>18.66</v>
      </c>
      <c r="U193" s="13">
        <f t="shared" si="212"/>
        <v>30.275000000000002</v>
      </c>
      <c r="V193" s="11">
        <f t="shared" si="213"/>
        <v>4.6404999999999976</v>
      </c>
      <c r="W193" s="12">
        <f t="shared" si="214"/>
        <v>8.3000000000000007</v>
      </c>
      <c r="X193" s="12">
        <f t="shared" si="215"/>
        <v>18.66</v>
      </c>
      <c r="Y193" s="13">
        <f t="shared" si="216"/>
        <v>25.824999999999999</v>
      </c>
      <c r="Z193" s="138">
        <f t="shared" si="217"/>
        <v>7.1302000000000003</v>
      </c>
      <c r="AA193" s="143">
        <f t="shared" si="218"/>
        <v>20.983000000000001</v>
      </c>
      <c r="AB193" s="138">
        <f t="shared" si="219"/>
        <v>7.5681000000000003</v>
      </c>
      <c r="AC193" s="139">
        <f t="shared" si="220"/>
        <v>20.093</v>
      </c>
      <c r="AD193" s="87">
        <f t="shared" si="221"/>
        <v>14.0566</v>
      </c>
      <c r="AE193" s="88">
        <f t="shared" si="222"/>
        <v>13.830550000000001</v>
      </c>
      <c r="AF193" s="134">
        <f t="shared" si="223"/>
        <v>13.943574999999999</v>
      </c>
    </row>
    <row r="194" spans="1:40" x14ac:dyDescent="0.25">
      <c r="A194" s="164" t="s">
        <v>75</v>
      </c>
      <c r="B194" s="11">
        <f t="shared" si="198"/>
        <v>1.2025000000000015</v>
      </c>
      <c r="C194" s="12">
        <f t="shared" ref="C194:D194" si="229">C180*C$164</f>
        <v>4.2299999999999995</v>
      </c>
      <c r="D194" s="12">
        <f t="shared" si="229"/>
        <v>8.7270000000000003</v>
      </c>
      <c r="E194" s="13">
        <f t="shared" si="200"/>
        <v>13.640499999999999</v>
      </c>
      <c r="F194" s="11">
        <f t="shared" si="201"/>
        <v>2.3312499999999998</v>
      </c>
      <c r="G194" s="12">
        <f t="shared" ref="G194:H194" si="230">G180*G$164</f>
        <v>4.2299999999999995</v>
      </c>
      <c r="H194" s="12">
        <f t="shared" si="230"/>
        <v>8.7270000000000003</v>
      </c>
      <c r="I194" s="13">
        <f t="shared" si="203"/>
        <v>11.74325</v>
      </c>
      <c r="J194" s="11">
        <f t="shared" si="204"/>
        <v>1.1419999999999995</v>
      </c>
      <c r="K194" s="12">
        <f t="shared" ref="K194:L194" si="231">K180*C$165</f>
        <v>4.7360000000000007</v>
      </c>
      <c r="L194" s="12">
        <f t="shared" si="231"/>
        <v>9.9479999999999986</v>
      </c>
      <c r="M194" s="13">
        <f t="shared" si="206"/>
        <v>15.061999999999999</v>
      </c>
      <c r="N194" s="11">
        <f t="shared" si="207"/>
        <v>2.4479999999999986</v>
      </c>
      <c r="O194" s="12">
        <f t="shared" ref="O194:P194" si="232">O180*G$165</f>
        <v>4.7360000000000007</v>
      </c>
      <c r="P194" s="12">
        <f t="shared" si="232"/>
        <v>9.9479999999999986</v>
      </c>
      <c r="Q194" s="13">
        <f t="shared" si="209"/>
        <v>13.086999999999998</v>
      </c>
      <c r="R194" s="11">
        <f t="shared" si="228"/>
        <v>2.3445000000000009</v>
      </c>
      <c r="S194" s="12">
        <f t="shared" si="210"/>
        <v>8.9660000000000011</v>
      </c>
      <c r="T194" s="12">
        <f t="shared" si="211"/>
        <v>18.674999999999997</v>
      </c>
      <c r="U194" s="13">
        <f t="shared" si="212"/>
        <v>28.702500000000001</v>
      </c>
      <c r="V194" s="11">
        <f t="shared" si="213"/>
        <v>4.7792499999999984</v>
      </c>
      <c r="W194" s="12">
        <f t="shared" si="214"/>
        <v>8.9660000000000011</v>
      </c>
      <c r="X194" s="12">
        <f t="shared" si="215"/>
        <v>18.674999999999997</v>
      </c>
      <c r="Y194" s="13">
        <f t="shared" si="216"/>
        <v>24.830249999999999</v>
      </c>
      <c r="Z194" s="138">
        <f t="shared" si="217"/>
        <v>7.6417000000000019</v>
      </c>
      <c r="AA194" s="143">
        <f t="shared" si="218"/>
        <v>20.680499999999995</v>
      </c>
      <c r="AB194" s="138">
        <f t="shared" si="219"/>
        <v>8.1286500000000004</v>
      </c>
      <c r="AC194" s="139">
        <f t="shared" si="220"/>
        <v>19.906049999999997</v>
      </c>
      <c r="AD194" s="87">
        <f t="shared" si="221"/>
        <v>14.161099999999998</v>
      </c>
      <c r="AE194" s="88">
        <f t="shared" si="222"/>
        <v>14.017349999999999</v>
      </c>
      <c r="AF194" s="134">
        <f t="shared" si="223"/>
        <v>14.089224999999999</v>
      </c>
    </row>
    <row r="195" spans="1:40" x14ac:dyDescent="0.25">
      <c r="A195" s="164" t="s">
        <v>77</v>
      </c>
      <c r="B195" s="11">
        <f t="shared" si="198"/>
        <v>0.94749999999999934</v>
      </c>
      <c r="C195" s="12">
        <f t="shared" ref="C195:D195" si="233">C181*C$164</f>
        <v>3.3300000000000005</v>
      </c>
      <c r="D195" s="12">
        <f t="shared" si="233"/>
        <v>8.036999999999999</v>
      </c>
      <c r="E195" s="13">
        <f t="shared" si="200"/>
        <v>13.525500000000001</v>
      </c>
      <c r="F195" s="11">
        <f t="shared" si="201"/>
        <v>1.8497499999999998</v>
      </c>
      <c r="G195" s="12">
        <f t="shared" ref="G195:H195" si="234">G181*G$164</f>
        <v>3.3300000000000005</v>
      </c>
      <c r="H195" s="12">
        <f t="shared" si="234"/>
        <v>8.036999999999999</v>
      </c>
      <c r="I195" s="13">
        <f t="shared" si="203"/>
        <v>11.44575</v>
      </c>
      <c r="J195" s="11">
        <f t="shared" si="204"/>
        <v>1.5874999999999995</v>
      </c>
      <c r="K195" s="12">
        <f t="shared" ref="K195:L195" si="235">K181*C$165</f>
        <v>5.330000000000001</v>
      </c>
      <c r="L195" s="12">
        <f t="shared" si="235"/>
        <v>11.036999999999999</v>
      </c>
      <c r="M195" s="13">
        <f t="shared" si="206"/>
        <v>17.025500000000001</v>
      </c>
      <c r="N195" s="11">
        <f t="shared" si="207"/>
        <v>2.9797499999999983</v>
      </c>
      <c r="O195" s="12">
        <f t="shared" ref="O195:P195" si="236">O181*G$165</f>
        <v>5.330000000000001</v>
      </c>
      <c r="P195" s="12">
        <f t="shared" si="236"/>
        <v>11.036999999999999</v>
      </c>
      <c r="Q195" s="13">
        <f t="shared" si="209"/>
        <v>14.69575</v>
      </c>
      <c r="R195" s="11">
        <f t="shared" si="228"/>
        <v>2.5349999999999988</v>
      </c>
      <c r="S195" s="12">
        <f t="shared" si="210"/>
        <v>8.6600000000000019</v>
      </c>
      <c r="T195" s="12">
        <f t="shared" si="211"/>
        <v>19.073999999999998</v>
      </c>
      <c r="U195" s="13">
        <f t="shared" si="212"/>
        <v>30.551000000000002</v>
      </c>
      <c r="V195" s="11">
        <f t="shared" si="213"/>
        <v>4.8294999999999977</v>
      </c>
      <c r="W195" s="12">
        <f t="shared" si="214"/>
        <v>8.6600000000000019</v>
      </c>
      <c r="X195" s="12">
        <f t="shared" si="215"/>
        <v>19.073999999999998</v>
      </c>
      <c r="Y195" s="13">
        <f t="shared" si="216"/>
        <v>26.141500000000001</v>
      </c>
      <c r="Z195" s="138">
        <f t="shared" si="217"/>
        <v>7.4350000000000014</v>
      </c>
      <c r="AA195" s="143">
        <f t="shared" si="218"/>
        <v>21.369399999999999</v>
      </c>
      <c r="AB195" s="138">
        <f t="shared" si="219"/>
        <v>7.8939000000000012</v>
      </c>
      <c r="AC195" s="139">
        <f t="shared" si="220"/>
        <v>20.487499999999997</v>
      </c>
      <c r="AD195" s="87">
        <f t="shared" si="221"/>
        <v>14.402200000000001</v>
      </c>
      <c r="AE195" s="88">
        <f t="shared" si="222"/>
        <v>14.1907</v>
      </c>
      <c r="AF195" s="134">
        <f t="shared" si="223"/>
        <v>14.29645</v>
      </c>
    </row>
    <row r="196" spans="1:40" x14ac:dyDescent="0.25">
      <c r="A196" s="164" t="s">
        <v>78</v>
      </c>
      <c r="B196" s="11">
        <f t="shared" si="198"/>
        <v>0.75700000000000056</v>
      </c>
      <c r="C196" s="12">
        <f t="shared" ref="C196:D196" si="237">C182*C$164</f>
        <v>3.6360000000000001</v>
      </c>
      <c r="D196" s="12">
        <f t="shared" si="237"/>
        <v>7.6379999999999999</v>
      </c>
      <c r="E196" s="13">
        <f t="shared" si="200"/>
        <v>11.676999999999998</v>
      </c>
      <c r="F196" s="11">
        <f t="shared" si="201"/>
        <v>1.7994999999999992</v>
      </c>
      <c r="G196" s="12">
        <f t="shared" ref="G196:H196" si="238">G182*G$164</f>
        <v>3.6360000000000001</v>
      </c>
      <c r="H196" s="12">
        <f t="shared" si="238"/>
        <v>7.6379999999999999</v>
      </c>
      <c r="I196" s="13">
        <f t="shared" si="203"/>
        <v>10.134500000000001</v>
      </c>
      <c r="J196" s="11">
        <f t="shared" si="204"/>
        <v>1.1419999999999995</v>
      </c>
      <c r="K196" s="12">
        <f t="shared" ref="K196:L196" si="239">K182*C$165</f>
        <v>4.7360000000000007</v>
      </c>
      <c r="L196" s="12">
        <f t="shared" si="239"/>
        <v>9.9479999999999986</v>
      </c>
      <c r="M196" s="13">
        <f t="shared" si="206"/>
        <v>15.061999999999999</v>
      </c>
      <c r="N196" s="11">
        <f t="shared" si="207"/>
        <v>2.4479999999999986</v>
      </c>
      <c r="O196" s="12">
        <f t="shared" ref="O196:P196" si="240">O182*G$165</f>
        <v>4.7360000000000007</v>
      </c>
      <c r="P196" s="12">
        <f t="shared" si="240"/>
        <v>9.9479999999999986</v>
      </c>
      <c r="Q196" s="13">
        <f t="shared" si="209"/>
        <v>13.086999999999998</v>
      </c>
      <c r="R196" s="11">
        <f t="shared" si="228"/>
        <v>1.899</v>
      </c>
      <c r="S196" s="12">
        <f t="shared" si="210"/>
        <v>8.3719999999999999</v>
      </c>
      <c r="T196" s="12">
        <f t="shared" si="211"/>
        <v>17.585999999999999</v>
      </c>
      <c r="U196" s="13">
        <f t="shared" si="212"/>
        <v>26.738999999999997</v>
      </c>
      <c r="V196" s="11">
        <f t="shared" si="213"/>
        <v>4.2474999999999978</v>
      </c>
      <c r="W196" s="12">
        <f t="shared" si="214"/>
        <v>8.3719999999999999</v>
      </c>
      <c r="X196" s="12">
        <f t="shared" si="215"/>
        <v>17.585999999999999</v>
      </c>
      <c r="Y196" s="13">
        <f t="shared" si="216"/>
        <v>23.221499999999999</v>
      </c>
      <c r="Z196" s="138">
        <f t="shared" si="217"/>
        <v>7.0774000000000008</v>
      </c>
      <c r="AA196" s="143">
        <f t="shared" si="218"/>
        <v>19.416599999999999</v>
      </c>
      <c r="AB196" s="138">
        <f t="shared" si="219"/>
        <v>7.5470999999999995</v>
      </c>
      <c r="AC196" s="139">
        <f t="shared" si="220"/>
        <v>18.713099999999997</v>
      </c>
      <c r="AD196" s="87">
        <f t="shared" si="221"/>
        <v>13.247</v>
      </c>
      <c r="AE196" s="88">
        <f t="shared" si="222"/>
        <v>13.130099999999999</v>
      </c>
      <c r="AF196" s="134">
        <f t="shared" si="223"/>
        <v>13.188549999999999</v>
      </c>
    </row>
    <row r="197" spans="1:40" x14ac:dyDescent="0.25">
      <c r="A197" s="164" t="s">
        <v>79</v>
      </c>
      <c r="B197" s="11">
        <f t="shared" si="198"/>
        <v>0.75700000000000056</v>
      </c>
      <c r="C197" s="12">
        <f t="shared" ref="C197:D197" si="241">C183*C$164</f>
        <v>3.6360000000000001</v>
      </c>
      <c r="D197" s="12">
        <f t="shared" si="241"/>
        <v>7.6379999999999999</v>
      </c>
      <c r="E197" s="13">
        <f t="shared" si="200"/>
        <v>11.676999999999998</v>
      </c>
      <c r="F197" s="11">
        <f t="shared" si="201"/>
        <v>1.7994999999999992</v>
      </c>
      <c r="G197" s="12">
        <f t="shared" ref="G197:H197" si="242">G183*G$164</f>
        <v>3.6360000000000001</v>
      </c>
      <c r="H197" s="12">
        <f t="shared" si="242"/>
        <v>7.6379999999999999</v>
      </c>
      <c r="I197" s="13">
        <f t="shared" si="203"/>
        <v>10.134500000000001</v>
      </c>
      <c r="J197" s="11">
        <f t="shared" si="204"/>
        <v>1.1419999999999995</v>
      </c>
      <c r="K197" s="12">
        <f t="shared" ref="K197:L197" si="243">K183*C$165</f>
        <v>4.7360000000000007</v>
      </c>
      <c r="L197" s="12">
        <f t="shared" si="243"/>
        <v>9.9479999999999986</v>
      </c>
      <c r="M197" s="13">
        <f t="shared" si="206"/>
        <v>15.061999999999999</v>
      </c>
      <c r="N197" s="11">
        <f t="shared" si="207"/>
        <v>2.4479999999999986</v>
      </c>
      <c r="O197" s="12">
        <f t="shared" ref="O197:P197" si="244">O183*G$165</f>
        <v>4.7360000000000007</v>
      </c>
      <c r="P197" s="12">
        <f t="shared" si="244"/>
        <v>9.9479999999999986</v>
      </c>
      <c r="Q197" s="13">
        <f t="shared" si="209"/>
        <v>13.086999999999998</v>
      </c>
      <c r="R197" s="11">
        <f t="shared" si="228"/>
        <v>1.899</v>
      </c>
      <c r="S197" s="12">
        <f t="shared" si="210"/>
        <v>8.3719999999999999</v>
      </c>
      <c r="T197" s="12">
        <f t="shared" si="211"/>
        <v>17.585999999999999</v>
      </c>
      <c r="U197" s="13">
        <f t="shared" si="212"/>
        <v>26.738999999999997</v>
      </c>
      <c r="V197" s="11">
        <f t="shared" si="213"/>
        <v>4.2474999999999978</v>
      </c>
      <c r="W197" s="12">
        <f t="shared" si="214"/>
        <v>8.3719999999999999</v>
      </c>
      <c r="X197" s="12">
        <f t="shared" si="215"/>
        <v>17.585999999999999</v>
      </c>
      <c r="Y197" s="13">
        <f t="shared" si="216"/>
        <v>23.221499999999999</v>
      </c>
      <c r="Z197" s="138">
        <f t="shared" si="217"/>
        <v>7.0774000000000008</v>
      </c>
      <c r="AA197" s="143">
        <f t="shared" si="218"/>
        <v>19.416599999999999</v>
      </c>
      <c r="AB197" s="138">
        <f t="shared" si="219"/>
        <v>7.5470999999999995</v>
      </c>
      <c r="AC197" s="139">
        <f t="shared" si="220"/>
        <v>18.713099999999997</v>
      </c>
      <c r="AD197" s="87">
        <f t="shared" si="221"/>
        <v>13.247</v>
      </c>
      <c r="AE197" s="88">
        <f t="shared" si="222"/>
        <v>13.130099999999999</v>
      </c>
      <c r="AF197" s="134">
        <f t="shared" si="223"/>
        <v>13.188549999999999</v>
      </c>
    </row>
    <row r="198" spans="1:40" x14ac:dyDescent="0.25">
      <c r="A198" s="164" t="s">
        <v>80</v>
      </c>
      <c r="B198" s="11">
        <f t="shared" si="198"/>
        <v>1.069</v>
      </c>
      <c r="C198" s="12">
        <f t="shared" ref="C198:D198" si="245">C184*C$164</f>
        <v>4.1400000000000006</v>
      </c>
      <c r="D198" s="12">
        <f t="shared" si="245"/>
        <v>8.7959999999999994</v>
      </c>
      <c r="E198" s="13">
        <f t="shared" si="200"/>
        <v>13.859000000000002</v>
      </c>
      <c r="F198" s="11">
        <f t="shared" si="201"/>
        <v>2.2164999999999999</v>
      </c>
      <c r="G198" s="12">
        <f t="shared" ref="G198:H198" si="246">G184*G$164</f>
        <v>4.1400000000000006</v>
      </c>
      <c r="H198" s="12">
        <f t="shared" si="246"/>
        <v>8.7959999999999994</v>
      </c>
      <c r="I198" s="13">
        <f t="shared" si="203"/>
        <v>11.911000000000001</v>
      </c>
      <c r="J198" s="11">
        <f t="shared" si="204"/>
        <v>0.56699999999999928</v>
      </c>
      <c r="K198" s="12">
        <f t="shared" ref="K198:L198" si="247">K184*C$165</f>
        <v>3.9560000000000004</v>
      </c>
      <c r="L198" s="12">
        <f t="shared" si="247"/>
        <v>9.1079999999999988</v>
      </c>
      <c r="M198" s="13">
        <f t="shared" si="206"/>
        <v>14.247000000000002</v>
      </c>
      <c r="N198" s="11">
        <f t="shared" si="207"/>
        <v>1.7754999999999992</v>
      </c>
      <c r="O198" s="12">
        <f t="shared" ref="O198:P198" si="248">O184*G$165</f>
        <v>3.9560000000000004</v>
      </c>
      <c r="P198" s="12">
        <f t="shared" si="248"/>
        <v>9.1079999999999988</v>
      </c>
      <c r="Q198" s="13">
        <f t="shared" si="209"/>
        <v>12.297000000000002</v>
      </c>
      <c r="R198" s="11">
        <f t="shared" si="228"/>
        <v>1.6359999999999992</v>
      </c>
      <c r="S198" s="12">
        <f t="shared" si="210"/>
        <v>8.0960000000000001</v>
      </c>
      <c r="T198" s="12">
        <f t="shared" si="211"/>
        <v>17.903999999999996</v>
      </c>
      <c r="U198" s="13">
        <f t="shared" si="212"/>
        <v>28.106000000000002</v>
      </c>
      <c r="V198" s="11">
        <f t="shared" si="213"/>
        <v>3.9919999999999991</v>
      </c>
      <c r="W198" s="12">
        <f t="shared" si="214"/>
        <v>8.0960000000000001</v>
      </c>
      <c r="X198" s="12">
        <f t="shared" si="215"/>
        <v>17.903999999999996</v>
      </c>
      <c r="Y198" s="13">
        <f t="shared" si="216"/>
        <v>24.208000000000006</v>
      </c>
      <c r="Z198" s="138">
        <f t="shared" si="217"/>
        <v>6.8040000000000003</v>
      </c>
      <c r="AA198" s="143">
        <f t="shared" si="218"/>
        <v>19.944399999999998</v>
      </c>
      <c r="AB198" s="138">
        <f t="shared" si="219"/>
        <v>7.2752000000000008</v>
      </c>
      <c r="AC198" s="139">
        <f t="shared" si="220"/>
        <v>19.1648</v>
      </c>
      <c r="AD198" s="87">
        <f t="shared" si="221"/>
        <v>13.374199999999998</v>
      </c>
      <c r="AE198" s="88">
        <f t="shared" si="222"/>
        <v>13.22</v>
      </c>
      <c r="AF198" s="134">
        <f t="shared" si="223"/>
        <v>13.2971</v>
      </c>
    </row>
    <row r="199" spans="1:40" x14ac:dyDescent="0.25">
      <c r="A199" s="164" t="s">
        <v>82</v>
      </c>
      <c r="B199" s="11">
        <f t="shared" si="198"/>
        <v>0.94749999999999934</v>
      </c>
      <c r="C199" s="12">
        <f t="shared" ref="C199:D199" si="249">C185*C$164</f>
        <v>3.3300000000000005</v>
      </c>
      <c r="D199" s="12">
        <f t="shared" si="249"/>
        <v>8.036999999999999</v>
      </c>
      <c r="E199" s="13">
        <f t="shared" si="200"/>
        <v>13.525500000000001</v>
      </c>
      <c r="F199" s="11">
        <f t="shared" si="201"/>
        <v>1.8497499999999998</v>
      </c>
      <c r="G199" s="12">
        <f t="shared" ref="G199:H199" si="250">G185*G$164</f>
        <v>3.3300000000000005</v>
      </c>
      <c r="H199" s="12">
        <f t="shared" si="250"/>
        <v>8.036999999999999</v>
      </c>
      <c r="I199" s="13">
        <f t="shared" si="203"/>
        <v>11.44575</v>
      </c>
      <c r="J199" s="11">
        <f t="shared" si="204"/>
        <v>0.78449999999999953</v>
      </c>
      <c r="K199" s="12">
        <f t="shared" ref="K199:L199" si="251">K185*C$165</f>
        <v>4.4060000000000006</v>
      </c>
      <c r="L199" s="12">
        <f t="shared" si="251"/>
        <v>9.4529999999999994</v>
      </c>
      <c r="M199" s="13">
        <f t="shared" si="206"/>
        <v>14.304500000000001</v>
      </c>
      <c r="N199" s="11">
        <f t="shared" si="207"/>
        <v>2.0792499999999992</v>
      </c>
      <c r="O199" s="12">
        <f t="shared" ref="O199:P199" si="252">O185*G$165</f>
        <v>4.4060000000000006</v>
      </c>
      <c r="P199" s="12">
        <f t="shared" si="252"/>
        <v>9.4529999999999994</v>
      </c>
      <c r="Q199" s="13">
        <f t="shared" si="209"/>
        <v>12.44575</v>
      </c>
      <c r="R199" s="11">
        <f t="shared" si="228"/>
        <v>1.7319999999999989</v>
      </c>
      <c r="S199" s="12">
        <f t="shared" si="210"/>
        <v>7.7360000000000007</v>
      </c>
      <c r="T199" s="12">
        <f t="shared" si="211"/>
        <v>17.489999999999998</v>
      </c>
      <c r="U199" s="13">
        <f t="shared" si="212"/>
        <v>27.830000000000002</v>
      </c>
      <c r="V199" s="11">
        <f t="shared" si="213"/>
        <v>3.9289999999999989</v>
      </c>
      <c r="W199" s="12">
        <f t="shared" si="214"/>
        <v>7.7360000000000007</v>
      </c>
      <c r="X199" s="12">
        <f t="shared" si="215"/>
        <v>17.489999999999998</v>
      </c>
      <c r="Y199" s="13">
        <f t="shared" si="216"/>
        <v>23.891500000000001</v>
      </c>
      <c r="Z199" s="138">
        <f t="shared" si="217"/>
        <v>6.5352000000000006</v>
      </c>
      <c r="AA199" s="143">
        <f t="shared" si="218"/>
        <v>19.558</v>
      </c>
      <c r="AB199" s="138">
        <f t="shared" si="219"/>
        <v>6.9746000000000006</v>
      </c>
      <c r="AC199" s="139">
        <f t="shared" si="220"/>
        <v>18.770299999999999</v>
      </c>
      <c r="AD199" s="87">
        <f t="shared" si="221"/>
        <v>13.0466</v>
      </c>
      <c r="AE199" s="88">
        <f t="shared" si="222"/>
        <v>12.872450000000001</v>
      </c>
      <c r="AF199" s="134">
        <f t="shared" si="223"/>
        <v>12.959524999999999</v>
      </c>
    </row>
    <row r="200" spans="1:40" ht="15.75" thickBot="1" x14ac:dyDescent="0.3">
      <c r="A200" s="165" t="s">
        <v>83</v>
      </c>
      <c r="B200" s="175">
        <f t="shared" si="198"/>
        <v>0.14449999999999941</v>
      </c>
      <c r="C200" s="176">
        <f t="shared" ref="C200:D200" si="253">C186*C$164</f>
        <v>2.4060000000000006</v>
      </c>
      <c r="D200" s="176">
        <f t="shared" si="253"/>
        <v>6.4529999999999994</v>
      </c>
      <c r="E200" s="177">
        <f t="shared" si="200"/>
        <v>10.804499999999997</v>
      </c>
      <c r="F200" s="175">
        <f t="shared" si="201"/>
        <v>0.94924999999999971</v>
      </c>
      <c r="G200" s="176">
        <f t="shared" ref="G200:H200" si="254">G186*G$164</f>
        <v>2.4060000000000006</v>
      </c>
      <c r="H200" s="176">
        <f t="shared" si="254"/>
        <v>6.4529999999999994</v>
      </c>
      <c r="I200" s="177">
        <f t="shared" si="203"/>
        <v>9.1957500000000003</v>
      </c>
      <c r="J200" s="175">
        <f t="shared" si="204"/>
        <v>0.78449999999999953</v>
      </c>
      <c r="K200" s="176">
        <f t="shared" ref="K200:L200" si="255">K186*C$165</f>
        <v>4.4060000000000006</v>
      </c>
      <c r="L200" s="176">
        <f t="shared" si="255"/>
        <v>9.4529999999999994</v>
      </c>
      <c r="M200" s="177">
        <f t="shared" si="206"/>
        <v>14.304500000000001</v>
      </c>
      <c r="N200" s="175">
        <f t="shared" si="207"/>
        <v>2.0792499999999992</v>
      </c>
      <c r="O200" s="176">
        <f t="shared" ref="O200:P200" si="256">O186*G$165</f>
        <v>4.4060000000000006</v>
      </c>
      <c r="P200" s="176">
        <f t="shared" si="256"/>
        <v>9.4529999999999994</v>
      </c>
      <c r="Q200" s="177">
        <f t="shared" si="209"/>
        <v>12.44575</v>
      </c>
      <c r="R200" s="175">
        <f t="shared" si="228"/>
        <v>0.92899999999999894</v>
      </c>
      <c r="S200" s="176">
        <f t="shared" si="210"/>
        <v>6.8120000000000012</v>
      </c>
      <c r="T200" s="176">
        <f t="shared" si="211"/>
        <v>15.905999999999999</v>
      </c>
      <c r="U200" s="177">
        <f t="shared" si="212"/>
        <v>25.108999999999998</v>
      </c>
      <c r="V200" s="175">
        <f t="shared" si="213"/>
        <v>3.0284999999999989</v>
      </c>
      <c r="W200" s="176">
        <f t="shared" si="214"/>
        <v>6.8120000000000012</v>
      </c>
      <c r="X200" s="176">
        <f t="shared" si="215"/>
        <v>15.905999999999999</v>
      </c>
      <c r="Y200" s="177">
        <f t="shared" si="216"/>
        <v>21.641500000000001</v>
      </c>
      <c r="Z200" s="140">
        <f t="shared" si="217"/>
        <v>5.6354000000000006</v>
      </c>
      <c r="AA200" s="144">
        <f t="shared" si="218"/>
        <v>17.746600000000001</v>
      </c>
      <c r="AB200" s="140">
        <f t="shared" si="219"/>
        <v>6.0553000000000008</v>
      </c>
      <c r="AC200" s="141">
        <f t="shared" si="220"/>
        <v>17.053100000000001</v>
      </c>
      <c r="AD200" s="91">
        <f t="shared" si="221"/>
        <v>11.691000000000001</v>
      </c>
      <c r="AE200" s="94">
        <f t="shared" si="222"/>
        <v>11.554200000000002</v>
      </c>
      <c r="AF200" s="135">
        <f t="shared" si="223"/>
        <v>11.622600000000002</v>
      </c>
    </row>
    <row r="202" spans="1:40" ht="15.75" thickBot="1" x14ac:dyDescent="0.3">
      <c r="A202" t="s">
        <v>217</v>
      </c>
      <c r="AH202">
        <v>0.8</v>
      </c>
    </row>
    <row r="203" spans="1:40" ht="15.75" thickBot="1" x14ac:dyDescent="0.3">
      <c r="A203" s="246" t="s">
        <v>86</v>
      </c>
      <c r="B203" s="240" t="s">
        <v>214</v>
      </c>
      <c r="C203" s="241"/>
      <c r="D203" s="241"/>
      <c r="E203" s="241"/>
      <c r="F203" s="241"/>
      <c r="G203" s="241"/>
      <c r="H203" s="241"/>
      <c r="I203" s="242"/>
      <c r="J203" s="240" t="s">
        <v>215</v>
      </c>
      <c r="K203" s="241"/>
      <c r="L203" s="241"/>
      <c r="M203" s="241"/>
      <c r="N203" s="241"/>
      <c r="O203" s="241"/>
      <c r="P203" s="241"/>
      <c r="Q203" s="242"/>
      <c r="R203" s="240" t="s">
        <v>218</v>
      </c>
      <c r="S203" s="241"/>
      <c r="T203" s="241"/>
      <c r="U203" s="241"/>
      <c r="V203" s="241"/>
      <c r="W203" s="241"/>
      <c r="X203" s="241"/>
      <c r="Y203" s="242"/>
      <c r="Z203" s="223" t="s">
        <v>216</v>
      </c>
      <c r="AA203" s="224"/>
      <c r="AB203" s="224"/>
      <c r="AC203" s="224"/>
      <c r="AD203" s="224"/>
      <c r="AE203" s="224"/>
      <c r="AF203" s="224"/>
      <c r="AG203" s="225"/>
      <c r="AH203" s="226" t="s">
        <v>151</v>
      </c>
      <c r="AI203" s="227"/>
      <c r="AJ203" s="227"/>
      <c r="AK203" s="228"/>
      <c r="AL203" s="219" t="s">
        <v>153</v>
      </c>
      <c r="AM203" s="220"/>
      <c r="AN203" s="221" t="s">
        <v>156</v>
      </c>
    </row>
    <row r="204" spans="1:40" ht="31.5" customHeight="1" thickBot="1" x14ac:dyDescent="0.3">
      <c r="A204" s="247"/>
      <c r="B204" s="243" t="s">
        <v>17</v>
      </c>
      <c r="C204" s="244"/>
      <c r="D204" s="244"/>
      <c r="E204" s="245"/>
      <c r="F204" s="240" t="s">
        <v>18</v>
      </c>
      <c r="G204" s="244"/>
      <c r="H204" s="244"/>
      <c r="I204" s="245"/>
      <c r="J204" s="243" t="s">
        <v>17</v>
      </c>
      <c r="K204" s="244"/>
      <c r="L204" s="244"/>
      <c r="M204" s="245"/>
      <c r="N204" s="240" t="s">
        <v>18</v>
      </c>
      <c r="O204" s="244"/>
      <c r="P204" s="244"/>
      <c r="Q204" s="245"/>
      <c r="R204" s="243" t="s">
        <v>17</v>
      </c>
      <c r="S204" s="244"/>
      <c r="T204" s="244"/>
      <c r="U204" s="245"/>
      <c r="V204" s="240" t="s">
        <v>18</v>
      </c>
      <c r="W204" s="244"/>
      <c r="X204" s="244"/>
      <c r="Y204" s="245"/>
      <c r="Z204" s="223" t="s">
        <v>17</v>
      </c>
      <c r="AA204" s="224"/>
      <c r="AB204" s="224"/>
      <c r="AC204" s="225"/>
      <c r="AD204" s="223" t="s">
        <v>18</v>
      </c>
      <c r="AE204" s="224"/>
      <c r="AF204" s="224"/>
      <c r="AG204" s="225"/>
      <c r="AH204" s="229" t="s">
        <v>152</v>
      </c>
      <c r="AI204" s="230"/>
      <c r="AJ204" s="229" t="s">
        <v>26</v>
      </c>
      <c r="AK204" s="231"/>
      <c r="AL204" s="145" t="s">
        <v>154</v>
      </c>
      <c r="AM204" s="145" t="s">
        <v>155</v>
      </c>
      <c r="AN204" s="222"/>
    </row>
    <row r="205" spans="1:40" x14ac:dyDescent="0.25">
      <c r="A205" s="169" t="s">
        <v>84</v>
      </c>
      <c r="B205" s="11">
        <f>B177*C$170+B$170*C177-C$170*C177</f>
        <v>3.2000000000000473E-2</v>
      </c>
      <c r="C205" s="12">
        <f>C177*C$170</f>
        <v>2.52</v>
      </c>
      <c r="D205" s="12">
        <f>D177*D$170</f>
        <v>6.3240000000000007</v>
      </c>
      <c r="E205" s="13">
        <f>D177*E$170+D$170*E177-D$170*D177</f>
        <v>9.843</v>
      </c>
      <c r="F205" s="11">
        <f>F177*G$170+F$170*G177-G$170*G177</f>
        <v>1.0339999999999994</v>
      </c>
      <c r="G205" s="12">
        <f>G177*G$170</f>
        <v>2.52</v>
      </c>
      <c r="H205" s="12">
        <f>H177*H$170</f>
        <v>6.3240000000000007</v>
      </c>
      <c r="I205" s="166">
        <f>H177*I$170+H$170*I177-H$170*H177</f>
        <v>8.4024999999999999</v>
      </c>
      <c r="J205" s="11">
        <f>J177*C$171+B$171*K177-C$171*K177</f>
        <v>-0.21100000000000008</v>
      </c>
      <c r="K205" s="12">
        <f>K177*C$171</f>
        <v>1.9780000000000002</v>
      </c>
      <c r="L205" s="12">
        <f>L177*D$171</f>
        <v>6.0720000000000001</v>
      </c>
      <c r="M205" s="13">
        <f>M177*D$171+L177*E$171-D$171*L177</f>
        <v>10.004000000000001</v>
      </c>
      <c r="N205" s="11">
        <f>N177*G$171+F$171*O177-G$171*O177</f>
        <v>0.64049999999999985</v>
      </c>
      <c r="O205" s="12">
        <f>O177*G$171</f>
        <v>1.9780000000000002</v>
      </c>
      <c r="P205" s="12">
        <f>P177*H$171</f>
        <v>6.0720000000000001</v>
      </c>
      <c r="Q205" s="166">
        <f>Q177*H$171+P177*I$171-H$171*P177</f>
        <v>8.4510000000000005</v>
      </c>
      <c r="R205" s="11">
        <f>R177*C$172+S177*B$172-C$172*S177</f>
        <v>0.48900000000000032</v>
      </c>
      <c r="S205" s="12">
        <f>S177*C$172</f>
        <v>2.9744999999999995</v>
      </c>
      <c r="T205" s="12">
        <f>T177*D$172</f>
        <v>6.7774999999999999</v>
      </c>
      <c r="U205" s="13">
        <f>U177*D$172+E$172*T177-T177*D$172</f>
        <v>10.587999999999997</v>
      </c>
      <c r="V205" s="11">
        <f>V177*G$172+W177*F$172-G$172*W177</f>
        <v>1.4329499999999995</v>
      </c>
      <c r="W205" s="12">
        <f>W177*G$172</f>
        <v>2.9744999999999995</v>
      </c>
      <c r="X205" s="12">
        <f>X177*H$172</f>
        <v>6.7774999999999999</v>
      </c>
      <c r="Y205" s="166">
        <f>Y177*H$172+I$172*X177-X177*H$172</f>
        <v>9.0927500000000023</v>
      </c>
      <c r="Z205" s="11">
        <f>B205+J205+R205</f>
        <v>0.31000000000000072</v>
      </c>
      <c r="AA205" s="12">
        <f t="shared" ref="AA205:AG205" si="257">C205+K205+S205</f>
        <v>7.4725000000000001</v>
      </c>
      <c r="AB205" s="12">
        <f t="shared" si="257"/>
        <v>19.173500000000001</v>
      </c>
      <c r="AC205" s="13">
        <f t="shared" si="257"/>
        <v>30.434999999999999</v>
      </c>
      <c r="AD205" s="11">
        <f t="shared" si="257"/>
        <v>3.1074499999999987</v>
      </c>
      <c r="AE205" s="12">
        <f t="shared" si="257"/>
        <v>7.4725000000000001</v>
      </c>
      <c r="AF205" s="12">
        <f t="shared" si="257"/>
        <v>19.173500000000001</v>
      </c>
      <c r="AG205" s="166">
        <f t="shared" si="257"/>
        <v>25.946250000000003</v>
      </c>
      <c r="AH205" s="81">
        <f>AH$202*AA205+(1-AH$202)*Z205</f>
        <v>6.0400000000000009</v>
      </c>
      <c r="AI205" s="84">
        <f>AH$202*AB205+(1-AH$202)*AC205</f>
        <v>21.425799999999999</v>
      </c>
      <c r="AJ205" s="81">
        <f>AH$202*AE205+(1-AH$202)*AD205</f>
        <v>6.5994900000000003</v>
      </c>
      <c r="AK205" s="84">
        <f>AH$202*AF205+(1-AH$202)*AG205</f>
        <v>20.52805</v>
      </c>
      <c r="AL205" s="81">
        <f>(AH205+AI205)/2</f>
        <v>13.732900000000001</v>
      </c>
      <c r="AM205" s="84">
        <f>(AJ205+AK205)/2</f>
        <v>13.56377</v>
      </c>
      <c r="AN205" s="133">
        <f>(AL205+AM205)/2</f>
        <v>13.648334999999999</v>
      </c>
    </row>
    <row r="206" spans="1:40" x14ac:dyDescent="0.25">
      <c r="A206" s="164" t="s">
        <v>73</v>
      </c>
      <c r="B206" s="9">
        <f t="shared" ref="B206:B214" si="258">B178*C$170+B$170*C178-C$170*C178</f>
        <v>-0.30249999999999999</v>
      </c>
      <c r="C206" s="2">
        <f t="shared" ref="C206:D206" si="259">C178*C$170</f>
        <v>0.89100000000000001</v>
      </c>
      <c r="D206" s="2">
        <f t="shared" si="259"/>
        <v>3.63</v>
      </c>
      <c r="E206" s="10">
        <f t="shared" ref="E206:E214" si="260">D178*E$170+D$170*E178-D$170*D178</f>
        <v>6.517500000000001</v>
      </c>
      <c r="F206" s="9">
        <f t="shared" ref="F206:F214" si="261">F178*G$170+F$170*G178-G$170*G178</f>
        <v>0.14105000000000012</v>
      </c>
      <c r="G206" s="2">
        <f t="shared" ref="G206:H206" si="262">G178*G$170</f>
        <v>0.89100000000000001</v>
      </c>
      <c r="H206" s="2">
        <f t="shared" si="262"/>
        <v>3.63</v>
      </c>
      <c r="I206" s="159">
        <f t="shared" ref="I206:I214" si="263">H178*I$170+H$170*I178-H$170*H178</f>
        <v>5.4257500000000016</v>
      </c>
      <c r="J206" s="9">
        <f t="shared" ref="J206:J214" si="264">J178*C$171+B$171*K178-C$171*K178</f>
        <v>-0.45650000000000013</v>
      </c>
      <c r="K206" s="2">
        <f t="shared" ref="K206:L206" si="265">K178*C$171</f>
        <v>1.1110000000000002</v>
      </c>
      <c r="L206" s="2">
        <f t="shared" si="265"/>
        <v>4.5100000000000007</v>
      </c>
      <c r="M206" s="10">
        <f t="shared" ref="M206:M214" si="266">M178*D$171+L178*E$171-D$171*L178</f>
        <v>7.8374999999999995</v>
      </c>
      <c r="N206" s="9">
        <f t="shared" ref="N206:N214" si="267">N178*G$171+F$171*O178-G$171*O178</f>
        <v>0.11525000000000007</v>
      </c>
      <c r="O206" s="2">
        <f t="shared" ref="O206:P206" si="268">O178*G$171</f>
        <v>1.1110000000000002</v>
      </c>
      <c r="P206" s="2">
        <f t="shared" si="268"/>
        <v>4.5100000000000007</v>
      </c>
      <c r="Q206" s="159">
        <f t="shared" ref="Q206:Q214" si="269">Q178*H$171+P178*I$171-H$171*P178</f>
        <v>6.575750000000002</v>
      </c>
      <c r="R206" s="9">
        <f t="shared" ref="R206:R214" si="270">R178*C$172+S178*B$172-C$172*S178</f>
        <v>-0.37949999999999995</v>
      </c>
      <c r="S206" s="2">
        <f t="shared" ref="S206:T206" si="271">S178*C$172</f>
        <v>1.0890000000000002</v>
      </c>
      <c r="T206" s="2">
        <f t="shared" si="271"/>
        <v>4.125</v>
      </c>
      <c r="U206" s="10">
        <f t="shared" ref="U206:U214" si="272">U178*D$172+E$172*T178-T178*D$172</f>
        <v>7.2750000000000004</v>
      </c>
      <c r="V206" s="9">
        <f t="shared" ref="V206:V214" si="273">V178*G$172+W178*F$172-G$172*W178</f>
        <v>0.12599999999999989</v>
      </c>
      <c r="W206" s="2">
        <f t="shared" ref="W206:X206" si="274">W178*G$172</f>
        <v>1.0890000000000002</v>
      </c>
      <c r="X206" s="2">
        <f t="shared" si="274"/>
        <v>4.125</v>
      </c>
      <c r="Y206" s="159">
        <f t="shared" ref="Y206:Y214" si="275">Y178*H$172+I$172*X178-X178*H$172</f>
        <v>6.1275000000000013</v>
      </c>
      <c r="Z206" s="9">
        <f t="shared" ref="Z206:Z214" si="276">B206+J206+R206</f>
        <v>-1.1385000000000001</v>
      </c>
      <c r="AA206" s="2">
        <f t="shared" ref="AA206:AA214" si="277">C206+K206+S206</f>
        <v>3.0910000000000002</v>
      </c>
      <c r="AB206" s="2">
        <f t="shared" ref="AB206:AB214" si="278">D206+L206+T206</f>
        <v>12.265000000000001</v>
      </c>
      <c r="AC206" s="10">
        <f t="shared" ref="AC206:AC214" si="279">E206+M206+U206</f>
        <v>21.630000000000003</v>
      </c>
      <c r="AD206" s="9">
        <f t="shared" ref="AD206:AD214" si="280">F206+N206+V206</f>
        <v>0.38230000000000008</v>
      </c>
      <c r="AE206" s="2">
        <f t="shared" ref="AE206:AE214" si="281">G206+O206+W206</f>
        <v>3.0910000000000002</v>
      </c>
      <c r="AF206" s="2">
        <f t="shared" ref="AF206:AF214" si="282">H206+P206+X206</f>
        <v>12.265000000000001</v>
      </c>
      <c r="AG206" s="159">
        <f t="shared" ref="AG206:AG214" si="283">I206+Q206+Y206</f>
        <v>18.129000000000005</v>
      </c>
      <c r="AH206" s="87">
        <f t="shared" ref="AH206:AH214" si="284">AH$202*AA206+(1-AH$202)*Z206</f>
        <v>2.2451000000000003</v>
      </c>
      <c r="AI206" s="88">
        <f t="shared" ref="AI206:AI214" si="285">AH$202*AB206+(1-AH$202)*AC206</f>
        <v>14.138000000000002</v>
      </c>
      <c r="AJ206" s="87">
        <f t="shared" ref="AJ206:AJ214" si="286">AH$202*AE206+(1-AH$202)*AD206</f>
        <v>2.5492600000000003</v>
      </c>
      <c r="AK206" s="88">
        <f t="shared" ref="AK206:AK214" si="287">AH$202*AF206+(1-AH$202)*AG206</f>
        <v>13.437800000000001</v>
      </c>
      <c r="AL206" s="87">
        <f t="shared" ref="AL206:AL214" si="288">(AH206+AI206)/2</f>
        <v>8.1915500000000012</v>
      </c>
      <c r="AM206" s="88">
        <f t="shared" ref="AM206:AM214" si="289">(AJ206+AK206)/2</f>
        <v>7.9935300000000007</v>
      </c>
      <c r="AN206" s="134">
        <f t="shared" ref="AN206:AN214" si="290">(AL206+AM206)/2</f>
        <v>8.0925400000000014</v>
      </c>
    </row>
    <row r="207" spans="1:40" x14ac:dyDescent="0.25">
      <c r="A207" s="164" t="s">
        <v>74</v>
      </c>
      <c r="B207" s="9">
        <f t="shared" si="258"/>
        <v>6.0499999999999998E-2</v>
      </c>
      <c r="C207" s="2">
        <f t="shared" ref="C207:D207" si="291">C179*C$170</f>
        <v>1.4850000000000003</v>
      </c>
      <c r="D207" s="2">
        <f t="shared" si="291"/>
        <v>5.0820000000000007</v>
      </c>
      <c r="E207" s="10">
        <f t="shared" si="260"/>
        <v>9.2565000000000008</v>
      </c>
      <c r="F207" s="9">
        <f t="shared" si="261"/>
        <v>0.64474999999999971</v>
      </c>
      <c r="G207" s="2">
        <f t="shared" ref="G207:H207" si="292">G179*G$170</f>
        <v>1.4850000000000003</v>
      </c>
      <c r="H207" s="2">
        <f t="shared" si="292"/>
        <v>5.0820000000000007</v>
      </c>
      <c r="I207" s="159">
        <f t="shared" si="263"/>
        <v>7.6312499999999996</v>
      </c>
      <c r="J207" s="9">
        <f t="shared" si="264"/>
        <v>0.12749999999999995</v>
      </c>
      <c r="K207" s="2">
        <f t="shared" ref="K207:L207" si="293">K179*C$171</f>
        <v>2.6650000000000005</v>
      </c>
      <c r="L207" s="2">
        <f t="shared" si="293"/>
        <v>7.3580000000000005</v>
      </c>
      <c r="M207" s="10">
        <f t="shared" si="266"/>
        <v>11.9635</v>
      </c>
      <c r="N207" s="9">
        <f t="shared" si="267"/>
        <v>1.1567499999999993</v>
      </c>
      <c r="O207" s="2">
        <f t="shared" ref="O207:P207" si="294">O179*G$171</f>
        <v>2.6650000000000005</v>
      </c>
      <c r="P207" s="2">
        <f t="shared" si="294"/>
        <v>7.3580000000000005</v>
      </c>
      <c r="Q207" s="159">
        <f t="shared" si="269"/>
        <v>10.103750000000002</v>
      </c>
      <c r="R207" s="9">
        <f t="shared" si="270"/>
        <v>0.50249999999999995</v>
      </c>
      <c r="S207" s="2">
        <f t="shared" ref="S207:T207" si="295">S179*C$172</f>
        <v>2.8349999999999995</v>
      </c>
      <c r="T207" s="2">
        <f t="shared" si="295"/>
        <v>6.9850000000000003</v>
      </c>
      <c r="U207" s="10">
        <f t="shared" si="272"/>
        <v>11.552</v>
      </c>
      <c r="V207" s="9">
        <f t="shared" si="273"/>
        <v>1.4024999999999994</v>
      </c>
      <c r="W207" s="2">
        <f t="shared" ref="W207:X207" si="296">W179*G$172</f>
        <v>2.8349999999999995</v>
      </c>
      <c r="X207" s="2">
        <f t="shared" si="296"/>
        <v>6.9850000000000003</v>
      </c>
      <c r="Y207" s="159">
        <f t="shared" si="275"/>
        <v>9.7785000000000011</v>
      </c>
      <c r="Z207" s="9">
        <f t="shared" si="276"/>
        <v>0.69049999999999989</v>
      </c>
      <c r="AA207" s="2">
        <f t="shared" si="277"/>
        <v>6.9849999999999994</v>
      </c>
      <c r="AB207" s="2">
        <f t="shared" si="278"/>
        <v>19.425000000000001</v>
      </c>
      <c r="AC207" s="10">
        <f t="shared" si="279"/>
        <v>32.771999999999998</v>
      </c>
      <c r="AD207" s="9">
        <f t="shared" si="280"/>
        <v>3.2039999999999984</v>
      </c>
      <c r="AE207" s="2">
        <f t="shared" si="281"/>
        <v>6.9849999999999994</v>
      </c>
      <c r="AF207" s="2">
        <f t="shared" si="282"/>
        <v>19.425000000000001</v>
      </c>
      <c r="AG207" s="159">
        <f t="shared" si="283"/>
        <v>27.513500000000001</v>
      </c>
      <c r="AH207" s="87">
        <f t="shared" si="284"/>
        <v>5.7260999999999997</v>
      </c>
      <c r="AI207" s="88">
        <f t="shared" si="285"/>
        <v>22.0944</v>
      </c>
      <c r="AJ207" s="87">
        <f t="shared" si="286"/>
        <v>6.2287999999999997</v>
      </c>
      <c r="AK207" s="88">
        <f t="shared" si="287"/>
        <v>21.0427</v>
      </c>
      <c r="AL207" s="87">
        <f t="shared" si="288"/>
        <v>13.91025</v>
      </c>
      <c r="AM207" s="88">
        <f t="shared" si="289"/>
        <v>13.63575</v>
      </c>
      <c r="AN207" s="134">
        <f t="shared" si="290"/>
        <v>13.773</v>
      </c>
    </row>
    <row r="208" spans="1:40" x14ac:dyDescent="0.25">
      <c r="A208" s="164" t="s">
        <v>75</v>
      </c>
      <c r="B208" s="9">
        <f t="shared" si="258"/>
        <v>7.2500000000000231E-2</v>
      </c>
      <c r="C208" s="2">
        <f t="shared" ref="C208:D208" si="297">C180*C$170</f>
        <v>2.1149999999999998</v>
      </c>
      <c r="D208" s="2">
        <f t="shared" si="297"/>
        <v>5.8180000000000014</v>
      </c>
      <c r="E208" s="10">
        <f t="shared" si="260"/>
        <v>9.5785</v>
      </c>
      <c r="F208" s="9">
        <f t="shared" si="261"/>
        <v>0.90125000000000055</v>
      </c>
      <c r="G208" s="2">
        <f t="shared" ref="G208:H208" si="298">G180*G$170</f>
        <v>2.1149999999999998</v>
      </c>
      <c r="H208" s="2">
        <f t="shared" si="298"/>
        <v>5.8180000000000014</v>
      </c>
      <c r="I208" s="159">
        <f t="shared" si="263"/>
        <v>8.0712499999999991</v>
      </c>
      <c r="J208" s="9">
        <f t="shared" si="264"/>
        <v>-2.0999999999999908E-2</v>
      </c>
      <c r="K208" s="2">
        <f t="shared" ref="K208:L208" si="299">K180*C$171</f>
        <v>2.3680000000000003</v>
      </c>
      <c r="L208" s="2">
        <f t="shared" si="299"/>
        <v>6.6319999999999997</v>
      </c>
      <c r="M208" s="10">
        <f t="shared" si="266"/>
        <v>10.593999999999999</v>
      </c>
      <c r="N208" s="9">
        <f t="shared" si="267"/>
        <v>0.92799999999999949</v>
      </c>
      <c r="O208" s="2">
        <f t="shared" ref="O208:P208" si="300">O180*G$171</f>
        <v>2.3680000000000003</v>
      </c>
      <c r="P208" s="2">
        <f t="shared" si="300"/>
        <v>6.6319999999999997</v>
      </c>
      <c r="Q208" s="159">
        <f t="shared" si="269"/>
        <v>9.0009999999999994</v>
      </c>
      <c r="R208" s="9">
        <f t="shared" si="270"/>
        <v>-4.1999999999999593E-2</v>
      </c>
      <c r="S208" s="2">
        <f t="shared" ref="S208:T208" si="301">S180*C$172</f>
        <v>1.8044999999999998</v>
      </c>
      <c r="T208" s="2">
        <f t="shared" si="301"/>
        <v>5.3775000000000004</v>
      </c>
      <c r="U208" s="10">
        <f t="shared" si="272"/>
        <v>9.1829999999999998</v>
      </c>
      <c r="V208" s="9">
        <f t="shared" si="273"/>
        <v>0.63675000000000037</v>
      </c>
      <c r="W208" s="2">
        <f t="shared" ref="W208:X208" si="302">W180*G$172</f>
        <v>1.8044999999999998</v>
      </c>
      <c r="X208" s="2">
        <f t="shared" si="302"/>
        <v>5.3775000000000004</v>
      </c>
      <c r="Y208" s="159">
        <f t="shared" si="275"/>
        <v>7.7527500000000034</v>
      </c>
      <c r="Z208" s="9">
        <f t="shared" si="276"/>
        <v>9.5000000000007301E-3</v>
      </c>
      <c r="AA208" s="2">
        <f t="shared" si="277"/>
        <v>6.2875000000000005</v>
      </c>
      <c r="AB208" s="2">
        <f t="shared" si="278"/>
        <v>17.827500000000001</v>
      </c>
      <c r="AC208" s="10">
        <f t="shared" si="279"/>
        <v>29.355499999999999</v>
      </c>
      <c r="AD208" s="9">
        <f t="shared" si="280"/>
        <v>2.4660000000000002</v>
      </c>
      <c r="AE208" s="2">
        <f t="shared" si="281"/>
        <v>6.2875000000000005</v>
      </c>
      <c r="AF208" s="2">
        <f t="shared" si="282"/>
        <v>17.827500000000001</v>
      </c>
      <c r="AG208" s="159">
        <f t="shared" si="283"/>
        <v>24.824999999999999</v>
      </c>
      <c r="AH208" s="87">
        <f t="shared" si="284"/>
        <v>5.0319000000000011</v>
      </c>
      <c r="AI208" s="88">
        <f t="shared" si="285"/>
        <v>20.133099999999999</v>
      </c>
      <c r="AJ208" s="87">
        <f t="shared" si="286"/>
        <v>5.523200000000001</v>
      </c>
      <c r="AK208" s="88">
        <f t="shared" si="287"/>
        <v>19.227</v>
      </c>
      <c r="AL208" s="87">
        <f t="shared" si="288"/>
        <v>12.5825</v>
      </c>
      <c r="AM208" s="88">
        <f t="shared" si="289"/>
        <v>12.3751</v>
      </c>
      <c r="AN208" s="134">
        <f t="shared" si="290"/>
        <v>12.4788</v>
      </c>
    </row>
    <row r="209" spans="1:40" x14ac:dyDescent="0.25">
      <c r="A209" s="164" t="s">
        <v>77</v>
      </c>
      <c r="B209" s="9">
        <f t="shared" si="258"/>
        <v>5.7499999999999885E-2</v>
      </c>
      <c r="C209" s="2">
        <f t="shared" ref="C209:D209" si="303">C181*C$170</f>
        <v>1.6650000000000003</v>
      </c>
      <c r="D209" s="2">
        <f t="shared" si="303"/>
        <v>5.3580000000000005</v>
      </c>
      <c r="E209" s="10">
        <f t="shared" si="260"/>
        <v>9.4634999999999998</v>
      </c>
      <c r="F209" s="9">
        <f t="shared" si="261"/>
        <v>0.71675</v>
      </c>
      <c r="G209" s="2">
        <f t="shared" ref="G209:H209" si="304">G181*G$170</f>
        <v>1.6650000000000003</v>
      </c>
      <c r="H209" s="2">
        <f t="shared" si="304"/>
        <v>5.3580000000000005</v>
      </c>
      <c r="I209" s="159">
        <f t="shared" si="263"/>
        <v>7.8537500000000016</v>
      </c>
      <c r="J209" s="9">
        <f t="shared" si="264"/>
        <v>0.12749999999999995</v>
      </c>
      <c r="K209" s="2">
        <f t="shared" ref="K209:L209" si="305">K181*C$171</f>
        <v>2.6650000000000005</v>
      </c>
      <c r="L209" s="2">
        <f t="shared" si="305"/>
        <v>7.3580000000000005</v>
      </c>
      <c r="M209" s="10">
        <f t="shared" si="266"/>
        <v>11.9635</v>
      </c>
      <c r="N209" s="9">
        <f t="shared" si="267"/>
        <v>1.1567499999999993</v>
      </c>
      <c r="O209" s="2">
        <f t="shared" ref="O209:P209" si="306">O181*G$171</f>
        <v>2.6650000000000005</v>
      </c>
      <c r="P209" s="2">
        <f t="shared" si="306"/>
        <v>7.3580000000000005</v>
      </c>
      <c r="Q209" s="159">
        <f t="shared" si="269"/>
        <v>10.103750000000002</v>
      </c>
      <c r="R209" s="9">
        <f t="shared" si="270"/>
        <v>-4.2000000000000259E-2</v>
      </c>
      <c r="S209" s="2">
        <f t="shared" ref="S209:T209" si="307">S181*C$172</f>
        <v>2.1419999999999999</v>
      </c>
      <c r="T209" s="2">
        <f t="shared" si="307"/>
        <v>5.665</v>
      </c>
      <c r="U209" s="10">
        <f t="shared" si="272"/>
        <v>9.2405000000000008</v>
      </c>
      <c r="V209" s="9">
        <f t="shared" si="273"/>
        <v>0.75599999999999978</v>
      </c>
      <c r="W209" s="2">
        <f t="shared" ref="W209:X209" si="308">W181*G$172</f>
        <v>2.1419999999999999</v>
      </c>
      <c r="X209" s="2">
        <f t="shared" si="308"/>
        <v>5.665</v>
      </c>
      <c r="Y209" s="159">
        <f t="shared" si="275"/>
        <v>7.8815000000000017</v>
      </c>
      <c r="Z209" s="9">
        <f t="shared" si="276"/>
        <v>0.14299999999999957</v>
      </c>
      <c r="AA209" s="2">
        <f t="shared" si="277"/>
        <v>6.4720000000000013</v>
      </c>
      <c r="AB209" s="2">
        <f t="shared" si="278"/>
        <v>18.381</v>
      </c>
      <c r="AC209" s="10">
        <f t="shared" si="279"/>
        <v>30.6675</v>
      </c>
      <c r="AD209" s="9">
        <f t="shared" si="280"/>
        <v>2.6294999999999993</v>
      </c>
      <c r="AE209" s="2">
        <f t="shared" si="281"/>
        <v>6.4720000000000013</v>
      </c>
      <c r="AF209" s="2">
        <f t="shared" si="282"/>
        <v>18.381</v>
      </c>
      <c r="AG209" s="159">
        <f t="shared" si="283"/>
        <v>25.839000000000006</v>
      </c>
      <c r="AH209" s="87">
        <f t="shared" si="284"/>
        <v>5.2062000000000017</v>
      </c>
      <c r="AI209" s="88">
        <f t="shared" si="285"/>
        <v>20.8383</v>
      </c>
      <c r="AJ209" s="87">
        <f t="shared" si="286"/>
        <v>5.7035000000000018</v>
      </c>
      <c r="AK209" s="88">
        <f t="shared" si="287"/>
        <v>19.872599999999998</v>
      </c>
      <c r="AL209" s="87">
        <f t="shared" si="288"/>
        <v>13.022250000000001</v>
      </c>
      <c r="AM209" s="88">
        <f t="shared" si="289"/>
        <v>12.78805</v>
      </c>
      <c r="AN209" s="134">
        <f t="shared" si="290"/>
        <v>12.905150000000001</v>
      </c>
    </row>
    <row r="210" spans="1:40" x14ac:dyDescent="0.25">
      <c r="A210" s="164" t="s">
        <v>78</v>
      </c>
      <c r="B210" s="9">
        <f t="shared" si="258"/>
        <v>-7.5999999999999845E-2</v>
      </c>
      <c r="C210" s="2">
        <f t="shared" ref="C210:D210" si="309">C182*C$170</f>
        <v>1.8180000000000001</v>
      </c>
      <c r="D210" s="2">
        <f t="shared" si="309"/>
        <v>5.0920000000000005</v>
      </c>
      <c r="E210" s="10">
        <f t="shared" si="260"/>
        <v>8.2089999999999996</v>
      </c>
      <c r="F210" s="9">
        <f t="shared" si="261"/>
        <v>0.67249999999999988</v>
      </c>
      <c r="G210" s="2">
        <f t="shared" ref="G210:H210" si="310">G182*G$170</f>
        <v>1.8180000000000001</v>
      </c>
      <c r="H210" s="2">
        <f t="shared" si="310"/>
        <v>5.0920000000000005</v>
      </c>
      <c r="I210" s="159">
        <f t="shared" si="263"/>
        <v>6.9685000000000006</v>
      </c>
      <c r="J210" s="9">
        <f t="shared" si="264"/>
        <v>-2.0999999999999908E-2</v>
      </c>
      <c r="K210" s="2">
        <f t="shared" ref="K210:L210" si="311">K182*C$171</f>
        <v>2.3680000000000003</v>
      </c>
      <c r="L210" s="2">
        <f t="shared" si="311"/>
        <v>6.6319999999999997</v>
      </c>
      <c r="M210" s="10">
        <f t="shared" si="266"/>
        <v>10.593999999999999</v>
      </c>
      <c r="N210" s="9">
        <f t="shared" si="267"/>
        <v>0.92799999999999949</v>
      </c>
      <c r="O210" s="2">
        <f t="shared" ref="O210:P210" si="312">O182*G$171</f>
        <v>2.3680000000000003</v>
      </c>
      <c r="P210" s="2">
        <f t="shared" si="312"/>
        <v>6.6319999999999997</v>
      </c>
      <c r="Q210" s="159">
        <f t="shared" si="269"/>
        <v>9.0009999999999994</v>
      </c>
      <c r="R210" s="9">
        <f t="shared" si="270"/>
        <v>-0.23099999999999987</v>
      </c>
      <c r="S210" s="2">
        <f t="shared" ref="S210:T210" si="313">S182*C$172</f>
        <v>1.3365</v>
      </c>
      <c r="T210" s="2">
        <f t="shared" si="313"/>
        <v>4.5375000000000005</v>
      </c>
      <c r="U210" s="10">
        <f t="shared" si="272"/>
        <v>7.919999999999999</v>
      </c>
      <c r="V210" s="9">
        <f t="shared" si="273"/>
        <v>0.32295000000000007</v>
      </c>
      <c r="W210" s="2">
        <f t="shared" ref="W210:X210" si="314">W182*G$172</f>
        <v>1.3365</v>
      </c>
      <c r="X210" s="2">
        <f t="shared" si="314"/>
        <v>4.5375000000000005</v>
      </c>
      <c r="Y210" s="159">
        <f t="shared" si="275"/>
        <v>6.668750000000002</v>
      </c>
      <c r="Z210" s="9">
        <f t="shared" si="276"/>
        <v>-0.32799999999999963</v>
      </c>
      <c r="AA210" s="2">
        <f t="shared" si="277"/>
        <v>5.5225</v>
      </c>
      <c r="AB210" s="2">
        <f t="shared" si="278"/>
        <v>16.261500000000002</v>
      </c>
      <c r="AC210" s="10">
        <f t="shared" si="279"/>
        <v>26.722999999999995</v>
      </c>
      <c r="AD210" s="9">
        <f t="shared" si="280"/>
        <v>1.9234499999999994</v>
      </c>
      <c r="AE210" s="2">
        <f t="shared" si="281"/>
        <v>5.5225</v>
      </c>
      <c r="AF210" s="2">
        <f t="shared" si="282"/>
        <v>16.261500000000002</v>
      </c>
      <c r="AG210" s="159">
        <f t="shared" si="283"/>
        <v>22.638250000000003</v>
      </c>
      <c r="AH210" s="87">
        <f t="shared" si="284"/>
        <v>4.3524000000000003</v>
      </c>
      <c r="AI210" s="88">
        <f t="shared" si="285"/>
        <v>18.3538</v>
      </c>
      <c r="AJ210" s="87">
        <f t="shared" si="286"/>
        <v>4.8026900000000001</v>
      </c>
      <c r="AK210" s="88">
        <f t="shared" si="287"/>
        <v>17.536850000000001</v>
      </c>
      <c r="AL210" s="87">
        <f t="shared" si="288"/>
        <v>11.3531</v>
      </c>
      <c r="AM210" s="88">
        <f t="shared" si="289"/>
        <v>11.16977</v>
      </c>
      <c r="AN210" s="134">
        <f t="shared" si="290"/>
        <v>11.261434999999999</v>
      </c>
    </row>
    <row r="211" spans="1:40" x14ac:dyDescent="0.25">
      <c r="A211" s="164" t="s">
        <v>79</v>
      </c>
      <c r="B211" s="9">
        <f t="shared" si="258"/>
        <v>-7.5999999999999845E-2</v>
      </c>
      <c r="C211" s="2">
        <f t="shared" ref="C211:D211" si="315">C183*C$170</f>
        <v>1.8180000000000001</v>
      </c>
      <c r="D211" s="2">
        <f t="shared" si="315"/>
        <v>5.0920000000000005</v>
      </c>
      <c r="E211" s="10">
        <f t="shared" si="260"/>
        <v>8.2089999999999996</v>
      </c>
      <c r="F211" s="9">
        <f t="shared" si="261"/>
        <v>0.67249999999999988</v>
      </c>
      <c r="G211" s="2">
        <f t="shared" ref="G211:H211" si="316">G183*G$170</f>
        <v>1.8180000000000001</v>
      </c>
      <c r="H211" s="2">
        <f t="shared" si="316"/>
        <v>5.0920000000000005</v>
      </c>
      <c r="I211" s="159">
        <f t="shared" si="263"/>
        <v>6.9685000000000006</v>
      </c>
      <c r="J211" s="9">
        <f t="shared" si="264"/>
        <v>-2.0999999999999908E-2</v>
      </c>
      <c r="K211" s="2">
        <f t="shared" ref="K211:L211" si="317">K183*C$171</f>
        <v>2.3680000000000003</v>
      </c>
      <c r="L211" s="2">
        <f t="shared" si="317"/>
        <v>6.6319999999999997</v>
      </c>
      <c r="M211" s="10">
        <f t="shared" si="266"/>
        <v>10.593999999999999</v>
      </c>
      <c r="N211" s="9">
        <f t="shared" si="267"/>
        <v>0.92799999999999949</v>
      </c>
      <c r="O211" s="2">
        <f t="shared" ref="O211:P211" si="318">O183*G$171</f>
        <v>2.3680000000000003</v>
      </c>
      <c r="P211" s="2">
        <f t="shared" si="318"/>
        <v>6.6319999999999997</v>
      </c>
      <c r="Q211" s="159">
        <f t="shared" si="269"/>
        <v>9.0009999999999994</v>
      </c>
      <c r="R211" s="9">
        <f t="shared" si="270"/>
        <v>-4.1999999999999593E-2</v>
      </c>
      <c r="S211" s="2">
        <f t="shared" ref="S211:T211" si="319">S183*C$172</f>
        <v>1.8044999999999998</v>
      </c>
      <c r="T211" s="2">
        <f t="shared" si="319"/>
        <v>5.3775000000000004</v>
      </c>
      <c r="U211" s="10">
        <f t="shared" si="272"/>
        <v>9.1829999999999998</v>
      </c>
      <c r="V211" s="9">
        <f t="shared" si="273"/>
        <v>0.63675000000000037</v>
      </c>
      <c r="W211" s="2">
        <f t="shared" ref="W211:X211" si="320">W183*G$172</f>
        <v>1.8044999999999998</v>
      </c>
      <c r="X211" s="2">
        <f t="shared" si="320"/>
        <v>5.3775000000000004</v>
      </c>
      <c r="Y211" s="159">
        <f t="shared" si="275"/>
        <v>7.7527500000000034</v>
      </c>
      <c r="Z211" s="9">
        <f t="shared" si="276"/>
        <v>-0.13899999999999935</v>
      </c>
      <c r="AA211" s="2">
        <f t="shared" si="277"/>
        <v>5.9904999999999999</v>
      </c>
      <c r="AB211" s="2">
        <f t="shared" si="278"/>
        <v>17.101500000000001</v>
      </c>
      <c r="AC211" s="10">
        <f t="shared" si="279"/>
        <v>27.985999999999997</v>
      </c>
      <c r="AD211" s="9">
        <f t="shared" si="280"/>
        <v>2.2372499999999995</v>
      </c>
      <c r="AE211" s="2">
        <f t="shared" si="281"/>
        <v>5.9904999999999999</v>
      </c>
      <c r="AF211" s="2">
        <f t="shared" si="282"/>
        <v>17.101500000000001</v>
      </c>
      <c r="AG211" s="159">
        <f t="shared" si="283"/>
        <v>23.722250000000003</v>
      </c>
      <c r="AH211" s="87">
        <f t="shared" si="284"/>
        <v>4.7645999999999997</v>
      </c>
      <c r="AI211" s="88">
        <f t="shared" si="285"/>
        <v>19.278400000000001</v>
      </c>
      <c r="AJ211" s="87">
        <f t="shared" si="286"/>
        <v>5.2398499999999997</v>
      </c>
      <c r="AK211" s="88">
        <f t="shared" si="287"/>
        <v>18.425650000000001</v>
      </c>
      <c r="AL211" s="87">
        <f t="shared" si="288"/>
        <v>12.0215</v>
      </c>
      <c r="AM211" s="88">
        <f t="shared" si="289"/>
        <v>11.832750000000001</v>
      </c>
      <c r="AN211" s="134">
        <f t="shared" si="290"/>
        <v>11.927125</v>
      </c>
    </row>
    <row r="212" spans="1:40" x14ac:dyDescent="0.25">
      <c r="A212" s="164" t="s">
        <v>80</v>
      </c>
      <c r="B212" s="9">
        <f t="shared" si="258"/>
        <v>1.6999999999999904E-2</v>
      </c>
      <c r="C212" s="2">
        <f t="shared" ref="C212:D212" si="321">C184*C$170</f>
        <v>2.0700000000000003</v>
      </c>
      <c r="D212" s="2">
        <f t="shared" si="321"/>
        <v>5.8640000000000008</v>
      </c>
      <c r="E212" s="10">
        <f t="shared" si="260"/>
        <v>9.7279999999999998</v>
      </c>
      <c r="F212" s="9">
        <f t="shared" si="261"/>
        <v>0.84949999999999992</v>
      </c>
      <c r="G212" s="2">
        <f t="shared" ref="G212:H212" si="322">G184*G$170</f>
        <v>2.0700000000000003</v>
      </c>
      <c r="H212" s="2">
        <f t="shared" si="322"/>
        <v>5.8640000000000008</v>
      </c>
      <c r="I212" s="159">
        <f t="shared" si="263"/>
        <v>8.1849999999999987</v>
      </c>
      <c r="J212" s="9">
        <f t="shared" si="264"/>
        <v>-0.21100000000000008</v>
      </c>
      <c r="K212" s="2">
        <f t="shared" ref="K212:L212" si="323">K184*C$171</f>
        <v>1.9780000000000002</v>
      </c>
      <c r="L212" s="2">
        <f t="shared" si="323"/>
        <v>6.0720000000000001</v>
      </c>
      <c r="M212" s="10">
        <f t="shared" si="266"/>
        <v>10.004000000000001</v>
      </c>
      <c r="N212" s="9">
        <f t="shared" si="267"/>
        <v>0.64049999999999985</v>
      </c>
      <c r="O212" s="2">
        <f t="shared" ref="O212:P212" si="324">O184*G$171</f>
        <v>1.9780000000000002</v>
      </c>
      <c r="P212" s="2">
        <f t="shared" si="324"/>
        <v>6.0720000000000001</v>
      </c>
      <c r="Q212" s="159">
        <f t="shared" si="269"/>
        <v>8.4510000000000005</v>
      </c>
      <c r="R212" s="9">
        <f t="shared" si="270"/>
        <v>0.34050000000000047</v>
      </c>
      <c r="S212" s="2">
        <f t="shared" ref="S212:T212" si="325">S184*C$172</f>
        <v>2.7269999999999999</v>
      </c>
      <c r="T212" s="2">
        <f t="shared" si="325"/>
        <v>6.3650000000000002</v>
      </c>
      <c r="U212" s="10">
        <f t="shared" si="272"/>
        <v>9.9429999999999996</v>
      </c>
      <c r="V212" s="9">
        <f t="shared" si="273"/>
        <v>1.2359999999999998</v>
      </c>
      <c r="W212" s="2">
        <f t="shared" ref="W212:X212" si="326">W184*G$172</f>
        <v>2.7269999999999999</v>
      </c>
      <c r="X212" s="2">
        <f t="shared" si="326"/>
        <v>6.3650000000000002</v>
      </c>
      <c r="Y212" s="159">
        <f t="shared" si="275"/>
        <v>8.5515000000000008</v>
      </c>
      <c r="Z212" s="9">
        <f t="shared" si="276"/>
        <v>0.1465000000000003</v>
      </c>
      <c r="AA212" s="2">
        <f t="shared" si="277"/>
        <v>6.7750000000000004</v>
      </c>
      <c r="AB212" s="2">
        <f t="shared" si="278"/>
        <v>18.301000000000002</v>
      </c>
      <c r="AC212" s="10">
        <f t="shared" si="279"/>
        <v>29.674999999999997</v>
      </c>
      <c r="AD212" s="9">
        <f t="shared" si="280"/>
        <v>2.7259999999999995</v>
      </c>
      <c r="AE212" s="2">
        <f t="shared" si="281"/>
        <v>6.7750000000000004</v>
      </c>
      <c r="AF212" s="2">
        <f t="shared" si="282"/>
        <v>18.301000000000002</v>
      </c>
      <c r="AG212" s="159">
        <f t="shared" si="283"/>
        <v>25.1875</v>
      </c>
      <c r="AH212" s="87">
        <f t="shared" si="284"/>
        <v>5.4493000000000009</v>
      </c>
      <c r="AI212" s="88">
        <f t="shared" si="285"/>
        <v>20.575800000000001</v>
      </c>
      <c r="AJ212" s="87">
        <f t="shared" si="286"/>
        <v>5.9652000000000003</v>
      </c>
      <c r="AK212" s="88">
        <f t="shared" si="287"/>
        <v>19.6783</v>
      </c>
      <c r="AL212" s="87">
        <f t="shared" si="288"/>
        <v>13.012550000000001</v>
      </c>
      <c r="AM212" s="88">
        <f t="shared" si="289"/>
        <v>12.82175</v>
      </c>
      <c r="AN212" s="134">
        <f t="shared" si="290"/>
        <v>12.917149999999999</v>
      </c>
    </row>
    <row r="213" spans="1:40" x14ac:dyDescent="0.25">
      <c r="A213" s="164" t="s">
        <v>82</v>
      </c>
      <c r="B213" s="9">
        <f t="shared" si="258"/>
        <v>5.7499999999999885E-2</v>
      </c>
      <c r="C213" s="2">
        <f t="shared" ref="C213:D213" si="327">C185*C$170</f>
        <v>1.6650000000000003</v>
      </c>
      <c r="D213" s="2">
        <f t="shared" si="327"/>
        <v>5.3580000000000005</v>
      </c>
      <c r="E213" s="10">
        <f t="shared" si="260"/>
        <v>9.4634999999999998</v>
      </c>
      <c r="F213" s="9">
        <f t="shared" si="261"/>
        <v>0.71675</v>
      </c>
      <c r="G213" s="2">
        <f t="shared" ref="G213:H213" si="328">G185*G$170</f>
        <v>1.6650000000000003</v>
      </c>
      <c r="H213" s="2">
        <f t="shared" si="328"/>
        <v>5.3580000000000005</v>
      </c>
      <c r="I213" s="159">
        <f t="shared" si="263"/>
        <v>7.8537500000000016</v>
      </c>
      <c r="J213" s="9">
        <f t="shared" si="264"/>
        <v>-0.15850000000000009</v>
      </c>
      <c r="K213" s="2">
        <f t="shared" ref="K213:L213" si="329">K185*C$171</f>
        <v>2.2030000000000003</v>
      </c>
      <c r="L213" s="2">
        <f t="shared" si="329"/>
        <v>6.3019999999999996</v>
      </c>
      <c r="M213" s="10">
        <f t="shared" si="266"/>
        <v>10.061500000000002</v>
      </c>
      <c r="N213" s="9">
        <f t="shared" si="267"/>
        <v>0.76424999999999965</v>
      </c>
      <c r="O213" s="2">
        <f t="shared" ref="O213:P213" si="330">O185*G$171</f>
        <v>2.2030000000000003</v>
      </c>
      <c r="P213" s="2">
        <f t="shared" si="330"/>
        <v>6.3019999999999996</v>
      </c>
      <c r="Q213" s="159">
        <f t="shared" si="269"/>
        <v>8.5597500000000011</v>
      </c>
      <c r="R213" s="9">
        <f t="shared" si="270"/>
        <v>-4.2000000000000259E-2</v>
      </c>
      <c r="S213" s="2">
        <f t="shared" ref="S213:T213" si="331">S185*C$172</f>
        <v>2.1419999999999999</v>
      </c>
      <c r="T213" s="2">
        <f t="shared" si="331"/>
        <v>5.665</v>
      </c>
      <c r="U213" s="10">
        <f t="shared" si="272"/>
        <v>9.2405000000000008</v>
      </c>
      <c r="V213" s="9">
        <f t="shared" si="273"/>
        <v>0.75599999999999978</v>
      </c>
      <c r="W213" s="2">
        <f t="shared" ref="W213:X213" si="332">W185*G$172</f>
        <v>2.1419999999999999</v>
      </c>
      <c r="X213" s="2">
        <f t="shared" si="332"/>
        <v>5.665</v>
      </c>
      <c r="Y213" s="159">
        <f t="shared" si="275"/>
        <v>7.8815000000000017</v>
      </c>
      <c r="Z213" s="9">
        <f t="shared" si="276"/>
        <v>-0.14300000000000046</v>
      </c>
      <c r="AA213" s="2">
        <f t="shared" si="277"/>
        <v>6.01</v>
      </c>
      <c r="AB213" s="2">
        <f t="shared" si="278"/>
        <v>17.324999999999999</v>
      </c>
      <c r="AC213" s="10">
        <f t="shared" si="279"/>
        <v>28.765500000000003</v>
      </c>
      <c r="AD213" s="9">
        <f t="shared" si="280"/>
        <v>2.2369999999999992</v>
      </c>
      <c r="AE213" s="2">
        <f t="shared" si="281"/>
        <v>6.01</v>
      </c>
      <c r="AF213" s="2">
        <f t="shared" si="282"/>
        <v>17.324999999999999</v>
      </c>
      <c r="AG213" s="159">
        <f t="shared" si="283"/>
        <v>24.295000000000005</v>
      </c>
      <c r="AH213" s="87">
        <f t="shared" si="284"/>
        <v>4.7793999999999999</v>
      </c>
      <c r="AI213" s="88">
        <f t="shared" si="285"/>
        <v>19.613099999999999</v>
      </c>
      <c r="AJ213" s="87">
        <f t="shared" si="286"/>
        <v>5.2553999999999998</v>
      </c>
      <c r="AK213" s="88">
        <f t="shared" si="287"/>
        <v>18.719000000000001</v>
      </c>
      <c r="AL213" s="87">
        <f t="shared" si="288"/>
        <v>12.196249999999999</v>
      </c>
      <c r="AM213" s="88">
        <f t="shared" si="289"/>
        <v>11.987200000000001</v>
      </c>
      <c r="AN213" s="134">
        <f t="shared" si="290"/>
        <v>12.091725</v>
      </c>
    </row>
    <row r="214" spans="1:40" ht="15.75" thickBot="1" x14ac:dyDescent="0.3">
      <c r="A214" s="165" t="s">
        <v>83</v>
      </c>
      <c r="B214" s="160">
        <f t="shared" si="258"/>
        <v>-0.22850000000000015</v>
      </c>
      <c r="C214" s="120">
        <f t="shared" ref="C214:D214" si="333">C186*C$170</f>
        <v>1.2030000000000003</v>
      </c>
      <c r="D214" s="120">
        <f t="shared" si="333"/>
        <v>4.3019999999999996</v>
      </c>
      <c r="E214" s="124">
        <f t="shared" si="260"/>
        <v>7.5615000000000006</v>
      </c>
      <c r="F214" s="160">
        <f t="shared" si="261"/>
        <v>0.32424999999999993</v>
      </c>
      <c r="G214" s="120">
        <f t="shared" ref="G214:H214" si="334">G186*G$170</f>
        <v>1.2030000000000003</v>
      </c>
      <c r="H214" s="120">
        <f t="shared" si="334"/>
        <v>4.3019999999999996</v>
      </c>
      <c r="I214" s="167">
        <f t="shared" si="263"/>
        <v>6.3097500000000011</v>
      </c>
      <c r="J214" s="160">
        <f t="shared" si="264"/>
        <v>-0.15850000000000009</v>
      </c>
      <c r="K214" s="120">
        <f t="shared" ref="K214:L214" si="335">K186*C$171</f>
        <v>2.2030000000000003</v>
      </c>
      <c r="L214" s="120">
        <f t="shared" si="335"/>
        <v>6.3019999999999996</v>
      </c>
      <c r="M214" s="124">
        <f t="shared" si="266"/>
        <v>10.061500000000002</v>
      </c>
      <c r="N214" s="160">
        <f t="shared" si="267"/>
        <v>0.76424999999999965</v>
      </c>
      <c r="O214" s="120">
        <f t="shared" ref="O214:P214" si="336">O186*G$171</f>
        <v>2.2030000000000003</v>
      </c>
      <c r="P214" s="120">
        <f t="shared" si="336"/>
        <v>6.3019999999999996</v>
      </c>
      <c r="Q214" s="167">
        <f t="shared" si="269"/>
        <v>8.5597500000000011</v>
      </c>
      <c r="R214" s="160">
        <f t="shared" si="270"/>
        <v>0.35400000000000009</v>
      </c>
      <c r="S214" s="120">
        <f t="shared" ref="S214:T214" si="337">S186*C$172</f>
        <v>2.637</v>
      </c>
      <c r="T214" s="120">
        <f t="shared" si="337"/>
        <v>6.49</v>
      </c>
      <c r="U214" s="124">
        <f t="shared" si="272"/>
        <v>10.530499999999998</v>
      </c>
      <c r="V214" s="160">
        <f t="shared" si="273"/>
        <v>1.2191999999999994</v>
      </c>
      <c r="W214" s="120">
        <f t="shared" ref="W214:X214" si="338">W186*G$172</f>
        <v>2.637</v>
      </c>
      <c r="X214" s="120">
        <f t="shared" si="338"/>
        <v>6.49</v>
      </c>
      <c r="Y214" s="167">
        <f t="shared" si="275"/>
        <v>8.9640000000000004</v>
      </c>
      <c r="Z214" s="160">
        <f t="shared" si="276"/>
        <v>-3.300000000000014E-2</v>
      </c>
      <c r="AA214" s="120">
        <f t="shared" si="277"/>
        <v>6.043000000000001</v>
      </c>
      <c r="AB214" s="120">
        <f t="shared" si="278"/>
        <v>17.094000000000001</v>
      </c>
      <c r="AC214" s="124">
        <f t="shared" si="279"/>
        <v>28.153500000000001</v>
      </c>
      <c r="AD214" s="160">
        <f t="shared" si="280"/>
        <v>2.3076999999999988</v>
      </c>
      <c r="AE214" s="120">
        <f t="shared" si="281"/>
        <v>6.043000000000001</v>
      </c>
      <c r="AF214" s="120">
        <f t="shared" si="282"/>
        <v>17.094000000000001</v>
      </c>
      <c r="AG214" s="167">
        <f t="shared" si="283"/>
        <v>23.833500000000001</v>
      </c>
      <c r="AH214" s="91">
        <f t="shared" si="284"/>
        <v>4.8278000000000016</v>
      </c>
      <c r="AI214" s="94">
        <f t="shared" si="285"/>
        <v>19.305900000000001</v>
      </c>
      <c r="AJ214" s="91">
        <f t="shared" si="286"/>
        <v>5.2959400000000008</v>
      </c>
      <c r="AK214" s="94">
        <f t="shared" si="287"/>
        <v>18.4419</v>
      </c>
      <c r="AL214" s="91">
        <f t="shared" si="288"/>
        <v>12.066850000000002</v>
      </c>
      <c r="AM214" s="94">
        <f t="shared" si="289"/>
        <v>11.868920000000001</v>
      </c>
      <c r="AN214" s="135">
        <f t="shared" si="290"/>
        <v>11.967885000000003</v>
      </c>
    </row>
  </sheetData>
  <mergeCells count="150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J9:J10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AU10:AX10"/>
    <mergeCell ref="AY10:BB10"/>
    <mergeCell ref="BC10:BF10"/>
    <mergeCell ref="BG10:BJ10"/>
    <mergeCell ref="BK10:BN10"/>
    <mergeCell ref="BO10:BP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AU62:AX62"/>
    <mergeCell ref="AY62:BB62"/>
    <mergeCell ref="BC62:BF62"/>
    <mergeCell ref="BG62:BJ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BG114:BJ114"/>
    <mergeCell ref="BK114:BN114"/>
    <mergeCell ref="BO114:BP114"/>
    <mergeCell ref="E141:L141"/>
    <mergeCell ref="E147:L147"/>
    <mergeCell ref="B163:E163"/>
    <mergeCell ref="F163:I163"/>
    <mergeCell ref="B169:E169"/>
    <mergeCell ref="F169:I169"/>
    <mergeCell ref="AU114:AX114"/>
    <mergeCell ref="AY114:BB114"/>
    <mergeCell ref="BC114:BF114"/>
    <mergeCell ref="J113:J114"/>
    <mergeCell ref="AY113:BF113"/>
    <mergeCell ref="A175:A176"/>
    <mergeCell ref="B175:I175"/>
    <mergeCell ref="B176:E176"/>
    <mergeCell ref="J175:Q175"/>
    <mergeCell ref="J176:M176"/>
    <mergeCell ref="R175:Y175"/>
    <mergeCell ref="R176:U176"/>
    <mergeCell ref="F176:I176"/>
    <mergeCell ref="N176:Q176"/>
    <mergeCell ref="V176:Y176"/>
    <mergeCell ref="AF189:AF190"/>
    <mergeCell ref="Z190:AA190"/>
    <mergeCell ref="AB190:AC190"/>
    <mergeCell ref="A203:A204"/>
    <mergeCell ref="B203:I203"/>
    <mergeCell ref="J203:Q203"/>
    <mergeCell ref="B204:E204"/>
    <mergeCell ref="F204:I204"/>
    <mergeCell ref="J204:M204"/>
    <mergeCell ref="N204:Q204"/>
    <mergeCell ref="R189:Y189"/>
    <mergeCell ref="R190:U190"/>
    <mergeCell ref="V190:Y190"/>
    <mergeCell ref="Z189:AC189"/>
    <mergeCell ref="AD189:AE189"/>
    <mergeCell ref="A189:A190"/>
    <mergeCell ref="B189:I189"/>
    <mergeCell ref="J189:Q189"/>
    <mergeCell ref="B190:E190"/>
    <mergeCell ref="F190:I190"/>
    <mergeCell ref="J190:M190"/>
    <mergeCell ref="N190:Q190"/>
    <mergeCell ref="Z203:AG203"/>
    <mergeCell ref="AH203:AK203"/>
    <mergeCell ref="AL203:AM203"/>
    <mergeCell ref="AN203:AN204"/>
    <mergeCell ref="Z204:AC204"/>
    <mergeCell ref="AD204:AG204"/>
    <mergeCell ref="AH204:AI204"/>
    <mergeCell ref="AJ204:AK204"/>
    <mergeCell ref="R203:Y203"/>
    <mergeCell ref="R204:U204"/>
    <mergeCell ref="V204:Y204"/>
  </mergeCells>
  <hyperlinks>
    <hyperlink ref="B2" r:id="rId1" xr:uid="{8A178278-89D1-479C-ADFA-9148B133F11C}"/>
  </hyperlinks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F5A04-68AE-441E-AF3F-47127F8919B9}">
  <dimension ref="A1:BU216"/>
  <sheetViews>
    <sheetView topLeftCell="C20" workbookViewId="0">
      <selection activeCell="E45" sqref="E45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16" t="s">
        <v>98</v>
      </c>
      <c r="B3" s="217"/>
      <c r="C3" s="217"/>
      <c r="D3" s="218"/>
      <c r="E3" s="218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15" t="s">
        <v>85</v>
      </c>
      <c r="B9" s="215" t="s">
        <v>86</v>
      </c>
      <c r="C9" s="238" t="s">
        <v>87</v>
      </c>
      <c r="D9" s="239" t="s">
        <v>127</v>
      </c>
      <c r="E9" s="237"/>
      <c r="F9" s="237"/>
      <c r="G9" s="237" t="s">
        <v>128</v>
      </c>
      <c r="H9" s="237"/>
      <c r="I9" s="237"/>
      <c r="J9" s="235" t="s">
        <v>157</v>
      </c>
      <c r="K9" s="223" t="s">
        <v>150</v>
      </c>
      <c r="L9" s="224"/>
      <c r="M9" s="224"/>
      <c r="N9" s="224"/>
      <c r="O9" s="224"/>
      <c r="P9" s="224"/>
      <c r="Q9" s="224"/>
      <c r="R9" s="225"/>
      <c r="S9" s="223" t="s">
        <v>148</v>
      </c>
      <c r="T9" s="224"/>
      <c r="U9" s="224"/>
      <c r="V9" s="224"/>
      <c r="W9" s="224"/>
      <c r="X9" s="224"/>
      <c r="Y9" s="224"/>
      <c r="Z9" s="225"/>
      <c r="AA9" s="223" t="s">
        <v>149</v>
      </c>
      <c r="AB9" s="224"/>
      <c r="AC9" s="224"/>
      <c r="AD9" s="224"/>
      <c r="AE9" s="224"/>
      <c r="AF9" s="224"/>
      <c r="AG9" s="224"/>
      <c r="AH9" s="225"/>
      <c r="AI9" s="223" t="s">
        <v>147</v>
      </c>
      <c r="AJ9" s="224"/>
      <c r="AK9" s="224"/>
      <c r="AL9" s="224"/>
      <c r="AM9" s="224"/>
      <c r="AN9" s="224"/>
      <c r="AO9" s="224"/>
      <c r="AP9" s="225"/>
      <c r="AQ9" s="223" t="s">
        <v>158</v>
      </c>
      <c r="AR9" s="224"/>
      <c r="AS9" s="224"/>
      <c r="AT9" s="224"/>
      <c r="AU9" s="224"/>
      <c r="AV9" s="224"/>
      <c r="AW9" s="224"/>
      <c r="AX9" s="225"/>
      <c r="AY9" s="223" t="s">
        <v>159</v>
      </c>
      <c r="AZ9" s="224"/>
      <c r="BA9" s="224"/>
      <c r="BB9" s="224"/>
      <c r="BC9" s="224"/>
      <c r="BD9" s="224"/>
      <c r="BE9" s="224"/>
      <c r="BF9" s="225"/>
      <c r="BG9" s="223" t="s">
        <v>205</v>
      </c>
      <c r="BH9" s="224"/>
      <c r="BI9" s="224"/>
      <c r="BJ9" s="224"/>
      <c r="BK9" s="224"/>
      <c r="BL9" s="224"/>
      <c r="BM9" s="224"/>
      <c r="BN9" s="225"/>
      <c r="BO9" s="226" t="s">
        <v>151</v>
      </c>
      <c r="BP9" s="227"/>
      <c r="BQ9" s="227"/>
      <c r="BR9" s="228"/>
      <c r="BS9" s="219" t="s">
        <v>153</v>
      </c>
      <c r="BT9" s="220"/>
      <c r="BU9" s="221" t="s">
        <v>156</v>
      </c>
    </row>
    <row r="10" spans="1:73" s="97" customFormat="1" ht="23.25" customHeight="1" thickBot="1" x14ac:dyDescent="0.3">
      <c r="A10" s="215"/>
      <c r="B10" s="215"/>
      <c r="C10" s="238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36"/>
      <c r="K10" s="223" t="s">
        <v>17</v>
      </c>
      <c r="L10" s="224"/>
      <c r="M10" s="224"/>
      <c r="N10" s="225"/>
      <c r="O10" s="223" t="s">
        <v>18</v>
      </c>
      <c r="P10" s="224"/>
      <c r="Q10" s="224"/>
      <c r="R10" s="225"/>
      <c r="S10" s="223" t="s">
        <v>17</v>
      </c>
      <c r="T10" s="224"/>
      <c r="U10" s="224"/>
      <c r="V10" s="225"/>
      <c r="W10" s="223" t="s">
        <v>18</v>
      </c>
      <c r="X10" s="224"/>
      <c r="Y10" s="224"/>
      <c r="Z10" s="225"/>
      <c r="AA10" s="223" t="s">
        <v>17</v>
      </c>
      <c r="AB10" s="224"/>
      <c r="AC10" s="224"/>
      <c r="AD10" s="225"/>
      <c r="AE10" s="223" t="s">
        <v>18</v>
      </c>
      <c r="AF10" s="224"/>
      <c r="AG10" s="224"/>
      <c r="AH10" s="225"/>
      <c r="AI10" s="223" t="s">
        <v>17</v>
      </c>
      <c r="AJ10" s="224"/>
      <c r="AK10" s="224"/>
      <c r="AL10" s="225"/>
      <c r="AM10" s="223" t="s">
        <v>18</v>
      </c>
      <c r="AN10" s="224"/>
      <c r="AO10" s="224"/>
      <c r="AP10" s="225"/>
      <c r="AQ10" s="223" t="s">
        <v>17</v>
      </c>
      <c r="AR10" s="224"/>
      <c r="AS10" s="224"/>
      <c r="AT10" s="225"/>
      <c r="AU10" s="223" t="s">
        <v>18</v>
      </c>
      <c r="AV10" s="224"/>
      <c r="AW10" s="224"/>
      <c r="AX10" s="225"/>
      <c r="AY10" s="223" t="s">
        <v>17</v>
      </c>
      <c r="AZ10" s="224"/>
      <c r="BA10" s="224"/>
      <c r="BB10" s="225"/>
      <c r="BC10" s="223" t="s">
        <v>18</v>
      </c>
      <c r="BD10" s="224"/>
      <c r="BE10" s="224"/>
      <c r="BF10" s="225"/>
      <c r="BG10" s="223" t="s">
        <v>17</v>
      </c>
      <c r="BH10" s="224"/>
      <c r="BI10" s="224"/>
      <c r="BJ10" s="225"/>
      <c r="BK10" s="223" t="s">
        <v>18</v>
      </c>
      <c r="BL10" s="224"/>
      <c r="BM10" s="224"/>
      <c r="BN10" s="225"/>
      <c r="BO10" s="229" t="s">
        <v>152</v>
      </c>
      <c r="BP10" s="230"/>
      <c r="BQ10" s="229" t="s">
        <v>26</v>
      </c>
      <c r="BR10" s="231"/>
      <c r="BS10" s="145" t="s">
        <v>154</v>
      </c>
      <c r="BT10" s="145" t="s">
        <v>155</v>
      </c>
      <c r="BU10" s="222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-0.33000000000000007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-0.10999999999999999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-0.32999999999999996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-0.32999999999999996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32" t="s">
        <v>126</v>
      </c>
      <c r="F37" s="233"/>
      <c r="G37" s="233"/>
      <c r="H37" s="233"/>
      <c r="I37" s="233"/>
      <c r="J37" s="233"/>
      <c r="K37" s="233"/>
      <c r="L37" s="234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32" t="s">
        <v>134</v>
      </c>
      <c r="F43" s="233"/>
      <c r="G43" s="233"/>
      <c r="H43" s="233"/>
      <c r="I43" s="233"/>
      <c r="J43" s="233"/>
      <c r="K43" s="233"/>
      <c r="L43" s="234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187">
        <f t="shared" ref="E45:E47" si="23">E25*F$38+E$38*F25-F25*F$38</f>
        <v>-0.33000000000000007</v>
      </c>
      <c r="F45" s="179">
        <f t="shared" ref="F45:G47" si="24">F25*F$38</f>
        <v>1.5400000000000003</v>
      </c>
      <c r="G45" s="179">
        <f t="shared" si="24"/>
        <v>3.52</v>
      </c>
      <c r="H45" s="188">
        <f t="shared" ref="H45:H47" si="25">G25*H$38+G$38*H25-G25*G$38</f>
        <v>5.0600000000000005</v>
      </c>
      <c r="I45" s="187">
        <f t="shared" ref="I45:I47" si="26">I25*J$38+I$38*J25-J25*J$38</f>
        <v>0.19999999999999996</v>
      </c>
      <c r="J45" s="179">
        <f t="shared" ref="J45:K47" si="27">J25*J$38</f>
        <v>1.5400000000000003</v>
      </c>
      <c r="K45" s="179">
        <f t="shared" si="27"/>
        <v>3.52</v>
      </c>
      <c r="L45" s="1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187">
        <f>E25*F$39+E$39*F25-F25*F$39</f>
        <v>-0.10999999999999999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187">
        <f t="shared" ref="E53:E55" si="35">E25*F$40+E$40*F25-F25*F$40</f>
        <v>-0.32999999999999996</v>
      </c>
      <c r="F53" s="179">
        <f t="shared" ref="F53:G55" si="36">F25*F$40</f>
        <v>0.9900000000000001</v>
      </c>
      <c r="G53" s="179">
        <f t="shared" si="36"/>
        <v>2.42</v>
      </c>
      <c r="H53" s="188">
        <f t="shared" ref="H53:H55" si="37">G25*H$40+G$40*H25-G25*G$40</f>
        <v>3.6850000000000005</v>
      </c>
      <c r="I53" s="187">
        <f t="shared" ref="I53:I55" si="38">I25*J$40+I$40*J25-J25*J$40</f>
        <v>4.9999999999999933E-2</v>
      </c>
      <c r="J53" s="179">
        <f t="shared" ref="J53:K55" si="39">J25*J$40</f>
        <v>0.9900000000000001</v>
      </c>
      <c r="K53" s="179">
        <f t="shared" si="39"/>
        <v>2.42</v>
      </c>
      <c r="L53" s="1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15" t="s">
        <v>85</v>
      </c>
      <c r="B61" s="215" t="s">
        <v>86</v>
      </c>
      <c r="C61" s="238" t="s">
        <v>87</v>
      </c>
      <c r="D61" s="239" t="s">
        <v>127</v>
      </c>
      <c r="E61" s="237"/>
      <c r="F61" s="237"/>
      <c r="G61" s="237" t="s">
        <v>128</v>
      </c>
      <c r="H61" s="237"/>
      <c r="I61" s="237"/>
      <c r="J61" s="235" t="s">
        <v>157</v>
      </c>
      <c r="K61" s="223" t="s">
        <v>150</v>
      </c>
      <c r="L61" s="224"/>
      <c r="M61" s="224"/>
      <c r="N61" s="224"/>
      <c r="O61" s="224"/>
      <c r="P61" s="224"/>
      <c r="Q61" s="224"/>
      <c r="R61" s="225"/>
      <c r="S61" s="223" t="s">
        <v>148</v>
      </c>
      <c r="T61" s="224"/>
      <c r="U61" s="224"/>
      <c r="V61" s="224"/>
      <c r="W61" s="224"/>
      <c r="X61" s="224"/>
      <c r="Y61" s="224"/>
      <c r="Z61" s="225"/>
      <c r="AA61" s="223" t="s">
        <v>149</v>
      </c>
      <c r="AB61" s="224"/>
      <c r="AC61" s="224"/>
      <c r="AD61" s="224"/>
      <c r="AE61" s="224"/>
      <c r="AF61" s="224"/>
      <c r="AG61" s="224"/>
      <c r="AH61" s="225"/>
      <c r="AI61" s="223" t="s">
        <v>147</v>
      </c>
      <c r="AJ61" s="224"/>
      <c r="AK61" s="224"/>
      <c r="AL61" s="224"/>
      <c r="AM61" s="224"/>
      <c r="AN61" s="224"/>
      <c r="AO61" s="224"/>
      <c r="AP61" s="225"/>
      <c r="AQ61" s="223" t="s">
        <v>158</v>
      </c>
      <c r="AR61" s="224"/>
      <c r="AS61" s="224"/>
      <c r="AT61" s="224"/>
      <c r="AU61" s="224"/>
      <c r="AV61" s="224"/>
      <c r="AW61" s="224"/>
      <c r="AX61" s="225"/>
      <c r="AY61" s="223" t="s">
        <v>159</v>
      </c>
      <c r="AZ61" s="224"/>
      <c r="BA61" s="224"/>
      <c r="BB61" s="224"/>
      <c r="BC61" s="224"/>
      <c r="BD61" s="224"/>
      <c r="BE61" s="224"/>
      <c r="BF61" s="225"/>
      <c r="BG61" s="223" t="s">
        <v>205</v>
      </c>
      <c r="BH61" s="224"/>
      <c r="BI61" s="224"/>
      <c r="BJ61" s="224"/>
      <c r="BK61" s="224"/>
      <c r="BL61" s="224"/>
      <c r="BM61" s="224"/>
      <c r="BN61" s="225"/>
      <c r="BO61" s="226" t="s">
        <v>151</v>
      </c>
      <c r="BP61" s="227"/>
      <c r="BQ61" s="227"/>
      <c r="BR61" s="228"/>
      <c r="BS61" s="219" t="s">
        <v>153</v>
      </c>
      <c r="BT61" s="220"/>
      <c r="BU61" s="221" t="s">
        <v>156</v>
      </c>
    </row>
    <row r="62" spans="1:73" s="97" customFormat="1" ht="23.25" customHeight="1" thickBot="1" x14ac:dyDescent="0.3">
      <c r="A62" s="215"/>
      <c r="B62" s="215"/>
      <c r="C62" s="238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36"/>
      <c r="K62" s="223" t="s">
        <v>17</v>
      </c>
      <c r="L62" s="224"/>
      <c r="M62" s="224"/>
      <c r="N62" s="225"/>
      <c r="O62" s="223" t="s">
        <v>18</v>
      </c>
      <c r="P62" s="224"/>
      <c r="Q62" s="224"/>
      <c r="R62" s="225"/>
      <c r="S62" s="223" t="s">
        <v>17</v>
      </c>
      <c r="T62" s="224"/>
      <c r="U62" s="224"/>
      <c r="V62" s="225"/>
      <c r="W62" s="223" t="s">
        <v>18</v>
      </c>
      <c r="X62" s="224"/>
      <c r="Y62" s="224"/>
      <c r="Z62" s="225"/>
      <c r="AA62" s="223" t="s">
        <v>17</v>
      </c>
      <c r="AB62" s="224"/>
      <c r="AC62" s="224"/>
      <c r="AD62" s="225"/>
      <c r="AE62" s="223" t="s">
        <v>18</v>
      </c>
      <c r="AF62" s="224"/>
      <c r="AG62" s="224"/>
      <c r="AH62" s="225"/>
      <c r="AI62" s="223" t="s">
        <v>17</v>
      </c>
      <c r="AJ62" s="224"/>
      <c r="AK62" s="224"/>
      <c r="AL62" s="225"/>
      <c r="AM62" s="223" t="s">
        <v>18</v>
      </c>
      <c r="AN62" s="224"/>
      <c r="AO62" s="224"/>
      <c r="AP62" s="225"/>
      <c r="AQ62" s="223" t="s">
        <v>17</v>
      </c>
      <c r="AR62" s="224"/>
      <c r="AS62" s="224"/>
      <c r="AT62" s="225"/>
      <c r="AU62" s="223" t="s">
        <v>18</v>
      </c>
      <c r="AV62" s="224"/>
      <c r="AW62" s="224"/>
      <c r="AX62" s="225"/>
      <c r="AY62" s="223" t="s">
        <v>17</v>
      </c>
      <c r="AZ62" s="224"/>
      <c r="BA62" s="224"/>
      <c r="BB62" s="225"/>
      <c r="BC62" s="223" t="s">
        <v>18</v>
      </c>
      <c r="BD62" s="224"/>
      <c r="BE62" s="224"/>
      <c r="BF62" s="225"/>
      <c r="BG62" s="223" t="s">
        <v>17</v>
      </c>
      <c r="BH62" s="224"/>
      <c r="BI62" s="224"/>
      <c r="BJ62" s="225"/>
      <c r="BK62" s="223" t="s">
        <v>18</v>
      </c>
      <c r="BL62" s="224"/>
      <c r="BM62" s="224"/>
      <c r="BN62" s="225"/>
      <c r="BO62" s="229" t="s">
        <v>152</v>
      </c>
      <c r="BP62" s="230"/>
      <c r="BQ62" s="229" t="s">
        <v>26</v>
      </c>
      <c r="BR62" s="231"/>
      <c r="BS62" s="145" t="s">
        <v>154</v>
      </c>
      <c r="BT62" s="145" t="s">
        <v>155</v>
      </c>
      <c r="BU62" s="222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-0.33000000000000007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-0.33000000000000007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-0.33000000000000007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0.49500000000000011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4.543000000000001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8.4589999999999996</v>
      </c>
      <c r="BT64" s="88">
        <f t="shared" ref="BT64:BT72" si="51">(BQ64+BR64)/2</f>
        <v>8.4315000000000015</v>
      </c>
      <c r="BU64" s="134">
        <f t="shared" ref="BU64:BU72" si="52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-0.32999999999999996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5.8150000000000004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10.635000000000002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14.1835</v>
      </c>
      <c r="BT66" s="88">
        <f t="shared" si="51"/>
        <v>14.170999999999999</v>
      </c>
      <c r="BU66" s="134">
        <f t="shared" si="52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-0.32999999999999996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5.8150000000000004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10.635000000000002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14.1835</v>
      </c>
      <c r="BT68" s="88">
        <f t="shared" si="51"/>
        <v>14.170999999999999</v>
      </c>
      <c r="BU68" s="134">
        <f t="shared" si="52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-0.32999999999999996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5.8150000000000004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10.635000000000002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14.1835</v>
      </c>
      <c r="BT69" s="88">
        <f t="shared" si="51"/>
        <v>14.170999999999999</v>
      </c>
      <c r="BU69" s="134">
        <f t="shared" si="52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-0.33000000000000007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3.8899999999999997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8.6900000000000013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12.538500000000001</v>
      </c>
      <c r="BT70" s="88">
        <f t="shared" si="51"/>
        <v>12.5185</v>
      </c>
      <c r="BU70" s="134">
        <f t="shared" si="52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-0.33000000000000007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4.7150000000000007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9.7550000000000008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13.300999999999998</v>
      </c>
      <c r="BT71" s="88">
        <f t="shared" si="51"/>
        <v>13.308499999999999</v>
      </c>
      <c r="BU71" s="134">
        <f t="shared" si="52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-0.33000000000000007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4.7150000000000007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9.7550000000000008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13.300999999999998</v>
      </c>
      <c r="BT72" s="94">
        <f t="shared" si="51"/>
        <v>13.308499999999999</v>
      </c>
      <c r="BU72" s="135">
        <f t="shared" si="52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32" t="s">
        <v>126</v>
      </c>
      <c r="F89" s="233"/>
      <c r="G89" s="233"/>
      <c r="H89" s="233"/>
      <c r="I89" s="233"/>
      <c r="J89" s="233"/>
      <c r="K89" s="233"/>
      <c r="L89" s="234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32" t="s">
        <v>134</v>
      </c>
      <c r="F95" s="233"/>
      <c r="G95" s="233"/>
      <c r="H95" s="233"/>
      <c r="I95" s="233"/>
      <c r="J95" s="233"/>
      <c r="K95" s="233"/>
      <c r="L95" s="234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187">
        <f t="shared" ref="E97:E99" si="65">E77*F$90+E$90*F77-F77*F$90</f>
        <v>-0.33000000000000007</v>
      </c>
      <c r="F97" s="179">
        <f t="shared" ref="F97:G99" si="66">F77*F$90</f>
        <v>1.5400000000000003</v>
      </c>
      <c r="G97" s="179">
        <f t="shared" si="66"/>
        <v>3.52</v>
      </c>
      <c r="H97" s="188">
        <f t="shared" ref="H97:H99" si="67">G77*H$90+G$90*H77-G77*G$90</f>
        <v>5.0600000000000005</v>
      </c>
      <c r="I97" s="187">
        <f t="shared" ref="I97:I99" si="68">I77*J$90+I$90*J77-J77*J$90</f>
        <v>0.19999999999999996</v>
      </c>
      <c r="J97" s="179">
        <f t="shared" ref="J97:K99" si="69">J77*J$90</f>
        <v>1.5400000000000003</v>
      </c>
      <c r="K97" s="179">
        <f t="shared" si="69"/>
        <v>3.52</v>
      </c>
      <c r="L97" s="188">
        <f t="shared" ref="L97:L99" si="7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65"/>
        <v>2.2549999999999999</v>
      </c>
      <c r="F98">
        <f t="shared" si="66"/>
        <v>3.8500000000000005</v>
      </c>
      <c r="G98">
        <f t="shared" si="66"/>
        <v>6.16</v>
      </c>
      <c r="H98" s="88">
        <f t="shared" si="67"/>
        <v>9.1550000000000011</v>
      </c>
      <c r="I98" s="87">
        <f t="shared" si="68"/>
        <v>2.7399999999999993</v>
      </c>
      <c r="J98">
        <f t="shared" si="69"/>
        <v>3.8500000000000005</v>
      </c>
      <c r="K98">
        <f t="shared" si="69"/>
        <v>6.16</v>
      </c>
      <c r="L98" s="88">
        <f t="shared" si="7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65"/>
        <v>3.8900000000000006</v>
      </c>
      <c r="F99" s="93">
        <f t="shared" si="66"/>
        <v>7</v>
      </c>
      <c r="G99" s="93">
        <f t="shared" si="66"/>
        <v>8</v>
      </c>
      <c r="H99" s="94">
        <f t="shared" si="67"/>
        <v>9.5</v>
      </c>
      <c r="I99" s="91">
        <f t="shared" si="68"/>
        <v>4.8099999999999987</v>
      </c>
      <c r="J99" s="93">
        <f t="shared" si="69"/>
        <v>7</v>
      </c>
      <c r="K99" s="93">
        <f t="shared" si="69"/>
        <v>8</v>
      </c>
      <c r="L99" s="94">
        <f t="shared" si="7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187">
        <f t="shared" ref="E101:E103" si="71">E77*F$91+E$91*F77-F77*F$91</f>
        <v>-0.33000000000000007</v>
      </c>
      <c r="F101" s="179">
        <f t="shared" ref="F101:G103" si="72">F77*F$91</f>
        <v>1.5400000000000003</v>
      </c>
      <c r="G101" s="179">
        <f t="shared" si="72"/>
        <v>3.52</v>
      </c>
      <c r="H101" s="188">
        <f t="shared" ref="H101:H103" si="73">G77*H$91+G$91*H77-G77*G$91</f>
        <v>5.0600000000000005</v>
      </c>
      <c r="I101" s="187">
        <f t="shared" ref="I101:I103" si="74">I77*J$91+I$91*J77-J77*J$91</f>
        <v>0.19999999999999996</v>
      </c>
      <c r="J101" s="179">
        <f t="shared" ref="J101:K103" si="75">J77*J$91</f>
        <v>1.5400000000000003</v>
      </c>
      <c r="K101" s="179">
        <f t="shared" si="75"/>
        <v>3.52</v>
      </c>
      <c r="L101" s="188">
        <f t="shared" ref="L101:L103" si="76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71"/>
        <v>2.2549999999999999</v>
      </c>
      <c r="F102">
        <f t="shared" si="72"/>
        <v>3.8500000000000005</v>
      </c>
      <c r="G102">
        <f t="shared" si="72"/>
        <v>6.16</v>
      </c>
      <c r="H102" s="88">
        <f t="shared" si="73"/>
        <v>9.1550000000000011</v>
      </c>
      <c r="I102" s="87">
        <f t="shared" si="74"/>
        <v>2.7399999999999993</v>
      </c>
      <c r="J102">
        <f t="shared" si="75"/>
        <v>3.8500000000000005</v>
      </c>
      <c r="K102">
        <f t="shared" si="75"/>
        <v>6.16</v>
      </c>
      <c r="L102" s="88">
        <f t="shared" si="76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1"/>
        <v>3.8900000000000006</v>
      </c>
      <c r="F103" s="93">
        <f t="shared" si="72"/>
        <v>7</v>
      </c>
      <c r="G103" s="93">
        <f t="shared" si="72"/>
        <v>8</v>
      </c>
      <c r="H103" s="94">
        <f t="shared" si="73"/>
        <v>9.5</v>
      </c>
      <c r="I103" s="91">
        <f t="shared" si="74"/>
        <v>4.8099999999999987</v>
      </c>
      <c r="J103" s="93">
        <f t="shared" si="75"/>
        <v>7</v>
      </c>
      <c r="K103" s="93">
        <f t="shared" si="75"/>
        <v>8</v>
      </c>
      <c r="L103" s="94">
        <f t="shared" si="76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187">
        <f t="shared" ref="E105:E107" si="77">E77*F$92+E$92*F77-F77*F$92</f>
        <v>-0.32999999999999996</v>
      </c>
      <c r="F105" s="179">
        <f t="shared" ref="F105:G107" si="78">F77*F$92</f>
        <v>0.9900000000000001</v>
      </c>
      <c r="G105" s="179">
        <f t="shared" si="78"/>
        <v>2.42</v>
      </c>
      <c r="H105" s="188">
        <f t="shared" ref="H105:H107" si="79">G77*H$92+G$92*H77-G77*G$92</f>
        <v>3.6850000000000005</v>
      </c>
      <c r="I105" s="187">
        <f t="shared" ref="I105:I107" si="80">I77*J$92+I$92*J77-J77*J$92</f>
        <v>4.9999999999999933E-2</v>
      </c>
      <c r="J105" s="179">
        <f t="shared" ref="J105:K107" si="81">J77*J$92</f>
        <v>0.9900000000000001</v>
      </c>
      <c r="K105" s="179">
        <f t="shared" si="81"/>
        <v>2.42</v>
      </c>
      <c r="L105" s="188">
        <f t="shared" ref="L105:L107" si="82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77"/>
        <v>1.1550000000000002</v>
      </c>
      <c r="F106">
        <f t="shared" si="78"/>
        <v>2.4750000000000001</v>
      </c>
      <c r="G106">
        <f t="shared" si="78"/>
        <v>4.2350000000000003</v>
      </c>
      <c r="H106" s="88">
        <f t="shared" si="79"/>
        <v>6.6550000000000002</v>
      </c>
      <c r="I106" s="87">
        <f t="shared" si="80"/>
        <v>1.5650000000000008</v>
      </c>
      <c r="J106">
        <f t="shared" si="81"/>
        <v>2.4750000000000001</v>
      </c>
      <c r="K106">
        <f t="shared" si="81"/>
        <v>4.2350000000000003</v>
      </c>
      <c r="L106" s="88">
        <f t="shared" si="82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77"/>
        <v>1.9649999999999999</v>
      </c>
      <c r="F107" s="93">
        <f t="shared" si="78"/>
        <v>4.5</v>
      </c>
      <c r="G107" s="93">
        <f t="shared" si="78"/>
        <v>5.5</v>
      </c>
      <c r="H107" s="94">
        <f t="shared" si="79"/>
        <v>7</v>
      </c>
      <c r="I107" s="91">
        <f t="shared" si="80"/>
        <v>2.7349999999999994</v>
      </c>
      <c r="J107" s="93">
        <f t="shared" si="81"/>
        <v>4.5</v>
      </c>
      <c r="K107" s="93">
        <f t="shared" si="81"/>
        <v>5.5</v>
      </c>
      <c r="L107" s="94">
        <f t="shared" si="82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15" t="s">
        <v>85</v>
      </c>
      <c r="B113" s="215" t="s">
        <v>86</v>
      </c>
      <c r="C113" s="238" t="s">
        <v>87</v>
      </c>
      <c r="D113" s="239" t="s">
        <v>127</v>
      </c>
      <c r="E113" s="237"/>
      <c r="F113" s="237"/>
      <c r="G113" s="237" t="s">
        <v>128</v>
      </c>
      <c r="H113" s="237"/>
      <c r="I113" s="237"/>
      <c r="J113" s="235" t="s">
        <v>157</v>
      </c>
      <c r="K113" s="223" t="s">
        <v>150</v>
      </c>
      <c r="L113" s="224"/>
      <c r="M113" s="224"/>
      <c r="N113" s="224"/>
      <c r="O113" s="224"/>
      <c r="P113" s="224"/>
      <c r="Q113" s="224"/>
      <c r="R113" s="225"/>
      <c r="S113" s="223" t="s">
        <v>148</v>
      </c>
      <c r="T113" s="224"/>
      <c r="U113" s="224"/>
      <c r="V113" s="224"/>
      <c r="W113" s="224"/>
      <c r="X113" s="224"/>
      <c r="Y113" s="224"/>
      <c r="Z113" s="225"/>
      <c r="AA113" s="223" t="s">
        <v>149</v>
      </c>
      <c r="AB113" s="224"/>
      <c r="AC113" s="224"/>
      <c r="AD113" s="224"/>
      <c r="AE113" s="224"/>
      <c r="AF113" s="224"/>
      <c r="AG113" s="224"/>
      <c r="AH113" s="225"/>
      <c r="AI113" s="223" t="s">
        <v>147</v>
      </c>
      <c r="AJ113" s="224"/>
      <c r="AK113" s="224"/>
      <c r="AL113" s="224"/>
      <c r="AM113" s="224"/>
      <c r="AN113" s="224"/>
      <c r="AO113" s="224"/>
      <c r="AP113" s="225"/>
      <c r="AQ113" s="223" t="s">
        <v>158</v>
      </c>
      <c r="AR113" s="224"/>
      <c r="AS113" s="224"/>
      <c r="AT113" s="224"/>
      <c r="AU113" s="224"/>
      <c r="AV113" s="224"/>
      <c r="AW113" s="224"/>
      <c r="AX113" s="225"/>
      <c r="AY113" s="223" t="s">
        <v>159</v>
      </c>
      <c r="AZ113" s="224"/>
      <c r="BA113" s="224"/>
      <c r="BB113" s="224"/>
      <c r="BC113" s="224"/>
      <c r="BD113" s="224"/>
      <c r="BE113" s="224"/>
      <c r="BF113" s="225"/>
      <c r="BG113" s="223" t="s">
        <v>205</v>
      </c>
      <c r="BH113" s="224"/>
      <c r="BI113" s="224"/>
      <c r="BJ113" s="224"/>
      <c r="BK113" s="224"/>
      <c r="BL113" s="224"/>
      <c r="BM113" s="224"/>
      <c r="BN113" s="225"/>
      <c r="BO113" s="226" t="s">
        <v>151</v>
      </c>
      <c r="BP113" s="227"/>
      <c r="BQ113" s="227"/>
      <c r="BR113" s="228"/>
      <c r="BS113" s="219" t="s">
        <v>153</v>
      </c>
      <c r="BT113" s="220"/>
      <c r="BU113" s="221" t="s">
        <v>156</v>
      </c>
    </row>
    <row r="114" spans="1:73" s="97" customFormat="1" ht="23.25" customHeight="1" thickBot="1" x14ac:dyDescent="0.3">
      <c r="A114" s="215"/>
      <c r="B114" s="215"/>
      <c r="C114" s="238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36"/>
      <c r="K114" s="223" t="s">
        <v>17</v>
      </c>
      <c r="L114" s="224"/>
      <c r="M114" s="224"/>
      <c r="N114" s="225"/>
      <c r="O114" s="223" t="s">
        <v>18</v>
      </c>
      <c r="P114" s="224"/>
      <c r="Q114" s="224"/>
      <c r="R114" s="225"/>
      <c r="S114" s="223" t="s">
        <v>17</v>
      </c>
      <c r="T114" s="224"/>
      <c r="U114" s="224"/>
      <c r="V114" s="225"/>
      <c r="W114" s="223" t="s">
        <v>18</v>
      </c>
      <c r="X114" s="224"/>
      <c r="Y114" s="224"/>
      <c r="Z114" s="225"/>
      <c r="AA114" s="223" t="s">
        <v>17</v>
      </c>
      <c r="AB114" s="224"/>
      <c r="AC114" s="224"/>
      <c r="AD114" s="225"/>
      <c r="AE114" s="223" t="s">
        <v>18</v>
      </c>
      <c r="AF114" s="224"/>
      <c r="AG114" s="224"/>
      <c r="AH114" s="225"/>
      <c r="AI114" s="223" t="s">
        <v>17</v>
      </c>
      <c r="AJ114" s="224"/>
      <c r="AK114" s="224"/>
      <c r="AL114" s="225"/>
      <c r="AM114" s="223" t="s">
        <v>18</v>
      </c>
      <c r="AN114" s="224"/>
      <c r="AO114" s="224"/>
      <c r="AP114" s="225"/>
      <c r="AQ114" s="223" t="s">
        <v>17</v>
      </c>
      <c r="AR114" s="224"/>
      <c r="AS114" s="224"/>
      <c r="AT114" s="225"/>
      <c r="AU114" s="223" t="s">
        <v>18</v>
      </c>
      <c r="AV114" s="224"/>
      <c r="AW114" s="224"/>
      <c r="AX114" s="225"/>
      <c r="AY114" s="223" t="s">
        <v>17</v>
      </c>
      <c r="AZ114" s="224"/>
      <c r="BA114" s="224"/>
      <c r="BB114" s="225"/>
      <c r="BC114" s="223" t="s">
        <v>18</v>
      </c>
      <c r="BD114" s="224"/>
      <c r="BE114" s="224"/>
      <c r="BF114" s="225"/>
      <c r="BG114" s="223" t="s">
        <v>17</v>
      </c>
      <c r="BH114" s="224"/>
      <c r="BI114" s="224"/>
      <c r="BJ114" s="225"/>
      <c r="BK114" s="223" t="s">
        <v>18</v>
      </c>
      <c r="BL114" s="224"/>
      <c r="BM114" s="224"/>
      <c r="BN114" s="225"/>
      <c r="BO114" s="229" t="s">
        <v>152</v>
      </c>
      <c r="BP114" s="230"/>
      <c r="BQ114" s="229" t="s">
        <v>26</v>
      </c>
      <c r="BR114" s="231"/>
      <c r="BS114" s="145" t="s">
        <v>154</v>
      </c>
      <c r="BT114" s="145" t="s">
        <v>155</v>
      </c>
      <c r="BU114" s="222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-0.10999999999999999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-0.32999999999999996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-0.33000000000000007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-5.5000000000000049E-2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2.8930000000000007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6.0365000000000002</v>
      </c>
      <c r="BT116" s="88">
        <f t="shared" ref="BT116:BT124" si="93">(BQ116+BR116)/2</f>
        <v>5.9975000000000005</v>
      </c>
      <c r="BU116" s="134">
        <f t="shared" ref="BU116:BU124" si="9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-0.33000000000000007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1.8650000000000002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5.1850000000000005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8.5160000000000018</v>
      </c>
      <c r="BT118" s="88">
        <f t="shared" si="93"/>
        <v>8.4635000000000016</v>
      </c>
      <c r="BU118" s="134">
        <f t="shared" si="9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-0.33000000000000007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2.2399999999999998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6.1599999999999993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9.2334999999999994</v>
      </c>
      <c r="BT119" s="88">
        <f t="shared" si="93"/>
        <v>9.2219999999999995</v>
      </c>
      <c r="BU119" s="134">
        <f t="shared" si="9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-0.10999999999999999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-0.33000000000000007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0.7150000000000003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3.7069999999999999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6.886000000000001</v>
      </c>
      <c r="BT120" s="88">
        <f t="shared" si="93"/>
        <v>6.8369000000000009</v>
      </c>
      <c r="BU120" s="134">
        <f t="shared" si="9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-0.33000000000000007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1.8650000000000002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5.1850000000000005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8.5160000000000018</v>
      </c>
      <c r="BT121" s="88">
        <f t="shared" si="93"/>
        <v>8.4635000000000016</v>
      </c>
      <c r="BU121" s="134">
        <f t="shared" si="9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-0.32999999999999996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4.1650000000000009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8.1050000000000004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10.878500000000001</v>
      </c>
      <c r="BT122" s="88">
        <f t="shared" si="93"/>
        <v>10.874500000000001</v>
      </c>
      <c r="BU122" s="134">
        <f t="shared" si="9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-0.33000000000000007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2.2399999999999998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6.1599999999999993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9.2334999999999994</v>
      </c>
      <c r="BT123" s="88">
        <f t="shared" si="93"/>
        <v>9.2219999999999995</v>
      </c>
      <c r="BU123" s="134">
        <f t="shared" si="9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-0.10999999999999999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4.1099999999999994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7.854000000000001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10.9655</v>
      </c>
      <c r="BT124" s="94">
        <f t="shared" si="93"/>
        <v>10.9239</v>
      </c>
      <c r="BU124" s="135">
        <f t="shared" si="9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32" t="s">
        <v>126</v>
      </c>
      <c r="F141" s="233"/>
      <c r="G141" s="233"/>
      <c r="H141" s="233"/>
      <c r="I141" s="233"/>
      <c r="J141" s="233"/>
      <c r="K141" s="233"/>
      <c r="L141" s="234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32" t="s">
        <v>134</v>
      </c>
      <c r="F147" s="233"/>
      <c r="G147" s="233"/>
      <c r="H147" s="233"/>
      <c r="I147" s="233"/>
      <c r="J147" s="233"/>
      <c r="K147" s="233"/>
      <c r="L147" s="234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187">
        <f t="shared" ref="E149:E151" si="107">E129*F$142+E$142*F129-F129*F$142</f>
        <v>-0.10999999999999999</v>
      </c>
      <c r="F149" s="179">
        <f t="shared" ref="F149:G151" si="108">F129*F$142</f>
        <v>0.44000000000000006</v>
      </c>
      <c r="G149" s="179">
        <f t="shared" si="108"/>
        <v>1.32</v>
      </c>
      <c r="H149" s="188">
        <f t="shared" ref="H149:H151" si="109">G129*H$142+G$142*H129-G129*G$142</f>
        <v>2.3099999999999996</v>
      </c>
      <c r="I149" s="187">
        <f t="shared" ref="I149:I151" si="110">I129*J$142+I$142*J129-J129*J$142</f>
        <v>5.3999999999999992E-2</v>
      </c>
      <c r="J149" s="179">
        <f t="shared" ref="J149:K151" si="111">J129*J$142</f>
        <v>0.44000000000000006</v>
      </c>
      <c r="K149" s="179">
        <f t="shared" si="111"/>
        <v>1.32</v>
      </c>
      <c r="L149" s="188">
        <f t="shared" ref="L149:L151" si="112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07"/>
        <v>0.60499999999999998</v>
      </c>
      <c r="F150">
        <f t="shared" si="108"/>
        <v>1.1000000000000001</v>
      </c>
      <c r="G150">
        <f t="shared" si="108"/>
        <v>2.31</v>
      </c>
      <c r="H150" s="88">
        <f t="shared" si="109"/>
        <v>4.1549999999999994</v>
      </c>
      <c r="I150" s="87">
        <f t="shared" si="110"/>
        <v>0.77499999999999991</v>
      </c>
      <c r="J150">
        <f t="shared" si="111"/>
        <v>1.1000000000000001</v>
      </c>
      <c r="K150">
        <f t="shared" si="111"/>
        <v>2.31</v>
      </c>
      <c r="L150" s="88">
        <f t="shared" si="112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07"/>
        <v>1.04</v>
      </c>
      <c r="F151" s="93">
        <f t="shared" si="108"/>
        <v>2</v>
      </c>
      <c r="G151" s="93">
        <f t="shared" si="108"/>
        <v>3</v>
      </c>
      <c r="H151" s="94">
        <f t="shared" si="109"/>
        <v>4.5</v>
      </c>
      <c r="I151" s="91">
        <f t="shared" si="110"/>
        <v>1.3599999999999999</v>
      </c>
      <c r="J151" s="93">
        <f t="shared" si="111"/>
        <v>2</v>
      </c>
      <c r="K151" s="93">
        <f t="shared" si="111"/>
        <v>3</v>
      </c>
      <c r="L151" s="94">
        <f t="shared" si="112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187">
        <f t="shared" ref="E153:E155" si="113">E129*F$143+E$143*F129-F129*F$143</f>
        <v>-0.32999999999999996</v>
      </c>
      <c r="F153" s="179">
        <f t="shared" ref="F153:G155" si="114">F129*F$143</f>
        <v>0.9900000000000001</v>
      </c>
      <c r="G153" s="179">
        <f t="shared" si="114"/>
        <v>2.42</v>
      </c>
      <c r="H153" s="188">
        <f t="shared" ref="H153:H155" si="115">G129*H$143+G$143*H129-G129*G$143</f>
        <v>3.6850000000000005</v>
      </c>
      <c r="I153" s="187">
        <f t="shared" ref="I153:I155" si="116">I129*J$143+I$143*J129-J129*J$143</f>
        <v>4.9999999999999933E-2</v>
      </c>
      <c r="J153" s="179">
        <f t="shared" ref="J153:K155" si="117">J129*J$143</f>
        <v>0.9900000000000001</v>
      </c>
      <c r="K153" s="179">
        <f t="shared" si="117"/>
        <v>2.42</v>
      </c>
      <c r="L153" s="188">
        <f t="shared" ref="L153:L155" si="118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13"/>
        <v>1.1550000000000002</v>
      </c>
      <c r="F154">
        <f t="shared" si="114"/>
        <v>2.4750000000000001</v>
      </c>
      <c r="G154">
        <f t="shared" si="114"/>
        <v>4.2350000000000003</v>
      </c>
      <c r="H154" s="88">
        <f t="shared" si="115"/>
        <v>6.6550000000000002</v>
      </c>
      <c r="I154" s="87">
        <f t="shared" si="116"/>
        <v>1.5650000000000008</v>
      </c>
      <c r="J154">
        <f t="shared" si="117"/>
        <v>2.4750000000000001</v>
      </c>
      <c r="K154">
        <f t="shared" si="117"/>
        <v>4.2350000000000003</v>
      </c>
      <c r="L154" s="88">
        <f t="shared" si="118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3"/>
        <v>1.9649999999999999</v>
      </c>
      <c r="F155" s="93">
        <f t="shared" si="114"/>
        <v>4.5</v>
      </c>
      <c r="G155" s="93">
        <f t="shared" si="114"/>
        <v>5.5</v>
      </c>
      <c r="H155" s="94">
        <f t="shared" si="115"/>
        <v>7</v>
      </c>
      <c r="I155" s="91">
        <f t="shared" si="116"/>
        <v>2.7349999999999994</v>
      </c>
      <c r="J155" s="93">
        <f t="shared" si="117"/>
        <v>4.5</v>
      </c>
      <c r="K155" s="93">
        <f t="shared" si="117"/>
        <v>5.5</v>
      </c>
      <c r="L155" s="94">
        <f t="shared" si="118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187">
        <f t="shared" ref="E157:E159" si="119">E129*F$144+E$144*F129-F129*F$144</f>
        <v>-0.33000000000000007</v>
      </c>
      <c r="F157" s="179">
        <f t="shared" ref="F157:G159" si="120">F129*F$144</f>
        <v>1.5400000000000003</v>
      </c>
      <c r="G157" s="179">
        <f t="shared" si="120"/>
        <v>3.52</v>
      </c>
      <c r="H157" s="188">
        <f t="shared" ref="H157:H159" si="121">G129*H$144+G$144*H129-G129*G$144</f>
        <v>5.0600000000000005</v>
      </c>
      <c r="I157" s="187">
        <f t="shared" ref="I157:I159" si="122">I129*J$144+I$144*J129-J129*J$144</f>
        <v>0.19999999999999996</v>
      </c>
      <c r="J157" s="179">
        <f t="shared" ref="J157:K159" si="123">J129*J$144</f>
        <v>1.5400000000000003</v>
      </c>
      <c r="K157" s="179">
        <f t="shared" si="123"/>
        <v>3.52</v>
      </c>
      <c r="L157" s="188">
        <f t="shared" ref="L157:L159" si="12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19"/>
        <v>2.2549999999999999</v>
      </c>
      <c r="F158">
        <f t="shared" si="120"/>
        <v>3.8500000000000005</v>
      </c>
      <c r="G158">
        <f t="shared" si="120"/>
        <v>6.16</v>
      </c>
      <c r="H158" s="88">
        <f t="shared" si="121"/>
        <v>9.1550000000000011</v>
      </c>
      <c r="I158" s="87">
        <f t="shared" si="122"/>
        <v>2.7399999999999993</v>
      </c>
      <c r="J158">
        <f t="shared" si="123"/>
        <v>3.8500000000000005</v>
      </c>
      <c r="K158">
        <f t="shared" si="123"/>
        <v>6.16</v>
      </c>
      <c r="L158" s="88">
        <f t="shared" si="12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19"/>
        <v>3.8900000000000006</v>
      </c>
      <c r="F159" s="93">
        <f t="shared" si="120"/>
        <v>7</v>
      </c>
      <c r="G159" s="93">
        <f t="shared" si="120"/>
        <v>8</v>
      </c>
      <c r="H159" s="94">
        <f t="shared" si="121"/>
        <v>9.5</v>
      </c>
      <c r="I159" s="91">
        <f t="shared" si="122"/>
        <v>4.8099999999999987</v>
      </c>
      <c r="J159" s="93">
        <f t="shared" si="123"/>
        <v>7</v>
      </c>
      <c r="K159" s="93">
        <f t="shared" si="123"/>
        <v>8</v>
      </c>
      <c r="L159" s="94">
        <f t="shared" si="124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246" t="s">
        <v>86</v>
      </c>
      <c r="B177" s="240" t="s">
        <v>209</v>
      </c>
      <c r="C177" s="241"/>
      <c r="D177" s="241"/>
      <c r="E177" s="241"/>
      <c r="F177" s="241"/>
      <c r="G177" s="241"/>
      <c r="H177" s="241"/>
      <c r="I177" s="242"/>
      <c r="J177" s="240" t="s">
        <v>210</v>
      </c>
      <c r="K177" s="241"/>
      <c r="L177" s="241"/>
      <c r="M177" s="241"/>
      <c r="N177" s="241"/>
      <c r="O177" s="241"/>
      <c r="P177" s="241"/>
      <c r="Q177" s="242"/>
      <c r="R177" s="240" t="s">
        <v>211</v>
      </c>
      <c r="S177" s="241"/>
      <c r="T177" s="241"/>
      <c r="U177" s="241"/>
      <c r="V177" s="241"/>
      <c r="W177" s="241"/>
      <c r="X177" s="241"/>
      <c r="Y177" s="242"/>
    </row>
    <row r="178" spans="1:32" ht="33.75" customHeight="1" thickBot="1" x14ac:dyDescent="0.3">
      <c r="A178" s="247"/>
      <c r="B178" s="243" t="s">
        <v>17</v>
      </c>
      <c r="C178" s="244"/>
      <c r="D178" s="244"/>
      <c r="E178" s="245"/>
      <c r="F178" s="240" t="s">
        <v>18</v>
      </c>
      <c r="G178" s="244"/>
      <c r="H178" s="244"/>
      <c r="I178" s="245"/>
      <c r="J178" s="243" t="s">
        <v>17</v>
      </c>
      <c r="K178" s="244"/>
      <c r="L178" s="244"/>
      <c r="M178" s="245"/>
      <c r="N178" s="240" t="s">
        <v>18</v>
      </c>
      <c r="O178" s="244"/>
      <c r="P178" s="244"/>
      <c r="Q178" s="245"/>
      <c r="R178" s="243" t="s">
        <v>17</v>
      </c>
      <c r="S178" s="244"/>
      <c r="T178" s="244"/>
      <c r="U178" s="245"/>
      <c r="V178" s="240" t="s">
        <v>18</v>
      </c>
      <c r="W178" s="244"/>
      <c r="X178" s="244"/>
      <c r="Y178" s="245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3.8899999999999997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4.9350000000000005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0.71500000000000019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0.49500000000000011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-5.5000000000000049E-2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5.8150000000000004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1.8650000000000002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2.2399999999999998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4.1650000000000009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5.8150000000000004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0.7150000000000003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4.1650000000000009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5.8150000000000004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1.8650000000000002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3.8899999999999997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4.1650000000000009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4.7150000000000007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2.2399999999999998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1.8650000000000002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4.7150000000000007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4.1099999999999994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246" t="s">
        <v>86</v>
      </c>
      <c r="B191" s="240" t="s">
        <v>214</v>
      </c>
      <c r="C191" s="241"/>
      <c r="D191" s="241"/>
      <c r="E191" s="241"/>
      <c r="F191" s="241"/>
      <c r="G191" s="241"/>
      <c r="H191" s="241"/>
      <c r="I191" s="242"/>
      <c r="J191" s="240" t="s">
        <v>215</v>
      </c>
      <c r="K191" s="241"/>
      <c r="L191" s="241"/>
      <c r="M191" s="241"/>
      <c r="N191" s="241"/>
      <c r="O191" s="241"/>
      <c r="P191" s="241"/>
      <c r="Q191" s="242"/>
      <c r="R191" s="223" t="s">
        <v>216</v>
      </c>
      <c r="S191" s="224"/>
      <c r="T191" s="224"/>
      <c r="U191" s="224"/>
      <c r="V191" s="224"/>
      <c r="W191" s="224"/>
      <c r="X191" s="224"/>
      <c r="Y191" s="225"/>
      <c r="Z191" s="226" t="s">
        <v>151</v>
      </c>
      <c r="AA191" s="227"/>
      <c r="AB191" s="227"/>
      <c r="AC191" s="228"/>
      <c r="AD191" s="219" t="s">
        <v>153</v>
      </c>
      <c r="AE191" s="220"/>
      <c r="AF191" s="221" t="s">
        <v>156</v>
      </c>
    </row>
    <row r="192" spans="1:32" ht="27.75" customHeight="1" thickBot="1" x14ac:dyDescent="0.3">
      <c r="A192" s="247"/>
      <c r="B192" s="243" t="s">
        <v>17</v>
      </c>
      <c r="C192" s="244"/>
      <c r="D192" s="244"/>
      <c r="E192" s="245"/>
      <c r="F192" s="240" t="s">
        <v>18</v>
      </c>
      <c r="G192" s="244"/>
      <c r="H192" s="244"/>
      <c r="I192" s="245"/>
      <c r="J192" s="243" t="s">
        <v>17</v>
      </c>
      <c r="K192" s="244"/>
      <c r="L192" s="244"/>
      <c r="M192" s="245"/>
      <c r="N192" s="240" t="s">
        <v>18</v>
      </c>
      <c r="O192" s="244"/>
      <c r="P192" s="244"/>
      <c r="Q192" s="245"/>
      <c r="R192" s="223" t="s">
        <v>17</v>
      </c>
      <c r="S192" s="224"/>
      <c r="T192" s="224"/>
      <c r="U192" s="225"/>
      <c r="V192" s="223" t="s">
        <v>18</v>
      </c>
      <c r="W192" s="224"/>
      <c r="X192" s="224"/>
      <c r="Y192" s="225"/>
      <c r="Z192" s="229" t="s">
        <v>152</v>
      </c>
      <c r="AA192" s="230"/>
      <c r="AB192" s="229" t="s">
        <v>26</v>
      </c>
      <c r="AC192" s="231"/>
      <c r="AD192" s="145" t="s">
        <v>154</v>
      </c>
      <c r="AE192" s="145" t="s">
        <v>155</v>
      </c>
      <c r="AF192" s="222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1.9449999999999998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5.1750000000000007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10.031000000000001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13.306999999999999</v>
      </c>
      <c r="AE193" s="84">
        <f>(AB193+AC193)/2</f>
        <v>13.30875</v>
      </c>
      <c r="AF193" s="133">
        <f>(AD193+AE193)/2</f>
        <v>13.307874999999999</v>
      </c>
    </row>
    <row r="194" spans="1:40" x14ac:dyDescent="0.25">
      <c r="A194" s="164" t="s">
        <v>73</v>
      </c>
      <c r="B194" s="9">
        <f t="shared" ref="B194:I202" si="153">B180*$C$164</f>
        <v>0.3575000000000001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0.24750000000000005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0.6050000000000002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4.1250000000000009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7.6725000000000012</v>
      </c>
      <c r="AE194" s="88">
        <f t="shared" ref="AE194:AE202" si="160">(AB194+AC194)/2</f>
        <v>7.6342000000000008</v>
      </c>
      <c r="AF194" s="134">
        <f t="shared" ref="AF194:AF202" si="161">(AD194+AE194)/2</f>
        <v>7.6533500000000014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2.9075000000000002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5.7325000000000008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10.112499999999999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13.41375</v>
      </c>
      <c r="AE196" s="88">
        <f t="shared" si="160"/>
        <v>13.385</v>
      </c>
      <c r="AF196" s="134">
        <f t="shared" si="161"/>
        <v>13.399374999999999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2.0825000000000005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2.9075000000000002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4.99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9.3699999999999992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12.530999999999999</v>
      </c>
      <c r="AE198" s="88">
        <f t="shared" si="160"/>
        <v>12.522749999999998</v>
      </c>
      <c r="AF198" s="134">
        <f t="shared" si="161"/>
        <v>12.526874999999999</v>
      </c>
    </row>
    <row r="199" spans="1:40" x14ac:dyDescent="0.25">
      <c r="A199" s="164" t="s">
        <v>79</v>
      </c>
      <c r="B199" s="9">
        <f t="shared" si="153"/>
        <v>2.0825000000000005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2.9075000000000002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4.99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9.3699999999999992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12.530999999999999</v>
      </c>
      <c r="AE199" s="88">
        <f t="shared" si="160"/>
        <v>12.522749999999998</v>
      </c>
      <c r="AF199" s="134">
        <f t="shared" si="161"/>
        <v>12.526874999999999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1.9449999999999998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4.5749999999999993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9.011000000000001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12.567</v>
      </c>
      <c r="AE200" s="88">
        <f t="shared" si="160"/>
        <v>12.534500000000001</v>
      </c>
      <c r="AF200" s="134">
        <f t="shared" si="161"/>
        <v>12.550750000000001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2.3575000000000004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4.5825000000000005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8.6525000000000016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12.232500000000002</v>
      </c>
      <c r="AE201" s="88">
        <f t="shared" si="160"/>
        <v>12.179500000000001</v>
      </c>
      <c r="AF201" s="134">
        <f t="shared" si="161"/>
        <v>12.206000000000001</v>
      </c>
    </row>
    <row r="202" spans="1:40" ht="15.75" thickBot="1" x14ac:dyDescent="0.3">
      <c r="A202" s="165" t="s">
        <v>83</v>
      </c>
      <c r="B202" s="160">
        <f t="shared" si="153"/>
        <v>0.93250000000000011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2.3575000000000004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3.2900000000000005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7.4700000000000006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10.9085</v>
      </c>
      <c r="AE202" s="94">
        <f t="shared" si="160"/>
        <v>10.885999999999999</v>
      </c>
      <c r="AF202" s="135">
        <f t="shared" si="161"/>
        <v>10.89725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246" t="s">
        <v>86</v>
      </c>
      <c r="B205" s="240" t="s">
        <v>214</v>
      </c>
      <c r="C205" s="241"/>
      <c r="D205" s="241"/>
      <c r="E205" s="241"/>
      <c r="F205" s="241"/>
      <c r="G205" s="241"/>
      <c r="H205" s="241"/>
      <c r="I205" s="242"/>
      <c r="J205" s="240" t="s">
        <v>215</v>
      </c>
      <c r="K205" s="241"/>
      <c r="L205" s="241"/>
      <c r="M205" s="241"/>
      <c r="N205" s="241"/>
      <c r="O205" s="241"/>
      <c r="P205" s="241"/>
      <c r="Q205" s="242"/>
      <c r="R205" s="240" t="s">
        <v>218</v>
      </c>
      <c r="S205" s="241"/>
      <c r="T205" s="241"/>
      <c r="U205" s="241"/>
      <c r="V205" s="241"/>
      <c r="W205" s="241"/>
      <c r="X205" s="241"/>
      <c r="Y205" s="242"/>
      <c r="Z205" s="223" t="s">
        <v>216</v>
      </c>
      <c r="AA205" s="224"/>
      <c r="AB205" s="224"/>
      <c r="AC205" s="224"/>
      <c r="AD205" s="224"/>
      <c r="AE205" s="224"/>
      <c r="AF205" s="224"/>
      <c r="AG205" s="225"/>
      <c r="AH205" s="226" t="s">
        <v>151</v>
      </c>
      <c r="AI205" s="227"/>
      <c r="AJ205" s="227"/>
      <c r="AK205" s="228"/>
      <c r="AL205" s="219" t="s">
        <v>153</v>
      </c>
      <c r="AM205" s="220"/>
      <c r="AN205" s="221" t="s">
        <v>156</v>
      </c>
    </row>
    <row r="206" spans="1:40" ht="31.5" customHeight="1" thickBot="1" x14ac:dyDescent="0.3">
      <c r="A206" s="247"/>
      <c r="B206" s="243" t="s">
        <v>17</v>
      </c>
      <c r="C206" s="244"/>
      <c r="D206" s="244"/>
      <c r="E206" s="245"/>
      <c r="F206" s="240" t="s">
        <v>18</v>
      </c>
      <c r="G206" s="244"/>
      <c r="H206" s="244"/>
      <c r="I206" s="245"/>
      <c r="J206" s="243" t="s">
        <v>17</v>
      </c>
      <c r="K206" s="244"/>
      <c r="L206" s="244"/>
      <c r="M206" s="245"/>
      <c r="N206" s="240" t="s">
        <v>18</v>
      </c>
      <c r="O206" s="244"/>
      <c r="P206" s="244"/>
      <c r="Q206" s="245"/>
      <c r="R206" s="243" t="s">
        <v>17</v>
      </c>
      <c r="S206" s="244"/>
      <c r="T206" s="244"/>
      <c r="U206" s="245"/>
      <c r="V206" s="240" t="s">
        <v>18</v>
      </c>
      <c r="W206" s="244"/>
      <c r="X206" s="244"/>
      <c r="Y206" s="245"/>
      <c r="Z206" s="223" t="s">
        <v>17</v>
      </c>
      <c r="AA206" s="224"/>
      <c r="AB206" s="224"/>
      <c r="AC206" s="225"/>
      <c r="AD206" s="223" t="s">
        <v>18</v>
      </c>
      <c r="AE206" s="224"/>
      <c r="AF206" s="224"/>
      <c r="AG206" s="225"/>
      <c r="AH206" s="229" t="s">
        <v>152</v>
      </c>
      <c r="AI206" s="230"/>
      <c r="AJ206" s="229" t="s">
        <v>26</v>
      </c>
      <c r="AK206" s="231"/>
      <c r="AL206" s="145" t="s">
        <v>154</v>
      </c>
      <c r="AM206" s="145" t="s">
        <v>155</v>
      </c>
      <c r="AN206" s="222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1.1669999999999998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1.9740000000000002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5.0790000000000006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9.5861999999999998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12.6754</v>
      </c>
      <c r="AM207" s="84">
        <f>(AJ207+AK207)/2</f>
        <v>12.670809999999999</v>
      </c>
      <c r="AN207" s="133">
        <f>(AL207+AM207)/2</f>
        <v>12.673105</v>
      </c>
    </row>
    <row r="208" spans="1:40" x14ac:dyDescent="0.25">
      <c r="A208" s="164" t="s">
        <v>73</v>
      </c>
      <c r="B208" s="9">
        <f t="shared" ref="B208:I216" si="167">B180*$C$171</f>
        <v>0.21450000000000005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0.14850000000000002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-2.200000000000002E-2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0.34100000000000008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3.6322000000000001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7.0181000000000004</v>
      </c>
      <c r="AM208" s="88">
        <f t="shared" ref="AM208:AM216" si="176">(AJ208+AK208)/2</f>
        <v>6.9795199999999999</v>
      </c>
      <c r="AN208" s="134">
        <f t="shared" ref="AN208:AN216" si="177">(AL208+AM208)/2</f>
        <v>6.9988100000000006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1.7445000000000002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0.74600000000000011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4.1855000000000011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8.1415000000000006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11.454650000000001</v>
      </c>
      <c r="AM210" s="88">
        <f t="shared" si="176"/>
        <v>11.416399999999999</v>
      </c>
      <c r="AN210" s="134">
        <f t="shared" si="177"/>
        <v>11.435525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0.89599999999999991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4.4209999999999994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8.3649999999999984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11.827299999999999</v>
      </c>
      <c r="AM211" s="88">
        <f t="shared" si="176"/>
        <v>11.772599999999999</v>
      </c>
      <c r="AN211" s="134">
        <f t="shared" si="177"/>
        <v>11.799949999999999</v>
      </c>
    </row>
    <row r="212" spans="1:40" x14ac:dyDescent="0.25">
      <c r="A212" s="164" t="s">
        <v>78</v>
      </c>
      <c r="B212" s="9">
        <f t="shared" si="167"/>
        <v>1.2495000000000003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1.7445000000000002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0.28600000000000014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3.2800000000000007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7.1048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10.273</v>
      </c>
      <c r="AM212" s="88">
        <f t="shared" si="176"/>
        <v>10.24841</v>
      </c>
      <c r="AN212" s="134">
        <f t="shared" si="177"/>
        <v>10.260705</v>
      </c>
    </row>
    <row r="213" spans="1:40" x14ac:dyDescent="0.25">
      <c r="A213" s="164" t="s">
        <v>79</v>
      </c>
      <c r="B213" s="9">
        <f t="shared" si="167"/>
        <v>1.2495000000000003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1.7445000000000002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0.74600000000000011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3.7400000000000007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7.6960000000000006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10.924999999999999</v>
      </c>
      <c r="AM213" s="88">
        <f t="shared" si="176"/>
        <v>10.899049999999999</v>
      </c>
      <c r="AN213" s="134">
        <f t="shared" si="177"/>
        <v>10.912025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1.1669999999999998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1.6660000000000004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4.4109999999999996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8.6486000000000018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11.8916</v>
      </c>
      <c r="AM214" s="88">
        <f t="shared" si="176"/>
        <v>11.8705</v>
      </c>
      <c r="AN214" s="134">
        <f t="shared" si="177"/>
        <v>11.88105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1.4145000000000001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0.89599999999999991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3.6455000000000002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7.6555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11.0329</v>
      </c>
      <c r="AM215" s="88">
        <f t="shared" si="176"/>
        <v>10.996500000000001</v>
      </c>
      <c r="AN215" s="134">
        <f t="shared" si="177"/>
        <v>11.014700000000001</v>
      </c>
    </row>
    <row r="216" spans="1:40" ht="15.75" thickBot="1" x14ac:dyDescent="0.3">
      <c r="A216" s="165" t="s">
        <v>83</v>
      </c>
      <c r="B216" s="160">
        <f t="shared" si="167"/>
        <v>0.5595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1.4145000000000001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1.6439999999999999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3.6180000000000003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7.6236000000000006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10.9313</v>
      </c>
      <c r="AM216" s="94">
        <f t="shared" si="176"/>
        <v>10.901160000000001</v>
      </c>
      <c r="AN216" s="135">
        <f t="shared" si="177"/>
        <v>10.916230000000001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AU10:AX10"/>
    <mergeCell ref="AY10:BB10"/>
    <mergeCell ref="BC10:BF10"/>
    <mergeCell ref="BG10:BJ10"/>
    <mergeCell ref="BK10:BN10"/>
    <mergeCell ref="BO10:BP10"/>
    <mergeCell ref="J9:J10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U62:AX62"/>
    <mergeCell ref="AY62:BB62"/>
    <mergeCell ref="BC62:BF62"/>
    <mergeCell ref="BG62:BJ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E141:L141"/>
    <mergeCell ref="E147:L147"/>
    <mergeCell ref="AU114:AX114"/>
    <mergeCell ref="AY114:BB114"/>
    <mergeCell ref="BC114:BF114"/>
    <mergeCell ref="BG114:BJ114"/>
    <mergeCell ref="BK114:BN114"/>
    <mergeCell ref="BO114:BP114"/>
    <mergeCell ref="J113:J114"/>
    <mergeCell ref="A177:A178"/>
    <mergeCell ref="B177:I177"/>
    <mergeCell ref="J177:Q177"/>
    <mergeCell ref="R177:Y177"/>
    <mergeCell ref="B178:E178"/>
    <mergeCell ref="F178:I178"/>
    <mergeCell ref="J178:M178"/>
    <mergeCell ref="N178:Q178"/>
    <mergeCell ref="R178:U178"/>
    <mergeCell ref="V178:Y178"/>
    <mergeCell ref="A205:A206"/>
    <mergeCell ref="B205:I205"/>
    <mergeCell ref="J205:Q205"/>
    <mergeCell ref="R205:Y205"/>
    <mergeCell ref="Z205:AG205"/>
    <mergeCell ref="AH205:AK205"/>
    <mergeCell ref="AH206:AI206"/>
    <mergeCell ref="AJ206:AK206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B192:AC192"/>
    <mergeCell ref="A191:A192"/>
    <mergeCell ref="B191:I191"/>
    <mergeCell ref="J191:Q191"/>
    <mergeCell ref="R191:Y191"/>
    <mergeCell ref="Z191:AC191"/>
    <mergeCell ref="AD191:AE191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  <mergeCell ref="AD206:AG206"/>
  </mergeCells>
  <hyperlinks>
    <hyperlink ref="B2" r:id="rId1" xr:uid="{74469EFC-1295-41EF-A63B-401D4BF10BB2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U216"/>
  <sheetViews>
    <sheetView tabSelected="1" topLeftCell="A206" workbookViewId="0">
      <selection activeCell="Y222" sqref="Y222"/>
    </sheetView>
  </sheetViews>
  <sheetFormatPr defaultRowHeight="15" x14ac:dyDescent="0.25"/>
  <cols>
    <col min="1" max="1" width="31.710937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216" t="s">
        <v>98</v>
      </c>
      <c r="B3" s="217"/>
      <c r="C3" s="217"/>
      <c r="D3" s="218"/>
      <c r="E3" s="218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215" t="s">
        <v>85</v>
      </c>
      <c r="B9" s="215" t="s">
        <v>86</v>
      </c>
      <c r="C9" s="238" t="s">
        <v>87</v>
      </c>
      <c r="D9" s="239" t="s">
        <v>127</v>
      </c>
      <c r="E9" s="237"/>
      <c r="F9" s="237"/>
      <c r="G9" s="237" t="s">
        <v>128</v>
      </c>
      <c r="H9" s="237"/>
      <c r="I9" s="237"/>
      <c r="J9" s="235" t="s">
        <v>157</v>
      </c>
      <c r="K9" s="223" t="s">
        <v>150</v>
      </c>
      <c r="L9" s="224"/>
      <c r="M9" s="224"/>
      <c r="N9" s="224"/>
      <c r="O9" s="224"/>
      <c r="P9" s="224"/>
      <c r="Q9" s="224"/>
      <c r="R9" s="225"/>
      <c r="S9" s="223" t="s">
        <v>148</v>
      </c>
      <c r="T9" s="224"/>
      <c r="U9" s="224"/>
      <c r="V9" s="224"/>
      <c r="W9" s="224"/>
      <c r="X9" s="224"/>
      <c r="Y9" s="224"/>
      <c r="Z9" s="225"/>
      <c r="AA9" s="223" t="s">
        <v>149</v>
      </c>
      <c r="AB9" s="224"/>
      <c r="AC9" s="224"/>
      <c r="AD9" s="224"/>
      <c r="AE9" s="224"/>
      <c r="AF9" s="224"/>
      <c r="AG9" s="224"/>
      <c r="AH9" s="225"/>
      <c r="AI9" s="223" t="s">
        <v>147</v>
      </c>
      <c r="AJ9" s="224"/>
      <c r="AK9" s="224"/>
      <c r="AL9" s="224"/>
      <c r="AM9" s="224"/>
      <c r="AN9" s="224"/>
      <c r="AO9" s="224"/>
      <c r="AP9" s="225"/>
      <c r="AQ9" s="223" t="s">
        <v>158</v>
      </c>
      <c r="AR9" s="224"/>
      <c r="AS9" s="224"/>
      <c r="AT9" s="224"/>
      <c r="AU9" s="224"/>
      <c r="AV9" s="224"/>
      <c r="AW9" s="224"/>
      <c r="AX9" s="225"/>
      <c r="AY9" s="223" t="s">
        <v>159</v>
      </c>
      <c r="AZ9" s="224"/>
      <c r="BA9" s="224"/>
      <c r="BB9" s="224"/>
      <c r="BC9" s="224"/>
      <c r="BD9" s="224"/>
      <c r="BE9" s="224"/>
      <c r="BF9" s="225"/>
      <c r="BG9" s="223" t="s">
        <v>205</v>
      </c>
      <c r="BH9" s="224"/>
      <c r="BI9" s="224"/>
      <c r="BJ9" s="224"/>
      <c r="BK9" s="224"/>
      <c r="BL9" s="224"/>
      <c r="BM9" s="224"/>
      <c r="BN9" s="225"/>
      <c r="BO9" s="226" t="s">
        <v>151</v>
      </c>
      <c r="BP9" s="227"/>
      <c r="BQ9" s="227"/>
      <c r="BR9" s="228"/>
      <c r="BS9" s="219" t="s">
        <v>153</v>
      </c>
      <c r="BT9" s="220"/>
      <c r="BU9" s="221" t="s">
        <v>156</v>
      </c>
    </row>
    <row r="10" spans="1:73" s="97" customFormat="1" ht="23.25" customHeight="1" thickBot="1" x14ac:dyDescent="0.3">
      <c r="A10" s="215"/>
      <c r="B10" s="215"/>
      <c r="C10" s="238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36"/>
      <c r="K10" s="223" t="s">
        <v>17</v>
      </c>
      <c r="L10" s="224"/>
      <c r="M10" s="224"/>
      <c r="N10" s="225"/>
      <c r="O10" s="223" t="s">
        <v>18</v>
      </c>
      <c r="P10" s="224"/>
      <c r="Q10" s="224"/>
      <c r="R10" s="225"/>
      <c r="S10" s="223" t="s">
        <v>17</v>
      </c>
      <c r="T10" s="224"/>
      <c r="U10" s="224"/>
      <c r="V10" s="225"/>
      <c r="W10" s="223" t="s">
        <v>18</v>
      </c>
      <c r="X10" s="224"/>
      <c r="Y10" s="224"/>
      <c r="Z10" s="225"/>
      <c r="AA10" s="223" t="s">
        <v>17</v>
      </c>
      <c r="AB10" s="224"/>
      <c r="AC10" s="224"/>
      <c r="AD10" s="225"/>
      <c r="AE10" s="223" t="s">
        <v>18</v>
      </c>
      <c r="AF10" s="224"/>
      <c r="AG10" s="224"/>
      <c r="AH10" s="225"/>
      <c r="AI10" s="223" t="s">
        <v>17</v>
      </c>
      <c r="AJ10" s="224"/>
      <c r="AK10" s="224"/>
      <c r="AL10" s="225"/>
      <c r="AM10" s="223" t="s">
        <v>18</v>
      </c>
      <c r="AN10" s="224"/>
      <c r="AO10" s="224"/>
      <c r="AP10" s="225"/>
      <c r="AQ10" s="223" t="s">
        <v>17</v>
      </c>
      <c r="AR10" s="224"/>
      <c r="AS10" s="224"/>
      <c r="AT10" s="225"/>
      <c r="AU10" s="223" t="s">
        <v>18</v>
      </c>
      <c r="AV10" s="224"/>
      <c r="AW10" s="224"/>
      <c r="AX10" s="225"/>
      <c r="AY10" s="223" t="s">
        <v>17</v>
      </c>
      <c r="AZ10" s="224"/>
      <c r="BA10" s="224"/>
      <c r="BB10" s="225"/>
      <c r="BC10" s="223" t="s">
        <v>18</v>
      </c>
      <c r="BD10" s="224"/>
      <c r="BE10" s="224"/>
      <c r="BF10" s="225"/>
      <c r="BG10" s="223" t="s">
        <v>17</v>
      </c>
      <c r="BH10" s="224"/>
      <c r="BI10" s="224"/>
      <c r="BJ10" s="225"/>
      <c r="BK10" s="223" t="s">
        <v>18</v>
      </c>
      <c r="BL10" s="224"/>
      <c r="BM10" s="224"/>
      <c r="BN10" s="225"/>
      <c r="BO10" s="229" t="s">
        <v>152</v>
      </c>
      <c r="BP10" s="230"/>
      <c r="BQ10" s="229" t="s">
        <v>26</v>
      </c>
      <c r="BR10" s="231"/>
      <c r="BS10" s="145" t="s">
        <v>154</v>
      </c>
      <c r="BT10" s="145" t="s">
        <v>155</v>
      </c>
      <c r="BU10" s="222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187">
        <v>0</v>
      </c>
      <c r="AJ12" s="179">
        <v>1.5400000000000003</v>
      </c>
      <c r="AK12" s="179">
        <v>3.52</v>
      </c>
      <c r="AL12" s="188">
        <v>5.0600000000000005</v>
      </c>
      <c r="AM12" s="187">
        <v>0.19999999999999996</v>
      </c>
      <c r="AN12" s="179">
        <v>1.5400000000000003</v>
      </c>
      <c r="AO12" s="179">
        <v>3.52</v>
      </c>
      <c r="AP12" s="188">
        <v>4.6000000000000014</v>
      </c>
      <c r="AQ12" s="187">
        <v>0</v>
      </c>
      <c r="AR12" s="179">
        <v>0.44000000000000006</v>
      </c>
      <c r="AS12" s="179">
        <v>1.32</v>
      </c>
      <c r="AT12" s="179">
        <v>2.3099999999999996</v>
      </c>
      <c r="AU12" s="187">
        <v>5.3999999999999992E-2</v>
      </c>
      <c r="AV12" s="179">
        <v>0.44000000000000006</v>
      </c>
      <c r="AW12" s="179">
        <v>1.32</v>
      </c>
      <c r="AX12" s="1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1.1550000000000002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3.7949999999999999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6.93</v>
      </c>
      <c r="BT12" s="88">
        <f t="shared" ref="BT12:BT20" si="9">(BQ12+BR12)/2</f>
        <v>6.8369</v>
      </c>
      <c r="BU12" s="134">
        <f t="shared" ref="BU12:BU20" si="10">(BS12+BT12)/2</f>
        <v>6.8834499999999998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187">
        <v>0</v>
      </c>
      <c r="AZ16" s="179">
        <v>0.9900000000000001</v>
      </c>
      <c r="BA16" s="179">
        <v>2.42</v>
      </c>
      <c r="BB16" s="179">
        <v>3.6850000000000005</v>
      </c>
      <c r="BC16" s="187">
        <v>4.9999999999999933E-2</v>
      </c>
      <c r="BD16" s="179">
        <v>0.9900000000000001</v>
      </c>
      <c r="BE16" s="179">
        <v>2.42</v>
      </c>
      <c r="BF16" s="188">
        <v>3.3000000000000007</v>
      </c>
      <c r="BG16" s="87">
        <f t="shared" si="3"/>
        <v>4.495000000000001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8.1709999999999994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10.9115</v>
      </c>
      <c r="BT16" s="88">
        <f t="shared" si="9"/>
        <v>10.874500000000001</v>
      </c>
      <c r="BU16" s="134">
        <f t="shared" si="10"/>
        <v>10.893000000000001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187">
        <v>0</v>
      </c>
      <c r="AZ17" s="179">
        <v>0.9900000000000001</v>
      </c>
      <c r="BA17" s="179">
        <v>2.42</v>
      </c>
      <c r="BB17" s="179">
        <v>3.6850000000000005</v>
      </c>
      <c r="BC17" s="187">
        <v>4.9999999999999933E-2</v>
      </c>
      <c r="BD17" s="179">
        <v>0.9900000000000001</v>
      </c>
      <c r="BE17" s="179">
        <v>2.42</v>
      </c>
      <c r="BF17" s="188">
        <v>3.3000000000000007</v>
      </c>
      <c r="BG17" s="87">
        <f t="shared" si="3"/>
        <v>4.495000000000001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8.1709999999999994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10.9115</v>
      </c>
      <c r="BT17" s="88">
        <f t="shared" si="9"/>
        <v>10.874500000000001</v>
      </c>
      <c r="BU17" s="134">
        <f t="shared" si="10"/>
        <v>10.893000000000001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189">
        <v>0</v>
      </c>
      <c r="AJ20" s="201">
        <v>1.5400000000000003</v>
      </c>
      <c r="AK20" s="201">
        <v>3.52</v>
      </c>
      <c r="AL20" s="190">
        <v>5.0600000000000005</v>
      </c>
      <c r="AM20" s="189">
        <v>0.19999999999999996</v>
      </c>
      <c r="AN20" s="201">
        <v>1.5400000000000003</v>
      </c>
      <c r="AO20" s="201">
        <v>3.52</v>
      </c>
      <c r="AP20" s="190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2.1950000000000003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5.2510000000000012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8.5489999999999995</v>
      </c>
      <c r="BT20" s="94">
        <f t="shared" si="9"/>
        <v>8.4634999999999998</v>
      </c>
      <c r="BU20" s="135">
        <f t="shared" si="10"/>
        <v>8.5062499999999996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32" t="s">
        <v>126</v>
      </c>
      <c r="F37" s="233"/>
      <c r="G37" s="233"/>
      <c r="H37" s="233"/>
      <c r="I37" s="233"/>
      <c r="J37" s="233"/>
      <c r="K37" s="233"/>
      <c r="L37" s="234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30.75" thickBot="1" x14ac:dyDescent="0.3">
      <c r="A43" s="128" t="s">
        <v>132</v>
      </c>
      <c r="B43" s="129" t="s">
        <v>133</v>
      </c>
      <c r="E43" s="232" t="s">
        <v>134</v>
      </c>
      <c r="F43" s="233"/>
      <c r="G43" s="233"/>
      <c r="H43" s="233"/>
      <c r="I43" s="233"/>
      <c r="J43" s="233"/>
      <c r="K43" s="233"/>
      <c r="L43" s="234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202">
        <f>IF(E25*F$38+E$38*F25-F25*F$38&lt;0,0,E25*F$38+E$38*F25-F25*F$38)</f>
        <v>0</v>
      </c>
      <c r="F45" s="179">
        <f t="shared" ref="F45:G47" si="23">F25*F$38</f>
        <v>1.5400000000000003</v>
      </c>
      <c r="G45" s="179">
        <f t="shared" si="23"/>
        <v>3.52</v>
      </c>
      <c r="H45" s="188">
        <f t="shared" ref="H45:H47" si="24">G25*H$38+G$38*H25-G25*G$38</f>
        <v>5.0600000000000005</v>
      </c>
      <c r="I45" s="187">
        <f t="shared" ref="I45:I47" si="25">I25*J$38+I$38*J25-J25*J$38</f>
        <v>0.19999999999999996</v>
      </c>
      <c r="J45" s="179">
        <f t="shared" ref="J45:K47" si="26">J25*J$38</f>
        <v>1.5400000000000003</v>
      </c>
      <c r="K45" s="179">
        <f t="shared" si="26"/>
        <v>3.52</v>
      </c>
      <c r="L45" s="188">
        <f t="shared" ref="L45:L47" si="27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ref="E46:E47" si="28">E26*F$38+E$38*F26-F26*F$38</f>
        <v>2.2549999999999999</v>
      </c>
      <c r="F46">
        <f t="shared" si="23"/>
        <v>3.8500000000000005</v>
      </c>
      <c r="G46">
        <f t="shared" si="23"/>
        <v>6.16</v>
      </c>
      <c r="H46" s="88">
        <f t="shared" si="24"/>
        <v>9.1550000000000011</v>
      </c>
      <c r="I46" s="87">
        <f t="shared" si="25"/>
        <v>2.7399999999999993</v>
      </c>
      <c r="J46">
        <f t="shared" si="26"/>
        <v>3.8500000000000005</v>
      </c>
      <c r="K46">
        <f t="shared" si="26"/>
        <v>6.16</v>
      </c>
      <c r="L46" s="88">
        <f t="shared" si="27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8"/>
        <v>3.8900000000000006</v>
      </c>
      <c r="F47" s="93">
        <f t="shared" si="23"/>
        <v>7</v>
      </c>
      <c r="G47" s="93">
        <f t="shared" si="23"/>
        <v>8</v>
      </c>
      <c r="H47" s="94">
        <f t="shared" si="24"/>
        <v>9.5</v>
      </c>
      <c r="I47" s="91">
        <f t="shared" si="25"/>
        <v>4.8099999999999987</v>
      </c>
      <c r="J47" s="93">
        <f t="shared" si="26"/>
        <v>7</v>
      </c>
      <c r="K47" s="93">
        <f t="shared" si="26"/>
        <v>8</v>
      </c>
      <c r="L47" s="94">
        <f t="shared" si="27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202">
        <f>IF(E25*F$39+E$39*F25-F25*F$39&lt;0,0,E25*F$39+E$39*F25-F25*F$39)</f>
        <v>0</v>
      </c>
      <c r="F49" s="179">
        <f t="shared" ref="F49:G51" si="29">F25*F$39</f>
        <v>0.44000000000000006</v>
      </c>
      <c r="G49" s="179">
        <f t="shared" si="29"/>
        <v>1.32</v>
      </c>
      <c r="H49" s="188">
        <f t="shared" ref="H49:H51" si="30">G25*H$39+G$39*H25-G25*G$39</f>
        <v>2.3099999999999996</v>
      </c>
      <c r="I49" s="187">
        <f t="shared" ref="I49:I51" si="31">I25*J$39+I$39*J25-J25*J$39</f>
        <v>5.3999999999999992E-2</v>
      </c>
      <c r="J49" s="179">
        <f t="shared" ref="J49:K51" si="32">J25*J$39</f>
        <v>0.44000000000000006</v>
      </c>
      <c r="K49" s="179">
        <f t="shared" si="32"/>
        <v>1.32</v>
      </c>
      <c r="L49" s="1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202">
        <f>IF(E25*F$40+E$40*F25-F25*F$40&lt;0,0,E25*F$40+E$40*F25-F25*F$40)</f>
        <v>0</v>
      </c>
      <c r="F53" s="179">
        <f t="shared" ref="F53:G55" si="35">F25*F$40</f>
        <v>0.9900000000000001</v>
      </c>
      <c r="G53" s="179">
        <f t="shared" si="35"/>
        <v>2.42</v>
      </c>
      <c r="H53" s="188">
        <f t="shared" ref="H53:H55" si="36">G25*H$40+G$40*H25-G25*G$40</f>
        <v>3.6850000000000005</v>
      </c>
      <c r="I53" s="187">
        <f t="shared" ref="I53:I55" si="37">I25*J$40+I$40*J25-J25*J$40</f>
        <v>4.9999999999999933E-2</v>
      </c>
      <c r="J53" s="179">
        <f t="shared" ref="J53:K55" si="38">J25*J$40</f>
        <v>0.9900000000000001</v>
      </c>
      <c r="K53" s="179">
        <f t="shared" si="38"/>
        <v>2.42</v>
      </c>
      <c r="L53" s="188">
        <f t="shared" ref="L53:L55" si="39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ref="E54:E55" si="40">E26*F$40+E$40*F26-F26*F$40</f>
        <v>1.1550000000000002</v>
      </c>
      <c r="F54">
        <f t="shared" si="35"/>
        <v>2.4750000000000001</v>
      </c>
      <c r="G54">
        <f t="shared" si="35"/>
        <v>4.2350000000000003</v>
      </c>
      <c r="H54" s="88">
        <f t="shared" si="36"/>
        <v>6.6550000000000002</v>
      </c>
      <c r="I54" s="87">
        <f t="shared" si="37"/>
        <v>1.5650000000000008</v>
      </c>
      <c r="J54">
        <f t="shared" si="38"/>
        <v>2.4750000000000001</v>
      </c>
      <c r="K54">
        <f t="shared" si="38"/>
        <v>4.2350000000000003</v>
      </c>
      <c r="L54" s="88">
        <f t="shared" si="39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40"/>
        <v>1.9649999999999999</v>
      </c>
      <c r="F55" s="93">
        <f t="shared" si="35"/>
        <v>4.5</v>
      </c>
      <c r="G55" s="93">
        <f t="shared" si="35"/>
        <v>5.5</v>
      </c>
      <c r="H55" s="94">
        <f t="shared" si="36"/>
        <v>7</v>
      </c>
      <c r="I55" s="91">
        <f t="shared" si="37"/>
        <v>2.7349999999999994</v>
      </c>
      <c r="J55" s="93">
        <f t="shared" si="38"/>
        <v>4.5</v>
      </c>
      <c r="K55" s="93">
        <f t="shared" si="38"/>
        <v>5.5</v>
      </c>
      <c r="L55" s="94">
        <f t="shared" si="39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215" t="s">
        <v>85</v>
      </c>
      <c r="B61" s="215" t="s">
        <v>86</v>
      </c>
      <c r="C61" s="238" t="s">
        <v>87</v>
      </c>
      <c r="D61" s="239" t="s">
        <v>127</v>
      </c>
      <c r="E61" s="237"/>
      <c r="F61" s="237"/>
      <c r="G61" s="237" t="s">
        <v>128</v>
      </c>
      <c r="H61" s="237"/>
      <c r="I61" s="237"/>
      <c r="J61" s="235" t="s">
        <v>157</v>
      </c>
      <c r="K61" s="223" t="s">
        <v>150</v>
      </c>
      <c r="L61" s="224"/>
      <c r="M61" s="224"/>
      <c r="N61" s="224"/>
      <c r="O61" s="224"/>
      <c r="P61" s="224"/>
      <c r="Q61" s="224"/>
      <c r="R61" s="225"/>
      <c r="S61" s="223" t="s">
        <v>148</v>
      </c>
      <c r="T61" s="224"/>
      <c r="U61" s="224"/>
      <c r="V61" s="224"/>
      <c r="W61" s="224"/>
      <c r="X61" s="224"/>
      <c r="Y61" s="224"/>
      <c r="Z61" s="225"/>
      <c r="AA61" s="223" t="s">
        <v>149</v>
      </c>
      <c r="AB61" s="224"/>
      <c r="AC61" s="224"/>
      <c r="AD61" s="224"/>
      <c r="AE61" s="224"/>
      <c r="AF61" s="224"/>
      <c r="AG61" s="224"/>
      <c r="AH61" s="225"/>
      <c r="AI61" s="223" t="s">
        <v>147</v>
      </c>
      <c r="AJ61" s="224"/>
      <c r="AK61" s="224"/>
      <c r="AL61" s="224"/>
      <c r="AM61" s="224"/>
      <c r="AN61" s="224"/>
      <c r="AO61" s="224"/>
      <c r="AP61" s="225"/>
      <c r="AQ61" s="223" t="s">
        <v>158</v>
      </c>
      <c r="AR61" s="224"/>
      <c r="AS61" s="224"/>
      <c r="AT61" s="224"/>
      <c r="AU61" s="224"/>
      <c r="AV61" s="224"/>
      <c r="AW61" s="224"/>
      <c r="AX61" s="225"/>
      <c r="AY61" s="223" t="s">
        <v>159</v>
      </c>
      <c r="AZ61" s="224"/>
      <c r="BA61" s="224"/>
      <c r="BB61" s="224"/>
      <c r="BC61" s="224"/>
      <c r="BD61" s="224"/>
      <c r="BE61" s="224"/>
      <c r="BF61" s="225"/>
      <c r="BG61" s="223" t="s">
        <v>205</v>
      </c>
      <c r="BH61" s="224"/>
      <c r="BI61" s="224"/>
      <c r="BJ61" s="224"/>
      <c r="BK61" s="224"/>
      <c r="BL61" s="224"/>
      <c r="BM61" s="224"/>
      <c r="BN61" s="225"/>
      <c r="BO61" s="226" t="s">
        <v>151</v>
      </c>
      <c r="BP61" s="227"/>
      <c r="BQ61" s="227"/>
      <c r="BR61" s="228"/>
      <c r="BS61" s="219" t="s">
        <v>153</v>
      </c>
      <c r="BT61" s="220"/>
      <c r="BU61" s="221" t="s">
        <v>156</v>
      </c>
    </row>
    <row r="62" spans="1:73" s="97" customFormat="1" ht="23.25" customHeight="1" thickBot="1" x14ac:dyDescent="0.3">
      <c r="A62" s="215"/>
      <c r="B62" s="215"/>
      <c r="C62" s="238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36"/>
      <c r="K62" s="223" t="s">
        <v>17</v>
      </c>
      <c r="L62" s="224"/>
      <c r="M62" s="224"/>
      <c r="N62" s="225"/>
      <c r="O62" s="223" t="s">
        <v>18</v>
      </c>
      <c r="P62" s="224"/>
      <c r="Q62" s="224"/>
      <c r="R62" s="225"/>
      <c r="S62" s="223" t="s">
        <v>17</v>
      </c>
      <c r="T62" s="224"/>
      <c r="U62" s="224"/>
      <c r="V62" s="225"/>
      <c r="W62" s="223" t="s">
        <v>18</v>
      </c>
      <c r="X62" s="224"/>
      <c r="Y62" s="224"/>
      <c r="Z62" s="225"/>
      <c r="AA62" s="223" t="s">
        <v>17</v>
      </c>
      <c r="AB62" s="224"/>
      <c r="AC62" s="224"/>
      <c r="AD62" s="225"/>
      <c r="AE62" s="223" t="s">
        <v>18</v>
      </c>
      <c r="AF62" s="224"/>
      <c r="AG62" s="224"/>
      <c r="AH62" s="225"/>
      <c r="AI62" s="223" t="s">
        <v>17</v>
      </c>
      <c r="AJ62" s="224"/>
      <c r="AK62" s="224"/>
      <c r="AL62" s="225"/>
      <c r="AM62" s="223" t="s">
        <v>18</v>
      </c>
      <c r="AN62" s="224"/>
      <c r="AO62" s="224"/>
      <c r="AP62" s="225"/>
      <c r="AQ62" s="223" t="s">
        <v>17</v>
      </c>
      <c r="AR62" s="224"/>
      <c r="AS62" s="224"/>
      <c r="AT62" s="225"/>
      <c r="AU62" s="223" t="s">
        <v>18</v>
      </c>
      <c r="AV62" s="224"/>
      <c r="AW62" s="224"/>
      <c r="AX62" s="225"/>
      <c r="AY62" s="223" t="s">
        <v>17</v>
      </c>
      <c r="AZ62" s="224"/>
      <c r="BA62" s="224"/>
      <c r="BB62" s="225"/>
      <c r="BC62" s="223" t="s">
        <v>18</v>
      </c>
      <c r="BD62" s="224"/>
      <c r="BE62" s="224"/>
      <c r="BF62" s="225"/>
      <c r="BG62" s="223" t="s">
        <v>17</v>
      </c>
      <c r="BH62" s="224"/>
      <c r="BI62" s="224"/>
      <c r="BJ62" s="225"/>
      <c r="BK62" s="223" t="s">
        <v>18</v>
      </c>
      <c r="BL62" s="224"/>
      <c r="BM62" s="224"/>
      <c r="BN62" s="225"/>
      <c r="BO62" s="229" t="s">
        <v>152</v>
      </c>
      <c r="BP62" s="230"/>
      <c r="BQ62" s="229" t="s">
        <v>26</v>
      </c>
      <c r="BR62" s="231"/>
      <c r="BS62" s="145" t="s">
        <v>154</v>
      </c>
      <c r="BT62" s="145" t="s">
        <v>155</v>
      </c>
      <c r="BU62" s="222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72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185">
        <v>0</v>
      </c>
      <c r="AJ63" s="200">
        <v>1.5400000000000003</v>
      </c>
      <c r="AK63" s="200">
        <v>3.52</v>
      </c>
      <c r="AL63" s="186">
        <v>5.0600000000000005</v>
      </c>
      <c r="AM63" s="185">
        <v>0.19999999999999996</v>
      </c>
      <c r="AN63" s="200">
        <v>1.5400000000000003</v>
      </c>
      <c r="AO63" s="200">
        <v>3.52</v>
      </c>
      <c r="AP63" s="186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4.22</v>
      </c>
      <c r="BH63" s="83">
        <f t="shared" ref="BH63:BN72" si="42">AJ63+AR63+AZ63</f>
        <v>9.89</v>
      </c>
      <c r="BI63" s="83">
        <f t="shared" si="42"/>
        <v>15.18</v>
      </c>
      <c r="BJ63" s="83">
        <f t="shared" si="42"/>
        <v>21.215000000000003</v>
      </c>
      <c r="BK63" s="81">
        <f t="shared" si="42"/>
        <v>5.6749999999999989</v>
      </c>
      <c r="BL63" s="83">
        <f t="shared" si="42"/>
        <v>9.89</v>
      </c>
      <c r="BM63" s="83">
        <f t="shared" si="42"/>
        <v>15.18</v>
      </c>
      <c r="BN63" s="83">
        <f t="shared" si="42"/>
        <v>19.23</v>
      </c>
      <c r="BO63" s="136">
        <f>BO$8*BH63+(1-BO$8)*BG63</f>
        <v>8.7560000000000002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12.5715</v>
      </c>
      <c r="BT63" s="84">
        <f>(BQ63+BR63)/2</f>
        <v>12.5185</v>
      </c>
      <c r="BU63" s="133">
        <f>(BS63+BT63)/2</f>
        <v>12.545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3">IF(D64=$A$76,$B$76,(IF(D64=$A$77,$B$77,IF(D64=$A$78,$B$78,$B$79))))</f>
        <v>0.33</v>
      </c>
      <c r="H64" s="110">
        <f t="shared" si="41"/>
        <v>0.33</v>
      </c>
      <c r="I64" s="110">
        <f t="shared" si="41"/>
        <v>0.66</v>
      </c>
      <c r="J64" s="147">
        <f t="shared" ref="J64:J72" si="44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187">
        <v>0</v>
      </c>
      <c r="AJ64" s="179">
        <v>1.5400000000000003</v>
      </c>
      <c r="AK64" s="179">
        <v>3.52</v>
      </c>
      <c r="AL64" s="188">
        <v>5.0600000000000005</v>
      </c>
      <c r="AM64" s="187">
        <v>0.19999999999999996</v>
      </c>
      <c r="AN64" s="179">
        <v>1.5400000000000003</v>
      </c>
      <c r="AO64" s="179">
        <v>3.52</v>
      </c>
      <c r="AP64" s="188">
        <v>4.6000000000000014</v>
      </c>
      <c r="AQ64" s="187">
        <v>0</v>
      </c>
      <c r="AR64" s="179">
        <v>1.5400000000000003</v>
      </c>
      <c r="AS64" s="179">
        <v>3.52</v>
      </c>
      <c r="AT64" s="179">
        <v>5.0600000000000005</v>
      </c>
      <c r="AU64" s="187">
        <v>0.19999999999999996</v>
      </c>
      <c r="AV64" s="179">
        <v>1.5400000000000003</v>
      </c>
      <c r="AW64" s="179">
        <v>3.52</v>
      </c>
      <c r="AX64" s="1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45">AI64+AQ64+AY64</f>
        <v>1.1550000000000002</v>
      </c>
      <c r="BH64">
        <f t="shared" si="42"/>
        <v>5.5550000000000006</v>
      </c>
      <c r="BI64">
        <f t="shared" si="42"/>
        <v>11.275</v>
      </c>
      <c r="BJ64">
        <f t="shared" si="42"/>
        <v>16.775000000000002</v>
      </c>
      <c r="BK64" s="87">
        <f t="shared" si="42"/>
        <v>1.9650000000000007</v>
      </c>
      <c r="BL64">
        <f t="shared" si="42"/>
        <v>5.5550000000000006</v>
      </c>
      <c r="BM64">
        <f t="shared" si="42"/>
        <v>11.275</v>
      </c>
      <c r="BN64">
        <f t="shared" si="42"/>
        <v>15.030000000000005</v>
      </c>
      <c r="BO64" s="138">
        <f t="shared" ref="BO64:BO72" si="46">BO$8*BH64+(1-BO$8)*BG64</f>
        <v>4.6750000000000007</v>
      </c>
      <c r="BP64" s="143">
        <f t="shared" ref="BP64:BP72" si="47">BO$8*BI64+(1-BO$8)*BJ64</f>
        <v>12.375</v>
      </c>
      <c r="BQ64" s="138">
        <f t="shared" ref="BQ64:BQ72" si="48">BO$8*BL64+(1-BO$8)*BK64</f>
        <v>4.8370000000000006</v>
      </c>
      <c r="BR64" s="139">
        <f t="shared" ref="BR64:BR72" si="49">BO$8*BM64+(1-BO$8)*BN64</f>
        <v>12.026000000000002</v>
      </c>
      <c r="BS64" s="87">
        <f t="shared" ref="BS64:BS72" si="50">(BO64+BP64)/2</f>
        <v>8.5250000000000004</v>
      </c>
      <c r="BT64" s="88">
        <f t="shared" ref="BT64:BT72" si="51">(BQ64+BR64)/2</f>
        <v>8.4315000000000015</v>
      </c>
      <c r="BU64" s="134">
        <f t="shared" ref="BU64:BU72" si="52">(BS64+BT64)/2</f>
        <v>8.478250000000001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3"/>
        <v>0.66</v>
      </c>
      <c r="H65" s="110">
        <f t="shared" si="41"/>
        <v>1</v>
      </c>
      <c r="I65" s="110">
        <f t="shared" si="41"/>
        <v>0.66</v>
      </c>
      <c r="J65" s="147">
        <f t="shared" si="44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45"/>
        <v>7.3000000000000007</v>
      </c>
      <c r="BH65">
        <f t="shared" si="42"/>
        <v>13.325000000000001</v>
      </c>
      <c r="BI65">
        <f t="shared" si="42"/>
        <v>18.395</v>
      </c>
      <c r="BJ65">
        <f t="shared" si="42"/>
        <v>25.310000000000002</v>
      </c>
      <c r="BK65" s="87">
        <f t="shared" si="42"/>
        <v>9.1149999999999984</v>
      </c>
      <c r="BL65">
        <f t="shared" si="42"/>
        <v>13.325000000000001</v>
      </c>
      <c r="BM65">
        <f t="shared" si="42"/>
        <v>18.395</v>
      </c>
      <c r="BN65">
        <f t="shared" si="42"/>
        <v>22.96</v>
      </c>
      <c r="BO65" s="138">
        <f t="shared" si="46"/>
        <v>12.120000000000001</v>
      </c>
      <c r="BP65" s="143">
        <f t="shared" si="47"/>
        <v>19.777999999999999</v>
      </c>
      <c r="BQ65" s="138">
        <f t="shared" si="48"/>
        <v>12.483000000000001</v>
      </c>
      <c r="BR65" s="139">
        <f t="shared" si="49"/>
        <v>19.308</v>
      </c>
      <c r="BS65" s="87">
        <f t="shared" si="50"/>
        <v>15.949</v>
      </c>
      <c r="BT65" s="88">
        <f t="shared" si="51"/>
        <v>15.8955</v>
      </c>
      <c r="BU65" s="134">
        <f t="shared" si="52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3"/>
        <v>1</v>
      </c>
      <c r="H66" s="110">
        <f t="shared" si="41"/>
        <v>0.66</v>
      </c>
      <c r="I66" s="110">
        <f t="shared" si="41"/>
        <v>0.33</v>
      </c>
      <c r="J66" s="147">
        <f t="shared" si="44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187">
        <v>0</v>
      </c>
      <c r="AZ66" s="179">
        <v>0.9900000000000001</v>
      </c>
      <c r="BA66" s="179">
        <v>2.42</v>
      </c>
      <c r="BB66" s="179">
        <v>3.6850000000000005</v>
      </c>
      <c r="BC66" s="187">
        <v>4.9999999999999933E-2</v>
      </c>
      <c r="BD66" s="179">
        <v>0.9900000000000001</v>
      </c>
      <c r="BE66" s="179">
        <v>2.42</v>
      </c>
      <c r="BF66" s="188">
        <v>3.3000000000000007</v>
      </c>
      <c r="BG66" s="87">
        <f t="shared" si="45"/>
        <v>6.1450000000000005</v>
      </c>
      <c r="BH66">
        <f t="shared" si="42"/>
        <v>11.840000000000002</v>
      </c>
      <c r="BI66">
        <f t="shared" si="42"/>
        <v>16.579999999999998</v>
      </c>
      <c r="BJ66">
        <f t="shared" si="42"/>
        <v>22.340000000000003</v>
      </c>
      <c r="BK66" s="87">
        <f t="shared" si="42"/>
        <v>7.5999999999999979</v>
      </c>
      <c r="BL66">
        <f t="shared" si="42"/>
        <v>11.840000000000002</v>
      </c>
      <c r="BM66">
        <f t="shared" si="42"/>
        <v>16.579999999999998</v>
      </c>
      <c r="BN66">
        <f t="shared" si="42"/>
        <v>20.43</v>
      </c>
      <c r="BO66" s="138">
        <f t="shared" si="46"/>
        <v>10.701000000000001</v>
      </c>
      <c r="BP66" s="143">
        <f t="shared" si="47"/>
        <v>17.731999999999999</v>
      </c>
      <c r="BQ66" s="138">
        <f t="shared" si="48"/>
        <v>10.992000000000001</v>
      </c>
      <c r="BR66" s="139">
        <f t="shared" si="49"/>
        <v>17.349999999999998</v>
      </c>
      <c r="BS66" s="87">
        <f t="shared" si="50"/>
        <v>14.2165</v>
      </c>
      <c r="BT66" s="88">
        <f t="shared" si="51"/>
        <v>14.170999999999999</v>
      </c>
      <c r="BU66" s="134">
        <f t="shared" si="52"/>
        <v>14.19375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3"/>
        <v>0.66</v>
      </c>
      <c r="H67" s="110">
        <f t="shared" si="41"/>
        <v>1</v>
      </c>
      <c r="I67" s="110">
        <f t="shared" si="41"/>
        <v>0.66</v>
      </c>
      <c r="J67" s="147">
        <f t="shared" si="44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45"/>
        <v>7.3000000000000007</v>
      </c>
      <c r="BH67">
        <f t="shared" si="42"/>
        <v>13.325000000000001</v>
      </c>
      <c r="BI67">
        <f t="shared" si="42"/>
        <v>18.395</v>
      </c>
      <c r="BJ67">
        <f t="shared" si="42"/>
        <v>25.310000000000002</v>
      </c>
      <c r="BK67" s="87">
        <f t="shared" si="42"/>
        <v>9.1149999999999984</v>
      </c>
      <c r="BL67">
        <f t="shared" si="42"/>
        <v>13.325000000000001</v>
      </c>
      <c r="BM67">
        <f t="shared" si="42"/>
        <v>18.395</v>
      </c>
      <c r="BN67">
        <f t="shared" si="42"/>
        <v>22.96</v>
      </c>
      <c r="BO67" s="138">
        <f t="shared" si="46"/>
        <v>12.120000000000001</v>
      </c>
      <c r="BP67" s="143">
        <f t="shared" si="47"/>
        <v>19.777999999999999</v>
      </c>
      <c r="BQ67" s="138">
        <f t="shared" si="48"/>
        <v>12.483000000000001</v>
      </c>
      <c r="BR67" s="139">
        <f t="shared" si="49"/>
        <v>19.308</v>
      </c>
      <c r="BS67" s="87">
        <f t="shared" si="50"/>
        <v>15.949</v>
      </c>
      <c r="BT67" s="88">
        <f t="shared" si="51"/>
        <v>15.8955</v>
      </c>
      <c r="BU67" s="134">
        <f t="shared" si="52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3"/>
        <v>1</v>
      </c>
      <c r="H68" s="110">
        <f t="shared" si="41"/>
        <v>0.66</v>
      </c>
      <c r="I68" s="110">
        <f t="shared" si="41"/>
        <v>0.33</v>
      </c>
      <c r="J68" s="147">
        <f t="shared" si="44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187">
        <v>0</v>
      </c>
      <c r="AZ68" s="179">
        <v>0.9900000000000001</v>
      </c>
      <c r="BA68" s="179">
        <v>2.42</v>
      </c>
      <c r="BB68" s="179">
        <v>3.6850000000000005</v>
      </c>
      <c r="BC68" s="187">
        <v>4.9999999999999933E-2</v>
      </c>
      <c r="BD68" s="179">
        <v>0.9900000000000001</v>
      </c>
      <c r="BE68" s="179">
        <v>2.42</v>
      </c>
      <c r="BF68" s="188">
        <v>3.3000000000000007</v>
      </c>
      <c r="BG68" s="87">
        <f t="shared" si="45"/>
        <v>6.1450000000000005</v>
      </c>
      <c r="BH68">
        <f t="shared" si="42"/>
        <v>11.840000000000002</v>
      </c>
      <c r="BI68">
        <f t="shared" si="42"/>
        <v>16.579999999999998</v>
      </c>
      <c r="BJ68">
        <f t="shared" si="42"/>
        <v>22.340000000000003</v>
      </c>
      <c r="BK68" s="87">
        <f t="shared" si="42"/>
        <v>7.5999999999999979</v>
      </c>
      <c r="BL68">
        <f t="shared" si="42"/>
        <v>11.840000000000002</v>
      </c>
      <c r="BM68">
        <f t="shared" si="42"/>
        <v>16.579999999999998</v>
      </c>
      <c r="BN68">
        <f t="shared" si="42"/>
        <v>20.43</v>
      </c>
      <c r="BO68" s="138">
        <f t="shared" si="46"/>
        <v>10.701000000000001</v>
      </c>
      <c r="BP68" s="143">
        <f t="shared" si="47"/>
        <v>17.731999999999999</v>
      </c>
      <c r="BQ68" s="138">
        <f t="shared" si="48"/>
        <v>10.992000000000001</v>
      </c>
      <c r="BR68" s="139">
        <f t="shared" si="49"/>
        <v>17.349999999999998</v>
      </c>
      <c r="BS68" s="87">
        <f t="shared" si="50"/>
        <v>14.2165</v>
      </c>
      <c r="BT68" s="88">
        <f t="shared" si="51"/>
        <v>14.170999999999999</v>
      </c>
      <c r="BU68" s="134">
        <f t="shared" si="52"/>
        <v>14.19375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3"/>
        <v>1</v>
      </c>
      <c r="H69" s="110">
        <f t="shared" si="41"/>
        <v>0.66</v>
      </c>
      <c r="I69" s="110">
        <f t="shared" si="41"/>
        <v>0.33</v>
      </c>
      <c r="J69" s="147">
        <f t="shared" si="44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187">
        <v>0</v>
      </c>
      <c r="AZ69" s="179">
        <v>0.9900000000000001</v>
      </c>
      <c r="BA69" s="179">
        <v>2.42</v>
      </c>
      <c r="BB69" s="179">
        <v>3.6850000000000005</v>
      </c>
      <c r="BC69" s="187">
        <v>4.9999999999999933E-2</v>
      </c>
      <c r="BD69" s="179">
        <v>0.9900000000000001</v>
      </c>
      <c r="BE69" s="179">
        <v>2.42</v>
      </c>
      <c r="BF69" s="188">
        <v>3.3000000000000007</v>
      </c>
      <c r="BG69" s="87">
        <f t="shared" si="45"/>
        <v>6.1450000000000005</v>
      </c>
      <c r="BH69">
        <f t="shared" si="42"/>
        <v>11.840000000000002</v>
      </c>
      <c r="BI69">
        <f t="shared" si="42"/>
        <v>16.579999999999998</v>
      </c>
      <c r="BJ69">
        <f t="shared" si="42"/>
        <v>22.340000000000003</v>
      </c>
      <c r="BK69" s="87">
        <f t="shared" si="42"/>
        <v>7.5999999999999979</v>
      </c>
      <c r="BL69">
        <f t="shared" si="42"/>
        <v>11.840000000000002</v>
      </c>
      <c r="BM69">
        <f t="shared" si="42"/>
        <v>16.579999999999998</v>
      </c>
      <c r="BN69">
        <f t="shared" si="42"/>
        <v>20.43</v>
      </c>
      <c r="BO69" s="138">
        <f t="shared" si="46"/>
        <v>10.701000000000001</v>
      </c>
      <c r="BP69" s="143">
        <f t="shared" si="47"/>
        <v>17.731999999999999</v>
      </c>
      <c r="BQ69" s="138">
        <f t="shared" si="48"/>
        <v>10.992000000000001</v>
      </c>
      <c r="BR69" s="139">
        <f t="shared" si="49"/>
        <v>17.349999999999998</v>
      </c>
      <c r="BS69" s="87">
        <f t="shared" si="50"/>
        <v>14.2165</v>
      </c>
      <c r="BT69" s="88">
        <f t="shared" si="51"/>
        <v>14.170999999999999</v>
      </c>
      <c r="BU69" s="134">
        <f t="shared" si="52"/>
        <v>14.19375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3"/>
        <v>0.66</v>
      </c>
      <c r="H70" s="110">
        <f t="shared" si="41"/>
        <v>0.33</v>
      </c>
      <c r="I70" s="110">
        <f t="shared" si="41"/>
        <v>1</v>
      </c>
      <c r="J70" s="147">
        <f t="shared" si="44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187">
        <v>0</v>
      </c>
      <c r="AR70" s="179">
        <v>1.5400000000000003</v>
      </c>
      <c r="AS70" s="179">
        <v>3.52</v>
      </c>
      <c r="AT70" s="179">
        <v>5.0600000000000005</v>
      </c>
      <c r="AU70" s="187">
        <v>0.19999999999999996</v>
      </c>
      <c r="AV70" s="179">
        <v>1.5400000000000003</v>
      </c>
      <c r="AW70" s="179">
        <v>3.52</v>
      </c>
      <c r="AX70" s="1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45"/>
        <v>4.22</v>
      </c>
      <c r="BH70">
        <f t="shared" si="42"/>
        <v>9.89</v>
      </c>
      <c r="BI70">
        <f t="shared" si="42"/>
        <v>15.18</v>
      </c>
      <c r="BJ70">
        <f t="shared" si="42"/>
        <v>21.215000000000003</v>
      </c>
      <c r="BK70" s="87">
        <f t="shared" si="42"/>
        <v>5.6749999999999989</v>
      </c>
      <c r="BL70">
        <f t="shared" si="42"/>
        <v>9.89</v>
      </c>
      <c r="BM70">
        <f t="shared" si="42"/>
        <v>15.18</v>
      </c>
      <c r="BN70">
        <f t="shared" si="42"/>
        <v>19.23</v>
      </c>
      <c r="BO70" s="138">
        <f t="shared" si="46"/>
        <v>8.7560000000000002</v>
      </c>
      <c r="BP70" s="143">
        <f t="shared" si="47"/>
        <v>16.387</v>
      </c>
      <c r="BQ70" s="138">
        <f t="shared" si="48"/>
        <v>9.0470000000000006</v>
      </c>
      <c r="BR70" s="139">
        <f t="shared" si="49"/>
        <v>15.989999999999998</v>
      </c>
      <c r="BS70" s="87">
        <f t="shared" si="50"/>
        <v>12.5715</v>
      </c>
      <c r="BT70" s="88">
        <f t="shared" si="51"/>
        <v>12.5185</v>
      </c>
      <c r="BU70" s="134">
        <f t="shared" si="52"/>
        <v>12.545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3"/>
        <v>0.33</v>
      </c>
      <c r="H71" s="110">
        <f t="shared" si="41"/>
        <v>1</v>
      </c>
      <c r="I71" s="110">
        <f t="shared" si="41"/>
        <v>0.66</v>
      </c>
      <c r="J71" s="147">
        <f t="shared" si="44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187">
        <v>0</v>
      </c>
      <c r="AJ71" s="179">
        <v>1.5400000000000003</v>
      </c>
      <c r="AK71" s="179">
        <v>3.52</v>
      </c>
      <c r="AL71" s="188">
        <v>5.0600000000000005</v>
      </c>
      <c r="AM71" s="187">
        <v>0.19999999999999996</v>
      </c>
      <c r="AN71" s="179">
        <v>1.5400000000000003</v>
      </c>
      <c r="AO71" s="179">
        <v>3.52</v>
      </c>
      <c r="AP71" s="1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45"/>
        <v>5.0450000000000008</v>
      </c>
      <c r="BH71">
        <f t="shared" si="42"/>
        <v>11.015000000000001</v>
      </c>
      <c r="BI71">
        <f t="shared" si="42"/>
        <v>15.754999999999999</v>
      </c>
      <c r="BJ71">
        <f t="shared" si="42"/>
        <v>21.215</v>
      </c>
      <c r="BK71" s="87">
        <f t="shared" si="42"/>
        <v>6.5749999999999993</v>
      </c>
      <c r="BL71">
        <f t="shared" si="42"/>
        <v>11.015000000000001</v>
      </c>
      <c r="BM71">
        <f t="shared" si="42"/>
        <v>15.754999999999999</v>
      </c>
      <c r="BN71">
        <f t="shared" si="42"/>
        <v>19.430000000000003</v>
      </c>
      <c r="BO71" s="138">
        <f t="shared" si="46"/>
        <v>9.8210000000000015</v>
      </c>
      <c r="BP71" s="143">
        <f t="shared" si="47"/>
        <v>16.846999999999998</v>
      </c>
      <c r="BQ71" s="138">
        <f t="shared" si="48"/>
        <v>10.127000000000001</v>
      </c>
      <c r="BR71" s="139">
        <f t="shared" si="49"/>
        <v>16.489999999999998</v>
      </c>
      <c r="BS71" s="87">
        <f t="shared" si="50"/>
        <v>13.334</v>
      </c>
      <c r="BT71" s="88">
        <f t="shared" si="51"/>
        <v>13.308499999999999</v>
      </c>
      <c r="BU71" s="134">
        <f t="shared" si="52"/>
        <v>13.321249999999999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3"/>
        <v>0.33</v>
      </c>
      <c r="H72" s="110">
        <f t="shared" si="41"/>
        <v>1</v>
      </c>
      <c r="I72" s="110">
        <f t="shared" si="41"/>
        <v>0.66</v>
      </c>
      <c r="J72" s="147">
        <f t="shared" si="44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189">
        <v>0</v>
      </c>
      <c r="AJ72" s="201">
        <v>1.5400000000000003</v>
      </c>
      <c r="AK72" s="201">
        <v>3.52</v>
      </c>
      <c r="AL72" s="190">
        <v>5.0600000000000005</v>
      </c>
      <c r="AM72" s="189">
        <v>0.19999999999999996</v>
      </c>
      <c r="AN72" s="201">
        <v>1.5400000000000003</v>
      </c>
      <c r="AO72" s="201">
        <v>3.52</v>
      </c>
      <c r="AP72" s="190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45"/>
        <v>5.0450000000000008</v>
      </c>
      <c r="BH72" s="93">
        <f t="shared" si="42"/>
        <v>11.015000000000001</v>
      </c>
      <c r="BI72" s="93">
        <f t="shared" si="42"/>
        <v>15.754999999999999</v>
      </c>
      <c r="BJ72" s="93">
        <f t="shared" si="42"/>
        <v>21.215</v>
      </c>
      <c r="BK72" s="91">
        <f t="shared" si="42"/>
        <v>6.5749999999999993</v>
      </c>
      <c r="BL72" s="93">
        <f t="shared" si="42"/>
        <v>11.015000000000001</v>
      </c>
      <c r="BM72" s="93">
        <f t="shared" si="42"/>
        <v>15.754999999999999</v>
      </c>
      <c r="BN72" s="93">
        <f t="shared" si="42"/>
        <v>19.430000000000003</v>
      </c>
      <c r="BO72" s="140">
        <f t="shared" si="46"/>
        <v>9.8210000000000015</v>
      </c>
      <c r="BP72" s="144">
        <f t="shared" si="47"/>
        <v>16.846999999999998</v>
      </c>
      <c r="BQ72" s="140">
        <f t="shared" si="48"/>
        <v>10.127000000000001</v>
      </c>
      <c r="BR72" s="141">
        <f t="shared" si="49"/>
        <v>16.489999999999998</v>
      </c>
      <c r="BS72" s="91">
        <f t="shared" si="50"/>
        <v>13.334</v>
      </c>
      <c r="BT72" s="94">
        <f t="shared" si="51"/>
        <v>13.308499999999999</v>
      </c>
      <c r="BU72" s="135">
        <f t="shared" si="52"/>
        <v>13.321249999999999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53">G77+0.11</f>
        <v>0.55000000000000004</v>
      </c>
      <c r="I77" s="89">
        <v>0.06</v>
      </c>
      <c r="J77">
        <f t="shared" ref="J77:K79" si="54">F77</f>
        <v>0.22000000000000003</v>
      </c>
      <c r="K77">
        <f t="shared" si="54"/>
        <v>0.44</v>
      </c>
      <c r="L77" s="90">
        <f t="shared" ref="L77" si="55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56">F78-0.11</f>
        <v>0.44000000000000006</v>
      </c>
      <c r="F78" s="111">
        <f t="shared" ref="F78" si="57">C78-0.11</f>
        <v>0.55000000000000004</v>
      </c>
      <c r="G78">
        <f t="shared" ref="G78" si="58">C78+0.11</f>
        <v>0.77</v>
      </c>
      <c r="H78" s="88">
        <v>1</v>
      </c>
      <c r="I78" s="89">
        <f t="shared" ref="I78" si="59">J78-0.08</f>
        <v>0.47000000000000003</v>
      </c>
      <c r="J78">
        <f t="shared" si="54"/>
        <v>0.55000000000000004</v>
      </c>
      <c r="K78">
        <f t="shared" si="54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54"/>
        <v>1</v>
      </c>
      <c r="K79" s="93">
        <f t="shared" si="54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0">G84+1.5</f>
        <v>4.5</v>
      </c>
      <c r="I84" s="89">
        <v>1.7</v>
      </c>
      <c r="J84">
        <f t="shared" ref="J84:K86" si="61">F84</f>
        <v>2</v>
      </c>
      <c r="K84">
        <f t="shared" si="61"/>
        <v>3</v>
      </c>
      <c r="L84" s="90">
        <f t="shared" ref="L84:L86" si="6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63">F85-1.5</f>
        <v>3</v>
      </c>
      <c r="F85" s="111">
        <f>C85-0.5</f>
        <v>4.5</v>
      </c>
      <c r="G85">
        <f>C85+0.5</f>
        <v>5.5</v>
      </c>
      <c r="H85" s="88">
        <f t="shared" si="60"/>
        <v>7</v>
      </c>
      <c r="I85" s="89">
        <f t="shared" ref="I85:I86" si="64">J85-1</f>
        <v>3.5</v>
      </c>
      <c r="J85">
        <f t="shared" si="61"/>
        <v>4.5</v>
      </c>
      <c r="K85">
        <f t="shared" si="61"/>
        <v>5.5</v>
      </c>
      <c r="L85" s="90">
        <f t="shared" si="6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63"/>
        <v>5.5</v>
      </c>
      <c r="F86" s="92">
        <f>C86-0.5</f>
        <v>7</v>
      </c>
      <c r="G86" s="93">
        <f>C86+0.5</f>
        <v>8</v>
      </c>
      <c r="H86" s="94">
        <f t="shared" si="60"/>
        <v>9.5</v>
      </c>
      <c r="I86" s="95">
        <f t="shared" si="64"/>
        <v>6</v>
      </c>
      <c r="J86" s="93">
        <f t="shared" si="61"/>
        <v>7</v>
      </c>
      <c r="K86" s="93">
        <f t="shared" si="61"/>
        <v>8</v>
      </c>
      <c r="L86" s="96">
        <f t="shared" si="6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32" t="s">
        <v>126</v>
      </c>
      <c r="F89" s="233"/>
      <c r="G89" s="233"/>
      <c r="H89" s="233"/>
      <c r="I89" s="233"/>
      <c r="J89" s="233"/>
      <c r="K89" s="233"/>
      <c r="L89" s="234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30.75" thickBot="1" x14ac:dyDescent="0.3">
      <c r="A95" s="128" t="s">
        <v>132</v>
      </c>
      <c r="B95" s="129" t="s">
        <v>133</v>
      </c>
      <c r="E95" s="232" t="s">
        <v>134</v>
      </c>
      <c r="F95" s="233"/>
      <c r="G95" s="233"/>
      <c r="H95" s="233"/>
      <c r="I95" s="233"/>
      <c r="J95" s="233"/>
      <c r="K95" s="233"/>
      <c r="L95" s="234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202">
        <f>IF(E77*F$90+E$90*F77-F77*F$90&lt;0,0,E77*F$90+E$90*F77-F77*F$90)</f>
        <v>0</v>
      </c>
      <c r="F97" s="179">
        <f t="shared" ref="F97:G99" si="65">F77*F$90</f>
        <v>1.5400000000000003</v>
      </c>
      <c r="G97" s="179">
        <f t="shared" si="65"/>
        <v>3.52</v>
      </c>
      <c r="H97" s="188">
        <f t="shared" ref="H97:H99" si="66">G77*H$90+G$90*H77-G77*G$90</f>
        <v>5.0600000000000005</v>
      </c>
      <c r="I97" s="187">
        <f t="shared" ref="I97:I99" si="67">I77*J$90+I$90*J77-J77*J$90</f>
        <v>0.19999999999999996</v>
      </c>
      <c r="J97" s="179">
        <f t="shared" ref="J97:K99" si="68">J77*J$90</f>
        <v>1.5400000000000003</v>
      </c>
      <c r="K97" s="179">
        <f t="shared" si="68"/>
        <v>3.52</v>
      </c>
      <c r="L97" s="188">
        <f t="shared" ref="L97:L99" si="69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ref="E98:E99" si="70">E78*F$90+E$90*F78-F78*F$90</f>
        <v>2.2549999999999999</v>
      </c>
      <c r="F98">
        <f t="shared" si="65"/>
        <v>3.8500000000000005</v>
      </c>
      <c r="G98">
        <f t="shared" si="65"/>
        <v>6.16</v>
      </c>
      <c r="H98" s="88">
        <f t="shared" si="66"/>
        <v>9.1550000000000011</v>
      </c>
      <c r="I98" s="87">
        <f t="shared" si="67"/>
        <v>2.7399999999999993</v>
      </c>
      <c r="J98">
        <f t="shared" si="68"/>
        <v>3.8500000000000005</v>
      </c>
      <c r="K98">
        <f t="shared" si="68"/>
        <v>6.16</v>
      </c>
      <c r="L98" s="88">
        <f t="shared" si="69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0"/>
        <v>3.8900000000000006</v>
      </c>
      <c r="F99" s="93">
        <f t="shared" si="65"/>
        <v>7</v>
      </c>
      <c r="G99" s="93">
        <f t="shared" si="65"/>
        <v>8</v>
      </c>
      <c r="H99" s="94">
        <f t="shared" si="66"/>
        <v>9.5</v>
      </c>
      <c r="I99" s="91">
        <f t="shared" si="67"/>
        <v>4.8099999999999987</v>
      </c>
      <c r="J99" s="93">
        <f t="shared" si="68"/>
        <v>7</v>
      </c>
      <c r="K99" s="93">
        <f t="shared" si="68"/>
        <v>8</v>
      </c>
      <c r="L99" s="94">
        <f t="shared" si="69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202">
        <f>IF(E77*F$91+E$91*F77-F77*F$91&lt;0,0,E77*F$91+E$91*F77-F77*F$91)</f>
        <v>0</v>
      </c>
      <c r="F101" s="179">
        <f t="shared" ref="F101:G103" si="71">F77*F$91</f>
        <v>1.5400000000000003</v>
      </c>
      <c r="G101" s="179">
        <f t="shared" si="71"/>
        <v>3.52</v>
      </c>
      <c r="H101" s="188">
        <f t="shared" ref="H101:H103" si="72">G77*H$91+G$91*H77-G77*G$91</f>
        <v>5.0600000000000005</v>
      </c>
      <c r="I101" s="187">
        <f t="shared" ref="I101:I103" si="73">I77*J$91+I$91*J77-J77*J$91</f>
        <v>0.19999999999999996</v>
      </c>
      <c r="J101" s="179">
        <f t="shared" ref="J101:K103" si="74">J77*J$91</f>
        <v>1.5400000000000003</v>
      </c>
      <c r="K101" s="179">
        <f t="shared" si="74"/>
        <v>3.52</v>
      </c>
      <c r="L101" s="188">
        <f t="shared" ref="L101:L103" si="75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ref="E102:E103" si="76">E78*F$91+E$91*F78-F78*F$91</f>
        <v>2.2549999999999999</v>
      </c>
      <c r="F102">
        <f t="shared" si="71"/>
        <v>3.8500000000000005</v>
      </c>
      <c r="G102">
        <f t="shared" si="71"/>
        <v>6.16</v>
      </c>
      <c r="H102" s="88">
        <f t="shared" si="72"/>
        <v>9.1550000000000011</v>
      </c>
      <c r="I102" s="87">
        <f t="shared" si="73"/>
        <v>2.7399999999999993</v>
      </c>
      <c r="J102">
        <f t="shared" si="74"/>
        <v>3.8500000000000005</v>
      </c>
      <c r="K102">
        <f t="shared" si="74"/>
        <v>6.16</v>
      </c>
      <c r="L102" s="88">
        <f t="shared" si="75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76"/>
        <v>3.8900000000000006</v>
      </c>
      <c r="F103" s="93">
        <f t="shared" si="71"/>
        <v>7</v>
      </c>
      <c r="G103" s="93">
        <f t="shared" si="71"/>
        <v>8</v>
      </c>
      <c r="H103" s="94">
        <f t="shared" si="72"/>
        <v>9.5</v>
      </c>
      <c r="I103" s="91">
        <f t="shared" si="73"/>
        <v>4.8099999999999987</v>
      </c>
      <c r="J103" s="93">
        <f t="shared" si="74"/>
        <v>7</v>
      </c>
      <c r="K103" s="93">
        <f t="shared" si="74"/>
        <v>8</v>
      </c>
      <c r="L103" s="94">
        <f t="shared" si="75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202">
        <f>IF(E77*F$92+E$92*F77-F77*F$92&lt;0,0,E77*F$92+E$92*F77-F77*F$92)</f>
        <v>0</v>
      </c>
      <c r="F105" s="179">
        <f t="shared" ref="F105:G107" si="77">F77*F$92</f>
        <v>0.9900000000000001</v>
      </c>
      <c r="G105" s="179">
        <f t="shared" si="77"/>
        <v>2.42</v>
      </c>
      <c r="H105" s="188">
        <f t="shared" ref="H105:H107" si="78">G77*H$92+G$92*H77-G77*G$92</f>
        <v>3.6850000000000005</v>
      </c>
      <c r="I105" s="187">
        <f t="shared" ref="I105:I107" si="79">I77*J$92+I$92*J77-J77*J$92</f>
        <v>4.9999999999999933E-2</v>
      </c>
      <c r="J105" s="179">
        <f t="shared" ref="J105:K107" si="80">J77*J$92</f>
        <v>0.9900000000000001</v>
      </c>
      <c r="K105" s="179">
        <f t="shared" si="80"/>
        <v>2.42</v>
      </c>
      <c r="L105" s="188">
        <f t="shared" ref="L105:L107" si="81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ref="E106:E107" si="82">E78*F$92+E$92*F78-F78*F$92</f>
        <v>1.1550000000000002</v>
      </c>
      <c r="F106">
        <f t="shared" si="77"/>
        <v>2.4750000000000001</v>
      </c>
      <c r="G106">
        <f t="shared" si="77"/>
        <v>4.2350000000000003</v>
      </c>
      <c r="H106" s="88">
        <f t="shared" si="78"/>
        <v>6.6550000000000002</v>
      </c>
      <c r="I106" s="87">
        <f t="shared" si="79"/>
        <v>1.5650000000000008</v>
      </c>
      <c r="J106">
        <f t="shared" si="80"/>
        <v>2.4750000000000001</v>
      </c>
      <c r="K106">
        <f t="shared" si="80"/>
        <v>4.2350000000000003</v>
      </c>
      <c r="L106" s="88">
        <f t="shared" si="81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82"/>
        <v>1.9649999999999999</v>
      </c>
      <c r="F107" s="93">
        <f t="shared" si="77"/>
        <v>4.5</v>
      </c>
      <c r="G107" s="93">
        <f t="shared" si="77"/>
        <v>5.5</v>
      </c>
      <c r="H107" s="94">
        <f t="shared" si="78"/>
        <v>7</v>
      </c>
      <c r="I107" s="91">
        <f t="shared" si="79"/>
        <v>2.7349999999999994</v>
      </c>
      <c r="J107" s="93">
        <f t="shared" si="80"/>
        <v>4.5</v>
      </c>
      <c r="K107" s="93">
        <f t="shared" si="80"/>
        <v>5.5</v>
      </c>
      <c r="L107" s="94">
        <f t="shared" si="81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215" t="s">
        <v>85</v>
      </c>
      <c r="B113" s="215" t="s">
        <v>86</v>
      </c>
      <c r="C113" s="238" t="s">
        <v>87</v>
      </c>
      <c r="D113" s="239" t="s">
        <v>127</v>
      </c>
      <c r="E113" s="237"/>
      <c r="F113" s="237"/>
      <c r="G113" s="237" t="s">
        <v>128</v>
      </c>
      <c r="H113" s="237"/>
      <c r="I113" s="237"/>
      <c r="J113" s="235" t="s">
        <v>157</v>
      </c>
      <c r="K113" s="223" t="s">
        <v>150</v>
      </c>
      <c r="L113" s="224"/>
      <c r="M113" s="224"/>
      <c r="N113" s="224"/>
      <c r="O113" s="224"/>
      <c r="P113" s="224"/>
      <c r="Q113" s="224"/>
      <c r="R113" s="225"/>
      <c r="S113" s="223" t="s">
        <v>148</v>
      </c>
      <c r="T113" s="224"/>
      <c r="U113" s="224"/>
      <c r="V113" s="224"/>
      <c r="W113" s="224"/>
      <c r="X113" s="224"/>
      <c r="Y113" s="224"/>
      <c r="Z113" s="225"/>
      <c r="AA113" s="223" t="s">
        <v>149</v>
      </c>
      <c r="AB113" s="224"/>
      <c r="AC113" s="224"/>
      <c r="AD113" s="224"/>
      <c r="AE113" s="224"/>
      <c r="AF113" s="224"/>
      <c r="AG113" s="224"/>
      <c r="AH113" s="225"/>
      <c r="AI113" s="223" t="s">
        <v>147</v>
      </c>
      <c r="AJ113" s="224"/>
      <c r="AK113" s="224"/>
      <c r="AL113" s="224"/>
      <c r="AM113" s="224"/>
      <c r="AN113" s="224"/>
      <c r="AO113" s="224"/>
      <c r="AP113" s="225"/>
      <c r="AQ113" s="223" t="s">
        <v>158</v>
      </c>
      <c r="AR113" s="224"/>
      <c r="AS113" s="224"/>
      <c r="AT113" s="224"/>
      <c r="AU113" s="224"/>
      <c r="AV113" s="224"/>
      <c r="AW113" s="224"/>
      <c r="AX113" s="225"/>
      <c r="AY113" s="223" t="s">
        <v>159</v>
      </c>
      <c r="AZ113" s="224"/>
      <c r="BA113" s="224"/>
      <c r="BB113" s="224"/>
      <c r="BC113" s="224"/>
      <c r="BD113" s="224"/>
      <c r="BE113" s="224"/>
      <c r="BF113" s="225"/>
      <c r="BG113" s="223" t="s">
        <v>205</v>
      </c>
      <c r="BH113" s="224"/>
      <c r="BI113" s="224"/>
      <c r="BJ113" s="224"/>
      <c r="BK113" s="224"/>
      <c r="BL113" s="224"/>
      <c r="BM113" s="224"/>
      <c r="BN113" s="225"/>
      <c r="BO113" s="226" t="s">
        <v>151</v>
      </c>
      <c r="BP113" s="227"/>
      <c r="BQ113" s="227"/>
      <c r="BR113" s="228"/>
      <c r="BS113" s="219" t="s">
        <v>153</v>
      </c>
      <c r="BT113" s="220"/>
      <c r="BU113" s="221" t="s">
        <v>156</v>
      </c>
    </row>
    <row r="114" spans="1:73" s="97" customFormat="1" ht="23.25" customHeight="1" thickBot="1" x14ac:dyDescent="0.3">
      <c r="A114" s="215"/>
      <c r="B114" s="215"/>
      <c r="C114" s="238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36"/>
      <c r="K114" s="223" t="s">
        <v>17</v>
      </c>
      <c r="L114" s="224"/>
      <c r="M114" s="224"/>
      <c r="N114" s="225"/>
      <c r="O114" s="223" t="s">
        <v>18</v>
      </c>
      <c r="P114" s="224"/>
      <c r="Q114" s="224"/>
      <c r="R114" s="225"/>
      <c r="S114" s="223" t="s">
        <v>17</v>
      </c>
      <c r="T114" s="224"/>
      <c r="U114" s="224"/>
      <c r="V114" s="225"/>
      <c r="W114" s="223" t="s">
        <v>18</v>
      </c>
      <c r="X114" s="224"/>
      <c r="Y114" s="224"/>
      <c r="Z114" s="225"/>
      <c r="AA114" s="223" t="s">
        <v>17</v>
      </c>
      <c r="AB114" s="224"/>
      <c r="AC114" s="224"/>
      <c r="AD114" s="225"/>
      <c r="AE114" s="223" t="s">
        <v>18</v>
      </c>
      <c r="AF114" s="224"/>
      <c r="AG114" s="224"/>
      <c r="AH114" s="225"/>
      <c r="AI114" s="223" t="s">
        <v>17</v>
      </c>
      <c r="AJ114" s="224"/>
      <c r="AK114" s="224"/>
      <c r="AL114" s="225"/>
      <c r="AM114" s="223" t="s">
        <v>18</v>
      </c>
      <c r="AN114" s="224"/>
      <c r="AO114" s="224"/>
      <c r="AP114" s="225"/>
      <c r="AQ114" s="223" t="s">
        <v>17</v>
      </c>
      <c r="AR114" s="224"/>
      <c r="AS114" s="224"/>
      <c r="AT114" s="225"/>
      <c r="AU114" s="223" t="s">
        <v>18</v>
      </c>
      <c r="AV114" s="224"/>
      <c r="AW114" s="224"/>
      <c r="AX114" s="225"/>
      <c r="AY114" s="223" t="s">
        <v>17</v>
      </c>
      <c r="AZ114" s="224"/>
      <c r="BA114" s="224"/>
      <c r="BB114" s="225"/>
      <c r="BC114" s="223" t="s">
        <v>18</v>
      </c>
      <c r="BD114" s="224"/>
      <c r="BE114" s="224"/>
      <c r="BF114" s="225"/>
      <c r="BG114" s="223" t="s">
        <v>17</v>
      </c>
      <c r="BH114" s="224"/>
      <c r="BI114" s="224"/>
      <c r="BJ114" s="225"/>
      <c r="BK114" s="223" t="s">
        <v>18</v>
      </c>
      <c r="BL114" s="224"/>
      <c r="BM114" s="224"/>
      <c r="BN114" s="225"/>
      <c r="BO114" s="229" t="s">
        <v>152</v>
      </c>
      <c r="BP114" s="230"/>
      <c r="BQ114" s="229" t="s">
        <v>26</v>
      </c>
      <c r="BR114" s="231"/>
      <c r="BS114" s="145" t="s">
        <v>154</v>
      </c>
      <c r="BT114" s="145" t="s">
        <v>155</v>
      </c>
      <c r="BU114" s="222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24" si="83">IF(E115=$A$128,$B$128,(IF(E115=$A$129,$B$129,IF(E115=$A$130,$B$130,$B$131))))</f>
        <v>0.66</v>
      </c>
      <c r="I115" s="110">
        <f t="shared" si="83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185">
        <v>0</v>
      </c>
      <c r="AJ115" s="200">
        <v>0.44000000000000006</v>
      </c>
      <c r="AK115" s="200">
        <v>1.32</v>
      </c>
      <c r="AL115" s="186">
        <v>2.3099999999999996</v>
      </c>
      <c r="AM115" s="185">
        <v>5.3999999999999992E-2</v>
      </c>
      <c r="AN115" s="200">
        <v>0.44000000000000006</v>
      </c>
      <c r="AO115" s="200">
        <v>1.32</v>
      </c>
      <c r="AP115" s="186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5.0450000000000008</v>
      </c>
      <c r="BH115" s="83">
        <f t="shared" ref="BH115:BN124" si="84">AJ115+AR115+AZ115</f>
        <v>9.9149999999999991</v>
      </c>
      <c r="BI115" s="83">
        <f t="shared" si="84"/>
        <v>13.555</v>
      </c>
      <c r="BJ115" s="83">
        <f t="shared" si="84"/>
        <v>18.465</v>
      </c>
      <c r="BK115" s="81">
        <f t="shared" si="84"/>
        <v>6.4289999999999994</v>
      </c>
      <c r="BL115" s="83">
        <f t="shared" si="84"/>
        <v>9.9149999999999991</v>
      </c>
      <c r="BM115" s="83">
        <f t="shared" si="84"/>
        <v>13.555</v>
      </c>
      <c r="BN115" s="83">
        <f t="shared" si="84"/>
        <v>16.830000000000002</v>
      </c>
      <c r="BO115" s="136">
        <f>BO$8*BH115+(1-BO$8)*BG115</f>
        <v>8.9409999999999989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11.739000000000001</v>
      </c>
      <c r="BT115" s="84">
        <f>(BQ115+BR115)/2</f>
        <v>11.713899999999999</v>
      </c>
      <c r="BU115" s="133">
        <f>(BS115+BT115)/2</f>
        <v>11.72645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85">IF(D116=$A$128,$B$128,(IF(D116=$A$129,$B$129,IF(D116=$A$130,$B$130,$B$131))))</f>
        <v>0.66</v>
      </c>
      <c r="H116" s="110">
        <f t="shared" si="83"/>
        <v>0.33</v>
      </c>
      <c r="I116" s="110">
        <f t="shared" si="83"/>
        <v>0.33</v>
      </c>
      <c r="J116" s="147">
        <f t="shared" ref="J116:J124" si="8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187">
        <v>0</v>
      </c>
      <c r="AR116" s="179">
        <v>0.9900000000000001</v>
      </c>
      <c r="AS116" s="179">
        <v>2.42</v>
      </c>
      <c r="AT116" s="179">
        <v>3.6850000000000005</v>
      </c>
      <c r="AU116" s="187">
        <v>4.9999999999999933E-2</v>
      </c>
      <c r="AV116" s="179">
        <v>0.9900000000000001</v>
      </c>
      <c r="AW116" s="179">
        <v>2.42</v>
      </c>
      <c r="AX116" s="188">
        <v>3.3000000000000007</v>
      </c>
      <c r="AY116" s="187">
        <v>0</v>
      </c>
      <c r="AZ116" s="179">
        <v>1.5400000000000003</v>
      </c>
      <c r="BA116" s="179">
        <v>3.52</v>
      </c>
      <c r="BB116" s="179">
        <v>5.0600000000000005</v>
      </c>
      <c r="BC116" s="187">
        <v>0.19999999999999996</v>
      </c>
      <c r="BD116" s="179">
        <v>1.5400000000000003</v>
      </c>
      <c r="BE116" s="179">
        <v>3.52</v>
      </c>
      <c r="BF116" s="188">
        <v>4.6000000000000014</v>
      </c>
      <c r="BG116" s="187">
        <f t="shared" ref="BG116:BG124" si="87">AI116+AQ116+AY116</f>
        <v>0.60499999999999998</v>
      </c>
      <c r="BH116" s="179">
        <f t="shared" si="84"/>
        <v>3.6300000000000008</v>
      </c>
      <c r="BI116" s="179">
        <f t="shared" si="84"/>
        <v>8.25</v>
      </c>
      <c r="BJ116" s="179">
        <f t="shared" si="84"/>
        <v>12.9</v>
      </c>
      <c r="BK116" s="187">
        <f t="shared" si="84"/>
        <v>1.0249999999999999</v>
      </c>
      <c r="BL116" s="179">
        <f t="shared" si="84"/>
        <v>3.6300000000000008</v>
      </c>
      <c r="BM116" s="179">
        <f t="shared" si="84"/>
        <v>8.25</v>
      </c>
      <c r="BN116" s="179">
        <f t="shared" si="84"/>
        <v>11.430000000000001</v>
      </c>
      <c r="BO116" s="138">
        <f t="shared" ref="BO116:BO124" si="88">BO$8*BH116+(1-BO$8)*BG116</f>
        <v>3.0250000000000008</v>
      </c>
      <c r="BP116" s="143">
        <f t="shared" ref="BP116:BP124" si="89">BO$8*BI116+(1-BO$8)*BJ116</f>
        <v>9.18</v>
      </c>
      <c r="BQ116" s="138">
        <f t="shared" ref="BQ116:BQ124" si="90">BO$8*BL116+(1-BO$8)*BK116</f>
        <v>3.1090000000000009</v>
      </c>
      <c r="BR116" s="139">
        <f t="shared" ref="BR116:BR124" si="91">BO$8*BM116+(1-BO$8)*BN116</f>
        <v>8.8859999999999992</v>
      </c>
      <c r="BS116" s="87">
        <f t="shared" ref="BS116:BS124" si="92">(BO116+BP116)/2</f>
        <v>6.1025</v>
      </c>
      <c r="BT116" s="88">
        <f t="shared" ref="BT116:BT124" si="93">(BQ116+BR116)/2</f>
        <v>5.9975000000000005</v>
      </c>
      <c r="BU116" s="134">
        <f t="shared" ref="BU116:BU124" si="94">(BS116+BT116)/2</f>
        <v>6.0500000000000007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85"/>
        <v>0.66</v>
      </c>
      <c r="H117" s="110">
        <f t="shared" si="83"/>
        <v>1</v>
      </c>
      <c r="I117" s="110">
        <f t="shared" si="83"/>
        <v>0.66</v>
      </c>
      <c r="J117" s="147">
        <f t="shared" si="8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87"/>
        <v>4.8249999999999993</v>
      </c>
      <c r="BH117">
        <f t="shared" si="84"/>
        <v>9.4499999999999993</v>
      </c>
      <c r="BI117">
        <f t="shared" si="84"/>
        <v>13.97</v>
      </c>
      <c r="BJ117">
        <f t="shared" si="84"/>
        <v>20.310000000000002</v>
      </c>
      <c r="BK117" s="87">
        <f t="shared" si="84"/>
        <v>6.2499999999999982</v>
      </c>
      <c r="BL117">
        <f t="shared" si="84"/>
        <v>9.4499999999999993</v>
      </c>
      <c r="BM117">
        <f t="shared" si="84"/>
        <v>13.97</v>
      </c>
      <c r="BN117">
        <f t="shared" si="84"/>
        <v>18.159999999999997</v>
      </c>
      <c r="BO117" s="138">
        <f t="shared" si="88"/>
        <v>8.5249999999999986</v>
      </c>
      <c r="BP117" s="143">
        <f t="shared" si="89"/>
        <v>15.238000000000001</v>
      </c>
      <c r="BQ117" s="138">
        <f t="shared" si="90"/>
        <v>8.8099999999999987</v>
      </c>
      <c r="BR117" s="139">
        <f t="shared" si="91"/>
        <v>14.808</v>
      </c>
      <c r="BS117" s="87">
        <f t="shared" si="92"/>
        <v>11.881499999999999</v>
      </c>
      <c r="BT117" s="88">
        <f t="shared" si="93"/>
        <v>11.808999999999999</v>
      </c>
      <c r="BU117" s="134">
        <f t="shared" si="9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85"/>
        <v>1</v>
      </c>
      <c r="H118" s="110">
        <f t="shared" si="83"/>
        <v>0.66</v>
      </c>
      <c r="I118" s="110">
        <f t="shared" si="83"/>
        <v>0.33</v>
      </c>
      <c r="J118" s="147">
        <f t="shared" si="8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187">
        <v>0</v>
      </c>
      <c r="AZ118" s="179">
        <v>1.5400000000000003</v>
      </c>
      <c r="BA118" s="179">
        <v>3.52</v>
      </c>
      <c r="BB118" s="179">
        <v>5.0600000000000005</v>
      </c>
      <c r="BC118" s="187">
        <v>0.19999999999999996</v>
      </c>
      <c r="BD118" s="179">
        <v>1.5400000000000003</v>
      </c>
      <c r="BE118" s="179">
        <v>3.52</v>
      </c>
      <c r="BF118" s="188">
        <v>4.6000000000000014</v>
      </c>
      <c r="BG118" s="87">
        <f t="shared" si="87"/>
        <v>2.1950000000000003</v>
      </c>
      <c r="BH118">
        <f t="shared" si="84"/>
        <v>6.0149999999999997</v>
      </c>
      <c r="BI118">
        <f t="shared" si="84"/>
        <v>10.755000000000001</v>
      </c>
      <c r="BJ118">
        <f t="shared" si="84"/>
        <v>16.215000000000003</v>
      </c>
      <c r="BK118" s="87">
        <f t="shared" si="84"/>
        <v>3.1250000000000009</v>
      </c>
      <c r="BL118">
        <f t="shared" si="84"/>
        <v>6.0149999999999997</v>
      </c>
      <c r="BM118">
        <f t="shared" si="84"/>
        <v>10.755000000000001</v>
      </c>
      <c r="BN118">
        <f t="shared" si="84"/>
        <v>14.430000000000003</v>
      </c>
      <c r="BO118" s="138">
        <f t="shared" si="88"/>
        <v>5.2510000000000003</v>
      </c>
      <c r="BP118" s="143">
        <f t="shared" si="89"/>
        <v>11.847000000000001</v>
      </c>
      <c r="BQ118" s="138">
        <f t="shared" si="90"/>
        <v>5.4370000000000003</v>
      </c>
      <c r="BR118" s="139">
        <f t="shared" si="91"/>
        <v>11.490000000000002</v>
      </c>
      <c r="BS118" s="87">
        <f t="shared" si="92"/>
        <v>8.5490000000000013</v>
      </c>
      <c r="BT118" s="88">
        <f t="shared" si="93"/>
        <v>8.4635000000000016</v>
      </c>
      <c r="BU118" s="134">
        <f t="shared" si="94"/>
        <v>8.5062500000000014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85"/>
        <v>0.66</v>
      </c>
      <c r="H119" s="110">
        <f t="shared" si="83"/>
        <v>1</v>
      </c>
      <c r="I119" s="110">
        <f t="shared" si="83"/>
        <v>0.33</v>
      </c>
      <c r="J119" s="147">
        <f t="shared" si="8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187">
        <v>0</v>
      </c>
      <c r="AZ119" s="179">
        <v>1.5400000000000003</v>
      </c>
      <c r="BA119" s="179">
        <v>3.52</v>
      </c>
      <c r="BB119" s="179">
        <v>5.0600000000000005</v>
      </c>
      <c r="BC119" s="187">
        <v>0.19999999999999996</v>
      </c>
      <c r="BD119" s="179">
        <v>1.5400000000000003</v>
      </c>
      <c r="BE119" s="179">
        <v>3.52</v>
      </c>
      <c r="BF119" s="188">
        <v>4.6000000000000014</v>
      </c>
      <c r="BG119" s="87">
        <f t="shared" si="87"/>
        <v>2.57</v>
      </c>
      <c r="BH119">
        <f t="shared" si="84"/>
        <v>7.14</v>
      </c>
      <c r="BI119">
        <f t="shared" si="84"/>
        <v>11.33</v>
      </c>
      <c r="BJ119">
        <f t="shared" si="84"/>
        <v>16.215</v>
      </c>
      <c r="BK119" s="87">
        <f t="shared" si="84"/>
        <v>3.7099999999999991</v>
      </c>
      <c r="BL119">
        <f t="shared" si="84"/>
        <v>7.14</v>
      </c>
      <c r="BM119">
        <f t="shared" si="84"/>
        <v>11.33</v>
      </c>
      <c r="BN119">
        <f t="shared" si="84"/>
        <v>14.63</v>
      </c>
      <c r="BO119" s="138">
        <f t="shared" si="88"/>
        <v>6.226</v>
      </c>
      <c r="BP119" s="143">
        <f t="shared" si="89"/>
        <v>12.306999999999999</v>
      </c>
      <c r="BQ119" s="138">
        <f t="shared" si="90"/>
        <v>6.4539999999999997</v>
      </c>
      <c r="BR119" s="139">
        <f t="shared" si="91"/>
        <v>11.99</v>
      </c>
      <c r="BS119" s="87">
        <f t="shared" si="92"/>
        <v>9.2664999999999988</v>
      </c>
      <c r="BT119" s="88">
        <f t="shared" si="93"/>
        <v>9.2219999999999995</v>
      </c>
      <c r="BU119" s="134">
        <f t="shared" si="94"/>
        <v>9.2442499999999992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85"/>
        <v>0.33</v>
      </c>
      <c r="H120" s="110">
        <f t="shared" si="83"/>
        <v>0.66</v>
      </c>
      <c r="I120" s="110">
        <f t="shared" si="83"/>
        <v>0.33</v>
      </c>
      <c r="J120" s="147">
        <f t="shared" si="8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187">
        <v>0</v>
      </c>
      <c r="AJ120" s="179">
        <v>0.44000000000000006</v>
      </c>
      <c r="AK120" s="179">
        <v>1.32</v>
      </c>
      <c r="AL120" s="188">
        <v>2.3099999999999996</v>
      </c>
      <c r="AM120" s="187">
        <v>5.3999999999999992E-2</v>
      </c>
      <c r="AN120" s="179">
        <v>0.44000000000000006</v>
      </c>
      <c r="AO120" s="179">
        <v>1.32</v>
      </c>
      <c r="AP120" s="1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187">
        <v>0</v>
      </c>
      <c r="AZ120" s="179">
        <v>1.5400000000000003</v>
      </c>
      <c r="BA120" s="179">
        <v>3.52</v>
      </c>
      <c r="BB120" s="179">
        <v>5.0600000000000005</v>
      </c>
      <c r="BC120" s="187">
        <v>0.19999999999999996</v>
      </c>
      <c r="BD120" s="179">
        <v>1.5400000000000003</v>
      </c>
      <c r="BE120" s="179">
        <v>3.52</v>
      </c>
      <c r="BF120" s="188">
        <v>4.6000000000000014</v>
      </c>
      <c r="BG120" s="87">
        <f t="shared" si="87"/>
        <v>1.1550000000000002</v>
      </c>
      <c r="BH120">
        <f t="shared" si="84"/>
        <v>4.4550000000000001</v>
      </c>
      <c r="BI120">
        <f t="shared" si="84"/>
        <v>9.0750000000000011</v>
      </c>
      <c r="BJ120">
        <f t="shared" si="84"/>
        <v>14.025</v>
      </c>
      <c r="BK120" s="87">
        <f t="shared" si="84"/>
        <v>1.8190000000000008</v>
      </c>
      <c r="BL120">
        <f t="shared" si="84"/>
        <v>4.4550000000000001</v>
      </c>
      <c r="BM120">
        <f t="shared" si="84"/>
        <v>9.0750000000000011</v>
      </c>
      <c r="BN120">
        <f t="shared" si="84"/>
        <v>12.430000000000003</v>
      </c>
      <c r="BO120" s="138">
        <f t="shared" si="88"/>
        <v>3.7949999999999999</v>
      </c>
      <c r="BP120" s="143">
        <f t="shared" si="89"/>
        <v>10.065000000000001</v>
      </c>
      <c r="BQ120" s="138">
        <f t="shared" si="90"/>
        <v>3.9278</v>
      </c>
      <c r="BR120" s="139">
        <f t="shared" si="91"/>
        <v>9.7460000000000022</v>
      </c>
      <c r="BS120" s="87">
        <f t="shared" si="92"/>
        <v>6.9300000000000006</v>
      </c>
      <c r="BT120" s="88">
        <f t="shared" si="93"/>
        <v>6.8369000000000009</v>
      </c>
      <c r="BU120" s="134">
        <f t="shared" si="94"/>
        <v>6.8834500000000007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85"/>
        <v>1</v>
      </c>
      <c r="H121" s="110">
        <f t="shared" si="83"/>
        <v>0.66</v>
      </c>
      <c r="I121" s="110">
        <f t="shared" si="83"/>
        <v>0.33</v>
      </c>
      <c r="J121" s="147">
        <f t="shared" si="8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187">
        <v>0</v>
      </c>
      <c r="AZ121" s="179">
        <v>1.5400000000000003</v>
      </c>
      <c r="BA121" s="179">
        <v>3.52</v>
      </c>
      <c r="BB121" s="179">
        <v>5.0600000000000005</v>
      </c>
      <c r="BC121" s="187">
        <v>0.19999999999999996</v>
      </c>
      <c r="BD121" s="179">
        <v>1.5400000000000003</v>
      </c>
      <c r="BE121" s="179">
        <v>3.52</v>
      </c>
      <c r="BF121" s="188">
        <v>4.6000000000000014</v>
      </c>
      <c r="BG121" s="87">
        <f t="shared" si="87"/>
        <v>2.1950000000000003</v>
      </c>
      <c r="BH121">
        <f t="shared" si="84"/>
        <v>6.0149999999999997</v>
      </c>
      <c r="BI121">
        <f t="shared" si="84"/>
        <v>10.755000000000001</v>
      </c>
      <c r="BJ121">
        <f t="shared" si="84"/>
        <v>16.215000000000003</v>
      </c>
      <c r="BK121" s="87">
        <f t="shared" si="84"/>
        <v>3.1250000000000009</v>
      </c>
      <c r="BL121">
        <f t="shared" si="84"/>
        <v>6.0149999999999997</v>
      </c>
      <c r="BM121">
        <f t="shared" si="84"/>
        <v>10.755000000000001</v>
      </c>
      <c r="BN121">
        <f t="shared" si="84"/>
        <v>14.430000000000003</v>
      </c>
      <c r="BO121" s="138">
        <f t="shared" si="88"/>
        <v>5.2510000000000003</v>
      </c>
      <c r="BP121" s="143">
        <f t="shared" si="89"/>
        <v>11.847000000000001</v>
      </c>
      <c r="BQ121" s="138">
        <f t="shared" si="90"/>
        <v>5.4370000000000003</v>
      </c>
      <c r="BR121" s="139">
        <f t="shared" si="91"/>
        <v>11.490000000000002</v>
      </c>
      <c r="BS121" s="87">
        <f t="shared" si="92"/>
        <v>8.5490000000000013</v>
      </c>
      <c r="BT121" s="88">
        <f t="shared" si="93"/>
        <v>8.4635000000000016</v>
      </c>
      <c r="BU121" s="134">
        <f t="shared" si="94"/>
        <v>8.5062500000000014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85"/>
        <v>0.66</v>
      </c>
      <c r="H122" s="110">
        <f t="shared" si="83"/>
        <v>0.33</v>
      </c>
      <c r="I122" s="110">
        <f t="shared" si="83"/>
        <v>1</v>
      </c>
      <c r="J122" s="147">
        <f t="shared" si="8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187">
        <v>0</v>
      </c>
      <c r="AR122" s="179">
        <v>0.9900000000000001</v>
      </c>
      <c r="AS122" s="179">
        <v>2.42</v>
      </c>
      <c r="AT122" s="179">
        <v>3.6850000000000005</v>
      </c>
      <c r="AU122" s="187">
        <v>4.9999999999999933E-2</v>
      </c>
      <c r="AV122" s="179">
        <v>0.9900000000000001</v>
      </c>
      <c r="AW122" s="179">
        <v>2.42</v>
      </c>
      <c r="AX122" s="1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87"/>
        <v>4.495000000000001</v>
      </c>
      <c r="BH122">
        <f t="shared" si="84"/>
        <v>9.09</v>
      </c>
      <c r="BI122">
        <f t="shared" si="84"/>
        <v>12.73</v>
      </c>
      <c r="BJ122">
        <f t="shared" si="84"/>
        <v>17.34</v>
      </c>
      <c r="BK122" s="87">
        <f t="shared" si="84"/>
        <v>5.6349999999999989</v>
      </c>
      <c r="BL122">
        <f t="shared" si="84"/>
        <v>9.09</v>
      </c>
      <c r="BM122">
        <f t="shared" si="84"/>
        <v>12.73</v>
      </c>
      <c r="BN122">
        <f t="shared" si="84"/>
        <v>15.83</v>
      </c>
      <c r="BO122" s="138">
        <f t="shared" si="88"/>
        <v>8.1709999999999994</v>
      </c>
      <c r="BP122" s="143">
        <f t="shared" si="89"/>
        <v>13.652000000000001</v>
      </c>
      <c r="BQ122" s="138">
        <f t="shared" si="90"/>
        <v>8.3989999999999991</v>
      </c>
      <c r="BR122" s="139">
        <f t="shared" si="91"/>
        <v>13.350000000000001</v>
      </c>
      <c r="BS122" s="87">
        <f t="shared" si="92"/>
        <v>10.9115</v>
      </c>
      <c r="BT122" s="88">
        <f t="shared" si="93"/>
        <v>10.874500000000001</v>
      </c>
      <c r="BU122" s="134">
        <f t="shared" si="94"/>
        <v>10.893000000000001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85"/>
        <v>0.66</v>
      </c>
      <c r="H123" s="110">
        <f t="shared" si="83"/>
        <v>1</v>
      </c>
      <c r="I123" s="110">
        <f t="shared" si="83"/>
        <v>0.33</v>
      </c>
      <c r="J123" s="147">
        <f t="shared" si="8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187">
        <v>0</v>
      </c>
      <c r="AZ123" s="179">
        <v>1.5400000000000003</v>
      </c>
      <c r="BA123" s="179">
        <v>3.52</v>
      </c>
      <c r="BB123" s="179">
        <v>5.0600000000000005</v>
      </c>
      <c r="BC123" s="187">
        <v>0.19999999999999996</v>
      </c>
      <c r="BD123" s="179">
        <v>1.5400000000000003</v>
      </c>
      <c r="BE123" s="179">
        <v>3.52</v>
      </c>
      <c r="BF123" s="188">
        <v>4.6000000000000014</v>
      </c>
      <c r="BG123" s="87">
        <f t="shared" si="87"/>
        <v>2.57</v>
      </c>
      <c r="BH123">
        <f t="shared" si="84"/>
        <v>7.14</v>
      </c>
      <c r="BI123">
        <f t="shared" si="84"/>
        <v>11.33</v>
      </c>
      <c r="BJ123">
        <f t="shared" si="84"/>
        <v>16.215</v>
      </c>
      <c r="BK123" s="87">
        <f t="shared" si="84"/>
        <v>3.7099999999999991</v>
      </c>
      <c r="BL123">
        <f t="shared" si="84"/>
        <v>7.14</v>
      </c>
      <c r="BM123">
        <f t="shared" si="84"/>
        <v>11.33</v>
      </c>
      <c r="BN123">
        <f t="shared" si="84"/>
        <v>14.63</v>
      </c>
      <c r="BO123" s="138">
        <f t="shared" si="88"/>
        <v>6.226</v>
      </c>
      <c r="BP123" s="143">
        <f t="shared" si="89"/>
        <v>12.306999999999999</v>
      </c>
      <c r="BQ123" s="138">
        <f t="shared" si="90"/>
        <v>6.4539999999999997</v>
      </c>
      <c r="BR123" s="139">
        <f t="shared" si="91"/>
        <v>11.99</v>
      </c>
      <c r="BS123" s="87">
        <f t="shared" si="92"/>
        <v>9.2664999999999988</v>
      </c>
      <c r="BT123" s="88">
        <f t="shared" si="93"/>
        <v>9.2219999999999995</v>
      </c>
      <c r="BU123" s="134">
        <f t="shared" si="94"/>
        <v>9.2442499999999992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85"/>
        <v>0.33</v>
      </c>
      <c r="H124" s="110">
        <f t="shared" si="83"/>
        <v>1</v>
      </c>
      <c r="I124" s="110">
        <f t="shared" si="83"/>
        <v>0.66</v>
      </c>
      <c r="J124" s="147">
        <f t="shared" si="8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189">
        <v>0</v>
      </c>
      <c r="AJ124" s="201">
        <v>0.44000000000000006</v>
      </c>
      <c r="AK124" s="201">
        <v>1.32</v>
      </c>
      <c r="AL124" s="190">
        <v>2.3099999999999996</v>
      </c>
      <c r="AM124" s="189">
        <v>5.3999999999999992E-2</v>
      </c>
      <c r="AN124" s="201">
        <v>0.44000000000000006</v>
      </c>
      <c r="AO124" s="201">
        <v>1.32</v>
      </c>
      <c r="AP124" s="190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87"/>
        <v>4.22</v>
      </c>
      <c r="BH124" s="93">
        <f t="shared" si="84"/>
        <v>8.7900000000000009</v>
      </c>
      <c r="BI124" s="93">
        <f t="shared" si="84"/>
        <v>12.98</v>
      </c>
      <c r="BJ124" s="93">
        <f t="shared" si="84"/>
        <v>18.465</v>
      </c>
      <c r="BK124" s="91">
        <f t="shared" si="84"/>
        <v>5.5289999999999981</v>
      </c>
      <c r="BL124" s="93">
        <f t="shared" si="84"/>
        <v>8.7900000000000009</v>
      </c>
      <c r="BM124" s="93">
        <f t="shared" si="84"/>
        <v>12.98</v>
      </c>
      <c r="BN124" s="93">
        <f t="shared" si="84"/>
        <v>16.63</v>
      </c>
      <c r="BO124" s="140">
        <f t="shared" si="88"/>
        <v>7.8760000000000003</v>
      </c>
      <c r="BP124" s="144">
        <f t="shared" si="89"/>
        <v>14.077</v>
      </c>
      <c r="BQ124" s="140">
        <f t="shared" si="90"/>
        <v>8.1378000000000004</v>
      </c>
      <c r="BR124" s="141">
        <f t="shared" si="91"/>
        <v>13.709999999999999</v>
      </c>
      <c r="BS124" s="91">
        <f t="shared" si="92"/>
        <v>10.9765</v>
      </c>
      <c r="BT124" s="94">
        <f t="shared" si="93"/>
        <v>10.9239</v>
      </c>
      <c r="BU124" s="135">
        <f t="shared" si="94"/>
        <v>10.950199999999999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95">G129+0.11</f>
        <v>0.55000000000000004</v>
      </c>
      <c r="I129" s="89">
        <v>0.06</v>
      </c>
      <c r="J129">
        <f t="shared" ref="J129:K131" si="96">F129</f>
        <v>0.22000000000000003</v>
      </c>
      <c r="K129">
        <f t="shared" si="96"/>
        <v>0.44</v>
      </c>
      <c r="L129" s="90">
        <f t="shared" ref="L129" si="97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98">F130-0.11</f>
        <v>0.44000000000000006</v>
      </c>
      <c r="F130" s="111">
        <f t="shared" ref="F130" si="99">C130-0.11</f>
        <v>0.55000000000000004</v>
      </c>
      <c r="G130">
        <f t="shared" ref="G130" si="100">C130+0.11</f>
        <v>0.77</v>
      </c>
      <c r="H130" s="88">
        <v>1</v>
      </c>
      <c r="I130" s="89">
        <f t="shared" ref="I130" si="101">J130-0.08</f>
        <v>0.47000000000000003</v>
      </c>
      <c r="J130">
        <f t="shared" si="96"/>
        <v>0.55000000000000004</v>
      </c>
      <c r="K130">
        <f t="shared" si="96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96"/>
        <v>1</v>
      </c>
      <c r="K131" s="93">
        <f t="shared" si="96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02">G136+1.5</f>
        <v>4.5</v>
      </c>
      <c r="I136" s="89">
        <v>1.7</v>
      </c>
      <c r="J136">
        <f t="shared" ref="J136:K138" si="103">F136</f>
        <v>2</v>
      </c>
      <c r="K136">
        <f t="shared" si="103"/>
        <v>3</v>
      </c>
      <c r="L136" s="90">
        <f t="shared" ref="L136:L138" si="104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05">F137-1.5</f>
        <v>3</v>
      </c>
      <c r="F137" s="111">
        <f>C137-0.5</f>
        <v>4.5</v>
      </c>
      <c r="G137">
        <f>C137+0.5</f>
        <v>5.5</v>
      </c>
      <c r="H137" s="88">
        <f t="shared" si="102"/>
        <v>7</v>
      </c>
      <c r="I137" s="89">
        <f t="shared" ref="I137:I138" si="106">J137-1</f>
        <v>3.5</v>
      </c>
      <c r="J137">
        <f t="shared" si="103"/>
        <v>4.5</v>
      </c>
      <c r="K137">
        <f t="shared" si="103"/>
        <v>5.5</v>
      </c>
      <c r="L137" s="90">
        <f t="shared" si="104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05"/>
        <v>5.5</v>
      </c>
      <c r="F138" s="92">
        <f>C138-0.5</f>
        <v>7</v>
      </c>
      <c r="G138" s="93">
        <f>C138+0.5</f>
        <v>8</v>
      </c>
      <c r="H138" s="94">
        <f t="shared" si="102"/>
        <v>9.5</v>
      </c>
      <c r="I138" s="95">
        <f t="shared" si="106"/>
        <v>6</v>
      </c>
      <c r="J138" s="93">
        <f t="shared" si="103"/>
        <v>7</v>
      </c>
      <c r="K138" s="93">
        <f t="shared" si="103"/>
        <v>8</v>
      </c>
      <c r="L138" s="96">
        <f t="shared" si="104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32" t="s">
        <v>126</v>
      </c>
      <c r="F141" s="233"/>
      <c r="G141" s="233"/>
      <c r="H141" s="233"/>
      <c r="I141" s="233"/>
      <c r="J141" s="233"/>
      <c r="K141" s="233"/>
      <c r="L141" s="234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30.75" thickBot="1" x14ac:dyDescent="0.3">
      <c r="A147" s="171" t="s">
        <v>132</v>
      </c>
      <c r="B147" s="172" t="s">
        <v>133</v>
      </c>
      <c r="E147" s="232" t="s">
        <v>134</v>
      </c>
      <c r="F147" s="233"/>
      <c r="G147" s="233"/>
      <c r="H147" s="233"/>
      <c r="I147" s="233"/>
      <c r="J147" s="233"/>
      <c r="K147" s="233"/>
      <c r="L147" s="234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202">
        <f>IF(E129*F$142+E$142*F129-F129*F$142&lt;0,0,E129*F$142+E$142*F129-F129*F$142)</f>
        <v>0</v>
      </c>
      <c r="F149" s="179">
        <f t="shared" ref="F149:G151" si="107">F129*F$142</f>
        <v>0.44000000000000006</v>
      </c>
      <c r="G149" s="179">
        <f t="shared" si="107"/>
        <v>1.32</v>
      </c>
      <c r="H149" s="188">
        <f t="shared" ref="H149:H151" si="108">G129*H$142+G$142*H129-G129*G$142</f>
        <v>2.3099999999999996</v>
      </c>
      <c r="I149" s="187">
        <f t="shared" ref="I149:I151" si="109">I129*J$142+I$142*J129-J129*J$142</f>
        <v>5.3999999999999992E-2</v>
      </c>
      <c r="J149" s="179">
        <f t="shared" ref="J149:K151" si="110">J129*J$142</f>
        <v>0.44000000000000006</v>
      </c>
      <c r="K149" s="179">
        <f t="shared" si="110"/>
        <v>1.32</v>
      </c>
      <c r="L149" s="188">
        <f t="shared" ref="L149:L151" si="111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ref="E150:E151" si="112">E130*F$142+E$142*F130-F130*F$142</f>
        <v>0.60499999999999998</v>
      </c>
      <c r="F150">
        <f t="shared" si="107"/>
        <v>1.1000000000000001</v>
      </c>
      <c r="G150">
        <f t="shared" si="107"/>
        <v>2.31</v>
      </c>
      <c r="H150" s="88">
        <f t="shared" si="108"/>
        <v>4.1549999999999994</v>
      </c>
      <c r="I150" s="87">
        <f t="shared" si="109"/>
        <v>0.77499999999999991</v>
      </c>
      <c r="J150">
        <f t="shared" si="110"/>
        <v>1.1000000000000001</v>
      </c>
      <c r="K150">
        <f t="shared" si="110"/>
        <v>2.31</v>
      </c>
      <c r="L150" s="88">
        <f t="shared" si="111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12"/>
        <v>1.04</v>
      </c>
      <c r="F151" s="93">
        <f t="shared" si="107"/>
        <v>2</v>
      </c>
      <c r="G151" s="93">
        <f t="shared" si="107"/>
        <v>3</v>
      </c>
      <c r="H151" s="94">
        <f t="shared" si="108"/>
        <v>4.5</v>
      </c>
      <c r="I151" s="91">
        <f t="shared" si="109"/>
        <v>1.3599999999999999</v>
      </c>
      <c r="J151" s="93">
        <f t="shared" si="110"/>
        <v>2</v>
      </c>
      <c r="K151" s="93">
        <f t="shared" si="110"/>
        <v>3</v>
      </c>
      <c r="L151" s="94">
        <f t="shared" si="111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202">
        <f>IF(E129*F$143+E$143*F129-F129*F$143&lt;0,0,E129*F$143+E$143*F129-F129*F$143)</f>
        <v>0</v>
      </c>
      <c r="F153" s="179">
        <f t="shared" ref="F153:G155" si="113">F129*F$143</f>
        <v>0.9900000000000001</v>
      </c>
      <c r="G153" s="179">
        <f t="shared" si="113"/>
        <v>2.42</v>
      </c>
      <c r="H153" s="188">
        <f t="shared" ref="H153:H155" si="114">G129*H$143+G$143*H129-G129*G$143</f>
        <v>3.6850000000000005</v>
      </c>
      <c r="I153" s="187">
        <f t="shared" ref="I153:I155" si="115">I129*J$143+I$143*J129-J129*J$143</f>
        <v>4.9999999999999933E-2</v>
      </c>
      <c r="J153" s="179">
        <f t="shared" ref="J153:K155" si="116">J129*J$143</f>
        <v>0.9900000000000001</v>
      </c>
      <c r="K153" s="179">
        <f t="shared" si="116"/>
        <v>2.42</v>
      </c>
      <c r="L153" s="188">
        <f t="shared" ref="L153:L155" si="117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ref="E154:E155" si="118">E130*F$143+E$143*F130-F130*F$143</f>
        <v>1.1550000000000002</v>
      </c>
      <c r="F154">
        <f t="shared" si="113"/>
        <v>2.4750000000000001</v>
      </c>
      <c r="G154">
        <f t="shared" si="113"/>
        <v>4.2350000000000003</v>
      </c>
      <c r="H154" s="88">
        <f t="shared" si="114"/>
        <v>6.6550000000000002</v>
      </c>
      <c r="I154" s="87">
        <f t="shared" si="115"/>
        <v>1.5650000000000008</v>
      </c>
      <c r="J154">
        <f t="shared" si="116"/>
        <v>2.4750000000000001</v>
      </c>
      <c r="K154">
        <f t="shared" si="116"/>
        <v>4.2350000000000003</v>
      </c>
      <c r="L154" s="88">
        <f t="shared" si="117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18"/>
        <v>1.9649999999999999</v>
      </c>
      <c r="F155" s="93">
        <f t="shared" si="113"/>
        <v>4.5</v>
      </c>
      <c r="G155" s="93">
        <f t="shared" si="113"/>
        <v>5.5</v>
      </c>
      <c r="H155" s="94">
        <f t="shared" si="114"/>
        <v>7</v>
      </c>
      <c r="I155" s="91">
        <f t="shared" si="115"/>
        <v>2.7349999999999994</v>
      </c>
      <c r="J155" s="93">
        <f t="shared" si="116"/>
        <v>4.5</v>
      </c>
      <c r="K155" s="93">
        <f t="shared" si="116"/>
        <v>5.5</v>
      </c>
      <c r="L155" s="94">
        <f t="shared" si="117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202">
        <f>IF(E129*F$144+E$144*F129-F129*F$144&lt;0,0,E129*F$144+E$144*F129-F129*F$144)</f>
        <v>0</v>
      </c>
      <c r="F157" s="179">
        <f t="shared" ref="F157:G159" si="119">F129*F$144</f>
        <v>1.5400000000000003</v>
      </c>
      <c r="G157" s="179">
        <f t="shared" si="119"/>
        <v>3.52</v>
      </c>
      <c r="H157" s="188">
        <f t="shared" ref="H157:H159" si="120">G129*H$144+G$144*H129-G129*G$144</f>
        <v>5.0600000000000005</v>
      </c>
      <c r="I157" s="187">
        <f t="shared" ref="I157:I159" si="121">I129*J$144+I$144*J129-J129*J$144</f>
        <v>0.19999999999999996</v>
      </c>
      <c r="J157" s="179">
        <f t="shared" ref="J157:K159" si="122">J129*J$144</f>
        <v>1.5400000000000003</v>
      </c>
      <c r="K157" s="179">
        <f t="shared" si="122"/>
        <v>3.52</v>
      </c>
      <c r="L157" s="188">
        <f t="shared" ref="L157:L159" si="123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ref="E158:E159" si="124">E130*F$144+E$144*F130-F130*F$144</f>
        <v>2.2549999999999999</v>
      </c>
      <c r="F158">
        <f t="shared" si="119"/>
        <v>3.8500000000000005</v>
      </c>
      <c r="G158">
        <f t="shared" si="119"/>
        <v>6.16</v>
      </c>
      <c r="H158" s="88">
        <f t="shared" si="120"/>
        <v>9.1550000000000011</v>
      </c>
      <c r="I158" s="87">
        <f t="shared" si="121"/>
        <v>2.7399999999999993</v>
      </c>
      <c r="J158">
        <f t="shared" si="122"/>
        <v>3.8500000000000005</v>
      </c>
      <c r="K158">
        <f t="shared" si="122"/>
        <v>6.16</v>
      </c>
      <c r="L158" s="88">
        <f t="shared" si="123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24"/>
        <v>3.8900000000000006</v>
      </c>
      <c r="F159" s="93">
        <f t="shared" si="119"/>
        <v>7</v>
      </c>
      <c r="G159" s="93">
        <f t="shared" si="119"/>
        <v>8</v>
      </c>
      <c r="H159" s="94">
        <f t="shared" si="120"/>
        <v>9.5</v>
      </c>
      <c r="I159" s="91">
        <f t="shared" si="121"/>
        <v>4.8099999999999987</v>
      </c>
      <c r="J159" s="93">
        <f t="shared" si="122"/>
        <v>7</v>
      </c>
      <c r="K159" s="93">
        <f t="shared" si="122"/>
        <v>8</v>
      </c>
      <c r="L159" s="94">
        <f t="shared" si="123"/>
        <v>9</v>
      </c>
    </row>
    <row r="161" spans="1:3" x14ac:dyDescent="0.25">
      <c r="A161" s="1" t="s">
        <v>221</v>
      </c>
    </row>
    <row r="162" spans="1:3" ht="15.75" thickBot="1" x14ac:dyDescent="0.3">
      <c r="A162" s="1" t="s">
        <v>206</v>
      </c>
    </row>
    <row r="163" spans="1:3" ht="15.75" thickBot="1" x14ac:dyDescent="0.3">
      <c r="A163" s="170" t="s">
        <v>175</v>
      </c>
      <c r="B163" s="192" t="s">
        <v>224</v>
      </c>
      <c r="C163" s="192" t="s">
        <v>225</v>
      </c>
    </row>
    <row r="164" spans="1:3" x14ac:dyDescent="0.25">
      <c r="A164" s="191" t="s">
        <v>176</v>
      </c>
      <c r="B164" s="173">
        <v>1</v>
      </c>
      <c r="C164" s="174">
        <f>B164/B$166</f>
        <v>0.5</v>
      </c>
    </row>
    <row r="165" spans="1:3" ht="15.75" thickBot="1" x14ac:dyDescent="0.3">
      <c r="A165" s="28" t="s">
        <v>177</v>
      </c>
      <c r="B165" s="18">
        <v>1</v>
      </c>
      <c r="C165" s="20">
        <f>B165/B$166</f>
        <v>0.5</v>
      </c>
    </row>
    <row r="166" spans="1:3" ht="15.75" thickBot="1" x14ac:dyDescent="0.3">
      <c r="A166" s="29" t="s">
        <v>223</v>
      </c>
      <c r="B166" s="193">
        <f>SUM(B164:B165)</f>
        <v>2</v>
      </c>
      <c r="C166" s="194">
        <f>SUM(C164:C165)</f>
        <v>1</v>
      </c>
    </row>
    <row r="168" spans="1:3" x14ac:dyDescent="0.25">
      <c r="A168" s="1" t="s">
        <v>222</v>
      </c>
    </row>
    <row r="169" spans="1:3" ht="15.75" thickBot="1" x14ac:dyDescent="0.3">
      <c r="A169" s="1" t="s">
        <v>208</v>
      </c>
    </row>
    <row r="170" spans="1:3" ht="15" customHeight="1" thickBot="1" x14ac:dyDescent="0.3">
      <c r="A170" s="178" t="s">
        <v>175</v>
      </c>
      <c r="B170" s="114" t="s">
        <v>224</v>
      </c>
      <c r="C170" s="198" t="s">
        <v>225</v>
      </c>
    </row>
    <row r="171" spans="1:3" x14ac:dyDescent="0.25">
      <c r="A171" s="191" t="s">
        <v>176</v>
      </c>
      <c r="B171" s="26">
        <v>0.75</v>
      </c>
      <c r="C171" s="199">
        <f>B171/B$174</f>
        <v>0.3</v>
      </c>
    </row>
    <row r="172" spans="1:3" x14ac:dyDescent="0.25">
      <c r="A172" s="27" t="s">
        <v>177</v>
      </c>
      <c r="B172" s="27">
        <v>0.75</v>
      </c>
      <c r="C172" s="161">
        <f t="shared" ref="C172:C173" si="125">B172/B$174</f>
        <v>0.3</v>
      </c>
    </row>
    <row r="173" spans="1:3" ht="15.75" thickBot="1" x14ac:dyDescent="0.3">
      <c r="A173" s="195" t="s">
        <v>207</v>
      </c>
      <c r="B173" s="195">
        <v>1</v>
      </c>
      <c r="C173" s="162">
        <f t="shared" si="125"/>
        <v>0.4</v>
      </c>
    </row>
    <row r="174" spans="1:3" ht="15.75" thickBot="1" x14ac:dyDescent="0.3">
      <c r="A174" s="29" t="s">
        <v>223</v>
      </c>
      <c r="B174" s="196">
        <f>SUM(B171:B173)</f>
        <v>2.5</v>
      </c>
      <c r="C174" s="197">
        <f>SUM(C171:C173)</f>
        <v>1</v>
      </c>
    </row>
    <row r="176" spans="1:3" ht="15.75" thickBot="1" x14ac:dyDescent="0.3">
      <c r="A176" t="s">
        <v>212</v>
      </c>
    </row>
    <row r="177" spans="1:32" ht="15.75" thickBot="1" x14ac:dyDescent="0.3">
      <c r="A177" s="246" t="s">
        <v>86</v>
      </c>
      <c r="B177" s="240" t="s">
        <v>209</v>
      </c>
      <c r="C177" s="241"/>
      <c r="D177" s="241"/>
      <c r="E177" s="241"/>
      <c r="F177" s="241"/>
      <c r="G177" s="241"/>
      <c r="H177" s="241"/>
      <c r="I177" s="242"/>
      <c r="J177" s="240" t="s">
        <v>210</v>
      </c>
      <c r="K177" s="241"/>
      <c r="L177" s="241"/>
      <c r="M177" s="241"/>
      <c r="N177" s="241"/>
      <c r="O177" s="241"/>
      <c r="P177" s="241"/>
      <c r="Q177" s="242"/>
      <c r="R177" s="240" t="s">
        <v>211</v>
      </c>
      <c r="S177" s="241"/>
      <c r="T177" s="241"/>
      <c r="U177" s="241"/>
      <c r="V177" s="241"/>
      <c r="W177" s="241"/>
      <c r="X177" s="241"/>
      <c r="Y177" s="242"/>
    </row>
    <row r="178" spans="1:32" ht="33.75" customHeight="1" thickBot="1" x14ac:dyDescent="0.3">
      <c r="A178" s="247"/>
      <c r="B178" s="243" t="s">
        <v>17</v>
      </c>
      <c r="C178" s="244"/>
      <c r="D178" s="244"/>
      <c r="E178" s="245"/>
      <c r="F178" s="240" t="s">
        <v>18</v>
      </c>
      <c r="G178" s="244"/>
      <c r="H178" s="244"/>
      <c r="I178" s="245"/>
      <c r="J178" s="243" t="s">
        <v>17</v>
      </c>
      <c r="K178" s="244"/>
      <c r="L178" s="244"/>
      <c r="M178" s="245"/>
      <c r="N178" s="240" t="s">
        <v>18</v>
      </c>
      <c r="O178" s="244"/>
      <c r="P178" s="244"/>
      <c r="Q178" s="245"/>
      <c r="R178" s="243" t="s">
        <v>17</v>
      </c>
      <c r="S178" s="244"/>
      <c r="T178" s="244"/>
      <c r="U178" s="245"/>
      <c r="V178" s="240" t="s">
        <v>18</v>
      </c>
      <c r="W178" s="244"/>
      <c r="X178" s="244"/>
      <c r="Y178" s="245"/>
    </row>
    <row r="179" spans="1:32" x14ac:dyDescent="0.25">
      <c r="A179" s="169" t="s">
        <v>84</v>
      </c>
      <c r="B179" s="11">
        <f t="shared" ref="B179:B188" si="126">BG11</f>
        <v>6.4600000000000009</v>
      </c>
      <c r="C179" s="12">
        <f t="shared" ref="C179:C188" si="127">BH11</f>
        <v>12.6</v>
      </c>
      <c r="D179" s="12">
        <f t="shared" ref="D179:D188" si="128">BI11</f>
        <v>15.81</v>
      </c>
      <c r="E179" s="13">
        <f t="shared" ref="E179:E188" si="129">BJ11</f>
        <v>20.655000000000001</v>
      </c>
      <c r="F179" s="11">
        <f t="shared" ref="F179:F188" si="130">BK11</f>
        <v>8.3199999999999985</v>
      </c>
      <c r="G179" s="12">
        <f t="shared" ref="G179:G188" si="131">BL11</f>
        <v>12.6</v>
      </c>
      <c r="H179" s="12">
        <f t="shared" ref="H179:H188" si="132">BM11</f>
        <v>15.81</v>
      </c>
      <c r="I179" s="166">
        <f t="shared" ref="I179:I188" si="133">BN11</f>
        <v>19.03</v>
      </c>
      <c r="J179" s="11">
        <f t="shared" ref="J179:J188" si="134">BG63</f>
        <v>4.22</v>
      </c>
      <c r="K179" s="12">
        <f t="shared" ref="K179:K188" si="135">BH63</f>
        <v>9.89</v>
      </c>
      <c r="L179" s="12">
        <f t="shared" ref="L179:L188" si="136">BI63</f>
        <v>15.18</v>
      </c>
      <c r="M179" s="13">
        <f t="shared" ref="M179:M188" si="137">BJ63</f>
        <v>21.215000000000003</v>
      </c>
      <c r="N179" s="11">
        <f t="shared" ref="N179:N188" si="138">BK63</f>
        <v>5.6749999999999989</v>
      </c>
      <c r="O179" s="12">
        <f t="shared" ref="O179:O188" si="139">BL63</f>
        <v>9.89</v>
      </c>
      <c r="P179" s="12">
        <f t="shared" ref="P179:P188" si="140">BM63</f>
        <v>15.18</v>
      </c>
      <c r="Q179" s="13">
        <f t="shared" ref="Q179:Q188" si="141">BN63</f>
        <v>19.23</v>
      </c>
      <c r="R179" s="11">
        <f t="shared" ref="R179:R188" si="142">BG115</f>
        <v>5.0450000000000008</v>
      </c>
      <c r="S179" s="12">
        <f t="shared" ref="S179:S188" si="143">BH115</f>
        <v>9.9149999999999991</v>
      </c>
      <c r="T179" s="12">
        <f t="shared" ref="T179:T188" si="144">BI115</f>
        <v>13.555</v>
      </c>
      <c r="U179" s="13">
        <f t="shared" ref="U179:U188" si="145">BJ115</f>
        <v>18.465</v>
      </c>
      <c r="V179" s="11">
        <f t="shared" ref="V179:V188" si="146">BK115</f>
        <v>6.4289999999999994</v>
      </c>
      <c r="W179" s="12">
        <f t="shared" ref="W179:W188" si="147">BL115</f>
        <v>9.9149999999999991</v>
      </c>
      <c r="X179" s="12">
        <f t="shared" ref="X179:X188" si="148">BM115</f>
        <v>13.555</v>
      </c>
      <c r="Y179" s="13">
        <f t="shared" ref="Y179:Y188" si="149">BN115</f>
        <v>16.830000000000002</v>
      </c>
    </row>
    <row r="180" spans="1:32" x14ac:dyDescent="0.25">
      <c r="A180" s="164" t="s">
        <v>73</v>
      </c>
      <c r="B180" s="9">
        <f t="shared" si="126"/>
        <v>1.1550000000000002</v>
      </c>
      <c r="C180" s="2">
        <f t="shared" si="127"/>
        <v>4.4550000000000001</v>
      </c>
      <c r="D180" s="2">
        <f t="shared" si="128"/>
        <v>9.0749999999999993</v>
      </c>
      <c r="E180" s="10">
        <f t="shared" si="129"/>
        <v>14.025</v>
      </c>
      <c r="F180" s="9">
        <f t="shared" si="130"/>
        <v>1.8190000000000008</v>
      </c>
      <c r="G180" s="2">
        <f t="shared" si="131"/>
        <v>4.4550000000000001</v>
      </c>
      <c r="H180" s="2">
        <f t="shared" si="132"/>
        <v>9.0749999999999993</v>
      </c>
      <c r="I180" s="159">
        <f t="shared" si="133"/>
        <v>12.430000000000003</v>
      </c>
      <c r="J180" s="9">
        <f t="shared" si="134"/>
        <v>1.1550000000000002</v>
      </c>
      <c r="K180" s="2">
        <f t="shared" si="135"/>
        <v>5.5550000000000006</v>
      </c>
      <c r="L180" s="2">
        <f t="shared" si="136"/>
        <v>11.275</v>
      </c>
      <c r="M180" s="10">
        <f t="shared" si="137"/>
        <v>16.775000000000002</v>
      </c>
      <c r="N180" s="9">
        <f t="shared" si="138"/>
        <v>1.9650000000000007</v>
      </c>
      <c r="O180" s="2">
        <f t="shared" si="139"/>
        <v>5.5550000000000006</v>
      </c>
      <c r="P180" s="2">
        <f t="shared" si="140"/>
        <v>11.275</v>
      </c>
      <c r="Q180" s="10">
        <f t="shared" si="141"/>
        <v>15.030000000000005</v>
      </c>
      <c r="R180" s="180">
        <f t="shared" si="142"/>
        <v>0.60499999999999998</v>
      </c>
      <c r="S180" s="181">
        <f t="shared" si="143"/>
        <v>3.6300000000000008</v>
      </c>
      <c r="T180" s="181">
        <f t="shared" si="144"/>
        <v>8.25</v>
      </c>
      <c r="U180" s="182">
        <f t="shared" si="145"/>
        <v>12.9</v>
      </c>
      <c r="V180" s="180">
        <f t="shared" si="146"/>
        <v>1.0249999999999999</v>
      </c>
      <c r="W180" s="181">
        <f t="shared" si="147"/>
        <v>3.6300000000000008</v>
      </c>
      <c r="X180" s="181">
        <f t="shared" si="148"/>
        <v>8.25</v>
      </c>
      <c r="Y180" s="182">
        <f t="shared" si="149"/>
        <v>11.430000000000001</v>
      </c>
    </row>
    <row r="181" spans="1:32" x14ac:dyDescent="0.25">
      <c r="A181" s="164" t="s">
        <v>74</v>
      </c>
      <c r="B181" s="9">
        <f t="shared" si="126"/>
        <v>4.0150000000000006</v>
      </c>
      <c r="C181" s="2">
        <f t="shared" si="127"/>
        <v>7.4250000000000007</v>
      </c>
      <c r="D181" s="2">
        <f t="shared" si="128"/>
        <v>12.705000000000002</v>
      </c>
      <c r="E181" s="10">
        <f t="shared" si="129"/>
        <v>19.965</v>
      </c>
      <c r="F181" s="9">
        <f t="shared" si="130"/>
        <v>5.08</v>
      </c>
      <c r="G181" s="2">
        <f t="shared" si="131"/>
        <v>7.4250000000000007</v>
      </c>
      <c r="H181" s="2">
        <f t="shared" si="132"/>
        <v>12.705000000000002</v>
      </c>
      <c r="I181" s="159">
        <f t="shared" si="133"/>
        <v>17.489999999999998</v>
      </c>
      <c r="J181" s="9">
        <f t="shared" si="134"/>
        <v>7.3000000000000007</v>
      </c>
      <c r="K181" s="2">
        <f t="shared" si="135"/>
        <v>13.325000000000001</v>
      </c>
      <c r="L181" s="2">
        <f t="shared" si="136"/>
        <v>18.395</v>
      </c>
      <c r="M181" s="10">
        <f t="shared" si="137"/>
        <v>25.310000000000002</v>
      </c>
      <c r="N181" s="9">
        <f t="shared" si="138"/>
        <v>9.1149999999999984</v>
      </c>
      <c r="O181" s="2">
        <f t="shared" si="139"/>
        <v>13.325000000000001</v>
      </c>
      <c r="P181" s="2">
        <f t="shared" si="140"/>
        <v>18.395</v>
      </c>
      <c r="Q181" s="10">
        <f t="shared" si="141"/>
        <v>22.96</v>
      </c>
      <c r="R181" s="9">
        <f t="shared" si="142"/>
        <v>4.8249999999999993</v>
      </c>
      <c r="S181" s="2">
        <f t="shared" si="143"/>
        <v>9.4499999999999993</v>
      </c>
      <c r="T181" s="2">
        <f t="shared" si="144"/>
        <v>13.97</v>
      </c>
      <c r="U181" s="10">
        <f t="shared" si="145"/>
        <v>20.310000000000002</v>
      </c>
      <c r="V181" s="9">
        <f t="shared" si="146"/>
        <v>6.2499999999999982</v>
      </c>
      <c r="W181" s="2">
        <f t="shared" si="147"/>
        <v>9.4499999999999993</v>
      </c>
      <c r="X181" s="2">
        <f t="shared" si="148"/>
        <v>13.97</v>
      </c>
      <c r="Y181" s="10">
        <f t="shared" si="149"/>
        <v>18.159999999999997</v>
      </c>
    </row>
    <row r="182" spans="1:32" x14ac:dyDescent="0.25">
      <c r="A182" s="164" t="s">
        <v>75</v>
      </c>
      <c r="B182" s="9">
        <f t="shared" si="126"/>
        <v>5.6500000000000012</v>
      </c>
      <c r="C182" s="2">
        <f t="shared" si="127"/>
        <v>10.574999999999999</v>
      </c>
      <c r="D182" s="2">
        <f t="shared" si="128"/>
        <v>14.545000000000002</v>
      </c>
      <c r="E182" s="10">
        <f t="shared" si="129"/>
        <v>20.309999999999999</v>
      </c>
      <c r="F182" s="9">
        <f t="shared" si="130"/>
        <v>7.15</v>
      </c>
      <c r="G182" s="2">
        <f t="shared" si="131"/>
        <v>10.574999999999999</v>
      </c>
      <c r="H182" s="2">
        <f t="shared" si="132"/>
        <v>14.545000000000002</v>
      </c>
      <c r="I182" s="159">
        <f t="shared" si="133"/>
        <v>18.36</v>
      </c>
      <c r="J182" s="9">
        <f t="shared" si="134"/>
        <v>6.1450000000000005</v>
      </c>
      <c r="K182" s="2">
        <f t="shared" si="135"/>
        <v>11.840000000000002</v>
      </c>
      <c r="L182" s="2">
        <f t="shared" si="136"/>
        <v>16.579999999999998</v>
      </c>
      <c r="M182" s="10">
        <f t="shared" si="137"/>
        <v>22.340000000000003</v>
      </c>
      <c r="N182" s="9">
        <f t="shared" si="138"/>
        <v>7.5999999999999979</v>
      </c>
      <c r="O182" s="2">
        <f t="shared" si="139"/>
        <v>11.840000000000002</v>
      </c>
      <c r="P182" s="2">
        <f t="shared" si="140"/>
        <v>16.579999999999998</v>
      </c>
      <c r="Q182" s="10">
        <f t="shared" si="141"/>
        <v>20.43</v>
      </c>
      <c r="R182" s="9">
        <f t="shared" si="142"/>
        <v>2.1950000000000003</v>
      </c>
      <c r="S182" s="2">
        <f t="shared" si="143"/>
        <v>6.0149999999999997</v>
      </c>
      <c r="T182" s="2">
        <f t="shared" si="144"/>
        <v>10.755000000000001</v>
      </c>
      <c r="U182" s="10">
        <f t="shared" si="145"/>
        <v>16.215000000000003</v>
      </c>
      <c r="V182" s="9">
        <f t="shared" si="146"/>
        <v>3.1250000000000009</v>
      </c>
      <c r="W182" s="2">
        <f t="shared" si="147"/>
        <v>6.0149999999999997</v>
      </c>
      <c r="X182" s="2">
        <f t="shared" si="148"/>
        <v>10.755000000000001</v>
      </c>
      <c r="Y182" s="10">
        <f t="shared" si="149"/>
        <v>14.430000000000003</v>
      </c>
    </row>
    <row r="183" spans="1:32" x14ac:dyDescent="0.25">
      <c r="A183" s="164" t="s">
        <v>77</v>
      </c>
      <c r="B183" s="9">
        <f t="shared" si="126"/>
        <v>4.45</v>
      </c>
      <c r="C183" s="2">
        <f t="shared" si="127"/>
        <v>8.3250000000000011</v>
      </c>
      <c r="D183" s="2">
        <f t="shared" si="128"/>
        <v>13.395</v>
      </c>
      <c r="E183" s="10">
        <f t="shared" si="129"/>
        <v>20.310000000000002</v>
      </c>
      <c r="F183" s="9">
        <f t="shared" si="130"/>
        <v>5.6650000000000009</v>
      </c>
      <c r="G183" s="2">
        <f t="shared" si="131"/>
        <v>8.3250000000000011</v>
      </c>
      <c r="H183" s="2">
        <f t="shared" si="132"/>
        <v>13.395</v>
      </c>
      <c r="I183" s="159">
        <f t="shared" si="133"/>
        <v>17.96</v>
      </c>
      <c r="J183" s="9">
        <f t="shared" si="134"/>
        <v>7.3000000000000007</v>
      </c>
      <c r="K183" s="2">
        <f t="shared" si="135"/>
        <v>13.325000000000001</v>
      </c>
      <c r="L183" s="2">
        <f t="shared" si="136"/>
        <v>18.395</v>
      </c>
      <c r="M183" s="10">
        <f t="shared" si="137"/>
        <v>25.310000000000002</v>
      </c>
      <c r="N183" s="9">
        <f t="shared" si="138"/>
        <v>9.1149999999999984</v>
      </c>
      <c r="O183" s="2">
        <f t="shared" si="139"/>
        <v>13.325000000000001</v>
      </c>
      <c r="P183" s="2">
        <f t="shared" si="140"/>
        <v>18.395</v>
      </c>
      <c r="Q183" s="10">
        <f t="shared" si="141"/>
        <v>22.96</v>
      </c>
      <c r="R183" s="9">
        <f t="shared" si="142"/>
        <v>2.57</v>
      </c>
      <c r="S183" s="2">
        <f t="shared" si="143"/>
        <v>7.14</v>
      </c>
      <c r="T183" s="2">
        <f t="shared" si="144"/>
        <v>11.33</v>
      </c>
      <c r="U183" s="10">
        <f t="shared" si="145"/>
        <v>16.215</v>
      </c>
      <c r="V183" s="9">
        <f t="shared" si="146"/>
        <v>3.7099999999999991</v>
      </c>
      <c r="W183" s="2">
        <f t="shared" si="147"/>
        <v>7.14</v>
      </c>
      <c r="X183" s="2">
        <f t="shared" si="148"/>
        <v>11.33</v>
      </c>
      <c r="Y183" s="10">
        <f t="shared" si="149"/>
        <v>14.63</v>
      </c>
    </row>
    <row r="184" spans="1:32" x14ac:dyDescent="0.25">
      <c r="A184" s="164" t="s">
        <v>78</v>
      </c>
      <c r="B184" s="9">
        <f t="shared" si="126"/>
        <v>4.495000000000001</v>
      </c>
      <c r="C184" s="2">
        <f t="shared" si="127"/>
        <v>9.09</v>
      </c>
      <c r="D184" s="2">
        <f t="shared" si="128"/>
        <v>12.73</v>
      </c>
      <c r="E184" s="10">
        <f t="shared" si="129"/>
        <v>17.34</v>
      </c>
      <c r="F184" s="9">
        <f t="shared" si="130"/>
        <v>5.6349999999999989</v>
      </c>
      <c r="G184" s="2">
        <f t="shared" si="131"/>
        <v>9.09</v>
      </c>
      <c r="H184" s="2">
        <f t="shared" si="132"/>
        <v>12.73</v>
      </c>
      <c r="I184" s="159">
        <f t="shared" si="133"/>
        <v>15.83</v>
      </c>
      <c r="J184" s="9">
        <f t="shared" si="134"/>
        <v>6.1450000000000005</v>
      </c>
      <c r="K184" s="2">
        <f t="shared" si="135"/>
        <v>11.840000000000002</v>
      </c>
      <c r="L184" s="2">
        <f t="shared" si="136"/>
        <v>16.579999999999998</v>
      </c>
      <c r="M184" s="10">
        <f t="shared" si="137"/>
        <v>22.340000000000003</v>
      </c>
      <c r="N184" s="9">
        <f t="shared" si="138"/>
        <v>7.5999999999999979</v>
      </c>
      <c r="O184" s="2">
        <f t="shared" si="139"/>
        <v>11.840000000000002</v>
      </c>
      <c r="P184" s="2">
        <f t="shared" si="140"/>
        <v>16.579999999999998</v>
      </c>
      <c r="Q184" s="10">
        <f t="shared" si="141"/>
        <v>20.43</v>
      </c>
      <c r="R184" s="9">
        <f t="shared" si="142"/>
        <v>1.1550000000000002</v>
      </c>
      <c r="S184" s="2">
        <f t="shared" si="143"/>
        <v>4.4550000000000001</v>
      </c>
      <c r="T184" s="2">
        <f t="shared" si="144"/>
        <v>9.0750000000000011</v>
      </c>
      <c r="U184" s="10">
        <f t="shared" si="145"/>
        <v>14.025</v>
      </c>
      <c r="V184" s="9">
        <f t="shared" si="146"/>
        <v>1.8190000000000008</v>
      </c>
      <c r="W184" s="2">
        <f t="shared" si="147"/>
        <v>4.4550000000000001</v>
      </c>
      <c r="X184" s="2">
        <f t="shared" si="148"/>
        <v>9.0750000000000011</v>
      </c>
      <c r="Y184" s="10">
        <f t="shared" si="149"/>
        <v>12.430000000000003</v>
      </c>
    </row>
    <row r="185" spans="1:32" x14ac:dyDescent="0.25">
      <c r="A185" s="164" t="s">
        <v>79</v>
      </c>
      <c r="B185" s="9">
        <f t="shared" si="126"/>
        <v>4.495000000000001</v>
      </c>
      <c r="C185" s="2">
        <f t="shared" si="127"/>
        <v>9.09</v>
      </c>
      <c r="D185" s="2">
        <f t="shared" si="128"/>
        <v>12.73</v>
      </c>
      <c r="E185" s="10">
        <f t="shared" si="129"/>
        <v>17.34</v>
      </c>
      <c r="F185" s="9">
        <f t="shared" si="130"/>
        <v>5.6349999999999989</v>
      </c>
      <c r="G185" s="2">
        <f t="shared" si="131"/>
        <v>9.09</v>
      </c>
      <c r="H185" s="2">
        <f t="shared" si="132"/>
        <v>12.73</v>
      </c>
      <c r="I185" s="159">
        <f t="shared" si="133"/>
        <v>15.83</v>
      </c>
      <c r="J185" s="9">
        <f t="shared" si="134"/>
        <v>6.1450000000000005</v>
      </c>
      <c r="K185" s="2">
        <f t="shared" si="135"/>
        <v>11.840000000000002</v>
      </c>
      <c r="L185" s="2">
        <f t="shared" si="136"/>
        <v>16.579999999999998</v>
      </c>
      <c r="M185" s="10">
        <f t="shared" si="137"/>
        <v>22.340000000000003</v>
      </c>
      <c r="N185" s="9">
        <f t="shared" si="138"/>
        <v>7.5999999999999979</v>
      </c>
      <c r="O185" s="2">
        <f t="shared" si="139"/>
        <v>11.840000000000002</v>
      </c>
      <c r="P185" s="2">
        <f t="shared" si="140"/>
        <v>16.579999999999998</v>
      </c>
      <c r="Q185" s="10">
        <f t="shared" si="141"/>
        <v>20.43</v>
      </c>
      <c r="R185" s="9">
        <f t="shared" si="142"/>
        <v>2.1950000000000003</v>
      </c>
      <c r="S185" s="2">
        <f t="shared" si="143"/>
        <v>6.0149999999999997</v>
      </c>
      <c r="T185" s="2">
        <f t="shared" si="144"/>
        <v>10.755000000000001</v>
      </c>
      <c r="U185" s="10">
        <f t="shared" si="145"/>
        <v>16.215000000000003</v>
      </c>
      <c r="V185" s="9">
        <f t="shared" si="146"/>
        <v>3.1250000000000009</v>
      </c>
      <c r="W185" s="2">
        <f t="shared" si="147"/>
        <v>6.0149999999999997</v>
      </c>
      <c r="X185" s="2">
        <f t="shared" si="148"/>
        <v>10.755000000000001</v>
      </c>
      <c r="Y185" s="10">
        <f t="shared" si="149"/>
        <v>14.430000000000003</v>
      </c>
    </row>
    <row r="186" spans="1:32" x14ac:dyDescent="0.25">
      <c r="A186" s="164" t="s">
        <v>80</v>
      </c>
      <c r="B186" s="9">
        <f t="shared" si="126"/>
        <v>5.26</v>
      </c>
      <c r="C186" s="2">
        <f t="shared" si="127"/>
        <v>10.350000000000001</v>
      </c>
      <c r="D186" s="2">
        <f t="shared" si="128"/>
        <v>14.66</v>
      </c>
      <c r="E186" s="10">
        <f t="shared" si="129"/>
        <v>20.655000000000001</v>
      </c>
      <c r="F186" s="9">
        <f t="shared" si="130"/>
        <v>6.8349999999999991</v>
      </c>
      <c r="G186" s="2">
        <f t="shared" si="131"/>
        <v>10.350000000000001</v>
      </c>
      <c r="H186" s="2">
        <f t="shared" si="132"/>
        <v>14.66</v>
      </c>
      <c r="I186" s="159">
        <f t="shared" si="133"/>
        <v>18.63</v>
      </c>
      <c r="J186" s="9">
        <f t="shared" si="134"/>
        <v>4.22</v>
      </c>
      <c r="K186" s="2">
        <f t="shared" si="135"/>
        <v>9.89</v>
      </c>
      <c r="L186" s="2">
        <f t="shared" si="136"/>
        <v>15.18</v>
      </c>
      <c r="M186" s="10">
        <f t="shared" si="137"/>
        <v>21.215000000000003</v>
      </c>
      <c r="N186" s="9">
        <f t="shared" si="138"/>
        <v>5.6749999999999989</v>
      </c>
      <c r="O186" s="2">
        <f t="shared" si="139"/>
        <v>9.89</v>
      </c>
      <c r="P186" s="2">
        <f t="shared" si="140"/>
        <v>15.18</v>
      </c>
      <c r="Q186" s="10">
        <f t="shared" si="141"/>
        <v>19.23</v>
      </c>
      <c r="R186" s="9">
        <f t="shared" si="142"/>
        <v>4.495000000000001</v>
      </c>
      <c r="S186" s="2">
        <f t="shared" si="143"/>
        <v>9.09</v>
      </c>
      <c r="T186" s="2">
        <f t="shared" si="144"/>
        <v>12.73</v>
      </c>
      <c r="U186" s="10">
        <f t="shared" si="145"/>
        <v>17.34</v>
      </c>
      <c r="V186" s="9">
        <f t="shared" si="146"/>
        <v>5.6349999999999989</v>
      </c>
      <c r="W186" s="2">
        <f t="shared" si="147"/>
        <v>9.09</v>
      </c>
      <c r="X186" s="2">
        <f t="shared" si="148"/>
        <v>12.73</v>
      </c>
      <c r="Y186" s="10">
        <f t="shared" si="149"/>
        <v>15.83</v>
      </c>
    </row>
    <row r="187" spans="1:32" x14ac:dyDescent="0.25">
      <c r="A187" s="164" t="s">
        <v>82</v>
      </c>
      <c r="B187" s="9">
        <f t="shared" si="126"/>
        <v>4.45</v>
      </c>
      <c r="C187" s="2">
        <f t="shared" si="127"/>
        <v>8.3250000000000011</v>
      </c>
      <c r="D187" s="2">
        <f t="shared" si="128"/>
        <v>13.395</v>
      </c>
      <c r="E187" s="10">
        <f t="shared" si="129"/>
        <v>20.310000000000002</v>
      </c>
      <c r="F187" s="9">
        <f t="shared" si="130"/>
        <v>5.6650000000000009</v>
      </c>
      <c r="G187" s="2">
        <f t="shared" si="131"/>
        <v>8.3250000000000011</v>
      </c>
      <c r="H187" s="2">
        <f t="shared" si="132"/>
        <v>13.395</v>
      </c>
      <c r="I187" s="159">
        <f t="shared" si="133"/>
        <v>17.96</v>
      </c>
      <c r="J187" s="9">
        <f t="shared" si="134"/>
        <v>5.0450000000000008</v>
      </c>
      <c r="K187" s="2">
        <f t="shared" si="135"/>
        <v>11.015000000000001</v>
      </c>
      <c r="L187" s="2">
        <f t="shared" si="136"/>
        <v>15.754999999999999</v>
      </c>
      <c r="M187" s="10">
        <f t="shared" si="137"/>
        <v>21.215</v>
      </c>
      <c r="N187" s="9">
        <f t="shared" si="138"/>
        <v>6.5749999999999993</v>
      </c>
      <c r="O187" s="2">
        <f t="shared" si="139"/>
        <v>11.015000000000001</v>
      </c>
      <c r="P187" s="2">
        <f t="shared" si="140"/>
        <v>15.754999999999999</v>
      </c>
      <c r="Q187" s="10">
        <f t="shared" si="141"/>
        <v>19.430000000000003</v>
      </c>
      <c r="R187" s="9">
        <f t="shared" si="142"/>
        <v>2.57</v>
      </c>
      <c r="S187" s="2">
        <f t="shared" si="143"/>
        <v>7.14</v>
      </c>
      <c r="T187" s="2">
        <f t="shared" si="144"/>
        <v>11.33</v>
      </c>
      <c r="U187" s="10">
        <f t="shared" si="145"/>
        <v>16.215</v>
      </c>
      <c r="V187" s="9">
        <f t="shared" si="146"/>
        <v>3.7099999999999991</v>
      </c>
      <c r="W187" s="2">
        <f t="shared" si="147"/>
        <v>7.14</v>
      </c>
      <c r="X187" s="2">
        <f t="shared" si="148"/>
        <v>11.33</v>
      </c>
      <c r="Y187" s="10">
        <f t="shared" si="149"/>
        <v>14.63</v>
      </c>
    </row>
    <row r="188" spans="1:32" ht="15.75" thickBot="1" x14ac:dyDescent="0.3">
      <c r="A188" s="165" t="s">
        <v>83</v>
      </c>
      <c r="B188" s="160">
        <f t="shared" si="126"/>
        <v>2.1950000000000003</v>
      </c>
      <c r="C188" s="120">
        <f t="shared" si="127"/>
        <v>6.0150000000000006</v>
      </c>
      <c r="D188" s="120">
        <f t="shared" si="128"/>
        <v>10.754999999999999</v>
      </c>
      <c r="E188" s="124">
        <f t="shared" si="129"/>
        <v>16.215</v>
      </c>
      <c r="F188" s="160">
        <f t="shared" si="130"/>
        <v>3.1250000000000009</v>
      </c>
      <c r="G188" s="120">
        <f t="shared" si="131"/>
        <v>6.0150000000000006</v>
      </c>
      <c r="H188" s="120">
        <f t="shared" si="132"/>
        <v>10.754999999999999</v>
      </c>
      <c r="I188" s="167">
        <f t="shared" si="133"/>
        <v>14.430000000000003</v>
      </c>
      <c r="J188" s="160">
        <f t="shared" si="134"/>
        <v>5.0450000000000008</v>
      </c>
      <c r="K188" s="120">
        <f t="shared" si="135"/>
        <v>11.015000000000001</v>
      </c>
      <c r="L188" s="120">
        <f t="shared" si="136"/>
        <v>15.754999999999999</v>
      </c>
      <c r="M188" s="124">
        <f t="shared" si="137"/>
        <v>21.215</v>
      </c>
      <c r="N188" s="160">
        <f t="shared" si="138"/>
        <v>6.5749999999999993</v>
      </c>
      <c r="O188" s="120">
        <f t="shared" si="139"/>
        <v>11.015000000000001</v>
      </c>
      <c r="P188" s="120">
        <f t="shared" si="140"/>
        <v>15.754999999999999</v>
      </c>
      <c r="Q188" s="124">
        <f t="shared" si="141"/>
        <v>19.430000000000003</v>
      </c>
      <c r="R188" s="160">
        <f t="shared" si="142"/>
        <v>4.22</v>
      </c>
      <c r="S188" s="120">
        <f t="shared" si="143"/>
        <v>8.7900000000000009</v>
      </c>
      <c r="T188" s="120">
        <f t="shared" si="144"/>
        <v>12.98</v>
      </c>
      <c r="U188" s="124">
        <f t="shared" si="145"/>
        <v>18.465</v>
      </c>
      <c r="V188" s="160">
        <f t="shared" si="146"/>
        <v>5.5289999999999981</v>
      </c>
      <c r="W188" s="120">
        <f t="shared" si="147"/>
        <v>8.7900000000000009</v>
      </c>
      <c r="X188" s="120">
        <f t="shared" si="148"/>
        <v>12.98</v>
      </c>
      <c r="Y188" s="124">
        <f t="shared" si="149"/>
        <v>16.63</v>
      </c>
    </row>
    <row r="190" spans="1:32" ht="15.75" thickBot="1" x14ac:dyDescent="0.3">
      <c r="A190" t="s">
        <v>213</v>
      </c>
      <c r="Z190">
        <v>0.8</v>
      </c>
    </row>
    <row r="191" spans="1:32" ht="33" customHeight="1" thickBot="1" x14ac:dyDescent="0.3">
      <c r="A191" s="246" t="s">
        <v>86</v>
      </c>
      <c r="B191" s="240" t="s">
        <v>214</v>
      </c>
      <c r="C191" s="241"/>
      <c r="D191" s="241"/>
      <c r="E191" s="241"/>
      <c r="F191" s="241"/>
      <c r="G191" s="241"/>
      <c r="H191" s="241"/>
      <c r="I191" s="242"/>
      <c r="J191" s="240" t="s">
        <v>215</v>
      </c>
      <c r="K191" s="241"/>
      <c r="L191" s="241"/>
      <c r="M191" s="241"/>
      <c r="N191" s="241"/>
      <c r="O191" s="241"/>
      <c r="P191" s="241"/>
      <c r="Q191" s="242"/>
      <c r="R191" s="223" t="s">
        <v>216</v>
      </c>
      <c r="S191" s="224"/>
      <c r="T191" s="224"/>
      <c r="U191" s="224"/>
      <c r="V191" s="224"/>
      <c r="W191" s="224"/>
      <c r="X191" s="224"/>
      <c r="Y191" s="225"/>
      <c r="Z191" s="226" t="s">
        <v>151</v>
      </c>
      <c r="AA191" s="227"/>
      <c r="AB191" s="227"/>
      <c r="AC191" s="228"/>
      <c r="AD191" s="219" t="s">
        <v>153</v>
      </c>
      <c r="AE191" s="220"/>
      <c r="AF191" s="221" t="s">
        <v>156</v>
      </c>
    </row>
    <row r="192" spans="1:32" ht="27.75" customHeight="1" thickBot="1" x14ac:dyDescent="0.3">
      <c r="A192" s="247"/>
      <c r="B192" s="243" t="s">
        <v>17</v>
      </c>
      <c r="C192" s="244"/>
      <c r="D192" s="244"/>
      <c r="E192" s="245"/>
      <c r="F192" s="240" t="s">
        <v>18</v>
      </c>
      <c r="G192" s="244"/>
      <c r="H192" s="244"/>
      <c r="I192" s="245"/>
      <c r="J192" s="243" t="s">
        <v>17</v>
      </c>
      <c r="K192" s="244"/>
      <c r="L192" s="244"/>
      <c r="M192" s="245"/>
      <c r="N192" s="240" t="s">
        <v>18</v>
      </c>
      <c r="O192" s="244"/>
      <c r="P192" s="244"/>
      <c r="Q192" s="245"/>
      <c r="R192" s="223" t="s">
        <v>17</v>
      </c>
      <c r="S192" s="224"/>
      <c r="T192" s="224"/>
      <c r="U192" s="225"/>
      <c r="V192" s="223" t="s">
        <v>18</v>
      </c>
      <c r="W192" s="224"/>
      <c r="X192" s="224"/>
      <c r="Y192" s="225"/>
      <c r="Z192" s="229" t="s">
        <v>152</v>
      </c>
      <c r="AA192" s="230"/>
      <c r="AB192" s="229" t="s">
        <v>26</v>
      </c>
      <c r="AC192" s="231"/>
      <c r="AD192" s="145" t="s">
        <v>154</v>
      </c>
      <c r="AE192" s="145" t="s">
        <v>155</v>
      </c>
      <c r="AF192" s="222"/>
    </row>
    <row r="193" spans="1:40" ht="30.75" customHeight="1" x14ac:dyDescent="0.25">
      <c r="A193" s="169" t="s">
        <v>84</v>
      </c>
      <c r="B193" s="11">
        <f>B179*$C$164</f>
        <v>3.2300000000000004</v>
      </c>
      <c r="C193" s="12">
        <f t="shared" ref="C193:I193" si="150">C179*$C$164</f>
        <v>6.3</v>
      </c>
      <c r="D193" s="12">
        <f t="shared" si="150"/>
        <v>7.9050000000000002</v>
      </c>
      <c r="E193" s="13">
        <f t="shared" si="150"/>
        <v>10.327500000000001</v>
      </c>
      <c r="F193" s="11">
        <f t="shared" si="150"/>
        <v>4.1599999999999993</v>
      </c>
      <c r="G193" s="12">
        <f t="shared" si="150"/>
        <v>6.3</v>
      </c>
      <c r="H193" s="12">
        <f t="shared" si="150"/>
        <v>7.9050000000000002</v>
      </c>
      <c r="I193" s="166">
        <f t="shared" si="150"/>
        <v>9.5150000000000006</v>
      </c>
      <c r="J193" s="11">
        <f>J179*$C$165</f>
        <v>2.11</v>
      </c>
      <c r="K193" s="12">
        <f t="shared" ref="K193:Q193" si="151">K179*$C$165</f>
        <v>4.9450000000000003</v>
      </c>
      <c r="L193" s="12">
        <f t="shared" si="151"/>
        <v>7.59</v>
      </c>
      <c r="M193" s="13">
        <f t="shared" si="151"/>
        <v>10.607500000000002</v>
      </c>
      <c r="N193" s="11">
        <f t="shared" si="151"/>
        <v>2.8374999999999995</v>
      </c>
      <c r="O193" s="12">
        <f t="shared" si="151"/>
        <v>4.9450000000000003</v>
      </c>
      <c r="P193" s="12">
        <f t="shared" si="151"/>
        <v>7.59</v>
      </c>
      <c r="Q193" s="166">
        <f t="shared" si="151"/>
        <v>9.6150000000000002</v>
      </c>
      <c r="R193" s="173">
        <f>B193+J193</f>
        <v>5.34</v>
      </c>
      <c r="S193" s="118">
        <f t="shared" ref="S193:Y202" si="152">C193+K193</f>
        <v>11.245000000000001</v>
      </c>
      <c r="T193" s="118">
        <f t="shared" si="152"/>
        <v>15.495000000000001</v>
      </c>
      <c r="U193" s="174">
        <f t="shared" si="152"/>
        <v>20.935000000000002</v>
      </c>
      <c r="V193" s="173">
        <f t="shared" si="152"/>
        <v>6.9974999999999987</v>
      </c>
      <c r="W193" s="118">
        <f t="shared" si="152"/>
        <v>11.245000000000001</v>
      </c>
      <c r="X193" s="118">
        <f t="shared" si="152"/>
        <v>15.495000000000001</v>
      </c>
      <c r="Y193" s="174">
        <f t="shared" si="152"/>
        <v>19.130000000000003</v>
      </c>
      <c r="Z193" s="136">
        <f>Z$190*S193+(1-Z$190)*R193</f>
        <v>10.064</v>
      </c>
      <c r="AA193" s="142">
        <f>Z$190*T193+(1-Z$190)*U193</f>
        <v>16.582999999999998</v>
      </c>
      <c r="AB193" s="136">
        <f>Z$190*W193+(1-Z$190)*V193</f>
        <v>10.3955</v>
      </c>
      <c r="AC193" s="137">
        <f>Z$190*X193+(1-Z$190)*Y193</f>
        <v>16.222000000000001</v>
      </c>
      <c r="AD193" s="81">
        <f>(Z193+AA193)/2</f>
        <v>13.323499999999999</v>
      </c>
      <c r="AE193" s="84">
        <f>(AB193+AC193)/2</f>
        <v>13.30875</v>
      </c>
      <c r="AF193" s="133">
        <f>(AD193+AE193)/2</f>
        <v>13.316125</v>
      </c>
    </row>
    <row r="194" spans="1:40" x14ac:dyDescent="0.25">
      <c r="A194" s="164" t="s">
        <v>73</v>
      </c>
      <c r="B194" s="9">
        <f t="shared" ref="B194:I202" si="153">B180*$C$164</f>
        <v>0.57750000000000012</v>
      </c>
      <c r="C194" s="2">
        <f t="shared" si="153"/>
        <v>2.2275</v>
      </c>
      <c r="D194" s="2">
        <f t="shared" si="153"/>
        <v>4.5374999999999996</v>
      </c>
      <c r="E194" s="10">
        <f t="shared" si="153"/>
        <v>7.0125000000000002</v>
      </c>
      <c r="F194" s="9">
        <f t="shared" si="153"/>
        <v>0.90950000000000042</v>
      </c>
      <c r="G194" s="2">
        <f t="shared" si="153"/>
        <v>2.2275</v>
      </c>
      <c r="H194" s="2">
        <f t="shared" si="153"/>
        <v>4.5374999999999996</v>
      </c>
      <c r="I194" s="159">
        <f t="shared" si="153"/>
        <v>6.2150000000000016</v>
      </c>
      <c r="J194" s="9">
        <f t="shared" ref="J194:Q202" si="154">J180*$C$165</f>
        <v>0.57750000000000012</v>
      </c>
      <c r="K194" s="2">
        <f t="shared" si="154"/>
        <v>2.7775000000000003</v>
      </c>
      <c r="L194" s="2">
        <f t="shared" si="154"/>
        <v>5.6375000000000002</v>
      </c>
      <c r="M194" s="10">
        <f t="shared" si="154"/>
        <v>8.3875000000000011</v>
      </c>
      <c r="N194" s="9">
        <f t="shared" si="154"/>
        <v>0.98250000000000037</v>
      </c>
      <c r="O194" s="2">
        <f t="shared" si="154"/>
        <v>2.7775000000000003</v>
      </c>
      <c r="P194" s="2">
        <f t="shared" si="154"/>
        <v>5.6375000000000002</v>
      </c>
      <c r="Q194" s="159">
        <f t="shared" si="154"/>
        <v>7.5150000000000023</v>
      </c>
      <c r="R194" s="11">
        <f>B194+J194</f>
        <v>1.1550000000000002</v>
      </c>
      <c r="S194" s="12">
        <f t="shared" si="152"/>
        <v>5.0050000000000008</v>
      </c>
      <c r="T194" s="12">
        <f t="shared" si="152"/>
        <v>10.175000000000001</v>
      </c>
      <c r="U194" s="13">
        <f t="shared" si="152"/>
        <v>15.400000000000002</v>
      </c>
      <c r="V194" s="11">
        <f t="shared" si="152"/>
        <v>1.8920000000000008</v>
      </c>
      <c r="W194" s="12">
        <f t="shared" si="152"/>
        <v>5.0050000000000008</v>
      </c>
      <c r="X194" s="12">
        <f t="shared" si="152"/>
        <v>10.175000000000001</v>
      </c>
      <c r="Y194" s="13">
        <f t="shared" si="152"/>
        <v>13.730000000000004</v>
      </c>
      <c r="Z194" s="138">
        <f t="shared" ref="Z194:Z202" si="155">Z$190*S194+(1-Z$190)*R194</f>
        <v>4.2350000000000003</v>
      </c>
      <c r="AA194" s="143">
        <f t="shared" ref="AA194:AA202" si="156">Z$190*T194+(1-Z$190)*U194</f>
        <v>11.22</v>
      </c>
      <c r="AB194" s="138">
        <f t="shared" ref="AB194:AB202" si="157">Z$190*W194+(1-Z$190)*V194</f>
        <v>4.3824000000000005</v>
      </c>
      <c r="AC194" s="139">
        <f t="shared" ref="AC194:AC202" si="158">Z$190*X194+(1-Z$190)*Y194</f>
        <v>10.886000000000001</v>
      </c>
      <c r="AD194" s="87">
        <f t="shared" ref="AD194:AD202" si="159">(Z194+AA194)/2</f>
        <v>7.7275000000000009</v>
      </c>
      <c r="AE194" s="88">
        <f t="shared" ref="AE194:AE202" si="160">(AB194+AC194)/2</f>
        <v>7.6342000000000008</v>
      </c>
      <c r="AF194" s="134">
        <f t="shared" ref="AF194:AF202" si="161">(AD194+AE194)/2</f>
        <v>7.6808500000000013</v>
      </c>
    </row>
    <row r="195" spans="1:40" x14ac:dyDescent="0.25">
      <c r="A195" s="164" t="s">
        <v>74</v>
      </c>
      <c r="B195" s="9">
        <f t="shared" si="153"/>
        <v>2.0075000000000003</v>
      </c>
      <c r="C195" s="2">
        <f t="shared" si="153"/>
        <v>3.7125000000000004</v>
      </c>
      <c r="D195" s="2">
        <f t="shared" si="153"/>
        <v>6.3525000000000009</v>
      </c>
      <c r="E195" s="10">
        <f t="shared" si="153"/>
        <v>9.9824999999999999</v>
      </c>
      <c r="F195" s="9">
        <f t="shared" si="153"/>
        <v>2.54</v>
      </c>
      <c r="G195" s="2">
        <f t="shared" si="153"/>
        <v>3.7125000000000004</v>
      </c>
      <c r="H195" s="2">
        <f t="shared" si="153"/>
        <v>6.3525000000000009</v>
      </c>
      <c r="I195" s="159">
        <f t="shared" si="153"/>
        <v>8.7449999999999992</v>
      </c>
      <c r="J195" s="9">
        <f t="shared" si="154"/>
        <v>3.6500000000000004</v>
      </c>
      <c r="K195" s="2">
        <f t="shared" si="154"/>
        <v>6.6625000000000005</v>
      </c>
      <c r="L195" s="2">
        <f t="shared" si="154"/>
        <v>9.1974999999999998</v>
      </c>
      <c r="M195" s="10">
        <f t="shared" si="154"/>
        <v>12.655000000000001</v>
      </c>
      <c r="N195" s="9">
        <f t="shared" si="154"/>
        <v>4.5574999999999992</v>
      </c>
      <c r="O195" s="2">
        <f t="shared" si="154"/>
        <v>6.6625000000000005</v>
      </c>
      <c r="P195" s="2">
        <f t="shared" si="154"/>
        <v>9.1974999999999998</v>
      </c>
      <c r="Q195" s="159">
        <f t="shared" si="154"/>
        <v>11.48</v>
      </c>
      <c r="R195" s="11">
        <f t="shared" ref="R195:R202" si="162">B195+J195</f>
        <v>5.6575000000000006</v>
      </c>
      <c r="S195" s="12">
        <f t="shared" si="152"/>
        <v>10.375</v>
      </c>
      <c r="T195" s="12">
        <f t="shared" si="152"/>
        <v>15.55</v>
      </c>
      <c r="U195" s="13">
        <f t="shared" si="152"/>
        <v>22.637500000000003</v>
      </c>
      <c r="V195" s="11">
        <f t="shared" si="152"/>
        <v>7.0974999999999993</v>
      </c>
      <c r="W195" s="12">
        <f t="shared" si="152"/>
        <v>10.375</v>
      </c>
      <c r="X195" s="12">
        <f t="shared" si="152"/>
        <v>15.55</v>
      </c>
      <c r="Y195" s="13">
        <f t="shared" si="152"/>
        <v>20.225000000000001</v>
      </c>
      <c r="Z195" s="138">
        <f t="shared" si="155"/>
        <v>9.4314999999999998</v>
      </c>
      <c r="AA195" s="143">
        <f t="shared" si="156"/>
        <v>16.967500000000001</v>
      </c>
      <c r="AB195" s="138">
        <f t="shared" si="157"/>
        <v>9.7195</v>
      </c>
      <c r="AC195" s="139">
        <f t="shared" si="158"/>
        <v>16.484999999999999</v>
      </c>
      <c r="AD195" s="87">
        <f t="shared" si="159"/>
        <v>13.1995</v>
      </c>
      <c r="AE195" s="88">
        <f t="shared" si="160"/>
        <v>13.10225</v>
      </c>
      <c r="AF195" s="134">
        <f t="shared" si="161"/>
        <v>13.150874999999999</v>
      </c>
    </row>
    <row r="196" spans="1:40" x14ac:dyDescent="0.25">
      <c r="A196" s="164" t="s">
        <v>75</v>
      </c>
      <c r="B196" s="9">
        <f t="shared" si="153"/>
        <v>2.8250000000000006</v>
      </c>
      <c r="C196" s="2">
        <f t="shared" si="153"/>
        <v>5.2874999999999996</v>
      </c>
      <c r="D196" s="2">
        <f t="shared" si="153"/>
        <v>7.2725000000000009</v>
      </c>
      <c r="E196" s="10">
        <f t="shared" si="153"/>
        <v>10.154999999999999</v>
      </c>
      <c r="F196" s="9">
        <f t="shared" si="153"/>
        <v>3.5750000000000002</v>
      </c>
      <c r="G196" s="2">
        <f t="shared" si="153"/>
        <v>5.2874999999999996</v>
      </c>
      <c r="H196" s="2">
        <f t="shared" si="153"/>
        <v>7.2725000000000009</v>
      </c>
      <c r="I196" s="159">
        <f t="shared" si="153"/>
        <v>9.18</v>
      </c>
      <c r="J196" s="9">
        <f t="shared" si="154"/>
        <v>3.0725000000000002</v>
      </c>
      <c r="K196" s="2">
        <f t="shared" si="154"/>
        <v>5.9200000000000008</v>
      </c>
      <c r="L196" s="2">
        <f t="shared" si="154"/>
        <v>8.2899999999999991</v>
      </c>
      <c r="M196" s="10">
        <f t="shared" si="154"/>
        <v>11.170000000000002</v>
      </c>
      <c r="N196" s="9">
        <f t="shared" si="154"/>
        <v>3.7999999999999989</v>
      </c>
      <c r="O196" s="2">
        <f t="shared" si="154"/>
        <v>5.9200000000000008</v>
      </c>
      <c r="P196" s="2">
        <f t="shared" si="154"/>
        <v>8.2899999999999991</v>
      </c>
      <c r="Q196" s="159">
        <f t="shared" si="154"/>
        <v>10.215</v>
      </c>
      <c r="R196" s="11">
        <f t="shared" si="162"/>
        <v>5.8975000000000009</v>
      </c>
      <c r="S196" s="12">
        <f t="shared" si="152"/>
        <v>11.2075</v>
      </c>
      <c r="T196" s="12">
        <f t="shared" si="152"/>
        <v>15.5625</v>
      </c>
      <c r="U196" s="13">
        <f t="shared" si="152"/>
        <v>21.325000000000003</v>
      </c>
      <c r="V196" s="11">
        <f t="shared" si="152"/>
        <v>7.3749999999999991</v>
      </c>
      <c r="W196" s="12">
        <f t="shared" si="152"/>
        <v>11.2075</v>
      </c>
      <c r="X196" s="12">
        <f t="shared" si="152"/>
        <v>15.5625</v>
      </c>
      <c r="Y196" s="13">
        <f t="shared" si="152"/>
        <v>19.395</v>
      </c>
      <c r="Z196" s="138">
        <f t="shared" si="155"/>
        <v>10.145499999999998</v>
      </c>
      <c r="AA196" s="143">
        <f t="shared" si="156"/>
        <v>16.715</v>
      </c>
      <c r="AB196" s="138">
        <f t="shared" si="157"/>
        <v>10.440999999999999</v>
      </c>
      <c r="AC196" s="139">
        <f t="shared" si="158"/>
        <v>16.329000000000001</v>
      </c>
      <c r="AD196" s="87">
        <f t="shared" si="159"/>
        <v>13.430249999999999</v>
      </c>
      <c r="AE196" s="88">
        <f t="shared" si="160"/>
        <v>13.385</v>
      </c>
      <c r="AF196" s="134">
        <f t="shared" si="161"/>
        <v>13.407624999999999</v>
      </c>
    </row>
    <row r="197" spans="1:40" x14ac:dyDescent="0.25">
      <c r="A197" s="164" t="s">
        <v>77</v>
      </c>
      <c r="B197" s="9">
        <f t="shared" si="153"/>
        <v>2.2250000000000001</v>
      </c>
      <c r="C197" s="2">
        <f t="shared" si="153"/>
        <v>4.1625000000000005</v>
      </c>
      <c r="D197" s="2">
        <f t="shared" si="153"/>
        <v>6.6974999999999998</v>
      </c>
      <c r="E197" s="10">
        <f t="shared" si="153"/>
        <v>10.155000000000001</v>
      </c>
      <c r="F197" s="9">
        <f t="shared" si="153"/>
        <v>2.8325000000000005</v>
      </c>
      <c r="G197" s="2">
        <f t="shared" si="153"/>
        <v>4.1625000000000005</v>
      </c>
      <c r="H197" s="2">
        <f t="shared" si="153"/>
        <v>6.6974999999999998</v>
      </c>
      <c r="I197" s="159">
        <f t="shared" si="153"/>
        <v>8.98</v>
      </c>
      <c r="J197" s="9">
        <f t="shared" si="154"/>
        <v>3.6500000000000004</v>
      </c>
      <c r="K197" s="2">
        <f t="shared" si="154"/>
        <v>6.6625000000000005</v>
      </c>
      <c r="L197" s="2">
        <f t="shared" si="154"/>
        <v>9.1974999999999998</v>
      </c>
      <c r="M197" s="10">
        <f t="shared" si="154"/>
        <v>12.655000000000001</v>
      </c>
      <c r="N197" s="9">
        <f t="shared" si="154"/>
        <v>4.5574999999999992</v>
      </c>
      <c r="O197" s="2">
        <f t="shared" si="154"/>
        <v>6.6625000000000005</v>
      </c>
      <c r="P197" s="2">
        <f t="shared" si="154"/>
        <v>9.1974999999999998</v>
      </c>
      <c r="Q197" s="159">
        <f t="shared" si="154"/>
        <v>11.48</v>
      </c>
      <c r="R197" s="11">
        <f t="shared" si="162"/>
        <v>5.875</v>
      </c>
      <c r="S197" s="12">
        <f t="shared" si="152"/>
        <v>10.825000000000001</v>
      </c>
      <c r="T197" s="12">
        <f t="shared" si="152"/>
        <v>15.895</v>
      </c>
      <c r="U197" s="13">
        <f t="shared" si="152"/>
        <v>22.810000000000002</v>
      </c>
      <c r="V197" s="11">
        <f t="shared" si="152"/>
        <v>7.39</v>
      </c>
      <c r="W197" s="12">
        <f t="shared" si="152"/>
        <v>10.825000000000001</v>
      </c>
      <c r="X197" s="12">
        <f t="shared" si="152"/>
        <v>15.895</v>
      </c>
      <c r="Y197" s="13">
        <f t="shared" si="152"/>
        <v>20.46</v>
      </c>
      <c r="Z197" s="138">
        <f t="shared" si="155"/>
        <v>9.8350000000000009</v>
      </c>
      <c r="AA197" s="143">
        <f t="shared" si="156"/>
        <v>17.277999999999999</v>
      </c>
      <c r="AB197" s="138">
        <f t="shared" si="157"/>
        <v>10.138000000000002</v>
      </c>
      <c r="AC197" s="139">
        <f t="shared" si="158"/>
        <v>16.808</v>
      </c>
      <c r="AD197" s="87">
        <f t="shared" si="159"/>
        <v>13.5565</v>
      </c>
      <c r="AE197" s="88">
        <f t="shared" si="160"/>
        <v>13.473000000000001</v>
      </c>
      <c r="AF197" s="134">
        <f t="shared" si="161"/>
        <v>13.514749999999999</v>
      </c>
    </row>
    <row r="198" spans="1:40" x14ac:dyDescent="0.25">
      <c r="A198" s="164" t="s">
        <v>78</v>
      </c>
      <c r="B198" s="9">
        <f t="shared" si="153"/>
        <v>2.2475000000000005</v>
      </c>
      <c r="C198" s="2">
        <f t="shared" si="153"/>
        <v>4.5449999999999999</v>
      </c>
      <c r="D198" s="2">
        <f t="shared" si="153"/>
        <v>6.3650000000000002</v>
      </c>
      <c r="E198" s="10">
        <f t="shared" si="153"/>
        <v>8.67</v>
      </c>
      <c r="F198" s="9">
        <f t="shared" si="153"/>
        <v>2.8174999999999994</v>
      </c>
      <c r="G198" s="2">
        <f t="shared" si="153"/>
        <v>4.5449999999999999</v>
      </c>
      <c r="H198" s="2">
        <f t="shared" si="153"/>
        <v>6.3650000000000002</v>
      </c>
      <c r="I198" s="159">
        <f t="shared" si="153"/>
        <v>7.915</v>
      </c>
      <c r="J198" s="9">
        <f t="shared" si="154"/>
        <v>3.0725000000000002</v>
      </c>
      <c r="K198" s="2">
        <f t="shared" si="154"/>
        <v>5.9200000000000008</v>
      </c>
      <c r="L198" s="2">
        <f t="shared" si="154"/>
        <v>8.2899999999999991</v>
      </c>
      <c r="M198" s="10">
        <f t="shared" si="154"/>
        <v>11.170000000000002</v>
      </c>
      <c r="N198" s="9">
        <f t="shared" si="154"/>
        <v>3.7999999999999989</v>
      </c>
      <c r="O198" s="2">
        <f t="shared" si="154"/>
        <v>5.9200000000000008</v>
      </c>
      <c r="P198" s="2">
        <f t="shared" si="154"/>
        <v>8.2899999999999991</v>
      </c>
      <c r="Q198" s="159">
        <f t="shared" si="154"/>
        <v>10.215</v>
      </c>
      <c r="R198" s="11">
        <f t="shared" si="162"/>
        <v>5.32</v>
      </c>
      <c r="S198" s="12">
        <f t="shared" si="152"/>
        <v>10.465</v>
      </c>
      <c r="T198" s="12">
        <f t="shared" si="152"/>
        <v>14.654999999999999</v>
      </c>
      <c r="U198" s="13">
        <f t="shared" si="152"/>
        <v>19.840000000000003</v>
      </c>
      <c r="V198" s="11">
        <f t="shared" si="152"/>
        <v>6.6174999999999979</v>
      </c>
      <c r="W198" s="12">
        <f t="shared" si="152"/>
        <v>10.465</v>
      </c>
      <c r="X198" s="12">
        <f t="shared" si="152"/>
        <v>14.654999999999999</v>
      </c>
      <c r="Y198" s="13">
        <f t="shared" si="152"/>
        <v>18.13</v>
      </c>
      <c r="Z198" s="138">
        <f t="shared" si="155"/>
        <v>9.4359999999999999</v>
      </c>
      <c r="AA198" s="143">
        <f t="shared" si="156"/>
        <v>15.692</v>
      </c>
      <c r="AB198" s="138">
        <f t="shared" si="157"/>
        <v>9.6954999999999991</v>
      </c>
      <c r="AC198" s="139">
        <f t="shared" si="158"/>
        <v>15.35</v>
      </c>
      <c r="AD198" s="87">
        <f t="shared" si="159"/>
        <v>12.564</v>
      </c>
      <c r="AE198" s="88">
        <f t="shared" si="160"/>
        <v>12.522749999999998</v>
      </c>
      <c r="AF198" s="134">
        <f t="shared" si="161"/>
        <v>12.543374999999999</v>
      </c>
    </row>
    <row r="199" spans="1:40" x14ac:dyDescent="0.25">
      <c r="A199" s="164" t="s">
        <v>79</v>
      </c>
      <c r="B199" s="9">
        <f t="shared" si="153"/>
        <v>2.2475000000000005</v>
      </c>
      <c r="C199" s="2">
        <f t="shared" si="153"/>
        <v>4.5449999999999999</v>
      </c>
      <c r="D199" s="2">
        <f t="shared" si="153"/>
        <v>6.3650000000000002</v>
      </c>
      <c r="E199" s="10">
        <f t="shared" si="153"/>
        <v>8.67</v>
      </c>
      <c r="F199" s="9">
        <f t="shared" si="153"/>
        <v>2.8174999999999994</v>
      </c>
      <c r="G199" s="2">
        <f t="shared" si="153"/>
        <v>4.5449999999999999</v>
      </c>
      <c r="H199" s="2">
        <f t="shared" si="153"/>
        <v>6.3650000000000002</v>
      </c>
      <c r="I199" s="159">
        <f t="shared" si="153"/>
        <v>7.915</v>
      </c>
      <c r="J199" s="9">
        <f t="shared" si="154"/>
        <v>3.0725000000000002</v>
      </c>
      <c r="K199" s="2">
        <f t="shared" si="154"/>
        <v>5.9200000000000008</v>
      </c>
      <c r="L199" s="2">
        <f t="shared" si="154"/>
        <v>8.2899999999999991</v>
      </c>
      <c r="M199" s="10">
        <f t="shared" si="154"/>
        <v>11.170000000000002</v>
      </c>
      <c r="N199" s="9">
        <f t="shared" si="154"/>
        <v>3.7999999999999989</v>
      </c>
      <c r="O199" s="2">
        <f t="shared" si="154"/>
        <v>5.9200000000000008</v>
      </c>
      <c r="P199" s="2">
        <f t="shared" si="154"/>
        <v>8.2899999999999991</v>
      </c>
      <c r="Q199" s="159">
        <f t="shared" si="154"/>
        <v>10.215</v>
      </c>
      <c r="R199" s="11">
        <f t="shared" si="162"/>
        <v>5.32</v>
      </c>
      <c r="S199" s="12">
        <f t="shared" si="152"/>
        <v>10.465</v>
      </c>
      <c r="T199" s="12">
        <f t="shared" si="152"/>
        <v>14.654999999999999</v>
      </c>
      <c r="U199" s="13">
        <f t="shared" si="152"/>
        <v>19.840000000000003</v>
      </c>
      <c r="V199" s="11">
        <f t="shared" si="152"/>
        <v>6.6174999999999979</v>
      </c>
      <c r="W199" s="12">
        <f t="shared" si="152"/>
        <v>10.465</v>
      </c>
      <c r="X199" s="12">
        <f t="shared" si="152"/>
        <v>14.654999999999999</v>
      </c>
      <c r="Y199" s="13">
        <f t="shared" si="152"/>
        <v>18.13</v>
      </c>
      <c r="Z199" s="138">
        <f t="shared" si="155"/>
        <v>9.4359999999999999</v>
      </c>
      <c r="AA199" s="143">
        <f t="shared" si="156"/>
        <v>15.692</v>
      </c>
      <c r="AB199" s="138">
        <f t="shared" si="157"/>
        <v>9.6954999999999991</v>
      </c>
      <c r="AC199" s="139">
        <f t="shared" si="158"/>
        <v>15.35</v>
      </c>
      <c r="AD199" s="87">
        <f t="shared" si="159"/>
        <v>12.564</v>
      </c>
      <c r="AE199" s="88">
        <f t="shared" si="160"/>
        <v>12.522749999999998</v>
      </c>
      <c r="AF199" s="134">
        <f t="shared" si="161"/>
        <v>12.543374999999999</v>
      </c>
    </row>
    <row r="200" spans="1:40" x14ac:dyDescent="0.25">
      <c r="A200" s="164" t="s">
        <v>80</v>
      </c>
      <c r="B200" s="9">
        <f t="shared" si="153"/>
        <v>2.63</v>
      </c>
      <c r="C200" s="2">
        <f t="shared" si="153"/>
        <v>5.1750000000000007</v>
      </c>
      <c r="D200" s="2">
        <f t="shared" si="153"/>
        <v>7.33</v>
      </c>
      <c r="E200" s="10">
        <f t="shared" si="153"/>
        <v>10.327500000000001</v>
      </c>
      <c r="F200" s="9">
        <f t="shared" si="153"/>
        <v>3.4174999999999995</v>
      </c>
      <c r="G200" s="2">
        <f t="shared" si="153"/>
        <v>5.1750000000000007</v>
      </c>
      <c r="H200" s="2">
        <f t="shared" si="153"/>
        <v>7.33</v>
      </c>
      <c r="I200" s="159">
        <f t="shared" si="153"/>
        <v>9.3149999999999995</v>
      </c>
      <c r="J200" s="9">
        <f t="shared" si="154"/>
        <v>2.11</v>
      </c>
      <c r="K200" s="2">
        <f t="shared" si="154"/>
        <v>4.9450000000000003</v>
      </c>
      <c r="L200" s="2">
        <f t="shared" si="154"/>
        <v>7.59</v>
      </c>
      <c r="M200" s="10">
        <f t="shared" si="154"/>
        <v>10.607500000000002</v>
      </c>
      <c r="N200" s="9">
        <f t="shared" si="154"/>
        <v>2.8374999999999995</v>
      </c>
      <c r="O200" s="2">
        <f t="shared" si="154"/>
        <v>4.9450000000000003</v>
      </c>
      <c r="P200" s="2">
        <f t="shared" si="154"/>
        <v>7.59</v>
      </c>
      <c r="Q200" s="159">
        <f t="shared" si="154"/>
        <v>9.6150000000000002</v>
      </c>
      <c r="R200" s="11">
        <f t="shared" si="162"/>
        <v>4.74</v>
      </c>
      <c r="S200" s="12">
        <f t="shared" si="152"/>
        <v>10.120000000000001</v>
      </c>
      <c r="T200" s="12">
        <f t="shared" si="152"/>
        <v>14.92</v>
      </c>
      <c r="U200" s="13">
        <f t="shared" si="152"/>
        <v>20.935000000000002</v>
      </c>
      <c r="V200" s="11">
        <f t="shared" si="152"/>
        <v>6.254999999999999</v>
      </c>
      <c r="W200" s="12">
        <f t="shared" si="152"/>
        <v>10.120000000000001</v>
      </c>
      <c r="X200" s="12">
        <f t="shared" si="152"/>
        <v>14.92</v>
      </c>
      <c r="Y200" s="13">
        <f t="shared" si="152"/>
        <v>18.93</v>
      </c>
      <c r="Z200" s="138">
        <f t="shared" si="155"/>
        <v>9.0440000000000023</v>
      </c>
      <c r="AA200" s="143">
        <f t="shared" si="156"/>
        <v>16.122999999999998</v>
      </c>
      <c r="AB200" s="138">
        <f t="shared" si="157"/>
        <v>9.3470000000000013</v>
      </c>
      <c r="AC200" s="139">
        <f t="shared" si="158"/>
        <v>15.722</v>
      </c>
      <c r="AD200" s="87">
        <f t="shared" si="159"/>
        <v>12.583500000000001</v>
      </c>
      <c r="AE200" s="88">
        <f t="shared" si="160"/>
        <v>12.534500000000001</v>
      </c>
      <c r="AF200" s="134">
        <f t="shared" si="161"/>
        <v>12.559000000000001</v>
      </c>
    </row>
    <row r="201" spans="1:40" x14ac:dyDescent="0.25">
      <c r="A201" s="164" t="s">
        <v>82</v>
      </c>
      <c r="B201" s="9">
        <f t="shared" si="153"/>
        <v>2.2250000000000001</v>
      </c>
      <c r="C201" s="2">
        <f t="shared" si="153"/>
        <v>4.1625000000000005</v>
      </c>
      <c r="D201" s="2">
        <f t="shared" si="153"/>
        <v>6.6974999999999998</v>
      </c>
      <c r="E201" s="10">
        <f t="shared" si="153"/>
        <v>10.155000000000001</v>
      </c>
      <c r="F201" s="9">
        <f t="shared" si="153"/>
        <v>2.8325000000000005</v>
      </c>
      <c r="G201" s="2">
        <f t="shared" si="153"/>
        <v>4.1625000000000005</v>
      </c>
      <c r="H201" s="2">
        <f t="shared" si="153"/>
        <v>6.6974999999999998</v>
      </c>
      <c r="I201" s="159">
        <f t="shared" si="153"/>
        <v>8.98</v>
      </c>
      <c r="J201" s="9">
        <f t="shared" si="154"/>
        <v>2.5225000000000004</v>
      </c>
      <c r="K201" s="2">
        <f t="shared" si="154"/>
        <v>5.5075000000000003</v>
      </c>
      <c r="L201" s="2">
        <f t="shared" si="154"/>
        <v>7.8774999999999995</v>
      </c>
      <c r="M201" s="10">
        <f t="shared" si="154"/>
        <v>10.6075</v>
      </c>
      <c r="N201" s="9">
        <f t="shared" si="154"/>
        <v>3.2874999999999996</v>
      </c>
      <c r="O201" s="2">
        <f t="shared" si="154"/>
        <v>5.5075000000000003</v>
      </c>
      <c r="P201" s="2">
        <f t="shared" si="154"/>
        <v>7.8774999999999995</v>
      </c>
      <c r="Q201" s="159">
        <f t="shared" si="154"/>
        <v>9.7150000000000016</v>
      </c>
      <c r="R201" s="11">
        <f t="shared" si="162"/>
        <v>4.7475000000000005</v>
      </c>
      <c r="S201" s="12">
        <f t="shared" si="152"/>
        <v>9.6700000000000017</v>
      </c>
      <c r="T201" s="12">
        <f t="shared" si="152"/>
        <v>14.574999999999999</v>
      </c>
      <c r="U201" s="13">
        <f t="shared" si="152"/>
        <v>20.762500000000003</v>
      </c>
      <c r="V201" s="11">
        <f t="shared" si="152"/>
        <v>6.12</v>
      </c>
      <c r="W201" s="12">
        <f t="shared" si="152"/>
        <v>9.6700000000000017</v>
      </c>
      <c r="X201" s="12">
        <f t="shared" si="152"/>
        <v>14.574999999999999</v>
      </c>
      <c r="Y201" s="13">
        <f t="shared" si="152"/>
        <v>18.695</v>
      </c>
      <c r="Z201" s="138">
        <f t="shared" si="155"/>
        <v>8.6855000000000011</v>
      </c>
      <c r="AA201" s="143">
        <f t="shared" si="156"/>
        <v>15.8125</v>
      </c>
      <c r="AB201" s="138">
        <f t="shared" si="157"/>
        <v>8.9600000000000009</v>
      </c>
      <c r="AC201" s="139">
        <f t="shared" si="158"/>
        <v>15.398999999999999</v>
      </c>
      <c r="AD201" s="87">
        <f t="shared" si="159"/>
        <v>12.249000000000001</v>
      </c>
      <c r="AE201" s="88">
        <f t="shared" si="160"/>
        <v>12.179500000000001</v>
      </c>
      <c r="AF201" s="134">
        <f t="shared" si="161"/>
        <v>12.21425</v>
      </c>
    </row>
    <row r="202" spans="1:40" ht="15.75" thickBot="1" x14ac:dyDescent="0.3">
      <c r="A202" s="165" t="s">
        <v>83</v>
      </c>
      <c r="B202" s="160">
        <f t="shared" si="153"/>
        <v>1.0975000000000001</v>
      </c>
      <c r="C202" s="120">
        <f t="shared" si="153"/>
        <v>3.0075000000000003</v>
      </c>
      <c r="D202" s="120">
        <f t="shared" si="153"/>
        <v>5.3774999999999995</v>
      </c>
      <c r="E202" s="124">
        <f t="shared" si="153"/>
        <v>8.1074999999999999</v>
      </c>
      <c r="F202" s="160">
        <f t="shared" si="153"/>
        <v>1.5625000000000004</v>
      </c>
      <c r="G202" s="120">
        <f t="shared" si="153"/>
        <v>3.0075000000000003</v>
      </c>
      <c r="H202" s="120">
        <f t="shared" si="153"/>
        <v>5.3774999999999995</v>
      </c>
      <c r="I202" s="167">
        <f t="shared" si="153"/>
        <v>7.2150000000000016</v>
      </c>
      <c r="J202" s="160">
        <f t="shared" si="154"/>
        <v>2.5225000000000004</v>
      </c>
      <c r="K202" s="120">
        <f t="shared" si="154"/>
        <v>5.5075000000000003</v>
      </c>
      <c r="L202" s="120">
        <f t="shared" si="154"/>
        <v>7.8774999999999995</v>
      </c>
      <c r="M202" s="124">
        <f t="shared" si="154"/>
        <v>10.6075</v>
      </c>
      <c r="N202" s="160">
        <f t="shared" si="154"/>
        <v>3.2874999999999996</v>
      </c>
      <c r="O202" s="120">
        <f t="shared" si="154"/>
        <v>5.5075000000000003</v>
      </c>
      <c r="P202" s="120">
        <f t="shared" si="154"/>
        <v>7.8774999999999995</v>
      </c>
      <c r="Q202" s="167">
        <f t="shared" si="154"/>
        <v>9.7150000000000016</v>
      </c>
      <c r="R202" s="175">
        <f t="shared" si="162"/>
        <v>3.6200000000000006</v>
      </c>
      <c r="S202" s="176">
        <f t="shared" si="152"/>
        <v>8.5150000000000006</v>
      </c>
      <c r="T202" s="176">
        <f t="shared" si="152"/>
        <v>13.254999999999999</v>
      </c>
      <c r="U202" s="177">
        <f t="shared" si="152"/>
        <v>18.715</v>
      </c>
      <c r="V202" s="175">
        <f t="shared" si="152"/>
        <v>4.8499999999999996</v>
      </c>
      <c r="W202" s="176">
        <f t="shared" si="152"/>
        <v>8.5150000000000006</v>
      </c>
      <c r="X202" s="176">
        <f t="shared" si="152"/>
        <v>13.254999999999999</v>
      </c>
      <c r="Y202" s="177">
        <f t="shared" si="152"/>
        <v>16.930000000000003</v>
      </c>
      <c r="Z202" s="140">
        <f t="shared" si="155"/>
        <v>7.5360000000000014</v>
      </c>
      <c r="AA202" s="144">
        <f t="shared" si="156"/>
        <v>14.346999999999998</v>
      </c>
      <c r="AB202" s="140">
        <f t="shared" si="157"/>
        <v>7.7820000000000009</v>
      </c>
      <c r="AC202" s="141">
        <f t="shared" si="158"/>
        <v>13.989999999999998</v>
      </c>
      <c r="AD202" s="91">
        <f t="shared" si="159"/>
        <v>10.9415</v>
      </c>
      <c r="AE202" s="94">
        <f t="shared" si="160"/>
        <v>10.885999999999999</v>
      </c>
      <c r="AF202" s="135">
        <f t="shared" si="161"/>
        <v>10.91375</v>
      </c>
    </row>
    <row r="204" spans="1:40" ht="15.75" thickBot="1" x14ac:dyDescent="0.3">
      <c r="A204" t="s">
        <v>217</v>
      </c>
      <c r="AH204">
        <v>0.8</v>
      </c>
    </row>
    <row r="205" spans="1:40" ht="15.75" thickBot="1" x14ac:dyDescent="0.3">
      <c r="A205" s="246" t="s">
        <v>86</v>
      </c>
      <c r="B205" s="240" t="s">
        <v>214</v>
      </c>
      <c r="C205" s="241"/>
      <c r="D205" s="241"/>
      <c r="E205" s="241"/>
      <c r="F205" s="241"/>
      <c r="G205" s="241"/>
      <c r="H205" s="241"/>
      <c r="I205" s="242"/>
      <c r="J205" s="240" t="s">
        <v>215</v>
      </c>
      <c r="K205" s="241"/>
      <c r="L205" s="241"/>
      <c r="M205" s="241"/>
      <c r="N205" s="241"/>
      <c r="O205" s="241"/>
      <c r="P205" s="241"/>
      <c r="Q205" s="242"/>
      <c r="R205" s="240" t="s">
        <v>218</v>
      </c>
      <c r="S205" s="241"/>
      <c r="T205" s="241"/>
      <c r="U205" s="241"/>
      <c r="V205" s="241"/>
      <c r="W205" s="241"/>
      <c r="X205" s="241"/>
      <c r="Y205" s="242"/>
      <c r="Z205" s="223" t="s">
        <v>216</v>
      </c>
      <c r="AA205" s="224"/>
      <c r="AB205" s="224"/>
      <c r="AC205" s="224"/>
      <c r="AD205" s="224"/>
      <c r="AE205" s="224"/>
      <c r="AF205" s="224"/>
      <c r="AG205" s="225"/>
      <c r="AH205" s="226" t="s">
        <v>151</v>
      </c>
      <c r="AI205" s="227"/>
      <c r="AJ205" s="227"/>
      <c r="AK205" s="228"/>
      <c r="AL205" s="219" t="s">
        <v>153</v>
      </c>
      <c r="AM205" s="220"/>
      <c r="AN205" s="221" t="s">
        <v>156</v>
      </c>
    </row>
    <row r="206" spans="1:40" ht="31.5" customHeight="1" thickBot="1" x14ac:dyDescent="0.3">
      <c r="A206" s="247"/>
      <c r="B206" s="243" t="s">
        <v>17</v>
      </c>
      <c r="C206" s="244"/>
      <c r="D206" s="244"/>
      <c r="E206" s="245"/>
      <c r="F206" s="240" t="s">
        <v>18</v>
      </c>
      <c r="G206" s="244"/>
      <c r="H206" s="244"/>
      <c r="I206" s="245"/>
      <c r="J206" s="243" t="s">
        <v>17</v>
      </c>
      <c r="K206" s="244"/>
      <c r="L206" s="244"/>
      <c r="M206" s="245"/>
      <c r="N206" s="240" t="s">
        <v>18</v>
      </c>
      <c r="O206" s="244"/>
      <c r="P206" s="244"/>
      <c r="Q206" s="245"/>
      <c r="R206" s="243" t="s">
        <v>17</v>
      </c>
      <c r="S206" s="244"/>
      <c r="T206" s="244"/>
      <c r="U206" s="245"/>
      <c r="V206" s="240" t="s">
        <v>18</v>
      </c>
      <c r="W206" s="244"/>
      <c r="X206" s="244"/>
      <c r="Y206" s="245"/>
      <c r="Z206" s="223" t="s">
        <v>17</v>
      </c>
      <c r="AA206" s="224"/>
      <c r="AB206" s="224"/>
      <c r="AC206" s="225"/>
      <c r="AD206" s="223" t="s">
        <v>18</v>
      </c>
      <c r="AE206" s="224"/>
      <c r="AF206" s="224"/>
      <c r="AG206" s="225"/>
      <c r="AH206" s="229" t="s">
        <v>152</v>
      </c>
      <c r="AI206" s="230"/>
      <c r="AJ206" s="229" t="s">
        <v>26</v>
      </c>
      <c r="AK206" s="231"/>
      <c r="AL206" s="145" t="s">
        <v>154</v>
      </c>
      <c r="AM206" s="145" t="s">
        <v>155</v>
      </c>
      <c r="AN206" s="222"/>
    </row>
    <row r="207" spans="1:40" x14ac:dyDescent="0.25">
      <c r="A207" s="169" t="s">
        <v>84</v>
      </c>
      <c r="B207" s="11">
        <f>B179*$C$171</f>
        <v>1.9380000000000002</v>
      </c>
      <c r="C207" s="12">
        <f t="shared" ref="C207:I207" si="163">C179*$C$171</f>
        <v>3.78</v>
      </c>
      <c r="D207" s="12">
        <f t="shared" si="163"/>
        <v>4.7430000000000003</v>
      </c>
      <c r="E207" s="13">
        <f t="shared" si="163"/>
        <v>6.1965000000000003</v>
      </c>
      <c r="F207" s="11">
        <f t="shared" si="163"/>
        <v>2.4959999999999996</v>
      </c>
      <c r="G207" s="12">
        <f t="shared" si="163"/>
        <v>3.78</v>
      </c>
      <c r="H207" s="12">
        <f t="shared" si="163"/>
        <v>4.7430000000000003</v>
      </c>
      <c r="I207" s="166">
        <f t="shared" si="163"/>
        <v>5.7090000000000005</v>
      </c>
      <c r="J207" s="11">
        <f>J179*$C$172</f>
        <v>1.2659999999999998</v>
      </c>
      <c r="K207" s="12">
        <f t="shared" ref="K207:Q207" si="164">K179*$C$172</f>
        <v>2.9670000000000001</v>
      </c>
      <c r="L207" s="12">
        <f t="shared" si="164"/>
        <v>4.5539999999999994</v>
      </c>
      <c r="M207" s="13">
        <f t="shared" si="164"/>
        <v>6.3645000000000005</v>
      </c>
      <c r="N207" s="11">
        <f t="shared" si="164"/>
        <v>1.7024999999999997</v>
      </c>
      <c r="O207" s="12">
        <f t="shared" si="164"/>
        <v>2.9670000000000001</v>
      </c>
      <c r="P207" s="12">
        <f t="shared" si="164"/>
        <v>4.5539999999999994</v>
      </c>
      <c r="Q207" s="166">
        <f t="shared" si="164"/>
        <v>5.7690000000000001</v>
      </c>
      <c r="R207" s="173">
        <f>R179*$C$173</f>
        <v>2.0180000000000002</v>
      </c>
      <c r="S207" s="173">
        <f t="shared" ref="S207:Y207" si="165">S179*$C$173</f>
        <v>3.9659999999999997</v>
      </c>
      <c r="T207" s="173">
        <f t="shared" si="165"/>
        <v>5.4220000000000006</v>
      </c>
      <c r="U207" s="173">
        <f t="shared" si="165"/>
        <v>7.3860000000000001</v>
      </c>
      <c r="V207" s="173">
        <f t="shared" si="165"/>
        <v>2.5716000000000001</v>
      </c>
      <c r="W207" s="173">
        <f t="shared" si="165"/>
        <v>3.9659999999999997</v>
      </c>
      <c r="X207" s="173">
        <f t="shared" si="165"/>
        <v>5.4220000000000006</v>
      </c>
      <c r="Y207" s="199">
        <f t="shared" si="165"/>
        <v>6.7320000000000011</v>
      </c>
      <c r="Z207" s="11">
        <f>B207+J207+R207</f>
        <v>5.2219999999999995</v>
      </c>
      <c r="AA207" s="12">
        <f t="shared" ref="AA207:AG216" si="166">C207+K207+S207</f>
        <v>10.712999999999999</v>
      </c>
      <c r="AB207" s="12">
        <f t="shared" si="166"/>
        <v>14.719000000000001</v>
      </c>
      <c r="AC207" s="13">
        <f t="shared" si="166"/>
        <v>19.946999999999999</v>
      </c>
      <c r="AD207" s="11">
        <f t="shared" si="166"/>
        <v>6.7700999999999993</v>
      </c>
      <c r="AE207" s="12">
        <f t="shared" si="166"/>
        <v>10.712999999999999</v>
      </c>
      <c r="AF207" s="12">
        <f t="shared" si="166"/>
        <v>14.719000000000001</v>
      </c>
      <c r="AG207" s="166">
        <f t="shared" si="166"/>
        <v>18.21</v>
      </c>
      <c r="AH207" s="81">
        <f>AH$204*AA207+(1-AH$204)*Z207</f>
        <v>9.6147999999999989</v>
      </c>
      <c r="AI207" s="84">
        <f>AH$204*AB207+(1-AH$204)*AC207</f>
        <v>15.764600000000002</v>
      </c>
      <c r="AJ207" s="81">
        <f>AH$204*AE207+(1-AH$204)*AD207</f>
        <v>9.9244199999999996</v>
      </c>
      <c r="AK207" s="84">
        <f>AH$204*AF207+(1-AH$204)*AG207</f>
        <v>15.417200000000001</v>
      </c>
      <c r="AL207" s="81">
        <f>(AH207+AI207)/2</f>
        <v>12.6897</v>
      </c>
      <c r="AM207" s="84">
        <f>(AJ207+AK207)/2</f>
        <v>12.670809999999999</v>
      </c>
      <c r="AN207" s="133">
        <f>(AL207+AM207)/2</f>
        <v>12.680254999999999</v>
      </c>
    </row>
    <row r="208" spans="1:40" x14ac:dyDescent="0.25">
      <c r="A208" s="164" t="s">
        <v>73</v>
      </c>
      <c r="B208" s="9">
        <f t="shared" ref="B208:I216" si="167">B180*$C$171</f>
        <v>0.34650000000000009</v>
      </c>
      <c r="C208" s="2">
        <f t="shared" si="167"/>
        <v>1.3365</v>
      </c>
      <c r="D208" s="2">
        <f t="shared" si="167"/>
        <v>2.7224999999999997</v>
      </c>
      <c r="E208" s="10">
        <f t="shared" si="167"/>
        <v>4.2074999999999996</v>
      </c>
      <c r="F208" s="9">
        <f t="shared" si="167"/>
        <v>0.54570000000000018</v>
      </c>
      <c r="G208" s="2">
        <f t="shared" si="167"/>
        <v>1.3365</v>
      </c>
      <c r="H208" s="2">
        <f t="shared" si="167"/>
        <v>2.7224999999999997</v>
      </c>
      <c r="I208" s="159">
        <f t="shared" si="167"/>
        <v>3.729000000000001</v>
      </c>
      <c r="J208" s="9">
        <f t="shared" ref="J208:Q216" si="168">J180*$C$172</f>
        <v>0.34650000000000009</v>
      </c>
      <c r="K208" s="2">
        <f t="shared" si="168"/>
        <v>1.6665000000000001</v>
      </c>
      <c r="L208" s="2">
        <f t="shared" si="168"/>
        <v>3.3824999999999998</v>
      </c>
      <c r="M208" s="10">
        <f t="shared" si="168"/>
        <v>5.0325000000000006</v>
      </c>
      <c r="N208" s="9">
        <f t="shared" si="168"/>
        <v>0.58950000000000025</v>
      </c>
      <c r="O208" s="2">
        <f t="shared" si="168"/>
        <v>1.6665000000000001</v>
      </c>
      <c r="P208" s="2">
        <f t="shared" si="168"/>
        <v>3.3824999999999998</v>
      </c>
      <c r="Q208" s="159">
        <f t="shared" si="168"/>
        <v>4.5090000000000012</v>
      </c>
      <c r="R208" s="184">
        <f t="shared" ref="R208:Y216" si="169">R180*$C$173</f>
        <v>0.24199999999999999</v>
      </c>
      <c r="S208" s="184">
        <f t="shared" si="169"/>
        <v>1.4520000000000004</v>
      </c>
      <c r="T208" s="184">
        <f t="shared" si="169"/>
        <v>3.3000000000000003</v>
      </c>
      <c r="U208" s="184">
        <f t="shared" si="169"/>
        <v>5.16</v>
      </c>
      <c r="V208" s="184">
        <f t="shared" si="169"/>
        <v>0.41</v>
      </c>
      <c r="W208" s="184">
        <f t="shared" si="169"/>
        <v>1.4520000000000004</v>
      </c>
      <c r="X208" s="184">
        <f t="shared" si="169"/>
        <v>3.3000000000000003</v>
      </c>
      <c r="Y208" s="183">
        <f t="shared" si="169"/>
        <v>4.572000000000001</v>
      </c>
      <c r="Z208" s="9">
        <f t="shared" ref="Z208:Z216" si="170">B208+J208+R208</f>
        <v>0.93500000000000016</v>
      </c>
      <c r="AA208" s="2">
        <f t="shared" si="166"/>
        <v>4.4550000000000001</v>
      </c>
      <c r="AB208" s="2">
        <f t="shared" si="166"/>
        <v>9.4049999999999994</v>
      </c>
      <c r="AC208" s="10">
        <f t="shared" si="166"/>
        <v>14.4</v>
      </c>
      <c r="AD208" s="9">
        <f t="shared" si="166"/>
        <v>1.5452000000000004</v>
      </c>
      <c r="AE208" s="2">
        <f t="shared" si="166"/>
        <v>4.4550000000000001</v>
      </c>
      <c r="AF208" s="2">
        <f t="shared" si="166"/>
        <v>9.4049999999999994</v>
      </c>
      <c r="AG208" s="159">
        <f t="shared" si="166"/>
        <v>12.810000000000004</v>
      </c>
      <c r="AH208" s="87">
        <f t="shared" ref="AH208:AH216" si="171">AH$204*AA208+(1-AH$204)*Z208</f>
        <v>3.7509999999999999</v>
      </c>
      <c r="AI208" s="88">
        <f t="shared" ref="AI208:AI216" si="172">AH$204*AB208+(1-AH$204)*AC208</f>
        <v>10.404</v>
      </c>
      <c r="AJ208" s="87">
        <f t="shared" ref="AJ208:AJ216" si="173">AH$204*AE208+(1-AH$204)*AD208</f>
        <v>3.87304</v>
      </c>
      <c r="AK208" s="88">
        <f t="shared" ref="AK208:AK216" si="174">AH$204*AF208+(1-AH$204)*AG208</f>
        <v>10.086</v>
      </c>
      <c r="AL208" s="87">
        <f t="shared" ref="AL208:AL216" si="175">(AH208+AI208)/2</f>
        <v>7.0774999999999997</v>
      </c>
      <c r="AM208" s="88">
        <f t="shared" ref="AM208:AM216" si="176">(AJ208+AK208)/2</f>
        <v>6.9795199999999999</v>
      </c>
      <c r="AN208" s="134">
        <f t="shared" ref="AN208:AN216" si="177">(AL208+AM208)/2</f>
        <v>7.0285099999999998</v>
      </c>
    </row>
    <row r="209" spans="1:40" x14ac:dyDescent="0.25">
      <c r="A209" s="164" t="s">
        <v>74</v>
      </c>
      <c r="B209" s="9">
        <f t="shared" si="167"/>
        <v>1.2045000000000001</v>
      </c>
      <c r="C209" s="2">
        <f t="shared" si="167"/>
        <v>2.2275</v>
      </c>
      <c r="D209" s="2">
        <f t="shared" si="167"/>
        <v>3.8115000000000006</v>
      </c>
      <c r="E209" s="10">
        <f t="shared" si="167"/>
        <v>5.9894999999999996</v>
      </c>
      <c r="F209" s="9">
        <f t="shared" si="167"/>
        <v>1.524</v>
      </c>
      <c r="G209" s="2">
        <f t="shared" si="167"/>
        <v>2.2275</v>
      </c>
      <c r="H209" s="2">
        <f t="shared" si="167"/>
        <v>3.8115000000000006</v>
      </c>
      <c r="I209" s="159">
        <f t="shared" si="167"/>
        <v>5.246999999999999</v>
      </c>
      <c r="J209" s="9">
        <f t="shared" si="168"/>
        <v>2.19</v>
      </c>
      <c r="K209" s="2">
        <f t="shared" si="168"/>
        <v>3.9975000000000001</v>
      </c>
      <c r="L209" s="2">
        <f t="shared" si="168"/>
        <v>5.5184999999999995</v>
      </c>
      <c r="M209" s="10">
        <f t="shared" si="168"/>
        <v>7.593</v>
      </c>
      <c r="N209" s="9">
        <f t="shared" si="168"/>
        <v>2.7344999999999993</v>
      </c>
      <c r="O209" s="2">
        <f t="shared" si="168"/>
        <v>3.9975000000000001</v>
      </c>
      <c r="P209" s="2">
        <f t="shared" si="168"/>
        <v>5.5184999999999995</v>
      </c>
      <c r="Q209" s="159">
        <f t="shared" si="168"/>
        <v>6.8879999999999999</v>
      </c>
      <c r="R209" s="11">
        <f t="shared" si="169"/>
        <v>1.9299999999999997</v>
      </c>
      <c r="S209" s="11">
        <f t="shared" si="169"/>
        <v>3.78</v>
      </c>
      <c r="T209" s="11">
        <f t="shared" si="169"/>
        <v>5.588000000000001</v>
      </c>
      <c r="U209" s="11">
        <f t="shared" si="169"/>
        <v>8.1240000000000006</v>
      </c>
      <c r="V209" s="11">
        <f t="shared" si="169"/>
        <v>2.4999999999999996</v>
      </c>
      <c r="W209" s="11">
        <f t="shared" si="169"/>
        <v>3.78</v>
      </c>
      <c r="X209" s="11">
        <f t="shared" si="169"/>
        <v>5.588000000000001</v>
      </c>
      <c r="Y209" s="168">
        <f t="shared" si="169"/>
        <v>7.2639999999999993</v>
      </c>
      <c r="Z209" s="9">
        <f t="shared" si="170"/>
        <v>5.3244999999999996</v>
      </c>
      <c r="AA209" s="2">
        <f t="shared" si="166"/>
        <v>10.004999999999999</v>
      </c>
      <c r="AB209" s="2">
        <f t="shared" si="166"/>
        <v>14.918000000000001</v>
      </c>
      <c r="AC209" s="10">
        <f t="shared" si="166"/>
        <v>21.706499999999998</v>
      </c>
      <c r="AD209" s="9">
        <f t="shared" si="166"/>
        <v>6.7584999999999997</v>
      </c>
      <c r="AE209" s="2">
        <f t="shared" si="166"/>
        <v>10.004999999999999</v>
      </c>
      <c r="AF209" s="2">
        <f t="shared" si="166"/>
        <v>14.918000000000001</v>
      </c>
      <c r="AG209" s="159">
        <f t="shared" si="166"/>
        <v>19.398999999999997</v>
      </c>
      <c r="AH209" s="87">
        <f t="shared" si="171"/>
        <v>9.0688999999999993</v>
      </c>
      <c r="AI209" s="88">
        <f t="shared" si="172"/>
        <v>16.275700000000001</v>
      </c>
      <c r="AJ209" s="87">
        <f t="shared" si="173"/>
        <v>9.3556999999999988</v>
      </c>
      <c r="AK209" s="88">
        <f t="shared" si="174"/>
        <v>15.8142</v>
      </c>
      <c r="AL209" s="87">
        <f t="shared" si="175"/>
        <v>12.6723</v>
      </c>
      <c r="AM209" s="88">
        <f t="shared" si="176"/>
        <v>12.584949999999999</v>
      </c>
      <c r="AN209" s="134">
        <f t="shared" si="177"/>
        <v>12.628625</v>
      </c>
    </row>
    <row r="210" spans="1:40" x14ac:dyDescent="0.25">
      <c r="A210" s="164" t="s">
        <v>75</v>
      </c>
      <c r="B210" s="9">
        <f t="shared" si="167"/>
        <v>1.6950000000000003</v>
      </c>
      <c r="C210" s="2">
        <f t="shared" si="167"/>
        <v>3.1724999999999999</v>
      </c>
      <c r="D210" s="2">
        <f t="shared" si="167"/>
        <v>4.3635000000000002</v>
      </c>
      <c r="E210" s="10">
        <f t="shared" si="167"/>
        <v>6.0929999999999991</v>
      </c>
      <c r="F210" s="9">
        <f t="shared" si="167"/>
        <v>2.145</v>
      </c>
      <c r="G210" s="2">
        <f t="shared" si="167"/>
        <v>3.1724999999999999</v>
      </c>
      <c r="H210" s="2">
        <f t="shared" si="167"/>
        <v>4.3635000000000002</v>
      </c>
      <c r="I210" s="159">
        <f t="shared" si="167"/>
        <v>5.508</v>
      </c>
      <c r="J210" s="9">
        <f t="shared" si="168"/>
        <v>1.8435000000000001</v>
      </c>
      <c r="K210" s="2">
        <f t="shared" si="168"/>
        <v>3.5520000000000005</v>
      </c>
      <c r="L210" s="2">
        <f t="shared" si="168"/>
        <v>4.9739999999999993</v>
      </c>
      <c r="M210" s="10">
        <f t="shared" si="168"/>
        <v>6.7020000000000008</v>
      </c>
      <c r="N210" s="9">
        <f t="shared" si="168"/>
        <v>2.2799999999999994</v>
      </c>
      <c r="O210" s="2">
        <f t="shared" si="168"/>
        <v>3.5520000000000005</v>
      </c>
      <c r="P210" s="2">
        <f t="shared" si="168"/>
        <v>4.9739999999999993</v>
      </c>
      <c r="Q210" s="159">
        <f t="shared" si="168"/>
        <v>6.1289999999999996</v>
      </c>
      <c r="R210" s="11">
        <f t="shared" si="169"/>
        <v>0.87800000000000011</v>
      </c>
      <c r="S210" s="11">
        <f t="shared" si="169"/>
        <v>2.4060000000000001</v>
      </c>
      <c r="T210" s="11">
        <f t="shared" si="169"/>
        <v>4.3020000000000005</v>
      </c>
      <c r="U210" s="11">
        <f t="shared" si="169"/>
        <v>6.4860000000000015</v>
      </c>
      <c r="V210" s="11">
        <f t="shared" si="169"/>
        <v>1.2500000000000004</v>
      </c>
      <c r="W210" s="11">
        <f t="shared" si="169"/>
        <v>2.4060000000000001</v>
      </c>
      <c r="X210" s="11">
        <f t="shared" si="169"/>
        <v>4.3020000000000005</v>
      </c>
      <c r="Y210" s="168">
        <f t="shared" si="169"/>
        <v>5.772000000000002</v>
      </c>
      <c r="Z210" s="9">
        <f t="shared" si="170"/>
        <v>4.416500000000001</v>
      </c>
      <c r="AA210" s="2">
        <f t="shared" si="166"/>
        <v>9.1305000000000014</v>
      </c>
      <c r="AB210" s="2">
        <f t="shared" si="166"/>
        <v>13.639499999999998</v>
      </c>
      <c r="AC210" s="10">
        <f t="shared" si="166"/>
        <v>19.281000000000002</v>
      </c>
      <c r="AD210" s="9">
        <f t="shared" si="166"/>
        <v>5.6749999999999989</v>
      </c>
      <c r="AE210" s="2">
        <f t="shared" si="166"/>
        <v>9.1305000000000014</v>
      </c>
      <c r="AF210" s="2">
        <f t="shared" si="166"/>
        <v>13.639499999999998</v>
      </c>
      <c r="AG210" s="159">
        <f t="shared" si="166"/>
        <v>17.409000000000002</v>
      </c>
      <c r="AH210" s="87">
        <f t="shared" si="171"/>
        <v>8.1877000000000013</v>
      </c>
      <c r="AI210" s="88">
        <f t="shared" si="172"/>
        <v>14.767799999999999</v>
      </c>
      <c r="AJ210" s="87">
        <f t="shared" si="173"/>
        <v>8.4394000000000009</v>
      </c>
      <c r="AK210" s="88">
        <f t="shared" si="174"/>
        <v>14.3934</v>
      </c>
      <c r="AL210" s="87">
        <f t="shared" si="175"/>
        <v>11.47775</v>
      </c>
      <c r="AM210" s="88">
        <f t="shared" si="176"/>
        <v>11.416399999999999</v>
      </c>
      <c r="AN210" s="134">
        <f t="shared" si="177"/>
        <v>11.447075</v>
      </c>
    </row>
    <row r="211" spans="1:40" x14ac:dyDescent="0.25">
      <c r="A211" s="164" t="s">
        <v>77</v>
      </c>
      <c r="B211" s="9">
        <f t="shared" si="167"/>
        <v>1.335</v>
      </c>
      <c r="C211" s="2">
        <f t="shared" si="167"/>
        <v>2.4975000000000001</v>
      </c>
      <c r="D211" s="2">
        <f t="shared" si="167"/>
        <v>4.0184999999999995</v>
      </c>
      <c r="E211" s="10">
        <f t="shared" si="167"/>
        <v>6.0930000000000009</v>
      </c>
      <c r="F211" s="9">
        <f t="shared" si="167"/>
        <v>1.6995000000000002</v>
      </c>
      <c r="G211" s="2">
        <f t="shared" si="167"/>
        <v>2.4975000000000001</v>
      </c>
      <c r="H211" s="2">
        <f t="shared" si="167"/>
        <v>4.0184999999999995</v>
      </c>
      <c r="I211" s="159">
        <f t="shared" si="167"/>
        <v>5.3879999999999999</v>
      </c>
      <c r="J211" s="9">
        <f t="shared" si="168"/>
        <v>2.19</v>
      </c>
      <c r="K211" s="2">
        <f t="shared" si="168"/>
        <v>3.9975000000000001</v>
      </c>
      <c r="L211" s="2">
        <f t="shared" si="168"/>
        <v>5.5184999999999995</v>
      </c>
      <c r="M211" s="10">
        <f t="shared" si="168"/>
        <v>7.593</v>
      </c>
      <c r="N211" s="9">
        <f t="shared" si="168"/>
        <v>2.7344999999999993</v>
      </c>
      <c r="O211" s="2">
        <f t="shared" si="168"/>
        <v>3.9975000000000001</v>
      </c>
      <c r="P211" s="2">
        <f t="shared" si="168"/>
        <v>5.5184999999999995</v>
      </c>
      <c r="Q211" s="159">
        <f t="shared" si="168"/>
        <v>6.8879999999999999</v>
      </c>
      <c r="R211" s="11">
        <f t="shared" si="169"/>
        <v>1.028</v>
      </c>
      <c r="S211" s="11">
        <f t="shared" si="169"/>
        <v>2.8559999999999999</v>
      </c>
      <c r="T211" s="11">
        <f t="shared" si="169"/>
        <v>4.532</v>
      </c>
      <c r="U211" s="11">
        <f t="shared" si="169"/>
        <v>6.4860000000000007</v>
      </c>
      <c r="V211" s="11">
        <f t="shared" si="169"/>
        <v>1.4839999999999998</v>
      </c>
      <c r="W211" s="11">
        <f t="shared" si="169"/>
        <v>2.8559999999999999</v>
      </c>
      <c r="X211" s="11">
        <f t="shared" si="169"/>
        <v>4.532</v>
      </c>
      <c r="Y211" s="168">
        <f t="shared" si="169"/>
        <v>5.8520000000000003</v>
      </c>
      <c r="Z211" s="9">
        <f t="shared" si="170"/>
        <v>4.5529999999999999</v>
      </c>
      <c r="AA211" s="2">
        <f t="shared" si="166"/>
        <v>9.3509999999999991</v>
      </c>
      <c r="AB211" s="2">
        <f t="shared" si="166"/>
        <v>14.068999999999999</v>
      </c>
      <c r="AC211" s="10">
        <f t="shared" si="166"/>
        <v>20.172000000000001</v>
      </c>
      <c r="AD211" s="9">
        <f t="shared" si="166"/>
        <v>5.9179999999999993</v>
      </c>
      <c r="AE211" s="2">
        <f t="shared" si="166"/>
        <v>9.3509999999999991</v>
      </c>
      <c r="AF211" s="2">
        <f t="shared" si="166"/>
        <v>14.068999999999999</v>
      </c>
      <c r="AG211" s="159">
        <f t="shared" si="166"/>
        <v>18.128</v>
      </c>
      <c r="AH211" s="87">
        <f t="shared" si="171"/>
        <v>8.3913999999999991</v>
      </c>
      <c r="AI211" s="88">
        <f t="shared" si="172"/>
        <v>15.2896</v>
      </c>
      <c r="AJ211" s="87">
        <f t="shared" si="173"/>
        <v>8.6643999999999988</v>
      </c>
      <c r="AK211" s="88">
        <f t="shared" si="174"/>
        <v>14.880799999999999</v>
      </c>
      <c r="AL211" s="87">
        <f t="shared" si="175"/>
        <v>11.840499999999999</v>
      </c>
      <c r="AM211" s="88">
        <f t="shared" si="176"/>
        <v>11.772599999999999</v>
      </c>
      <c r="AN211" s="134">
        <f t="shared" si="177"/>
        <v>11.806549999999998</v>
      </c>
    </row>
    <row r="212" spans="1:40" x14ac:dyDescent="0.25">
      <c r="A212" s="164" t="s">
        <v>78</v>
      </c>
      <c r="B212" s="9">
        <f t="shared" si="167"/>
        <v>1.3485000000000003</v>
      </c>
      <c r="C212" s="2">
        <f t="shared" si="167"/>
        <v>2.7269999999999999</v>
      </c>
      <c r="D212" s="2">
        <f t="shared" si="167"/>
        <v>3.819</v>
      </c>
      <c r="E212" s="10">
        <f t="shared" si="167"/>
        <v>5.202</v>
      </c>
      <c r="F212" s="9">
        <f t="shared" si="167"/>
        <v>1.6904999999999997</v>
      </c>
      <c r="G212" s="2">
        <f t="shared" si="167"/>
        <v>2.7269999999999999</v>
      </c>
      <c r="H212" s="2">
        <f t="shared" si="167"/>
        <v>3.819</v>
      </c>
      <c r="I212" s="159">
        <f t="shared" si="167"/>
        <v>4.7489999999999997</v>
      </c>
      <c r="J212" s="9">
        <f t="shared" si="168"/>
        <v>1.8435000000000001</v>
      </c>
      <c r="K212" s="2">
        <f t="shared" si="168"/>
        <v>3.5520000000000005</v>
      </c>
      <c r="L212" s="2">
        <f t="shared" si="168"/>
        <v>4.9739999999999993</v>
      </c>
      <c r="M212" s="10">
        <f t="shared" si="168"/>
        <v>6.7020000000000008</v>
      </c>
      <c r="N212" s="9">
        <f t="shared" si="168"/>
        <v>2.2799999999999994</v>
      </c>
      <c r="O212" s="2">
        <f t="shared" si="168"/>
        <v>3.5520000000000005</v>
      </c>
      <c r="P212" s="2">
        <f t="shared" si="168"/>
        <v>4.9739999999999993</v>
      </c>
      <c r="Q212" s="159">
        <f t="shared" si="168"/>
        <v>6.1289999999999996</v>
      </c>
      <c r="R212" s="11">
        <f t="shared" si="169"/>
        <v>0.46200000000000013</v>
      </c>
      <c r="S212" s="11">
        <f t="shared" si="169"/>
        <v>1.782</v>
      </c>
      <c r="T212" s="11">
        <f t="shared" si="169"/>
        <v>3.6300000000000008</v>
      </c>
      <c r="U212" s="11">
        <f t="shared" si="169"/>
        <v>5.61</v>
      </c>
      <c r="V212" s="11">
        <f t="shared" si="169"/>
        <v>0.72760000000000036</v>
      </c>
      <c r="W212" s="11">
        <f t="shared" si="169"/>
        <v>1.782</v>
      </c>
      <c r="X212" s="11">
        <f t="shared" si="169"/>
        <v>3.6300000000000008</v>
      </c>
      <c r="Y212" s="168">
        <f t="shared" si="169"/>
        <v>4.9720000000000013</v>
      </c>
      <c r="Z212" s="9">
        <f t="shared" si="170"/>
        <v>3.6540000000000004</v>
      </c>
      <c r="AA212" s="2">
        <f t="shared" si="166"/>
        <v>8.0609999999999999</v>
      </c>
      <c r="AB212" s="2">
        <f t="shared" si="166"/>
        <v>12.423</v>
      </c>
      <c r="AC212" s="10">
        <f t="shared" si="166"/>
        <v>17.513999999999999</v>
      </c>
      <c r="AD212" s="9">
        <f t="shared" si="166"/>
        <v>4.6980999999999993</v>
      </c>
      <c r="AE212" s="2">
        <f t="shared" si="166"/>
        <v>8.0609999999999999</v>
      </c>
      <c r="AF212" s="2">
        <f t="shared" si="166"/>
        <v>12.423</v>
      </c>
      <c r="AG212" s="159">
        <f t="shared" si="166"/>
        <v>15.850000000000001</v>
      </c>
      <c r="AH212" s="87">
        <f t="shared" si="171"/>
        <v>7.1796000000000006</v>
      </c>
      <c r="AI212" s="88">
        <f t="shared" si="172"/>
        <v>13.4412</v>
      </c>
      <c r="AJ212" s="87">
        <f t="shared" si="173"/>
        <v>7.38842</v>
      </c>
      <c r="AK212" s="88">
        <f t="shared" si="174"/>
        <v>13.108400000000001</v>
      </c>
      <c r="AL212" s="87">
        <f t="shared" si="175"/>
        <v>10.310400000000001</v>
      </c>
      <c r="AM212" s="88">
        <f t="shared" si="176"/>
        <v>10.24841</v>
      </c>
      <c r="AN212" s="134">
        <f t="shared" si="177"/>
        <v>10.279405000000001</v>
      </c>
    </row>
    <row r="213" spans="1:40" x14ac:dyDescent="0.25">
      <c r="A213" s="164" t="s">
        <v>79</v>
      </c>
      <c r="B213" s="9">
        <f t="shared" si="167"/>
        <v>1.3485000000000003</v>
      </c>
      <c r="C213" s="2">
        <f t="shared" si="167"/>
        <v>2.7269999999999999</v>
      </c>
      <c r="D213" s="2">
        <f t="shared" si="167"/>
        <v>3.819</v>
      </c>
      <c r="E213" s="10">
        <f t="shared" si="167"/>
        <v>5.202</v>
      </c>
      <c r="F213" s="9">
        <f t="shared" si="167"/>
        <v>1.6904999999999997</v>
      </c>
      <c r="G213" s="2">
        <f t="shared" si="167"/>
        <v>2.7269999999999999</v>
      </c>
      <c r="H213" s="2">
        <f t="shared" si="167"/>
        <v>3.819</v>
      </c>
      <c r="I213" s="159">
        <f t="shared" si="167"/>
        <v>4.7489999999999997</v>
      </c>
      <c r="J213" s="9">
        <f t="shared" si="168"/>
        <v>1.8435000000000001</v>
      </c>
      <c r="K213" s="2">
        <f t="shared" si="168"/>
        <v>3.5520000000000005</v>
      </c>
      <c r="L213" s="2">
        <f t="shared" si="168"/>
        <v>4.9739999999999993</v>
      </c>
      <c r="M213" s="10">
        <f t="shared" si="168"/>
        <v>6.7020000000000008</v>
      </c>
      <c r="N213" s="9">
        <f t="shared" si="168"/>
        <v>2.2799999999999994</v>
      </c>
      <c r="O213" s="2">
        <f t="shared" si="168"/>
        <v>3.5520000000000005</v>
      </c>
      <c r="P213" s="2">
        <f t="shared" si="168"/>
        <v>4.9739999999999993</v>
      </c>
      <c r="Q213" s="159">
        <f t="shared" si="168"/>
        <v>6.1289999999999996</v>
      </c>
      <c r="R213" s="11">
        <f t="shared" si="169"/>
        <v>0.87800000000000011</v>
      </c>
      <c r="S213" s="11">
        <f t="shared" si="169"/>
        <v>2.4060000000000001</v>
      </c>
      <c r="T213" s="11">
        <f t="shared" si="169"/>
        <v>4.3020000000000005</v>
      </c>
      <c r="U213" s="11">
        <f t="shared" si="169"/>
        <v>6.4860000000000015</v>
      </c>
      <c r="V213" s="11">
        <f t="shared" si="169"/>
        <v>1.2500000000000004</v>
      </c>
      <c r="W213" s="11">
        <f t="shared" si="169"/>
        <v>2.4060000000000001</v>
      </c>
      <c r="X213" s="11">
        <f t="shared" si="169"/>
        <v>4.3020000000000005</v>
      </c>
      <c r="Y213" s="168">
        <f t="shared" si="169"/>
        <v>5.772000000000002</v>
      </c>
      <c r="Z213" s="9">
        <f t="shared" si="170"/>
        <v>4.07</v>
      </c>
      <c r="AA213" s="2">
        <f t="shared" si="166"/>
        <v>8.6850000000000005</v>
      </c>
      <c r="AB213" s="2">
        <f t="shared" si="166"/>
        <v>13.094999999999999</v>
      </c>
      <c r="AC213" s="10">
        <f t="shared" si="166"/>
        <v>18.39</v>
      </c>
      <c r="AD213" s="9">
        <f t="shared" si="166"/>
        <v>5.2204999999999995</v>
      </c>
      <c r="AE213" s="2">
        <f t="shared" si="166"/>
        <v>8.6850000000000005</v>
      </c>
      <c r="AF213" s="2">
        <f t="shared" si="166"/>
        <v>13.094999999999999</v>
      </c>
      <c r="AG213" s="159">
        <f t="shared" si="166"/>
        <v>16.650000000000002</v>
      </c>
      <c r="AH213" s="87">
        <f t="shared" si="171"/>
        <v>7.7620000000000005</v>
      </c>
      <c r="AI213" s="88">
        <f t="shared" si="172"/>
        <v>14.153999999999998</v>
      </c>
      <c r="AJ213" s="87">
        <f t="shared" si="173"/>
        <v>7.9920999999999998</v>
      </c>
      <c r="AK213" s="88">
        <f t="shared" si="174"/>
        <v>13.805999999999999</v>
      </c>
      <c r="AL213" s="87">
        <f t="shared" si="175"/>
        <v>10.957999999999998</v>
      </c>
      <c r="AM213" s="88">
        <f t="shared" si="176"/>
        <v>10.899049999999999</v>
      </c>
      <c r="AN213" s="134">
        <f t="shared" si="177"/>
        <v>10.928524999999999</v>
      </c>
    </row>
    <row r="214" spans="1:40" x14ac:dyDescent="0.25">
      <c r="A214" s="164" t="s">
        <v>80</v>
      </c>
      <c r="B214" s="9">
        <f t="shared" si="167"/>
        <v>1.5779999999999998</v>
      </c>
      <c r="C214" s="2">
        <f t="shared" si="167"/>
        <v>3.1050000000000004</v>
      </c>
      <c r="D214" s="2">
        <f t="shared" si="167"/>
        <v>4.3979999999999997</v>
      </c>
      <c r="E214" s="10">
        <f t="shared" si="167"/>
        <v>6.1965000000000003</v>
      </c>
      <c r="F214" s="9">
        <f t="shared" si="167"/>
        <v>2.0504999999999995</v>
      </c>
      <c r="G214" s="2">
        <f t="shared" si="167"/>
        <v>3.1050000000000004</v>
      </c>
      <c r="H214" s="2">
        <f t="shared" si="167"/>
        <v>4.3979999999999997</v>
      </c>
      <c r="I214" s="159">
        <f t="shared" si="167"/>
        <v>5.5889999999999995</v>
      </c>
      <c r="J214" s="9">
        <f t="shared" si="168"/>
        <v>1.2659999999999998</v>
      </c>
      <c r="K214" s="2">
        <f t="shared" si="168"/>
        <v>2.9670000000000001</v>
      </c>
      <c r="L214" s="2">
        <f t="shared" si="168"/>
        <v>4.5539999999999994</v>
      </c>
      <c r="M214" s="10">
        <f t="shared" si="168"/>
        <v>6.3645000000000005</v>
      </c>
      <c r="N214" s="9">
        <f t="shared" si="168"/>
        <v>1.7024999999999997</v>
      </c>
      <c r="O214" s="2">
        <f t="shared" si="168"/>
        <v>2.9670000000000001</v>
      </c>
      <c r="P214" s="2">
        <f t="shared" si="168"/>
        <v>4.5539999999999994</v>
      </c>
      <c r="Q214" s="159">
        <f t="shared" si="168"/>
        <v>5.7690000000000001</v>
      </c>
      <c r="R214" s="11">
        <f t="shared" si="169"/>
        <v>1.7980000000000005</v>
      </c>
      <c r="S214" s="11">
        <f t="shared" si="169"/>
        <v>3.6360000000000001</v>
      </c>
      <c r="T214" s="11">
        <f t="shared" si="169"/>
        <v>5.0920000000000005</v>
      </c>
      <c r="U214" s="11">
        <f t="shared" si="169"/>
        <v>6.9359999999999999</v>
      </c>
      <c r="V214" s="11">
        <f t="shared" si="169"/>
        <v>2.2539999999999996</v>
      </c>
      <c r="W214" s="11">
        <f t="shared" si="169"/>
        <v>3.6360000000000001</v>
      </c>
      <c r="X214" s="11">
        <f t="shared" si="169"/>
        <v>5.0920000000000005</v>
      </c>
      <c r="Y214" s="168">
        <f t="shared" si="169"/>
        <v>6.3320000000000007</v>
      </c>
      <c r="Z214" s="9">
        <f t="shared" si="170"/>
        <v>4.6419999999999995</v>
      </c>
      <c r="AA214" s="2">
        <f t="shared" si="166"/>
        <v>9.708000000000002</v>
      </c>
      <c r="AB214" s="2">
        <f t="shared" si="166"/>
        <v>14.043999999999999</v>
      </c>
      <c r="AC214" s="10">
        <f t="shared" si="166"/>
        <v>19.497</v>
      </c>
      <c r="AD214" s="9">
        <f t="shared" si="166"/>
        <v>6.0069999999999988</v>
      </c>
      <c r="AE214" s="2">
        <f t="shared" si="166"/>
        <v>9.708000000000002</v>
      </c>
      <c r="AF214" s="2">
        <f t="shared" si="166"/>
        <v>14.043999999999999</v>
      </c>
      <c r="AG214" s="159">
        <f t="shared" si="166"/>
        <v>17.690000000000001</v>
      </c>
      <c r="AH214" s="87">
        <f t="shared" si="171"/>
        <v>8.6948000000000008</v>
      </c>
      <c r="AI214" s="88">
        <f t="shared" si="172"/>
        <v>15.134599999999999</v>
      </c>
      <c r="AJ214" s="87">
        <f t="shared" si="173"/>
        <v>8.9678000000000004</v>
      </c>
      <c r="AK214" s="88">
        <f t="shared" si="174"/>
        <v>14.773199999999999</v>
      </c>
      <c r="AL214" s="87">
        <f t="shared" si="175"/>
        <v>11.9147</v>
      </c>
      <c r="AM214" s="88">
        <f t="shared" si="176"/>
        <v>11.8705</v>
      </c>
      <c r="AN214" s="134">
        <f t="shared" si="177"/>
        <v>11.8926</v>
      </c>
    </row>
    <row r="215" spans="1:40" x14ac:dyDescent="0.25">
      <c r="A215" s="164" t="s">
        <v>82</v>
      </c>
      <c r="B215" s="9">
        <f t="shared" si="167"/>
        <v>1.335</v>
      </c>
      <c r="C215" s="2">
        <f t="shared" si="167"/>
        <v>2.4975000000000001</v>
      </c>
      <c r="D215" s="2">
        <f t="shared" si="167"/>
        <v>4.0184999999999995</v>
      </c>
      <c r="E215" s="10">
        <f t="shared" si="167"/>
        <v>6.0930000000000009</v>
      </c>
      <c r="F215" s="9">
        <f t="shared" si="167"/>
        <v>1.6995000000000002</v>
      </c>
      <c r="G215" s="2">
        <f t="shared" si="167"/>
        <v>2.4975000000000001</v>
      </c>
      <c r="H215" s="2">
        <f t="shared" si="167"/>
        <v>4.0184999999999995</v>
      </c>
      <c r="I215" s="159">
        <f t="shared" si="167"/>
        <v>5.3879999999999999</v>
      </c>
      <c r="J215" s="9">
        <f t="shared" si="168"/>
        <v>1.5135000000000003</v>
      </c>
      <c r="K215" s="2">
        <f t="shared" si="168"/>
        <v>3.3045</v>
      </c>
      <c r="L215" s="2">
        <f t="shared" si="168"/>
        <v>4.7264999999999997</v>
      </c>
      <c r="M215" s="10">
        <f t="shared" si="168"/>
        <v>6.3644999999999996</v>
      </c>
      <c r="N215" s="9">
        <f t="shared" si="168"/>
        <v>1.9724999999999997</v>
      </c>
      <c r="O215" s="2">
        <f t="shared" si="168"/>
        <v>3.3045</v>
      </c>
      <c r="P215" s="2">
        <f t="shared" si="168"/>
        <v>4.7264999999999997</v>
      </c>
      <c r="Q215" s="159">
        <f t="shared" si="168"/>
        <v>5.8290000000000006</v>
      </c>
      <c r="R215" s="11">
        <f t="shared" si="169"/>
        <v>1.028</v>
      </c>
      <c r="S215" s="11">
        <f t="shared" si="169"/>
        <v>2.8559999999999999</v>
      </c>
      <c r="T215" s="11">
        <f t="shared" si="169"/>
        <v>4.532</v>
      </c>
      <c r="U215" s="11">
        <f t="shared" si="169"/>
        <v>6.4860000000000007</v>
      </c>
      <c r="V215" s="11">
        <f t="shared" si="169"/>
        <v>1.4839999999999998</v>
      </c>
      <c r="W215" s="11">
        <f t="shared" si="169"/>
        <v>2.8559999999999999</v>
      </c>
      <c r="X215" s="11">
        <f t="shared" si="169"/>
        <v>4.532</v>
      </c>
      <c r="Y215" s="168">
        <f t="shared" si="169"/>
        <v>5.8520000000000003</v>
      </c>
      <c r="Z215" s="9">
        <f t="shared" si="170"/>
        <v>3.8765000000000005</v>
      </c>
      <c r="AA215" s="2">
        <f t="shared" si="166"/>
        <v>8.6579999999999995</v>
      </c>
      <c r="AB215" s="2">
        <f t="shared" si="166"/>
        <v>13.276999999999999</v>
      </c>
      <c r="AC215" s="10">
        <f t="shared" si="166"/>
        <v>18.9435</v>
      </c>
      <c r="AD215" s="9">
        <f t="shared" si="166"/>
        <v>5.1559999999999997</v>
      </c>
      <c r="AE215" s="2">
        <f t="shared" si="166"/>
        <v>8.6579999999999995</v>
      </c>
      <c r="AF215" s="2">
        <f t="shared" si="166"/>
        <v>13.276999999999999</v>
      </c>
      <c r="AG215" s="159">
        <f t="shared" si="166"/>
        <v>17.069000000000003</v>
      </c>
      <c r="AH215" s="87">
        <f t="shared" si="171"/>
        <v>7.7016999999999998</v>
      </c>
      <c r="AI215" s="88">
        <f t="shared" si="172"/>
        <v>14.410299999999999</v>
      </c>
      <c r="AJ215" s="87">
        <f t="shared" si="173"/>
        <v>7.9575999999999993</v>
      </c>
      <c r="AK215" s="88">
        <f t="shared" si="174"/>
        <v>14.035400000000001</v>
      </c>
      <c r="AL215" s="87">
        <f t="shared" si="175"/>
        <v>11.055999999999999</v>
      </c>
      <c r="AM215" s="88">
        <f t="shared" si="176"/>
        <v>10.996500000000001</v>
      </c>
      <c r="AN215" s="134">
        <f t="shared" si="177"/>
        <v>11.026250000000001</v>
      </c>
    </row>
    <row r="216" spans="1:40" ht="15.75" thickBot="1" x14ac:dyDescent="0.3">
      <c r="A216" s="165" t="s">
        <v>83</v>
      </c>
      <c r="B216" s="160">
        <f t="shared" si="167"/>
        <v>0.65850000000000009</v>
      </c>
      <c r="C216" s="120">
        <f t="shared" si="167"/>
        <v>1.8045</v>
      </c>
      <c r="D216" s="120">
        <f t="shared" si="167"/>
        <v>3.2264999999999997</v>
      </c>
      <c r="E216" s="124">
        <f t="shared" si="167"/>
        <v>4.8644999999999996</v>
      </c>
      <c r="F216" s="160">
        <f t="shared" si="167"/>
        <v>0.93750000000000022</v>
      </c>
      <c r="G216" s="120">
        <f t="shared" si="167"/>
        <v>1.8045</v>
      </c>
      <c r="H216" s="120">
        <f t="shared" si="167"/>
        <v>3.2264999999999997</v>
      </c>
      <c r="I216" s="167">
        <f t="shared" si="167"/>
        <v>4.3290000000000006</v>
      </c>
      <c r="J216" s="160">
        <f t="shared" si="168"/>
        <v>1.5135000000000003</v>
      </c>
      <c r="K216" s="120">
        <f t="shared" si="168"/>
        <v>3.3045</v>
      </c>
      <c r="L216" s="120">
        <f t="shared" si="168"/>
        <v>4.7264999999999997</v>
      </c>
      <c r="M216" s="124">
        <f t="shared" si="168"/>
        <v>6.3644999999999996</v>
      </c>
      <c r="N216" s="160">
        <f t="shared" si="168"/>
        <v>1.9724999999999997</v>
      </c>
      <c r="O216" s="120">
        <f t="shared" si="168"/>
        <v>3.3045</v>
      </c>
      <c r="P216" s="120">
        <f t="shared" si="168"/>
        <v>4.7264999999999997</v>
      </c>
      <c r="Q216" s="167">
        <f t="shared" si="168"/>
        <v>5.8290000000000006</v>
      </c>
      <c r="R216" s="175">
        <f t="shared" si="169"/>
        <v>1.6879999999999999</v>
      </c>
      <c r="S216" s="175">
        <f t="shared" si="169"/>
        <v>3.5160000000000005</v>
      </c>
      <c r="T216" s="175">
        <f t="shared" si="169"/>
        <v>5.1920000000000002</v>
      </c>
      <c r="U216" s="175">
        <f t="shared" si="169"/>
        <v>7.3860000000000001</v>
      </c>
      <c r="V216" s="175">
        <f t="shared" si="169"/>
        <v>2.2115999999999993</v>
      </c>
      <c r="W216" s="175">
        <f t="shared" si="169"/>
        <v>3.5160000000000005</v>
      </c>
      <c r="X216" s="175">
        <f t="shared" si="169"/>
        <v>5.1920000000000002</v>
      </c>
      <c r="Y216" s="135">
        <f t="shared" si="169"/>
        <v>6.6520000000000001</v>
      </c>
      <c r="Z216" s="160">
        <f t="shared" si="170"/>
        <v>3.8600000000000003</v>
      </c>
      <c r="AA216" s="120">
        <f t="shared" si="166"/>
        <v>8.625</v>
      </c>
      <c r="AB216" s="120">
        <f t="shared" si="166"/>
        <v>13.145</v>
      </c>
      <c r="AC216" s="124">
        <f t="shared" si="166"/>
        <v>18.614999999999998</v>
      </c>
      <c r="AD216" s="160">
        <f t="shared" si="166"/>
        <v>5.121599999999999</v>
      </c>
      <c r="AE216" s="120">
        <f t="shared" si="166"/>
        <v>8.625</v>
      </c>
      <c r="AF216" s="120">
        <f t="shared" si="166"/>
        <v>13.145</v>
      </c>
      <c r="AG216" s="167">
        <f t="shared" si="166"/>
        <v>16.810000000000002</v>
      </c>
      <c r="AH216" s="91">
        <f t="shared" si="171"/>
        <v>7.6720000000000006</v>
      </c>
      <c r="AI216" s="94">
        <f t="shared" si="172"/>
        <v>14.238999999999999</v>
      </c>
      <c r="AJ216" s="91">
        <f t="shared" si="173"/>
        <v>7.9243199999999998</v>
      </c>
      <c r="AK216" s="94">
        <f t="shared" si="174"/>
        <v>13.878</v>
      </c>
      <c r="AL216" s="91">
        <f t="shared" si="175"/>
        <v>10.955500000000001</v>
      </c>
      <c r="AM216" s="94">
        <f t="shared" si="176"/>
        <v>10.901160000000001</v>
      </c>
      <c r="AN216" s="135">
        <f t="shared" si="177"/>
        <v>10.928330000000001</v>
      </c>
    </row>
  </sheetData>
  <mergeCells count="146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AU10:AX10"/>
    <mergeCell ref="AY10:BB10"/>
    <mergeCell ref="BC10:BF10"/>
    <mergeCell ref="BG10:BJ10"/>
    <mergeCell ref="BK10:BN10"/>
    <mergeCell ref="BO10:BP10"/>
    <mergeCell ref="J9:J10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U62:AX62"/>
    <mergeCell ref="AY62:BB62"/>
    <mergeCell ref="BC62:BF62"/>
    <mergeCell ref="BG62:BJ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N178:Q178"/>
    <mergeCell ref="R178:U178"/>
    <mergeCell ref="V178:Y178"/>
    <mergeCell ref="A191:A192"/>
    <mergeCell ref="B191:I191"/>
    <mergeCell ref="J191:Q191"/>
    <mergeCell ref="R191:Y191"/>
    <mergeCell ref="BQ114:BR114"/>
    <mergeCell ref="E141:L141"/>
    <mergeCell ref="E147:L147"/>
    <mergeCell ref="A177:A178"/>
    <mergeCell ref="B177:I177"/>
    <mergeCell ref="J177:Q177"/>
    <mergeCell ref="R177:Y177"/>
    <mergeCell ref="B178:E178"/>
    <mergeCell ref="F178:I178"/>
    <mergeCell ref="J178:M178"/>
    <mergeCell ref="AU114:AX114"/>
    <mergeCell ref="AY114:BB114"/>
    <mergeCell ref="BC114:BF114"/>
    <mergeCell ref="BG114:BJ114"/>
    <mergeCell ref="BK114:BN114"/>
    <mergeCell ref="BO114:BP114"/>
    <mergeCell ref="J113:J114"/>
    <mergeCell ref="AB192:AC192"/>
    <mergeCell ref="A205:A206"/>
    <mergeCell ref="B205:I205"/>
    <mergeCell ref="J205:Q205"/>
    <mergeCell ref="R205:Y205"/>
    <mergeCell ref="Z205:AG205"/>
    <mergeCell ref="AD206:AG206"/>
    <mergeCell ref="Z191:AC191"/>
    <mergeCell ref="AD191:AE191"/>
    <mergeCell ref="AF191:AF192"/>
    <mergeCell ref="B192:E192"/>
    <mergeCell ref="F192:I192"/>
    <mergeCell ref="J192:M192"/>
    <mergeCell ref="N192:Q192"/>
    <mergeCell ref="R192:U192"/>
    <mergeCell ref="V192:Y192"/>
    <mergeCell ref="Z192:AA192"/>
    <mergeCell ref="AH206:AI206"/>
    <mergeCell ref="AJ206:AK206"/>
    <mergeCell ref="AH205:AK205"/>
    <mergeCell ref="AL205:AM205"/>
    <mergeCell ref="AN205:AN206"/>
    <mergeCell ref="B206:E206"/>
    <mergeCell ref="F206:I206"/>
    <mergeCell ref="J206:M206"/>
    <mergeCell ref="N206:Q206"/>
    <mergeCell ref="R206:U206"/>
    <mergeCell ref="V206:Y206"/>
    <mergeCell ref="Z206:AC206"/>
  </mergeCells>
  <hyperlinks>
    <hyperlink ref="B2" r:id="rId1" xr:uid="{4D2DACB5-3264-4F17-9B5E-44BA2F5A7FC5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10" t="s">
        <v>7</v>
      </c>
      <c r="C5" s="207" t="s">
        <v>6</v>
      </c>
      <c r="D5" s="208"/>
      <c r="E5" s="209"/>
    </row>
    <row r="6" spans="2:10" x14ac:dyDescent="0.25">
      <c r="B6" s="211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12" t="s">
        <v>17</v>
      </c>
      <c r="D15" s="213"/>
      <c r="E15" s="213"/>
      <c r="F15" s="214"/>
      <c r="G15" s="212" t="s">
        <v>18</v>
      </c>
      <c r="H15" s="213"/>
      <c r="I15" s="213"/>
      <c r="J15" s="214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50" t="s">
        <v>17</v>
      </c>
      <c r="D33" s="251"/>
      <c r="E33" s="251"/>
      <c r="F33" s="252"/>
      <c r="G33" s="212" t="s">
        <v>18</v>
      </c>
      <c r="H33" s="213"/>
      <c r="I33" s="213"/>
      <c r="J33" s="214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12" t="s">
        <v>17</v>
      </c>
      <c r="D51" s="213"/>
      <c r="E51" s="213"/>
      <c r="F51" s="214"/>
      <c r="G51" s="212" t="s">
        <v>18</v>
      </c>
      <c r="H51" s="213"/>
      <c r="I51" s="213"/>
      <c r="J51" s="214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210" t="s">
        <v>7</v>
      </c>
      <c r="C5" s="207" t="s">
        <v>6</v>
      </c>
      <c r="D5" s="208"/>
      <c r="E5" s="209"/>
    </row>
    <row r="6" spans="2:10" x14ac:dyDescent="0.25">
      <c r="B6" s="211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212" t="s">
        <v>17</v>
      </c>
      <c r="D15" s="213"/>
      <c r="E15" s="213"/>
      <c r="F15" s="214"/>
      <c r="G15" s="212" t="s">
        <v>18</v>
      </c>
      <c r="H15" s="213"/>
      <c r="I15" s="213"/>
      <c r="J15" s="214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12" t="s">
        <v>17</v>
      </c>
      <c r="D33" s="213"/>
      <c r="E33" s="213"/>
      <c r="F33" s="214"/>
      <c r="G33" s="212" t="s">
        <v>18</v>
      </c>
      <c r="H33" s="213"/>
      <c r="I33" s="213"/>
      <c r="J33" s="214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212" t="s">
        <v>17</v>
      </c>
      <c r="D51" s="213"/>
      <c r="E51" s="213"/>
      <c r="F51" s="214"/>
      <c r="G51" s="212" t="s">
        <v>18</v>
      </c>
      <c r="H51" s="213"/>
      <c r="I51" s="213"/>
      <c r="J51" s="214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120</v>
      </c>
    </row>
    <row r="3" spans="1:11" x14ac:dyDescent="0.25">
      <c r="A3" s="1"/>
      <c r="B3" s="79">
        <v>0</v>
      </c>
      <c r="C3" s="80" t="s">
        <v>107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106</v>
      </c>
      <c r="D4" s="87">
        <f>E4-0.11</f>
        <v>0.11000000000000003</v>
      </c>
      <c r="E4" s="111">
        <f>B4-0.11</f>
        <v>0.22000000000000003</v>
      </c>
      <c r="F4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>
        <f t="shared" ref="I4:I6" si="1">E4</f>
        <v>0.22000000000000003</v>
      </c>
      <c r="J4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105</v>
      </c>
      <c r="D5" s="87">
        <f t="shared" ref="D5" si="4">E5-0.11</f>
        <v>0.44000000000000006</v>
      </c>
      <c r="E5" s="111">
        <f t="shared" ref="E5" si="5">B5-0.11</f>
        <v>0.55000000000000004</v>
      </c>
      <c r="F5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>
        <f t="shared" si="1"/>
        <v>0.55000000000000004</v>
      </c>
      <c r="J5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104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121</v>
      </c>
    </row>
    <row r="9" spans="1:11" x14ac:dyDescent="0.25">
      <c r="A9" s="1"/>
      <c r="B9" s="79">
        <v>0</v>
      </c>
      <c r="C9" s="80" t="s">
        <v>107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106</v>
      </c>
      <c r="D10" s="87">
        <f>E10-1.5</f>
        <v>0.5</v>
      </c>
      <c r="E10" s="111">
        <f>B10-0.5</f>
        <v>2</v>
      </c>
      <c r="F10">
        <f>B10+0.5</f>
        <v>3</v>
      </c>
      <c r="G10" s="88">
        <f t="shared" ref="G10:G12" si="8">F10+1.5</f>
        <v>4.5</v>
      </c>
      <c r="H10" s="89">
        <f>I10-1</f>
        <v>1</v>
      </c>
      <c r="I10">
        <f t="shared" ref="I10:I12" si="9">E10</f>
        <v>2</v>
      </c>
      <c r="J10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105</v>
      </c>
      <c r="D11" s="87">
        <f t="shared" ref="D11:D12" si="12">E11-1.5</f>
        <v>3</v>
      </c>
      <c r="E11" s="111">
        <f t="shared" ref="E11:E12" si="13">B11-0.5</f>
        <v>4.5</v>
      </c>
      <c r="F1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>
        <f t="shared" si="9"/>
        <v>4.5</v>
      </c>
      <c r="J1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104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11">
        <f>B5-0.3</f>
        <v>0.7</v>
      </c>
      <c r="F5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11">
        <f t="shared" ref="E6:E9" si="5">B6-0.3</f>
        <v>1.7</v>
      </c>
      <c r="F6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11">
        <f t="shared" si="5"/>
        <v>2.7</v>
      </c>
      <c r="F7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11">
        <f t="shared" si="5"/>
        <v>3.7</v>
      </c>
      <c r="F8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11">
        <f>B13-0.3</f>
        <v>0.7</v>
      </c>
      <c r="F13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11">
        <f t="shared" ref="E14:E17" si="13">B14-0.3</f>
        <v>1.7</v>
      </c>
      <c r="F14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11">
        <f t="shared" si="13"/>
        <v>2.7</v>
      </c>
      <c r="F15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11">
        <f t="shared" si="13"/>
        <v>3.7</v>
      </c>
      <c r="F16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11">
        <f>B21-0.3</f>
        <v>0.7</v>
      </c>
      <c r="F2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11">
        <f t="shared" ref="E22:E25" si="21">B22-0.3</f>
        <v>1.7</v>
      </c>
      <c r="F22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11">
        <f t="shared" si="21"/>
        <v>2.7</v>
      </c>
      <c r="F23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11">
        <f t="shared" si="21"/>
        <v>3.7</v>
      </c>
      <c r="F24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11">
        <f>B29-0.3</f>
        <v>0.7</v>
      </c>
      <c r="F29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11">
        <f t="shared" ref="E30:E33" si="29">B30-0.3</f>
        <v>1.7</v>
      </c>
      <c r="F30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11">
        <f t="shared" si="29"/>
        <v>2.7</v>
      </c>
      <c r="F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11">
        <f t="shared" si="29"/>
        <v>3.7</v>
      </c>
      <c r="F32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11">
        <f>B39-0.3</f>
        <v>0.7</v>
      </c>
      <c r="F39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11">
        <f t="shared" ref="E40:E43" si="37">B40-0.3</f>
        <v>1.7</v>
      </c>
      <c r="F40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11">
        <f t="shared" si="37"/>
        <v>2.7</v>
      </c>
      <c r="F4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11">
        <f t="shared" si="37"/>
        <v>3.7</v>
      </c>
      <c r="F42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11">
        <f>B47-0.3</f>
        <v>0.7</v>
      </c>
      <c r="F47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11">
        <f t="shared" ref="E48:E51" si="45">B48-0.3</f>
        <v>1.7</v>
      </c>
      <c r="F48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11">
        <f t="shared" si="45"/>
        <v>2.7</v>
      </c>
      <c r="F49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11">
        <f t="shared" si="45"/>
        <v>3.7</v>
      </c>
      <c r="F50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11">
        <f>B55-0.3</f>
        <v>0.7</v>
      </c>
      <c r="F55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11">
        <f t="shared" ref="E56:E59" si="53">B56-0.3</f>
        <v>1.7</v>
      </c>
      <c r="F56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11">
        <f t="shared" si="53"/>
        <v>2.7</v>
      </c>
      <c r="F57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11">
        <f t="shared" si="53"/>
        <v>3.7</v>
      </c>
      <c r="F58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11">
        <f>B63-0.3</f>
        <v>0.7</v>
      </c>
      <c r="F63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11">
        <f t="shared" ref="E64:E67" si="61">B64-0.3</f>
        <v>1.7</v>
      </c>
      <c r="F64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11">
        <f t="shared" si="61"/>
        <v>2.7</v>
      </c>
      <c r="F65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11">
        <f t="shared" si="61"/>
        <v>3.7</v>
      </c>
      <c r="F66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11">
        <f>B72-0.3</f>
        <v>0.7</v>
      </c>
      <c r="F72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11">
        <f t="shared" ref="E73:E76" si="69">B73-0.3</f>
        <v>1.7</v>
      </c>
      <c r="F73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11">
        <f t="shared" si="69"/>
        <v>2.7</v>
      </c>
      <c r="F74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11">
        <f t="shared" si="69"/>
        <v>3.7</v>
      </c>
      <c r="F75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11">
        <f>B80-0.3</f>
        <v>0.7</v>
      </c>
      <c r="F80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11">
        <f t="shared" ref="E81:E84" si="77">B81-0.3</f>
        <v>1.7</v>
      </c>
      <c r="F8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11">
        <f t="shared" si="77"/>
        <v>2.7</v>
      </c>
      <c r="F82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11">
        <f t="shared" si="77"/>
        <v>3.7</v>
      </c>
      <c r="F83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11">
        <f>B88-0.3</f>
        <v>0.7</v>
      </c>
      <c r="F88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11">
        <f t="shared" ref="E89:E92" si="85">B89-0.3</f>
        <v>1.7</v>
      </c>
      <c r="F89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11">
        <f t="shared" si="85"/>
        <v>2.7</v>
      </c>
      <c r="F90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11">
        <f t="shared" si="85"/>
        <v>3.7</v>
      </c>
      <c r="F9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RICE_четкая модель</vt:lpstr>
      <vt:lpstr>RICE_неч мод(трап_симм_формулы)</vt:lpstr>
      <vt:lpstr>Четкий MoSCoW</vt:lpstr>
      <vt:lpstr>Четкий MoSCoW_коллект_взвеш ср</vt:lpstr>
      <vt:lpstr>FMoSCoW (трап_симм_формулы)</vt:lpstr>
      <vt:lpstr>FMoSCoW_1 эксп ноль слева</vt:lpstr>
      <vt:lpstr>FMoSCoW_коллект_нечеткие веса</vt:lpstr>
      <vt:lpstr>FMoSCoW_коллект_четкие веса</vt:lpstr>
      <vt:lpstr>FMoSCoW_колл_чв_ноль слева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2026-01-23T01:28:20Z</dcterms:modified>
</cp:coreProperties>
</file>