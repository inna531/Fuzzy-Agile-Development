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D9B6B7FD-F66E-4AD1-9133-1CFB602B2232}" xr6:coauthVersionLast="47" xr6:coauthVersionMax="47" xr10:uidLastSave="{00000000-0000-0000-0000-000000000000}"/>
  <bookViews>
    <workbookView xWindow="-120" yWindow="-120" windowWidth="20730" windowHeight="11040" tabRatio="839" firstSheet="11" activeTab="14" xr2:uid="{00000000-000D-0000-FFFF-FFFF00000000}"/>
  </bookViews>
  <sheets>
    <sheet name="RICE_четкая модель" sheetId="1" r:id="rId1"/>
    <sheet name="RICE_неч мод(трап_симм_формулы)" sheetId="2" r:id="rId2"/>
    <sheet name="Четкий MoSCoW" sheetId="6" r:id="rId3"/>
    <sheet name="Четкий MoSCoW_коллект_взвеш ср" sheetId="9" r:id="rId4"/>
    <sheet name="Четкий MoSCoW_коллект_Chen" sheetId="14" r:id="rId5"/>
    <sheet name="Четкий MoSCoW_коллект_Chen 98" sheetId="19" r:id="rId6"/>
    <sheet name="FMoSCoW (трап_симм_формулы)" sheetId="7" r:id="rId7"/>
    <sheet name="FMoSCoW_1 эксп ноль слева" sheetId="13" r:id="rId8"/>
    <sheet name="FMoSCoW_коллект_нечеткие веса" sheetId="10" r:id="rId9"/>
    <sheet name="FMoSCoW_коллект_четкие веса" sheetId="11" r:id="rId10"/>
    <sheet name="FMoSCoW_колл_чв_ноль слева" sheetId="12" r:id="rId11"/>
    <sheet name="FMoSCoW_колл_Чен 96_ноль слева" sheetId="15" r:id="rId12"/>
    <sheet name="Колл пр реш_Чен 98_пример" sheetId="17" r:id="rId13"/>
    <sheet name="FMoSCoW_колл_Чен 98_ноль слева" sheetId="16" r:id="rId14"/>
    <sheet name="FMoSCoW_колл_Лю_2006" sheetId="18" r:id="rId15"/>
    <sheet name="RICE_неч мод (трапеции_вправо)" sheetId="3" r:id="rId16"/>
    <sheet name="RICE_неч мод (трап_симм_числа)" sheetId="4" r:id="rId17"/>
    <sheet name="Шкалы параметров_MoSCoW" sheetId="8" r:id="rId18"/>
    <sheet name="Шкалы параметров" sheetId="5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4" i="15" l="1"/>
  <c r="B194" i="16"/>
  <c r="D47" i="17"/>
  <c r="M51" i="17" s="1"/>
  <c r="C47" i="17"/>
  <c r="B47" i="17"/>
  <c r="C21" i="17"/>
  <c r="C20" i="17"/>
  <c r="B346" i="16"/>
  <c r="C346" i="16"/>
  <c r="C334" i="16"/>
  <c r="B334" i="16"/>
  <c r="B324" i="15"/>
  <c r="B325" i="15"/>
  <c r="B326" i="15"/>
  <c r="B327" i="15"/>
  <c r="B328" i="15"/>
  <c r="B329" i="15"/>
  <c r="B330" i="15"/>
  <c r="B331" i="15"/>
  <c r="B332" i="15"/>
  <c r="C324" i="15"/>
  <c r="C325" i="15"/>
  <c r="C326" i="15"/>
  <c r="C327" i="15"/>
  <c r="C328" i="15"/>
  <c r="C329" i="15"/>
  <c r="C330" i="15"/>
  <c r="C331" i="15"/>
  <c r="C332" i="15"/>
  <c r="C323" i="15"/>
  <c r="B323" i="15"/>
  <c r="C312" i="15"/>
  <c r="C313" i="15"/>
  <c r="C314" i="15"/>
  <c r="C315" i="15"/>
  <c r="C316" i="15"/>
  <c r="C317" i="15"/>
  <c r="C318" i="15"/>
  <c r="C319" i="15"/>
  <c r="C320" i="15"/>
  <c r="C311" i="15"/>
  <c r="B312" i="15"/>
  <c r="B313" i="15"/>
  <c r="B314" i="15"/>
  <c r="B315" i="15"/>
  <c r="B316" i="15"/>
  <c r="B317" i="15"/>
  <c r="B318" i="15"/>
  <c r="B319" i="15"/>
  <c r="B320" i="15"/>
  <c r="B311" i="15"/>
  <c r="I243" i="16"/>
  <c r="D243" i="16"/>
  <c r="C187" i="16"/>
  <c r="C186" i="16"/>
  <c r="C133" i="19"/>
  <c r="C132" i="19"/>
  <c r="B128" i="19"/>
  <c r="C126" i="19" s="1"/>
  <c r="D94" i="19"/>
  <c r="D93" i="19"/>
  <c r="D92" i="19"/>
  <c r="I81" i="19"/>
  <c r="H81" i="19"/>
  <c r="G81" i="19"/>
  <c r="I80" i="19"/>
  <c r="H80" i="19"/>
  <c r="G80" i="19"/>
  <c r="I79" i="19"/>
  <c r="H79" i="19"/>
  <c r="G79" i="19"/>
  <c r="I78" i="19"/>
  <c r="H78" i="19"/>
  <c r="G78" i="19"/>
  <c r="I77" i="19"/>
  <c r="H77" i="19"/>
  <c r="G77" i="19"/>
  <c r="I76" i="19"/>
  <c r="H76" i="19"/>
  <c r="G76" i="19"/>
  <c r="I75" i="19"/>
  <c r="H75" i="19"/>
  <c r="G75" i="19"/>
  <c r="I74" i="19"/>
  <c r="H74" i="19"/>
  <c r="G74" i="19"/>
  <c r="I73" i="19"/>
  <c r="H73" i="19"/>
  <c r="G73" i="19"/>
  <c r="I72" i="19"/>
  <c r="H72" i="19"/>
  <c r="G72" i="19"/>
  <c r="I51" i="19"/>
  <c r="H51" i="19"/>
  <c r="G51" i="19"/>
  <c r="I50" i="19"/>
  <c r="H50" i="19"/>
  <c r="G50" i="19"/>
  <c r="I49" i="19"/>
  <c r="H49" i="19"/>
  <c r="G49" i="19"/>
  <c r="I48" i="19"/>
  <c r="H48" i="19"/>
  <c r="G48" i="19"/>
  <c r="I47" i="19"/>
  <c r="H47" i="19"/>
  <c r="G47" i="19"/>
  <c r="I46" i="19"/>
  <c r="H46" i="19"/>
  <c r="G46" i="19"/>
  <c r="I45" i="19"/>
  <c r="H45" i="19"/>
  <c r="G45" i="19"/>
  <c r="I44" i="19"/>
  <c r="H44" i="19"/>
  <c r="G44" i="19"/>
  <c r="I43" i="19"/>
  <c r="H43" i="19"/>
  <c r="G43" i="19"/>
  <c r="I42" i="19"/>
  <c r="H42" i="19"/>
  <c r="G42" i="19"/>
  <c r="I21" i="19"/>
  <c r="H21" i="19"/>
  <c r="G21" i="19"/>
  <c r="I20" i="19"/>
  <c r="H20" i="19"/>
  <c r="G20" i="19"/>
  <c r="I19" i="19"/>
  <c r="H19" i="19"/>
  <c r="G19" i="19"/>
  <c r="I18" i="19"/>
  <c r="H18" i="19"/>
  <c r="G18" i="19"/>
  <c r="I17" i="19"/>
  <c r="H17" i="19"/>
  <c r="G17" i="19"/>
  <c r="I16" i="19"/>
  <c r="H16" i="19"/>
  <c r="G16" i="19"/>
  <c r="I15" i="19"/>
  <c r="H15" i="19"/>
  <c r="G15" i="19"/>
  <c r="I14" i="19"/>
  <c r="H14" i="19"/>
  <c r="G14" i="19"/>
  <c r="I13" i="19"/>
  <c r="H13" i="19"/>
  <c r="G13" i="19"/>
  <c r="I12" i="19"/>
  <c r="H12" i="19"/>
  <c r="G12" i="19"/>
  <c r="J51" i="17"/>
  <c r="F51" i="17"/>
  <c r="B51" i="17"/>
  <c r="K51" i="17"/>
  <c r="L51" i="17"/>
  <c r="G51" i="17"/>
  <c r="H51" i="17"/>
  <c r="I51" i="17"/>
  <c r="B39" i="17"/>
  <c r="C51" i="17"/>
  <c r="D51" i="17"/>
  <c r="E51" i="17"/>
  <c r="B22" i="17"/>
  <c r="A26" i="17" s="1"/>
  <c r="P51" i="17" l="1"/>
  <c r="O51" i="17"/>
  <c r="N51" i="17"/>
  <c r="Q51" i="17"/>
  <c r="B54" i="17" s="1"/>
  <c r="J14" i="19"/>
  <c r="J42" i="19"/>
  <c r="J46" i="19"/>
  <c r="J50" i="19"/>
  <c r="J74" i="19"/>
  <c r="J78" i="19"/>
  <c r="J18" i="19"/>
  <c r="J13" i="19"/>
  <c r="J17" i="19"/>
  <c r="J21" i="19"/>
  <c r="J45" i="19"/>
  <c r="J49" i="19"/>
  <c r="J73" i="19"/>
  <c r="J77" i="19"/>
  <c r="J81" i="19"/>
  <c r="J12" i="19"/>
  <c r="J16" i="19"/>
  <c r="J20" i="19"/>
  <c r="J44" i="19"/>
  <c r="J48" i="19"/>
  <c r="J72" i="19"/>
  <c r="J76" i="19"/>
  <c r="J80" i="19"/>
  <c r="J15" i="19"/>
  <c r="J19" i="19"/>
  <c r="J43" i="19"/>
  <c r="J47" i="19"/>
  <c r="J51" i="19"/>
  <c r="J75" i="19"/>
  <c r="J79" i="19"/>
  <c r="C127" i="19"/>
  <c r="C125" i="19"/>
  <c r="D27" i="17"/>
  <c r="C25" i="17"/>
  <c r="D26" i="17"/>
  <c r="B25" i="17"/>
  <c r="D25" i="17"/>
  <c r="A27" i="17"/>
  <c r="B26" i="17"/>
  <c r="C26" i="17"/>
  <c r="C27" i="17"/>
  <c r="A25" i="17"/>
  <c r="B27" i="17"/>
  <c r="I278" i="18"/>
  <c r="M274" i="18"/>
  <c r="M272" i="18"/>
  <c r="U271" i="18"/>
  <c r="C247" i="18"/>
  <c r="I237" i="18"/>
  <c r="H237" i="18"/>
  <c r="H251" i="18" s="1"/>
  <c r="G237" i="18"/>
  <c r="D237" i="18"/>
  <c r="C237" i="18"/>
  <c r="B237" i="18"/>
  <c r="I236" i="18"/>
  <c r="H236" i="18"/>
  <c r="G236" i="18"/>
  <c r="D236" i="18"/>
  <c r="D250" i="18" s="1"/>
  <c r="C236" i="18"/>
  <c r="B236" i="18"/>
  <c r="I235" i="18"/>
  <c r="H235" i="18"/>
  <c r="H249" i="18" s="1"/>
  <c r="G235" i="18"/>
  <c r="D235" i="18"/>
  <c r="C235" i="18"/>
  <c r="B235" i="18"/>
  <c r="I234" i="18"/>
  <c r="I248" i="18" s="1"/>
  <c r="H234" i="18"/>
  <c r="G234" i="18"/>
  <c r="G248" i="18" s="1"/>
  <c r="D234" i="18"/>
  <c r="D248" i="18" s="1"/>
  <c r="C234" i="18"/>
  <c r="C248" i="18" s="1"/>
  <c r="B234" i="18"/>
  <c r="I233" i="18"/>
  <c r="H233" i="18"/>
  <c r="H247" i="18" s="1"/>
  <c r="G233" i="18"/>
  <c r="D233" i="18"/>
  <c r="C233" i="18"/>
  <c r="B233" i="18"/>
  <c r="I232" i="18"/>
  <c r="I246" i="18" s="1"/>
  <c r="H232" i="18"/>
  <c r="G232" i="18"/>
  <c r="G246" i="18" s="1"/>
  <c r="D232" i="18"/>
  <c r="D246" i="18" s="1"/>
  <c r="C232" i="18"/>
  <c r="C246" i="18" s="1"/>
  <c r="B232" i="18"/>
  <c r="I231" i="18"/>
  <c r="H231" i="18"/>
  <c r="H245" i="18" s="1"/>
  <c r="G231" i="18"/>
  <c r="D231" i="18"/>
  <c r="C231" i="18"/>
  <c r="B231" i="18"/>
  <c r="C245" i="18" s="1"/>
  <c r="I230" i="18"/>
  <c r="I244" i="18" s="1"/>
  <c r="H230" i="18"/>
  <c r="G230" i="18"/>
  <c r="G244" i="18" s="1"/>
  <c r="D230" i="18"/>
  <c r="D244" i="18" s="1"/>
  <c r="C230" i="18"/>
  <c r="C244" i="18" s="1"/>
  <c r="B230" i="18"/>
  <c r="I229" i="18"/>
  <c r="H229" i="18"/>
  <c r="H243" i="18" s="1"/>
  <c r="G229" i="18"/>
  <c r="D229" i="18"/>
  <c r="C229" i="18"/>
  <c r="B229" i="18"/>
  <c r="C243" i="18" s="1"/>
  <c r="I228" i="18"/>
  <c r="I242" i="18" s="1"/>
  <c r="H228" i="18"/>
  <c r="G228" i="18"/>
  <c r="G242" i="18" s="1"/>
  <c r="D228" i="18"/>
  <c r="D242" i="18" s="1"/>
  <c r="C228" i="18"/>
  <c r="B228" i="18"/>
  <c r="B175" i="18"/>
  <c r="B167" i="18"/>
  <c r="I160" i="18"/>
  <c r="H160" i="18"/>
  <c r="G160" i="18"/>
  <c r="F160" i="18"/>
  <c r="E160" i="18"/>
  <c r="H159" i="18"/>
  <c r="E158" i="18"/>
  <c r="L157" i="18"/>
  <c r="K157" i="18"/>
  <c r="H157" i="18"/>
  <c r="G157" i="18"/>
  <c r="K156" i="18"/>
  <c r="H156" i="18"/>
  <c r="G156" i="18"/>
  <c r="F156" i="18"/>
  <c r="E156" i="18"/>
  <c r="L153" i="18"/>
  <c r="K153" i="18"/>
  <c r="H153" i="18"/>
  <c r="G153" i="18"/>
  <c r="L152" i="18"/>
  <c r="H152" i="18"/>
  <c r="G152" i="18"/>
  <c r="F152" i="18"/>
  <c r="E152" i="18"/>
  <c r="L151" i="18"/>
  <c r="K151" i="18"/>
  <c r="G151" i="18"/>
  <c r="L149" i="18"/>
  <c r="K149" i="18"/>
  <c r="H149" i="18"/>
  <c r="G149" i="18"/>
  <c r="I139" i="18"/>
  <c r="H139" i="18"/>
  <c r="G139" i="18"/>
  <c r="K139" i="18" s="1"/>
  <c r="L139" i="18" s="1"/>
  <c r="F139" i="18"/>
  <c r="J139" i="18" s="1"/>
  <c r="E139" i="18"/>
  <c r="G138" i="18"/>
  <c r="F138" i="18"/>
  <c r="J138" i="18" s="1"/>
  <c r="I138" i="18" s="1"/>
  <c r="E138" i="18"/>
  <c r="K137" i="18"/>
  <c r="L137" i="18" s="1"/>
  <c r="G137" i="18"/>
  <c r="H137" i="18" s="1"/>
  <c r="F137" i="18"/>
  <c r="J137" i="18" s="1"/>
  <c r="K136" i="18"/>
  <c r="J136" i="18"/>
  <c r="K132" i="18"/>
  <c r="K152" i="18" s="1"/>
  <c r="J132" i="18"/>
  <c r="J131" i="18"/>
  <c r="G131" i="18"/>
  <c r="K131" i="18" s="1"/>
  <c r="L159" i="18" s="1"/>
  <c r="F131" i="18"/>
  <c r="F159" i="18" s="1"/>
  <c r="E131" i="18"/>
  <c r="E151" i="18" s="1"/>
  <c r="G130" i="18"/>
  <c r="F130" i="18"/>
  <c r="E150" i="18" s="1"/>
  <c r="K129" i="18"/>
  <c r="F129" i="18"/>
  <c r="BQ125" i="18"/>
  <c r="BN125" i="18"/>
  <c r="Y279" i="18" s="1"/>
  <c r="BM125" i="18"/>
  <c r="X279" i="18" s="1"/>
  <c r="BL125" i="18"/>
  <c r="W279" i="18" s="1"/>
  <c r="BK125" i="18"/>
  <c r="V279" i="18" s="1"/>
  <c r="BJ125" i="18"/>
  <c r="U279" i="18" s="1"/>
  <c r="BI125" i="18"/>
  <c r="BH125" i="18"/>
  <c r="S279" i="18" s="1"/>
  <c r="BG125" i="18"/>
  <c r="R279" i="18" s="1"/>
  <c r="I125" i="18"/>
  <c r="H125" i="18"/>
  <c r="G125" i="18"/>
  <c r="BN124" i="18"/>
  <c r="BR124" i="18" s="1"/>
  <c r="BM124" i="18"/>
  <c r="X278" i="18" s="1"/>
  <c r="BL124" i="18"/>
  <c r="W278" i="18" s="1"/>
  <c r="BK124" i="18"/>
  <c r="V278" i="18" s="1"/>
  <c r="BJ124" i="18"/>
  <c r="U278" i="18" s="1"/>
  <c r="BI124" i="18"/>
  <c r="T278" i="18" s="1"/>
  <c r="BH124" i="18"/>
  <c r="S278" i="18" s="1"/>
  <c r="BG124" i="18"/>
  <c r="R278" i="18" s="1"/>
  <c r="I124" i="18"/>
  <c r="H124" i="18"/>
  <c r="G124" i="18"/>
  <c r="J124" i="18" s="1"/>
  <c r="BN123" i="18"/>
  <c r="Y277" i="18" s="1"/>
  <c r="BM123" i="18"/>
  <c r="X277" i="18" s="1"/>
  <c r="BL123" i="18"/>
  <c r="W277" i="18" s="1"/>
  <c r="BK123" i="18"/>
  <c r="V277" i="18" s="1"/>
  <c r="BJ123" i="18"/>
  <c r="U277" i="18" s="1"/>
  <c r="BI123" i="18"/>
  <c r="T277" i="18" s="1"/>
  <c r="BH123" i="18"/>
  <c r="S277" i="18" s="1"/>
  <c r="BG123" i="18"/>
  <c r="R277" i="18" s="1"/>
  <c r="J123" i="18"/>
  <c r="I123" i="18"/>
  <c r="H123" i="18"/>
  <c r="G123" i="18"/>
  <c r="BQ122" i="18"/>
  <c r="BN122" i="18"/>
  <c r="Y276" i="18" s="1"/>
  <c r="BM122" i="18"/>
  <c r="BL122" i="18"/>
  <c r="W276" i="18" s="1"/>
  <c r="BK122" i="18"/>
  <c r="V276" i="18" s="1"/>
  <c r="BJ122" i="18"/>
  <c r="U276" i="18" s="1"/>
  <c r="BI122" i="18"/>
  <c r="BH122" i="18"/>
  <c r="S276" i="18" s="1"/>
  <c r="BG122" i="18"/>
  <c r="R276" i="18" s="1"/>
  <c r="I122" i="18"/>
  <c r="H122" i="18"/>
  <c r="G122" i="18"/>
  <c r="BP121" i="18"/>
  <c r="BN121" i="18"/>
  <c r="Y275" i="18" s="1"/>
  <c r="BM121" i="18"/>
  <c r="X275" i="18" s="1"/>
  <c r="BL121" i="18"/>
  <c r="BK121" i="18"/>
  <c r="V275" i="18" s="1"/>
  <c r="BJ121" i="18"/>
  <c r="U275" i="18" s="1"/>
  <c r="BI121" i="18"/>
  <c r="T275" i="18" s="1"/>
  <c r="BH121" i="18"/>
  <c r="BG121" i="18"/>
  <c r="R275" i="18" s="1"/>
  <c r="I121" i="18"/>
  <c r="H121" i="18"/>
  <c r="G121" i="18"/>
  <c r="BN120" i="18"/>
  <c r="Y274" i="18" s="1"/>
  <c r="BM120" i="18"/>
  <c r="X274" i="18" s="1"/>
  <c r="BL120" i="18"/>
  <c r="W274" i="18" s="1"/>
  <c r="BK120" i="18"/>
  <c r="V274" i="18" s="1"/>
  <c r="BJ120" i="18"/>
  <c r="U274" i="18" s="1"/>
  <c r="BI120" i="18"/>
  <c r="T274" i="18" s="1"/>
  <c r="BH120" i="18"/>
  <c r="S274" i="18" s="1"/>
  <c r="BG120" i="18"/>
  <c r="R274" i="18" s="1"/>
  <c r="I120" i="18"/>
  <c r="H120" i="18"/>
  <c r="G120" i="18"/>
  <c r="J120" i="18" s="1"/>
  <c r="BN119" i="18"/>
  <c r="Y273" i="18" s="1"/>
  <c r="BM119" i="18"/>
  <c r="X273" i="18" s="1"/>
  <c r="BL119" i="18"/>
  <c r="W273" i="18" s="1"/>
  <c r="BK119" i="18"/>
  <c r="V273" i="18" s="1"/>
  <c r="BJ119" i="18"/>
  <c r="U273" i="18" s="1"/>
  <c r="BI119" i="18"/>
  <c r="T273" i="18" s="1"/>
  <c r="BH119" i="18"/>
  <c r="S273" i="18" s="1"/>
  <c r="BG119" i="18"/>
  <c r="R273" i="18" s="1"/>
  <c r="J119" i="18"/>
  <c r="I119" i="18"/>
  <c r="H119" i="18"/>
  <c r="G119" i="18"/>
  <c r="BQ118" i="18"/>
  <c r="BN118" i="18"/>
  <c r="Y272" i="18" s="1"/>
  <c r="BM118" i="18"/>
  <c r="BL118" i="18"/>
  <c r="W272" i="18" s="1"/>
  <c r="BK118" i="18"/>
  <c r="V272" i="18" s="1"/>
  <c r="BJ118" i="18"/>
  <c r="U272" i="18" s="1"/>
  <c r="BI118" i="18"/>
  <c r="BH118" i="18"/>
  <c r="S272" i="18" s="1"/>
  <c r="BG118" i="18"/>
  <c r="R272" i="18" s="1"/>
  <c r="I118" i="18"/>
  <c r="H118" i="18"/>
  <c r="G118" i="18"/>
  <c r="BP117" i="18"/>
  <c r="BN117" i="18"/>
  <c r="Y271" i="18" s="1"/>
  <c r="BM117" i="18"/>
  <c r="X271" i="18" s="1"/>
  <c r="BL117" i="18"/>
  <c r="BK117" i="18"/>
  <c r="V271" i="18" s="1"/>
  <c r="BJ117" i="18"/>
  <c r="BI117" i="18"/>
  <c r="T271" i="18" s="1"/>
  <c r="BH117" i="18"/>
  <c r="BG117" i="18"/>
  <c r="R271" i="18" s="1"/>
  <c r="I117" i="18"/>
  <c r="H117" i="18"/>
  <c r="G117" i="18"/>
  <c r="BN116" i="18"/>
  <c r="Y270" i="18" s="1"/>
  <c r="BM116" i="18"/>
  <c r="X270" i="18" s="1"/>
  <c r="BL116" i="18"/>
  <c r="W270" i="18" s="1"/>
  <c r="BK116" i="18"/>
  <c r="V270" i="18" s="1"/>
  <c r="BJ116" i="18"/>
  <c r="U270" i="18" s="1"/>
  <c r="BI116" i="18"/>
  <c r="T270" i="18" s="1"/>
  <c r="BH116" i="18"/>
  <c r="S270" i="18" s="1"/>
  <c r="BG116" i="18"/>
  <c r="R270" i="18" s="1"/>
  <c r="I116" i="18"/>
  <c r="H116" i="18"/>
  <c r="G116" i="18"/>
  <c r="J116" i="18" s="1"/>
  <c r="I108" i="18"/>
  <c r="H108" i="18"/>
  <c r="G108" i="18"/>
  <c r="F108" i="18"/>
  <c r="E108" i="18"/>
  <c r="I106" i="18"/>
  <c r="E106" i="18"/>
  <c r="I105" i="18"/>
  <c r="H105" i="18"/>
  <c r="G105" i="18"/>
  <c r="E105" i="18"/>
  <c r="I104" i="18"/>
  <c r="H104" i="18"/>
  <c r="G104" i="18"/>
  <c r="F104" i="18"/>
  <c r="E104" i="18"/>
  <c r="I102" i="18"/>
  <c r="E102" i="18"/>
  <c r="H101" i="18"/>
  <c r="G101" i="18"/>
  <c r="E101" i="18"/>
  <c r="I100" i="18"/>
  <c r="H100" i="18"/>
  <c r="G100" i="18"/>
  <c r="F100" i="18"/>
  <c r="E100" i="18"/>
  <c r="I98" i="18"/>
  <c r="E98" i="18"/>
  <c r="H97" i="18"/>
  <c r="G97" i="18"/>
  <c r="E97" i="18"/>
  <c r="I87" i="18"/>
  <c r="H87" i="18"/>
  <c r="G87" i="18"/>
  <c r="K87" i="18" s="1"/>
  <c r="L87" i="18" s="1"/>
  <c r="F87" i="18"/>
  <c r="J87" i="18" s="1"/>
  <c r="E87" i="18"/>
  <c r="H86" i="18"/>
  <c r="G86" i="18"/>
  <c r="K86" i="18" s="1"/>
  <c r="L86" i="18" s="1"/>
  <c r="F86" i="18"/>
  <c r="J86" i="18" s="1"/>
  <c r="I86" i="18" s="1"/>
  <c r="E86" i="18"/>
  <c r="J85" i="18"/>
  <c r="H85" i="18"/>
  <c r="G85" i="18"/>
  <c r="K85" i="18" s="1"/>
  <c r="L85" i="18" s="1"/>
  <c r="F85" i="18"/>
  <c r="K84" i="18"/>
  <c r="J84" i="18"/>
  <c r="K80" i="18"/>
  <c r="L108" i="18" s="1"/>
  <c r="J80" i="18"/>
  <c r="J108" i="18" s="1"/>
  <c r="K79" i="18"/>
  <c r="L107" i="18" s="1"/>
  <c r="J79" i="18"/>
  <c r="G79" i="18"/>
  <c r="H107" i="18" s="1"/>
  <c r="F79" i="18"/>
  <c r="F107" i="18" s="1"/>
  <c r="E79" i="18"/>
  <c r="E107" i="18" s="1"/>
  <c r="J78" i="18"/>
  <c r="J106" i="18" s="1"/>
  <c r="H78" i="18"/>
  <c r="G78" i="18"/>
  <c r="F78" i="18"/>
  <c r="F106" i="18" s="1"/>
  <c r="K77" i="18"/>
  <c r="L105" i="18" s="1"/>
  <c r="J77" i="18"/>
  <c r="F77" i="18"/>
  <c r="F105" i="18" s="1"/>
  <c r="BN73" i="18"/>
  <c r="BR73" i="18" s="1"/>
  <c r="BM73" i="18"/>
  <c r="P279" i="18" s="1"/>
  <c r="BL73" i="18"/>
  <c r="O279" i="18" s="1"/>
  <c r="BK73" i="18"/>
  <c r="N279" i="18" s="1"/>
  <c r="BJ73" i="18"/>
  <c r="M279" i="18" s="1"/>
  <c r="BI73" i="18"/>
  <c r="L279" i="18" s="1"/>
  <c r="BH73" i="18"/>
  <c r="K279" i="18" s="1"/>
  <c r="BG73" i="18"/>
  <c r="J279" i="18" s="1"/>
  <c r="I73" i="18"/>
  <c r="H73" i="18"/>
  <c r="G73" i="18"/>
  <c r="J73" i="18" s="1"/>
  <c r="BN72" i="18"/>
  <c r="Q278" i="18" s="1"/>
  <c r="BM72" i="18"/>
  <c r="P278" i="18" s="1"/>
  <c r="BL72" i="18"/>
  <c r="O278" i="18" s="1"/>
  <c r="BK72" i="18"/>
  <c r="N278" i="18" s="1"/>
  <c r="BJ72" i="18"/>
  <c r="M278" i="18" s="1"/>
  <c r="BI72" i="18"/>
  <c r="L278" i="18" s="1"/>
  <c r="BH72" i="18"/>
  <c r="K278" i="18" s="1"/>
  <c r="BG72" i="18"/>
  <c r="J278" i="18" s="1"/>
  <c r="J72" i="18"/>
  <c r="I72" i="18"/>
  <c r="H72" i="18"/>
  <c r="G72" i="18"/>
  <c r="BQ71" i="18"/>
  <c r="BN71" i="18"/>
  <c r="Q277" i="18" s="1"/>
  <c r="BM71" i="18"/>
  <c r="BL71" i="18"/>
  <c r="O277" i="18" s="1"/>
  <c r="BK71" i="18"/>
  <c r="N277" i="18" s="1"/>
  <c r="BJ71" i="18"/>
  <c r="M277" i="18" s="1"/>
  <c r="BI71" i="18"/>
  <c r="BH71" i="18"/>
  <c r="K277" i="18" s="1"/>
  <c r="BG71" i="18"/>
  <c r="J277" i="18" s="1"/>
  <c r="I71" i="18"/>
  <c r="H71" i="18"/>
  <c r="G71" i="18"/>
  <c r="BP70" i="18"/>
  <c r="BN70" i="18"/>
  <c r="Q276" i="18" s="1"/>
  <c r="BM70" i="18"/>
  <c r="P276" i="18" s="1"/>
  <c r="BL70" i="18"/>
  <c r="BK70" i="18"/>
  <c r="N276" i="18" s="1"/>
  <c r="BJ70" i="18"/>
  <c r="M276" i="18" s="1"/>
  <c r="BI70" i="18"/>
  <c r="L276" i="18" s="1"/>
  <c r="BH70" i="18"/>
  <c r="BG70" i="18"/>
  <c r="J276" i="18" s="1"/>
  <c r="I70" i="18"/>
  <c r="H70" i="18"/>
  <c r="J70" i="18" s="1"/>
  <c r="G70" i="18"/>
  <c r="BN69" i="18"/>
  <c r="Q275" i="18" s="1"/>
  <c r="BM69" i="18"/>
  <c r="P275" i="18" s="1"/>
  <c r="BL69" i="18"/>
  <c r="O275" i="18" s="1"/>
  <c r="BK69" i="18"/>
  <c r="BJ69" i="18"/>
  <c r="M275" i="18" s="1"/>
  <c r="BI69" i="18"/>
  <c r="L275" i="18" s="1"/>
  <c r="BH69" i="18"/>
  <c r="K275" i="18" s="1"/>
  <c r="BG69" i="18"/>
  <c r="J275" i="18" s="1"/>
  <c r="I69" i="18"/>
  <c r="H69" i="18"/>
  <c r="G69" i="18"/>
  <c r="J69" i="18" s="1"/>
  <c r="BN68" i="18"/>
  <c r="Q274" i="18" s="1"/>
  <c r="BM68" i="18"/>
  <c r="P274" i="18" s="1"/>
  <c r="BL68" i="18"/>
  <c r="O274" i="18" s="1"/>
  <c r="BK68" i="18"/>
  <c r="N274" i="18" s="1"/>
  <c r="BJ68" i="18"/>
  <c r="BP68" i="18" s="1"/>
  <c r="BI68" i="18"/>
  <c r="L274" i="18" s="1"/>
  <c r="BH68" i="18"/>
  <c r="K274" i="18" s="1"/>
  <c r="BG68" i="18"/>
  <c r="J274" i="18" s="1"/>
  <c r="J68" i="18"/>
  <c r="I68" i="18"/>
  <c r="H68" i="18"/>
  <c r="G68" i="18"/>
  <c r="BQ67" i="18"/>
  <c r="BN67" i="18"/>
  <c r="Q273" i="18" s="1"/>
  <c r="BM67" i="18"/>
  <c r="BL67" i="18"/>
  <c r="O273" i="18" s="1"/>
  <c r="BK67" i="18"/>
  <c r="N273" i="18" s="1"/>
  <c r="BJ67" i="18"/>
  <c r="M273" i="18" s="1"/>
  <c r="BI67" i="18"/>
  <c r="BH67" i="18"/>
  <c r="K273" i="18" s="1"/>
  <c r="BG67" i="18"/>
  <c r="J273" i="18" s="1"/>
  <c r="I67" i="18"/>
  <c r="H67" i="18"/>
  <c r="G67" i="18"/>
  <c r="BP66" i="18"/>
  <c r="BN66" i="18"/>
  <c r="BR66" i="18" s="1"/>
  <c r="BM66" i="18"/>
  <c r="P272" i="18" s="1"/>
  <c r="BL66" i="18"/>
  <c r="BK66" i="18"/>
  <c r="N272" i="18" s="1"/>
  <c r="BJ66" i="18"/>
  <c r="BI66" i="18"/>
  <c r="L272" i="18" s="1"/>
  <c r="BH66" i="18"/>
  <c r="BG66" i="18"/>
  <c r="J272" i="18" s="1"/>
  <c r="I66" i="18"/>
  <c r="H66" i="18"/>
  <c r="J66" i="18" s="1"/>
  <c r="G66" i="18"/>
  <c r="BN65" i="18"/>
  <c r="Q271" i="18" s="1"/>
  <c r="BM65" i="18"/>
  <c r="P271" i="18" s="1"/>
  <c r="BL65" i="18"/>
  <c r="O271" i="18" s="1"/>
  <c r="BK65" i="18"/>
  <c r="BJ65" i="18"/>
  <c r="M271" i="18" s="1"/>
  <c r="BI65" i="18"/>
  <c r="L271" i="18" s="1"/>
  <c r="BH65" i="18"/>
  <c r="K271" i="18" s="1"/>
  <c r="BG65" i="18"/>
  <c r="J271" i="18" s="1"/>
  <c r="I65" i="18"/>
  <c r="H65" i="18"/>
  <c r="G65" i="18"/>
  <c r="J65" i="18" s="1"/>
  <c r="BN64" i="18"/>
  <c r="Q270" i="18" s="1"/>
  <c r="BM64" i="18"/>
  <c r="P270" i="18" s="1"/>
  <c r="BL64" i="18"/>
  <c r="O270" i="18" s="1"/>
  <c r="BK64" i="18"/>
  <c r="N270" i="18" s="1"/>
  <c r="BJ64" i="18"/>
  <c r="BP64" i="18" s="1"/>
  <c r="BI64" i="18"/>
  <c r="L270" i="18" s="1"/>
  <c r="BH64" i="18"/>
  <c r="K270" i="18" s="1"/>
  <c r="BG64" i="18"/>
  <c r="J270" i="18" s="1"/>
  <c r="J64" i="18"/>
  <c r="I64" i="18"/>
  <c r="H64" i="18"/>
  <c r="G64" i="18"/>
  <c r="H56" i="18"/>
  <c r="G56" i="18"/>
  <c r="F56" i="18"/>
  <c r="E56" i="18"/>
  <c r="H55" i="18"/>
  <c r="H53" i="18"/>
  <c r="G53" i="18"/>
  <c r="H52" i="18"/>
  <c r="G52" i="18"/>
  <c r="F52" i="18"/>
  <c r="E52" i="18"/>
  <c r="H51" i="18"/>
  <c r="H49" i="18"/>
  <c r="G49" i="18"/>
  <c r="H48" i="18"/>
  <c r="G48" i="18"/>
  <c r="F48" i="18"/>
  <c r="E48" i="18"/>
  <c r="E46" i="18"/>
  <c r="H45" i="18"/>
  <c r="G45" i="18"/>
  <c r="E45" i="18"/>
  <c r="H35" i="18"/>
  <c r="G35" i="18"/>
  <c r="K35" i="18" s="1"/>
  <c r="L35" i="18" s="1"/>
  <c r="F35" i="18"/>
  <c r="J35" i="18" s="1"/>
  <c r="I35" i="18" s="1"/>
  <c r="H34" i="18"/>
  <c r="G34" i="18"/>
  <c r="K34" i="18" s="1"/>
  <c r="L34" i="18" s="1"/>
  <c r="F34" i="18"/>
  <c r="J34" i="18" s="1"/>
  <c r="I34" i="18" s="1"/>
  <c r="E34" i="18"/>
  <c r="J33" i="18"/>
  <c r="G33" i="18"/>
  <c r="K33" i="18" s="1"/>
  <c r="L33" i="18" s="1"/>
  <c r="F33" i="18"/>
  <c r="K32" i="18"/>
  <c r="J32" i="18"/>
  <c r="K28" i="18"/>
  <c r="J28" i="18"/>
  <c r="K27" i="18"/>
  <c r="G27" i="18"/>
  <c r="F27" i="18"/>
  <c r="J26" i="18"/>
  <c r="G26" i="18"/>
  <c r="K26" i="18" s="1"/>
  <c r="F26" i="18"/>
  <c r="K25" i="18"/>
  <c r="F25" i="18"/>
  <c r="F45" i="18" s="1"/>
  <c r="BP21" i="18"/>
  <c r="BN21" i="18"/>
  <c r="I279" i="18" s="1"/>
  <c r="BM21" i="18"/>
  <c r="H279" i="18" s="1"/>
  <c r="BL21" i="18"/>
  <c r="G279" i="18" s="1"/>
  <c r="BK21" i="18"/>
  <c r="F279" i="18" s="1"/>
  <c r="BJ21" i="18"/>
  <c r="E279" i="18" s="1"/>
  <c r="BI21" i="18"/>
  <c r="D279" i="18" s="1"/>
  <c r="BH21" i="18"/>
  <c r="C279" i="18" s="1"/>
  <c r="BG21" i="18"/>
  <c r="B279" i="18" s="1"/>
  <c r="I21" i="18"/>
  <c r="H21" i="18"/>
  <c r="J21" i="18" s="1"/>
  <c r="G21" i="18"/>
  <c r="BN20" i="18"/>
  <c r="BM20" i="18"/>
  <c r="H278" i="18" s="1"/>
  <c r="BL20" i="18"/>
  <c r="G278" i="18" s="1"/>
  <c r="BK20" i="18"/>
  <c r="F278" i="18" s="1"/>
  <c r="BJ20" i="18"/>
  <c r="E278" i="18" s="1"/>
  <c r="BI20" i="18"/>
  <c r="D278" i="18" s="1"/>
  <c r="BH20" i="18"/>
  <c r="C278" i="18" s="1"/>
  <c r="BG20" i="18"/>
  <c r="B278" i="18" s="1"/>
  <c r="I20" i="18"/>
  <c r="H20" i="18"/>
  <c r="G20" i="18"/>
  <c r="J20" i="18" s="1"/>
  <c r="BN19" i="18"/>
  <c r="I277" i="18" s="1"/>
  <c r="BM19" i="18"/>
  <c r="H277" i="18" s="1"/>
  <c r="BL19" i="18"/>
  <c r="G277" i="18" s="1"/>
  <c r="BK19" i="18"/>
  <c r="F277" i="18" s="1"/>
  <c r="BJ19" i="18"/>
  <c r="E277" i="18" s="1"/>
  <c r="BI19" i="18"/>
  <c r="D277" i="18" s="1"/>
  <c r="BH19" i="18"/>
  <c r="C277" i="18" s="1"/>
  <c r="BG19" i="18"/>
  <c r="B277" i="18" s="1"/>
  <c r="J19" i="18"/>
  <c r="I19" i="18"/>
  <c r="H19" i="18"/>
  <c r="G19" i="18"/>
  <c r="BQ18" i="18"/>
  <c r="BN18" i="18"/>
  <c r="I276" i="18" s="1"/>
  <c r="BM18" i="18"/>
  <c r="H276" i="18" s="1"/>
  <c r="BL18" i="18"/>
  <c r="G276" i="18" s="1"/>
  <c r="BK18" i="18"/>
  <c r="F276" i="18" s="1"/>
  <c r="BJ18" i="18"/>
  <c r="E276" i="18" s="1"/>
  <c r="BI18" i="18"/>
  <c r="D276" i="18" s="1"/>
  <c r="BH18" i="18"/>
  <c r="C276" i="18" s="1"/>
  <c r="BG18" i="18"/>
  <c r="B276" i="18" s="1"/>
  <c r="I18" i="18"/>
  <c r="H18" i="18"/>
  <c r="G18" i="18"/>
  <c r="J18" i="18" s="1"/>
  <c r="BP17" i="18"/>
  <c r="BN17" i="18"/>
  <c r="I275" i="18" s="1"/>
  <c r="BM17" i="18"/>
  <c r="H275" i="18" s="1"/>
  <c r="BL17" i="18"/>
  <c r="G275" i="18" s="1"/>
  <c r="BK17" i="18"/>
  <c r="F275" i="18" s="1"/>
  <c r="BJ17" i="18"/>
  <c r="E275" i="18" s="1"/>
  <c r="BI17" i="18"/>
  <c r="D275" i="18" s="1"/>
  <c r="BH17" i="18"/>
  <c r="C275" i="18" s="1"/>
  <c r="BG17" i="18"/>
  <c r="B275" i="18" s="1"/>
  <c r="I17" i="18"/>
  <c r="H17" i="18"/>
  <c r="J17" i="18" s="1"/>
  <c r="G17" i="18"/>
  <c r="BN16" i="18"/>
  <c r="I274" i="18" s="1"/>
  <c r="BM16" i="18"/>
  <c r="H274" i="18" s="1"/>
  <c r="BL16" i="18"/>
  <c r="G274" i="18" s="1"/>
  <c r="BK16" i="18"/>
  <c r="F274" i="18" s="1"/>
  <c r="BJ16" i="18"/>
  <c r="E274" i="18" s="1"/>
  <c r="BI16" i="18"/>
  <c r="D274" i="18" s="1"/>
  <c r="BH16" i="18"/>
  <c r="C274" i="18" s="1"/>
  <c r="BG16" i="18"/>
  <c r="B274" i="18" s="1"/>
  <c r="I16" i="18"/>
  <c r="H16" i="18"/>
  <c r="G16" i="18"/>
  <c r="J16" i="18" s="1"/>
  <c r="BN15" i="18"/>
  <c r="I273" i="18" s="1"/>
  <c r="BM15" i="18"/>
  <c r="H273" i="18" s="1"/>
  <c r="BL15" i="18"/>
  <c r="G273" i="18" s="1"/>
  <c r="BK15" i="18"/>
  <c r="F273" i="18" s="1"/>
  <c r="BJ15" i="18"/>
  <c r="E273" i="18" s="1"/>
  <c r="BI15" i="18"/>
  <c r="D273" i="18" s="1"/>
  <c r="BH15" i="18"/>
  <c r="C273" i="18" s="1"/>
  <c r="BG15" i="18"/>
  <c r="B273" i="18" s="1"/>
  <c r="J15" i="18"/>
  <c r="I15" i="18"/>
  <c r="H15" i="18"/>
  <c r="G15" i="18"/>
  <c r="BQ14" i="18"/>
  <c r="BN14" i="18"/>
  <c r="I272" i="18" s="1"/>
  <c r="BM14" i="18"/>
  <c r="H272" i="18" s="1"/>
  <c r="BL14" i="18"/>
  <c r="G272" i="18" s="1"/>
  <c r="BK14" i="18"/>
  <c r="F272" i="18" s="1"/>
  <c r="BJ14" i="18"/>
  <c r="E272" i="18" s="1"/>
  <c r="BI14" i="18"/>
  <c r="D272" i="18" s="1"/>
  <c r="BH14" i="18"/>
  <c r="C272" i="18" s="1"/>
  <c r="BG14" i="18"/>
  <c r="B272" i="18" s="1"/>
  <c r="I14" i="18"/>
  <c r="H14" i="18"/>
  <c r="G14" i="18"/>
  <c r="J14" i="18" s="1"/>
  <c r="BP13" i="18"/>
  <c r="BN13" i="18"/>
  <c r="I271" i="18" s="1"/>
  <c r="BM13" i="18"/>
  <c r="H271" i="18" s="1"/>
  <c r="BL13" i="18"/>
  <c r="G271" i="18" s="1"/>
  <c r="BK13" i="18"/>
  <c r="F271" i="18" s="1"/>
  <c r="BJ13" i="18"/>
  <c r="E271" i="18" s="1"/>
  <c r="BI13" i="18"/>
  <c r="D271" i="18" s="1"/>
  <c r="BH13" i="18"/>
  <c r="C271" i="18" s="1"/>
  <c r="BG13" i="18"/>
  <c r="B271" i="18" s="1"/>
  <c r="I13" i="18"/>
  <c r="H13" i="18"/>
  <c r="J13" i="18" s="1"/>
  <c r="G13" i="18"/>
  <c r="BN12" i="18"/>
  <c r="I270" i="18" s="1"/>
  <c r="BM12" i="18"/>
  <c r="H270" i="18" s="1"/>
  <c r="BL12" i="18"/>
  <c r="G270" i="18" s="1"/>
  <c r="BK12" i="18"/>
  <c r="F270" i="18" s="1"/>
  <c r="BJ12" i="18"/>
  <c r="E270" i="18" s="1"/>
  <c r="BI12" i="18"/>
  <c r="D270" i="18" s="1"/>
  <c r="BH12" i="18"/>
  <c r="C270" i="18" s="1"/>
  <c r="BG12" i="18"/>
  <c r="B270" i="18" s="1"/>
  <c r="I12" i="18"/>
  <c r="H12" i="18"/>
  <c r="G12" i="18"/>
  <c r="J12" i="18" s="1"/>
  <c r="B16" i="17"/>
  <c r="C15" i="17" s="1"/>
  <c r="B182" i="16"/>
  <c r="H160" i="16"/>
  <c r="G160" i="16"/>
  <c r="F160" i="16"/>
  <c r="E160" i="16"/>
  <c r="H157" i="16"/>
  <c r="G157" i="16"/>
  <c r="H156" i="16"/>
  <c r="G156" i="16"/>
  <c r="F156" i="16"/>
  <c r="E156" i="16"/>
  <c r="H153" i="16"/>
  <c r="G153" i="16"/>
  <c r="H152" i="16"/>
  <c r="G152" i="16"/>
  <c r="F152" i="16"/>
  <c r="E152" i="16"/>
  <c r="H149" i="16"/>
  <c r="G149" i="16"/>
  <c r="G139" i="16"/>
  <c r="H139" i="16" s="1"/>
  <c r="F139" i="16"/>
  <c r="G138" i="16"/>
  <c r="H138" i="16" s="1"/>
  <c r="F138" i="16"/>
  <c r="E138" i="16" s="1"/>
  <c r="G137" i="16"/>
  <c r="H137" i="16" s="1"/>
  <c r="F137" i="16"/>
  <c r="J137" i="16" s="1"/>
  <c r="K136" i="16"/>
  <c r="J136" i="16"/>
  <c r="K132" i="16"/>
  <c r="L152" i="16" s="1"/>
  <c r="J132" i="16"/>
  <c r="I152" i="16" s="1"/>
  <c r="G131" i="16"/>
  <c r="G159" i="16" s="1"/>
  <c r="F131" i="16"/>
  <c r="G130" i="16"/>
  <c r="G154" i="16" s="1"/>
  <c r="F130" i="16"/>
  <c r="F150" i="16" s="1"/>
  <c r="K129" i="16"/>
  <c r="F129" i="16"/>
  <c r="F157" i="16" s="1"/>
  <c r="BN125" i="16"/>
  <c r="BM125" i="16"/>
  <c r="BL125" i="16"/>
  <c r="W174" i="16" s="1"/>
  <c r="BK125" i="16"/>
  <c r="BJ125" i="16"/>
  <c r="BI125" i="16"/>
  <c r="BH125" i="16"/>
  <c r="BG125" i="16"/>
  <c r="I125" i="16"/>
  <c r="H125" i="16"/>
  <c r="G125" i="16"/>
  <c r="BN124" i="16"/>
  <c r="Y173" i="16" s="1"/>
  <c r="BM124" i="16"/>
  <c r="BL124" i="16"/>
  <c r="BK124" i="16"/>
  <c r="BJ124" i="16"/>
  <c r="U173" i="16" s="1"/>
  <c r="BI124" i="16"/>
  <c r="BH124" i="16"/>
  <c r="BG124" i="16"/>
  <c r="I124" i="16"/>
  <c r="H124" i="16"/>
  <c r="G124" i="16"/>
  <c r="BN123" i="16"/>
  <c r="BM123" i="16"/>
  <c r="BL123" i="16"/>
  <c r="BK123" i="16"/>
  <c r="BJ123" i="16"/>
  <c r="BI123" i="16"/>
  <c r="T172" i="16" s="1"/>
  <c r="BH123" i="16"/>
  <c r="BG123" i="16"/>
  <c r="I123" i="16"/>
  <c r="H123" i="16"/>
  <c r="G123" i="16"/>
  <c r="BN122" i="16"/>
  <c r="BM122" i="16"/>
  <c r="X171" i="16" s="1"/>
  <c r="BL122" i="16"/>
  <c r="BK122" i="16"/>
  <c r="BJ122" i="16"/>
  <c r="BI122" i="16"/>
  <c r="T171" i="16" s="1"/>
  <c r="BH122" i="16"/>
  <c r="S171" i="16" s="1"/>
  <c r="BG122" i="16"/>
  <c r="I122" i="16"/>
  <c r="H122" i="16"/>
  <c r="G122" i="16"/>
  <c r="BN121" i="16"/>
  <c r="BM121" i="16"/>
  <c r="BL121" i="16"/>
  <c r="W170" i="16" s="1"/>
  <c r="BK121" i="16"/>
  <c r="BJ121" i="16"/>
  <c r="BI121" i="16"/>
  <c r="BH121" i="16"/>
  <c r="BG121" i="16"/>
  <c r="I121" i="16"/>
  <c r="H121" i="16"/>
  <c r="G121" i="16"/>
  <c r="BN120" i="16"/>
  <c r="BM120" i="16"/>
  <c r="BL120" i="16"/>
  <c r="BK120" i="16"/>
  <c r="BJ120" i="16"/>
  <c r="U169" i="16" s="1"/>
  <c r="BI120" i="16"/>
  <c r="BH120" i="16"/>
  <c r="BG120" i="16"/>
  <c r="I120" i="16"/>
  <c r="H120" i="16"/>
  <c r="G120" i="16"/>
  <c r="BN119" i="16"/>
  <c r="BM119" i="16"/>
  <c r="X168" i="16" s="1"/>
  <c r="BL119" i="16"/>
  <c r="BK119" i="16"/>
  <c r="BJ119" i="16"/>
  <c r="BI119" i="16"/>
  <c r="T168" i="16" s="1"/>
  <c r="BH119" i="16"/>
  <c r="BG119" i="16"/>
  <c r="I119" i="16"/>
  <c r="H119" i="16"/>
  <c r="G119" i="16"/>
  <c r="BN118" i="16"/>
  <c r="BM118" i="16"/>
  <c r="X167" i="16" s="1"/>
  <c r="BL118" i="16"/>
  <c r="BK118" i="16"/>
  <c r="BJ118" i="16"/>
  <c r="BI118" i="16"/>
  <c r="BH118" i="16"/>
  <c r="S167" i="16" s="1"/>
  <c r="BG118" i="16"/>
  <c r="I118" i="16"/>
  <c r="H118" i="16"/>
  <c r="G118" i="16"/>
  <c r="BN117" i="16"/>
  <c r="BM117" i="16"/>
  <c r="X166" i="16" s="1"/>
  <c r="BL117" i="16"/>
  <c r="W166" i="16" s="1"/>
  <c r="BK117" i="16"/>
  <c r="BJ117" i="16"/>
  <c r="BI117" i="16"/>
  <c r="BH117" i="16"/>
  <c r="BG117" i="16"/>
  <c r="I117" i="16"/>
  <c r="H117" i="16"/>
  <c r="G117" i="16"/>
  <c r="BN116" i="16"/>
  <c r="BM116" i="16"/>
  <c r="BL116" i="16"/>
  <c r="BK116" i="16"/>
  <c r="BJ116" i="16"/>
  <c r="U165" i="16" s="1"/>
  <c r="BI116" i="16"/>
  <c r="BH116" i="16"/>
  <c r="BG116" i="16"/>
  <c r="I116" i="16"/>
  <c r="H116" i="16"/>
  <c r="G116" i="16"/>
  <c r="H108" i="16"/>
  <c r="G108" i="16"/>
  <c r="F108" i="16"/>
  <c r="E108" i="16"/>
  <c r="H105" i="16"/>
  <c r="G105" i="16"/>
  <c r="H104" i="16"/>
  <c r="G104" i="16"/>
  <c r="F104" i="16"/>
  <c r="E104" i="16"/>
  <c r="H101" i="16"/>
  <c r="G101" i="16"/>
  <c r="H100" i="16"/>
  <c r="G100" i="16"/>
  <c r="F100" i="16"/>
  <c r="E100" i="16"/>
  <c r="H97" i="16"/>
  <c r="G97" i="16"/>
  <c r="G87" i="16"/>
  <c r="K87" i="16" s="1"/>
  <c r="L87" i="16" s="1"/>
  <c r="F87" i="16"/>
  <c r="J87" i="16" s="1"/>
  <c r="I87" i="16" s="1"/>
  <c r="G86" i="16"/>
  <c r="K86" i="16" s="1"/>
  <c r="L86" i="16" s="1"/>
  <c r="F86" i="16"/>
  <c r="J86" i="16" s="1"/>
  <c r="I86" i="16" s="1"/>
  <c r="G85" i="16"/>
  <c r="K85" i="16" s="1"/>
  <c r="L85" i="16" s="1"/>
  <c r="F85" i="16"/>
  <c r="J85" i="16" s="1"/>
  <c r="K84" i="16"/>
  <c r="J84" i="16"/>
  <c r="K80" i="16"/>
  <c r="L108" i="16" s="1"/>
  <c r="J80" i="16"/>
  <c r="J108" i="16" s="1"/>
  <c r="G79" i="16"/>
  <c r="G107" i="16" s="1"/>
  <c r="F79" i="16"/>
  <c r="F107" i="16" s="1"/>
  <c r="G78" i="16"/>
  <c r="H78" i="16" s="1"/>
  <c r="F78" i="16"/>
  <c r="F106" i="16" s="1"/>
  <c r="K77" i="16"/>
  <c r="K105" i="16" s="1"/>
  <c r="F77" i="16"/>
  <c r="E97" i="16" s="1"/>
  <c r="BN73" i="16"/>
  <c r="BM73" i="16"/>
  <c r="BL73" i="16"/>
  <c r="BK73" i="16"/>
  <c r="BJ73" i="16"/>
  <c r="M174" i="16" s="1"/>
  <c r="BI73" i="16"/>
  <c r="BH73" i="16"/>
  <c r="BG73" i="16"/>
  <c r="I73" i="16"/>
  <c r="H73" i="16"/>
  <c r="G73" i="16"/>
  <c r="BN72" i="16"/>
  <c r="BM72" i="16"/>
  <c r="BL72" i="16"/>
  <c r="BK72" i="16"/>
  <c r="BJ72" i="16"/>
  <c r="BI72" i="16"/>
  <c r="L173" i="16" s="1"/>
  <c r="BH72" i="16"/>
  <c r="BG72" i="16"/>
  <c r="I72" i="16"/>
  <c r="H72" i="16"/>
  <c r="G72" i="16"/>
  <c r="BN71" i="16"/>
  <c r="BM71" i="16"/>
  <c r="P172" i="16" s="1"/>
  <c r="BL71" i="16"/>
  <c r="BK71" i="16"/>
  <c r="BJ71" i="16"/>
  <c r="BI71" i="16"/>
  <c r="BH71" i="16"/>
  <c r="K172" i="16" s="1"/>
  <c r="BG71" i="16"/>
  <c r="I71" i="16"/>
  <c r="H71" i="16"/>
  <c r="G71" i="16"/>
  <c r="BN70" i="16"/>
  <c r="BM70" i="16"/>
  <c r="P171" i="16" s="1"/>
  <c r="BL70" i="16"/>
  <c r="O171" i="16" s="1"/>
  <c r="BK70" i="16"/>
  <c r="BJ70" i="16"/>
  <c r="BI70" i="16"/>
  <c r="BH70" i="16"/>
  <c r="BG70" i="16"/>
  <c r="I70" i="16"/>
  <c r="H70" i="16"/>
  <c r="G70" i="16"/>
  <c r="BN69" i="16"/>
  <c r="BM69" i="16"/>
  <c r="BL69" i="16"/>
  <c r="O170" i="16" s="1"/>
  <c r="BK69" i="16"/>
  <c r="BJ69" i="16"/>
  <c r="M170" i="16" s="1"/>
  <c r="BI69" i="16"/>
  <c r="BH69" i="16"/>
  <c r="BG69" i="16"/>
  <c r="I69" i="16"/>
  <c r="H69" i="16"/>
  <c r="G69" i="16"/>
  <c r="BN68" i="16"/>
  <c r="BM68" i="16"/>
  <c r="BL68" i="16"/>
  <c r="BK68" i="16"/>
  <c r="BJ68" i="16"/>
  <c r="BI68" i="16"/>
  <c r="BH68" i="16"/>
  <c r="BG68" i="16"/>
  <c r="I68" i="16"/>
  <c r="H68" i="16"/>
  <c r="G68" i="16"/>
  <c r="BN67" i="16"/>
  <c r="BM67" i="16"/>
  <c r="P168" i="16" s="1"/>
  <c r="BL67" i="16"/>
  <c r="BK67" i="16"/>
  <c r="BJ67" i="16"/>
  <c r="BI67" i="16"/>
  <c r="BH67" i="16"/>
  <c r="K168" i="16" s="1"/>
  <c r="BG67" i="16"/>
  <c r="I67" i="16"/>
  <c r="H67" i="16"/>
  <c r="G67" i="16"/>
  <c r="BN66" i="16"/>
  <c r="BM66" i="16"/>
  <c r="P167" i="16" s="1"/>
  <c r="BL66" i="16"/>
  <c r="O167" i="16" s="1"/>
  <c r="BK66" i="16"/>
  <c r="BJ66" i="16"/>
  <c r="BI66" i="16"/>
  <c r="L167" i="16" s="1"/>
  <c r="BH66" i="16"/>
  <c r="BG66" i="16"/>
  <c r="I66" i="16"/>
  <c r="H66" i="16"/>
  <c r="G66" i="16"/>
  <c r="BN65" i="16"/>
  <c r="BM65" i="16"/>
  <c r="P166" i="16" s="1"/>
  <c r="BL65" i="16"/>
  <c r="O166" i="16" s="1"/>
  <c r="BK65" i="16"/>
  <c r="BJ65" i="16"/>
  <c r="BI65" i="16"/>
  <c r="BH65" i="16"/>
  <c r="BG65" i="16"/>
  <c r="I65" i="16"/>
  <c r="H65" i="16"/>
  <c r="G65" i="16"/>
  <c r="BN64" i="16"/>
  <c r="BM64" i="16"/>
  <c r="BL64" i="16"/>
  <c r="BK64" i="16"/>
  <c r="BJ64" i="16"/>
  <c r="BI64" i="16"/>
  <c r="BH64" i="16"/>
  <c r="BG64" i="16"/>
  <c r="I64" i="16"/>
  <c r="H64" i="16"/>
  <c r="G64" i="16"/>
  <c r="H56" i="16"/>
  <c r="G56" i="16"/>
  <c r="F56" i="16"/>
  <c r="E56" i="16"/>
  <c r="H53" i="16"/>
  <c r="G53" i="16"/>
  <c r="H52" i="16"/>
  <c r="G52" i="16"/>
  <c r="F52" i="16"/>
  <c r="E52" i="16"/>
  <c r="H49" i="16"/>
  <c r="G49" i="16"/>
  <c r="H48" i="16"/>
  <c r="G48" i="16"/>
  <c r="F48" i="16"/>
  <c r="E48" i="16"/>
  <c r="H45" i="16"/>
  <c r="G45" i="16"/>
  <c r="G35" i="16"/>
  <c r="K35" i="16" s="1"/>
  <c r="L35" i="16" s="1"/>
  <c r="F35" i="16"/>
  <c r="J35" i="16" s="1"/>
  <c r="I35" i="16" s="1"/>
  <c r="G34" i="16"/>
  <c r="K34" i="16" s="1"/>
  <c r="L34" i="16" s="1"/>
  <c r="F34" i="16"/>
  <c r="J34" i="16" s="1"/>
  <c r="I34" i="16" s="1"/>
  <c r="G33" i="16"/>
  <c r="K33" i="16" s="1"/>
  <c r="L33" i="16" s="1"/>
  <c r="F33" i="16"/>
  <c r="J33" i="16" s="1"/>
  <c r="K32" i="16"/>
  <c r="J32" i="16"/>
  <c r="K28" i="16"/>
  <c r="L52" i="16" s="1"/>
  <c r="J28" i="16"/>
  <c r="G27" i="16"/>
  <c r="K27" i="16" s="1"/>
  <c r="L55" i="16" s="1"/>
  <c r="F27" i="16"/>
  <c r="F55" i="16" s="1"/>
  <c r="G26" i="16"/>
  <c r="G50" i="16" s="1"/>
  <c r="F26" i="16"/>
  <c r="K25" i="16"/>
  <c r="K45" i="16" s="1"/>
  <c r="F25" i="16"/>
  <c r="J25" i="16" s="1"/>
  <c r="BN21" i="16"/>
  <c r="BM21" i="16"/>
  <c r="BL21" i="16"/>
  <c r="BK21" i="16"/>
  <c r="BJ21" i="16"/>
  <c r="BI21" i="16"/>
  <c r="D174" i="16" s="1"/>
  <c r="BH21" i="16"/>
  <c r="BG21" i="16"/>
  <c r="I21" i="16"/>
  <c r="H21" i="16"/>
  <c r="G21" i="16"/>
  <c r="BN20" i="16"/>
  <c r="BM20" i="16"/>
  <c r="BL20" i="16"/>
  <c r="BK20" i="16"/>
  <c r="BJ20" i="16"/>
  <c r="BI20" i="16"/>
  <c r="BH20" i="16"/>
  <c r="C173" i="16" s="1"/>
  <c r="BG20" i="16"/>
  <c r="I20" i="16"/>
  <c r="H20" i="16"/>
  <c r="G20" i="16"/>
  <c r="BN19" i="16"/>
  <c r="BM19" i="16"/>
  <c r="H172" i="16" s="1"/>
  <c r="BL19" i="16"/>
  <c r="BK19" i="16"/>
  <c r="BJ19" i="16"/>
  <c r="BI19" i="16"/>
  <c r="BH19" i="16"/>
  <c r="C172" i="16" s="1"/>
  <c r="BG19" i="16"/>
  <c r="I19" i="16"/>
  <c r="H19" i="16"/>
  <c r="G19" i="16"/>
  <c r="BN18" i="16"/>
  <c r="BM18" i="16"/>
  <c r="BL18" i="16"/>
  <c r="G171" i="16" s="1"/>
  <c r="BK18" i="16"/>
  <c r="BJ18" i="16"/>
  <c r="BI18" i="16"/>
  <c r="BH18" i="16"/>
  <c r="BG18" i="16"/>
  <c r="I18" i="16"/>
  <c r="H18" i="16"/>
  <c r="G18" i="16"/>
  <c r="BN17" i="16"/>
  <c r="BM17" i="16"/>
  <c r="BL17" i="16"/>
  <c r="BK17" i="16"/>
  <c r="BJ17" i="16"/>
  <c r="BI17" i="16"/>
  <c r="D170" i="16" s="1"/>
  <c r="BH17" i="16"/>
  <c r="BG17" i="16"/>
  <c r="I17" i="16"/>
  <c r="H17" i="16"/>
  <c r="G17" i="16"/>
  <c r="BN16" i="16"/>
  <c r="BM16" i="16"/>
  <c r="BL16" i="16"/>
  <c r="BK16" i="16"/>
  <c r="BJ16" i="16"/>
  <c r="BI16" i="16"/>
  <c r="BH16" i="16"/>
  <c r="C169" i="16" s="1"/>
  <c r="BG16" i="16"/>
  <c r="I16" i="16"/>
  <c r="H16" i="16"/>
  <c r="G16" i="16"/>
  <c r="BN15" i="16"/>
  <c r="BM15" i="16"/>
  <c r="H168" i="16" s="1"/>
  <c r="BL15" i="16"/>
  <c r="BK15" i="16"/>
  <c r="BJ15" i="16"/>
  <c r="BI15" i="16"/>
  <c r="BH15" i="16"/>
  <c r="C168" i="16" s="1"/>
  <c r="BG15" i="16"/>
  <c r="I15" i="16"/>
  <c r="H15" i="16"/>
  <c r="G15" i="16"/>
  <c r="BN14" i="16"/>
  <c r="BM14" i="16"/>
  <c r="BL14" i="16"/>
  <c r="G167" i="16" s="1"/>
  <c r="BK14" i="16"/>
  <c r="BJ14" i="16"/>
  <c r="BI14" i="16"/>
  <c r="BH14" i="16"/>
  <c r="BG14" i="16"/>
  <c r="I14" i="16"/>
  <c r="H14" i="16"/>
  <c r="G14" i="16"/>
  <c r="BN13" i="16"/>
  <c r="BM13" i="16"/>
  <c r="H166" i="16" s="1"/>
  <c r="BL13" i="16"/>
  <c r="BK13" i="16"/>
  <c r="BJ13" i="16"/>
  <c r="BI13" i="16"/>
  <c r="D166" i="16" s="1"/>
  <c r="BH13" i="16"/>
  <c r="BG13" i="16"/>
  <c r="I13" i="16"/>
  <c r="H13" i="16"/>
  <c r="G13" i="16"/>
  <c r="BN12" i="16"/>
  <c r="BM12" i="16"/>
  <c r="BL12" i="16"/>
  <c r="BK12" i="16"/>
  <c r="BJ12" i="16"/>
  <c r="BI12" i="16"/>
  <c r="BH12" i="16"/>
  <c r="C165" i="16" s="1"/>
  <c r="BG12" i="16"/>
  <c r="I12" i="16"/>
  <c r="H12" i="16"/>
  <c r="G12" i="16"/>
  <c r="D237" i="15"/>
  <c r="I237" i="15"/>
  <c r="H237" i="15"/>
  <c r="G237" i="15"/>
  <c r="I236" i="15"/>
  <c r="H236" i="15"/>
  <c r="G236" i="15"/>
  <c r="I235" i="15"/>
  <c r="H235" i="15"/>
  <c r="G235" i="15"/>
  <c r="I234" i="15"/>
  <c r="H234" i="15"/>
  <c r="G234" i="15"/>
  <c r="I233" i="15"/>
  <c r="H233" i="15"/>
  <c r="G233" i="15"/>
  <c r="I232" i="15"/>
  <c r="H232" i="15"/>
  <c r="G232" i="15"/>
  <c r="I231" i="15"/>
  <c r="H231" i="15"/>
  <c r="G231" i="15"/>
  <c r="I230" i="15"/>
  <c r="H230" i="15"/>
  <c r="G230" i="15"/>
  <c r="I229" i="15"/>
  <c r="H229" i="15"/>
  <c r="G229" i="15"/>
  <c r="I228" i="15"/>
  <c r="H228" i="15"/>
  <c r="G228" i="15"/>
  <c r="B228" i="15"/>
  <c r="C237" i="15"/>
  <c r="B237" i="15"/>
  <c r="D236" i="15"/>
  <c r="C236" i="15"/>
  <c r="B236" i="15"/>
  <c r="D235" i="15"/>
  <c r="C235" i="15"/>
  <c r="B235" i="15"/>
  <c r="D234" i="15"/>
  <c r="C234" i="15"/>
  <c r="B234" i="15"/>
  <c r="D233" i="15"/>
  <c r="C233" i="15"/>
  <c r="B233" i="15"/>
  <c r="D232" i="15"/>
  <c r="C232" i="15"/>
  <c r="B232" i="15"/>
  <c r="D231" i="15"/>
  <c r="C231" i="15"/>
  <c r="B231" i="15"/>
  <c r="D230" i="15"/>
  <c r="C230" i="15"/>
  <c r="B230" i="15"/>
  <c r="D229" i="15"/>
  <c r="C229" i="15"/>
  <c r="B229" i="15"/>
  <c r="D228" i="15"/>
  <c r="C228" i="15"/>
  <c r="B175" i="15"/>
  <c r="C174" i="15" s="1"/>
  <c r="B167" i="15"/>
  <c r="C166" i="15" s="1"/>
  <c r="H160" i="15"/>
  <c r="G160" i="15"/>
  <c r="F160" i="15"/>
  <c r="E160" i="15"/>
  <c r="H157" i="15"/>
  <c r="G157" i="15"/>
  <c r="H156" i="15"/>
  <c r="G156" i="15"/>
  <c r="F156" i="15"/>
  <c r="E156" i="15"/>
  <c r="H153" i="15"/>
  <c r="G153" i="15"/>
  <c r="H152" i="15"/>
  <c r="G152" i="15"/>
  <c r="F152" i="15"/>
  <c r="E152" i="15"/>
  <c r="H149" i="15"/>
  <c r="G149" i="15"/>
  <c r="G139" i="15"/>
  <c r="K139" i="15" s="1"/>
  <c r="L139" i="15" s="1"/>
  <c r="F139" i="15"/>
  <c r="J139" i="15" s="1"/>
  <c r="I139" i="15" s="1"/>
  <c r="G138" i="15"/>
  <c r="K138" i="15" s="1"/>
  <c r="L138" i="15" s="1"/>
  <c r="F138" i="15"/>
  <c r="J138" i="15" s="1"/>
  <c r="I138" i="15" s="1"/>
  <c r="G137" i="15"/>
  <c r="K137" i="15" s="1"/>
  <c r="L137" i="15" s="1"/>
  <c r="F137" i="15"/>
  <c r="J137" i="15" s="1"/>
  <c r="K136" i="15"/>
  <c r="J136" i="15"/>
  <c r="K132" i="15"/>
  <c r="L160" i="15" s="1"/>
  <c r="J132" i="15"/>
  <c r="J160" i="15" s="1"/>
  <c r="G131" i="15"/>
  <c r="H159" i="15" s="1"/>
  <c r="F131" i="15"/>
  <c r="F159" i="15" s="1"/>
  <c r="G130" i="15"/>
  <c r="H130" i="15" s="1"/>
  <c r="F130" i="15"/>
  <c r="F158" i="15" s="1"/>
  <c r="K129" i="15"/>
  <c r="F129" i="15"/>
  <c r="F157" i="15" s="1"/>
  <c r="BN125" i="15"/>
  <c r="Y279" i="15" s="1"/>
  <c r="BM125" i="15"/>
  <c r="X279" i="15" s="1"/>
  <c r="BL125" i="15"/>
  <c r="BK125" i="15"/>
  <c r="V279" i="15" s="1"/>
  <c r="BJ125" i="15"/>
  <c r="U279" i="15" s="1"/>
  <c r="BI125" i="15"/>
  <c r="T279" i="15" s="1"/>
  <c r="BH125" i="15"/>
  <c r="S279" i="15" s="1"/>
  <c r="BG125" i="15"/>
  <c r="R279" i="15" s="1"/>
  <c r="I125" i="15"/>
  <c r="H125" i="15"/>
  <c r="G125" i="15"/>
  <c r="BN124" i="15"/>
  <c r="BM124" i="15"/>
  <c r="X278" i="15" s="1"/>
  <c r="BL124" i="15"/>
  <c r="BK124" i="15"/>
  <c r="V278" i="15" s="1"/>
  <c r="BJ124" i="15"/>
  <c r="BI124" i="15"/>
  <c r="T278" i="15" s="1"/>
  <c r="BH124" i="15"/>
  <c r="S278" i="15" s="1"/>
  <c r="BG124" i="15"/>
  <c r="R278" i="15" s="1"/>
  <c r="I124" i="15"/>
  <c r="H124" i="15"/>
  <c r="G124" i="15"/>
  <c r="BN123" i="15"/>
  <c r="Y277" i="15" s="1"/>
  <c r="BM123" i="15"/>
  <c r="X277" i="15" s="1"/>
  <c r="BL123" i="15"/>
  <c r="W277" i="15" s="1"/>
  <c r="BK123" i="15"/>
  <c r="V277" i="15" s="1"/>
  <c r="BJ123" i="15"/>
  <c r="U277" i="15" s="1"/>
  <c r="BI123" i="15"/>
  <c r="BH123" i="15"/>
  <c r="S277" i="15" s="1"/>
  <c r="BG123" i="15"/>
  <c r="R277" i="15" s="1"/>
  <c r="I123" i="15"/>
  <c r="H123" i="15"/>
  <c r="G123" i="15"/>
  <c r="BN122" i="15"/>
  <c r="Y276" i="15" s="1"/>
  <c r="BM122" i="15"/>
  <c r="BL122" i="15"/>
  <c r="W276" i="15" s="1"/>
  <c r="BK122" i="15"/>
  <c r="V276" i="15" s="1"/>
  <c r="BJ122" i="15"/>
  <c r="U276" i="15" s="1"/>
  <c r="BI122" i="15"/>
  <c r="T276" i="15" s="1"/>
  <c r="BH122" i="15"/>
  <c r="BG122" i="15"/>
  <c r="R276" i="15" s="1"/>
  <c r="I122" i="15"/>
  <c r="H122" i="15"/>
  <c r="G122" i="15"/>
  <c r="BN121" i="15"/>
  <c r="Y275" i="15" s="1"/>
  <c r="BM121" i="15"/>
  <c r="X275" i="15" s="1"/>
  <c r="BL121" i="15"/>
  <c r="BK121" i="15"/>
  <c r="V275" i="15" s="1"/>
  <c r="BJ121" i="15"/>
  <c r="U275" i="15" s="1"/>
  <c r="BI121" i="15"/>
  <c r="T275" i="15" s="1"/>
  <c r="BH121" i="15"/>
  <c r="S275" i="15" s="1"/>
  <c r="BG121" i="15"/>
  <c r="R275" i="15" s="1"/>
  <c r="I121" i="15"/>
  <c r="H121" i="15"/>
  <c r="G121" i="15"/>
  <c r="BN120" i="15"/>
  <c r="BM120" i="15"/>
  <c r="X274" i="15" s="1"/>
  <c r="BL120" i="15"/>
  <c r="BK120" i="15"/>
  <c r="V274" i="15" s="1"/>
  <c r="BJ120" i="15"/>
  <c r="BI120" i="15"/>
  <c r="T274" i="15" s="1"/>
  <c r="BH120" i="15"/>
  <c r="S274" i="15" s="1"/>
  <c r="BG120" i="15"/>
  <c r="R274" i="15" s="1"/>
  <c r="I120" i="15"/>
  <c r="H120" i="15"/>
  <c r="G120" i="15"/>
  <c r="BN119" i="15"/>
  <c r="Y273" i="15" s="1"/>
  <c r="BM119" i="15"/>
  <c r="X273" i="15" s="1"/>
  <c r="BL119" i="15"/>
  <c r="W273" i="15" s="1"/>
  <c r="BK119" i="15"/>
  <c r="V273" i="15" s="1"/>
  <c r="BJ119" i="15"/>
  <c r="U273" i="15" s="1"/>
  <c r="BI119" i="15"/>
  <c r="BH119" i="15"/>
  <c r="S273" i="15" s="1"/>
  <c r="BG119" i="15"/>
  <c r="I119" i="15"/>
  <c r="H119" i="15"/>
  <c r="G119" i="15"/>
  <c r="BN118" i="15"/>
  <c r="Y272" i="15" s="1"/>
  <c r="BM118" i="15"/>
  <c r="BL118" i="15"/>
  <c r="W272" i="15" s="1"/>
  <c r="BK118" i="15"/>
  <c r="V272" i="15" s="1"/>
  <c r="BJ118" i="15"/>
  <c r="U272" i="15" s="1"/>
  <c r="BI118" i="15"/>
  <c r="T272" i="15" s="1"/>
  <c r="BH118" i="15"/>
  <c r="BG118" i="15"/>
  <c r="R272" i="15" s="1"/>
  <c r="I118" i="15"/>
  <c r="H118" i="15"/>
  <c r="G118" i="15"/>
  <c r="BN117" i="15"/>
  <c r="Y271" i="15" s="1"/>
  <c r="BM117" i="15"/>
  <c r="X271" i="15" s="1"/>
  <c r="BL117" i="15"/>
  <c r="BK117" i="15"/>
  <c r="V271" i="15" s="1"/>
  <c r="BJ117" i="15"/>
  <c r="U271" i="15" s="1"/>
  <c r="BI117" i="15"/>
  <c r="T271" i="15" s="1"/>
  <c r="BH117" i="15"/>
  <c r="S271" i="15" s="1"/>
  <c r="BG117" i="15"/>
  <c r="R271" i="15" s="1"/>
  <c r="I117" i="15"/>
  <c r="H117" i="15"/>
  <c r="G117" i="15"/>
  <c r="BN116" i="15"/>
  <c r="BM116" i="15"/>
  <c r="X270" i="15" s="1"/>
  <c r="BL116" i="15"/>
  <c r="BK116" i="15"/>
  <c r="V270" i="15" s="1"/>
  <c r="BJ116" i="15"/>
  <c r="BI116" i="15"/>
  <c r="T270" i="15" s="1"/>
  <c r="BH116" i="15"/>
  <c r="S270" i="15" s="1"/>
  <c r="BG116" i="15"/>
  <c r="R270" i="15" s="1"/>
  <c r="I116" i="15"/>
  <c r="H116" i="15"/>
  <c r="G116" i="15"/>
  <c r="H108" i="15"/>
  <c r="G108" i="15"/>
  <c r="F108" i="15"/>
  <c r="E108" i="15"/>
  <c r="H105" i="15"/>
  <c r="G105" i="15"/>
  <c r="H104" i="15"/>
  <c r="G104" i="15"/>
  <c r="F104" i="15"/>
  <c r="E104" i="15"/>
  <c r="H101" i="15"/>
  <c r="G101" i="15"/>
  <c r="H100" i="15"/>
  <c r="G100" i="15"/>
  <c r="F100" i="15"/>
  <c r="E100" i="15"/>
  <c r="H97" i="15"/>
  <c r="G97" i="15"/>
  <c r="G87" i="15"/>
  <c r="H87" i="15" s="1"/>
  <c r="F87" i="15"/>
  <c r="J87" i="15" s="1"/>
  <c r="I87" i="15" s="1"/>
  <c r="G86" i="15"/>
  <c r="H86" i="15" s="1"/>
  <c r="F86" i="15"/>
  <c r="J86" i="15" s="1"/>
  <c r="I86" i="15" s="1"/>
  <c r="G85" i="15"/>
  <c r="K85" i="15" s="1"/>
  <c r="L85" i="15" s="1"/>
  <c r="F85" i="15"/>
  <c r="J85" i="15" s="1"/>
  <c r="K84" i="15"/>
  <c r="J84" i="15"/>
  <c r="K80" i="15"/>
  <c r="K108" i="15" s="1"/>
  <c r="J80" i="15"/>
  <c r="G79" i="15"/>
  <c r="G99" i="15" s="1"/>
  <c r="F79" i="15"/>
  <c r="F107" i="15" s="1"/>
  <c r="G78" i="15"/>
  <c r="G106" i="15" s="1"/>
  <c r="F78" i="15"/>
  <c r="K77" i="15"/>
  <c r="L105" i="15" s="1"/>
  <c r="F77" i="15"/>
  <c r="F105" i="15" s="1"/>
  <c r="BN73" i="15"/>
  <c r="Q279" i="15" s="1"/>
  <c r="BM73" i="15"/>
  <c r="BL73" i="15"/>
  <c r="O279" i="15" s="1"/>
  <c r="BK73" i="15"/>
  <c r="N279" i="15" s="1"/>
  <c r="BJ73" i="15"/>
  <c r="M279" i="15" s="1"/>
  <c r="BI73" i="15"/>
  <c r="BH73" i="15"/>
  <c r="K279" i="15" s="1"/>
  <c r="BG73" i="15"/>
  <c r="J279" i="15" s="1"/>
  <c r="I73" i="15"/>
  <c r="H73" i="15"/>
  <c r="G73" i="15"/>
  <c r="BN72" i="15"/>
  <c r="Q278" i="15" s="1"/>
  <c r="BM72" i="15"/>
  <c r="P278" i="15" s="1"/>
  <c r="BL72" i="15"/>
  <c r="BK72" i="15"/>
  <c r="N278" i="15" s="1"/>
  <c r="BJ72" i="15"/>
  <c r="M278" i="15" s="1"/>
  <c r="BI72" i="15"/>
  <c r="L278" i="15" s="1"/>
  <c r="BH72" i="15"/>
  <c r="BG72" i="15"/>
  <c r="J278" i="15" s="1"/>
  <c r="I72" i="15"/>
  <c r="H72" i="15"/>
  <c r="G72" i="15"/>
  <c r="BN71" i="15"/>
  <c r="Q277" i="15" s="1"/>
  <c r="BM71" i="15"/>
  <c r="P277" i="15" s="1"/>
  <c r="BL71" i="15"/>
  <c r="O277" i="15" s="1"/>
  <c r="BK71" i="15"/>
  <c r="BJ71" i="15"/>
  <c r="M277" i="15" s="1"/>
  <c r="BI71" i="15"/>
  <c r="L277" i="15" s="1"/>
  <c r="BH71" i="15"/>
  <c r="K277" i="15" s="1"/>
  <c r="BG71" i="15"/>
  <c r="J277" i="15" s="1"/>
  <c r="I71" i="15"/>
  <c r="H71" i="15"/>
  <c r="G71" i="15"/>
  <c r="BN70" i="15"/>
  <c r="Q276" i="15" s="1"/>
  <c r="BM70" i="15"/>
  <c r="P276" i="15" s="1"/>
  <c r="BL70" i="15"/>
  <c r="O276" i="15" s="1"/>
  <c r="BK70" i="15"/>
  <c r="N276" i="15" s="1"/>
  <c r="BJ70" i="15"/>
  <c r="M276" i="15" s="1"/>
  <c r="BI70" i="15"/>
  <c r="L276" i="15" s="1"/>
  <c r="BH70" i="15"/>
  <c r="K276" i="15" s="1"/>
  <c r="BG70" i="15"/>
  <c r="J276" i="15" s="1"/>
  <c r="I70" i="15"/>
  <c r="H70" i="15"/>
  <c r="G70" i="15"/>
  <c r="BN69" i="15"/>
  <c r="Q275" i="15" s="1"/>
  <c r="BM69" i="15"/>
  <c r="BL69" i="15"/>
  <c r="O275" i="15" s="1"/>
  <c r="BK69" i="15"/>
  <c r="N275" i="15" s="1"/>
  <c r="BJ69" i="15"/>
  <c r="M275" i="15" s="1"/>
  <c r="BI69" i="15"/>
  <c r="BH69" i="15"/>
  <c r="K275" i="15" s="1"/>
  <c r="BG69" i="15"/>
  <c r="J275" i="15" s="1"/>
  <c r="I69" i="15"/>
  <c r="H69" i="15"/>
  <c r="G69" i="15"/>
  <c r="BN68" i="15"/>
  <c r="Q274" i="15" s="1"/>
  <c r="BM68" i="15"/>
  <c r="P274" i="15" s="1"/>
  <c r="BL68" i="15"/>
  <c r="BK68" i="15"/>
  <c r="N274" i="15" s="1"/>
  <c r="BJ68" i="15"/>
  <c r="M274" i="15" s="1"/>
  <c r="BI68" i="15"/>
  <c r="L274" i="15" s="1"/>
  <c r="BH68" i="15"/>
  <c r="BG68" i="15"/>
  <c r="J274" i="15" s="1"/>
  <c r="I68" i="15"/>
  <c r="H68" i="15"/>
  <c r="G68" i="15"/>
  <c r="BN67" i="15"/>
  <c r="Q273" i="15" s="1"/>
  <c r="BM67" i="15"/>
  <c r="P273" i="15" s="1"/>
  <c r="BL67" i="15"/>
  <c r="O273" i="15" s="1"/>
  <c r="BK67" i="15"/>
  <c r="BJ67" i="15"/>
  <c r="M273" i="15" s="1"/>
  <c r="BI67" i="15"/>
  <c r="L273" i="15" s="1"/>
  <c r="BH67" i="15"/>
  <c r="K273" i="15" s="1"/>
  <c r="BG67" i="15"/>
  <c r="J273" i="15" s="1"/>
  <c r="I67" i="15"/>
  <c r="H67" i="15"/>
  <c r="G67" i="15"/>
  <c r="BN66" i="15"/>
  <c r="Q272" i="15" s="1"/>
  <c r="BM66" i="15"/>
  <c r="P272" i="15" s="1"/>
  <c r="BL66" i="15"/>
  <c r="O272" i="15" s="1"/>
  <c r="BK66" i="15"/>
  <c r="N272" i="15" s="1"/>
  <c r="BJ66" i="15"/>
  <c r="M272" i="15" s="1"/>
  <c r="BI66" i="15"/>
  <c r="L272" i="15" s="1"/>
  <c r="BH66" i="15"/>
  <c r="K272" i="15" s="1"/>
  <c r="BG66" i="15"/>
  <c r="J272" i="15" s="1"/>
  <c r="I66" i="15"/>
  <c r="H66" i="15"/>
  <c r="G66" i="15"/>
  <c r="BN65" i="15"/>
  <c r="Q271" i="15" s="1"/>
  <c r="BM65" i="15"/>
  <c r="BL65" i="15"/>
  <c r="O271" i="15" s="1"/>
  <c r="BK65" i="15"/>
  <c r="N271" i="15" s="1"/>
  <c r="BJ65" i="15"/>
  <c r="M271" i="15" s="1"/>
  <c r="BI65" i="15"/>
  <c r="BH65" i="15"/>
  <c r="K271" i="15" s="1"/>
  <c r="BG65" i="15"/>
  <c r="J271" i="15" s="1"/>
  <c r="I65" i="15"/>
  <c r="H65" i="15"/>
  <c r="G65" i="15"/>
  <c r="BN64" i="15"/>
  <c r="Q270" i="15" s="1"/>
  <c r="BM64" i="15"/>
  <c r="P270" i="15" s="1"/>
  <c r="BL64" i="15"/>
  <c r="BK64" i="15"/>
  <c r="N270" i="15" s="1"/>
  <c r="BJ64" i="15"/>
  <c r="M270" i="15" s="1"/>
  <c r="BI64" i="15"/>
  <c r="L270" i="15" s="1"/>
  <c r="BH64" i="15"/>
  <c r="BG64" i="15"/>
  <c r="J270" i="15" s="1"/>
  <c r="I64" i="15"/>
  <c r="H64" i="15"/>
  <c r="G64" i="15"/>
  <c r="H56" i="15"/>
  <c r="G56" i="15"/>
  <c r="F56" i="15"/>
  <c r="E56" i="15"/>
  <c r="H53" i="15"/>
  <c r="G53" i="15"/>
  <c r="H52" i="15"/>
  <c r="G52" i="15"/>
  <c r="F52" i="15"/>
  <c r="E52" i="15"/>
  <c r="H49" i="15"/>
  <c r="G49" i="15"/>
  <c r="H48" i="15"/>
  <c r="G48" i="15"/>
  <c r="F48" i="15"/>
  <c r="E48" i="15"/>
  <c r="H45" i="15"/>
  <c r="G45" i="15"/>
  <c r="G35" i="15"/>
  <c r="K35" i="15" s="1"/>
  <c r="L35" i="15" s="1"/>
  <c r="F35" i="15"/>
  <c r="E35" i="15" s="1"/>
  <c r="G34" i="15"/>
  <c r="K34" i="15" s="1"/>
  <c r="L34" i="15" s="1"/>
  <c r="F34" i="15"/>
  <c r="J34" i="15" s="1"/>
  <c r="I34" i="15" s="1"/>
  <c r="G33" i="15"/>
  <c r="K33" i="15" s="1"/>
  <c r="L33" i="15" s="1"/>
  <c r="F33" i="15"/>
  <c r="J33" i="15" s="1"/>
  <c r="K32" i="15"/>
  <c r="J32" i="15"/>
  <c r="K28" i="15"/>
  <c r="K56" i="15" s="1"/>
  <c r="J28" i="15"/>
  <c r="J56" i="15" s="1"/>
  <c r="G27" i="15"/>
  <c r="G55" i="15" s="1"/>
  <c r="F27" i="15"/>
  <c r="J27" i="15" s="1"/>
  <c r="G26" i="15"/>
  <c r="G54" i="15" s="1"/>
  <c r="F26" i="15"/>
  <c r="F54" i="15" s="1"/>
  <c r="K25" i="15"/>
  <c r="F25" i="15"/>
  <c r="E49" i="15" s="1"/>
  <c r="BN21" i="15"/>
  <c r="I279" i="15" s="1"/>
  <c r="BM21" i="15"/>
  <c r="H279" i="15" s="1"/>
  <c r="BL21" i="15"/>
  <c r="BK21" i="15"/>
  <c r="F279" i="15" s="1"/>
  <c r="BJ21" i="15"/>
  <c r="E279" i="15" s="1"/>
  <c r="BI21" i="15"/>
  <c r="D279" i="15" s="1"/>
  <c r="BH21" i="15"/>
  <c r="C279" i="15" s="1"/>
  <c r="BG21" i="15"/>
  <c r="B279" i="15" s="1"/>
  <c r="I21" i="15"/>
  <c r="H21" i="15"/>
  <c r="G21" i="15"/>
  <c r="BN20" i="15"/>
  <c r="I278" i="15" s="1"/>
  <c r="BM20" i="15"/>
  <c r="H278" i="15" s="1"/>
  <c r="BL20" i="15"/>
  <c r="G278" i="15" s="1"/>
  <c r="BK20" i="15"/>
  <c r="BJ20" i="15"/>
  <c r="E278" i="15" s="1"/>
  <c r="BI20" i="15"/>
  <c r="D278" i="15" s="1"/>
  <c r="BH20" i="15"/>
  <c r="C278" i="15" s="1"/>
  <c r="BG20" i="15"/>
  <c r="B278" i="15" s="1"/>
  <c r="I20" i="15"/>
  <c r="H20" i="15"/>
  <c r="G20" i="15"/>
  <c r="BN19" i="15"/>
  <c r="I277" i="15" s="1"/>
  <c r="BM19" i="15"/>
  <c r="H277" i="15" s="1"/>
  <c r="BL19" i="15"/>
  <c r="G277" i="15" s="1"/>
  <c r="BK19" i="15"/>
  <c r="F277" i="15" s="1"/>
  <c r="BJ19" i="15"/>
  <c r="E277" i="15" s="1"/>
  <c r="BI19" i="15"/>
  <c r="BH19" i="15"/>
  <c r="C277" i="15" s="1"/>
  <c r="BG19" i="15"/>
  <c r="B277" i="15" s="1"/>
  <c r="I19" i="15"/>
  <c r="H19" i="15"/>
  <c r="G19" i="15"/>
  <c r="BN18" i="15"/>
  <c r="I276" i="15" s="1"/>
  <c r="BM18" i="15"/>
  <c r="BL18" i="15"/>
  <c r="G276" i="15" s="1"/>
  <c r="BK18" i="15"/>
  <c r="F276" i="15" s="1"/>
  <c r="BJ18" i="15"/>
  <c r="E276" i="15" s="1"/>
  <c r="BI18" i="15"/>
  <c r="D276" i="15" s="1"/>
  <c r="BH18" i="15"/>
  <c r="BG18" i="15"/>
  <c r="B276" i="15" s="1"/>
  <c r="I18" i="15"/>
  <c r="H18" i="15"/>
  <c r="G18" i="15"/>
  <c r="BN17" i="15"/>
  <c r="I275" i="15" s="1"/>
  <c r="BM17" i="15"/>
  <c r="H275" i="15" s="1"/>
  <c r="BL17" i="15"/>
  <c r="BK17" i="15"/>
  <c r="F275" i="15" s="1"/>
  <c r="BJ17" i="15"/>
  <c r="E275" i="15" s="1"/>
  <c r="BI17" i="15"/>
  <c r="D275" i="15" s="1"/>
  <c r="BH17" i="15"/>
  <c r="C275" i="15" s="1"/>
  <c r="BG17" i="15"/>
  <c r="B275" i="15" s="1"/>
  <c r="I17" i="15"/>
  <c r="H17" i="15"/>
  <c r="G17" i="15"/>
  <c r="BN16" i="15"/>
  <c r="I274" i="15" s="1"/>
  <c r="BM16" i="15"/>
  <c r="H274" i="15" s="1"/>
  <c r="BL16" i="15"/>
  <c r="G274" i="15" s="1"/>
  <c r="BK16" i="15"/>
  <c r="BJ16" i="15"/>
  <c r="E274" i="15" s="1"/>
  <c r="BI16" i="15"/>
  <c r="D274" i="15" s="1"/>
  <c r="BH16" i="15"/>
  <c r="C274" i="15" s="1"/>
  <c r="BG16" i="15"/>
  <c r="B274" i="15" s="1"/>
  <c r="I16" i="15"/>
  <c r="H16" i="15"/>
  <c r="G16" i="15"/>
  <c r="BN15" i="15"/>
  <c r="I273" i="15" s="1"/>
  <c r="BM15" i="15"/>
  <c r="H273" i="15" s="1"/>
  <c r="BL15" i="15"/>
  <c r="G273" i="15" s="1"/>
  <c r="BK15" i="15"/>
  <c r="F273" i="15" s="1"/>
  <c r="BJ15" i="15"/>
  <c r="E273" i="15" s="1"/>
  <c r="BI15" i="15"/>
  <c r="BH15" i="15"/>
  <c r="C273" i="15" s="1"/>
  <c r="BG15" i="15"/>
  <c r="B273" i="15" s="1"/>
  <c r="I15" i="15"/>
  <c r="H15" i="15"/>
  <c r="G15" i="15"/>
  <c r="BN14" i="15"/>
  <c r="I272" i="15" s="1"/>
  <c r="BM14" i="15"/>
  <c r="BL14" i="15"/>
  <c r="G272" i="15" s="1"/>
  <c r="BK14" i="15"/>
  <c r="F272" i="15" s="1"/>
  <c r="BJ14" i="15"/>
  <c r="E272" i="15" s="1"/>
  <c r="BI14" i="15"/>
  <c r="D272" i="15" s="1"/>
  <c r="BH14" i="15"/>
  <c r="BG14" i="15"/>
  <c r="B272" i="15" s="1"/>
  <c r="I14" i="15"/>
  <c r="H14" i="15"/>
  <c r="G14" i="15"/>
  <c r="BN13" i="15"/>
  <c r="I271" i="15" s="1"/>
  <c r="BM13" i="15"/>
  <c r="H271" i="15" s="1"/>
  <c r="BL13" i="15"/>
  <c r="BK13" i="15"/>
  <c r="F271" i="15" s="1"/>
  <c r="BJ13" i="15"/>
  <c r="E271" i="15" s="1"/>
  <c r="BI13" i="15"/>
  <c r="D271" i="15" s="1"/>
  <c r="BH13" i="15"/>
  <c r="C271" i="15" s="1"/>
  <c r="BG13" i="15"/>
  <c r="B271" i="15" s="1"/>
  <c r="I13" i="15"/>
  <c r="H13" i="15"/>
  <c r="G13" i="15"/>
  <c r="BN12" i="15"/>
  <c r="I270" i="15" s="1"/>
  <c r="BM12" i="15"/>
  <c r="H270" i="15" s="1"/>
  <c r="BL12" i="15"/>
  <c r="G270" i="15" s="1"/>
  <c r="BK12" i="15"/>
  <c r="BJ12" i="15"/>
  <c r="E270" i="15" s="1"/>
  <c r="BI12" i="15"/>
  <c r="D270" i="15" s="1"/>
  <c r="BH12" i="15"/>
  <c r="C270" i="15" s="1"/>
  <c r="BG12" i="15"/>
  <c r="B270" i="15" s="1"/>
  <c r="I12" i="15"/>
  <c r="H12" i="15"/>
  <c r="G12" i="15"/>
  <c r="D102" i="14"/>
  <c r="E101" i="14" s="1"/>
  <c r="B102" i="14"/>
  <c r="C100" i="14" s="1"/>
  <c r="D94" i="14"/>
  <c r="D93" i="14"/>
  <c r="D92" i="14"/>
  <c r="I81" i="14"/>
  <c r="H81" i="14"/>
  <c r="G81" i="14"/>
  <c r="I80" i="14"/>
  <c r="H80" i="14"/>
  <c r="G80" i="14"/>
  <c r="I79" i="14"/>
  <c r="H79" i="14"/>
  <c r="G79" i="14"/>
  <c r="I78" i="14"/>
  <c r="H78" i="14"/>
  <c r="G78" i="14"/>
  <c r="I77" i="14"/>
  <c r="H77" i="14"/>
  <c r="G77" i="14"/>
  <c r="I76" i="14"/>
  <c r="H76" i="14"/>
  <c r="G76" i="14"/>
  <c r="I75" i="14"/>
  <c r="H75" i="14"/>
  <c r="G75" i="14"/>
  <c r="I74" i="14"/>
  <c r="H74" i="14"/>
  <c r="G74" i="14"/>
  <c r="I73" i="14"/>
  <c r="H73" i="14"/>
  <c r="G73" i="14"/>
  <c r="I72" i="14"/>
  <c r="H72" i="14"/>
  <c r="G72" i="14"/>
  <c r="I51" i="14"/>
  <c r="H51" i="14"/>
  <c r="G51" i="14"/>
  <c r="I50" i="14"/>
  <c r="H50" i="14"/>
  <c r="G50" i="14"/>
  <c r="I49" i="14"/>
  <c r="H49" i="14"/>
  <c r="G49" i="14"/>
  <c r="I48" i="14"/>
  <c r="H48" i="14"/>
  <c r="G48" i="14"/>
  <c r="I47" i="14"/>
  <c r="H47" i="14"/>
  <c r="G47" i="14"/>
  <c r="I46" i="14"/>
  <c r="H46" i="14"/>
  <c r="G46" i="14"/>
  <c r="I45" i="14"/>
  <c r="H45" i="14"/>
  <c r="G45" i="14"/>
  <c r="I44" i="14"/>
  <c r="H44" i="14"/>
  <c r="G44" i="14"/>
  <c r="I43" i="14"/>
  <c r="H43" i="14"/>
  <c r="G43" i="14"/>
  <c r="I42" i="14"/>
  <c r="H42" i="14"/>
  <c r="G42" i="14"/>
  <c r="I21" i="14"/>
  <c r="H21" i="14"/>
  <c r="G21" i="14"/>
  <c r="I20" i="14"/>
  <c r="H20" i="14"/>
  <c r="G20" i="14"/>
  <c r="I19" i="14"/>
  <c r="H19" i="14"/>
  <c r="G19" i="14"/>
  <c r="I18" i="14"/>
  <c r="H18" i="14"/>
  <c r="G18" i="14"/>
  <c r="I17" i="14"/>
  <c r="H17" i="14"/>
  <c r="G17" i="14"/>
  <c r="I16" i="14"/>
  <c r="H16" i="14"/>
  <c r="G16" i="14"/>
  <c r="I15" i="14"/>
  <c r="H15" i="14"/>
  <c r="G15" i="14"/>
  <c r="I14" i="14"/>
  <c r="H14" i="14"/>
  <c r="G14" i="14"/>
  <c r="I13" i="14"/>
  <c r="H13" i="14"/>
  <c r="G13" i="14"/>
  <c r="I12" i="14"/>
  <c r="H12" i="14"/>
  <c r="G12" i="14"/>
  <c r="E46" i="13"/>
  <c r="F46" i="13"/>
  <c r="G46" i="13"/>
  <c r="H46" i="13"/>
  <c r="I46" i="13"/>
  <c r="J46" i="13"/>
  <c r="K46" i="13"/>
  <c r="L46" i="13"/>
  <c r="E50" i="13"/>
  <c r="E42" i="13"/>
  <c r="H52" i="13"/>
  <c r="G52" i="13"/>
  <c r="F52" i="13"/>
  <c r="E52" i="13"/>
  <c r="H49" i="13"/>
  <c r="G49" i="13"/>
  <c r="H48" i="13"/>
  <c r="G48" i="13"/>
  <c r="F48" i="13"/>
  <c r="E48" i="13"/>
  <c r="H45" i="13"/>
  <c r="G45" i="13"/>
  <c r="E45" i="13"/>
  <c r="I44" i="13"/>
  <c r="H44" i="13"/>
  <c r="G44" i="13"/>
  <c r="F44" i="13"/>
  <c r="E44" i="13"/>
  <c r="H41" i="13"/>
  <c r="G41" i="13"/>
  <c r="E41" i="13"/>
  <c r="H31" i="13"/>
  <c r="G31" i="13"/>
  <c r="K31" i="13" s="1"/>
  <c r="L31" i="13" s="1"/>
  <c r="F31" i="13"/>
  <c r="J31" i="13" s="1"/>
  <c r="I31" i="13" s="1"/>
  <c r="E31" i="13"/>
  <c r="H30" i="13"/>
  <c r="G30" i="13"/>
  <c r="K30" i="13" s="1"/>
  <c r="L30" i="13" s="1"/>
  <c r="F30" i="13"/>
  <c r="J30" i="13" s="1"/>
  <c r="I30" i="13" s="1"/>
  <c r="E30" i="13"/>
  <c r="H29" i="13"/>
  <c r="G29" i="13"/>
  <c r="K29" i="13" s="1"/>
  <c r="L29" i="13" s="1"/>
  <c r="F29" i="13"/>
  <c r="J29" i="13" s="1"/>
  <c r="K28" i="13"/>
  <c r="J28" i="13"/>
  <c r="K24" i="13"/>
  <c r="L52" i="13" s="1"/>
  <c r="J24" i="13"/>
  <c r="J52" i="13" s="1"/>
  <c r="J23" i="13"/>
  <c r="I23" i="13" s="1"/>
  <c r="G23" i="13"/>
  <c r="H51" i="13" s="1"/>
  <c r="F23" i="13"/>
  <c r="F51" i="13" s="1"/>
  <c r="E23" i="13"/>
  <c r="E51" i="13" s="1"/>
  <c r="H22" i="13"/>
  <c r="G22" i="13"/>
  <c r="H50" i="13" s="1"/>
  <c r="F22" i="13"/>
  <c r="F50" i="13" s="1"/>
  <c r="K21" i="13"/>
  <c r="L49" i="13" s="1"/>
  <c r="J21" i="13"/>
  <c r="J49" i="13" s="1"/>
  <c r="F21" i="13"/>
  <c r="F49" i="13" s="1"/>
  <c r="BN17" i="13"/>
  <c r="BR17" i="13" s="1"/>
  <c r="BM17" i="13"/>
  <c r="BL17" i="13"/>
  <c r="BQ17" i="13" s="1"/>
  <c r="BT17" i="13" s="1"/>
  <c r="BK17" i="13"/>
  <c r="BJ17" i="13"/>
  <c r="BI17" i="13"/>
  <c r="BH17" i="13"/>
  <c r="BG17" i="13"/>
  <c r="I17" i="13"/>
  <c r="H17" i="13"/>
  <c r="G17" i="13"/>
  <c r="J17" i="13" s="1"/>
  <c r="BN16" i="13"/>
  <c r="BR16" i="13" s="1"/>
  <c r="BM16" i="13"/>
  <c r="BL16" i="13"/>
  <c r="BQ16" i="13" s="1"/>
  <c r="BK16" i="13"/>
  <c r="BJ16" i="13"/>
  <c r="BP16" i="13" s="1"/>
  <c r="BI16" i="13"/>
  <c r="BH16" i="13"/>
  <c r="BO16" i="13" s="1"/>
  <c r="BG16" i="13"/>
  <c r="I16" i="13"/>
  <c r="H16" i="13"/>
  <c r="G16" i="13"/>
  <c r="J16" i="13" s="1"/>
  <c r="BN15" i="13"/>
  <c r="BR15" i="13" s="1"/>
  <c r="BM15" i="13"/>
  <c r="BL15" i="13"/>
  <c r="BK15" i="13"/>
  <c r="BQ15" i="13" s="1"/>
  <c r="BT15" i="13" s="1"/>
  <c r="BJ15" i="13"/>
  <c r="BI15" i="13"/>
  <c r="BP15" i="13" s="1"/>
  <c r="BH15" i="13"/>
  <c r="BG15" i="13"/>
  <c r="BO15" i="13" s="1"/>
  <c r="I15" i="13"/>
  <c r="H15" i="13"/>
  <c r="G15" i="13"/>
  <c r="J15" i="13" s="1"/>
  <c r="BN14" i="13"/>
  <c r="BM14" i="13"/>
  <c r="BR14" i="13" s="1"/>
  <c r="BL14" i="13"/>
  <c r="BQ14" i="13" s="1"/>
  <c r="BK14" i="13"/>
  <c r="BJ14" i="13"/>
  <c r="BI14" i="13"/>
  <c r="BP14" i="13" s="1"/>
  <c r="BH14" i="13"/>
  <c r="BG14" i="13"/>
  <c r="I14" i="13"/>
  <c r="J14" i="13" s="1"/>
  <c r="H14" i="13"/>
  <c r="G14" i="13"/>
  <c r="BN13" i="13"/>
  <c r="BM13" i="13"/>
  <c r="BL13" i="13"/>
  <c r="BQ13" i="13" s="1"/>
  <c r="BK13" i="13"/>
  <c r="BJ13" i="13"/>
  <c r="BI13" i="13"/>
  <c r="BH13" i="13"/>
  <c r="BO13" i="13" s="1"/>
  <c r="BG13" i="13"/>
  <c r="I13" i="13"/>
  <c r="H13" i="13"/>
  <c r="G13" i="13"/>
  <c r="J13" i="13" s="1"/>
  <c r="BP12" i="13"/>
  <c r="BN12" i="13"/>
  <c r="BR12" i="13" s="1"/>
  <c r="BM12" i="13"/>
  <c r="BL12" i="13"/>
  <c r="BQ12" i="13" s="1"/>
  <c r="BT12" i="13" s="1"/>
  <c r="BK12" i="13"/>
  <c r="BJ12" i="13"/>
  <c r="BI12" i="13"/>
  <c r="BH12" i="13"/>
  <c r="BO12" i="13" s="1"/>
  <c r="BS12" i="13" s="1"/>
  <c r="BU12" i="13" s="1"/>
  <c r="BG12" i="13"/>
  <c r="I12" i="13"/>
  <c r="H12" i="13"/>
  <c r="G12" i="13"/>
  <c r="J12" i="13" s="1"/>
  <c r="BN11" i="13"/>
  <c r="BR11" i="13" s="1"/>
  <c r="BM11" i="13"/>
  <c r="BL11" i="13"/>
  <c r="BQ11" i="13" s="1"/>
  <c r="BK11" i="13"/>
  <c r="BJ11" i="13"/>
  <c r="BI11" i="13"/>
  <c r="BP11" i="13" s="1"/>
  <c r="BH11" i="13"/>
  <c r="BG11" i="13"/>
  <c r="BO11" i="13" s="1"/>
  <c r="BS11" i="13" s="1"/>
  <c r="I11" i="13"/>
  <c r="H11" i="13"/>
  <c r="G11" i="13"/>
  <c r="J11" i="13" s="1"/>
  <c r="BQ10" i="13"/>
  <c r="BT10" i="13" s="1"/>
  <c r="BN10" i="13"/>
  <c r="BR10" i="13" s="1"/>
  <c r="BM10" i="13"/>
  <c r="BL10" i="13"/>
  <c r="BK10" i="13"/>
  <c r="BJ10" i="13"/>
  <c r="BI10" i="13"/>
  <c r="BP10" i="13" s="1"/>
  <c r="BH10" i="13"/>
  <c r="BO10" i="13" s="1"/>
  <c r="BG10" i="13"/>
  <c r="J10" i="13"/>
  <c r="I10" i="13"/>
  <c r="H10" i="13"/>
  <c r="G10" i="13"/>
  <c r="BN9" i="13"/>
  <c r="BM9" i="13"/>
  <c r="BR9" i="13" s="1"/>
  <c r="BL9" i="13"/>
  <c r="BK9" i="13"/>
  <c r="BJ9" i="13"/>
  <c r="BI9" i="13"/>
  <c r="BP9" i="13" s="1"/>
  <c r="BH9" i="13"/>
  <c r="BG9" i="13"/>
  <c r="I9" i="13"/>
  <c r="H9" i="13"/>
  <c r="G9" i="13"/>
  <c r="J9" i="13" s="1"/>
  <c r="BP8" i="13"/>
  <c r="BN8" i="13"/>
  <c r="BM8" i="13"/>
  <c r="BR8" i="13" s="1"/>
  <c r="BL8" i="13"/>
  <c r="BQ8" i="13" s="1"/>
  <c r="BT8" i="13" s="1"/>
  <c r="BK8" i="13"/>
  <c r="BJ8" i="13"/>
  <c r="BI8" i="13"/>
  <c r="BH8" i="13"/>
  <c r="BO8" i="13" s="1"/>
  <c r="BS8" i="13" s="1"/>
  <c r="BU8" i="13" s="1"/>
  <c r="BG8" i="13"/>
  <c r="I8" i="13"/>
  <c r="H8" i="13"/>
  <c r="G8" i="13"/>
  <c r="J8" i="13" s="1"/>
  <c r="E157" i="12"/>
  <c r="E153" i="12"/>
  <c r="E149" i="12"/>
  <c r="E105" i="12"/>
  <c r="E101" i="12"/>
  <c r="E97" i="12"/>
  <c r="E53" i="12"/>
  <c r="E49" i="12"/>
  <c r="E45" i="12"/>
  <c r="X215" i="12"/>
  <c r="H211" i="12"/>
  <c r="H207" i="12"/>
  <c r="N197" i="12"/>
  <c r="I188" i="12"/>
  <c r="V187" i="12"/>
  <c r="V215" i="12" s="1"/>
  <c r="O187" i="12"/>
  <c r="J187" i="12"/>
  <c r="J201" i="12" s="1"/>
  <c r="I187" i="12"/>
  <c r="G186" i="12"/>
  <c r="G214" i="12" s="1"/>
  <c r="C186" i="12"/>
  <c r="X185" i="12"/>
  <c r="X213" i="12" s="1"/>
  <c r="T185" i="12"/>
  <c r="T213" i="12" s="1"/>
  <c r="K185" i="12"/>
  <c r="D185" i="12"/>
  <c r="D213" i="12" s="1"/>
  <c r="P184" i="12"/>
  <c r="E184" i="12"/>
  <c r="T183" i="12"/>
  <c r="Q183" i="12"/>
  <c r="O183" i="12"/>
  <c r="O211" i="12" s="1"/>
  <c r="M183" i="12"/>
  <c r="H183" i="12"/>
  <c r="D183" i="12"/>
  <c r="U182" i="12"/>
  <c r="U210" i="12" s="1"/>
  <c r="L182" i="12"/>
  <c r="L210" i="12" s="1"/>
  <c r="G182" i="12"/>
  <c r="C182" i="12"/>
  <c r="X181" i="12"/>
  <c r="T181" i="12"/>
  <c r="T209" i="12" s="1"/>
  <c r="S181" i="12"/>
  <c r="S209" i="12" s="1"/>
  <c r="O181" i="12"/>
  <c r="O195" i="12" s="1"/>
  <c r="K181" i="12"/>
  <c r="I181" i="12"/>
  <c r="H181" i="12"/>
  <c r="U180" i="12"/>
  <c r="U208" i="12" s="1"/>
  <c r="X179" i="12"/>
  <c r="X207" i="12" s="1"/>
  <c r="T179" i="12"/>
  <c r="T207" i="12" s="1"/>
  <c r="M179" i="12"/>
  <c r="I179" i="12"/>
  <c r="I207" i="12" s="1"/>
  <c r="H179" i="12"/>
  <c r="D179" i="12"/>
  <c r="C179" i="12"/>
  <c r="C207" i="12" s="1"/>
  <c r="B174" i="12"/>
  <c r="C172" i="12" s="1"/>
  <c r="C173" i="12"/>
  <c r="C171" i="12"/>
  <c r="C174" i="12" s="1"/>
  <c r="B166" i="12"/>
  <c r="C165" i="12" s="1"/>
  <c r="C164" i="12"/>
  <c r="C166" i="12" s="1"/>
  <c r="H159" i="12"/>
  <c r="G159" i="12"/>
  <c r="F159" i="12"/>
  <c r="E159" i="12"/>
  <c r="G158" i="12"/>
  <c r="E158" i="12"/>
  <c r="H157" i="12"/>
  <c r="L156" i="12"/>
  <c r="K156" i="12"/>
  <c r="H156" i="12"/>
  <c r="G156" i="12"/>
  <c r="E156" i="12"/>
  <c r="I155" i="12"/>
  <c r="H155" i="12"/>
  <c r="G155" i="12"/>
  <c r="F155" i="12"/>
  <c r="E155" i="12"/>
  <c r="H154" i="12"/>
  <c r="G154" i="12"/>
  <c r="L152" i="12"/>
  <c r="K152" i="12"/>
  <c r="H152" i="12"/>
  <c r="G152" i="12"/>
  <c r="K151" i="12"/>
  <c r="I151" i="12"/>
  <c r="H151" i="12"/>
  <c r="G151" i="12"/>
  <c r="F151" i="12"/>
  <c r="E151" i="12"/>
  <c r="H150" i="12"/>
  <c r="G149" i="12"/>
  <c r="L148" i="12"/>
  <c r="K148" i="12"/>
  <c r="I148" i="12"/>
  <c r="H148" i="12"/>
  <c r="G148" i="12"/>
  <c r="G138" i="12"/>
  <c r="H138" i="12" s="1"/>
  <c r="F138" i="12"/>
  <c r="J138" i="12" s="1"/>
  <c r="I138" i="12" s="1"/>
  <c r="E138" i="12"/>
  <c r="K137" i="12"/>
  <c r="L137" i="12" s="1"/>
  <c r="I137" i="12"/>
  <c r="H137" i="12"/>
  <c r="G137" i="12"/>
  <c r="F137" i="12"/>
  <c r="J137" i="12" s="1"/>
  <c r="E137" i="12"/>
  <c r="H136" i="12"/>
  <c r="G136" i="12"/>
  <c r="K136" i="12" s="1"/>
  <c r="L136" i="12" s="1"/>
  <c r="F136" i="12"/>
  <c r="J136" i="12" s="1"/>
  <c r="K135" i="12"/>
  <c r="J135" i="12"/>
  <c r="K131" i="12"/>
  <c r="J131" i="12"/>
  <c r="I159" i="12" s="1"/>
  <c r="J130" i="12"/>
  <c r="I130" i="12"/>
  <c r="I150" i="12" s="1"/>
  <c r="G130" i="12"/>
  <c r="F130" i="12"/>
  <c r="F158" i="12" s="1"/>
  <c r="E130" i="12"/>
  <c r="E154" i="12" s="1"/>
  <c r="L129" i="12"/>
  <c r="L149" i="12" s="1"/>
  <c r="K129" i="12"/>
  <c r="H129" i="12"/>
  <c r="G129" i="12"/>
  <c r="G157" i="12" s="1"/>
  <c r="F129" i="12"/>
  <c r="K128" i="12"/>
  <c r="J128" i="12"/>
  <c r="I152" i="12" s="1"/>
  <c r="F128" i="12"/>
  <c r="BN124" i="12"/>
  <c r="Y188" i="12" s="1"/>
  <c r="Y216" i="12" s="1"/>
  <c r="BM124" i="12"/>
  <c r="X188" i="12" s="1"/>
  <c r="BL124" i="12"/>
  <c r="W188" i="12" s="1"/>
  <c r="BK124" i="12"/>
  <c r="BQ124" i="12" s="1"/>
  <c r="BJ124" i="12"/>
  <c r="U188" i="12" s="1"/>
  <c r="U216" i="12" s="1"/>
  <c r="BI124" i="12"/>
  <c r="BH124" i="12"/>
  <c r="S188" i="12" s="1"/>
  <c r="BG124" i="12"/>
  <c r="R188" i="12" s="1"/>
  <c r="R216" i="12" s="1"/>
  <c r="J124" i="12"/>
  <c r="I124" i="12"/>
  <c r="H124" i="12"/>
  <c r="G124" i="12"/>
  <c r="BN123" i="12"/>
  <c r="Y187" i="12" s="1"/>
  <c r="Y215" i="12" s="1"/>
  <c r="BM123" i="12"/>
  <c r="X187" i="12" s="1"/>
  <c r="BL123" i="12"/>
  <c r="W187" i="12" s="1"/>
  <c r="W215" i="12" s="1"/>
  <c r="BK123" i="12"/>
  <c r="BJ123" i="12"/>
  <c r="U187" i="12" s="1"/>
  <c r="U215" i="12" s="1"/>
  <c r="BI123" i="12"/>
  <c r="T187" i="12" s="1"/>
  <c r="BH123" i="12"/>
  <c r="BG123" i="12"/>
  <c r="R187" i="12" s="1"/>
  <c r="R215" i="12" s="1"/>
  <c r="I123" i="12"/>
  <c r="H123" i="12"/>
  <c r="J123" i="12" s="1"/>
  <c r="G123" i="12"/>
  <c r="BQ122" i="12"/>
  <c r="BN122" i="12"/>
  <c r="Y186" i="12" s="1"/>
  <c r="BM122" i="12"/>
  <c r="BL122" i="12"/>
  <c r="W186" i="12" s="1"/>
  <c r="W214" i="12" s="1"/>
  <c r="BK122" i="12"/>
  <c r="V186" i="12" s="1"/>
  <c r="V214" i="12" s="1"/>
  <c r="BJ122" i="12"/>
  <c r="U186" i="12" s="1"/>
  <c r="U214" i="12" s="1"/>
  <c r="BI122" i="12"/>
  <c r="BH122" i="12"/>
  <c r="BG122" i="12"/>
  <c r="R186" i="12" s="1"/>
  <c r="R214" i="12" s="1"/>
  <c r="I122" i="12"/>
  <c r="H122" i="12"/>
  <c r="G122" i="12"/>
  <c r="BN121" i="12"/>
  <c r="Y185" i="12" s="1"/>
  <c r="Y213" i="12" s="1"/>
  <c r="BM121" i="12"/>
  <c r="BL121" i="12"/>
  <c r="BK121" i="12"/>
  <c r="V185" i="12" s="1"/>
  <c r="V213" i="12" s="1"/>
  <c r="BJ121" i="12"/>
  <c r="BI121" i="12"/>
  <c r="BH121" i="12"/>
  <c r="BG121" i="12"/>
  <c r="R185" i="12" s="1"/>
  <c r="J121" i="12"/>
  <c r="I121" i="12"/>
  <c r="H121" i="12"/>
  <c r="G121" i="12"/>
  <c r="BN120" i="12"/>
  <c r="Y184" i="12" s="1"/>
  <c r="Y212" i="12" s="1"/>
  <c r="BM120" i="12"/>
  <c r="BR120" i="12" s="1"/>
  <c r="BL120" i="12"/>
  <c r="W184" i="12" s="1"/>
  <c r="BK120" i="12"/>
  <c r="BJ120" i="12"/>
  <c r="U184" i="12" s="1"/>
  <c r="U212" i="12" s="1"/>
  <c r="BI120" i="12"/>
  <c r="BH120" i="12"/>
  <c r="S184" i="12" s="1"/>
  <c r="BG120" i="12"/>
  <c r="R184" i="12" s="1"/>
  <c r="R212" i="12" s="1"/>
  <c r="J120" i="12"/>
  <c r="I120" i="12"/>
  <c r="H120" i="12"/>
  <c r="G120" i="12"/>
  <c r="BN119" i="12"/>
  <c r="Y183" i="12" s="1"/>
  <c r="Y211" i="12" s="1"/>
  <c r="BM119" i="12"/>
  <c r="BR119" i="12" s="1"/>
  <c r="BL119" i="12"/>
  <c r="W183" i="12" s="1"/>
  <c r="W211" i="12" s="1"/>
  <c r="BK119" i="12"/>
  <c r="V183" i="12" s="1"/>
  <c r="V211" i="12" s="1"/>
  <c r="BJ119" i="12"/>
  <c r="U183" i="12" s="1"/>
  <c r="U211" i="12" s="1"/>
  <c r="BI119" i="12"/>
  <c r="BP119" i="12" s="1"/>
  <c r="BH119" i="12"/>
  <c r="BO119" i="12" s="1"/>
  <c r="BG119" i="12"/>
  <c r="R183" i="12" s="1"/>
  <c r="R211" i="12" s="1"/>
  <c r="I119" i="12"/>
  <c r="H119" i="12"/>
  <c r="J119" i="12" s="1"/>
  <c r="G119" i="12"/>
  <c r="BN118" i="12"/>
  <c r="Y182" i="12" s="1"/>
  <c r="BM118" i="12"/>
  <c r="BL118" i="12"/>
  <c r="BQ118" i="12" s="1"/>
  <c r="BK118" i="12"/>
  <c r="V182" i="12" s="1"/>
  <c r="BJ118" i="12"/>
  <c r="BI118" i="12"/>
  <c r="BH118" i="12"/>
  <c r="S182" i="12" s="1"/>
  <c r="S210" i="12" s="1"/>
  <c r="BG118" i="12"/>
  <c r="R182" i="12" s="1"/>
  <c r="I118" i="12"/>
  <c r="H118" i="12"/>
  <c r="G118" i="12"/>
  <c r="BN117" i="12"/>
  <c r="Y181" i="12" s="1"/>
  <c r="Y209" i="12" s="1"/>
  <c r="BM117" i="12"/>
  <c r="BL117" i="12"/>
  <c r="BQ117" i="12" s="1"/>
  <c r="BK117" i="12"/>
  <c r="V181" i="12" s="1"/>
  <c r="V209" i="12" s="1"/>
  <c r="BJ117" i="12"/>
  <c r="BI117" i="12"/>
  <c r="BH117" i="12"/>
  <c r="BO117" i="12" s="1"/>
  <c r="BG117" i="12"/>
  <c r="R181" i="12" s="1"/>
  <c r="J117" i="12"/>
  <c r="I117" i="12"/>
  <c r="H117" i="12"/>
  <c r="G117" i="12"/>
  <c r="BN116" i="12"/>
  <c r="Y180" i="12" s="1"/>
  <c r="Y208" i="12" s="1"/>
  <c r="BM116" i="12"/>
  <c r="BR116" i="12" s="1"/>
  <c r="BL116" i="12"/>
  <c r="W180" i="12" s="1"/>
  <c r="W208" i="12" s="1"/>
  <c r="BK116" i="12"/>
  <c r="BJ116" i="12"/>
  <c r="BI116" i="12"/>
  <c r="BH116" i="12"/>
  <c r="S180" i="12" s="1"/>
  <c r="BG116" i="12"/>
  <c r="R180" i="12" s="1"/>
  <c r="R208" i="12" s="1"/>
  <c r="J116" i="12"/>
  <c r="I116" i="12"/>
  <c r="H116" i="12"/>
  <c r="G116" i="12"/>
  <c r="BP115" i="12"/>
  <c r="BN115" i="12"/>
  <c r="Y179" i="12" s="1"/>
  <c r="BM115" i="12"/>
  <c r="BR115" i="12" s="1"/>
  <c r="BL115" i="12"/>
  <c r="W179" i="12" s="1"/>
  <c r="W207" i="12" s="1"/>
  <c r="BK115" i="12"/>
  <c r="V179" i="12" s="1"/>
  <c r="V207" i="12" s="1"/>
  <c r="BJ115" i="12"/>
  <c r="U179" i="12" s="1"/>
  <c r="U207" i="12" s="1"/>
  <c r="BI115" i="12"/>
  <c r="BH115" i="12"/>
  <c r="BG115" i="12"/>
  <c r="R179" i="12" s="1"/>
  <c r="R207" i="12" s="1"/>
  <c r="I115" i="12"/>
  <c r="H115" i="12"/>
  <c r="J115" i="12" s="1"/>
  <c r="G115" i="12"/>
  <c r="H107" i="12"/>
  <c r="G107" i="12"/>
  <c r="F107" i="12"/>
  <c r="E107" i="12"/>
  <c r="G106" i="12"/>
  <c r="J105" i="12"/>
  <c r="F105" i="12"/>
  <c r="L104" i="12"/>
  <c r="H104" i="12"/>
  <c r="G104" i="12"/>
  <c r="K103" i="12"/>
  <c r="J103" i="12"/>
  <c r="H103" i="12"/>
  <c r="G103" i="12"/>
  <c r="F103" i="12"/>
  <c r="E103" i="12"/>
  <c r="F101" i="12"/>
  <c r="H100" i="12"/>
  <c r="G100" i="12"/>
  <c r="L99" i="12"/>
  <c r="K99" i="12"/>
  <c r="H99" i="12"/>
  <c r="G99" i="12"/>
  <c r="F99" i="12"/>
  <c r="E99" i="12"/>
  <c r="K96" i="12"/>
  <c r="H96" i="12"/>
  <c r="G96" i="12"/>
  <c r="F96" i="12"/>
  <c r="L86" i="12"/>
  <c r="H86" i="12"/>
  <c r="G86" i="12"/>
  <c r="K86" i="12" s="1"/>
  <c r="F86" i="12"/>
  <c r="E86" i="12" s="1"/>
  <c r="K85" i="12"/>
  <c r="L85" i="12" s="1"/>
  <c r="J85" i="12"/>
  <c r="I85" i="12" s="1"/>
  <c r="H85" i="12"/>
  <c r="G85" i="12"/>
  <c r="F85" i="12"/>
  <c r="E85" i="12" s="1"/>
  <c r="G84" i="12"/>
  <c r="F84" i="12"/>
  <c r="J84" i="12" s="1"/>
  <c r="K83" i="12"/>
  <c r="J83" i="12"/>
  <c r="K79" i="12"/>
  <c r="J79" i="12"/>
  <c r="G78" i="12"/>
  <c r="F78" i="12"/>
  <c r="F98" i="12" s="1"/>
  <c r="J77" i="12"/>
  <c r="G77" i="12"/>
  <c r="F77" i="12"/>
  <c r="K76" i="12"/>
  <c r="K104" i="12" s="1"/>
  <c r="F76" i="12"/>
  <c r="BN72" i="12"/>
  <c r="Q188" i="12" s="1"/>
  <c r="BM72" i="12"/>
  <c r="P188" i="12" s="1"/>
  <c r="BL72" i="12"/>
  <c r="O188" i="12" s="1"/>
  <c r="BK72" i="12"/>
  <c r="N188" i="12" s="1"/>
  <c r="BJ72" i="12"/>
  <c r="M188" i="12" s="1"/>
  <c r="BI72" i="12"/>
  <c r="L188" i="12" s="1"/>
  <c r="L216" i="12" s="1"/>
  <c r="BH72" i="12"/>
  <c r="BG72" i="12"/>
  <c r="J188" i="12" s="1"/>
  <c r="I72" i="12"/>
  <c r="H72" i="12"/>
  <c r="J72" i="12" s="1"/>
  <c r="G72" i="12"/>
  <c r="BN71" i="12"/>
  <c r="Q187" i="12" s="1"/>
  <c r="Q215" i="12" s="1"/>
  <c r="BM71" i="12"/>
  <c r="BL71" i="12"/>
  <c r="BK71" i="12"/>
  <c r="N187" i="12" s="1"/>
  <c r="BJ71" i="12"/>
  <c r="M187" i="12" s="1"/>
  <c r="BI71" i="12"/>
  <c r="BH71" i="12"/>
  <c r="K187" i="12" s="1"/>
  <c r="BG71" i="12"/>
  <c r="BO71" i="12" s="1"/>
  <c r="I71" i="12"/>
  <c r="H71" i="12"/>
  <c r="G71" i="12"/>
  <c r="BN70" i="12"/>
  <c r="Q186" i="12" s="1"/>
  <c r="Q214" i="12" s="1"/>
  <c r="BM70" i="12"/>
  <c r="P186" i="12" s="1"/>
  <c r="P200" i="12" s="1"/>
  <c r="BL70" i="12"/>
  <c r="BK70" i="12"/>
  <c r="N186" i="12" s="1"/>
  <c r="BJ70" i="12"/>
  <c r="BP70" i="12" s="1"/>
  <c r="BI70" i="12"/>
  <c r="L186" i="12" s="1"/>
  <c r="BH70" i="12"/>
  <c r="BG70" i="12"/>
  <c r="J186" i="12" s="1"/>
  <c r="J214" i="12" s="1"/>
  <c r="J70" i="12"/>
  <c r="I70" i="12"/>
  <c r="H70" i="12"/>
  <c r="G70" i="12"/>
  <c r="BN69" i="12"/>
  <c r="Q185" i="12" s="1"/>
  <c r="BM69" i="12"/>
  <c r="BL69" i="12"/>
  <c r="O185" i="12" s="1"/>
  <c r="BK69" i="12"/>
  <c r="BJ69" i="12"/>
  <c r="M185" i="12" s="1"/>
  <c r="BI69" i="12"/>
  <c r="BH69" i="12"/>
  <c r="BG69" i="12"/>
  <c r="J185" i="12" s="1"/>
  <c r="J69" i="12"/>
  <c r="I69" i="12"/>
  <c r="H69" i="12"/>
  <c r="G69" i="12"/>
  <c r="BN68" i="12"/>
  <c r="Q184" i="12" s="1"/>
  <c r="BM68" i="12"/>
  <c r="BL68" i="12"/>
  <c r="O184" i="12" s="1"/>
  <c r="O212" i="12" s="1"/>
  <c r="BK68" i="12"/>
  <c r="N184" i="12" s="1"/>
  <c r="N212" i="12" s="1"/>
  <c r="BJ68" i="12"/>
  <c r="M184" i="12" s="1"/>
  <c r="M198" i="12" s="1"/>
  <c r="BI68" i="12"/>
  <c r="L184" i="12" s="1"/>
  <c r="BH68" i="12"/>
  <c r="BG68" i="12"/>
  <c r="J184" i="12" s="1"/>
  <c r="I68" i="12"/>
  <c r="H68" i="12"/>
  <c r="J68" i="12" s="1"/>
  <c r="G68" i="12"/>
  <c r="BN67" i="12"/>
  <c r="BM67" i="12"/>
  <c r="BL67" i="12"/>
  <c r="BK67" i="12"/>
  <c r="N183" i="12" s="1"/>
  <c r="N211" i="12" s="1"/>
  <c r="BJ67" i="12"/>
  <c r="BI67" i="12"/>
  <c r="BH67" i="12"/>
  <c r="K183" i="12" s="1"/>
  <c r="BG67" i="12"/>
  <c r="J183" i="12" s="1"/>
  <c r="I67" i="12"/>
  <c r="H67" i="12"/>
  <c r="G67" i="12"/>
  <c r="J67" i="12" s="1"/>
  <c r="BR66" i="12"/>
  <c r="BP66" i="12"/>
  <c r="BN66" i="12"/>
  <c r="Q182" i="12" s="1"/>
  <c r="BM66" i="12"/>
  <c r="P182" i="12" s="1"/>
  <c r="BL66" i="12"/>
  <c r="BK66" i="12"/>
  <c r="N182" i="12" s="1"/>
  <c r="BJ66" i="12"/>
  <c r="M182" i="12" s="1"/>
  <c r="BI66" i="12"/>
  <c r="BH66" i="12"/>
  <c r="BG66" i="12"/>
  <c r="J182" i="12" s="1"/>
  <c r="I66" i="12"/>
  <c r="H66" i="12"/>
  <c r="J66" i="12" s="1"/>
  <c r="G66" i="12"/>
  <c r="BN65" i="12"/>
  <c r="Q181" i="12" s="1"/>
  <c r="BM65" i="12"/>
  <c r="P181" i="12" s="1"/>
  <c r="P195" i="12" s="1"/>
  <c r="BL65" i="12"/>
  <c r="BK65" i="12"/>
  <c r="N181" i="12" s="1"/>
  <c r="BJ65" i="12"/>
  <c r="M181" i="12" s="1"/>
  <c r="BI65" i="12"/>
  <c r="BH65" i="12"/>
  <c r="BG65" i="12"/>
  <c r="J181" i="12" s="1"/>
  <c r="I65" i="12"/>
  <c r="J65" i="12" s="1"/>
  <c r="H65" i="12"/>
  <c r="G65" i="12"/>
  <c r="BN64" i="12"/>
  <c r="Q180" i="12" s="1"/>
  <c r="BM64" i="12"/>
  <c r="BR64" i="12" s="1"/>
  <c r="BL64" i="12"/>
  <c r="O180" i="12" s="1"/>
  <c r="O208" i="12" s="1"/>
  <c r="BK64" i="12"/>
  <c r="N180" i="12" s="1"/>
  <c r="BJ64" i="12"/>
  <c r="M180" i="12" s="1"/>
  <c r="M194" i="12" s="1"/>
  <c r="BI64" i="12"/>
  <c r="L180" i="12" s="1"/>
  <c r="L194" i="12" s="1"/>
  <c r="BH64" i="12"/>
  <c r="BG64" i="12"/>
  <c r="J180" i="12" s="1"/>
  <c r="J208" i="12" s="1"/>
  <c r="J64" i="12"/>
  <c r="I64" i="12"/>
  <c r="H64" i="12"/>
  <c r="G64" i="12"/>
  <c r="BP63" i="12"/>
  <c r="BN63" i="12"/>
  <c r="Q179" i="12" s="1"/>
  <c r="Q193" i="12" s="1"/>
  <c r="BM63" i="12"/>
  <c r="BL63" i="12"/>
  <c r="BK63" i="12"/>
  <c r="N179" i="12" s="1"/>
  <c r="BJ63" i="12"/>
  <c r="BI63" i="12"/>
  <c r="L179" i="12" s="1"/>
  <c r="BH63" i="12"/>
  <c r="K179" i="12" s="1"/>
  <c r="K207" i="12" s="1"/>
  <c r="BG63" i="12"/>
  <c r="J179" i="12" s="1"/>
  <c r="J207" i="12" s="1"/>
  <c r="I63" i="12"/>
  <c r="H63" i="12"/>
  <c r="G63" i="12"/>
  <c r="J63" i="12" s="1"/>
  <c r="K55" i="12"/>
  <c r="H55" i="12"/>
  <c r="G55" i="12"/>
  <c r="F55" i="12"/>
  <c r="E55" i="12"/>
  <c r="G54" i="12"/>
  <c r="F54" i="12"/>
  <c r="K53" i="12"/>
  <c r="J53" i="12"/>
  <c r="I53" i="12"/>
  <c r="G53" i="12"/>
  <c r="F53" i="12"/>
  <c r="K52" i="12"/>
  <c r="H52" i="12"/>
  <c r="G52" i="12"/>
  <c r="F52" i="12"/>
  <c r="E52" i="12"/>
  <c r="K51" i="12"/>
  <c r="J51" i="12"/>
  <c r="H51" i="12"/>
  <c r="G51" i="12"/>
  <c r="F51" i="12"/>
  <c r="E51" i="12"/>
  <c r="K49" i="12"/>
  <c r="G49" i="12"/>
  <c r="F49" i="12"/>
  <c r="I48" i="12"/>
  <c r="H48" i="12"/>
  <c r="G48" i="12"/>
  <c r="F48" i="12"/>
  <c r="E48" i="12"/>
  <c r="K47" i="12"/>
  <c r="H47" i="12"/>
  <c r="G47" i="12"/>
  <c r="F47" i="12"/>
  <c r="E47" i="12"/>
  <c r="G46" i="12"/>
  <c r="F46" i="12"/>
  <c r="K45" i="12"/>
  <c r="J45" i="12"/>
  <c r="I45" i="12"/>
  <c r="G45" i="12"/>
  <c r="F45" i="12"/>
  <c r="K44" i="12"/>
  <c r="H44" i="12"/>
  <c r="G44" i="12"/>
  <c r="F44" i="12"/>
  <c r="E44" i="12"/>
  <c r="K34" i="12"/>
  <c r="L34" i="12" s="1"/>
  <c r="J34" i="12"/>
  <c r="I34" i="12" s="1"/>
  <c r="G34" i="12"/>
  <c r="H34" i="12" s="1"/>
  <c r="F34" i="12"/>
  <c r="E34" i="12"/>
  <c r="J33" i="12"/>
  <c r="I33" i="12"/>
  <c r="G33" i="12"/>
  <c r="H33" i="12" s="1"/>
  <c r="F33" i="12"/>
  <c r="E33" i="12"/>
  <c r="K32" i="12"/>
  <c r="L32" i="12" s="1"/>
  <c r="J32" i="12"/>
  <c r="H32" i="12"/>
  <c r="G32" i="12"/>
  <c r="F32" i="12"/>
  <c r="K31" i="12"/>
  <c r="J31" i="12"/>
  <c r="K27" i="12"/>
  <c r="L55" i="12" s="1"/>
  <c r="J27" i="12"/>
  <c r="I51" i="12" s="1"/>
  <c r="K26" i="12"/>
  <c r="K50" i="12" s="1"/>
  <c r="G26" i="12"/>
  <c r="F26" i="12"/>
  <c r="J26" i="12" s="1"/>
  <c r="E26" i="12"/>
  <c r="E54" i="12" s="1"/>
  <c r="K25" i="12"/>
  <c r="J25" i="12"/>
  <c r="J49" i="12" s="1"/>
  <c r="H25" i="12"/>
  <c r="G25" i="12"/>
  <c r="H53" i="12" s="1"/>
  <c r="F25" i="12"/>
  <c r="K24" i="12"/>
  <c r="J24" i="12"/>
  <c r="J52" i="12" s="1"/>
  <c r="F24" i="12"/>
  <c r="BN20" i="12"/>
  <c r="BM20" i="12"/>
  <c r="BL20" i="12"/>
  <c r="G188" i="12" s="1"/>
  <c r="BK20" i="12"/>
  <c r="F188" i="12" s="1"/>
  <c r="BJ20" i="12"/>
  <c r="E188" i="12" s="1"/>
  <c r="BI20" i="12"/>
  <c r="D188" i="12" s="1"/>
  <c r="BH20" i="12"/>
  <c r="C188" i="12" s="1"/>
  <c r="BG20" i="12"/>
  <c r="B188" i="12" s="1"/>
  <c r="I20" i="12"/>
  <c r="H20" i="12"/>
  <c r="G20" i="12"/>
  <c r="BR19" i="12"/>
  <c r="BN19" i="12"/>
  <c r="BM19" i="12"/>
  <c r="H187" i="12" s="1"/>
  <c r="BL19" i="12"/>
  <c r="BK19" i="12"/>
  <c r="F187" i="12" s="1"/>
  <c r="F215" i="12" s="1"/>
  <c r="BJ19" i="12"/>
  <c r="E187" i="12" s="1"/>
  <c r="BI19" i="12"/>
  <c r="D187" i="12" s="1"/>
  <c r="BH19" i="12"/>
  <c r="C187" i="12" s="1"/>
  <c r="BG19" i="12"/>
  <c r="B187" i="12" s="1"/>
  <c r="J19" i="12"/>
  <c r="I19" i="12"/>
  <c r="H19" i="12"/>
  <c r="G19" i="12"/>
  <c r="BN18" i="12"/>
  <c r="I186" i="12" s="1"/>
  <c r="BM18" i="12"/>
  <c r="H186" i="12" s="1"/>
  <c r="BL18" i="12"/>
  <c r="BK18" i="12"/>
  <c r="F186" i="12" s="1"/>
  <c r="F214" i="12" s="1"/>
  <c r="BJ18" i="12"/>
  <c r="E186" i="12" s="1"/>
  <c r="BI18" i="12"/>
  <c r="BH18" i="12"/>
  <c r="BG18" i="12"/>
  <c r="B186" i="12" s="1"/>
  <c r="J18" i="12"/>
  <c r="I18" i="12"/>
  <c r="H18" i="12"/>
  <c r="G18" i="12"/>
  <c r="BN17" i="12"/>
  <c r="I185" i="12" s="1"/>
  <c r="BM17" i="12"/>
  <c r="H185" i="12" s="1"/>
  <c r="BL17" i="12"/>
  <c r="G185" i="12" s="1"/>
  <c r="BK17" i="12"/>
  <c r="F185" i="12" s="1"/>
  <c r="BJ17" i="12"/>
  <c r="E185" i="12" s="1"/>
  <c r="E213" i="12" s="1"/>
  <c r="BI17" i="12"/>
  <c r="BP17" i="12" s="1"/>
  <c r="BH17" i="12"/>
  <c r="BO17" i="12" s="1"/>
  <c r="BG17" i="12"/>
  <c r="B185" i="12" s="1"/>
  <c r="I17" i="12"/>
  <c r="H17" i="12"/>
  <c r="J17" i="12" s="1"/>
  <c r="G17" i="12"/>
  <c r="BN16" i="12"/>
  <c r="I184" i="12" s="1"/>
  <c r="BM16" i="12"/>
  <c r="BL16" i="12"/>
  <c r="G184" i="12" s="1"/>
  <c r="BK16" i="12"/>
  <c r="F184" i="12" s="1"/>
  <c r="F212" i="12" s="1"/>
  <c r="BJ16" i="12"/>
  <c r="BI16" i="12"/>
  <c r="D184" i="12" s="1"/>
  <c r="D212" i="12" s="1"/>
  <c r="BH16" i="12"/>
  <c r="C184" i="12" s="1"/>
  <c r="BG16" i="12"/>
  <c r="B184" i="12" s="1"/>
  <c r="I16" i="12"/>
  <c r="H16" i="12"/>
  <c r="G16" i="12"/>
  <c r="BR15" i="12"/>
  <c r="BN15" i="12"/>
  <c r="I183" i="12" s="1"/>
  <c r="BM15" i="12"/>
  <c r="BL15" i="12"/>
  <c r="BK15" i="12"/>
  <c r="F183" i="12" s="1"/>
  <c r="BJ15" i="12"/>
  <c r="E183" i="12" s="1"/>
  <c r="BI15" i="12"/>
  <c r="BH15" i="12"/>
  <c r="C183" i="12" s="1"/>
  <c r="BG15" i="12"/>
  <c r="B183" i="12" s="1"/>
  <c r="B211" i="12" s="1"/>
  <c r="J15" i="12"/>
  <c r="I15" i="12"/>
  <c r="H15" i="12"/>
  <c r="G15" i="12"/>
  <c r="BN14" i="12"/>
  <c r="I182" i="12" s="1"/>
  <c r="I210" i="12" s="1"/>
  <c r="BM14" i="12"/>
  <c r="H182" i="12" s="1"/>
  <c r="BL14" i="12"/>
  <c r="BK14" i="12"/>
  <c r="F182" i="12" s="1"/>
  <c r="BJ14" i="12"/>
  <c r="E182" i="12" s="1"/>
  <c r="BI14" i="12"/>
  <c r="BH14" i="12"/>
  <c r="BG14" i="12"/>
  <c r="B182" i="12" s="1"/>
  <c r="B210" i="12" s="1"/>
  <c r="J14" i="12"/>
  <c r="I14" i="12"/>
  <c r="H14" i="12"/>
  <c r="G14" i="12"/>
  <c r="BP13" i="12"/>
  <c r="BN13" i="12"/>
  <c r="BM13" i="12"/>
  <c r="BR13" i="12" s="1"/>
  <c r="BL13" i="12"/>
  <c r="G181" i="12" s="1"/>
  <c r="G209" i="12" s="1"/>
  <c r="BK13" i="12"/>
  <c r="F181" i="12" s="1"/>
  <c r="BJ13" i="12"/>
  <c r="E181" i="12" s="1"/>
  <c r="E209" i="12" s="1"/>
  <c r="BI13" i="12"/>
  <c r="D181" i="12" s="1"/>
  <c r="BH13" i="12"/>
  <c r="BO13" i="12" s="1"/>
  <c r="BG13" i="12"/>
  <c r="B181" i="12" s="1"/>
  <c r="B195" i="12" s="1"/>
  <c r="I13" i="12"/>
  <c r="H13" i="12"/>
  <c r="J13" i="12" s="1"/>
  <c r="G13" i="12"/>
  <c r="BN12" i="12"/>
  <c r="I180" i="12" s="1"/>
  <c r="BM12" i="12"/>
  <c r="BL12" i="12"/>
  <c r="G180" i="12" s="1"/>
  <c r="G208" i="12" s="1"/>
  <c r="BK12" i="12"/>
  <c r="F180" i="12" s="1"/>
  <c r="BJ12" i="12"/>
  <c r="E180" i="12" s="1"/>
  <c r="BI12" i="12"/>
  <c r="D180" i="12" s="1"/>
  <c r="BH12" i="12"/>
  <c r="C180" i="12" s="1"/>
  <c r="BG12" i="12"/>
  <c r="B180" i="12" s="1"/>
  <c r="B208" i="12" s="1"/>
  <c r="I12" i="12"/>
  <c r="H12" i="12"/>
  <c r="G12" i="12"/>
  <c r="BR11" i="12"/>
  <c r="BN11" i="12"/>
  <c r="BM11" i="12"/>
  <c r="BL11" i="12"/>
  <c r="BK11" i="12"/>
  <c r="F179" i="12" s="1"/>
  <c r="BJ11" i="12"/>
  <c r="E179" i="12" s="1"/>
  <c r="E207" i="12" s="1"/>
  <c r="BI11" i="12"/>
  <c r="BH11" i="12"/>
  <c r="BG11" i="12"/>
  <c r="B179" i="12" s="1"/>
  <c r="J11" i="12"/>
  <c r="I11" i="12"/>
  <c r="H11" i="12"/>
  <c r="G11" i="12"/>
  <c r="S207" i="11"/>
  <c r="T207" i="11"/>
  <c r="U207" i="11"/>
  <c r="V207" i="11"/>
  <c r="W207" i="11"/>
  <c r="X207" i="11"/>
  <c r="Y207" i="11"/>
  <c r="S208" i="11"/>
  <c r="T208" i="11"/>
  <c r="U208" i="11"/>
  <c r="V208" i="11"/>
  <c r="W208" i="11"/>
  <c r="X208" i="11"/>
  <c r="Y208" i="11"/>
  <c r="S209" i="11"/>
  <c r="T209" i="11"/>
  <c r="U209" i="11"/>
  <c r="V209" i="11"/>
  <c r="W209" i="11"/>
  <c r="X209" i="11"/>
  <c r="Y209" i="11"/>
  <c r="S210" i="11"/>
  <c r="T210" i="11"/>
  <c r="U210" i="11"/>
  <c r="V210" i="11"/>
  <c r="W210" i="11"/>
  <c r="X210" i="11"/>
  <c r="Y210" i="11"/>
  <c r="S211" i="11"/>
  <c r="T211" i="11"/>
  <c r="U211" i="11"/>
  <c r="V211" i="11"/>
  <c r="W211" i="11"/>
  <c r="X211" i="11"/>
  <c r="Y211" i="11"/>
  <c r="S212" i="11"/>
  <c r="T212" i="11"/>
  <c r="U212" i="11"/>
  <c r="V212" i="11"/>
  <c r="W212" i="11"/>
  <c r="X212" i="11"/>
  <c r="Y212" i="11"/>
  <c r="S213" i="11"/>
  <c r="T213" i="11"/>
  <c r="U213" i="11"/>
  <c r="V213" i="11"/>
  <c r="W213" i="11"/>
  <c r="X213" i="11"/>
  <c r="Y213" i="11"/>
  <c r="S214" i="11"/>
  <c r="T214" i="11"/>
  <c r="U214" i="11"/>
  <c r="V214" i="11"/>
  <c r="W214" i="11"/>
  <c r="X214" i="11"/>
  <c r="Y214" i="11"/>
  <c r="S215" i="11"/>
  <c r="T215" i="11"/>
  <c r="U215" i="11"/>
  <c r="V215" i="11"/>
  <c r="W215" i="11"/>
  <c r="X215" i="11"/>
  <c r="Y215" i="11"/>
  <c r="S216" i="11"/>
  <c r="T216" i="11"/>
  <c r="U216" i="11"/>
  <c r="V216" i="11"/>
  <c r="W216" i="11"/>
  <c r="X216" i="11"/>
  <c r="Y216" i="11"/>
  <c r="R208" i="11"/>
  <c r="R209" i="11"/>
  <c r="R210" i="11"/>
  <c r="R211" i="11"/>
  <c r="R212" i="11"/>
  <c r="R213" i="11"/>
  <c r="R214" i="11"/>
  <c r="R215" i="11"/>
  <c r="R216" i="11"/>
  <c r="R207" i="11"/>
  <c r="K207" i="11"/>
  <c r="L207" i="11"/>
  <c r="M207" i="11"/>
  <c r="N207" i="11"/>
  <c r="O207" i="11"/>
  <c r="P207" i="11"/>
  <c r="Q207" i="11"/>
  <c r="K208" i="11"/>
  <c r="L208" i="11"/>
  <c r="M208" i="11"/>
  <c r="N208" i="11"/>
  <c r="O208" i="11"/>
  <c r="P208" i="11"/>
  <c r="Q208" i="11"/>
  <c r="K209" i="11"/>
  <c r="L209" i="11"/>
  <c r="M209" i="11"/>
  <c r="N209" i="11"/>
  <c r="O209" i="11"/>
  <c r="P209" i="11"/>
  <c r="Q209" i="11"/>
  <c r="K210" i="11"/>
  <c r="L210" i="11"/>
  <c r="M210" i="11"/>
  <c r="N210" i="11"/>
  <c r="O210" i="11"/>
  <c r="P210" i="11"/>
  <c r="Q210" i="11"/>
  <c r="K211" i="11"/>
  <c r="L211" i="11"/>
  <c r="M211" i="11"/>
  <c r="N211" i="11"/>
  <c r="O211" i="11"/>
  <c r="P211" i="11"/>
  <c r="Q211" i="11"/>
  <c r="K212" i="11"/>
  <c r="L212" i="11"/>
  <c r="M212" i="11"/>
  <c r="N212" i="11"/>
  <c r="O212" i="11"/>
  <c r="P212" i="11"/>
  <c r="Q212" i="11"/>
  <c r="K213" i="11"/>
  <c r="L213" i="11"/>
  <c r="M213" i="11"/>
  <c r="N213" i="11"/>
  <c r="O213" i="11"/>
  <c r="P213" i="11"/>
  <c r="Q213" i="11"/>
  <c r="K214" i="11"/>
  <c r="L214" i="11"/>
  <c r="M214" i="11"/>
  <c r="N214" i="11"/>
  <c r="O214" i="11"/>
  <c r="P214" i="11"/>
  <c r="Q214" i="11"/>
  <c r="K215" i="11"/>
  <c r="L215" i="11"/>
  <c r="M215" i="11"/>
  <c r="N215" i="11"/>
  <c r="O215" i="11"/>
  <c r="P215" i="11"/>
  <c r="Q215" i="11"/>
  <c r="K216" i="11"/>
  <c r="L216" i="11"/>
  <c r="M216" i="11"/>
  <c r="N216" i="11"/>
  <c r="O216" i="11"/>
  <c r="P216" i="11"/>
  <c r="Q216" i="11"/>
  <c r="J208" i="11"/>
  <c r="J209" i="11"/>
  <c r="J210" i="11"/>
  <c r="J211" i="11"/>
  <c r="J212" i="11"/>
  <c r="J213" i="11"/>
  <c r="J214" i="11"/>
  <c r="J215" i="11"/>
  <c r="J216" i="11"/>
  <c r="J207" i="11"/>
  <c r="B207" i="11"/>
  <c r="C207" i="11"/>
  <c r="D207" i="11"/>
  <c r="E207" i="11"/>
  <c r="F207" i="11"/>
  <c r="G207" i="11"/>
  <c r="H207" i="11"/>
  <c r="I207" i="11"/>
  <c r="C208" i="11"/>
  <c r="D208" i="11"/>
  <c r="E208" i="11"/>
  <c r="F208" i="11"/>
  <c r="G208" i="11"/>
  <c r="H208" i="11"/>
  <c r="I208" i="11"/>
  <c r="C209" i="11"/>
  <c r="D209" i="11"/>
  <c r="E209" i="11"/>
  <c r="F209" i="11"/>
  <c r="G209" i="11"/>
  <c r="H209" i="11"/>
  <c r="I209" i="11"/>
  <c r="C210" i="11"/>
  <c r="D210" i="11"/>
  <c r="E210" i="11"/>
  <c r="F210" i="11"/>
  <c r="G210" i="11"/>
  <c r="H210" i="11"/>
  <c r="I210" i="11"/>
  <c r="C211" i="11"/>
  <c r="D211" i="11"/>
  <c r="E211" i="11"/>
  <c r="F211" i="11"/>
  <c r="G211" i="11"/>
  <c r="H211" i="11"/>
  <c r="I211" i="11"/>
  <c r="C212" i="11"/>
  <c r="D212" i="11"/>
  <c r="E212" i="11"/>
  <c r="F212" i="11"/>
  <c r="G212" i="11"/>
  <c r="H212" i="11"/>
  <c r="I212" i="11"/>
  <c r="C213" i="11"/>
  <c r="D213" i="11"/>
  <c r="E213" i="11"/>
  <c r="F213" i="11"/>
  <c r="G213" i="11"/>
  <c r="H213" i="11"/>
  <c r="I213" i="11"/>
  <c r="C214" i="11"/>
  <c r="D214" i="11"/>
  <c r="E214" i="11"/>
  <c r="F214" i="11"/>
  <c r="G214" i="11"/>
  <c r="H214" i="11"/>
  <c r="I214" i="11"/>
  <c r="C215" i="11"/>
  <c r="D215" i="11"/>
  <c r="E215" i="11"/>
  <c r="F215" i="11"/>
  <c r="G215" i="11"/>
  <c r="H215" i="11"/>
  <c r="I215" i="11"/>
  <c r="C216" i="11"/>
  <c r="D216" i="11"/>
  <c r="E216" i="11"/>
  <c r="F216" i="11"/>
  <c r="G216" i="11"/>
  <c r="H216" i="11"/>
  <c r="I216" i="11"/>
  <c r="B208" i="11"/>
  <c r="B209" i="11"/>
  <c r="B210" i="11"/>
  <c r="B211" i="11"/>
  <c r="B212" i="11"/>
  <c r="B213" i="11"/>
  <c r="B214" i="11"/>
  <c r="B215" i="11"/>
  <c r="B216" i="11"/>
  <c r="K193" i="11"/>
  <c r="L193" i="11"/>
  <c r="M193" i="11"/>
  <c r="N193" i="11"/>
  <c r="O193" i="11"/>
  <c r="P193" i="11"/>
  <c r="Q193" i="11"/>
  <c r="K194" i="11"/>
  <c r="L194" i="11"/>
  <c r="M194" i="11"/>
  <c r="N194" i="11"/>
  <c r="O194" i="11"/>
  <c r="P194" i="11"/>
  <c r="Q194" i="11"/>
  <c r="K195" i="11"/>
  <c r="L195" i="11"/>
  <c r="M195" i="11"/>
  <c r="N195" i="11"/>
  <c r="O195" i="11"/>
  <c r="P195" i="11"/>
  <c r="Q195" i="11"/>
  <c r="K196" i="11"/>
  <c r="L196" i="11"/>
  <c r="M196" i="11"/>
  <c r="N196" i="11"/>
  <c r="O196" i="11"/>
  <c r="P196" i="11"/>
  <c r="Q196" i="11"/>
  <c r="K197" i="11"/>
  <c r="L197" i="11"/>
  <c r="M197" i="11"/>
  <c r="N197" i="11"/>
  <c r="O197" i="11"/>
  <c r="P197" i="11"/>
  <c r="Q197" i="11"/>
  <c r="K198" i="11"/>
  <c r="L198" i="11"/>
  <c r="M198" i="11"/>
  <c r="N198" i="11"/>
  <c r="O198" i="11"/>
  <c r="P198" i="11"/>
  <c r="Q198" i="11"/>
  <c r="K199" i="11"/>
  <c r="L199" i="11"/>
  <c r="M199" i="11"/>
  <c r="N199" i="11"/>
  <c r="O199" i="11"/>
  <c r="P199" i="11"/>
  <c r="Q199" i="11"/>
  <c r="K200" i="11"/>
  <c r="L200" i="11"/>
  <c r="M200" i="11"/>
  <c r="N200" i="11"/>
  <c r="O200" i="11"/>
  <c r="P200" i="11"/>
  <c r="Q200" i="11"/>
  <c r="K201" i="11"/>
  <c r="L201" i="11"/>
  <c r="M201" i="11"/>
  <c r="N201" i="11"/>
  <c r="O201" i="11"/>
  <c r="P201" i="11"/>
  <c r="Q201" i="11"/>
  <c r="K202" i="11"/>
  <c r="L202" i="11"/>
  <c r="M202" i="11"/>
  <c r="N202" i="11"/>
  <c r="O202" i="11"/>
  <c r="P202" i="11"/>
  <c r="Q202" i="11"/>
  <c r="J194" i="11"/>
  <c r="J195" i="11"/>
  <c r="J196" i="11"/>
  <c r="J197" i="11"/>
  <c r="J198" i="11"/>
  <c r="J199" i="11"/>
  <c r="J200" i="11"/>
  <c r="J201" i="11"/>
  <c r="J202" i="11"/>
  <c r="J193" i="11"/>
  <c r="C193" i="11"/>
  <c r="D193" i="11"/>
  <c r="E193" i="11"/>
  <c r="F193" i="11"/>
  <c r="G193" i="11"/>
  <c r="H193" i="11"/>
  <c r="I193" i="11"/>
  <c r="C194" i="11"/>
  <c r="D194" i="11"/>
  <c r="E194" i="11"/>
  <c r="F194" i="11"/>
  <c r="G194" i="11"/>
  <c r="H194" i="11"/>
  <c r="I194" i="11"/>
  <c r="C195" i="11"/>
  <c r="D195" i="11"/>
  <c r="E195" i="11"/>
  <c r="F195" i="11"/>
  <c r="G195" i="11"/>
  <c r="H195" i="11"/>
  <c r="I195" i="11"/>
  <c r="C196" i="11"/>
  <c r="D196" i="11"/>
  <c r="E196" i="11"/>
  <c r="F196" i="11"/>
  <c r="G196" i="11"/>
  <c r="H196" i="11"/>
  <c r="I196" i="11"/>
  <c r="C197" i="11"/>
  <c r="D197" i="11"/>
  <c r="E197" i="11"/>
  <c r="F197" i="11"/>
  <c r="G197" i="11"/>
  <c r="H197" i="11"/>
  <c r="I197" i="11"/>
  <c r="C198" i="11"/>
  <c r="D198" i="11"/>
  <c r="E198" i="11"/>
  <c r="F198" i="11"/>
  <c r="G198" i="11"/>
  <c r="H198" i="11"/>
  <c r="I198" i="11"/>
  <c r="C199" i="11"/>
  <c r="D199" i="11"/>
  <c r="E199" i="11"/>
  <c r="F199" i="11"/>
  <c r="G199" i="11"/>
  <c r="H199" i="11"/>
  <c r="I199" i="11"/>
  <c r="C200" i="11"/>
  <c r="D200" i="11"/>
  <c r="E200" i="11"/>
  <c r="F200" i="11"/>
  <c r="G200" i="11"/>
  <c r="H200" i="11"/>
  <c r="I200" i="11"/>
  <c r="C201" i="11"/>
  <c r="D201" i="11"/>
  <c r="E201" i="11"/>
  <c r="F201" i="11"/>
  <c r="G201" i="11"/>
  <c r="H201" i="11"/>
  <c r="I201" i="11"/>
  <c r="C202" i="11"/>
  <c r="D202" i="11"/>
  <c r="E202" i="11"/>
  <c r="F202" i="11"/>
  <c r="G202" i="11"/>
  <c r="H202" i="11"/>
  <c r="I202" i="11"/>
  <c r="B194" i="11"/>
  <c r="B195" i="11"/>
  <c r="B196" i="11"/>
  <c r="B197" i="11"/>
  <c r="B198" i="11"/>
  <c r="B199" i="11"/>
  <c r="B200" i="11"/>
  <c r="B201" i="11"/>
  <c r="B202" i="11"/>
  <c r="B193" i="11"/>
  <c r="C172" i="11"/>
  <c r="C173" i="11"/>
  <c r="C171" i="11"/>
  <c r="C174" i="11" s="1"/>
  <c r="B174" i="11"/>
  <c r="B166" i="11"/>
  <c r="C165" i="11" s="1"/>
  <c r="H159" i="11"/>
  <c r="G159" i="11"/>
  <c r="F159" i="11"/>
  <c r="E159" i="11"/>
  <c r="H156" i="11"/>
  <c r="G156" i="11"/>
  <c r="H155" i="11"/>
  <c r="G155" i="11"/>
  <c r="F155" i="11"/>
  <c r="E155" i="11"/>
  <c r="H152" i="11"/>
  <c r="G152" i="11"/>
  <c r="H151" i="11"/>
  <c r="G151" i="11"/>
  <c r="F151" i="11"/>
  <c r="E151" i="11"/>
  <c r="H148" i="11"/>
  <c r="G148" i="11"/>
  <c r="G138" i="11"/>
  <c r="H138" i="11" s="1"/>
  <c r="F138" i="11"/>
  <c r="J138" i="11" s="1"/>
  <c r="I138" i="11" s="1"/>
  <c r="G137" i="11"/>
  <c r="H137" i="11" s="1"/>
  <c r="F137" i="11"/>
  <c r="J137" i="11" s="1"/>
  <c r="I137" i="11" s="1"/>
  <c r="E137" i="11"/>
  <c r="H136" i="11"/>
  <c r="G136" i="11"/>
  <c r="K136" i="11" s="1"/>
  <c r="L136" i="11" s="1"/>
  <c r="F136" i="11"/>
  <c r="J136" i="11" s="1"/>
  <c r="K135" i="11"/>
  <c r="J135" i="11"/>
  <c r="K131" i="11"/>
  <c r="J131" i="11"/>
  <c r="G130" i="11"/>
  <c r="K130" i="11" s="1"/>
  <c r="F130" i="11"/>
  <c r="E130" i="11" s="1"/>
  <c r="E150" i="11" s="1"/>
  <c r="G129" i="11"/>
  <c r="K129" i="11" s="1"/>
  <c r="F129" i="11"/>
  <c r="J129" i="11" s="1"/>
  <c r="K128" i="11"/>
  <c r="F128" i="11"/>
  <c r="E148" i="11" s="1"/>
  <c r="BN124" i="11"/>
  <c r="Y188" i="11" s="1"/>
  <c r="BM124" i="11"/>
  <c r="X188" i="11" s="1"/>
  <c r="BL124" i="11"/>
  <c r="W188" i="11" s="1"/>
  <c r="BK124" i="11"/>
  <c r="V188" i="11" s="1"/>
  <c r="BJ124" i="11"/>
  <c r="U188" i="11" s="1"/>
  <c r="BI124" i="11"/>
  <c r="T188" i="11" s="1"/>
  <c r="BH124" i="11"/>
  <c r="S188" i="11" s="1"/>
  <c r="BG124" i="11"/>
  <c r="R188" i="11" s="1"/>
  <c r="I124" i="11"/>
  <c r="H124" i="11"/>
  <c r="G124" i="11"/>
  <c r="BN123" i="11"/>
  <c r="Y187" i="11" s="1"/>
  <c r="BM123" i="11"/>
  <c r="X187" i="11" s="1"/>
  <c r="BL123" i="11"/>
  <c r="W187" i="11" s="1"/>
  <c r="BK123" i="11"/>
  <c r="V187" i="11" s="1"/>
  <c r="BJ123" i="11"/>
  <c r="U187" i="11" s="1"/>
  <c r="BI123" i="11"/>
  <c r="T187" i="11" s="1"/>
  <c r="BH123" i="11"/>
  <c r="S187" i="11" s="1"/>
  <c r="BG123" i="11"/>
  <c r="R187" i="11" s="1"/>
  <c r="I123" i="11"/>
  <c r="H123" i="11"/>
  <c r="G123" i="11"/>
  <c r="BN122" i="11"/>
  <c r="Y186" i="11" s="1"/>
  <c r="BM122" i="11"/>
  <c r="X186" i="11" s="1"/>
  <c r="BL122" i="11"/>
  <c r="W186" i="11" s="1"/>
  <c r="BK122" i="11"/>
  <c r="V186" i="11" s="1"/>
  <c r="BJ122" i="11"/>
  <c r="U186" i="11" s="1"/>
  <c r="BI122" i="11"/>
  <c r="T186" i="11" s="1"/>
  <c r="BH122" i="11"/>
  <c r="S186" i="11" s="1"/>
  <c r="BG122" i="11"/>
  <c r="R186" i="11" s="1"/>
  <c r="I122" i="11"/>
  <c r="H122" i="11"/>
  <c r="G122" i="11"/>
  <c r="BN121" i="11"/>
  <c r="Y185" i="11" s="1"/>
  <c r="BM121" i="11"/>
  <c r="X185" i="11" s="1"/>
  <c r="BL121" i="11"/>
  <c r="W185" i="11" s="1"/>
  <c r="BK121" i="11"/>
  <c r="V185" i="11" s="1"/>
  <c r="BJ121" i="11"/>
  <c r="U185" i="11" s="1"/>
  <c r="BI121" i="11"/>
  <c r="T185" i="11" s="1"/>
  <c r="BH121" i="11"/>
  <c r="S185" i="11" s="1"/>
  <c r="BG121" i="11"/>
  <c r="R185" i="11" s="1"/>
  <c r="I121" i="11"/>
  <c r="H121" i="11"/>
  <c r="G121" i="11"/>
  <c r="BN120" i="11"/>
  <c r="Y184" i="11" s="1"/>
  <c r="BM120" i="11"/>
  <c r="X184" i="11" s="1"/>
  <c r="BL120" i="11"/>
  <c r="W184" i="11" s="1"/>
  <c r="BK120" i="11"/>
  <c r="V184" i="11" s="1"/>
  <c r="BJ120" i="11"/>
  <c r="U184" i="11" s="1"/>
  <c r="BI120" i="11"/>
  <c r="T184" i="11" s="1"/>
  <c r="BH120" i="11"/>
  <c r="S184" i="11" s="1"/>
  <c r="BG120" i="11"/>
  <c r="R184" i="11" s="1"/>
  <c r="I120" i="11"/>
  <c r="H120" i="11"/>
  <c r="G120" i="11"/>
  <c r="BN119" i="11"/>
  <c r="Y183" i="11" s="1"/>
  <c r="BM119" i="11"/>
  <c r="X183" i="11" s="1"/>
  <c r="BL119" i="11"/>
  <c r="W183" i="11" s="1"/>
  <c r="BK119" i="11"/>
  <c r="V183" i="11" s="1"/>
  <c r="BJ119" i="11"/>
  <c r="U183" i="11" s="1"/>
  <c r="BI119" i="11"/>
  <c r="T183" i="11" s="1"/>
  <c r="BH119" i="11"/>
  <c r="S183" i="11" s="1"/>
  <c r="BG119" i="11"/>
  <c r="R183" i="11" s="1"/>
  <c r="I119" i="11"/>
  <c r="H119" i="11"/>
  <c r="G119" i="11"/>
  <c r="BN118" i="11"/>
  <c r="Y182" i="11" s="1"/>
  <c r="BM118" i="11"/>
  <c r="X182" i="11" s="1"/>
  <c r="BL118" i="11"/>
  <c r="W182" i="11" s="1"/>
  <c r="BK118" i="11"/>
  <c r="V182" i="11" s="1"/>
  <c r="BJ118" i="11"/>
  <c r="U182" i="11" s="1"/>
  <c r="BI118" i="11"/>
  <c r="T182" i="11" s="1"/>
  <c r="BH118" i="11"/>
  <c r="S182" i="11" s="1"/>
  <c r="BG118" i="11"/>
  <c r="R182" i="11" s="1"/>
  <c r="I118" i="11"/>
  <c r="H118" i="11"/>
  <c r="G118" i="11"/>
  <c r="BN117" i="11"/>
  <c r="Y181" i="11" s="1"/>
  <c r="BM117" i="11"/>
  <c r="X181" i="11" s="1"/>
  <c r="BL117" i="11"/>
  <c r="W181" i="11" s="1"/>
  <c r="BK117" i="11"/>
  <c r="V181" i="11" s="1"/>
  <c r="BJ117" i="11"/>
  <c r="U181" i="11" s="1"/>
  <c r="BI117" i="11"/>
  <c r="T181" i="11" s="1"/>
  <c r="BH117" i="11"/>
  <c r="S181" i="11" s="1"/>
  <c r="BG117" i="11"/>
  <c r="R181" i="11" s="1"/>
  <c r="I117" i="11"/>
  <c r="H117" i="11"/>
  <c r="G117" i="11"/>
  <c r="BN116" i="11"/>
  <c r="Y180" i="11" s="1"/>
  <c r="BM116" i="11"/>
  <c r="X180" i="11" s="1"/>
  <c r="BL116" i="11"/>
  <c r="W180" i="11" s="1"/>
  <c r="BK116" i="11"/>
  <c r="V180" i="11" s="1"/>
  <c r="BJ116" i="11"/>
  <c r="U180" i="11" s="1"/>
  <c r="BI116" i="11"/>
  <c r="T180" i="11" s="1"/>
  <c r="BH116" i="11"/>
  <c r="S180" i="11" s="1"/>
  <c r="BG116" i="11"/>
  <c r="R180" i="11" s="1"/>
  <c r="I116" i="11"/>
  <c r="H116" i="11"/>
  <c r="G116" i="11"/>
  <c r="BN115" i="11"/>
  <c r="Y179" i="11" s="1"/>
  <c r="BM115" i="11"/>
  <c r="X179" i="11" s="1"/>
  <c r="BL115" i="11"/>
  <c r="W179" i="11" s="1"/>
  <c r="BK115" i="11"/>
  <c r="V179" i="11" s="1"/>
  <c r="BJ115" i="11"/>
  <c r="U179" i="11" s="1"/>
  <c r="BI115" i="11"/>
  <c r="T179" i="11" s="1"/>
  <c r="BH115" i="11"/>
  <c r="S179" i="11" s="1"/>
  <c r="BG115" i="11"/>
  <c r="R179" i="11" s="1"/>
  <c r="I115" i="11"/>
  <c r="H115" i="11"/>
  <c r="G115" i="11"/>
  <c r="H107" i="11"/>
  <c r="G107" i="11"/>
  <c r="F107" i="11"/>
  <c r="E107" i="11"/>
  <c r="H104" i="11"/>
  <c r="G104" i="11"/>
  <c r="H103" i="11"/>
  <c r="G103" i="11"/>
  <c r="F103" i="11"/>
  <c r="E103" i="11"/>
  <c r="H100" i="11"/>
  <c r="G100" i="11"/>
  <c r="H99" i="11"/>
  <c r="G99" i="11"/>
  <c r="F99" i="11"/>
  <c r="E99" i="11"/>
  <c r="H96" i="11"/>
  <c r="G96" i="11"/>
  <c r="G86" i="11"/>
  <c r="K86" i="11" s="1"/>
  <c r="L86" i="11" s="1"/>
  <c r="F86" i="11"/>
  <c r="J86" i="11" s="1"/>
  <c r="I86" i="11" s="1"/>
  <c r="G85" i="11"/>
  <c r="K85" i="11" s="1"/>
  <c r="L85" i="11" s="1"/>
  <c r="F85" i="11"/>
  <c r="J85" i="11" s="1"/>
  <c r="I85" i="11" s="1"/>
  <c r="G84" i="11"/>
  <c r="H84" i="11" s="1"/>
  <c r="F84" i="11"/>
  <c r="J84" i="11" s="1"/>
  <c r="K83" i="11"/>
  <c r="J83" i="11"/>
  <c r="K79" i="11"/>
  <c r="L107" i="11" s="1"/>
  <c r="J79" i="11"/>
  <c r="J107" i="11" s="1"/>
  <c r="J78" i="11"/>
  <c r="J106" i="11" s="1"/>
  <c r="G78" i="11"/>
  <c r="G106" i="11" s="1"/>
  <c r="F78" i="11"/>
  <c r="F106" i="11" s="1"/>
  <c r="G77" i="11"/>
  <c r="H77" i="11" s="1"/>
  <c r="F77" i="11"/>
  <c r="F105" i="11" s="1"/>
  <c r="K76" i="11"/>
  <c r="L100" i="11" s="1"/>
  <c r="F76" i="11"/>
  <c r="F104" i="11" s="1"/>
  <c r="BN72" i="11"/>
  <c r="Q188" i="11" s="1"/>
  <c r="BM72" i="11"/>
  <c r="P188" i="11" s="1"/>
  <c r="BL72" i="11"/>
  <c r="O188" i="11" s="1"/>
  <c r="BK72" i="11"/>
  <c r="N188" i="11" s="1"/>
  <c r="BJ72" i="11"/>
  <c r="M188" i="11" s="1"/>
  <c r="BI72" i="11"/>
  <c r="L188" i="11" s="1"/>
  <c r="BH72" i="11"/>
  <c r="K188" i="11" s="1"/>
  <c r="BG72" i="11"/>
  <c r="J188" i="11" s="1"/>
  <c r="I72" i="11"/>
  <c r="H72" i="11"/>
  <c r="G72" i="11"/>
  <c r="BN71" i="11"/>
  <c r="Q187" i="11" s="1"/>
  <c r="BM71" i="11"/>
  <c r="P187" i="11" s="1"/>
  <c r="BL71" i="11"/>
  <c r="O187" i="11" s="1"/>
  <c r="BK71" i="11"/>
  <c r="N187" i="11" s="1"/>
  <c r="BJ71" i="11"/>
  <c r="M187" i="11" s="1"/>
  <c r="BI71" i="11"/>
  <c r="L187" i="11" s="1"/>
  <c r="BH71" i="11"/>
  <c r="K187" i="11" s="1"/>
  <c r="BG71" i="11"/>
  <c r="J187" i="11" s="1"/>
  <c r="I71" i="11"/>
  <c r="H71" i="11"/>
  <c r="G71" i="11"/>
  <c r="BN70" i="11"/>
  <c r="Q186" i="11" s="1"/>
  <c r="BM70" i="11"/>
  <c r="P186" i="11" s="1"/>
  <c r="BL70" i="11"/>
  <c r="O186" i="11" s="1"/>
  <c r="BK70" i="11"/>
  <c r="N186" i="11" s="1"/>
  <c r="BJ70" i="11"/>
  <c r="M186" i="11" s="1"/>
  <c r="BI70" i="11"/>
  <c r="L186" i="11" s="1"/>
  <c r="BH70" i="11"/>
  <c r="K186" i="11" s="1"/>
  <c r="BG70" i="11"/>
  <c r="J186" i="11" s="1"/>
  <c r="I70" i="11"/>
  <c r="H70" i="11"/>
  <c r="G70" i="11"/>
  <c r="BN69" i="11"/>
  <c r="Q185" i="11" s="1"/>
  <c r="BM69" i="11"/>
  <c r="P185" i="11" s="1"/>
  <c r="BL69" i="11"/>
  <c r="O185" i="11" s="1"/>
  <c r="BK69" i="11"/>
  <c r="N185" i="11" s="1"/>
  <c r="BJ69" i="11"/>
  <c r="M185" i="11" s="1"/>
  <c r="BI69" i="11"/>
  <c r="L185" i="11" s="1"/>
  <c r="BH69" i="11"/>
  <c r="K185" i="11" s="1"/>
  <c r="BG69" i="11"/>
  <c r="J185" i="11" s="1"/>
  <c r="I69" i="11"/>
  <c r="H69" i="11"/>
  <c r="G69" i="11"/>
  <c r="BN68" i="11"/>
  <c r="Q184" i="11" s="1"/>
  <c r="BM68" i="11"/>
  <c r="P184" i="11" s="1"/>
  <c r="BL68" i="11"/>
  <c r="O184" i="11" s="1"/>
  <c r="BK68" i="11"/>
  <c r="N184" i="11" s="1"/>
  <c r="BJ68" i="11"/>
  <c r="M184" i="11" s="1"/>
  <c r="BI68" i="11"/>
  <c r="L184" i="11" s="1"/>
  <c r="BH68" i="11"/>
  <c r="K184" i="11" s="1"/>
  <c r="BG68" i="11"/>
  <c r="J184" i="11" s="1"/>
  <c r="I68" i="11"/>
  <c r="H68" i="11"/>
  <c r="G68" i="11"/>
  <c r="BN67" i="11"/>
  <c r="Q183" i="11" s="1"/>
  <c r="BM67" i="11"/>
  <c r="P183" i="11" s="1"/>
  <c r="BL67" i="11"/>
  <c r="O183" i="11" s="1"/>
  <c r="BK67" i="11"/>
  <c r="N183" i="11" s="1"/>
  <c r="BJ67" i="11"/>
  <c r="M183" i="11" s="1"/>
  <c r="BI67" i="11"/>
  <c r="L183" i="11" s="1"/>
  <c r="BH67" i="11"/>
  <c r="K183" i="11" s="1"/>
  <c r="BG67" i="11"/>
  <c r="J183" i="11" s="1"/>
  <c r="I67" i="11"/>
  <c r="H67" i="11"/>
  <c r="G67" i="11"/>
  <c r="BN66" i="11"/>
  <c r="Q182" i="11" s="1"/>
  <c r="BM66" i="11"/>
  <c r="P182" i="11" s="1"/>
  <c r="BL66" i="11"/>
  <c r="O182" i="11" s="1"/>
  <c r="BK66" i="11"/>
  <c r="N182" i="11" s="1"/>
  <c r="BJ66" i="11"/>
  <c r="M182" i="11" s="1"/>
  <c r="BI66" i="11"/>
  <c r="L182" i="11" s="1"/>
  <c r="BH66" i="11"/>
  <c r="K182" i="11" s="1"/>
  <c r="BG66" i="11"/>
  <c r="J182" i="11" s="1"/>
  <c r="I66" i="11"/>
  <c r="H66" i="11"/>
  <c r="G66" i="11"/>
  <c r="BN65" i="11"/>
  <c r="Q181" i="11" s="1"/>
  <c r="BM65" i="11"/>
  <c r="P181" i="11" s="1"/>
  <c r="BL65" i="11"/>
  <c r="O181" i="11" s="1"/>
  <c r="BK65" i="11"/>
  <c r="N181" i="11" s="1"/>
  <c r="BJ65" i="11"/>
  <c r="M181" i="11" s="1"/>
  <c r="BI65" i="11"/>
  <c r="L181" i="11" s="1"/>
  <c r="BH65" i="11"/>
  <c r="K181" i="11" s="1"/>
  <c r="BG65" i="11"/>
  <c r="J181" i="11" s="1"/>
  <c r="I65" i="11"/>
  <c r="H65" i="11"/>
  <c r="G65" i="11"/>
  <c r="BN64" i="11"/>
  <c r="Q180" i="11" s="1"/>
  <c r="BM64" i="11"/>
  <c r="P180" i="11" s="1"/>
  <c r="BL64" i="11"/>
  <c r="O180" i="11" s="1"/>
  <c r="BK64" i="11"/>
  <c r="N180" i="11" s="1"/>
  <c r="BJ64" i="11"/>
  <c r="M180" i="11" s="1"/>
  <c r="BI64" i="11"/>
  <c r="L180" i="11" s="1"/>
  <c r="BH64" i="11"/>
  <c r="K180" i="11" s="1"/>
  <c r="BG64" i="11"/>
  <c r="J180" i="11" s="1"/>
  <c r="I64" i="11"/>
  <c r="H64" i="11"/>
  <c r="G64" i="11"/>
  <c r="BN63" i="11"/>
  <c r="Q179" i="11" s="1"/>
  <c r="BM63" i="11"/>
  <c r="P179" i="11" s="1"/>
  <c r="BL63" i="11"/>
  <c r="O179" i="11" s="1"/>
  <c r="BK63" i="11"/>
  <c r="N179" i="11" s="1"/>
  <c r="BJ63" i="11"/>
  <c r="M179" i="11" s="1"/>
  <c r="BI63" i="11"/>
  <c r="L179" i="11" s="1"/>
  <c r="BH63" i="11"/>
  <c r="K179" i="11" s="1"/>
  <c r="BG63" i="11"/>
  <c r="J179" i="11" s="1"/>
  <c r="I63" i="11"/>
  <c r="H63" i="11"/>
  <c r="G63" i="11"/>
  <c r="H55" i="11"/>
  <c r="G55" i="11"/>
  <c r="F55" i="11"/>
  <c r="E55" i="11"/>
  <c r="H52" i="11"/>
  <c r="G52" i="11"/>
  <c r="H51" i="11"/>
  <c r="G51" i="11"/>
  <c r="F51" i="11"/>
  <c r="E51" i="11"/>
  <c r="H48" i="11"/>
  <c r="G48" i="11"/>
  <c r="H47" i="11"/>
  <c r="G47" i="11"/>
  <c r="F47" i="11"/>
  <c r="E47" i="11"/>
  <c r="H44" i="11"/>
  <c r="G44" i="11"/>
  <c r="G34" i="11"/>
  <c r="H34" i="11" s="1"/>
  <c r="F34" i="11"/>
  <c r="J34" i="11" s="1"/>
  <c r="I34" i="11" s="1"/>
  <c r="G33" i="11"/>
  <c r="H33" i="11" s="1"/>
  <c r="F33" i="11"/>
  <c r="J33" i="11" s="1"/>
  <c r="I33" i="11" s="1"/>
  <c r="G32" i="11"/>
  <c r="H32" i="11" s="1"/>
  <c r="F32" i="11"/>
  <c r="J32" i="11" s="1"/>
  <c r="K31" i="11"/>
  <c r="J31" i="11"/>
  <c r="K27" i="11"/>
  <c r="L55" i="11" s="1"/>
  <c r="J27" i="11"/>
  <c r="I55" i="11" s="1"/>
  <c r="G26" i="11"/>
  <c r="H54" i="11" s="1"/>
  <c r="F26" i="11"/>
  <c r="F54" i="11" s="1"/>
  <c r="J25" i="11"/>
  <c r="J53" i="11" s="1"/>
  <c r="G25" i="11"/>
  <c r="H25" i="11" s="1"/>
  <c r="F25" i="11"/>
  <c r="E53" i="11" s="1"/>
  <c r="K24" i="11"/>
  <c r="L52" i="11" s="1"/>
  <c r="F24" i="11"/>
  <c r="E52" i="11" s="1"/>
  <c r="BN20" i="11"/>
  <c r="I188" i="11" s="1"/>
  <c r="BM20" i="11"/>
  <c r="H188" i="11" s="1"/>
  <c r="BL20" i="11"/>
  <c r="G188" i="11" s="1"/>
  <c r="BK20" i="11"/>
  <c r="F188" i="11" s="1"/>
  <c r="BJ20" i="11"/>
  <c r="E188" i="11" s="1"/>
  <c r="BI20" i="11"/>
  <c r="D188" i="11" s="1"/>
  <c r="BH20" i="11"/>
  <c r="C188" i="11" s="1"/>
  <c r="BG20" i="11"/>
  <c r="B188" i="11" s="1"/>
  <c r="I20" i="11"/>
  <c r="H20" i="11"/>
  <c r="G20" i="11"/>
  <c r="BN19" i="11"/>
  <c r="I187" i="11" s="1"/>
  <c r="BM19" i="11"/>
  <c r="H187" i="11" s="1"/>
  <c r="BL19" i="11"/>
  <c r="G187" i="11" s="1"/>
  <c r="BK19" i="11"/>
  <c r="F187" i="11" s="1"/>
  <c r="BJ19" i="11"/>
  <c r="E187" i="11" s="1"/>
  <c r="BI19" i="11"/>
  <c r="D187" i="11" s="1"/>
  <c r="BH19" i="11"/>
  <c r="C187" i="11" s="1"/>
  <c r="BG19" i="11"/>
  <c r="B187" i="11" s="1"/>
  <c r="I19" i="11"/>
  <c r="H19" i="11"/>
  <c r="G19" i="11"/>
  <c r="BN18" i="11"/>
  <c r="I186" i="11" s="1"/>
  <c r="BM18" i="11"/>
  <c r="H186" i="11" s="1"/>
  <c r="BL18" i="11"/>
  <c r="G186" i="11" s="1"/>
  <c r="BK18" i="11"/>
  <c r="F186" i="11" s="1"/>
  <c r="BJ18" i="11"/>
  <c r="E186" i="11" s="1"/>
  <c r="BI18" i="11"/>
  <c r="D186" i="11" s="1"/>
  <c r="BH18" i="11"/>
  <c r="C186" i="11" s="1"/>
  <c r="BG18" i="11"/>
  <c r="B186" i="11" s="1"/>
  <c r="I18" i="11"/>
  <c r="H18" i="11"/>
  <c r="G18" i="11"/>
  <c r="J18" i="11" s="1"/>
  <c r="BN17" i="11"/>
  <c r="I185" i="11" s="1"/>
  <c r="BM17" i="11"/>
  <c r="H185" i="11" s="1"/>
  <c r="BL17" i="11"/>
  <c r="G185" i="11" s="1"/>
  <c r="BK17" i="11"/>
  <c r="F185" i="11" s="1"/>
  <c r="BJ17" i="11"/>
  <c r="E185" i="11" s="1"/>
  <c r="BI17" i="11"/>
  <c r="D185" i="11" s="1"/>
  <c r="BH17" i="11"/>
  <c r="C185" i="11" s="1"/>
  <c r="BG17" i="11"/>
  <c r="B185" i="11" s="1"/>
  <c r="I17" i="11"/>
  <c r="H17" i="11"/>
  <c r="G17" i="11"/>
  <c r="BN16" i="11"/>
  <c r="I184" i="11" s="1"/>
  <c r="BM16" i="11"/>
  <c r="H184" i="11" s="1"/>
  <c r="BL16" i="11"/>
  <c r="G184" i="11" s="1"/>
  <c r="BK16" i="11"/>
  <c r="F184" i="11" s="1"/>
  <c r="BJ16" i="11"/>
  <c r="E184" i="11" s="1"/>
  <c r="BI16" i="11"/>
  <c r="D184" i="11" s="1"/>
  <c r="BH16" i="11"/>
  <c r="C184" i="11" s="1"/>
  <c r="BG16" i="11"/>
  <c r="B184" i="11" s="1"/>
  <c r="I16" i="11"/>
  <c r="H16" i="11"/>
  <c r="G16" i="11"/>
  <c r="BN15" i="11"/>
  <c r="I183" i="11" s="1"/>
  <c r="BM15" i="11"/>
  <c r="H183" i="11" s="1"/>
  <c r="BL15" i="11"/>
  <c r="G183" i="11" s="1"/>
  <c r="BK15" i="11"/>
  <c r="F183" i="11" s="1"/>
  <c r="BJ15" i="11"/>
  <c r="E183" i="11" s="1"/>
  <c r="BI15" i="11"/>
  <c r="D183" i="11" s="1"/>
  <c r="BH15" i="11"/>
  <c r="C183" i="11" s="1"/>
  <c r="BG15" i="11"/>
  <c r="B183" i="11" s="1"/>
  <c r="I15" i="11"/>
  <c r="H15" i="11"/>
  <c r="G15" i="11"/>
  <c r="BN14" i="11"/>
  <c r="I182" i="11" s="1"/>
  <c r="BM14" i="11"/>
  <c r="H182" i="11" s="1"/>
  <c r="BL14" i="11"/>
  <c r="G182" i="11" s="1"/>
  <c r="BK14" i="11"/>
  <c r="F182" i="11" s="1"/>
  <c r="BJ14" i="11"/>
  <c r="E182" i="11" s="1"/>
  <c r="BI14" i="11"/>
  <c r="D182" i="11" s="1"/>
  <c r="BH14" i="11"/>
  <c r="C182" i="11" s="1"/>
  <c r="BG14" i="11"/>
  <c r="B182" i="11" s="1"/>
  <c r="I14" i="11"/>
  <c r="H14" i="11"/>
  <c r="G14" i="11"/>
  <c r="BN13" i="11"/>
  <c r="I181" i="11" s="1"/>
  <c r="BM13" i="11"/>
  <c r="H181" i="11" s="1"/>
  <c r="BL13" i="11"/>
  <c r="G181" i="11" s="1"/>
  <c r="BK13" i="11"/>
  <c r="F181" i="11" s="1"/>
  <c r="BJ13" i="11"/>
  <c r="E181" i="11" s="1"/>
  <c r="BI13" i="11"/>
  <c r="D181" i="11" s="1"/>
  <c r="BH13" i="11"/>
  <c r="C181" i="11" s="1"/>
  <c r="BG13" i="11"/>
  <c r="B181" i="11" s="1"/>
  <c r="I13" i="11"/>
  <c r="H13" i="11"/>
  <c r="G13" i="11"/>
  <c r="BN12" i="11"/>
  <c r="I180" i="11" s="1"/>
  <c r="BM12" i="11"/>
  <c r="H180" i="11" s="1"/>
  <c r="BL12" i="11"/>
  <c r="G180" i="11" s="1"/>
  <c r="BK12" i="11"/>
  <c r="F180" i="11" s="1"/>
  <c r="BJ12" i="11"/>
  <c r="E180" i="11" s="1"/>
  <c r="BI12" i="11"/>
  <c r="D180" i="11" s="1"/>
  <c r="BH12" i="11"/>
  <c r="C180" i="11" s="1"/>
  <c r="BG12" i="11"/>
  <c r="B180" i="11" s="1"/>
  <c r="I12" i="11"/>
  <c r="H12" i="11"/>
  <c r="G12" i="11"/>
  <c r="BN11" i="11"/>
  <c r="I179" i="11" s="1"/>
  <c r="BM11" i="11"/>
  <c r="H179" i="11" s="1"/>
  <c r="BL11" i="11"/>
  <c r="G179" i="11" s="1"/>
  <c r="BK11" i="11"/>
  <c r="F179" i="11" s="1"/>
  <c r="BJ11" i="11"/>
  <c r="E179" i="11" s="1"/>
  <c r="BI11" i="11"/>
  <c r="D179" i="11" s="1"/>
  <c r="BH11" i="11"/>
  <c r="C179" i="11" s="1"/>
  <c r="BG11" i="11"/>
  <c r="B179" i="11" s="1"/>
  <c r="I11" i="11"/>
  <c r="H11" i="11"/>
  <c r="G11" i="11"/>
  <c r="B205" i="10"/>
  <c r="R178" i="10"/>
  <c r="S178" i="10"/>
  <c r="T178" i="10"/>
  <c r="U178" i="10"/>
  <c r="U206" i="10" s="1"/>
  <c r="V178" i="10"/>
  <c r="W178" i="10"/>
  <c r="X178" i="10"/>
  <c r="Y178" i="10"/>
  <c r="Y206" i="10" s="1"/>
  <c r="R179" i="10"/>
  <c r="S179" i="10"/>
  <c r="T179" i="10"/>
  <c r="U179" i="10"/>
  <c r="U207" i="10" s="1"/>
  <c r="V179" i="10"/>
  <c r="W179" i="10"/>
  <c r="X179" i="10"/>
  <c r="Y179" i="10"/>
  <c r="Y207" i="10" s="1"/>
  <c r="R180" i="10"/>
  <c r="S180" i="10"/>
  <c r="T180" i="10"/>
  <c r="U180" i="10"/>
  <c r="U208" i="10" s="1"/>
  <c r="V180" i="10"/>
  <c r="W180" i="10"/>
  <c r="X180" i="10"/>
  <c r="Y180" i="10"/>
  <c r="Y208" i="10" s="1"/>
  <c r="R181" i="10"/>
  <c r="S181" i="10"/>
  <c r="T181" i="10"/>
  <c r="U181" i="10"/>
  <c r="U209" i="10" s="1"/>
  <c r="V181" i="10"/>
  <c r="W181" i="10"/>
  <c r="X181" i="10"/>
  <c r="Y181" i="10"/>
  <c r="Y209" i="10" s="1"/>
  <c r="R182" i="10"/>
  <c r="S182" i="10"/>
  <c r="T182" i="10"/>
  <c r="U182" i="10"/>
  <c r="U210" i="10" s="1"/>
  <c r="V182" i="10"/>
  <c r="W182" i="10"/>
  <c r="X182" i="10"/>
  <c r="Y182" i="10"/>
  <c r="Y210" i="10" s="1"/>
  <c r="R183" i="10"/>
  <c r="S183" i="10"/>
  <c r="T183" i="10"/>
  <c r="U183" i="10"/>
  <c r="U211" i="10" s="1"/>
  <c r="V183" i="10"/>
  <c r="W183" i="10"/>
  <c r="X183" i="10"/>
  <c r="Y183" i="10"/>
  <c r="Y211" i="10" s="1"/>
  <c r="R184" i="10"/>
  <c r="S184" i="10"/>
  <c r="T184" i="10"/>
  <c r="U184" i="10"/>
  <c r="U212" i="10" s="1"/>
  <c r="V184" i="10"/>
  <c r="W184" i="10"/>
  <c r="X184" i="10"/>
  <c r="Y184" i="10"/>
  <c r="Y212" i="10" s="1"/>
  <c r="R185" i="10"/>
  <c r="S185" i="10"/>
  <c r="T185" i="10"/>
  <c r="U185" i="10"/>
  <c r="U213" i="10" s="1"/>
  <c r="V185" i="10"/>
  <c r="W185" i="10"/>
  <c r="X185" i="10"/>
  <c r="Y185" i="10"/>
  <c r="Y213" i="10" s="1"/>
  <c r="R186" i="10"/>
  <c r="S186" i="10"/>
  <c r="T186" i="10"/>
  <c r="U186" i="10"/>
  <c r="U214" i="10" s="1"/>
  <c r="V186" i="10"/>
  <c r="W186" i="10"/>
  <c r="X186" i="10"/>
  <c r="Y186" i="10"/>
  <c r="Y214" i="10" s="1"/>
  <c r="S177" i="10"/>
  <c r="T177" i="10"/>
  <c r="U177" i="10"/>
  <c r="V177" i="10"/>
  <c r="W177" i="10"/>
  <c r="X177" i="10"/>
  <c r="Y177" i="10"/>
  <c r="R177" i="10"/>
  <c r="J178" i="10"/>
  <c r="K178" i="10"/>
  <c r="L178" i="10"/>
  <c r="L206" i="10" s="1"/>
  <c r="M178" i="10"/>
  <c r="M192" i="10" s="1"/>
  <c r="N178" i="10"/>
  <c r="O178" i="10"/>
  <c r="P178" i="10"/>
  <c r="P206" i="10" s="1"/>
  <c r="Q178" i="10"/>
  <c r="Q206" i="10" s="1"/>
  <c r="J179" i="10"/>
  <c r="K179" i="10"/>
  <c r="L179" i="10"/>
  <c r="L207" i="10" s="1"/>
  <c r="M179" i="10"/>
  <c r="M207" i="10" s="1"/>
  <c r="N179" i="10"/>
  <c r="O179" i="10"/>
  <c r="P179" i="10"/>
  <c r="P207" i="10" s="1"/>
  <c r="Q179" i="10"/>
  <c r="Q207" i="10" s="1"/>
  <c r="J180" i="10"/>
  <c r="K180" i="10"/>
  <c r="L180" i="10"/>
  <c r="L208" i="10" s="1"/>
  <c r="M180" i="10"/>
  <c r="M208" i="10" s="1"/>
  <c r="N180" i="10"/>
  <c r="O180" i="10"/>
  <c r="P180" i="10"/>
  <c r="P208" i="10" s="1"/>
  <c r="Q180" i="10"/>
  <c r="Q208" i="10" s="1"/>
  <c r="J181" i="10"/>
  <c r="K181" i="10"/>
  <c r="L181" i="10"/>
  <c r="L209" i="10" s="1"/>
  <c r="M181" i="10"/>
  <c r="M209" i="10" s="1"/>
  <c r="N181" i="10"/>
  <c r="O181" i="10"/>
  <c r="P181" i="10"/>
  <c r="P209" i="10" s="1"/>
  <c r="Q181" i="10"/>
  <c r="Q209" i="10" s="1"/>
  <c r="J182" i="10"/>
  <c r="K182" i="10"/>
  <c r="L182" i="10"/>
  <c r="L210" i="10" s="1"/>
  <c r="M182" i="10"/>
  <c r="M196" i="10" s="1"/>
  <c r="N182" i="10"/>
  <c r="O182" i="10"/>
  <c r="P182" i="10"/>
  <c r="P210" i="10" s="1"/>
  <c r="Q182" i="10"/>
  <c r="Q210" i="10" s="1"/>
  <c r="J183" i="10"/>
  <c r="K183" i="10"/>
  <c r="L183" i="10"/>
  <c r="L211" i="10" s="1"/>
  <c r="M183" i="10"/>
  <c r="M211" i="10" s="1"/>
  <c r="N183" i="10"/>
  <c r="O183" i="10"/>
  <c r="P183" i="10"/>
  <c r="P211" i="10" s="1"/>
  <c r="Q183" i="10"/>
  <c r="Q211" i="10" s="1"/>
  <c r="J184" i="10"/>
  <c r="K184" i="10"/>
  <c r="L184" i="10"/>
  <c r="L212" i="10" s="1"/>
  <c r="M184" i="10"/>
  <c r="M212" i="10" s="1"/>
  <c r="N184" i="10"/>
  <c r="O184" i="10"/>
  <c r="P184" i="10"/>
  <c r="P212" i="10" s="1"/>
  <c r="Q184" i="10"/>
  <c r="Q212" i="10" s="1"/>
  <c r="J185" i="10"/>
  <c r="K185" i="10"/>
  <c r="L185" i="10"/>
  <c r="L213" i="10" s="1"/>
  <c r="M185" i="10"/>
  <c r="M213" i="10" s="1"/>
  <c r="N185" i="10"/>
  <c r="O185" i="10"/>
  <c r="P185" i="10"/>
  <c r="P213" i="10" s="1"/>
  <c r="Q185" i="10"/>
  <c r="Q213" i="10" s="1"/>
  <c r="J186" i="10"/>
  <c r="K186" i="10"/>
  <c r="L186" i="10"/>
  <c r="L214" i="10" s="1"/>
  <c r="M186" i="10"/>
  <c r="M200" i="10" s="1"/>
  <c r="N186" i="10"/>
  <c r="O186" i="10"/>
  <c r="P186" i="10"/>
  <c r="P214" i="10" s="1"/>
  <c r="Q186" i="10"/>
  <c r="Q214" i="10" s="1"/>
  <c r="K177" i="10"/>
  <c r="L177" i="10"/>
  <c r="M177" i="10"/>
  <c r="N177" i="10"/>
  <c r="O177" i="10"/>
  <c r="P177" i="10"/>
  <c r="Q177" i="10"/>
  <c r="J177" i="10"/>
  <c r="B178" i="10"/>
  <c r="C178" i="10"/>
  <c r="D178" i="10"/>
  <c r="E178" i="10"/>
  <c r="F178" i="10"/>
  <c r="G178" i="10"/>
  <c r="H178" i="10"/>
  <c r="I178" i="10"/>
  <c r="B179" i="10"/>
  <c r="C179" i="10"/>
  <c r="D179" i="10"/>
  <c r="E179" i="10"/>
  <c r="E193" i="10" s="1"/>
  <c r="F179" i="10"/>
  <c r="G179" i="10"/>
  <c r="H179" i="10"/>
  <c r="I179" i="10"/>
  <c r="B180" i="10"/>
  <c r="C180" i="10"/>
  <c r="D180" i="10"/>
  <c r="D194" i="10" s="1"/>
  <c r="E180" i="10"/>
  <c r="E194" i="10" s="1"/>
  <c r="F180" i="10"/>
  <c r="G180" i="10"/>
  <c r="H180" i="10"/>
  <c r="I180" i="10"/>
  <c r="B181" i="10"/>
  <c r="C181" i="10"/>
  <c r="D181" i="10"/>
  <c r="E181" i="10"/>
  <c r="F181" i="10"/>
  <c r="G181" i="10"/>
  <c r="H181" i="10"/>
  <c r="I181" i="10"/>
  <c r="B182" i="10"/>
  <c r="C182" i="10"/>
  <c r="D182" i="10"/>
  <c r="E182" i="10"/>
  <c r="F182" i="10"/>
  <c r="G182" i="10"/>
  <c r="H182" i="10"/>
  <c r="I182" i="10"/>
  <c r="B183" i="10"/>
  <c r="C183" i="10"/>
  <c r="D183" i="10"/>
  <c r="E183" i="10"/>
  <c r="E197" i="10" s="1"/>
  <c r="F183" i="10"/>
  <c r="G183" i="10"/>
  <c r="H183" i="10"/>
  <c r="I183" i="10"/>
  <c r="B184" i="10"/>
  <c r="C184" i="10"/>
  <c r="D184" i="10"/>
  <c r="D198" i="10" s="1"/>
  <c r="E184" i="10"/>
  <c r="E198" i="10" s="1"/>
  <c r="F184" i="10"/>
  <c r="G184" i="10"/>
  <c r="H184" i="10"/>
  <c r="I184" i="10"/>
  <c r="B185" i="10"/>
  <c r="C185" i="10"/>
  <c r="D185" i="10"/>
  <c r="E185" i="10"/>
  <c r="F185" i="10"/>
  <c r="G185" i="10"/>
  <c r="H185" i="10"/>
  <c r="I185" i="10"/>
  <c r="B186" i="10"/>
  <c r="C186" i="10"/>
  <c r="D186" i="10"/>
  <c r="E186" i="10"/>
  <c r="F186" i="10"/>
  <c r="G186" i="10"/>
  <c r="H186" i="10"/>
  <c r="I186" i="10"/>
  <c r="C177" i="10"/>
  <c r="D177" i="10"/>
  <c r="E177" i="10"/>
  <c r="F177" i="10"/>
  <c r="F205" i="10" s="1"/>
  <c r="G177" i="10"/>
  <c r="H177" i="10"/>
  <c r="I177" i="10"/>
  <c r="B177" i="10"/>
  <c r="B191" i="10" s="1"/>
  <c r="E157" i="10"/>
  <c r="F157" i="10"/>
  <c r="G157" i="10"/>
  <c r="H157" i="10"/>
  <c r="I157" i="10"/>
  <c r="J157" i="10"/>
  <c r="K157" i="10"/>
  <c r="L157" i="10"/>
  <c r="E158" i="10"/>
  <c r="F158" i="10"/>
  <c r="G158" i="10"/>
  <c r="H158" i="10"/>
  <c r="I158" i="10"/>
  <c r="J158" i="10"/>
  <c r="K158" i="10"/>
  <c r="L158" i="10"/>
  <c r="E159" i="10"/>
  <c r="F159" i="10"/>
  <c r="G159" i="10"/>
  <c r="H159" i="10"/>
  <c r="I159" i="10"/>
  <c r="J159" i="10"/>
  <c r="K159" i="10"/>
  <c r="L159" i="10"/>
  <c r="L156" i="10"/>
  <c r="K156" i="10"/>
  <c r="J156" i="10"/>
  <c r="I156" i="10"/>
  <c r="H156" i="10"/>
  <c r="G156" i="10"/>
  <c r="F156" i="10"/>
  <c r="E156" i="10"/>
  <c r="E153" i="10"/>
  <c r="F153" i="10"/>
  <c r="G153" i="10"/>
  <c r="H153" i="10"/>
  <c r="I153" i="10"/>
  <c r="J153" i="10"/>
  <c r="K153" i="10"/>
  <c r="L153" i="10"/>
  <c r="E154" i="10"/>
  <c r="F154" i="10"/>
  <c r="G154" i="10"/>
  <c r="H154" i="10"/>
  <c r="I154" i="10"/>
  <c r="J154" i="10"/>
  <c r="K154" i="10"/>
  <c r="L154" i="10"/>
  <c r="E155" i="10"/>
  <c r="F155" i="10"/>
  <c r="G155" i="10"/>
  <c r="H155" i="10"/>
  <c r="I155" i="10"/>
  <c r="J155" i="10"/>
  <c r="K155" i="10"/>
  <c r="L155" i="10"/>
  <c r="L152" i="10"/>
  <c r="K152" i="10"/>
  <c r="J152" i="10"/>
  <c r="I152" i="10"/>
  <c r="H152" i="10"/>
  <c r="G152" i="10"/>
  <c r="F152" i="10"/>
  <c r="E152" i="10"/>
  <c r="E149" i="10"/>
  <c r="F149" i="10"/>
  <c r="G149" i="10"/>
  <c r="H149" i="10"/>
  <c r="I149" i="10"/>
  <c r="J149" i="10"/>
  <c r="K149" i="10"/>
  <c r="L149" i="10"/>
  <c r="E150" i="10"/>
  <c r="F150" i="10"/>
  <c r="G150" i="10"/>
  <c r="H150" i="10"/>
  <c r="I150" i="10"/>
  <c r="J150" i="10"/>
  <c r="K150" i="10"/>
  <c r="L150" i="10"/>
  <c r="E151" i="10"/>
  <c r="F151" i="10"/>
  <c r="G151" i="10"/>
  <c r="H151" i="10"/>
  <c r="I151" i="10"/>
  <c r="J151" i="10"/>
  <c r="K151" i="10"/>
  <c r="L151" i="10"/>
  <c r="L148" i="10"/>
  <c r="K148" i="10"/>
  <c r="J148" i="10"/>
  <c r="I148" i="10"/>
  <c r="E148" i="10"/>
  <c r="H148" i="10"/>
  <c r="G148" i="10"/>
  <c r="F148" i="10"/>
  <c r="E105" i="10"/>
  <c r="F105" i="10"/>
  <c r="G105" i="10"/>
  <c r="H105" i="10"/>
  <c r="I105" i="10"/>
  <c r="J105" i="10"/>
  <c r="K105" i="10"/>
  <c r="L105" i="10"/>
  <c r="E106" i="10"/>
  <c r="F106" i="10"/>
  <c r="G106" i="10"/>
  <c r="H106" i="10"/>
  <c r="I106" i="10"/>
  <c r="J106" i="10"/>
  <c r="K106" i="10"/>
  <c r="L106" i="10"/>
  <c r="E107" i="10"/>
  <c r="F107" i="10"/>
  <c r="G107" i="10"/>
  <c r="H107" i="10"/>
  <c r="I107" i="10"/>
  <c r="J107" i="10"/>
  <c r="K107" i="10"/>
  <c r="L107" i="10"/>
  <c r="L104" i="10"/>
  <c r="K104" i="10"/>
  <c r="J104" i="10"/>
  <c r="I104" i="10"/>
  <c r="H104" i="10"/>
  <c r="G104" i="10"/>
  <c r="F104" i="10"/>
  <c r="E104" i="10"/>
  <c r="E101" i="10"/>
  <c r="F101" i="10"/>
  <c r="G101" i="10"/>
  <c r="H101" i="10"/>
  <c r="I101" i="10"/>
  <c r="J101" i="10"/>
  <c r="K101" i="10"/>
  <c r="L101" i="10"/>
  <c r="E102" i="10"/>
  <c r="F102" i="10"/>
  <c r="G102" i="10"/>
  <c r="H102" i="10"/>
  <c r="I102" i="10"/>
  <c r="J102" i="10"/>
  <c r="K102" i="10"/>
  <c r="L102" i="10"/>
  <c r="E103" i="10"/>
  <c r="F103" i="10"/>
  <c r="G103" i="10"/>
  <c r="H103" i="10"/>
  <c r="I103" i="10"/>
  <c r="J103" i="10"/>
  <c r="K103" i="10"/>
  <c r="L103" i="10"/>
  <c r="L100" i="10"/>
  <c r="K100" i="10"/>
  <c r="J100" i="10"/>
  <c r="I100" i="10"/>
  <c r="F100" i="10"/>
  <c r="E100" i="10"/>
  <c r="H100" i="10"/>
  <c r="G100" i="10"/>
  <c r="E97" i="10"/>
  <c r="F97" i="10"/>
  <c r="G97" i="10"/>
  <c r="H97" i="10"/>
  <c r="I97" i="10"/>
  <c r="J97" i="10"/>
  <c r="K97" i="10"/>
  <c r="L97" i="10"/>
  <c r="E98" i="10"/>
  <c r="F98" i="10"/>
  <c r="G98" i="10"/>
  <c r="H98" i="10"/>
  <c r="I98" i="10"/>
  <c r="J98" i="10"/>
  <c r="K98" i="10"/>
  <c r="L98" i="10"/>
  <c r="E99" i="10"/>
  <c r="F99" i="10"/>
  <c r="G99" i="10"/>
  <c r="H99" i="10"/>
  <c r="I99" i="10"/>
  <c r="J99" i="10"/>
  <c r="K99" i="10"/>
  <c r="L99" i="10"/>
  <c r="L96" i="10"/>
  <c r="K96" i="10"/>
  <c r="J96" i="10"/>
  <c r="I96" i="10"/>
  <c r="H96" i="10"/>
  <c r="G96" i="10"/>
  <c r="F96" i="10"/>
  <c r="E96" i="10"/>
  <c r="E44" i="10"/>
  <c r="G63" i="10"/>
  <c r="R206" i="10"/>
  <c r="S206" i="10"/>
  <c r="T206" i="10"/>
  <c r="V206" i="10"/>
  <c r="W206" i="10"/>
  <c r="X206" i="10"/>
  <c r="R207" i="10"/>
  <c r="S207" i="10"/>
  <c r="T207" i="10"/>
  <c r="V207" i="10"/>
  <c r="W207" i="10"/>
  <c r="X207" i="10"/>
  <c r="R208" i="10"/>
  <c r="S208" i="10"/>
  <c r="T208" i="10"/>
  <c r="V208" i="10"/>
  <c r="AD208" i="10" s="1"/>
  <c r="W208" i="10"/>
  <c r="X208" i="10"/>
  <c r="R209" i="10"/>
  <c r="S209" i="10"/>
  <c r="T209" i="10"/>
  <c r="V209" i="10"/>
  <c r="W209" i="10"/>
  <c r="X209" i="10"/>
  <c r="R210" i="10"/>
  <c r="S210" i="10"/>
  <c r="T210" i="10"/>
  <c r="V210" i="10"/>
  <c r="W210" i="10"/>
  <c r="X210" i="10"/>
  <c r="R211" i="10"/>
  <c r="S211" i="10"/>
  <c r="T211" i="10"/>
  <c r="V211" i="10"/>
  <c r="W211" i="10"/>
  <c r="X211" i="10"/>
  <c r="R212" i="10"/>
  <c r="S212" i="10"/>
  <c r="T212" i="10"/>
  <c r="V212" i="10"/>
  <c r="W212" i="10"/>
  <c r="X212" i="10"/>
  <c r="R213" i="10"/>
  <c r="S213" i="10"/>
  <c r="T213" i="10"/>
  <c r="V213" i="10"/>
  <c r="W213" i="10"/>
  <c r="X213" i="10"/>
  <c r="R214" i="10"/>
  <c r="S214" i="10"/>
  <c r="T214" i="10"/>
  <c r="V214" i="10"/>
  <c r="W214" i="10"/>
  <c r="X214" i="10"/>
  <c r="Y205" i="10"/>
  <c r="X205" i="10"/>
  <c r="W205" i="10"/>
  <c r="V205" i="10"/>
  <c r="R205" i="10"/>
  <c r="S205" i="10"/>
  <c r="T205" i="10"/>
  <c r="U205" i="10"/>
  <c r="J206" i="10"/>
  <c r="K206" i="10"/>
  <c r="N206" i="10"/>
  <c r="O206" i="10"/>
  <c r="J207" i="10"/>
  <c r="K207" i="10"/>
  <c r="N207" i="10"/>
  <c r="O207" i="10"/>
  <c r="J208" i="10"/>
  <c r="K208" i="10"/>
  <c r="N208" i="10"/>
  <c r="O208" i="10"/>
  <c r="J209" i="10"/>
  <c r="K209" i="10"/>
  <c r="N209" i="10"/>
  <c r="O209" i="10"/>
  <c r="J210" i="10"/>
  <c r="K210" i="10"/>
  <c r="N210" i="10"/>
  <c r="O210" i="10"/>
  <c r="J211" i="10"/>
  <c r="K211" i="10"/>
  <c r="N211" i="10"/>
  <c r="O211" i="10"/>
  <c r="J212" i="10"/>
  <c r="K212" i="10"/>
  <c r="N212" i="10"/>
  <c r="O212" i="10"/>
  <c r="J213" i="10"/>
  <c r="K213" i="10"/>
  <c r="N213" i="10"/>
  <c r="O213" i="10"/>
  <c r="J214" i="10"/>
  <c r="K214" i="10"/>
  <c r="N214" i="10"/>
  <c r="O214" i="10"/>
  <c r="Q205" i="10"/>
  <c r="N205" i="10"/>
  <c r="P205" i="10"/>
  <c r="O205" i="10"/>
  <c r="M205" i="10"/>
  <c r="J205" i="10"/>
  <c r="L205" i="10"/>
  <c r="K205" i="10"/>
  <c r="B206" i="10"/>
  <c r="C206" i="10"/>
  <c r="D206" i="10"/>
  <c r="E206" i="10"/>
  <c r="F206" i="10"/>
  <c r="G206" i="10"/>
  <c r="H206" i="10"/>
  <c r="I206" i="10"/>
  <c r="B207" i="10"/>
  <c r="Z207" i="10" s="1"/>
  <c r="C207" i="10"/>
  <c r="AA207" i="10" s="1"/>
  <c r="D207" i="10"/>
  <c r="E207" i="10"/>
  <c r="F207" i="10"/>
  <c r="G207" i="10"/>
  <c r="H207" i="10"/>
  <c r="I207" i="10"/>
  <c r="B208" i="10"/>
  <c r="C208" i="10"/>
  <c r="D208" i="10"/>
  <c r="E208" i="10"/>
  <c r="F208" i="10"/>
  <c r="G208" i="10"/>
  <c r="H208" i="10"/>
  <c r="I208" i="10"/>
  <c r="B209" i="10"/>
  <c r="Z209" i="10" s="1"/>
  <c r="C209" i="10"/>
  <c r="AA209" i="10" s="1"/>
  <c r="D209" i="10"/>
  <c r="E209" i="10"/>
  <c r="F209" i="10"/>
  <c r="G209" i="10"/>
  <c r="H209" i="10"/>
  <c r="I209" i="10"/>
  <c r="B210" i="10"/>
  <c r="C210" i="10"/>
  <c r="D210" i="10"/>
  <c r="E210" i="10"/>
  <c r="F210" i="10"/>
  <c r="G210" i="10"/>
  <c r="H210" i="10"/>
  <c r="I210" i="10"/>
  <c r="B211" i="10"/>
  <c r="Z211" i="10" s="1"/>
  <c r="C211" i="10"/>
  <c r="AA211" i="10" s="1"/>
  <c r="D211" i="10"/>
  <c r="E211" i="10"/>
  <c r="F211" i="10"/>
  <c r="G211" i="10"/>
  <c r="H211" i="10"/>
  <c r="I211" i="10"/>
  <c r="B212" i="10"/>
  <c r="C212" i="10"/>
  <c r="D212" i="10"/>
  <c r="E212" i="10"/>
  <c r="F212" i="10"/>
  <c r="G212" i="10"/>
  <c r="H212" i="10"/>
  <c r="I212" i="10"/>
  <c r="B213" i="10"/>
  <c r="Z213" i="10" s="1"/>
  <c r="C213" i="10"/>
  <c r="AA213" i="10" s="1"/>
  <c r="D213" i="10"/>
  <c r="E213" i="10"/>
  <c r="F213" i="10"/>
  <c r="G213" i="10"/>
  <c r="H213" i="10"/>
  <c r="I213" i="10"/>
  <c r="B214" i="10"/>
  <c r="C214" i="10"/>
  <c r="D214" i="10"/>
  <c r="E214" i="10"/>
  <c r="F214" i="10"/>
  <c r="AD214" i="10" s="1"/>
  <c r="G214" i="10"/>
  <c r="H214" i="10"/>
  <c r="I214" i="10"/>
  <c r="I205" i="10"/>
  <c r="AG205" i="10" s="1"/>
  <c r="H205" i="10"/>
  <c r="AF205" i="10" s="1"/>
  <c r="G205" i="10"/>
  <c r="E205" i="10"/>
  <c r="D205" i="10"/>
  <c r="C205" i="10"/>
  <c r="J192" i="10"/>
  <c r="K192" i="10"/>
  <c r="L192" i="10"/>
  <c r="O192" i="10"/>
  <c r="J193" i="10"/>
  <c r="K193" i="10"/>
  <c r="O193" i="10"/>
  <c r="J194" i="10"/>
  <c r="K194" i="10"/>
  <c r="O194" i="10"/>
  <c r="J195" i="10"/>
  <c r="K195" i="10"/>
  <c r="L195" i="10"/>
  <c r="M195" i="10"/>
  <c r="O195" i="10"/>
  <c r="J196" i="10"/>
  <c r="K196" i="10"/>
  <c r="L196" i="10"/>
  <c r="O196" i="10"/>
  <c r="J197" i="10"/>
  <c r="K197" i="10"/>
  <c r="O197" i="10"/>
  <c r="J198" i="10"/>
  <c r="K198" i="10"/>
  <c r="O198" i="10"/>
  <c r="J199" i="10"/>
  <c r="K199" i="10"/>
  <c r="L199" i="10"/>
  <c r="M199" i="10"/>
  <c r="O199" i="10"/>
  <c r="J200" i="10"/>
  <c r="K200" i="10"/>
  <c r="L200" i="10"/>
  <c r="O200" i="10"/>
  <c r="M191" i="10"/>
  <c r="L191" i="10"/>
  <c r="K191" i="10"/>
  <c r="J191" i="10"/>
  <c r="B192" i="10"/>
  <c r="C192" i="10"/>
  <c r="D192" i="10"/>
  <c r="E192" i="10"/>
  <c r="G192" i="10"/>
  <c r="W192" i="10" s="1"/>
  <c r="B193" i="10"/>
  <c r="C193" i="10"/>
  <c r="D193" i="10"/>
  <c r="G193" i="10"/>
  <c r="W193" i="10" s="1"/>
  <c r="B194" i="10"/>
  <c r="R194" i="10" s="1"/>
  <c r="C194" i="10"/>
  <c r="G194" i="10"/>
  <c r="B195" i="10"/>
  <c r="C195" i="10"/>
  <c r="S195" i="10" s="1"/>
  <c r="D195" i="10"/>
  <c r="E195" i="10"/>
  <c r="G195" i="10"/>
  <c r="B196" i="10"/>
  <c r="R196" i="10" s="1"/>
  <c r="C196" i="10"/>
  <c r="D196" i="10"/>
  <c r="E196" i="10"/>
  <c r="G196" i="10"/>
  <c r="W196" i="10" s="1"/>
  <c r="B197" i="10"/>
  <c r="C197" i="10"/>
  <c r="D197" i="10"/>
  <c r="G197" i="10"/>
  <c r="B198" i="10"/>
  <c r="C198" i="10"/>
  <c r="G198" i="10"/>
  <c r="B199" i="10"/>
  <c r="C199" i="10"/>
  <c r="S199" i="10" s="1"/>
  <c r="D199" i="10"/>
  <c r="E199" i="10"/>
  <c r="G199" i="10"/>
  <c r="B200" i="10"/>
  <c r="R200" i="10" s="1"/>
  <c r="C200" i="10"/>
  <c r="D200" i="10"/>
  <c r="E200" i="10"/>
  <c r="G200" i="10"/>
  <c r="I191" i="10"/>
  <c r="E191" i="10"/>
  <c r="U191" i="10" s="1"/>
  <c r="D191" i="10"/>
  <c r="C191" i="10"/>
  <c r="F170" i="10"/>
  <c r="H170" i="10"/>
  <c r="H171" i="10"/>
  <c r="H172" i="10"/>
  <c r="G171" i="10"/>
  <c r="G172" i="10"/>
  <c r="G170" i="10"/>
  <c r="F164" i="10"/>
  <c r="H164" i="10"/>
  <c r="H192" i="10" s="1"/>
  <c r="H165" i="10"/>
  <c r="G165" i="10"/>
  <c r="O191" i="10" s="1"/>
  <c r="G164" i="10"/>
  <c r="G191" i="10" s="1"/>
  <c r="G116" i="10"/>
  <c r="H116" i="10"/>
  <c r="I116" i="10"/>
  <c r="G117" i="10"/>
  <c r="H117" i="10"/>
  <c r="I117" i="10"/>
  <c r="G118" i="10"/>
  <c r="H118" i="10"/>
  <c r="I118" i="10"/>
  <c r="G119" i="10"/>
  <c r="H119" i="10"/>
  <c r="I119" i="10"/>
  <c r="G120" i="10"/>
  <c r="H120" i="10"/>
  <c r="I120" i="10"/>
  <c r="G121" i="10"/>
  <c r="H121" i="10"/>
  <c r="I121" i="10"/>
  <c r="G122" i="10"/>
  <c r="H122" i="10"/>
  <c r="I122" i="10"/>
  <c r="G123" i="10"/>
  <c r="H123" i="10"/>
  <c r="I123" i="10"/>
  <c r="G124" i="10"/>
  <c r="H124" i="10"/>
  <c r="I124" i="10"/>
  <c r="H115" i="10"/>
  <c r="I115" i="10"/>
  <c r="G115" i="10"/>
  <c r="G64" i="10"/>
  <c r="H64" i="10"/>
  <c r="I64" i="10"/>
  <c r="G65" i="10"/>
  <c r="H65" i="10"/>
  <c r="I65" i="10"/>
  <c r="G66" i="10"/>
  <c r="H66" i="10"/>
  <c r="I66" i="10"/>
  <c r="G67" i="10"/>
  <c r="H67" i="10"/>
  <c r="I67" i="10"/>
  <c r="G68" i="10"/>
  <c r="H68" i="10"/>
  <c r="I68" i="10"/>
  <c r="G69" i="10"/>
  <c r="H69" i="10"/>
  <c r="I69" i="10"/>
  <c r="G70" i="10"/>
  <c r="H70" i="10"/>
  <c r="I70" i="10"/>
  <c r="G71" i="10"/>
  <c r="H71" i="10"/>
  <c r="I71" i="10"/>
  <c r="G72" i="10"/>
  <c r="H72" i="10"/>
  <c r="I72" i="10"/>
  <c r="H63" i="10"/>
  <c r="I63" i="10"/>
  <c r="G11" i="10"/>
  <c r="G138" i="10"/>
  <c r="F138" i="10"/>
  <c r="J138" i="10" s="1"/>
  <c r="I138" i="10" s="1"/>
  <c r="E138" i="10"/>
  <c r="G137" i="10"/>
  <c r="K137" i="10" s="1"/>
  <c r="L137" i="10" s="1"/>
  <c r="F137" i="10"/>
  <c r="G136" i="10"/>
  <c r="K136" i="10" s="1"/>
  <c r="L136" i="10" s="1"/>
  <c r="F136" i="10"/>
  <c r="J136" i="10" s="1"/>
  <c r="K135" i="10"/>
  <c r="J135" i="10"/>
  <c r="K131" i="10"/>
  <c r="J131" i="10"/>
  <c r="G130" i="10"/>
  <c r="F130" i="10"/>
  <c r="G129" i="10"/>
  <c r="H129" i="10" s="1"/>
  <c r="F129" i="10"/>
  <c r="K128" i="10"/>
  <c r="F128" i="10"/>
  <c r="BN124" i="10"/>
  <c r="BM124" i="10"/>
  <c r="BL124" i="10"/>
  <c r="BK124" i="10"/>
  <c r="BJ124" i="10"/>
  <c r="BI124" i="10"/>
  <c r="BH124" i="10"/>
  <c r="BG124" i="10"/>
  <c r="BN123" i="10"/>
  <c r="BM123" i="10"/>
  <c r="BL123" i="10"/>
  <c r="BK123" i="10"/>
  <c r="BJ123" i="10"/>
  <c r="BI123" i="10"/>
  <c r="BH123" i="10"/>
  <c r="BG123" i="10"/>
  <c r="BN122" i="10"/>
  <c r="BM122" i="10"/>
  <c r="BL122" i="10"/>
  <c r="BK122" i="10"/>
  <c r="BJ122" i="10"/>
  <c r="BI122" i="10"/>
  <c r="BH122" i="10"/>
  <c r="BG122" i="10"/>
  <c r="BN121" i="10"/>
  <c r="BM121" i="10"/>
  <c r="BL121" i="10"/>
  <c r="BK121" i="10"/>
  <c r="BJ121" i="10"/>
  <c r="BI121" i="10"/>
  <c r="BH121" i="10"/>
  <c r="BG121" i="10"/>
  <c r="BN120" i="10"/>
  <c r="BM120" i="10"/>
  <c r="BL120" i="10"/>
  <c r="BK120" i="10"/>
  <c r="BJ120" i="10"/>
  <c r="BI120" i="10"/>
  <c r="BH120" i="10"/>
  <c r="BG120" i="10"/>
  <c r="BN119" i="10"/>
  <c r="BM119" i="10"/>
  <c r="BL119" i="10"/>
  <c r="BK119" i="10"/>
  <c r="BJ119" i="10"/>
  <c r="BI119" i="10"/>
  <c r="BH119" i="10"/>
  <c r="BO119" i="10" s="1"/>
  <c r="BG119" i="10"/>
  <c r="BN118" i="10"/>
  <c r="BM118" i="10"/>
  <c r="BL118" i="10"/>
  <c r="BK118" i="10"/>
  <c r="BJ118" i="10"/>
  <c r="BI118" i="10"/>
  <c r="BH118" i="10"/>
  <c r="BG118" i="10"/>
  <c r="BN117" i="10"/>
  <c r="BM117" i="10"/>
  <c r="BL117" i="10"/>
  <c r="BK117" i="10"/>
  <c r="BJ117" i="10"/>
  <c r="BI117" i="10"/>
  <c r="BH117" i="10"/>
  <c r="BG117" i="10"/>
  <c r="BN116" i="10"/>
  <c r="BM116" i="10"/>
  <c r="BL116" i="10"/>
  <c r="BQ116" i="10" s="1"/>
  <c r="BK116" i="10"/>
  <c r="BJ116" i="10"/>
  <c r="BI116" i="10"/>
  <c r="BH116" i="10"/>
  <c r="BG116" i="10"/>
  <c r="BN115" i="10"/>
  <c r="BM115" i="10"/>
  <c r="BL115" i="10"/>
  <c r="BK115" i="10"/>
  <c r="BJ115" i="10"/>
  <c r="BI115" i="10"/>
  <c r="BP115" i="10" s="1"/>
  <c r="BH115" i="10"/>
  <c r="BO115" i="10" s="1"/>
  <c r="BG115" i="10"/>
  <c r="G86" i="10"/>
  <c r="K86" i="10" s="1"/>
  <c r="L86" i="10" s="1"/>
  <c r="F86" i="10"/>
  <c r="J86" i="10" s="1"/>
  <c r="I86" i="10" s="1"/>
  <c r="G85" i="10"/>
  <c r="K85" i="10" s="1"/>
  <c r="L85" i="10" s="1"/>
  <c r="F85" i="10"/>
  <c r="J85" i="10" s="1"/>
  <c r="I85" i="10" s="1"/>
  <c r="E85" i="10"/>
  <c r="G84" i="10"/>
  <c r="K84" i="10" s="1"/>
  <c r="L84" i="10" s="1"/>
  <c r="F84" i="10"/>
  <c r="J84" i="10" s="1"/>
  <c r="K83" i="10"/>
  <c r="J83" i="10"/>
  <c r="K79" i="10"/>
  <c r="J79" i="10"/>
  <c r="G78" i="10"/>
  <c r="F78" i="10"/>
  <c r="E78" i="10"/>
  <c r="G77" i="10"/>
  <c r="H77" i="10" s="1"/>
  <c r="F77" i="10"/>
  <c r="K76" i="10"/>
  <c r="F76" i="10"/>
  <c r="BN72" i="10"/>
  <c r="BM72" i="10"/>
  <c r="BL72" i="10"/>
  <c r="BK72" i="10"/>
  <c r="BJ72" i="10"/>
  <c r="BI72" i="10"/>
  <c r="BH72" i="10"/>
  <c r="BG72" i="10"/>
  <c r="BN71" i="10"/>
  <c r="BM71" i="10"/>
  <c r="BL71" i="10"/>
  <c r="BK71" i="10"/>
  <c r="BJ71" i="10"/>
  <c r="BI71" i="10"/>
  <c r="BH71" i="10"/>
  <c r="BG71" i="10"/>
  <c r="BN70" i="10"/>
  <c r="BM70" i="10"/>
  <c r="BL70" i="10"/>
  <c r="BK70" i="10"/>
  <c r="BJ70" i="10"/>
  <c r="BI70" i="10"/>
  <c r="BH70" i="10"/>
  <c r="BG70" i="10"/>
  <c r="BN69" i="10"/>
  <c r="BM69" i="10"/>
  <c r="BL69" i="10"/>
  <c r="BK69" i="10"/>
  <c r="BJ69" i="10"/>
  <c r="BI69" i="10"/>
  <c r="BH69" i="10"/>
  <c r="BG69" i="10"/>
  <c r="BN68" i="10"/>
  <c r="BM68" i="10"/>
  <c r="BL68" i="10"/>
  <c r="BK68" i="10"/>
  <c r="BJ68" i="10"/>
  <c r="BI68" i="10"/>
  <c r="BH68" i="10"/>
  <c r="BG68" i="10"/>
  <c r="BN67" i="10"/>
  <c r="BM67" i="10"/>
  <c r="BL67" i="10"/>
  <c r="BK67" i="10"/>
  <c r="BJ67" i="10"/>
  <c r="BI67" i="10"/>
  <c r="BH67" i="10"/>
  <c r="BG67" i="10"/>
  <c r="BO67" i="10" s="1"/>
  <c r="BN66" i="10"/>
  <c r="BM66" i="10"/>
  <c r="BL66" i="10"/>
  <c r="BK66" i="10"/>
  <c r="BJ66" i="10"/>
  <c r="BI66" i="10"/>
  <c r="BH66" i="10"/>
  <c r="BG66" i="10"/>
  <c r="BN65" i="10"/>
  <c r="BM65" i="10"/>
  <c r="BL65" i="10"/>
  <c r="BK65" i="10"/>
  <c r="BJ65" i="10"/>
  <c r="BI65" i="10"/>
  <c r="BH65" i="10"/>
  <c r="BG65" i="10"/>
  <c r="BN64" i="10"/>
  <c r="BM64" i="10"/>
  <c r="BL64" i="10"/>
  <c r="BK64" i="10"/>
  <c r="BJ64" i="10"/>
  <c r="BI64" i="10"/>
  <c r="BH64" i="10"/>
  <c r="BG64" i="10"/>
  <c r="BN63" i="10"/>
  <c r="BM63" i="10"/>
  <c r="BL63" i="10"/>
  <c r="BK63" i="10"/>
  <c r="BJ63" i="10"/>
  <c r="BI63" i="10"/>
  <c r="BH63" i="10"/>
  <c r="BG63" i="10"/>
  <c r="B53" i="17" l="1"/>
  <c r="E294" i="16"/>
  <c r="E165" i="16"/>
  <c r="F295" i="16"/>
  <c r="F166" i="16"/>
  <c r="I302" i="16"/>
  <c r="I173" i="16"/>
  <c r="Q294" i="16"/>
  <c r="Q165" i="16"/>
  <c r="N295" i="16"/>
  <c r="N166" i="16"/>
  <c r="K296" i="16"/>
  <c r="K167" i="16"/>
  <c r="L297" i="16"/>
  <c r="L168" i="16"/>
  <c r="R295" i="16"/>
  <c r="R166" i="16"/>
  <c r="B294" i="16"/>
  <c r="B165" i="16"/>
  <c r="F294" i="16"/>
  <c r="F165" i="16"/>
  <c r="C295" i="16"/>
  <c r="C166" i="16"/>
  <c r="G295" i="16"/>
  <c r="G166" i="16"/>
  <c r="D296" i="16"/>
  <c r="D167" i="16"/>
  <c r="H296" i="16"/>
  <c r="H167" i="16"/>
  <c r="E297" i="16"/>
  <c r="E168" i="16"/>
  <c r="I297" i="16"/>
  <c r="I168" i="16"/>
  <c r="B298" i="16"/>
  <c r="B169" i="16"/>
  <c r="F298" i="16"/>
  <c r="F169" i="16"/>
  <c r="C299" i="16"/>
  <c r="C170" i="16"/>
  <c r="G299" i="16"/>
  <c r="G170" i="16"/>
  <c r="D300" i="16"/>
  <c r="D171" i="16"/>
  <c r="H300" i="16"/>
  <c r="H171" i="16"/>
  <c r="E301" i="16"/>
  <c r="E172" i="16"/>
  <c r="I301" i="16"/>
  <c r="I172" i="16"/>
  <c r="B302" i="16"/>
  <c r="B173" i="16"/>
  <c r="F302" i="16"/>
  <c r="F173" i="16"/>
  <c r="C303" i="16"/>
  <c r="C174" i="16"/>
  <c r="G303" i="16"/>
  <c r="G174" i="16"/>
  <c r="J294" i="16"/>
  <c r="J165" i="16"/>
  <c r="N294" i="16"/>
  <c r="N165" i="16"/>
  <c r="K295" i="16"/>
  <c r="K166" i="16"/>
  <c r="M297" i="16"/>
  <c r="M168" i="16"/>
  <c r="Q297" i="16"/>
  <c r="Q168" i="16"/>
  <c r="J298" i="16"/>
  <c r="J169" i="16"/>
  <c r="N298" i="16"/>
  <c r="N169" i="16"/>
  <c r="K299" i="16"/>
  <c r="K170" i="16"/>
  <c r="L300" i="16"/>
  <c r="L171" i="16"/>
  <c r="M301" i="16"/>
  <c r="M172" i="16"/>
  <c r="Q301" i="16"/>
  <c r="Q172" i="16"/>
  <c r="J302" i="16"/>
  <c r="J173" i="16"/>
  <c r="N302" i="16"/>
  <c r="N173" i="16"/>
  <c r="K303" i="16"/>
  <c r="K174" i="16"/>
  <c r="O303" i="16"/>
  <c r="O174" i="16"/>
  <c r="R294" i="16"/>
  <c r="R165" i="16"/>
  <c r="V294" i="16"/>
  <c r="V165" i="16"/>
  <c r="S295" i="16"/>
  <c r="S166" i="16"/>
  <c r="T296" i="16"/>
  <c r="T167" i="16"/>
  <c r="U297" i="16"/>
  <c r="U168" i="16"/>
  <c r="Y297" i="16"/>
  <c r="Y168" i="16"/>
  <c r="R298" i="16"/>
  <c r="R169" i="16"/>
  <c r="V298" i="16"/>
  <c r="V169" i="16"/>
  <c r="S299" i="16"/>
  <c r="S170" i="16"/>
  <c r="U301" i="16"/>
  <c r="U172" i="16"/>
  <c r="Y301" i="16"/>
  <c r="Y172" i="16"/>
  <c r="R302" i="16"/>
  <c r="R173" i="16"/>
  <c r="V302" i="16"/>
  <c r="V173" i="16"/>
  <c r="S303" i="16"/>
  <c r="S174" i="16"/>
  <c r="I294" i="16"/>
  <c r="I165" i="16"/>
  <c r="B295" i="16"/>
  <c r="B166" i="16"/>
  <c r="C296" i="16"/>
  <c r="C167" i="16"/>
  <c r="E298" i="16"/>
  <c r="E169" i="16"/>
  <c r="F299" i="16"/>
  <c r="F170" i="16"/>
  <c r="D301" i="16"/>
  <c r="D172" i="16"/>
  <c r="E302" i="16"/>
  <c r="E173" i="16"/>
  <c r="F303" i="16"/>
  <c r="F174" i="16"/>
  <c r="Q298" i="16"/>
  <c r="Q169" i="16"/>
  <c r="N299" i="16"/>
  <c r="N170" i="16"/>
  <c r="K300" i="16"/>
  <c r="K171" i="16"/>
  <c r="Q302" i="16"/>
  <c r="Q173" i="16"/>
  <c r="N303" i="16"/>
  <c r="N174" i="16"/>
  <c r="W296" i="16"/>
  <c r="W167" i="16"/>
  <c r="R299" i="16"/>
  <c r="R170" i="16"/>
  <c r="W300" i="16"/>
  <c r="W171" i="16"/>
  <c r="V303" i="16"/>
  <c r="V174" i="16"/>
  <c r="G294" i="16"/>
  <c r="G165" i="16"/>
  <c r="E296" i="16"/>
  <c r="E167" i="16"/>
  <c r="I296" i="16"/>
  <c r="I167" i="16"/>
  <c r="B297" i="16"/>
  <c r="B168" i="16"/>
  <c r="F297" i="16"/>
  <c r="F168" i="16"/>
  <c r="G298" i="16"/>
  <c r="G169" i="16"/>
  <c r="H299" i="16"/>
  <c r="H170" i="16"/>
  <c r="E300" i="16"/>
  <c r="E171" i="16"/>
  <c r="I300" i="16"/>
  <c r="I171" i="16"/>
  <c r="B301" i="16"/>
  <c r="B172" i="16"/>
  <c r="F301" i="16"/>
  <c r="F172" i="16"/>
  <c r="G302" i="16"/>
  <c r="G173" i="16"/>
  <c r="H303" i="16"/>
  <c r="H174" i="16"/>
  <c r="K294" i="16"/>
  <c r="K165" i="16"/>
  <c r="O294" i="16"/>
  <c r="O165" i="16"/>
  <c r="L295" i="16"/>
  <c r="L166" i="16"/>
  <c r="M296" i="16"/>
  <c r="M167" i="16"/>
  <c r="Q296" i="16"/>
  <c r="Q167" i="16"/>
  <c r="J297" i="16"/>
  <c r="J168" i="16"/>
  <c r="N297" i="16"/>
  <c r="N168" i="16"/>
  <c r="K298" i="16"/>
  <c r="K169" i="16"/>
  <c r="O298" i="16"/>
  <c r="O169" i="16"/>
  <c r="L299" i="16"/>
  <c r="L170" i="16"/>
  <c r="P299" i="16"/>
  <c r="P170" i="16"/>
  <c r="M300" i="16"/>
  <c r="M171" i="16"/>
  <c r="Q300" i="16"/>
  <c r="Q171" i="16"/>
  <c r="J301" i="16"/>
  <c r="J172" i="16"/>
  <c r="N301" i="16"/>
  <c r="N172" i="16"/>
  <c r="K302" i="16"/>
  <c r="K173" i="16"/>
  <c r="O302" i="16"/>
  <c r="O173" i="16"/>
  <c r="L303" i="16"/>
  <c r="L174" i="16"/>
  <c r="P303" i="16"/>
  <c r="P174" i="16"/>
  <c r="S294" i="16"/>
  <c r="S165" i="16"/>
  <c r="W294" i="16"/>
  <c r="W165" i="16"/>
  <c r="T295" i="16"/>
  <c r="T166" i="16"/>
  <c r="U296" i="16"/>
  <c r="U167" i="16"/>
  <c r="Y296" i="16"/>
  <c r="Y167" i="16"/>
  <c r="R297" i="16"/>
  <c r="R168" i="16"/>
  <c r="V297" i="16"/>
  <c r="V168" i="16"/>
  <c r="S298" i="16"/>
  <c r="S169" i="16"/>
  <c r="W298" i="16"/>
  <c r="W169" i="16"/>
  <c r="T299" i="16"/>
  <c r="T170" i="16"/>
  <c r="X299" i="16"/>
  <c r="X170" i="16"/>
  <c r="U300" i="16"/>
  <c r="U171" i="16"/>
  <c r="Y300" i="16"/>
  <c r="Y171" i="16"/>
  <c r="R301" i="16"/>
  <c r="R172" i="16"/>
  <c r="V301" i="16"/>
  <c r="V172" i="16"/>
  <c r="S302" i="16"/>
  <c r="S173" i="16"/>
  <c r="W302" i="16"/>
  <c r="W173" i="16"/>
  <c r="T303" i="16"/>
  <c r="T174" i="16"/>
  <c r="X303" i="16"/>
  <c r="X174" i="16"/>
  <c r="D297" i="16"/>
  <c r="D168" i="16"/>
  <c r="I298" i="16"/>
  <c r="I169" i="16"/>
  <c r="B299" i="16"/>
  <c r="B170" i="16"/>
  <c r="C300" i="16"/>
  <c r="C171" i="16"/>
  <c r="B303" i="16"/>
  <c r="B174" i="16"/>
  <c r="M294" i="16"/>
  <c r="M165" i="16"/>
  <c r="J295" i="16"/>
  <c r="J166" i="16"/>
  <c r="M298" i="16"/>
  <c r="M169" i="16"/>
  <c r="J299" i="16"/>
  <c r="J170" i="16"/>
  <c r="L301" i="16"/>
  <c r="L172" i="16"/>
  <c r="M302" i="16"/>
  <c r="M173" i="16"/>
  <c r="J303" i="16"/>
  <c r="J174" i="16"/>
  <c r="Y294" i="16"/>
  <c r="Y165" i="16"/>
  <c r="V295" i="16"/>
  <c r="V166" i="16"/>
  <c r="Y298" i="16"/>
  <c r="Y169" i="16"/>
  <c r="V299" i="16"/>
  <c r="V170" i="16"/>
  <c r="X301" i="16"/>
  <c r="X172" i="16"/>
  <c r="R303" i="16"/>
  <c r="R174" i="16"/>
  <c r="D294" i="16"/>
  <c r="D165" i="16"/>
  <c r="H294" i="16"/>
  <c r="H165" i="16"/>
  <c r="E295" i="16"/>
  <c r="E166" i="16"/>
  <c r="I295" i="16"/>
  <c r="I166" i="16"/>
  <c r="B296" i="16"/>
  <c r="B167" i="16"/>
  <c r="F296" i="16"/>
  <c r="F167" i="16"/>
  <c r="G297" i="16"/>
  <c r="G168" i="16"/>
  <c r="D298" i="16"/>
  <c r="D169" i="16"/>
  <c r="H298" i="16"/>
  <c r="H169" i="16"/>
  <c r="E299" i="16"/>
  <c r="E170" i="16"/>
  <c r="I299" i="16"/>
  <c r="I170" i="16"/>
  <c r="B300" i="16"/>
  <c r="B171" i="16"/>
  <c r="F300" i="16"/>
  <c r="F171" i="16"/>
  <c r="G301" i="16"/>
  <c r="G172" i="16"/>
  <c r="D302" i="16"/>
  <c r="D173" i="16"/>
  <c r="H302" i="16"/>
  <c r="H173" i="16"/>
  <c r="E303" i="16"/>
  <c r="E174" i="16"/>
  <c r="I303" i="16"/>
  <c r="I174" i="16"/>
  <c r="L294" i="16"/>
  <c r="L165" i="16"/>
  <c r="P294" i="16"/>
  <c r="P165" i="16"/>
  <c r="M295" i="16"/>
  <c r="M166" i="16"/>
  <c r="Q295" i="16"/>
  <c r="Q166" i="16"/>
  <c r="J296" i="16"/>
  <c r="J167" i="16"/>
  <c r="N296" i="16"/>
  <c r="N167" i="16"/>
  <c r="O297" i="16"/>
  <c r="O168" i="16"/>
  <c r="L298" i="16"/>
  <c r="L169" i="16"/>
  <c r="P298" i="16"/>
  <c r="P169" i="16"/>
  <c r="Q299" i="16"/>
  <c r="Q170" i="16"/>
  <c r="J300" i="16"/>
  <c r="J171" i="16"/>
  <c r="N300" i="16"/>
  <c r="N171" i="16"/>
  <c r="O301" i="16"/>
  <c r="O172" i="16"/>
  <c r="P302" i="16"/>
  <c r="P173" i="16"/>
  <c r="Q303" i="16"/>
  <c r="Q174" i="16"/>
  <c r="T294" i="16"/>
  <c r="T165" i="16"/>
  <c r="X294" i="16"/>
  <c r="X165" i="16"/>
  <c r="U295" i="16"/>
  <c r="U166" i="16"/>
  <c r="Y295" i="16"/>
  <c r="Y166" i="16"/>
  <c r="R296" i="16"/>
  <c r="R167" i="16"/>
  <c r="V296" i="16"/>
  <c r="V167" i="16"/>
  <c r="S297" i="16"/>
  <c r="S168" i="16"/>
  <c r="W297" i="16"/>
  <c r="W168" i="16"/>
  <c r="T298" i="16"/>
  <c r="T169" i="16"/>
  <c r="X298" i="16"/>
  <c r="X169" i="16"/>
  <c r="U299" i="16"/>
  <c r="U170" i="16"/>
  <c r="Y299" i="16"/>
  <c r="Y170" i="16"/>
  <c r="R300" i="16"/>
  <c r="R171" i="16"/>
  <c r="V300" i="16"/>
  <c r="V171" i="16"/>
  <c r="S301" i="16"/>
  <c r="S172" i="16"/>
  <c r="W301" i="16"/>
  <c r="W172" i="16"/>
  <c r="T302" i="16"/>
  <c r="T173" i="16"/>
  <c r="X302" i="16"/>
  <c r="X173" i="16"/>
  <c r="U303" i="16"/>
  <c r="U174" i="16"/>
  <c r="Y303" i="16"/>
  <c r="Y174" i="16"/>
  <c r="J64" i="16"/>
  <c r="BR65" i="16"/>
  <c r="H85" i="16"/>
  <c r="J72" i="16"/>
  <c r="J12" i="16"/>
  <c r="J68" i="16"/>
  <c r="J79" i="16"/>
  <c r="I79" i="16" s="1"/>
  <c r="I107" i="16" s="1"/>
  <c r="K137" i="16"/>
  <c r="L137" i="16" s="1"/>
  <c r="K160" i="16"/>
  <c r="J78" i="16"/>
  <c r="J102" i="16" s="1"/>
  <c r="K156" i="16"/>
  <c r="BO15" i="16"/>
  <c r="BO19" i="16"/>
  <c r="BR119" i="16"/>
  <c r="K130" i="16"/>
  <c r="K154" i="16" s="1"/>
  <c r="K152" i="16"/>
  <c r="J100" i="16"/>
  <c r="J13" i="16"/>
  <c r="J17" i="16"/>
  <c r="J21" i="16"/>
  <c r="J69" i="16"/>
  <c r="J77" i="16"/>
  <c r="I105" i="16" s="1"/>
  <c r="BR13" i="16"/>
  <c r="J16" i="16"/>
  <c r="BP17" i="16"/>
  <c r="J20" i="16"/>
  <c r="E98" i="16"/>
  <c r="J104" i="16"/>
  <c r="E106" i="16"/>
  <c r="J119" i="16"/>
  <c r="J123" i="16"/>
  <c r="F153" i="16"/>
  <c r="L156" i="16"/>
  <c r="E158" i="16"/>
  <c r="J15" i="16"/>
  <c r="J19" i="16"/>
  <c r="L45" i="16"/>
  <c r="K49" i="16"/>
  <c r="K53" i="16"/>
  <c r="BP69" i="16"/>
  <c r="BP73" i="16"/>
  <c r="E79" i="16"/>
  <c r="E103" i="16" s="1"/>
  <c r="E105" i="16"/>
  <c r="I108" i="16"/>
  <c r="J129" i="16"/>
  <c r="J157" i="16" s="1"/>
  <c r="H130" i="16"/>
  <c r="H158" i="16" s="1"/>
  <c r="E149" i="16"/>
  <c r="E150" i="16"/>
  <c r="E157" i="16"/>
  <c r="G158" i="16"/>
  <c r="M299" i="16"/>
  <c r="H103" i="16"/>
  <c r="J14" i="16"/>
  <c r="J18" i="16"/>
  <c r="H33" i="16"/>
  <c r="L48" i="16"/>
  <c r="L49" i="16"/>
  <c r="L53" i="16"/>
  <c r="J65" i="16"/>
  <c r="BQ65" i="16"/>
  <c r="BP66" i="16"/>
  <c r="BR66" i="16"/>
  <c r="BQ68" i="16"/>
  <c r="BR69" i="16"/>
  <c r="BP70" i="16"/>
  <c r="BP71" i="16"/>
  <c r="I100" i="16"/>
  <c r="E102" i="16"/>
  <c r="J116" i="16"/>
  <c r="BR117" i="16"/>
  <c r="J130" i="16"/>
  <c r="I158" i="16" s="1"/>
  <c r="K131" i="16"/>
  <c r="L151" i="16" s="1"/>
  <c r="J138" i="16"/>
  <c r="I138" i="16" s="1"/>
  <c r="F149" i="16"/>
  <c r="J152" i="16"/>
  <c r="I160" i="16"/>
  <c r="K55" i="16"/>
  <c r="H26" i="16"/>
  <c r="H50" i="16" s="1"/>
  <c r="J27" i="16"/>
  <c r="I27" i="16" s="1"/>
  <c r="I55" i="16" s="1"/>
  <c r="H47" i="16"/>
  <c r="K52" i="16"/>
  <c r="K56" i="16"/>
  <c r="BQ69" i="16"/>
  <c r="BQ72" i="16"/>
  <c r="BR73" i="16"/>
  <c r="K79" i="16"/>
  <c r="F98" i="16"/>
  <c r="H99" i="16"/>
  <c r="F102" i="16"/>
  <c r="BP120" i="16"/>
  <c r="BP121" i="16"/>
  <c r="BQ122" i="16"/>
  <c r="BP125" i="16"/>
  <c r="O295" i="16"/>
  <c r="X295" i="16"/>
  <c r="L296" i="16"/>
  <c r="O299" i="16"/>
  <c r="H54" i="16"/>
  <c r="G47" i="16"/>
  <c r="L51" i="16"/>
  <c r="E27" i="16"/>
  <c r="E51" i="16" s="1"/>
  <c r="H34" i="16"/>
  <c r="H35" i="16"/>
  <c r="K47" i="16"/>
  <c r="G51" i="16"/>
  <c r="G55" i="16"/>
  <c r="L56" i="16"/>
  <c r="BP65" i="16"/>
  <c r="BR70" i="16"/>
  <c r="J73" i="16"/>
  <c r="BQ73" i="16"/>
  <c r="H102" i="16"/>
  <c r="H86" i="16"/>
  <c r="H87" i="16"/>
  <c r="H98" i="16"/>
  <c r="I104" i="16"/>
  <c r="BP117" i="16"/>
  <c r="BQ119" i="16"/>
  <c r="BQ123" i="16"/>
  <c r="J125" i="16"/>
  <c r="G150" i="16"/>
  <c r="E153" i="16"/>
  <c r="L160" i="16"/>
  <c r="P295" i="16"/>
  <c r="X297" i="16"/>
  <c r="P300" i="16"/>
  <c r="BQ13" i="16"/>
  <c r="BP14" i="16"/>
  <c r="BP15" i="16"/>
  <c r="BQ17" i="16"/>
  <c r="BP18" i="16"/>
  <c r="BP19" i="16"/>
  <c r="BQ21" i="16"/>
  <c r="E34" i="16"/>
  <c r="E35" i="16"/>
  <c r="K48" i="16"/>
  <c r="K51" i="16"/>
  <c r="H55" i="16"/>
  <c r="BQ64" i="16"/>
  <c r="BP67" i="16"/>
  <c r="E86" i="16"/>
  <c r="E87" i="16"/>
  <c r="L97" i="16"/>
  <c r="L101" i="16"/>
  <c r="L105" i="16"/>
  <c r="H107" i="16"/>
  <c r="J120" i="16"/>
  <c r="BR121" i="16"/>
  <c r="J124" i="16"/>
  <c r="BR125" i="16"/>
  <c r="H159" i="16"/>
  <c r="P296" i="16"/>
  <c r="B219" i="19"/>
  <c r="B98" i="19"/>
  <c r="C227" i="19"/>
  <c r="C106" i="19"/>
  <c r="C224" i="19"/>
  <c r="C103" i="19"/>
  <c r="D227" i="19"/>
  <c r="D106" i="19"/>
  <c r="C221" i="19"/>
  <c r="C100" i="19"/>
  <c r="D228" i="19"/>
  <c r="D107" i="19"/>
  <c r="C222" i="19"/>
  <c r="C101" i="19"/>
  <c r="B225" i="19"/>
  <c r="B104" i="19"/>
  <c r="C223" i="19"/>
  <c r="C102" i="19"/>
  <c r="C228" i="19"/>
  <c r="C107" i="19"/>
  <c r="C225" i="19"/>
  <c r="C104" i="19"/>
  <c r="B220" i="19"/>
  <c r="B99" i="19"/>
  <c r="D226" i="19"/>
  <c r="D105" i="19"/>
  <c r="C220" i="19"/>
  <c r="C99" i="19"/>
  <c r="D223" i="19"/>
  <c r="D102" i="19"/>
  <c r="B227" i="19"/>
  <c r="B106" i="19"/>
  <c r="D224" i="19"/>
  <c r="D103" i="19"/>
  <c r="B228" i="19"/>
  <c r="B107" i="19"/>
  <c r="D225" i="19"/>
  <c r="D104" i="19"/>
  <c r="C219" i="19"/>
  <c r="C98" i="19"/>
  <c r="B222" i="19"/>
  <c r="B101" i="19"/>
  <c r="C226" i="19"/>
  <c r="C105" i="19"/>
  <c r="D222" i="19"/>
  <c r="D101" i="19"/>
  <c r="B226" i="19"/>
  <c r="B105" i="19"/>
  <c r="D219" i="19"/>
  <c r="D98" i="19"/>
  <c r="B223" i="19"/>
  <c r="B102" i="19"/>
  <c r="D220" i="19"/>
  <c r="D99" i="19"/>
  <c r="B224" i="19"/>
  <c r="B103" i="19"/>
  <c r="D221" i="19"/>
  <c r="D100" i="19"/>
  <c r="B221" i="19"/>
  <c r="B100" i="19"/>
  <c r="C128" i="19"/>
  <c r="D32" i="17"/>
  <c r="C32" i="17"/>
  <c r="C31" i="17"/>
  <c r="D31" i="17"/>
  <c r="B31" i="17"/>
  <c r="D33" i="17"/>
  <c r="C33" i="17"/>
  <c r="B33" i="17"/>
  <c r="B32" i="17"/>
  <c r="C39" i="17" s="1"/>
  <c r="C13" i="17"/>
  <c r="C14" i="17"/>
  <c r="K54" i="18"/>
  <c r="K50" i="18"/>
  <c r="K46" i="18"/>
  <c r="L54" i="18"/>
  <c r="L50" i="18"/>
  <c r="L26" i="18"/>
  <c r="L46" i="18"/>
  <c r="BO12" i="18"/>
  <c r="BO20" i="18"/>
  <c r="K53" i="18"/>
  <c r="K49" i="18"/>
  <c r="K45" i="18"/>
  <c r="K55" i="18"/>
  <c r="K51" i="18"/>
  <c r="K47" i="18"/>
  <c r="BP12" i="18"/>
  <c r="BQ13" i="18"/>
  <c r="BR14" i="18"/>
  <c r="BT14" i="18" s="1"/>
  <c r="BO15" i="18"/>
  <c r="BP16" i="18"/>
  <c r="BQ17" i="18"/>
  <c r="BR18" i="18"/>
  <c r="BT18" i="18" s="1"/>
  <c r="BO19" i="18"/>
  <c r="BP20" i="18"/>
  <c r="BQ21" i="18"/>
  <c r="F54" i="18"/>
  <c r="F50" i="18"/>
  <c r="F46" i="18"/>
  <c r="E54" i="18"/>
  <c r="E50" i="18"/>
  <c r="G55" i="18"/>
  <c r="G51" i="18"/>
  <c r="G47" i="18"/>
  <c r="J56" i="18"/>
  <c r="J52" i="18"/>
  <c r="J48" i="18"/>
  <c r="I56" i="18"/>
  <c r="I52" i="18"/>
  <c r="I48" i="18"/>
  <c r="E35" i="18"/>
  <c r="L45" i="18"/>
  <c r="L47" i="18"/>
  <c r="L49" i="18"/>
  <c r="L51" i="18"/>
  <c r="L53" i="18"/>
  <c r="L55" i="18"/>
  <c r="K272" i="18"/>
  <c r="BO66" i="18"/>
  <c r="BS66" i="18" s="1"/>
  <c r="O272" i="18"/>
  <c r="BQ66" i="18"/>
  <c r="BT66" i="18" s="1"/>
  <c r="K276" i="18"/>
  <c r="BO70" i="18"/>
  <c r="BS70" i="18" s="1"/>
  <c r="O276" i="18"/>
  <c r="BQ70" i="18"/>
  <c r="H106" i="18"/>
  <c r="E99" i="18"/>
  <c r="BO116" i="18"/>
  <c r="J118" i="18"/>
  <c r="T272" i="18"/>
  <c r="BP118" i="18"/>
  <c r="X272" i="18"/>
  <c r="BR118" i="18"/>
  <c r="BR119" i="18"/>
  <c r="BO120" i="18"/>
  <c r="J122" i="18"/>
  <c r="T276" i="18"/>
  <c r="BP122" i="18"/>
  <c r="X276" i="18"/>
  <c r="BR122" i="18"/>
  <c r="BR123" i="18"/>
  <c r="BO124" i="18"/>
  <c r="I247" i="18"/>
  <c r="BO16" i="18"/>
  <c r="BS16" i="18" s="1"/>
  <c r="BR19" i="18"/>
  <c r="F55" i="18"/>
  <c r="F51" i="18"/>
  <c r="F47" i="18"/>
  <c r="K138" i="18"/>
  <c r="L138" i="18" s="1"/>
  <c r="H138" i="18"/>
  <c r="J244" i="18"/>
  <c r="BQ12" i="18"/>
  <c r="BT12" i="18" s="1"/>
  <c r="BR13" i="18"/>
  <c r="BO14" i="18"/>
  <c r="BP15" i="18"/>
  <c r="BQ16" i="18"/>
  <c r="BR17" i="18"/>
  <c r="BO18" i="18"/>
  <c r="BP19" i="18"/>
  <c r="BQ20" i="18"/>
  <c r="BR21" i="18"/>
  <c r="F53" i="18"/>
  <c r="F49" i="18"/>
  <c r="E53" i="18"/>
  <c r="E49" i="18"/>
  <c r="G54" i="18"/>
  <c r="G50" i="18"/>
  <c r="G46" i="18"/>
  <c r="K56" i="18"/>
  <c r="K52" i="18"/>
  <c r="K48" i="18"/>
  <c r="L48" i="18"/>
  <c r="L52" i="18"/>
  <c r="H54" i="18"/>
  <c r="L56" i="18"/>
  <c r="J67" i="18"/>
  <c r="J71" i="18"/>
  <c r="J105" i="18"/>
  <c r="J101" i="18"/>
  <c r="J97" i="18"/>
  <c r="I97" i="18"/>
  <c r="E103" i="18"/>
  <c r="G150" i="18"/>
  <c r="K130" i="18"/>
  <c r="G158" i="18"/>
  <c r="H130" i="18"/>
  <c r="H150" i="18" s="1"/>
  <c r="J159" i="18"/>
  <c r="J155" i="18"/>
  <c r="J151" i="18"/>
  <c r="I131" i="18"/>
  <c r="C242" i="18"/>
  <c r="I245" i="18"/>
  <c r="M270" i="18"/>
  <c r="BR15" i="18"/>
  <c r="J54" i="18"/>
  <c r="J50" i="18"/>
  <c r="J46" i="18"/>
  <c r="I54" i="18"/>
  <c r="I50" i="18"/>
  <c r="I46" i="18"/>
  <c r="C173" i="18"/>
  <c r="C174" i="18"/>
  <c r="C172" i="18"/>
  <c r="BR12" i="18"/>
  <c r="BO13" i="18"/>
  <c r="BS13" i="18" s="1"/>
  <c r="BP14" i="18"/>
  <c r="BQ15" i="18"/>
  <c r="BT15" i="18" s="1"/>
  <c r="BR16" i="18"/>
  <c r="BO17" i="18"/>
  <c r="BS17" i="18" s="1"/>
  <c r="BP18" i="18"/>
  <c r="BQ19" i="18"/>
  <c r="BT19" i="18" s="1"/>
  <c r="BR20" i="18"/>
  <c r="BO21" i="18"/>
  <c r="BS21" i="18" s="1"/>
  <c r="J25" i="18"/>
  <c r="H26" i="18"/>
  <c r="H50" i="18" s="1"/>
  <c r="E27" i="18"/>
  <c r="J27" i="18"/>
  <c r="H33" i="18"/>
  <c r="H46" i="18"/>
  <c r="H47" i="18"/>
  <c r="BR64" i="18"/>
  <c r="N271" i="18"/>
  <c r="BQ65" i="18"/>
  <c r="BO65" i="18"/>
  <c r="BS65" i="18" s="1"/>
  <c r="L273" i="18"/>
  <c r="BP67" i="18"/>
  <c r="P273" i="18"/>
  <c r="BR67" i="18"/>
  <c r="BT67" i="18" s="1"/>
  <c r="BR68" i="18"/>
  <c r="N275" i="18"/>
  <c r="BQ69" i="18"/>
  <c r="BO69" i="18"/>
  <c r="L277" i="18"/>
  <c r="BP71" i="18"/>
  <c r="P277" i="18"/>
  <c r="BR71" i="18"/>
  <c r="BT71" i="18" s="1"/>
  <c r="BR72" i="18"/>
  <c r="BO73" i="18"/>
  <c r="I79" i="18"/>
  <c r="J107" i="18"/>
  <c r="J103" i="18"/>
  <c r="J99" i="18"/>
  <c r="I101" i="18"/>
  <c r="J117" i="18"/>
  <c r="S271" i="18"/>
  <c r="BO117" i="18"/>
  <c r="BS117" i="18" s="1"/>
  <c r="W271" i="18"/>
  <c r="BQ117" i="18"/>
  <c r="BT117" i="18" s="1"/>
  <c r="BT118" i="18"/>
  <c r="J121" i="18"/>
  <c r="S275" i="18"/>
  <c r="BO121" i="18"/>
  <c r="BS121" i="18" s="1"/>
  <c r="W275" i="18"/>
  <c r="BQ121" i="18"/>
  <c r="BT122" i="18"/>
  <c r="J125" i="18"/>
  <c r="F157" i="18"/>
  <c r="F153" i="18"/>
  <c r="F149" i="18"/>
  <c r="E157" i="18"/>
  <c r="E153" i="18"/>
  <c r="J129" i="18"/>
  <c r="E159" i="18"/>
  <c r="E155" i="18"/>
  <c r="E149" i="18"/>
  <c r="G154" i="18"/>
  <c r="C166" i="18"/>
  <c r="C165" i="18"/>
  <c r="B243" i="18"/>
  <c r="E243" i="18" s="1"/>
  <c r="D243" i="18"/>
  <c r="B245" i="18"/>
  <c r="E245" i="18" s="1"/>
  <c r="D245" i="18"/>
  <c r="B247" i="18"/>
  <c r="E247" i="18" s="1"/>
  <c r="D247" i="18"/>
  <c r="D249" i="18"/>
  <c r="B249" i="18"/>
  <c r="D251" i="18"/>
  <c r="B251" i="18"/>
  <c r="I243" i="18"/>
  <c r="BO64" i="18"/>
  <c r="BS64" i="18" s="1"/>
  <c r="BP65" i="18"/>
  <c r="BO68" i="18"/>
  <c r="BS68" i="18" s="1"/>
  <c r="BP69" i="18"/>
  <c r="BO72" i="18"/>
  <c r="BS72" i="18" s="1"/>
  <c r="BP73" i="18"/>
  <c r="F97" i="18"/>
  <c r="F98" i="18"/>
  <c r="J98" i="18"/>
  <c r="F99" i="18"/>
  <c r="J100" i="18"/>
  <c r="F101" i="18"/>
  <c r="F102" i="18"/>
  <c r="J102" i="18"/>
  <c r="F103" i="18"/>
  <c r="J104" i="18"/>
  <c r="BP116" i="18"/>
  <c r="BO119" i="18"/>
  <c r="BS119" i="18" s="1"/>
  <c r="BU119" i="18" s="1"/>
  <c r="BP120" i="18"/>
  <c r="BO123" i="18"/>
  <c r="BS123" i="18" s="1"/>
  <c r="BP124" i="18"/>
  <c r="T279" i="18"/>
  <c r="BP125" i="18"/>
  <c r="BR125" i="18"/>
  <c r="BT125" i="18" s="1"/>
  <c r="J160" i="18"/>
  <c r="J156" i="18"/>
  <c r="J152" i="18"/>
  <c r="K155" i="18"/>
  <c r="L156" i="18"/>
  <c r="K160" i="18"/>
  <c r="C249" i="18"/>
  <c r="I249" i="18"/>
  <c r="H250" i="18"/>
  <c r="G250" i="18"/>
  <c r="C251" i="18"/>
  <c r="I251" i="18"/>
  <c r="H242" i="18"/>
  <c r="J242" i="18" s="1"/>
  <c r="H244" i="18"/>
  <c r="H246" i="18"/>
  <c r="J246" i="18" s="1"/>
  <c r="H248" i="18"/>
  <c r="J248" i="18" s="1"/>
  <c r="Q272" i="18"/>
  <c r="Y278" i="18"/>
  <c r="BO67" i="18"/>
  <c r="BS67" i="18" s="1"/>
  <c r="BR70" i="18"/>
  <c r="BO71" i="18"/>
  <c r="BP72" i="18"/>
  <c r="BQ73" i="18"/>
  <c r="BT73" i="18" s="1"/>
  <c r="K78" i="18"/>
  <c r="K97" i="18"/>
  <c r="G98" i="18"/>
  <c r="G99" i="18"/>
  <c r="K99" i="18"/>
  <c r="K100" i="18"/>
  <c r="K101" i="18"/>
  <c r="G102" i="18"/>
  <c r="G103" i="18"/>
  <c r="K103" i="18"/>
  <c r="K104" i="18"/>
  <c r="K105" i="18"/>
  <c r="G106" i="18"/>
  <c r="G107" i="18"/>
  <c r="K107" i="18"/>
  <c r="K108" i="18"/>
  <c r="BQ116" i="18"/>
  <c r="BR117" i="18"/>
  <c r="BO118" i="18"/>
  <c r="BS118" i="18" s="1"/>
  <c r="BU118" i="18" s="1"/>
  <c r="BP119" i="18"/>
  <c r="BQ120" i="18"/>
  <c r="BR121" i="18"/>
  <c r="BO122" i="18"/>
  <c r="BS122" i="18" s="1"/>
  <c r="BU122" i="18" s="1"/>
  <c r="BP123" i="18"/>
  <c r="BQ124" i="18"/>
  <c r="BT124" i="18" s="1"/>
  <c r="H151" i="18"/>
  <c r="I152" i="18"/>
  <c r="G155" i="18"/>
  <c r="L155" i="18"/>
  <c r="K159" i="18"/>
  <c r="L160" i="18"/>
  <c r="B242" i="18"/>
  <c r="E242" i="18" s="1"/>
  <c r="B244" i="18"/>
  <c r="E244" i="18" s="1"/>
  <c r="B246" i="18"/>
  <c r="E246" i="18" s="1"/>
  <c r="B248" i="18"/>
  <c r="E248" i="18" s="1"/>
  <c r="B250" i="18"/>
  <c r="Q279" i="18"/>
  <c r="BQ64" i="18"/>
  <c r="BR65" i="18"/>
  <c r="BQ68" i="18"/>
  <c r="BT68" i="18" s="1"/>
  <c r="BR69" i="18"/>
  <c r="BQ72" i="18"/>
  <c r="BT72" i="18" s="1"/>
  <c r="L97" i="18"/>
  <c r="H98" i="18"/>
  <c r="H99" i="18"/>
  <c r="L99" i="18"/>
  <c r="L100" i="18"/>
  <c r="L101" i="18"/>
  <c r="H102" i="18"/>
  <c r="H103" i="18"/>
  <c r="L103" i="18"/>
  <c r="L104" i="18"/>
  <c r="BR116" i="18"/>
  <c r="BQ119" i="18"/>
  <c r="BT119" i="18" s="1"/>
  <c r="BR120" i="18"/>
  <c r="BQ123" i="18"/>
  <c r="BO125" i="18"/>
  <c r="BS125" i="18" s="1"/>
  <c r="F158" i="18"/>
  <c r="F154" i="18"/>
  <c r="F150" i="18"/>
  <c r="J130" i="18"/>
  <c r="E154" i="18"/>
  <c r="H155" i="18"/>
  <c r="I156" i="18"/>
  <c r="G159" i="18"/>
  <c r="G243" i="18"/>
  <c r="J243" i="18" s="1"/>
  <c r="G245" i="18"/>
  <c r="J245" i="18" s="1"/>
  <c r="G247" i="18"/>
  <c r="G249" i="18"/>
  <c r="C250" i="18"/>
  <c r="I250" i="18"/>
  <c r="G251" i="18"/>
  <c r="F151" i="18"/>
  <c r="F155" i="18"/>
  <c r="BO125" i="16"/>
  <c r="F159" i="16"/>
  <c r="F155" i="16"/>
  <c r="J131" i="16"/>
  <c r="C297" i="16"/>
  <c r="BP12" i="16"/>
  <c r="BR14" i="16"/>
  <c r="BR15" i="16"/>
  <c r="H297" i="16"/>
  <c r="BQ15" i="16"/>
  <c r="BP16" i="16"/>
  <c r="BR18" i="16"/>
  <c r="BR19" i="16"/>
  <c r="H301" i="16"/>
  <c r="BQ19" i="16"/>
  <c r="BP20" i="16"/>
  <c r="K26" i="16"/>
  <c r="L47" i="16"/>
  <c r="H51" i="16"/>
  <c r="BR64" i="16"/>
  <c r="BO66" i="16"/>
  <c r="BO67" i="16"/>
  <c r="K297" i="16"/>
  <c r="BQ67" i="16"/>
  <c r="BR68" i="16"/>
  <c r="BO70" i="16"/>
  <c r="BO71" i="16"/>
  <c r="K301" i="16"/>
  <c r="BQ71" i="16"/>
  <c r="BR72" i="16"/>
  <c r="K108" i="16"/>
  <c r="K104" i="16"/>
  <c r="K100" i="16"/>
  <c r="L100" i="16"/>
  <c r="BQ116" i="16"/>
  <c r="BR116" i="16"/>
  <c r="BP118" i="16"/>
  <c r="BQ120" i="16"/>
  <c r="BR120" i="16"/>
  <c r="BR123" i="16"/>
  <c r="W303" i="16"/>
  <c r="BQ125" i="16"/>
  <c r="L157" i="16"/>
  <c r="L149" i="16"/>
  <c r="L153" i="16"/>
  <c r="K157" i="16"/>
  <c r="K149" i="16"/>
  <c r="K153" i="16"/>
  <c r="J139" i="16"/>
  <c r="I139" i="16" s="1"/>
  <c r="E139" i="16"/>
  <c r="C301" i="16"/>
  <c r="M303" i="16"/>
  <c r="BO12" i="16"/>
  <c r="C294" i="16"/>
  <c r="BQ12" i="16"/>
  <c r="BO13" i="16"/>
  <c r="BO16" i="16"/>
  <c r="C298" i="16"/>
  <c r="BQ16" i="16"/>
  <c r="BO17" i="16"/>
  <c r="BO20" i="16"/>
  <c r="C302" i="16"/>
  <c r="BQ20" i="16"/>
  <c r="BO21" i="16"/>
  <c r="F54" i="16"/>
  <c r="F50" i="16"/>
  <c r="F46" i="16"/>
  <c r="J26" i="16"/>
  <c r="E50" i="16"/>
  <c r="E54" i="16"/>
  <c r="E46" i="16"/>
  <c r="G46" i="16"/>
  <c r="G54" i="16"/>
  <c r="BP64" i="16"/>
  <c r="J66" i="16"/>
  <c r="O296" i="16"/>
  <c r="BQ66" i="16"/>
  <c r="J67" i="16"/>
  <c r="BR67" i="16"/>
  <c r="P297" i="16"/>
  <c r="BP68" i="16"/>
  <c r="J70" i="16"/>
  <c r="O300" i="16"/>
  <c r="BQ70" i="16"/>
  <c r="J71" i="16"/>
  <c r="P301" i="16"/>
  <c r="BR71" i="16"/>
  <c r="BP72" i="16"/>
  <c r="L302" i="16"/>
  <c r="F105" i="16"/>
  <c r="F101" i="16"/>
  <c r="F97" i="16"/>
  <c r="G106" i="16"/>
  <c r="G102" i="16"/>
  <c r="G98" i="16"/>
  <c r="K78" i="16"/>
  <c r="J103" i="16"/>
  <c r="E101" i="16"/>
  <c r="L104" i="16"/>
  <c r="H106" i="16"/>
  <c r="BO117" i="16"/>
  <c r="BO118" i="16"/>
  <c r="S296" i="16"/>
  <c r="BQ118" i="16"/>
  <c r="BO121" i="16"/>
  <c r="BO122" i="16"/>
  <c r="S300" i="16"/>
  <c r="BP123" i="16"/>
  <c r="BP124" i="16"/>
  <c r="U302" i="16"/>
  <c r="Y302" i="16"/>
  <c r="BR124" i="16"/>
  <c r="H295" i="16"/>
  <c r="U298" i="16"/>
  <c r="D299" i="16"/>
  <c r="T301" i="16"/>
  <c r="BP13" i="16"/>
  <c r="D295" i="16"/>
  <c r="BQ14" i="16"/>
  <c r="G296" i="16"/>
  <c r="BR17" i="16"/>
  <c r="BQ18" i="16"/>
  <c r="G300" i="16"/>
  <c r="BP21" i="16"/>
  <c r="D303" i="16"/>
  <c r="BR21" i="16"/>
  <c r="J53" i="16"/>
  <c r="J49" i="16"/>
  <c r="J45" i="16"/>
  <c r="I53" i="16"/>
  <c r="I45" i="16"/>
  <c r="I49" i="16"/>
  <c r="J56" i="16"/>
  <c r="J52" i="16"/>
  <c r="J48" i="16"/>
  <c r="I56" i="16"/>
  <c r="I52" i="16"/>
  <c r="I48" i="16"/>
  <c r="BO116" i="16"/>
  <c r="BO120" i="16"/>
  <c r="BR12" i="16"/>
  <c r="BO14" i="16"/>
  <c r="BR16" i="16"/>
  <c r="BO18" i="16"/>
  <c r="BR20" i="16"/>
  <c r="F53" i="16"/>
  <c r="F49" i="16"/>
  <c r="F45" i="16"/>
  <c r="E49" i="16"/>
  <c r="E53" i="16"/>
  <c r="E45" i="16"/>
  <c r="BO65" i="16"/>
  <c r="BO69" i="16"/>
  <c r="BO73" i="16"/>
  <c r="BP116" i="16"/>
  <c r="U294" i="16"/>
  <c r="J117" i="16"/>
  <c r="W295" i="16"/>
  <c r="BQ117" i="16"/>
  <c r="BT117" i="16" s="1"/>
  <c r="J118" i="16"/>
  <c r="BR118" i="16"/>
  <c r="X296" i="16"/>
  <c r="BP119" i="16"/>
  <c r="J121" i="16"/>
  <c r="W299" i="16"/>
  <c r="BQ121" i="16"/>
  <c r="J122" i="16"/>
  <c r="T300" i="16"/>
  <c r="BP122" i="16"/>
  <c r="X300" i="16"/>
  <c r="BR122" i="16"/>
  <c r="BO124" i="16"/>
  <c r="E131" i="16"/>
  <c r="F151" i="16"/>
  <c r="T297" i="16"/>
  <c r="BQ124" i="16"/>
  <c r="C180" i="16"/>
  <c r="C181" i="16"/>
  <c r="C179" i="16"/>
  <c r="BO68" i="16"/>
  <c r="F99" i="16"/>
  <c r="F103" i="16"/>
  <c r="BO119" i="16"/>
  <c r="BO123" i="16"/>
  <c r="J160" i="16"/>
  <c r="J156" i="16"/>
  <c r="K138" i="16"/>
  <c r="L138" i="16" s="1"/>
  <c r="K139" i="16"/>
  <c r="L139" i="16" s="1"/>
  <c r="G155" i="16"/>
  <c r="BO64" i="16"/>
  <c r="BO72" i="16"/>
  <c r="F158" i="16"/>
  <c r="F154" i="16"/>
  <c r="G151" i="16"/>
  <c r="F47" i="16"/>
  <c r="F51" i="16"/>
  <c r="K97" i="16"/>
  <c r="G99" i="16"/>
  <c r="K99" i="16"/>
  <c r="K101" i="16"/>
  <c r="G103" i="16"/>
  <c r="K103" i="16"/>
  <c r="H151" i="16"/>
  <c r="E154" i="16"/>
  <c r="H155" i="16"/>
  <c r="I156" i="16"/>
  <c r="H242" i="15"/>
  <c r="I246" i="15"/>
  <c r="I260" i="15" s="1"/>
  <c r="V288" i="15" s="1"/>
  <c r="I250" i="15"/>
  <c r="I264" i="15" s="1"/>
  <c r="V292" i="15" s="1"/>
  <c r="I244" i="15"/>
  <c r="I258" i="15" s="1"/>
  <c r="W286" i="15" s="1"/>
  <c r="I248" i="15"/>
  <c r="I262" i="15" s="1"/>
  <c r="W290" i="15" s="1"/>
  <c r="D245" i="15"/>
  <c r="D259" i="15" s="1"/>
  <c r="D249" i="15"/>
  <c r="D263" i="15" s="1"/>
  <c r="U291" i="15" s="1"/>
  <c r="I243" i="15"/>
  <c r="I257" i="15" s="1"/>
  <c r="Y285" i="15" s="1"/>
  <c r="H245" i="15"/>
  <c r="I247" i="15"/>
  <c r="I261" i="15" s="1"/>
  <c r="H249" i="15"/>
  <c r="I251" i="15"/>
  <c r="I265" i="15" s="1"/>
  <c r="X293" i="15" s="1"/>
  <c r="G244" i="15"/>
  <c r="G248" i="15"/>
  <c r="B250" i="15"/>
  <c r="I242" i="15"/>
  <c r="I256" i="15" s="1"/>
  <c r="V284" i="15" s="1"/>
  <c r="C242" i="15"/>
  <c r="C246" i="15"/>
  <c r="C250" i="15"/>
  <c r="G243" i="15"/>
  <c r="H244" i="15"/>
  <c r="I245" i="15"/>
  <c r="I259" i="15" s="1"/>
  <c r="Y287" i="15" s="1"/>
  <c r="G247" i="15"/>
  <c r="H248" i="15"/>
  <c r="I249" i="15"/>
  <c r="I263" i="15" s="1"/>
  <c r="X291" i="15" s="1"/>
  <c r="G251" i="15"/>
  <c r="G242" i="15"/>
  <c r="H243" i="15"/>
  <c r="G246" i="15"/>
  <c r="H247" i="15"/>
  <c r="G250" i="15"/>
  <c r="H251" i="15"/>
  <c r="B243" i="15"/>
  <c r="C244" i="15"/>
  <c r="B246" i="15"/>
  <c r="C247" i="15"/>
  <c r="C248" i="15"/>
  <c r="C251" i="15"/>
  <c r="D251" i="15"/>
  <c r="D265" i="15" s="1"/>
  <c r="T293" i="15" s="1"/>
  <c r="H250" i="15"/>
  <c r="G249" i="15"/>
  <c r="H246" i="15"/>
  <c r="G245" i="15"/>
  <c r="D243" i="15"/>
  <c r="D257" i="15" s="1"/>
  <c r="S285" i="15" s="1"/>
  <c r="B245" i="15"/>
  <c r="D247" i="15"/>
  <c r="D261" i="15" s="1"/>
  <c r="S289" i="15" s="1"/>
  <c r="B249" i="15"/>
  <c r="B242" i="15"/>
  <c r="D242" i="15"/>
  <c r="D256" i="15" s="1"/>
  <c r="S284" i="15" s="1"/>
  <c r="B244" i="15"/>
  <c r="C245" i="15"/>
  <c r="D246" i="15"/>
  <c r="D260" i="15" s="1"/>
  <c r="R288" i="15" s="1"/>
  <c r="B248" i="15"/>
  <c r="C249" i="15"/>
  <c r="D250" i="15"/>
  <c r="B247" i="15"/>
  <c r="B251" i="15"/>
  <c r="C243" i="15"/>
  <c r="D244" i="15"/>
  <c r="D258" i="15" s="1"/>
  <c r="R286" i="15" s="1"/>
  <c r="D248" i="15"/>
  <c r="K87" i="15"/>
  <c r="L87" i="15" s="1"/>
  <c r="I160" i="15"/>
  <c r="BP116" i="15"/>
  <c r="BR116" i="15"/>
  <c r="BP117" i="15"/>
  <c r="J119" i="15"/>
  <c r="J20" i="15"/>
  <c r="J70" i="15"/>
  <c r="J16" i="15"/>
  <c r="BR124" i="15"/>
  <c r="J14" i="15"/>
  <c r="J66" i="15"/>
  <c r="BP124" i="15"/>
  <c r="J13" i="15"/>
  <c r="J124" i="15"/>
  <c r="I152" i="15"/>
  <c r="BP68" i="15"/>
  <c r="BR15" i="15"/>
  <c r="F46" i="15"/>
  <c r="F50" i="15"/>
  <c r="J64" i="15"/>
  <c r="H78" i="15"/>
  <c r="H106" i="15" s="1"/>
  <c r="G102" i="15"/>
  <c r="J131" i="15"/>
  <c r="I131" i="15" s="1"/>
  <c r="I159" i="15" s="1"/>
  <c r="J12" i="15"/>
  <c r="J19" i="15"/>
  <c r="J21" i="15"/>
  <c r="H47" i="15"/>
  <c r="J52" i="15"/>
  <c r="K78" i="15"/>
  <c r="K102" i="15" s="1"/>
  <c r="BO119" i="15"/>
  <c r="J129" i="15"/>
  <c r="J157" i="15" s="1"/>
  <c r="I156" i="15"/>
  <c r="H34" i="15"/>
  <c r="BP120" i="15"/>
  <c r="BR120" i="15"/>
  <c r="BP121" i="15"/>
  <c r="J123" i="15"/>
  <c r="H137" i="15"/>
  <c r="BR16" i="15"/>
  <c r="BP17" i="15"/>
  <c r="BP18" i="15"/>
  <c r="BQ19" i="15"/>
  <c r="J25" i="15"/>
  <c r="J45" i="15" s="1"/>
  <c r="H26" i="15"/>
  <c r="H33" i="15"/>
  <c r="H35" i="15"/>
  <c r="I48" i="15"/>
  <c r="E53" i="15"/>
  <c r="H55" i="15"/>
  <c r="BR66" i="15"/>
  <c r="J68" i="15"/>
  <c r="BQ70" i="15"/>
  <c r="BP72" i="15"/>
  <c r="BQ73" i="15"/>
  <c r="H85" i="15"/>
  <c r="K86" i="15"/>
  <c r="L86" i="15" s="1"/>
  <c r="E97" i="15"/>
  <c r="K100" i="15"/>
  <c r="K104" i="15"/>
  <c r="L108" i="15"/>
  <c r="J120" i="15"/>
  <c r="J130" i="15"/>
  <c r="J158" i="15" s="1"/>
  <c r="K131" i="15"/>
  <c r="L151" i="15" s="1"/>
  <c r="H138" i="15"/>
  <c r="H139" i="15"/>
  <c r="J152" i="15"/>
  <c r="J156" i="15"/>
  <c r="C172" i="15"/>
  <c r="J15" i="15"/>
  <c r="J17" i="15"/>
  <c r="J18" i="15"/>
  <c r="BR19" i="15"/>
  <c r="J26" i="15"/>
  <c r="J50" i="15" s="1"/>
  <c r="K27" i="15"/>
  <c r="L47" i="15" s="1"/>
  <c r="E45" i="15"/>
  <c r="J48" i="15"/>
  <c r="H51" i="15"/>
  <c r="F53" i="15"/>
  <c r="E54" i="15"/>
  <c r="I56" i="15"/>
  <c r="J67" i="15"/>
  <c r="BR70" i="15"/>
  <c r="J73" i="15"/>
  <c r="F97" i="15"/>
  <c r="K97" i="15"/>
  <c r="E101" i="15"/>
  <c r="E105" i="15"/>
  <c r="J116" i="15"/>
  <c r="BP125" i="15"/>
  <c r="E138" i="15"/>
  <c r="E139" i="15"/>
  <c r="E149" i="15"/>
  <c r="E150" i="15"/>
  <c r="E153" i="15"/>
  <c r="E154" i="15"/>
  <c r="E157" i="15"/>
  <c r="E158" i="15"/>
  <c r="C165" i="15"/>
  <c r="C173" i="15"/>
  <c r="R273" i="15"/>
  <c r="F49" i="15"/>
  <c r="F55" i="15"/>
  <c r="BQ66" i="15"/>
  <c r="BQ69" i="15"/>
  <c r="BQ119" i="15"/>
  <c r="BR12" i="15"/>
  <c r="BP13" i="15"/>
  <c r="BP14" i="15"/>
  <c r="BQ15" i="15"/>
  <c r="BR20" i="15"/>
  <c r="BP21" i="15"/>
  <c r="E27" i="15"/>
  <c r="E55" i="15" s="1"/>
  <c r="E34" i="15"/>
  <c r="F45" i="15"/>
  <c r="E46" i="15"/>
  <c r="F47" i="15"/>
  <c r="E50" i="15"/>
  <c r="I52" i="15"/>
  <c r="BP64" i="15"/>
  <c r="BQ65" i="15"/>
  <c r="J71" i="15"/>
  <c r="J77" i="15"/>
  <c r="I97" i="15" s="1"/>
  <c r="G98" i="15"/>
  <c r="F101" i="15"/>
  <c r="K101" i="15"/>
  <c r="K105" i="15"/>
  <c r="BO123" i="15"/>
  <c r="BQ123" i="15"/>
  <c r="F149" i="15"/>
  <c r="F150" i="15"/>
  <c r="F153" i="15"/>
  <c r="F154" i="15"/>
  <c r="I27" i="15"/>
  <c r="J47" i="15"/>
  <c r="J55" i="15"/>
  <c r="J51" i="15"/>
  <c r="N273" i="15"/>
  <c r="BQ67" i="15"/>
  <c r="P275" i="15"/>
  <c r="BR69" i="15"/>
  <c r="J35" i="15"/>
  <c r="I35" i="15" s="1"/>
  <c r="BO67" i="15"/>
  <c r="L275" i="15"/>
  <c r="BP69" i="15"/>
  <c r="F106" i="15"/>
  <c r="F102" i="15"/>
  <c r="F98" i="15"/>
  <c r="J78" i="15"/>
  <c r="E106" i="15"/>
  <c r="E102" i="15"/>
  <c r="E98" i="15"/>
  <c r="BO13" i="15"/>
  <c r="C272" i="15"/>
  <c r="BO14" i="15"/>
  <c r="BQ14" i="15"/>
  <c r="BO17" i="15"/>
  <c r="C276" i="15"/>
  <c r="BO18" i="15"/>
  <c r="BQ18" i="15"/>
  <c r="BO21" i="15"/>
  <c r="F51" i="15"/>
  <c r="K270" i="15"/>
  <c r="BO64" i="15"/>
  <c r="O270" i="15"/>
  <c r="BQ64" i="15"/>
  <c r="N277" i="15"/>
  <c r="BQ71" i="15"/>
  <c r="BO71" i="15"/>
  <c r="L279" i="15"/>
  <c r="BP73" i="15"/>
  <c r="P279" i="15"/>
  <c r="BR73" i="15"/>
  <c r="G107" i="15"/>
  <c r="H103" i="15"/>
  <c r="H99" i="15"/>
  <c r="H107" i="15"/>
  <c r="K79" i="15"/>
  <c r="G271" i="15"/>
  <c r="BQ13" i="15"/>
  <c r="H272" i="15"/>
  <c r="BR14" i="15"/>
  <c r="D273" i="15"/>
  <c r="BP15" i="15"/>
  <c r="G275" i="15"/>
  <c r="BQ17" i="15"/>
  <c r="H276" i="15"/>
  <c r="BR18" i="15"/>
  <c r="D277" i="15"/>
  <c r="BP19" i="15"/>
  <c r="G279" i="15"/>
  <c r="BQ21" i="15"/>
  <c r="J65" i="15"/>
  <c r="K274" i="15"/>
  <c r="BO68" i="15"/>
  <c r="O274" i="15"/>
  <c r="BQ68" i="15"/>
  <c r="J108" i="15"/>
  <c r="J104" i="15"/>
  <c r="J100" i="15"/>
  <c r="I108" i="15"/>
  <c r="I104" i="15"/>
  <c r="I100" i="15"/>
  <c r="F270" i="15"/>
  <c r="BQ12" i="15"/>
  <c r="BO12" i="15"/>
  <c r="F274" i="15"/>
  <c r="BQ16" i="15"/>
  <c r="BO16" i="15"/>
  <c r="F278" i="15"/>
  <c r="BQ20" i="15"/>
  <c r="BO20" i="15"/>
  <c r="K53" i="15"/>
  <c r="K49" i="15"/>
  <c r="K45" i="15"/>
  <c r="L53" i="15"/>
  <c r="L49" i="15"/>
  <c r="L45" i="15"/>
  <c r="L271" i="15"/>
  <c r="BP65" i="15"/>
  <c r="P271" i="15"/>
  <c r="BR65" i="15"/>
  <c r="J69" i="15"/>
  <c r="J72" i="15"/>
  <c r="K278" i="15"/>
  <c r="BO72" i="15"/>
  <c r="O278" i="15"/>
  <c r="BQ72" i="15"/>
  <c r="G103" i="15"/>
  <c r="BO116" i="15"/>
  <c r="BO120" i="15"/>
  <c r="BR13" i="15"/>
  <c r="BR17" i="15"/>
  <c r="BR21" i="15"/>
  <c r="L48" i="15"/>
  <c r="L52" i="15"/>
  <c r="L56" i="15"/>
  <c r="BR64" i="15"/>
  <c r="BO65" i="15"/>
  <c r="BP66" i="15"/>
  <c r="BR68" i="15"/>
  <c r="BO69" i="15"/>
  <c r="BP70" i="15"/>
  <c r="BR72" i="15"/>
  <c r="BO73" i="15"/>
  <c r="E79" i="15"/>
  <c r="J79" i="15"/>
  <c r="E86" i="15"/>
  <c r="E87" i="15"/>
  <c r="BO117" i="15"/>
  <c r="BO118" i="15"/>
  <c r="S272" i="15"/>
  <c r="BQ118" i="15"/>
  <c r="BR119" i="15"/>
  <c r="BO121" i="15"/>
  <c r="BO122" i="15"/>
  <c r="S276" i="15"/>
  <c r="BQ122" i="15"/>
  <c r="BR123" i="15"/>
  <c r="BO125" i="15"/>
  <c r="H158" i="15"/>
  <c r="U270" i="15"/>
  <c r="U274" i="15"/>
  <c r="U278" i="15"/>
  <c r="BR67" i="15"/>
  <c r="BR71" i="15"/>
  <c r="F99" i="15"/>
  <c r="F103" i="15"/>
  <c r="J117" i="15"/>
  <c r="W271" i="15"/>
  <c r="BQ117" i="15"/>
  <c r="J118" i="15"/>
  <c r="X272" i="15"/>
  <c r="BR118" i="15"/>
  <c r="T273" i="15"/>
  <c r="BP119" i="15"/>
  <c r="J121" i="15"/>
  <c r="W275" i="15"/>
  <c r="BQ121" i="15"/>
  <c r="J122" i="15"/>
  <c r="X276" i="15"/>
  <c r="X290" i="15" s="1"/>
  <c r="BR122" i="15"/>
  <c r="T277" i="15"/>
  <c r="T291" i="15" s="1"/>
  <c r="BP123" i="15"/>
  <c r="J125" i="15"/>
  <c r="W279" i="15"/>
  <c r="BQ125" i="15"/>
  <c r="BO124" i="15"/>
  <c r="L157" i="15"/>
  <c r="L153" i="15"/>
  <c r="L149" i="15"/>
  <c r="K157" i="15"/>
  <c r="K153" i="15"/>
  <c r="K149" i="15"/>
  <c r="Y270" i="15"/>
  <c r="Y274" i="15"/>
  <c r="Y278" i="15"/>
  <c r="BP12" i="15"/>
  <c r="BO15" i="15"/>
  <c r="BP16" i="15"/>
  <c r="BO19" i="15"/>
  <c r="BP20" i="15"/>
  <c r="K26" i="15"/>
  <c r="G46" i="15"/>
  <c r="G47" i="15"/>
  <c r="K48" i="15"/>
  <c r="G50" i="15"/>
  <c r="G51" i="15"/>
  <c r="K52" i="15"/>
  <c r="BO66" i="15"/>
  <c r="BP67" i="15"/>
  <c r="BO70" i="15"/>
  <c r="BP71" i="15"/>
  <c r="L97" i="15"/>
  <c r="L100" i="15"/>
  <c r="L101" i="15"/>
  <c r="L104" i="15"/>
  <c r="BQ116" i="15"/>
  <c r="BP118" i="15"/>
  <c r="BQ120" i="15"/>
  <c r="BP122" i="15"/>
  <c r="BQ124" i="15"/>
  <c r="E131" i="15"/>
  <c r="F151" i="15"/>
  <c r="F155" i="15"/>
  <c r="K130" i="15"/>
  <c r="G150" i="15"/>
  <c r="G151" i="15"/>
  <c r="K152" i="15"/>
  <c r="G154" i="15"/>
  <c r="G155" i="15"/>
  <c r="K156" i="15"/>
  <c r="G158" i="15"/>
  <c r="G159" i="15"/>
  <c r="K160" i="15"/>
  <c r="W270" i="15"/>
  <c r="W284" i="15" s="1"/>
  <c r="W274" i="15"/>
  <c r="W278" i="15"/>
  <c r="BR117" i="15"/>
  <c r="BR121" i="15"/>
  <c r="BR125" i="15"/>
  <c r="H150" i="15"/>
  <c r="H151" i="15"/>
  <c r="L152" i="15"/>
  <c r="H154" i="15"/>
  <c r="H155" i="15"/>
  <c r="L156" i="15"/>
  <c r="J15" i="14"/>
  <c r="B191" i="14" s="1"/>
  <c r="J19" i="14"/>
  <c r="B195" i="14" s="1"/>
  <c r="B135" i="14" s="1"/>
  <c r="J43" i="14"/>
  <c r="C189" i="14" s="1"/>
  <c r="C112" i="14" s="1"/>
  <c r="J47" i="14"/>
  <c r="C193" i="14" s="1"/>
  <c r="C128" i="14" s="1"/>
  <c r="J51" i="14"/>
  <c r="C197" i="14" s="1"/>
  <c r="C144" i="14" s="1"/>
  <c r="J75" i="14"/>
  <c r="D191" i="14" s="1"/>
  <c r="J79" i="14"/>
  <c r="D195" i="14" s="1"/>
  <c r="C99" i="14"/>
  <c r="C102" i="14" s="1"/>
  <c r="E99" i="14"/>
  <c r="E100" i="14"/>
  <c r="J14" i="14"/>
  <c r="B190" i="14" s="1"/>
  <c r="J18" i="14"/>
  <c r="B194" i="14" s="1"/>
  <c r="J42" i="14"/>
  <c r="C188" i="14" s="1"/>
  <c r="J46" i="14"/>
  <c r="C192" i="14" s="1"/>
  <c r="C124" i="14" s="1"/>
  <c r="J50" i="14"/>
  <c r="C196" i="14" s="1"/>
  <c r="C140" i="14" s="1"/>
  <c r="J74" i="14"/>
  <c r="D190" i="14" s="1"/>
  <c r="J78" i="14"/>
  <c r="D194" i="14" s="1"/>
  <c r="J13" i="14"/>
  <c r="B189" i="14" s="1"/>
  <c r="J17" i="14"/>
  <c r="B193" i="14" s="1"/>
  <c r="J21" i="14"/>
  <c r="B197" i="14" s="1"/>
  <c r="J45" i="14"/>
  <c r="C191" i="14" s="1"/>
  <c r="C120" i="14" s="1"/>
  <c r="J49" i="14"/>
  <c r="C195" i="14" s="1"/>
  <c r="J73" i="14"/>
  <c r="D189" i="14" s="1"/>
  <c r="J77" i="14"/>
  <c r="D193" i="14" s="1"/>
  <c r="J81" i="14"/>
  <c r="D197" i="14" s="1"/>
  <c r="J12" i="14"/>
  <c r="B188" i="14" s="1"/>
  <c r="J16" i="14"/>
  <c r="B192" i="14" s="1"/>
  <c r="J20" i="14"/>
  <c r="B196" i="14" s="1"/>
  <c r="J44" i="14"/>
  <c r="C190" i="14" s="1"/>
  <c r="C116" i="14" s="1"/>
  <c r="J48" i="14"/>
  <c r="C194" i="14" s="1"/>
  <c r="C132" i="14" s="1"/>
  <c r="J72" i="14"/>
  <c r="D188" i="14" s="1"/>
  <c r="D107" i="14" s="1"/>
  <c r="J76" i="14"/>
  <c r="D192" i="14" s="1"/>
  <c r="J80" i="14"/>
  <c r="D196" i="14" s="1"/>
  <c r="BP13" i="13"/>
  <c r="BS13" i="13" s="1"/>
  <c r="BU13" i="13" s="1"/>
  <c r="BR13" i="13"/>
  <c r="BT13" i="13"/>
  <c r="BO14" i="13"/>
  <c r="BQ9" i="13"/>
  <c r="BP17" i="13"/>
  <c r="BO17" i="13"/>
  <c r="BS17" i="13" s="1"/>
  <c r="BU17" i="13" s="1"/>
  <c r="BO9" i="13"/>
  <c r="BS9" i="13" s="1"/>
  <c r="BS10" i="13"/>
  <c r="BU10" i="13" s="1"/>
  <c r="BT11" i="13"/>
  <c r="BU11" i="13" s="1"/>
  <c r="I51" i="13"/>
  <c r="I47" i="13"/>
  <c r="I43" i="13"/>
  <c r="BT14" i="13"/>
  <c r="BS15" i="13"/>
  <c r="BU15" i="13" s="1"/>
  <c r="BS16" i="13"/>
  <c r="BT16" i="13"/>
  <c r="BT9" i="13"/>
  <c r="BS14" i="13"/>
  <c r="I41" i="13"/>
  <c r="E43" i="13"/>
  <c r="I45" i="13"/>
  <c r="E47" i="13"/>
  <c r="I48" i="13"/>
  <c r="E49" i="13"/>
  <c r="I49" i="13"/>
  <c r="I52" i="13"/>
  <c r="J22" i="13"/>
  <c r="K23" i="13"/>
  <c r="F41" i="13"/>
  <c r="J41" i="13"/>
  <c r="F42" i="13"/>
  <c r="F43" i="13"/>
  <c r="J43" i="13"/>
  <c r="J44" i="13"/>
  <c r="F45" i="13"/>
  <c r="J45" i="13"/>
  <c r="F47" i="13"/>
  <c r="J47" i="13"/>
  <c r="J48" i="13"/>
  <c r="J51" i="13"/>
  <c r="K22" i="13"/>
  <c r="K41" i="13"/>
  <c r="G42" i="13"/>
  <c r="G43" i="13"/>
  <c r="K44" i="13"/>
  <c r="K45" i="13"/>
  <c r="G47" i="13"/>
  <c r="K48" i="13"/>
  <c r="K49" i="13"/>
  <c r="G50" i="13"/>
  <c r="G51" i="13"/>
  <c r="K52" i="13"/>
  <c r="L41" i="13"/>
  <c r="H42" i="13"/>
  <c r="H43" i="13"/>
  <c r="L44" i="13"/>
  <c r="L45" i="13"/>
  <c r="H47" i="13"/>
  <c r="L48" i="13"/>
  <c r="BP123" i="12"/>
  <c r="BO121" i="12"/>
  <c r="BS119" i="12"/>
  <c r="BQ121" i="12"/>
  <c r="W182" i="12"/>
  <c r="W210" i="12" s="1"/>
  <c r="X183" i="12"/>
  <c r="X211" i="12" s="1"/>
  <c r="S185" i="12"/>
  <c r="BO122" i="12"/>
  <c r="S186" i="12"/>
  <c r="S214" i="12" s="1"/>
  <c r="V188" i="12"/>
  <c r="V216" i="12" s="1"/>
  <c r="BO115" i="12"/>
  <c r="BS115" i="12" s="1"/>
  <c r="BQ20" i="12"/>
  <c r="O199" i="12"/>
  <c r="O213" i="12"/>
  <c r="BR69" i="12"/>
  <c r="BP68" i="12"/>
  <c r="BO68" i="12"/>
  <c r="BQ68" i="12"/>
  <c r="BT68" i="12" s="1"/>
  <c r="BR68" i="12"/>
  <c r="BO66" i="12"/>
  <c r="BS66" i="12" s="1"/>
  <c r="BO70" i="12"/>
  <c r="BS70" i="12" s="1"/>
  <c r="L214" i="12"/>
  <c r="L200" i="12"/>
  <c r="K186" i="12"/>
  <c r="K214" i="12" s="1"/>
  <c r="N202" i="12"/>
  <c r="N216" i="12"/>
  <c r="BP72" i="12"/>
  <c r="BQ71" i="12"/>
  <c r="Z208" i="12"/>
  <c r="BO64" i="12"/>
  <c r="AE208" i="12"/>
  <c r="P180" i="12"/>
  <c r="P208" i="12" s="1"/>
  <c r="BQ63" i="12"/>
  <c r="J193" i="12"/>
  <c r="C185" i="12"/>
  <c r="BQ16" i="12"/>
  <c r="BQ12" i="12"/>
  <c r="H199" i="12"/>
  <c r="H213" i="12"/>
  <c r="Q194" i="12"/>
  <c r="Q208" i="12"/>
  <c r="E196" i="12"/>
  <c r="U196" i="12" s="1"/>
  <c r="E210" i="12"/>
  <c r="I197" i="12"/>
  <c r="I211" i="12"/>
  <c r="I213" i="12"/>
  <c r="I199" i="12"/>
  <c r="I26" i="12"/>
  <c r="J54" i="12"/>
  <c r="J46" i="12"/>
  <c r="J50" i="12"/>
  <c r="BS121" i="12"/>
  <c r="E214" i="12"/>
  <c r="E200" i="12"/>
  <c r="Q210" i="12"/>
  <c r="AG210" i="12" s="1"/>
  <c r="Q196" i="12"/>
  <c r="C215" i="12"/>
  <c r="C201" i="12"/>
  <c r="G216" i="12"/>
  <c r="G202" i="12"/>
  <c r="D195" i="12"/>
  <c r="D209" i="12"/>
  <c r="C211" i="12"/>
  <c r="C197" i="12"/>
  <c r="G198" i="12"/>
  <c r="G212" i="12"/>
  <c r="F202" i="12"/>
  <c r="V202" i="12" s="1"/>
  <c r="F216" i="12"/>
  <c r="M209" i="12"/>
  <c r="M195" i="12"/>
  <c r="BR12" i="12"/>
  <c r="BT12" i="12" s="1"/>
  <c r="H180" i="12"/>
  <c r="F195" i="12"/>
  <c r="F209" i="12"/>
  <c r="L187" i="12"/>
  <c r="BP71" i="12"/>
  <c r="BS71" i="12" s="1"/>
  <c r="BO72" i="12"/>
  <c r="K188" i="12"/>
  <c r="O216" i="12"/>
  <c r="O202" i="12"/>
  <c r="G102" i="12"/>
  <c r="H98" i="12"/>
  <c r="K78" i="12"/>
  <c r="G98" i="12"/>
  <c r="BR117" i="12"/>
  <c r="BR121" i="12"/>
  <c r="H197" i="12"/>
  <c r="K184" i="12"/>
  <c r="M213" i="12"/>
  <c r="M199" i="12"/>
  <c r="M216" i="12"/>
  <c r="M202" i="12"/>
  <c r="B197" i="12"/>
  <c r="E199" i="12"/>
  <c r="U199" i="12" s="1"/>
  <c r="Q200" i="12"/>
  <c r="M208" i="12"/>
  <c r="B207" i="12"/>
  <c r="Z207" i="12" s="1"/>
  <c r="B193" i="12"/>
  <c r="R193" i="12" s="1"/>
  <c r="F207" i="12"/>
  <c r="F193" i="12"/>
  <c r="BO11" i="12"/>
  <c r="F194" i="12"/>
  <c r="F208" i="12"/>
  <c r="BO12" i="12"/>
  <c r="BQ14" i="12"/>
  <c r="F211" i="12"/>
  <c r="AD211" i="12" s="1"/>
  <c r="F197" i="12"/>
  <c r="V197" i="12" s="1"/>
  <c r="BO15" i="12"/>
  <c r="B212" i="12"/>
  <c r="B198" i="12"/>
  <c r="BO16" i="12"/>
  <c r="BR17" i="12"/>
  <c r="BQ18" i="12"/>
  <c r="BT18" i="12" s="1"/>
  <c r="B215" i="12"/>
  <c r="B201" i="12"/>
  <c r="R201" i="12" s="1"/>
  <c r="BO19" i="12"/>
  <c r="BS19" i="12" s="1"/>
  <c r="BU19" i="12" s="1"/>
  <c r="B216" i="12"/>
  <c r="B202" i="12"/>
  <c r="BO20" i="12"/>
  <c r="L52" i="12"/>
  <c r="L48" i="12"/>
  <c r="L44" i="12"/>
  <c r="H54" i="12"/>
  <c r="H50" i="12"/>
  <c r="H46" i="12"/>
  <c r="I44" i="12"/>
  <c r="J47" i="12"/>
  <c r="K48" i="12"/>
  <c r="I49" i="12"/>
  <c r="F50" i="12"/>
  <c r="I52" i="12"/>
  <c r="J55" i="12"/>
  <c r="BQ64" i="12"/>
  <c r="BT64" i="12" s="1"/>
  <c r="J195" i="12"/>
  <c r="R195" i="12" s="1"/>
  <c r="J209" i="12"/>
  <c r="N209" i="12"/>
  <c r="N195" i="12"/>
  <c r="BO65" i="12"/>
  <c r="BS65" i="12" s="1"/>
  <c r="M210" i="12"/>
  <c r="M196" i="12"/>
  <c r="Q213" i="12"/>
  <c r="Q199" i="12"/>
  <c r="N214" i="12"/>
  <c r="AD214" i="12" s="1"/>
  <c r="N200" i="12"/>
  <c r="BR70" i="12"/>
  <c r="M215" i="12"/>
  <c r="M201" i="12"/>
  <c r="H77" i="12"/>
  <c r="H97" i="12" s="1"/>
  <c r="H105" i="12"/>
  <c r="G105" i="12"/>
  <c r="H101" i="12"/>
  <c r="K77" i="12"/>
  <c r="I107" i="12"/>
  <c r="I103" i="12"/>
  <c r="I99" i="12"/>
  <c r="J99" i="12"/>
  <c r="H102" i="12"/>
  <c r="V180" i="12"/>
  <c r="V208" i="12" s="1"/>
  <c r="BQ116" i="12"/>
  <c r="BT116" i="12" s="1"/>
  <c r="BO116" i="12"/>
  <c r="BT117" i="12"/>
  <c r="V184" i="12"/>
  <c r="V212" i="12" s="1"/>
  <c r="AD212" i="12" s="1"/>
  <c r="BQ120" i="12"/>
  <c r="BT120" i="12" s="1"/>
  <c r="BO120" i="12"/>
  <c r="BT121" i="12"/>
  <c r="BO124" i="12"/>
  <c r="K138" i="12"/>
  <c r="L138" i="12" s="1"/>
  <c r="D193" i="12"/>
  <c r="D207" i="12"/>
  <c r="O179" i="12"/>
  <c r="C181" i="12"/>
  <c r="P210" i="12"/>
  <c r="P196" i="12"/>
  <c r="Y210" i="12"/>
  <c r="S183" i="12"/>
  <c r="S211" i="12" s="1"/>
  <c r="E198" i="12"/>
  <c r="U198" i="12" s="1"/>
  <c r="E212" i="12"/>
  <c r="L212" i="12"/>
  <c r="L198" i="12"/>
  <c r="Y214" i="12"/>
  <c r="O215" i="12"/>
  <c r="O201" i="12"/>
  <c r="C193" i="12"/>
  <c r="O194" i="12"/>
  <c r="I196" i="12"/>
  <c r="D198" i="12"/>
  <c r="T198" i="12" s="1"/>
  <c r="AA198" i="12" s="1"/>
  <c r="Q201" i="12"/>
  <c r="O209" i="12"/>
  <c r="H215" i="12"/>
  <c r="D208" i="12"/>
  <c r="D194" i="12"/>
  <c r="T194" i="12" s="1"/>
  <c r="BR16" i="12"/>
  <c r="BT16" i="12" s="1"/>
  <c r="H184" i="12"/>
  <c r="B213" i="12"/>
  <c r="B199" i="12"/>
  <c r="R199" i="12" s="1"/>
  <c r="F199" i="12"/>
  <c r="F213" i="12"/>
  <c r="I214" i="12"/>
  <c r="AG214" i="12" s="1"/>
  <c r="I200" i="12"/>
  <c r="Y200" i="12" s="1"/>
  <c r="D216" i="12"/>
  <c r="D202" i="12"/>
  <c r="H188" i="12"/>
  <c r="BR20" i="12"/>
  <c r="BT20" i="12" s="1"/>
  <c r="L54" i="12"/>
  <c r="L50" i="12"/>
  <c r="L46" i="12"/>
  <c r="K46" i="12"/>
  <c r="K54" i="12"/>
  <c r="BP65" i="12"/>
  <c r="L181" i="12"/>
  <c r="BR65" i="12"/>
  <c r="BQ66" i="12"/>
  <c r="BT66" i="12" s="1"/>
  <c r="BU66" i="12" s="1"/>
  <c r="O182" i="12"/>
  <c r="K211" i="12"/>
  <c r="K197" i="12"/>
  <c r="J212" i="12"/>
  <c r="J198" i="12"/>
  <c r="K215" i="12"/>
  <c r="K201" i="12"/>
  <c r="J216" i="12"/>
  <c r="J202" i="12"/>
  <c r="J78" i="12"/>
  <c r="E78" i="12"/>
  <c r="F106" i="12"/>
  <c r="F102" i="12"/>
  <c r="BQ115" i="12"/>
  <c r="BT115" i="12" s="1"/>
  <c r="BU115" i="12" s="1"/>
  <c r="BP117" i="12"/>
  <c r="BS117" i="12" s="1"/>
  <c r="BU117" i="12" s="1"/>
  <c r="U181" i="12"/>
  <c r="U209" i="12" s="1"/>
  <c r="T182" i="12"/>
  <c r="T210" i="12" s="1"/>
  <c r="BP118" i="12"/>
  <c r="BR118" i="12"/>
  <c r="BT118" i="12" s="1"/>
  <c r="X182" i="12"/>
  <c r="X210" i="12" s="1"/>
  <c r="BQ119" i="12"/>
  <c r="BT119" i="12" s="1"/>
  <c r="BU119" i="12" s="1"/>
  <c r="BP121" i="12"/>
  <c r="U185" i="12"/>
  <c r="U213" i="12" s="1"/>
  <c r="AC213" i="12" s="1"/>
  <c r="T186" i="12"/>
  <c r="T214" i="12" s="1"/>
  <c r="BP122" i="12"/>
  <c r="BS122" i="12" s="1"/>
  <c r="X186" i="12"/>
  <c r="X214" i="12" s="1"/>
  <c r="BR122" i="12"/>
  <c r="BT122" i="12" s="1"/>
  <c r="BO123" i="12"/>
  <c r="BS123" i="12" s="1"/>
  <c r="S187" i="12"/>
  <c r="S215" i="12" s="1"/>
  <c r="BQ123" i="12"/>
  <c r="F157" i="12"/>
  <c r="F153" i="12"/>
  <c r="F149" i="12"/>
  <c r="J129" i="12"/>
  <c r="I158" i="12"/>
  <c r="I154" i="12"/>
  <c r="I193" i="12"/>
  <c r="Y193" i="12" s="1"/>
  <c r="S179" i="12"/>
  <c r="S207" i="12" s="1"/>
  <c r="AA207" i="12" s="1"/>
  <c r="E194" i="12"/>
  <c r="U194" i="12" s="1"/>
  <c r="E208" i="12"/>
  <c r="AC208" i="12" s="1"/>
  <c r="H209" i="12"/>
  <c r="H195" i="12"/>
  <c r="X195" i="12" s="1"/>
  <c r="AC195" i="12" s="1"/>
  <c r="K182" i="12"/>
  <c r="D197" i="12"/>
  <c r="D211" i="12"/>
  <c r="Q198" i="12"/>
  <c r="Q212" i="12"/>
  <c r="C199" i="12"/>
  <c r="I215" i="12"/>
  <c r="AG215" i="12" s="1"/>
  <c r="I201" i="12"/>
  <c r="Y201" i="12" s="1"/>
  <c r="G194" i="12"/>
  <c r="W194" i="12" s="1"/>
  <c r="E195" i="12"/>
  <c r="U195" i="12" s="1"/>
  <c r="B196" i="12"/>
  <c r="N198" i="12"/>
  <c r="D199" i="12"/>
  <c r="F201" i="12"/>
  <c r="L208" i="12"/>
  <c r="BS13" i="12"/>
  <c r="BQ13" i="12"/>
  <c r="BT13" i="12" s="1"/>
  <c r="F210" i="12"/>
  <c r="F196" i="12"/>
  <c r="BO14" i="12"/>
  <c r="BS14" i="12" s="1"/>
  <c r="E211" i="12"/>
  <c r="AC211" i="12" s="1"/>
  <c r="E197" i="12"/>
  <c r="BS17" i="12"/>
  <c r="G213" i="12"/>
  <c r="G199" i="12"/>
  <c r="W199" i="12" s="1"/>
  <c r="BQ17" i="12"/>
  <c r="B214" i="12"/>
  <c r="Z214" i="12" s="1"/>
  <c r="B200" i="12"/>
  <c r="BO18" i="12"/>
  <c r="E201" i="12"/>
  <c r="E215" i="12"/>
  <c r="E202" i="12"/>
  <c r="U202" i="12" s="1"/>
  <c r="E216" i="12"/>
  <c r="I47" i="12"/>
  <c r="J48" i="12"/>
  <c r="E50" i="12"/>
  <c r="I55" i="12"/>
  <c r="L193" i="12"/>
  <c r="L207" i="12"/>
  <c r="BR63" i="12"/>
  <c r="BT63" i="12" s="1"/>
  <c r="P179" i="12"/>
  <c r="N194" i="12"/>
  <c r="N208" i="12"/>
  <c r="BP64" i="12"/>
  <c r="BS64" i="12" s="1"/>
  <c r="BU64" i="12" s="1"/>
  <c r="Q209" i="12"/>
  <c r="Q195" i="12"/>
  <c r="L183" i="12"/>
  <c r="BP67" i="12"/>
  <c r="BR67" i="12"/>
  <c r="P183" i="12"/>
  <c r="BS68" i="12"/>
  <c r="P187" i="12"/>
  <c r="BR71" i="12"/>
  <c r="BQ72" i="12"/>
  <c r="H106" i="12"/>
  <c r="M193" i="12"/>
  <c r="M207" i="12"/>
  <c r="AC207" i="12" s="1"/>
  <c r="I209" i="12"/>
  <c r="AG209" i="12" s="1"/>
  <c r="I195" i="12"/>
  <c r="Y195" i="12" s="1"/>
  <c r="G200" i="12"/>
  <c r="K193" i="12"/>
  <c r="J194" i="12"/>
  <c r="G195" i="12"/>
  <c r="W195" i="12" s="1"/>
  <c r="O197" i="12"/>
  <c r="O198" i="12"/>
  <c r="B209" i="12"/>
  <c r="BQ11" i="12"/>
  <c r="BT11" i="12" s="1"/>
  <c r="G179" i="12"/>
  <c r="BP11" i="12"/>
  <c r="J12" i="12"/>
  <c r="C208" i="12"/>
  <c r="C194" i="12"/>
  <c r="BP12" i="12"/>
  <c r="AC209" i="12"/>
  <c r="BP14" i="12"/>
  <c r="D182" i="12"/>
  <c r="H210" i="12"/>
  <c r="AF210" i="12" s="1"/>
  <c r="H196" i="12"/>
  <c r="BR14" i="12"/>
  <c r="BQ15" i="12"/>
  <c r="BT15" i="12" s="1"/>
  <c r="G183" i="12"/>
  <c r="BP15" i="12"/>
  <c r="J16" i="12"/>
  <c r="C212" i="12"/>
  <c r="C198" i="12"/>
  <c r="BP16" i="12"/>
  <c r="BP18" i="12"/>
  <c r="D186" i="12"/>
  <c r="H214" i="12"/>
  <c r="H200" i="12"/>
  <c r="X200" i="12" s="1"/>
  <c r="BR18" i="12"/>
  <c r="G187" i="12"/>
  <c r="BQ19" i="12"/>
  <c r="BT19" i="12" s="1"/>
  <c r="BP19" i="12"/>
  <c r="J20" i="12"/>
  <c r="C216" i="12"/>
  <c r="C202" i="12"/>
  <c r="BP20" i="12"/>
  <c r="L53" i="12"/>
  <c r="L49" i="12"/>
  <c r="L45" i="12"/>
  <c r="L25" i="12"/>
  <c r="K33" i="12"/>
  <c r="L33" i="12" s="1"/>
  <c r="J44" i="12"/>
  <c r="E46" i="12"/>
  <c r="G50" i="12"/>
  <c r="N207" i="12"/>
  <c r="N193" i="12"/>
  <c r="BO63" i="12"/>
  <c r="BS63" i="12" s="1"/>
  <c r="BQ65" i="12"/>
  <c r="J210" i="12"/>
  <c r="J196" i="12"/>
  <c r="N210" i="12"/>
  <c r="N196" i="12"/>
  <c r="J211" i="12"/>
  <c r="Z211" i="12" s="1"/>
  <c r="J197" i="12"/>
  <c r="BQ67" i="12"/>
  <c r="BT67" i="12" s="1"/>
  <c r="J199" i="12"/>
  <c r="J213" i="12"/>
  <c r="N185" i="12"/>
  <c r="BQ69" i="12"/>
  <c r="BO69" i="12"/>
  <c r="N215" i="12"/>
  <c r="AD215" i="12" s="1"/>
  <c r="N201" i="12"/>
  <c r="BT71" i="12"/>
  <c r="Q202" i="12"/>
  <c r="Q216" i="12"/>
  <c r="E104" i="12"/>
  <c r="E100" i="12"/>
  <c r="E96" i="12"/>
  <c r="J76" i="12"/>
  <c r="F104" i="12"/>
  <c r="F100" i="12"/>
  <c r="I105" i="12"/>
  <c r="I101" i="12"/>
  <c r="I97" i="12"/>
  <c r="J101" i="12"/>
  <c r="J97" i="12"/>
  <c r="L107" i="12"/>
  <c r="K107" i="12"/>
  <c r="L103" i="12"/>
  <c r="H84" i="12"/>
  <c r="K84" i="12"/>
  <c r="L84" i="12" s="1"/>
  <c r="G97" i="12"/>
  <c r="G101" i="12"/>
  <c r="J107" i="12"/>
  <c r="L157" i="12"/>
  <c r="K157" i="12"/>
  <c r="L153" i="12"/>
  <c r="K130" i="12"/>
  <c r="G150" i="12"/>
  <c r="H158" i="12"/>
  <c r="K159" i="12"/>
  <c r="L155" i="12"/>
  <c r="K155" i="12"/>
  <c r="L151" i="12"/>
  <c r="K149" i="12"/>
  <c r="K153" i="12"/>
  <c r="L159" i="12"/>
  <c r="H193" i="12"/>
  <c r="Y207" i="12"/>
  <c r="K180" i="12"/>
  <c r="S208" i="12"/>
  <c r="X209" i="12"/>
  <c r="G210" i="12"/>
  <c r="G196" i="12"/>
  <c r="M211" i="12"/>
  <c r="M197" i="12"/>
  <c r="T211" i="12"/>
  <c r="P212" i="12"/>
  <c r="P198" i="12"/>
  <c r="W212" i="12"/>
  <c r="S213" i="12"/>
  <c r="M186" i="12"/>
  <c r="S216" i="12"/>
  <c r="E193" i="12"/>
  <c r="U193" i="12" s="1"/>
  <c r="B194" i="12"/>
  <c r="L196" i="12"/>
  <c r="F198" i="12"/>
  <c r="V198" i="12" s="1"/>
  <c r="F200" i="12"/>
  <c r="V200" i="12" s="1"/>
  <c r="P209" i="12"/>
  <c r="M212" i="12"/>
  <c r="C213" i="12"/>
  <c r="J215" i="12"/>
  <c r="BO67" i="12"/>
  <c r="P216" i="12"/>
  <c r="P202" i="12"/>
  <c r="BR72" i="12"/>
  <c r="J86" i="12"/>
  <c r="I86" i="12" s="1"/>
  <c r="L96" i="12"/>
  <c r="K100" i="12"/>
  <c r="R209" i="12"/>
  <c r="R210" i="12"/>
  <c r="Z210" i="12" s="1"/>
  <c r="V210" i="12"/>
  <c r="BO118" i="12"/>
  <c r="BS118" i="12" s="1"/>
  <c r="R213" i="12"/>
  <c r="T215" i="12"/>
  <c r="BR123" i="12"/>
  <c r="F156" i="12"/>
  <c r="F152" i="12"/>
  <c r="F148" i="12"/>
  <c r="J158" i="12"/>
  <c r="J154" i="12"/>
  <c r="J150" i="12"/>
  <c r="E148" i="12"/>
  <c r="H149" i="12"/>
  <c r="E150" i="12"/>
  <c r="G153" i="12"/>
  <c r="X180" i="12"/>
  <c r="X208" i="12" s="1"/>
  <c r="K209" i="12"/>
  <c r="C196" i="12"/>
  <c r="C210" i="12"/>
  <c r="S212" i="12"/>
  <c r="X184" i="12"/>
  <c r="X212" i="12" s="1"/>
  <c r="K213" i="12"/>
  <c r="P185" i="12"/>
  <c r="C200" i="12"/>
  <c r="C214" i="12"/>
  <c r="I202" i="12"/>
  <c r="Y202" i="12" s="1"/>
  <c r="I216" i="12"/>
  <c r="W216" i="12"/>
  <c r="J200" i="12"/>
  <c r="L202" i="12"/>
  <c r="BP69" i="12"/>
  <c r="O186" i="12"/>
  <c r="BQ70" i="12"/>
  <c r="BT70" i="12" s="1"/>
  <c r="BU70" i="12" s="1"/>
  <c r="J71" i="12"/>
  <c r="F97" i="12"/>
  <c r="L100" i="12"/>
  <c r="BP116" i="12"/>
  <c r="J118" i="12"/>
  <c r="BP120" i="12"/>
  <c r="J122" i="12"/>
  <c r="T188" i="12"/>
  <c r="T216" i="12" s="1"/>
  <c r="BP124" i="12"/>
  <c r="X216" i="12"/>
  <c r="BR124" i="12"/>
  <c r="BT124" i="12" s="1"/>
  <c r="J156" i="12"/>
  <c r="J152" i="12"/>
  <c r="J148" i="12"/>
  <c r="J159" i="12"/>
  <c r="J155" i="12"/>
  <c r="J151" i="12"/>
  <c r="E152" i="12"/>
  <c r="H153" i="12"/>
  <c r="I156" i="12"/>
  <c r="Q207" i="12"/>
  <c r="I194" i="12"/>
  <c r="I208" i="12"/>
  <c r="T180" i="12"/>
  <c r="T208" i="12" s="1"/>
  <c r="W181" i="12"/>
  <c r="W209" i="12" s="1"/>
  <c r="AE209" i="12" s="1"/>
  <c r="Q197" i="12"/>
  <c r="I212" i="12"/>
  <c r="AG212" i="12" s="1"/>
  <c r="I198" i="12"/>
  <c r="T184" i="12"/>
  <c r="T212" i="12" s="1"/>
  <c r="L185" i="12"/>
  <c r="W185" i="12"/>
  <c r="W213" i="12" s="1"/>
  <c r="K195" i="12"/>
  <c r="K199" i="12"/>
  <c r="Q211" i="12"/>
  <c r="D215" i="12"/>
  <c r="D201" i="12"/>
  <c r="H201" i="12"/>
  <c r="H45" i="12"/>
  <c r="L47" i="12"/>
  <c r="H49" i="12"/>
  <c r="L51" i="12"/>
  <c r="P214" i="12"/>
  <c r="F150" i="12"/>
  <c r="F154" i="12"/>
  <c r="J63" i="11"/>
  <c r="J67" i="11"/>
  <c r="J71" i="11"/>
  <c r="U200" i="11"/>
  <c r="J65" i="11"/>
  <c r="J69" i="11"/>
  <c r="J19" i="11"/>
  <c r="E78" i="11"/>
  <c r="E106" i="11" s="1"/>
  <c r="J116" i="11"/>
  <c r="J120" i="11"/>
  <c r="J128" i="11"/>
  <c r="J152" i="11" s="1"/>
  <c r="H129" i="11"/>
  <c r="H157" i="11" s="1"/>
  <c r="J130" i="11"/>
  <c r="E138" i="11"/>
  <c r="F148" i="11"/>
  <c r="C164" i="11"/>
  <c r="C166" i="11" s="1"/>
  <c r="J14" i="11"/>
  <c r="BP19" i="11"/>
  <c r="BP20" i="11"/>
  <c r="E85" i="11"/>
  <c r="BP15" i="11"/>
  <c r="BP16" i="11"/>
  <c r="G101" i="11"/>
  <c r="BP11" i="11"/>
  <c r="BP12" i="11"/>
  <c r="J15" i="11"/>
  <c r="J16" i="11"/>
  <c r="F45" i="11"/>
  <c r="F49" i="11"/>
  <c r="J55" i="11"/>
  <c r="K103" i="11"/>
  <c r="J118" i="11"/>
  <c r="J11" i="11"/>
  <c r="K32" i="11"/>
  <c r="L32" i="11" s="1"/>
  <c r="K47" i="11"/>
  <c r="F52" i="11"/>
  <c r="K84" i="11"/>
  <c r="L84" i="11" s="1"/>
  <c r="J117" i="11"/>
  <c r="J121" i="11"/>
  <c r="BQ13" i="11"/>
  <c r="G53" i="11"/>
  <c r="K104" i="11"/>
  <c r="K26" i="11"/>
  <c r="L54" i="11" s="1"/>
  <c r="F48" i="11"/>
  <c r="G49" i="11"/>
  <c r="J68" i="11"/>
  <c r="L96" i="11"/>
  <c r="L104" i="11"/>
  <c r="J12" i="11"/>
  <c r="J20" i="11"/>
  <c r="K25" i="11"/>
  <c r="K45" i="11" s="1"/>
  <c r="F44" i="11"/>
  <c r="G45" i="11"/>
  <c r="J51" i="11"/>
  <c r="K55" i="11"/>
  <c r="BP63" i="11"/>
  <c r="BQ64" i="11"/>
  <c r="BP66" i="11"/>
  <c r="BP67" i="11"/>
  <c r="BQ68" i="11"/>
  <c r="BP70" i="11"/>
  <c r="BP71" i="11"/>
  <c r="BQ72" i="11"/>
  <c r="G97" i="11"/>
  <c r="K100" i="11"/>
  <c r="G105" i="11"/>
  <c r="J115" i="11"/>
  <c r="J119" i="11"/>
  <c r="J123" i="11"/>
  <c r="BQ124" i="11"/>
  <c r="BQ17" i="11"/>
  <c r="K96" i="11"/>
  <c r="J64" i="11"/>
  <c r="J72" i="11"/>
  <c r="J122" i="11"/>
  <c r="J13" i="11"/>
  <c r="J17" i="11"/>
  <c r="J47" i="11"/>
  <c r="K51" i="11"/>
  <c r="F53" i="11"/>
  <c r="J66" i="11"/>
  <c r="J70" i="11"/>
  <c r="K77" i="11"/>
  <c r="K105" i="11" s="1"/>
  <c r="I78" i="11"/>
  <c r="I106" i="11" s="1"/>
  <c r="E86" i="11"/>
  <c r="K99" i="11"/>
  <c r="K107" i="11"/>
  <c r="BQ115" i="11"/>
  <c r="BP117" i="11"/>
  <c r="BP118" i="11"/>
  <c r="BQ119" i="11"/>
  <c r="BP121" i="11"/>
  <c r="BP122" i="11"/>
  <c r="J124" i="11"/>
  <c r="J157" i="11"/>
  <c r="J153" i="11"/>
  <c r="J149" i="11"/>
  <c r="I157" i="11"/>
  <c r="I153" i="11"/>
  <c r="I149" i="11"/>
  <c r="L158" i="11"/>
  <c r="L154" i="11"/>
  <c r="L150" i="11"/>
  <c r="K158" i="11"/>
  <c r="K154" i="11"/>
  <c r="K150" i="11"/>
  <c r="BQ12" i="11"/>
  <c r="BR13" i="11"/>
  <c r="BO14" i="11"/>
  <c r="BQ16" i="11"/>
  <c r="BR17" i="11"/>
  <c r="BO18" i="11"/>
  <c r="BQ20" i="11"/>
  <c r="K33" i="11"/>
  <c r="L33" i="11" s="1"/>
  <c r="K34" i="11"/>
  <c r="L34" i="11" s="1"/>
  <c r="K44" i="11"/>
  <c r="G46" i="11"/>
  <c r="K48" i="11"/>
  <c r="G50" i="11"/>
  <c r="K52" i="11"/>
  <c r="G54" i="11"/>
  <c r="BQ63" i="11"/>
  <c r="BR64" i="11"/>
  <c r="BT64" i="11" s="1"/>
  <c r="BO65" i="11"/>
  <c r="BQ67" i="11"/>
  <c r="BR68" i="11"/>
  <c r="BO69" i="11"/>
  <c r="BQ71" i="11"/>
  <c r="BR72" i="11"/>
  <c r="H85" i="11"/>
  <c r="H86" i="11"/>
  <c r="H97" i="11"/>
  <c r="H98" i="11"/>
  <c r="L99" i="11"/>
  <c r="H101" i="11"/>
  <c r="H102" i="11"/>
  <c r="L103" i="11"/>
  <c r="H105" i="11"/>
  <c r="H106" i="11"/>
  <c r="BR115" i="11"/>
  <c r="BT115" i="11" s="1"/>
  <c r="BO116" i="11"/>
  <c r="BQ118" i="11"/>
  <c r="BR119" i="11"/>
  <c r="BT119" i="11" s="1"/>
  <c r="BO120" i="11"/>
  <c r="BQ122" i="11"/>
  <c r="BR123" i="11"/>
  <c r="BO124" i="11"/>
  <c r="J156" i="11"/>
  <c r="I152" i="11"/>
  <c r="E158" i="11"/>
  <c r="E154" i="11"/>
  <c r="J158" i="11"/>
  <c r="J154" i="11"/>
  <c r="J150" i="11"/>
  <c r="BO11" i="11"/>
  <c r="BS11" i="11" s="1"/>
  <c r="AB207" i="11"/>
  <c r="BQ11" i="11"/>
  <c r="BR12" i="11"/>
  <c r="R195" i="11"/>
  <c r="V195" i="11"/>
  <c r="BO13" i="11"/>
  <c r="AA210" i="11"/>
  <c r="S196" i="11"/>
  <c r="AE210" i="11"/>
  <c r="W196" i="11"/>
  <c r="BP14" i="11"/>
  <c r="AF211" i="11"/>
  <c r="BQ15" i="11"/>
  <c r="BR16" i="11"/>
  <c r="R199" i="11"/>
  <c r="AD213" i="11"/>
  <c r="V199" i="11"/>
  <c r="BO17" i="11"/>
  <c r="AA214" i="11"/>
  <c r="S200" i="11"/>
  <c r="AE214" i="11"/>
  <c r="W200" i="11"/>
  <c r="BP18" i="11"/>
  <c r="BQ19" i="11"/>
  <c r="BR20" i="11"/>
  <c r="L44" i="11"/>
  <c r="H45" i="11"/>
  <c r="H46" i="11"/>
  <c r="L47" i="11"/>
  <c r="L48" i="11"/>
  <c r="H49" i="11"/>
  <c r="H50" i="11"/>
  <c r="L51" i="11"/>
  <c r="H53" i="11"/>
  <c r="BR63" i="11"/>
  <c r="BO64" i="11"/>
  <c r="BP65" i="11"/>
  <c r="BQ66" i="11"/>
  <c r="BR67" i="11"/>
  <c r="BO68" i="11"/>
  <c r="BP69" i="11"/>
  <c r="BQ70" i="11"/>
  <c r="BR71" i="11"/>
  <c r="BO72" i="11"/>
  <c r="J76" i="11"/>
  <c r="E96" i="11"/>
  <c r="E97" i="11"/>
  <c r="I99" i="11"/>
  <c r="E100" i="11"/>
  <c r="E101" i="11"/>
  <c r="I103" i="11"/>
  <c r="E104" i="11"/>
  <c r="E105" i="11"/>
  <c r="I107" i="11"/>
  <c r="BO115" i="11"/>
  <c r="BP116" i="11"/>
  <c r="BQ117" i="11"/>
  <c r="BR118" i="11"/>
  <c r="BO119" i="11"/>
  <c r="BP120" i="11"/>
  <c r="BQ121" i="11"/>
  <c r="BR122" i="11"/>
  <c r="BO123" i="11"/>
  <c r="BP124" i="11"/>
  <c r="L156" i="11"/>
  <c r="L152" i="11"/>
  <c r="K156" i="11"/>
  <c r="K152" i="11"/>
  <c r="K148" i="11"/>
  <c r="F158" i="11"/>
  <c r="F154" i="11"/>
  <c r="F150" i="11"/>
  <c r="L148" i="11"/>
  <c r="BR11" i="11"/>
  <c r="AD208" i="11"/>
  <c r="BO12" i="11"/>
  <c r="BS12" i="11" s="1"/>
  <c r="S195" i="11"/>
  <c r="AE209" i="11"/>
  <c r="BP13" i="11"/>
  <c r="AB210" i="11"/>
  <c r="AF210" i="11"/>
  <c r="BQ14" i="11"/>
  <c r="BR15" i="11"/>
  <c r="BO16" i="11"/>
  <c r="BP17" i="11"/>
  <c r="AB214" i="11"/>
  <c r="T200" i="11"/>
  <c r="BQ18" i="11"/>
  <c r="BR19" i="11"/>
  <c r="Z216" i="11"/>
  <c r="BO20" i="11"/>
  <c r="BS20" i="11" s="1"/>
  <c r="J24" i="11"/>
  <c r="E26" i="11"/>
  <c r="J26" i="11"/>
  <c r="E33" i="11"/>
  <c r="E34" i="11"/>
  <c r="E44" i="11"/>
  <c r="E45" i="11"/>
  <c r="I45" i="11"/>
  <c r="I47" i="11"/>
  <c r="E48" i="11"/>
  <c r="E49" i="11"/>
  <c r="I49" i="11"/>
  <c r="I51" i="11"/>
  <c r="I53" i="11"/>
  <c r="BO63" i="11"/>
  <c r="BP64" i="11"/>
  <c r="BQ65" i="11"/>
  <c r="BR66" i="11"/>
  <c r="BO67" i="11"/>
  <c r="BP68" i="11"/>
  <c r="BQ69" i="11"/>
  <c r="BR70" i="11"/>
  <c r="BO71" i="11"/>
  <c r="BP72" i="11"/>
  <c r="J77" i="11"/>
  <c r="K78" i="11"/>
  <c r="F96" i="11"/>
  <c r="F97" i="11"/>
  <c r="F98" i="11"/>
  <c r="J98" i="11"/>
  <c r="J99" i="11"/>
  <c r="F100" i="11"/>
  <c r="F101" i="11"/>
  <c r="F102" i="11"/>
  <c r="J102" i="11"/>
  <c r="J103" i="11"/>
  <c r="BP115" i="11"/>
  <c r="BQ116" i="11"/>
  <c r="BR117" i="11"/>
  <c r="BO118" i="11"/>
  <c r="BP119" i="11"/>
  <c r="BQ120" i="11"/>
  <c r="BR121" i="11"/>
  <c r="BO122" i="11"/>
  <c r="BP123" i="11"/>
  <c r="F157" i="11"/>
  <c r="F153" i="11"/>
  <c r="F149" i="11"/>
  <c r="E157" i="11"/>
  <c r="E153" i="11"/>
  <c r="K157" i="11"/>
  <c r="K153" i="11"/>
  <c r="K149" i="11"/>
  <c r="H158" i="11"/>
  <c r="H154" i="11"/>
  <c r="G158" i="11"/>
  <c r="G154" i="11"/>
  <c r="G150" i="11"/>
  <c r="J159" i="11"/>
  <c r="J155" i="11"/>
  <c r="J151" i="11"/>
  <c r="I159" i="11"/>
  <c r="I155" i="11"/>
  <c r="I151" i="11"/>
  <c r="K137" i="11"/>
  <c r="L137" i="11" s="1"/>
  <c r="K138" i="11"/>
  <c r="L138" i="11" s="1"/>
  <c r="E149" i="11"/>
  <c r="R193" i="11"/>
  <c r="U196" i="11"/>
  <c r="BR14" i="11"/>
  <c r="AD211" i="11"/>
  <c r="V197" i="11"/>
  <c r="BO15" i="11"/>
  <c r="BS15" i="11" s="1"/>
  <c r="AA212" i="11"/>
  <c r="S198" i="11"/>
  <c r="AE212" i="11"/>
  <c r="W198" i="11"/>
  <c r="AF213" i="11"/>
  <c r="BR18" i="11"/>
  <c r="Z215" i="11"/>
  <c r="BO19" i="11"/>
  <c r="BS19" i="11" s="1"/>
  <c r="AE216" i="11"/>
  <c r="J45" i="11"/>
  <c r="F46" i="11"/>
  <c r="J49" i="11"/>
  <c r="F50" i="11"/>
  <c r="BR65" i="11"/>
  <c r="BO66" i="11"/>
  <c r="BR69" i="11"/>
  <c r="BO70" i="11"/>
  <c r="BS70" i="11" s="1"/>
  <c r="G98" i="11"/>
  <c r="G102" i="11"/>
  <c r="BR116" i="11"/>
  <c r="BO117" i="11"/>
  <c r="BS117" i="11" s="1"/>
  <c r="BR120" i="11"/>
  <c r="BO121" i="11"/>
  <c r="BS121" i="11" s="1"/>
  <c r="BQ123" i="11"/>
  <c r="BR124" i="11"/>
  <c r="BT124" i="11" s="1"/>
  <c r="F156" i="11"/>
  <c r="F152" i="11"/>
  <c r="E156" i="11"/>
  <c r="E152" i="11"/>
  <c r="H153" i="11"/>
  <c r="G157" i="11"/>
  <c r="G153" i="11"/>
  <c r="G149" i="11"/>
  <c r="L129" i="11"/>
  <c r="L149" i="11" s="1"/>
  <c r="I130" i="11"/>
  <c r="L159" i="11"/>
  <c r="L155" i="11"/>
  <c r="L151" i="11"/>
  <c r="K159" i="11"/>
  <c r="K155" i="11"/>
  <c r="K151" i="11"/>
  <c r="H149" i="11"/>
  <c r="H150" i="11"/>
  <c r="Y194" i="11"/>
  <c r="Y202" i="11"/>
  <c r="AA214" i="10"/>
  <c r="AA212" i="10"/>
  <c r="AA210" i="10"/>
  <c r="AH210" i="10" s="1"/>
  <c r="AA208" i="10"/>
  <c r="AH208" i="10" s="1"/>
  <c r="AA206" i="10"/>
  <c r="AB205" i="10"/>
  <c r="Z214" i="10"/>
  <c r="AH214" i="10" s="1"/>
  <c r="AD213" i="10"/>
  <c r="Z212" i="10"/>
  <c r="AD211" i="10"/>
  <c r="Z210" i="10"/>
  <c r="AD209" i="10"/>
  <c r="Z208" i="10"/>
  <c r="AD207" i="10"/>
  <c r="Z206" i="10"/>
  <c r="AH206" i="10" s="1"/>
  <c r="AD212" i="10"/>
  <c r="AD210" i="10"/>
  <c r="AD206" i="10"/>
  <c r="W200" i="10"/>
  <c r="W197" i="10"/>
  <c r="R193" i="10"/>
  <c r="S192" i="10"/>
  <c r="Z192" i="10" s="1"/>
  <c r="AE205" i="10"/>
  <c r="AC205" i="10"/>
  <c r="AI205" i="10" s="1"/>
  <c r="R192" i="10"/>
  <c r="AA205" i="10"/>
  <c r="AK205" i="10"/>
  <c r="AE214" i="10"/>
  <c r="AJ214" i="10" s="1"/>
  <c r="AE213" i="10"/>
  <c r="AH213" i="10"/>
  <c r="AE212" i="10"/>
  <c r="AJ212" i="10" s="1"/>
  <c r="AE211" i="10"/>
  <c r="AE210" i="10"/>
  <c r="AJ210" i="10" s="1"/>
  <c r="AE209" i="10"/>
  <c r="AE208" i="10"/>
  <c r="AJ208" i="10" s="1"/>
  <c r="AE207" i="10"/>
  <c r="AJ207" i="10" s="1"/>
  <c r="AE206" i="10"/>
  <c r="AJ206" i="10" s="1"/>
  <c r="T200" i="10"/>
  <c r="U199" i="10"/>
  <c r="W198" i="10"/>
  <c r="M198" i="10"/>
  <c r="U198" i="10" s="1"/>
  <c r="M194" i="10"/>
  <c r="U194" i="10" s="1"/>
  <c r="S200" i="10"/>
  <c r="T199" i="10"/>
  <c r="S197" i="10"/>
  <c r="T196" i="10"/>
  <c r="U195" i="10"/>
  <c r="W194" i="10"/>
  <c r="L198" i="10"/>
  <c r="T198" i="10" s="1"/>
  <c r="M197" i="10"/>
  <c r="U197" i="10" s="1"/>
  <c r="L194" i="10"/>
  <c r="T194" i="10" s="1"/>
  <c r="M193" i="10"/>
  <c r="U193" i="10" s="1"/>
  <c r="AG214" i="10"/>
  <c r="AG213" i="10"/>
  <c r="AK213" i="10" s="1"/>
  <c r="AC213" i="10"/>
  <c r="AG212" i="10"/>
  <c r="AC212" i="10"/>
  <c r="AG211" i="10"/>
  <c r="AK211" i="10" s="1"/>
  <c r="AC211" i="10"/>
  <c r="AG210" i="10"/>
  <c r="AG209" i="10"/>
  <c r="AC209" i="10"/>
  <c r="AG208" i="10"/>
  <c r="AC208" i="10"/>
  <c r="AG207" i="10"/>
  <c r="AC207" i="10"/>
  <c r="AG206" i="10"/>
  <c r="M214" i="10"/>
  <c r="AC214" i="10" s="1"/>
  <c r="M210" i="10"/>
  <c r="AC210" i="10" s="1"/>
  <c r="M206" i="10"/>
  <c r="AC206" i="10" s="1"/>
  <c r="R198" i="10"/>
  <c r="R197" i="10"/>
  <c r="S196" i="10"/>
  <c r="T195" i="10"/>
  <c r="S193" i="10"/>
  <c r="Z193" i="10" s="1"/>
  <c r="T192" i="10"/>
  <c r="AA192" i="10" s="1"/>
  <c r="AD192" i="10" s="1"/>
  <c r="L197" i="10"/>
  <c r="L193" i="10"/>
  <c r="AF214" i="10"/>
  <c r="AB214" i="10"/>
  <c r="AF213" i="10"/>
  <c r="AB213" i="10"/>
  <c r="AF212" i="10"/>
  <c r="AB212" i="10"/>
  <c r="AI212" i="10" s="1"/>
  <c r="AF211" i="10"/>
  <c r="AB211" i="10"/>
  <c r="AF210" i="10"/>
  <c r="AK210" i="10" s="1"/>
  <c r="AB210" i="10"/>
  <c r="AI210" i="10" s="1"/>
  <c r="AF209" i="10"/>
  <c r="AK209" i="10" s="1"/>
  <c r="AB209" i="10"/>
  <c r="AI209" i="10" s="1"/>
  <c r="AL209" i="10" s="1"/>
  <c r="AF208" i="10"/>
  <c r="AK208" i="10" s="1"/>
  <c r="AM208" i="10" s="1"/>
  <c r="AB208" i="10"/>
  <c r="AI208" i="10" s="1"/>
  <c r="AF207" i="10"/>
  <c r="AB207" i="10"/>
  <c r="AF206" i="10"/>
  <c r="AK206" i="10" s="1"/>
  <c r="AB206" i="10"/>
  <c r="AD205" i="10"/>
  <c r="W191" i="10"/>
  <c r="Z205" i="10"/>
  <c r="R191" i="10"/>
  <c r="AH207" i="10"/>
  <c r="AH212" i="10"/>
  <c r="AH211" i="10"/>
  <c r="AH209" i="10"/>
  <c r="Z200" i="10"/>
  <c r="AJ211" i="10"/>
  <c r="Z196" i="10"/>
  <c r="AK212" i="10"/>
  <c r="BO123" i="10"/>
  <c r="BQ123" i="10"/>
  <c r="AA199" i="10"/>
  <c r="AA195" i="10"/>
  <c r="S191" i="10"/>
  <c r="U200" i="10"/>
  <c r="R199" i="10"/>
  <c r="Z199" i="10" s="1"/>
  <c r="T197" i="10"/>
  <c r="U196" i="10"/>
  <c r="AA196" i="10" s="1"/>
  <c r="R195" i="10"/>
  <c r="Z195" i="10" s="1"/>
  <c r="S194" i="10"/>
  <c r="Z194" i="10" s="1"/>
  <c r="T193" i="10"/>
  <c r="U192" i="10"/>
  <c r="K138" i="10"/>
  <c r="L138" i="10" s="1"/>
  <c r="H138" i="10"/>
  <c r="P192" i="10"/>
  <c r="X192" i="10" s="1"/>
  <c r="P193" i="10"/>
  <c r="P194" i="10"/>
  <c r="P195" i="10"/>
  <c r="P196" i="10"/>
  <c r="P197" i="10"/>
  <c r="P198" i="10"/>
  <c r="P199" i="10"/>
  <c r="P200" i="10"/>
  <c r="Q192" i="10"/>
  <c r="Q193" i="10"/>
  <c r="Q194" i="10"/>
  <c r="Q195" i="10"/>
  <c r="Q196" i="10"/>
  <c r="Q197" i="10"/>
  <c r="Q198" i="10"/>
  <c r="Q199" i="10"/>
  <c r="Q200" i="10"/>
  <c r="Q191" i="10"/>
  <c r="Y191" i="10" s="1"/>
  <c r="T191" i="10"/>
  <c r="AA191" i="10" s="1"/>
  <c r="W199" i="10"/>
  <c r="S198" i="10"/>
  <c r="Z198" i="10" s="1"/>
  <c r="W195" i="10"/>
  <c r="P191" i="10"/>
  <c r="J137" i="10"/>
  <c r="I137" i="10" s="1"/>
  <c r="E137" i="10"/>
  <c r="F191" i="10"/>
  <c r="F200" i="10"/>
  <c r="F199" i="10"/>
  <c r="F198" i="10"/>
  <c r="F197" i="10"/>
  <c r="F196" i="10"/>
  <c r="F195" i="10"/>
  <c r="F194" i="10"/>
  <c r="F193" i="10"/>
  <c r="F192" i="10"/>
  <c r="N200" i="10"/>
  <c r="N199" i="10"/>
  <c r="N198" i="10"/>
  <c r="N197" i="10"/>
  <c r="N196" i="10"/>
  <c r="N195" i="10"/>
  <c r="N194" i="10"/>
  <c r="N193" i="10"/>
  <c r="N192" i="10"/>
  <c r="BQ124" i="10"/>
  <c r="J128" i="10"/>
  <c r="J63" i="10"/>
  <c r="J123" i="10"/>
  <c r="I200" i="10"/>
  <c r="I199" i="10"/>
  <c r="I198" i="10"/>
  <c r="I197" i="10"/>
  <c r="Y197" i="10" s="1"/>
  <c r="I196" i="10"/>
  <c r="I195" i="10"/>
  <c r="I194" i="10"/>
  <c r="I193" i="10"/>
  <c r="Y193" i="10" s="1"/>
  <c r="I192" i="10"/>
  <c r="N191" i="10"/>
  <c r="BR67" i="10"/>
  <c r="BP69" i="10"/>
  <c r="BR69" i="10"/>
  <c r="BP70" i="10"/>
  <c r="BR70" i="10"/>
  <c r="BP72" i="10"/>
  <c r="BR72" i="10"/>
  <c r="BP118" i="10"/>
  <c r="BR118" i="10"/>
  <c r="BP119" i="10"/>
  <c r="BP122" i="10"/>
  <c r="H191" i="10"/>
  <c r="H200" i="10"/>
  <c r="H199" i="10"/>
  <c r="H198" i="10"/>
  <c r="X198" i="10" s="1"/>
  <c r="H197" i="10"/>
  <c r="H196" i="10"/>
  <c r="H195" i="10"/>
  <c r="H194" i="10"/>
  <c r="X194" i="10" s="1"/>
  <c r="H193" i="10"/>
  <c r="BO69" i="10"/>
  <c r="BS69" i="10" s="1"/>
  <c r="BO71" i="10"/>
  <c r="J72" i="10"/>
  <c r="J68" i="10"/>
  <c r="J67" i="10"/>
  <c r="J64" i="10"/>
  <c r="J121" i="10"/>
  <c r="J118" i="10"/>
  <c r="J117" i="10"/>
  <c r="BQ69" i="10"/>
  <c r="J71" i="10"/>
  <c r="J130" i="10"/>
  <c r="I130" i="10" s="1"/>
  <c r="BQ70" i="10"/>
  <c r="BP65" i="10"/>
  <c r="BP67" i="10"/>
  <c r="BS67" i="10" s="1"/>
  <c r="BP68" i="10"/>
  <c r="E86" i="10"/>
  <c r="BR122" i="10"/>
  <c r="E130" i="10"/>
  <c r="J122" i="10"/>
  <c r="BQ64" i="10"/>
  <c r="BO68" i="10"/>
  <c r="BS68" i="10" s="1"/>
  <c r="J69" i="10"/>
  <c r="J65" i="10"/>
  <c r="J115" i="10"/>
  <c r="J119" i="10"/>
  <c r="BP64" i="10"/>
  <c r="BR64" i="10"/>
  <c r="BT70" i="10"/>
  <c r="BQ71" i="10"/>
  <c r="J76" i="10"/>
  <c r="J78" i="10"/>
  <c r="I78" i="10" s="1"/>
  <c r="H136" i="10"/>
  <c r="H137" i="10"/>
  <c r="J70" i="10"/>
  <c r="J66" i="10"/>
  <c r="J124" i="10"/>
  <c r="J120" i="10"/>
  <c r="J116" i="10"/>
  <c r="BQ66" i="10"/>
  <c r="BQ67" i="10"/>
  <c r="BT67" i="10" s="1"/>
  <c r="BR63" i="10"/>
  <c r="BP66" i="10"/>
  <c r="BQ68" i="10"/>
  <c r="BO63" i="10"/>
  <c r="BO64" i="10"/>
  <c r="BR68" i="10"/>
  <c r="BO70" i="10"/>
  <c r="BS70" i="10" s="1"/>
  <c r="BO72" i="10"/>
  <c r="BS72" i="10" s="1"/>
  <c r="BQ72" i="10"/>
  <c r="BT72" i="10" s="1"/>
  <c r="H84" i="10"/>
  <c r="H85" i="10"/>
  <c r="H86" i="10"/>
  <c r="BR117" i="10"/>
  <c r="BQ118" i="10"/>
  <c r="BP121" i="10"/>
  <c r="BO120" i="10"/>
  <c r="BO122" i="10"/>
  <c r="BQ122" i="10"/>
  <c r="BP123" i="10"/>
  <c r="BS123" i="10" s="1"/>
  <c r="BR123" i="10"/>
  <c r="BR119" i="10"/>
  <c r="BQ119" i="10"/>
  <c r="BO117" i="10"/>
  <c r="BQ117" i="10"/>
  <c r="BP117" i="10"/>
  <c r="BP124" i="10"/>
  <c r="BR124" i="10"/>
  <c r="BT124" i="10" s="1"/>
  <c r="BO124" i="10"/>
  <c r="BO121" i="10"/>
  <c r="BQ121" i="10"/>
  <c r="BR121" i="10"/>
  <c r="BO118" i="10"/>
  <c r="BQ115" i="10"/>
  <c r="BQ120" i="10"/>
  <c r="BP120" i="10"/>
  <c r="BS120" i="10" s="1"/>
  <c r="BR120" i="10"/>
  <c r="BP116" i="10"/>
  <c r="BR116" i="10"/>
  <c r="BT116" i="10" s="1"/>
  <c r="BO116" i="10"/>
  <c r="BS115" i="10"/>
  <c r="BR115" i="10"/>
  <c r="BO66" i="10"/>
  <c r="BQ65" i="10"/>
  <c r="BO65" i="10"/>
  <c r="BS65" i="10" s="1"/>
  <c r="BR65" i="10"/>
  <c r="BP71" i="10"/>
  <c r="BS71" i="10" s="1"/>
  <c r="BR71" i="10"/>
  <c r="BT71" i="10" s="1"/>
  <c r="BP63" i="10"/>
  <c r="BQ63" i="10"/>
  <c r="BR66" i="10"/>
  <c r="BS119" i="10"/>
  <c r="J129" i="10"/>
  <c r="K130" i="10"/>
  <c r="K129" i="10"/>
  <c r="BT68" i="10"/>
  <c r="BT69" i="10"/>
  <c r="BS66" i="10"/>
  <c r="J77" i="10"/>
  <c r="K78" i="10"/>
  <c r="K77" i="10"/>
  <c r="H55" i="10"/>
  <c r="G55" i="10"/>
  <c r="F55" i="10"/>
  <c r="E55" i="10"/>
  <c r="H52" i="10"/>
  <c r="G52" i="10"/>
  <c r="H51" i="10"/>
  <c r="G51" i="10"/>
  <c r="F51" i="10"/>
  <c r="E51" i="10"/>
  <c r="H48" i="10"/>
  <c r="G48" i="10"/>
  <c r="H47" i="10"/>
  <c r="G47" i="10"/>
  <c r="F47" i="10"/>
  <c r="E47" i="10"/>
  <c r="H44" i="10"/>
  <c r="G44" i="10"/>
  <c r="G34" i="10"/>
  <c r="K34" i="10" s="1"/>
  <c r="L34" i="10" s="1"/>
  <c r="F34" i="10"/>
  <c r="J34" i="10" s="1"/>
  <c r="I34" i="10" s="1"/>
  <c r="G33" i="10"/>
  <c r="K33" i="10" s="1"/>
  <c r="L33" i="10" s="1"/>
  <c r="F33" i="10"/>
  <c r="J33" i="10" s="1"/>
  <c r="I33" i="10" s="1"/>
  <c r="G32" i="10"/>
  <c r="K32" i="10" s="1"/>
  <c r="L32" i="10" s="1"/>
  <c r="F32" i="10"/>
  <c r="J32" i="10" s="1"/>
  <c r="K31" i="10"/>
  <c r="J31" i="10"/>
  <c r="K27" i="10"/>
  <c r="L55" i="10" s="1"/>
  <c r="J27" i="10"/>
  <c r="J55" i="10" s="1"/>
  <c r="G26" i="10"/>
  <c r="G54" i="10" s="1"/>
  <c r="F26" i="10"/>
  <c r="F54" i="10" s="1"/>
  <c r="G25" i="10"/>
  <c r="F25" i="10"/>
  <c r="F53" i="10" s="1"/>
  <c r="K24" i="10"/>
  <c r="K52" i="10" s="1"/>
  <c r="F24" i="10"/>
  <c r="J24" i="10" s="1"/>
  <c r="BN20" i="10"/>
  <c r="BM20" i="10"/>
  <c r="BL20" i="10"/>
  <c r="BK20" i="10"/>
  <c r="BJ20" i="10"/>
  <c r="BI20" i="10"/>
  <c r="BH20" i="10"/>
  <c r="BG20" i="10"/>
  <c r="I20" i="10"/>
  <c r="H20" i="10"/>
  <c r="G20" i="10"/>
  <c r="BN19" i="10"/>
  <c r="BM19" i="10"/>
  <c r="BL19" i="10"/>
  <c r="BK19" i="10"/>
  <c r="BJ19" i="10"/>
  <c r="BI19" i="10"/>
  <c r="BH19" i="10"/>
  <c r="BG19" i="10"/>
  <c r="I19" i="10"/>
  <c r="H19" i="10"/>
  <c r="G19" i="10"/>
  <c r="BN18" i="10"/>
  <c r="BM18" i="10"/>
  <c r="BL18" i="10"/>
  <c r="BK18" i="10"/>
  <c r="BJ18" i="10"/>
  <c r="BI18" i="10"/>
  <c r="BH18" i="10"/>
  <c r="BG18" i="10"/>
  <c r="I18" i="10"/>
  <c r="H18" i="10"/>
  <c r="G18" i="10"/>
  <c r="BN17" i="10"/>
  <c r="BM17" i="10"/>
  <c r="BL17" i="10"/>
  <c r="BK17" i="10"/>
  <c r="BJ17" i="10"/>
  <c r="BI17" i="10"/>
  <c r="BH17" i="10"/>
  <c r="BG17" i="10"/>
  <c r="I17" i="10"/>
  <c r="H17" i="10"/>
  <c r="G17" i="10"/>
  <c r="BN16" i="10"/>
  <c r="BM16" i="10"/>
  <c r="BL16" i="10"/>
  <c r="BK16" i="10"/>
  <c r="BJ16" i="10"/>
  <c r="BI16" i="10"/>
  <c r="BH16" i="10"/>
  <c r="BG16" i="10"/>
  <c r="I16" i="10"/>
  <c r="H16" i="10"/>
  <c r="G16" i="10"/>
  <c r="BN15" i="10"/>
  <c r="BM15" i="10"/>
  <c r="BL15" i="10"/>
  <c r="BK15" i="10"/>
  <c r="BJ15" i="10"/>
  <c r="BI15" i="10"/>
  <c r="BH15" i="10"/>
  <c r="BG15" i="10"/>
  <c r="I15" i="10"/>
  <c r="H15" i="10"/>
  <c r="G15" i="10"/>
  <c r="BN14" i="10"/>
  <c r="BM14" i="10"/>
  <c r="BL14" i="10"/>
  <c r="BK14" i="10"/>
  <c r="BJ14" i="10"/>
  <c r="BI14" i="10"/>
  <c r="BH14" i="10"/>
  <c r="BG14" i="10"/>
  <c r="I14" i="10"/>
  <c r="H14" i="10"/>
  <c r="G14" i="10"/>
  <c r="BN13" i="10"/>
  <c r="BM13" i="10"/>
  <c r="BL13" i="10"/>
  <c r="BK13" i="10"/>
  <c r="BJ13" i="10"/>
  <c r="BI13" i="10"/>
  <c r="BH13" i="10"/>
  <c r="BG13" i="10"/>
  <c r="I13" i="10"/>
  <c r="H13" i="10"/>
  <c r="G13" i="10"/>
  <c r="BN12" i="10"/>
  <c r="BM12" i="10"/>
  <c r="BL12" i="10"/>
  <c r="BK12" i="10"/>
  <c r="BJ12" i="10"/>
  <c r="BI12" i="10"/>
  <c r="BH12" i="10"/>
  <c r="BG12" i="10"/>
  <c r="I12" i="10"/>
  <c r="H12" i="10"/>
  <c r="G12" i="10"/>
  <c r="BN11" i="10"/>
  <c r="BM11" i="10"/>
  <c r="BL11" i="10"/>
  <c r="BK11" i="10"/>
  <c r="BJ11" i="10"/>
  <c r="BI11" i="10"/>
  <c r="BH11" i="10"/>
  <c r="BG11" i="10"/>
  <c r="I11" i="10"/>
  <c r="H11" i="10"/>
  <c r="F113" i="9"/>
  <c r="E113" i="9"/>
  <c r="E105" i="9"/>
  <c r="E106" i="9"/>
  <c r="E107" i="9"/>
  <c r="E108" i="9"/>
  <c r="E109" i="9"/>
  <c r="E110" i="9"/>
  <c r="E111" i="9"/>
  <c r="E112" i="9"/>
  <c r="E104" i="9"/>
  <c r="F105" i="9"/>
  <c r="F106" i="9"/>
  <c r="F107" i="9"/>
  <c r="F108" i="9"/>
  <c r="F109" i="9"/>
  <c r="F110" i="9"/>
  <c r="F111" i="9"/>
  <c r="F112" i="9"/>
  <c r="F104" i="9"/>
  <c r="D105" i="9"/>
  <c r="D106" i="9"/>
  <c r="D107" i="9"/>
  <c r="D108" i="9"/>
  <c r="D109" i="9"/>
  <c r="D110" i="9"/>
  <c r="D111" i="9"/>
  <c r="D112" i="9"/>
  <c r="D113" i="9"/>
  <c r="D104" i="9"/>
  <c r="C105" i="9"/>
  <c r="C106" i="9"/>
  <c r="C107" i="9"/>
  <c r="C108" i="9"/>
  <c r="C109" i="9"/>
  <c r="C110" i="9"/>
  <c r="C111" i="9"/>
  <c r="C112" i="9"/>
  <c r="C113" i="9"/>
  <c r="C104" i="9"/>
  <c r="D93" i="9"/>
  <c r="D92" i="9"/>
  <c r="D91" i="9"/>
  <c r="I80" i="9"/>
  <c r="H80" i="9"/>
  <c r="G80" i="9"/>
  <c r="J80" i="9" s="1"/>
  <c r="I79" i="9"/>
  <c r="H79" i="9"/>
  <c r="G79" i="9"/>
  <c r="J79" i="9" s="1"/>
  <c r="I78" i="9"/>
  <c r="H78" i="9"/>
  <c r="G78" i="9"/>
  <c r="J78" i="9" s="1"/>
  <c r="I77" i="9"/>
  <c r="H77" i="9"/>
  <c r="G77" i="9"/>
  <c r="J77" i="9" s="1"/>
  <c r="I76" i="9"/>
  <c r="H76" i="9"/>
  <c r="G76" i="9"/>
  <c r="J76" i="9" s="1"/>
  <c r="I75" i="9"/>
  <c r="H75" i="9"/>
  <c r="G75" i="9"/>
  <c r="J75" i="9" s="1"/>
  <c r="I74" i="9"/>
  <c r="H74" i="9"/>
  <c r="G74" i="9"/>
  <c r="J74" i="9" s="1"/>
  <c r="I73" i="9"/>
  <c r="H73" i="9"/>
  <c r="G73" i="9"/>
  <c r="J73" i="9" s="1"/>
  <c r="I72" i="9"/>
  <c r="H72" i="9"/>
  <c r="G72" i="9"/>
  <c r="I71" i="9"/>
  <c r="H71" i="9"/>
  <c r="G71" i="9"/>
  <c r="J71" i="9" s="1"/>
  <c r="G48" i="9"/>
  <c r="J48" i="9" s="1"/>
  <c r="I50" i="9"/>
  <c r="H50" i="9"/>
  <c r="G50" i="9"/>
  <c r="J50" i="9" s="1"/>
  <c r="I49" i="9"/>
  <c r="H49" i="9"/>
  <c r="J49" i="9" s="1"/>
  <c r="G49" i="9"/>
  <c r="I48" i="9"/>
  <c r="H48" i="9"/>
  <c r="I47" i="9"/>
  <c r="H47" i="9"/>
  <c r="G47" i="9"/>
  <c r="J47" i="9" s="1"/>
  <c r="I46" i="9"/>
  <c r="H46" i="9"/>
  <c r="G46" i="9"/>
  <c r="J46" i="9" s="1"/>
  <c r="I45" i="9"/>
  <c r="H45" i="9"/>
  <c r="G45" i="9"/>
  <c r="J45" i="9" s="1"/>
  <c r="I44" i="9"/>
  <c r="H44" i="9"/>
  <c r="G44" i="9"/>
  <c r="J44" i="9" s="1"/>
  <c r="I43" i="9"/>
  <c r="H43" i="9"/>
  <c r="G43" i="9"/>
  <c r="J43" i="9" s="1"/>
  <c r="I42" i="9"/>
  <c r="H42" i="9"/>
  <c r="G42" i="9"/>
  <c r="J42" i="9" s="1"/>
  <c r="I41" i="9"/>
  <c r="H41" i="9"/>
  <c r="G41" i="9"/>
  <c r="J41" i="9" s="1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I13" i="9"/>
  <c r="H13" i="9"/>
  <c r="G13" i="9"/>
  <c r="I12" i="9"/>
  <c r="H12" i="9"/>
  <c r="G12" i="9"/>
  <c r="I11" i="9"/>
  <c r="H11" i="9"/>
  <c r="G11" i="9"/>
  <c r="B113" i="19" l="1"/>
  <c r="B134" i="19"/>
  <c r="W288" i="15"/>
  <c r="Y288" i="15"/>
  <c r="S286" i="15"/>
  <c r="X292" i="15"/>
  <c r="W291" i="15"/>
  <c r="U284" i="15"/>
  <c r="Y290" i="15"/>
  <c r="J242" i="15"/>
  <c r="W292" i="15"/>
  <c r="W293" i="15"/>
  <c r="W285" i="15"/>
  <c r="J246" i="15"/>
  <c r="V290" i="15"/>
  <c r="Y291" i="15"/>
  <c r="Y284" i="15"/>
  <c r="Y292" i="15"/>
  <c r="X286" i="15"/>
  <c r="V291" i="15"/>
  <c r="BS71" i="16"/>
  <c r="BS69" i="16"/>
  <c r="H46" i="16"/>
  <c r="BS120" i="16"/>
  <c r="BS15" i="16"/>
  <c r="BS117" i="16"/>
  <c r="BU117" i="16" s="1"/>
  <c r="BT66" i="16"/>
  <c r="I106" i="16"/>
  <c r="B188" i="16"/>
  <c r="V200" i="16" s="1"/>
  <c r="BT124" i="16"/>
  <c r="J101" i="16"/>
  <c r="BT125" i="16"/>
  <c r="BS68" i="16"/>
  <c r="BT65" i="16"/>
  <c r="BS18" i="16"/>
  <c r="K158" i="16"/>
  <c r="BT14" i="16"/>
  <c r="BS16" i="16"/>
  <c r="BS66" i="16"/>
  <c r="BT119" i="16"/>
  <c r="BT64" i="16"/>
  <c r="BS64" i="16"/>
  <c r="BT122" i="16"/>
  <c r="J107" i="16"/>
  <c r="I101" i="16"/>
  <c r="I99" i="16"/>
  <c r="I97" i="16"/>
  <c r="J105" i="16"/>
  <c r="BS14" i="16"/>
  <c r="K151" i="16"/>
  <c r="BS67" i="16"/>
  <c r="I103" i="16"/>
  <c r="J97" i="16"/>
  <c r="L159" i="16"/>
  <c r="J99" i="16"/>
  <c r="BT21" i="16"/>
  <c r="BT13" i="16"/>
  <c r="E47" i="16"/>
  <c r="BS125" i="16"/>
  <c r="E55" i="16"/>
  <c r="BT73" i="16"/>
  <c r="L130" i="16"/>
  <c r="L150" i="16" s="1"/>
  <c r="K150" i="16"/>
  <c r="BT70" i="16"/>
  <c r="BT123" i="16"/>
  <c r="BS70" i="16"/>
  <c r="J98" i="16"/>
  <c r="J106" i="16"/>
  <c r="BS73" i="16"/>
  <c r="J47" i="16"/>
  <c r="BS118" i="16"/>
  <c r="I51" i="16"/>
  <c r="J51" i="16"/>
  <c r="BS121" i="16"/>
  <c r="J154" i="16"/>
  <c r="I98" i="16"/>
  <c r="BS19" i="16"/>
  <c r="I102" i="16"/>
  <c r="I153" i="16"/>
  <c r="J158" i="16"/>
  <c r="I149" i="16"/>
  <c r="I157" i="16"/>
  <c r="BT121" i="16"/>
  <c r="BT69" i="16"/>
  <c r="H150" i="16"/>
  <c r="BS65" i="16"/>
  <c r="J55" i="16"/>
  <c r="BT18" i="16"/>
  <c r="K155" i="16"/>
  <c r="K159" i="16"/>
  <c r="BS20" i="16"/>
  <c r="I150" i="16"/>
  <c r="I154" i="16"/>
  <c r="BT72" i="16"/>
  <c r="J153" i="16"/>
  <c r="E107" i="16"/>
  <c r="E99" i="16"/>
  <c r="L155" i="16"/>
  <c r="H154" i="16"/>
  <c r="BT17" i="16"/>
  <c r="J150" i="16"/>
  <c r="BS122" i="16"/>
  <c r="BS17" i="16"/>
  <c r="J149" i="16"/>
  <c r="BT68" i="16"/>
  <c r="BT15" i="16"/>
  <c r="BS13" i="16"/>
  <c r="BS119" i="16"/>
  <c r="BT16" i="16"/>
  <c r="BT116" i="16"/>
  <c r="BT67" i="16"/>
  <c r="BU67" i="16" s="1"/>
  <c r="K107" i="16"/>
  <c r="L99" i="16"/>
  <c r="L103" i="16"/>
  <c r="L107" i="16"/>
  <c r="I47" i="16"/>
  <c r="BS72" i="16"/>
  <c r="BS124" i="16"/>
  <c r="BU124" i="16" s="1"/>
  <c r="BT19" i="16"/>
  <c r="C111" i="19"/>
  <c r="C119" i="19"/>
  <c r="B116" i="19"/>
  <c r="B118" i="19"/>
  <c r="B120" i="19"/>
  <c r="C112" i="19"/>
  <c r="C120" i="19"/>
  <c r="B117" i="19"/>
  <c r="D119" i="19"/>
  <c r="D113" i="19"/>
  <c r="D112" i="19"/>
  <c r="D111" i="19"/>
  <c r="D114" i="19"/>
  <c r="B114" i="19"/>
  <c r="D117" i="19"/>
  <c r="D116" i="19"/>
  <c r="D115" i="19"/>
  <c r="D118" i="19"/>
  <c r="C117" i="19"/>
  <c r="C115" i="19"/>
  <c r="C114" i="19"/>
  <c r="C113" i="19"/>
  <c r="C116" i="19"/>
  <c r="B111" i="19"/>
  <c r="B115" i="19"/>
  <c r="C118" i="19"/>
  <c r="B119" i="19"/>
  <c r="B112" i="19"/>
  <c r="D120" i="19"/>
  <c r="D39" i="17"/>
  <c r="B43" i="17"/>
  <c r="C16" i="17"/>
  <c r="I265" i="18"/>
  <c r="D265" i="18"/>
  <c r="I264" i="18"/>
  <c r="D264" i="18"/>
  <c r="I263" i="18"/>
  <c r="D263" i="18"/>
  <c r="I262" i="18"/>
  <c r="D262" i="18"/>
  <c r="T290" i="18" s="1"/>
  <c r="I261" i="18"/>
  <c r="D261" i="18"/>
  <c r="I260" i="18"/>
  <c r="D260" i="18"/>
  <c r="I259" i="18"/>
  <c r="D259" i="18"/>
  <c r="I258" i="18"/>
  <c r="D258" i="18"/>
  <c r="I257" i="18"/>
  <c r="D257" i="18"/>
  <c r="I256" i="18"/>
  <c r="D256" i="18"/>
  <c r="I151" i="18"/>
  <c r="I159" i="18"/>
  <c r="I155" i="18"/>
  <c r="H158" i="18"/>
  <c r="BS116" i="18"/>
  <c r="BU72" i="18"/>
  <c r="J249" i="18"/>
  <c r="J158" i="18"/>
  <c r="J154" i="18"/>
  <c r="J150" i="18"/>
  <c r="I158" i="18"/>
  <c r="I154" i="18"/>
  <c r="I150" i="18"/>
  <c r="BU125" i="18"/>
  <c r="BT123" i="18"/>
  <c r="BS71" i="18"/>
  <c r="BU71" i="18" s="1"/>
  <c r="E251" i="18"/>
  <c r="J157" i="18"/>
  <c r="J153" i="18"/>
  <c r="J149" i="18"/>
  <c r="I149" i="18"/>
  <c r="I157" i="18"/>
  <c r="I153" i="18"/>
  <c r="S289" i="18"/>
  <c r="W285" i="18"/>
  <c r="I103" i="18"/>
  <c r="I107" i="18"/>
  <c r="I99" i="18"/>
  <c r="BT65" i="18"/>
  <c r="E55" i="18"/>
  <c r="E51" i="18"/>
  <c r="E47" i="18"/>
  <c r="H265" i="18"/>
  <c r="C265" i="18"/>
  <c r="H264" i="18"/>
  <c r="C264" i="18"/>
  <c r="H263" i="18"/>
  <c r="C263" i="18"/>
  <c r="L291" i="18" s="1"/>
  <c r="H262" i="18"/>
  <c r="C262" i="18"/>
  <c r="H261" i="18"/>
  <c r="C261" i="18"/>
  <c r="H260" i="18"/>
  <c r="C260" i="18"/>
  <c r="H259" i="18"/>
  <c r="C259" i="18"/>
  <c r="H258" i="18"/>
  <c r="C258" i="18"/>
  <c r="H257" i="18"/>
  <c r="C257" i="18"/>
  <c r="H256" i="18"/>
  <c r="C256" i="18"/>
  <c r="M284" i="18" s="1"/>
  <c r="H154" i="18"/>
  <c r="BT20" i="18"/>
  <c r="BT16" i="18"/>
  <c r="BS124" i="18"/>
  <c r="BU124" i="18" s="1"/>
  <c r="T286" i="18"/>
  <c r="O286" i="18"/>
  <c r="BT21" i="18"/>
  <c r="BU21" i="18" s="1"/>
  <c r="BS15" i="18"/>
  <c r="BU15" i="18" s="1"/>
  <c r="BS20" i="18"/>
  <c r="BU20" i="18" s="1"/>
  <c r="BU65" i="18"/>
  <c r="J55" i="18"/>
  <c r="J51" i="18"/>
  <c r="J47" i="18"/>
  <c r="I27" i="18"/>
  <c r="J251" i="18"/>
  <c r="J247" i="18"/>
  <c r="BT64" i="18"/>
  <c r="BU64" i="18" s="1"/>
  <c r="E250" i="18"/>
  <c r="BT120" i="18"/>
  <c r="L78" i="18"/>
  <c r="L98" i="18" s="1"/>
  <c r="K106" i="18"/>
  <c r="K102" i="18"/>
  <c r="K98" i="18"/>
  <c r="Y292" i="18"/>
  <c r="J250" i="18"/>
  <c r="BU68" i="18"/>
  <c r="BT121" i="18"/>
  <c r="BU121" i="18" s="1"/>
  <c r="BU117" i="18"/>
  <c r="BS73" i="18"/>
  <c r="BU73" i="18" s="1"/>
  <c r="BS69" i="18"/>
  <c r="N285" i="18"/>
  <c r="X290" i="18"/>
  <c r="BS120" i="18"/>
  <c r="K290" i="18"/>
  <c r="BU66" i="18"/>
  <c r="BT116" i="18"/>
  <c r="BU67" i="18"/>
  <c r="Q286" i="18"/>
  <c r="T293" i="18"/>
  <c r="BU123" i="18"/>
  <c r="E249" i="18"/>
  <c r="C167" i="18"/>
  <c r="W289" i="18"/>
  <c r="S285" i="18"/>
  <c r="P291" i="18"/>
  <c r="BT69" i="18"/>
  <c r="L287" i="18"/>
  <c r="J53" i="18"/>
  <c r="J49" i="18"/>
  <c r="J45" i="18"/>
  <c r="I53" i="18"/>
  <c r="I49" i="18"/>
  <c r="I45" i="18"/>
  <c r="G265" i="18"/>
  <c r="B265" i="18"/>
  <c r="G264" i="18"/>
  <c r="B264" i="18"/>
  <c r="G263" i="18"/>
  <c r="B263" i="18"/>
  <c r="G262" i="18"/>
  <c r="B262" i="18"/>
  <c r="G261" i="18"/>
  <c r="B261" i="18"/>
  <c r="G260" i="18"/>
  <c r="B260" i="18"/>
  <c r="G259" i="18"/>
  <c r="B259" i="18"/>
  <c r="G258" i="18"/>
  <c r="B258" i="18"/>
  <c r="G257" i="18"/>
  <c r="B257" i="18"/>
  <c r="G256" i="18"/>
  <c r="B256" i="18"/>
  <c r="C175" i="18"/>
  <c r="K154" i="18"/>
  <c r="L130" i="18"/>
  <c r="L158" i="18" s="1"/>
  <c r="K150" i="18"/>
  <c r="K158" i="18"/>
  <c r="BS18" i="18"/>
  <c r="BU18" i="18" s="1"/>
  <c r="BS14" i="18"/>
  <c r="BU14" i="18" s="1"/>
  <c r="BU16" i="18"/>
  <c r="X286" i="18"/>
  <c r="BT70" i="18"/>
  <c r="BU70" i="18" s="1"/>
  <c r="K286" i="18"/>
  <c r="BS19" i="18"/>
  <c r="BU19" i="18" s="1"/>
  <c r="BT17" i="18"/>
  <c r="BU17" i="18" s="1"/>
  <c r="BT13" i="18"/>
  <c r="BU13" i="18" s="1"/>
  <c r="BS12" i="18"/>
  <c r="BU12" i="18" s="1"/>
  <c r="BS123" i="16"/>
  <c r="BS116" i="16"/>
  <c r="BT118" i="16"/>
  <c r="BU118" i="16" s="1"/>
  <c r="J54" i="16"/>
  <c r="J50" i="16"/>
  <c r="J46" i="16"/>
  <c r="I54" i="16"/>
  <c r="I46" i="16"/>
  <c r="I50" i="16"/>
  <c r="BS21" i="16"/>
  <c r="BS12" i="16"/>
  <c r="E159" i="16"/>
  <c r="E155" i="16"/>
  <c r="E151" i="16"/>
  <c r="BT71" i="16"/>
  <c r="BU71" i="16" s="1"/>
  <c r="J159" i="16"/>
  <c r="J155" i="16"/>
  <c r="I131" i="16"/>
  <c r="J151" i="16"/>
  <c r="K106" i="16"/>
  <c r="K102" i="16"/>
  <c r="K98" i="16"/>
  <c r="L78" i="16"/>
  <c r="L102" i="16" s="1"/>
  <c r="BT12" i="16"/>
  <c r="BT120" i="16"/>
  <c r="C182" i="16"/>
  <c r="BT20" i="16"/>
  <c r="K54" i="16"/>
  <c r="K46" i="16"/>
  <c r="K50" i="16"/>
  <c r="L26" i="16"/>
  <c r="L46" i="16" s="1"/>
  <c r="V289" i="15"/>
  <c r="X289" i="15"/>
  <c r="Y289" i="15"/>
  <c r="U287" i="15"/>
  <c r="S287" i="15"/>
  <c r="J244" i="15"/>
  <c r="U293" i="15"/>
  <c r="S291" i="15"/>
  <c r="U289" i="15"/>
  <c r="U285" i="15"/>
  <c r="R289" i="15"/>
  <c r="R291" i="15"/>
  <c r="T289" i="15"/>
  <c r="U286" i="15"/>
  <c r="X287" i="15"/>
  <c r="R284" i="15"/>
  <c r="E248" i="15"/>
  <c r="T287" i="15"/>
  <c r="U288" i="15"/>
  <c r="X288" i="15"/>
  <c r="V286" i="15"/>
  <c r="X284" i="15"/>
  <c r="R285" i="15"/>
  <c r="S288" i="15"/>
  <c r="X285" i="15"/>
  <c r="V285" i="15"/>
  <c r="T286" i="15"/>
  <c r="W289" i="15"/>
  <c r="J247" i="15"/>
  <c r="T288" i="15"/>
  <c r="T284" i="15"/>
  <c r="V287" i="15"/>
  <c r="T285" i="15"/>
  <c r="V293" i="15"/>
  <c r="S293" i="15"/>
  <c r="R287" i="15"/>
  <c r="E246" i="15"/>
  <c r="Y293" i="15"/>
  <c r="W287" i="15"/>
  <c r="R293" i="15"/>
  <c r="Y286" i="15"/>
  <c r="E242" i="15"/>
  <c r="D262" i="15"/>
  <c r="J245" i="15"/>
  <c r="J248" i="15"/>
  <c r="J243" i="15"/>
  <c r="E250" i="15"/>
  <c r="D264" i="15"/>
  <c r="U292" i="15" s="1"/>
  <c r="H264" i="15"/>
  <c r="O292" i="15" s="1"/>
  <c r="H260" i="15"/>
  <c r="O288" i="15" s="1"/>
  <c r="H256" i="15"/>
  <c r="C259" i="15"/>
  <c r="C263" i="15"/>
  <c r="H263" i="15"/>
  <c r="N291" i="15" s="1"/>
  <c r="H259" i="15"/>
  <c r="C258" i="15"/>
  <c r="C256" i="15"/>
  <c r="K284" i="15" s="1"/>
  <c r="H265" i="15"/>
  <c r="P293" i="15" s="1"/>
  <c r="H261" i="15"/>
  <c r="H257" i="15"/>
  <c r="P285" i="15" s="1"/>
  <c r="C260" i="15"/>
  <c r="C264" i="15"/>
  <c r="C262" i="15"/>
  <c r="H262" i="15"/>
  <c r="H258" i="15"/>
  <c r="C257" i="15"/>
  <c r="L285" i="15" s="1"/>
  <c r="C261" i="15"/>
  <c r="C265" i="15"/>
  <c r="G263" i="15"/>
  <c r="G259" i="15"/>
  <c r="B259" i="15"/>
  <c r="B263" i="15"/>
  <c r="G258" i="15"/>
  <c r="H286" i="15" s="1"/>
  <c r="G264" i="15"/>
  <c r="F292" i="15" s="1"/>
  <c r="G260" i="15"/>
  <c r="F288" i="15" s="1"/>
  <c r="G256" i="15"/>
  <c r="B260" i="15"/>
  <c r="B264" i="15"/>
  <c r="B258" i="15"/>
  <c r="C286" i="15" s="1"/>
  <c r="B262" i="15"/>
  <c r="C290" i="15" s="1"/>
  <c r="B256" i="15"/>
  <c r="G265" i="15"/>
  <c r="G293" i="15" s="1"/>
  <c r="G261" i="15"/>
  <c r="G257" i="15"/>
  <c r="B257" i="15"/>
  <c r="B261" i="15"/>
  <c r="B265" i="15"/>
  <c r="G262" i="15"/>
  <c r="E247" i="15"/>
  <c r="J249" i="15"/>
  <c r="J251" i="15"/>
  <c r="J250" i="15"/>
  <c r="E251" i="15"/>
  <c r="E245" i="15"/>
  <c r="E249" i="15"/>
  <c r="E244" i="15"/>
  <c r="E243" i="15"/>
  <c r="J153" i="15"/>
  <c r="I153" i="15"/>
  <c r="L78" i="15"/>
  <c r="L106" i="15" s="1"/>
  <c r="BS124" i="15"/>
  <c r="K106" i="15"/>
  <c r="J159" i="15"/>
  <c r="K51" i="15"/>
  <c r="BT124" i="15"/>
  <c r="J151" i="15"/>
  <c r="I155" i="15"/>
  <c r="J154" i="15"/>
  <c r="K47" i="15"/>
  <c r="BT66" i="15"/>
  <c r="BT15" i="15"/>
  <c r="I149" i="15"/>
  <c r="BS117" i="15"/>
  <c r="BS72" i="15"/>
  <c r="BS68" i="15"/>
  <c r="BS21" i="15"/>
  <c r="BS13" i="15"/>
  <c r="BT120" i="15"/>
  <c r="J149" i="15"/>
  <c r="I157" i="15"/>
  <c r="I101" i="15"/>
  <c r="K98" i="15"/>
  <c r="BT12" i="15"/>
  <c r="BS18" i="15"/>
  <c r="BS64" i="15"/>
  <c r="I150" i="15"/>
  <c r="L159" i="15"/>
  <c r="BT123" i="15"/>
  <c r="BS15" i="15"/>
  <c r="BS116" i="15"/>
  <c r="K151" i="15"/>
  <c r="J155" i="15"/>
  <c r="BS123" i="15"/>
  <c r="I158" i="15"/>
  <c r="I151" i="15"/>
  <c r="BS125" i="15"/>
  <c r="E47" i="15"/>
  <c r="I49" i="15"/>
  <c r="BT73" i="15"/>
  <c r="BS66" i="15"/>
  <c r="BS121" i="15"/>
  <c r="BS69" i="15"/>
  <c r="BT69" i="15"/>
  <c r="BT116" i="15"/>
  <c r="BT65" i="15"/>
  <c r="J49" i="15"/>
  <c r="E51" i="15"/>
  <c r="BT119" i="15"/>
  <c r="H98" i="15"/>
  <c r="BS119" i="15"/>
  <c r="H102" i="15"/>
  <c r="BS120" i="15"/>
  <c r="K155" i="15"/>
  <c r="BT118" i="15"/>
  <c r="K159" i="15"/>
  <c r="BS16" i="15"/>
  <c r="BT67" i="15"/>
  <c r="BT18" i="15"/>
  <c r="L155" i="15"/>
  <c r="BT16" i="15"/>
  <c r="BT70" i="15"/>
  <c r="C175" i="15"/>
  <c r="H46" i="15"/>
  <c r="H54" i="15"/>
  <c r="BS19" i="15"/>
  <c r="BS65" i="15"/>
  <c r="H50" i="15"/>
  <c r="C167" i="15"/>
  <c r="L55" i="15"/>
  <c r="K55" i="15"/>
  <c r="L51" i="15"/>
  <c r="I105" i="15"/>
  <c r="J105" i="15"/>
  <c r="J101" i="15"/>
  <c r="J97" i="15"/>
  <c r="BT20" i="15"/>
  <c r="BS17" i="15"/>
  <c r="BS14" i="15"/>
  <c r="I54" i="15"/>
  <c r="J46" i="15"/>
  <c r="I50" i="15"/>
  <c r="I46" i="15"/>
  <c r="I53" i="15"/>
  <c r="I45" i="15"/>
  <c r="J53" i="15"/>
  <c r="BS70" i="15"/>
  <c r="J150" i="15"/>
  <c r="I154" i="15"/>
  <c r="BT122" i="15"/>
  <c r="J54" i="15"/>
  <c r="BT19" i="15"/>
  <c r="L130" i="15"/>
  <c r="L158" i="15" s="1"/>
  <c r="K158" i="15"/>
  <c r="K154" i="15"/>
  <c r="K150" i="15"/>
  <c r="BT125" i="15"/>
  <c r="BT121" i="15"/>
  <c r="BT117" i="15"/>
  <c r="J107" i="15"/>
  <c r="I79" i="15"/>
  <c r="J103" i="15"/>
  <c r="J99" i="15"/>
  <c r="BS20" i="15"/>
  <c r="BT21" i="15"/>
  <c r="BT17" i="15"/>
  <c r="BT13" i="15"/>
  <c r="K107" i="15"/>
  <c r="L107" i="15"/>
  <c r="L103" i="15"/>
  <c r="L99" i="15"/>
  <c r="K99" i="15"/>
  <c r="K103" i="15"/>
  <c r="BS67" i="15"/>
  <c r="E159" i="15"/>
  <c r="E155" i="15"/>
  <c r="E151" i="15"/>
  <c r="K54" i="15"/>
  <c r="K50" i="15"/>
  <c r="K46" i="15"/>
  <c r="L26" i="15"/>
  <c r="L54" i="15" s="1"/>
  <c r="BS122" i="15"/>
  <c r="E107" i="15"/>
  <c r="E103" i="15"/>
  <c r="E99" i="15"/>
  <c r="BT72" i="15"/>
  <c r="BT68" i="15"/>
  <c r="BS71" i="15"/>
  <c r="BT64" i="15"/>
  <c r="BT14" i="15"/>
  <c r="BS12" i="15"/>
  <c r="BS118" i="15"/>
  <c r="BS73" i="15"/>
  <c r="BT71" i="15"/>
  <c r="J106" i="15"/>
  <c r="J102" i="15"/>
  <c r="J98" i="15"/>
  <c r="I102" i="15"/>
  <c r="I98" i="15"/>
  <c r="I106" i="15"/>
  <c r="I55" i="15"/>
  <c r="I51" i="15"/>
  <c r="I47" i="15"/>
  <c r="B140" i="14"/>
  <c r="B139" i="14"/>
  <c r="C139" i="14"/>
  <c r="B144" i="14"/>
  <c r="B143" i="14"/>
  <c r="C143" i="14"/>
  <c r="B145" i="14"/>
  <c r="D143" i="14"/>
  <c r="D116" i="14"/>
  <c r="D117" i="14"/>
  <c r="C117" i="14"/>
  <c r="D108" i="14"/>
  <c r="D109" i="14"/>
  <c r="C109" i="14"/>
  <c r="B109" i="14"/>
  <c r="B124" i="14"/>
  <c r="B123" i="14"/>
  <c r="C123" i="14"/>
  <c r="B113" i="14"/>
  <c r="D111" i="14"/>
  <c r="D112" i="14"/>
  <c r="D113" i="14"/>
  <c r="C113" i="14"/>
  <c r="B127" i="14"/>
  <c r="C127" i="14"/>
  <c r="B128" i="14"/>
  <c r="C115" i="14"/>
  <c r="B117" i="14"/>
  <c r="D151" i="14" s="1"/>
  <c r="D115" i="14"/>
  <c r="B116" i="14"/>
  <c r="B115" i="14"/>
  <c r="B137" i="14"/>
  <c r="D156" i="14" s="1"/>
  <c r="D137" i="14"/>
  <c r="D135" i="14"/>
  <c r="C137" i="14"/>
  <c r="D136" i="14"/>
  <c r="C125" i="14"/>
  <c r="D123" i="14"/>
  <c r="B125" i="14"/>
  <c r="D124" i="14"/>
  <c r="D125" i="14"/>
  <c r="C131" i="14"/>
  <c r="B132" i="14"/>
  <c r="B131" i="14"/>
  <c r="B107" i="14"/>
  <c r="C136" i="14"/>
  <c r="B136" i="14"/>
  <c r="C135" i="14"/>
  <c r="C111" i="14"/>
  <c r="B111" i="14"/>
  <c r="B112" i="14"/>
  <c r="D120" i="14"/>
  <c r="D121" i="14"/>
  <c r="C121" i="14"/>
  <c r="D119" i="14"/>
  <c r="B121" i="14"/>
  <c r="C129" i="14"/>
  <c r="D127" i="14"/>
  <c r="B129" i="14"/>
  <c r="D128" i="14"/>
  <c r="D129" i="14"/>
  <c r="D139" i="14"/>
  <c r="C141" i="14"/>
  <c r="D140" i="14"/>
  <c r="B141" i="14"/>
  <c r="D141" i="14"/>
  <c r="C145" i="14"/>
  <c r="D144" i="14"/>
  <c r="D145" i="14"/>
  <c r="D132" i="14"/>
  <c r="B133" i="14"/>
  <c r="D133" i="14"/>
  <c r="C133" i="14"/>
  <c r="D131" i="14"/>
  <c r="C107" i="14"/>
  <c r="B149" i="14" s="1"/>
  <c r="C108" i="14"/>
  <c r="B108" i="14"/>
  <c r="B120" i="14"/>
  <c r="B119" i="14"/>
  <c r="C119" i="14"/>
  <c r="E102" i="14"/>
  <c r="BU9" i="13"/>
  <c r="L51" i="13"/>
  <c r="L47" i="13"/>
  <c r="L43" i="13"/>
  <c r="K51" i="13"/>
  <c r="K47" i="13"/>
  <c r="K43" i="13"/>
  <c r="J50" i="13"/>
  <c r="J42" i="13"/>
  <c r="I50" i="13"/>
  <c r="I42" i="13"/>
  <c r="L22" i="13"/>
  <c r="L50" i="13" s="1"/>
  <c r="K50" i="13"/>
  <c r="K42" i="13"/>
  <c r="BU16" i="13"/>
  <c r="BU14" i="13"/>
  <c r="BU121" i="12"/>
  <c r="AE213" i="12"/>
  <c r="AB212" i="12"/>
  <c r="AG207" i="12"/>
  <c r="AH207" i="12"/>
  <c r="BS20" i="12"/>
  <c r="AG213" i="12"/>
  <c r="BT69" i="12"/>
  <c r="R198" i="12"/>
  <c r="Z212" i="12"/>
  <c r="BU68" i="12"/>
  <c r="AK210" i="12"/>
  <c r="X196" i="12"/>
  <c r="K200" i="12"/>
  <c r="S200" i="12" s="1"/>
  <c r="Z200" i="12" s="1"/>
  <c r="R194" i="12"/>
  <c r="AE216" i="12"/>
  <c r="BS72" i="12"/>
  <c r="AD216" i="12"/>
  <c r="BU71" i="12"/>
  <c r="AC215" i="12"/>
  <c r="P194" i="12"/>
  <c r="V194" i="12"/>
  <c r="AB194" i="12" s="1"/>
  <c r="Y194" i="12"/>
  <c r="AD208" i="12"/>
  <c r="AJ208" i="12" s="1"/>
  <c r="AD207" i="12"/>
  <c r="T193" i="12"/>
  <c r="AA213" i="12"/>
  <c r="G215" i="12"/>
  <c r="AE215" i="12" s="1"/>
  <c r="AJ215" i="12" s="1"/>
  <c r="G201" i="12"/>
  <c r="W201" i="12" s="1"/>
  <c r="D200" i="12"/>
  <c r="T200" i="12" s="1"/>
  <c r="D214" i="12"/>
  <c r="AB214" i="12" s="1"/>
  <c r="G211" i="12"/>
  <c r="AE211" i="12" s="1"/>
  <c r="AJ211" i="12" s="1"/>
  <c r="G197" i="12"/>
  <c r="W197" i="12" s="1"/>
  <c r="AB197" i="12" s="1"/>
  <c r="AA214" i="12"/>
  <c r="AH214" i="12" s="1"/>
  <c r="G207" i="12"/>
  <c r="G193" i="12"/>
  <c r="L197" i="12"/>
  <c r="T197" i="12" s="1"/>
  <c r="AA197" i="12" s="1"/>
  <c r="L211" i="12"/>
  <c r="R200" i="12"/>
  <c r="R196" i="12"/>
  <c r="AB211" i="12"/>
  <c r="AI211" i="12" s="1"/>
  <c r="BT123" i="12"/>
  <c r="J106" i="12"/>
  <c r="I78" i="12"/>
  <c r="J102" i="12"/>
  <c r="J98" i="12"/>
  <c r="Z213" i="12"/>
  <c r="C209" i="12"/>
  <c r="AA209" i="12" s="1"/>
  <c r="C195" i="12"/>
  <c r="S195" i="12" s="1"/>
  <c r="Z195" i="12" s="1"/>
  <c r="AD195" i="12" s="1"/>
  <c r="BU20" i="12"/>
  <c r="K106" i="12"/>
  <c r="L102" i="12"/>
  <c r="K102" i="12"/>
  <c r="L98" i="12"/>
  <c r="K98" i="12"/>
  <c r="L106" i="12"/>
  <c r="L201" i="12"/>
  <c r="T201" i="12" s="1"/>
  <c r="AA201" i="12" s="1"/>
  <c r="L215" i="12"/>
  <c r="S197" i="12"/>
  <c r="Z197" i="12" s="1"/>
  <c r="BU122" i="12"/>
  <c r="S201" i="12"/>
  <c r="Z201" i="12" s="1"/>
  <c r="AG211" i="12"/>
  <c r="L213" i="12"/>
  <c r="AB213" i="12" s="1"/>
  <c r="AI213" i="12" s="1"/>
  <c r="L199" i="12"/>
  <c r="BU118" i="12"/>
  <c r="N199" i="12"/>
  <c r="V199" i="12" s="1"/>
  <c r="AB199" i="12" s="1"/>
  <c r="N213" i="12"/>
  <c r="AD213" i="12" s="1"/>
  <c r="AJ213" i="12" s="1"/>
  <c r="P201" i="12"/>
  <c r="X201" i="12" s="1"/>
  <c r="AC201" i="12" s="1"/>
  <c r="P215" i="12"/>
  <c r="AF215" i="12" s="1"/>
  <c r="AK215" i="12" s="1"/>
  <c r="AB208" i="12"/>
  <c r="AI208" i="12" s="1"/>
  <c r="AA193" i="12"/>
  <c r="D210" i="12"/>
  <c r="AB210" i="12" s="1"/>
  <c r="D196" i="12"/>
  <c r="T196" i="12" s="1"/>
  <c r="AA196" i="12" s="1"/>
  <c r="AF209" i="12"/>
  <c r="AK209" i="12" s="1"/>
  <c r="J157" i="12"/>
  <c r="J153" i="12"/>
  <c r="J149" i="12"/>
  <c r="I149" i="12"/>
  <c r="I157" i="12"/>
  <c r="I153" i="12"/>
  <c r="L209" i="12"/>
  <c r="L195" i="12"/>
  <c r="H216" i="12"/>
  <c r="AF216" i="12" s="1"/>
  <c r="H202" i="12"/>
  <c r="X202" i="12" s="1"/>
  <c r="AC202" i="12" s="1"/>
  <c r="Y196" i="12"/>
  <c r="AC196" i="12" s="1"/>
  <c r="Y198" i="12"/>
  <c r="O200" i="12"/>
  <c r="W200" i="12" s="1"/>
  <c r="AB200" i="12" s="1"/>
  <c r="O214" i="12"/>
  <c r="AE214" i="12" s="1"/>
  <c r="AJ214" i="12" s="1"/>
  <c r="BS67" i="12"/>
  <c r="BU67" i="12" s="1"/>
  <c r="M200" i="12"/>
  <c r="U200" i="12" s="1"/>
  <c r="M214" i="12"/>
  <c r="K208" i="12"/>
  <c r="AA208" i="12" s="1"/>
  <c r="AH208" i="12" s="1"/>
  <c r="K194" i="12"/>
  <c r="K154" i="12"/>
  <c r="L150" i="12"/>
  <c r="K150" i="12"/>
  <c r="K158" i="12"/>
  <c r="L158" i="12"/>
  <c r="L154" i="12"/>
  <c r="BS69" i="12"/>
  <c r="BU69" i="12" s="1"/>
  <c r="BT65" i="12"/>
  <c r="BU65" i="12" s="1"/>
  <c r="AC200" i="12"/>
  <c r="BT72" i="12"/>
  <c r="BU72" i="12" s="1"/>
  <c r="P211" i="12"/>
  <c r="AF211" i="12" s="1"/>
  <c r="AK211" i="12" s="1"/>
  <c r="P197" i="12"/>
  <c r="X197" i="12" s="1"/>
  <c r="AC197" i="12" s="1"/>
  <c r="U201" i="12"/>
  <c r="BU17" i="12"/>
  <c r="V196" i="12"/>
  <c r="BU13" i="12"/>
  <c r="V201" i="12"/>
  <c r="S199" i="12"/>
  <c r="Z199" i="12" s="1"/>
  <c r="O196" i="12"/>
  <c r="W196" i="12" s="1"/>
  <c r="AB196" i="12" s="1"/>
  <c r="O210" i="12"/>
  <c r="T202" i="12"/>
  <c r="AA202" i="12" s="1"/>
  <c r="H212" i="12"/>
  <c r="AF212" i="12" s="1"/>
  <c r="AK212" i="12" s="1"/>
  <c r="H198" i="12"/>
  <c r="X198" i="12" s="1"/>
  <c r="O207" i="12"/>
  <c r="O193" i="12"/>
  <c r="BS124" i="12"/>
  <c r="BU124" i="12" s="1"/>
  <c r="BS120" i="12"/>
  <c r="BU120" i="12" s="1"/>
  <c r="R202" i="12"/>
  <c r="BS16" i="12"/>
  <c r="BU16" i="12" s="1"/>
  <c r="BS15" i="12"/>
  <c r="BU15" i="12" s="1"/>
  <c r="BT14" i="12"/>
  <c r="BU14" i="12" s="1"/>
  <c r="BS11" i="12"/>
  <c r="BU11" i="12" s="1"/>
  <c r="R197" i="12"/>
  <c r="K202" i="12"/>
  <c r="S202" i="12" s="1"/>
  <c r="K216" i="12"/>
  <c r="AA216" i="12" s="1"/>
  <c r="AD209" i="12"/>
  <c r="AJ209" i="12" s="1"/>
  <c r="AM209" i="12" s="1"/>
  <c r="AA211" i="12"/>
  <c r="AH211" i="12" s="1"/>
  <c r="AL211" i="12" s="1"/>
  <c r="AA215" i="12"/>
  <c r="I50" i="12"/>
  <c r="I54" i="12"/>
  <c r="I46" i="12"/>
  <c r="Y197" i="12"/>
  <c r="E106" i="12"/>
  <c r="E102" i="12"/>
  <c r="E98" i="12"/>
  <c r="H194" i="12"/>
  <c r="X194" i="12" s="1"/>
  <c r="H208" i="12"/>
  <c r="AF208" i="12" s="1"/>
  <c r="W198" i="12"/>
  <c r="AB198" i="12" s="1"/>
  <c r="T195" i="12"/>
  <c r="AA195" i="12" s="1"/>
  <c r="I104" i="12"/>
  <c r="I100" i="12"/>
  <c r="I96" i="12"/>
  <c r="J104" i="12"/>
  <c r="J100" i="12"/>
  <c r="J96" i="12"/>
  <c r="S194" i="12"/>
  <c r="Z194" i="12" s="1"/>
  <c r="AB215" i="12"/>
  <c r="AG208" i="12"/>
  <c r="AG216" i="12"/>
  <c r="P199" i="12"/>
  <c r="X199" i="12" s="1"/>
  <c r="P213" i="12"/>
  <c r="AF213" i="12" s="1"/>
  <c r="AA210" i="12"/>
  <c r="AH210" i="12" s="1"/>
  <c r="AE210" i="12"/>
  <c r="BU63" i="12"/>
  <c r="AF214" i="12"/>
  <c r="AK214" i="12" s="1"/>
  <c r="Z209" i="12"/>
  <c r="P193" i="12"/>
  <c r="X193" i="12" s="1"/>
  <c r="AC193" i="12" s="1"/>
  <c r="P207" i="12"/>
  <c r="AF207" i="12" s="1"/>
  <c r="AK207" i="12" s="1"/>
  <c r="AC216" i="12"/>
  <c r="BS18" i="12"/>
  <c r="BU18" i="12" s="1"/>
  <c r="BT17" i="12"/>
  <c r="U197" i="12"/>
  <c r="AD210" i="12"/>
  <c r="T199" i="12"/>
  <c r="AA199" i="12" s="1"/>
  <c r="K196" i="12"/>
  <c r="S196" i="12" s="1"/>
  <c r="Z196" i="12" s="1"/>
  <c r="AD196" i="12" s="1"/>
  <c r="K210" i="12"/>
  <c r="BU123" i="12"/>
  <c r="AB216" i="12"/>
  <c r="AA194" i="12"/>
  <c r="S193" i="12"/>
  <c r="Z193" i="12" s="1"/>
  <c r="AD193" i="12" s="1"/>
  <c r="AC212" i="12"/>
  <c r="AB207" i="12"/>
  <c r="AI207" i="12" s="1"/>
  <c r="AL207" i="12" s="1"/>
  <c r="BS116" i="12"/>
  <c r="BU116" i="12" s="1"/>
  <c r="K97" i="12"/>
  <c r="L77" i="12"/>
  <c r="L105" i="12"/>
  <c r="K105" i="12"/>
  <c r="L101" i="12"/>
  <c r="L97" i="12"/>
  <c r="K101" i="12"/>
  <c r="Z216" i="12"/>
  <c r="Z215" i="12"/>
  <c r="BS12" i="12"/>
  <c r="BU12" i="12" s="1"/>
  <c r="V193" i="12"/>
  <c r="K198" i="12"/>
  <c r="S198" i="12" s="1"/>
  <c r="Z198" i="12" s="1"/>
  <c r="AD198" i="12" s="1"/>
  <c r="K212" i="12"/>
  <c r="AA212" i="12" s="1"/>
  <c r="V195" i="12"/>
  <c r="AB195" i="12" s="1"/>
  <c r="AE195" i="12" s="1"/>
  <c r="AE212" i="12"/>
  <c r="AJ212" i="12" s="1"/>
  <c r="AB209" i="12"/>
  <c r="AI209" i="12" s="1"/>
  <c r="W202" i="12"/>
  <c r="AB202" i="12" s="1"/>
  <c r="AE202" i="12" s="1"/>
  <c r="AC214" i="12"/>
  <c r="Y199" i="12"/>
  <c r="AC210" i="12"/>
  <c r="E102" i="11"/>
  <c r="E98" i="11"/>
  <c r="AA209" i="11"/>
  <c r="AA213" i="11"/>
  <c r="AF214" i="11"/>
  <c r="U197" i="11"/>
  <c r="I156" i="11"/>
  <c r="U201" i="11"/>
  <c r="W195" i="11"/>
  <c r="AB195" i="11" s="1"/>
  <c r="R194" i="11"/>
  <c r="I148" i="11"/>
  <c r="J148" i="11"/>
  <c r="AA208" i="11"/>
  <c r="BS16" i="11"/>
  <c r="Z212" i="11"/>
  <c r="I102" i="11"/>
  <c r="Y197" i="11"/>
  <c r="Y196" i="11"/>
  <c r="Z207" i="11"/>
  <c r="BS63" i="11"/>
  <c r="Z208" i="11"/>
  <c r="I98" i="11"/>
  <c r="BT13" i="11"/>
  <c r="AH208" i="11"/>
  <c r="Z195" i="11"/>
  <c r="L46" i="11"/>
  <c r="L25" i="11"/>
  <c r="L49" i="11" s="1"/>
  <c r="AB215" i="11"/>
  <c r="AD209" i="11"/>
  <c r="AJ209" i="11" s="1"/>
  <c r="L77" i="11"/>
  <c r="L97" i="11" s="1"/>
  <c r="BT68" i="11"/>
  <c r="K101" i="11"/>
  <c r="BT72" i="11"/>
  <c r="K50" i="11"/>
  <c r="Y195" i="11"/>
  <c r="BS66" i="11"/>
  <c r="S202" i="11"/>
  <c r="AD215" i="11"/>
  <c r="BS71" i="11"/>
  <c r="BS67" i="11"/>
  <c r="V202" i="11"/>
  <c r="S199" i="11"/>
  <c r="Z199" i="11" s="1"/>
  <c r="AD212" i="11"/>
  <c r="AJ212" i="11" s="1"/>
  <c r="U202" i="11"/>
  <c r="T197" i="11"/>
  <c r="Z209" i="11"/>
  <c r="AF207" i="11"/>
  <c r="AH212" i="11"/>
  <c r="AE213" i="11"/>
  <c r="AJ213" i="11" s="1"/>
  <c r="AF215" i="11"/>
  <c r="K54" i="11"/>
  <c r="K46" i="11"/>
  <c r="Y198" i="11"/>
  <c r="Y200" i="11"/>
  <c r="BT123" i="11"/>
  <c r="K97" i="11"/>
  <c r="AA216" i="11"/>
  <c r="AH216" i="11" s="1"/>
  <c r="R201" i="11"/>
  <c r="X199" i="11"/>
  <c r="S194" i="11"/>
  <c r="Z194" i="11" s="1"/>
  <c r="Y201" i="11"/>
  <c r="BS122" i="11"/>
  <c r="BS118" i="11"/>
  <c r="AD216" i="11"/>
  <c r="AJ216" i="11" s="1"/>
  <c r="T196" i="11"/>
  <c r="L50" i="11"/>
  <c r="T201" i="11"/>
  <c r="Z213" i="11"/>
  <c r="AH213" i="11" s="1"/>
  <c r="AB211" i="11"/>
  <c r="T193" i="11"/>
  <c r="K53" i="11"/>
  <c r="K49" i="11"/>
  <c r="BT17" i="11"/>
  <c r="X197" i="11"/>
  <c r="AC197" i="11" s="1"/>
  <c r="W202" i="11"/>
  <c r="W199" i="11"/>
  <c r="AB199" i="11" s="1"/>
  <c r="R198" i="11"/>
  <c r="Z198" i="11" s="1"/>
  <c r="R202" i="11"/>
  <c r="X196" i="11"/>
  <c r="AC196" i="11" s="1"/>
  <c r="X201" i="11"/>
  <c r="U194" i="11"/>
  <c r="X193" i="11"/>
  <c r="Y193" i="11"/>
  <c r="Y199" i="11"/>
  <c r="V201" i="11"/>
  <c r="X200" i="11"/>
  <c r="V198" i="11"/>
  <c r="AB198" i="11" s="1"/>
  <c r="V194" i="11"/>
  <c r="U193" i="11"/>
  <c r="U198" i="11"/>
  <c r="J54" i="11"/>
  <c r="J50" i="11"/>
  <c r="J46" i="11"/>
  <c r="I26" i="11"/>
  <c r="AC214" i="11"/>
  <c r="AI214" i="11" s="1"/>
  <c r="AG210" i="11"/>
  <c r="AK210" i="11" s="1"/>
  <c r="BS119" i="11"/>
  <c r="BU119" i="11" s="1"/>
  <c r="BT117" i="11"/>
  <c r="BU117" i="11" s="1"/>
  <c r="J104" i="11"/>
  <c r="J100" i="11"/>
  <c r="J96" i="11"/>
  <c r="I104" i="11"/>
  <c r="I100" i="11"/>
  <c r="I96" i="11"/>
  <c r="AC201" i="11"/>
  <c r="AC211" i="11"/>
  <c r="T199" i="11"/>
  <c r="BT63" i="11"/>
  <c r="X202" i="11"/>
  <c r="AC202" i="11" s="1"/>
  <c r="AC216" i="11"/>
  <c r="S201" i="11"/>
  <c r="AD214" i="11"/>
  <c r="AJ214" i="11" s="1"/>
  <c r="U199" i="11"/>
  <c r="AF212" i="11"/>
  <c r="W197" i="11"/>
  <c r="AB197" i="11" s="1"/>
  <c r="BS14" i="11"/>
  <c r="Z210" i="11"/>
  <c r="AH210" i="11" s="1"/>
  <c r="AG208" i="11"/>
  <c r="T194" i="11"/>
  <c r="S193" i="11"/>
  <c r="Z193" i="11" s="1"/>
  <c r="X195" i="11"/>
  <c r="AB209" i="11"/>
  <c r="V193" i="11"/>
  <c r="I158" i="11"/>
  <c r="I154" i="11"/>
  <c r="I150" i="11"/>
  <c r="AG213" i="11"/>
  <c r="AK213" i="11" s="1"/>
  <c r="L153" i="11"/>
  <c r="BT116" i="11"/>
  <c r="K106" i="11"/>
  <c r="K102" i="11"/>
  <c r="K98" i="11"/>
  <c r="L106" i="11"/>
  <c r="L102" i="11"/>
  <c r="L98" i="11"/>
  <c r="E54" i="11"/>
  <c r="E50" i="11"/>
  <c r="E46" i="11"/>
  <c r="AG214" i="11"/>
  <c r="AK214" i="11" s="1"/>
  <c r="BT14" i="11"/>
  <c r="AA196" i="11"/>
  <c r="BS72" i="11"/>
  <c r="BU72" i="11" s="1"/>
  <c r="BS68" i="11"/>
  <c r="BU68" i="11" s="1"/>
  <c r="BS64" i="11"/>
  <c r="BU64" i="11" s="1"/>
  <c r="AC215" i="11"/>
  <c r="AG211" i="11"/>
  <c r="AK211" i="11" s="1"/>
  <c r="BT11" i="11"/>
  <c r="BU11" i="11" s="1"/>
  <c r="AB213" i="11"/>
  <c r="BT122" i="11"/>
  <c r="BT67" i="11"/>
  <c r="AG216" i="11"/>
  <c r="AB216" i="11"/>
  <c r="AA215" i="11"/>
  <c r="AH215" i="11" s="1"/>
  <c r="R200" i="11"/>
  <c r="Z200" i="11" s="1"/>
  <c r="BT16" i="11"/>
  <c r="BU16" i="11" s="1"/>
  <c r="T198" i="11"/>
  <c r="AE211" i="11"/>
  <c r="AJ211" i="11" s="1"/>
  <c r="V196" i="11"/>
  <c r="AB196" i="11" s="1"/>
  <c r="X194" i="11"/>
  <c r="AC194" i="11" s="1"/>
  <c r="AB208" i="11"/>
  <c r="AA207" i="11"/>
  <c r="AF209" i="11"/>
  <c r="AC209" i="11"/>
  <c r="AD207" i="11"/>
  <c r="L157" i="11"/>
  <c r="J105" i="11"/>
  <c r="J101" i="11"/>
  <c r="J97" i="11"/>
  <c r="I105" i="11"/>
  <c r="I101" i="11"/>
  <c r="I97" i="11"/>
  <c r="BT69" i="11"/>
  <c r="BT65" i="11"/>
  <c r="J52" i="11"/>
  <c r="J48" i="11"/>
  <c r="J44" i="11"/>
  <c r="I52" i="11"/>
  <c r="I48" i="11"/>
  <c r="I44" i="11"/>
  <c r="BT18" i="11"/>
  <c r="AA200" i="11"/>
  <c r="BS123" i="11"/>
  <c r="BU123" i="11" s="1"/>
  <c r="BT121" i="11"/>
  <c r="BU121" i="11" s="1"/>
  <c r="BS115" i="11"/>
  <c r="BU115" i="11" s="1"/>
  <c r="AG215" i="11"/>
  <c r="BT15" i="11"/>
  <c r="BU15" i="11" s="1"/>
  <c r="BS13" i="11"/>
  <c r="AC207" i="11"/>
  <c r="AI207" i="11" s="1"/>
  <c r="AC213" i="11"/>
  <c r="BS120" i="11"/>
  <c r="BT118" i="11"/>
  <c r="BT71" i="11"/>
  <c r="BS65" i="11"/>
  <c r="AF216" i="11"/>
  <c r="W201" i="11"/>
  <c r="BS18" i="11"/>
  <c r="Z214" i="11"/>
  <c r="AH214" i="11" s="1"/>
  <c r="X198" i="11"/>
  <c r="AC212" i="11"/>
  <c r="S197" i="11"/>
  <c r="AD210" i="11"/>
  <c r="AJ210" i="11" s="1"/>
  <c r="U195" i="11"/>
  <c r="AF208" i="11"/>
  <c r="W193" i="11"/>
  <c r="R197" i="11"/>
  <c r="AG209" i="11"/>
  <c r="W194" i="11"/>
  <c r="AB194" i="11" s="1"/>
  <c r="BT120" i="11"/>
  <c r="AC210" i="11"/>
  <c r="AI210" i="11" s="1"/>
  <c r="BT70" i="11"/>
  <c r="BU70" i="11" s="1"/>
  <c r="BT66" i="11"/>
  <c r="BT19" i="11"/>
  <c r="BU19" i="11" s="1"/>
  <c r="BS17" i="11"/>
  <c r="BU17" i="11" s="1"/>
  <c r="AG207" i="11"/>
  <c r="BS124" i="11"/>
  <c r="BU124" i="11" s="1"/>
  <c r="BS116" i="11"/>
  <c r="BS69" i="11"/>
  <c r="BU69" i="11" s="1"/>
  <c r="BT20" i="11"/>
  <c r="BU20" i="11" s="1"/>
  <c r="T202" i="11"/>
  <c r="AE215" i="11"/>
  <c r="V200" i="11"/>
  <c r="AB200" i="11" s="1"/>
  <c r="AG212" i="11"/>
  <c r="AB212" i="11"/>
  <c r="AI212" i="11" s="1"/>
  <c r="AA211" i="11"/>
  <c r="R196" i="11"/>
  <c r="Z196" i="11" s="1"/>
  <c r="BT12" i="11"/>
  <c r="BU12" i="11" s="1"/>
  <c r="AC208" i="11"/>
  <c r="AE207" i="11"/>
  <c r="Z211" i="11"/>
  <c r="T195" i="11"/>
  <c r="AE208" i="11"/>
  <c r="AJ208" i="11" s="1"/>
  <c r="AI213" i="10"/>
  <c r="AL213" i="10" s="1"/>
  <c r="AJ205" i="10"/>
  <c r="AM205" i="10" s="1"/>
  <c r="AJ213" i="10"/>
  <c r="AM213" i="10" s="1"/>
  <c r="AN213" i="10" s="1"/>
  <c r="AH205" i="10"/>
  <c r="AI211" i="10"/>
  <c r="AL211" i="10" s="1"/>
  <c r="AN211" i="10" s="1"/>
  <c r="AJ209" i="10"/>
  <c r="AM209" i="10"/>
  <c r="AN209" i="10" s="1"/>
  <c r="AI207" i="10"/>
  <c r="AL207" i="10" s="1"/>
  <c r="AK207" i="10"/>
  <c r="AM207" i="10" s="1"/>
  <c r="AI206" i="10"/>
  <c r="AL206" i="10" s="1"/>
  <c r="AL208" i="10"/>
  <c r="AN208" i="10" s="1"/>
  <c r="AL210" i="10"/>
  <c r="AL212" i="10"/>
  <c r="AM210" i="10"/>
  <c r="AM206" i="10"/>
  <c r="AN206" i="10" s="1"/>
  <c r="Z191" i="10"/>
  <c r="AM212" i="10"/>
  <c r="AA198" i="10"/>
  <c r="Y196" i="10"/>
  <c r="Z197" i="10"/>
  <c r="Y192" i="10"/>
  <c r="AC192" i="10" s="1"/>
  <c r="AA200" i="10"/>
  <c r="AD200" i="10" s="1"/>
  <c r="AA194" i="10"/>
  <c r="AI214" i="10"/>
  <c r="AL214" i="10" s="1"/>
  <c r="AK214" i="10"/>
  <c r="AM214" i="10" s="1"/>
  <c r="X196" i="10"/>
  <c r="X200" i="10"/>
  <c r="AM211" i="10"/>
  <c r="X193" i="10"/>
  <c r="AC193" i="10" s="1"/>
  <c r="X197" i="10"/>
  <c r="Y195" i="10"/>
  <c r="Y199" i="10"/>
  <c r="AA193" i="10"/>
  <c r="AD193" i="10" s="1"/>
  <c r="AA197" i="10"/>
  <c r="X191" i="10"/>
  <c r="AD196" i="10"/>
  <c r="AL205" i="10"/>
  <c r="AN205" i="10" s="1"/>
  <c r="AD194" i="10"/>
  <c r="BT123" i="10"/>
  <c r="BS122" i="10"/>
  <c r="BS118" i="10"/>
  <c r="BT118" i="10"/>
  <c r="BU70" i="10"/>
  <c r="BU69" i="10"/>
  <c r="Y200" i="10"/>
  <c r="AC200" i="10" s="1"/>
  <c r="AD191" i="10"/>
  <c r="X199" i="10"/>
  <c r="V194" i="10"/>
  <c r="AB194" i="10" s="1"/>
  <c r="AD195" i="10"/>
  <c r="Y194" i="10"/>
  <c r="AC194" i="10" s="1"/>
  <c r="Y198" i="10"/>
  <c r="AC198" i="10" s="1"/>
  <c r="AD199" i="10"/>
  <c r="X195" i="10"/>
  <c r="AC195" i="10" s="1"/>
  <c r="V198" i="10"/>
  <c r="AB198" i="10" s="1"/>
  <c r="AC197" i="10"/>
  <c r="AC191" i="10"/>
  <c r="V192" i="10"/>
  <c r="AB192" i="10" s="1"/>
  <c r="V196" i="10"/>
  <c r="AB196" i="10" s="1"/>
  <c r="V200" i="10"/>
  <c r="AB200" i="10" s="1"/>
  <c r="AD198" i="10"/>
  <c r="BT117" i="10"/>
  <c r="V195" i="10"/>
  <c r="AB195" i="10" s="1"/>
  <c r="V199" i="10"/>
  <c r="AB199" i="10" s="1"/>
  <c r="V193" i="10"/>
  <c r="AB193" i="10" s="1"/>
  <c r="V197" i="10"/>
  <c r="AB197" i="10" s="1"/>
  <c r="V191" i="10"/>
  <c r="AB191" i="10" s="1"/>
  <c r="BT66" i="10"/>
  <c r="BU67" i="10"/>
  <c r="BS121" i="10"/>
  <c r="BT122" i="10"/>
  <c r="BT64" i="10"/>
  <c r="BT63" i="10"/>
  <c r="BT119" i="10"/>
  <c r="BU119" i="10" s="1"/>
  <c r="BU122" i="10"/>
  <c r="BP19" i="10"/>
  <c r="BR19" i="10"/>
  <c r="BU68" i="10"/>
  <c r="BS63" i="10"/>
  <c r="BS64" i="10"/>
  <c r="BU72" i="10"/>
  <c r="BQ12" i="10"/>
  <c r="BQ16" i="10"/>
  <c r="BQ20" i="10"/>
  <c r="BS116" i="10"/>
  <c r="BU116" i="10" s="1"/>
  <c r="BP12" i="10"/>
  <c r="BP16" i="10"/>
  <c r="BP20" i="10"/>
  <c r="BU118" i="10"/>
  <c r="BS117" i="10"/>
  <c r="BU117" i="10" s="1"/>
  <c r="BS124" i="10"/>
  <c r="BU124" i="10" s="1"/>
  <c r="BU123" i="10"/>
  <c r="BT115" i="10"/>
  <c r="BU115" i="10" s="1"/>
  <c r="BT121" i="10"/>
  <c r="BU121" i="10" s="1"/>
  <c r="BT120" i="10"/>
  <c r="BU120" i="10" s="1"/>
  <c r="BT65" i="10"/>
  <c r="BU65" i="10" s="1"/>
  <c r="BU71" i="10"/>
  <c r="L129" i="10"/>
  <c r="BU66" i="10"/>
  <c r="L77" i="10"/>
  <c r="BO14" i="10"/>
  <c r="BQ14" i="10"/>
  <c r="BO18" i="10"/>
  <c r="BQ18" i="10"/>
  <c r="BQ13" i="10"/>
  <c r="J15" i="10"/>
  <c r="BQ17" i="10"/>
  <c r="J12" i="10"/>
  <c r="BP13" i="10"/>
  <c r="BR13" i="10"/>
  <c r="J16" i="10"/>
  <c r="BP17" i="10"/>
  <c r="BR17" i="10"/>
  <c r="BT17" i="10" s="1"/>
  <c r="J20" i="10"/>
  <c r="BO11" i="10"/>
  <c r="BQ11" i="10"/>
  <c r="BO15" i="10"/>
  <c r="BQ15" i="10"/>
  <c r="BO19" i="10"/>
  <c r="BQ19" i="10"/>
  <c r="BT19" i="10" s="1"/>
  <c r="H50" i="10"/>
  <c r="BP11" i="10"/>
  <c r="BR11" i="10"/>
  <c r="BP15" i="10"/>
  <c r="BR15" i="10"/>
  <c r="E34" i="10"/>
  <c r="BP14" i="10"/>
  <c r="BR14" i="10"/>
  <c r="BP18" i="10"/>
  <c r="BR18" i="10"/>
  <c r="E33" i="10"/>
  <c r="J19" i="10"/>
  <c r="H33" i="10"/>
  <c r="H34" i="10"/>
  <c r="E45" i="10"/>
  <c r="I51" i="10"/>
  <c r="E53" i="10"/>
  <c r="BR12" i="10"/>
  <c r="BT12" i="10" s="1"/>
  <c r="BO13" i="10"/>
  <c r="BR16" i="10"/>
  <c r="BT16" i="10" s="1"/>
  <c r="BO17" i="10"/>
  <c r="BR20" i="10"/>
  <c r="H46" i="10"/>
  <c r="L48" i="10"/>
  <c r="H54" i="10"/>
  <c r="L44" i="10"/>
  <c r="L52" i="10"/>
  <c r="J11" i="10"/>
  <c r="BO12" i="10"/>
  <c r="J13" i="10"/>
  <c r="J14" i="10"/>
  <c r="BO16" i="10"/>
  <c r="BS16" i="10" s="1"/>
  <c r="J17" i="10"/>
  <c r="J18" i="10"/>
  <c r="BO20" i="10"/>
  <c r="E26" i="10"/>
  <c r="E50" i="10" s="1"/>
  <c r="J26" i="10"/>
  <c r="J46" i="10" s="1"/>
  <c r="I47" i="10"/>
  <c r="E49" i="10"/>
  <c r="I55" i="10"/>
  <c r="BS19" i="10"/>
  <c r="I52" i="10"/>
  <c r="J52" i="10"/>
  <c r="J48" i="10"/>
  <c r="J44" i="10"/>
  <c r="I48" i="10"/>
  <c r="I44" i="10"/>
  <c r="H25" i="10"/>
  <c r="H45" i="10" s="1"/>
  <c r="H32" i="10"/>
  <c r="E48" i="10"/>
  <c r="E52" i="10"/>
  <c r="J25" i="10"/>
  <c r="K26" i="10"/>
  <c r="F44" i="10"/>
  <c r="F45" i="10"/>
  <c r="F46" i="10"/>
  <c r="J47" i="10"/>
  <c r="F48" i="10"/>
  <c r="F49" i="10"/>
  <c r="F50" i="10"/>
  <c r="J51" i="10"/>
  <c r="F52" i="10"/>
  <c r="K25" i="10"/>
  <c r="K44" i="10"/>
  <c r="G45" i="10"/>
  <c r="G46" i="10"/>
  <c r="K47" i="10"/>
  <c r="K48" i="10"/>
  <c r="G49" i="10"/>
  <c r="G50" i="10"/>
  <c r="K51" i="10"/>
  <c r="G53" i="10"/>
  <c r="K55" i="10"/>
  <c r="L47" i="10"/>
  <c r="L51" i="10"/>
  <c r="J13" i="9"/>
  <c r="B106" i="9" s="1"/>
  <c r="J72" i="9"/>
  <c r="J12" i="9"/>
  <c r="B105" i="9" s="1"/>
  <c r="J20" i="9"/>
  <c r="B113" i="9" s="1"/>
  <c r="J19" i="9"/>
  <c r="B112" i="9" s="1"/>
  <c r="J18" i="9"/>
  <c r="B111" i="9" s="1"/>
  <c r="J17" i="9"/>
  <c r="B110" i="9" s="1"/>
  <c r="J16" i="9"/>
  <c r="B109" i="9" s="1"/>
  <c r="J15" i="9"/>
  <c r="B108" i="9" s="1"/>
  <c r="J11" i="9"/>
  <c r="B104" i="9" s="1"/>
  <c r="J14" i="9"/>
  <c r="B107" i="9" s="1"/>
  <c r="J8" i="6"/>
  <c r="BG9" i="7"/>
  <c r="BH9" i="7"/>
  <c r="BI9" i="7"/>
  <c r="BJ9" i="7"/>
  <c r="BK9" i="7"/>
  <c r="BL9" i="7"/>
  <c r="BM9" i="7"/>
  <c r="BN9" i="7"/>
  <c r="BG10" i="7"/>
  <c r="BH10" i="7"/>
  <c r="BI10" i="7"/>
  <c r="BJ10" i="7"/>
  <c r="BK10" i="7"/>
  <c r="BL10" i="7"/>
  <c r="BM10" i="7"/>
  <c r="BN10" i="7"/>
  <c r="BG11" i="7"/>
  <c r="BH11" i="7"/>
  <c r="BI11" i="7"/>
  <c r="BJ11" i="7"/>
  <c r="BK11" i="7"/>
  <c r="BL11" i="7"/>
  <c r="BM11" i="7"/>
  <c r="BN11" i="7"/>
  <c r="BG12" i="7"/>
  <c r="BH12" i="7"/>
  <c r="BI12" i="7"/>
  <c r="BJ12" i="7"/>
  <c r="BK12" i="7"/>
  <c r="BL12" i="7"/>
  <c r="BM12" i="7"/>
  <c r="BN12" i="7"/>
  <c r="BG13" i="7"/>
  <c r="BH13" i="7"/>
  <c r="BI13" i="7"/>
  <c r="BJ13" i="7"/>
  <c r="BK13" i="7"/>
  <c r="BL13" i="7"/>
  <c r="BM13" i="7"/>
  <c r="BN13" i="7"/>
  <c r="BG14" i="7"/>
  <c r="BH14" i="7"/>
  <c r="BI14" i="7"/>
  <c r="BJ14" i="7"/>
  <c r="BK14" i="7"/>
  <c r="BL14" i="7"/>
  <c r="BM14" i="7"/>
  <c r="BN14" i="7"/>
  <c r="BG15" i="7"/>
  <c r="BH15" i="7"/>
  <c r="BI15" i="7"/>
  <c r="BJ15" i="7"/>
  <c r="BK15" i="7"/>
  <c r="BL15" i="7"/>
  <c r="BM15" i="7"/>
  <c r="BN15" i="7"/>
  <c r="BG16" i="7"/>
  <c r="BH16" i="7"/>
  <c r="BI16" i="7"/>
  <c r="BJ16" i="7"/>
  <c r="BK16" i="7"/>
  <c r="BL16" i="7"/>
  <c r="BM16" i="7"/>
  <c r="BN16" i="7"/>
  <c r="BG17" i="7"/>
  <c r="BH17" i="7"/>
  <c r="BI17" i="7"/>
  <c r="BJ17" i="7"/>
  <c r="BK17" i="7"/>
  <c r="BL17" i="7"/>
  <c r="BM17" i="7"/>
  <c r="BN17" i="7"/>
  <c r="BH8" i="7"/>
  <c r="BI8" i="7"/>
  <c r="BJ8" i="7"/>
  <c r="BK8" i="7"/>
  <c r="BL8" i="7"/>
  <c r="BQ8" i="7" s="1"/>
  <c r="BM8" i="7"/>
  <c r="BN8" i="7"/>
  <c r="BG8" i="7"/>
  <c r="E52" i="7"/>
  <c r="F52" i="7"/>
  <c r="G52" i="7"/>
  <c r="H52" i="7"/>
  <c r="E48" i="7"/>
  <c r="F48" i="7"/>
  <c r="G48" i="7"/>
  <c r="H48" i="7"/>
  <c r="G49" i="7"/>
  <c r="E44" i="7"/>
  <c r="F44" i="7"/>
  <c r="G44" i="7"/>
  <c r="H44" i="7"/>
  <c r="G31" i="7"/>
  <c r="H31" i="7" s="1"/>
  <c r="F31" i="7"/>
  <c r="J31" i="7" s="1"/>
  <c r="I31" i="7" s="1"/>
  <c r="G30" i="7"/>
  <c r="H30" i="7" s="1"/>
  <c r="F30" i="7"/>
  <c r="J30" i="7" s="1"/>
  <c r="I30" i="7" s="1"/>
  <c r="G29" i="7"/>
  <c r="H29" i="7" s="1"/>
  <c r="F29" i="7"/>
  <c r="J29" i="7" s="1"/>
  <c r="K24" i="7"/>
  <c r="L44" i="7" s="1"/>
  <c r="J24" i="7"/>
  <c r="I52" i="7" s="1"/>
  <c r="G23" i="7"/>
  <c r="H51" i="7" s="1"/>
  <c r="F23" i="7"/>
  <c r="E23" i="7" s="1"/>
  <c r="E51" i="7" s="1"/>
  <c r="G22" i="7"/>
  <c r="H22" i="7" s="1"/>
  <c r="F22" i="7"/>
  <c r="E50" i="7" s="1"/>
  <c r="F21" i="7"/>
  <c r="F49" i="7" s="1"/>
  <c r="H11" i="8"/>
  <c r="H12" i="8"/>
  <c r="H10" i="8"/>
  <c r="K10" i="8"/>
  <c r="K11" i="8"/>
  <c r="K12" i="8"/>
  <c r="K9" i="8"/>
  <c r="D11" i="8"/>
  <c r="D12" i="8"/>
  <c r="D10" i="8"/>
  <c r="G10" i="8"/>
  <c r="G11" i="8"/>
  <c r="G12" i="8"/>
  <c r="E11" i="8"/>
  <c r="F11" i="8"/>
  <c r="E12" i="8"/>
  <c r="F12" i="8"/>
  <c r="J12" i="8" s="1"/>
  <c r="F10" i="8"/>
  <c r="F4" i="8"/>
  <c r="E10" i="8"/>
  <c r="E4" i="8"/>
  <c r="F9" i="8"/>
  <c r="J9" i="8" s="1"/>
  <c r="I12" i="8"/>
  <c r="J11" i="8"/>
  <c r="I11" i="8"/>
  <c r="I10" i="8"/>
  <c r="E9" i="8"/>
  <c r="I9" i="8" s="1"/>
  <c r="J6" i="8"/>
  <c r="I6" i="8"/>
  <c r="H6" i="8" s="1"/>
  <c r="E5" i="8"/>
  <c r="D5" i="8" s="1"/>
  <c r="F5" i="8"/>
  <c r="G5" i="8" s="1"/>
  <c r="J4" i="8"/>
  <c r="K4" i="8" s="1"/>
  <c r="I4" i="8"/>
  <c r="H4" i="8" s="1"/>
  <c r="E3" i="8"/>
  <c r="F3" i="8" s="1"/>
  <c r="G3" i="8" s="1"/>
  <c r="I92" i="5"/>
  <c r="H92" i="5" s="1"/>
  <c r="F92" i="5"/>
  <c r="G92" i="5" s="1"/>
  <c r="E92" i="5"/>
  <c r="D92" i="5"/>
  <c r="F91" i="5"/>
  <c r="G91" i="5" s="1"/>
  <c r="E91" i="5"/>
  <c r="I91" i="5" s="1"/>
  <c r="H91" i="5" s="1"/>
  <c r="D91" i="5"/>
  <c r="F90" i="5"/>
  <c r="G90" i="5" s="1"/>
  <c r="E90" i="5"/>
  <c r="I90" i="5" s="1"/>
  <c r="H90" i="5" s="1"/>
  <c r="D90" i="5"/>
  <c r="F89" i="5"/>
  <c r="G89" i="5" s="1"/>
  <c r="E89" i="5"/>
  <c r="I89" i="5" s="1"/>
  <c r="H89" i="5" s="1"/>
  <c r="D89" i="5"/>
  <c r="F88" i="5"/>
  <c r="G88" i="5" s="1"/>
  <c r="E88" i="5"/>
  <c r="I88" i="5" s="1"/>
  <c r="H88" i="5" s="1"/>
  <c r="D88" i="5"/>
  <c r="J87" i="5"/>
  <c r="K87" i="5" s="1"/>
  <c r="I87" i="5"/>
  <c r="G87" i="5"/>
  <c r="F87" i="5"/>
  <c r="E87" i="5"/>
  <c r="F84" i="5"/>
  <c r="G84" i="5" s="1"/>
  <c r="E84" i="5"/>
  <c r="I84" i="5" s="1"/>
  <c r="H84" i="5" s="1"/>
  <c r="D84" i="5"/>
  <c r="F83" i="5"/>
  <c r="G83" i="5" s="1"/>
  <c r="E83" i="5"/>
  <c r="I83" i="5" s="1"/>
  <c r="H83" i="5" s="1"/>
  <c r="D83" i="5"/>
  <c r="F82" i="5"/>
  <c r="G82" i="5" s="1"/>
  <c r="E82" i="5"/>
  <c r="I82" i="5" s="1"/>
  <c r="H82" i="5" s="1"/>
  <c r="D82" i="5"/>
  <c r="F81" i="5"/>
  <c r="G81" i="5" s="1"/>
  <c r="E81" i="5"/>
  <c r="I81" i="5" s="1"/>
  <c r="H81" i="5" s="1"/>
  <c r="D81" i="5"/>
  <c r="F80" i="5"/>
  <c r="G80" i="5" s="1"/>
  <c r="E80" i="5"/>
  <c r="I80" i="5" s="1"/>
  <c r="H80" i="5" s="1"/>
  <c r="D80" i="5"/>
  <c r="J79" i="5"/>
  <c r="K79" i="5" s="1"/>
  <c r="G79" i="5"/>
  <c r="F79" i="5"/>
  <c r="E79" i="5"/>
  <c r="I79" i="5" s="1"/>
  <c r="F76" i="5"/>
  <c r="G76" i="5" s="1"/>
  <c r="E76" i="5"/>
  <c r="I76" i="5" s="1"/>
  <c r="H76" i="5" s="1"/>
  <c r="D76" i="5"/>
  <c r="F75" i="5"/>
  <c r="G75" i="5" s="1"/>
  <c r="E75" i="5"/>
  <c r="I75" i="5" s="1"/>
  <c r="H75" i="5" s="1"/>
  <c r="D75" i="5"/>
  <c r="F74" i="5"/>
  <c r="G74" i="5" s="1"/>
  <c r="E74" i="5"/>
  <c r="I74" i="5" s="1"/>
  <c r="H74" i="5" s="1"/>
  <c r="D74" i="5"/>
  <c r="F73" i="5"/>
  <c r="G73" i="5" s="1"/>
  <c r="E73" i="5"/>
  <c r="I73" i="5" s="1"/>
  <c r="H73" i="5" s="1"/>
  <c r="D73" i="5"/>
  <c r="F72" i="5"/>
  <c r="G72" i="5" s="1"/>
  <c r="E72" i="5"/>
  <c r="I72" i="5" s="1"/>
  <c r="H72" i="5" s="1"/>
  <c r="D72" i="5"/>
  <c r="J71" i="5"/>
  <c r="K71" i="5" s="1"/>
  <c r="I71" i="5"/>
  <c r="G71" i="5"/>
  <c r="F71" i="5"/>
  <c r="E71" i="5"/>
  <c r="F67" i="5"/>
  <c r="G67" i="5" s="1"/>
  <c r="E67" i="5"/>
  <c r="I67" i="5" s="1"/>
  <c r="H67" i="5" s="1"/>
  <c r="D67" i="5"/>
  <c r="F66" i="5"/>
  <c r="G66" i="5" s="1"/>
  <c r="E66" i="5"/>
  <c r="I66" i="5" s="1"/>
  <c r="H66" i="5" s="1"/>
  <c r="D66" i="5"/>
  <c r="F65" i="5"/>
  <c r="G65" i="5" s="1"/>
  <c r="E65" i="5"/>
  <c r="I65" i="5" s="1"/>
  <c r="H65" i="5" s="1"/>
  <c r="D65" i="5"/>
  <c r="F64" i="5"/>
  <c r="G64" i="5" s="1"/>
  <c r="E64" i="5"/>
  <c r="I64" i="5" s="1"/>
  <c r="H64" i="5" s="1"/>
  <c r="D64" i="5"/>
  <c r="F63" i="5"/>
  <c r="G63" i="5" s="1"/>
  <c r="E63" i="5"/>
  <c r="I63" i="5" s="1"/>
  <c r="H63" i="5" s="1"/>
  <c r="D63" i="5"/>
  <c r="J62" i="5"/>
  <c r="K62" i="5" s="1"/>
  <c r="G62" i="5"/>
  <c r="F62" i="5"/>
  <c r="E62" i="5"/>
  <c r="I62" i="5" s="1"/>
  <c r="F59" i="5"/>
  <c r="G59" i="5" s="1"/>
  <c r="E59" i="5"/>
  <c r="I59" i="5" s="1"/>
  <c r="H59" i="5" s="1"/>
  <c r="D59" i="5"/>
  <c r="F58" i="5"/>
  <c r="G58" i="5" s="1"/>
  <c r="E58" i="5"/>
  <c r="I58" i="5" s="1"/>
  <c r="H58" i="5" s="1"/>
  <c r="D58" i="5"/>
  <c r="F57" i="5"/>
  <c r="G57" i="5" s="1"/>
  <c r="E57" i="5"/>
  <c r="I57" i="5" s="1"/>
  <c r="H57" i="5" s="1"/>
  <c r="D57" i="5"/>
  <c r="F56" i="5"/>
  <c r="G56" i="5" s="1"/>
  <c r="E56" i="5"/>
  <c r="I56" i="5" s="1"/>
  <c r="H56" i="5" s="1"/>
  <c r="D56" i="5"/>
  <c r="F55" i="5"/>
  <c r="G55" i="5" s="1"/>
  <c r="E55" i="5"/>
  <c r="I55" i="5" s="1"/>
  <c r="H55" i="5" s="1"/>
  <c r="D55" i="5"/>
  <c r="J54" i="5"/>
  <c r="K54" i="5" s="1"/>
  <c r="G54" i="5"/>
  <c r="F54" i="5"/>
  <c r="E54" i="5"/>
  <c r="I54" i="5" s="1"/>
  <c r="F51" i="5"/>
  <c r="G51" i="5" s="1"/>
  <c r="E51" i="5"/>
  <c r="I51" i="5" s="1"/>
  <c r="H51" i="5" s="1"/>
  <c r="D51" i="5"/>
  <c r="F50" i="5"/>
  <c r="G50" i="5" s="1"/>
  <c r="E50" i="5"/>
  <c r="I50" i="5" s="1"/>
  <c r="H50" i="5" s="1"/>
  <c r="D50" i="5"/>
  <c r="F49" i="5"/>
  <c r="G49" i="5" s="1"/>
  <c r="E49" i="5"/>
  <c r="I49" i="5" s="1"/>
  <c r="H49" i="5" s="1"/>
  <c r="D49" i="5"/>
  <c r="F48" i="5"/>
  <c r="G48" i="5" s="1"/>
  <c r="E48" i="5"/>
  <c r="I48" i="5" s="1"/>
  <c r="H48" i="5" s="1"/>
  <c r="D48" i="5"/>
  <c r="F47" i="5"/>
  <c r="G47" i="5" s="1"/>
  <c r="E47" i="5"/>
  <c r="I47" i="5" s="1"/>
  <c r="H47" i="5" s="1"/>
  <c r="D47" i="5"/>
  <c r="J46" i="5"/>
  <c r="K46" i="5" s="1"/>
  <c r="I46" i="5"/>
  <c r="G46" i="5"/>
  <c r="F46" i="5"/>
  <c r="E46" i="5"/>
  <c r="F43" i="5"/>
  <c r="G43" i="5" s="1"/>
  <c r="E43" i="5"/>
  <c r="I43" i="5" s="1"/>
  <c r="H43" i="5" s="1"/>
  <c r="D43" i="5"/>
  <c r="F42" i="5"/>
  <c r="G42" i="5" s="1"/>
  <c r="E42" i="5"/>
  <c r="I42" i="5" s="1"/>
  <c r="H42" i="5" s="1"/>
  <c r="D42" i="5"/>
  <c r="F41" i="5"/>
  <c r="G41" i="5" s="1"/>
  <c r="E41" i="5"/>
  <c r="I41" i="5" s="1"/>
  <c r="H41" i="5" s="1"/>
  <c r="D41" i="5"/>
  <c r="F40" i="5"/>
  <c r="G40" i="5" s="1"/>
  <c r="E40" i="5"/>
  <c r="I40" i="5" s="1"/>
  <c r="H40" i="5" s="1"/>
  <c r="D40" i="5"/>
  <c r="F39" i="5"/>
  <c r="G39" i="5" s="1"/>
  <c r="E39" i="5"/>
  <c r="I39" i="5" s="1"/>
  <c r="H39" i="5" s="1"/>
  <c r="D39" i="5"/>
  <c r="J38" i="5"/>
  <c r="K38" i="5" s="1"/>
  <c r="G38" i="5"/>
  <c r="F38" i="5"/>
  <c r="E38" i="5"/>
  <c r="I38" i="5" s="1"/>
  <c r="F33" i="5"/>
  <c r="G33" i="5" s="1"/>
  <c r="E33" i="5"/>
  <c r="I33" i="5" s="1"/>
  <c r="H33" i="5" s="1"/>
  <c r="D33" i="5"/>
  <c r="F32" i="5"/>
  <c r="G32" i="5" s="1"/>
  <c r="E32" i="5"/>
  <c r="I32" i="5" s="1"/>
  <c r="H32" i="5" s="1"/>
  <c r="D32" i="5"/>
  <c r="F31" i="5"/>
  <c r="G31" i="5" s="1"/>
  <c r="E31" i="5"/>
  <c r="I31" i="5" s="1"/>
  <c r="H31" i="5" s="1"/>
  <c r="D31" i="5"/>
  <c r="F30" i="5"/>
  <c r="G30" i="5" s="1"/>
  <c r="E30" i="5"/>
  <c r="I30" i="5" s="1"/>
  <c r="H30" i="5" s="1"/>
  <c r="D30" i="5"/>
  <c r="F29" i="5"/>
  <c r="G29" i="5" s="1"/>
  <c r="E29" i="5"/>
  <c r="I29" i="5" s="1"/>
  <c r="H29" i="5" s="1"/>
  <c r="D29" i="5"/>
  <c r="J28" i="5"/>
  <c r="K28" i="5" s="1"/>
  <c r="I28" i="5"/>
  <c r="G28" i="5"/>
  <c r="F28" i="5"/>
  <c r="E28" i="5"/>
  <c r="F25" i="5"/>
  <c r="G25" i="5" s="1"/>
  <c r="E25" i="5"/>
  <c r="I25" i="5" s="1"/>
  <c r="H25" i="5" s="1"/>
  <c r="D25" i="5"/>
  <c r="F24" i="5"/>
  <c r="G24" i="5" s="1"/>
  <c r="E24" i="5"/>
  <c r="I24" i="5" s="1"/>
  <c r="H24" i="5" s="1"/>
  <c r="D24" i="5"/>
  <c r="F23" i="5"/>
  <c r="G23" i="5" s="1"/>
  <c r="E23" i="5"/>
  <c r="I23" i="5" s="1"/>
  <c r="H23" i="5" s="1"/>
  <c r="D23" i="5"/>
  <c r="F22" i="5"/>
  <c r="G22" i="5" s="1"/>
  <c r="E22" i="5"/>
  <c r="I22" i="5" s="1"/>
  <c r="H22" i="5" s="1"/>
  <c r="D22" i="5"/>
  <c r="F21" i="5"/>
  <c r="G21" i="5" s="1"/>
  <c r="E21" i="5"/>
  <c r="I21" i="5" s="1"/>
  <c r="H21" i="5" s="1"/>
  <c r="D21" i="5"/>
  <c r="J20" i="5"/>
  <c r="K20" i="5" s="1"/>
  <c r="I20" i="5"/>
  <c r="G20" i="5"/>
  <c r="F20" i="5"/>
  <c r="E20" i="5"/>
  <c r="F17" i="5"/>
  <c r="G17" i="5" s="1"/>
  <c r="E17" i="5"/>
  <c r="I17" i="5" s="1"/>
  <c r="H17" i="5" s="1"/>
  <c r="D17" i="5"/>
  <c r="F16" i="5"/>
  <c r="G16" i="5" s="1"/>
  <c r="E16" i="5"/>
  <c r="I16" i="5" s="1"/>
  <c r="H16" i="5" s="1"/>
  <c r="D16" i="5"/>
  <c r="F15" i="5"/>
  <c r="G15" i="5" s="1"/>
  <c r="E15" i="5"/>
  <c r="I15" i="5" s="1"/>
  <c r="H15" i="5" s="1"/>
  <c r="D15" i="5"/>
  <c r="F14" i="5"/>
  <c r="G14" i="5" s="1"/>
  <c r="E14" i="5"/>
  <c r="I14" i="5" s="1"/>
  <c r="H14" i="5" s="1"/>
  <c r="D14" i="5"/>
  <c r="F13" i="5"/>
  <c r="G13" i="5" s="1"/>
  <c r="E13" i="5"/>
  <c r="I13" i="5" s="1"/>
  <c r="H13" i="5" s="1"/>
  <c r="D13" i="5"/>
  <c r="J12" i="5"/>
  <c r="K12" i="5" s="1"/>
  <c r="I12" i="5"/>
  <c r="G12" i="5"/>
  <c r="F12" i="5"/>
  <c r="E12" i="5"/>
  <c r="K5" i="5"/>
  <c r="K6" i="5"/>
  <c r="K7" i="5"/>
  <c r="K8" i="5"/>
  <c r="K9" i="5"/>
  <c r="K4" i="5"/>
  <c r="H6" i="5"/>
  <c r="H7" i="5"/>
  <c r="H8" i="5"/>
  <c r="H9" i="5"/>
  <c r="H5" i="5"/>
  <c r="D6" i="5"/>
  <c r="D7" i="5"/>
  <c r="D8" i="5"/>
  <c r="D9" i="5"/>
  <c r="D5" i="5"/>
  <c r="G5" i="5"/>
  <c r="G6" i="5"/>
  <c r="G7" i="5"/>
  <c r="G8" i="5"/>
  <c r="G9" i="5"/>
  <c r="G4" i="5"/>
  <c r="E6" i="5"/>
  <c r="F6" i="5"/>
  <c r="E7" i="5"/>
  <c r="F7" i="5"/>
  <c r="E8" i="5"/>
  <c r="F8" i="5"/>
  <c r="E9" i="5"/>
  <c r="F9" i="5"/>
  <c r="F5" i="5"/>
  <c r="E5" i="5"/>
  <c r="F4" i="5"/>
  <c r="D176" i="19" l="1"/>
  <c r="B176" i="19"/>
  <c r="D175" i="19"/>
  <c r="C176" i="19"/>
  <c r="D189" i="19" s="1"/>
  <c r="B174" i="19"/>
  <c r="C174" i="19"/>
  <c r="D174" i="19"/>
  <c r="C175" i="19"/>
  <c r="B175" i="19"/>
  <c r="B167" i="19"/>
  <c r="C167" i="19"/>
  <c r="B159" i="19"/>
  <c r="C159" i="19"/>
  <c r="C163" i="19"/>
  <c r="B163" i="19"/>
  <c r="C186" i="19" s="1"/>
  <c r="D164" i="19"/>
  <c r="D163" i="19"/>
  <c r="B164" i="19"/>
  <c r="C164" i="19"/>
  <c r="C144" i="19"/>
  <c r="D144" i="19"/>
  <c r="D143" i="19"/>
  <c r="B144" i="19"/>
  <c r="B158" i="19"/>
  <c r="C158" i="19"/>
  <c r="D158" i="19"/>
  <c r="B139" i="19"/>
  <c r="C139" i="19"/>
  <c r="D154" i="19"/>
  <c r="B154" i="19"/>
  <c r="C154" i="19"/>
  <c r="B184" i="19" s="1"/>
  <c r="C147" i="19"/>
  <c r="B147" i="19"/>
  <c r="D167" i="19"/>
  <c r="C168" i="19"/>
  <c r="D168" i="19"/>
  <c r="B168" i="19"/>
  <c r="C150" i="19"/>
  <c r="D150" i="19"/>
  <c r="B150" i="19"/>
  <c r="D148" i="19"/>
  <c r="B148" i="19"/>
  <c r="C148" i="19"/>
  <c r="D147" i="19"/>
  <c r="B143" i="19"/>
  <c r="C143" i="19"/>
  <c r="C142" i="19"/>
  <c r="D142" i="19"/>
  <c r="B142" i="19"/>
  <c r="B151" i="19"/>
  <c r="C151" i="19"/>
  <c r="B156" i="19"/>
  <c r="D156" i="19"/>
  <c r="C156" i="19"/>
  <c r="D155" i="19"/>
  <c r="D151" i="19"/>
  <c r="B152" i="19"/>
  <c r="C152" i="19"/>
  <c r="D152" i="19"/>
  <c r="B172" i="19"/>
  <c r="D172" i="19"/>
  <c r="C172" i="19"/>
  <c r="D171" i="19"/>
  <c r="D170" i="19"/>
  <c r="B170" i="19"/>
  <c r="B189" i="19"/>
  <c r="C170" i="19"/>
  <c r="B188" i="19" s="1"/>
  <c r="D138" i="19"/>
  <c r="B138" i="19"/>
  <c r="C138" i="19"/>
  <c r="B155" i="19"/>
  <c r="C184" i="19" s="1"/>
  <c r="C155" i="19"/>
  <c r="C160" i="19"/>
  <c r="D159" i="19"/>
  <c r="B160" i="19"/>
  <c r="D185" i="19" s="1"/>
  <c r="D160" i="19"/>
  <c r="D140" i="19"/>
  <c r="C140" i="19"/>
  <c r="B140" i="19"/>
  <c r="D180" i="19" s="1"/>
  <c r="D139" i="19"/>
  <c r="B162" i="19"/>
  <c r="D162" i="19"/>
  <c r="C162" i="19"/>
  <c r="B186" i="19" s="1"/>
  <c r="C166" i="19"/>
  <c r="B166" i="19"/>
  <c r="D166" i="19"/>
  <c r="C189" i="19"/>
  <c r="B171" i="19"/>
  <c r="C171" i="19"/>
  <c r="B146" i="19"/>
  <c r="C146" i="19"/>
  <c r="B182" i="19" s="1"/>
  <c r="D146" i="19"/>
  <c r="D155" i="14"/>
  <c r="D154" i="14"/>
  <c r="C150" i="14"/>
  <c r="D153" i="14"/>
  <c r="B151" i="14"/>
  <c r="D164" i="14" s="1"/>
  <c r="D177" i="14" s="1"/>
  <c r="D203" i="14" s="1"/>
  <c r="C151" i="14"/>
  <c r="B164" i="14" s="1"/>
  <c r="BU69" i="16"/>
  <c r="BU119" i="15"/>
  <c r="BU19" i="16"/>
  <c r="E194" i="16"/>
  <c r="B198" i="16"/>
  <c r="B202" i="16"/>
  <c r="Q197" i="16"/>
  <c r="N202" i="16"/>
  <c r="Y197" i="16"/>
  <c r="S203" i="16"/>
  <c r="F203" i="16"/>
  <c r="W200" i="16"/>
  <c r="H199" i="16"/>
  <c r="O194" i="16"/>
  <c r="L199" i="16"/>
  <c r="L203" i="16"/>
  <c r="V197" i="16"/>
  <c r="V201" i="16"/>
  <c r="C200" i="16"/>
  <c r="J203" i="16"/>
  <c r="H194" i="16"/>
  <c r="E199" i="16"/>
  <c r="I203" i="16"/>
  <c r="L198" i="16"/>
  <c r="T194" i="16"/>
  <c r="T198" i="16"/>
  <c r="T202" i="16"/>
  <c r="K196" i="16"/>
  <c r="H196" i="16"/>
  <c r="H200" i="16"/>
  <c r="N194" i="16"/>
  <c r="M201" i="16"/>
  <c r="S195" i="16"/>
  <c r="Y201" i="16"/>
  <c r="F199" i="16"/>
  <c r="N203" i="16"/>
  <c r="B197" i="16"/>
  <c r="G202" i="16"/>
  <c r="N197" i="16"/>
  <c r="N201" i="16"/>
  <c r="U196" i="16"/>
  <c r="U200" i="16"/>
  <c r="D197" i="16"/>
  <c r="J199" i="16"/>
  <c r="X201" i="16"/>
  <c r="G197" i="16"/>
  <c r="D202" i="16"/>
  <c r="J196" i="16"/>
  <c r="O201" i="16"/>
  <c r="V196" i="16"/>
  <c r="G196" i="16"/>
  <c r="U194" i="16"/>
  <c r="L196" i="16"/>
  <c r="W195" i="16"/>
  <c r="X200" i="16"/>
  <c r="X197" i="16"/>
  <c r="H195" i="16"/>
  <c r="D203" i="16"/>
  <c r="O200" i="16"/>
  <c r="Y202" i="16"/>
  <c r="M199" i="16"/>
  <c r="H201" i="16"/>
  <c r="U198" i="16"/>
  <c r="P196" i="16"/>
  <c r="X196" i="16"/>
  <c r="W203" i="16"/>
  <c r="S200" i="16"/>
  <c r="C198" i="16"/>
  <c r="P195" i="16"/>
  <c r="S196" i="16"/>
  <c r="C197" i="16"/>
  <c r="K201" i="16"/>
  <c r="O196" i="16"/>
  <c r="U202" i="16"/>
  <c r="O199" i="16"/>
  <c r="W199" i="16"/>
  <c r="H197" i="16"/>
  <c r="C194" i="16"/>
  <c r="D199" i="16"/>
  <c r="X195" i="16"/>
  <c r="T197" i="16"/>
  <c r="C201" i="16"/>
  <c r="L202" i="16"/>
  <c r="P201" i="16"/>
  <c r="P197" i="16"/>
  <c r="T201" i="16"/>
  <c r="O195" i="16"/>
  <c r="D195" i="16"/>
  <c r="K197" i="16"/>
  <c r="P200" i="16"/>
  <c r="C202" i="16"/>
  <c r="M203" i="16"/>
  <c r="T200" i="16"/>
  <c r="G200" i="16"/>
  <c r="I202" i="16"/>
  <c r="C195" i="16"/>
  <c r="C199" i="16"/>
  <c r="C203" i="16"/>
  <c r="N198" i="16"/>
  <c r="O203" i="16"/>
  <c r="V198" i="16"/>
  <c r="B195" i="16"/>
  <c r="N199" i="16"/>
  <c r="G194" i="16"/>
  <c r="I200" i="16"/>
  <c r="M196" i="16"/>
  <c r="M200" i="16"/>
  <c r="S194" i="16"/>
  <c r="W198" i="16"/>
  <c r="W202" i="16"/>
  <c r="M194" i="16"/>
  <c r="V195" i="16"/>
  <c r="I195" i="16"/>
  <c r="B200" i="16"/>
  <c r="P194" i="16"/>
  <c r="Q199" i="16"/>
  <c r="U195" i="16"/>
  <c r="U199" i="16"/>
  <c r="U203" i="16"/>
  <c r="R195" i="16"/>
  <c r="I197" i="16"/>
  <c r="I201" i="16"/>
  <c r="M197" i="16"/>
  <c r="J202" i="16"/>
  <c r="U197" i="16"/>
  <c r="V202" i="16"/>
  <c r="E202" i="16"/>
  <c r="R199" i="16"/>
  <c r="G198" i="16"/>
  <c r="K194" i="16"/>
  <c r="O198" i="16"/>
  <c r="O202" i="16"/>
  <c r="R197" i="16"/>
  <c r="R201" i="16"/>
  <c r="B199" i="16"/>
  <c r="M202" i="16"/>
  <c r="D194" i="16"/>
  <c r="H198" i="16"/>
  <c r="E203" i="16"/>
  <c r="O197" i="16"/>
  <c r="Q203" i="16"/>
  <c r="W197" i="16"/>
  <c r="W201" i="16"/>
  <c r="N195" i="16"/>
  <c r="D196" i="16"/>
  <c r="D200" i="16"/>
  <c r="J194" i="16"/>
  <c r="L200" i="16"/>
  <c r="V194" i="16"/>
  <c r="U201" i="16"/>
  <c r="E198" i="16"/>
  <c r="Q202" i="16"/>
  <c r="I196" i="16"/>
  <c r="F201" i="16"/>
  <c r="J197" i="16"/>
  <c r="J201" i="16"/>
  <c r="T195" i="16"/>
  <c r="X199" i="16"/>
  <c r="X203" i="16"/>
  <c r="M198" i="16"/>
  <c r="V199" i="16"/>
  <c r="F196" i="16"/>
  <c r="G201" i="16"/>
  <c r="Q195" i="16"/>
  <c r="N200" i="16"/>
  <c r="R196" i="16"/>
  <c r="R200" i="16"/>
  <c r="F195" i="16"/>
  <c r="F194" i="16"/>
  <c r="F198" i="16"/>
  <c r="F202" i="16"/>
  <c r="J198" i="16"/>
  <c r="K203" i="16"/>
  <c r="R198" i="16"/>
  <c r="I194" i="16"/>
  <c r="Q198" i="16"/>
  <c r="V203" i="16"/>
  <c r="E200" i="16"/>
  <c r="L195" i="16"/>
  <c r="P199" i="16"/>
  <c r="P203" i="16"/>
  <c r="S198" i="16"/>
  <c r="S202" i="16"/>
  <c r="B203" i="16"/>
  <c r="Y194" i="16"/>
  <c r="E195" i="16"/>
  <c r="I199" i="16"/>
  <c r="L194" i="16"/>
  <c r="P198" i="16"/>
  <c r="X194" i="16"/>
  <c r="X198" i="16"/>
  <c r="X202" i="16"/>
  <c r="L197" i="16"/>
  <c r="E197" i="16"/>
  <c r="E201" i="16"/>
  <c r="K195" i="16"/>
  <c r="Q201" i="16"/>
  <c r="T196" i="16"/>
  <c r="R202" i="16"/>
  <c r="D201" i="16"/>
  <c r="W196" i="16"/>
  <c r="F197" i="16"/>
  <c r="H203" i="16"/>
  <c r="K198" i="16"/>
  <c r="K202" i="16"/>
  <c r="Y196" i="16"/>
  <c r="Y200" i="16"/>
  <c r="I198" i="16"/>
  <c r="L201" i="16"/>
  <c r="R203" i="16"/>
  <c r="D198" i="16"/>
  <c r="H202" i="16"/>
  <c r="N196" i="16"/>
  <c r="P202" i="16"/>
  <c r="S197" i="16"/>
  <c r="S201" i="16"/>
  <c r="Q194" i="16"/>
  <c r="G195" i="16"/>
  <c r="G199" i="16"/>
  <c r="G203" i="16"/>
  <c r="K199" i="16"/>
  <c r="R194" i="16"/>
  <c r="S199" i="16"/>
  <c r="C196" i="16"/>
  <c r="K200" i="16"/>
  <c r="E196" i="16"/>
  <c r="B201" i="16"/>
  <c r="Q196" i="16"/>
  <c r="Q200" i="16"/>
  <c r="W194" i="16"/>
  <c r="T199" i="16"/>
  <c r="T203" i="16"/>
  <c r="J195" i="16"/>
  <c r="Y198" i="16"/>
  <c r="B196" i="16"/>
  <c r="F200" i="16"/>
  <c r="M195" i="16"/>
  <c r="J200" i="16"/>
  <c r="Y195" i="16"/>
  <c r="Y199" i="16"/>
  <c r="Y203" i="16"/>
  <c r="BU120" i="16"/>
  <c r="BU21" i="16"/>
  <c r="BU73" i="16"/>
  <c r="L158" i="16"/>
  <c r="BU15" i="16"/>
  <c r="BU66" i="16"/>
  <c r="BU119" i="16"/>
  <c r="BU125" i="16"/>
  <c r="L154" i="16"/>
  <c r="BU122" i="16"/>
  <c r="BU121" i="16"/>
  <c r="BU65" i="16"/>
  <c r="BU68" i="16"/>
  <c r="BU70" i="16"/>
  <c r="BU16" i="16"/>
  <c r="BU18" i="16"/>
  <c r="BU64" i="16"/>
  <c r="BU116" i="16"/>
  <c r="BU123" i="16"/>
  <c r="BU14" i="16"/>
  <c r="BU72" i="16"/>
  <c r="BU13" i="16"/>
  <c r="BU17" i="16"/>
  <c r="BU20" i="16"/>
  <c r="L54" i="16"/>
  <c r="C43" i="17"/>
  <c r="D43" i="17"/>
  <c r="L154" i="18"/>
  <c r="L150" i="18"/>
  <c r="J256" i="18"/>
  <c r="G284" i="18"/>
  <c r="I284" i="18"/>
  <c r="AG284" i="18" s="1"/>
  <c r="H284" i="18"/>
  <c r="F284" i="18"/>
  <c r="J258" i="18"/>
  <c r="I286" i="18"/>
  <c r="AG286" i="18" s="1"/>
  <c r="G286" i="18"/>
  <c r="AE286" i="18" s="1"/>
  <c r="H286" i="18"/>
  <c r="F286" i="18"/>
  <c r="J260" i="18"/>
  <c r="G288" i="18"/>
  <c r="AE288" i="18" s="1"/>
  <c r="I288" i="18"/>
  <c r="H288" i="18"/>
  <c r="F288" i="18"/>
  <c r="J262" i="18"/>
  <c r="I290" i="18"/>
  <c r="H290" i="18"/>
  <c r="G290" i="18"/>
  <c r="F290" i="18"/>
  <c r="AD290" i="18" s="1"/>
  <c r="J264" i="18"/>
  <c r="H292" i="18"/>
  <c r="I292" i="18"/>
  <c r="G292" i="18"/>
  <c r="F292" i="18"/>
  <c r="BU69" i="18"/>
  <c r="L102" i="18"/>
  <c r="P284" i="18"/>
  <c r="O284" i="18"/>
  <c r="Q284" i="18"/>
  <c r="N284" i="18"/>
  <c r="N286" i="18"/>
  <c r="P286" i="18"/>
  <c r="N288" i="18"/>
  <c r="P288" i="18"/>
  <c r="Q288" i="18"/>
  <c r="O288" i="18"/>
  <c r="N290" i="18"/>
  <c r="P290" i="18"/>
  <c r="Q290" i="18"/>
  <c r="O292" i="18"/>
  <c r="P292" i="18"/>
  <c r="Q292" i="18"/>
  <c r="N292" i="18"/>
  <c r="BU116" i="18"/>
  <c r="U285" i="18"/>
  <c r="R285" i="18"/>
  <c r="T285" i="18"/>
  <c r="S287" i="18"/>
  <c r="T287" i="18"/>
  <c r="R287" i="18"/>
  <c r="U287" i="18"/>
  <c r="T289" i="18"/>
  <c r="R289" i="18"/>
  <c r="U289" i="18"/>
  <c r="S291" i="18"/>
  <c r="T291" i="18"/>
  <c r="R291" i="18"/>
  <c r="U291" i="18"/>
  <c r="S293" i="18"/>
  <c r="R293" i="18"/>
  <c r="U293" i="18"/>
  <c r="E257" i="18"/>
  <c r="E285" i="18"/>
  <c r="C285" i="18"/>
  <c r="D285" i="18"/>
  <c r="B285" i="18"/>
  <c r="Z285" i="18" s="1"/>
  <c r="E259" i="18"/>
  <c r="B287" i="18"/>
  <c r="D287" i="18"/>
  <c r="AB287" i="18" s="1"/>
  <c r="E287" i="18"/>
  <c r="AC287" i="18" s="1"/>
  <c r="C287" i="18"/>
  <c r="E261" i="18"/>
  <c r="C289" i="18"/>
  <c r="D289" i="18"/>
  <c r="B289" i="18"/>
  <c r="Z289" i="18" s="1"/>
  <c r="E289" i="18"/>
  <c r="E263" i="18"/>
  <c r="D291" i="18"/>
  <c r="AB291" i="18" s="1"/>
  <c r="E291" i="18"/>
  <c r="C291" i="18"/>
  <c r="B291" i="18"/>
  <c r="E265" i="18"/>
  <c r="D293" i="18"/>
  <c r="C293" i="18"/>
  <c r="B293" i="18"/>
  <c r="E293" i="18"/>
  <c r="AC293" i="18" s="1"/>
  <c r="BU120" i="18"/>
  <c r="L106" i="18"/>
  <c r="J285" i="18"/>
  <c r="L285" i="18"/>
  <c r="M285" i="18"/>
  <c r="K285" i="18"/>
  <c r="M287" i="18"/>
  <c r="K287" i="18"/>
  <c r="J287" i="18"/>
  <c r="M289" i="18"/>
  <c r="J289" i="18"/>
  <c r="K289" i="18"/>
  <c r="L289" i="18"/>
  <c r="J291" i="18"/>
  <c r="K291" i="18"/>
  <c r="M291" i="18"/>
  <c r="K293" i="18"/>
  <c r="M293" i="18"/>
  <c r="J293" i="18"/>
  <c r="L293" i="18"/>
  <c r="Y285" i="18"/>
  <c r="X285" i="18"/>
  <c r="V285" i="18"/>
  <c r="W287" i="18"/>
  <c r="X287" i="18"/>
  <c r="Y287" i="18"/>
  <c r="V287" i="18"/>
  <c r="X289" i="18"/>
  <c r="V289" i="18"/>
  <c r="Y289" i="18"/>
  <c r="Y291" i="18"/>
  <c r="W291" i="18"/>
  <c r="X291" i="18"/>
  <c r="V291" i="18"/>
  <c r="V293" i="18"/>
  <c r="X293" i="18"/>
  <c r="Y293" i="18"/>
  <c r="W293" i="18"/>
  <c r="J257" i="18"/>
  <c r="I285" i="18"/>
  <c r="AG285" i="18" s="1"/>
  <c r="G285" i="18"/>
  <c r="H285" i="18"/>
  <c r="F285" i="18"/>
  <c r="AD285" i="18" s="1"/>
  <c r="J259" i="18"/>
  <c r="F287" i="18"/>
  <c r="H287" i="18"/>
  <c r="I287" i="18"/>
  <c r="G287" i="18"/>
  <c r="J261" i="18"/>
  <c r="I289" i="18"/>
  <c r="G289" i="18"/>
  <c r="H289" i="18"/>
  <c r="AF289" i="18" s="1"/>
  <c r="F289" i="18"/>
  <c r="J263" i="18"/>
  <c r="I291" i="18"/>
  <c r="H291" i="18"/>
  <c r="AF291" i="18" s="1"/>
  <c r="F291" i="18"/>
  <c r="AD291" i="18" s="1"/>
  <c r="G291" i="18"/>
  <c r="J265" i="18"/>
  <c r="I293" i="18"/>
  <c r="H293" i="18"/>
  <c r="AF293" i="18" s="1"/>
  <c r="G293" i="18"/>
  <c r="F293" i="18"/>
  <c r="O285" i="18"/>
  <c r="P285" i="18"/>
  <c r="Q285" i="18"/>
  <c r="Q287" i="18"/>
  <c r="N287" i="18"/>
  <c r="O287" i="18"/>
  <c r="P289" i="18"/>
  <c r="O289" i="18"/>
  <c r="Q289" i="18"/>
  <c r="O291" i="18"/>
  <c r="Q291" i="18"/>
  <c r="N291" i="18"/>
  <c r="N293" i="18"/>
  <c r="O293" i="18"/>
  <c r="P293" i="18"/>
  <c r="R284" i="18"/>
  <c r="U284" i="18"/>
  <c r="S284" i="18"/>
  <c r="T284" i="18"/>
  <c r="U286" i="18"/>
  <c r="R286" i="18"/>
  <c r="S286" i="18"/>
  <c r="S288" i="18"/>
  <c r="T288" i="18"/>
  <c r="R288" i="18"/>
  <c r="U288" i="18"/>
  <c r="R290" i="18"/>
  <c r="S290" i="18"/>
  <c r="U290" i="18"/>
  <c r="R292" i="18"/>
  <c r="S292" i="18"/>
  <c r="U292" i="18"/>
  <c r="T292" i="18"/>
  <c r="N289" i="18"/>
  <c r="E256" i="18"/>
  <c r="B284" i="18"/>
  <c r="D284" i="18"/>
  <c r="E284" i="18"/>
  <c r="AC284" i="18" s="1"/>
  <c r="C284" i="18"/>
  <c r="E258" i="18"/>
  <c r="D286" i="18"/>
  <c r="AB286" i="18" s="1"/>
  <c r="E286" i="18"/>
  <c r="C286" i="18"/>
  <c r="B286" i="18"/>
  <c r="E260" i="18"/>
  <c r="D288" i="18"/>
  <c r="AB288" i="18" s="1"/>
  <c r="E288" i="18"/>
  <c r="B288" i="18"/>
  <c r="C288" i="18"/>
  <c r="E262" i="18"/>
  <c r="D290" i="18"/>
  <c r="C290" i="18"/>
  <c r="AA290" i="18" s="1"/>
  <c r="E290" i="18"/>
  <c r="AC290" i="18" s="1"/>
  <c r="B290" i="18"/>
  <c r="Z290" i="18" s="1"/>
  <c r="E264" i="18"/>
  <c r="D292" i="18"/>
  <c r="C292" i="18"/>
  <c r="B292" i="18"/>
  <c r="Z292" i="18" s="1"/>
  <c r="E292" i="18"/>
  <c r="I55" i="18"/>
  <c r="I51" i="18"/>
  <c r="I47" i="18"/>
  <c r="J284" i="18"/>
  <c r="K284" i="18"/>
  <c r="L284" i="18"/>
  <c r="M286" i="18"/>
  <c r="J286" i="18"/>
  <c r="L286" i="18"/>
  <c r="J288" i="18"/>
  <c r="K288" i="18"/>
  <c r="L288" i="18"/>
  <c r="M288" i="18"/>
  <c r="J290" i="18"/>
  <c r="L290" i="18"/>
  <c r="M290" i="18"/>
  <c r="M292" i="18"/>
  <c r="J292" i="18"/>
  <c r="K292" i="18"/>
  <c r="L292" i="18"/>
  <c r="P287" i="18"/>
  <c r="Q293" i="18"/>
  <c r="O290" i="18"/>
  <c r="Y284" i="18"/>
  <c r="V284" i="18"/>
  <c r="W284" i="18"/>
  <c r="X284" i="18"/>
  <c r="W286" i="18"/>
  <c r="Y286" i="18"/>
  <c r="V286" i="18"/>
  <c r="V288" i="18"/>
  <c r="X288" i="18"/>
  <c r="W288" i="18"/>
  <c r="Y288" i="18"/>
  <c r="Y290" i="18"/>
  <c r="V290" i="18"/>
  <c r="W290" i="18"/>
  <c r="V292" i="18"/>
  <c r="W292" i="18"/>
  <c r="X292" i="18"/>
  <c r="L50" i="16"/>
  <c r="L98" i="16"/>
  <c r="L106" i="16"/>
  <c r="I155" i="16"/>
  <c r="I159" i="16"/>
  <c r="I151" i="16"/>
  <c r="BU12" i="16"/>
  <c r="G290" i="15"/>
  <c r="F290" i="15"/>
  <c r="I290" i="15"/>
  <c r="I285" i="15"/>
  <c r="F285" i="15"/>
  <c r="H285" i="15"/>
  <c r="AF285" i="15" s="1"/>
  <c r="B290" i="15"/>
  <c r="D290" i="15"/>
  <c r="E290" i="15"/>
  <c r="I284" i="15"/>
  <c r="H284" i="15"/>
  <c r="G284" i="15"/>
  <c r="B291" i="15"/>
  <c r="E291" i="15"/>
  <c r="C291" i="15"/>
  <c r="K293" i="15"/>
  <c r="J293" i="15"/>
  <c r="M293" i="15"/>
  <c r="P290" i="15"/>
  <c r="Q290" i="15"/>
  <c r="N290" i="15"/>
  <c r="O290" i="15"/>
  <c r="Q285" i="15"/>
  <c r="N285" i="15"/>
  <c r="O285" i="15"/>
  <c r="K286" i="15"/>
  <c r="AA286" i="15" s="1"/>
  <c r="J286" i="15"/>
  <c r="M286" i="15"/>
  <c r="L286" i="15"/>
  <c r="J287" i="15"/>
  <c r="M287" i="15"/>
  <c r="L287" i="15"/>
  <c r="K287" i="15"/>
  <c r="S292" i="15"/>
  <c r="T292" i="15"/>
  <c r="R292" i="15"/>
  <c r="D291" i="15"/>
  <c r="G285" i="15"/>
  <c r="B293" i="15"/>
  <c r="D293" i="15"/>
  <c r="C293" i="15"/>
  <c r="E293" i="15"/>
  <c r="AC293" i="15" s="1"/>
  <c r="J261" i="15"/>
  <c r="I289" i="15"/>
  <c r="F289" i="15"/>
  <c r="H289" i="15"/>
  <c r="D286" i="15"/>
  <c r="B286" i="15"/>
  <c r="E286" i="15"/>
  <c r="J260" i="15"/>
  <c r="I288" i="15"/>
  <c r="H288" i="15"/>
  <c r="G288" i="15"/>
  <c r="AE288" i="15" s="1"/>
  <c r="B287" i="15"/>
  <c r="Z287" i="15" s="1"/>
  <c r="E287" i="15"/>
  <c r="AC287" i="15" s="1"/>
  <c r="C287" i="15"/>
  <c r="K289" i="15"/>
  <c r="J289" i="15"/>
  <c r="M289" i="15"/>
  <c r="K290" i="15"/>
  <c r="M290" i="15"/>
  <c r="J290" i="15"/>
  <c r="L290" i="15"/>
  <c r="Q289" i="15"/>
  <c r="O289" i="15"/>
  <c r="N289" i="15"/>
  <c r="O287" i="15"/>
  <c r="P287" i="15"/>
  <c r="Q287" i="15"/>
  <c r="N284" i="15"/>
  <c r="P284" i="15"/>
  <c r="Q284" i="15"/>
  <c r="T290" i="15"/>
  <c r="U290" i="15"/>
  <c r="R290" i="15"/>
  <c r="O284" i="15"/>
  <c r="D287" i="15"/>
  <c r="D289" i="15"/>
  <c r="C289" i="15"/>
  <c r="B289" i="15"/>
  <c r="E289" i="15"/>
  <c r="J265" i="15"/>
  <c r="I293" i="15"/>
  <c r="H293" i="15"/>
  <c r="AF293" i="15" s="1"/>
  <c r="F293" i="15"/>
  <c r="B292" i="15"/>
  <c r="D292" i="15"/>
  <c r="E292" i="15"/>
  <c r="C292" i="15"/>
  <c r="I292" i="15"/>
  <c r="H292" i="15"/>
  <c r="G292" i="15"/>
  <c r="AE292" i="15" s="1"/>
  <c r="J259" i="15"/>
  <c r="G287" i="15"/>
  <c r="F287" i="15"/>
  <c r="I287" i="15"/>
  <c r="H287" i="15"/>
  <c r="J285" i="15"/>
  <c r="K285" i="15"/>
  <c r="M285" i="15"/>
  <c r="L292" i="15"/>
  <c r="M292" i="15"/>
  <c r="J292" i="15"/>
  <c r="Q293" i="15"/>
  <c r="O293" i="15"/>
  <c r="AE293" i="15" s="1"/>
  <c r="N293" i="15"/>
  <c r="P291" i="15"/>
  <c r="O291" i="15"/>
  <c r="Q291" i="15"/>
  <c r="Q288" i="15"/>
  <c r="N288" i="15"/>
  <c r="AD288" i="15" s="1"/>
  <c r="P288" i="15"/>
  <c r="K292" i="15"/>
  <c r="L293" i="15"/>
  <c r="H290" i="15"/>
  <c r="AF290" i="15" s="1"/>
  <c r="P289" i="15"/>
  <c r="F284" i="15"/>
  <c r="AD284" i="15" s="1"/>
  <c r="C285" i="15"/>
  <c r="D285" i="15"/>
  <c r="AB285" i="15" s="1"/>
  <c r="B285" i="15"/>
  <c r="E285" i="15"/>
  <c r="E284" i="15"/>
  <c r="D284" i="15"/>
  <c r="C284" i="15"/>
  <c r="AA284" i="15" s="1"/>
  <c r="B288" i="15"/>
  <c r="E288" i="15"/>
  <c r="D288" i="15"/>
  <c r="C288" i="15"/>
  <c r="F286" i="15"/>
  <c r="G286" i="15"/>
  <c r="I286" i="15"/>
  <c r="J263" i="15"/>
  <c r="I291" i="15"/>
  <c r="G291" i="15"/>
  <c r="F291" i="15"/>
  <c r="AD291" i="15" s="1"/>
  <c r="H291" i="15"/>
  <c r="P286" i="15"/>
  <c r="AF286" i="15" s="1"/>
  <c r="O286" i="15"/>
  <c r="N286" i="15"/>
  <c r="Q286" i="15"/>
  <c r="L288" i="15"/>
  <c r="M288" i="15"/>
  <c r="J288" i="15"/>
  <c r="M284" i="15"/>
  <c r="L284" i="15"/>
  <c r="J284" i="15"/>
  <c r="L291" i="15"/>
  <c r="M291" i="15"/>
  <c r="J291" i="15"/>
  <c r="K291" i="15"/>
  <c r="N292" i="15"/>
  <c r="AD292" i="15" s="1"/>
  <c r="Q292" i="15"/>
  <c r="P292" i="15"/>
  <c r="G289" i="15"/>
  <c r="S290" i="15"/>
  <c r="N287" i="15"/>
  <c r="K288" i="15"/>
  <c r="L289" i="15"/>
  <c r="J262" i="15"/>
  <c r="J257" i="15"/>
  <c r="J256" i="15"/>
  <c r="J264" i="15"/>
  <c r="J258" i="15"/>
  <c r="BU18" i="15"/>
  <c r="E256" i="15"/>
  <c r="E260" i="15"/>
  <c r="E264" i="15"/>
  <c r="E257" i="15"/>
  <c r="E261" i="15"/>
  <c r="E265" i="15"/>
  <c r="E258" i="15"/>
  <c r="E262" i="15"/>
  <c r="E259" i="15"/>
  <c r="E263" i="15"/>
  <c r="BU124" i="15"/>
  <c r="L102" i="15"/>
  <c r="L98" i="15"/>
  <c r="BU15" i="15"/>
  <c r="BU66" i="15"/>
  <c r="BU21" i="15"/>
  <c r="BU117" i="15"/>
  <c r="BU13" i="15"/>
  <c r="BU72" i="15"/>
  <c r="BU120" i="15"/>
  <c r="BU12" i="15"/>
  <c r="BU68" i="15"/>
  <c r="BU64" i="15"/>
  <c r="BU116" i="15"/>
  <c r="BU123" i="15"/>
  <c r="BU65" i="15"/>
  <c r="BU73" i="15"/>
  <c r="BU67" i="15"/>
  <c r="BU125" i="15"/>
  <c r="BU16" i="15"/>
  <c r="BU121" i="15"/>
  <c r="BU69" i="15"/>
  <c r="BU70" i="15"/>
  <c r="BU17" i="15"/>
  <c r="BU20" i="15"/>
  <c r="BU118" i="15"/>
  <c r="BU19" i="15"/>
  <c r="L150" i="15"/>
  <c r="BU14" i="15"/>
  <c r="L154" i="15"/>
  <c r="BU122" i="15"/>
  <c r="L46" i="15"/>
  <c r="BU71" i="15"/>
  <c r="L50" i="15"/>
  <c r="I103" i="15"/>
  <c r="I99" i="15"/>
  <c r="I107" i="15"/>
  <c r="D149" i="14"/>
  <c r="C156" i="14"/>
  <c r="C152" i="14"/>
  <c r="C164" i="14"/>
  <c r="C177" i="14" s="1"/>
  <c r="C203" i="14" s="1"/>
  <c r="C158" i="14"/>
  <c r="D150" i="14"/>
  <c r="B157" i="14"/>
  <c r="C149" i="14"/>
  <c r="C162" i="14" s="1"/>
  <c r="C175" i="14" s="1"/>
  <c r="C201" i="14" s="1"/>
  <c r="D157" i="14"/>
  <c r="B150" i="14"/>
  <c r="B155" i="14"/>
  <c r="C154" i="14"/>
  <c r="B153" i="14"/>
  <c r="B158" i="14"/>
  <c r="C153" i="14"/>
  <c r="C155" i="14"/>
  <c r="D158" i="14"/>
  <c r="B152" i="14"/>
  <c r="D152" i="14"/>
  <c r="B156" i="14"/>
  <c r="B154" i="14"/>
  <c r="C157" i="14"/>
  <c r="L42" i="13"/>
  <c r="AI215" i="12"/>
  <c r="AI212" i="12"/>
  <c r="AK213" i="12"/>
  <c r="AM213" i="12" s="1"/>
  <c r="AM211" i="12"/>
  <c r="AN211" i="12" s="1"/>
  <c r="AH212" i="12"/>
  <c r="AL212" i="12" s="1"/>
  <c r="Z202" i="12"/>
  <c r="AD202" i="12" s="1"/>
  <c r="AK216" i="12"/>
  <c r="AH216" i="12"/>
  <c r="AC198" i="12"/>
  <c r="AE196" i="12"/>
  <c r="AE200" i="12"/>
  <c r="AF202" i="12"/>
  <c r="AI216" i="12"/>
  <c r="AJ216" i="12"/>
  <c r="AM216" i="12" s="1"/>
  <c r="AC194" i="12"/>
  <c r="AE194" i="12" s="1"/>
  <c r="AF194" i="12" s="1"/>
  <c r="AC199" i="12"/>
  <c r="AE199" i="12" s="1"/>
  <c r="AE198" i="12"/>
  <c r="AD194" i="12"/>
  <c r="AL208" i="12"/>
  <c r="AF196" i="12"/>
  <c r="AD199" i="12"/>
  <c r="AD197" i="12"/>
  <c r="I106" i="12"/>
  <c r="I102" i="12"/>
  <c r="I98" i="12"/>
  <c r="AA200" i="12"/>
  <c r="AK208" i="12"/>
  <c r="AM208" i="12" s="1"/>
  <c r="W193" i="12"/>
  <c r="AB193" i="12" s="1"/>
  <c r="AE193" i="12" s="1"/>
  <c r="AF193" i="12" s="1"/>
  <c r="AE197" i="12"/>
  <c r="AB201" i="12"/>
  <c r="AE201" i="12" s="1"/>
  <c r="AH215" i="12"/>
  <c r="AL215" i="12" s="1"/>
  <c r="AN215" i="12" s="1"/>
  <c r="AD200" i="12"/>
  <c r="AF200" i="12" s="1"/>
  <c r="AF198" i="12"/>
  <c r="AD201" i="12"/>
  <c r="AF195" i="12"/>
  <c r="AE207" i="12"/>
  <c r="AJ207" i="12" s="1"/>
  <c r="AM207" i="12" s="1"/>
  <c r="AN207" i="12" s="1"/>
  <c r="AM215" i="12"/>
  <c r="AM212" i="12"/>
  <c r="AJ210" i="12"/>
  <c r="AM210" i="12" s="1"/>
  <c r="AM214" i="12"/>
  <c r="AI210" i="12"/>
  <c r="AL210" i="12" s="1"/>
  <c r="AH209" i="12"/>
  <c r="AL209" i="12" s="1"/>
  <c r="AN209" i="12" s="1"/>
  <c r="AI214" i="12"/>
  <c r="AL214" i="12" s="1"/>
  <c r="AN214" i="12" s="1"/>
  <c r="AH213" i="12"/>
  <c r="AL213" i="12" s="1"/>
  <c r="AK207" i="11"/>
  <c r="AI211" i="11"/>
  <c r="Z202" i="11"/>
  <c r="AB202" i="11"/>
  <c r="AC199" i="11"/>
  <c r="AE199" i="11" s="1"/>
  <c r="AA197" i="11"/>
  <c r="AE194" i="11"/>
  <c r="AH207" i="11"/>
  <c r="AL207" i="11" s="1"/>
  <c r="AI215" i="11"/>
  <c r="AL215" i="11" s="1"/>
  <c r="AA193" i="11"/>
  <c r="AD193" i="11" s="1"/>
  <c r="AH209" i="11"/>
  <c r="AK216" i="11"/>
  <c r="AM216" i="11" s="1"/>
  <c r="AI216" i="11"/>
  <c r="AL216" i="11" s="1"/>
  <c r="AJ215" i="11"/>
  <c r="BU116" i="11"/>
  <c r="BU63" i="11"/>
  <c r="L101" i="11"/>
  <c r="AK215" i="11"/>
  <c r="Z201" i="11"/>
  <c r="L105" i="11"/>
  <c r="AA195" i="11"/>
  <c r="AD195" i="11" s="1"/>
  <c r="AB201" i="11"/>
  <c r="AE201" i="11" s="1"/>
  <c r="BU122" i="11"/>
  <c r="AC200" i="11"/>
  <c r="AE200" i="11" s="1"/>
  <c r="AA201" i="11"/>
  <c r="BU66" i="11"/>
  <c r="L53" i="11"/>
  <c r="BU18" i="11"/>
  <c r="L45" i="11"/>
  <c r="AC193" i="11"/>
  <c r="AL212" i="11"/>
  <c r="AA202" i="11"/>
  <c r="AD202" i="11" s="1"/>
  <c r="BU118" i="11"/>
  <c r="BU13" i="11"/>
  <c r="BU67" i="11"/>
  <c r="BU71" i="11"/>
  <c r="AC195" i="11"/>
  <c r="AE195" i="11" s="1"/>
  <c r="AF195" i="11" s="1"/>
  <c r="AE202" i="11"/>
  <c r="AK208" i="11"/>
  <c r="AM208" i="11" s="1"/>
  <c r="AK209" i="11"/>
  <c r="AM209" i="11" s="1"/>
  <c r="AE196" i="11"/>
  <c r="AD200" i="11"/>
  <c r="AM214" i="11"/>
  <c r="AJ207" i="11"/>
  <c r="AH211" i="11"/>
  <c r="AC198" i="11"/>
  <c r="AE198" i="11" s="1"/>
  <c r="BU120" i="11"/>
  <c r="AM213" i="11"/>
  <c r="AD196" i="11"/>
  <c r="AA198" i="11"/>
  <c r="AD198" i="11" s="1"/>
  <c r="AA194" i="11"/>
  <c r="AD194" i="11" s="1"/>
  <c r="AF194" i="11" s="1"/>
  <c r="AA199" i="11"/>
  <c r="AD199" i="11" s="1"/>
  <c r="AB193" i="11"/>
  <c r="Z197" i="11"/>
  <c r="AL214" i="11"/>
  <c r="AN214" i="11" s="1"/>
  <c r="AI208" i="11"/>
  <c r="AL208" i="11" s="1"/>
  <c r="AI213" i="11"/>
  <c r="AL213" i="11" s="1"/>
  <c r="BU14" i="11"/>
  <c r="AM210" i="11"/>
  <c r="BU65" i="11"/>
  <c r="AE197" i="11"/>
  <c r="AI209" i="11"/>
  <c r="AK212" i="11"/>
  <c r="AM212" i="11" s="1"/>
  <c r="AN212" i="11" s="1"/>
  <c r="I54" i="11"/>
  <c r="I50" i="11"/>
  <c r="I46" i="11"/>
  <c r="AM211" i="11"/>
  <c r="AL210" i="11"/>
  <c r="AN212" i="10"/>
  <c r="AN210" i="10"/>
  <c r="AN207" i="10"/>
  <c r="AE195" i="10"/>
  <c r="AC199" i="10"/>
  <c r="AD197" i="10"/>
  <c r="AC196" i="10"/>
  <c r="AE196" i="10" s="1"/>
  <c r="AF196" i="10" s="1"/>
  <c r="AN214" i="10"/>
  <c r="AE199" i="10"/>
  <c r="AE193" i="10"/>
  <c r="AF193" i="10" s="1"/>
  <c r="AF199" i="10"/>
  <c r="AF195" i="10"/>
  <c r="AE192" i="10"/>
  <c r="AF192" i="10" s="1"/>
  <c r="AE200" i="10"/>
  <c r="AF200" i="10" s="1"/>
  <c r="AE194" i="10"/>
  <c r="AF194" i="10" s="1"/>
  <c r="AE191" i="10"/>
  <c r="AF191" i="10" s="1"/>
  <c r="AE198" i="10"/>
  <c r="AF198" i="10" s="1"/>
  <c r="AE197" i="10"/>
  <c r="AF197" i="10" s="1"/>
  <c r="BS14" i="10"/>
  <c r="BT11" i="10"/>
  <c r="J50" i="10"/>
  <c r="BS12" i="10"/>
  <c r="BT14" i="10"/>
  <c r="BU14" i="10" s="1"/>
  <c r="BU64" i="10"/>
  <c r="BT13" i="10"/>
  <c r="BU63" i="10"/>
  <c r="E46" i="10"/>
  <c r="BS20" i="10"/>
  <c r="BU20" i="10" s="1"/>
  <c r="BU16" i="10"/>
  <c r="BS15" i="10"/>
  <c r="BS13" i="10"/>
  <c r="BU13" i="10" s="1"/>
  <c r="BT20" i="10"/>
  <c r="BT15" i="10"/>
  <c r="BT18" i="10"/>
  <c r="BS11" i="10"/>
  <c r="BU11" i="10" s="1"/>
  <c r="BS17" i="10"/>
  <c r="BU17" i="10" s="1"/>
  <c r="BS18" i="10"/>
  <c r="BU19" i="10"/>
  <c r="BU15" i="10"/>
  <c r="BU12" i="10"/>
  <c r="J54" i="10"/>
  <c r="I26" i="10"/>
  <c r="E54" i="10"/>
  <c r="F50" i="7"/>
  <c r="BQ16" i="7"/>
  <c r="BQ14" i="7"/>
  <c r="BO14" i="7"/>
  <c r="BQ13" i="7"/>
  <c r="BO13" i="7"/>
  <c r="BR12" i="7"/>
  <c r="BP12" i="7"/>
  <c r="E46" i="7"/>
  <c r="BO8" i="7"/>
  <c r="E45" i="7"/>
  <c r="H47" i="7"/>
  <c r="H43" i="7"/>
  <c r="E47" i="7"/>
  <c r="G51" i="7"/>
  <c r="F51" i="7"/>
  <c r="K48" i="7"/>
  <c r="H50" i="7"/>
  <c r="H46" i="7"/>
  <c r="G50" i="7"/>
  <c r="BQ9" i="7"/>
  <c r="BO9" i="7"/>
  <c r="E49" i="7"/>
  <c r="G47" i="7"/>
  <c r="G46" i="7"/>
  <c r="L52" i="7"/>
  <c r="E41" i="7"/>
  <c r="L48" i="7"/>
  <c r="F47" i="7"/>
  <c r="F46" i="7"/>
  <c r="K52" i="7"/>
  <c r="BP17" i="7"/>
  <c r="L54" i="10"/>
  <c r="L50" i="10"/>
  <c r="L46" i="10"/>
  <c r="K54" i="10"/>
  <c r="K50" i="10"/>
  <c r="K46" i="10"/>
  <c r="H49" i="10"/>
  <c r="I53" i="10"/>
  <c r="J53" i="10"/>
  <c r="J49" i="10"/>
  <c r="J45" i="10"/>
  <c r="I49" i="10"/>
  <c r="I45" i="10"/>
  <c r="L25" i="10"/>
  <c r="L45" i="10" s="1"/>
  <c r="K53" i="10"/>
  <c r="K49" i="10"/>
  <c r="K45" i="10"/>
  <c r="H53" i="10"/>
  <c r="BR16" i="7"/>
  <c r="BT16" i="7" s="1"/>
  <c r="BP16" i="7"/>
  <c r="BQ17" i="7"/>
  <c r="BO17" i="7"/>
  <c r="BO16" i="7"/>
  <c r="BP11" i="7"/>
  <c r="BR10" i="7"/>
  <c r="BP10" i="7"/>
  <c r="BQ12" i="7"/>
  <c r="BT12" i="7" s="1"/>
  <c r="BO12" i="7"/>
  <c r="BQ11" i="7"/>
  <c r="BO11" i="7"/>
  <c r="BQ10" i="7"/>
  <c r="BO10" i="7"/>
  <c r="BR15" i="7"/>
  <c r="BP15" i="7"/>
  <c r="BQ15" i="7"/>
  <c r="BO15" i="7"/>
  <c r="BR9" i="7"/>
  <c r="BP9" i="7"/>
  <c r="BR14" i="7"/>
  <c r="BT14" i="7" s="1"/>
  <c r="BP14" i="7"/>
  <c r="BR13" i="7"/>
  <c r="BT13" i="7" s="1"/>
  <c r="BP13" i="7"/>
  <c r="BR11" i="7"/>
  <c r="BR8" i="7"/>
  <c r="BT8" i="7" s="1"/>
  <c r="BP8" i="7"/>
  <c r="BR17" i="7"/>
  <c r="J48" i="7"/>
  <c r="I48" i="7"/>
  <c r="J52" i="7"/>
  <c r="F41" i="7"/>
  <c r="K44" i="7"/>
  <c r="G43" i="7"/>
  <c r="G42" i="7"/>
  <c r="F45" i="7"/>
  <c r="G41" i="7"/>
  <c r="J44" i="7"/>
  <c r="F43" i="7"/>
  <c r="F42" i="7"/>
  <c r="G45" i="7"/>
  <c r="H42" i="7"/>
  <c r="I44" i="7"/>
  <c r="E43" i="7"/>
  <c r="E42" i="7"/>
  <c r="E30" i="7"/>
  <c r="J21" i="7"/>
  <c r="E31" i="7"/>
  <c r="K21" i="7"/>
  <c r="K28" i="7"/>
  <c r="K22" i="7"/>
  <c r="K23" i="7"/>
  <c r="J28" i="7"/>
  <c r="J22" i="7"/>
  <c r="K29" i="7"/>
  <c r="L29" i="7" s="1"/>
  <c r="K30" i="7"/>
  <c r="L30" i="7" s="1"/>
  <c r="K31" i="7"/>
  <c r="L31" i="7" s="1"/>
  <c r="J23" i="7"/>
  <c r="G9" i="8"/>
  <c r="J10" i="8"/>
  <c r="I3" i="8"/>
  <c r="G4" i="8"/>
  <c r="J5" i="8"/>
  <c r="K5" i="8" s="1"/>
  <c r="D4" i="8"/>
  <c r="I5" i="8"/>
  <c r="H5" i="8" s="1"/>
  <c r="J3" i="8"/>
  <c r="K3" i="8" s="1"/>
  <c r="J88" i="5"/>
  <c r="K88" i="5" s="1"/>
  <c r="J89" i="5"/>
  <c r="K89" i="5" s="1"/>
  <c r="J90" i="5"/>
  <c r="K90" i="5" s="1"/>
  <c r="J91" i="5"/>
  <c r="K91" i="5" s="1"/>
  <c r="J92" i="5"/>
  <c r="K92" i="5" s="1"/>
  <c r="J80" i="5"/>
  <c r="K80" i="5" s="1"/>
  <c r="J81" i="5"/>
  <c r="K81" i="5" s="1"/>
  <c r="J82" i="5"/>
  <c r="K82" i="5" s="1"/>
  <c r="J83" i="5"/>
  <c r="K83" i="5" s="1"/>
  <c r="J84" i="5"/>
  <c r="K84" i="5" s="1"/>
  <c r="J72" i="5"/>
  <c r="K72" i="5" s="1"/>
  <c r="J73" i="5"/>
  <c r="K73" i="5" s="1"/>
  <c r="J74" i="5"/>
  <c r="K74" i="5" s="1"/>
  <c r="J75" i="5"/>
  <c r="K75" i="5" s="1"/>
  <c r="J76" i="5"/>
  <c r="K76" i="5" s="1"/>
  <c r="J63" i="5"/>
  <c r="K63" i="5" s="1"/>
  <c r="J64" i="5"/>
  <c r="K64" i="5" s="1"/>
  <c r="J65" i="5"/>
  <c r="K65" i="5" s="1"/>
  <c r="J66" i="5"/>
  <c r="K66" i="5" s="1"/>
  <c r="J67" i="5"/>
  <c r="K67" i="5" s="1"/>
  <c r="J55" i="5"/>
  <c r="K55" i="5" s="1"/>
  <c r="J56" i="5"/>
  <c r="K56" i="5" s="1"/>
  <c r="J57" i="5"/>
  <c r="K57" i="5" s="1"/>
  <c r="J58" i="5"/>
  <c r="K58" i="5" s="1"/>
  <c r="J59" i="5"/>
  <c r="K59" i="5" s="1"/>
  <c r="J47" i="5"/>
  <c r="K47" i="5" s="1"/>
  <c r="J48" i="5"/>
  <c r="K48" i="5" s="1"/>
  <c r="J49" i="5"/>
  <c r="K49" i="5" s="1"/>
  <c r="J50" i="5"/>
  <c r="K50" i="5" s="1"/>
  <c r="J51" i="5"/>
  <c r="K51" i="5" s="1"/>
  <c r="J39" i="5"/>
  <c r="K39" i="5" s="1"/>
  <c r="J40" i="5"/>
  <c r="K40" i="5" s="1"/>
  <c r="J41" i="5"/>
  <c r="K41" i="5" s="1"/>
  <c r="J42" i="5"/>
  <c r="K42" i="5" s="1"/>
  <c r="J43" i="5"/>
  <c r="K43" i="5" s="1"/>
  <c r="J29" i="5"/>
  <c r="K29" i="5" s="1"/>
  <c r="J30" i="5"/>
  <c r="K30" i="5" s="1"/>
  <c r="J31" i="5"/>
  <c r="K31" i="5" s="1"/>
  <c r="J32" i="5"/>
  <c r="K32" i="5" s="1"/>
  <c r="J33" i="5"/>
  <c r="K33" i="5" s="1"/>
  <c r="J21" i="5"/>
  <c r="K21" i="5" s="1"/>
  <c r="J22" i="5"/>
  <c r="K22" i="5" s="1"/>
  <c r="J23" i="5"/>
  <c r="K23" i="5" s="1"/>
  <c r="J24" i="5"/>
  <c r="K24" i="5" s="1"/>
  <c r="J25" i="5"/>
  <c r="K25" i="5" s="1"/>
  <c r="J13" i="5"/>
  <c r="K13" i="5" s="1"/>
  <c r="J14" i="5"/>
  <c r="K14" i="5" s="1"/>
  <c r="J15" i="5"/>
  <c r="K15" i="5" s="1"/>
  <c r="J16" i="5"/>
  <c r="K16" i="5" s="1"/>
  <c r="J17" i="5"/>
  <c r="K17" i="5" s="1"/>
  <c r="D181" i="19" l="1"/>
  <c r="C183" i="19"/>
  <c r="D182" i="19"/>
  <c r="D186" i="19"/>
  <c r="B181" i="19"/>
  <c r="C188" i="19"/>
  <c r="B187" i="19"/>
  <c r="C181" i="19"/>
  <c r="C194" i="19" s="1"/>
  <c r="C202" i="19"/>
  <c r="C215" i="19" s="1"/>
  <c r="C241" i="19" s="1"/>
  <c r="B202" i="19"/>
  <c r="B215" i="19" s="1"/>
  <c r="B241" i="19" s="1"/>
  <c r="D202" i="19"/>
  <c r="D215" i="19" s="1"/>
  <c r="D241" i="19" s="1"/>
  <c r="D188" i="19"/>
  <c r="D183" i="19"/>
  <c r="D187" i="19"/>
  <c r="C182" i="19"/>
  <c r="B185" i="19"/>
  <c r="B180" i="19"/>
  <c r="D184" i="19"/>
  <c r="C185" i="19"/>
  <c r="C198" i="19" s="1"/>
  <c r="C180" i="19"/>
  <c r="C207" i="19"/>
  <c r="C233" i="19" s="1"/>
  <c r="B183" i="19"/>
  <c r="C187" i="19"/>
  <c r="AC284" i="15"/>
  <c r="Z288" i="15"/>
  <c r="AD286" i="15"/>
  <c r="Z285" i="15"/>
  <c r="AF289" i="15"/>
  <c r="Z289" i="15"/>
  <c r="AG292" i="15"/>
  <c r="AD290" i="15"/>
  <c r="AC291" i="15"/>
  <c r="AE289" i="15"/>
  <c r="AB289" i="15"/>
  <c r="AG289" i="15"/>
  <c r="AK289" i="15" s="1"/>
  <c r="AE285" i="15"/>
  <c r="AB288" i="15"/>
  <c r="AA290" i="15"/>
  <c r="AE284" i="15"/>
  <c r="AJ284" i="15" s="1"/>
  <c r="AE291" i="15"/>
  <c r="AJ291" i="15" s="1"/>
  <c r="AC288" i="15"/>
  <c r="AI288" i="15" s="1"/>
  <c r="AB284" i="15"/>
  <c r="AI284" i="15" s="1"/>
  <c r="Z292" i="15"/>
  <c r="AA285" i="15"/>
  <c r="AG288" i="15"/>
  <c r="AA291" i="15"/>
  <c r="AA288" i="15"/>
  <c r="AH288" i="15" s="1"/>
  <c r="AG291" i="15"/>
  <c r="AE286" i="15"/>
  <c r="AG290" i="15"/>
  <c r="AK290" i="15" s="1"/>
  <c r="AF291" i="15"/>
  <c r="AD293" i="15"/>
  <c r="AG287" i="15"/>
  <c r="Z291" i="15"/>
  <c r="AD285" i="15"/>
  <c r="AE290" i="15"/>
  <c r="AC292" i="15"/>
  <c r="Z286" i="15"/>
  <c r="AH286" i="15" s="1"/>
  <c r="AA292" i="15"/>
  <c r="AH292" i="15" s="1"/>
  <c r="AA289" i="15"/>
  <c r="AH289" i="15" s="1"/>
  <c r="AC290" i="15"/>
  <c r="AB291" i="15"/>
  <c r="AI291" i="15" s="1"/>
  <c r="AG286" i="15"/>
  <c r="AK286" i="15" s="1"/>
  <c r="AC285" i="15"/>
  <c r="AI285" i="15" s="1"/>
  <c r="AF287" i="15"/>
  <c r="AK287" i="15" s="1"/>
  <c r="AA287" i="15"/>
  <c r="AH287" i="15" s="1"/>
  <c r="AF288" i="15"/>
  <c r="AB293" i="15"/>
  <c r="AI293" i="15" s="1"/>
  <c r="AB287" i="15"/>
  <c r="AI287" i="15" s="1"/>
  <c r="AC286" i="15"/>
  <c r="AA293" i="15"/>
  <c r="AB290" i="15"/>
  <c r="AG285" i="15"/>
  <c r="AK285" i="15" s="1"/>
  <c r="Z284" i="15"/>
  <c r="AH284" i="15" s="1"/>
  <c r="AD287" i="15"/>
  <c r="AF292" i="15"/>
  <c r="AK292" i="15" s="1"/>
  <c r="AB292" i="15"/>
  <c r="AI292" i="15" s="1"/>
  <c r="AG293" i="15"/>
  <c r="AK293" i="15" s="1"/>
  <c r="AE287" i="15"/>
  <c r="AJ287" i="15" s="1"/>
  <c r="AC289" i="15"/>
  <c r="AB286" i="15"/>
  <c r="Z293" i="15"/>
  <c r="AF284" i="15"/>
  <c r="Z290" i="15"/>
  <c r="G235" i="16"/>
  <c r="I235" i="16"/>
  <c r="C217" i="16"/>
  <c r="B217" i="16"/>
  <c r="D217" i="16"/>
  <c r="D237" i="16"/>
  <c r="C237" i="16"/>
  <c r="B237" i="16"/>
  <c r="C243" i="16"/>
  <c r="B243" i="16"/>
  <c r="G241" i="16"/>
  <c r="I241" i="16"/>
  <c r="H241" i="16"/>
  <c r="D235" i="16"/>
  <c r="C235" i="16"/>
  <c r="B235" i="16"/>
  <c r="B222" i="16"/>
  <c r="C255" i="16" s="1"/>
  <c r="D222" i="16"/>
  <c r="C222" i="16"/>
  <c r="D210" i="16"/>
  <c r="C210" i="16"/>
  <c r="B210" i="16"/>
  <c r="D229" i="16"/>
  <c r="C229" i="16"/>
  <c r="B229" i="16"/>
  <c r="I230" i="16"/>
  <c r="G230" i="16"/>
  <c r="H230" i="16"/>
  <c r="H226" i="16"/>
  <c r="G226" i="16"/>
  <c r="I226" i="16"/>
  <c r="I222" i="16"/>
  <c r="H222" i="16"/>
  <c r="G222" i="16"/>
  <c r="I229" i="16"/>
  <c r="H229" i="16"/>
  <c r="G229" i="16"/>
  <c r="H210" i="16"/>
  <c r="G210" i="16"/>
  <c r="I210" i="16"/>
  <c r="I245" i="16"/>
  <c r="H245" i="16"/>
  <c r="G245" i="16"/>
  <c r="D234" i="16"/>
  <c r="C234" i="16"/>
  <c r="B234" i="16"/>
  <c r="D211" i="16"/>
  <c r="B211" i="16"/>
  <c r="C211" i="16"/>
  <c r="C247" i="16"/>
  <c r="B247" i="16"/>
  <c r="D247" i="16"/>
  <c r="I221" i="16"/>
  <c r="H221" i="16"/>
  <c r="G221" i="16"/>
  <c r="D227" i="16"/>
  <c r="B227" i="16"/>
  <c r="D256" i="16" s="1"/>
  <c r="C227" i="16"/>
  <c r="G225" i="16"/>
  <c r="I225" i="16"/>
  <c r="H225" i="16"/>
  <c r="D219" i="16"/>
  <c r="C219" i="16"/>
  <c r="B219" i="16"/>
  <c r="G217" i="16"/>
  <c r="H217" i="16"/>
  <c r="I217" i="16"/>
  <c r="I237" i="16"/>
  <c r="H237" i="16"/>
  <c r="G237" i="16"/>
  <c r="C239" i="16"/>
  <c r="B239" i="16"/>
  <c r="D239" i="16"/>
  <c r="H243" i="16"/>
  <c r="G243" i="16"/>
  <c r="C233" i="16"/>
  <c r="B233" i="16"/>
  <c r="D233" i="16"/>
  <c r="D213" i="16"/>
  <c r="C213" i="16"/>
  <c r="B213" i="16"/>
  <c r="I219" i="16"/>
  <c r="H219" i="16"/>
  <c r="G219" i="16"/>
  <c r="G239" i="16"/>
  <c r="I259" i="16" s="1"/>
  <c r="H239" i="16"/>
  <c r="I239" i="16"/>
  <c r="B241" i="16"/>
  <c r="D241" i="16"/>
  <c r="C241" i="16"/>
  <c r="B214" i="16"/>
  <c r="C214" i="16"/>
  <c r="D214" i="16"/>
  <c r="H218" i="16"/>
  <c r="G218" i="16"/>
  <c r="I218" i="16"/>
  <c r="G247" i="16"/>
  <c r="I261" i="16" s="1"/>
  <c r="H247" i="16"/>
  <c r="I247" i="16"/>
  <c r="G209" i="16"/>
  <c r="I209" i="16"/>
  <c r="H209" i="16"/>
  <c r="H234" i="16"/>
  <c r="G234" i="16"/>
  <c r="I234" i="16"/>
  <c r="G231" i="16"/>
  <c r="H231" i="16"/>
  <c r="I231" i="16"/>
  <c r="H211" i="16"/>
  <c r="I211" i="16"/>
  <c r="G211" i="16"/>
  <c r="C223" i="16"/>
  <c r="B223" i="16"/>
  <c r="D223" i="16"/>
  <c r="H227" i="16"/>
  <c r="I227" i="16"/>
  <c r="G227" i="16"/>
  <c r="D221" i="16"/>
  <c r="B221" i="16"/>
  <c r="C221" i="16"/>
  <c r="B255" i="16" s="1"/>
  <c r="G223" i="16"/>
  <c r="I255" i="16" s="1"/>
  <c r="H223" i="16"/>
  <c r="I223" i="16"/>
  <c r="C225" i="16"/>
  <c r="B256" i="16" s="1"/>
  <c r="B225" i="16"/>
  <c r="D225" i="16"/>
  <c r="H235" i="16"/>
  <c r="I258" i="16" s="1"/>
  <c r="G233" i="16"/>
  <c r="H233" i="16"/>
  <c r="G258" i="16" s="1"/>
  <c r="I233" i="16"/>
  <c r="C245" i="16"/>
  <c r="D245" i="16"/>
  <c r="B245" i="16"/>
  <c r="D226" i="16"/>
  <c r="C226" i="16"/>
  <c r="B226" i="16"/>
  <c r="C256" i="16" s="1"/>
  <c r="C270" i="16" s="1"/>
  <c r="C284" i="16" s="1"/>
  <c r="I213" i="16"/>
  <c r="H213" i="16"/>
  <c r="G213" i="16"/>
  <c r="B238" i="16"/>
  <c r="D238" i="16"/>
  <c r="C238" i="16"/>
  <c r="I214" i="16"/>
  <c r="G214" i="16"/>
  <c r="H214" i="16"/>
  <c r="C231" i="16"/>
  <c r="B231" i="16"/>
  <c r="D231" i="16"/>
  <c r="C242" i="16"/>
  <c r="B242" i="16"/>
  <c r="D242" i="16"/>
  <c r="C215" i="16"/>
  <c r="B215" i="16"/>
  <c r="D215" i="16"/>
  <c r="G215" i="16"/>
  <c r="H215" i="16"/>
  <c r="I215" i="16"/>
  <c r="D218" i="16"/>
  <c r="C218" i="16"/>
  <c r="B218" i="16"/>
  <c r="C254" i="16" s="1"/>
  <c r="B230" i="16"/>
  <c r="C230" i="16"/>
  <c r="D230" i="16"/>
  <c r="I238" i="16"/>
  <c r="H238" i="16"/>
  <c r="G238" i="16"/>
  <c r="I246" i="16"/>
  <c r="H246" i="16"/>
  <c r="G246" i="16"/>
  <c r="B246" i="16"/>
  <c r="D246" i="16"/>
  <c r="C246" i="16"/>
  <c r="H242" i="16"/>
  <c r="G242" i="16"/>
  <c r="I242" i="16"/>
  <c r="C209" i="16"/>
  <c r="B252" i="16" s="1"/>
  <c r="B209" i="16"/>
  <c r="D209" i="16"/>
  <c r="AA292" i="18"/>
  <c r="AH292" i="18" s="1"/>
  <c r="AA288" i="18"/>
  <c r="AH288" i="18" s="1"/>
  <c r="AB284" i="18"/>
  <c r="AI284" i="18" s="1"/>
  <c r="AB292" i="18"/>
  <c r="AH290" i="18"/>
  <c r="AL290" i="18" s="1"/>
  <c r="Z288" i="18"/>
  <c r="Z286" i="18"/>
  <c r="Z284" i="18"/>
  <c r="AD293" i="18"/>
  <c r="AG291" i="18"/>
  <c r="AK291" i="18" s="1"/>
  <c r="AE289" i="18"/>
  <c r="AG287" i="18"/>
  <c r="Z293" i="18"/>
  <c r="Z291" i="18"/>
  <c r="AA289" i="18"/>
  <c r="AH289" i="18" s="1"/>
  <c r="AI287" i="18"/>
  <c r="AB285" i="18"/>
  <c r="AI285" i="18" s="1"/>
  <c r="AF292" i="18"/>
  <c r="AK292" i="18" s="1"/>
  <c r="AF290" i="18"/>
  <c r="AF288" i="18"/>
  <c r="AD286" i="18"/>
  <c r="AJ286" i="18" s="1"/>
  <c r="AM286" i="18" s="1"/>
  <c r="AE284" i="18"/>
  <c r="AC292" i="18"/>
  <c r="AB290" i="18"/>
  <c r="AI290" i="18" s="1"/>
  <c r="AC288" i="18"/>
  <c r="AI288" i="18" s="1"/>
  <c r="AA286" i="18"/>
  <c r="AH286" i="18" s="1"/>
  <c r="AL286" i="18" s="1"/>
  <c r="AA284" i="18"/>
  <c r="AH284" i="18" s="1"/>
  <c r="AL284" i="18" s="1"/>
  <c r="AE293" i="18"/>
  <c r="AE291" i="18"/>
  <c r="AJ291" i="18" s="1"/>
  <c r="AG289" i="18"/>
  <c r="AK289" i="18" s="1"/>
  <c r="AF287" i="18"/>
  <c r="AK287" i="18" s="1"/>
  <c r="AF285" i="18"/>
  <c r="AK285" i="18" s="1"/>
  <c r="AA293" i="18"/>
  <c r="AH293" i="18" s="1"/>
  <c r="AA291" i="18"/>
  <c r="AH291" i="18" s="1"/>
  <c r="AC289" i="18"/>
  <c r="Z287" i="18"/>
  <c r="AA285" i="18"/>
  <c r="AH285" i="18" s="1"/>
  <c r="AL285" i="18" s="1"/>
  <c r="AN285" i="18" s="1"/>
  <c r="AD292" i="18"/>
  <c r="AG290" i="18"/>
  <c r="AG288" i="18"/>
  <c r="AF286" i="18"/>
  <c r="AK286" i="18" s="1"/>
  <c r="AD284" i="18"/>
  <c r="AC286" i="18"/>
  <c r="AD289" i="18"/>
  <c r="AD287" i="18"/>
  <c r="AE285" i="18"/>
  <c r="AJ285" i="18" s="1"/>
  <c r="AM285" i="18" s="1"/>
  <c r="AB293" i="18"/>
  <c r="AI293" i="18" s="1"/>
  <c r="AC291" i="18"/>
  <c r="AA287" i="18"/>
  <c r="AH287" i="18" s="1"/>
  <c r="AL287" i="18" s="1"/>
  <c r="AC285" i="18"/>
  <c r="AE292" i="18"/>
  <c r="AF284" i="18"/>
  <c r="AK284" i="18" s="1"/>
  <c r="AI286" i="18"/>
  <c r="AG293" i="18"/>
  <c r="AK293" i="18" s="1"/>
  <c r="AE287" i="18"/>
  <c r="AJ287" i="18" s="1"/>
  <c r="AM287" i="18" s="1"/>
  <c r="AI291" i="18"/>
  <c r="AB289" i="18"/>
  <c r="AI289" i="18" s="1"/>
  <c r="AG292" i="18"/>
  <c r="AE290" i="18"/>
  <c r="AJ290" i="18" s="1"/>
  <c r="AD288" i="18"/>
  <c r="AJ288" i="18" s="1"/>
  <c r="AG284" i="15"/>
  <c r="AD289" i="15"/>
  <c r="AJ289" i="15" s="1"/>
  <c r="AJ293" i="15"/>
  <c r="AJ288" i="15"/>
  <c r="AJ292" i="15"/>
  <c r="B163" i="14"/>
  <c r="B176" i="14" s="1"/>
  <c r="B202" i="14" s="1"/>
  <c r="B168" i="14"/>
  <c r="B181" i="14" s="1"/>
  <c r="B207" i="14" s="1"/>
  <c r="B167" i="14"/>
  <c r="B180" i="14" s="1"/>
  <c r="B206" i="14" s="1"/>
  <c r="C169" i="14"/>
  <c r="C182" i="14" s="1"/>
  <c r="C208" i="14" s="1"/>
  <c r="D171" i="14"/>
  <c r="D184" i="14" s="1"/>
  <c r="D210" i="14" s="1"/>
  <c r="D170" i="14"/>
  <c r="D183" i="14" s="1"/>
  <c r="D209" i="14" s="1"/>
  <c r="C165" i="14"/>
  <c r="C178" i="14" s="1"/>
  <c r="C204" i="14" s="1"/>
  <c r="B166" i="14"/>
  <c r="B179" i="14" s="1"/>
  <c r="B205" i="14" s="1"/>
  <c r="E164" i="14"/>
  <c r="B177" i="14"/>
  <c r="C163" i="14"/>
  <c r="C176" i="14" s="1"/>
  <c r="C202" i="14" s="1"/>
  <c r="B170" i="14"/>
  <c r="B183" i="14" s="1"/>
  <c r="B209" i="14" s="1"/>
  <c r="C171" i="14"/>
  <c r="C184" i="14" s="1"/>
  <c r="C210" i="14" s="1"/>
  <c r="D162" i="14"/>
  <c r="D175" i="14" s="1"/>
  <c r="D201" i="14" s="1"/>
  <c r="D167" i="14"/>
  <c r="D180" i="14" s="1"/>
  <c r="D206" i="14" s="1"/>
  <c r="B169" i="14"/>
  <c r="C168" i="14"/>
  <c r="C167" i="14"/>
  <c r="D168" i="14"/>
  <c r="D181" i="14" s="1"/>
  <c r="D207" i="14" s="1"/>
  <c r="D165" i="14"/>
  <c r="D178" i="14" s="1"/>
  <c r="D204" i="14" s="1"/>
  <c r="C166" i="14"/>
  <c r="C179" i="14" s="1"/>
  <c r="C205" i="14" s="1"/>
  <c r="C170" i="14"/>
  <c r="C183" i="14" s="1"/>
  <c r="C209" i="14" s="1"/>
  <c r="B165" i="14"/>
  <c r="B178" i="14" s="1"/>
  <c r="B204" i="14" s="1"/>
  <c r="E204" i="14" s="1"/>
  <c r="B171" i="14"/>
  <c r="D163" i="14"/>
  <c r="D169" i="14"/>
  <c r="D182" i="14" s="1"/>
  <c r="D208" i="14" s="1"/>
  <c r="D166" i="14"/>
  <c r="B162" i="14"/>
  <c r="B175" i="14" s="1"/>
  <c r="B201" i="14" s="1"/>
  <c r="AN210" i="12"/>
  <c r="AN212" i="12"/>
  <c r="AN213" i="12"/>
  <c r="AL216" i="12"/>
  <c r="AN216" i="12"/>
  <c r="AF199" i="12"/>
  <c r="AN208" i="12"/>
  <c r="AF201" i="12"/>
  <c r="AF197" i="12"/>
  <c r="AL209" i="11"/>
  <c r="AM215" i="11"/>
  <c r="AN215" i="11" s="1"/>
  <c r="AL211" i="11"/>
  <c r="AN211" i="11" s="1"/>
  <c r="AM207" i="11"/>
  <c r="AN216" i="11"/>
  <c r="AD197" i="11"/>
  <c r="AE193" i="11"/>
  <c r="AF193" i="11" s="1"/>
  <c r="AF199" i="11"/>
  <c r="AD201" i="11"/>
  <c r="AF201" i="11" s="1"/>
  <c r="AF200" i="11"/>
  <c r="AF197" i="11"/>
  <c r="AF196" i="11"/>
  <c r="AN210" i="11"/>
  <c r="AN209" i="11"/>
  <c r="AN213" i="11"/>
  <c r="AN207" i="11"/>
  <c r="AN208" i="11"/>
  <c r="AF198" i="11"/>
  <c r="AF202" i="11"/>
  <c r="BU18" i="10"/>
  <c r="L49" i="10"/>
  <c r="L53" i="10"/>
  <c r="I54" i="10"/>
  <c r="I50" i="10"/>
  <c r="I46" i="10"/>
  <c r="BS8" i="7"/>
  <c r="BS13" i="7"/>
  <c r="BU13" i="7" s="1"/>
  <c r="BT10" i="7"/>
  <c r="BS14" i="7"/>
  <c r="BU14" i="7" s="1"/>
  <c r="BS12" i="7"/>
  <c r="BU8" i="7"/>
  <c r="BT15" i="7"/>
  <c r="BT9" i="7"/>
  <c r="BS9" i="7"/>
  <c r="BS15" i="7"/>
  <c r="BS11" i="7"/>
  <c r="BS16" i="7"/>
  <c r="BU16" i="7" s="1"/>
  <c r="BS17" i="7"/>
  <c r="L51" i="7"/>
  <c r="K47" i="7"/>
  <c r="L47" i="7"/>
  <c r="K51" i="7"/>
  <c r="BU12" i="7"/>
  <c r="K46" i="7"/>
  <c r="K50" i="7"/>
  <c r="J45" i="7"/>
  <c r="J49" i="7"/>
  <c r="I45" i="7"/>
  <c r="I49" i="7"/>
  <c r="BS10" i="7"/>
  <c r="J47" i="7"/>
  <c r="J51" i="7"/>
  <c r="I50" i="7"/>
  <c r="J46" i="7"/>
  <c r="J50" i="7"/>
  <c r="I46" i="7"/>
  <c r="BT17" i="7"/>
  <c r="BT11" i="7"/>
  <c r="BU15" i="7"/>
  <c r="K45" i="7"/>
  <c r="K49" i="7"/>
  <c r="H41" i="7"/>
  <c r="H45" i="7"/>
  <c r="H49" i="7"/>
  <c r="I23" i="7"/>
  <c r="J43" i="7"/>
  <c r="J42" i="7"/>
  <c r="J41" i="7"/>
  <c r="I41" i="7"/>
  <c r="L22" i="7"/>
  <c r="L50" i="7" s="1"/>
  <c r="K42" i="7"/>
  <c r="L43" i="7"/>
  <c r="K43" i="7"/>
  <c r="L45" i="7"/>
  <c r="K41" i="7"/>
  <c r="C193" i="19" l="1"/>
  <c r="C206" i="19" s="1"/>
  <c r="C232" i="19" s="1"/>
  <c r="B194" i="19"/>
  <c r="D194" i="19"/>
  <c r="D207" i="19" s="1"/>
  <c r="D233" i="19" s="1"/>
  <c r="D199" i="19"/>
  <c r="D212" i="19" s="1"/>
  <c r="D238" i="19" s="1"/>
  <c r="B199" i="19"/>
  <c r="C199" i="19"/>
  <c r="C212" i="19" s="1"/>
  <c r="E202" i="19"/>
  <c r="C211" i="19"/>
  <c r="C237" i="19" s="1"/>
  <c r="C238" i="19"/>
  <c r="D197" i="19"/>
  <c r="C197" i="19"/>
  <c r="B197" i="19"/>
  <c r="D198" i="19"/>
  <c r="B198" i="19"/>
  <c r="C201" i="19"/>
  <c r="D201" i="19"/>
  <c r="B201" i="19"/>
  <c r="B196" i="19"/>
  <c r="C196" i="19"/>
  <c r="E241" i="19"/>
  <c r="B193" i="19"/>
  <c r="B206" i="19" s="1"/>
  <c r="D193" i="19"/>
  <c r="B195" i="19"/>
  <c r="C195" i="19"/>
  <c r="D195" i="19"/>
  <c r="D196" i="19"/>
  <c r="C200" i="19"/>
  <c r="B200" i="19"/>
  <c r="D200" i="19"/>
  <c r="E177" i="14"/>
  <c r="B203" i="14"/>
  <c r="E203" i="14" s="1"/>
  <c r="E201" i="14"/>
  <c r="E209" i="14"/>
  <c r="H253" i="16"/>
  <c r="I254" i="16"/>
  <c r="B253" i="16"/>
  <c r="B258" i="16"/>
  <c r="AJ286" i="15"/>
  <c r="AJ290" i="15"/>
  <c r="AM290" i="15" s="1"/>
  <c r="AH285" i="15"/>
  <c r="AI289" i="15"/>
  <c r="AJ285" i="15"/>
  <c r="AM285" i="15" s="1"/>
  <c r="AH291" i="15"/>
  <c r="AL291" i="15" s="1"/>
  <c r="AK291" i="15"/>
  <c r="AM291" i="15" s="1"/>
  <c r="AI290" i="15"/>
  <c r="AK284" i="15"/>
  <c r="AM284" i="15" s="1"/>
  <c r="AI286" i="15"/>
  <c r="AL286" i="15" s="1"/>
  <c r="AL287" i="15"/>
  <c r="AH290" i="15"/>
  <c r="AK288" i="15"/>
  <c r="AM288" i="15" s="1"/>
  <c r="AH293" i="15"/>
  <c r="AL293" i="15" s="1"/>
  <c r="AL284" i="15"/>
  <c r="AL285" i="15"/>
  <c r="H261" i="16"/>
  <c r="C257" i="16"/>
  <c r="I256" i="16"/>
  <c r="D257" i="16"/>
  <c r="I260" i="16"/>
  <c r="D261" i="16"/>
  <c r="H252" i="16"/>
  <c r="H257" i="16"/>
  <c r="B259" i="16"/>
  <c r="D253" i="16"/>
  <c r="D255" i="16"/>
  <c r="D269" i="16" s="1"/>
  <c r="D283" i="16" s="1"/>
  <c r="R311" i="16" s="1"/>
  <c r="G259" i="16"/>
  <c r="G256" i="16"/>
  <c r="G260" i="16"/>
  <c r="T311" i="16"/>
  <c r="D270" i="16"/>
  <c r="D284" i="16" s="1"/>
  <c r="C259" i="16"/>
  <c r="L312" i="16"/>
  <c r="M312" i="16"/>
  <c r="K312" i="16"/>
  <c r="J312" i="16"/>
  <c r="B270" i="16"/>
  <c r="B269" i="16"/>
  <c r="H258" i="16"/>
  <c r="H272" i="16" s="1"/>
  <c r="H286" i="16" s="1"/>
  <c r="D259" i="16"/>
  <c r="D254" i="16"/>
  <c r="D252" i="16"/>
  <c r="G257" i="16"/>
  <c r="B257" i="16"/>
  <c r="D258" i="16"/>
  <c r="I253" i="16"/>
  <c r="B261" i="16"/>
  <c r="I252" i="16"/>
  <c r="H254" i="16"/>
  <c r="C253" i="16"/>
  <c r="C267" i="16" s="1"/>
  <c r="C281" i="16" s="1"/>
  <c r="B254" i="16"/>
  <c r="B268" i="16" s="1"/>
  <c r="H260" i="16"/>
  <c r="C261" i="16"/>
  <c r="H259" i="16"/>
  <c r="C260" i="16"/>
  <c r="G253" i="16"/>
  <c r="I257" i="16"/>
  <c r="G252" i="16"/>
  <c r="H266" i="16" s="1"/>
  <c r="H280" i="16" s="1"/>
  <c r="B260" i="16"/>
  <c r="G254" i="16"/>
  <c r="G268" i="16" s="1"/>
  <c r="G255" i="16"/>
  <c r="C258" i="16"/>
  <c r="C272" i="16" s="1"/>
  <c r="C286" i="16" s="1"/>
  <c r="G261" i="16"/>
  <c r="G275" i="16" s="1"/>
  <c r="H255" i="16"/>
  <c r="H256" i="16"/>
  <c r="H270" i="16" s="1"/>
  <c r="H284" i="16" s="1"/>
  <c r="C252" i="16"/>
  <c r="C266" i="16" s="1"/>
  <c r="C280" i="16" s="1"/>
  <c r="D260" i="16"/>
  <c r="D274" i="16" s="1"/>
  <c r="D288" i="16" s="1"/>
  <c r="E215" i="19"/>
  <c r="AM288" i="18"/>
  <c r="AN286" i="18"/>
  <c r="AL293" i="18"/>
  <c r="AL292" i="18"/>
  <c r="AN292" i="18" s="1"/>
  <c r="AJ293" i="18"/>
  <c r="AM293" i="18" s="1"/>
  <c r="AK288" i="18"/>
  <c r="AI292" i="18"/>
  <c r="AL291" i="18"/>
  <c r="AJ284" i="18"/>
  <c r="AM284" i="18" s="1"/>
  <c r="AN284" i="18" s="1"/>
  <c r="AL288" i="18"/>
  <c r="AJ292" i="18"/>
  <c r="AM292" i="18" s="1"/>
  <c r="AM291" i="18"/>
  <c r="AN287" i="18"/>
  <c r="AK290" i="18"/>
  <c r="AM290" i="18" s="1"/>
  <c r="AN290" i="18" s="1"/>
  <c r="AL289" i="18"/>
  <c r="AN289" i="18" s="1"/>
  <c r="AJ289" i="18"/>
  <c r="AM289" i="18" s="1"/>
  <c r="AM289" i="15"/>
  <c r="AL289" i="15"/>
  <c r="AM293" i="15"/>
  <c r="AL288" i="15"/>
  <c r="AL292" i="15"/>
  <c r="AM286" i="15"/>
  <c r="AM287" i="15"/>
  <c r="AM292" i="15"/>
  <c r="E175" i="14"/>
  <c r="E183" i="14"/>
  <c r="E169" i="14"/>
  <c r="B182" i="14"/>
  <c r="E168" i="14"/>
  <c r="C181" i="14"/>
  <c r="E171" i="14"/>
  <c r="B184" i="14"/>
  <c r="E166" i="14"/>
  <c r="D179" i="14"/>
  <c r="E163" i="14"/>
  <c r="D176" i="14"/>
  <c r="E178" i="14"/>
  <c r="E167" i="14"/>
  <c r="C180" i="14"/>
  <c r="E170" i="14"/>
  <c r="E165" i="14"/>
  <c r="E162" i="14"/>
  <c r="BU10" i="7"/>
  <c r="BU9" i="7"/>
  <c r="BU11" i="7"/>
  <c r="BU17" i="7"/>
  <c r="I47" i="7"/>
  <c r="I51" i="7"/>
  <c r="L46" i="7"/>
  <c r="L42" i="7"/>
  <c r="L41" i="7"/>
  <c r="L49" i="7"/>
  <c r="I42" i="7"/>
  <c r="I43" i="7"/>
  <c r="E194" i="19" l="1"/>
  <c r="B207" i="19"/>
  <c r="B212" i="19"/>
  <c r="B238" i="19" s="1"/>
  <c r="E199" i="19"/>
  <c r="E193" i="19"/>
  <c r="D211" i="19"/>
  <c r="D237" i="19" s="1"/>
  <c r="B214" i="19"/>
  <c r="E201" i="19"/>
  <c r="B213" i="19"/>
  <c r="E200" i="19"/>
  <c r="C234" i="19"/>
  <c r="C208" i="19"/>
  <c r="D214" i="19"/>
  <c r="D240" i="19" s="1"/>
  <c r="B210" i="19"/>
  <c r="E197" i="19"/>
  <c r="D213" i="19"/>
  <c r="D239" i="19" s="1"/>
  <c r="E238" i="19"/>
  <c r="C213" i="19"/>
  <c r="C239" i="19" s="1"/>
  <c r="B208" i="19"/>
  <c r="E195" i="19"/>
  <c r="C235" i="19"/>
  <c r="C209" i="19"/>
  <c r="C214" i="19"/>
  <c r="C240" i="19" s="1"/>
  <c r="C236" i="19"/>
  <c r="C210" i="19"/>
  <c r="D208" i="19"/>
  <c r="D234" i="19" s="1"/>
  <c r="D235" i="19"/>
  <c r="D209" i="19"/>
  <c r="D206" i="19"/>
  <c r="D232" i="19" s="1"/>
  <c r="B235" i="19"/>
  <c r="E235" i="19" s="1"/>
  <c r="B209" i="19"/>
  <c r="E209" i="19" s="1"/>
  <c r="E196" i="19"/>
  <c r="B211" i="19"/>
  <c r="E211" i="19" s="1"/>
  <c r="E198" i="19"/>
  <c r="D210" i="19"/>
  <c r="D236" i="19" s="1"/>
  <c r="E176" i="14"/>
  <c r="D202" i="14"/>
  <c r="E202" i="14" s="1"/>
  <c r="E184" i="14"/>
  <c r="B210" i="14"/>
  <c r="E210" i="14" s="1"/>
  <c r="E181" i="14"/>
  <c r="C207" i="14"/>
  <c r="E207" i="14" s="1"/>
  <c r="E182" i="14"/>
  <c r="B208" i="14"/>
  <c r="E208" i="14" s="1"/>
  <c r="E180" i="14"/>
  <c r="C206" i="14"/>
  <c r="E206" i="14" s="1"/>
  <c r="E179" i="14"/>
  <c r="D205" i="14"/>
  <c r="E205" i="14" s="1"/>
  <c r="G269" i="16"/>
  <c r="B271" i="16"/>
  <c r="C269" i="16"/>
  <c r="C283" i="16" s="1"/>
  <c r="AL290" i="15"/>
  <c r="AN291" i="15"/>
  <c r="AN288" i="15"/>
  <c r="AN289" i="15"/>
  <c r="AN287" i="15"/>
  <c r="AN293" i="15"/>
  <c r="AN284" i="15"/>
  <c r="AN285" i="15"/>
  <c r="AN290" i="15"/>
  <c r="S311" i="16"/>
  <c r="I271" i="16"/>
  <c r="I285" i="16" s="1"/>
  <c r="C275" i="16"/>
  <c r="C289" i="16" s="1"/>
  <c r="U311" i="16"/>
  <c r="G267" i="16"/>
  <c r="B273" i="16"/>
  <c r="H274" i="16"/>
  <c r="H288" i="16" s="1"/>
  <c r="O316" i="16" s="1"/>
  <c r="D275" i="16"/>
  <c r="D289" i="16" s="1"/>
  <c r="U317" i="16" s="1"/>
  <c r="C273" i="16"/>
  <c r="C287" i="16" s="1"/>
  <c r="D271" i="16"/>
  <c r="D285" i="16" s="1"/>
  <c r="H273" i="16"/>
  <c r="H287" i="16" s="1"/>
  <c r="N315" i="16" s="1"/>
  <c r="I266" i="16"/>
  <c r="I280" i="16" s="1"/>
  <c r="X308" i="16" s="1"/>
  <c r="P308" i="16"/>
  <c r="Q308" i="16"/>
  <c r="N308" i="16"/>
  <c r="O308" i="16"/>
  <c r="Q312" i="16"/>
  <c r="O312" i="16"/>
  <c r="P312" i="16"/>
  <c r="N312" i="16"/>
  <c r="G283" i="16"/>
  <c r="W313" i="16"/>
  <c r="X313" i="16"/>
  <c r="Y313" i="16"/>
  <c r="V313" i="16"/>
  <c r="K317" i="16"/>
  <c r="L317" i="16"/>
  <c r="M317" i="16"/>
  <c r="J317" i="16"/>
  <c r="H271" i="16"/>
  <c r="H285" i="16" s="1"/>
  <c r="M309" i="16"/>
  <c r="K309" i="16"/>
  <c r="L309" i="16"/>
  <c r="J309" i="16"/>
  <c r="R313" i="16"/>
  <c r="S313" i="16"/>
  <c r="U313" i="16"/>
  <c r="T313" i="16"/>
  <c r="G271" i="16"/>
  <c r="B272" i="16"/>
  <c r="B283" i="16"/>
  <c r="E269" i="16"/>
  <c r="C268" i="16"/>
  <c r="C282" i="16" s="1"/>
  <c r="U312" i="16"/>
  <c r="T312" i="16"/>
  <c r="R312" i="16"/>
  <c r="S312" i="16"/>
  <c r="I275" i="16"/>
  <c r="I289" i="16" s="1"/>
  <c r="D267" i="16"/>
  <c r="D281" i="16" s="1"/>
  <c r="H269" i="16"/>
  <c r="H283" i="16" s="1"/>
  <c r="G282" i="16"/>
  <c r="G281" i="16"/>
  <c r="N316" i="16"/>
  <c r="P316" i="16"/>
  <c r="H268" i="16"/>
  <c r="H282" i="16" s="1"/>
  <c r="I267" i="16"/>
  <c r="I281" i="16" s="1"/>
  <c r="D266" i="16"/>
  <c r="D280" i="16" s="1"/>
  <c r="B267" i="16"/>
  <c r="E270" i="16"/>
  <c r="B284" i="16"/>
  <c r="B266" i="16"/>
  <c r="G270" i="16"/>
  <c r="I270" i="16"/>
  <c r="I284" i="16" s="1"/>
  <c r="C271" i="16"/>
  <c r="C285" i="16" s="1"/>
  <c r="U316" i="16"/>
  <c r="S316" i="16"/>
  <c r="T316" i="16"/>
  <c r="R316" i="16"/>
  <c r="G289" i="16"/>
  <c r="B274" i="16"/>
  <c r="C274" i="16"/>
  <c r="C288" i="16" s="1"/>
  <c r="B282" i="16"/>
  <c r="D272" i="16"/>
  <c r="D286" i="16" s="1"/>
  <c r="D268" i="16"/>
  <c r="D282" i="16" s="1"/>
  <c r="I268" i="16"/>
  <c r="I282" i="16" s="1"/>
  <c r="K315" i="16"/>
  <c r="L315" i="16"/>
  <c r="M315" i="16"/>
  <c r="J315" i="16"/>
  <c r="G274" i="16"/>
  <c r="G273" i="16"/>
  <c r="I269" i="16"/>
  <c r="I283" i="16" s="1"/>
  <c r="H275" i="16"/>
  <c r="H289" i="16" s="1"/>
  <c r="K308" i="16"/>
  <c r="L308" i="16"/>
  <c r="M308" i="16"/>
  <c r="J308" i="16"/>
  <c r="J314" i="16"/>
  <c r="K314" i="16"/>
  <c r="M314" i="16"/>
  <c r="L314" i="16"/>
  <c r="G266" i="16"/>
  <c r="O315" i="16"/>
  <c r="Q315" i="16"/>
  <c r="B287" i="16"/>
  <c r="I274" i="16"/>
  <c r="I288" i="16" s="1"/>
  <c r="B275" i="16"/>
  <c r="B285" i="16"/>
  <c r="D273" i="16"/>
  <c r="D287" i="16" s="1"/>
  <c r="N314" i="16"/>
  <c r="P314" i="16"/>
  <c r="Q314" i="16"/>
  <c r="O314" i="16"/>
  <c r="H267" i="16"/>
  <c r="H281" i="16" s="1"/>
  <c r="K311" i="16"/>
  <c r="L311" i="16"/>
  <c r="M311" i="16"/>
  <c r="J311" i="16"/>
  <c r="I273" i="16"/>
  <c r="I287" i="16" s="1"/>
  <c r="G272" i="16"/>
  <c r="I272" i="16"/>
  <c r="I286" i="16" s="1"/>
  <c r="AN291" i="18"/>
  <c r="AN293" i="18"/>
  <c r="AN288" i="18"/>
  <c r="AN286" i="15"/>
  <c r="AN292" i="15"/>
  <c r="I17" i="7"/>
  <c r="H17" i="7"/>
  <c r="G17" i="7"/>
  <c r="I16" i="7"/>
  <c r="H16" i="7"/>
  <c r="G16" i="7"/>
  <c r="I15" i="7"/>
  <c r="H15" i="7"/>
  <c r="G15" i="7"/>
  <c r="I14" i="7"/>
  <c r="H14" i="7"/>
  <c r="G14" i="7"/>
  <c r="I13" i="7"/>
  <c r="H13" i="7"/>
  <c r="G13" i="7"/>
  <c r="I12" i="7"/>
  <c r="H12" i="7"/>
  <c r="G12" i="7"/>
  <c r="I11" i="7"/>
  <c r="H11" i="7"/>
  <c r="G11" i="7"/>
  <c r="I10" i="7"/>
  <c r="H10" i="7"/>
  <c r="G10" i="7"/>
  <c r="I9" i="7"/>
  <c r="H9" i="7"/>
  <c r="G9" i="7"/>
  <c r="I8" i="7"/>
  <c r="H8" i="7"/>
  <c r="G8" i="7"/>
  <c r="J9" i="6"/>
  <c r="J10" i="6"/>
  <c r="J11" i="6"/>
  <c r="J12" i="6"/>
  <c r="J13" i="6"/>
  <c r="J14" i="6"/>
  <c r="J15" i="6"/>
  <c r="J16" i="6"/>
  <c r="J17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9" i="6"/>
  <c r="H9" i="6"/>
  <c r="I9" i="6"/>
  <c r="H8" i="6"/>
  <c r="I8" i="6"/>
  <c r="G8" i="6"/>
  <c r="I9" i="5"/>
  <c r="I8" i="5"/>
  <c r="I7" i="5"/>
  <c r="I6" i="5"/>
  <c r="I5" i="5"/>
  <c r="J4" i="5"/>
  <c r="E4" i="5"/>
  <c r="I4" i="5" s="1"/>
  <c r="E208" i="19" l="1"/>
  <c r="B233" i="19"/>
  <c r="E233" i="19" s="1"/>
  <c r="E207" i="19"/>
  <c r="E212" i="19"/>
  <c r="E213" i="19"/>
  <c r="B237" i="19"/>
  <c r="E237" i="19" s="1"/>
  <c r="B239" i="19"/>
  <c r="E239" i="19" s="1"/>
  <c r="B236" i="19"/>
  <c r="E236" i="19" s="1"/>
  <c r="E210" i="19"/>
  <c r="B234" i="19"/>
  <c r="E234" i="19" s="1"/>
  <c r="B240" i="19"/>
  <c r="E240" i="19" s="1"/>
  <c r="E214" i="19"/>
  <c r="B232" i="19"/>
  <c r="E232" i="19" s="1"/>
  <c r="E206" i="19"/>
  <c r="V308" i="16"/>
  <c r="E271" i="16"/>
  <c r="S317" i="16"/>
  <c r="R317" i="16"/>
  <c r="P315" i="16"/>
  <c r="Y308" i="16"/>
  <c r="T317" i="16"/>
  <c r="Q316" i="16"/>
  <c r="W308" i="16"/>
  <c r="X315" i="16"/>
  <c r="Y315" i="16"/>
  <c r="V315" i="16"/>
  <c r="W315" i="16"/>
  <c r="E285" i="16"/>
  <c r="B313" i="16"/>
  <c r="D313" i="16"/>
  <c r="E313" i="16"/>
  <c r="C313" i="16"/>
  <c r="E287" i="16"/>
  <c r="C315" i="16"/>
  <c r="D315" i="16"/>
  <c r="B315" i="16"/>
  <c r="E315" i="16"/>
  <c r="G287" i="16"/>
  <c r="J273" i="16"/>
  <c r="T314" i="16"/>
  <c r="S314" i="16"/>
  <c r="R314" i="16"/>
  <c r="U314" i="16"/>
  <c r="B288" i="16"/>
  <c r="E274" i="16"/>
  <c r="V312" i="16"/>
  <c r="W312" i="16"/>
  <c r="X312" i="16"/>
  <c r="Y312" i="16"/>
  <c r="O310" i="16"/>
  <c r="Q310" i="16"/>
  <c r="N310" i="16"/>
  <c r="P310" i="16"/>
  <c r="G310" i="16"/>
  <c r="F310" i="16"/>
  <c r="J282" i="16"/>
  <c r="H310" i="16"/>
  <c r="I310" i="16"/>
  <c r="K310" i="16"/>
  <c r="J310" i="16"/>
  <c r="L310" i="16"/>
  <c r="M310" i="16"/>
  <c r="J271" i="16"/>
  <c r="G285" i="16"/>
  <c r="X314" i="16"/>
  <c r="V314" i="16"/>
  <c r="Y314" i="16"/>
  <c r="W314" i="16"/>
  <c r="O309" i="16"/>
  <c r="Q309" i="16"/>
  <c r="P309" i="16"/>
  <c r="N309" i="16"/>
  <c r="B289" i="16"/>
  <c r="E275" i="16"/>
  <c r="G280" i="16"/>
  <c r="J266" i="16"/>
  <c r="J274" i="16"/>
  <c r="G288" i="16"/>
  <c r="E268" i="16"/>
  <c r="J275" i="16"/>
  <c r="J270" i="16"/>
  <c r="G284" i="16"/>
  <c r="B281" i="16"/>
  <c r="E267" i="16"/>
  <c r="J267" i="16"/>
  <c r="N311" i="16"/>
  <c r="O311" i="16"/>
  <c r="P311" i="16"/>
  <c r="Q311" i="16"/>
  <c r="N313" i="16"/>
  <c r="Q313" i="16"/>
  <c r="O313" i="16"/>
  <c r="P313" i="16"/>
  <c r="G286" i="16"/>
  <c r="J272" i="16"/>
  <c r="T315" i="16"/>
  <c r="S315" i="16"/>
  <c r="R315" i="16"/>
  <c r="U315" i="16"/>
  <c r="W316" i="16"/>
  <c r="V316" i="16"/>
  <c r="Y316" i="16"/>
  <c r="X316" i="16"/>
  <c r="P317" i="16"/>
  <c r="Q317" i="16"/>
  <c r="N317" i="16"/>
  <c r="O317" i="16"/>
  <c r="X310" i="16"/>
  <c r="Y310" i="16"/>
  <c r="W310" i="16"/>
  <c r="AE310" i="16" s="1"/>
  <c r="V310" i="16"/>
  <c r="B310" i="16"/>
  <c r="E282" i="16"/>
  <c r="C310" i="16"/>
  <c r="D310" i="16"/>
  <c r="E310" i="16"/>
  <c r="H317" i="16"/>
  <c r="F317" i="16"/>
  <c r="I317" i="16"/>
  <c r="J289" i="16"/>
  <c r="G317" i="16"/>
  <c r="B280" i="16"/>
  <c r="E266" i="16"/>
  <c r="U308" i="16"/>
  <c r="S308" i="16"/>
  <c r="T308" i="16"/>
  <c r="R308" i="16"/>
  <c r="H309" i="16"/>
  <c r="G309" i="16"/>
  <c r="F309" i="16"/>
  <c r="J281" i="16"/>
  <c r="I309" i="16"/>
  <c r="T309" i="16"/>
  <c r="R309" i="16"/>
  <c r="U309" i="16"/>
  <c r="S309" i="16"/>
  <c r="C311" i="16"/>
  <c r="AA311" i="16" s="1"/>
  <c r="E283" i="16"/>
  <c r="D311" i="16"/>
  <c r="AB311" i="16" s="1"/>
  <c r="B311" i="16"/>
  <c r="Z311" i="16" s="1"/>
  <c r="AH311" i="16" s="1"/>
  <c r="E311" i="16"/>
  <c r="AC311" i="16" s="1"/>
  <c r="J269" i="16"/>
  <c r="E273" i="16"/>
  <c r="V311" i="16"/>
  <c r="X311" i="16"/>
  <c r="Y311" i="16"/>
  <c r="W311" i="16"/>
  <c r="S310" i="16"/>
  <c r="U310" i="16"/>
  <c r="T310" i="16"/>
  <c r="R310" i="16"/>
  <c r="L316" i="16"/>
  <c r="M316" i="16"/>
  <c r="K316" i="16"/>
  <c r="J316" i="16"/>
  <c r="K313" i="16"/>
  <c r="M313" i="16"/>
  <c r="L313" i="16"/>
  <c r="J313" i="16"/>
  <c r="C312" i="16"/>
  <c r="AA312" i="16" s="1"/>
  <c r="D312" i="16"/>
  <c r="AB312" i="16" s="1"/>
  <c r="B338" i="16" s="1"/>
  <c r="B312" i="16"/>
  <c r="Z312" i="16" s="1"/>
  <c r="E284" i="16"/>
  <c r="E312" i="16"/>
  <c r="AC312" i="16" s="1"/>
  <c r="B350" i="16" s="1"/>
  <c r="V309" i="16"/>
  <c r="X309" i="16"/>
  <c r="W309" i="16"/>
  <c r="Y309" i="16"/>
  <c r="J268" i="16"/>
  <c r="W317" i="16"/>
  <c r="Y317" i="16"/>
  <c r="X317" i="16"/>
  <c r="V317" i="16"/>
  <c r="B286" i="16"/>
  <c r="E272" i="16"/>
  <c r="H311" i="16"/>
  <c r="AF311" i="16" s="1"/>
  <c r="G311" i="16"/>
  <c r="F311" i="16"/>
  <c r="J283" i="16"/>
  <c r="I311" i="16"/>
  <c r="J8" i="7"/>
  <c r="J12" i="7"/>
  <c r="J16" i="7"/>
  <c r="J11" i="7"/>
  <c r="J10" i="7"/>
  <c r="J14" i="7"/>
  <c r="J15" i="7"/>
  <c r="J9" i="7"/>
  <c r="J13" i="7"/>
  <c r="J17" i="7"/>
  <c r="J6" i="5"/>
  <c r="J5" i="5"/>
  <c r="J7" i="5"/>
  <c r="J8" i="5"/>
  <c r="J9" i="5"/>
  <c r="B349" i="16" l="1"/>
  <c r="AI311" i="16"/>
  <c r="AL311" i="16" s="1"/>
  <c r="B337" i="16"/>
  <c r="AG311" i="16"/>
  <c r="AK311" i="16"/>
  <c r="AH312" i="16"/>
  <c r="AD311" i="16"/>
  <c r="E314" i="16"/>
  <c r="AC314" i="16" s="1"/>
  <c r="B314" i="16"/>
  <c r="Z314" i="16" s="1"/>
  <c r="E286" i="16"/>
  <c r="C314" i="16"/>
  <c r="AA314" i="16" s="1"/>
  <c r="D314" i="16"/>
  <c r="AB314" i="16" s="1"/>
  <c r="AD309" i="16"/>
  <c r="E280" i="16"/>
  <c r="C308" i="16"/>
  <c r="AA308" i="16" s="1"/>
  <c r="B308" i="16"/>
  <c r="Z308" i="16" s="1"/>
  <c r="E308" i="16"/>
  <c r="AC308" i="16" s="1"/>
  <c r="D308" i="16"/>
  <c r="AB308" i="16" s="1"/>
  <c r="AD317" i="16"/>
  <c r="AA310" i="16"/>
  <c r="G314" i="16"/>
  <c r="AE314" i="16" s="1"/>
  <c r="I314" i="16"/>
  <c r="AG314" i="16" s="1"/>
  <c r="C352" i="16" s="1"/>
  <c r="H314" i="16"/>
  <c r="AF314" i="16" s="1"/>
  <c r="J286" i="16"/>
  <c r="F314" i="16"/>
  <c r="AD314" i="16" s="1"/>
  <c r="AJ314" i="16" s="1"/>
  <c r="F312" i="16"/>
  <c r="AD312" i="16" s="1"/>
  <c r="J284" i="16"/>
  <c r="G312" i="16"/>
  <c r="AE312" i="16" s="1"/>
  <c r="I312" i="16"/>
  <c r="AG312" i="16" s="1"/>
  <c r="H312" i="16"/>
  <c r="AF312" i="16" s="1"/>
  <c r="C338" i="16" s="1"/>
  <c r="H316" i="16"/>
  <c r="AF316" i="16" s="1"/>
  <c r="I316" i="16"/>
  <c r="AG316" i="16" s="1"/>
  <c r="J288" i="16"/>
  <c r="F316" i="16"/>
  <c r="AD316" i="16" s="1"/>
  <c r="G316" i="16"/>
  <c r="AE316" i="16" s="1"/>
  <c r="AD310" i="16"/>
  <c r="AJ310" i="16" s="1"/>
  <c r="AB315" i="16"/>
  <c r="AC313" i="16"/>
  <c r="AE311" i="16"/>
  <c r="AJ311" i="16" s="1"/>
  <c r="AI312" i="16"/>
  <c r="AL312" i="16" s="1"/>
  <c r="AE309" i="16"/>
  <c r="AJ309" i="16" s="1"/>
  <c r="AE317" i="16"/>
  <c r="AF317" i="16"/>
  <c r="D317" i="16"/>
  <c r="AB317" i="16" s="1"/>
  <c r="E289" i="16"/>
  <c r="C317" i="16"/>
  <c r="AA317" i="16" s="1"/>
  <c r="B317" i="16"/>
  <c r="Z317" i="16" s="1"/>
  <c r="E317" i="16"/>
  <c r="AC317" i="16" s="1"/>
  <c r="AG310" i="16"/>
  <c r="C348" i="16" s="1"/>
  <c r="G315" i="16"/>
  <c r="AE315" i="16" s="1"/>
  <c r="I315" i="16"/>
  <c r="AG315" i="16" s="1"/>
  <c r="C353" i="16" s="1"/>
  <c r="F315" i="16"/>
  <c r="AD315" i="16" s="1"/>
  <c r="J287" i="16"/>
  <c r="H315" i="16"/>
  <c r="AF315" i="16" s="1"/>
  <c r="C341" i="16" s="1"/>
  <c r="AA315" i="16"/>
  <c r="AB313" i="16"/>
  <c r="AG309" i="16"/>
  <c r="C347" i="16" s="1"/>
  <c r="AF309" i="16"/>
  <c r="C335" i="16" s="1"/>
  <c r="AC310" i="16"/>
  <c r="B348" i="16" s="1"/>
  <c r="Z310" i="16"/>
  <c r="AF310" i="16"/>
  <c r="AC315" i="16"/>
  <c r="Z313" i="16"/>
  <c r="AG317" i="16"/>
  <c r="C355" i="16" s="1"/>
  <c r="AB310" i="16"/>
  <c r="B336" i="16" s="1"/>
  <c r="E281" i="16"/>
  <c r="D309" i="16"/>
  <c r="AB309" i="16" s="1"/>
  <c r="C309" i="16"/>
  <c r="AA309" i="16" s="1"/>
  <c r="B309" i="16"/>
  <c r="Z309" i="16" s="1"/>
  <c r="E309" i="16"/>
  <c r="AC309" i="16" s="1"/>
  <c r="B347" i="16" s="1"/>
  <c r="J280" i="16"/>
  <c r="F308" i="16"/>
  <c r="AD308" i="16" s="1"/>
  <c r="G308" i="16"/>
  <c r="AE308" i="16" s="1"/>
  <c r="I308" i="16"/>
  <c r="AG308" i="16" s="1"/>
  <c r="H308" i="16"/>
  <c r="AF308" i="16" s="1"/>
  <c r="G313" i="16"/>
  <c r="AE313" i="16" s="1"/>
  <c r="H313" i="16"/>
  <c r="AF313" i="16" s="1"/>
  <c r="C339" i="16" s="1"/>
  <c r="J285" i="16"/>
  <c r="I313" i="16"/>
  <c r="AG313" i="16" s="1"/>
  <c r="C351" i="16" s="1"/>
  <c r="F313" i="16"/>
  <c r="AD313" i="16" s="1"/>
  <c r="D316" i="16"/>
  <c r="AB316" i="16" s="1"/>
  <c r="B316" i="16"/>
  <c r="Z316" i="16" s="1"/>
  <c r="E316" i="16"/>
  <c r="AC316" i="16" s="1"/>
  <c r="C316" i="16"/>
  <c r="AA316" i="16" s="1"/>
  <c r="E288" i="16"/>
  <c r="Z315" i="16"/>
  <c r="AA313" i="16"/>
  <c r="AH313" i="16" s="1"/>
  <c r="I58" i="4"/>
  <c r="H58" i="4"/>
  <c r="H59" i="4" s="1"/>
  <c r="G58" i="4"/>
  <c r="E58" i="4"/>
  <c r="D58" i="4"/>
  <c r="D59" i="4" s="1"/>
  <c r="C58" i="4"/>
  <c r="C59" i="4" s="1"/>
  <c r="J40" i="4"/>
  <c r="H40" i="4"/>
  <c r="H41" i="4" s="1"/>
  <c r="G40" i="4"/>
  <c r="G41" i="4" s="1"/>
  <c r="F40" i="4"/>
  <c r="D40" i="4"/>
  <c r="D41" i="4" s="1"/>
  <c r="C40" i="4"/>
  <c r="C41" i="4" s="1"/>
  <c r="J22" i="4"/>
  <c r="H22" i="4"/>
  <c r="H23" i="4" s="1"/>
  <c r="G22" i="4"/>
  <c r="G23" i="4" s="1"/>
  <c r="F22" i="4"/>
  <c r="D22" i="4"/>
  <c r="D23" i="4" s="1"/>
  <c r="C22" i="4"/>
  <c r="C23" i="4" s="1"/>
  <c r="E12" i="4"/>
  <c r="D12" i="4"/>
  <c r="C12" i="4"/>
  <c r="B354" i="16" l="1"/>
  <c r="AK308" i="16"/>
  <c r="AI309" i="16"/>
  <c r="B335" i="16"/>
  <c r="C343" i="16"/>
  <c r="C342" i="16"/>
  <c r="C340" i="16"/>
  <c r="B353" i="16"/>
  <c r="B351" i="16"/>
  <c r="B342" i="16"/>
  <c r="AK310" i="16"/>
  <c r="C336" i="16"/>
  <c r="B341" i="16"/>
  <c r="C350" i="16"/>
  <c r="C337" i="16"/>
  <c r="AI313" i="16"/>
  <c r="B339" i="16"/>
  <c r="AI317" i="16"/>
  <c r="B355" i="16"/>
  <c r="B343" i="16"/>
  <c r="C354" i="16"/>
  <c r="AJ312" i="16"/>
  <c r="AH308" i="16"/>
  <c r="B340" i="16"/>
  <c r="B352" i="16"/>
  <c r="C349" i="16"/>
  <c r="AL313" i="16"/>
  <c r="AM311" i="16"/>
  <c r="AN311" i="16" s="1"/>
  <c r="AK314" i="16"/>
  <c r="AM314" i="16" s="1"/>
  <c r="AI315" i="16"/>
  <c r="AK317" i="16"/>
  <c r="AH314" i="16"/>
  <c r="AK309" i="16"/>
  <c r="AK312" i="16"/>
  <c r="AI308" i="16"/>
  <c r="AL308" i="16" s="1"/>
  <c r="AJ308" i="16"/>
  <c r="AM310" i="16"/>
  <c r="AM312" i="16"/>
  <c r="AN312" i="16" s="1"/>
  <c r="AH310" i="16"/>
  <c r="AL310" i="16" s="1"/>
  <c r="AN310" i="16" s="1"/>
  <c r="AI314" i="16"/>
  <c r="AK316" i="16"/>
  <c r="AI316" i="16"/>
  <c r="AK313" i="16"/>
  <c r="AI310" i="16"/>
  <c r="AK315" i="16"/>
  <c r="AJ315" i="16"/>
  <c r="AH317" i="16"/>
  <c r="AL317" i="16" s="1"/>
  <c r="AJ317" i="16"/>
  <c r="AJ316" i="16"/>
  <c r="AH315" i="16"/>
  <c r="AL315" i="16" s="1"/>
  <c r="AM308" i="16"/>
  <c r="AH316" i="16"/>
  <c r="AJ313" i="16"/>
  <c r="AH309" i="16"/>
  <c r="AL309" i="16" s="1"/>
  <c r="AM309" i="16"/>
  <c r="G59" i="4"/>
  <c r="C24" i="4"/>
  <c r="C20" i="4" s="1"/>
  <c r="D24" i="4"/>
  <c r="H42" i="4"/>
  <c r="G42" i="4"/>
  <c r="G38" i="4" s="1"/>
  <c r="D60" i="4"/>
  <c r="C60" i="4"/>
  <c r="C56" i="4" s="1"/>
  <c r="H60" i="4"/>
  <c r="G60" i="4"/>
  <c r="G56" i="4" s="1"/>
  <c r="G24" i="4"/>
  <c r="G20" i="4" s="1"/>
  <c r="H24" i="4"/>
  <c r="E59" i="4"/>
  <c r="F59" i="4"/>
  <c r="D42" i="4"/>
  <c r="C42" i="4"/>
  <c r="C38" i="4" s="1"/>
  <c r="I59" i="4"/>
  <c r="E40" i="4"/>
  <c r="I40" i="4"/>
  <c r="F58" i="4"/>
  <c r="J58" i="4"/>
  <c r="J59" i="4" s="1"/>
  <c r="E22" i="4"/>
  <c r="I22" i="4"/>
  <c r="J53" i="3"/>
  <c r="J54" i="3"/>
  <c r="J55" i="3"/>
  <c r="J52" i="3"/>
  <c r="F53" i="3"/>
  <c r="F54" i="3"/>
  <c r="F55" i="3"/>
  <c r="F52" i="3"/>
  <c r="J35" i="3"/>
  <c r="J36" i="3"/>
  <c r="J37" i="3"/>
  <c r="F35" i="3"/>
  <c r="F36" i="3"/>
  <c r="F37" i="3"/>
  <c r="J34" i="3"/>
  <c r="F34" i="3"/>
  <c r="J17" i="3"/>
  <c r="J18" i="3"/>
  <c r="J19" i="3"/>
  <c r="F17" i="3"/>
  <c r="F18" i="3"/>
  <c r="F19" i="3"/>
  <c r="F16" i="3"/>
  <c r="J16" i="3"/>
  <c r="F58" i="3"/>
  <c r="I55" i="3"/>
  <c r="H55" i="3"/>
  <c r="G55" i="3"/>
  <c r="E55" i="3"/>
  <c r="D55" i="3"/>
  <c r="C55" i="3"/>
  <c r="I54" i="3"/>
  <c r="H54" i="3"/>
  <c r="G54" i="3"/>
  <c r="E54" i="3"/>
  <c r="D54" i="3"/>
  <c r="C54" i="3"/>
  <c r="J58" i="3"/>
  <c r="J59" i="3" s="1"/>
  <c r="I53" i="3"/>
  <c r="H53" i="3"/>
  <c r="G53" i="3"/>
  <c r="E53" i="3"/>
  <c r="D53" i="3"/>
  <c r="C53" i="3"/>
  <c r="I52" i="3"/>
  <c r="I58" i="3" s="1"/>
  <c r="I59" i="3" s="1"/>
  <c r="I60" i="3" s="1"/>
  <c r="H52" i="3"/>
  <c r="H58" i="3" s="1"/>
  <c r="H59" i="3" s="1"/>
  <c r="G52" i="3"/>
  <c r="G58" i="3" s="1"/>
  <c r="G59" i="3" s="1"/>
  <c r="E52" i="3"/>
  <c r="E58" i="3" s="1"/>
  <c r="E59" i="3" s="1"/>
  <c r="E60" i="3" s="1"/>
  <c r="D52" i="3"/>
  <c r="D58" i="3" s="1"/>
  <c r="D59" i="3" s="1"/>
  <c r="C52" i="3"/>
  <c r="C58" i="3" s="1"/>
  <c r="C59" i="3" s="1"/>
  <c r="I37" i="3"/>
  <c r="H37" i="3"/>
  <c r="G37" i="3"/>
  <c r="E37" i="3"/>
  <c r="D37" i="3"/>
  <c r="C37" i="3"/>
  <c r="I36" i="3"/>
  <c r="H36" i="3"/>
  <c r="G36" i="3"/>
  <c r="E36" i="3"/>
  <c r="D36" i="3"/>
  <c r="C36" i="3"/>
  <c r="I35" i="3"/>
  <c r="H35" i="3"/>
  <c r="G35" i="3"/>
  <c r="E35" i="3"/>
  <c r="D35" i="3"/>
  <c r="C35" i="3"/>
  <c r="I34" i="3"/>
  <c r="J40" i="3" s="1"/>
  <c r="H34" i="3"/>
  <c r="H40" i="3" s="1"/>
  <c r="H41" i="3" s="1"/>
  <c r="G34" i="3"/>
  <c r="G40" i="3" s="1"/>
  <c r="G41" i="3" s="1"/>
  <c r="E34" i="3"/>
  <c r="F40" i="3" s="1"/>
  <c r="D34" i="3"/>
  <c r="D40" i="3" s="1"/>
  <c r="D41" i="3" s="1"/>
  <c r="C34" i="3"/>
  <c r="C40" i="3" s="1"/>
  <c r="C41" i="3" s="1"/>
  <c r="I19" i="3"/>
  <c r="H19" i="3"/>
  <c r="G19" i="3"/>
  <c r="E19" i="3"/>
  <c r="D19" i="3"/>
  <c r="C19" i="3"/>
  <c r="I18" i="3"/>
  <c r="H18" i="3"/>
  <c r="G18" i="3"/>
  <c r="E18" i="3"/>
  <c r="D18" i="3"/>
  <c r="C18" i="3"/>
  <c r="I17" i="3"/>
  <c r="H17" i="3"/>
  <c r="G17" i="3"/>
  <c r="E17" i="3"/>
  <c r="D17" i="3"/>
  <c r="C17" i="3"/>
  <c r="I16" i="3"/>
  <c r="H16" i="3"/>
  <c r="H22" i="3" s="1"/>
  <c r="H23" i="3" s="1"/>
  <c r="G16" i="3"/>
  <c r="E16" i="3"/>
  <c r="D16" i="3"/>
  <c r="D22" i="3" s="1"/>
  <c r="D23" i="3" s="1"/>
  <c r="C16" i="3"/>
  <c r="E12" i="3"/>
  <c r="D12" i="3"/>
  <c r="C12" i="3"/>
  <c r="C53" i="2"/>
  <c r="D53" i="2"/>
  <c r="E53" i="2"/>
  <c r="F53" i="2"/>
  <c r="F58" i="2" s="1"/>
  <c r="G53" i="2"/>
  <c r="H53" i="2"/>
  <c r="I53" i="2"/>
  <c r="J53" i="2"/>
  <c r="J58" i="2" s="1"/>
  <c r="C54" i="2"/>
  <c r="D54" i="2"/>
  <c r="E54" i="2"/>
  <c r="F54" i="2"/>
  <c r="G54" i="2"/>
  <c r="H54" i="2"/>
  <c r="I54" i="2"/>
  <c r="J54" i="2"/>
  <c r="C55" i="2"/>
  <c r="D55" i="2"/>
  <c r="E55" i="2"/>
  <c r="F55" i="2"/>
  <c r="G55" i="2"/>
  <c r="H55" i="2"/>
  <c r="I55" i="2"/>
  <c r="J55" i="2"/>
  <c r="J52" i="2"/>
  <c r="I52" i="2"/>
  <c r="H52" i="2"/>
  <c r="G52" i="2"/>
  <c r="F52" i="2"/>
  <c r="E52" i="2"/>
  <c r="D52" i="2"/>
  <c r="C58" i="2" s="1"/>
  <c r="C52" i="2"/>
  <c r="I58" i="2"/>
  <c r="H58" i="2"/>
  <c r="H59" i="2" s="1"/>
  <c r="G58" i="2"/>
  <c r="E58" i="2"/>
  <c r="D58" i="2"/>
  <c r="D59" i="2" s="1"/>
  <c r="J40" i="2"/>
  <c r="I40" i="2"/>
  <c r="J41" i="2" s="1"/>
  <c r="H40" i="2"/>
  <c r="H41" i="2" s="1"/>
  <c r="G40" i="2"/>
  <c r="G41" i="2" s="1"/>
  <c r="F40" i="2"/>
  <c r="E40" i="2"/>
  <c r="F41" i="2" s="1"/>
  <c r="D40" i="2"/>
  <c r="D41" i="2" s="1"/>
  <c r="C40" i="2"/>
  <c r="C41" i="2" s="1"/>
  <c r="C35" i="2"/>
  <c r="D35" i="2"/>
  <c r="E35" i="2"/>
  <c r="F35" i="2"/>
  <c r="G35" i="2"/>
  <c r="H35" i="2"/>
  <c r="I35" i="2"/>
  <c r="J35" i="2"/>
  <c r="C36" i="2"/>
  <c r="D36" i="2"/>
  <c r="E36" i="2"/>
  <c r="F36" i="2"/>
  <c r="G36" i="2"/>
  <c r="H36" i="2"/>
  <c r="I36" i="2"/>
  <c r="J36" i="2"/>
  <c r="C37" i="2"/>
  <c r="D37" i="2"/>
  <c r="E37" i="2"/>
  <c r="F37" i="2"/>
  <c r="G37" i="2"/>
  <c r="H37" i="2"/>
  <c r="I37" i="2"/>
  <c r="J37" i="2"/>
  <c r="J34" i="2"/>
  <c r="I34" i="2"/>
  <c r="H34" i="2"/>
  <c r="G34" i="2"/>
  <c r="F34" i="2"/>
  <c r="E34" i="2"/>
  <c r="D34" i="2"/>
  <c r="C34" i="2"/>
  <c r="C29" i="2"/>
  <c r="F28" i="2"/>
  <c r="C28" i="2"/>
  <c r="G27" i="2"/>
  <c r="F27" i="2"/>
  <c r="D27" i="2"/>
  <c r="C27" i="2"/>
  <c r="C22" i="2"/>
  <c r="C19" i="2"/>
  <c r="D19" i="2"/>
  <c r="E19" i="2"/>
  <c r="F19" i="2"/>
  <c r="G19" i="2"/>
  <c r="H19" i="2"/>
  <c r="I19" i="2"/>
  <c r="J19" i="2"/>
  <c r="C18" i="2"/>
  <c r="J18" i="2"/>
  <c r="I18" i="2"/>
  <c r="H18" i="2"/>
  <c r="G18" i="2"/>
  <c r="F18" i="2"/>
  <c r="E18" i="2"/>
  <c r="D18" i="2"/>
  <c r="J17" i="2"/>
  <c r="I17" i="2"/>
  <c r="H17" i="2"/>
  <c r="G17" i="2"/>
  <c r="F17" i="2"/>
  <c r="E17" i="2"/>
  <c r="D17" i="2"/>
  <c r="C17" i="2"/>
  <c r="E12" i="2"/>
  <c r="D12" i="2"/>
  <c r="C12" i="2"/>
  <c r="E21" i="1"/>
  <c r="D21" i="1"/>
  <c r="C21" i="1"/>
  <c r="J16" i="2"/>
  <c r="F16" i="2"/>
  <c r="G16" i="2"/>
  <c r="C16" i="2"/>
  <c r="D16" i="2"/>
  <c r="D22" i="2" s="1"/>
  <c r="I16" i="2"/>
  <c r="E16" i="2"/>
  <c r="H16" i="2"/>
  <c r="G9" i="1"/>
  <c r="G10" i="1"/>
  <c r="G8" i="1"/>
  <c r="AL314" i="16" l="1"/>
  <c r="AN314" i="16" s="1"/>
  <c r="AM317" i="16"/>
  <c r="AN317" i="16" s="1"/>
  <c r="AM315" i="16"/>
  <c r="AN315" i="16" s="1"/>
  <c r="AM313" i="16"/>
  <c r="AN313" i="16" s="1"/>
  <c r="AL316" i="16"/>
  <c r="AN309" i="16"/>
  <c r="AN308" i="16"/>
  <c r="AM316" i="16"/>
  <c r="I60" i="4"/>
  <c r="J60" i="4"/>
  <c r="J56" i="4" s="1"/>
  <c r="E60" i="4"/>
  <c r="F60" i="4"/>
  <c r="F56" i="4" s="1"/>
  <c r="F63" i="4"/>
  <c r="H56" i="4"/>
  <c r="H38" i="4"/>
  <c r="F45" i="4"/>
  <c r="J23" i="4"/>
  <c r="I23" i="4"/>
  <c r="J41" i="4"/>
  <c r="I41" i="4"/>
  <c r="F27" i="4"/>
  <c r="H20" i="4"/>
  <c r="C27" i="4"/>
  <c r="D20" i="4"/>
  <c r="F23" i="4"/>
  <c r="E23" i="4"/>
  <c r="F41" i="4"/>
  <c r="E41" i="4"/>
  <c r="D38" i="4"/>
  <c r="C45" i="4"/>
  <c r="D56" i="4"/>
  <c r="C63" i="4"/>
  <c r="F59" i="3"/>
  <c r="D24" i="3"/>
  <c r="G24" i="3"/>
  <c r="G20" i="3" s="1"/>
  <c r="H24" i="3"/>
  <c r="E40" i="3"/>
  <c r="F22" i="3"/>
  <c r="E22" i="3"/>
  <c r="J22" i="3"/>
  <c r="I22" i="3"/>
  <c r="I40" i="3"/>
  <c r="D60" i="3"/>
  <c r="C60" i="3"/>
  <c r="C56" i="3" s="1"/>
  <c r="H60" i="3"/>
  <c r="G60" i="3"/>
  <c r="G56" i="3" s="1"/>
  <c r="E56" i="3"/>
  <c r="D63" i="3"/>
  <c r="I56" i="3"/>
  <c r="F60" i="3"/>
  <c r="F56" i="3" s="1"/>
  <c r="C22" i="3"/>
  <c r="C23" i="3" s="1"/>
  <c r="C24" i="3" s="1"/>
  <c r="C20" i="3" s="1"/>
  <c r="G22" i="3"/>
  <c r="G23" i="3" s="1"/>
  <c r="D42" i="3"/>
  <c r="C42" i="3"/>
  <c r="C38" i="3" s="1"/>
  <c r="H42" i="3"/>
  <c r="G42" i="3"/>
  <c r="G38" i="3" s="1"/>
  <c r="J60" i="3"/>
  <c r="J56" i="3" s="1"/>
  <c r="C59" i="2"/>
  <c r="G59" i="2"/>
  <c r="C60" i="2"/>
  <c r="C56" i="2" s="1"/>
  <c r="D60" i="2"/>
  <c r="E59" i="2"/>
  <c r="F59" i="2"/>
  <c r="I59" i="2"/>
  <c r="J59" i="2"/>
  <c r="H60" i="2"/>
  <c r="G60" i="2"/>
  <c r="G56" i="2" s="1"/>
  <c r="D42" i="2"/>
  <c r="C42" i="2"/>
  <c r="C38" i="2" s="1"/>
  <c r="H42" i="2"/>
  <c r="G42" i="2"/>
  <c r="G38" i="2" s="1"/>
  <c r="E41" i="2"/>
  <c r="I41" i="2"/>
  <c r="D23" i="2"/>
  <c r="D24" i="2" s="1"/>
  <c r="I22" i="2"/>
  <c r="I23" i="2" s="1"/>
  <c r="H22" i="2"/>
  <c r="H23" i="2" s="1"/>
  <c r="E22" i="2"/>
  <c r="E23" i="2" s="1"/>
  <c r="J22" i="2"/>
  <c r="C23" i="2"/>
  <c r="C24" i="2" s="1"/>
  <c r="C20" i="2" s="1"/>
  <c r="G22" i="2"/>
  <c r="G23" i="2" s="1"/>
  <c r="G24" i="2" s="1"/>
  <c r="G20" i="2" s="1"/>
  <c r="H24" i="2"/>
  <c r="F22" i="2"/>
  <c r="AN316" i="16" l="1"/>
  <c r="F42" i="4"/>
  <c r="F38" i="4" s="1"/>
  <c r="E42" i="4"/>
  <c r="J42" i="4"/>
  <c r="J38" i="4" s="1"/>
  <c r="I42" i="4"/>
  <c r="E56" i="4"/>
  <c r="D63" i="4"/>
  <c r="C64" i="4" s="1"/>
  <c r="F24" i="4"/>
  <c r="F20" i="4" s="1"/>
  <c r="E24" i="4"/>
  <c r="J24" i="4"/>
  <c r="J20" i="4" s="1"/>
  <c r="I24" i="4"/>
  <c r="I56" i="4"/>
  <c r="G63" i="4"/>
  <c r="F64" i="4" s="1"/>
  <c r="H38" i="3"/>
  <c r="F45" i="3"/>
  <c r="D38" i="3"/>
  <c r="C45" i="3"/>
  <c r="G63" i="3"/>
  <c r="J41" i="3"/>
  <c r="I41" i="3"/>
  <c r="C27" i="3"/>
  <c r="D20" i="3"/>
  <c r="F27" i="3"/>
  <c r="H20" i="3"/>
  <c r="D56" i="3"/>
  <c r="C63" i="3"/>
  <c r="C64" i="3" s="1"/>
  <c r="F23" i="3"/>
  <c r="E23" i="3"/>
  <c r="F63" i="3"/>
  <c r="F64" i="3" s="1"/>
  <c r="H56" i="3"/>
  <c r="J23" i="3"/>
  <c r="I23" i="3"/>
  <c r="F41" i="3"/>
  <c r="E41" i="3"/>
  <c r="F63" i="2"/>
  <c r="H56" i="2"/>
  <c r="C63" i="2"/>
  <c r="D56" i="2"/>
  <c r="E60" i="2"/>
  <c r="F60" i="2"/>
  <c r="F56" i="2" s="1"/>
  <c r="I60" i="2"/>
  <c r="J60" i="2"/>
  <c r="J56" i="2" s="1"/>
  <c r="I42" i="2"/>
  <c r="J42" i="2"/>
  <c r="J38" i="2" s="1"/>
  <c r="F42" i="2"/>
  <c r="F38" i="2" s="1"/>
  <c r="E42" i="2"/>
  <c r="F45" i="2"/>
  <c r="H38" i="2"/>
  <c r="C45" i="2"/>
  <c r="D38" i="2"/>
  <c r="H20" i="2"/>
  <c r="D20" i="2"/>
  <c r="J23" i="2"/>
  <c r="F23" i="2"/>
  <c r="J24" i="2"/>
  <c r="J20" i="2" s="1"/>
  <c r="I24" i="2"/>
  <c r="E24" i="2"/>
  <c r="F24" i="2"/>
  <c r="F20" i="2" s="1"/>
  <c r="C65" i="4" l="1"/>
  <c r="G27" i="4"/>
  <c r="F28" i="4" s="1"/>
  <c r="I20" i="4"/>
  <c r="E20" i="4"/>
  <c r="D27" i="4"/>
  <c r="C28" i="4" s="1"/>
  <c r="G45" i="4"/>
  <c r="F46" i="4" s="1"/>
  <c r="I38" i="4"/>
  <c r="D45" i="4"/>
  <c r="C46" i="4" s="1"/>
  <c r="E38" i="4"/>
  <c r="J24" i="3"/>
  <c r="J20" i="3" s="1"/>
  <c r="I24" i="3"/>
  <c r="F24" i="3"/>
  <c r="F20" i="3" s="1"/>
  <c r="E24" i="3"/>
  <c r="J42" i="3"/>
  <c r="J38" i="3" s="1"/>
  <c r="I42" i="3"/>
  <c r="F42" i="3"/>
  <c r="F38" i="3" s="1"/>
  <c r="E42" i="3"/>
  <c r="C65" i="3"/>
  <c r="I56" i="2"/>
  <c r="G63" i="2"/>
  <c r="F64" i="2" s="1"/>
  <c r="E56" i="2"/>
  <c r="D63" i="2"/>
  <c r="C64" i="2" s="1"/>
  <c r="C65" i="2" s="1"/>
  <c r="E38" i="2"/>
  <c r="D45" i="2"/>
  <c r="C46" i="2" s="1"/>
  <c r="I38" i="2"/>
  <c r="G45" i="2"/>
  <c r="F46" i="2" s="1"/>
  <c r="I20" i="2"/>
  <c r="E20" i="2"/>
  <c r="C29" i="4" l="1"/>
  <c r="C47" i="4"/>
  <c r="D45" i="3"/>
  <c r="C46" i="3" s="1"/>
  <c r="E38" i="3"/>
  <c r="G45" i="3"/>
  <c r="F46" i="3" s="1"/>
  <c r="I38" i="3"/>
  <c r="G27" i="3"/>
  <c r="F28" i="3" s="1"/>
  <c r="I20" i="3"/>
  <c r="D27" i="3"/>
  <c r="C28" i="3" s="1"/>
  <c r="E20" i="3"/>
  <c r="C47" i="2"/>
  <c r="C29" i="3" l="1"/>
  <c r="C47" i="3"/>
</calcChain>
</file>

<file path=xl/sharedStrings.xml><?xml version="1.0" encoding="utf-8"?>
<sst xmlns="http://schemas.openxmlformats.org/spreadsheetml/2006/main" count="6436" uniqueCount="302">
  <si>
    <t>RICE Score</t>
  </si>
  <si>
    <t>Reach (Охват)</t>
  </si>
  <si>
    <t>Impact (Влияние)</t>
  </si>
  <si>
    <t>Confidence (Уверенность)</t>
  </si>
  <si>
    <t>Effort (Трудозатраты)</t>
  </si>
  <si>
    <t>Ранжирование в порядке убывания RICE</t>
  </si>
  <si>
    <t>Задача</t>
  </si>
  <si>
    <t>Параметр приоритизации</t>
  </si>
  <si>
    <t>Задача 1</t>
  </si>
  <si>
    <t>Задача 2</t>
  </si>
  <si>
    <t>Задача 3</t>
  </si>
  <si>
    <t>Количество человек, ед.</t>
  </si>
  <si>
    <t>От 0,5 до 1</t>
  </si>
  <si>
    <t>3 - Массивное влияние, 2 - Сильное, 1 - Среднее, 0,5 - Малое, 0,25 - Минимальное</t>
  </si>
  <si>
    <t>Количество недель</t>
  </si>
  <si>
    <t>RICE Score_ четкая модель</t>
  </si>
  <si>
    <t>Единоличное приняте решения (или при полном групповом консенсусе)</t>
  </si>
  <si>
    <t>Верхняя функция принадлежности</t>
  </si>
  <si>
    <t>Нижняя функция принадлежности</t>
  </si>
  <si>
    <t>R*I</t>
  </si>
  <si>
    <t>R*I*C</t>
  </si>
  <si>
    <t>R*I*C/E</t>
  </si>
  <si>
    <t>Дефаззификация при альфа=0,8</t>
  </si>
  <si>
    <t xml:space="preserve">RICE Score_нечеткая модель. Применение нормальных трапециевидных нечетких чисел 2-го типа. </t>
  </si>
  <si>
    <t>Единоличное принятие решения (или при полном групповом консенсусе).</t>
  </si>
  <si>
    <t>Верхний альфа -срез</t>
  </si>
  <si>
    <t>Нижний альфа-срез</t>
  </si>
  <si>
    <t>RICE Score_итог</t>
  </si>
  <si>
    <t>Центроид (среднее значение)</t>
  </si>
  <si>
    <r>
      <t xml:space="preserve">Расчет для случая, когда нечеткие числа имеют </t>
    </r>
    <r>
      <rPr>
        <b/>
        <sz val="11"/>
        <color theme="1"/>
        <rFont val="Calibri"/>
        <family val="2"/>
        <charset val="204"/>
        <scheme val="minor"/>
      </rPr>
      <t>несимметричные границы нечеткости</t>
    </r>
    <r>
      <rPr>
        <sz val="11"/>
        <color theme="1"/>
        <rFont val="Calibri"/>
        <family val="2"/>
        <charset val="204"/>
        <scheme val="minor"/>
      </rPr>
      <t xml:space="preserve"> (</t>
    </r>
    <r>
      <rPr>
        <b/>
        <sz val="11"/>
        <color theme="1"/>
        <rFont val="Calibri"/>
        <family val="2"/>
        <charset val="204"/>
        <scheme val="minor"/>
      </rPr>
      <t>сдвиг вправо</t>
    </r>
    <r>
      <rPr>
        <sz val="11"/>
        <color theme="1"/>
        <rFont val="Calibri"/>
        <family val="2"/>
        <charset val="204"/>
        <scheme val="minor"/>
      </rPr>
      <t xml:space="preserve"> относительно центра ядра, равного значению по четкой модели).</t>
    </r>
  </si>
  <si>
    <r>
      <t xml:space="preserve">Расчет для случая, когда нечеткие числа имеют </t>
    </r>
    <r>
      <rPr>
        <b/>
        <sz val="11"/>
        <color theme="1"/>
        <rFont val="Calibri"/>
        <family val="2"/>
        <charset val="204"/>
        <scheme val="minor"/>
      </rPr>
      <t>симметричные границы нечеткости</t>
    </r>
    <r>
      <rPr>
        <sz val="11"/>
        <color theme="1"/>
        <rFont val="Calibri"/>
        <family val="2"/>
        <charset val="204"/>
        <scheme val="minor"/>
      </rPr>
      <t xml:space="preserve"> относительно центра ядра, равного значению по четкой модели.</t>
    </r>
  </si>
  <si>
    <t>Шкалы оценок</t>
  </si>
  <si>
    <t>Охват (англ. Reach)</t>
  </si>
  <si>
    <t>Влияние (англ. Impact)</t>
  </si>
  <si>
    <t>Уверенность (англ. Confidence)</t>
  </si>
  <si>
    <t>Трудозатраты (англ. Effort)</t>
  </si>
  <si>
    <t>Возможные критерии для оценки результата с точки зрения пользователя:</t>
  </si>
  <si>
    <t>0 – ощутимое положительное влияние или реализация полностью отсутствуют</t>
  </si>
  <si>
    <t>1 - низкий уровень</t>
  </si>
  <si>
    <t>2 - уровень ниже среднего</t>
  </si>
  <si>
    <t>3 - средний уровень</t>
  </si>
  <si>
    <t>4 -выше среднего уровня</t>
  </si>
  <si>
    <t>5 - высокий уровень</t>
  </si>
  <si>
    <t>Оценка параметров задачи</t>
  </si>
  <si>
    <t>Характеристики задачи по методу RICE:</t>
  </si>
  <si>
    <t>Для оценки четких параметров применим шкалу от 0 до 5 (можно расписать для каждого критерия свою специфику),</t>
  </si>
  <si>
    <t xml:space="preserve"> если речь идет о слагаемых, или от 1 до 5 - если речь идет о множителях (чтобы нулевой показатель полностью не обнулял итог):</t>
  </si>
  <si>
    <t>2 - слабая, ниже среднего</t>
  </si>
  <si>
    <t>4 - хорошая, выше среднего</t>
  </si>
  <si>
    <t>3 - нормальная, средняя</t>
  </si>
  <si>
    <t>5 – отличная, требование полностью выполнено, результат достигнут, высокая</t>
  </si>
  <si>
    <t>1 – реализация очень слабая, низкая</t>
  </si>
  <si>
    <r>
      <t>Сложность (англ. Complexity)</t>
    </r>
    <r>
      <rPr>
        <sz val="11"/>
        <color rgb="FF0000FF"/>
        <rFont val="Calibri"/>
        <family val="2"/>
        <charset val="204"/>
        <scheme val="minor"/>
      </rPr>
      <t xml:space="preserve"> – насколько специфичными должны быть знания и уровень квалификации персонала</t>
    </r>
  </si>
  <si>
    <r>
      <t>Важность, ценность (англ. Importance/ Value)</t>
    </r>
    <r>
      <rPr>
        <sz val="11"/>
        <color rgb="FF0000FF"/>
        <rFont val="Calibri"/>
        <family val="2"/>
        <charset val="204"/>
        <scheme val="minor"/>
      </rPr>
      <t xml:space="preserve"> – польза для бизнеса/ пользователя</t>
    </r>
  </si>
  <si>
    <r>
      <t>Срочность (англ. Urgency/ Time criticality)</t>
    </r>
    <r>
      <rPr>
        <sz val="11"/>
        <color rgb="FF0000FF"/>
        <rFont val="Calibri"/>
        <family val="2"/>
        <charset val="204"/>
        <scheme val="minor"/>
      </rPr>
      <t xml:space="preserve"> – насколько быстро нужно реализовать задачу</t>
    </r>
  </si>
  <si>
    <r>
      <t>Трудоемкость (англ. Effort)</t>
    </r>
    <r>
      <rPr>
        <sz val="11"/>
        <color rgb="FF0000FF"/>
        <rFont val="Calibri"/>
        <family val="2"/>
        <charset val="204"/>
        <scheme val="minor"/>
      </rPr>
      <t xml:space="preserve"> – сколько усилий нужно, оценка масштабности задачи</t>
    </r>
  </si>
  <si>
    <r>
      <t>Удобство использования (англ. Usability)</t>
    </r>
    <r>
      <rPr>
        <sz val="11"/>
        <color rgb="FF0000FF"/>
        <rFont val="Calibri"/>
        <family val="2"/>
        <charset val="204"/>
        <scheme val="minor"/>
      </rPr>
      <t xml:space="preserve"> – насколько доступна функциональность приложения</t>
    </r>
  </si>
  <si>
    <r>
      <t>Скорость работы (англ. Performance)</t>
    </r>
    <r>
      <rPr>
        <sz val="11"/>
        <color rgb="FF0000FF"/>
        <rFont val="Calibri"/>
        <family val="2"/>
        <charset val="204"/>
        <scheme val="minor"/>
      </rPr>
      <t xml:space="preserve"> - время отклика задачи</t>
    </r>
  </si>
  <si>
    <r>
      <t>«Дружественность» интерфейса (англ. UX Quality)</t>
    </r>
    <r>
      <rPr>
        <sz val="11"/>
        <color rgb="FF0000FF"/>
        <rFont val="Calibri"/>
        <family val="2"/>
        <charset val="204"/>
        <scheme val="minor"/>
      </rPr>
      <t xml:space="preserve"> – насколько приложение интуитивно понятно для пользователя</t>
    </r>
  </si>
  <si>
    <t>No result (0)</t>
  </si>
  <si>
    <t>Low (1)</t>
  </si>
  <si>
    <t>Above Average (2)</t>
  </si>
  <si>
    <t>Average(3)</t>
  </si>
  <si>
    <t>Below Average (4)</t>
  </si>
  <si>
    <t>High (5)</t>
  </si>
  <si>
    <t>Задача 4</t>
  </si>
  <si>
    <t>Задача 5</t>
  </si>
  <si>
    <t>Задача 6</t>
  </si>
  <si>
    <t>Задача 7</t>
  </si>
  <si>
    <t>Задача 8</t>
  </si>
  <si>
    <t>Задача 9</t>
  </si>
  <si>
    <t>Задача 10</t>
  </si>
  <si>
    <t>Модуль авторизации системы управления обучением (LMS)</t>
  </si>
  <si>
    <t>FR2</t>
  </si>
  <si>
    <t>FR3</t>
  </si>
  <si>
    <t>FR4</t>
  </si>
  <si>
    <t>Информация о наличии книг по SMS</t>
  </si>
  <si>
    <t>FR5</t>
  </si>
  <si>
    <t>FR6</t>
  </si>
  <si>
    <t>FR7</t>
  </si>
  <si>
    <t>FR8</t>
  </si>
  <si>
    <t>Поздняя подача заявления на оплату книжного сбора</t>
  </si>
  <si>
    <t>FR9</t>
  </si>
  <si>
    <t>FR10</t>
  </si>
  <si>
    <t>FR1</t>
  </si>
  <si>
    <t>Универсальный код</t>
  </si>
  <si>
    <t>Функциональное требование (англ. functional requirements, FR)</t>
  </si>
  <si>
    <t>Расшифровка (пример)</t>
  </si>
  <si>
    <t>Проверка наличия книг</t>
  </si>
  <si>
    <t>Определение приоритета студента</t>
  </si>
  <si>
    <t>Кандидаты, представившие книги после установленного срока</t>
  </si>
  <si>
    <t>Скачивание научных статьей из журналов</t>
  </si>
  <si>
    <t>Скачивание научных статей из сборника материалов конференции</t>
  </si>
  <si>
    <t>Сообщение главному библиотекарю, если книга недоступна для конкретного курса</t>
  </si>
  <si>
    <t>Сообщение главному библиотекарю, если книга потерялась</t>
  </si>
  <si>
    <t>Пример применения MoSCoW</t>
  </si>
  <si>
    <t>Данные взяты из статьи</t>
  </si>
  <si>
    <t>https://ieeexplore.ieee.org/abstract/document/8342602</t>
  </si>
  <si>
    <r>
      <t>Ahmad, K. S., Ahmad, N., Tahir, H., Khan, S. Fuzzy_MoSCoW: A fuzzy based MoSCoW method for the prioritization of software requirements // In 2017 International Conference on Intelligent Computing, Instrumentation and Control Technologies (ICICICT), IEEE. 2017, July. PP. 433-437.</t>
    </r>
    <r>
      <rPr>
        <sz val="11"/>
        <color theme="1"/>
        <rFont val="Calibri"/>
        <family val="2"/>
        <charset val="204"/>
        <scheme val="minor"/>
      </rPr>
      <t>)</t>
    </r>
  </si>
  <si>
    <t>Расшифровка</t>
  </si>
  <si>
    <t>Система должна быть безопасной</t>
  </si>
  <si>
    <t>Система не должна быть дорогостоящей</t>
  </si>
  <si>
    <t>Система должна быть надежной</t>
  </si>
  <si>
    <t>Весовые коэффициенты</t>
  </si>
  <si>
    <t>Mo</t>
  </si>
  <si>
    <t>S</t>
  </si>
  <si>
    <t>Co</t>
  </si>
  <si>
    <t>W</t>
  </si>
  <si>
    <t>Приоритет каждого нефункционального требования</t>
  </si>
  <si>
    <t>Таблица 1</t>
  </si>
  <si>
    <t>Функциональные требования (FR), которые надо приоритизировать:</t>
  </si>
  <si>
    <t>Таблица 2</t>
  </si>
  <si>
    <t>Таблица 3</t>
  </si>
  <si>
    <t>Вес по таблице 2</t>
  </si>
  <si>
    <t>NFR1</t>
  </si>
  <si>
    <t>NFR2</t>
  </si>
  <si>
    <t>NFR3</t>
  </si>
  <si>
    <t>Перечень нефункциональных требований (non-functional requirements, NFR)</t>
  </si>
  <si>
    <t>Итоговый приоритет функциональной задачи</t>
  </si>
  <si>
    <t>Таблица 3_Весовые коэффициенты для нефункциональных требований</t>
  </si>
  <si>
    <t>Шкалы весовых коэффициентов для функциональных требований</t>
  </si>
  <si>
    <t>Шкалы весовых коэффициентов для нефункциональных требований</t>
  </si>
  <si>
    <t>Для функциональных требований</t>
  </si>
  <si>
    <t>Для нефункциональных требований</t>
  </si>
  <si>
    <t>Таблица 2_Весовые коэффициенты для функциональных требований</t>
  </si>
  <si>
    <t>Вес по таблице 3 (в четком виде)</t>
  </si>
  <si>
    <t>Вес в виде нечеткого трапециевидного числа 2-го типа</t>
  </si>
  <si>
    <t>Приоритет каждого нефункционального требования для функциональной задачи</t>
  </si>
  <si>
    <t>Весовые коэффициента каждого нефункционального требования для функциональной задачи</t>
  </si>
  <si>
    <t>NFR1=Mo</t>
  </si>
  <si>
    <t>NFR2=Co</t>
  </si>
  <si>
    <t>NFR3=S</t>
  </si>
  <si>
    <t>Приоритет нефункционального требования, NFR</t>
  </si>
  <si>
    <t>Приоритет функционального требования, FR</t>
  </si>
  <si>
    <t>Произведение в виде нечеткого трапециевидного числа 2-го типа</t>
  </si>
  <si>
    <t>NFR1*FR_Mo</t>
  </si>
  <si>
    <t>NFR1*FR_S</t>
  </si>
  <si>
    <t>NFR1*FR_Co</t>
  </si>
  <si>
    <t>NFR1*FR_W</t>
  </si>
  <si>
    <t>NFR2*FR_W</t>
  </si>
  <si>
    <t>NFR3*FR_Co</t>
  </si>
  <si>
    <t>NFR3*FR_W</t>
  </si>
  <si>
    <t>NFR3*FR_S</t>
  </si>
  <si>
    <t>NFR3*FR_Mo</t>
  </si>
  <si>
    <t>NFR2*FR_Co</t>
  </si>
  <si>
    <t>NFR2*FR_S</t>
  </si>
  <si>
    <t>NFR2*FR_Mo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</si>
  <si>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NF1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</si>
  <si>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NFR2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</si>
  <si>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NFR3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</si>
  <si>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r>
      <t xml:space="preserve">Весовые коэффициенты для нефункционального требования </t>
    </r>
    <r>
      <rPr>
        <b/>
        <sz val="11"/>
        <color theme="1"/>
        <rFont val="Calibri"/>
        <family val="2"/>
        <charset val="204"/>
        <scheme val="minor"/>
      </rPr>
      <t>NFR1 в нечетком виде</t>
    </r>
    <r>
      <rPr>
        <sz val="11"/>
        <color theme="1"/>
        <rFont val="Calibri"/>
        <family val="2"/>
        <scheme val="minor"/>
      </rPr>
      <t xml:space="preserve"> для функциональных задач</t>
    </r>
  </si>
  <si>
    <t>Дефаззификазия при альфа=0,8</t>
  </si>
  <si>
    <t>Верхний альфа-срез</t>
  </si>
  <si>
    <t>Расчет центроида</t>
  </si>
  <si>
    <t>Верхняя ФП</t>
  </si>
  <si>
    <t>Нижняя ФП</t>
  </si>
  <si>
    <t>Центроид_итог</t>
  </si>
  <si>
    <t>Итоговый приоритет функциональной задачи по четкой модели</t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</si>
  <si>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>NF2 в нечетком виде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</si>
  <si>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Произведение весовых коэффициентов функциональных требований FR на вес  в нефункциональном требовании </t>
    </r>
    <r>
      <rPr>
        <b/>
        <sz val="11"/>
        <color theme="1"/>
        <rFont val="Calibri"/>
        <family val="2"/>
        <charset val="204"/>
        <scheme val="minor"/>
      </rPr>
      <t xml:space="preserve">NF3 в нечетком виде </t>
    </r>
  </si>
  <si>
    <t>Расчеты Эксперта №1</t>
  </si>
  <si>
    <t>Расчеты Эксперта №2</t>
  </si>
  <si>
    <t>Расчеты Эксперта №3</t>
  </si>
  <si>
    <t>Таблица 1.1</t>
  </si>
  <si>
    <t>Таблица 1.2</t>
  </si>
  <si>
    <t>Таблица 1.3</t>
  </si>
  <si>
    <t>Таблица 2.1</t>
  </si>
  <si>
    <t>Таблица 2.2</t>
  </si>
  <si>
    <t>Таблица 2.3</t>
  </si>
  <si>
    <t>Таблица 3.1</t>
  </si>
  <si>
    <t>Таблица 3.2</t>
  </si>
  <si>
    <t>Таблица 3.3</t>
  </si>
  <si>
    <t>Вес по таблице 3.2</t>
  </si>
  <si>
    <t>Вес по таблице 2.2</t>
  </si>
  <si>
    <t>Вес по таблице 1.2</t>
  </si>
  <si>
    <t>Перечень экспертов</t>
  </si>
  <si>
    <t>Эксперт 1</t>
  </si>
  <si>
    <t>Эксперт 2</t>
  </si>
  <si>
    <t>Весовые коэффициенты для принятия решения экспертами 1 и 2</t>
  </si>
  <si>
    <t xml:space="preserve">Весовые коэффициенты для принятия решения экспертами 1, 2 и 3 </t>
  </si>
  <si>
    <t>Таблица 4_Удельные веса оценок экспертов для расчета итоговой взвешенной средней оценки</t>
  </si>
  <si>
    <t xml:space="preserve">Таблица 5_расчет взвешенного среднего рейтинга функциональных задач </t>
  </si>
  <si>
    <t>Функциональная задача</t>
  </si>
  <si>
    <t>Оценка эксперта 1</t>
  </si>
  <si>
    <t>Оценка эксперта 2</t>
  </si>
  <si>
    <t>Оценка эксперта 3</t>
  </si>
  <si>
    <t>Итоговый приритет при принятии решения экспертами 1 и 2</t>
  </si>
  <si>
    <t>Итоговый приритет при принятии решения экспертами 1, 2 и 3</t>
  </si>
  <si>
    <t>Таблица 1.2_Весовые коэффициенты для функциональных требований</t>
  </si>
  <si>
    <t>Вес по таблице 1.3 (в четком виде)</t>
  </si>
  <si>
    <t>Таблица 1.3_Весовые коэффициенты для нефункциональных требований</t>
  </si>
  <si>
    <t>Таблица 4_Весовые коэффициенты для функциональных требований</t>
  </si>
  <si>
    <t>Таблица 5_произведение веса функционального FR требования на приоритет нефункционального требовани NFR</t>
  </si>
  <si>
    <t>Таблица 1.4_Весовые коэффициенты для функциональных требований</t>
  </si>
  <si>
    <t>Таблица 1.5_произведение веса функционального FR требования на приоритет нефункционального требовани NFR</t>
  </si>
  <si>
    <t>Таблица 2.2_Весовые коэффициенты для функциональных требований</t>
  </si>
  <si>
    <t>Таблица 2.3_Весовые коэффициенты для нефункциональных требований</t>
  </si>
  <si>
    <t>Таблица 2.4_Весовые коэффициенты для функциональных требований</t>
  </si>
  <si>
    <t>Вес по таблице 2.3 (в четком виде)</t>
  </si>
  <si>
    <t>Таблица 2.5_произведение веса функционального FR требования на приоритет нефункционального требовани NFR</t>
  </si>
  <si>
    <t>Таблица 3.2_Весовые коэффициенты для функциональных требований</t>
  </si>
  <si>
    <t>Таблица 3.3_Весовые коэффициенты для нефункциональных требований</t>
  </si>
  <si>
    <t>Таблица 3.4_Весовые коэффициенты для функциональных требований</t>
  </si>
  <si>
    <t>Вес по таблице 3.3 (в четком виде)</t>
  </si>
  <si>
    <t>Таблица 3.5_произведение веса функционального FR требования на приоритет нефункционального требовани NFR</t>
  </si>
  <si>
    <t>Итоговы приоритет функционального признака в виде нечеткого числа</t>
  </si>
  <si>
    <t>Принятие решения двумя лицами - экспертами 1 и 2</t>
  </si>
  <si>
    <t>Эксперт 3</t>
  </si>
  <si>
    <t>Принятие решения тремя лицами - экспертами 1, 2 и 3</t>
  </si>
  <si>
    <t>Нечеткая оценка приортета Экспертом 1</t>
  </si>
  <si>
    <t>Нечеткая оценка приортета Экспертом 2</t>
  </si>
  <si>
    <t>Нечеткая оценка приортета Экспертом 3</t>
  </si>
  <si>
    <t>Таблица 6_Приоритетная значимость функциональных требования, расставленные экспертами в виде нечетких трапециевидных чисел 2-го типа</t>
  </si>
  <si>
    <t>Таблица 7_Расчет взвешенной средней оценки приоритета функциональных задач (оценки двух лиц - Эксперта 1 и Эксперта 2)</t>
  </si>
  <si>
    <t>Произведение нечеткой оценки на ее вес (Эксперт 1)</t>
  </si>
  <si>
    <t>Произведение нечеткой оценки на ее вес (Эксперт 2)</t>
  </si>
  <si>
    <t>Итоговы приоритет функционального признака в виде нечеткого трапециевидного числа 2-го типа (взвешенная средняя оценка двух экспертов)</t>
  </si>
  <si>
    <t>Таблица 8_Расчет взвешенной средней оценки приоритета функциональных задач (оценки трех лиц - Эксперта 1, Эксперта 2 и Эксперта 3)</t>
  </si>
  <si>
    <t>Произведение нечеткой оценки на ее вес (Эксперт 3)</t>
  </si>
  <si>
    <t>Таблица 5_Удельные веса оценок экспертов для расчета итоговой взвешенной средней оценки в виде нечетких трапециевидных чисел 2-го типа</t>
  </si>
  <si>
    <t>Таблица 4_Удельные веса оценок экспертов для расчета итоговой взвешенной средней оценки в виде нечетких трапециевидных чисел 2-го типа</t>
  </si>
  <si>
    <t>Таблица 4_Удельные веса оценок экспертов для расчета итоговой взвешенной средней оценки в виде четких параметров (с нормализацией)</t>
  </si>
  <si>
    <t>Таблица 5_Удельные веса оценок экспертов для расчета итоговой взвешенной средней оценки в виде в виде четких параметров (с нормализацией)</t>
  </si>
  <si>
    <t>Итого сумма оценок по группе</t>
  </si>
  <si>
    <t>Оценка эксперта (ненормализованная)</t>
  </si>
  <si>
    <t>Оценка эксперта (нормализованная)</t>
  </si>
  <si>
    <t>Ненормализованные весовые коэффициенты для принятия решения экспертами 1 и 2</t>
  </si>
  <si>
    <t>Итого</t>
  </si>
  <si>
    <t>Нормализованные весовые коэффициенты для принятия решения экспертами 1 и 2</t>
  </si>
  <si>
    <t xml:space="preserve">Ненормализованные весовые коэффициенты для принятия решения экспертами 1, 2 и 3 </t>
  </si>
  <si>
    <t>Матрицы согласия (AM)</t>
  </si>
  <si>
    <t>Матрицы согласия по верхним функциям принадлежности (AM_UMF)</t>
  </si>
  <si>
    <t>Матрицы согласия по нижним функциям принадлежности (AM_LMF)</t>
  </si>
  <si>
    <t>Средняя степень согласия эксперта A(Ei)</t>
  </si>
  <si>
    <t>Контроль</t>
  </si>
  <si>
    <t>Коэфициент Бета</t>
  </si>
  <si>
    <t>Коэффициент степени консенсуса эксперта CDC(Ei)</t>
  </si>
  <si>
    <t>Таблица 7_Коэффициент степени консенсуса эксперта CDCi</t>
  </si>
  <si>
    <t>Оценка эксперта 1, умноженная на соответвующий коэффициент консенсуса</t>
  </si>
  <si>
    <t>Оценка эксперта 2, умноженная на соответвующий коэффициент консенсуса</t>
  </si>
  <si>
    <t>Оценка эксперта , умноженная на соответвующий коэффициент консенсуса</t>
  </si>
  <si>
    <t>Таблица 5_ Средняя степень согласия эксперта (Ai)</t>
  </si>
  <si>
    <t>Таблица 6_ Относительная степень согласия эксперта (RADi)</t>
  </si>
  <si>
    <t xml:space="preserve">Таблица 8_Индивидуальные экспертные рейтинги функциональных задач </t>
  </si>
  <si>
    <t xml:space="preserve">Таблица 9_Коллективный рейтинг функциональных задач </t>
  </si>
  <si>
    <t>Итоговый коллективный рейтинг функциональной задачи</t>
  </si>
  <si>
    <t>Таблица 5_сортировка взвешенного среднего рейтинга функциональных задач по убыванию</t>
  </si>
  <si>
    <t>Таблица 10_сортировка коллективного рейтинга функциональных задач по убыванию</t>
  </si>
  <si>
    <t>Таблица 6_Гиперпараметры</t>
  </si>
  <si>
    <t>Значение гиперпараметра</t>
  </si>
  <si>
    <t>Альфа (величина альфа-среза)</t>
  </si>
  <si>
    <t>Бета (расчет CDCi)</t>
  </si>
  <si>
    <t>Наименование гиперпараметра</t>
  </si>
  <si>
    <t>A_U(Ei) по UMF</t>
  </si>
  <si>
    <t>A_L(Ei) по LMF</t>
  </si>
  <si>
    <t>Относительная степень согласия эксперта RAD(Ei)</t>
  </si>
  <si>
    <t>RAD_U(Ei) по UMF</t>
  </si>
  <si>
    <t>RAD_L(Ei) по LMF</t>
  </si>
  <si>
    <t>CDC_U(Ei) по UMF (beta=0.4)</t>
  </si>
  <si>
    <t>CDC_L(Ei) по LMF (beta=0.4)</t>
  </si>
  <si>
    <t>Таблица 7_Приоритетная значимость функциональных требования, расставленные экспертами в виде нечетких трапециевидных чисел 2-го типа</t>
  </si>
  <si>
    <t>Таблица 9_сортировка коллективного рейтинга функциональных задач по убыванию</t>
  </si>
  <si>
    <t>Данные по алгоритму в Python</t>
  </si>
  <si>
    <t>Коллективное принятие решений</t>
  </si>
  <si>
    <t>Hsu H.-M., Chen C.-T. Aggregation of fuzzy opinions under group decision making // Fuzzy sets and systems. 1996 May 13;79(3). PP. 279-285.</t>
  </si>
  <si>
    <t xml:space="preserve">
https://www.sciencedirect.com/science/article/pii/0165011495001859 </t>
  </si>
  <si>
    <t>FMoSCoW данные взяты из статьи</t>
  </si>
  <si>
    <t>Chen, S. M. Aggregating fuzzy opinions in the group decision-making environment // Cybernetics &amp; Systems. 1998, 29(4). PP. 363-376.</t>
  </si>
  <si>
    <t>https://www.tandfonline.com/doi/abs/10.1080/019697298125641</t>
  </si>
  <si>
    <t>Lu, C., Lan, J., Wang, Z. Aggregation of fuzzy opinions under group decision-making based on similarity and distance //Journal of Systems Science and Complexity. 2006, 19(1). PP. 63-71.</t>
  </si>
  <si>
    <t>https://link.springer.com/article/10.1007/s11424-006-0063-y</t>
  </si>
  <si>
    <t>Таблица 1_Первоначальные оценки экспертов</t>
  </si>
  <si>
    <t>Таблица 2_Удельные веса оценок экспертов для расчета итоговой взвешенной средней оценки в виде в виде четких параметров (с нормализацией)</t>
  </si>
  <si>
    <t>Таблица 3_Гиперпараметры</t>
  </si>
  <si>
    <t>Вес степени важности экспертов (y1)</t>
  </si>
  <si>
    <t>Вес относительных степеней согласия экспертов (y2)</t>
  </si>
  <si>
    <t>Максимум области определение нечетких оценок (m)</t>
  </si>
  <si>
    <t>Таблица 4_Нормализованные нечеткие оценки экспертов</t>
  </si>
  <si>
    <t>Относительная степень согласия эксперта RA(Ei)</t>
  </si>
  <si>
    <t>Коэффициент степени консенсуса эксперта C(Ei)</t>
  </si>
  <si>
    <t>Таблица 5_Результат агрегирования нечетких мнений</t>
  </si>
  <si>
    <t>Итоговы приоритет функционального признака в виде нечеткого трапециевидного числа</t>
  </si>
  <si>
    <t>Неопределенность результата агрегирования</t>
  </si>
  <si>
    <t>Ширина результата</t>
  </si>
  <si>
    <t>Нечеткая оценка приоритета Экспертом 1</t>
  </si>
  <si>
    <t>Нечеткая оценка приоритета Экспертом 2</t>
  </si>
  <si>
    <t>Нечеткая оценка приоритета Экспертом 3</t>
  </si>
  <si>
    <t xml:space="preserve">Таблица 4_Индивидуальные экспертные рейтинги функциональных задач </t>
  </si>
  <si>
    <t>Таблица 5_Нормализованные индивидуальные экспертные рейтинги функциональных задач (по максимальной оценке одного из требований)</t>
  </si>
  <si>
    <t>Таблица 6_Удельные веса оценок экспертов для расчета итоговой взвешенной средней оценки</t>
  </si>
  <si>
    <t>Таблица 7_Гиперпараметры</t>
  </si>
  <si>
    <t>Таблица 6_ Относительная степень согласия эксперта (RAi)</t>
  </si>
  <si>
    <t>Таблица 7_Коэффициент степени консенсуса эксперта Ci</t>
  </si>
  <si>
    <t>Значение нормализованного гиперпараметра</t>
  </si>
  <si>
    <t>Chen 96</t>
  </si>
  <si>
    <t>Данные по алгоритму на Python</t>
  </si>
  <si>
    <t>Таблица 4_Приоритетная значимость функциональных требования, расставленные экспертами в виде нечетких трапециевидных чисел 2-го типа</t>
  </si>
  <si>
    <t>RA_U(Ei) по UMF</t>
  </si>
  <si>
    <t>C_U(Ei) по UMF</t>
  </si>
  <si>
    <t>C_L(Ei) по LMF</t>
  </si>
  <si>
    <t>RA_L(Ei) по LMF</t>
  </si>
  <si>
    <t>Нормализация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</si>
</sst>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8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23">
    <xf numFmtId="0" fontId="0" fillId="0" borderId="0" xfId="0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3" fontId="0" fillId="0" borderId="1" xfId="0" applyNumberFormat="1" applyBorder="1"/>
    <xf numFmtId="3" fontId="7" fillId="0" borderId="1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22" xfId="0" applyBorder="1"/>
    <xf numFmtId="0" fontId="0" fillId="0" borderId="4" xfId="0" applyBorder="1"/>
    <xf numFmtId="0" fontId="0" fillId="0" borderId="23" xfId="0" applyBorder="1"/>
    <xf numFmtId="0" fontId="7" fillId="2" borderId="5" xfId="0" applyFont="1" applyFill="1" applyBorder="1"/>
    <xf numFmtId="0" fontId="7" fillId="3" borderId="21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" xfId="0" applyBorder="1"/>
    <xf numFmtId="0" fontId="0" fillId="0" borderId="28" xfId="0" applyBorder="1"/>
    <xf numFmtId="0" fontId="7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0" fillId="0" borderId="32" xfId="0" applyBorder="1"/>
    <xf numFmtId="0" fontId="7" fillId="0" borderId="18" xfId="0" applyFont="1" applyBorder="1"/>
    <xf numFmtId="0" fontId="7" fillId="2" borderId="10" xfId="0" applyFont="1" applyFill="1" applyBorder="1" applyAlignment="1">
      <alignment horizontal="center" vertical="center" wrapText="1"/>
    </xf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7" fillId="0" borderId="24" xfId="0" applyNumberFormat="1" applyFont="1" applyBorder="1"/>
    <xf numFmtId="3" fontId="7" fillId="0" borderId="25" xfId="0" applyNumberFormat="1" applyFont="1" applyBorder="1"/>
    <xf numFmtId="3" fontId="7" fillId="0" borderId="26" xfId="0" applyNumberFormat="1" applyFont="1" applyBorder="1"/>
    <xf numFmtId="3" fontId="0" fillId="0" borderId="22" xfId="0" applyNumberFormat="1" applyBorder="1"/>
    <xf numFmtId="3" fontId="0" fillId="0" borderId="4" xfId="0" applyNumberFormat="1" applyBorder="1"/>
    <xf numFmtId="3" fontId="0" fillId="0" borderId="23" xfId="0" applyNumberFormat="1" applyBorder="1"/>
    <xf numFmtId="2" fontId="0" fillId="0" borderId="22" xfId="0" applyNumberFormat="1" applyBorder="1"/>
    <xf numFmtId="2" fontId="0" fillId="0" borderId="4" xfId="0" applyNumberFormat="1" applyBorder="1"/>
    <xf numFmtId="2" fontId="0" fillId="0" borderId="23" xfId="0" applyNumberFormat="1" applyBorder="1"/>
    <xf numFmtId="0" fontId="7" fillId="4" borderId="1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/>
    </xf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5" borderId="24" xfId="0" applyNumberFormat="1" applyFill="1" applyBorder="1"/>
    <xf numFmtId="2" fontId="0" fillId="0" borderId="33" xfId="0" applyNumberFormat="1" applyBorder="1"/>
    <xf numFmtId="2" fontId="0" fillId="0" borderId="3" xfId="0" applyNumberFormat="1" applyBorder="1"/>
    <xf numFmtId="2" fontId="0" fillId="0" borderId="34" xfId="0" applyNumberFormat="1" applyBorder="1"/>
    <xf numFmtId="3" fontId="0" fillId="5" borderId="25" xfId="0" applyNumberFormat="1" applyFill="1" applyBorder="1"/>
    <xf numFmtId="3" fontId="0" fillId="5" borderId="26" xfId="0" applyNumberFormat="1" applyFill="1" applyBorder="1"/>
    <xf numFmtId="3" fontId="0" fillId="0" borderId="0" xfId="0" applyNumberFormat="1"/>
    <xf numFmtId="0" fontId="7" fillId="0" borderId="0" xfId="0" applyFont="1" applyAlignment="1">
      <alignment horizontal="center" vertical="center"/>
    </xf>
    <xf numFmtId="2" fontId="7" fillId="6" borderId="18" xfId="0" applyNumberFormat="1" applyFont="1" applyFill="1" applyBorder="1"/>
    <xf numFmtId="2" fontId="7" fillId="6" borderId="20" xfId="0" applyNumberFormat="1" applyFont="1" applyFill="1" applyBorder="1"/>
    <xf numFmtId="2" fontId="7" fillId="0" borderId="0" xfId="0" applyNumberFormat="1" applyFont="1"/>
    <xf numFmtId="2" fontId="7" fillId="7" borderId="35" xfId="0" applyNumberFormat="1" applyFont="1" applyFill="1" applyBorder="1"/>
    <xf numFmtId="4" fontId="7" fillId="0" borderId="24" xfId="0" applyNumberFormat="1" applyFont="1" applyBorder="1"/>
    <xf numFmtId="4" fontId="7" fillId="0" borderId="25" xfId="0" applyNumberFormat="1" applyFont="1" applyBorder="1"/>
    <xf numFmtId="4" fontId="7" fillId="0" borderId="26" xfId="0" applyNumberFormat="1" applyFont="1" applyBorder="1"/>
    <xf numFmtId="2" fontId="7" fillId="6" borderId="19" xfId="0" applyNumberFormat="1" applyFont="1" applyFill="1" applyBorder="1"/>
    <xf numFmtId="2" fontId="7" fillId="7" borderId="36" xfId="0" applyNumberFormat="1" applyFont="1" applyFill="1" applyBorder="1"/>
    <xf numFmtId="2" fontId="7" fillId="8" borderId="6" xfId="0" applyNumberFormat="1" applyFont="1" applyFill="1" applyBorder="1"/>
    <xf numFmtId="0" fontId="7" fillId="4" borderId="1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center"/>
    </xf>
    <xf numFmtId="4" fontId="0" fillId="0" borderId="22" xfId="0" applyNumberFormat="1" applyBorder="1"/>
    <xf numFmtId="4" fontId="0" fillId="0" borderId="4" xfId="0" applyNumberFormat="1" applyBorder="1"/>
    <xf numFmtId="4" fontId="0" fillId="0" borderId="23" xfId="0" applyNumberFormat="1" applyBorder="1"/>
    <xf numFmtId="0" fontId="6" fillId="0" borderId="0" xfId="0" applyFont="1"/>
    <xf numFmtId="0" fontId="9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0" fillId="4" borderId="37" xfId="0" applyFill="1" applyBorder="1"/>
    <xf numFmtId="0" fontId="0" fillId="0" borderId="38" xfId="0" applyBorder="1"/>
    <xf numFmtId="0" fontId="0" fillId="4" borderId="39" xfId="0" applyFill="1" applyBorder="1"/>
    <xf numFmtId="0" fontId="0" fillId="0" borderId="39" xfId="0" applyBorder="1"/>
    <xf numFmtId="0" fontId="0" fillId="0" borderId="40" xfId="0" applyBorder="1"/>
    <xf numFmtId="4" fontId="0" fillId="0" borderId="38" xfId="0" applyNumberFormat="1" applyBorder="1"/>
    <xf numFmtId="4" fontId="0" fillId="0" borderId="40" xfId="0" applyNumberFormat="1" applyBorder="1"/>
    <xf numFmtId="0" fontId="0" fillId="0" borderId="41" xfId="0" applyBorder="1"/>
    <xf numFmtId="0" fontId="0" fillId="0" borderId="42" xfId="0" applyBorder="1"/>
    <xf numFmtId="4" fontId="0" fillId="0" borderId="41" xfId="0" applyNumberFormat="1" applyBorder="1"/>
    <xf numFmtId="4" fontId="0" fillId="0" borderId="42" xfId="0" applyNumberFormat="1" applyBorder="1"/>
    <xf numFmtId="0" fontId="0" fillId="0" borderId="43" xfId="0" applyBorder="1"/>
    <xf numFmtId="0" fontId="0" fillId="4" borderId="44" xfId="0" applyFill="1" applyBorder="1"/>
    <xf numFmtId="0" fontId="0" fillId="0" borderId="44" xfId="0" applyBorder="1"/>
    <xf numFmtId="0" fontId="0" fillId="0" borderId="36" xfId="0" applyBorder="1"/>
    <xf numFmtId="4" fontId="0" fillId="0" borderId="43" xfId="0" applyNumberFormat="1" applyBorder="1"/>
    <xf numFmtId="4" fontId="0" fillId="0" borderId="36" xfId="0" applyNumberFormat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2" fillId="0" borderId="0" xfId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4" fontId="0" fillId="0" borderId="1" xfId="0" applyNumberFormat="1" applyBorder="1" applyAlignment="1">
      <alignment wrapText="1"/>
    </xf>
    <xf numFmtId="0" fontId="3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4" fontId="7" fillId="0" borderId="26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0" fillId="0" borderId="8" xfId="0" applyBorder="1"/>
    <xf numFmtId="0" fontId="4" fillId="0" borderId="13" xfId="0" applyFont="1" applyBorder="1" applyAlignment="1">
      <alignment vertical="center"/>
    </xf>
    <xf numFmtId="0" fontId="0" fillId="0" borderId="13" xfId="0" applyBorder="1"/>
    <xf numFmtId="0" fontId="4" fillId="0" borderId="37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/>
    <xf numFmtId="0" fontId="3" fillId="0" borderId="7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24" xfId="0" applyFont="1" applyBorder="1" applyAlignment="1">
      <alignment wrapText="1"/>
    </xf>
    <xf numFmtId="0" fontId="3" fillId="0" borderId="26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0" fillId="0" borderId="45" xfId="0" applyBorder="1"/>
    <xf numFmtId="0" fontId="0" fillId="0" borderId="46" xfId="0" applyBorder="1"/>
    <xf numFmtId="0" fontId="0" fillId="0" borderId="35" xfId="0" applyBorder="1"/>
    <xf numFmtId="2" fontId="3" fillId="0" borderId="38" xfId="0" applyNumberFormat="1" applyFont="1" applyBorder="1"/>
    <xf numFmtId="2" fontId="3" fillId="0" borderId="40" xfId="0" applyNumberFormat="1" applyFont="1" applyBorder="1"/>
    <xf numFmtId="2" fontId="3" fillId="0" borderId="41" xfId="0" applyNumberFormat="1" applyFont="1" applyBorder="1"/>
    <xf numFmtId="2" fontId="3" fillId="0" borderId="42" xfId="0" applyNumberFormat="1" applyFont="1" applyBorder="1"/>
    <xf numFmtId="2" fontId="3" fillId="0" borderId="43" xfId="0" applyNumberFormat="1" applyFont="1" applyBorder="1"/>
    <xf numFmtId="2" fontId="3" fillId="0" borderId="36" xfId="0" applyNumberFormat="1" applyFont="1" applyBorder="1"/>
    <xf numFmtId="2" fontId="3" fillId="0" borderId="39" xfId="0" applyNumberFormat="1" applyFont="1" applyBorder="1"/>
    <xf numFmtId="2" fontId="3" fillId="0" borderId="0" xfId="0" applyNumberFormat="1" applyFont="1"/>
    <xf numFmtId="2" fontId="3" fillId="0" borderId="44" xfId="0" applyNumberFormat="1" applyFont="1" applyBorder="1"/>
    <xf numFmtId="0" fontId="0" fillId="0" borderId="5" xfId="0" applyBorder="1" applyAlignment="1">
      <alignment wrapText="1"/>
    </xf>
    <xf numFmtId="0" fontId="13" fillId="0" borderId="0" xfId="0" applyFont="1" applyAlignment="1">
      <alignment wrapText="1"/>
    </xf>
    <xf numFmtId="164" fontId="0" fillId="0" borderId="11" xfId="0" applyNumberFormat="1" applyBorder="1"/>
    <xf numFmtId="164" fontId="0" fillId="0" borderId="14" xfId="0" applyNumberFormat="1" applyBorder="1"/>
    <xf numFmtId="0" fontId="14" fillId="0" borderId="0" xfId="0" applyFont="1" applyAlignment="1">
      <alignment wrapText="1"/>
    </xf>
    <xf numFmtId="4" fontId="0" fillId="3" borderId="1" xfId="0" applyNumberFormat="1" applyFill="1" applyBorder="1" applyAlignment="1">
      <alignment wrapText="1"/>
    </xf>
    <xf numFmtId="0" fontId="7" fillId="0" borderId="1" xfId="0" applyFont="1" applyBorder="1" applyAlignment="1">
      <alignment wrapText="1"/>
    </xf>
    <xf numFmtId="4" fontId="0" fillId="3" borderId="9" xfId="0" applyNumberFormat="1" applyFill="1" applyBorder="1" applyAlignment="1">
      <alignment wrapText="1"/>
    </xf>
    <xf numFmtId="4" fontId="0" fillId="3" borderId="11" xfId="0" applyNumberFormat="1" applyFill="1" applyBorder="1" applyAlignment="1">
      <alignment wrapText="1"/>
    </xf>
    <xf numFmtId="4" fontId="0" fillId="3" borderId="14" xfId="0" applyNumberFormat="1" applyFill="1" applyBorder="1" applyAlignment="1">
      <alignment wrapText="1"/>
    </xf>
    <xf numFmtId="0" fontId="0" fillId="3" borderId="1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37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7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0" fillId="0" borderId="47" xfId="0" applyBorder="1"/>
    <xf numFmtId="0" fontId="0" fillId="0" borderId="48" xfId="0" applyBorder="1"/>
    <xf numFmtId="0" fontId="0" fillId="0" borderId="21" xfId="0" applyBorder="1"/>
    <xf numFmtId="0" fontId="4" fillId="0" borderId="21" xfId="0" applyFont="1" applyBorder="1" applyAlignment="1">
      <alignment wrapText="1"/>
    </xf>
    <xf numFmtId="0" fontId="7" fillId="0" borderId="5" xfId="0" applyFont="1" applyBorder="1" applyAlignment="1">
      <alignment horizontal="center" vertical="center" wrapText="1"/>
    </xf>
    <xf numFmtId="0" fontId="7" fillId="0" borderId="24" xfId="0" applyFont="1" applyBorder="1" applyAlignment="1">
      <alignment wrapText="1"/>
    </xf>
    <xf numFmtId="0" fontId="7" fillId="0" borderId="26" xfId="0" applyFont="1" applyBorder="1" applyAlignment="1">
      <alignment wrapText="1"/>
    </xf>
    <xf numFmtId="0" fontId="0" fillId="0" borderId="7" xfId="0" applyBorder="1"/>
    <xf numFmtId="0" fontId="0" fillId="0" borderId="9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7" fillId="0" borderId="18" xfId="0" applyFont="1" applyBorder="1" applyAlignment="1">
      <alignment horizontal="center" vertical="center" wrapText="1"/>
    </xf>
    <xf numFmtId="0" fontId="0" fillId="9" borderId="0" xfId="0" applyFill="1"/>
    <xf numFmtId="0" fontId="0" fillId="9" borderId="10" xfId="0" applyFill="1" applyBorder="1"/>
    <xf numFmtId="0" fontId="0" fillId="9" borderId="1" xfId="0" applyFill="1" applyBorder="1"/>
    <xf numFmtId="0" fontId="0" fillId="9" borderId="11" xfId="0" applyFill="1" applyBorder="1"/>
    <xf numFmtId="0" fontId="0" fillId="9" borderId="21" xfId="0" applyFill="1" applyBorder="1"/>
    <xf numFmtId="0" fontId="0" fillId="9" borderId="22" xfId="0" applyFill="1" applyBorder="1"/>
    <xf numFmtId="0" fontId="0" fillId="9" borderId="38" xfId="0" applyFill="1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9" borderId="43" xfId="0" applyFill="1" applyBorder="1"/>
    <xf numFmtId="0" fontId="0" fillId="9" borderId="36" xfId="0" applyFill="1" applyBorder="1"/>
    <xf numFmtId="0" fontId="0" fillId="0" borderId="52" xfId="0" applyBorder="1"/>
    <xf numFmtId="0" fontId="7" fillId="0" borderId="45" xfId="0" applyFont="1" applyBorder="1" applyAlignment="1">
      <alignment horizontal="center" vertical="center" wrapText="1"/>
    </xf>
    <xf numFmtId="0" fontId="7" fillId="0" borderId="24" xfId="0" applyFont="1" applyBorder="1"/>
    <xf numFmtId="0" fontId="7" fillId="0" borderId="26" xfId="0" applyFont="1" applyBorder="1"/>
    <xf numFmtId="0" fontId="0" fillId="0" borderId="31" xfId="0" applyBorder="1"/>
    <xf numFmtId="0" fontId="7" fillId="0" borderId="49" xfId="0" applyFont="1" applyBorder="1"/>
    <xf numFmtId="0" fontId="7" fillId="0" borderId="51" xfId="0" applyFont="1" applyBorder="1"/>
    <xf numFmtId="0" fontId="7" fillId="0" borderId="53" xfId="0" applyFont="1" applyBorder="1" applyAlignment="1">
      <alignment horizontal="center" vertical="center" wrapText="1"/>
    </xf>
    <xf numFmtId="0" fontId="0" fillId="0" borderId="15" xfId="0" applyBorder="1"/>
    <xf numFmtId="0" fontId="0" fillId="9" borderId="39" xfId="0" applyFill="1" applyBorder="1"/>
    <xf numFmtId="0" fontId="0" fillId="9" borderId="44" xfId="0" applyFill="1" applyBorder="1"/>
    <xf numFmtId="0" fontId="0" fillId="7" borderId="41" xfId="0" applyFill="1" applyBorder="1"/>
    <xf numFmtId="0" fontId="15" fillId="0" borderId="0" xfId="0" applyFont="1"/>
    <xf numFmtId="4" fontId="0" fillId="0" borderId="1" xfId="0" applyNumberFormat="1" applyBorder="1"/>
    <xf numFmtId="164" fontId="0" fillId="0" borderId="1" xfId="0" applyNumberFormat="1" applyBorder="1"/>
    <xf numFmtId="4" fontId="0" fillId="0" borderId="0" xfId="0" applyNumberFormat="1"/>
    <xf numFmtId="0" fontId="2" fillId="0" borderId="0" xfId="0" applyFont="1"/>
    <xf numFmtId="0" fontId="15" fillId="0" borderId="0" xfId="0" applyFont="1" applyAlignment="1">
      <alignment horizontal="left" vertical="center" wrapText="1"/>
    </xf>
    <xf numFmtId="2" fontId="0" fillId="0" borderId="0" xfId="0" applyNumberFormat="1"/>
    <xf numFmtId="2" fontId="0" fillId="0" borderId="1" xfId="0" applyNumberFormat="1" applyBorder="1"/>
    <xf numFmtId="0" fontId="7" fillId="0" borderId="7" xfId="0" applyFont="1" applyBorder="1"/>
    <xf numFmtId="0" fontId="7" fillId="0" borderId="12" xfId="0" applyFont="1" applyBorder="1"/>
    <xf numFmtId="2" fontId="0" fillId="0" borderId="0" xfId="0" applyNumberFormat="1" applyAlignment="1">
      <alignment wrapText="1"/>
    </xf>
    <xf numFmtId="2" fontId="7" fillId="0" borderId="1" xfId="0" applyNumberFormat="1" applyFont="1" applyBorder="1" applyAlignment="1">
      <alignment wrapText="1"/>
    </xf>
    <xf numFmtId="2" fontId="0" fillId="0" borderId="47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37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48" xfId="0" applyNumberFormat="1" applyBorder="1"/>
    <xf numFmtId="2" fontId="0" fillId="0" borderId="38" xfId="0" applyNumberFormat="1" applyBorder="1"/>
    <xf numFmtId="2" fontId="0" fillId="0" borderId="40" xfId="0" applyNumberFormat="1" applyBorder="1"/>
    <xf numFmtId="2" fontId="0" fillId="0" borderId="45" xfId="0" applyNumberFormat="1" applyBorder="1"/>
    <xf numFmtId="2" fontId="0" fillId="0" borderId="41" xfId="0" applyNumberFormat="1" applyBorder="1"/>
    <xf numFmtId="2" fontId="0" fillId="0" borderId="42" xfId="0" applyNumberFormat="1" applyBorder="1"/>
    <xf numFmtId="2" fontId="0" fillId="0" borderId="46" xfId="0" applyNumberFormat="1" applyBorder="1"/>
    <xf numFmtId="2" fontId="0" fillId="0" borderId="43" xfId="0" applyNumberFormat="1" applyBorder="1"/>
    <xf numFmtId="2" fontId="0" fillId="0" borderId="36" xfId="0" applyNumberFormat="1" applyBorder="1"/>
    <xf numFmtId="2" fontId="0" fillId="0" borderId="35" xfId="0" applyNumberFormat="1" applyBorder="1"/>
    <xf numFmtId="0" fontId="16" fillId="0" borderId="0" xfId="0" applyFont="1" applyAlignment="1">
      <alignment wrapText="1"/>
    </xf>
    <xf numFmtId="2" fontId="12" fillId="0" borderId="0" xfId="1" applyNumberFormat="1" applyAlignment="1"/>
    <xf numFmtId="0" fontId="13" fillId="0" borderId="1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55" xfId="0" applyFont="1" applyBorder="1"/>
    <xf numFmtId="0" fontId="7" fillId="0" borderId="53" xfId="0" applyFont="1" applyBorder="1"/>
    <xf numFmtId="0" fontId="7" fillId="0" borderId="10" xfId="0" applyFont="1" applyBorder="1" applyAlignment="1">
      <alignment wrapText="1"/>
    </xf>
    <xf numFmtId="0" fontId="4" fillId="0" borderId="18" xfId="0" applyFont="1" applyBorder="1" applyAlignment="1">
      <alignment wrapText="1"/>
    </xf>
    <xf numFmtId="2" fontId="0" fillId="0" borderId="24" xfId="0" applyNumberFormat="1" applyBorder="1"/>
    <xf numFmtId="2" fontId="0" fillId="0" borderId="25" xfId="0" applyNumberFormat="1" applyBorder="1"/>
    <xf numFmtId="2" fontId="0" fillId="0" borderId="26" xfId="0" applyNumberFormat="1" applyBorder="1"/>
    <xf numFmtId="2" fontId="0" fillId="0" borderId="56" xfId="0" applyNumberFormat="1" applyBorder="1"/>
    <xf numFmtId="2" fontId="0" fillId="0" borderId="20" xfId="0" applyNumberFormat="1" applyBorder="1"/>
    <xf numFmtId="165" fontId="0" fillId="0" borderId="1" xfId="0" applyNumberFormat="1" applyBorder="1"/>
    <xf numFmtId="0" fontId="7" fillId="0" borderId="9" xfId="0" applyFont="1" applyBorder="1"/>
    <xf numFmtId="0" fontId="7" fillId="0" borderId="11" xfId="0" applyFont="1" applyBorder="1"/>
    <xf numFmtId="0" fontId="7" fillId="0" borderId="22" xfId="0" applyFont="1" applyBorder="1" applyAlignment="1">
      <alignment wrapText="1"/>
    </xf>
    <xf numFmtId="0" fontId="0" fillId="9" borderId="4" xfId="0" applyFill="1" applyBorder="1"/>
    <xf numFmtId="0" fontId="7" fillId="0" borderId="14" xfId="0" applyFont="1" applyBorder="1"/>
    <xf numFmtId="0" fontId="4" fillId="0" borderId="7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2" xfId="0" applyFont="1" applyBorder="1" applyAlignment="1">
      <alignment wrapText="1"/>
    </xf>
    <xf numFmtId="166" fontId="0" fillId="0" borderId="1" xfId="0" applyNumberFormat="1" applyBorder="1"/>
    <xf numFmtId="164" fontId="0" fillId="0" borderId="22" xfId="0" applyNumberFormat="1" applyBorder="1"/>
    <xf numFmtId="164" fontId="0" fillId="0" borderId="4" xfId="0" applyNumberFormat="1" applyBorder="1"/>
    <xf numFmtId="164" fontId="0" fillId="0" borderId="23" xfId="0" applyNumberFormat="1" applyBorder="1"/>
    <xf numFmtId="164" fontId="0" fillId="0" borderId="47" xfId="0" applyNumberFormat="1" applyBorder="1"/>
    <xf numFmtId="164" fontId="0" fillId="0" borderId="9" xfId="0" applyNumberFormat="1" applyBorder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/>
    <xf numFmtId="0" fontId="7" fillId="0" borderId="3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4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8" xfId="0" applyBorder="1"/>
    <xf numFmtId="0" fontId="0" fillId="0" borderId="20" xfId="0" applyBorder="1"/>
    <xf numFmtId="0" fontId="7" fillId="0" borderId="45" xfId="0" applyFont="1" applyBorder="1"/>
    <xf numFmtId="0" fontId="7" fillId="0" borderId="35" xfId="0" applyFont="1" applyBorder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40" xfId="0" applyBorder="1" applyAlignment="1">
      <alignment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164" fontId="0" fillId="0" borderId="0" xfId="0" applyNumberFormat="1"/>
    <xf numFmtId="0" fontId="0" fillId="0" borderId="0" xfId="0"/>
    <xf numFmtId="0" fontId="0" fillId="0" borderId="0" xfId="0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FFFFCC"/>
      <color rgb="FF66CCFF"/>
      <color rgb="FFCC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eexplore.ieee.org/abstract/document/834260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eeexplore.ieee.org/abstract/document/8342602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ieeexplore.ieee.org/abstract/document/8342602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ieeexplore.ieee.org/abstract/document/8342602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ieeexplore.ieee.org/abstract/document/8342602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ieeexplore.ieee.org/abstract/document/8342602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ieeexplore.ieee.org/abstract/document/834260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ieeexplore.ieee.org/abstract/document/8342602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ieeexplore.ieee.org/abstract/document/8342602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tandfonline.com/doi/abs/10.1080/019697298125641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https://www.tandfonline.com/doi/abs/10.1080/019697298125641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s://link.springer.com/article/10.1007/s11424-006-0063-y" TargetMode="External"/><Relationship Id="rId1" Type="http://schemas.openxmlformats.org/officeDocument/2006/relationships/hyperlink" Target="https://ieeexplore.ieee.org/abstract/document/834260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21"/>
  <sheetViews>
    <sheetView zoomScaleNormal="100" workbookViewId="0">
      <selection activeCell="B8" sqref="B8:B10"/>
    </sheetView>
  </sheetViews>
  <sheetFormatPr defaultRowHeight="15" x14ac:dyDescent="0.25"/>
  <cols>
    <col min="1" max="1" width="3.7109375" customWidth="1"/>
    <col min="2" max="2" width="38.42578125" customWidth="1"/>
    <col min="3" max="3" width="23.7109375" customWidth="1"/>
    <col min="4" max="4" width="30.140625" customWidth="1"/>
    <col min="5" max="5" width="30.42578125" customWidth="1"/>
    <col min="6" max="6" width="25" customWidth="1"/>
    <col min="7" max="7" width="22.85546875" customWidth="1"/>
  </cols>
  <sheetData>
    <row r="1" spans="2:7" x14ac:dyDescent="0.25">
      <c r="B1" s="1" t="s">
        <v>15</v>
      </c>
    </row>
    <row r="2" spans="2:7" x14ac:dyDescent="0.25">
      <c r="B2" s="1" t="s">
        <v>16</v>
      </c>
    </row>
    <row r="4" spans="2:7" x14ac:dyDescent="0.25">
      <c r="B4" s="262" t="s">
        <v>6</v>
      </c>
      <c r="C4" s="261" t="s">
        <v>7</v>
      </c>
      <c r="D4" s="261"/>
      <c r="E4" s="261"/>
      <c r="F4" s="261"/>
      <c r="G4" s="261" t="s">
        <v>0</v>
      </c>
    </row>
    <row r="5" spans="2:7" x14ac:dyDescent="0.25">
      <c r="B5" s="263"/>
      <c r="C5" s="4" t="s">
        <v>1</v>
      </c>
      <c r="D5" s="4" t="s">
        <v>2</v>
      </c>
      <c r="E5" s="4" t="s">
        <v>3</v>
      </c>
      <c r="F5" s="4" t="s">
        <v>4</v>
      </c>
      <c r="G5" s="261"/>
    </row>
    <row r="6" spans="2:7" ht="45" x14ac:dyDescent="0.25">
      <c r="B6" s="264"/>
      <c r="C6" s="4" t="s">
        <v>11</v>
      </c>
      <c r="D6" s="5" t="s">
        <v>13</v>
      </c>
      <c r="E6" s="4" t="s">
        <v>12</v>
      </c>
      <c r="F6" s="4" t="s">
        <v>14</v>
      </c>
      <c r="G6" s="261"/>
    </row>
    <row r="7" spans="2:7" x14ac:dyDescent="0.25"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</row>
    <row r="8" spans="2:7" x14ac:dyDescent="0.25">
      <c r="B8" s="3" t="s">
        <v>8</v>
      </c>
      <c r="C8" s="7">
        <v>10000</v>
      </c>
      <c r="D8" s="2">
        <v>1</v>
      </c>
      <c r="E8" s="2">
        <v>0.6</v>
      </c>
      <c r="F8" s="2">
        <v>10</v>
      </c>
      <c r="G8" s="8">
        <f>C8*D8*E8/F8</f>
        <v>600</v>
      </c>
    </row>
    <row r="9" spans="2:7" x14ac:dyDescent="0.25">
      <c r="B9" s="3" t="s">
        <v>9</v>
      </c>
      <c r="C9" s="7">
        <v>100</v>
      </c>
      <c r="D9" s="2">
        <v>3</v>
      </c>
      <c r="E9" s="2">
        <v>0.9</v>
      </c>
      <c r="F9" s="2">
        <v>5</v>
      </c>
      <c r="G9" s="8">
        <f t="shared" ref="G9:G10" si="0">C9*D9*E9/F9</f>
        <v>54</v>
      </c>
    </row>
    <row r="10" spans="2:7" x14ac:dyDescent="0.25">
      <c r="B10" s="3" t="s">
        <v>10</v>
      </c>
      <c r="C10" s="7">
        <v>1000</v>
      </c>
      <c r="D10" s="2">
        <v>2</v>
      </c>
      <c r="E10" s="2">
        <v>0.8</v>
      </c>
      <c r="F10" s="2">
        <v>7</v>
      </c>
      <c r="G10" s="8">
        <f t="shared" si="0"/>
        <v>228.57142857142858</v>
      </c>
    </row>
    <row r="12" spans="2:7" x14ac:dyDescent="0.25">
      <c r="B12" s="1" t="s">
        <v>0</v>
      </c>
    </row>
    <row r="13" spans="2:7" ht="15.75" thickBot="1" x14ac:dyDescent="0.3">
      <c r="B13" t="s">
        <v>5</v>
      </c>
      <c r="C13">
        <v>1</v>
      </c>
      <c r="D13">
        <v>3</v>
      </c>
      <c r="E13">
        <v>2</v>
      </c>
    </row>
    <row r="14" spans="2:7" x14ac:dyDescent="0.25">
      <c r="B14" s="268" t="s">
        <v>7</v>
      </c>
      <c r="C14" s="265" t="s">
        <v>6</v>
      </c>
      <c r="D14" s="266"/>
      <c r="E14" s="267"/>
    </row>
    <row r="15" spans="2:7" x14ac:dyDescent="0.25">
      <c r="B15" s="269"/>
      <c r="C15" s="30" t="s">
        <v>8</v>
      </c>
      <c r="D15" s="5" t="s">
        <v>9</v>
      </c>
      <c r="E15" s="21" t="s">
        <v>10</v>
      </c>
    </row>
    <row r="16" spans="2:7" ht="15.75" thickBot="1" x14ac:dyDescent="0.3">
      <c r="B16" s="25">
        <v>1</v>
      </c>
      <c r="C16" s="22">
        <v>2</v>
      </c>
      <c r="D16" s="23">
        <v>3</v>
      </c>
      <c r="E16" s="24">
        <v>4</v>
      </c>
    </row>
    <row r="17" spans="2:5" x14ac:dyDescent="0.25">
      <c r="B17" s="26" t="s">
        <v>1</v>
      </c>
      <c r="C17" s="31">
        <v>10000</v>
      </c>
      <c r="D17" s="32">
        <v>100</v>
      </c>
      <c r="E17" s="33">
        <v>1000</v>
      </c>
    </row>
    <row r="18" spans="2:5" x14ac:dyDescent="0.25">
      <c r="B18" s="27" t="s">
        <v>2</v>
      </c>
      <c r="C18" s="9">
        <v>1</v>
      </c>
      <c r="D18" s="2">
        <v>3</v>
      </c>
      <c r="E18" s="10">
        <v>2</v>
      </c>
    </row>
    <row r="19" spans="2:5" x14ac:dyDescent="0.25">
      <c r="B19" s="27" t="s">
        <v>3</v>
      </c>
      <c r="C19" s="9">
        <v>0.6</v>
      </c>
      <c r="D19" s="2">
        <v>0.9</v>
      </c>
      <c r="E19" s="10">
        <v>0.8</v>
      </c>
    </row>
    <row r="20" spans="2:5" ht="15.75" thickBot="1" x14ac:dyDescent="0.3">
      <c r="B20" s="28" t="s">
        <v>4</v>
      </c>
      <c r="C20" s="18">
        <v>10</v>
      </c>
      <c r="D20" s="19">
        <v>5</v>
      </c>
      <c r="E20" s="20">
        <v>7</v>
      </c>
    </row>
    <row r="21" spans="2:5" ht="15.75" thickBot="1" x14ac:dyDescent="0.3">
      <c r="B21" s="29" t="s">
        <v>0</v>
      </c>
      <c r="C21" s="34">
        <f>C17*C18*C19/C20</f>
        <v>600</v>
      </c>
      <c r="D21" s="35">
        <f>D17*D18*D19/D20</f>
        <v>54</v>
      </c>
      <c r="E21" s="36">
        <f>E17*E18*E19/E20</f>
        <v>228.57142857142858</v>
      </c>
    </row>
  </sheetData>
  <mergeCells count="5">
    <mergeCell ref="C4:F4"/>
    <mergeCell ref="B4:B6"/>
    <mergeCell ref="G4:G6"/>
    <mergeCell ref="C14:E14"/>
    <mergeCell ref="B14:B15"/>
  </mergeCells>
  <pageMargins left="0.70866141732283472" right="0.70866141732283472" top="0.74803149606299213" bottom="0.74803149606299213" header="0.31496062992125984" footer="0.31496062992125984"/>
  <pageSetup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0A30-01AD-4A79-8294-79BDC89AE7FD}">
  <sheetPr>
    <pageSetUpPr fitToPage="1"/>
  </sheetPr>
  <dimension ref="A1:J65"/>
  <sheetViews>
    <sheetView topLeftCell="A67" zoomScaleNormal="100" workbookViewId="0">
      <selection activeCell="A43" sqref="A43:G47"/>
    </sheetView>
  </sheetViews>
  <sheetFormatPr defaultRowHeight="15" x14ac:dyDescent="0.25"/>
  <cols>
    <col min="1" max="1" width="3.7109375" customWidth="1"/>
    <col min="2" max="2" width="32.5703125" customWidth="1"/>
    <col min="3" max="3" width="15.42578125" customWidth="1"/>
    <col min="4" max="4" width="18.28515625" customWidth="1"/>
    <col min="5" max="5" width="17.140625" customWidth="1"/>
    <col min="6" max="6" width="16.42578125" customWidth="1"/>
    <col min="7" max="7" width="14.85546875" customWidth="1"/>
    <col min="8" max="8" width="16" customWidth="1"/>
    <col min="9" max="9" width="11.42578125" customWidth="1"/>
    <col min="10" max="10" width="13.140625" customWidth="1"/>
  </cols>
  <sheetData>
    <row r="1" spans="2:10" x14ac:dyDescent="0.25">
      <c r="B1" s="1" t="s">
        <v>23</v>
      </c>
    </row>
    <row r="2" spans="2:10" x14ac:dyDescent="0.25">
      <c r="B2" s="76" t="s">
        <v>30</v>
      </c>
    </row>
    <row r="3" spans="2:10" x14ac:dyDescent="0.25">
      <c r="B3" s="1" t="s">
        <v>24</v>
      </c>
    </row>
    <row r="4" spans="2:10" ht="15.75" thickBot="1" x14ac:dyDescent="0.3"/>
    <row r="5" spans="2:10" x14ac:dyDescent="0.25">
      <c r="B5" s="268" t="s">
        <v>7</v>
      </c>
      <c r="C5" s="265" t="s">
        <v>6</v>
      </c>
      <c r="D5" s="266"/>
      <c r="E5" s="267"/>
    </row>
    <row r="6" spans="2:10" x14ac:dyDescent="0.25">
      <c r="B6" s="269"/>
      <c r="C6" s="30" t="s">
        <v>8</v>
      </c>
      <c r="D6" s="5" t="s">
        <v>9</v>
      </c>
      <c r="E6" s="21" t="s">
        <v>10</v>
      </c>
    </row>
    <row r="7" spans="2:10" ht="15.75" thickBot="1" x14ac:dyDescent="0.3">
      <c r="B7" s="25">
        <v>1</v>
      </c>
      <c r="C7" s="22">
        <v>2</v>
      </c>
      <c r="D7" s="23">
        <v>3</v>
      </c>
      <c r="E7" s="24">
        <v>4</v>
      </c>
    </row>
    <row r="8" spans="2:10" x14ac:dyDescent="0.25">
      <c r="B8" s="26" t="s">
        <v>1</v>
      </c>
      <c r="C8" s="31">
        <v>10000</v>
      </c>
      <c r="D8" s="32">
        <v>100</v>
      </c>
      <c r="E8" s="33">
        <v>1000</v>
      </c>
    </row>
    <row r="9" spans="2:10" x14ac:dyDescent="0.25">
      <c r="B9" s="27" t="s">
        <v>2</v>
      </c>
      <c r="C9" s="9">
        <v>1</v>
      </c>
      <c r="D9" s="2">
        <v>3</v>
      </c>
      <c r="E9" s="10">
        <v>2</v>
      </c>
    </row>
    <row r="10" spans="2:10" x14ac:dyDescent="0.25">
      <c r="B10" s="27" t="s">
        <v>3</v>
      </c>
      <c r="C10" s="9">
        <v>0.6</v>
      </c>
      <c r="D10" s="2">
        <v>0.9</v>
      </c>
      <c r="E10" s="10">
        <v>0.8</v>
      </c>
    </row>
    <row r="11" spans="2:10" ht="15.75" thickBot="1" x14ac:dyDescent="0.3">
      <c r="B11" s="28" t="s">
        <v>4</v>
      </c>
      <c r="C11" s="18">
        <v>10</v>
      </c>
      <c r="D11" s="19">
        <v>5</v>
      </c>
      <c r="E11" s="20">
        <v>7</v>
      </c>
    </row>
    <row r="12" spans="2:10" ht="15.75" thickBot="1" x14ac:dyDescent="0.3">
      <c r="B12" s="29" t="s">
        <v>0</v>
      </c>
      <c r="C12" s="65">
        <f>C8*C9*C10/C11</f>
        <v>600</v>
      </c>
      <c r="D12" s="66">
        <f>D8*D9*D10/D11</f>
        <v>54</v>
      </c>
      <c r="E12" s="67">
        <f>E8*E9*E10/E11</f>
        <v>228.57142857142858</v>
      </c>
    </row>
    <row r="14" spans="2:10" ht="15.75" thickBot="1" x14ac:dyDescent="0.3">
      <c r="B14" s="1" t="s">
        <v>8</v>
      </c>
      <c r="C14">
        <v>1</v>
      </c>
      <c r="D14">
        <v>2</v>
      </c>
      <c r="E14">
        <v>3</v>
      </c>
      <c r="F14">
        <v>4</v>
      </c>
      <c r="G14">
        <v>1</v>
      </c>
      <c r="H14">
        <v>2</v>
      </c>
      <c r="I14">
        <v>3</v>
      </c>
      <c r="J14">
        <v>4</v>
      </c>
    </row>
    <row r="15" spans="2:10" ht="15.75" thickBot="1" x14ac:dyDescent="0.3">
      <c r="B15" s="14" t="s">
        <v>7</v>
      </c>
      <c r="C15" s="270" t="s">
        <v>17</v>
      </c>
      <c r="D15" s="271"/>
      <c r="E15" s="271"/>
      <c r="F15" s="272"/>
      <c r="G15" s="270" t="s">
        <v>18</v>
      </c>
      <c r="H15" s="271"/>
      <c r="I15" s="271"/>
      <c r="J15" s="272"/>
    </row>
    <row r="16" spans="2:10" x14ac:dyDescent="0.25">
      <c r="B16" s="15" t="s">
        <v>1</v>
      </c>
      <c r="C16" s="37">
        <f>C8-0.03*C8</f>
        <v>9700</v>
      </c>
      <c r="D16" s="38">
        <f>C8-0.01*C8</f>
        <v>9900</v>
      </c>
      <c r="E16" s="38">
        <f>C8+0.01*C8</f>
        <v>10100</v>
      </c>
      <c r="F16" s="39">
        <f>C8+0.03*C8</f>
        <v>10300</v>
      </c>
      <c r="G16" s="37">
        <f>C8-0.02*C8</f>
        <v>9800</v>
      </c>
      <c r="H16" s="38">
        <f>C8-0.01*C8</f>
        <v>9900</v>
      </c>
      <c r="I16" s="38">
        <f>C8+0.01*C8</f>
        <v>10100</v>
      </c>
      <c r="J16" s="39">
        <f>C8+0.02*C8</f>
        <v>10200</v>
      </c>
    </row>
    <row r="17" spans="1:10" x14ac:dyDescent="0.25">
      <c r="B17" s="16" t="s">
        <v>2</v>
      </c>
      <c r="C17" s="11">
        <f>C9-0.03*C9</f>
        <v>0.97</v>
      </c>
      <c r="D17" s="12">
        <f>C9-0.01*C9</f>
        <v>0.99</v>
      </c>
      <c r="E17" s="12">
        <f>C9+0.01*C9</f>
        <v>1.01</v>
      </c>
      <c r="F17" s="13">
        <f>C9+0.03*C9</f>
        <v>1.03</v>
      </c>
      <c r="G17" s="11">
        <f>C9-0.02*C9</f>
        <v>0.98</v>
      </c>
      <c r="H17" s="12">
        <f>C9-0.01*C9</f>
        <v>0.99</v>
      </c>
      <c r="I17" s="12">
        <f>C9+0.01*C9</f>
        <v>1.01</v>
      </c>
      <c r="J17" s="13">
        <f>C9+0.02*C9</f>
        <v>1.02</v>
      </c>
    </row>
    <row r="18" spans="1:10" x14ac:dyDescent="0.25">
      <c r="B18" s="16" t="s">
        <v>3</v>
      </c>
      <c r="C18" s="40">
        <f>C10-0.03*C10</f>
        <v>0.58199999999999996</v>
      </c>
      <c r="D18" s="41">
        <f>C10-0.01*C10</f>
        <v>0.59399999999999997</v>
      </c>
      <c r="E18" s="41">
        <f>C10+0.01*C10</f>
        <v>0.60599999999999998</v>
      </c>
      <c r="F18" s="42">
        <f>C10+0.03*C10</f>
        <v>0.61799999999999999</v>
      </c>
      <c r="G18" s="40">
        <f>C10-0.02*C10</f>
        <v>0.58799999999999997</v>
      </c>
      <c r="H18" s="41">
        <f>C10-0.01*C10</f>
        <v>0.59399999999999997</v>
      </c>
      <c r="I18" s="41">
        <f>C10+0.01*C10</f>
        <v>0.60599999999999998</v>
      </c>
      <c r="J18" s="42">
        <f>C10+0.02*C10</f>
        <v>0.61199999999999999</v>
      </c>
    </row>
    <row r="19" spans="1:10" ht="15.75" thickBot="1" x14ac:dyDescent="0.3">
      <c r="B19" s="17" t="s">
        <v>4</v>
      </c>
      <c r="C19" s="54">
        <f>C11-0.03*C11</f>
        <v>9.6999999999999993</v>
      </c>
      <c r="D19" s="55">
        <f>C11-0.01*C11</f>
        <v>9.9</v>
      </c>
      <c r="E19" s="55">
        <f>C11+0.01*C11</f>
        <v>10.1</v>
      </c>
      <c r="F19" s="56">
        <f>C11+0.03*C11</f>
        <v>10.3</v>
      </c>
      <c r="G19" s="54">
        <f>C11-0.02*C11</f>
        <v>9.8000000000000007</v>
      </c>
      <c r="H19" s="55">
        <f>C11-0.01*C11</f>
        <v>9.9</v>
      </c>
      <c r="I19" s="55">
        <f>C11+0.01*C11</f>
        <v>10.1</v>
      </c>
      <c r="J19" s="56">
        <f>C11+0.02*C11</f>
        <v>10.199999999999999</v>
      </c>
    </row>
    <row r="20" spans="1:10" ht="15.75" thickBot="1" x14ac:dyDescent="0.3">
      <c r="B20" s="47" t="s">
        <v>0</v>
      </c>
      <c r="C20" s="53">
        <f>C24</f>
        <v>530.06682678168806</v>
      </c>
      <c r="D20" s="57">
        <f t="shared" ref="D20:J20" si="0">D24</f>
        <v>576.41524752475243</v>
      </c>
      <c r="E20" s="57">
        <f t="shared" si="0"/>
        <v>624.42484848484844</v>
      </c>
      <c r="F20" s="58">
        <f t="shared" si="0"/>
        <v>674.13403734312828</v>
      </c>
      <c r="G20" s="53">
        <f t="shared" si="0"/>
        <v>553.24103715322019</v>
      </c>
      <c r="H20" s="57">
        <f t="shared" si="0"/>
        <v>576.41524752475243</v>
      </c>
      <c r="I20" s="57">
        <f t="shared" si="0"/>
        <v>624.42484848484844</v>
      </c>
      <c r="J20" s="58">
        <f t="shared" si="0"/>
        <v>649.27944291398831</v>
      </c>
    </row>
    <row r="21" spans="1:10" ht="15.75" thickBot="1" x14ac:dyDescent="0.3"/>
    <row r="22" spans="1:10" x14ac:dyDescent="0.25">
      <c r="B22" s="44" t="s">
        <v>19</v>
      </c>
      <c r="C22" s="31">
        <f>C16*D17+C17*D16-D16*D17</f>
        <v>9405</v>
      </c>
      <c r="D22" s="32">
        <f>D16*D17</f>
        <v>9801</v>
      </c>
      <c r="E22" s="32">
        <f>E16*E17</f>
        <v>10201</v>
      </c>
      <c r="F22" s="33">
        <f>E16*F17+E17*F16-E16*E17</f>
        <v>10605</v>
      </c>
      <c r="G22" s="31">
        <f>G16*H17+G17*H16-H16*H17</f>
        <v>9603</v>
      </c>
      <c r="H22" s="32">
        <f>H16*H17</f>
        <v>9801</v>
      </c>
      <c r="I22" s="32">
        <f>I16*I17</f>
        <v>10201</v>
      </c>
      <c r="J22" s="33">
        <f>I16*J17+I17*J16-I16*I17</f>
        <v>10403</v>
      </c>
    </row>
    <row r="23" spans="1:10" x14ac:dyDescent="0.25">
      <c r="B23" s="45" t="s">
        <v>20</v>
      </c>
      <c r="C23" s="48">
        <f>C22*D18+C18*D22-D22*D18</f>
        <v>5468.9580000000005</v>
      </c>
      <c r="D23" s="7">
        <f>D22*D18</f>
        <v>5821.7939999999999</v>
      </c>
      <c r="E23" s="7">
        <f>E22*E18</f>
        <v>6181.8059999999996</v>
      </c>
      <c r="F23" s="49">
        <f>E22*F18+E18*F22-E18*E22</f>
        <v>6549.0420000000004</v>
      </c>
      <c r="G23" s="48">
        <f>G22*H18+G18*H22-H22*H18</f>
        <v>5645.3759999999984</v>
      </c>
      <c r="H23" s="7">
        <f>H22*H18</f>
        <v>5821.7939999999999</v>
      </c>
      <c r="I23" s="7">
        <f>I22*I18</f>
        <v>6181.8059999999996</v>
      </c>
      <c r="J23" s="49">
        <f>I22*J18+I18*J22-I18*I22</f>
        <v>6365.424</v>
      </c>
    </row>
    <row r="24" spans="1:10" ht="15.75" thickBot="1" x14ac:dyDescent="0.3">
      <c r="B24" s="46" t="s">
        <v>21</v>
      </c>
      <c r="C24" s="50">
        <f>(D23*E19-D23*F19+C23*E19)/(E19^2)</f>
        <v>530.06682678168806</v>
      </c>
      <c r="D24" s="51">
        <f>D23/E19</f>
        <v>576.41524752475243</v>
      </c>
      <c r="E24" s="51">
        <f>E23/D19</f>
        <v>624.42484848484844</v>
      </c>
      <c r="F24" s="52">
        <f>(E23*D19-E23*C19+F23*D19)/(D19^2)</f>
        <v>674.13403734312828</v>
      </c>
      <c r="G24" s="50">
        <f>(H23*I19-H23*J19+G23*I19)/(I19^2)</f>
        <v>553.24103715322019</v>
      </c>
      <c r="H24" s="51">
        <f>H23/I19</f>
        <v>576.41524752475243</v>
      </c>
      <c r="I24" s="51">
        <f>I23/H19</f>
        <v>624.42484848484844</v>
      </c>
      <c r="J24" s="52">
        <f>(I23*H19-I23*G19+J23*H19)/(H19^2)</f>
        <v>649.27944291398831</v>
      </c>
    </row>
    <row r="25" spans="1:10" x14ac:dyDescent="0.25">
      <c r="B25" s="60"/>
      <c r="C25" s="59"/>
      <c r="D25" s="59"/>
      <c r="E25" s="59"/>
      <c r="F25" s="59"/>
      <c r="G25" s="59"/>
      <c r="H25" s="59"/>
      <c r="I25" s="59"/>
      <c r="J25" s="59"/>
    </row>
    <row r="26" spans="1:10" ht="15.75" thickBot="1" x14ac:dyDescent="0.3">
      <c r="C26" s="1" t="s">
        <v>25</v>
      </c>
      <c r="F26" s="1" t="s">
        <v>26</v>
      </c>
      <c r="I26" s="59"/>
      <c r="J26" s="59"/>
    </row>
    <row r="27" spans="1:10" ht="15.75" thickBot="1" x14ac:dyDescent="0.3">
      <c r="A27" s="1">
        <v>0.8</v>
      </c>
      <c r="B27" s="43" t="s">
        <v>22</v>
      </c>
      <c r="C27" s="68">
        <f>A27*D24+(1-A27)*C24</f>
        <v>567.14556337613953</v>
      </c>
      <c r="D27" s="62">
        <f>A27*E24+(1-A27)*F24</f>
        <v>634.36668625650441</v>
      </c>
      <c r="E27" s="63"/>
      <c r="F27" s="61">
        <f>A27*H24+(1-A27)*G24</f>
        <v>571.78040545044598</v>
      </c>
      <c r="G27" s="62">
        <f>A27*I24+(1-A27)*J24</f>
        <v>629.39576737067637</v>
      </c>
      <c r="I27" s="59"/>
      <c r="J27" s="59"/>
    </row>
    <row r="28" spans="1:10" ht="15.75" thickBot="1" x14ac:dyDescent="0.3">
      <c r="A28" s="1"/>
      <c r="B28" s="71" t="s">
        <v>28</v>
      </c>
      <c r="C28" s="69">
        <f>(C27+D27)/2</f>
        <v>600.75612481632197</v>
      </c>
      <c r="D28" s="63"/>
      <c r="E28" s="63"/>
      <c r="F28" s="64">
        <f>(F27+G27)/2</f>
        <v>600.58808641056112</v>
      </c>
      <c r="G28" s="63"/>
      <c r="I28" s="59"/>
      <c r="J28" s="59"/>
    </row>
    <row r="29" spans="1:10" x14ac:dyDescent="0.25">
      <c r="B29" s="72" t="s">
        <v>27</v>
      </c>
      <c r="C29" s="70">
        <f>(C28+F28)/2</f>
        <v>600.67210561344154</v>
      </c>
      <c r="I29" s="59"/>
      <c r="J29" s="59"/>
    </row>
    <row r="30" spans="1:10" x14ac:dyDescent="0.25">
      <c r="B30" s="60"/>
      <c r="C30" s="59"/>
      <c r="D30" s="59"/>
      <c r="E30" s="59"/>
      <c r="F30" s="59"/>
      <c r="G30" s="59"/>
      <c r="H30" s="59"/>
      <c r="I30" s="59"/>
      <c r="J30" s="59"/>
    </row>
    <row r="31" spans="1:10" x14ac:dyDescent="0.25">
      <c r="B31" s="60"/>
      <c r="C31" s="59"/>
      <c r="D31" s="59"/>
      <c r="E31" s="59"/>
      <c r="F31" s="59"/>
      <c r="G31" s="59"/>
      <c r="H31" s="59"/>
      <c r="I31" s="59"/>
      <c r="J31" s="59"/>
    </row>
    <row r="32" spans="1:10" ht="15.75" thickBot="1" x14ac:dyDescent="0.3">
      <c r="B32" s="1" t="s">
        <v>9</v>
      </c>
      <c r="C32">
        <v>1</v>
      </c>
      <c r="D32">
        <v>2</v>
      </c>
      <c r="E32">
        <v>3</v>
      </c>
      <c r="F32">
        <v>4</v>
      </c>
      <c r="G32">
        <v>1</v>
      </c>
      <c r="H32">
        <v>2</v>
      </c>
      <c r="I32">
        <v>3</v>
      </c>
      <c r="J32">
        <v>4</v>
      </c>
    </row>
    <row r="33" spans="1:10" ht="15.75" thickBot="1" x14ac:dyDescent="0.3">
      <c r="B33" s="14" t="s">
        <v>7</v>
      </c>
      <c r="C33" s="270" t="s">
        <v>17</v>
      </c>
      <c r="D33" s="271"/>
      <c r="E33" s="271"/>
      <c r="F33" s="272"/>
      <c r="G33" s="270" t="s">
        <v>18</v>
      </c>
      <c r="H33" s="271"/>
      <c r="I33" s="271"/>
      <c r="J33" s="272"/>
    </row>
    <row r="34" spans="1:10" x14ac:dyDescent="0.25">
      <c r="B34" s="15" t="s">
        <v>1</v>
      </c>
      <c r="C34" s="37">
        <f>D8-0.03*D8</f>
        <v>97</v>
      </c>
      <c r="D34" s="38">
        <f>D8-0.01*D8</f>
        <v>99</v>
      </c>
      <c r="E34" s="38">
        <f>D8+0.01*D8</f>
        <v>101</v>
      </c>
      <c r="F34" s="39">
        <f>D8+0.03*D8</f>
        <v>103</v>
      </c>
      <c r="G34" s="37">
        <f>D8-0.02*D8</f>
        <v>98</v>
      </c>
      <c r="H34" s="38">
        <f>D8-0.01*D8</f>
        <v>99</v>
      </c>
      <c r="I34" s="38">
        <f>D8+0.01*D8</f>
        <v>101</v>
      </c>
      <c r="J34" s="39">
        <f>D8+0.02*D8</f>
        <v>102</v>
      </c>
    </row>
    <row r="35" spans="1:10" ht="12.75" customHeight="1" x14ac:dyDescent="0.25">
      <c r="B35" s="16" t="s">
        <v>2</v>
      </c>
      <c r="C35" s="73">
        <f t="shared" ref="C35:C37" si="1">D9-0.03*D9</f>
        <v>2.91</v>
      </c>
      <c r="D35" s="74">
        <f t="shared" ref="D35:D37" si="2">D9-0.01*D9</f>
        <v>2.97</v>
      </c>
      <c r="E35" s="74">
        <f t="shared" ref="E35:E37" si="3">D9+0.01*D9</f>
        <v>3.03</v>
      </c>
      <c r="F35" s="75">
        <f t="shared" ref="F35:F37" si="4">D9+0.03*D9</f>
        <v>3.09</v>
      </c>
      <c r="G35" s="73">
        <f t="shared" ref="G35:G37" si="5">D9-0.02*D9</f>
        <v>2.94</v>
      </c>
      <c r="H35" s="74">
        <f t="shared" ref="H35:H37" si="6">D9-0.01*D9</f>
        <v>2.97</v>
      </c>
      <c r="I35" s="74">
        <f t="shared" ref="I35:I37" si="7">D9+0.01*D9</f>
        <v>3.03</v>
      </c>
      <c r="J35" s="75">
        <f t="shared" ref="J35:J37" si="8">D9+0.02*D9</f>
        <v>3.06</v>
      </c>
    </row>
    <row r="36" spans="1:10" x14ac:dyDescent="0.25">
      <c r="B36" s="16" t="s">
        <v>3</v>
      </c>
      <c r="C36" s="73">
        <f t="shared" si="1"/>
        <v>0.873</v>
      </c>
      <c r="D36" s="74">
        <f t="shared" si="2"/>
        <v>0.89100000000000001</v>
      </c>
      <c r="E36" s="74">
        <f t="shared" si="3"/>
        <v>0.90900000000000003</v>
      </c>
      <c r="F36" s="75">
        <f t="shared" si="4"/>
        <v>0.92700000000000005</v>
      </c>
      <c r="G36" s="73">
        <f t="shared" si="5"/>
        <v>0.88200000000000001</v>
      </c>
      <c r="H36" s="74">
        <f t="shared" si="6"/>
        <v>0.89100000000000001</v>
      </c>
      <c r="I36" s="74">
        <f t="shared" si="7"/>
        <v>0.90900000000000003</v>
      </c>
      <c r="J36" s="75">
        <f t="shared" si="8"/>
        <v>0.91800000000000004</v>
      </c>
    </row>
    <row r="37" spans="1:10" ht="15.75" thickBot="1" x14ac:dyDescent="0.3">
      <c r="B37" s="17" t="s">
        <v>4</v>
      </c>
      <c r="C37" s="73">
        <f t="shared" si="1"/>
        <v>4.8499999999999996</v>
      </c>
      <c r="D37" s="74">
        <f t="shared" si="2"/>
        <v>4.95</v>
      </c>
      <c r="E37" s="74">
        <f t="shared" si="3"/>
        <v>5.05</v>
      </c>
      <c r="F37" s="75">
        <f t="shared" si="4"/>
        <v>5.15</v>
      </c>
      <c r="G37" s="73">
        <f t="shared" si="5"/>
        <v>4.9000000000000004</v>
      </c>
      <c r="H37" s="74">
        <f t="shared" si="6"/>
        <v>4.95</v>
      </c>
      <c r="I37" s="74">
        <f t="shared" si="7"/>
        <v>5.05</v>
      </c>
      <c r="J37" s="75">
        <f t="shared" si="8"/>
        <v>5.0999999999999996</v>
      </c>
    </row>
    <row r="38" spans="1:10" ht="15.75" thickBot="1" x14ac:dyDescent="0.3">
      <c r="B38" s="47" t="s">
        <v>0</v>
      </c>
      <c r="C38" s="53">
        <f>C42</f>
        <v>47.706014410351919</v>
      </c>
      <c r="D38" s="57">
        <f t="shared" ref="D38:J38" si="9">D42</f>
        <v>51.877372277227735</v>
      </c>
      <c r="E38" s="57">
        <f t="shared" si="9"/>
        <v>56.198236363636362</v>
      </c>
      <c r="F38" s="58">
        <f t="shared" si="9"/>
        <v>60.672063360881552</v>
      </c>
      <c r="G38" s="53">
        <f t="shared" si="9"/>
        <v>49.791693343789817</v>
      </c>
      <c r="H38" s="57">
        <f t="shared" si="9"/>
        <v>51.877372277227735</v>
      </c>
      <c r="I38" s="57">
        <f t="shared" si="9"/>
        <v>56.198236363636362</v>
      </c>
      <c r="J38" s="58">
        <f t="shared" si="9"/>
        <v>58.43514986225896</v>
      </c>
    </row>
    <row r="39" spans="1:10" ht="15.75" thickBot="1" x14ac:dyDescent="0.3"/>
    <row r="40" spans="1:10" x14ac:dyDescent="0.25">
      <c r="B40" s="44" t="s">
        <v>19</v>
      </c>
      <c r="C40" s="31">
        <f>C34*D35+C35*D34-D34*D35</f>
        <v>282.15000000000003</v>
      </c>
      <c r="D40" s="32">
        <f>D34*D35</f>
        <v>294.03000000000003</v>
      </c>
      <c r="E40" s="32">
        <f>E34*E35</f>
        <v>306.02999999999997</v>
      </c>
      <c r="F40" s="33">
        <f>E34*F35+E35*F34-E34*E35</f>
        <v>318.14999999999998</v>
      </c>
      <c r="G40" s="31">
        <f>G34*H35+G35*H34-H34*H35</f>
        <v>288.08999999999997</v>
      </c>
      <c r="H40" s="32">
        <f>H34*H35</f>
        <v>294.03000000000003</v>
      </c>
      <c r="I40" s="32">
        <f>I34*I35</f>
        <v>306.02999999999997</v>
      </c>
      <c r="J40" s="33">
        <f>I34*J35+I35*J34-I34*I35</f>
        <v>312.09000000000003</v>
      </c>
    </row>
    <row r="41" spans="1:10" x14ac:dyDescent="0.25">
      <c r="B41" s="45" t="s">
        <v>20</v>
      </c>
      <c r="C41" s="48">
        <f>C40*D36+C36*D40-D40*D36</f>
        <v>246.10311000000002</v>
      </c>
      <c r="D41" s="7">
        <f>D40*D36</f>
        <v>261.98073000000005</v>
      </c>
      <c r="E41" s="7">
        <f>E40*E36</f>
        <v>278.18126999999998</v>
      </c>
      <c r="F41" s="49">
        <f>E40*F36+E36*F40-E36*E40</f>
        <v>294.70688999999999</v>
      </c>
      <c r="G41" s="48">
        <f>G40*H36+G36*H40-H40*H36</f>
        <v>254.04191999999995</v>
      </c>
      <c r="H41" s="7">
        <f>H40*H36</f>
        <v>261.98073000000005</v>
      </c>
      <c r="I41" s="7">
        <f>I40*I36</f>
        <v>278.18126999999998</v>
      </c>
      <c r="J41" s="49">
        <f>I40*J36+I36*J40-I36*I40</f>
        <v>286.44408000000004</v>
      </c>
    </row>
    <row r="42" spans="1:10" ht="15.75" thickBot="1" x14ac:dyDescent="0.3">
      <c r="B42" s="46" t="s">
        <v>21</v>
      </c>
      <c r="C42" s="50">
        <f>(D41*E37-D41*F37+C41*E37)/(E37^2)</f>
        <v>47.706014410351919</v>
      </c>
      <c r="D42" s="51">
        <f>D41/E37</f>
        <v>51.877372277227735</v>
      </c>
      <c r="E42" s="51">
        <f>E41/D37</f>
        <v>56.198236363636362</v>
      </c>
      <c r="F42" s="52">
        <f>(E41*D37-E41*C37+F41*D37)/(D37^2)</f>
        <v>60.672063360881552</v>
      </c>
      <c r="G42" s="50">
        <f>(H41*I37-H41*J37+G41*I37)/(I37^2)</f>
        <v>49.791693343789817</v>
      </c>
      <c r="H42" s="51">
        <f>H41/I37</f>
        <v>51.877372277227735</v>
      </c>
      <c r="I42" s="51">
        <f>I41/H37</f>
        <v>56.198236363636362</v>
      </c>
      <c r="J42" s="52">
        <f>(I41*H37-I41*G37+J41*H37)/(H37^2)</f>
        <v>58.43514986225896</v>
      </c>
    </row>
    <row r="43" spans="1:10" x14ac:dyDescent="0.25">
      <c r="B43" s="60"/>
      <c r="C43" s="59"/>
      <c r="D43" s="59"/>
      <c r="E43" s="59"/>
      <c r="F43" s="59"/>
      <c r="G43" s="59"/>
      <c r="H43" s="59"/>
      <c r="I43" s="59"/>
      <c r="J43" s="59"/>
    </row>
    <row r="44" spans="1:10" ht="15.75" thickBot="1" x14ac:dyDescent="0.3">
      <c r="C44" s="1" t="s">
        <v>25</v>
      </c>
      <c r="F44" s="1" t="s">
        <v>26</v>
      </c>
      <c r="I44" s="59"/>
      <c r="J44" s="59"/>
    </row>
    <row r="45" spans="1:10" ht="15.75" thickBot="1" x14ac:dyDescent="0.3">
      <c r="A45" s="1">
        <v>0.8</v>
      </c>
      <c r="B45" s="43" t="s">
        <v>22</v>
      </c>
      <c r="C45" s="68">
        <f>A45*D42+(1-A45)*C42</f>
        <v>51.043100703852573</v>
      </c>
      <c r="D45" s="62">
        <f>A45*E42+(1-A45)*F42</f>
        <v>57.093001763085397</v>
      </c>
      <c r="E45" s="63"/>
      <c r="F45" s="61">
        <f>A45*H42+(1-A45)*G42</f>
        <v>51.460236490540154</v>
      </c>
      <c r="G45" s="62">
        <f>A45*I42+(1-A45)*J42</f>
        <v>56.645619063360883</v>
      </c>
      <c r="I45" s="59"/>
      <c r="J45" s="59"/>
    </row>
    <row r="46" spans="1:10" ht="15.75" thickBot="1" x14ac:dyDescent="0.3">
      <c r="A46" s="1"/>
      <c r="B46" s="71" t="s">
        <v>28</v>
      </c>
      <c r="C46" s="69">
        <f>(C45+D45)/2</f>
        <v>54.068051233468985</v>
      </c>
      <c r="D46" s="63"/>
      <c r="E46" s="63"/>
      <c r="F46" s="64">
        <f>(F45+G45)/2</f>
        <v>54.052927776950519</v>
      </c>
      <c r="G46" s="63"/>
      <c r="I46" s="59"/>
      <c r="J46" s="59"/>
    </row>
    <row r="47" spans="1:10" x14ac:dyDescent="0.25">
      <c r="B47" s="72" t="s">
        <v>27</v>
      </c>
      <c r="C47" s="70">
        <f>(C46+F46)/2</f>
        <v>54.060489505209752</v>
      </c>
      <c r="I47" s="59"/>
      <c r="J47" s="59"/>
    </row>
    <row r="50" spans="1:10" ht="15.75" thickBot="1" x14ac:dyDescent="0.3">
      <c r="B50" s="1" t="s">
        <v>10</v>
      </c>
      <c r="C50">
        <v>1</v>
      </c>
      <c r="D50">
        <v>2</v>
      </c>
      <c r="E50">
        <v>3</v>
      </c>
      <c r="F50">
        <v>4</v>
      </c>
      <c r="G50">
        <v>1</v>
      </c>
      <c r="H50">
        <v>2</v>
      </c>
      <c r="I50">
        <v>3</v>
      </c>
      <c r="J50">
        <v>4</v>
      </c>
    </row>
    <row r="51" spans="1:10" ht="15.75" thickBot="1" x14ac:dyDescent="0.3">
      <c r="B51" s="14" t="s">
        <v>7</v>
      </c>
      <c r="C51" s="270" t="s">
        <v>17</v>
      </c>
      <c r="D51" s="271"/>
      <c r="E51" s="271"/>
      <c r="F51" s="272"/>
      <c r="G51" s="270" t="s">
        <v>18</v>
      </c>
      <c r="H51" s="271"/>
      <c r="I51" s="271"/>
      <c r="J51" s="272"/>
    </row>
    <row r="52" spans="1:10" x14ac:dyDescent="0.25">
      <c r="B52" s="15" t="s">
        <v>1</v>
      </c>
      <c r="C52" s="37">
        <f>E8-0.03*E8</f>
        <v>970</v>
      </c>
      <c r="D52" s="38">
        <f>E8-0.01*E8</f>
        <v>990</v>
      </c>
      <c r="E52" s="38">
        <f>E8+0.01*E8</f>
        <v>1010</v>
      </c>
      <c r="F52" s="39">
        <f>E8+0.03*E8</f>
        <v>1030</v>
      </c>
      <c r="G52" s="37">
        <f>E8-0.02*E8</f>
        <v>980</v>
      </c>
      <c r="H52" s="38">
        <f>E8-0.01*E8</f>
        <v>990</v>
      </c>
      <c r="I52" s="38">
        <f>E8+0.01*E8</f>
        <v>1010</v>
      </c>
      <c r="J52" s="39">
        <f>E8+0.02*E8</f>
        <v>1020</v>
      </c>
    </row>
    <row r="53" spans="1:10" x14ac:dyDescent="0.25">
      <c r="B53" s="16" t="s">
        <v>2</v>
      </c>
      <c r="C53" s="73">
        <f t="shared" ref="C53:C55" si="10">E9-0.03*E9</f>
        <v>1.94</v>
      </c>
      <c r="D53" s="74">
        <f t="shared" ref="D53:D55" si="11">E9-0.01*E9</f>
        <v>1.98</v>
      </c>
      <c r="E53" s="74">
        <f t="shared" ref="E53:E55" si="12">E9+0.01*E9</f>
        <v>2.02</v>
      </c>
      <c r="F53" s="75">
        <f t="shared" ref="F53:F55" si="13">E9+0.03*E9</f>
        <v>2.06</v>
      </c>
      <c r="G53" s="73">
        <f t="shared" ref="G53:G55" si="14">E9-0.02*E9</f>
        <v>1.96</v>
      </c>
      <c r="H53" s="74">
        <f t="shared" ref="H53:H55" si="15">E9-0.01*E9</f>
        <v>1.98</v>
      </c>
      <c r="I53" s="74">
        <f t="shared" ref="I53:I55" si="16">E9+0.01*E9</f>
        <v>2.02</v>
      </c>
      <c r="J53" s="75">
        <f t="shared" ref="J53:J55" si="17">E9+0.02*E9</f>
        <v>2.04</v>
      </c>
    </row>
    <row r="54" spans="1:10" x14ac:dyDescent="0.25">
      <c r="B54" s="16" t="s">
        <v>3</v>
      </c>
      <c r="C54" s="73">
        <f t="shared" si="10"/>
        <v>0.77600000000000002</v>
      </c>
      <c r="D54" s="74">
        <f t="shared" si="11"/>
        <v>0.79200000000000004</v>
      </c>
      <c r="E54" s="74">
        <f t="shared" si="12"/>
        <v>0.80800000000000005</v>
      </c>
      <c r="F54" s="75">
        <f t="shared" si="13"/>
        <v>0.82400000000000007</v>
      </c>
      <c r="G54" s="73">
        <f t="shared" si="14"/>
        <v>0.78400000000000003</v>
      </c>
      <c r="H54" s="74">
        <f t="shared" si="15"/>
        <v>0.79200000000000004</v>
      </c>
      <c r="I54" s="74">
        <f t="shared" si="16"/>
        <v>0.80800000000000005</v>
      </c>
      <c r="J54" s="75">
        <f t="shared" si="17"/>
        <v>0.81600000000000006</v>
      </c>
    </row>
    <row r="55" spans="1:10" ht="15.75" thickBot="1" x14ac:dyDescent="0.3">
      <c r="B55" s="17" t="s">
        <v>4</v>
      </c>
      <c r="C55" s="73">
        <f t="shared" si="10"/>
        <v>6.79</v>
      </c>
      <c r="D55" s="74">
        <f t="shared" si="11"/>
        <v>6.93</v>
      </c>
      <c r="E55" s="74">
        <f t="shared" si="12"/>
        <v>7.07</v>
      </c>
      <c r="F55" s="75">
        <f t="shared" si="13"/>
        <v>7.21</v>
      </c>
      <c r="G55" s="73">
        <f t="shared" si="14"/>
        <v>6.86</v>
      </c>
      <c r="H55" s="74">
        <f t="shared" si="15"/>
        <v>6.93</v>
      </c>
      <c r="I55" s="74">
        <f t="shared" si="16"/>
        <v>7.07</v>
      </c>
      <c r="J55" s="75">
        <f t="shared" si="17"/>
        <v>7.14</v>
      </c>
    </row>
    <row r="56" spans="1:10" ht="15.75" thickBot="1" x14ac:dyDescent="0.3">
      <c r="B56" s="47" t="s">
        <v>0</v>
      </c>
      <c r="C56" s="53">
        <f>C60</f>
        <v>201.93021972635739</v>
      </c>
      <c r="D56" s="57">
        <f t="shared" ref="D56:J56" si="18">D60</f>
        <v>219.58676096181048</v>
      </c>
      <c r="E56" s="57">
        <f t="shared" si="18"/>
        <v>237.87613275613279</v>
      </c>
      <c r="F56" s="58">
        <f t="shared" si="18"/>
        <v>256.81296660690606</v>
      </c>
      <c r="G56" s="53">
        <f t="shared" si="18"/>
        <v>210.75849034408392</v>
      </c>
      <c r="H56" s="57">
        <f t="shared" si="18"/>
        <v>219.58676096181048</v>
      </c>
      <c r="I56" s="57">
        <f t="shared" si="18"/>
        <v>237.87613275613279</v>
      </c>
      <c r="J56" s="58">
        <f t="shared" si="18"/>
        <v>247.34454968151948</v>
      </c>
    </row>
    <row r="57" spans="1:10" ht="15.75" thickBot="1" x14ac:dyDescent="0.3"/>
    <row r="58" spans="1:10" x14ac:dyDescent="0.25">
      <c r="B58" s="44" t="s">
        <v>19</v>
      </c>
      <c r="C58" s="31">
        <f>C52*D53+C53*D52-D52*D53</f>
        <v>1880.9999999999998</v>
      </c>
      <c r="D58" s="32">
        <f>D52*D53</f>
        <v>1960.2</v>
      </c>
      <c r="E58" s="32">
        <f>E52*E53</f>
        <v>2040.2</v>
      </c>
      <c r="F58" s="33">
        <f>E52*F53+E53*F52-E52*E53</f>
        <v>2121</v>
      </c>
      <c r="G58" s="31">
        <f>G52*H53+G53*H52-H52*H53</f>
        <v>1920.6000000000001</v>
      </c>
      <c r="H58" s="32">
        <f>H52*H53</f>
        <v>1960.2</v>
      </c>
      <c r="I58" s="32">
        <f>I52*I53</f>
        <v>2040.2</v>
      </c>
      <c r="J58" s="33">
        <f>I52*J53+I53*J52-I52*I53</f>
        <v>2080.6000000000004</v>
      </c>
    </row>
    <row r="59" spans="1:10" x14ac:dyDescent="0.25">
      <c r="B59" s="45" t="s">
        <v>20</v>
      </c>
      <c r="C59" s="48">
        <f>C58*D54+C54*D58-D58*D54</f>
        <v>1458.3887999999999</v>
      </c>
      <c r="D59" s="7">
        <f>D58*D54</f>
        <v>1552.4784000000002</v>
      </c>
      <c r="E59" s="7">
        <f>E58*E54</f>
        <v>1648.4816000000001</v>
      </c>
      <c r="F59" s="49">
        <f>E58*F54+E54*F58-E54*E58</f>
        <v>1746.4112000000005</v>
      </c>
      <c r="G59" s="48">
        <f>G58*H54+G54*H58-H58*H54</f>
        <v>1505.4336000000001</v>
      </c>
      <c r="H59" s="7">
        <f>H58*H54</f>
        <v>1552.4784000000002</v>
      </c>
      <c r="I59" s="7">
        <f>I58*I54</f>
        <v>1648.4816000000001</v>
      </c>
      <c r="J59" s="49">
        <f>I58*J54+I54*J58-I54*I58</f>
        <v>1697.4464000000007</v>
      </c>
    </row>
    <row r="60" spans="1:10" ht="15.75" thickBot="1" x14ac:dyDescent="0.3">
      <c r="B60" s="46" t="s">
        <v>21</v>
      </c>
      <c r="C60" s="50">
        <f>(D59*E55-D59*F55+C59*E55)/(E55^2)</f>
        <v>201.93021972635739</v>
      </c>
      <c r="D60" s="51">
        <f>D59/E55</f>
        <v>219.58676096181048</v>
      </c>
      <c r="E60" s="51">
        <f>E59/D55</f>
        <v>237.87613275613279</v>
      </c>
      <c r="F60" s="52">
        <f>(E59*D55-E59*C55+F59*D55)/(D55^2)</f>
        <v>256.81296660690606</v>
      </c>
      <c r="G60" s="50">
        <f>(H59*I55-H59*J55+G59*I55)/(I55^2)</f>
        <v>210.75849034408392</v>
      </c>
      <c r="H60" s="51">
        <f>H59/I55</f>
        <v>219.58676096181048</v>
      </c>
      <c r="I60" s="51">
        <f>I59/H55</f>
        <v>237.87613275613279</v>
      </c>
      <c r="J60" s="52">
        <f>(I59*H55-I59*G55+J59*H55)/(H55^2)</f>
        <v>247.34454968151948</v>
      </c>
    </row>
    <row r="61" spans="1:10" x14ac:dyDescent="0.25">
      <c r="B61" s="60"/>
      <c r="C61" s="59"/>
      <c r="D61" s="59"/>
      <c r="E61" s="59"/>
      <c r="F61" s="59"/>
      <c r="G61" s="59"/>
      <c r="H61" s="59"/>
      <c r="I61" s="59"/>
      <c r="J61" s="59"/>
    </row>
    <row r="62" spans="1:10" ht="15.75" thickBot="1" x14ac:dyDescent="0.3">
      <c r="C62" s="1" t="s">
        <v>25</v>
      </c>
      <c r="F62" s="1" t="s">
        <v>26</v>
      </c>
      <c r="I62" s="59"/>
      <c r="J62" s="59"/>
    </row>
    <row r="63" spans="1:10" ht="15.75" thickBot="1" x14ac:dyDescent="0.3">
      <c r="A63" s="1">
        <v>0.8</v>
      </c>
      <c r="B63" s="43" t="s">
        <v>22</v>
      </c>
      <c r="C63" s="68">
        <f>A63*D60+(1-A63)*C60</f>
        <v>216.05545271471988</v>
      </c>
      <c r="D63" s="62">
        <f>A63*E60+(1-A63)*F60</f>
        <v>241.66349952628747</v>
      </c>
      <c r="E63" s="63"/>
      <c r="F63" s="61">
        <f>A63*H60+(1-A63)*G60</f>
        <v>217.82110683826519</v>
      </c>
      <c r="G63" s="62">
        <f>A63*I60+(1-A63)*J60</f>
        <v>239.76981614121013</v>
      </c>
      <c r="I63" s="59"/>
      <c r="J63" s="59"/>
    </row>
    <row r="64" spans="1:10" ht="15.75" thickBot="1" x14ac:dyDescent="0.3">
      <c r="A64" s="1"/>
      <c r="B64" s="71" t="s">
        <v>28</v>
      </c>
      <c r="C64" s="69">
        <f>(C63+D63)/2</f>
        <v>228.85947612050367</v>
      </c>
      <c r="D64" s="63"/>
      <c r="E64" s="63"/>
      <c r="F64" s="64">
        <f>(F63+G63)/2</f>
        <v>228.79546148973765</v>
      </c>
      <c r="G64" s="63"/>
      <c r="I64" s="59"/>
      <c r="J64" s="59"/>
    </row>
    <row r="65" spans="2:10" x14ac:dyDescent="0.25">
      <c r="B65" s="72" t="s">
        <v>27</v>
      </c>
      <c r="C65" s="70">
        <f>(C64+F64)/2</f>
        <v>228.82746880512065</v>
      </c>
      <c r="I65" s="59"/>
      <c r="J65" s="59"/>
    </row>
  </sheetData>
  <mergeCells count="8">
    <mergeCell ref="B5:B6"/>
    <mergeCell ref="C5:E5"/>
    <mergeCell ref="C33:F33"/>
    <mergeCell ref="G33:J33"/>
    <mergeCell ref="C51:F51"/>
    <mergeCell ref="G51:J51"/>
    <mergeCell ref="C15:F15"/>
    <mergeCell ref="G15:J15"/>
  </mergeCells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F163-E59E-47A0-8BE3-60FB75440B97}">
  <dimension ref="A1:J30"/>
  <sheetViews>
    <sheetView topLeftCell="B43" workbookViewId="0">
      <selection activeCell="B21" sqref="B21:C24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11.42578125" customWidth="1"/>
    <col min="5" max="5" width="12.140625" customWidth="1"/>
    <col min="6" max="6" width="11.7109375" customWidth="1"/>
    <col min="10" max="10" width="17.85546875" customWidth="1"/>
  </cols>
  <sheetData>
    <row r="1" spans="1:10" x14ac:dyDescent="0.25">
      <c r="A1" s="1" t="s">
        <v>95</v>
      </c>
      <c r="B1" s="98"/>
      <c r="C1" s="98"/>
    </row>
    <row r="2" spans="1:10" x14ac:dyDescent="0.25">
      <c r="A2" s="1" t="s">
        <v>96</v>
      </c>
      <c r="B2" s="101" t="s">
        <v>97</v>
      </c>
      <c r="C2" s="98"/>
    </row>
    <row r="3" spans="1:10" ht="30" customHeight="1" x14ac:dyDescent="0.25">
      <c r="A3" s="274" t="s">
        <v>98</v>
      </c>
      <c r="B3" s="275"/>
      <c r="C3" s="275"/>
      <c r="D3" s="276"/>
      <c r="E3" s="276"/>
    </row>
    <row r="4" spans="1:10" x14ac:dyDescent="0.25">
      <c r="A4" s="1" t="s">
        <v>110</v>
      </c>
      <c r="B4" s="99"/>
      <c r="C4" s="99"/>
    </row>
    <row r="5" spans="1:10" x14ac:dyDescent="0.25">
      <c r="A5" s="100" t="s">
        <v>109</v>
      </c>
      <c r="B5" s="99"/>
      <c r="C5" s="99"/>
    </row>
    <row r="6" spans="1:10" ht="75.75" customHeight="1" x14ac:dyDescent="0.25">
      <c r="A6" s="273" t="s">
        <v>85</v>
      </c>
      <c r="B6" s="273" t="s">
        <v>86</v>
      </c>
      <c r="C6" s="273" t="s">
        <v>87</v>
      </c>
      <c r="D6" s="273" t="s">
        <v>127</v>
      </c>
      <c r="E6" s="273"/>
      <c r="F6" s="273"/>
      <c r="G6" s="273" t="s">
        <v>128</v>
      </c>
      <c r="H6" s="273"/>
      <c r="I6" s="273"/>
      <c r="J6" s="273" t="s">
        <v>118</v>
      </c>
    </row>
    <row r="7" spans="1:10" s="97" customFormat="1" ht="18" customHeight="1" x14ac:dyDescent="0.25">
      <c r="A7" s="273"/>
      <c r="B7" s="273"/>
      <c r="C7" s="273"/>
      <c r="D7" s="107" t="s">
        <v>114</v>
      </c>
      <c r="E7" s="107" t="s">
        <v>115</v>
      </c>
      <c r="F7" s="107" t="s">
        <v>116</v>
      </c>
      <c r="G7" s="107" t="s">
        <v>114</v>
      </c>
      <c r="H7" s="107" t="s">
        <v>115</v>
      </c>
      <c r="I7" s="107" t="s">
        <v>116</v>
      </c>
      <c r="J7" s="273"/>
    </row>
    <row r="8" spans="1:10" ht="30" x14ac:dyDescent="0.25">
      <c r="A8" s="102" t="s">
        <v>8</v>
      </c>
      <c r="B8" s="102" t="s">
        <v>84</v>
      </c>
      <c r="C8" s="103" t="s">
        <v>72</v>
      </c>
      <c r="D8" s="110" t="s">
        <v>104</v>
      </c>
      <c r="E8" s="110" t="s">
        <v>105</v>
      </c>
      <c r="F8" s="110" t="s">
        <v>104</v>
      </c>
      <c r="G8" s="110">
        <f>IF(D8=$A$21,$B$21,(IF(D8=$A$22,$B$22,IF(D8=$A$23,$B$23,$B$24))))</f>
        <v>1</v>
      </c>
      <c r="H8" s="110">
        <f t="shared" ref="H8:I8" si="0">IF(E8=$A$21,$B$21,(IF(E8=$A$22,$B$22,IF(E8=$A$23,$B$23,$B$24))))</f>
        <v>0.66</v>
      </c>
      <c r="I8" s="110">
        <f t="shared" si="0"/>
        <v>1</v>
      </c>
      <c r="J8" s="2">
        <f>G8*$D$28+H8*$D$29+I8*$D$30</f>
        <v>14.15</v>
      </c>
    </row>
    <row r="9" spans="1:10" x14ac:dyDescent="0.25">
      <c r="A9" s="102" t="s">
        <v>9</v>
      </c>
      <c r="B9" s="102" t="s">
        <v>73</v>
      </c>
      <c r="C9" s="103" t="s">
        <v>88</v>
      </c>
      <c r="D9" s="110" t="s">
        <v>106</v>
      </c>
      <c r="E9" s="110" t="s">
        <v>106</v>
      </c>
      <c r="F9" s="110" t="s">
        <v>105</v>
      </c>
      <c r="G9" s="110">
        <f>IF(D9=$A$21,$B$21,(IF(D9=$A$22,$B$22,IF(D9=$A$23,$B$23,$B$24))))</f>
        <v>0.33</v>
      </c>
      <c r="H9" s="110">
        <f t="shared" ref="H9:H10" si="1">IF(E9=$A$21,$B$21,(IF(E9=$A$22,$B$22,IF(E9=$A$23,$B$23,$B$24))))</f>
        <v>0.33</v>
      </c>
      <c r="I9" s="110">
        <f t="shared" ref="I9:I10" si="2">IF(F9=$A$21,$B$21,(IF(F9=$A$22,$B$22,IF(F9=$A$23,$B$23,$B$24))))</f>
        <v>0.66</v>
      </c>
      <c r="J9" s="2">
        <f t="shared" ref="J9:J17" si="3">G9*$D$28+H9*$D$29+I9*$D$30</f>
        <v>6.6000000000000005</v>
      </c>
    </row>
    <row r="10" spans="1:10" x14ac:dyDescent="0.25">
      <c r="A10" s="102" t="s">
        <v>10</v>
      </c>
      <c r="B10" s="102" t="s">
        <v>74</v>
      </c>
      <c r="C10" s="103" t="s">
        <v>89</v>
      </c>
      <c r="D10" s="110" t="s">
        <v>105</v>
      </c>
      <c r="E10" s="110" t="s">
        <v>105</v>
      </c>
      <c r="F10" s="110" t="s">
        <v>105</v>
      </c>
      <c r="G10" s="110">
        <f t="shared" ref="G10:G17" si="4">IF(D10=$A$21,$B$21,(IF(D10=$A$22,$B$22,IF(D10=$A$23,$B$23,$B$24))))</f>
        <v>0.66</v>
      </c>
      <c r="H10" s="110">
        <f t="shared" si="1"/>
        <v>0.66</v>
      </c>
      <c r="I10" s="110">
        <f t="shared" si="2"/>
        <v>0.66</v>
      </c>
      <c r="J10" s="2">
        <f t="shared" si="3"/>
        <v>9.9</v>
      </c>
    </row>
    <row r="11" spans="1:10" x14ac:dyDescent="0.25">
      <c r="A11" s="102" t="s">
        <v>65</v>
      </c>
      <c r="B11" s="102" t="s">
        <v>75</v>
      </c>
      <c r="C11" s="103" t="s">
        <v>76</v>
      </c>
      <c r="D11" s="110" t="s">
        <v>104</v>
      </c>
      <c r="E11" s="110" t="s">
        <v>105</v>
      </c>
      <c r="F11" s="110" t="s">
        <v>105</v>
      </c>
      <c r="G11" s="110">
        <f t="shared" si="4"/>
        <v>1</v>
      </c>
      <c r="H11" s="110">
        <f t="shared" ref="H11:H17" si="5">IF(E11=$A$21,$B$21,(IF(E11=$A$22,$B$22,IF(E11=$A$23,$B$23,$B$24))))</f>
        <v>0.66</v>
      </c>
      <c r="I11" s="110">
        <f t="shared" ref="I11:I17" si="6">IF(F11=$A$21,$B$21,(IF(F11=$A$22,$B$22,IF(F11=$A$23,$B$23,$B$24))))</f>
        <v>0.66</v>
      </c>
      <c r="J11" s="2">
        <f t="shared" si="3"/>
        <v>12.450000000000001</v>
      </c>
    </row>
    <row r="12" spans="1:10" ht="30" x14ac:dyDescent="0.25">
      <c r="A12" s="102" t="s">
        <v>66</v>
      </c>
      <c r="B12" s="102" t="s">
        <v>77</v>
      </c>
      <c r="C12" s="103" t="s">
        <v>90</v>
      </c>
      <c r="D12" s="110" t="s">
        <v>105</v>
      </c>
      <c r="E12" s="110" t="s">
        <v>104</v>
      </c>
      <c r="F12" s="110" t="s">
        <v>105</v>
      </c>
      <c r="G12" s="110">
        <f t="shared" si="4"/>
        <v>0.66</v>
      </c>
      <c r="H12" s="110">
        <f t="shared" si="5"/>
        <v>1</v>
      </c>
      <c r="I12" s="110">
        <f t="shared" si="6"/>
        <v>0.66</v>
      </c>
      <c r="J12" s="2">
        <f t="shared" si="3"/>
        <v>10.75</v>
      </c>
    </row>
    <row r="13" spans="1:10" x14ac:dyDescent="0.25">
      <c r="A13" s="102" t="s">
        <v>67</v>
      </c>
      <c r="B13" s="102" t="s">
        <v>78</v>
      </c>
      <c r="C13" s="103" t="s">
        <v>91</v>
      </c>
      <c r="D13" s="110" t="s">
        <v>104</v>
      </c>
      <c r="E13" s="110" t="s">
        <v>105</v>
      </c>
      <c r="F13" s="110" t="s">
        <v>106</v>
      </c>
      <c r="G13" s="110">
        <f t="shared" si="4"/>
        <v>1</v>
      </c>
      <c r="H13" s="110">
        <f t="shared" si="5"/>
        <v>0.66</v>
      </c>
      <c r="I13" s="110">
        <f t="shared" si="6"/>
        <v>0.33</v>
      </c>
      <c r="J13" s="2">
        <f t="shared" si="3"/>
        <v>10.8</v>
      </c>
    </row>
    <row r="14" spans="1:10" ht="30" x14ac:dyDescent="0.25">
      <c r="A14" s="102" t="s">
        <v>68</v>
      </c>
      <c r="B14" s="102" t="s">
        <v>79</v>
      </c>
      <c r="C14" s="103" t="s">
        <v>92</v>
      </c>
      <c r="D14" s="110" t="s">
        <v>104</v>
      </c>
      <c r="E14" s="110" t="s">
        <v>105</v>
      </c>
      <c r="F14" s="110" t="s">
        <v>106</v>
      </c>
      <c r="G14" s="110">
        <f t="shared" si="4"/>
        <v>1</v>
      </c>
      <c r="H14" s="110">
        <f t="shared" si="5"/>
        <v>0.66</v>
      </c>
      <c r="I14" s="110">
        <f t="shared" si="6"/>
        <v>0.33</v>
      </c>
      <c r="J14" s="2">
        <f t="shared" si="3"/>
        <v>10.8</v>
      </c>
    </row>
    <row r="15" spans="1:10" ht="30" x14ac:dyDescent="0.25">
      <c r="A15" s="102" t="s">
        <v>69</v>
      </c>
      <c r="B15" s="102" t="s">
        <v>80</v>
      </c>
      <c r="C15" s="103" t="s">
        <v>81</v>
      </c>
      <c r="D15" s="110" t="s">
        <v>105</v>
      </c>
      <c r="E15" s="110" t="s">
        <v>104</v>
      </c>
      <c r="F15" s="110" t="s">
        <v>104</v>
      </c>
      <c r="G15" s="110">
        <f t="shared" si="4"/>
        <v>0.66</v>
      </c>
      <c r="H15" s="110">
        <f t="shared" si="5"/>
        <v>1</v>
      </c>
      <c r="I15" s="110">
        <f t="shared" si="6"/>
        <v>1</v>
      </c>
      <c r="J15" s="2">
        <f t="shared" si="3"/>
        <v>12.45</v>
      </c>
    </row>
    <row r="16" spans="1:10" ht="35.25" customHeight="1" x14ac:dyDescent="0.25">
      <c r="A16" s="102" t="s">
        <v>70</v>
      </c>
      <c r="B16" s="102" t="s">
        <v>82</v>
      </c>
      <c r="C16" s="103" t="s">
        <v>93</v>
      </c>
      <c r="D16" s="110" t="s">
        <v>105</v>
      </c>
      <c r="E16" s="110" t="s">
        <v>104</v>
      </c>
      <c r="F16" s="110" t="s">
        <v>105</v>
      </c>
      <c r="G16" s="110">
        <f t="shared" si="4"/>
        <v>0.66</v>
      </c>
      <c r="H16" s="110">
        <f t="shared" si="5"/>
        <v>1</v>
      </c>
      <c r="I16" s="110">
        <f t="shared" si="6"/>
        <v>0.66</v>
      </c>
      <c r="J16" s="2">
        <f t="shared" si="3"/>
        <v>10.75</v>
      </c>
    </row>
    <row r="17" spans="1:10" ht="30" x14ac:dyDescent="0.25">
      <c r="A17" s="102" t="s">
        <v>71</v>
      </c>
      <c r="B17" s="102" t="s">
        <v>83</v>
      </c>
      <c r="C17" s="103" t="s">
        <v>94</v>
      </c>
      <c r="D17" s="110" t="s">
        <v>106</v>
      </c>
      <c r="E17" s="110" t="s">
        <v>104</v>
      </c>
      <c r="F17" s="110" t="s">
        <v>105</v>
      </c>
      <c r="G17" s="110">
        <f t="shared" si="4"/>
        <v>0.33</v>
      </c>
      <c r="H17" s="110">
        <f t="shared" si="5"/>
        <v>1</v>
      </c>
      <c r="I17" s="110">
        <f t="shared" si="6"/>
        <v>0.66</v>
      </c>
      <c r="J17" s="2">
        <f t="shared" si="3"/>
        <v>8.2750000000000004</v>
      </c>
    </row>
    <row r="19" spans="1:10" x14ac:dyDescent="0.25">
      <c r="A19" s="100" t="s">
        <v>111</v>
      </c>
    </row>
    <row r="20" spans="1:10" x14ac:dyDescent="0.25">
      <c r="A20" s="107" t="s">
        <v>103</v>
      </c>
      <c r="B20" s="108" t="s">
        <v>122</v>
      </c>
      <c r="C20" s="108" t="s">
        <v>123</v>
      </c>
    </row>
    <row r="21" spans="1:10" x14ac:dyDescent="0.25">
      <c r="A21" s="102" t="s">
        <v>104</v>
      </c>
      <c r="B21" s="2">
        <v>1</v>
      </c>
      <c r="C21" s="2">
        <v>7.5</v>
      </c>
    </row>
    <row r="22" spans="1:10" x14ac:dyDescent="0.25">
      <c r="A22" s="102" t="s">
        <v>105</v>
      </c>
      <c r="B22" s="2">
        <v>0.66</v>
      </c>
      <c r="C22" s="2">
        <v>5</v>
      </c>
    </row>
    <row r="23" spans="1:10" x14ac:dyDescent="0.25">
      <c r="A23" s="102" t="s">
        <v>106</v>
      </c>
      <c r="B23" s="2">
        <v>0.33</v>
      </c>
      <c r="C23" s="2">
        <v>2.5</v>
      </c>
    </row>
    <row r="24" spans="1:10" x14ac:dyDescent="0.25">
      <c r="A24" s="102" t="s">
        <v>107</v>
      </c>
      <c r="B24" s="2">
        <v>0</v>
      </c>
      <c r="C24" s="2">
        <v>1</v>
      </c>
    </row>
    <row r="26" spans="1:10" x14ac:dyDescent="0.25">
      <c r="A26" s="100" t="s">
        <v>112</v>
      </c>
    </row>
    <row r="27" spans="1:10" ht="60.75" thickBot="1" x14ac:dyDescent="0.3">
      <c r="A27" s="107" t="s">
        <v>117</v>
      </c>
      <c r="B27" s="108" t="s">
        <v>99</v>
      </c>
      <c r="C27" s="107" t="s">
        <v>108</v>
      </c>
      <c r="D27" s="109" t="s">
        <v>113</v>
      </c>
    </row>
    <row r="28" spans="1:10" x14ac:dyDescent="0.25">
      <c r="A28" s="125" t="s">
        <v>114</v>
      </c>
      <c r="B28" s="104" t="s">
        <v>100</v>
      </c>
      <c r="C28" s="2" t="s">
        <v>104</v>
      </c>
      <c r="D28" s="105">
        <v>7.5</v>
      </c>
    </row>
    <row r="29" spans="1:10" x14ac:dyDescent="0.25">
      <c r="A29" s="126" t="s">
        <v>115</v>
      </c>
      <c r="B29" s="104" t="s">
        <v>101</v>
      </c>
      <c r="C29" s="2" t="s">
        <v>106</v>
      </c>
      <c r="D29" s="105">
        <v>2.5</v>
      </c>
    </row>
    <row r="30" spans="1:10" ht="15.75" thickBot="1" x14ac:dyDescent="0.3">
      <c r="A30" s="127" t="s">
        <v>116</v>
      </c>
      <c r="B30" s="104" t="s">
        <v>102</v>
      </c>
      <c r="C30" s="2" t="s">
        <v>105</v>
      </c>
      <c r="D30" s="105">
        <v>5</v>
      </c>
    </row>
  </sheetData>
  <mergeCells count="7">
    <mergeCell ref="G6:I6"/>
    <mergeCell ref="J6:J7"/>
    <mergeCell ref="A3:E3"/>
    <mergeCell ref="A6:A7"/>
    <mergeCell ref="B6:B7"/>
    <mergeCell ref="C6:C7"/>
    <mergeCell ref="D6:F6"/>
  </mergeCells>
  <phoneticPr fontId="11" type="noConversion"/>
  <hyperlinks>
    <hyperlink ref="B2" r:id="rId1" xr:uid="{EF9D475C-B1BB-4AC5-9EC0-B6DBBCF2F773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C1CC-BC67-4CDE-9103-B95A2393E2AE}">
  <dimension ref="A1:J126"/>
  <sheetViews>
    <sheetView topLeftCell="A111" workbookViewId="0">
      <selection activeCell="C121" sqref="C121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18" customWidth="1"/>
    <col min="5" max="5" width="16" customWidth="1"/>
    <col min="6" max="6" width="18" customWidth="1"/>
    <col min="10" max="10" width="17.85546875" customWidth="1"/>
  </cols>
  <sheetData>
    <row r="1" spans="1:10" x14ac:dyDescent="0.25">
      <c r="A1" s="1" t="s">
        <v>95</v>
      </c>
      <c r="B1" s="98"/>
      <c r="C1" s="98"/>
    </row>
    <row r="2" spans="1:10" x14ac:dyDescent="0.25">
      <c r="A2" s="1" t="s">
        <v>96</v>
      </c>
      <c r="B2" s="101" t="s">
        <v>97</v>
      </c>
      <c r="C2" s="98"/>
    </row>
    <row r="3" spans="1:10" ht="30" customHeight="1" x14ac:dyDescent="0.25">
      <c r="A3" s="274" t="s">
        <v>98</v>
      </c>
      <c r="B3" s="275"/>
      <c r="C3" s="275"/>
      <c r="D3" s="276"/>
      <c r="E3" s="276"/>
    </row>
    <row r="4" spans="1:10" ht="15.75" x14ac:dyDescent="0.25">
      <c r="A4" s="146"/>
      <c r="B4" s="99"/>
      <c r="C4" s="99"/>
    </row>
    <row r="5" spans="1:10" ht="15.75" x14ac:dyDescent="0.25">
      <c r="A5" s="146"/>
      <c r="B5" s="99"/>
      <c r="C5" s="99"/>
    </row>
    <row r="6" spans="1:10" ht="18.75" x14ac:dyDescent="0.3">
      <c r="A6" s="149" t="s">
        <v>160</v>
      </c>
      <c r="B6" s="99"/>
      <c r="C6" s="99"/>
    </row>
    <row r="7" spans="1:10" x14ac:dyDescent="0.25">
      <c r="A7" s="1" t="s">
        <v>110</v>
      </c>
      <c r="B7" s="99"/>
      <c r="C7" s="99"/>
    </row>
    <row r="8" spans="1:10" x14ac:dyDescent="0.25">
      <c r="A8" s="100" t="s">
        <v>163</v>
      </c>
      <c r="B8" s="99"/>
      <c r="C8" s="99"/>
    </row>
    <row r="9" spans="1:10" ht="75.75" customHeight="1" x14ac:dyDescent="0.25">
      <c r="A9" s="273" t="s">
        <v>85</v>
      </c>
      <c r="B9" s="273" t="s">
        <v>86</v>
      </c>
      <c r="C9" s="273" t="s">
        <v>87</v>
      </c>
      <c r="D9" s="273" t="s">
        <v>127</v>
      </c>
      <c r="E9" s="273"/>
      <c r="F9" s="273"/>
      <c r="G9" s="273" t="s">
        <v>128</v>
      </c>
      <c r="H9" s="273"/>
      <c r="I9" s="273"/>
      <c r="J9" s="273" t="s">
        <v>118</v>
      </c>
    </row>
    <row r="10" spans="1:10" s="97" customFormat="1" ht="18" customHeight="1" x14ac:dyDescent="0.25">
      <c r="A10" s="273"/>
      <c r="B10" s="273"/>
      <c r="C10" s="273"/>
      <c r="D10" s="107" t="s">
        <v>114</v>
      </c>
      <c r="E10" s="107" t="s">
        <v>115</v>
      </c>
      <c r="F10" s="107" t="s">
        <v>116</v>
      </c>
      <c r="G10" s="107" t="s">
        <v>114</v>
      </c>
      <c r="H10" s="107" t="s">
        <v>115</v>
      </c>
      <c r="I10" s="107" t="s">
        <v>116</v>
      </c>
      <c r="J10" s="273"/>
    </row>
    <row r="11" spans="1:10" ht="30" x14ac:dyDescent="0.25">
      <c r="A11" s="102" t="s">
        <v>8</v>
      </c>
      <c r="B11" s="102" t="s">
        <v>84</v>
      </c>
      <c r="C11" s="103" t="s">
        <v>72</v>
      </c>
      <c r="D11" s="156" t="s">
        <v>104</v>
      </c>
      <c r="E11" s="156" t="s">
        <v>105</v>
      </c>
      <c r="F11" s="156" t="s">
        <v>104</v>
      </c>
      <c r="G11" s="110">
        <f>IF(D11=$A$24,$B$24,(IF(D11=$A$25,$B$25,IF(D11=$A$26,$B$26,$B$27))))</f>
        <v>1</v>
      </c>
      <c r="H11" s="110">
        <f t="shared" ref="H11:I20" si="0">IF(E11=$A$24,$B$24,(IF(E11=$A$25,$B$25,IF(E11=$A$26,$B$26,$B$27))))</f>
        <v>0.66</v>
      </c>
      <c r="I11" s="110">
        <f t="shared" si="0"/>
        <v>1</v>
      </c>
      <c r="J11" s="2">
        <f>G11*$D$31+H11*$D$32+I11*$D$33</f>
        <v>14.15</v>
      </c>
    </row>
    <row r="12" spans="1:10" x14ac:dyDescent="0.25">
      <c r="A12" s="102" t="s">
        <v>9</v>
      </c>
      <c r="B12" s="102" t="s">
        <v>73</v>
      </c>
      <c r="C12" s="103" t="s">
        <v>88</v>
      </c>
      <c r="D12" s="156" t="s">
        <v>106</v>
      </c>
      <c r="E12" s="156" t="s">
        <v>106</v>
      </c>
      <c r="F12" s="156" t="s">
        <v>105</v>
      </c>
      <c r="G12" s="110">
        <f>IF(D12=$A$24,$B$24,(IF(D12=$A$25,$B$25,IF(D12=$A$26,$B$26,$B$27))))</f>
        <v>0.33</v>
      </c>
      <c r="H12" s="110">
        <f t="shared" si="0"/>
        <v>0.33</v>
      </c>
      <c r="I12" s="110">
        <f t="shared" si="0"/>
        <v>0.66</v>
      </c>
      <c r="J12" s="2">
        <f t="shared" ref="J12:J20" si="1">G12*$D$31+H12*$D$32+I12*$D$33</f>
        <v>6.6000000000000005</v>
      </c>
    </row>
    <row r="13" spans="1:10" x14ac:dyDescent="0.25">
      <c r="A13" s="102" t="s">
        <v>10</v>
      </c>
      <c r="B13" s="102" t="s">
        <v>74</v>
      </c>
      <c r="C13" s="103" t="s">
        <v>89</v>
      </c>
      <c r="D13" s="156" t="s">
        <v>105</v>
      </c>
      <c r="E13" s="156" t="s">
        <v>105</v>
      </c>
      <c r="F13" s="156" t="s">
        <v>105</v>
      </c>
      <c r="G13" s="110">
        <f t="shared" ref="G13:G20" si="2">IF(D13=$A$24,$B$24,(IF(D13=$A$25,$B$25,IF(D13=$A$26,$B$26,$B$27))))</f>
        <v>0.66</v>
      </c>
      <c r="H13" s="110">
        <f t="shared" si="0"/>
        <v>0.66</v>
      </c>
      <c r="I13" s="110">
        <f t="shared" si="0"/>
        <v>0.66</v>
      </c>
      <c r="J13" s="2">
        <f t="shared" si="1"/>
        <v>9.9</v>
      </c>
    </row>
    <row r="14" spans="1:10" x14ac:dyDescent="0.25">
      <c r="A14" s="102" t="s">
        <v>65</v>
      </c>
      <c r="B14" s="102" t="s">
        <v>75</v>
      </c>
      <c r="C14" s="103" t="s">
        <v>76</v>
      </c>
      <c r="D14" s="156" t="s">
        <v>104</v>
      </c>
      <c r="E14" s="156" t="s">
        <v>105</v>
      </c>
      <c r="F14" s="156" t="s">
        <v>105</v>
      </c>
      <c r="G14" s="110">
        <f t="shared" si="2"/>
        <v>1</v>
      </c>
      <c r="H14" s="110">
        <f t="shared" si="0"/>
        <v>0.66</v>
      </c>
      <c r="I14" s="110">
        <f t="shared" si="0"/>
        <v>0.66</v>
      </c>
      <c r="J14" s="2">
        <f t="shared" si="1"/>
        <v>12.450000000000001</v>
      </c>
    </row>
    <row r="15" spans="1:10" ht="30" x14ac:dyDescent="0.25">
      <c r="A15" s="102" t="s">
        <v>66</v>
      </c>
      <c r="B15" s="102" t="s">
        <v>77</v>
      </c>
      <c r="C15" s="103" t="s">
        <v>90</v>
      </c>
      <c r="D15" s="156" t="s">
        <v>105</v>
      </c>
      <c r="E15" s="156" t="s">
        <v>104</v>
      </c>
      <c r="F15" s="156" t="s">
        <v>105</v>
      </c>
      <c r="G15" s="110">
        <f t="shared" si="2"/>
        <v>0.66</v>
      </c>
      <c r="H15" s="110">
        <f t="shared" si="0"/>
        <v>1</v>
      </c>
      <c r="I15" s="110">
        <f t="shared" si="0"/>
        <v>0.66</v>
      </c>
      <c r="J15" s="2">
        <f t="shared" si="1"/>
        <v>10.75</v>
      </c>
    </row>
    <row r="16" spans="1:10" x14ac:dyDescent="0.25">
      <c r="A16" s="102" t="s">
        <v>67</v>
      </c>
      <c r="B16" s="102" t="s">
        <v>78</v>
      </c>
      <c r="C16" s="103" t="s">
        <v>91</v>
      </c>
      <c r="D16" s="156" t="s">
        <v>104</v>
      </c>
      <c r="E16" s="156" t="s">
        <v>105</v>
      </c>
      <c r="F16" s="156" t="s">
        <v>106</v>
      </c>
      <c r="G16" s="110">
        <f t="shared" si="2"/>
        <v>1</v>
      </c>
      <c r="H16" s="110">
        <f t="shared" si="0"/>
        <v>0.66</v>
      </c>
      <c r="I16" s="110">
        <f t="shared" si="0"/>
        <v>0.33</v>
      </c>
      <c r="J16" s="2">
        <f t="shared" si="1"/>
        <v>10.8</v>
      </c>
    </row>
    <row r="17" spans="1:10" ht="30" x14ac:dyDescent="0.25">
      <c r="A17" s="102" t="s">
        <v>68</v>
      </c>
      <c r="B17" s="102" t="s">
        <v>79</v>
      </c>
      <c r="C17" s="103" t="s">
        <v>92</v>
      </c>
      <c r="D17" s="156" t="s">
        <v>104</v>
      </c>
      <c r="E17" s="156" t="s">
        <v>105</v>
      </c>
      <c r="F17" s="156" t="s">
        <v>106</v>
      </c>
      <c r="G17" s="110">
        <f t="shared" si="2"/>
        <v>1</v>
      </c>
      <c r="H17" s="110">
        <f t="shared" si="0"/>
        <v>0.66</v>
      </c>
      <c r="I17" s="110">
        <f t="shared" si="0"/>
        <v>0.33</v>
      </c>
      <c r="J17" s="2">
        <f t="shared" si="1"/>
        <v>10.8</v>
      </c>
    </row>
    <row r="18" spans="1:10" ht="30" x14ac:dyDescent="0.25">
      <c r="A18" s="102" t="s">
        <v>69</v>
      </c>
      <c r="B18" s="102" t="s">
        <v>80</v>
      </c>
      <c r="C18" s="103" t="s">
        <v>81</v>
      </c>
      <c r="D18" s="156" t="s">
        <v>105</v>
      </c>
      <c r="E18" s="156" t="s">
        <v>104</v>
      </c>
      <c r="F18" s="156" t="s">
        <v>104</v>
      </c>
      <c r="G18" s="110">
        <f t="shared" si="2"/>
        <v>0.66</v>
      </c>
      <c r="H18" s="110">
        <f t="shared" si="0"/>
        <v>1</v>
      </c>
      <c r="I18" s="110">
        <f t="shared" si="0"/>
        <v>1</v>
      </c>
      <c r="J18" s="2">
        <f t="shared" si="1"/>
        <v>12.45</v>
      </c>
    </row>
    <row r="19" spans="1:10" ht="35.25" customHeight="1" x14ac:dyDescent="0.25">
      <c r="A19" s="102" t="s">
        <v>70</v>
      </c>
      <c r="B19" s="102" t="s">
        <v>82</v>
      </c>
      <c r="C19" s="103" t="s">
        <v>93</v>
      </c>
      <c r="D19" s="156" t="s">
        <v>105</v>
      </c>
      <c r="E19" s="156" t="s">
        <v>104</v>
      </c>
      <c r="F19" s="156" t="s">
        <v>105</v>
      </c>
      <c r="G19" s="110">
        <f t="shared" si="2"/>
        <v>0.66</v>
      </c>
      <c r="H19" s="110">
        <f t="shared" si="0"/>
        <v>1</v>
      </c>
      <c r="I19" s="110">
        <f t="shared" si="0"/>
        <v>0.66</v>
      </c>
      <c r="J19" s="2">
        <f t="shared" si="1"/>
        <v>10.75</v>
      </c>
    </row>
    <row r="20" spans="1:10" ht="30" x14ac:dyDescent="0.25">
      <c r="A20" s="102" t="s">
        <v>71</v>
      </c>
      <c r="B20" s="102" t="s">
        <v>83</v>
      </c>
      <c r="C20" s="103" t="s">
        <v>94</v>
      </c>
      <c r="D20" s="156" t="s">
        <v>106</v>
      </c>
      <c r="E20" s="156" t="s">
        <v>104</v>
      </c>
      <c r="F20" s="156" t="s">
        <v>105</v>
      </c>
      <c r="G20" s="110">
        <f t="shared" si="2"/>
        <v>0.33</v>
      </c>
      <c r="H20" s="110">
        <f t="shared" si="0"/>
        <v>1</v>
      </c>
      <c r="I20" s="110">
        <f t="shared" si="0"/>
        <v>0.66</v>
      </c>
      <c r="J20" s="2">
        <f t="shared" si="1"/>
        <v>8.2750000000000004</v>
      </c>
    </row>
    <row r="22" spans="1:10" x14ac:dyDescent="0.25">
      <c r="A22" s="100" t="s">
        <v>164</v>
      </c>
    </row>
    <row r="23" spans="1:10" x14ac:dyDescent="0.25">
      <c r="A23" s="107" t="s">
        <v>103</v>
      </c>
      <c r="B23" s="108" t="s">
        <v>122</v>
      </c>
      <c r="C23" s="108" t="s">
        <v>123</v>
      </c>
    </row>
    <row r="24" spans="1:10" x14ac:dyDescent="0.25">
      <c r="A24" s="102" t="s">
        <v>104</v>
      </c>
      <c r="B24" s="2">
        <v>1</v>
      </c>
      <c r="C24" s="2">
        <v>7.5</v>
      </c>
    </row>
    <row r="25" spans="1:10" x14ac:dyDescent="0.25">
      <c r="A25" s="102" t="s">
        <v>105</v>
      </c>
      <c r="B25" s="2">
        <v>0.66</v>
      </c>
      <c r="C25" s="2">
        <v>5</v>
      </c>
    </row>
    <row r="26" spans="1:10" x14ac:dyDescent="0.25">
      <c r="A26" s="102" t="s">
        <v>106</v>
      </c>
      <c r="B26" s="2">
        <v>0.33</v>
      </c>
      <c r="C26" s="2">
        <v>2.5</v>
      </c>
    </row>
    <row r="27" spans="1:10" x14ac:dyDescent="0.25">
      <c r="A27" s="102" t="s">
        <v>107</v>
      </c>
      <c r="B27" s="2">
        <v>0</v>
      </c>
      <c r="C27" s="2">
        <v>1</v>
      </c>
    </row>
    <row r="29" spans="1:10" x14ac:dyDescent="0.25">
      <c r="A29" s="100" t="s">
        <v>165</v>
      </c>
    </row>
    <row r="30" spans="1:10" ht="60.75" thickBot="1" x14ac:dyDescent="0.3">
      <c r="A30" s="107" t="s">
        <v>117</v>
      </c>
      <c r="B30" s="108" t="s">
        <v>99</v>
      </c>
      <c r="C30" s="107" t="s">
        <v>108</v>
      </c>
      <c r="D30" s="109" t="s">
        <v>174</v>
      </c>
    </row>
    <row r="31" spans="1:10" x14ac:dyDescent="0.25">
      <c r="A31" s="125" t="s">
        <v>114</v>
      </c>
      <c r="B31" s="104" t="s">
        <v>100</v>
      </c>
      <c r="C31" s="2" t="s">
        <v>104</v>
      </c>
      <c r="D31" s="150">
        <v>7.5</v>
      </c>
    </row>
    <row r="32" spans="1:10" x14ac:dyDescent="0.25">
      <c r="A32" s="126" t="s">
        <v>115</v>
      </c>
      <c r="B32" s="104" t="s">
        <v>101</v>
      </c>
      <c r="C32" s="2" t="s">
        <v>106</v>
      </c>
      <c r="D32" s="150">
        <v>2.5</v>
      </c>
    </row>
    <row r="33" spans="1:10" ht="15.75" thickBot="1" x14ac:dyDescent="0.3">
      <c r="A33" s="127" t="s">
        <v>116</v>
      </c>
      <c r="B33" s="104" t="s">
        <v>102</v>
      </c>
      <c r="C33" s="2" t="s">
        <v>105</v>
      </c>
      <c r="D33" s="150">
        <v>5</v>
      </c>
    </row>
    <row r="36" spans="1:10" ht="18.75" x14ac:dyDescent="0.3">
      <c r="A36" s="149" t="s">
        <v>161</v>
      </c>
      <c r="B36" s="99"/>
      <c r="C36" s="99"/>
    </row>
    <row r="37" spans="1:10" x14ac:dyDescent="0.25">
      <c r="A37" s="1" t="s">
        <v>110</v>
      </c>
      <c r="B37" s="99"/>
      <c r="C37" s="99"/>
    </row>
    <row r="38" spans="1:10" x14ac:dyDescent="0.25">
      <c r="A38" s="100" t="s">
        <v>166</v>
      </c>
      <c r="B38" s="99"/>
      <c r="C38" s="99"/>
    </row>
    <row r="39" spans="1:10" ht="75.75" customHeight="1" x14ac:dyDescent="0.25">
      <c r="A39" s="273" t="s">
        <v>85</v>
      </c>
      <c r="B39" s="273" t="s">
        <v>86</v>
      </c>
      <c r="C39" s="273" t="s">
        <v>87</v>
      </c>
      <c r="D39" s="273" t="s">
        <v>127</v>
      </c>
      <c r="E39" s="273"/>
      <c r="F39" s="273"/>
      <c r="G39" s="273" t="s">
        <v>128</v>
      </c>
      <c r="H39" s="273"/>
      <c r="I39" s="273"/>
      <c r="J39" s="273" t="s">
        <v>118</v>
      </c>
    </row>
    <row r="40" spans="1:10" s="97" customFormat="1" ht="18" customHeight="1" x14ac:dyDescent="0.25">
      <c r="A40" s="273"/>
      <c r="B40" s="273"/>
      <c r="C40" s="273"/>
      <c r="D40" s="107" t="s">
        <v>114</v>
      </c>
      <c r="E40" s="107" t="s">
        <v>115</v>
      </c>
      <c r="F40" s="107" t="s">
        <v>116</v>
      </c>
      <c r="G40" s="107" t="s">
        <v>114</v>
      </c>
      <c r="H40" s="107" t="s">
        <v>115</v>
      </c>
      <c r="I40" s="107" t="s">
        <v>116</v>
      </c>
      <c r="J40" s="273"/>
    </row>
    <row r="41" spans="1:10" ht="30" x14ac:dyDescent="0.25">
      <c r="A41" s="102" t="s">
        <v>8</v>
      </c>
      <c r="B41" s="102" t="s">
        <v>84</v>
      </c>
      <c r="C41" s="103" t="s">
        <v>72</v>
      </c>
      <c r="D41" s="156" t="s">
        <v>106</v>
      </c>
      <c r="E41" s="156" t="s">
        <v>105</v>
      </c>
      <c r="F41" s="156" t="s">
        <v>104</v>
      </c>
      <c r="G41" s="110">
        <f>IF(D41=$A$24,$B$24,(IF(D41=$A$25,$B$25,IF(D41=$A$26,$B$26,$B$27))))</f>
        <v>0.33</v>
      </c>
      <c r="H41" s="110">
        <f t="shared" ref="H41:H50" si="3">IF(E41=$A$24,$B$24,(IF(E41=$A$25,$B$25,IF(E41=$A$26,$B$26,$B$27))))</f>
        <v>0.66</v>
      </c>
      <c r="I41" s="110">
        <f t="shared" ref="I41:I50" si="4">IF(F41=$A$24,$B$24,(IF(F41=$A$25,$B$25,IF(F41=$A$26,$B$26,$B$27))))</f>
        <v>1</v>
      </c>
      <c r="J41" s="2">
        <f>G41*$D$61+H41*$D$62+I41*$D$63</f>
        <v>12.425000000000001</v>
      </c>
    </row>
    <row r="42" spans="1:10" x14ac:dyDescent="0.25">
      <c r="A42" s="102" t="s">
        <v>9</v>
      </c>
      <c r="B42" s="102" t="s">
        <v>73</v>
      </c>
      <c r="C42" s="103" t="s">
        <v>88</v>
      </c>
      <c r="D42" s="156" t="s">
        <v>106</v>
      </c>
      <c r="E42" s="156" t="s">
        <v>106</v>
      </c>
      <c r="F42" s="156" t="s">
        <v>105</v>
      </c>
      <c r="G42" s="110">
        <f>IF(D42=$A$24,$B$24,(IF(D42=$A$25,$B$25,IF(D42=$A$26,$B$26,$B$27))))</f>
        <v>0.33</v>
      </c>
      <c r="H42" s="110">
        <f t="shared" si="3"/>
        <v>0.33</v>
      </c>
      <c r="I42" s="110">
        <f t="shared" si="4"/>
        <v>0.66</v>
      </c>
      <c r="J42" s="2">
        <f t="shared" ref="J42:J50" si="5">G42*$D$61+H42*$D$62+I42*$D$63</f>
        <v>8.25</v>
      </c>
    </row>
    <row r="43" spans="1:10" x14ac:dyDescent="0.25">
      <c r="A43" s="102" t="s">
        <v>10</v>
      </c>
      <c r="B43" s="102" t="s">
        <v>74</v>
      </c>
      <c r="C43" s="103" t="s">
        <v>89</v>
      </c>
      <c r="D43" s="156" t="s">
        <v>105</v>
      </c>
      <c r="E43" s="156" t="s">
        <v>104</v>
      </c>
      <c r="F43" s="156" t="s">
        <v>105</v>
      </c>
      <c r="G43" s="110">
        <f t="shared" ref="G43:G50" si="6">IF(D43=$A$24,$B$24,(IF(D43=$A$25,$B$25,IF(D43=$A$26,$B$26,$B$27))))</f>
        <v>0.66</v>
      </c>
      <c r="H43" s="110">
        <f t="shared" si="3"/>
        <v>1</v>
      </c>
      <c r="I43" s="110">
        <f t="shared" si="4"/>
        <v>0.66</v>
      </c>
      <c r="J43" s="2">
        <f t="shared" si="5"/>
        <v>15.75</v>
      </c>
    </row>
    <row r="44" spans="1:10" x14ac:dyDescent="0.25">
      <c r="A44" s="102" t="s">
        <v>65</v>
      </c>
      <c r="B44" s="102" t="s">
        <v>75</v>
      </c>
      <c r="C44" s="103" t="s">
        <v>76</v>
      </c>
      <c r="D44" s="156" t="s">
        <v>104</v>
      </c>
      <c r="E44" s="156" t="s">
        <v>105</v>
      </c>
      <c r="F44" s="156" t="s">
        <v>106</v>
      </c>
      <c r="G44" s="110">
        <f t="shared" si="6"/>
        <v>1</v>
      </c>
      <c r="H44" s="110">
        <f t="shared" si="3"/>
        <v>0.66</v>
      </c>
      <c r="I44" s="110">
        <f t="shared" si="4"/>
        <v>0.33</v>
      </c>
      <c r="J44" s="2">
        <f t="shared" si="5"/>
        <v>14.1</v>
      </c>
    </row>
    <row r="45" spans="1:10" ht="30" x14ac:dyDescent="0.25">
      <c r="A45" s="102" t="s">
        <v>66</v>
      </c>
      <c r="B45" s="102" t="s">
        <v>77</v>
      </c>
      <c r="C45" s="103" t="s">
        <v>90</v>
      </c>
      <c r="D45" s="156" t="s">
        <v>105</v>
      </c>
      <c r="E45" s="156" t="s">
        <v>104</v>
      </c>
      <c r="F45" s="156" t="s">
        <v>105</v>
      </c>
      <c r="G45" s="110">
        <f t="shared" si="6"/>
        <v>0.66</v>
      </c>
      <c r="H45" s="110">
        <f t="shared" si="3"/>
        <v>1</v>
      </c>
      <c r="I45" s="110">
        <f t="shared" si="4"/>
        <v>0.66</v>
      </c>
      <c r="J45" s="2">
        <f t="shared" si="5"/>
        <v>15.75</v>
      </c>
    </row>
    <row r="46" spans="1:10" x14ac:dyDescent="0.25">
      <c r="A46" s="102" t="s">
        <v>67</v>
      </c>
      <c r="B46" s="102" t="s">
        <v>78</v>
      </c>
      <c r="C46" s="103" t="s">
        <v>91</v>
      </c>
      <c r="D46" s="156" t="s">
        <v>104</v>
      </c>
      <c r="E46" s="156" t="s">
        <v>105</v>
      </c>
      <c r="F46" s="156" t="s">
        <v>106</v>
      </c>
      <c r="G46" s="110">
        <f t="shared" si="6"/>
        <v>1</v>
      </c>
      <c r="H46" s="110">
        <f t="shared" si="3"/>
        <v>0.66</v>
      </c>
      <c r="I46" s="110">
        <f t="shared" si="4"/>
        <v>0.33</v>
      </c>
      <c r="J46" s="2">
        <f t="shared" si="5"/>
        <v>14.1</v>
      </c>
    </row>
    <row r="47" spans="1:10" ht="30" x14ac:dyDescent="0.25">
      <c r="A47" s="102" t="s">
        <v>68</v>
      </c>
      <c r="B47" s="102" t="s">
        <v>79</v>
      </c>
      <c r="C47" s="103" t="s">
        <v>92</v>
      </c>
      <c r="D47" s="156" t="s">
        <v>104</v>
      </c>
      <c r="E47" s="156" t="s">
        <v>105</v>
      </c>
      <c r="F47" s="156" t="s">
        <v>106</v>
      </c>
      <c r="G47" s="110">
        <f t="shared" si="6"/>
        <v>1</v>
      </c>
      <c r="H47" s="110">
        <f t="shared" si="3"/>
        <v>0.66</v>
      </c>
      <c r="I47" s="110">
        <f t="shared" si="4"/>
        <v>0.33</v>
      </c>
      <c r="J47" s="2">
        <f t="shared" si="5"/>
        <v>14.1</v>
      </c>
    </row>
    <row r="48" spans="1:10" ht="30" x14ac:dyDescent="0.25">
      <c r="A48" s="102" t="s">
        <v>69</v>
      </c>
      <c r="B48" s="102" t="s">
        <v>80</v>
      </c>
      <c r="C48" s="103" t="s">
        <v>81</v>
      </c>
      <c r="D48" s="156" t="s">
        <v>105</v>
      </c>
      <c r="E48" s="156" t="s">
        <v>106</v>
      </c>
      <c r="F48" s="156" t="s">
        <v>104</v>
      </c>
      <c r="G48" s="110">
        <f>IF(D48=$A$24,$B$24,(IF(D48=$A$25,$B$25,IF(D48=$A$26,$B$26,$B$27))))</f>
        <v>0.66</v>
      </c>
      <c r="H48" s="110">
        <f t="shared" si="3"/>
        <v>0.33</v>
      </c>
      <c r="I48" s="110">
        <f t="shared" si="4"/>
        <v>1</v>
      </c>
      <c r="J48" s="2">
        <f t="shared" si="5"/>
        <v>12.425000000000001</v>
      </c>
    </row>
    <row r="49" spans="1:10" ht="35.25" customHeight="1" x14ac:dyDescent="0.25">
      <c r="A49" s="102" t="s">
        <v>70</v>
      </c>
      <c r="B49" s="102" t="s">
        <v>82</v>
      </c>
      <c r="C49" s="103" t="s">
        <v>93</v>
      </c>
      <c r="D49" s="156" t="s">
        <v>106</v>
      </c>
      <c r="E49" s="156" t="s">
        <v>104</v>
      </c>
      <c r="F49" s="156" t="s">
        <v>105</v>
      </c>
      <c r="G49" s="110">
        <f t="shared" si="6"/>
        <v>0.33</v>
      </c>
      <c r="H49" s="110">
        <f t="shared" si="3"/>
        <v>1</v>
      </c>
      <c r="I49" s="110">
        <f t="shared" si="4"/>
        <v>0.66</v>
      </c>
      <c r="J49" s="2">
        <f t="shared" si="5"/>
        <v>13.275</v>
      </c>
    </row>
    <row r="50" spans="1:10" ht="30" x14ac:dyDescent="0.25">
      <c r="A50" s="102" t="s">
        <v>71</v>
      </c>
      <c r="B50" s="102" t="s">
        <v>83</v>
      </c>
      <c r="C50" s="103" t="s">
        <v>94</v>
      </c>
      <c r="D50" s="156" t="s">
        <v>106</v>
      </c>
      <c r="E50" s="156" t="s">
        <v>104</v>
      </c>
      <c r="F50" s="156" t="s">
        <v>105</v>
      </c>
      <c r="G50" s="110">
        <f t="shared" si="6"/>
        <v>0.33</v>
      </c>
      <c r="H50" s="110">
        <f t="shared" si="3"/>
        <v>1</v>
      </c>
      <c r="I50" s="110">
        <f t="shared" si="4"/>
        <v>0.66</v>
      </c>
      <c r="J50" s="2">
        <f t="shared" si="5"/>
        <v>13.275</v>
      </c>
    </row>
    <row r="52" spans="1:10" x14ac:dyDescent="0.25">
      <c r="A52" s="100" t="s">
        <v>167</v>
      </c>
    </row>
    <row r="53" spans="1:10" x14ac:dyDescent="0.25">
      <c r="A53" s="107" t="s">
        <v>103</v>
      </c>
      <c r="B53" s="108" t="s">
        <v>122</v>
      </c>
      <c r="C53" s="108" t="s">
        <v>123</v>
      </c>
    </row>
    <row r="54" spans="1:10" x14ac:dyDescent="0.25">
      <c r="A54" s="102" t="s">
        <v>104</v>
      </c>
      <c r="B54" s="2">
        <v>1</v>
      </c>
      <c r="C54" s="2">
        <v>7.5</v>
      </c>
    </row>
    <row r="55" spans="1:10" x14ac:dyDescent="0.25">
      <c r="A55" s="102" t="s">
        <v>105</v>
      </c>
      <c r="B55" s="2">
        <v>0.66</v>
      </c>
      <c r="C55" s="2">
        <v>5</v>
      </c>
    </row>
    <row r="56" spans="1:10" x14ac:dyDescent="0.25">
      <c r="A56" s="102" t="s">
        <v>106</v>
      </c>
      <c r="B56" s="2">
        <v>0.33</v>
      </c>
      <c r="C56" s="2">
        <v>2.5</v>
      </c>
    </row>
    <row r="57" spans="1:10" x14ac:dyDescent="0.25">
      <c r="A57" s="102" t="s">
        <v>107</v>
      </c>
      <c r="B57" s="2">
        <v>0</v>
      </c>
      <c r="C57" s="2">
        <v>1</v>
      </c>
    </row>
    <row r="59" spans="1:10" x14ac:dyDescent="0.25">
      <c r="A59" s="100" t="s">
        <v>168</v>
      </c>
    </row>
    <row r="60" spans="1:10" ht="60.75" thickBot="1" x14ac:dyDescent="0.3">
      <c r="A60" s="107" t="s">
        <v>117</v>
      </c>
      <c r="B60" s="108" t="s">
        <v>99</v>
      </c>
      <c r="C60" s="107" t="s">
        <v>108</v>
      </c>
      <c r="D60" s="109" t="s">
        <v>173</v>
      </c>
    </row>
    <row r="61" spans="1:10" x14ac:dyDescent="0.25">
      <c r="A61" s="125" t="s">
        <v>114</v>
      </c>
      <c r="B61" s="104" t="s">
        <v>100</v>
      </c>
      <c r="C61" s="2" t="s">
        <v>104</v>
      </c>
      <c r="D61" s="150">
        <v>7.5</v>
      </c>
    </row>
    <row r="62" spans="1:10" x14ac:dyDescent="0.25">
      <c r="A62" s="126" t="s">
        <v>115</v>
      </c>
      <c r="B62" s="104" t="s">
        <v>101</v>
      </c>
      <c r="C62" s="2" t="s">
        <v>104</v>
      </c>
      <c r="D62" s="150">
        <v>7.5</v>
      </c>
    </row>
    <row r="63" spans="1:10" ht="15.75" thickBot="1" x14ac:dyDescent="0.3">
      <c r="A63" s="127" t="s">
        <v>116</v>
      </c>
      <c r="B63" s="104" t="s">
        <v>102</v>
      </c>
      <c r="C63" s="2" t="s">
        <v>105</v>
      </c>
      <c r="D63" s="150">
        <v>5</v>
      </c>
    </row>
    <row r="66" spans="1:10" ht="18.75" x14ac:dyDescent="0.3">
      <c r="A66" s="149" t="s">
        <v>162</v>
      </c>
      <c r="B66" s="99"/>
      <c r="C66" s="99"/>
    </row>
    <row r="67" spans="1:10" x14ac:dyDescent="0.25">
      <c r="A67" s="1" t="s">
        <v>110</v>
      </c>
      <c r="B67" s="99"/>
      <c r="C67" s="99"/>
    </row>
    <row r="68" spans="1:10" x14ac:dyDescent="0.25">
      <c r="A68" s="100" t="s">
        <v>169</v>
      </c>
      <c r="B68" s="99"/>
      <c r="C68" s="99"/>
    </row>
    <row r="69" spans="1:10" ht="90.75" customHeight="1" x14ac:dyDescent="0.25">
      <c r="A69" s="273" t="s">
        <v>85</v>
      </c>
      <c r="B69" s="273" t="s">
        <v>86</v>
      </c>
      <c r="C69" s="273" t="s">
        <v>87</v>
      </c>
      <c r="D69" s="273" t="s">
        <v>127</v>
      </c>
      <c r="E69" s="273"/>
      <c r="F69" s="273"/>
      <c r="G69" s="273" t="s">
        <v>128</v>
      </c>
      <c r="H69" s="273"/>
      <c r="I69" s="273"/>
      <c r="J69" s="273" t="s">
        <v>118</v>
      </c>
    </row>
    <row r="70" spans="1:10" x14ac:dyDescent="0.25">
      <c r="A70" s="273"/>
      <c r="B70" s="273"/>
      <c r="C70" s="273"/>
      <c r="D70" s="107" t="s">
        <v>114</v>
      </c>
      <c r="E70" s="107" t="s">
        <v>115</v>
      </c>
      <c r="F70" s="107" t="s">
        <v>116</v>
      </c>
      <c r="G70" s="107" t="s">
        <v>114</v>
      </c>
      <c r="H70" s="107" t="s">
        <v>115</v>
      </c>
      <c r="I70" s="107" t="s">
        <v>116</v>
      </c>
      <c r="J70" s="273"/>
    </row>
    <row r="71" spans="1:10" ht="30" x14ac:dyDescent="0.25">
      <c r="A71" s="102" t="s">
        <v>8</v>
      </c>
      <c r="B71" s="102" t="s">
        <v>84</v>
      </c>
      <c r="C71" s="103" t="s">
        <v>72</v>
      </c>
      <c r="D71" s="156" t="s">
        <v>106</v>
      </c>
      <c r="E71" s="156" t="s">
        <v>105</v>
      </c>
      <c r="F71" s="156" t="s">
        <v>104</v>
      </c>
      <c r="G71" s="110">
        <f>IF(D71=$A$24,$B$24,(IF(D71=$A$25,$B$25,IF(D71=$A$26,$B$26,$B$27))))</f>
        <v>0.33</v>
      </c>
      <c r="H71" s="110">
        <f t="shared" ref="H71:H80" si="7">IF(E71=$A$24,$B$24,(IF(E71=$A$25,$B$25,IF(E71=$A$26,$B$26,$B$27))))</f>
        <v>0.66</v>
      </c>
      <c r="I71" s="110">
        <f t="shared" ref="I71:I80" si="8">IF(F71=$A$24,$B$24,(IF(F71=$A$25,$B$25,IF(F71=$A$26,$B$26,$B$27))))</f>
        <v>1</v>
      </c>
      <c r="J71" s="2">
        <f>G71*$D$91+H71*$D$92+I71*$D$93</f>
        <v>11.625</v>
      </c>
    </row>
    <row r="72" spans="1:10" x14ac:dyDescent="0.25">
      <c r="A72" s="102" t="s">
        <v>9</v>
      </c>
      <c r="B72" s="102" t="s">
        <v>73</v>
      </c>
      <c r="C72" s="103" t="s">
        <v>88</v>
      </c>
      <c r="D72" s="156" t="s">
        <v>105</v>
      </c>
      <c r="E72" s="156" t="s">
        <v>106</v>
      </c>
      <c r="F72" s="156" t="s">
        <v>106</v>
      </c>
      <c r="G72" s="110">
        <f>IF(D72=$A$24,$B$24,(IF(D72=$A$25,$B$25,IF(D72=$A$26,$B$26,$B$27))))</f>
        <v>0.66</v>
      </c>
      <c r="H72" s="110">
        <f t="shared" si="7"/>
        <v>0.33</v>
      </c>
      <c r="I72" s="110">
        <f t="shared" si="8"/>
        <v>0.33</v>
      </c>
      <c r="J72" s="2">
        <f t="shared" ref="J72:J80" si="9">G72*$D$91+H72*$D$92+I72*$D$93</f>
        <v>5.7750000000000004</v>
      </c>
    </row>
    <row r="73" spans="1:10" x14ac:dyDescent="0.25">
      <c r="A73" s="102" t="s">
        <v>10</v>
      </c>
      <c r="B73" s="102" t="s">
        <v>74</v>
      </c>
      <c r="C73" s="103" t="s">
        <v>89</v>
      </c>
      <c r="D73" s="156" t="s">
        <v>105</v>
      </c>
      <c r="E73" s="156" t="s">
        <v>104</v>
      </c>
      <c r="F73" s="156" t="s">
        <v>105</v>
      </c>
      <c r="G73" s="110">
        <f t="shared" ref="G73:G77" si="10">IF(D73=$A$24,$B$24,(IF(D73=$A$25,$B$25,IF(D73=$A$26,$B$26,$B$27))))</f>
        <v>0.66</v>
      </c>
      <c r="H73" s="110">
        <f t="shared" si="7"/>
        <v>1</v>
      </c>
      <c r="I73" s="110">
        <f t="shared" si="8"/>
        <v>0.66</v>
      </c>
      <c r="J73" s="2">
        <f t="shared" si="9"/>
        <v>11.600000000000001</v>
      </c>
    </row>
    <row r="74" spans="1:10" x14ac:dyDescent="0.25">
      <c r="A74" s="102" t="s">
        <v>65</v>
      </c>
      <c r="B74" s="102" t="s">
        <v>75</v>
      </c>
      <c r="C74" s="103" t="s">
        <v>76</v>
      </c>
      <c r="D74" s="156" t="s">
        <v>104</v>
      </c>
      <c r="E74" s="156" t="s">
        <v>105</v>
      </c>
      <c r="F74" s="156" t="s">
        <v>106</v>
      </c>
      <c r="G74" s="110">
        <f t="shared" si="10"/>
        <v>1</v>
      </c>
      <c r="H74" s="110">
        <f t="shared" si="7"/>
        <v>0.66</v>
      </c>
      <c r="I74" s="110">
        <f t="shared" si="8"/>
        <v>0.33</v>
      </c>
      <c r="J74" s="2">
        <f t="shared" si="9"/>
        <v>8.2750000000000004</v>
      </c>
    </row>
    <row r="75" spans="1:10" ht="30" x14ac:dyDescent="0.25">
      <c r="A75" s="102" t="s">
        <v>66</v>
      </c>
      <c r="B75" s="102" t="s">
        <v>77</v>
      </c>
      <c r="C75" s="103" t="s">
        <v>90</v>
      </c>
      <c r="D75" s="156" t="s">
        <v>105</v>
      </c>
      <c r="E75" s="156" t="s">
        <v>104</v>
      </c>
      <c r="F75" s="156" t="s">
        <v>106</v>
      </c>
      <c r="G75" s="110">
        <f t="shared" si="10"/>
        <v>0.66</v>
      </c>
      <c r="H75" s="110">
        <f t="shared" si="7"/>
        <v>1</v>
      </c>
      <c r="I75" s="110">
        <f t="shared" si="8"/>
        <v>0.33</v>
      </c>
      <c r="J75" s="2">
        <f t="shared" si="9"/>
        <v>9.125</v>
      </c>
    </row>
    <row r="76" spans="1:10" x14ac:dyDescent="0.25">
      <c r="A76" s="102" t="s">
        <v>67</v>
      </c>
      <c r="B76" s="102" t="s">
        <v>78</v>
      </c>
      <c r="C76" s="103" t="s">
        <v>91</v>
      </c>
      <c r="D76" s="156" t="s">
        <v>106</v>
      </c>
      <c r="E76" s="156" t="s">
        <v>105</v>
      </c>
      <c r="F76" s="156" t="s">
        <v>106</v>
      </c>
      <c r="G76" s="110">
        <f t="shared" si="10"/>
        <v>0.33</v>
      </c>
      <c r="H76" s="110">
        <f t="shared" si="7"/>
        <v>0.66</v>
      </c>
      <c r="I76" s="110">
        <f t="shared" si="8"/>
        <v>0.33</v>
      </c>
      <c r="J76" s="2">
        <f t="shared" si="9"/>
        <v>6.6</v>
      </c>
    </row>
    <row r="77" spans="1:10" ht="30" x14ac:dyDescent="0.25">
      <c r="A77" s="102" t="s">
        <v>68</v>
      </c>
      <c r="B77" s="102" t="s">
        <v>79</v>
      </c>
      <c r="C77" s="103" t="s">
        <v>92</v>
      </c>
      <c r="D77" s="156" t="s">
        <v>104</v>
      </c>
      <c r="E77" s="156" t="s">
        <v>105</v>
      </c>
      <c r="F77" s="156" t="s">
        <v>106</v>
      </c>
      <c r="G77" s="110">
        <f t="shared" si="10"/>
        <v>1</v>
      </c>
      <c r="H77" s="110">
        <f t="shared" si="7"/>
        <v>0.66</v>
      </c>
      <c r="I77" s="110">
        <f t="shared" si="8"/>
        <v>0.33</v>
      </c>
      <c r="J77" s="2">
        <f t="shared" si="9"/>
        <v>8.2750000000000004</v>
      </c>
    </row>
    <row r="78" spans="1:10" ht="30" x14ac:dyDescent="0.25">
      <c r="A78" s="102" t="s">
        <v>69</v>
      </c>
      <c r="B78" s="102" t="s">
        <v>80</v>
      </c>
      <c r="C78" s="103" t="s">
        <v>81</v>
      </c>
      <c r="D78" s="156" t="s">
        <v>105</v>
      </c>
      <c r="E78" s="156" t="s">
        <v>106</v>
      </c>
      <c r="F78" s="156" t="s">
        <v>104</v>
      </c>
      <c r="G78" s="110">
        <f>IF(D78=$A$24,$B$24,(IF(D78=$A$25,$B$25,IF(D78=$A$26,$B$26,$B$27))))</f>
        <v>0.66</v>
      </c>
      <c r="H78" s="110">
        <f t="shared" si="7"/>
        <v>0.33</v>
      </c>
      <c r="I78" s="110">
        <f t="shared" si="8"/>
        <v>1</v>
      </c>
      <c r="J78" s="2">
        <f t="shared" si="9"/>
        <v>10.8</v>
      </c>
    </row>
    <row r="79" spans="1:10" ht="30" x14ac:dyDescent="0.25">
      <c r="A79" s="102" t="s">
        <v>70</v>
      </c>
      <c r="B79" s="102" t="s">
        <v>82</v>
      </c>
      <c r="C79" s="103" t="s">
        <v>93</v>
      </c>
      <c r="D79" s="156" t="s">
        <v>105</v>
      </c>
      <c r="E79" s="156" t="s">
        <v>104</v>
      </c>
      <c r="F79" s="156" t="s">
        <v>106</v>
      </c>
      <c r="G79" s="110">
        <f t="shared" ref="G79:G80" si="11">IF(D79=$A$24,$B$24,(IF(D79=$A$25,$B$25,IF(D79=$A$26,$B$26,$B$27))))</f>
        <v>0.66</v>
      </c>
      <c r="H79" s="110">
        <f t="shared" si="7"/>
        <v>1</v>
      </c>
      <c r="I79" s="110">
        <f t="shared" si="8"/>
        <v>0.33</v>
      </c>
      <c r="J79" s="2">
        <f t="shared" si="9"/>
        <v>9.125</v>
      </c>
    </row>
    <row r="80" spans="1:10" ht="30" x14ac:dyDescent="0.25">
      <c r="A80" s="102" t="s">
        <v>71</v>
      </c>
      <c r="B80" s="102" t="s">
        <v>83</v>
      </c>
      <c r="C80" s="103" t="s">
        <v>94</v>
      </c>
      <c r="D80" s="156" t="s">
        <v>106</v>
      </c>
      <c r="E80" s="156" t="s">
        <v>104</v>
      </c>
      <c r="F80" s="156" t="s">
        <v>105</v>
      </c>
      <c r="G80" s="110">
        <f t="shared" si="11"/>
        <v>0.33</v>
      </c>
      <c r="H80" s="110">
        <f t="shared" si="7"/>
        <v>1</v>
      </c>
      <c r="I80" s="110">
        <f t="shared" si="8"/>
        <v>0.66</v>
      </c>
      <c r="J80" s="2">
        <f t="shared" si="9"/>
        <v>10.775</v>
      </c>
    </row>
    <row r="82" spans="1:4" x14ac:dyDescent="0.25">
      <c r="A82" s="100" t="s">
        <v>170</v>
      </c>
    </row>
    <row r="83" spans="1:4" x14ac:dyDescent="0.25">
      <c r="A83" s="107" t="s">
        <v>103</v>
      </c>
      <c r="B83" s="108" t="s">
        <v>122</v>
      </c>
      <c r="C83" s="108" t="s">
        <v>123</v>
      </c>
    </row>
    <row r="84" spans="1:4" x14ac:dyDescent="0.25">
      <c r="A84" s="102" t="s">
        <v>104</v>
      </c>
      <c r="B84" s="2">
        <v>1</v>
      </c>
      <c r="C84" s="2">
        <v>7.5</v>
      </c>
    </row>
    <row r="85" spans="1:4" x14ac:dyDescent="0.25">
      <c r="A85" s="102" t="s">
        <v>105</v>
      </c>
      <c r="B85" s="2">
        <v>0.66</v>
      </c>
      <c r="C85" s="2">
        <v>5</v>
      </c>
    </row>
    <row r="86" spans="1:4" x14ac:dyDescent="0.25">
      <c r="A86" s="102" t="s">
        <v>106</v>
      </c>
      <c r="B86" s="2">
        <v>0.33</v>
      </c>
      <c r="C86" s="2">
        <v>2.5</v>
      </c>
    </row>
    <row r="87" spans="1:4" x14ac:dyDescent="0.25">
      <c r="A87" s="102" t="s">
        <v>107</v>
      </c>
      <c r="B87" s="2">
        <v>0</v>
      </c>
      <c r="C87" s="2">
        <v>1</v>
      </c>
    </row>
    <row r="89" spans="1:4" x14ac:dyDescent="0.25">
      <c r="A89" s="100" t="s">
        <v>171</v>
      </c>
    </row>
    <row r="90" spans="1:4" ht="60.75" thickBot="1" x14ac:dyDescent="0.3">
      <c r="A90" s="107" t="s">
        <v>117</v>
      </c>
      <c r="B90" s="108" t="s">
        <v>99</v>
      </c>
      <c r="C90" s="107" t="s">
        <v>108</v>
      </c>
      <c r="D90" s="109" t="s">
        <v>172</v>
      </c>
    </row>
    <row r="91" spans="1:4" x14ac:dyDescent="0.25">
      <c r="A91" s="125" t="s">
        <v>114</v>
      </c>
      <c r="B91" s="104" t="s">
        <v>100</v>
      </c>
      <c r="C91" s="2" t="s">
        <v>106</v>
      </c>
      <c r="D91" s="150">
        <f>C86</f>
        <v>2.5</v>
      </c>
    </row>
    <row r="92" spans="1:4" x14ac:dyDescent="0.25">
      <c r="A92" s="126" t="s">
        <v>115</v>
      </c>
      <c r="B92" s="104" t="s">
        <v>101</v>
      </c>
      <c r="C92" s="2" t="s">
        <v>105</v>
      </c>
      <c r="D92" s="150">
        <f>C85</f>
        <v>5</v>
      </c>
    </row>
    <row r="93" spans="1:4" ht="15.75" thickBot="1" x14ac:dyDescent="0.3">
      <c r="A93" s="127" t="s">
        <v>116</v>
      </c>
      <c r="B93" s="104" t="s">
        <v>102</v>
      </c>
      <c r="C93" s="2" t="s">
        <v>104</v>
      </c>
      <c r="D93" s="150">
        <f>C84</f>
        <v>7.5</v>
      </c>
    </row>
    <row r="96" spans="1:4" x14ac:dyDescent="0.25">
      <c r="A96" s="1" t="s">
        <v>180</v>
      </c>
    </row>
    <row r="97" spans="1:6" s="97" customFormat="1" ht="30" x14ac:dyDescent="0.25">
      <c r="A97" s="151" t="s">
        <v>175</v>
      </c>
      <c r="B97" s="151" t="s">
        <v>178</v>
      </c>
      <c r="C97" s="151" t="s">
        <v>179</v>
      </c>
    </row>
    <row r="98" spans="1:6" x14ac:dyDescent="0.25">
      <c r="A98" s="2" t="s">
        <v>176</v>
      </c>
      <c r="B98" s="2">
        <v>0.5</v>
      </c>
      <c r="C98" s="2">
        <v>0.3</v>
      </c>
    </row>
    <row r="99" spans="1:6" x14ac:dyDescent="0.25">
      <c r="A99" s="2" t="s">
        <v>177</v>
      </c>
      <c r="B99" s="2">
        <v>0.5</v>
      </c>
      <c r="C99" s="2">
        <v>0.3</v>
      </c>
    </row>
    <row r="100" spans="1:6" x14ac:dyDescent="0.25">
      <c r="A100" s="2" t="s">
        <v>207</v>
      </c>
      <c r="B100" s="2"/>
      <c r="C100" s="2">
        <v>0.4</v>
      </c>
    </row>
    <row r="102" spans="1:6" x14ac:dyDescent="0.25">
      <c r="A102" s="1" t="s">
        <v>181</v>
      </c>
    </row>
    <row r="103" spans="1:6" s="97" customFormat="1" ht="75" customHeight="1" x14ac:dyDescent="0.25">
      <c r="A103" s="151" t="s">
        <v>182</v>
      </c>
      <c r="B103" s="151" t="s">
        <v>183</v>
      </c>
      <c r="C103" s="151" t="s">
        <v>184</v>
      </c>
      <c r="D103" s="151" t="s">
        <v>185</v>
      </c>
      <c r="E103" s="151" t="s">
        <v>186</v>
      </c>
      <c r="F103" s="151" t="s">
        <v>187</v>
      </c>
    </row>
    <row r="104" spans="1:6" x14ac:dyDescent="0.25">
      <c r="A104" s="102" t="s">
        <v>84</v>
      </c>
      <c r="B104" s="2">
        <f>J11</f>
        <v>14.15</v>
      </c>
      <c r="C104" s="2">
        <f>J41</f>
        <v>12.425000000000001</v>
      </c>
      <c r="D104" s="2">
        <f>J71</f>
        <v>11.625</v>
      </c>
      <c r="E104" s="2">
        <f>B104*B$98+C104*B$99</f>
        <v>13.287500000000001</v>
      </c>
      <c r="F104" s="2">
        <f>B104*C$98+C104*C$99+D104*C$100</f>
        <v>12.6225</v>
      </c>
    </row>
    <row r="105" spans="1:6" x14ac:dyDescent="0.25">
      <c r="A105" s="102" t="s">
        <v>73</v>
      </c>
      <c r="B105" s="2">
        <f t="shared" ref="B105:B113" si="12">J12</f>
        <v>6.6000000000000005</v>
      </c>
      <c r="C105" s="2">
        <f t="shared" ref="C105:C113" si="13">J42</f>
        <v>8.25</v>
      </c>
      <c r="D105" s="2">
        <f t="shared" ref="D105:D113" si="14">J72</f>
        <v>5.7750000000000004</v>
      </c>
      <c r="E105" s="2">
        <f t="shared" ref="E105:E112" si="15">B105*B$98+C105*B$99</f>
        <v>7.4250000000000007</v>
      </c>
      <c r="F105" s="2">
        <f t="shared" ref="F105:F112" si="16">B105*C$98+C105*C$99+D105*C$100</f>
        <v>6.7650000000000006</v>
      </c>
    </row>
    <row r="106" spans="1:6" x14ac:dyDescent="0.25">
      <c r="A106" s="102" t="s">
        <v>74</v>
      </c>
      <c r="B106" s="2">
        <f t="shared" si="12"/>
        <v>9.9</v>
      </c>
      <c r="C106" s="2">
        <f t="shared" si="13"/>
        <v>15.75</v>
      </c>
      <c r="D106" s="2">
        <f t="shared" si="14"/>
        <v>11.600000000000001</v>
      </c>
      <c r="E106" s="2">
        <f t="shared" si="15"/>
        <v>12.824999999999999</v>
      </c>
      <c r="F106" s="2">
        <f t="shared" si="16"/>
        <v>12.335000000000001</v>
      </c>
    </row>
    <row r="107" spans="1:6" x14ac:dyDescent="0.25">
      <c r="A107" s="102" t="s">
        <v>75</v>
      </c>
      <c r="B107" s="2">
        <f t="shared" si="12"/>
        <v>12.450000000000001</v>
      </c>
      <c r="C107" s="2">
        <f t="shared" si="13"/>
        <v>14.1</v>
      </c>
      <c r="D107" s="2">
        <f t="shared" si="14"/>
        <v>8.2750000000000004</v>
      </c>
      <c r="E107" s="2">
        <f t="shared" si="15"/>
        <v>13.275</v>
      </c>
      <c r="F107" s="2">
        <f t="shared" si="16"/>
        <v>11.275</v>
      </c>
    </row>
    <row r="108" spans="1:6" x14ac:dyDescent="0.25">
      <c r="A108" s="102" t="s">
        <v>77</v>
      </c>
      <c r="B108" s="2">
        <f t="shared" si="12"/>
        <v>10.75</v>
      </c>
      <c r="C108" s="2">
        <f t="shared" si="13"/>
        <v>15.75</v>
      </c>
      <c r="D108" s="2">
        <f t="shared" si="14"/>
        <v>9.125</v>
      </c>
      <c r="E108" s="2">
        <f t="shared" si="15"/>
        <v>13.25</v>
      </c>
      <c r="F108" s="2">
        <f t="shared" si="16"/>
        <v>11.6</v>
      </c>
    </row>
    <row r="109" spans="1:6" x14ac:dyDescent="0.25">
      <c r="A109" s="102" t="s">
        <v>78</v>
      </c>
      <c r="B109" s="2">
        <f t="shared" si="12"/>
        <v>10.8</v>
      </c>
      <c r="C109" s="2">
        <f t="shared" si="13"/>
        <v>14.1</v>
      </c>
      <c r="D109" s="2">
        <f t="shared" si="14"/>
        <v>6.6</v>
      </c>
      <c r="E109" s="2">
        <f t="shared" si="15"/>
        <v>12.45</v>
      </c>
      <c r="F109" s="2">
        <f t="shared" si="16"/>
        <v>10.11</v>
      </c>
    </row>
    <row r="110" spans="1:6" x14ac:dyDescent="0.25">
      <c r="A110" s="102" t="s">
        <v>79</v>
      </c>
      <c r="B110" s="2">
        <f t="shared" si="12"/>
        <v>10.8</v>
      </c>
      <c r="C110" s="2">
        <f t="shared" si="13"/>
        <v>14.1</v>
      </c>
      <c r="D110" s="2">
        <f t="shared" si="14"/>
        <v>8.2750000000000004</v>
      </c>
      <c r="E110" s="2">
        <f t="shared" si="15"/>
        <v>12.45</v>
      </c>
      <c r="F110" s="2">
        <f t="shared" si="16"/>
        <v>10.780000000000001</v>
      </c>
    </row>
    <row r="111" spans="1:6" x14ac:dyDescent="0.25">
      <c r="A111" s="102" t="s">
        <v>80</v>
      </c>
      <c r="B111" s="2">
        <f t="shared" si="12"/>
        <v>12.45</v>
      </c>
      <c r="C111" s="2">
        <f t="shared" si="13"/>
        <v>12.425000000000001</v>
      </c>
      <c r="D111" s="2">
        <f t="shared" si="14"/>
        <v>10.8</v>
      </c>
      <c r="E111" s="2">
        <f t="shared" si="15"/>
        <v>12.4375</v>
      </c>
      <c r="F111" s="2">
        <f t="shared" si="16"/>
        <v>11.782499999999999</v>
      </c>
    </row>
    <row r="112" spans="1:6" x14ac:dyDescent="0.25">
      <c r="A112" s="102" t="s">
        <v>82</v>
      </c>
      <c r="B112" s="2">
        <f t="shared" si="12"/>
        <v>10.75</v>
      </c>
      <c r="C112" s="2">
        <f t="shared" si="13"/>
        <v>13.275</v>
      </c>
      <c r="D112" s="2">
        <f t="shared" si="14"/>
        <v>9.125</v>
      </c>
      <c r="E112" s="2">
        <f t="shared" si="15"/>
        <v>12.012499999999999</v>
      </c>
      <c r="F112" s="2">
        <f t="shared" si="16"/>
        <v>10.8575</v>
      </c>
    </row>
    <row r="113" spans="1:6" x14ac:dyDescent="0.25">
      <c r="A113" s="102" t="s">
        <v>83</v>
      </c>
      <c r="B113" s="2">
        <f t="shared" si="12"/>
        <v>8.2750000000000004</v>
      </c>
      <c r="C113" s="2">
        <f t="shared" si="13"/>
        <v>13.275</v>
      </c>
      <c r="D113" s="2">
        <f t="shared" si="14"/>
        <v>10.775</v>
      </c>
      <c r="E113" s="2">
        <f>B113*B$98+C113*B$99</f>
        <v>10.775</v>
      </c>
      <c r="F113" s="2">
        <f>B113*C$98+C113*C$99+D113*C$100</f>
        <v>10.775</v>
      </c>
    </row>
    <row r="115" spans="1:6" x14ac:dyDescent="0.25">
      <c r="A115" s="1" t="s">
        <v>246</v>
      </c>
    </row>
    <row r="116" spans="1:6" ht="30" x14ac:dyDescent="0.25">
      <c r="A116" s="151" t="s">
        <v>182</v>
      </c>
      <c r="B116" s="151" t="s">
        <v>187</v>
      </c>
    </row>
    <row r="117" spans="1:6" x14ac:dyDescent="0.25">
      <c r="A117" s="2" t="s">
        <v>84</v>
      </c>
      <c r="B117" s="2">
        <v>12.6225</v>
      </c>
    </row>
    <row r="118" spans="1:6" x14ac:dyDescent="0.25">
      <c r="A118" s="2" t="s">
        <v>74</v>
      </c>
      <c r="B118" s="2">
        <v>12.335000000000001</v>
      </c>
    </row>
    <row r="119" spans="1:6" x14ac:dyDescent="0.25">
      <c r="A119" s="2" t="s">
        <v>80</v>
      </c>
      <c r="B119" s="2">
        <v>11.782499999999999</v>
      </c>
    </row>
    <row r="120" spans="1:6" x14ac:dyDescent="0.25">
      <c r="A120" s="2" t="s">
        <v>77</v>
      </c>
      <c r="B120" s="2">
        <v>11.6</v>
      </c>
    </row>
    <row r="121" spans="1:6" x14ac:dyDescent="0.25">
      <c r="A121" s="2" t="s">
        <v>75</v>
      </c>
      <c r="B121" s="2">
        <v>11.275</v>
      </c>
    </row>
    <row r="122" spans="1:6" x14ac:dyDescent="0.25">
      <c r="A122" s="2" t="s">
        <v>82</v>
      </c>
      <c r="B122" s="2">
        <v>10.8575</v>
      </c>
    </row>
    <row r="123" spans="1:6" x14ac:dyDescent="0.25">
      <c r="A123" s="2" t="s">
        <v>79</v>
      </c>
      <c r="B123" s="2">
        <v>10.780000000000001</v>
      </c>
    </row>
    <row r="124" spans="1:6" x14ac:dyDescent="0.25">
      <c r="A124" s="2" t="s">
        <v>83</v>
      </c>
      <c r="B124" s="2">
        <v>10.775</v>
      </c>
    </row>
    <row r="125" spans="1:6" x14ac:dyDescent="0.25">
      <c r="A125" s="2" t="s">
        <v>78</v>
      </c>
      <c r="B125" s="2">
        <v>10.11</v>
      </c>
    </row>
    <row r="126" spans="1:6" x14ac:dyDescent="0.25">
      <c r="A126" s="2" t="s">
        <v>73</v>
      </c>
      <c r="B126" s="2">
        <v>6.7650000000000006</v>
      </c>
    </row>
  </sheetData>
  <sortState xmlns:xlrd2="http://schemas.microsoft.com/office/spreadsheetml/2017/richdata2" ref="A117:J126">
    <sortCondition descending="1" ref="B117:B126"/>
  </sortState>
  <mergeCells count="19">
    <mergeCell ref="J69:J70"/>
    <mergeCell ref="J9:J10"/>
    <mergeCell ref="A39:A40"/>
    <mergeCell ref="B39:B40"/>
    <mergeCell ref="C39:C40"/>
    <mergeCell ref="D39:F39"/>
    <mergeCell ref="G39:I39"/>
    <mergeCell ref="J39:J40"/>
    <mergeCell ref="G9:I9"/>
    <mergeCell ref="A69:A70"/>
    <mergeCell ref="B69:B70"/>
    <mergeCell ref="C69:C70"/>
    <mergeCell ref="D69:F69"/>
    <mergeCell ref="G69:I69"/>
    <mergeCell ref="A3:E3"/>
    <mergeCell ref="A9:A10"/>
    <mergeCell ref="B9:B10"/>
    <mergeCell ref="C9:C10"/>
    <mergeCell ref="D9:F9"/>
  </mergeCells>
  <phoneticPr fontId="11" type="noConversion"/>
  <hyperlinks>
    <hyperlink ref="B2" r:id="rId1" xr:uid="{D8BFB5FC-2D88-4545-BCAA-4D64975CF17F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2143-2474-406E-B8A9-11C95C381C06}">
  <dimension ref="A1:J223"/>
  <sheetViews>
    <sheetView workbookViewId="0">
      <selection activeCell="A6" sqref="A6:XFD6"/>
    </sheetView>
  </sheetViews>
  <sheetFormatPr defaultRowHeight="15" x14ac:dyDescent="0.25"/>
  <cols>
    <col min="1" max="1" width="28.8554687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10" max="10" width="17.85546875" customWidth="1"/>
  </cols>
  <sheetData>
    <row r="1" spans="1:10" x14ac:dyDescent="0.25">
      <c r="A1" s="1" t="s">
        <v>95</v>
      </c>
      <c r="B1" s="98"/>
      <c r="C1" s="98"/>
    </row>
    <row r="2" spans="1:10" x14ac:dyDescent="0.25">
      <c r="A2" s="1" t="s">
        <v>96</v>
      </c>
      <c r="B2" s="101" t="s">
        <v>97</v>
      </c>
      <c r="C2" s="98"/>
    </row>
    <row r="3" spans="1:10" ht="30" customHeight="1" x14ac:dyDescent="0.25">
      <c r="A3" s="274" t="s">
        <v>98</v>
      </c>
      <c r="B3" s="275"/>
      <c r="C3" s="275"/>
      <c r="D3" s="276"/>
      <c r="E3" s="276"/>
    </row>
    <row r="4" spans="1:10" ht="31.5" x14ac:dyDescent="0.25">
      <c r="A4" s="232" t="s">
        <v>263</v>
      </c>
      <c r="B4" s="101" t="s">
        <v>265</v>
      </c>
      <c r="C4" s="99"/>
    </row>
    <row r="5" spans="1:10" x14ac:dyDescent="0.25">
      <c r="A5" s="274" t="s">
        <v>264</v>
      </c>
      <c r="B5" s="275"/>
      <c r="C5" s="275"/>
      <c r="D5" s="276"/>
      <c r="E5" s="276"/>
    </row>
    <row r="6" spans="1:10" ht="15.75" x14ac:dyDescent="0.25">
      <c r="A6" s="146"/>
      <c r="B6" s="99"/>
      <c r="C6" s="99"/>
    </row>
    <row r="7" spans="1:10" ht="18.75" x14ac:dyDescent="0.3">
      <c r="A7" s="149" t="s">
        <v>160</v>
      </c>
      <c r="B7" s="99"/>
      <c r="C7" s="99"/>
    </row>
    <row r="8" spans="1:10" x14ac:dyDescent="0.25">
      <c r="A8" s="1" t="s">
        <v>110</v>
      </c>
      <c r="B8" s="99"/>
      <c r="C8" s="99"/>
    </row>
    <row r="9" spans="1:10" x14ac:dyDescent="0.25">
      <c r="A9" s="100" t="s">
        <v>163</v>
      </c>
      <c r="B9" s="99"/>
      <c r="C9" s="99"/>
    </row>
    <row r="10" spans="1:10" ht="75.75" customHeight="1" x14ac:dyDescent="0.25">
      <c r="A10" s="273" t="s">
        <v>85</v>
      </c>
      <c r="B10" s="273" t="s">
        <v>86</v>
      </c>
      <c r="C10" s="273" t="s">
        <v>87</v>
      </c>
      <c r="D10" s="273" t="s">
        <v>127</v>
      </c>
      <c r="E10" s="273"/>
      <c r="F10" s="273"/>
      <c r="G10" s="273" t="s">
        <v>128</v>
      </c>
      <c r="H10" s="273"/>
      <c r="I10" s="273"/>
      <c r="J10" s="273" t="s">
        <v>118</v>
      </c>
    </row>
    <row r="11" spans="1:10" s="97" customFormat="1" ht="18" customHeight="1" x14ac:dyDescent="0.25">
      <c r="A11" s="273"/>
      <c r="B11" s="273"/>
      <c r="C11" s="273"/>
      <c r="D11" s="107" t="s">
        <v>114</v>
      </c>
      <c r="E11" s="107" t="s">
        <v>115</v>
      </c>
      <c r="F11" s="107" t="s">
        <v>116</v>
      </c>
      <c r="G11" s="107" t="s">
        <v>114</v>
      </c>
      <c r="H11" s="107" t="s">
        <v>115</v>
      </c>
      <c r="I11" s="107" t="s">
        <v>116</v>
      </c>
      <c r="J11" s="273"/>
    </row>
    <row r="12" spans="1:10" ht="30" x14ac:dyDescent="0.25">
      <c r="A12" s="102" t="s">
        <v>8</v>
      </c>
      <c r="B12" s="102" t="s">
        <v>84</v>
      </c>
      <c r="C12" s="103" t="s">
        <v>72</v>
      </c>
      <c r="D12" s="156" t="s">
        <v>104</v>
      </c>
      <c r="E12" s="156" t="s">
        <v>105</v>
      </c>
      <c r="F12" s="156" t="s">
        <v>104</v>
      </c>
      <c r="G12" s="110">
        <f>IF(D12=$A$25,$B$25,(IF(D12=$A$26,$B$26,IF(D12=$A$27,$B$27,$B$28))))</f>
        <v>1</v>
      </c>
      <c r="H12" s="110">
        <f t="shared" ref="H12:I21" si="0">IF(E12=$A$25,$B$25,(IF(E12=$A$26,$B$26,IF(E12=$A$27,$B$27,$B$28))))</f>
        <v>0.66</v>
      </c>
      <c r="I12" s="110">
        <f t="shared" si="0"/>
        <v>1</v>
      </c>
      <c r="J12" s="2">
        <f>G12*$D$32+H12*$D$33+I12*$D$34</f>
        <v>14.15</v>
      </c>
    </row>
    <row r="13" spans="1:10" x14ac:dyDescent="0.25">
      <c r="A13" s="102" t="s">
        <v>9</v>
      </c>
      <c r="B13" s="102" t="s">
        <v>73</v>
      </c>
      <c r="C13" s="103" t="s">
        <v>88</v>
      </c>
      <c r="D13" s="156" t="s">
        <v>106</v>
      </c>
      <c r="E13" s="156" t="s">
        <v>106</v>
      </c>
      <c r="F13" s="156" t="s">
        <v>105</v>
      </c>
      <c r="G13" s="110">
        <f>IF(D13=$A$25,$B$25,(IF(D13=$A$26,$B$26,IF(D13=$A$27,$B$27,$B$28))))</f>
        <v>0.33</v>
      </c>
      <c r="H13" s="110">
        <f t="shared" si="0"/>
        <v>0.33</v>
      </c>
      <c r="I13" s="110">
        <f t="shared" si="0"/>
        <v>0.66</v>
      </c>
      <c r="J13" s="2">
        <f t="shared" ref="J13:J21" si="1">G13*$D$32+H13*$D$33+I13*$D$34</f>
        <v>6.6000000000000005</v>
      </c>
    </row>
    <row r="14" spans="1:10" x14ac:dyDescent="0.25">
      <c r="A14" s="102" t="s">
        <v>10</v>
      </c>
      <c r="B14" s="102" t="s">
        <v>74</v>
      </c>
      <c r="C14" s="103" t="s">
        <v>89</v>
      </c>
      <c r="D14" s="156" t="s">
        <v>105</v>
      </c>
      <c r="E14" s="156" t="s">
        <v>105</v>
      </c>
      <c r="F14" s="156" t="s">
        <v>105</v>
      </c>
      <c r="G14" s="110">
        <f t="shared" ref="G14:G21" si="2">IF(D14=$A$25,$B$25,(IF(D14=$A$26,$B$26,IF(D14=$A$27,$B$27,$B$28))))</f>
        <v>0.66</v>
      </c>
      <c r="H14" s="110">
        <f t="shared" si="0"/>
        <v>0.66</v>
      </c>
      <c r="I14" s="110">
        <f t="shared" si="0"/>
        <v>0.66</v>
      </c>
      <c r="J14" s="2">
        <f t="shared" si="1"/>
        <v>9.9</v>
      </c>
    </row>
    <row r="15" spans="1:10" x14ac:dyDescent="0.25">
      <c r="A15" s="102" t="s">
        <v>65</v>
      </c>
      <c r="B15" s="102" t="s">
        <v>75</v>
      </c>
      <c r="C15" s="103" t="s">
        <v>76</v>
      </c>
      <c r="D15" s="156" t="s">
        <v>104</v>
      </c>
      <c r="E15" s="156" t="s">
        <v>105</v>
      </c>
      <c r="F15" s="156" t="s">
        <v>105</v>
      </c>
      <c r="G15" s="110">
        <f t="shared" si="2"/>
        <v>1</v>
      </c>
      <c r="H15" s="110">
        <f t="shared" si="0"/>
        <v>0.66</v>
      </c>
      <c r="I15" s="110">
        <f t="shared" si="0"/>
        <v>0.66</v>
      </c>
      <c r="J15" s="2">
        <f t="shared" si="1"/>
        <v>12.450000000000001</v>
      </c>
    </row>
    <row r="16" spans="1:10" ht="30" x14ac:dyDescent="0.25">
      <c r="A16" s="102" t="s">
        <v>66</v>
      </c>
      <c r="B16" s="102" t="s">
        <v>77</v>
      </c>
      <c r="C16" s="103" t="s">
        <v>90</v>
      </c>
      <c r="D16" s="156" t="s">
        <v>105</v>
      </c>
      <c r="E16" s="156" t="s">
        <v>104</v>
      </c>
      <c r="F16" s="156" t="s">
        <v>105</v>
      </c>
      <c r="G16" s="110">
        <f t="shared" si="2"/>
        <v>0.66</v>
      </c>
      <c r="H16" s="110">
        <f t="shared" si="0"/>
        <v>1</v>
      </c>
      <c r="I16" s="110">
        <f t="shared" si="0"/>
        <v>0.66</v>
      </c>
      <c r="J16" s="2">
        <f t="shared" si="1"/>
        <v>10.75</v>
      </c>
    </row>
    <row r="17" spans="1:10" x14ac:dyDescent="0.25">
      <c r="A17" s="102" t="s">
        <v>67</v>
      </c>
      <c r="B17" s="102" t="s">
        <v>78</v>
      </c>
      <c r="C17" s="103" t="s">
        <v>91</v>
      </c>
      <c r="D17" s="156" t="s">
        <v>104</v>
      </c>
      <c r="E17" s="156" t="s">
        <v>105</v>
      </c>
      <c r="F17" s="156" t="s">
        <v>106</v>
      </c>
      <c r="G17" s="110">
        <f t="shared" si="2"/>
        <v>1</v>
      </c>
      <c r="H17" s="110">
        <f t="shared" si="0"/>
        <v>0.66</v>
      </c>
      <c r="I17" s="110">
        <f t="shared" si="0"/>
        <v>0.33</v>
      </c>
      <c r="J17" s="2">
        <f t="shared" si="1"/>
        <v>10.8</v>
      </c>
    </row>
    <row r="18" spans="1:10" ht="30" x14ac:dyDescent="0.25">
      <c r="A18" s="102" t="s">
        <v>68</v>
      </c>
      <c r="B18" s="102" t="s">
        <v>79</v>
      </c>
      <c r="C18" s="103" t="s">
        <v>92</v>
      </c>
      <c r="D18" s="156" t="s">
        <v>104</v>
      </c>
      <c r="E18" s="156" t="s">
        <v>105</v>
      </c>
      <c r="F18" s="156" t="s">
        <v>106</v>
      </c>
      <c r="G18" s="110">
        <f t="shared" si="2"/>
        <v>1</v>
      </c>
      <c r="H18" s="110">
        <f t="shared" si="0"/>
        <v>0.66</v>
      </c>
      <c r="I18" s="110">
        <f t="shared" si="0"/>
        <v>0.33</v>
      </c>
      <c r="J18" s="2">
        <f t="shared" si="1"/>
        <v>10.8</v>
      </c>
    </row>
    <row r="19" spans="1:10" ht="30" x14ac:dyDescent="0.25">
      <c r="A19" s="102" t="s">
        <v>69</v>
      </c>
      <c r="B19" s="102" t="s">
        <v>80</v>
      </c>
      <c r="C19" s="103" t="s">
        <v>81</v>
      </c>
      <c r="D19" s="156" t="s">
        <v>105</v>
      </c>
      <c r="E19" s="156" t="s">
        <v>104</v>
      </c>
      <c r="F19" s="156" t="s">
        <v>104</v>
      </c>
      <c r="G19" s="110">
        <f t="shared" si="2"/>
        <v>0.66</v>
      </c>
      <c r="H19" s="110">
        <f t="shared" si="0"/>
        <v>1</v>
      </c>
      <c r="I19" s="110">
        <f t="shared" si="0"/>
        <v>1</v>
      </c>
      <c r="J19" s="2">
        <f t="shared" si="1"/>
        <v>12.45</v>
      </c>
    </row>
    <row r="20" spans="1:10" ht="35.25" customHeight="1" x14ac:dyDescent="0.25">
      <c r="A20" s="102" t="s">
        <v>70</v>
      </c>
      <c r="B20" s="102" t="s">
        <v>82</v>
      </c>
      <c r="C20" s="103" t="s">
        <v>93</v>
      </c>
      <c r="D20" s="156" t="s">
        <v>105</v>
      </c>
      <c r="E20" s="156" t="s">
        <v>104</v>
      </c>
      <c r="F20" s="156" t="s">
        <v>105</v>
      </c>
      <c r="G20" s="110">
        <f t="shared" si="2"/>
        <v>0.66</v>
      </c>
      <c r="H20" s="110">
        <f t="shared" si="0"/>
        <v>1</v>
      </c>
      <c r="I20" s="110">
        <f t="shared" si="0"/>
        <v>0.66</v>
      </c>
      <c r="J20" s="2">
        <f t="shared" si="1"/>
        <v>10.75</v>
      </c>
    </row>
    <row r="21" spans="1:10" ht="30" x14ac:dyDescent="0.25">
      <c r="A21" s="102" t="s">
        <v>71</v>
      </c>
      <c r="B21" s="102" t="s">
        <v>83</v>
      </c>
      <c r="C21" s="103" t="s">
        <v>94</v>
      </c>
      <c r="D21" s="156" t="s">
        <v>106</v>
      </c>
      <c r="E21" s="156" t="s">
        <v>104</v>
      </c>
      <c r="F21" s="156" t="s">
        <v>105</v>
      </c>
      <c r="G21" s="110">
        <f t="shared" si="2"/>
        <v>0.33</v>
      </c>
      <c r="H21" s="110">
        <f t="shared" si="0"/>
        <v>1</v>
      </c>
      <c r="I21" s="110">
        <f t="shared" si="0"/>
        <v>0.66</v>
      </c>
      <c r="J21" s="2">
        <f t="shared" si="1"/>
        <v>8.2750000000000004</v>
      </c>
    </row>
    <row r="23" spans="1:10" x14ac:dyDescent="0.25">
      <c r="A23" s="100" t="s">
        <v>164</v>
      </c>
    </row>
    <row r="24" spans="1:10" x14ac:dyDescent="0.25">
      <c r="A24" s="107" t="s">
        <v>103</v>
      </c>
      <c r="B24" s="108" t="s">
        <v>122</v>
      </c>
      <c r="C24" s="108" t="s">
        <v>123</v>
      </c>
    </row>
    <row r="25" spans="1:10" x14ac:dyDescent="0.25">
      <c r="A25" s="102" t="s">
        <v>104</v>
      </c>
      <c r="B25" s="2">
        <v>1</v>
      </c>
      <c r="C25" s="2">
        <v>7.5</v>
      </c>
    </row>
    <row r="26" spans="1:10" x14ac:dyDescent="0.25">
      <c r="A26" s="102" t="s">
        <v>105</v>
      </c>
      <c r="B26" s="2">
        <v>0.66</v>
      </c>
      <c r="C26" s="2">
        <v>5</v>
      </c>
    </row>
    <row r="27" spans="1:10" x14ac:dyDescent="0.25">
      <c r="A27" s="102" t="s">
        <v>106</v>
      </c>
      <c r="B27" s="2">
        <v>0.33</v>
      </c>
      <c r="C27" s="2">
        <v>2.5</v>
      </c>
    </row>
    <row r="28" spans="1:10" x14ac:dyDescent="0.25">
      <c r="A28" s="102" t="s">
        <v>107</v>
      </c>
      <c r="B28" s="2">
        <v>0</v>
      </c>
      <c r="C28" s="2">
        <v>1</v>
      </c>
    </row>
    <row r="30" spans="1:10" x14ac:dyDescent="0.25">
      <c r="A30" s="100" t="s">
        <v>165</v>
      </c>
    </row>
    <row r="31" spans="1:10" ht="60.75" thickBot="1" x14ac:dyDescent="0.3">
      <c r="A31" s="107" t="s">
        <v>117</v>
      </c>
      <c r="B31" s="108" t="s">
        <v>99</v>
      </c>
      <c r="C31" s="107" t="s">
        <v>108</v>
      </c>
      <c r="D31" s="109" t="s">
        <v>174</v>
      </c>
    </row>
    <row r="32" spans="1:10" x14ac:dyDescent="0.25">
      <c r="A32" s="125" t="s">
        <v>114</v>
      </c>
      <c r="B32" s="104" t="s">
        <v>100</v>
      </c>
      <c r="C32" s="2" t="s">
        <v>104</v>
      </c>
      <c r="D32" s="150">
        <v>7.5</v>
      </c>
    </row>
    <row r="33" spans="1:10" x14ac:dyDescent="0.25">
      <c r="A33" s="126" t="s">
        <v>115</v>
      </c>
      <c r="B33" s="104" t="s">
        <v>101</v>
      </c>
      <c r="C33" s="2" t="s">
        <v>106</v>
      </c>
      <c r="D33" s="150">
        <v>2.5</v>
      </c>
    </row>
    <row r="34" spans="1:10" ht="15.75" thickBot="1" x14ac:dyDescent="0.3">
      <c r="A34" s="127" t="s">
        <v>116</v>
      </c>
      <c r="B34" s="104" t="s">
        <v>102</v>
      </c>
      <c r="C34" s="2" t="s">
        <v>105</v>
      </c>
      <c r="D34" s="150">
        <v>5</v>
      </c>
    </row>
    <row r="37" spans="1:10" ht="18.75" x14ac:dyDescent="0.3">
      <c r="A37" s="149" t="s">
        <v>161</v>
      </c>
      <c r="B37" s="99"/>
      <c r="C37" s="99"/>
    </row>
    <row r="38" spans="1:10" x14ac:dyDescent="0.25">
      <c r="A38" s="1" t="s">
        <v>110</v>
      </c>
      <c r="B38" s="99"/>
      <c r="C38" s="99"/>
    </row>
    <row r="39" spans="1:10" x14ac:dyDescent="0.25">
      <c r="A39" s="100" t="s">
        <v>166</v>
      </c>
      <c r="B39" s="99"/>
      <c r="C39" s="99"/>
    </row>
    <row r="40" spans="1:10" ht="75.75" customHeight="1" x14ac:dyDescent="0.25">
      <c r="A40" s="273" t="s">
        <v>85</v>
      </c>
      <c r="B40" s="273" t="s">
        <v>86</v>
      </c>
      <c r="C40" s="273" t="s">
        <v>87</v>
      </c>
      <c r="D40" s="273" t="s">
        <v>127</v>
      </c>
      <c r="E40" s="273"/>
      <c r="F40" s="273"/>
      <c r="G40" s="273" t="s">
        <v>128</v>
      </c>
      <c r="H40" s="273"/>
      <c r="I40" s="273"/>
      <c r="J40" s="273" t="s">
        <v>118</v>
      </c>
    </row>
    <row r="41" spans="1:10" s="97" customFormat="1" ht="18" customHeight="1" x14ac:dyDescent="0.25">
      <c r="A41" s="273"/>
      <c r="B41" s="273"/>
      <c r="C41" s="273"/>
      <c r="D41" s="107" t="s">
        <v>114</v>
      </c>
      <c r="E41" s="107" t="s">
        <v>115</v>
      </c>
      <c r="F41" s="107" t="s">
        <v>116</v>
      </c>
      <c r="G41" s="107" t="s">
        <v>114</v>
      </c>
      <c r="H41" s="107" t="s">
        <v>115</v>
      </c>
      <c r="I41" s="107" t="s">
        <v>116</v>
      </c>
      <c r="J41" s="273"/>
    </row>
    <row r="42" spans="1:10" ht="30" x14ac:dyDescent="0.25">
      <c r="A42" s="102" t="s">
        <v>8</v>
      </c>
      <c r="B42" s="102" t="s">
        <v>84</v>
      </c>
      <c r="C42" s="103" t="s">
        <v>72</v>
      </c>
      <c r="D42" s="156" t="s">
        <v>106</v>
      </c>
      <c r="E42" s="156" t="s">
        <v>105</v>
      </c>
      <c r="F42" s="156" t="s">
        <v>104</v>
      </c>
      <c r="G42" s="110">
        <f>IF(D42=$A$25,$B$25,(IF(D42=$A$26,$B$26,IF(D42=$A$27,$B$27,$B$28))))</f>
        <v>0.33</v>
      </c>
      <c r="H42" s="110">
        <f t="shared" ref="H42:I51" si="3">IF(E42=$A$25,$B$25,(IF(E42=$A$26,$B$26,IF(E42=$A$27,$B$27,$B$28))))</f>
        <v>0.66</v>
      </c>
      <c r="I42" s="110">
        <f t="shared" si="3"/>
        <v>1</v>
      </c>
      <c r="J42" s="2">
        <f>G42*$D$62+H42*$D$63+I42*$D$64</f>
        <v>12.425000000000001</v>
      </c>
    </row>
    <row r="43" spans="1:10" x14ac:dyDescent="0.25">
      <c r="A43" s="102" t="s">
        <v>9</v>
      </c>
      <c r="B43" s="102" t="s">
        <v>73</v>
      </c>
      <c r="C43" s="103" t="s">
        <v>88</v>
      </c>
      <c r="D43" s="156" t="s">
        <v>106</v>
      </c>
      <c r="E43" s="156" t="s">
        <v>106</v>
      </c>
      <c r="F43" s="156" t="s">
        <v>105</v>
      </c>
      <c r="G43" s="110">
        <f>IF(D43=$A$25,$B$25,(IF(D43=$A$26,$B$26,IF(D43=$A$27,$B$27,$B$28))))</f>
        <v>0.33</v>
      </c>
      <c r="H43" s="110">
        <f t="shared" si="3"/>
        <v>0.33</v>
      </c>
      <c r="I43" s="110">
        <f t="shared" si="3"/>
        <v>0.66</v>
      </c>
      <c r="J43" s="2">
        <f t="shared" ref="J43:J51" si="4">G43*$D$62+H43*$D$63+I43*$D$64</f>
        <v>8.25</v>
      </c>
    </row>
    <row r="44" spans="1:10" x14ac:dyDescent="0.25">
      <c r="A44" s="102" t="s">
        <v>10</v>
      </c>
      <c r="B44" s="102" t="s">
        <v>74</v>
      </c>
      <c r="C44" s="103" t="s">
        <v>89</v>
      </c>
      <c r="D44" s="156" t="s">
        <v>105</v>
      </c>
      <c r="E44" s="156" t="s">
        <v>104</v>
      </c>
      <c r="F44" s="156" t="s">
        <v>105</v>
      </c>
      <c r="G44" s="110">
        <f t="shared" ref="G44:G51" si="5">IF(D44=$A$25,$B$25,(IF(D44=$A$26,$B$26,IF(D44=$A$27,$B$27,$B$28))))</f>
        <v>0.66</v>
      </c>
      <c r="H44" s="110">
        <f t="shared" si="3"/>
        <v>1</v>
      </c>
      <c r="I44" s="110">
        <f t="shared" si="3"/>
        <v>0.66</v>
      </c>
      <c r="J44" s="2">
        <f t="shared" si="4"/>
        <v>15.75</v>
      </c>
    </row>
    <row r="45" spans="1:10" x14ac:dyDescent="0.25">
      <c r="A45" s="102" t="s">
        <v>65</v>
      </c>
      <c r="B45" s="102" t="s">
        <v>75</v>
      </c>
      <c r="C45" s="103" t="s">
        <v>76</v>
      </c>
      <c r="D45" s="156" t="s">
        <v>104</v>
      </c>
      <c r="E45" s="156" t="s">
        <v>105</v>
      </c>
      <c r="F45" s="156" t="s">
        <v>106</v>
      </c>
      <c r="G45" s="110">
        <f t="shared" si="5"/>
        <v>1</v>
      </c>
      <c r="H45" s="110">
        <f t="shared" si="3"/>
        <v>0.66</v>
      </c>
      <c r="I45" s="110">
        <f t="shared" si="3"/>
        <v>0.33</v>
      </c>
      <c r="J45" s="2">
        <f t="shared" si="4"/>
        <v>14.1</v>
      </c>
    </row>
    <row r="46" spans="1:10" ht="30" x14ac:dyDescent="0.25">
      <c r="A46" s="102" t="s">
        <v>66</v>
      </c>
      <c r="B46" s="102" t="s">
        <v>77</v>
      </c>
      <c r="C46" s="103" t="s">
        <v>90</v>
      </c>
      <c r="D46" s="156" t="s">
        <v>105</v>
      </c>
      <c r="E46" s="156" t="s">
        <v>104</v>
      </c>
      <c r="F46" s="156" t="s">
        <v>105</v>
      </c>
      <c r="G46" s="110">
        <f t="shared" si="5"/>
        <v>0.66</v>
      </c>
      <c r="H46" s="110">
        <f t="shared" si="3"/>
        <v>1</v>
      </c>
      <c r="I46" s="110">
        <f t="shared" si="3"/>
        <v>0.66</v>
      </c>
      <c r="J46" s="2">
        <f t="shared" si="4"/>
        <v>15.75</v>
      </c>
    </row>
    <row r="47" spans="1:10" x14ac:dyDescent="0.25">
      <c r="A47" s="102" t="s">
        <v>67</v>
      </c>
      <c r="B47" s="102" t="s">
        <v>78</v>
      </c>
      <c r="C47" s="103" t="s">
        <v>91</v>
      </c>
      <c r="D47" s="156" t="s">
        <v>104</v>
      </c>
      <c r="E47" s="156" t="s">
        <v>105</v>
      </c>
      <c r="F47" s="156" t="s">
        <v>106</v>
      </c>
      <c r="G47" s="110">
        <f t="shared" si="5"/>
        <v>1</v>
      </c>
      <c r="H47" s="110">
        <f t="shared" si="3"/>
        <v>0.66</v>
      </c>
      <c r="I47" s="110">
        <f t="shared" si="3"/>
        <v>0.33</v>
      </c>
      <c r="J47" s="2">
        <f t="shared" si="4"/>
        <v>14.1</v>
      </c>
    </row>
    <row r="48" spans="1:10" ht="30" x14ac:dyDescent="0.25">
      <c r="A48" s="102" t="s">
        <v>68</v>
      </c>
      <c r="B48" s="102" t="s">
        <v>79</v>
      </c>
      <c r="C48" s="103" t="s">
        <v>92</v>
      </c>
      <c r="D48" s="156" t="s">
        <v>104</v>
      </c>
      <c r="E48" s="156" t="s">
        <v>105</v>
      </c>
      <c r="F48" s="156" t="s">
        <v>106</v>
      </c>
      <c r="G48" s="110">
        <f t="shared" si="5"/>
        <v>1</v>
      </c>
      <c r="H48" s="110">
        <f t="shared" si="3"/>
        <v>0.66</v>
      </c>
      <c r="I48" s="110">
        <f t="shared" si="3"/>
        <v>0.33</v>
      </c>
      <c r="J48" s="2">
        <f t="shared" si="4"/>
        <v>14.1</v>
      </c>
    </row>
    <row r="49" spans="1:10" ht="30" x14ac:dyDescent="0.25">
      <c r="A49" s="102" t="s">
        <v>69</v>
      </c>
      <c r="B49" s="102" t="s">
        <v>80</v>
      </c>
      <c r="C49" s="103" t="s">
        <v>81</v>
      </c>
      <c r="D49" s="156" t="s">
        <v>105</v>
      </c>
      <c r="E49" s="156" t="s">
        <v>106</v>
      </c>
      <c r="F49" s="156" t="s">
        <v>104</v>
      </c>
      <c r="G49" s="110">
        <f>IF(D49=$A$25,$B$25,(IF(D49=$A$26,$B$26,IF(D49=$A$27,$B$27,$B$28))))</f>
        <v>0.66</v>
      </c>
      <c r="H49" s="110">
        <f t="shared" si="3"/>
        <v>0.33</v>
      </c>
      <c r="I49" s="110">
        <f t="shared" si="3"/>
        <v>1</v>
      </c>
      <c r="J49" s="2">
        <f t="shared" si="4"/>
        <v>12.425000000000001</v>
      </c>
    </row>
    <row r="50" spans="1:10" ht="35.25" customHeight="1" x14ac:dyDescent="0.25">
      <c r="A50" s="102" t="s">
        <v>70</v>
      </c>
      <c r="B50" s="102" t="s">
        <v>82</v>
      </c>
      <c r="C50" s="103" t="s">
        <v>93</v>
      </c>
      <c r="D50" s="156" t="s">
        <v>106</v>
      </c>
      <c r="E50" s="156" t="s">
        <v>104</v>
      </c>
      <c r="F50" s="156" t="s">
        <v>105</v>
      </c>
      <c r="G50" s="110">
        <f t="shared" si="5"/>
        <v>0.33</v>
      </c>
      <c r="H50" s="110">
        <f t="shared" si="3"/>
        <v>1</v>
      </c>
      <c r="I50" s="110">
        <f t="shared" si="3"/>
        <v>0.66</v>
      </c>
      <c r="J50" s="2">
        <f t="shared" si="4"/>
        <v>13.275</v>
      </c>
    </row>
    <row r="51" spans="1:10" ht="30" x14ac:dyDescent="0.25">
      <c r="A51" s="102" t="s">
        <v>71</v>
      </c>
      <c r="B51" s="102" t="s">
        <v>83</v>
      </c>
      <c r="C51" s="103" t="s">
        <v>94</v>
      </c>
      <c r="D51" s="156" t="s">
        <v>106</v>
      </c>
      <c r="E51" s="156" t="s">
        <v>104</v>
      </c>
      <c r="F51" s="156" t="s">
        <v>105</v>
      </c>
      <c r="G51" s="110">
        <f t="shared" si="5"/>
        <v>0.33</v>
      </c>
      <c r="H51" s="110">
        <f t="shared" si="3"/>
        <v>1</v>
      </c>
      <c r="I51" s="110">
        <f t="shared" si="3"/>
        <v>0.66</v>
      </c>
      <c r="J51" s="2">
        <f t="shared" si="4"/>
        <v>13.275</v>
      </c>
    </row>
    <row r="53" spans="1:10" x14ac:dyDescent="0.25">
      <c r="A53" s="100" t="s">
        <v>167</v>
      </c>
    </row>
    <row r="54" spans="1:10" x14ac:dyDescent="0.25">
      <c r="A54" s="107" t="s">
        <v>103</v>
      </c>
      <c r="B54" s="108" t="s">
        <v>122</v>
      </c>
      <c r="C54" s="108" t="s">
        <v>123</v>
      </c>
    </row>
    <row r="55" spans="1:10" x14ac:dyDescent="0.25">
      <c r="A55" s="102" t="s">
        <v>104</v>
      </c>
      <c r="B55" s="2">
        <v>1</v>
      </c>
      <c r="C55" s="2">
        <v>7.5</v>
      </c>
    </row>
    <row r="56" spans="1:10" x14ac:dyDescent="0.25">
      <c r="A56" s="102" t="s">
        <v>105</v>
      </c>
      <c r="B56" s="2">
        <v>0.66</v>
      </c>
      <c r="C56" s="2">
        <v>5</v>
      </c>
    </row>
    <row r="57" spans="1:10" x14ac:dyDescent="0.25">
      <c r="A57" s="102" t="s">
        <v>106</v>
      </c>
      <c r="B57" s="2">
        <v>0.33</v>
      </c>
      <c r="C57" s="2">
        <v>2.5</v>
      </c>
    </row>
    <row r="58" spans="1:10" x14ac:dyDescent="0.25">
      <c r="A58" s="102" t="s">
        <v>107</v>
      </c>
      <c r="B58" s="2">
        <v>0</v>
      </c>
      <c r="C58" s="2">
        <v>1</v>
      </c>
    </row>
    <row r="60" spans="1:10" x14ac:dyDescent="0.25">
      <c r="A60" s="100" t="s">
        <v>168</v>
      </c>
    </row>
    <row r="61" spans="1:10" ht="60.75" thickBot="1" x14ac:dyDescent="0.3">
      <c r="A61" s="107" t="s">
        <v>117</v>
      </c>
      <c r="B61" s="108" t="s">
        <v>99</v>
      </c>
      <c r="C61" s="107" t="s">
        <v>108</v>
      </c>
      <c r="D61" s="109" t="s">
        <v>173</v>
      </c>
    </row>
    <row r="62" spans="1:10" x14ac:dyDescent="0.25">
      <c r="A62" s="125" t="s">
        <v>114</v>
      </c>
      <c r="B62" s="104" t="s">
        <v>100</v>
      </c>
      <c r="C62" s="2" t="s">
        <v>104</v>
      </c>
      <c r="D62" s="150">
        <v>7.5</v>
      </c>
    </row>
    <row r="63" spans="1:10" x14ac:dyDescent="0.25">
      <c r="A63" s="126" t="s">
        <v>115</v>
      </c>
      <c r="B63" s="104" t="s">
        <v>101</v>
      </c>
      <c r="C63" s="2" t="s">
        <v>104</v>
      </c>
      <c r="D63" s="150">
        <v>7.5</v>
      </c>
    </row>
    <row r="64" spans="1:10" ht="15.75" thickBot="1" x14ac:dyDescent="0.3">
      <c r="A64" s="127" t="s">
        <v>116</v>
      </c>
      <c r="B64" s="104" t="s">
        <v>102</v>
      </c>
      <c r="C64" s="2" t="s">
        <v>105</v>
      </c>
      <c r="D64" s="150">
        <v>5</v>
      </c>
    </row>
    <row r="67" spans="1:10" ht="18.75" x14ac:dyDescent="0.3">
      <c r="A67" s="149" t="s">
        <v>162</v>
      </c>
      <c r="B67" s="99"/>
      <c r="C67" s="99"/>
    </row>
    <row r="68" spans="1:10" x14ac:dyDescent="0.25">
      <c r="A68" s="1" t="s">
        <v>110</v>
      </c>
      <c r="B68" s="99"/>
      <c r="C68" s="99"/>
    </row>
    <row r="69" spans="1:10" x14ac:dyDescent="0.25">
      <c r="A69" s="100" t="s">
        <v>169</v>
      </c>
      <c r="B69" s="99"/>
      <c r="C69" s="99"/>
    </row>
    <row r="70" spans="1:10" ht="90.75" customHeight="1" x14ac:dyDescent="0.25">
      <c r="A70" s="273" t="s">
        <v>85</v>
      </c>
      <c r="B70" s="273" t="s">
        <v>86</v>
      </c>
      <c r="C70" s="273" t="s">
        <v>87</v>
      </c>
      <c r="D70" s="273" t="s">
        <v>127</v>
      </c>
      <c r="E70" s="273"/>
      <c r="F70" s="273"/>
      <c r="G70" s="273" t="s">
        <v>128</v>
      </c>
      <c r="H70" s="273"/>
      <c r="I70" s="273"/>
      <c r="J70" s="273" t="s">
        <v>118</v>
      </c>
    </row>
    <row r="71" spans="1:10" x14ac:dyDescent="0.25">
      <c r="A71" s="273"/>
      <c r="B71" s="273"/>
      <c r="C71" s="273"/>
      <c r="D71" s="107" t="s">
        <v>114</v>
      </c>
      <c r="E71" s="107" t="s">
        <v>115</v>
      </c>
      <c r="F71" s="107" t="s">
        <v>116</v>
      </c>
      <c r="G71" s="107" t="s">
        <v>114</v>
      </c>
      <c r="H71" s="107" t="s">
        <v>115</v>
      </c>
      <c r="I71" s="107" t="s">
        <v>116</v>
      </c>
      <c r="J71" s="273"/>
    </row>
    <row r="72" spans="1:10" ht="30" x14ac:dyDescent="0.25">
      <c r="A72" s="102" t="s">
        <v>8</v>
      </c>
      <c r="B72" s="102" t="s">
        <v>84</v>
      </c>
      <c r="C72" s="103" t="s">
        <v>72</v>
      </c>
      <c r="D72" s="156" t="s">
        <v>106</v>
      </c>
      <c r="E72" s="156" t="s">
        <v>105</v>
      </c>
      <c r="F72" s="156" t="s">
        <v>104</v>
      </c>
      <c r="G72" s="110">
        <f>IF(D72=$A$25,$B$25,(IF(D72=$A$26,$B$26,IF(D72=$A$27,$B$27,$B$28))))</f>
        <v>0.33</v>
      </c>
      <c r="H72" s="110">
        <f t="shared" ref="H72:I81" si="6">IF(E72=$A$25,$B$25,(IF(E72=$A$26,$B$26,IF(E72=$A$27,$B$27,$B$28))))</f>
        <v>0.66</v>
      </c>
      <c r="I72" s="110">
        <f t="shared" si="6"/>
        <v>1</v>
      </c>
      <c r="J72" s="2">
        <f>G72*$D$92+H72*$D$93+I72*$D$94</f>
        <v>11.625</v>
      </c>
    </row>
    <row r="73" spans="1:10" x14ac:dyDescent="0.25">
      <c r="A73" s="102" t="s">
        <v>9</v>
      </c>
      <c r="B73" s="102" t="s">
        <v>73</v>
      </c>
      <c r="C73" s="103" t="s">
        <v>88</v>
      </c>
      <c r="D73" s="156" t="s">
        <v>105</v>
      </c>
      <c r="E73" s="156" t="s">
        <v>106</v>
      </c>
      <c r="F73" s="156" t="s">
        <v>106</v>
      </c>
      <c r="G73" s="110">
        <f>IF(D73=$A$25,$B$25,(IF(D73=$A$26,$B$26,IF(D73=$A$27,$B$27,$B$28))))</f>
        <v>0.66</v>
      </c>
      <c r="H73" s="110">
        <f t="shared" si="6"/>
        <v>0.33</v>
      </c>
      <c r="I73" s="110">
        <f t="shared" si="6"/>
        <v>0.33</v>
      </c>
      <c r="J73" s="2">
        <f t="shared" ref="J73:J81" si="7">G73*$D$92+H73*$D$93+I73*$D$94</f>
        <v>5.7750000000000004</v>
      </c>
    </row>
    <row r="74" spans="1:10" x14ac:dyDescent="0.25">
      <c r="A74" s="102" t="s">
        <v>10</v>
      </c>
      <c r="B74" s="102" t="s">
        <v>74</v>
      </c>
      <c r="C74" s="103" t="s">
        <v>89</v>
      </c>
      <c r="D74" s="156" t="s">
        <v>105</v>
      </c>
      <c r="E74" s="156" t="s">
        <v>104</v>
      </c>
      <c r="F74" s="156" t="s">
        <v>105</v>
      </c>
      <c r="G74" s="110">
        <f t="shared" ref="G74:G78" si="8">IF(D74=$A$25,$B$25,(IF(D74=$A$26,$B$26,IF(D74=$A$27,$B$27,$B$28))))</f>
        <v>0.66</v>
      </c>
      <c r="H74" s="110">
        <f t="shared" si="6"/>
        <v>1</v>
      </c>
      <c r="I74" s="110">
        <f t="shared" si="6"/>
        <v>0.66</v>
      </c>
      <c r="J74" s="2">
        <f t="shared" si="7"/>
        <v>11.600000000000001</v>
      </c>
    </row>
    <row r="75" spans="1:10" x14ac:dyDescent="0.25">
      <c r="A75" s="102" t="s">
        <v>65</v>
      </c>
      <c r="B75" s="102" t="s">
        <v>75</v>
      </c>
      <c r="C75" s="103" t="s">
        <v>76</v>
      </c>
      <c r="D75" s="156" t="s">
        <v>104</v>
      </c>
      <c r="E75" s="156" t="s">
        <v>105</v>
      </c>
      <c r="F75" s="156" t="s">
        <v>106</v>
      </c>
      <c r="G75" s="110">
        <f t="shared" si="8"/>
        <v>1</v>
      </c>
      <c r="H75" s="110">
        <f t="shared" si="6"/>
        <v>0.66</v>
      </c>
      <c r="I75" s="110">
        <f t="shared" si="6"/>
        <v>0.33</v>
      </c>
      <c r="J75" s="2">
        <f t="shared" si="7"/>
        <v>8.2750000000000004</v>
      </c>
    </row>
    <row r="76" spans="1:10" ht="30" x14ac:dyDescent="0.25">
      <c r="A76" s="102" t="s">
        <v>66</v>
      </c>
      <c r="B76" s="102" t="s">
        <v>77</v>
      </c>
      <c r="C76" s="103" t="s">
        <v>90</v>
      </c>
      <c r="D76" s="156" t="s">
        <v>105</v>
      </c>
      <c r="E76" s="156" t="s">
        <v>104</v>
      </c>
      <c r="F76" s="156" t="s">
        <v>106</v>
      </c>
      <c r="G76" s="110">
        <f t="shared" si="8"/>
        <v>0.66</v>
      </c>
      <c r="H76" s="110">
        <f t="shared" si="6"/>
        <v>1</v>
      </c>
      <c r="I76" s="110">
        <f t="shared" si="6"/>
        <v>0.33</v>
      </c>
      <c r="J76" s="2">
        <f t="shared" si="7"/>
        <v>9.125</v>
      </c>
    </row>
    <row r="77" spans="1:10" x14ac:dyDescent="0.25">
      <c r="A77" s="102" t="s">
        <v>67</v>
      </c>
      <c r="B77" s="102" t="s">
        <v>78</v>
      </c>
      <c r="C77" s="103" t="s">
        <v>91</v>
      </c>
      <c r="D77" s="156" t="s">
        <v>106</v>
      </c>
      <c r="E77" s="156" t="s">
        <v>105</v>
      </c>
      <c r="F77" s="156" t="s">
        <v>106</v>
      </c>
      <c r="G77" s="110">
        <f t="shared" si="8"/>
        <v>0.33</v>
      </c>
      <c r="H77" s="110">
        <f t="shared" si="6"/>
        <v>0.66</v>
      </c>
      <c r="I77" s="110">
        <f t="shared" si="6"/>
        <v>0.33</v>
      </c>
      <c r="J77" s="2">
        <f t="shared" si="7"/>
        <v>6.6</v>
      </c>
    </row>
    <row r="78" spans="1:10" ht="30" x14ac:dyDescent="0.25">
      <c r="A78" s="102" t="s">
        <v>68</v>
      </c>
      <c r="B78" s="102" t="s">
        <v>79</v>
      </c>
      <c r="C78" s="103" t="s">
        <v>92</v>
      </c>
      <c r="D78" s="156" t="s">
        <v>104</v>
      </c>
      <c r="E78" s="156" t="s">
        <v>105</v>
      </c>
      <c r="F78" s="156" t="s">
        <v>106</v>
      </c>
      <c r="G78" s="110">
        <f t="shared" si="8"/>
        <v>1</v>
      </c>
      <c r="H78" s="110">
        <f t="shared" si="6"/>
        <v>0.66</v>
      </c>
      <c r="I78" s="110">
        <f t="shared" si="6"/>
        <v>0.33</v>
      </c>
      <c r="J78" s="2">
        <f t="shared" si="7"/>
        <v>8.2750000000000004</v>
      </c>
    </row>
    <row r="79" spans="1:10" ht="30" x14ac:dyDescent="0.25">
      <c r="A79" s="102" t="s">
        <v>69</v>
      </c>
      <c r="B79" s="102" t="s">
        <v>80</v>
      </c>
      <c r="C79" s="103" t="s">
        <v>81</v>
      </c>
      <c r="D79" s="156" t="s">
        <v>105</v>
      </c>
      <c r="E79" s="156" t="s">
        <v>106</v>
      </c>
      <c r="F79" s="156" t="s">
        <v>104</v>
      </c>
      <c r="G79" s="110">
        <f>IF(D79=$A$25,$B$25,(IF(D79=$A$26,$B$26,IF(D79=$A$27,$B$27,$B$28))))</f>
        <v>0.66</v>
      </c>
      <c r="H79" s="110">
        <f t="shared" si="6"/>
        <v>0.33</v>
      </c>
      <c r="I79" s="110">
        <f t="shared" si="6"/>
        <v>1</v>
      </c>
      <c r="J79" s="2">
        <f t="shared" si="7"/>
        <v>10.8</v>
      </c>
    </row>
    <row r="80" spans="1:10" ht="30" x14ac:dyDescent="0.25">
      <c r="A80" s="102" t="s">
        <v>70</v>
      </c>
      <c r="B80" s="102" t="s">
        <v>82</v>
      </c>
      <c r="C80" s="103" t="s">
        <v>93</v>
      </c>
      <c r="D80" s="156" t="s">
        <v>105</v>
      </c>
      <c r="E80" s="156" t="s">
        <v>104</v>
      </c>
      <c r="F80" s="156" t="s">
        <v>106</v>
      </c>
      <c r="G80" s="110">
        <f t="shared" ref="G80:G81" si="9">IF(D80=$A$25,$B$25,(IF(D80=$A$26,$B$26,IF(D80=$A$27,$B$27,$B$28))))</f>
        <v>0.66</v>
      </c>
      <c r="H80" s="110">
        <f t="shared" si="6"/>
        <v>1</v>
      </c>
      <c r="I80" s="110">
        <f t="shared" si="6"/>
        <v>0.33</v>
      </c>
      <c r="J80" s="2">
        <f t="shared" si="7"/>
        <v>9.125</v>
      </c>
    </row>
    <row r="81" spans="1:10" ht="30" x14ac:dyDescent="0.25">
      <c r="A81" s="102" t="s">
        <v>71</v>
      </c>
      <c r="B81" s="102" t="s">
        <v>83</v>
      </c>
      <c r="C81" s="103" t="s">
        <v>94</v>
      </c>
      <c r="D81" s="156" t="s">
        <v>106</v>
      </c>
      <c r="E81" s="156" t="s">
        <v>104</v>
      </c>
      <c r="F81" s="156" t="s">
        <v>105</v>
      </c>
      <c r="G81" s="110">
        <f t="shared" si="9"/>
        <v>0.33</v>
      </c>
      <c r="H81" s="110">
        <f t="shared" si="6"/>
        <v>1</v>
      </c>
      <c r="I81" s="110">
        <f t="shared" si="6"/>
        <v>0.66</v>
      </c>
      <c r="J81" s="2">
        <f t="shared" si="7"/>
        <v>10.775</v>
      </c>
    </row>
    <row r="83" spans="1:10" x14ac:dyDescent="0.25">
      <c r="A83" s="100" t="s">
        <v>170</v>
      </c>
    </row>
    <row r="84" spans="1:10" x14ac:dyDescent="0.25">
      <c r="A84" s="107" t="s">
        <v>103</v>
      </c>
      <c r="B84" s="108" t="s">
        <v>122</v>
      </c>
      <c r="C84" s="108" t="s">
        <v>123</v>
      </c>
    </row>
    <row r="85" spans="1:10" x14ac:dyDescent="0.25">
      <c r="A85" s="102" t="s">
        <v>104</v>
      </c>
      <c r="B85" s="2">
        <v>1</v>
      </c>
      <c r="C85" s="2">
        <v>7.5</v>
      </c>
    </row>
    <row r="86" spans="1:10" x14ac:dyDescent="0.25">
      <c r="A86" s="102" t="s">
        <v>105</v>
      </c>
      <c r="B86" s="2">
        <v>0.66</v>
      </c>
      <c r="C86" s="2">
        <v>5</v>
      </c>
    </row>
    <row r="87" spans="1:10" x14ac:dyDescent="0.25">
      <c r="A87" s="102" t="s">
        <v>106</v>
      </c>
      <c r="B87" s="2">
        <v>0.33</v>
      </c>
      <c r="C87" s="2">
        <v>2.5</v>
      </c>
    </row>
    <row r="88" spans="1:10" x14ac:dyDescent="0.25">
      <c r="A88" s="102" t="s">
        <v>107</v>
      </c>
      <c r="B88" s="2">
        <v>0</v>
      </c>
      <c r="C88" s="2">
        <v>1</v>
      </c>
    </row>
    <row r="90" spans="1:10" x14ac:dyDescent="0.25">
      <c r="A90" s="100" t="s">
        <v>171</v>
      </c>
    </row>
    <row r="91" spans="1:10" ht="60.75" thickBot="1" x14ac:dyDescent="0.3">
      <c r="A91" s="107" t="s">
        <v>117</v>
      </c>
      <c r="B91" s="108" t="s">
        <v>99</v>
      </c>
      <c r="C91" s="107" t="s">
        <v>108</v>
      </c>
      <c r="D91" s="109" t="s">
        <v>172</v>
      </c>
    </row>
    <row r="92" spans="1:10" x14ac:dyDescent="0.25">
      <c r="A92" s="125" t="s">
        <v>114</v>
      </c>
      <c r="B92" s="104" t="s">
        <v>100</v>
      </c>
      <c r="C92" s="2" t="s">
        <v>106</v>
      </c>
      <c r="D92" s="150">
        <f>C87</f>
        <v>2.5</v>
      </c>
    </row>
    <row r="93" spans="1:10" x14ac:dyDescent="0.25">
      <c r="A93" s="126" t="s">
        <v>115</v>
      </c>
      <c r="B93" s="104" t="s">
        <v>101</v>
      </c>
      <c r="C93" s="2" t="s">
        <v>105</v>
      </c>
      <c r="D93" s="150">
        <f>C86</f>
        <v>5</v>
      </c>
    </row>
    <row r="94" spans="1:10" ht="15.75" thickBot="1" x14ac:dyDescent="0.3">
      <c r="A94" s="127" t="s">
        <v>116</v>
      </c>
      <c r="B94" s="104" t="s">
        <v>102</v>
      </c>
      <c r="C94" s="2" t="s">
        <v>104</v>
      </c>
      <c r="D94" s="150">
        <f>C85</f>
        <v>7.5</v>
      </c>
    </row>
    <row r="97" spans="1:6" x14ac:dyDescent="0.25">
      <c r="A97" s="1" t="s">
        <v>180</v>
      </c>
    </row>
    <row r="98" spans="1:6" s="97" customFormat="1" ht="90" x14ac:dyDescent="0.25">
      <c r="A98" s="151" t="s">
        <v>175</v>
      </c>
      <c r="B98" s="151" t="s">
        <v>226</v>
      </c>
      <c r="C98" s="151" t="s">
        <v>228</v>
      </c>
      <c r="D98" s="151" t="s">
        <v>229</v>
      </c>
      <c r="E98" s="151" t="s">
        <v>228</v>
      </c>
    </row>
    <row r="99" spans="1:6" x14ac:dyDescent="0.25">
      <c r="A99" s="2" t="s">
        <v>176</v>
      </c>
      <c r="B99" s="2">
        <v>1</v>
      </c>
      <c r="C99" s="2">
        <f>B99/B$102</f>
        <v>0.5</v>
      </c>
      <c r="D99" s="2">
        <v>0.75</v>
      </c>
      <c r="E99" s="2">
        <f t="shared" ref="E99:E101" si="10">D99/D$102</f>
        <v>0.3</v>
      </c>
    </row>
    <row r="100" spans="1:6" x14ac:dyDescent="0.25">
      <c r="A100" s="2" t="s">
        <v>177</v>
      </c>
      <c r="B100" s="2">
        <v>1</v>
      </c>
      <c r="C100" s="2">
        <f>B100/B$102</f>
        <v>0.5</v>
      </c>
      <c r="D100" s="2">
        <v>0.75</v>
      </c>
      <c r="E100" s="2">
        <f t="shared" si="10"/>
        <v>0.3</v>
      </c>
    </row>
    <row r="101" spans="1:6" x14ac:dyDescent="0.25">
      <c r="A101" s="2" t="s">
        <v>207</v>
      </c>
      <c r="B101" s="2"/>
      <c r="C101" s="2"/>
      <c r="D101" s="2">
        <v>1</v>
      </c>
      <c r="E101" s="2">
        <f t="shared" si="10"/>
        <v>0.4</v>
      </c>
    </row>
    <row r="102" spans="1:6" x14ac:dyDescent="0.25">
      <c r="A102" s="3" t="s">
        <v>227</v>
      </c>
      <c r="B102" s="3">
        <f>SUM(B99:B101)</f>
        <v>2</v>
      </c>
      <c r="C102" s="3">
        <f t="shared" ref="C102:E102" si="11">SUM(C99:C101)</f>
        <v>1</v>
      </c>
      <c r="D102" s="3">
        <f t="shared" si="11"/>
        <v>2.5</v>
      </c>
      <c r="E102" s="3">
        <f t="shared" si="11"/>
        <v>1</v>
      </c>
    </row>
    <row r="103" spans="1:6" x14ac:dyDescent="0.25">
      <c r="A103" s="1"/>
      <c r="B103" s="1"/>
      <c r="C103" s="1"/>
      <c r="D103" s="1"/>
      <c r="E103" s="1"/>
    </row>
    <row r="104" spans="1:6" x14ac:dyDescent="0.25">
      <c r="A104" s="3" t="s">
        <v>235</v>
      </c>
      <c r="B104" s="3">
        <v>0.4</v>
      </c>
      <c r="C104" s="1"/>
      <c r="D104" s="1"/>
      <c r="E104" s="1"/>
    </row>
    <row r="106" spans="1:6" x14ac:dyDescent="0.25">
      <c r="A106" s="208" t="s">
        <v>230</v>
      </c>
    </row>
    <row r="107" spans="1:6" x14ac:dyDescent="0.25">
      <c r="A107" s="203" t="s">
        <v>84</v>
      </c>
      <c r="B107" s="205">
        <f>B188/B188</f>
        <v>1</v>
      </c>
      <c r="C107" s="205">
        <f>C188/B188</f>
        <v>0.87809187279151946</v>
      </c>
      <c r="D107" s="205">
        <f>D188/B188</f>
        <v>0.82155477031802115</v>
      </c>
      <c r="F107" s="203"/>
    </row>
    <row r="108" spans="1:6" x14ac:dyDescent="0.25">
      <c r="B108" s="205">
        <f>C188/B188</f>
        <v>0.87809187279151946</v>
      </c>
      <c r="C108" s="205">
        <f>C188/C188</f>
        <v>1</v>
      </c>
      <c r="D108" s="205">
        <f>D188/C188</f>
        <v>0.93561368209255524</v>
      </c>
    </row>
    <row r="109" spans="1:6" x14ac:dyDescent="0.25">
      <c r="B109" s="205">
        <f>D188/B188</f>
        <v>0.82155477031802115</v>
      </c>
      <c r="C109" s="205">
        <f>D188/C188</f>
        <v>0.93561368209255524</v>
      </c>
      <c r="D109" s="205">
        <f>D188/D188</f>
        <v>1</v>
      </c>
    </row>
    <row r="111" spans="1:6" x14ac:dyDescent="0.25">
      <c r="A111" s="203" t="s">
        <v>73</v>
      </c>
      <c r="B111" s="2">
        <f>B189/B189</f>
        <v>1</v>
      </c>
      <c r="C111" s="2">
        <f>B189/C189</f>
        <v>0.8</v>
      </c>
      <c r="D111" s="2">
        <f>D189/B189</f>
        <v>0.875</v>
      </c>
      <c r="F111" s="203"/>
    </row>
    <row r="112" spans="1:6" x14ac:dyDescent="0.25">
      <c r="B112" s="2">
        <f>B189/C189</f>
        <v>0.8</v>
      </c>
      <c r="C112" s="2">
        <f>C189/C189</f>
        <v>1</v>
      </c>
      <c r="D112" s="2">
        <f>D189/C189</f>
        <v>0.70000000000000007</v>
      </c>
    </row>
    <row r="113" spans="1:6" x14ac:dyDescent="0.25">
      <c r="B113" s="2">
        <f>D189/B189</f>
        <v>0.875</v>
      </c>
      <c r="C113" s="2">
        <f>D189/C189</f>
        <v>0.70000000000000007</v>
      </c>
      <c r="D113" s="2">
        <f>D189/D189</f>
        <v>1</v>
      </c>
    </row>
    <row r="115" spans="1:6" x14ac:dyDescent="0.25">
      <c r="A115" s="203" t="s">
        <v>74</v>
      </c>
      <c r="B115" s="205">
        <f>B190/B190</f>
        <v>1</v>
      </c>
      <c r="C115" s="205">
        <f>B190/C190</f>
        <v>0.62857142857142856</v>
      </c>
      <c r="D115" s="205">
        <f>B190/D190</f>
        <v>0.85344827586206884</v>
      </c>
      <c r="F115" s="203"/>
    </row>
    <row r="116" spans="1:6" x14ac:dyDescent="0.25">
      <c r="B116" s="205">
        <f>B190/C190</f>
        <v>0.62857142857142856</v>
      </c>
      <c r="C116" s="205">
        <f>C190/C190</f>
        <v>1</v>
      </c>
      <c r="D116" s="205">
        <f>D190/C190</f>
        <v>0.73650793650793656</v>
      </c>
    </row>
    <row r="117" spans="1:6" x14ac:dyDescent="0.25">
      <c r="B117" s="205">
        <f>B190/D190</f>
        <v>0.85344827586206884</v>
      </c>
      <c r="C117" s="205">
        <f>D190/C190</f>
        <v>0.73650793650793656</v>
      </c>
      <c r="D117" s="205">
        <f>D190/D190</f>
        <v>1</v>
      </c>
    </row>
    <row r="119" spans="1:6" x14ac:dyDescent="0.25">
      <c r="A119" s="203" t="s">
        <v>75</v>
      </c>
      <c r="B119" s="205">
        <f>B191/B191</f>
        <v>1</v>
      </c>
      <c r="C119" s="205">
        <f>B191/C191</f>
        <v>0.88297872340425543</v>
      </c>
      <c r="D119" s="205">
        <f>D191/B191</f>
        <v>0.66465863453815255</v>
      </c>
      <c r="F119" s="203"/>
    </row>
    <row r="120" spans="1:6" x14ac:dyDescent="0.25">
      <c r="B120" s="205">
        <f>B191/C191</f>
        <v>0.88297872340425543</v>
      </c>
      <c r="C120" s="205">
        <f>C191/C191</f>
        <v>1</v>
      </c>
      <c r="D120" s="205">
        <f>D191/C191</f>
        <v>0.58687943262411346</v>
      </c>
    </row>
    <row r="121" spans="1:6" x14ac:dyDescent="0.25">
      <c r="B121" s="205">
        <f>D191/B191</f>
        <v>0.66465863453815255</v>
      </c>
      <c r="C121" s="205">
        <f>D191/C191</f>
        <v>0.58687943262411346</v>
      </c>
      <c r="D121" s="205">
        <f>D191/D191</f>
        <v>1</v>
      </c>
    </row>
    <row r="123" spans="1:6" x14ac:dyDescent="0.25">
      <c r="A123" s="203" t="s">
        <v>77</v>
      </c>
      <c r="B123" s="205">
        <f>B192/B192</f>
        <v>1</v>
      </c>
      <c r="C123" s="205">
        <f>B192/C192</f>
        <v>0.68253968253968256</v>
      </c>
      <c r="D123" s="205">
        <f>D192/B192</f>
        <v>0.84883720930232553</v>
      </c>
      <c r="F123" s="203"/>
    </row>
    <row r="124" spans="1:6" x14ac:dyDescent="0.25">
      <c r="B124" s="205">
        <f>B192/C192</f>
        <v>0.68253968253968256</v>
      </c>
      <c r="C124" s="205">
        <f>C192/C192</f>
        <v>1</v>
      </c>
      <c r="D124" s="205">
        <f>D192/C192</f>
        <v>0.57936507936507942</v>
      </c>
    </row>
    <row r="125" spans="1:6" x14ac:dyDescent="0.25">
      <c r="B125" s="205">
        <f>D192/B192</f>
        <v>0.84883720930232553</v>
      </c>
      <c r="C125" s="205">
        <f>D192/C192</f>
        <v>0.57936507936507942</v>
      </c>
      <c r="D125" s="205">
        <f>D192/D192</f>
        <v>1</v>
      </c>
    </row>
    <row r="127" spans="1:6" x14ac:dyDescent="0.25">
      <c r="A127" s="203" t="s">
        <v>78</v>
      </c>
      <c r="B127" s="205">
        <f>B193/B193</f>
        <v>1</v>
      </c>
      <c r="C127" s="205">
        <f>B193/C193</f>
        <v>0.76595744680851074</v>
      </c>
      <c r="D127" s="205">
        <f>D193/B193</f>
        <v>0.61111111111111105</v>
      </c>
      <c r="F127" s="203"/>
    </row>
    <row r="128" spans="1:6" x14ac:dyDescent="0.25">
      <c r="B128" s="205">
        <f>B193/C193</f>
        <v>0.76595744680851074</v>
      </c>
      <c r="C128" s="205">
        <f>C193/C193</f>
        <v>1</v>
      </c>
      <c r="D128" s="205">
        <f>D193/C193</f>
        <v>0.46808510638297873</v>
      </c>
    </row>
    <row r="129" spans="1:6" x14ac:dyDescent="0.25">
      <c r="B129" s="205">
        <f>D193/B193</f>
        <v>0.61111111111111105</v>
      </c>
      <c r="C129" s="205">
        <f>D193/C193</f>
        <v>0.46808510638297873</v>
      </c>
      <c r="D129" s="205">
        <f>D193/D193</f>
        <v>1</v>
      </c>
    </row>
    <row r="131" spans="1:6" x14ac:dyDescent="0.25">
      <c r="A131" s="203" t="s">
        <v>79</v>
      </c>
      <c r="B131" s="205">
        <f>B194/B194</f>
        <v>1</v>
      </c>
      <c r="C131" s="205">
        <f>B194/C194</f>
        <v>0.76595744680851074</v>
      </c>
      <c r="D131" s="205">
        <f>D194/B194</f>
        <v>0.76620370370370372</v>
      </c>
      <c r="F131" s="203"/>
    </row>
    <row r="132" spans="1:6" x14ac:dyDescent="0.25">
      <c r="B132" s="205">
        <f>B194/C194</f>
        <v>0.76595744680851074</v>
      </c>
      <c r="C132" s="205">
        <f>C194/C194</f>
        <v>1</v>
      </c>
      <c r="D132" s="205">
        <f>D194/C194</f>
        <v>0.58687943262411346</v>
      </c>
    </row>
    <row r="133" spans="1:6" x14ac:dyDescent="0.25">
      <c r="B133" s="205">
        <f>D194/B194</f>
        <v>0.76620370370370372</v>
      </c>
      <c r="C133" s="205">
        <f>D194/C194</f>
        <v>0.58687943262411346</v>
      </c>
      <c r="D133" s="205">
        <f>D194/D194</f>
        <v>1</v>
      </c>
    </row>
    <row r="135" spans="1:6" x14ac:dyDescent="0.25">
      <c r="A135" s="203" t="s">
        <v>80</v>
      </c>
      <c r="B135" s="205">
        <f>B195/B195</f>
        <v>1</v>
      </c>
      <c r="C135" s="205">
        <f>C195/B195</f>
        <v>0.99799196787148603</v>
      </c>
      <c r="D135" s="205">
        <f>D195/B195</f>
        <v>0.86746987951807242</v>
      </c>
      <c r="F135" s="203"/>
    </row>
    <row r="136" spans="1:6" x14ac:dyDescent="0.25">
      <c r="B136" s="205">
        <f>C195/B195</f>
        <v>0.99799196787148603</v>
      </c>
      <c r="C136" s="205">
        <f>C195/C195</f>
        <v>1</v>
      </c>
      <c r="D136" s="205">
        <f>D195/C195</f>
        <v>0.86921529175050305</v>
      </c>
    </row>
    <row r="137" spans="1:6" x14ac:dyDescent="0.25">
      <c r="B137" s="205">
        <f>D195/B195</f>
        <v>0.86746987951807242</v>
      </c>
      <c r="C137" s="205">
        <f>D195/C195</f>
        <v>0.86921529175050305</v>
      </c>
      <c r="D137" s="205">
        <f>D195/D195</f>
        <v>1</v>
      </c>
    </row>
    <row r="139" spans="1:6" x14ac:dyDescent="0.25">
      <c r="A139" s="203" t="s">
        <v>82</v>
      </c>
      <c r="B139" s="205">
        <f>B196/B196</f>
        <v>1</v>
      </c>
      <c r="C139" s="205">
        <f>B196/C196</f>
        <v>0.80979284369114879</v>
      </c>
      <c r="D139" s="205">
        <f>D196/B196</f>
        <v>0.84883720930232553</v>
      </c>
      <c r="F139" s="203"/>
    </row>
    <row r="140" spans="1:6" x14ac:dyDescent="0.25">
      <c r="B140" s="205">
        <f>B196/C196</f>
        <v>0.80979284369114879</v>
      </c>
      <c r="C140" s="205">
        <f>C196/C196</f>
        <v>1</v>
      </c>
      <c r="D140" s="205">
        <f>D196/C196</f>
        <v>0.68738229755178903</v>
      </c>
    </row>
    <row r="141" spans="1:6" x14ac:dyDescent="0.25">
      <c r="B141" s="205">
        <f>D196/B196</f>
        <v>0.84883720930232553</v>
      </c>
      <c r="C141" s="205">
        <f>D196/C196</f>
        <v>0.68738229755178903</v>
      </c>
      <c r="D141" s="205">
        <f>D196/D196</f>
        <v>1</v>
      </c>
    </row>
    <row r="143" spans="1:6" x14ac:dyDescent="0.25">
      <c r="A143" s="203" t="s">
        <v>83</v>
      </c>
      <c r="B143" s="205">
        <f>B197/B197</f>
        <v>1</v>
      </c>
      <c r="C143" s="205">
        <f>B197/C197</f>
        <v>0.62335216572504704</v>
      </c>
      <c r="D143" s="205">
        <f>B197/D197</f>
        <v>0.76798143851508116</v>
      </c>
      <c r="F143" s="203"/>
    </row>
    <row r="144" spans="1:6" x14ac:dyDescent="0.25">
      <c r="B144" s="205">
        <f>B197/C197</f>
        <v>0.62335216572504704</v>
      </c>
      <c r="C144" s="205">
        <f>C197/C197</f>
        <v>1</v>
      </c>
      <c r="D144" s="205">
        <f>D197/C197</f>
        <v>0.81167608286252357</v>
      </c>
    </row>
    <row r="145" spans="1:4" x14ac:dyDescent="0.25">
      <c r="B145" s="205">
        <f>B197/D197</f>
        <v>0.76798143851508116</v>
      </c>
      <c r="C145" s="205">
        <f>D197/C197</f>
        <v>0.81167608286252357</v>
      </c>
      <c r="D145" s="205">
        <f>D197/D197</f>
        <v>1</v>
      </c>
    </row>
    <row r="147" spans="1:4" x14ac:dyDescent="0.25">
      <c r="A147" s="1" t="s">
        <v>241</v>
      </c>
    </row>
    <row r="148" spans="1:4" x14ac:dyDescent="0.25">
      <c r="A148" s="151" t="s">
        <v>182</v>
      </c>
      <c r="B148" s="3" t="s">
        <v>176</v>
      </c>
      <c r="C148" s="3" t="s">
        <v>177</v>
      </c>
      <c r="D148" s="3" t="s">
        <v>207</v>
      </c>
    </row>
    <row r="149" spans="1:4" x14ac:dyDescent="0.25">
      <c r="A149" s="102" t="s">
        <v>84</v>
      </c>
      <c r="B149" s="204">
        <f>(C107+D107)/2</f>
        <v>0.84982332155477036</v>
      </c>
      <c r="C149" s="204">
        <f>(B108+D108)/2</f>
        <v>0.90685277744203741</v>
      </c>
      <c r="D149" s="204">
        <f>(B109+C109)/2</f>
        <v>0.8785842262052882</v>
      </c>
    </row>
    <row r="150" spans="1:4" x14ac:dyDescent="0.25">
      <c r="A150" s="102" t="s">
        <v>73</v>
      </c>
      <c r="B150" s="204">
        <f>(C111+D111)/2</f>
        <v>0.83750000000000002</v>
      </c>
      <c r="C150" s="204">
        <f>(B112+D112)/2</f>
        <v>0.75</v>
      </c>
      <c r="D150" s="204">
        <f>(B113+C113)/2</f>
        <v>0.78750000000000009</v>
      </c>
    </row>
    <row r="151" spans="1:4" x14ac:dyDescent="0.25">
      <c r="A151" s="102" t="s">
        <v>74</v>
      </c>
      <c r="B151" s="204">
        <f>(C115+D115)/2</f>
        <v>0.74100985221674875</v>
      </c>
      <c r="C151" s="204">
        <f>(B116+D116)/2</f>
        <v>0.68253968253968256</v>
      </c>
      <c r="D151" s="204">
        <f>(B117+C117)/2</f>
        <v>0.79497810618500275</v>
      </c>
    </row>
    <row r="152" spans="1:4" x14ac:dyDescent="0.25">
      <c r="A152" s="102" t="s">
        <v>75</v>
      </c>
      <c r="B152" s="204">
        <f>(C119+D119)/2</f>
        <v>0.77381867897120404</v>
      </c>
      <c r="C152" s="204">
        <f>(B120+D120)/2</f>
        <v>0.73492907801418439</v>
      </c>
      <c r="D152" s="204">
        <f>(B121+C121)/2</f>
        <v>0.62576903358113301</v>
      </c>
    </row>
    <row r="153" spans="1:4" x14ac:dyDescent="0.25">
      <c r="A153" s="102" t="s">
        <v>77</v>
      </c>
      <c r="B153" s="204">
        <f>(C123+D123)/2</f>
        <v>0.76568844592100405</v>
      </c>
      <c r="C153" s="204">
        <f>(B124+D124)/2</f>
        <v>0.63095238095238093</v>
      </c>
      <c r="D153" s="204">
        <f>(B125+C125)/2</f>
        <v>0.71410114433370242</v>
      </c>
    </row>
    <row r="154" spans="1:4" x14ac:dyDescent="0.25">
      <c r="A154" s="102" t="s">
        <v>78</v>
      </c>
      <c r="B154" s="204">
        <f>(C127+D127)/2</f>
        <v>0.6885342789598109</v>
      </c>
      <c r="C154" s="204">
        <f>(B128+D128)/2</f>
        <v>0.61702127659574479</v>
      </c>
      <c r="D154" s="204">
        <f>(B129+C129)/2</f>
        <v>0.53959810874704495</v>
      </c>
    </row>
    <row r="155" spans="1:4" x14ac:dyDescent="0.25">
      <c r="A155" s="102" t="s">
        <v>79</v>
      </c>
      <c r="B155" s="204">
        <f>(C131+D131)/2</f>
        <v>0.76608057525610729</v>
      </c>
      <c r="C155" s="204">
        <f>(B132+D132)/2</f>
        <v>0.6764184397163121</v>
      </c>
      <c r="D155" s="204">
        <f>(B133+C133)/2</f>
        <v>0.67654156816390865</v>
      </c>
    </row>
    <row r="156" spans="1:4" x14ac:dyDescent="0.25">
      <c r="A156" s="102" t="s">
        <v>80</v>
      </c>
      <c r="B156" s="204">
        <f>(C135+D135)/2</f>
        <v>0.93273092369477917</v>
      </c>
      <c r="C156" s="204">
        <f>(B136+D136)/2</f>
        <v>0.93360362981099454</v>
      </c>
      <c r="D156" s="204">
        <f>(B137+C137)/2</f>
        <v>0.86834258563428768</v>
      </c>
    </row>
    <row r="157" spans="1:4" x14ac:dyDescent="0.25">
      <c r="A157" s="102" t="s">
        <v>82</v>
      </c>
      <c r="B157" s="204">
        <f>(C139+D139)/2</f>
        <v>0.82931502649673716</v>
      </c>
      <c r="C157" s="204">
        <f>(B140+D140)/2</f>
        <v>0.74858757062146886</v>
      </c>
      <c r="D157" s="204">
        <f>(B141+C141)/2</f>
        <v>0.76810975342705734</v>
      </c>
    </row>
    <row r="158" spans="1:4" x14ac:dyDescent="0.25">
      <c r="A158" s="102" t="s">
        <v>83</v>
      </c>
      <c r="B158" s="204">
        <f>(C143+D143)/2</f>
        <v>0.69566680212006404</v>
      </c>
      <c r="C158" s="204">
        <f>(B144+D144)/2</f>
        <v>0.71751412429378525</v>
      </c>
      <c r="D158" s="204">
        <f>(B145+C145)/2</f>
        <v>0.78982876068880237</v>
      </c>
    </row>
    <row r="160" spans="1:4" x14ac:dyDescent="0.25">
      <c r="A160" s="1" t="s">
        <v>242</v>
      </c>
    </row>
    <row r="161" spans="1:5" x14ac:dyDescent="0.25">
      <c r="A161" s="151" t="s">
        <v>182</v>
      </c>
      <c r="B161" s="3" t="s">
        <v>176</v>
      </c>
      <c r="C161" s="3" t="s">
        <v>177</v>
      </c>
      <c r="D161" s="3" t="s">
        <v>207</v>
      </c>
      <c r="E161" s="207" t="s">
        <v>234</v>
      </c>
    </row>
    <row r="162" spans="1:5" x14ac:dyDescent="0.25">
      <c r="A162" s="102" t="s">
        <v>84</v>
      </c>
      <c r="B162" s="204">
        <f>B149/SUM($B149:$D149)</f>
        <v>0.32248173488879056</v>
      </c>
      <c r="C162" s="204">
        <f t="shared" ref="C162:D162" si="12">C149/SUM($B149:$D149)</f>
        <v>0.34412265413379667</v>
      </c>
      <c r="D162" s="204">
        <f t="shared" si="12"/>
        <v>0.33339561097741272</v>
      </c>
      <c r="E162" s="206">
        <f>SUM(B162:D162)</f>
        <v>1</v>
      </c>
    </row>
    <row r="163" spans="1:5" x14ac:dyDescent="0.25">
      <c r="A163" s="102" t="s">
        <v>73</v>
      </c>
      <c r="B163" s="204">
        <f t="shared" ref="B163:D163" si="13">B150/SUM($B150:$D150)</f>
        <v>0.35263157894736841</v>
      </c>
      <c r="C163" s="204">
        <f t="shared" si="13"/>
        <v>0.31578947368421051</v>
      </c>
      <c r="D163" s="204">
        <f t="shared" si="13"/>
        <v>0.33157894736842108</v>
      </c>
      <c r="E163" s="206">
        <f t="shared" ref="E163:E171" si="14">SUM(B163:D163)</f>
        <v>1</v>
      </c>
    </row>
    <row r="164" spans="1:5" x14ac:dyDescent="0.25">
      <c r="A164" s="102" t="s">
        <v>74</v>
      </c>
      <c r="B164" s="204">
        <f t="shared" ref="B164:D164" si="15">B151/SUM($B151:$D151)</f>
        <v>0.33400974526614446</v>
      </c>
      <c r="C164" s="204">
        <f t="shared" si="15"/>
        <v>0.30765435144637021</v>
      </c>
      <c r="D164" s="204">
        <f t="shared" si="15"/>
        <v>0.35833590328748538</v>
      </c>
      <c r="E164" s="206">
        <f t="shared" si="14"/>
        <v>1</v>
      </c>
    </row>
    <row r="165" spans="1:5" x14ac:dyDescent="0.25">
      <c r="A165" s="102" t="s">
        <v>75</v>
      </c>
      <c r="B165" s="204">
        <f t="shared" ref="B165:D165" si="16">B152/SUM($B152:$D152)</f>
        <v>0.36252639585272373</v>
      </c>
      <c r="C165" s="204">
        <f t="shared" si="16"/>
        <v>0.34430700253200031</v>
      </c>
      <c r="D165" s="204">
        <f t="shared" si="16"/>
        <v>0.29316660161527608</v>
      </c>
      <c r="E165" s="206">
        <f t="shared" si="14"/>
        <v>1</v>
      </c>
    </row>
    <row r="166" spans="1:5" x14ac:dyDescent="0.25">
      <c r="A166" s="102" t="s">
        <v>77</v>
      </c>
      <c r="B166" s="204">
        <f t="shared" ref="B166:D166" si="17">B153/SUM($B153:$D153)</f>
        <v>0.36275795732773702</v>
      </c>
      <c r="C166" s="204">
        <f t="shared" si="17"/>
        <v>0.2989244491080798</v>
      </c>
      <c r="D166" s="204">
        <f t="shared" si="17"/>
        <v>0.33831759356418328</v>
      </c>
      <c r="E166" s="206">
        <f t="shared" si="14"/>
        <v>1.0000000000000002</v>
      </c>
    </row>
    <row r="167" spans="1:5" x14ac:dyDescent="0.25">
      <c r="A167" s="102" t="s">
        <v>78</v>
      </c>
      <c r="B167" s="204">
        <f t="shared" ref="B167:D167" si="18">B154/SUM($B154:$D154)</f>
        <v>0.37315823190262648</v>
      </c>
      <c r="C167" s="204">
        <f t="shared" si="18"/>
        <v>0.33440102498398466</v>
      </c>
      <c r="D167" s="204">
        <f t="shared" si="18"/>
        <v>0.2924407431133888</v>
      </c>
      <c r="E167" s="206">
        <f t="shared" si="14"/>
        <v>1</v>
      </c>
    </row>
    <row r="168" spans="1:5" x14ac:dyDescent="0.25">
      <c r="A168" s="102" t="s">
        <v>79</v>
      </c>
      <c r="B168" s="204">
        <f t="shared" ref="B168:D168" si="19">B155/SUM($B155:$D155)</f>
        <v>0.36152237071470078</v>
      </c>
      <c r="C168" s="204">
        <f t="shared" si="19"/>
        <v>0.31920976176641486</v>
      </c>
      <c r="D168" s="204">
        <f t="shared" si="19"/>
        <v>0.31926786751888436</v>
      </c>
      <c r="E168" s="206">
        <f t="shared" si="14"/>
        <v>1</v>
      </c>
    </row>
    <row r="169" spans="1:5" x14ac:dyDescent="0.25">
      <c r="A169" s="102" t="s">
        <v>80</v>
      </c>
      <c r="B169" s="204">
        <f t="shared" ref="B169:D169" si="20">B156/SUM($B156:$D156)</f>
        <v>0.34107533585777622</v>
      </c>
      <c r="C169" s="204">
        <f t="shared" si="20"/>
        <v>0.34139446168938709</v>
      </c>
      <c r="D169" s="204">
        <f t="shared" si="20"/>
        <v>0.31753020245283653</v>
      </c>
      <c r="E169" s="206">
        <f t="shared" si="14"/>
        <v>0.99999999999999978</v>
      </c>
    </row>
    <row r="170" spans="1:5" x14ac:dyDescent="0.25">
      <c r="A170" s="102" t="s">
        <v>82</v>
      </c>
      <c r="B170" s="204">
        <f t="shared" ref="B170:D170" si="21">B157/SUM($B157:$D157)</f>
        <v>0.35349985532002282</v>
      </c>
      <c r="C170" s="204">
        <f t="shared" si="21"/>
        <v>0.31908935622077234</v>
      </c>
      <c r="D170" s="204">
        <f t="shared" si="21"/>
        <v>0.32741078845920496</v>
      </c>
      <c r="E170" s="206">
        <f t="shared" si="14"/>
        <v>1.0000000000000002</v>
      </c>
    </row>
    <row r="171" spans="1:5" x14ac:dyDescent="0.25">
      <c r="A171" s="102" t="s">
        <v>83</v>
      </c>
      <c r="B171" s="204">
        <f t="shared" ref="B171:D171" si="22">B158/SUM($B158:$D158)</f>
        <v>0.31578018298911303</v>
      </c>
      <c r="C171" s="204">
        <f t="shared" si="22"/>
        <v>0.32569721708189286</v>
      </c>
      <c r="D171" s="204">
        <f t="shared" si="22"/>
        <v>0.35852259992899405</v>
      </c>
      <c r="E171" s="206">
        <f t="shared" si="14"/>
        <v>1</v>
      </c>
    </row>
    <row r="173" spans="1:5" x14ac:dyDescent="0.25">
      <c r="A173" s="1" t="s">
        <v>237</v>
      </c>
    </row>
    <row r="174" spans="1:5" x14ac:dyDescent="0.25">
      <c r="A174" s="151" t="s">
        <v>182</v>
      </c>
      <c r="B174" s="3" t="s">
        <v>176</v>
      </c>
      <c r="C174" s="3" t="s">
        <v>177</v>
      </c>
      <c r="D174" s="3" t="s">
        <v>207</v>
      </c>
      <c r="E174" s="207" t="s">
        <v>234</v>
      </c>
    </row>
    <row r="175" spans="1:5" x14ac:dyDescent="0.25">
      <c r="A175" s="102" t="s">
        <v>84</v>
      </c>
      <c r="B175" s="204">
        <f>$B$104*E$99+(1-$B$104)*B162</f>
        <v>0.31348904093327434</v>
      </c>
      <c r="C175" s="204">
        <f>$B$104*$E$100+(1-$B$104)*C162</f>
        <v>0.32647359248027796</v>
      </c>
      <c r="D175" s="204">
        <f>$B$104*$E$101+(1-$B$104)*D162</f>
        <v>0.36003736658644769</v>
      </c>
      <c r="E175" s="206">
        <f>SUM(B175:D175)</f>
        <v>1</v>
      </c>
    </row>
    <row r="176" spans="1:5" x14ac:dyDescent="0.25">
      <c r="A176" s="102" t="s">
        <v>73</v>
      </c>
      <c r="B176" s="204">
        <f>$B$104*E$99+(1-$B$104)*B163</f>
        <v>0.33157894736842103</v>
      </c>
      <c r="C176" s="204">
        <f t="shared" ref="C176:C184" si="23">$B$104*$E$100+(1-$B$104)*C163</f>
        <v>0.30947368421052629</v>
      </c>
      <c r="D176" s="204">
        <f t="shared" ref="D176:D184" si="24">$B$104*$E$101+(1-$B$104)*D163</f>
        <v>0.35894736842105268</v>
      </c>
      <c r="E176" s="206">
        <f t="shared" ref="E176:E184" si="25">SUM(B176:D176)</f>
        <v>1</v>
      </c>
    </row>
    <row r="177" spans="1:5" x14ac:dyDescent="0.25">
      <c r="A177" s="102" t="s">
        <v>74</v>
      </c>
      <c r="B177" s="204">
        <f t="shared" ref="B177:B184" si="26">$B$104*E$99+(1-$B$104)*B164</f>
        <v>0.32040584715968667</v>
      </c>
      <c r="C177" s="204">
        <f t="shared" si="23"/>
        <v>0.30459261086782208</v>
      </c>
      <c r="D177" s="204">
        <f t="shared" si="24"/>
        <v>0.37500154197249125</v>
      </c>
      <c r="E177" s="206">
        <f t="shared" si="25"/>
        <v>1</v>
      </c>
    </row>
    <row r="178" spans="1:5" x14ac:dyDescent="0.25">
      <c r="A178" s="102" t="s">
        <v>75</v>
      </c>
      <c r="B178" s="204">
        <f t="shared" si="26"/>
        <v>0.33751583751163422</v>
      </c>
      <c r="C178" s="204">
        <f t="shared" si="23"/>
        <v>0.3265842015192002</v>
      </c>
      <c r="D178" s="204">
        <f t="shared" si="24"/>
        <v>0.33589996096916563</v>
      </c>
      <c r="E178" s="206">
        <f t="shared" si="25"/>
        <v>1</v>
      </c>
    </row>
    <row r="179" spans="1:5" x14ac:dyDescent="0.25">
      <c r="A179" s="102" t="s">
        <v>77</v>
      </c>
      <c r="B179" s="204">
        <f t="shared" si="26"/>
        <v>0.33765477439664221</v>
      </c>
      <c r="C179" s="204">
        <f t="shared" si="23"/>
        <v>0.2993546694648479</v>
      </c>
      <c r="D179" s="204">
        <f t="shared" si="24"/>
        <v>0.36299055613851</v>
      </c>
      <c r="E179" s="206">
        <f t="shared" si="25"/>
        <v>1.0000000000000002</v>
      </c>
    </row>
    <row r="180" spans="1:5" x14ac:dyDescent="0.25">
      <c r="A180" s="102" t="s">
        <v>78</v>
      </c>
      <c r="B180" s="204">
        <f t="shared" si="26"/>
        <v>0.34389493914157587</v>
      </c>
      <c r="C180" s="204">
        <f t="shared" si="23"/>
        <v>0.32064061499039076</v>
      </c>
      <c r="D180" s="204">
        <f t="shared" si="24"/>
        <v>0.33546444586803331</v>
      </c>
      <c r="E180" s="206">
        <f t="shared" si="25"/>
        <v>1</v>
      </c>
    </row>
    <row r="181" spans="1:5" x14ac:dyDescent="0.25">
      <c r="A181" s="102" t="s">
        <v>79</v>
      </c>
      <c r="B181" s="204">
        <f t="shared" si="26"/>
        <v>0.3369134224288205</v>
      </c>
      <c r="C181" s="204">
        <f t="shared" si="23"/>
        <v>0.31152585705984892</v>
      </c>
      <c r="D181" s="204">
        <f t="shared" si="24"/>
        <v>0.35156072051133064</v>
      </c>
      <c r="E181" s="206">
        <f t="shared" si="25"/>
        <v>1</v>
      </c>
    </row>
    <row r="182" spans="1:5" x14ac:dyDescent="0.25">
      <c r="A182" s="102" t="s">
        <v>80</v>
      </c>
      <c r="B182" s="204">
        <f t="shared" si="26"/>
        <v>0.32464520151466569</v>
      </c>
      <c r="C182" s="204">
        <f t="shared" si="23"/>
        <v>0.32483667701363228</v>
      </c>
      <c r="D182" s="204">
        <f t="shared" si="24"/>
        <v>0.35051812147170192</v>
      </c>
      <c r="E182" s="206">
        <f t="shared" si="25"/>
        <v>0.99999999999999989</v>
      </c>
    </row>
    <row r="183" spans="1:5" x14ac:dyDescent="0.25">
      <c r="A183" s="102" t="s">
        <v>82</v>
      </c>
      <c r="B183" s="204">
        <f t="shared" si="26"/>
        <v>0.33209991319201371</v>
      </c>
      <c r="C183" s="204">
        <f t="shared" si="23"/>
        <v>0.31145361373246339</v>
      </c>
      <c r="D183" s="204">
        <f t="shared" si="24"/>
        <v>0.35644647307552302</v>
      </c>
      <c r="E183" s="206">
        <f t="shared" si="25"/>
        <v>1</v>
      </c>
    </row>
    <row r="184" spans="1:5" x14ac:dyDescent="0.25">
      <c r="A184" s="102" t="s">
        <v>83</v>
      </c>
      <c r="B184" s="204">
        <f t="shared" si="26"/>
        <v>0.30946810979346784</v>
      </c>
      <c r="C184" s="204">
        <f t="shared" si="23"/>
        <v>0.31541833024913568</v>
      </c>
      <c r="D184" s="204">
        <f t="shared" si="24"/>
        <v>0.37511355995739648</v>
      </c>
      <c r="E184" s="206">
        <f t="shared" si="25"/>
        <v>1</v>
      </c>
    </row>
    <row r="186" spans="1:5" x14ac:dyDescent="0.25">
      <c r="A186" s="1" t="s">
        <v>243</v>
      </c>
    </row>
    <row r="187" spans="1:5" x14ac:dyDescent="0.25">
      <c r="A187" s="151" t="s">
        <v>182</v>
      </c>
      <c r="B187" s="151" t="s">
        <v>183</v>
      </c>
      <c r="C187" s="151" t="s">
        <v>184</v>
      </c>
      <c r="D187" s="151" t="s">
        <v>185</v>
      </c>
    </row>
    <row r="188" spans="1:5" x14ac:dyDescent="0.25">
      <c r="A188" s="102" t="s">
        <v>84</v>
      </c>
      <c r="B188" s="2">
        <f t="shared" ref="B188:B197" si="27">J12</f>
        <v>14.15</v>
      </c>
      <c r="C188" s="2">
        <f t="shared" ref="C188:C197" si="28">J42</f>
        <v>12.425000000000001</v>
      </c>
      <c r="D188" s="2">
        <f t="shared" ref="D188:D197" si="29">J72</f>
        <v>11.625</v>
      </c>
    </row>
    <row r="189" spans="1:5" x14ac:dyDescent="0.25">
      <c r="A189" s="102" t="s">
        <v>73</v>
      </c>
      <c r="B189" s="2">
        <f t="shared" si="27"/>
        <v>6.6000000000000005</v>
      </c>
      <c r="C189" s="2">
        <f t="shared" si="28"/>
        <v>8.25</v>
      </c>
      <c r="D189" s="2">
        <f t="shared" si="29"/>
        <v>5.7750000000000004</v>
      </c>
    </row>
    <row r="190" spans="1:5" x14ac:dyDescent="0.25">
      <c r="A190" s="102" t="s">
        <v>74</v>
      </c>
      <c r="B190" s="2">
        <f t="shared" si="27"/>
        <v>9.9</v>
      </c>
      <c r="C190" s="2">
        <f t="shared" si="28"/>
        <v>15.75</v>
      </c>
      <c r="D190" s="2">
        <f t="shared" si="29"/>
        <v>11.600000000000001</v>
      </c>
    </row>
    <row r="191" spans="1:5" x14ac:dyDescent="0.25">
      <c r="A191" s="102" t="s">
        <v>75</v>
      </c>
      <c r="B191" s="2">
        <f t="shared" si="27"/>
        <v>12.450000000000001</v>
      </c>
      <c r="C191" s="2">
        <f t="shared" si="28"/>
        <v>14.1</v>
      </c>
      <c r="D191" s="2">
        <f t="shared" si="29"/>
        <v>8.2750000000000004</v>
      </c>
    </row>
    <row r="192" spans="1:5" x14ac:dyDescent="0.25">
      <c r="A192" s="102" t="s">
        <v>77</v>
      </c>
      <c r="B192" s="2">
        <f t="shared" si="27"/>
        <v>10.75</v>
      </c>
      <c r="C192" s="2">
        <f t="shared" si="28"/>
        <v>15.75</v>
      </c>
      <c r="D192" s="2">
        <f t="shared" si="29"/>
        <v>9.125</v>
      </c>
    </row>
    <row r="193" spans="1:5" x14ac:dyDescent="0.25">
      <c r="A193" s="102" t="s">
        <v>78</v>
      </c>
      <c r="B193" s="2">
        <f t="shared" si="27"/>
        <v>10.8</v>
      </c>
      <c r="C193" s="2">
        <f t="shared" si="28"/>
        <v>14.1</v>
      </c>
      <c r="D193" s="2">
        <f t="shared" si="29"/>
        <v>6.6</v>
      </c>
    </row>
    <row r="194" spans="1:5" x14ac:dyDescent="0.25">
      <c r="A194" s="102" t="s">
        <v>79</v>
      </c>
      <c r="B194" s="2">
        <f t="shared" si="27"/>
        <v>10.8</v>
      </c>
      <c r="C194" s="2">
        <f t="shared" si="28"/>
        <v>14.1</v>
      </c>
      <c r="D194" s="2">
        <f t="shared" si="29"/>
        <v>8.2750000000000004</v>
      </c>
    </row>
    <row r="195" spans="1:5" x14ac:dyDescent="0.25">
      <c r="A195" s="102" t="s">
        <v>80</v>
      </c>
      <c r="B195" s="2">
        <f t="shared" si="27"/>
        <v>12.45</v>
      </c>
      <c r="C195" s="2">
        <f t="shared" si="28"/>
        <v>12.425000000000001</v>
      </c>
      <c r="D195" s="2">
        <f t="shared" si="29"/>
        <v>10.8</v>
      </c>
    </row>
    <row r="196" spans="1:5" x14ac:dyDescent="0.25">
      <c r="A196" s="102" t="s">
        <v>82</v>
      </c>
      <c r="B196" s="2">
        <f t="shared" si="27"/>
        <v>10.75</v>
      </c>
      <c r="C196" s="2">
        <f t="shared" si="28"/>
        <v>13.275</v>
      </c>
      <c r="D196" s="2">
        <f t="shared" si="29"/>
        <v>9.125</v>
      </c>
    </row>
    <row r="197" spans="1:5" x14ac:dyDescent="0.25">
      <c r="A197" s="102" t="s">
        <v>83</v>
      </c>
      <c r="B197" s="2">
        <f t="shared" si="27"/>
        <v>8.2750000000000004</v>
      </c>
      <c r="C197" s="2">
        <f t="shared" si="28"/>
        <v>13.275</v>
      </c>
      <c r="D197" s="2">
        <f t="shared" si="29"/>
        <v>10.775</v>
      </c>
    </row>
    <row r="199" spans="1:5" x14ac:dyDescent="0.25">
      <c r="A199" s="1" t="s">
        <v>244</v>
      </c>
    </row>
    <row r="200" spans="1:5" ht="75" x14ac:dyDescent="0.25">
      <c r="A200" s="151" t="s">
        <v>182</v>
      </c>
      <c r="B200" s="151" t="s">
        <v>238</v>
      </c>
      <c r="C200" s="151" t="s">
        <v>239</v>
      </c>
      <c r="D200" s="151" t="s">
        <v>240</v>
      </c>
      <c r="E200" s="151" t="s">
        <v>245</v>
      </c>
    </row>
    <row r="201" spans="1:5" x14ac:dyDescent="0.25">
      <c r="A201" s="102" t="s">
        <v>84</v>
      </c>
      <c r="B201" s="210">
        <f>B175*B188</f>
        <v>4.4358699292058317</v>
      </c>
      <c r="C201" s="210">
        <f t="shared" ref="C201:D201" si="30">C175*C188</f>
        <v>4.0564343865674539</v>
      </c>
      <c r="D201" s="210">
        <f t="shared" si="30"/>
        <v>4.1854343865674544</v>
      </c>
      <c r="E201" s="210">
        <f>B201+C201+D201</f>
        <v>12.67773870234074</v>
      </c>
    </row>
    <row r="202" spans="1:5" x14ac:dyDescent="0.25">
      <c r="A202" s="102" t="s">
        <v>73</v>
      </c>
      <c r="B202" s="210">
        <f t="shared" ref="B202:D210" si="31">B176*B189</f>
        <v>2.188421052631579</v>
      </c>
      <c r="C202" s="210">
        <f t="shared" si="31"/>
        <v>2.5531578947368421</v>
      </c>
      <c r="D202" s="210">
        <f t="shared" si="31"/>
        <v>2.0729210526315796</v>
      </c>
      <c r="E202" s="210">
        <f t="shared" ref="E202:E210" si="32">B202+C202+D202</f>
        <v>6.8145000000000007</v>
      </c>
    </row>
    <row r="203" spans="1:5" x14ac:dyDescent="0.25">
      <c r="A203" s="102" t="s">
        <v>74</v>
      </c>
      <c r="B203" s="210">
        <f t="shared" si="31"/>
        <v>3.1720178868808984</v>
      </c>
      <c r="C203" s="210">
        <f t="shared" si="31"/>
        <v>4.7973336211681978</v>
      </c>
      <c r="D203" s="210">
        <f t="shared" si="31"/>
        <v>4.3500178868808987</v>
      </c>
      <c r="E203" s="210">
        <f t="shared" si="32"/>
        <v>12.319369394929994</v>
      </c>
    </row>
    <row r="204" spans="1:5" x14ac:dyDescent="0.25">
      <c r="A204" s="102" t="s">
        <v>75</v>
      </c>
      <c r="B204" s="210">
        <f t="shared" si="31"/>
        <v>4.2020721770198461</v>
      </c>
      <c r="C204" s="210">
        <f t="shared" si="31"/>
        <v>4.6048372414207224</v>
      </c>
      <c r="D204" s="210">
        <f t="shared" si="31"/>
        <v>2.7795721770198458</v>
      </c>
      <c r="E204" s="210">
        <f t="shared" si="32"/>
        <v>11.586481595460414</v>
      </c>
    </row>
    <row r="205" spans="1:5" x14ac:dyDescent="0.25">
      <c r="A205" s="102" t="s">
        <v>77</v>
      </c>
      <c r="B205" s="210">
        <f t="shared" si="31"/>
        <v>3.6297888247639039</v>
      </c>
      <c r="C205" s="210">
        <f t="shared" si="31"/>
        <v>4.7148360440713546</v>
      </c>
      <c r="D205" s="210">
        <f t="shared" si="31"/>
        <v>3.312288824763904</v>
      </c>
      <c r="E205" s="210">
        <f t="shared" si="32"/>
        <v>11.656913693599162</v>
      </c>
    </row>
    <row r="206" spans="1:5" x14ac:dyDescent="0.25">
      <c r="A206" s="102" t="s">
        <v>78</v>
      </c>
      <c r="B206" s="210">
        <f t="shared" si="31"/>
        <v>3.7140653427290196</v>
      </c>
      <c r="C206" s="210">
        <f t="shared" si="31"/>
        <v>4.5210326713645097</v>
      </c>
      <c r="D206" s="210">
        <f t="shared" si="31"/>
        <v>2.2140653427290196</v>
      </c>
      <c r="E206" s="210">
        <f t="shared" si="32"/>
        <v>10.449163356822549</v>
      </c>
    </row>
    <row r="207" spans="1:5" x14ac:dyDescent="0.25">
      <c r="A207" s="102" t="s">
        <v>79</v>
      </c>
      <c r="B207" s="210">
        <f t="shared" si="31"/>
        <v>3.6386649622312617</v>
      </c>
      <c r="C207" s="210">
        <f t="shared" si="31"/>
        <v>4.3925145845438696</v>
      </c>
      <c r="D207" s="210">
        <f t="shared" si="31"/>
        <v>2.909164962231261</v>
      </c>
      <c r="E207" s="210">
        <f t="shared" si="32"/>
        <v>10.940344509006392</v>
      </c>
    </row>
    <row r="208" spans="1:5" x14ac:dyDescent="0.25">
      <c r="A208" s="102" t="s">
        <v>80</v>
      </c>
      <c r="B208" s="210">
        <f t="shared" si="31"/>
        <v>4.0418327588575877</v>
      </c>
      <c r="C208" s="210">
        <f t="shared" si="31"/>
        <v>4.0360957118943812</v>
      </c>
      <c r="D208" s="210">
        <f t="shared" si="31"/>
        <v>3.785595711894381</v>
      </c>
      <c r="E208" s="210">
        <f t="shared" si="32"/>
        <v>11.86352418264635</v>
      </c>
    </row>
    <row r="209" spans="1:5" x14ac:dyDescent="0.25">
      <c r="A209" s="102" t="s">
        <v>82</v>
      </c>
      <c r="B209" s="210">
        <f t="shared" si="31"/>
        <v>3.5700740668141475</v>
      </c>
      <c r="C209" s="210">
        <f t="shared" si="31"/>
        <v>4.1345467222984515</v>
      </c>
      <c r="D209" s="210">
        <f t="shared" si="31"/>
        <v>3.2525740668141476</v>
      </c>
      <c r="E209" s="210">
        <f t="shared" si="32"/>
        <v>10.957194855926748</v>
      </c>
    </row>
    <row r="210" spans="1:5" x14ac:dyDescent="0.25">
      <c r="A210" s="102" t="s">
        <v>83</v>
      </c>
      <c r="B210" s="210">
        <f t="shared" si="31"/>
        <v>2.5608486085409465</v>
      </c>
      <c r="C210" s="210">
        <f t="shared" si="31"/>
        <v>4.1871783340572764</v>
      </c>
      <c r="D210" s="210">
        <f t="shared" si="31"/>
        <v>4.0418486085409473</v>
      </c>
      <c r="E210" s="210">
        <f t="shared" si="32"/>
        <v>10.78987555113917</v>
      </c>
    </row>
    <row r="212" spans="1:5" x14ac:dyDescent="0.25">
      <c r="A212" s="1" t="s">
        <v>247</v>
      </c>
    </row>
    <row r="213" spans="1:5" ht="30" x14ac:dyDescent="0.25">
      <c r="A213" s="151" t="s">
        <v>182</v>
      </c>
      <c r="B213" s="151" t="s">
        <v>245</v>
      </c>
    </row>
    <row r="214" spans="1:5" x14ac:dyDescent="0.25">
      <c r="A214" s="2" t="s">
        <v>84</v>
      </c>
      <c r="B214" s="210">
        <v>12.67773870234074</v>
      </c>
    </row>
    <row r="215" spans="1:5" x14ac:dyDescent="0.25">
      <c r="A215" s="2" t="s">
        <v>74</v>
      </c>
      <c r="B215" s="210">
        <v>12.319369394929994</v>
      </c>
    </row>
    <row r="216" spans="1:5" x14ac:dyDescent="0.25">
      <c r="A216" s="2" t="s">
        <v>80</v>
      </c>
      <c r="B216" s="210">
        <v>11.86352418264635</v>
      </c>
    </row>
    <row r="217" spans="1:5" x14ac:dyDescent="0.25">
      <c r="A217" s="2" t="s">
        <v>77</v>
      </c>
      <c r="B217" s="210">
        <v>11.656913693599162</v>
      </c>
    </row>
    <row r="218" spans="1:5" x14ac:dyDescent="0.25">
      <c r="A218" s="2" t="s">
        <v>75</v>
      </c>
      <c r="B218" s="210">
        <v>11.586481595460414</v>
      </c>
    </row>
    <row r="219" spans="1:5" x14ac:dyDescent="0.25">
      <c r="A219" s="2" t="s">
        <v>82</v>
      </c>
      <c r="B219" s="210">
        <v>10.957194855926748</v>
      </c>
    </row>
    <row r="220" spans="1:5" x14ac:dyDescent="0.25">
      <c r="A220" s="2" t="s">
        <v>79</v>
      </c>
      <c r="B220" s="210">
        <v>10.940344509006392</v>
      </c>
    </row>
    <row r="221" spans="1:5" x14ac:dyDescent="0.25">
      <c r="A221" s="2" t="s">
        <v>83</v>
      </c>
      <c r="B221" s="210">
        <v>10.78987555113917</v>
      </c>
    </row>
    <row r="222" spans="1:5" x14ac:dyDescent="0.25">
      <c r="A222" s="2" t="s">
        <v>78</v>
      </c>
      <c r="B222" s="210">
        <v>10.449163356822549</v>
      </c>
    </row>
    <row r="223" spans="1:5" x14ac:dyDescent="0.25">
      <c r="A223" s="2" t="s">
        <v>73</v>
      </c>
      <c r="B223" s="210">
        <v>6.8145000000000007</v>
      </c>
    </row>
  </sheetData>
  <sortState xmlns:xlrd2="http://schemas.microsoft.com/office/spreadsheetml/2017/richdata2" ref="A214:J223">
    <sortCondition descending="1" ref="B214:B223"/>
  </sortState>
  <mergeCells count="20">
    <mergeCell ref="J70:J71"/>
    <mergeCell ref="J10:J11"/>
    <mergeCell ref="A40:A41"/>
    <mergeCell ref="B40:B41"/>
    <mergeCell ref="C40:C41"/>
    <mergeCell ref="D40:F40"/>
    <mergeCell ref="G40:I40"/>
    <mergeCell ref="J40:J41"/>
    <mergeCell ref="G10:I10"/>
    <mergeCell ref="A70:A71"/>
    <mergeCell ref="B70:B71"/>
    <mergeCell ref="C70:C71"/>
    <mergeCell ref="D70:F70"/>
    <mergeCell ref="G70:I70"/>
    <mergeCell ref="A3:E3"/>
    <mergeCell ref="A10:A11"/>
    <mergeCell ref="B10:B11"/>
    <mergeCell ref="C10:C11"/>
    <mergeCell ref="D10:F10"/>
    <mergeCell ref="A5:E5"/>
  </mergeCells>
  <phoneticPr fontId="11" type="noConversion"/>
  <hyperlinks>
    <hyperlink ref="B2" r:id="rId1" xr:uid="{98ABECCE-416D-43AF-ABBE-876CC02B3236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2ADE-3EEB-40D0-98CA-FEB86390DED4}">
  <dimension ref="A1:J254"/>
  <sheetViews>
    <sheetView topLeftCell="A241" workbookViewId="0">
      <selection activeCell="C253" sqref="C253"/>
    </sheetView>
  </sheetViews>
  <sheetFormatPr defaultRowHeight="15" x14ac:dyDescent="0.25"/>
  <cols>
    <col min="1" max="1" width="38.42578125" customWidth="1"/>
    <col min="2" max="2" width="39" customWidth="1"/>
    <col min="3" max="3" width="49.42578125" customWidth="1"/>
    <col min="4" max="4" width="20.5703125" customWidth="1"/>
    <col min="5" max="5" width="18.28515625" customWidth="1"/>
    <col min="6" max="6" width="18" customWidth="1"/>
    <col min="10" max="10" width="17.85546875" customWidth="1"/>
  </cols>
  <sheetData>
    <row r="1" spans="1:10" x14ac:dyDescent="0.25">
      <c r="A1" s="1" t="s">
        <v>95</v>
      </c>
      <c r="B1" s="98"/>
      <c r="C1" s="98"/>
    </row>
    <row r="2" spans="1:10" x14ac:dyDescent="0.25">
      <c r="A2" s="1" t="s">
        <v>96</v>
      </c>
      <c r="B2" s="101" t="s">
        <v>97</v>
      </c>
      <c r="C2" s="98"/>
    </row>
    <row r="3" spans="1:10" ht="30" customHeight="1" x14ac:dyDescent="0.25">
      <c r="A3" s="274" t="s">
        <v>98</v>
      </c>
      <c r="B3" s="275"/>
      <c r="C3" s="275"/>
      <c r="D3" s="276"/>
      <c r="E3" s="276"/>
    </row>
    <row r="4" spans="1:10" ht="15.75" x14ac:dyDescent="0.25">
      <c r="A4" s="232" t="s">
        <v>263</v>
      </c>
      <c r="B4" s="233" t="s">
        <v>268</v>
      </c>
      <c r="C4" s="99"/>
    </row>
    <row r="5" spans="1:10" x14ac:dyDescent="0.25">
      <c r="A5" s="274" t="s">
        <v>267</v>
      </c>
      <c r="B5" s="275"/>
      <c r="C5" s="275"/>
      <c r="D5" s="276"/>
      <c r="E5" s="276"/>
    </row>
    <row r="6" spans="1:10" ht="15.75" x14ac:dyDescent="0.25">
      <c r="A6" s="146"/>
      <c r="B6" s="99"/>
      <c r="C6" s="99"/>
    </row>
    <row r="7" spans="1:10" ht="18.75" x14ac:dyDescent="0.3">
      <c r="A7" s="149" t="s">
        <v>160</v>
      </c>
      <c r="B7" s="99"/>
      <c r="C7" s="99"/>
    </row>
    <row r="8" spans="1:10" x14ac:dyDescent="0.25">
      <c r="A8" s="1" t="s">
        <v>110</v>
      </c>
      <c r="B8" s="99"/>
      <c r="C8" s="99"/>
    </row>
    <row r="9" spans="1:10" x14ac:dyDescent="0.25">
      <c r="A9" s="100" t="s">
        <v>163</v>
      </c>
      <c r="B9" s="99"/>
      <c r="C9" s="99"/>
    </row>
    <row r="10" spans="1:10" ht="75.75" customHeight="1" x14ac:dyDescent="0.25">
      <c r="A10" s="273" t="s">
        <v>85</v>
      </c>
      <c r="B10" s="273" t="s">
        <v>86</v>
      </c>
      <c r="C10" s="273" t="s">
        <v>87</v>
      </c>
      <c r="D10" s="273" t="s">
        <v>127</v>
      </c>
      <c r="E10" s="273"/>
      <c r="F10" s="273"/>
      <c r="G10" s="273" t="s">
        <v>128</v>
      </c>
      <c r="H10" s="273"/>
      <c r="I10" s="273"/>
      <c r="J10" s="273" t="s">
        <v>118</v>
      </c>
    </row>
    <row r="11" spans="1:10" s="97" customFormat="1" ht="18" customHeight="1" x14ac:dyDescent="0.25">
      <c r="A11" s="273"/>
      <c r="B11" s="273"/>
      <c r="C11" s="273"/>
      <c r="D11" s="107" t="s">
        <v>114</v>
      </c>
      <c r="E11" s="107" t="s">
        <v>115</v>
      </c>
      <c r="F11" s="107" t="s">
        <v>116</v>
      </c>
      <c r="G11" s="107" t="s">
        <v>114</v>
      </c>
      <c r="H11" s="107" t="s">
        <v>115</v>
      </c>
      <c r="I11" s="107" t="s">
        <v>116</v>
      </c>
      <c r="J11" s="273"/>
    </row>
    <row r="12" spans="1:10" ht="30" x14ac:dyDescent="0.25">
      <c r="A12" s="102" t="s">
        <v>8</v>
      </c>
      <c r="B12" s="102" t="s">
        <v>84</v>
      </c>
      <c r="C12" s="103" t="s">
        <v>72</v>
      </c>
      <c r="D12" s="156" t="s">
        <v>104</v>
      </c>
      <c r="E12" s="156" t="s">
        <v>105</v>
      </c>
      <c r="F12" s="156" t="s">
        <v>104</v>
      </c>
      <c r="G12" s="110">
        <f>IF(D12=$A$25,$B$25,(IF(D12=$A$26,$B$26,IF(D12=$A$27,$B$27,$B$28))))</f>
        <v>1</v>
      </c>
      <c r="H12" s="110">
        <f t="shared" ref="H12:I21" si="0">IF(E12=$A$25,$B$25,(IF(E12=$A$26,$B$26,IF(E12=$A$27,$B$27,$B$28))))</f>
        <v>0.66</v>
      </c>
      <c r="I12" s="110">
        <f t="shared" si="0"/>
        <v>1</v>
      </c>
      <c r="J12" s="2">
        <f>G12*$D$32+H12*$D$33+I12*$D$34</f>
        <v>14.15</v>
      </c>
    </row>
    <row r="13" spans="1:10" x14ac:dyDescent="0.25">
      <c r="A13" s="102" t="s">
        <v>9</v>
      </c>
      <c r="B13" s="102" t="s">
        <v>73</v>
      </c>
      <c r="C13" s="103" t="s">
        <v>88</v>
      </c>
      <c r="D13" s="156" t="s">
        <v>106</v>
      </c>
      <c r="E13" s="156" t="s">
        <v>106</v>
      </c>
      <c r="F13" s="156" t="s">
        <v>105</v>
      </c>
      <c r="G13" s="110">
        <f>IF(D13=$A$25,$B$25,(IF(D13=$A$26,$B$26,IF(D13=$A$27,$B$27,$B$28))))</f>
        <v>0.33</v>
      </c>
      <c r="H13" s="110">
        <f t="shared" si="0"/>
        <v>0.33</v>
      </c>
      <c r="I13" s="110">
        <f t="shared" si="0"/>
        <v>0.66</v>
      </c>
      <c r="J13" s="2">
        <f t="shared" ref="J13:J21" si="1">G13*$D$32+H13*$D$33+I13*$D$34</f>
        <v>6.6000000000000005</v>
      </c>
    </row>
    <row r="14" spans="1:10" x14ac:dyDescent="0.25">
      <c r="A14" s="102" t="s">
        <v>10</v>
      </c>
      <c r="B14" s="102" t="s">
        <v>74</v>
      </c>
      <c r="C14" s="103" t="s">
        <v>89</v>
      </c>
      <c r="D14" s="156" t="s">
        <v>105</v>
      </c>
      <c r="E14" s="156" t="s">
        <v>105</v>
      </c>
      <c r="F14" s="156" t="s">
        <v>105</v>
      </c>
      <c r="G14" s="110">
        <f t="shared" ref="G14:G21" si="2">IF(D14=$A$25,$B$25,(IF(D14=$A$26,$B$26,IF(D14=$A$27,$B$27,$B$28))))</f>
        <v>0.66</v>
      </c>
      <c r="H14" s="110">
        <f t="shared" si="0"/>
        <v>0.66</v>
      </c>
      <c r="I14" s="110">
        <f t="shared" si="0"/>
        <v>0.66</v>
      </c>
      <c r="J14" s="2">
        <f t="shared" si="1"/>
        <v>9.9</v>
      </c>
    </row>
    <row r="15" spans="1:10" x14ac:dyDescent="0.25">
      <c r="A15" s="102" t="s">
        <v>65</v>
      </c>
      <c r="B15" s="102" t="s">
        <v>75</v>
      </c>
      <c r="C15" s="103" t="s">
        <v>76</v>
      </c>
      <c r="D15" s="156" t="s">
        <v>104</v>
      </c>
      <c r="E15" s="156" t="s">
        <v>105</v>
      </c>
      <c r="F15" s="156" t="s">
        <v>105</v>
      </c>
      <c r="G15" s="110">
        <f t="shared" si="2"/>
        <v>1</v>
      </c>
      <c r="H15" s="110">
        <f t="shared" si="0"/>
        <v>0.66</v>
      </c>
      <c r="I15" s="110">
        <f t="shared" si="0"/>
        <v>0.66</v>
      </c>
      <c r="J15" s="2">
        <f t="shared" si="1"/>
        <v>12.450000000000001</v>
      </c>
    </row>
    <row r="16" spans="1:10" ht="30" x14ac:dyDescent="0.25">
      <c r="A16" s="102" t="s">
        <v>66</v>
      </c>
      <c r="B16" s="102" t="s">
        <v>77</v>
      </c>
      <c r="C16" s="103" t="s">
        <v>90</v>
      </c>
      <c r="D16" s="156" t="s">
        <v>105</v>
      </c>
      <c r="E16" s="156" t="s">
        <v>104</v>
      </c>
      <c r="F16" s="156" t="s">
        <v>105</v>
      </c>
      <c r="G16" s="110">
        <f t="shared" si="2"/>
        <v>0.66</v>
      </c>
      <c r="H16" s="110">
        <f t="shared" si="0"/>
        <v>1</v>
      </c>
      <c r="I16" s="110">
        <f t="shared" si="0"/>
        <v>0.66</v>
      </c>
      <c r="J16" s="2">
        <f t="shared" si="1"/>
        <v>10.75</v>
      </c>
    </row>
    <row r="17" spans="1:10" x14ac:dyDescent="0.25">
      <c r="A17" s="102" t="s">
        <v>67</v>
      </c>
      <c r="B17" s="102" t="s">
        <v>78</v>
      </c>
      <c r="C17" s="103" t="s">
        <v>91</v>
      </c>
      <c r="D17" s="156" t="s">
        <v>104</v>
      </c>
      <c r="E17" s="156" t="s">
        <v>105</v>
      </c>
      <c r="F17" s="156" t="s">
        <v>106</v>
      </c>
      <c r="G17" s="110">
        <f t="shared" si="2"/>
        <v>1</v>
      </c>
      <c r="H17" s="110">
        <f t="shared" si="0"/>
        <v>0.66</v>
      </c>
      <c r="I17" s="110">
        <f t="shared" si="0"/>
        <v>0.33</v>
      </c>
      <c r="J17" s="2">
        <f t="shared" si="1"/>
        <v>10.8</v>
      </c>
    </row>
    <row r="18" spans="1:10" ht="30" x14ac:dyDescent="0.25">
      <c r="A18" s="102" t="s">
        <v>68</v>
      </c>
      <c r="B18" s="102" t="s">
        <v>79</v>
      </c>
      <c r="C18" s="103" t="s">
        <v>92</v>
      </c>
      <c r="D18" s="156" t="s">
        <v>104</v>
      </c>
      <c r="E18" s="156" t="s">
        <v>105</v>
      </c>
      <c r="F18" s="156" t="s">
        <v>106</v>
      </c>
      <c r="G18" s="110">
        <f t="shared" si="2"/>
        <v>1</v>
      </c>
      <c r="H18" s="110">
        <f t="shared" si="0"/>
        <v>0.66</v>
      </c>
      <c r="I18" s="110">
        <f t="shared" si="0"/>
        <v>0.33</v>
      </c>
      <c r="J18" s="2">
        <f t="shared" si="1"/>
        <v>10.8</v>
      </c>
    </row>
    <row r="19" spans="1:10" ht="30" x14ac:dyDescent="0.25">
      <c r="A19" s="102" t="s">
        <v>69</v>
      </c>
      <c r="B19" s="102" t="s">
        <v>80</v>
      </c>
      <c r="C19" s="103" t="s">
        <v>81</v>
      </c>
      <c r="D19" s="156" t="s">
        <v>105</v>
      </c>
      <c r="E19" s="156" t="s">
        <v>104</v>
      </c>
      <c r="F19" s="156" t="s">
        <v>104</v>
      </c>
      <c r="G19" s="110">
        <f t="shared" si="2"/>
        <v>0.66</v>
      </c>
      <c r="H19" s="110">
        <f t="shared" si="0"/>
        <v>1</v>
      </c>
      <c r="I19" s="110">
        <f t="shared" si="0"/>
        <v>1</v>
      </c>
      <c r="J19" s="2">
        <f t="shared" si="1"/>
        <v>12.45</v>
      </c>
    </row>
    <row r="20" spans="1:10" ht="35.25" customHeight="1" x14ac:dyDescent="0.25">
      <c r="A20" s="102" t="s">
        <v>70</v>
      </c>
      <c r="B20" s="102" t="s">
        <v>82</v>
      </c>
      <c r="C20" s="103" t="s">
        <v>93</v>
      </c>
      <c r="D20" s="156" t="s">
        <v>105</v>
      </c>
      <c r="E20" s="156" t="s">
        <v>104</v>
      </c>
      <c r="F20" s="156" t="s">
        <v>105</v>
      </c>
      <c r="G20" s="110">
        <f t="shared" si="2"/>
        <v>0.66</v>
      </c>
      <c r="H20" s="110">
        <f t="shared" si="0"/>
        <v>1</v>
      </c>
      <c r="I20" s="110">
        <f t="shared" si="0"/>
        <v>0.66</v>
      </c>
      <c r="J20" s="2">
        <f t="shared" si="1"/>
        <v>10.75</v>
      </c>
    </row>
    <row r="21" spans="1:10" ht="30" x14ac:dyDescent="0.25">
      <c r="A21" s="102" t="s">
        <v>71</v>
      </c>
      <c r="B21" s="102" t="s">
        <v>83</v>
      </c>
      <c r="C21" s="103" t="s">
        <v>94</v>
      </c>
      <c r="D21" s="156" t="s">
        <v>106</v>
      </c>
      <c r="E21" s="156" t="s">
        <v>104</v>
      </c>
      <c r="F21" s="156" t="s">
        <v>105</v>
      </c>
      <c r="G21" s="110">
        <f t="shared" si="2"/>
        <v>0.33</v>
      </c>
      <c r="H21" s="110">
        <f t="shared" si="0"/>
        <v>1</v>
      </c>
      <c r="I21" s="110">
        <f t="shared" si="0"/>
        <v>0.66</v>
      </c>
      <c r="J21" s="2">
        <f t="shared" si="1"/>
        <v>8.2750000000000004</v>
      </c>
    </row>
    <row r="23" spans="1:10" x14ac:dyDescent="0.25">
      <c r="A23" s="100" t="s">
        <v>164</v>
      </c>
    </row>
    <row r="24" spans="1:10" x14ac:dyDescent="0.25">
      <c r="A24" s="107" t="s">
        <v>103</v>
      </c>
      <c r="B24" s="108" t="s">
        <v>122</v>
      </c>
      <c r="C24" s="108" t="s">
        <v>123</v>
      </c>
    </row>
    <row r="25" spans="1:10" x14ac:dyDescent="0.25">
      <c r="A25" s="102" t="s">
        <v>104</v>
      </c>
      <c r="B25" s="2">
        <v>1</v>
      </c>
      <c r="C25" s="2">
        <v>7.5</v>
      </c>
    </row>
    <row r="26" spans="1:10" x14ac:dyDescent="0.25">
      <c r="A26" s="102" t="s">
        <v>105</v>
      </c>
      <c r="B26" s="2">
        <v>0.66</v>
      </c>
      <c r="C26" s="2">
        <v>5</v>
      </c>
    </row>
    <row r="27" spans="1:10" x14ac:dyDescent="0.25">
      <c r="A27" s="102" t="s">
        <v>106</v>
      </c>
      <c r="B27" s="2">
        <v>0.33</v>
      </c>
      <c r="C27" s="2">
        <v>2.5</v>
      </c>
    </row>
    <row r="28" spans="1:10" x14ac:dyDescent="0.25">
      <c r="A28" s="102" t="s">
        <v>107</v>
      </c>
      <c r="B28" s="2">
        <v>0</v>
      </c>
      <c r="C28" s="2">
        <v>1</v>
      </c>
    </row>
    <row r="30" spans="1:10" x14ac:dyDescent="0.25">
      <c r="A30" s="100" t="s">
        <v>165</v>
      </c>
    </row>
    <row r="31" spans="1:10" ht="45.75" thickBot="1" x14ac:dyDescent="0.3">
      <c r="A31" s="107" t="s">
        <v>117</v>
      </c>
      <c r="B31" s="108" t="s">
        <v>99</v>
      </c>
      <c r="C31" s="107" t="s">
        <v>108</v>
      </c>
      <c r="D31" s="109" t="s">
        <v>174</v>
      </c>
    </row>
    <row r="32" spans="1:10" x14ac:dyDescent="0.25">
      <c r="A32" s="125" t="s">
        <v>114</v>
      </c>
      <c r="B32" s="104" t="s">
        <v>100</v>
      </c>
      <c r="C32" s="2" t="s">
        <v>104</v>
      </c>
      <c r="D32" s="150">
        <v>7.5</v>
      </c>
    </row>
    <row r="33" spans="1:10" x14ac:dyDescent="0.25">
      <c r="A33" s="126" t="s">
        <v>115</v>
      </c>
      <c r="B33" s="104" t="s">
        <v>101</v>
      </c>
      <c r="C33" s="2" t="s">
        <v>106</v>
      </c>
      <c r="D33" s="150">
        <v>2.5</v>
      </c>
    </row>
    <row r="34" spans="1:10" ht="15.75" thickBot="1" x14ac:dyDescent="0.3">
      <c r="A34" s="127" t="s">
        <v>116</v>
      </c>
      <c r="B34" s="104" t="s">
        <v>102</v>
      </c>
      <c r="C34" s="2" t="s">
        <v>105</v>
      </c>
      <c r="D34" s="150">
        <v>5</v>
      </c>
    </row>
    <row r="37" spans="1:10" ht="18.75" x14ac:dyDescent="0.3">
      <c r="A37" s="149" t="s">
        <v>161</v>
      </c>
      <c r="B37" s="99"/>
      <c r="C37" s="99"/>
    </row>
    <row r="38" spans="1:10" x14ac:dyDescent="0.25">
      <c r="A38" s="1" t="s">
        <v>110</v>
      </c>
      <c r="B38" s="99"/>
      <c r="C38" s="99"/>
    </row>
    <row r="39" spans="1:10" x14ac:dyDescent="0.25">
      <c r="A39" s="100" t="s">
        <v>166</v>
      </c>
      <c r="B39" s="99"/>
      <c r="C39" s="99"/>
    </row>
    <row r="40" spans="1:10" ht="75.75" customHeight="1" x14ac:dyDescent="0.25">
      <c r="A40" s="273" t="s">
        <v>85</v>
      </c>
      <c r="B40" s="273" t="s">
        <v>86</v>
      </c>
      <c r="C40" s="273" t="s">
        <v>87</v>
      </c>
      <c r="D40" s="273" t="s">
        <v>127</v>
      </c>
      <c r="E40" s="273"/>
      <c r="F40" s="273"/>
      <c r="G40" s="273" t="s">
        <v>128</v>
      </c>
      <c r="H40" s="273"/>
      <c r="I40" s="273"/>
      <c r="J40" s="273" t="s">
        <v>118</v>
      </c>
    </row>
    <row r="41" spans="1:10" s="97" customFormat="1" ht="18" customHeight="1" x14ac:dyDescent="0.25">
      <c r="A41" s="273"/>
      <c r="B41" s="273"/>
      <c r="C41" s="273"/>
      <c r="D41" s="107" t="s">
        <v>114</v>
      </c>
      <c r="E41" s="107" t="s">
        <v>115</v>
      </c>
      <c r="F41" s="107" t="s">
        <v>116</v>
      </c>
      <c r="G41" s="107" t="s">
        <v>114</v>
      </c>
      <c r="H41" s="107" t="s">
        <v>115</v>
      </c>
      <c r="I41" s="107" t="s">
        <v>116</v>
      </c>
      <c r="J41" s="273"/>
    </row>
    <row r="42" spans="1:10" ht="30" x14ac:dyDescent="0.25">
      <c r="A42" s="102" t="s">
        <v>8</v>
      </c>
      <c r="B42" s="102" t="s">
        <v>84</v>
      </c>
      <c r="C42" s="103" t="s">
        <v>72</v>
      </c>
      <c r="D42" s="156" t="s">
        <v>106</v>
      </c>
      <c r="E42" s="156" t="s">
        <v>105</v>
      </c>
      <c r="F42" s="156" t="s">
        <v>104</v>
      </c>
      <c r="G42" s="110">
        <f>IF(D42=$A$25,$B$25,(IF(D42=$A$26,$B$26,IF(D42=$A$27,$B$27,$B$28))))</f>
        <v>0.33</v>
      </c>
      <c r="H42" s="110">
        <f t="shared" ref="H42:I51" si="3">IF(E42=$A$25,$B$25,(IF(E42=$A$26,$B$26,IF(E42=$A$27,$B$27,$B$28))))</f>
        <v>0.66</v>
      </c>
      <c r="I42" s="110">
        <f t="shared" si="3"/>
        <v>1</v>
      </c>
      <c r="J42" s="2">
        <f>G42*$D$62+H42*$D$63+I42*$D$64</f>
        <v>12.425000000000001</v>
      </c>
    </row>
    <row r="43" spans="1:10" x14ac:dyDescent="0.25">
      <c r="A43" s="102" t="s">
        <v>9</v>
      </c>
      <c r="B43" s="102" t="s">
        <v>73</v>
      </c>
      <c r="C43" s="103" t="s">
        <v>88</v>
      </c>
      <c r="D43" s="156" t="s">
        <v>106</v>
      </c>
      <c r="E43" s="156" t="s">
        <v>106</v>
      </c>
      <c r="F43" s="156" t="s">
        <v>105</v>
      </c>
      <c r="G43" s="110">
        <f>IF(D43=$A$25,$B$25,(IF(D43=$A$26,$B$26,IF(D43=$A$27,$B$27,$B$28))))</f>
        <v>0.33</v>
      </c>
      <c r="H43" s="110">
        <f t="shared" si="3"/>
        <v>0.33</v>
      </c>
      <c r="I43" s="110">
        <f t="shared" si="3"/>
        <v>0.66</v>
      </c>
      <c r="J43" s="2">
        <f t="shared" ref="J43:J51" si="4">G43*$D$62+H43*$D$63+I43*$D$64</f>
        <v>8.25</v>
      </c>
    </row>
    <row r="44" spans="1:10" x14ac:dyDescent="0.25">
      <c r="A44" s="102" t="s">
        <v>10</v>
      </c>
      <c r="B44" s="102" t="s">
        <v>74</v>
      </c>
      <c r="C44" s="103" t="s">
        <v>89</v>
      </c>
      <c r="D44" s="156" t="s">
        <v>105</v>
      </c>
      <c r="E44" s="156" t="s">
        <v>104</v>
      </c>
      <c r="F44" s="156" t="s">
        <v>105</v>
      </c>
      <c r="G44" s="110">
        <f t="shared" ref="G44:G51" si="5">IF(D44=$A$25,$B$25,(IF(D44=$A$26,$B$26,IF(D44=$A$27,$B$27,$B$28))))</f>
        <v>0.66</v>
      </c>
      <c r="H44" s="110">
        <f t="shared" si="3"/>
        <v>1</v>
      </c>
      <c r="I44" s="110">
        <f t="shared" si="3"/>
        <v>0.66</v>
      </c>
      <c r="J44" s="2">
        <f t="shared" si="4"/>
        <v>15.75</v>
      </c>
    </row>
    <row r="45" spans="1:10" x14ac:dyDescent="0.25">
      <c r="A45" s="102" t="s">
        <v>65</v>
      </c>
      <c r="B45" s="102" t="s">
        <v>75</v>
      </c>
      <c r="C45" s="103" t="s">
        <v>76</v>
      </c>
      <c r="D45" s="156" t="s">
        <v>104</v>
      </c>
      <c r="E45" s="156" t="s">
        <v>105</v>
      </c>
      <c r="F45" s="156" t="s">
        <v>106</v>
      </c>
      <c r="G45" s="110">
        <f t="shared" si="5"/>
        <v>1</v>
      </c>
      <c r="H45" s="110">
        <f t="shared" si="3"/>
        <v>0.66</v>
      </c>
      <c r="I45" s="110">
        <f t="shared" si="3"/>
        <v>0.33</v>
      </c>
      <c r="J45" s="2">
        <f t="shared" si="4"/>
        <v>14.1</v>
      </c>
    </row>
    <row r="46" spans="1:10" ht="30" x14ac:dyDescent="0.25">
      <c r="A46" s="102" t="s">
        <v>66</v>
      </c>
      <c r="B46" s="102" t="s">
        <v>77</v>
      </c>
      <c r="C46" s="103" t="s">
        <v>90</v>
      </c>
      <c r="D46" s="156" t="s">
        <v>105</v>
      </c>
      <c r="E46" s="156" t="s">
        <v>104</v>
      </c>
      <c r="F46" s="156" t="s">
        <v>105</v>
      </c>
      <c r="G46" s="110">
        <f t="shared" si="5"/>
        <v>0.66</v>
      </c>
      <c r="H46" s="110">
        <f t="shared" si="3"/>
        <v>1</v>
      </c>
      <c r="I46" s="110">
        <f t="shared" si="3"/>
        <v>0.66</v>
      </c>
      <c r="J46" s="2">
        <f t="shared" si="4"/>
        <v>15.75</v>
      </c>
    </row>
    <row r="47" spans="1:10" x14ac:dyDescent="0.25">
      <c r="A47" s="102" t="s">
        <v>67</v>
      </c>
      <c r="B47" s="102" t="s">
        <v>78</v>
      </c>
      <c r="C47" s="103" t="s">
        <v>91</v>
      </c>
      <c r="D47" s="156" t="s">
        <v>104</v>
      </c>
      <c r="E47" s="156" t="s">
        <v>105</v>
      </c>
      <c r="F47" s="156" t="s">
        <v>106</v>
      </c>
      <c r="G47" s="110">
        <f t="shared" si="5"/>
        <v>1</v>
      </c>
      <c r="H47" s="110">
        <f t="shared" si="3"/>
        <v>0.66</v>
      </c>
      <c r="I47" s="110">
        <f t="shared" si="3"/>
        <v>0.33</v>
      </c>
      <c r="J47" s="2">
        <f t="shared" si="4"/>
        <v>14.1</v>
      </c>
    </row>
    <row r="48" spans="1:10" ht="30" x14ac:dyDescent="0.25">
      <c r="A48" s="102" t="s">
        <v>68</v>
      </c>
      <c r="B48" s="102" t="s">
        <v>79</v>
      </c>
      <c r="C48" s="103" t="s">
        <v>92</v>
      </c>
      <c r="D48" s="156" t="s">
        <v>104</v>
      </c>
      <c r="E48" s="156" t="s">
        <v>105</v>
      </c>
      <c r="F48" s="156" t="s">
        <v>106</v>
      </c>
      <c r="G48" s="110">
        <f t="shared" si="5"/>
        <v>1</v>
      </c>
      <c r="H48" s="110">
        <f t="shared" si="3"/>
        <v>0.66</v>
      </c>
      <c r="I48" s="110">
        <f t="shared" si="3"/>
        <v>0.33</v>
      </c>
      <c r="J48" s="2">
        <f t="shared" si="4"/>
        <v>14.1</v>
      </c>
    </row>
    <row r="49" spans="1:10" ht="30" x14ac:dyDescent="0.25">
      <c r="A49" s="102" t="s">
        <v>69</v>
      </c>
      <c r="B49" s="102" t="s">
        <v>80</v>
      </c>
      <c r="C49" s="103" t="s">
        <v>81</v>
      </c>
      <c r="D49" s="156" t="s">
        <v>105</v>
      </c>
      <c r="E49" s="156" t="s">
        <v>106</v>
      </c>
      <c r="F49" s="156" t="s">
        <v>104</v>
      </c>
      <c r="G49" s="110">
        <f>IF(D49=$A$25,$B$25,(IF(D49=$A$26,$B$26,IF(D49=$A$27,$B$27,$B$28))))</f>
        <v>0.66</v>
      </c>
      <c r="H49" s="110">
        <f t="shared" si="3"/>
        <v>0.33</v>
      </c>
      <c r="I49" s="110">
        <f t="shared" si="3"/>
        <v>1</v>
      </c>
      <c r="J49" s="2">
        <f t="shared" si="4"/>
        <v>12.425000000000001</v>
      </c>
    </row>
    <row r="50" spans="1:10" ht="35.25" customHeight="1" x14ac:dyDescent="0.25">
      <c r="A50" s="102" t="s">
        <v>70</v>
      </c>
      <c r="B50" s="102" t="s">
        <v>82</v>
      </c>
      <c r="C50" s="103" t="s">
        <v>93</v>
      </c>
      <c r="D50" s="156" t="s">
        <v>106</v>
      </c>
      <c r="E50" s="156" t="s">
        <v>104</v>
      </c>
      <c r="F50" s="156" t="s">
        <v>105</v>
      </c>
      <c r="G50" s="110">
        <f t="shared" si="5"/>
        <v>0.33</v>
      </c>
      <c r="H50" s="110">
        <f t="shared" si="3"/>
        <v>1</v>
      </c>
      <c r="I50" s="110">
        <f t="shared" si="3"/>
        <v>0.66</v>
      </c>
      <c r="J50" s="2">
        <f t="shared" si="4"/>
        <v>13.275</v>
      </c>
    </row>
    <row r="51" spans="1:10" ht="30" x14ac:dyDescent="0.25">
      <c r="A51" s="102" t="s">
        <v>71</v>
      </c>
      <c r="B51" s="102" t="s">
        <v>83</v>
      </c>
      <c r="C51" s="103" t="s">
        <v>94</v>
      </c>
      <c r="D51" s="156" t="s">
        <v>106</v>
      </c>
      <c r="E51" s="156" t="s">
        <v>104</v>
      </c>
      <c r="F51" s="156" t="s">
        <v>105</v>
      </c>
      <c r="G51" s="110">
        <f t="shared" si="5"/>
        <v>0.33</v>
      </c>
      <c r="H51" s="110">
        <f t="shared" si="3"/>
        <v>1</v>
      </c>
      <c r="I51" s="110">
        <f t="shared" si="3"/>
        <v>0.66</v>
      </c>
      <c r="J51" s="2">
        <f t="shared" si="4"/>
        <v>13.275</v>
      </c>
    </row>
    <row r="53" spans="1:10" x14ac:dyDescent="0.25">
      <c r="A53" s="100" t="s">
        <v>167</v>
      </c>
    </row>
    <row r="54" spans="1:10" x14ac:dyDescent="0.25">
      <c r="A54" s="107" t="s">
        <v>103</v>
      </c>
      <c r="B54" s="108" t="s">
        <v>122</v>
      </c>
      <c r="C54" s="108" t="s">
        <v>123</v>
      </c>
    </row>
    <row r="55" spans="1:10" x14ac:dyDescent="0.25">
      <c r="A55" s="102" t="s">
        <v>104</v>
      </c>
      <c r="B55" s="2">
        <v>1</v>
      </c>
      <c r="C55" s="2">
        <v>7.5</v>
      </c>
    </row>
    <row r="56" spans="1:10" x14ac:dyDescent="0.25">
      <c r="A56" s="102" t="s">
        <v>105</v>
      </c>
      <c r="B56" s="2">
        <v>0.66</v>
      </c>
      <c r="C56" s="2">
        <v>5</v>
      </c>
    </row>
    <row r="57" spans="1:10" x14ac:dyDescent="0.25">
      <c r="A57" s="102" t="s">
        <v>106</v>
      </c>
      <c r="B57" s="2">
        <v>0.33</v>
      </c>
      <c r="C57" s="2">
        <v>2.5</v>
      </c>
    </row>
    <row r="58" spans="1:10" x14ac:dyDescent="0.25">
      <c r="A58" s="102" t="s">
        <v>107</v>
      </c>
      <c r="B58" s="2">
        <v>0</v>
      </c>
      <c r="C58" s="2">
        <v>1</v>
      </c>
    </row>
    <row r="60" spans="1:10" x14ac:dyDescent="0.25">
      <c r="A60" s="100" t="s">
        <v>168</v>
      </c>
    </row>
    <row r="61" spans="1:10" ht="45.75" thickBot="1" x14ac:dyDescent="0.3">
      <c r="A61" s="107" t="s">
        <v>117</v>
      </c>
      <c r="B61" s="108" t="s">
        <v>99</v>
      </c>
      <c r="C61" s="107" t="s">
        <v>108</v>
      </c>
      <c r="D61" s="109" t="s">
        <v>173</v>
      </c>
    </row>
    <row r="62" spans="1:10" x14ac:dyDescent="0.25">
      <c r="A62" s="125" t="s">
        <v>114</v>
      </c>
      <c r="B62" s="104" t="s">
        <v>100</v>
      </c>
      <c r="C62" s="2" t="s">
        <v>104</v>
      </c>
      <c r="D62" s="150">
        <v>7.5</v>
      </c>
    </row>
    <row r="63" spans="1:10" x14ac:dyDescent="0.25">
      <c r="A63" s="126" t="s">
        <v>115</v>
      </c>
      <c r="B63" s="104" t="s">
        <v>101</v>
      </c>
      <c r="C63" s="2" t="s">
        <v>104</v>
      </c>
      <c r="D63" s="150">
        <v>7.5</v>
      </c>
    </row>
    <row r="64" spans="1:10" ht="15.75" thickBot="1" x14ac:dyDescent="0.3">
      <c r="A64" s="127" t="s">
        <v>116</v>
      </c>
      <c r="B64" s="104" t="s">
        <v>102</v>
      </c>
      <c r="C64" s="2" t="s">
        <v>105</v>
      </c>
      <c r="D64" s="150">
        <v>5</v>
      </c>
    </row>
    <row r="67" spans="1:10" ht="18.75" x14ac:dyDescent="0.3">
      <c r="A67" s="149" t="s">
        <v>162</v>
      </c>
      <c r="B67" s="99"/>
      <c r="C67" s="99"/>
    </row>
    <row r="68" spans="1:10" x14ac:dyDescent="0.25">
      <c r="A68" s="1" t="s">
        <v>110</v>
      </c>
      <c r="B68" s="99"/>
      <c r="C68" s="99"/>
    </row>
    <row r="69" spans="1:10" x14ac:dyDescent="0.25">
      <c r="A69" s="100" t="s">
        <v>169</v>
      </c>
      <c r="B69" s="99"/>
      <c r="C69" s="99"/>
    </row>
    <row r="70" spans="1:10" ht="90.75" customHeight="1" x14ac:dyDescent="0.25">
      <c r="A70" s="273" t="s">
        <v>85</v>
      </c>
      <c r="B70" s="273" t="s">
        <v>86</v>
      </c>
      <c r="C70" s="273" t="s">
        <v>87</v>
      </c>
      <c r="D70" s="273" t="s">
        <v>127</v>
      </c>
      <c r="E70" s="273"/>
      <c r="F70" s="273"/>
      <c r="G70" s="273" t="s">
        <v>128</v>
      </c>
      <c r="H70" s="273"/>
      <c r="I70" s="273"/>
      <c r="J70" s="273" t="s">
        <v>118</v>
      </c>
    </row>
    <row r="71" spans="1:10" x14ac:dyDescent="0.25">
      <c r="A71" s="273"/>
      <c r="B71" s="273"/>
      <c r="C71" s="273"/>
      <c r="D71" s="107" t="s">
        <v>114</v>
      </c>
      <c r="E71" s="107" t="s">
        <v>115</v>
      </c>
      <c r="F71" s="107" t="s">
        <v>116</v>
      </c>
      <c r="G71" s="107" t="s">
        <v>114</v>
      </c>
      <c r="H71" s="107" t="s">
        <v>115</v>
      </c>
      <c r="I71" s="107" t="s">
        <v>116</v>
      </c>
      <c r="J71" s="273"/>
    </row>
    <row r="72" spans="1:10" ht="30" x14ac:dyDescent="0.25">
      <c r="A72" s="102" t="s">
        <v>8</v>
      </c>
      <c r="B72" s="102" t="s">
        <v>84</v>
      </c>
      <c r="C72" s="103" t="s">
        <v>72</v>
      </c>
      <c r="D72" s="156" t="s">
        <v>106</v>
      </c>
      <c r="E72" s="156" t="s">
        <v>105</v>
      </c>
      <c r="F72" s="156" t="s">
        <v>104</v>
      </c>
      <c r="G72" s="110">
        <f>IF(D72=$A$25,$B$25,(IF(D72=$A$26,$B$26,IF(D72=$A$27,$B$27,$B$28))))</f>
        <v>0.33</v>
      </c>
      <c r="H72" s="110">
        <f t="shared" ref="H72:I81" si="6">IF(E72=$A$25,$B$25,(IF(E72=$A$26,$B$26,IF(E72=$A$27,$B$27,$B$28))))</f>
        <v>0.66</v>
      </c>
      <c r="I72" s="110">
        <f t="shared" si="6"/>
        <v>1</v>
      </c>
      <c r="J72" s="2">
        <f>G72*$D$92+H72*$D$93+I72*$D$94</f>
        <v>11.625</v>
      </c>
    </row>
    <row r="73" spans="1:10" x14ac:dyDescent="0.25">
      <c r="A73" s="102" t="s">
        <v>9</v>
      </c>
      <c r="B73" s="102" t="s">
        <v>73</v>
      </c>
      <c r="C73" s="103" t="s">
        <v>88</v>
      </c>
      <c r="D73" s="156" t="s">
        <v>105</v>
      </c>
      <c r="E73" s="156" t="s">
        <v>106</v>
      </c>
      <c r="F73" s="156" t="s">
        <v>106</v>
      </c>
      <c r="G73" s="110">
        <f>IF(D73=$A$25,$B$25,(IF(D73=$A$26,$B$26,IF(D73=$A$27,$B$27,$B$28))))</f>
        <v>0.66</v>
      </c>
      <c r="H73" s="110">
        <f t="shared" si="6"/>
        <v>0.33</v>
      </c>
      <c r="I73" s="110">
        <f t="shared" si="6"/>
        <v>0.33</v>
      </c>
      <c r="J73" s="2">
        <f t="shared" ref="J73:J81" si="7">G73*$D$92+H73*$D$93+I73*$D$94</f>
        <v>5.7750000000000004</v>
      </c>
    </row>
    <row r="74" spans="1:10" x14ac:dyDescent="0.25">
      <c r="A74" s="102" t="s">
        <v>10</v>
      </c>
      <c r="B74" s="102" t="s">
        <v>74</v>
      </c>
      <c r="C74" s="103" t="s">
        <v>89</v>
      </c>
      <c r="D74" s="156" t="s">
        <v>105</v>
      </c>
      <c r="E74" s="156" t="s">
        <v>104</v>
      </c>
      <c r="F74" s="156" t="s">
        <v>105</v>
      </c>
      <c r="G74" s="110">
        <f t="shared" ref="G74:G78" si="8">IF(D74=$A$25,$B$25,(IF(D74=$A$26,$B$26,IF(D74=$A$27,$B$27,$B$28))))</f>
        <v>0.66</v>
      </c>
      <c r="H74" s="110">
        <f t="shared" si="6"/>
        <v>1</v>
      </c>
      <c r="I74" s="110">
        <f t="shared" si="6"/>
        <v>0.66</v>
      </c>
      <c r="J74" s="2">
        <f t="shared" si="7"/>
        <v>11.600000000000001</v>
      </c>
    </row>
    <row r="75" spans="1:10" x14ac:dyDescent="0.25">
      <c r="A75" s="102" t="s">
        <v>65</v>
      </c>
      <c r="B75" s="102" t="s">
        <v>75</v>
      </c>
      <c r="C75" s="103" t="s">
        <v>76</v>
      </c>
      <c r="D75" s="156" t="s">
        <v>104</v>
      </c>
      <c r="E75" s="156" t="s">
        <v>105</v>
      </c>
      <c r="F75" s="156" t="s">
        <v>106</v>
      </c>
      <c r="G75" s="110">
        <f t="shared" si="8"/>
        <v>1</v>
      </c>
      <c r="H75" s="110">
        <f t="shared" si="6"/>
        <v>0.66</v>
      </c>
      <c r="I75" s="110">
        <f t="shared" si="6"/>
        <v>0.33</v>
      </c>
      <c r="J75" s="2">
        <f t="shared" si="7"/>
        <v>8.2750000000000004</v>
      </c>
    </row>
    <row r="76" spans="1:10" ht="30" x14ac:dyDescent="0.25">
      <c r="A76" s="102" t="s">
        <v>66</v>
      </c>
      <c r="B76" s="102" t="s">
        <v>77</v>
      </c>
      <c r="C76" s="103" t="s">
        <v>90</v>
      </c>
      <c r="D76" s="156" t="s">
        <v>105</v>
      </c>
      <c r="E76" s="156" t="s">
        <v>104</v>
      </c>
      <c r="F76" s="156" t="s">
        <v>106</v>
      </c>
      <c r="G76" s="110">
        <f t="shared" si="8"/>
        <v>0.66</v>
      </c>
      <c r="H76" s="110">
        <f t="shared" si="6"/>
        <v>1</v>
      </c>
      <c r="I76" s="110">
        <f t="shared" si="6"/>
        <v>0.33</v>
      </c>
      <c r="J76" s="2">
        <f t="shared" si="7"/>
        <v>9.125</v>
      </c>
    </row>
    <row r="77" spans="1:10" x14ac:dyDescent="0.25">
      <c r="A77" s="102" t="s">
        <v>67</v>
      </c>
      <c r="B77" s="102" t="s">
        <v>78</v>
      </c>
      <c r="C77" s="103" t="s">
        <v>91</v>
      </c>
      <c r="D77" s="156" t="s">
        <v>106</v>
      </c>
      <c r="E77" s="156" t="s">
        <v>105</v>
      </c>
      <c r="F77" s="156" t="s">
        <v>106</v>
      </c>
      <c r="G77" s="110">
        <f t="shared" si="8"/>
        <v>0.33</v>
      </c>
      <c r="H77" s="110">
        <f t="shared" si="6"/>
        <v>0.66</v>
      </c>
      <c r="I77" s="110">
        <f t="shared" si="6"/>
        <v>0.33</v>
      </c>
      <c r="J77" s="2">
        <f t="shared" si="7"/>
        <v>6.6</v>
      </c>
    </row>
    <row r="78" spans="1:10" ht="30" x14ac:dyDescent="0.25">
      <c r="A78" s="102" t="s">
        <v>68</v>
      </c>
      <c r="B78" s="102" t="s">
        <v>79</v>
      </c>
      <c r="C78" s="103" t="s">
        <v>92</v>
      </c>
      <c r="D78" s="156" t="s">
        <v>104</v>
      </c>
      <c r="E78" s="156" t="s">
        <v>105</v>
      </c>
      <c r="F78" s="156" t="s">
        <v>106</v>
      </c>
      <c r="G78" s="110">
        <f t="shared" si="8"/>
        <v>1</v>
      </c>
      <c r="H78" s="110">
        <f t="shared" si="6"/>
        <v>0.66</v>
      </c>
      <c r="I78" s="110">
        <f t="shared" si="6"/>
        <v>0.33</v>
      </c>
      <c r="J78" s="2">
        <f t="shared" si="7"/>
        <v>8.2750000000000004</v>
      </c>
    </row>
    <row r="79" spans="1:10" ht="30" x14ac:dyDescent="0.25">
      <c r="A79" s="102" t="s">
        <v>69</v>
      </c>
      <c r="B79" s="102" t="s">
        <v>80</v>
      </c>
      <c r="C79" s="103" t="s">
        <v>81</v>
      </c>
      <c r="D79" s="156" t="s">
        <v>105</v>
      </c>
      <c r="E79" s="156" t="s">
        <v>106</v>
      </c>
      <c r="F79" s="156" t="s">
        <v>104</v>
      </c>
      <c r="G79" s="110">
        <f>IF(D79=$A$25,$B$25,(IF(D79=$A$26,$B$26,IF(D79=$A$27,$B$27,$B$28))))</f>
        <v>0.66</v>
      </c>
      <c r="H79" s="110">
        <f t="shared" si="6"/>
        <v>0.33</v>
      </c>
      <c r="I79" s="110">
        <f t="shared" si="6"/>
        <v>1</v>
      </c>
      <c r="J79" s="2">
        <f t="shared" si="7"/>
        <v>10.8</v>
      </c>
    </row>
    <row r="80" spans="1:10" ht="30" x14ac:dyDescent="0.25">
      <c r="A80" s="102" t="s">
        <v>70</v>
      </c>
      <c r="B80" s="102" t="s">
        <v>82</v>
      </c>
      <c r="C80" s="103" t="s">
        <v>93</v>
      </c>
      <c r="D80" s="156" t="s">
        <v>105</v>
      </c>
      <c r="E80" s="156" t="s">
        <v>104</v>
      </c>
      <c r="F80" s="156" t="s">
        <v>106</v>
      </c>
      <c r="G80" s="110">
        <f t="shared" ref="G80:G81" si="9">IF(D80=$A$25,$B$25,(IF(D80=$A$26,$B$26,IF(D80=$A$27,$B$27,$B$28))))</f>
        <v>0.66</v>
      </c>
      <c r="H80" s="110">
        <f t="shared" si="6"/>
        <v>1</v>
      </c>
      <c r="I80" s="110">
        <f t="shared" si="6"/>
        <v>0.33</v>
      </c>
      <c r="J80" s="2">
        <f t="shared" si="7"/>
        <v>9.125</v>
      </c>
    </row>
    <row r="81" spans="1:10" ht="30" x14ac:dyDescent="0.25">
      <c r="A81" s="102" t="s">
        <v>71</v>
      </c>
      <c r="B81" s="102" t="s">
        <v>83</v>
      </c>
      <c r="C81" s="103" t="s">
        <v>94</v>
      </c>
      <c r="D81" s="156" t="s">
        <v>106</v>
      </c>
      <c r="E81" s="156" t="s">
        <v>104</v>
      </c>
      <c r="F81" s="156" t="s">
        <v>105</v>
      </c>
      <c r="G81" s="110">
        <f t="shared" si="9"/>
        <v>0.33</v>
      </c>
      <c r="H81" s="110">
        <f t="shared" si="6"/>
        <v>1</v>
      </c>
      <c r="I81" s="110">
        <f t="shared" si="6"/>
        <v>0.66</v>
      </c>
      <c r="J81" s="2">
        <f t="shared" si="7"/>
        <v>10.775</v>
      </c>
    </row>
    <row r="83" spans="1:10" x14ac:dyDescent="0.25">
      <c r="A83" s="100" t="s">
        <v>170</v>
      </c>
    </row>
    <row r="84" spans="1:10" x14ac:dyDescent="0.25">
      <c r="A84" s="107" t="s">
        <v>103</v>
      </c>
      <c r="B84" s="108" t="s">
        <v>122</v>
      </c>
      <c r="C84" s="108" t="s">
        <v>123</v>
      </c>
    </row>
    <row r="85" spans="1:10" x14ac:dyDescent="0.25">
      <c r="A85" s="102" t="s">
        <v>104</v>
      </c>
      <c r="B85" s="2">
        <v>1</v>
      </c>
      <c r="C85" s="2">
        <v>7.5</v>
      </c>
    </row>
    <row r="86" spans="1:10" x14ac:dyDescent="0.25">
      <c r="A86" s="102" t="s">
        <v>105</v>
      </c>
      <c r="B86" s="2">
        <v>0.66</v>
      </c>
      <c r="C86" s="2">
        <v>5</v>
      </c>
    </row>
    <row r="87" spans="1:10" x14ac:dyDescent="0.25">
      <c r="A87" s="102" t="s">
        <v>106</v>
      </c>
      <c r="B87" s="2">
        <v>0.33</v>
      </c>
      <c r="C87" s="2">
        <v>2.5</v>
      </c>
    </row>
    <row r="88" spans="1:10" x14ac:dyDescent="0.25">
      <c r="A88" s="102" t="s">
        <v>107</v>
      </c>
      <c r="B88" s="2">
        <v>0</v>
      </c>
      <c r="C88" s="2">
        <v>1</v>
      </c>
    </row>
    <row r="90" spans="1:10" x14ac:dyDescent="0.25">
      <c r="A90" s="100" t="s">
        <v>171</v>
      </c>
    </row>
    <row r="91" spans="1:10" ht="45.75" thickBot="1" x14ac:dyDescent="0.3">
      <c r="A91" s="107" t="s">
        <v>117</v>
      </c>
      <c r="B91" s="108" t="s">
        <v>99</v>
      </c>
      <c r="C91" s="107" t="s">
        <v>108</v>
      </c>
      <c r="D91" s="109" t="s">
        <v>172</v>
      </c>
    </row>
    <row r="92" spans="1:10" x14ac:dyDescent="0.25">
      <c r="A92" s="125" t="s">
        <v>114</v>
      </c>
      <c r="B92" s="104" t="s">
        <v>100</v>
      </c>
      <c r="C92" s="2" t="s">
        <v>106</v>
      </c>
      <c r="D92" s="150">
        <f>C87</f>
        <v>2.5</v>
      </c>
    </row>
    <row r="93" spans="1:10" x14ac:dyDescent="0.25">
      <c r="A93" s="126" t="s">
        <v>115</v>
      </c>
      <c r="B93" s="104" t="s">
        <v>101</v>
      </c>
      <c r="C93" s="2" t="s">
        <v>105</v>
      </c>
      <c r="D93" s="150">
        <f>C86</f>
        <v>5</v>
      </c>
    </row>
    <row r="94" spans="1:10" ht="15.75" thickBot="1" x14ac:dyDescent="0.3">
      <c r="A94" s="127" t="s">
        <v>116</v>
      </c>
      <c r="B94" s="104" t="s">
        <v>102</v>
      </c>
      <c r="C94" s="2" t="s">
        <v>104</v>
      </c>
      <c r="D94" s="150">
        <f>C85</f>
        <v>7.5</v>
      </c>
    </row>
    <row r="96" spans="1:10" x14ac:dyDescent="0.25">
      <c r="A96" s="1" t="s">
        <v>287</v>
      </c>
    </row>
    <row r="97" spans="1:7" x14ac:dyDescent="0.25">
      <c r="A97" s="151" t="s">
        <v>182</v>
      </c>
      <c r="B97" s="151" t="s">
        <v>183</v>
      </c>
      <c r="C97" s="151" t="s">
        <v>184</v>
      </c>
      <c r="D97" s="151" t="s">
        <v>185</v>
      </c>
    </row>
    <row r="98" spans="1:7" x14ac:dyDescent="0.25">
      <c r="A98" s="102" t="s">
        <v>84</v>
      </c>
      <c r="B98" s="2">
        <f>J12</f>
        <v>14.15</v>
      </c>
      <c r="C98" s="2">
        <f>J42</f>
        <v>12.425000000000001</v>
      </c>
      <c r="D98" s="2">
        <f>J72</f>
        <v>11.625</v>
      </c>
      <c r="E98" s="321"/>
      <c r="F98" s="321"/>
      <c r="G98" s="321"/>
    </row>
    <row r="99" spans="1:7" x14ac:dyDescent="0.25">
      <c r="A99" s="102" t="s">
        <v>73</v>
      </c>
      <c r="B99" s="2">
        <f t="shared" ref="B99:B107" si="10">J13</f>
        <v>6.6000000000000005</v>
      </c>
      <c r="C99" s="2">
        <f t="shared" ref="C99:C107" si="11">J43</f>
        <v>8.25</v>
      </c>
      <c r="D99" s="2">
        <f t="shared" ref="D99:D107" si="12">J73</f>
        <v>5.7750000000000004</v>
      </c>
      <c r="E99" s="321"/>
      <c r="F99" s="321"/>
      <c r="G99" s="321"/>
    </row>
    <row r="100" spans="1:7" x14ac:dyDescent="0.25">
      <c r="A100" s="102" t="s">
        <v>74</v>
      </c>
      <c r="B100" s="2">
        <f t="shared" si="10"/>
        <v>9.9</v>
      </c>
      <c r="C100" s="2">
        <f t="shared" si="11"/>
        <v>15.75</v>
      </c>
      <c r="D100" s="2">
        <f t="shared" si="12"/>
        <v>11.600000000000001</v>
      </c>
      <c r="E100" s="321"/>
      <c r="F100" s="321"/>
      <c r="G100" s="321"/>
    </row>
    <row r="101" spans="1:7" x14ac:dyDescent="0.25">
      <c r="A101" s="102" t="s">
        <v>75</v>
      </c>
      <c r="B101" s="2">
        <f t="shared" si="10"/>
        <v>12.450000000000001</v>
      </c>
      <c r="C101" s="2">
        <f t="shared" si="11"/>
        <v>14.1</v>
      </c>
      <c r="D101" s="2">
        <f t="shared" si="12"/>
        <v>8.2750000000000004</v>
      </c>
      <c r="E101" s="321"/>
      <c r="F101" s="321"/>
      <c r="G101" s="321"/>
    </row>
    <row r="102" spans="1:7" x14ac:dyDescent="0.25">
      <c r="A102" s="102" t="s">
        <v>77</v>
      </c>
      <c r="B102" s="2">
        <f t="shared" si="10"/>
        <v>10.75</v>
      </c>
      <c r="C102" s="2">
        <f t="shared" si="11"/>
        <v>15.75</v>
      </c>
      <c r="D102" s="2">
        <f t="shared" si="12"/>
        <v>9.125</v>
      </c>
      <c r="E102" s="321"/>
      <c r="F102" s="321"/>
      <c r="G102" s="321"/>
    </row>
    <row r="103" spans="1:7" x14ac:dyDescent="0.25">
      <c r="A103" s="102" t="s">
        <v>78</v>
      </c>
      <c r="B103" s="2">
        <f t="shared" si="10"/>
        <v>10.8</v>
      </c>
      <c r="C103" s="2">
        <f t="shared" si="11"/>
        <v>14.1</v>
      </c>
      <c r="D103" s="2">
        <f t="shared" si="12"/>
        <v>6.6</v>
      </c>
      <c r="E103" s="321"/>
      <c r="F103" s="321"/>
      <c r="G103" s="321"/>
    </row>
    <row r="104" spans="1:7" x14ac:dyDescent="0.25">
      <c r="A104" s="102" t="s">
        <v>79</v>
      </c>
      <c r="B104" s="2">
        <f t="shared" si="10"/>
        <v>10.8</v>
      </c>
      <c r="C104" s="2">
        <f t="shared" si="11"/>
        <v>14.1</v>
      </c>
      <c r="D104" s="2">
        <f t="shared" si="12"/>
        <v>8.2750000000000004</v>
      </c>
      <c r="E104" s="321"/>
      <c r="F104" s="321"/>
      <c r="G104" s="321"/>
    </row>
    <row r="105" spans="1:7" x14ac:dyDescent="0.25">
      <c r="A105" s="102" t="s">
        <v>80</v>
      </c>
      <c r="B105" s="2">
        <f t="shared" si="10"/>
        <v>12.45</v>
      </c>
      <c r="C105" s="2">
        <f t="shared" si="11"/>
        <v>12.425000000000001</v>
      </c>
      <c r="D105" s="2">
        <f t="shared" si="12"/>
        <v>10.8</v>
      </c>
      <c r="E105" s="321"/>
      <c r="F105" s="321"/>
      <c r="G105" s="321"/>
    </row>
    <row r="106" spans="1:7" x14ac:dyDescent="0.25">
      <c r="A106" s="102" t="s">
        <v>82</v>
      </c>
      <c r="B106" s="2">
        <f t="shared" si="10"/>
        <v>10.75</v>
      </c>
      <c r="C106" s="2">
        <f t="shared" si="11"/>
        <v>13.275</v>
      </c>
      <c r="D106" s="2">
        <f t="shared" si="12"/>
        <v>9.125</v>
      </c>
      <c r="E106" s="321"/>
      <c r="F106" s="321"/>
      <c r="G106" s="321"/>
    </row>
    <row r="107" spans="1:7" x14ac:dyDescent="0.25">
      <c r="A107" s="102" t="s">
        <v>83</v>
      </c>
      <c r="B107" s="2">
        <f t="shared" si="10"/>
        <v>8.2750000000000004</v>
      </c>
      <c r="C107" s="2">
        <f t="shared" si="11"/>
        <v>13.275</v>
      </c>
      <c r="D107" s="2">
        <f t="shared" si="12"/>
        <v>10.775</v>
      </c>
      <c r="E107" s="321"/>
      <c r="F107" s="321"/>
      <c r="G107" s="321"/>
    </row>
    <row r="109" spans="1:7" x14ac:dyDescent="0.25">
      <c r="A109" s="1" t="s">
        <v>288</v>
      </c>
    </row>
    <row r="110" spans="1:7" x14ac:dyDescent="0.25">
      <c r="A110" s="151" t="s">
        <v>182</v>
      </c>
      <c r="B110" s="151" t="s">
        <v>183</v>
      </c>
      <c r="C110" s="151" t="s">
        <v>184</v>
      </c>
      <c r="D110" s="151" t="s">
        <v>185</v>
      </c>
    </row>
    <row r="111" spans="1:7" x14ac:dyDescent="0.25">
      <c r="A111" s="102" t="s">
        <v>84</v>
      </c>
      <c r="B111" s="204">
        <f>B98/MAX($B$98:$D$107)</f>
        <v>0.89841269841269844</v>
      </c>
      <c r="C111" s="204">
        <f t="shared" ref="C111:D111" si="13">C98/MAX($B$98:$D$107)</f>
        <v>0.78888888888888897</v>
      </c>
      <c r="D111" s="204">
        <f t="shared" si="13"/>
        <v>0.73809523809523814</v>
      </c>
      <c r="E111" s="209"/>
      <c r="F111" s="209"/>
      <c r="G111" s="209"/>
    </row>
    <row r="112" spans="1:7" x14ac:dyDescent="0.25">
      <c r="A112" s="102" t="s">
        <v>73</v>
      </c>
      <c r="B112" s="204">
        <f t="shared" ref="B112:D120" si="14">B99/MAX($B$98:$D$107)</f>
        <v>0.41904761904761906</v>
      </c>
      <c r="C112" s="204">
        <f t="shared" si="14"/>
        <v>0.52380952380952384</v>
      </c>
      <c r="D112" s="204">
        <f t="shared" si="14"/>
        <v>0.3666666666666667</v>
      </c>
      <c r="E112" s="209"/>
      <c r="F112" s="209"/>
      <c r="G112" s="209"/>
    </row>
    <row r="113" spans="1:7" x14ac:dyDescent="0.25">
      <c r="A113" s="102" t="s">
        <v>74</v>
      </c>
      <c r="B113" s="204">
        <f t="shared" si="14"/>
        <v>0.62857142857142856</v>
      </c>
      <c r="C113" s="204">
        <f t="shared" si="14"/>
        <v>1</v>
      </c>
      <c r="D113" s="204">
        <f t="shared" si="14"/>
        <v>0.73650793650793656</v>
      </c>
      <c r="E113" s="209"/>
      <c r="F113" s="209"/>
      <c r="G113" s="209"/>
    </row>
    <row r="114" spans="1:7" x14ac:dyDescent="0.25">
      <c r="A114" s="102" t="s">
        <v>75</v>
      </c>
      <c r="B114" s="204">
        <f t="shared" si="14"/>
        <v>0.79047619047619055</v>
      </c>
      <c r="C114" s="204">
        <f t="shared" si="14"/>
        <v>0.89523809523809517</v>
      </c>
      <c r="D114" s="204">
        <f t="shared" si="14"/>
        <v>0.52539682539682542</v>
      </c>
      <c r="E114" s="209"/>
      <c r="F114" s="209"/>
      <c r="G114" s="209"/>
    </row>
    <row r="115" spans="1:7" x14ac:dyDescent="0.25">
      <c r="A115" s="102" t="s">
        <v>77</v>
      </c>
      <c r="B115" s="204">
        <f t="shared" si="14"/>
        <v>0.68253968253968256</v>
      </c>
      <c r="C115" s="204">
        <f t="shared" si="14"/>
        <v>1</v>
      </c>
      <c r="D115" s="204">
        <f t="shared" si="14"/>
        <v>0.57936507936507942</v>
      </c>
      <c r="E115" s="209"/>
      <c r="F115" s="209"/>
      <c r="G115" s="209"/>
    </row>
    <row r="116" spans="1:7" x14ac:dyDescent="0.25">
      <c r="A116" s="102" t="s">
        <v>78</v>
      </c>
      <c r="B116" s="204">
        <f t="shared" si="14"/>
        <v>0.68571428571428572</v>
      </c>
      <c r="C116" s="204">
        <f t="shared" si="14"/>
        <v>0.89523809523809517</v>
      </c>
      <c r="D116" s="204">
        <f t="shared" si="14"/>
        <v>0.419047619047619</v>
      </c>
      <c r="E116" s="209"/>
      <c r="F116" s="209"/>
      <c r="G116" s="209"/>
    </row>
    <row r="117" spans="1:7" x14ac:dyDescent="0.25">
      <c r="A117" s="102" t="s">
        <v>79</v>
      </c>
      <c r="B117" s="204">
        <f t="shared" si="14"/>
        <v>0.68571428571428572</v>
      </c>
      <c r="C117" s="204">
        <f t="shared" si="14"/>
        <v>0.89523809523809517</v>
      </c>
      <c r="D117" s="204">
        <f t="shared" si="14"/>
        <v>0.52539682539682542</v>
      </c>
      <c r="E117" s="209"/>
      <c r="F117" s="209"/>
      <c r="G117" s="209"/>
    </row>
    <row r="118" spans="1:7" x14ac:dyDescent="0.25">
      <c r="A118" s="102" t="s">
        <v>80</v>
      </c>
      <c r="B118" s="204">
        <f t="shared" si="14"/>
        <v>0.79047619047619044</v>
      </c>
      <c r="C118" s="204">
        <f t="shared" si="14"/>
        <v>0.78888888888888897</v>
      </c>
      <c r="D118" s="204">
        <f t="shared" si="14"/>
        <v>0.68571428571428572</v>
      </c>
      <c r="E118" s="209"/>
      <c r="F118" s="209"/>
      <c r="G118" s="209"/>
    </row>
    <row r="119" spans="1:7" x14ac:dyDescent="0.25">
      <c r="A119" s="102" t="s">
        <v>82</v>
      </c>
      <c r="B119" s="204">
        <f t="shared" si="14"/>
        <v>0.68253968253968256</v>
      </c>
      <c r="C119" s="204">
        <f t="shared" si="14"/>
        <v>0.84285714285714286</v>
      </c>
      <c r="D119" s="204">
        <f t="shared" si="14"/>
        <v>0.57936507936507942</v>
      </c>
      <c r="E119" s="209"/>
      <c r="F119" s="209"/>
      <c r="G119" s="209"/>
    </row>
    <row r="120" spans="1:7" x14ac:dyDescent="0.25">
      <c r="A120" s="102" t="s">
        <v>83</v>
      </c>
      <c r="B120" s="204">
        <f t="shared" si="14"/>
        <v>0.52539682539682542</v>
      </c>
      <c r="C120" s="204">
        <f t="shared" si="14"/>
        <v>0.84285714285714286</v>
      </c>
      <c r="D120" s="204">
        <f t="shared" si="14"/>
        <v>0.68412698412698414</v>
      </c>
      <c r="E120" s="209"/>
      <c r="F120" s="209"/>
      <c r="G120" s="209"/>
    </row>
    <row r="123" spans="1:7" x14ac:dyDescent="0.25">
      <c r="A123" s="1" t="s">
        <v>289</v>
      </c>
    </row>
    <row r="124" spans="1:7" s="97" customFormat="1" ht="45" x14ac:dyDescent="0.25">
      <c r="A124" s="151" t="s">
        <v>175</v>
      </c>
      <c r="B124" s="151" t="s">
        <v>229</v>
      </c>
      <c r="C124" s="151" t="s">
        <v>228</v>
      </c>
    </row>
    <row r="125" spans="1:7" x14ac:dyDescent="0.25">
      <c r="A125" s="2" t="s">
        <v>176</v>
      </c>
      <c r="B125" s="2">
        <v>0.75</v>
      </c>
      <c r="C125" s="2">
        <f t="shared" ref="C125:C127" si="15">B125/B$128</f>
        <v>0.3</v>
      </c>
    </row>
    <row r="126" spans="1:7" x14ac:dyDescent="0.25">
      <c r="A126" s="2" t="s">
        <v>177</v>
      </c>
      <c r="B126" s="2">
        <v>0.75</v>
      </c>
      <c r="C126" s="2">
        <f t="shared" si="15"/>
        <v>0.3</v>
      </c>
    </row>
    <row r="127" spans="1:7" x14ac:dyDescent="0.25">
      <c r="A127" s="2" t="s">
        <v>207</v>
      </c>
      <c r="B127" s="2">
        <v>1</v>
      </c>
      <c r="C127" s="2">
        <f t="shared" si="15"/>
        <v>0.4</v>
      </c>
    </row>
    <row r="128" spans="1:7" x14ac:dyDescent="0.25">
      <c r="A128" s="3" t="s">
        <v>227</v>
      </c>
      <c r="B128" s="3">
        <f t="shared" ref="B128:C128" si="16">SUM(B125:B127)</f>
        <v>2.5</v>
      </c>
      <c r="C128" s="3">
        <f t="shared" si="16"/>
        <v>1</v>
      </c>
    </row>
    <row r="129" spans="1:7" x14ac:dyDescent="0.25">
      <c r="A129" s="1"/>
      <c r="B129" s="1"/>
      <c r="C129" s="1"/>
      <c r="D129" s="1"/>
      <c r="E129" s="1"/>
    </row>
    <row r="130" spans="1:7" ht="15.75" thickBot="1" x14ac:dyDescent="0.3">
      <c r="A130" s="1" t="s">
        <v>290</v>
      </c>
      <c r="C130" s="1"/>
      <c r="D130" s="1"/>
      <c r="E130" s="1"/>
    </row>
    <row r="131" spans="1:7" ht="15.75" thickBot="1" x14ac:dyDescent="0.3">
      <c r="A131" s="237" t="s">
        <v>252</v>
      </c>
      <c r="B131" s="238" t="s">
        <v>249</v>
      </c>
      <c r="C131" s="238" t="s">
        <v>293</v>
      </c>
      <c r="D131" s="1"/>
      <c r="E131" s="1"/>
    </row>
    <row r="132" spans="1:7" x14ac:dyDescent="0.25">
      <c r="A132" s="235" t="s">
        <v>274</v>
      </c>
      <c r="B132" s="174">
        <v>0.9</v>
      </c>
      <c r="C132" s="247">
        <f>B132/(B132+B133)</f>
        <v>0.6</v>
      </c>
      <c r="D132" s="1"/>
      <c r="E132" s="1"/>
    </row>
    <row r="133" spans="1:7" ht="30" x14ac:dyDescent="0.25">
      <c r="A133" s="239" t="s">
        <v>275</v>
      </c>
      <c r="B133" s="10">
        <v>0.6</v>
      </c>
      <c r="C133" s="248">
        <f>B133/(B132+B133)</f>
        <v>0.39999999999999997</v>
      </c>
      <c r="D133" s="1"/>
      <c r="E133" s="1"/>
    </row>
    <row r="134" spans="1:7" ht="30.75" thickBot="1" x14ac:dyDescent="0.3">
      <c r="A134" s="236" t="s">
        <v>276</v>
      </c>
      <c r="B134" s="124">
        <f xml:space="preserve"> MAX(B98:D107)</f>
        <v>15.75</v>
      </c>
      <c r="C134" s="124"/>
      <c r="D134" s="1"/>
      <c r="E134" s="1"/>
    </row>
    <row r="135" spans="1:7" x14ac:dyDescent="0.25">
      <c r="A135" s="1"/>
      <c r="B135" s="1"/>
      <c r="C135" s="1"/>
      <c r="D135" s="1"/>
      <c r="E135" s="1"/>
    </row>
    <row r="137" spans="1:7" x14ac:dyDescent="0.25">
      <c r="A137" s="208" t="s">
        <v>230</v>
      </c>
    </row>
    <row r="138" spans="1:7" x14ac:dyDescent="0.25">
      <c r="A138" s="203" t="s">
        <v>84</v>
      </c>
      <c r="B138" s="205">
        <f>1-ABS(B111-B111)</f>
        <v>1</v>
      </c>
      <c r="C138" s="205">
        <f>1-ABS(B111-C111)</f>
        <v>0.89047619047619053</v>
      </c>
      <c r="D138" s="205">
        <f>1-ABS(B111-D111)</f>
        <v>0.8396825396825397</v>
      </c>
      <c r="E138" s="320"/>
      <c r="F138" s="320"/>
      <c r="G138" s="320"/>
    </row>
    <row r="139" spans="1:7" x14ac:dyDescent="0.25">
      <c r="B139" s="205">
        <f>1-ABS(C111-B111)</f>
        <v>0.89047619047619053</v>
      </c>
      <c r="C139" s="205">
        <f>1-ABS(C111-C111)</f>
        <v>1</v>
      </c>
      <c r="D139" s="205">
        <f>1-ABS(D111-C111)</f>
        <v>0.94920634920634916</v>
      </c>
      <c r="E139" s="320"/>
      <c r="F139" s="320"/>
      <c r="G139" s="320"/>
    </row>
    <row r="140" spans="1:7" x14ac:dyDescent="0.25">
      <c r="B140" s="205">
        <f>1-ABS(D111-B111)</f>
        <v>0.8396825396825397</v>
      </c>
      <c r="C140" s="205">
        <f>1-ABS(D111-C111)</f>
        <v>0.94920634920634916</v>
      </c>
      <c r="D140" s="205">
        <f>1-ABS(D111-D111)</f>
        <v>1</v>
      </c>
      <c r="E140" s="320"/>
      <c r="F140" s="320"/>
      <c r="G140" s="320"/>
    </row>
    <row r="141" spans="1:7" x14ac:dyDescent="0.25">
      <c r="E141" s="320"/>
      <c r="F141" s="320"/>
      <c r="G141" s="320"/>
    </row>
    <row r="142" spans="1:7" x14ac:dyDescent="0.25">
      <c r="A142" s="203" t="s">
        <v>73</v>
      </c>
      <c r="B142" s="205">
        <f>1-ABS(B112-B112)</f>
        <v>1</v>
      </c>
      <c r="C142" s="205">
        <f>1-ABS(B112-C112)</f>
        <v>0.89523809523809517</v>
      </c>
      <c r="D142" s="205">
        <f>1-ABS(B112-D112)</f>
        <v>0.94761904761904758</v>
      </c>
      <c r="E142" s="320"/>
      <c r="F142" s="320"/>
      <c r="G142" s="320"/>
    </row>
    <row r="143" spans="1:7" x14ac:dyDescent="0.25">
      <c r="B143" s="205">
        <f>1-ABS(C112-B112)</f>
        <v>0.89523809523809517</v>
      </c>
      <c r="C143" s="205">
        <f>1-ABS(C112-C112)</f>
        <v>1</v>
      </c>
      <c r="D143" s="205">
        <f>1-ABS(D112-C112)</f>
        <v>0.84285714285714286</v>
      </c>
      <c r="E143" s="320"/>
      <c r="F143" s="320"/>
      <c r="G143" s="320"/>
    </row>
    <row r="144" spans="1:7" x14ac:dyDescent="0.25">
      <c r="B144" s="205">
        <f>1-ABS(D112-B112)</f>
        <v>0.94761904761904758</v>
      </c>
      <c r="C144" s="205">
        <f>1-ABS(D112-C112)</f>
        <v>0.84285714285714286</v>
      </c>
      <c r="D144" s="205">
        <f>1-ABS(D112-D112)</f>
        <v>1</v>
      </c>
      <c r="E144" s="320"/>
      <c r="F144" s="320"/>
      <c r="G144" s="320"/>
    </row>
    <row r="145" spans="1:7" x14ac:dyDescent="0.25">
      <c r="E145" s="320"/>
      <c r="F145" s="320"/>
      <c r="G145" s="320"/>
    </row>
    <row r="146" spans="1:7" x14ac:dyDescent="0.25">
      <c r="A146" s="203" t="s">
        <v>74</v>
      </c>
      <c r="B146" s="205">
        <f>1-ABS(B113-B113)</f>
        <v>1</v>
      </c>
      <c r="C146" s="205">
        <f>1-ABS(B113-C113)</f>
        <v>0.62857142857142856</v>
      </c>
      <c r="D146" s="205">
        <f>1-ABS(B113-D113)</f>
        <v>0.892063492063492</v>
      </c>
      <c r="E146" s="320"/>
      <c r="F146" s="320"/>
      <c r="G146" s="320"/>
    </row>
    <row r="147" spans="1:7" x14ac:dyDescent="0.25">
      <c r="B147" s="205">
        <f>1-ABS(C113-B113)</f>
        <v>0.62857142857142856</v>
      </c>
      <c r="C147" s="205">
        <f>1-ABS(C113-C113)</f>
        <v>1</v>
      </c>
      <c r="D147" s="205">
        <f>1-ABS(D113-C113)</f>
        <v>0.73650793650793656</v>
      </c>
      <c r="E147" s="320"/>
      <c r="F147" s="320"/>
      <c r="G147" s="320"/>
    </row>
    <row r="148" spans="1:7" x14ac:dyDescent="0.25">
      <c r="B148" s="205">
        <f>1-ABS(D113-B113)</f>
        <v>0.892063492063492</v>
      </c>
      <c r="C148" s="205">
        <f>1-ABS(D113-C113)</f>
        <v>0.73650793650793656</v>
      </c>
      <c r="D148" s="205">
        <f>1-ABS(D113-D113)</f>
        <v>1</v>
      </c>
      <c r="E148" s="320"/>
      <c r="F148" s="320"/>
      <c r="G148" s="320"/>
    </row>
    <row r="149" spans="1:7" x14ac:dyDescent="0.25">
      <c r="E149" s="320"/>
      <c r="F149" s="320"/>
      <c r="G149" s="320"/>
    </row>
    <row r="150" spans="1:7" x14ac:dyDescent="0.25">
      <c r="A150" s="203" t="s">
        <v>75</v>
      </c>
      <c r="B150" s="205">
        <f>1-ABS(B114-B114)</f>
        <v>1</v>
      </c>
      <c r="C150" s="205">
        <f>1-ABS(B114-C114)</f>
        <v>0.89523809523809539</v>
      </c>
      <c r="D150" s="205">
        <f>1-ABS(B114-D114)</f>
        <v>0.73492063492063486</v>
      </c>
      <c r="E150" s="320"/>
      <c r="F150" s="320"/>
      <c r="G150" s="320"/>
    </row>
    <row r="151" spans="1:7" x14ac:dyDescent="0.25">
      <c r="B151" s="205">
        <f>1-ABS(C114-B114)</f>
        <v>0.89523809523809539</v>
      </c>
      <c r="C151" s="205">
        <f>1-ABS(C114-C114)</f>
        <v>1</v>
      </c>
      <c r="D151" s="205">
        <f>1-ABS(D114-C114)</f>
        <v>0.63015873015873025</v>
      </c>
      <c r="E151" s="320"/>
      <c r="F151" s="320"/>
      <c r="G151" s="320"/>
    </row>
    <row r="152" spans="1:7" x14ac:dyDescent="0.25">
      <c r="B152" s="205">
        <f>1-ABS(D114-B114)</f>
        <v>0.73492063492063486</v>
      </c>
      <c r="C152" s="205">
        <f>1-ABS(D114-C114)</f>
        <v>0.63015873015873025</v>
      </c>
      <c r="D152" s="205">
        <f>1-ABS(D114-D114)</f>
        <v>1</v>
      </c>
      <c r="E152" s="320"/>
      <c r="F152" s="320"/>
      <c r="G152" s="320"/>
    </row>
    <row r="153" spans="1:7" x14ac:dyDescent="0.25">
      <c r="E153" s="320"/>
      <c r="F153" s="320"/>
      <c r="G153" s="320"/>
    </row>
    <row r="154" spans="1:7" x14ac:dyDescent="0.25">
      <c r="A154" s="203" t="s">
        <v>77</v>
      </c>
      <c r="B154" s="205">
        <f>1-ABS(B115-B115)</f>
        <v>1</v>
      </c>
      <c r="C154" s="205">
        <f>1-ABS(B115-C115)</f>
        <v>0.68253968253968256</v>
      </c>
      <c r="D154" s="205">
        <f>1-ABS(B115-D115)</f>
        <v>0.89682539682539686</v>
      </c>
      <c r="E154" s="320"/>
      <c r="F154" s="320"/>
      <c r="G154" s="320"/>
    </row>
    <row r="155" spans="1:7" x14ac:dyDescent="0.25">
      <c r="B155" s="205">
        <f>1-ABS(C115-B115)</f>
        <v>0.68253968253968256</v>
      </c>
      <c r="C155" s="205">
        <f>1-ABS(C115-C115)</f>
        <v>1</v>
      </c>
      <c r="D155" s="205">
        <f>1-ABS(D115-C115)</f>
        <v>0.57936507936507942</v>
      </c>
      <c r="E155" s="320"/>
      <c r="F155" s="320"/>
      <c r="G155" s="320"/>
    </row>
    <row r="156" spans="1:7" x14ac:dyDescent="0.25">
      <c r="B156" s="205">
        <f>1-ABS(D115-B115)</f>
        <v>0.89682539682539686</v>
      </c>
      <c r="C156" s="205">
        <f>1-ABS(D115-C115)</f>
        <v>0.57936507936507942</v>
      </c>
      <c r="D156" s="205">
        <f>1-ABS(D115-D115)</f>
        <v>1</v>
      </c>
      <c r="E156" s="320"/>
      <c r="F156" s="320"/>
      <c r="G156" s="320"/>
    </row>
    <row r="157" spans="1:7" x14ac:dyDescent="0.25">
      <c r="E157" s="320"/>
      <c r="F157" s="320"/>
      <c r="G157" s="320"/>
    </row>
    <row r="158" spans="1:7" x14ac:dyDescent="0.25">
      <c r="A158" s="203" t="s">
        <v>78</v>
      </c>
      <c r="B158" s="205">
        <f>1-ABS(B116-B116)</f>
        <v>1</v>
      </c>
      <c r="C158" s="205">
        <f>1-ABS(B116-C116)</f>
        <v>0.79047619047619055</v>
      </c>
      <c r="D158" s="205">
        <f>1-ABS(B116-D116)</f>
        <v>0.73333333333333328</v>
      </c>
      <c r="E158" s="320"/>
      <c r="F158" s="320"/>
      <c r="G158" s="320"/>
    </row>
    <row r="159" spans="1:7" x14ac:dyDescent="0.25">
      <c r="B159" s="205">
        <f>1-ABS(C116-B116)</f>
        <v>0.79047619047619055</v>
      </c>
      <c r="C159" s="205">
        <f>1-ABS(C116-C116)</f>
        <v>1</v>
      </c>
      <c r="D159" s="205">
        <f>1-ABS(D116-C116)</f>
        <v>0.52380952380952384</v>
      </c>
      <c r="E159" s="320"/>
      <c r="F159" s="320"/>
      <c r="G159" s="320"/>
    </row>
    <row r="160" spans="1:7" x14ac:dyDescent="0.25">
      <c r="B160" s="205">
        <f>1-ABS(D116-B116)</f>
        <v>0.73333333333333328</v>
      </c>
      <c r="C160" s="205">
        <f>1-ABS(D116-C116)</f>
        <v>0.52380952380952384</v>
      </c>
      <c r="D160" s="205">
        <f>1-ABS(D116-D116)</f>
        <v>1</v>
      </c>
      <c r="E160" s="320"/>
      <c r="F160" s="320"/>
      <c r="G160" s="320"/>
    </row>
    <row r="161" spans="1:7" x14ac:dyDescent="0.25">
      <c r="E161" s="320"/>
      <c r="F161" s="320"/>
      <c r="G161" s="320"/>
    </row>
    <row r="162" spans="1:7" x14ac:dyDescent="0.25">
      <c r="A162" s="203" t="s">
        <v>79</v>
      </c>
      <c r="B162" s="205">
        <f>1-ABS(B117-B117)</f>
        <v>1</v>
      </c>
      <c r="C162" s="205">
        <f>1-ABS(B117-C117)</f>
        <v>0.79047619047619055</v>
      </c>
      <c r="D162" s="205">
        <f>1-ABS(B117-D117)</f>
        <v>0.8396825396825397</v>
      </c>
      <c r="E162" s="320"/>
      <c r="F162" s="320"/>
      <c r="G162" s="320"/>
    </row>
    <row r="163" spans="1:7" x14ac:dyDescent="0.25">
      <c r="B163" s="205">
        <f>1-ABS(C117-B117)</f>
        <v>0.79047619047619055</v>
      </c>
      <c r="C163" s="205">
        <f>1-ABS(C117-C117)</f>
        <v>1</v>
      </c>
      <c r="D163" s="205">
        <f>1-ABS(D117-C117)</f>
        <v>0.63015873015873025</v>
      </c>
      <c r="E163" s="320"/>
      <c r="F163" s="320"/>
      <c r="G163" s="320"/>
    </row>
    <row r="164" spans="1:7" x14ac:dyDescent="0.25">
      <c r="B164" s="205">
        <f>1-ABS(D117-B117)</f>
        <v>0.8396825396825397</v>
      </c>
      <c r="C164" s="205">
        <f>1-ABS(D117-C117)</f>
        <v>0.63015873015873025</v>
      </c>
      <c r="D164" s="205">
        <f>1-ABS(D117-D117)</f>
        <v>1</v>
      </c>
      <c r="E164" s="320"/>
      <c r="F164" s="320"/>
      <c r="G164" s="320"/>
    </row>
    <row r="165" spans="1:7" x14ac:dyDescent="0.25">
      <c r="E165" s="320"/>
      <c r="F165" s="320"/>
      <c r="G165" s="320"/>
    </row>
    <row r="166" spans="1:7" x14ac:dyDescent="0.25">
      <c r="A166" s="203" t="s">
        <v>80</v>
      </c>
      <c r="B166" s="205">
        <f>1-ABS(B118-B118)</f>
        <v>1</v>
      </c>
      <c r="C166" s="205">
        <f>1-ABS(B118-C118)</f>
        <v>0.99841269841269853</v>
      </c>
      <c r="D166" s="205">
        <f>1-ABS(B118-D118)</f>
        <v>0.89523809523809528</v>
      </c>
      <c r="E166" s="320"/>
      <c r="F166" s="320"/>
      <c r="G166" s="320"/>
    </row>
    <row r="167" spans="1:7" x14ac:dyDescent="0.25">
      <c r="B167" s="205">
        <f>1-ABS(C118-B118)</f>
        <v>0.99841269841269853</v>
      </c>
      <c r="C167" s="205">
        <f>1-ABS(C118-C118)</f>
        <v>1</v>
      </c>
      <c r="D167" s="205">
        <f>1-ABS(D118-C118)</f>
        <v>0.89682539682539675</v>
      </c>
      <c r="E167" s="320"/>
      <c r="F167" s="320"/>
      <c r="G167" s="320"/>
    </row>
    <row r="168" spans="1:7" x14ac:dyDescent="0.25">
      <c r="B168" s="205">
        <f>1-ABS(D118-B118)</f>
        <v>0.89523809523809528</v>
      </c>
      <c r="C168" s="205">
        <f>1-ABS(D118-C118)</f>
        <v>0.89682539682539675</v>
      </c>
      <c r="D168" s="205">
        <f>1-ABS(D118-D118)</f>
        <v>1</v>
      </c>
      <c r="E168" s="320"/>
      <c r="F168" s="320"/>
      <c r="G168" s="320"/>
    </row>
    <row r="169" spans="1:7" x14ac:dyDescent="0.25">
      <c r="E169" s="320"/>
      <c r="F169" s="320"/>
      <c r="G169" s="320"/>
    </row>
    <row r="170" spans="1:7" x14ac:dyDescent="0.25">
      <c r="A170" s="203" t="s">
        <v>82</v>
      </c>
      <c r="B170" s="205">
        <f>1-ABS(B119-B119)</f>
        <v>1</v>
      </c>
      <c r="C170" s="205">
        <f>1-ABS(B119-C119)</f>
        <v>0.8396825396825397</v>
      </c>
      <c r="D170" s="205">
        <f>1-ABS(B119-D119)</f>
        <v>0.89682539682539686</v>
      </c>
      <c r="E170" s="320"/>
      <c r="F170" s="320"/>
      <c r="G170" s="320"/>
    </row>
    <row r="171" spans="1:7" x14ac:dyDescent="0.25">
      <c r="B171" s="205">
        <f>1-ABS(C119-B119)</f>
        <v>0.8396825396825397</v>
      </c>
      <c r="C171" s="205">
        <f>1-ABS(C119-C119)</f>
        <v>1</v>
      </c>
      <c r="D171" s="205">
        <f>1-ABS(D119-C119)</f>
        <v>0.73650793650793656</v>
      </c>
      <c r="E171" s="320"/>
      <c r="F171" s="320"/>
      <c r="G171" s="320"/>
    </row>
    <row r="172" spans="1:7" x14ac:dyDescent="0.25">
      <c r="B172" s="205">
        <f>1-ABS(D119-B119)</f>
        <v>0.89682539682539686</v>
      </c>
      <c r="C172" s="205">
        <f>1-ABS(D119-C119)</f>
        <v>0.73650793650793656</v>
      </c>
      <c r="D172" s="205">
        <f>1-ABS(D119-D119)</f>
        <v>1</v>
      </c>
      <c r="E172" s="320"/>
      <c r="F172" s="320"/>
      <c r="G172" s="320"/>
    </row>
    <row r="173" spans="1:7" x14ac:dyDescent="0.25">
      <c r="E173" s="320"/>
      <c r="F173" s="320"/>
      <c r="G173" s="320"/>
    </row>
    <row r="174" spans="1:7" x14ac:dyDescent="0.25">
      <c r="A174" s="203" t="s">
        <v>83</v>
      </c>
      <c r="B174" s="205">
        <f>1-ABS(B120-B120)</f>
        <v>1</v>
      </c>
      <c r="C174" s="205">
        <f>1-ABS(B120-C120)</f>
        <v>0.68253968253968256</v>
      </c>
      <c r="D174" s="205">
        <f>1-ABS(B120-D120)</f>
        <v>0.84126984126984128</v>
      </c>
      <c r="E174" s="320"/>
      <c r="F174" s="320"/>
      <c r="G174" s="320"/>
    </row>
    <row r="175" spans="1:7" x14ac:dyDescent="0.25">
      <c r="B175" s="205">
        <f>1-ABS(C120-B120)</f>
        <v>0.68253968253968256</v>
      </c>
      <c r="C175" s="205">
        <f>1-ABS(C120-C120)</f>
        <v>1</v>
      </c>
      <c r="D175" s="205">
        <f>1-ABS(D120-C120)</f>
        <v>0.84126984126984128</v>
      </c>
      <c r="E175" s="320"/>
      <c r="F175" s="320"/>
      <c r="G175" s="320"/>
    </row>
    <row r="176" spans="1:7" x14ac:dyDescent="0.25">
      <c r="B176" s="205">
        <f>1-ABS(D120-B120)</f>
        <v>0.84126984126984128</v>
      </c>
      <c r="C176" s="205">
        <f>1-ABS(D120-C120)</f>
        <v>0.84126984126984128</v>
      </c>
      <c r="D176" s="205">
        <f>1-ABS(D120-D120)</f>
        <v>1</v>
      </c>
      <c r="E176" s="320"/>
      <c r="F176" s="320"/>
      <c r="G176" s="320"/>
    </row>
    <row r="178" spans="1:7" x14ac:dyDescent="0.25">
      <c r="A178" s="1" t="s">
        <v>241</v>
      </c>
    </row>
    <row r="179" spans="1:7" x14ac:dyDescent="0.25">
      <c r="A179" s="151" t="s">
        <v>182</v>
      </c>
      <c r="B179" s="3" t="s">
        <v>176</v>
      </c>
      <c r="C179" s="3" t="s">
        <v>177</v>
      </c>
      <c r="D179" s="3" t="s">
        <v>207</v>
      </c>
    </row>
    <row r="180" spans="1:7" x14ac:dyDescent="0.25">
      <c r="A180" s="102" t="s">
        <v>84</v>
      </c>
      <c r="B180" s="204">
        <f>(C138+D138)/2</f>
        <v>0.86507936507936511</v>
      </c>
      <c r="C180" s="204">
        <f>(B139+D139)/2</f>
        <v>0.9198412698412699</v>
      </c>
      <c r="D180" s="204">
        <f>(B140+C140)/2</f>
        <v>0.89444444444444438</v>
      </c>
      <c r="E180" s="209"/>
      <c r="F180" s="209"/>
      <c r="G180" s="209"/>
    </row>
    <row r="181" spans="1:7" x14ac:dyDescent="0.25">
      <c r="A181" s="102" t="s">
        <v>73</v>
      </c>
      <c r="B181" s="204">
        <f>(C142+D142)/2</f>
        <v>0.92142857142857137</v>
      </c>
      <c r="C181" s="204">
        <f>(B143+D143)/2</f>
        <v>0.86904761904761907</v>
      </c>
      <c r="D181" s="204">
        <f>(B144+C144)/2</f>
        <v>0.89523809523809517</v>
      </c>
      <c r="E181" s="209"/>
      <c r="F181" s="209"/>
      <c r="G181" s="209"/>
    </row>
    <row r="182" spans="1:7" x14ac:dyDescent="0.25">
      <c r="A182" s="102" t="s">
        <v>74</v>
      </c>
      <c r="B182" s="204">
        <f>(C146+D146)/2</f>
        <v>0.76031746031746028</v>
      </c>
      <c r="C182" s="204">
        <f>(B147+D147)/2</f>
        <v>0.68253968253968256</v>
      </c>
      <c r="D182" s="204">
        <f>(B148+C148)/2</f>
        <v>0.81428571428571428</v>
      </c>
      <c r="E182" s="209"/>
      <c r="F182" s="209"/>
      <c r="G182" s="209"/>
    </row>
    <row r="183" spans="1:7" x14ac:dyDescent="0.25">
      <c r="A183" s="102" t="s">
        <v>75</v>
      </c>
      <c r="B183" s="204">
        <f>(C150+D150)/2</f>
        <v>0.81507936507936507</v>
      </c>
      <c r="C183" s="204">
        <f>(B151+D151)/2</f>
        <v>0.76269841269841288</v>
      </c>
      <c r="D183" s="204">
        <f>(B152+C152)/2</f>
        <v>0.68253968253968256</v>
      </c>
      <c r="E183" s="209"/>
      <c r="F183" s="209"/>
      <c r="G183" s="209"/>
    </row>
    <row r="184" spans="1:7" x14ac:dyDescent="0.25">
      <c r="A184" s="102" t="s">
        <v>77</v>
      </c>
      <c r="B184" s="204">
        <f>(C154+D154)/2</f>
        <v>0.78968253968253976</v>
      </c>
      <c r="C184" s="204">
        <f>(B155+D155)/2</f>
        <v>0.63095238095238093</v>
      </c>
      <c r="D184" s="204">
        <f>(B156+C156)/2</f>
        <v>0.73809523809523814</v>
      </c>
      <c r="E184" s="209"/>
      <c r="F184" s="209"/>
      <c r="G184" s="209"/>
    </row>
    <row r="185" spans="1:7" x14ac:dyDescent="0.25">
      <c r="A185" s="102" t="s">
        <v>78</v>
      </c>
      <c r="B185" s="204">
        <f>(C158+D158)/2</f>
        <v>0.76190476190476186</v>
      </c>
      <c r="C185" s="204">
        <f>(B159+D159)/2</f>
        <v>0.65714285714285725</v>
      </c>
      <c r="D185" s="204">
        <f>(B160+C160)/2</f>
        <v>0.62857142857142856</v>
      </c>
      <c r="E185" s="209"/>
      <c r="F185" s="209"/>
      <c r="G185" s="209"/>
    </row>
    <row r="186" spans="1:7" x14ac:dyDescent="0.25">
      <c r="A186" s="102" t="s">
        <v>79</v>
      </c>
      <c r="B186" s="204">
        <f>(C162+D162)/2</f>
        <v>0.81507936507936507</v>
      </c>
      <c r="C186" s="204">
        <f>(B163+D163)/2</f>
        <v>0.71031746031746046</v>
      </c>
      <c r="D186" s="204">
        <f>(B164+C164)/2</f>
        <v>0.73492063492063497</v>
      </c>
      <c r="E186" s="209"/>
      <c r="F186" s="209"/>
      <c r="G186" s="209"/>
    </row>
    <row r="187" spans="1:7" x14ac:dyDescent="0.25">
      <c r="A187" s="102" t="s">
        <v>80</v>
      </c>
      <c r="B187" s="204">
        <f>(C166+D166)/2</f>
        <v>0.9468253968253969</v>
      </c>
      <c r="C187" s="204">
        <f>(B167+D167)/2</f>
        <v>0.94761904761904758</v>
      </c>
      <c r="D187" s="204">
        <f>(B168+C168)/2</f>
        <v>0.89603174603174596</v>
      </c>
      <c r="E187" s="209"/>
      <c r="F187" s="209"/>
      <c r="G187" s="209"/>
    </row>
    <row r="188" spans="1:7" x14ac:dyDescent="0.25">
      <c r="A188" s="102" t="s">
        <v>82</v>
      </c>
      <c r="B188" s="204">
        <f>(C170+D170)/2</f>
        <v>0.86825396825396828</v>
      </c>
      <c r="C188" s="204">
        <f>(B171+D171)/2</f>
        <v>0.78809523809523818</v>
      </c>
      <c r="D188" s="204">
        <f>(B172+C172)/2</f>
        <v>0.81666666666666665</v>
      </c>
      <c r="E188" s="209"/>
      <c r="F188" s="209"/>
      <c r="G188" s="209"/>
    </row>
    <row r="189" spans="1:7" x14ac:dyDescent="0.25">
      <c r="A189" s="102" t="s">
        <v>83</v>
      </c>
      <c r="B189" s="204">
        <f>(C174+D174)/2</f>
        <v>0.76190476190476186</v>
      </c>
      <c r="C189" s="204">
        <f>(B175+D175)/2</f>
        <v>0.76190476190476186</v>
      </c>
      <c r="D189" s="204">
        <f>(B176+C176)/2</f>
        <v>0.84126984126984128</v>
      </c>
      <c r="E189" s="209"/>
      <c r="F189" s="209"/>
      <c r="G189" s="209"/>
    </row>
    <row r="191" spans="1:7" x14ac:dyDescent="0.25">
      <c r="A191" s="1" t="s">
        <v>291</v>
      </c>
    </row>
    <row r="192" spans="1:7" x14ac:dyDescent="0.25">
      <c r="A192" s="151" t="s">
        <v>182</v>
      </c>
      <c r="B192" s="3" t="s">
        <v>176</v>
      </c>
      <c r="C192" s="3" t="s">
        <v>177</v>
      </c>
      <c r="D192" s="3" t="s">
        <v>207</v>
      </c>
      <c r="E192" s="207" t="s">
        <v>234</v>
      </c>
    </row>
    <row r="193" spans="1:8" x14ac:dyDescent="0.25">
      <c r="A193" s="102" t="s">
        <v>84</v>
      </c>
      <c r="B193" s="204">
        <f>B180/SUM($B180:$D180)</f>
        <v>0.32286729857819901</v>
      </c>
      <c r="C193" s="204">
        <f>C180/SUM($B180:$D180)</f>
        <v>0.34330568720379145</v>
      </c>
      <c r="D193" s="204">
        <f t="shared" ref="D193" si="17">D180/SUM($B180:$D180)</f>
        <v>0.33382701421800942</v>
      </c>
      <c r="E193" s="206">
        <f>SUM(B193:D193)</f>
        <v>0.99999999999999989</v>
      </c>
      <c r="F193" s="209"/>
      <c r="G193" s="209"/>
      <c r="H193" s="209"/>
    </row>
    <row r="194" spans="1:8" x14ac:dyDescent="0.25">
      <c r="A194" s="102" t="s">
        <v>73</v>
      </c>
      <c r="B194" s="204">
        <f t="shared" ref="B194:D202" si="18">B181/SUM($B181:$D181)</f>
        <v>0.34308510638297873</v>
      </c>
      <c r="C194" s="204">
        <f t="shared" si="18"/>
        <v>0.32358156028368795</v>
      </c>
      <c r="D194" s="204">
        <f t="shared" si="18"/>
        <v>0.33333333333333331</v>
      </c>
      <c r="E194" s="206">
        <f t="shared" ref="E194:E202" si="19">SUM(B194:D194)</f>
        <v>1</v>
      </c>
      <c r="F194" s="209"/>
      <c r="G194" s="209"/>
      <c r="H194" s="209"/>
    </row>
    <row r="195" spans="1:8" x14ac:dyDescent="0.25">
      <c r="A195" s="102" t="s">
        <v>74</v>
      </c>
      <c r="B195" s="204">
        <f t="shared" si="18"/>
        <v>0.3368495077355837</v>
      </c>
      <c r="C195" s="204">
        <f t="shared" si="18"/>
        <v>0.30239099859353025</v>
      </c>
      <c r="D195" s="204">
        <f t="shared" si="18"/>
        <v>0.36075949367088606</v>
      </c>
      <c r="E195" s="206">
        <f t="shared" si="19"/>
        <v>1</v>
      </c>
      <c r="F195" s="209"/>
      <c r="G195" s="209"/>
      <c r="H195" s="209"/>
    </row>
    <row r="196" spans="1:8" x14ac:dyDescent="0.25">
      <c r="A196" s="102" t="s">
        <v>75</v>
      </c>
      <c r="B196" s="204">
        <f t="shared" si="18"/>
        <v>0.36060393258426965</v>
      </c>
      <c r="C196" s="204">
        <f t="shared" si="18"/>
        <v>0.33742977528089896</v>
      </c>
      <c r="D196" s="204">
        <f t="shared" si="18"/>
        <v>0.30196629213483145</v>
      </c>
      <c r="E196" s="206">
        <f t="shared" si="19"/>
        <v>1</v>
      </c>
      <c r="F196" s="209"/>
      <c r="G196" s="209"/>
      <c r="H196" s="209"/>
    </row>
    <row r="197" spans="1:8" x14ac:dyDescent="0.25">
      <c r="A197" s="102" t="s">
        <v>77</v>
      </c>
      <c r="B197" s="204">
        <f t="shared" si="18"/>
        <v>0.36580882352941174</v>
      </c>
      <c r="C197" s="204">
        <f t="shared" si="18"/>
        <v>0.29227941176470584</v>
      </c>
      <c r="D197" s="204">
        <f t="shared" si="18"/>
        <v>0.3419117647058823</v>
      </c>
      <c r="E197" s="206">
        <f t="shared" si="19"/>
        <v>0.99999999999999978</v>
      </c>
      <c r="F197" s="209"/>
      <c r="G197" s="209"/>
      <c r="H197" s="209"/>
    </row>
    <row r="198" spans="1:8" x14ac:dyDescent="0.25">
      <c r="A198" s="102" t="s">
        <v>78</v>
      </c>
      <c r="B198" s="204">
        <f t="shared" si="18"/>
        <v>0.37209302325581395</v>
      </c>
      <c r="C198" s="204">
        <f t="shared" si="18"/>
        <v>0.32093023255813963</v>
      </c>
      <c r="D198" s="204">
        <f t="shared" si="18"/>
        <v>0.30697674418604654</v>
      </c>
      <c r="E198" s="206">
        <f t="shared" si="19"/>
        <v>1</v>
      </c>
      <c r="F198" s="209"/>
      <c r="G198" s="209"/>
      <c r="H198" s="209"/>
    </row>
    <row r="199" spans="1:8" x14ac:dyDescent="0.25">
      <c r="A199" s="102" t="s">
        <v>79</v>
      </c>
      <c r="B199" s="204">
        <f t="shared" si="18"/>
        <v>0.36060393258426965</v>
      </c>
      <c r="C199" s="204">
        <f t="shared" si="18"/>
        <v>0.31425561797752816</v>
      </c>
      <c r="D199" s="204">
        <f t="shared" si="18"/>
        <v>0.32514044943820225</v>
      </c>
      <c r="E199" s="206">
        <f t="shared" si="19"/>
        <v>1</v>
      </c>
      <c r="F199" s="209"/>
      <c r="G199" s="209"/>
      <c r="H199" s="209"/>
    </row>
    <row r="200" spans="1:8" x14ac:dyDescent="0.25">
      <c r="A200" s="102" t="s">
        <v>80</v>
      </c>
      <c r="B200" s="204">
        <f t="shared" si="18"/>
        <v>0.33930602957906719</v>
      </c>
      <c r="C200" s="204">
        <f t="shared" si="18"/>
        <v>0.33959044368600683</v>
      </c>
      <c r="D200" s="204">
        <f t="shared" si="18"/>
        <v>0.32110352673492604</v>
      </c>
      <c r="E200" s="206">
        <f t="shared" si="19"/>
        <v>1</v>
      </c>
      <c r="F200" s="209"/>
      <c r="G200" s="209"/>
      <c r="H200" s="209"/>
    </row>
    <row r="201" spans="1:8" x14ac:dyDescent="0.25">
      <c r="A201" s="102" t="s">
        <v>82</v>
      </c>
      <c r="B201" s="204">
        <f t="shared" si="18"/>
        <v>0.35109114249037227</v>
      </c>
      <c r="C201" s="204">
        <f t="shared" si="18"/>
        <v>0.31867779204107832</v>
      </c>
      <c r="D201" s="204">
        <f t="shared" si="18"/>
        <v>0.33023106546854941</v>
      </c>
      <c r="E201" s="206">
        <f t="shared" si="19"/>
        <v>1</v>
      </c>
      <c r="F201" s="209"/>
      <c r="G201" s="209"/>
      <c r="H201" s="209"/>
    </row>
    <row r="202" spans="1:8" x14ac:dyDescent="0.25">
      <c r="A202" s="102" t="s">
        <v>83</v>
      </c>
      <c r="B202" s="204">
        <f t="shared" si="18"/>
        <v>0.32214765100671139</v>
      </c>
      <c r="C202" s="204">
        <f t="shared" si="18"/>
        <v>0.32214765100671139</v>
      </c>
      <c r="D202" s="204">
        <f t="shared" si="18"/>
        <v>0.35570469798657717</v>
      </c>
      <c r="E202" s="206">
        <f t="shared" si="19"/>
        <v>1</v>
      </c>
      <c r="F202" s="209"/>
      <c r="G202" s="209"/>
      <c r="H202" s="209"/>
    </row>
    <row r="204" spans="1:8" x14ac:dyDescent="0.25">
      <c r="A204" s="1" t="s">
        <v>292</v>
      </c>
    </row>
    <row r="205" spans="1:8" x14ac:dyDescent="0.25">
      <c r="A205" s="151" t="s">
        <v>182</v>
      </c>
      <c r="B205" s="3" t="s">
        <v>176</v>
      </c>
      <c r="C205" s="3" t="s">
        <v>177</v>
      </c>
      <c r="D205" s="3" t="s">
        <v>207</v>
      </c>
      <c r="E205" s="207" t="s">
        <v>234</v>
      </c>
    </row>
    <row r="206" spans="1:8" x14ac:dyDescent="0.25">
      <c r="A206" s="102" t="s">
        <v>84</v>
      </c>
      <c r="B206" s="246">
        <f>$C$132*C$125+$C$133*B193</f>
        <v>0.30914691943127959</v>
      </c>
      <c r="C206" s="246">
        <f>$C$132*C$126+$C$133*C193</f>
        <v>0.31732227488151654</v>
      </c>
      <c r="D206" s="246">
        <f>$C$132*C$127+$C$133*D193</f>
        <v>0.37353080568720376</v>
      </c>
      <c r="E206" s="206">
        <f>SUM(B206:D206)</f>
        <v>0.99999999999999989</v>
      </c>
      <c r="F206" s="209"/>
      <c r="G206" s="209"/>
      <c r="H206" s="209"/>
    </row>
    <row r="207" spans="1:8" x14ac:dyDescent="0.25">
      <c r="A207" s="102" t="s">
        <v>73</v>
      </c>
      <c r="B207" s="246">
        <f t="shared" ref="B207:B214" si="20">$C$132*C$125+$C$133*B194</f>
        <v>0.31723404255319149</v>
      </c>
      <c r="C207" s="246">
        <f t="shared" ref="C207:C215" si="21">$C$132*C$126+$C$133*C194</f>
        <v>0.30943262411347516</v>
      </c>
      <c r="D207" s="246">
        <f t="shared" ref="D207:D215" si="22">$C$132*C$127+$C$133*D194</f>
        <v>0.37333333333333329</v>
      </c>
      <c r="E207" s="206">
        <f t="shared" ref="E207:E215" si="23">SUM(B207:D207)</f>
        <v>1</v>
      </c>
      <c r="F207" s="209"/>
      <c r="G207" s="209"/>
      <c r="H207" s="209"/>
    </row>
    <row r="208" spans="1:8" x14ac:dyDescent="0.25">
      <c r="A208" s="102" t="s">
        <v>74</v>
      </c>
      <c r="B208" s="246">
        <f t="shared" si="20"/>
        <v>0.31473980309423344</v>
      </c>
      <c r="C208" s="246">
        <f t="shared" si="21"/>
        <v>0.30095639943741209</v>
      </c>
      <c r="D208" s="246">
        <f t="shared" si="22"/>
        <v>0.38430379746835441</v>
      </c>
      <c r="E208" s="206">
        <f t="shared" si="23"/>
        <v>0.99999999999999989</v>
      </c>
      <c r="F208" s="209"/>
      <c r="G208" s="209"/>
      <c r="H208" s="209"/>
    </row>
    <row r="209" spans="1:8" x14ac:dyDescent="0.25">
      <c r="A209" s="102" t="s">
        <v>75</v>
      </c>
      <c r="B209" s="246">
        <f t="shared" si="20"/>
        <v>0.32424157303370782</v>
      </c>
      <c r="C209" s="246">
        <f t="shared" si="21"/>
        <v>0.31497191011235959</v>
      </c>
      <c r="D209" s="246">
        <f t="shared" si="22"/>
        <v>0.36078651685393259</v>
      </c>
      <c r="E209" s="206">
        <f t="shared" si="23"/>
        <v>1</v>
      </c>
      <c r="F209" s="209"/>
      <c r="G209" s="209"/>
      <c r="H209" s="209"/>
    </row>
    <row r="210" spans="1:8" x14ac:dyDescent="0.25">
      <c r="A210" s="102" t="s">
        <v>77</v>
      </c>
      <c r="B210" s="246">
        <f t="shared" si="20"/>
        <v>0.32632352941176468</v>
      </c>
      <c r="C210" s="246">
        <f t="shared" si="21"/>
        <v>0.29691176470588232</v>
      </c>
      <c r="D210" s="246">
        <f t="shared" si="22"/>
        <v>0.37676470588235289</v>
      </c>
      <c r="E210" s="206">
        <f t="shared" si="23"/>
        <v>0.99999999999999989</v>
      </c>
      <c r="F210" s="209"/>
      <c r="G210" s="209"/>
      <c r="H210" s="209"/>
    </row>
    <row r="211" spans="1:8" x14ac:dyDescent="0.25">
      <c r="A211" s="102" t="s">
        <v>78</v>
      </c>
      <c r="B211" s="246">
        <f t="shared" si="20"/>
        <v>0.32883720930232557</v>
      </c>
      <c r="C211" s="246">
        <f t="shared" si="21"/>
        <v>0.30837209302325586</v>
      </c>
      <c r="D211" s="246">
        <f t="shared" si="22"/>
        <v>0.36279069767441863</v>
      </c>
      <c r="E211" s="206">
        <f t="shared" si="23"/>
        <v>1</v>
      </c>
      <c r="F211" s="209"/>
      <c r="G211" s="209"/>
      <c r="H211" s="209"/>
    </row>
    <row r="212" spans="1:8" x14ac:dyDescent="0.25">
      <c r="A212" s="102" t="s">
        <v>79</v>
      </c>
      <c r="B212" s="246">
        <f t="shared" si="20"/>
        <v>0.32424157303370782</v>
      </c>
      <c r="C212" s="246">
        <f t="shared" si="21"/>
        <v>0.30570224719101124</v>
      </c>
      <c r="D212" s="246">
        <f t="shared" si="22"/>
        <v>0.37005617977528088</v>
      </c>
      <c r="E212" s="206">
        <f t="shared" si="23"/>
        <v>1</v>
      </c>
      <c r="F212" s="209"/>
      <c r="G212" s="209"/>
      <c r="H212" s="209"/>
    </row>
    <row r="213" spans="1:8" x14ac:dyDescent="0.25">
      <c r="A213" s="102" t="s">
        <v>80</v>
      </c>
      <c r="B213" s="246">
        <f t="shared" si="20"/>
        <v>0.31572241183162686</v>
      </c>
      <c r="C213" s="246">
        <f t="shared" si="21"/>
        <v>0.31583617747440274</v>
      </c>
      <c r="D213" s="246">
        <f t="shared" si="22"/>
        <v>0.36844141069397041</v>
      </c>
      <c r="E213" s="206">
        <f t="shared" si="23"/>
        <v>1</v>
      </c>
      <c r="F213" s="209"/>
      <c r="G213" s="209"/>
      <c r="H213" s="209"/>
    </row>
    <row r="214" spans="1:8" x14ac:dyDescent="0.25">
      <c r="A214" s="102" t="s">
        <v>82</v>
      </c>
      <c r="B214" s="246">
        <f t="shared" si="20"/>
        <v>0.32043645699614887</v>
      </c>
      <c r="C214" s="246">
        <f t="shared" si="21"/>
        <v>0.3074711168164313</v>
      </c>
      <c r="D214" s="246">
        <f t="shared" si="22"/>
        <v>0.37209242618741978</v>
      </c>
      <c r="E214" s="206">
        <f t="shared" si="23"/>
        <v>0.99999999999999989</v>
      </c>
      <c r="F214" s="209"/>
      <c r="G214" s="209"/>
      <c r="H214" s="209"/>
    </row>
    <row r="215" spans="1:8" x14ac:dyDescent="0.25">
      <c r="A215" s="102" t="s">
        <v>83</v>
      </c>
      <c r="B215" s="246">
        <f>$C$132*C$125+$C$133*B202</f>
        <v>0.30885906040268452</v>
      </c>
      <c r="C215" s="246">
        <f t="shared" si="21"/>
        <v>0.30885906040268452</v>
      </c>
      <c r="D215" s="246">
        <f t="shared" si="22"/>
        <v>0.38228187919463086</v>
      </c>
      <c r="E215" s="206">
        <f t="shared" si="23"/>
        <v>0.99999999999999989</v>
      </c>
      <c r="F215" s="209"/>
      <c r="G215" s="209"/>
      <c r="H215" s="209"/>
    </row>
    <row r="217" spans="1:8" x14ac:dyDescent="0.25">
      <c r="A217" s="1" t="s">
        <v>243</v>
      </c>
    </row>
    <row r="218" spans="1:8" x14ac:dyDescent="0.25">
      <c r="A218" s="151" t="s">
        <v>182</v>
      </c>
      <c r="B218" s="151" t="s">
        <v>183</v>
      </c>
      <c r="C218" s="151" t="s">
        <v>184</v>
      </c>
      <c r="D218" s="151" t="s">
        <v>185</v>
      </c>
    </row>
    <row r="219" spans="1:8" x14ac:dyDescent="0.25">
      <c r="A219" s="102" t="s">
        <v>84</v>
      </c>
      <c r="B219" s="2">
        <f t="shared" ref="B219:B228" si="24">J12</f>
        <v>14.15</v>
      </c>
      <c r="C219" s="2">
        <f t="shared" ref="C219:C228" si="25">J42</f>
        <v>12.425000000000001</v>
      </c>
      <c r="D219" s="2">
        <f t="shared" ref="D219:D228" si="26">J72</f>
        <v>11.625</v>
      </c>
    </row>
    <row r="220" spans="1:8" x14ac:dyDescent="0.25">
      <c r="A220" s="102" t="s">
        <v>73</v>
      </c>
      <c r="B220" s="2">
        <f t="shared" si="24"/>
        <v>6.6000000000000005</v>
      </c>
      <c r="C220" s="2">
        <f t="shared" si="25"/>
        <v>8.25</v>
      </c>
      <c r="D220" s="2">
        <f t="shared" si="26"/>
        <v>5.7750000000000004</v>
      </c>
    </row>
    <row r="221" spans="1:8" x14ac:dyDescent="0.25">
      <c r="A221" s="102" t="s">
        <v>74</v>
      </c>
      <c r="B221" s="2">
        <f t="shared" si="24"/>
        <v>9.9</v>
      </c>
      <c r="C221" s="2">
        <f t="shared" si="25"/>
        <v>15.75</v>
      </c>
      <c r="D221" s="2">
        <f t="shared" si="26"/>
        <v>11.600000000000001</v>
      </c>
    </row>
    <row r="222" spans="1:8" x14ac:dyDescent="0.25">
      <c r="A222" s="102" t="s">
        <v>75</v>
      </c>
      <c r="B222" s="2">
        <f t="shared" si="24"/>
        <v>12.450000000000001</v>
      </c>
      <c r="C222" s="2">
        <f t="shared" si="25"/>
        <v>14.1</v>
      </c>
      <c r="D222" s="2">
        <f t="shared" si="26"/>
        <v>8.2750000000000004</v>
      </c>
    </row>
    <row r="223" spans="1:8" x14ac:dyDescent="0.25">
      <c r="A223" s="102" t="s">
        <v>77</v>
      </c>
      <c r="B223" s="2">
        <f t="shared" si="24"/>
        <v>10.75</v>
      </c>
      <c r="C223" s="2">
        <f t="shared" si="25"/>
        <v>15.75</v>
      </c>
      <c r="D223" s="2">
        <f t="shared" si="26"/>
        <v>9.125</v>
      </c>
    </row>
    <row r="224" spans="1:8" x14ac:dyDescent="0.25">
      <c r="A224" s="102" t="s">
        <v>78</v>
      </c>
      <c r="B224" s="2">
        <f t="shared" si="24"/>
        <v>10.8</v>
      </c>
      <c r="C224" s="2">
        <f t="shared" si="25"/>
        <v>14.1</v>
      </c>
      <c r="D224" s="2">
        <f t="shared" si="26"/>
        <v>6.6</v>
      </c>
    </row>
    <row r="225" spans="1:5" x14ac:dyDescent="0.25">
      <c r="A225" s="102" t="s">
        <v>79</v>
      </c>
      <c r="B225" s="2">
        <f t="shared" si="24"/>
        <v>10.8</v>
      </c>
      <c r="C225" s="2">
        <f t="shared" si="25"/>
        <v>14.1</v>
      </c>
      <c r="D225" s="2">
        <f t="shared" si="26"/>
        <v>8.2750000000000004</v>
      </c>
    </row>
    <row r="226" spans="1:5" x14ac:dyDescent="0.25">
      <c r="A226" s="102" t="s">
        <v>80</v>
      </c>
      <c r="B226" s="2">
        <f t="shared" si="24"/>
        <v>12.45</v>
      </c>
      <c r="C226" s="2">
        <f t="shared" si="25"/>
        <v>12.425000000000001</v>
      </c>
      <c r="D226" s="2">
        <f t="shared" si="26"/>
        <v>10.8</v>
      </c>
    </row>
    <row r="227" spans="1:5" x14ac:dyDescent="0.25">
      <c r="A227" s="102" t="s">
        <v>82</v>
      </c>
      <c r="B227" s="2">
        <f t="shared" si="24"/>
        <v>10.75</v>
      </c>
      <c r="C227" s="2">
        <f t="shared" si="25"/>
        <v>13.275</v>
      </c>
      <c r="D227" s="2">
        <f t="shared" si="26"/>
        <v>9.125</v>
      </c>
    </row>
    <row r="228" spans="1:5" x14ac:dyDescent="0.25">
      <c r="A228" s="102" t="s">
        <v>83</v>
      </c>
      <c r="B228" s="2">
        <f t="shared" si="24"/>
        <v>8.2750000000000004</v>
      </c>
      <c r="C228" s="2">
        <f t="shared" si="25"/>
        <v>13.275</v>
      </c>
      <c r="D228" s="2">
        <f t="shared" si="26"/>
        <v>10.775</v>
      </c>
    </row>
    <row r="230" spans="1:5" x14ac:dyDescent="0.25">
      <c r="A230" s="1" t="s">
        <v>244</v>
      </c>
    </row>
    <row r="231" spans="1:5" ht="75" x14ac:dyDescent="0.25">
      <c r="A231" s="151" t="s">
        <v>182</v>
      </c>
      <c r="B231" s="151" t="s">
        <v>238</v>
      </c>
      <c r="C231" s="151" t="s">
        <v>239</v>
      </c>
      <c r="D231" s="151" t="s">
        <v>240</v>
      </c>
      <c r="E231" s="151" t="s">
        <v>245</v>
      </c>
    </row>
    <row r="232" spans="1:5" x14ac:dyDescent="0.25">
      <c r="A232" s="102" t="s">
        <v>84</v>
      </c>
      <c r="B232" s="210">
        <f>B206*B219</f>
        <v>4.3744289099526066</v>
      </c>
      <c r="C232" s="210">
        <f t="shared" ref="C232:D232" si="27">C206*C219</f>
        <v>3.9427292654028432</v>
      </c>
      <c r="D232" s="210">
        <f t="shared" si="27"/>
        <v>4.342295616113744</v>
      </c>
      <c r="E232" s="210">
        <f>B232+C232+D232</f>
        <v>12.659453791469193</v>
      </c>
    </row>
    <row r="233" spans="1:5" x14ac:dyDescent="0.25">
      <c r="A233" s="102" t="s">
        <v>73</v>
      </c>
      <c r="B233" s="210">
        <f t="shared" ref="B233:D241" si="28">B207*B220</f>
        <v>2.093744680851064</v>
      </c>
      <c r="C233" s="210">
        <f t="shared" si="28"/>
        <v>2.55281914893617</v>
      </c>
      <c r="D233" s="210">
        <f t="shared" si="28"/>
        <v>2.1559999999999997</v>
      </c>
      <c r="E233" s="210">
        <f t="shared" ref="E233:E241" si="29">B233+C233+D233</f>
        <v>6.8025638297872337</v>
      </c>
    </row>
    <row r="234" spans="1:5" x14ac:dyDescent="0.25">
      <c r="A234" s="102" t="s">
        <v>74</v>
      </c>
      <c r="B234" s="210">
        <f t="shared" si="28"/>
        <v>3.1159240506329113</v>
      </c>
      <c r="C234" s="210">
        <f t="shared" si="28"/>
        <v>4.7400632911392409</v>
      </c>
      <c r="D234" s="210">
        <f t="shared" si="28"/>
        <v>4.4579240506329114</v>
      </c>
      <c r="E234" s="210">
        <f t="shared" si="29"/>
        <v>12.313911392405064</v>
      </c>
    </row>
    <row r="235" spans="1:5" x14ac:dyDescent="0.25">
      <c r="A235" s="102" t="s">
        <v>75</v>
      </c>
      <c r="B235" s="210">
        <f t="shared" si="28"/>
        <v>4.0368075842696625</v>
      </c>
      <c r="C235" s="210">
        <f t="shared" si="28"/>
        <v>4.4411039325842703</v>
      </c>
      <c r="D235" s="210">
        <f t="shared" si="28"/>
        <v>2.9855084269662924</v>
      </c>
      <c r="E235" s="210">
        <f t="shared" si="29"/>
        <v>11.463419943820226</v>
      </c>
    </row>
    <row r="236" spans="1:5" x14ac:dyDescent="0.25">
      <c r="A236" s="102" t="s">
        <v>77</v>
      </c>
      <c r="B236" s="210">
        <f t="shared" si="28"/>
        <v>3.5079779411764704</v>
      </c>
      <c r="C236" s="210">
        <f t="shared" si="28"/>
        <v>4.6763602941176465</v>
      </c>
      <c r="D236" s="210">
        <f t="shared" si="28"/>
        <v>3.4379779411764702</v>
      </c>
      <c r="E236" s="210">
        <f t="shared" si="29"/>
        <v>11.622316176470587</v>
      </c>
    </row>
    <row r="237" spans="1:5" x14ac:dyDescent="0.25">
      <c r="A237" s="102" t="s">
        <v>78</v>
      </c>
      <c r="B237" s="210">
        <f t="shared" si="28"/>
        <v>3.5514418604651166</v>
      </c>
      <c r="C237" s="210">
        <f t="shared" si="28"/>
        <v>4.3480465116279072</v>
      </c>
      <c r="D237" s="210">
        <f t="shared" si="28"/>
        <v>2.3944186046511629</v>
      </c>
      <c r="E237" s="210">
        <f t="shared" si="29"/>
        <v>10.293906976744186</v>
      </c>
    </row>
    <row r="238" spans="1:5" x14ac:dyDescent="0.25">
      <c r="A238" s="102" t="s">
        <v>79</v>
      </c>
      <c r="B238" s="210">
        <f t="shared" si="28"/>
        <v>3.5018089887640449</v>
      </c>
      <c r="C238" s="210">
        <f t="shared" si="28"/>
        <v>4.3104016853932583</v>
      </c>
      <c r="D238" s="210">
        <f t="shared" si="28"/>
        <v>3.0622148876404496</v>
      </c>
      <c r="E238" s="210">
        <f t="shared" si="29"/>
        <v>10.874425561797752</v>
      </c>
    </row>
    <row r="239" spans="1:5" x14ac:dyDescent="0.25">
      <c r="A239" s="102" t="s">
        <v>80</v>
      </c>
      <c r="B239" s="210">
        <f t="shared" si="28"/>
        <v>3.9307440273037542</v>
      </c>
      <c r="C239" s="210">
        <f t="shared" si="28"/>
        <v>3.9242645051194542</v>
      </c>
      <c r="D239" s="210">
        <f t="shared" si="28"/>
        <v>3.9791672354948808</v>
      </c>
      <c r="E239" s="210">
        <f t="shared" si="29"/>
        <v>11.83417576791809</v>
      </c>
    </row>
    <row r="240" spans="1:5" x14ac:dyDescent="0.25">
      <c r="A240" s="102" t="s">
        <v>82</v>
      </c>
      <c r="B240" s="210">
        <f t="shared" si="28"/>
        <v>3.4446919127086004</v>
      </c>
      <c r="C240" s="210">
        <f t="shared" si="28"/>
        <v>4.0816790757381254</v>
      </c>
      <c r="D240" s="210">
        <f t="shared" si="28"/>
        <v>3.3953433889602054</v>
      </c>
      <c r="E240" s="210">
        <f t="shared" si="29"/>
        <v>10.92171437740693</v>
      </c>
    </row>
    <row r="241" spans="1:5" x14ac:dyDescent="0.25">
      <c r="A241" s="102" t="s">
        <v>83</v>
      </c>
      <c r="B241" s="210">
        <f t="shared" si="28"/>
        <v>2.5558087248322146</v>
      </c>
      <c r="C241" s="210">
        <f t="shared" si="28"/>
        <v>4.1001040268456368</v>
      </c>
      <c r="D241" s="210">
        <f t="shared" si="28"/>
        <v>4.1190872483221472</v>
      </c>
      <c r="E241" s="210">
        <f t="shared" si="29"/>
        <v>10.774999999999999</v>
      </c>
    </row>
    <row r="243" spans="1:5" x14ac:dyDescent="0.25">
      <c r="A243" s="1" t="s">
        <v>247</v>
      </c>
    </row>
    <row r="244" spans="1:5" ht="30" x14ac:dyDescent="0.25">
      <c r="A244" s="151" t="s">
        <v>182</v>
      </c>
      <c r="B244" s="151" t="s">
        <v>245</v>
      </c>
      <c r="C244" t="s">
        <v>294</v>
      </c>
      <c r="D244" t="s">
        <v>295</v>
      </c>
    </row>
    <row r="245" spans="1:5" x14ac:dyDescent="0.25">
      <c r="A245" s="102" t="s">
        <v>84</v>
      </c>
      <c r="B245" s="210">
        <v>12.659453791469193</v>
      </c>
      <c r="C245" s="210">
        <v>12.67773870234074</v>
      </c>
      <c r="D245" s="210">
        <v>12.65945379146919</v>
      </c>
    </row>
    <row r="246" spans="1:5" x14ac:dyDescent="0.25">
      <c r="A246" s="102" t="s">
        <v>74</v>
      </c>
      <c r="B246" s="210">
        <v>12.313911392405064</v>
      </c>
      <c r="C246" s="210">
        <v>12.319369394929994</v>
      </c>
      <c r="D246" s="210">
        <v>12.31391139240506</v>
      </c>
    </row>
    <row r="247" spans="1:5" x14ac:dyDescent="0.25">
      <c r="A247" s="102" t="s">
        <v>80</v>
      </c>
      <c r="B247" s="210">
        <v>11.83417576791809</v>
      </c>
      <c r="C247" s="210">
        <v>11.86352418264635</v>
      </c>
      <c r="D247" s="210">
        <v>11.83417576791809</v>
      </c>
    </row>
    <row r="248" spans="1:5" x14ac:dyDescent="0.25">
      <c r="A248" s="102" t="s">
        <v>77</v>
      </c>
      <c r="B248" s="210">
        <v>11.622316176470587</v>
      </c>
      <c r="C248" s="210">
        <v>11.656913693599162</v>
      </c>
      <c r="D248" s="210">
        <v>11.622316176470591</v>
      </c>
    </row>
    <row r="249" spans="1:5" x14ac:dyDescent="0.25">
      <c r="A249" s="102" t="s">
        <v>75</v>
      </c>
      <c r="B249" s="210">
        <v>11.463419943820226</v>
      </c>
      <c r="C249" s="210">
        <v>11.586481595460414</v>
      </c>
      <c r="D249" s="210">
        <v>11.463419943820231</v>
      </c>
    </row>
    <row r="250" spans="1:5" x14ac:dyDescent="0.25">
      <c r="A250" s="102" t="s">
        <v>82</v>
      </c>
      <c r="B250" s="210">
        <v>10.92171437740693</v>
      </c>
      <c r="C250" s="210">
        <v>10.957194855926748</v>
      </c>
      <c r="D250" s="210">
        <v>10.92171437740693</v>
      </c>
    </row>
    <row r="251" spans="1:5" x14ac:dyDescent="0.25">
      <c r="A251" s="102" t="s">
        <v>79</v>
      </c>
      <c r="B251" s="210">
        <v>10.874425561797752</v>
      </c>
      <c r="C251" s="210">
        <v>10.940344509006392</v>
      </c>
      <c r="D251" s="210">
        <v>10.87442556179775</v>
      </c>
    </row>
    <row r="252" spans="1:5" x14ac:dyDescent="0.25">
      <c r="A252" s="102" t="s">
        <v>83</v>
      </c>
      <c r="B252" s="210">
        <v>10.774999999999999</v>
      </c>
      <c r="C252" s="210">
        <v>10.78987555113917</v>
      </c>
      <c r="D252" s="210">
        <v>10.775</v>
      </c>
    </row>
    <row r="253" spans="1:5" x14ac:dyDescent="0.25">
      <c r="A253" s="102" t="s">
        <v>78</v>
      </c>
      <c r="B253" s="210">
        <v>10.293906976744186</v>
      </c>
      <c r="C253" s="210">
        <v>10.449163356822549</v>
      </c>
      <c r="D253" s="210">
        <v>10.293906976744189</v>
      </c>
    </row>
    <row r="254" spans="1:5" x14ac:dyDescent="0.25">
      <c r="A254" s="102" t="s">
        <v>73</v>
      </c>
      <c r="B254" s="210">
        <v>6.8025638297872337</v>
      </c>
      <c r="C254" s="210">
        <v>6.8145000000000007</v>
      </c>
      <c r="D254" s="210">
        <v>6.8025638297872337</v>
      </c>
    </row>
  </sheetData>
  <sortState xmlns:xlrd2="http://schemas.microsoft.com/office/spreadsheetml/2017/richdata2" ref="A245:B254">
    <sortCondition descending="1" ref="B245:B254"/>
  </sortState>
  <mergeCells count="20">
    <mergeCell ref="J70:J71"/>
    <mergeCell ref="J10:J11"/>
    <mergeCell ref="A40:A41"/>
    <mergeCell ref="B40:B41"/>
    <mergeCell ref="C40:C41"/>
    <mergeCell ref="D40:F40"/>
    <mergeCell ref="G40:I40"/>
    <mergeCell ref="J40:J41"/>
    <mergeCell ref="G10:I10"/>
    <mergeCell ref="A70:A71"/>
    <mergeCell ref="B70:B71"/>
    <mergeCell ref="C70:C71"/>
    <mergeCell ref="D70:F70"/>
    <mergeCell ref="G70:I70"/>
    <mergeCell ref="A3:E3"/>
    <mergeCell ref="A10:A11"/>
    <mergeCell ref="B10:B11"/>
    <mergeCell ref="C10:C11"/>
    <mergeCell ref="D10:F10"/>
    <mergeCell ref="A5:E5"/>
  </mergeCells>
  <hyperlinks>
    <hyperlink ref="B2" r:id="rId1" xr:uid="{B6DE5B33-CCC0-4E23-8C99-4E373EBF2A4D}"/>
    <hyperlink ref="B4" r:id="rId2" xr:uid="{FEFE0259-DAAA-42AA-BFAB-2670F7F7F362}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0EBE-2BB1-47C7-88EC-3B794513173D}">
  <dimension ref="A1:BU52"/>
  <sheetViews>
    <sheetView topLeftCell="A7" workbookViewId="0">
      <selection activeCell="AY13" sqref="AY13:BF14"/>
    </sheetView>
  </sheetViews>
  <sheetFormatPr defaultRowHeight="15" x14ac:dyDescent="0.25"/>
  <cols>
    <col min="1" max="1" width="28.85546875" customWidth="1"/>
    <col min="2" max="2" width="39" customWidth="1"/>
    <col min="3" max="3" width="40.42578125" customWidth="1"/>
    <col min="4" max="4" width="15.5703125" customWidth="1"/>
    <col min="5" max="5" width="12.140625" customWidth="1"/>
    <col min="6" max="6" width="11.7109375" customWidth="1"/>
    <col min="7" max="9" width="9.140625" customWidth="1"/>
    <col min="10" max="10" width="18" customWidth="1"/>
    <col min="1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95</v>
      </c>
      <c r="B1" s="98"/>
      <c r="C1" s="98"/>
    </row>
    <row r="2" spans="1:73" x14ac:dyDescent="0.25">
      <c r="A2" s="1" t="s">
        <v>96</v>
      </c>
      <c r="B2" s="101" t="s">
        <v>97</v>
      </c>
      <c r="C2" s="98"/>
    </row>
    <row r="3" spans="1:73" ht="30" customHeight="1" x14ac:dyDescent="0.25">
      <c r="A3" s="274" t="s">
        <v>98</v>
      </c>
      <c r="B3" s="275"/>
      <c r="C3" s="275"/>
      <c r="D3" s="276"/>
      <c r="E3" s="276"/>
    </row>
    <row r="4" spans="1:73" x14ac:dyDescent="0.25">
      <c r="A4" s="1" t="s">
        <v>110</v>
      </c>
      <c r="B4" s="99"/>
      <c r="C4" s="99"/>
    </row>
    <row r="5" spans="1:73" ht="15.75" thickBot="1" x14ac:dyDescent="0.3">
      <c r="A5" s="100" t="s">
        <v>109</v>
      </c>
      <c r="B5" s="99"/>
      <c r="C5" s="99"/>
      <c r="BO5">
        <v>0.8</v>
      </c>
    </row>
    <row r="6" spans="1:73" ht="86.25" customHeight="1" thickBot="1" x14ac:dyDescent="0.3">
      <c r="A6" s="273" t="s">
        <v>85</v>
      </c>
      <c r="B6" s="273" t="s">
        <v>86</v>
      </c>
      <c r="C6" s="277" t="s">
        <v>87</v>
      </c>
      <c r="D6" s="278" t="s">
        <v>127</v>
      </c>
      <c r="E6" s="279"/>
      <c r="F6" s="279"/>
      <c r="G6" s="279" t="s">
        <v>128</v>
      </c>
      <c r="H6" s="279"/>
      <c r="I6" s="279"/>
      <c r="J6" s="286" t="s">
        <v>157</v>
      </c>
      <c r="K6" s="280" t="s">
        <v>150</v>
      </c>
      <c r="L6" s="281"/>
      <c r="M6" s="281"/>
      <c r="N6" s="281"/>
      <c r="O6" s="281"/>
      <c r="P6" s="281"/>
      <c r="Q6" s="281"/>
      <c r="R6" s="282"/>
      <c r="S6" s="280" t="s">
        <v>148</v>
      </c>
      <c r="T6" s="281"/>
      <c r="U6" s="281"/>
      <c r="V6" s="281"/>
      <c r="W6" s="281"/>
      <c r="X6" s="281"/>
      <c r="Y6" s="281"/>
      <c r="Z6" s="282"/>
      <c r="AA6" s="280" t="s">
        <v>149</v>
      </c>
      <c r="AB6" s="281"/>
      <c r="AC6" s="281"/>
      <c r="AD6" s="281"/>
      <c r="AE6" s="281"/>
      <c r="AF6" s="281"/>
      <c r="AG6" s="281"/>
      <c r="AH6" s="282"/>
      <c r="AI6" s="280" t="s">
        <v>147</v>
      </c>
      <c r="AJ6" s="281"/>
      <c r="AK6" s="281"/>
      <c r="AL6" s="281"/>
      <c r="AM6" s="281"/>
      <c r="AN6" s="281"/>
      <c r="AO6" s="281"/>
      <c r="AP6" s="282"/>
      <c r="AQ6" s="280" t="s">
        <v>158</v>
      </c>
      <c r="AR6" s="281"/>
      <c r="AS6" s="281"/>
      <c r="AT6" s="281"/>
      <c r="AU6" s="281"/>
      <c r="AV6" s="281"/>
      <c r="AW6" s="281"/>
      <c r="AX6" s="282"/>
      <c r="AY6" s="280" t="s">
        <v>159</v>
      </c>
      <c r="AZ6" s="281"/>
      <c r="BA6" s="281"/>
      <c r="BB6" s="281"/>
      <c r="BC6" s="281"/>
      <c r="BD6" s="281"/>
      <c r="BE6" s="281"/>
      <c r="BF6" s="282"/>
      <c r="BG6" s="280" t="s">
        <v>205</v>
      </c>
      <c r="BH6" s="281"/>
      <c r="BI6" s="281"/>
      <c r="BJ6" s="281"/>
      <c r="BK6" s="281"/>
      <c r="BL6" s="281"/>
      <c r="BM6" s="281"/>
      <c r="BN6" s="282"/>
      <c r="BO6" s="292" t="s">
        <v>151</v>
      </c>
      <c r="BP6" s="293"/>
      <c r="BQ6" s="293"/>
      <c r="BR6" s="294"/>
      <c r="BS6" s="288" t="s">
        <v>153</v>
      </c>
      <c r="BT6" s="289"/>
      <c r="BU6" s="290" t="s">
        <v>156</v>
      </c>
    </row>
    <row r="7" spans="1:73" s="97" customFormat="1" ht="23.25" customHeight="1" thickBot="1" x14ac:dyDescent="0.3">
      <c r="A7" s="273"/>
      <c r="B7" s="273"/>
      <c r="C7" s="277"/>
      <c r="D7" s="122" t="s">
        <v>114</v>
      </c>
      <c r="E7" s="107" t="s">
        <v>115</v>
      </c>
      <c r="F7" s="107" t="s">
        <v>116</v>
      </c>
      <c r="G7" s="107" t="s">
        <v>114</v>
      </c>
      <c r="H7" s="107" t="s">
        <v>115</v>
      </c>
      <c r="I7" s="107" t="s">
        <v>116</v>
      </c>
      <c r="J7" s="287"/>
      <c r="K7" s="280" t="s">
        <v>17</v>
      </c>
      <c r="L7" s="281"/>
      <c r="M7" s="281"/>
      <c r="N7" s="282"/>
      <c r="O7" s="280" t="s">
        <v>18</v>
      </c>
      <c r="P7" s="281"/>
      <c r="Q7" s="281"/>
      <c r="R7" s="282"/>
      <c r="S7" s="280" t="s">
        <v>17</v>
      </c>
      <c r="T7" s="281"/>
      <c r="U7" s="281"/>
      <c r="V7" s="282"/>
      <c r="W7" s="280" t="s">
        <v>18</v>
      </c>
      <c r="X7" s="281"/>
      <c r="Y7" s="281"/>
      <c r="Z7" s="282"/>
      <c r="AA7" s="280" t="s">
        <v>17</v>
      </c>
      <c r="AB7" s="281"/>
      <c r="AC7" s="281"/>
      <c r="AD7" s="282"/>
      <c r="AE7" s="280" t="s">
        <v>18</v>
      </c>
      <c r="AF7" s="281"/>
      <c r="AG7" s="281"/>
      <c r="AH7" s="282"/>
      <c r="AI7" s="280" t="s">
        <v>17</v>
      </c>
      <c r="AJ7" s="281"/>
      <c r="AK7" s="281"/>
      <c r="AL7" s="282"/>
      <c r="AM7" s="280" t="s">
        <v>18</v>
      </c>
      <c r="AN7" s="281"/>
      <c r="AO7" s="281"/>
      <c r="AP7" s="282"/>
      <c r="AQ7" s="280" t="s">
        <v>17</v>
      </c>
      <c r="AR7" s="281"/>
      <c r="AS7" s="281"/>
      <c r="AT7" s="282"/>
      <c r="AU7" s="280" t="s">
        <v>18</v>
      </c>
      <c r="AV7" s="281"/>
      <c r="AW7" s="281"/>
      <c r="AX7" s="282"/>
      <c r="AY7" s="280" t="s">
        <v>17</v>
      </c>
      <c r="AZ7" s="281"/>
      <c r="BA7" s="281"/>
      <c r="BB7" s="282"/>
      <c r="BC7" s="280" t="s">
        <v>18</v>
      </c>
      <c r="BD7" s="281"/>
      <c r="BE7" s="281"/>
      <c r="BF7" s="282"/>
      <c r="BG7" s="280" t="s">
        <v>17</v>
      </c>
      <c r="BH7" s="281"/>
      <c r="BI7" s="281"/>
      <c r="BJ7" s="282"/>
      <c r="BK7" s="280" t="s">
        <v>18</v>
      </c>
      <c r="BL7" s="281"/>
      <c r="BM7" s="281"/>
      <c r="BN7" s="282"/>
      <c r="BO7" s="295" t="s">
        <v>152</v>
      </c>
      <c r="BP7" s="296"/>
      <c r="BQ7" s="295" t="s">
        <v>26</v>
      </c>
      <c r="BR7" s="297"/>
      <c r="BS7" s="145" t="s">
        <v>154</v>
      </c>
      <c r="BT7" s="145" t="s">
        <v>155</v>
      </c>
      <c r="BU7" s="291"/>
    </row>
    <row r="8" spans="1:73" ht="30" x14ac:dyDescent="0.25">
      <c r="A8" s="102" t="s">
        <v>8</v>
      </c>
      <c r="B8" s="102" t="s">
        <v>84</v>
      </c>
      <c r="C8" s="121" t="s">
        <v>72</v>
      </c>
      <c r="D8" s="155" t="s">
        <v>104</v>
      </c>
      <c r="E8" s="156" t="s">
        <v>105</v>
      </c>
      <c r="F8" s="156" t="s">
        <v>104</v>
      </c>
      <c r="G8" s="110">
        <f t="shared" ref="G8:G17" si="0">IF(D8=$A$21,$B$21,(IF(D8=$A$22,$B$22,IF(D8=$A$23,$B$23,$B$24))))</f>
        <v>1</v>
      </c>
      <c r="H8" s="110">
        <f t="shared" ref="H8:H17" si="1">IF(E8=$A$21,$B$21,(IF(E8=$A$22,$B$22,IF(E8=$A$23,$B$23,$B$24))))</f>
        <v>0.66</v>
      </c>
      <c r="I8" s="110">
        <f t="shared" ref="I8:I17" si="2">IF(F8=$A$21,$B$21,(IF(F8=$A$22,$B$22,IF(F8=$A$23,$B$23,$B$24))))</f>
        <v>1</v>
      </c>
      <c r="J8" s="147">
        <f>G8*$D$35+H8*$D$36+I8*$D$37</f>
        <v>14.15</v>
      </c>
      <c r="K8" s="81">
        <v>0.77</v>
      </c>
      <c r="L8" s="83">
        <v>1</v>
      </c>
      <c r="M8" s="83">
        <v>1</v>
      </c>
      <c r="N8" s="84">
        <v>1</v>
      </c>
      <c r="O8" s="81">
        <v>0.83</v>
      </c>
      <c r="P8" s="83">
        <v>1</v>
      </c>
      <c r="Q8" s="83">
        <v>1</v>
      </c>
      <c r="R8" s="84">
        <v>1</v>
      </c>
      <c r="S8" s="81">
        <v>0.44000000000000006</v>
      </c>
      <c r="T8" s="83">
        <v>0.55000000000000004</v>
      </c>
      <c r="U8" s="83">
        <v>0.77</v>
      </c>
      <c r="V8" s="84">
        <v>1</v>
      </c>
      <c r="W8" s="81">
        <v>0.47000000000000003</v>
      </c>
      <c r="X8" s="83">
        <v>0.55000000000000004</v>
      </c>
      <c r="Y8" s="83">
        <v>0.77</v>
      </c>
      <c r="Z8" s="84">
        <v>0.92</v>
      </c>
      <c r="AA8" s="81">
        <v>0.77</v>
      </c>
      <c r="AB8" s="83">
        <v>1</v>
      </c>
      <c r="AC8" s="83">
        <v>1</v>
      </c>
      <c r="AD8" s="84">
        <v>1</v>
      </c>
      <c r="AE8" s="81">
        <v>0.83</v>
      </c>
      <c r="AF8" s="83">
        <v>1</v>
      </c>
      <c r="AG8" s="83">
        <v>1</v>
      </c>
      <c r="AH8" s="84">
        <v>1</v>
      </c>
      <c r="AI8" s="81">
        <v>3.8900000000000006</v>
      </c>
      <c r="AJ8" s="83">
        <v>7</v>
      </c>
      <c r="AK8" s="83">
        <v>8</v>
      </c>
      <c r="AL8" s="84">
        <v>9.5</v>
      </c>
      <c r="AM8" s="81">
        <v>4.8099999999999987</v>
      </c>
      <c r="AN8" s="83">
        <v>7</v>
      </c>
      <c r="AO8" s="83">
        <v>8</v>
      </c>
      <c r="AP8" s="84">
        <v>9</v>
      </c>
      <c r="AQ8" s="81">
        <v>0.60499999999999998</v>
      </c>
      <c r="AR8" s="83">
        <v>1.1000000000000001</v>
      </c>
      <c r="AS8" s="83">
        <v>2.31</v>
      </c>
      <c r="AT8" s="83">
        <v>4.1549999999999994</v>
      </c>
      <c r="AU8" s="81">
        <v>0.77499999999999991</v>
      </c>
      <c r="AV8" s="83">
        <v>1.1000000000000001</v>
      </c>
      <c r="AW8" s="83">
        <v>2.31</v>
      </c>
      <c r="AX8" s="84">
        <v>3.53</v>
      </c>
      <c r="AY8" s="81">
        <v>1.9649999999999999</v>
      </c>
      <c r="AZ8" s="83">
        <v>4.5</v>
      </c>
      <c r="BA8" s="83">
        <v>5.5</v>
      </c>
      <c r="BB8" s="83">
        <v>7</v>
      </c>
      <c r="BC8" s="81">
        <v>2.7349999999999994</v>
      </c>
      <c r="BD8" s="83">
        <v>4.5</v>
      </c>
      <c r="BE8" s="83">
        <v>5.5</v>
      </c>
      <c r="BF8" s="84">
        <v>6.5</v>
      </c>
      <c r="BG8" s="81">
        <f>AI8+AQ8+AY8</f>
        <v>6.4600000000000009</v>
      </c>
      <c r="BH8" s="83">
        <f t="shared" ref="BH8:BN8" si="3">AJ8+AR8+AZ8</f>
        <v>12.6</v>
      </c>
      <c r="BI8" s="83">
        <f t="shared" si="3"/>
        <v>15.81</v>
      </c>
      <c r="BJ8" s="83">
        <f t="shared" si="3"/>
        <v>20.655000000000001</v>
      </c>
      <c r="BK8" s="81">
        <f t="shared" si="3"/>
        <v>8.3199999999999985</v>
      </c>
      <c r="BL8" s="83">
        <f t="shared" si="3"/>
        <v>12.6</v>
      </c>
      <c r="BM8" s="83">
        <f t="shared" si="3"/>
        <v>15.81</v>
      </c>
      <c r="BN8" s="83">
        <f t="shared" si="3"/>
        <v>19.03</v>
      </c>
      <c r="BO8" s="136">
        <f>BO$5*BH8+(1-BO$5)*BG8</f>
        <v>11.372</v>
      </c>
      <c r="BP8" s="142">
        <f>BO$5*BI8+(1-BO$5)*BJ8</f>
        <v>16.779</v>
      </c>
      <c r="BQ8" s="136">
        <f>BO$5*BL8+(1-BO$5)*BK8</f>
        <v>11.744</v>
      </c>
      <c r="BR8" s="137">
        <f>BO$5*BM8+(1-BO$5)*BN8</f>
        <v>16.454000000000001</v>
      </c>
      <c r="BS8" s="81">
        <f>(BO8+BP8)/2</f>
        <v>14.0755</v>
      </c>
      <c r="BT8" s="84">
        <f>(BQ8+BR8)/2</f>
        <v>14.099</v>
      </c>
      <c r="BU8" s="133">
        <f>(BS8+BT8)/2</f>
        <v>14.087250000000001</v>
      </c>
    </row>
    <row r="9" spans="1:73" x14ac:dyDescent="0.25">
      <c r="A9" s="102" t="s">
        <v>9</v>
      </c>
      <c r="B9" s="102" t="s">
        <v>73</v>
      </c>
      <c r="C9" s="121" t="s">
        <v>88</v>
      </c>
      <c r="D9" s="155" t="s">
        <v>106</v>
      </c>
      <c r="E9" s="156" t="s">
        <v>106</v>
      </c>
      <c r="F9" s="156" t="s">
        <v>105</v>
      </c>
      <c r="G9" s="110">
        <f t="shared" si="0"/>
        <v>0.33</v>
      </c>
      <c r="H9" s="110">
        <f t="shared" si="1"/>
        <v>0.33</v>
      </c>
      <c r="I9" s="110">
        <f t="shared" si="2"/>
        <v>0.66</v>
      </c>
      <c r="J9" s="147">
        <f t="shared" ref="J9:J17" si="4">G9*$D$35+H9*$D$36+I9*$D$37</f>
        <v>6.6000000000000005</v>
      </c>
      <c r="K9" s="87">
        <v>0</v>
      </c>
      <c r="L9">
        <v>0.22000000000000003</v>
      </c>
      <c r="M9">
        <v>0.44</v>
      </c>
      <c r="N9" s="88">
        <v>0.55000000000000004</v>
      </c>
      <c r="O9" s="87">
        <v>0.06</v>
      </c>
      <c r="P9">
        <v>0.22000000000000003</v>
      </c>
      <c r="Q9">
        <v>0.44</v>
      </c>
      <c r="R9" s="88">
        <v>0.52</v>
      </c>
      <c r="S9" s="87">
        <v>0</v>
      </c>
      <c r="T9">
        <v>0.22000000000000003</v>
      </c>
      <c r="U9">
        <v>0.44</v>
      </c>
      <c r="V9" s="88">
        <v>0.55000000000000004</v>
      </c>
      <c r="W9" s="87">
        <v>0.06</v>
      </c>
      <c r="X9">
        <v>0.22000000000000003</v>
      </c>
      <c r="Y9">
        <v>0.44</v>
      </c>
      <c r="Z9" s="88">
        <v>0.52</v>
      </c>
      <c r="AA9" s="87">
        <v>0.44000000000000006</v>
      </c>
      <c r="AB9">
        <v>0.55000000000000004</v>
      </c>
      <c r="AC9">
        <v>0.77</v>
      </c>
      <c r="AD9" s="88">
        <v>1</v>
      </c>
      <c r="AE9" s="87">
        <v>0.47000000000000003</v>
      </c>
      <c r="AF9">
        <v>0.55000000000000004</v>
      </c>
      <c r="AG9">
        <v>0.77</v>
      </c>
      <c r="AH9" s="88">
        <v>0.92</v>
      </c>
      <c r="AI9" s="187">
        <v>-0.33000000000000007</v>
      </c>
      <c r="AJ9" s="179">
        <v>1.5400000000000003</v>
      </c>
      <c r="AK9" s="179">
        <v>3.52</v>
      </c>
      <c r="AL9" s="188">
        <v>5.0600000000000005</v>
      </c>
      <c r="AM9" s="187">
        <v>0.19999999999999996</v>
      </c>
      <c r="AN9" s="179">
        <v>1.5400000000000003</v>
      </c>
      <c r="AO9" s="179">
        <v>3.52</v>
      </c>
      <c r="AP9" s="188">
        <v>4.6000000000000014</v>
      </c>
      <c r="AQ9" s="187">
        <v>-0.10999999999999999</v>
      </c>
      <c r="AR9" s="179">
        <v>0.44000000000000006</v>
      </c>
      <c r="AS9" s="179">
        <v>1.32</v>
      </c>
      <c r="AT9" s="179">
        <v>2.3099999999999996</v>
      </c>
      <c r="AU9" s="187">
        <v>5.3999999999999992E-2</v>
      </c>
      <c r="AV9" s="179">
        <v>0.44000000000000006</v>
      </c>
      <c r="AW9" s="179">
        <v>1.32</v>
      </c>
      <c r="AX9" s="188">
        <v>2</v>
      </c>
      <c r="AY9" s="87">
        <v>1.1550000000000002</v>
      </c>
      <c r="AZ9">
        <v>2.4750000000000001</v>
      </c>
      <c r="BA9">
        <v>4.2350000000000003</v>
      </c>
      <c r="BB9">
        <v>6.6550000000000002</v>
      </c>
      <c r="BC9" s="87">
        <v>1.5650000000000008</v>
      </c>
      <c r="BD9">
        <v>2.4750000000000001</v>
      </c>
      <c r="BE9">
        <v>4.2350000000000003</v>
      </c>
      <c r="BF9" s="88">
        <v>5.830000000000001</v>
      </c>
      <c r="BG9" s="87">
        <f t="shared" ref="BG9:BG17" si="5">AI9+AQ9+AY9</f>
        <v>0.71500000000000019</v>
      </c>
      <c r="BH9">
        <f t="shared" ref="BH9:BH17" si="6">AJ9+AR9+AZ9</f>
        <v>4.4550000000000001</v>
      </c>
      <c r="BI9">
        <f t="shared" ref="BI9:BI17" si="7">AK9+AS9+BA9</f>
        <v>9.0749999999999993</v>
      </c>
      <c r="BJ9">
        <f t="shared" ref="BJ9:BJ17" si="8">AL9+AT9+BB9</f>
        <v>14.025</v>
      </c>
      <c r="BK9" s="87">
        <f t="shared" ref="BK9:BK17" si="9">AM9+AU9+BC9</f>
        <v>1.8190000000000008</v>
      </c>
      <c r="BL9">
        <f t="shared" ref="BL9:BL17" si="10">AN9+AV9+BD9</f>
        <v>4.4550000000000001</v>
      </c>
      <c r="BM9">
        <f t="shared" ref="BM9:BM17" si="11">AO9+AW9+BE9</f>
        <v>9.0749999999999993</v>
      </c>
      <c r="BN9">
        <f t="shared" ref="BN9:BN17" si="12">AP9+AX9+BF9</f>
        <v>12.430000000000003</v>
      </c>
      <c r="BO9" s="138">
        <f t="shared" ref="BO9:BO17" si="13">BO$5*BH9+(1-BO$5)*BG9</f>
        <v>3.7069999999999999</v>
      </c>
      <c r="BP9" s="143">
        <f t="shared" ref="BP9:BP17" si="14">BO$5*BI9+(1-BO$5)*BJ9</f>
        <v>10.065</v>
      </c>
      <c r="BQ9" s="138">
        <f t="shared" ref="BQ9:BQ17" si="15">BO$5*BL9+(1-BO$5)*BK9</f>
        <v>3.9278</v>
      </c>
      <c r="BR9" s="139">
        <f t="shared" ref="BR9:BR17" si="16">BO$5*BM9+(1-BO$5)*BN9</f>
        <v>9.7460000000000004</v>
      </c>
      <c r="BS9" s="87">
        <f t="shared" ref="BS9:BS17" si="17">(BO9+BP9)/2</f>
        <v>6.8859999999999992</v>
      </c>
      <c r="BT9" s="88">
        <f t="shared" ref="BT9:BT17" si="18">(BQ9+BR9)/2</f>
        <v>6.8369</v>
      </c>
      <c r="BU9" s="134">
        <f t="shared" ref="BU9:BU17" si="19">(BS9+BT9)/2</f>
        <v>6.8614499999999996</v>
      </c>
    </row>
    <row r="10" spans="1:73" x14ac:dyDescent="0.25">
      <c r="A10" s="102" t="s">
        <v>10</v>
      </c>
      <c r="B10" s="102" t="s">
        <v>74</v>
      </c>
      <c r="C10" s="121" t="s">
        <v>89</v>
      </c>
      <c r="D10" s="155" t="s">
        <v>105</v>
      </c>
      <c r="E10" s="156" t="s">
        <v>105</v>
      </c>
      <c r="F10" s="156" t="s">
        <v>105</v>
      </c>
      <c r="G10" s="110">
        <f t="shared" si="0"/>
        <v>0.66</v>
      </c>
      <c r="H10" s="110">
        <f t="shared" si="1"/>
        <v>0.66</v>
      </c>
      <c r="I10" s="110">
        <f t="shared" si="2"/>
        <v>0.66</v>
      </c>
      <c r="J10" s="147">
        <f t="shared" si="4"/>
        <v>9.9</v>
      </c>
      <c r="K10" s="87">
        <v>0.44000000000000006</v>
      </c>
      <c r="L10">
        <v>0.55000000000000004</v>
      </c>
      <c r="M10">
        <v>0.77</v>
      </c>
      <c r="N10" s="88">
        <v>1</v>
      </c>
      <c r="O10" s="87">
        <v>0.47000000000000003</v>
      </c>
      <c r="P10">
        <v>0.55000000000000004</v>
      </c>
      <c r="Q10">
        <v>0.77</v>
      </c>
      <c r="R10" s="88">
        <v>0.92</v>
      </c>
      <c r="S10" s="87">
        <v>0.44000000000000006</v>
      </c>
      <c r="T10">
        <v>0.55000000000000004</v>
      </c>
      <c r="U10">
        <v>0.77</v>
      </c>
      <c r="V10" s="88">
        <v>1</v>
      </c>
      <c r="W10" s="87">
        <v>0.47000000000000003</v>
      </c>
      <c r="X10">
        <v>0.55000000000000004</v>
      </c>
      <c r="Y10">
        <v>0.77</v>
      </c>
      <c r="Z10" s="88">
        <v>0.92</v>
      </c>
      <c r="AA10" s="87">
        <v>0.44000000000000006</v>
      </c>
      <c r="AB10">
        <v>0.55000000000000004</v>
      </c>
      <c r="AC10">
        <v>0.77</v>
      </c>
      <c r="AD10" s="88">
        <v>1</v>
      </c>
      <c r="AE10" s="87">
        <v>0.47000000000000003</v>
      </c>
      <c r="AF10">
        <v>0.55000000000000004</v>
      </c>
      <c r="AG10">
        <v>0.77</v>
      </c>
      <c r="AH10" s="88">
        <v>0.92</v>
      </c>
      <c r="AI10" s="87">
        <v>2.2549999999999999</v>
      </c>
      <c r="AJ10">
        <v>3.8500000000000005</v>
      </c>
      <c r="AK10">
        <v>6.16</v>
      </c>
      <c r="AL10" s="88">
        <v>9.1550000000000011</v>
      </c>
      <c r="AM10" s="87">
        <v>2.7399999999999993</v>
      </c>
      <c r="AN10">
        <v>3.8500000000000005</v>
      </c>
      <c r="AO10">
        <v>6.16</v>
      </c>
      <c r="AP10" s="88">
        <v>8.129999999999999</v>
      </c>
      <c r="AQ10" s="87">
        <v>0.60499999999999998</v>
      </c>
      <c r="AR10">
        <v>1.1000000000000001</v>
      </c>
      <c r="AS10">
        <v>2.31</v>
      </c>
      <c r="AT10">
        <v>4.1549999999999994</v>
      </c>
      <c r="AU10" s="87">
        <v>0.77499999999999991</v>
      </c>
      <c r="AV10">
        <v>1.1000000000000001</v>
      </c>
      <c r="AW10">
        <v>2.31</v>
      </c>
      <c r="AX10" s="88">
        <v>3.53</v>
      </c>
      <c r="AY10" s="87">
        <v>1.1550000000000002</v>
      </c>
      <c r="AZ10">
        <v>2.4750000000000001</v>
      </c>
      <c r="BA10">
        <v>4.2350000000000003</v>
      </c>
      <c r="BB10">
        <v>6.6550000000000002</v>
      </c>
      <c r="BC10" s="87">
        <v>1.5650000000000008</v>
      </c>
      <c r="BD10">
        <v>2.4750000000000001</v>
      </c>
      <c r="BE10">
        <v>4.2350000000000003</v>
      </c>
      <c r="BF10" s="88">
        <v>5.830000000000001</v>
      </c>
      <c r="BG10" s="87">
        <f t="shared" si="5"/>
        <v>4.0150000000000006</v>
      </c>
      <c r="BH10">
        <f t="shared" si="6"/>
        <v>7.4250000000000007</v>
      </c>
      <c r="BI10">
        <f t="shared" si="7"/>
        <v>12.705000000000002</v>
      </c>
      <c r="BJ10">
        <f t="shared" si="8"/>
        <v>19.965</v>
      </c>
      <c r="BK10" s="87">
        <f t="shared" si="9"/>
        <v>5.08</v>
      </c>
      <c r="BL10">
        <f t="shared" si="10"/>
        <v>7.4250000000000007</v>
      </c>
      <c r="BM10">
        <f t="shared" si="11"/>
        <v>12.705000000000002</v>
      </c>
      <c r="BN10">
        <f t="shared" si="12"/>
        <v>17.489999999999998</v>
      </c>
      <c r="BO10" s="138">
        <f t="shared" si="13"/>
        <v>6.7430000000000012</v>
      </c>
      <c r="BP10" s="143">
        <f t="shared" si="14"/>
        <v>14.157</v>
      </c>
      <c r="BQ10" s="138">
        <f t="shared" si="15"/>
        <v>6.9560000000000013</v>
      </c>
      <c r="BR10" s="139">
        <f t="shared" si="16"/>
        <v>13.662000000000001</v>
      </c>
      <c r="BS10" s="87">
        <f t="shared" si="17"/>
        <v>10.450000000000001</v>
      </c>
      <c r="BT10" s="88">
        <f t="shared" si="18"/>
        <v>10.309000000000001</v>
      </c>
      <c r="BU10" s="134">
        <f t="shared" si="19"/>
        <v>10.3795</v>
      </c>
    </row>
    <row r="11" spans="1:73" x14ac:dyDescent="0.25">
      <c r="A11" s="102" t="s">
        <v>65</v>
      </c>
      <c r="B11" s="102" t="s">
        <v>75</v>
      </c>
      <c r="C11" s="121" t="s">
        <v>76</v>
      </c>
      <c r="D11" s="155" t="s">
        <v>104</v>
      </c>
      <c r="E11" s="156" t="s">
        <v>105</v>
      </c>
      <c r="F11" s="156" t="s">
        <v>105</v>
      </c>
      <c r="G11" s="110">
        <f t="shared" si="0"/>
        <v>1</v>
      </c>
      <c r="H11" s="110">
        <f t="shared" si="1"/>
        <v>0.66</v>
      </c>
      <c r="I11" s="110">
        <f t="shared" si="2"/>
        <v>0.66</v>
      </c>
      <c r="J11" s="147">
        <f t="shared" si="4"/>
        <v>12.450000000000001</v>
      </c>
      <c r="K11" s="87">
        <v>0.77</v>
      </c>
      <c r="L11">
        <v>1</v>
      </c>
      <c r="M11">
        <v>1</v>
      </c>
      <c r="N11" s="88">
        <v>1</v>
      </c>
      <c r="O11" s="87">
        <v>0.83</v>
      </c>
      <c r="P11">
        <v>1</v>
      </c>
      <c r="Q11">
        <v>1</v>
      </c>
      <c r="R11" s="88">
        <v>1</v>
      </c>
      <c r="S11" s="87">
        <v>0.44000000000000006</v>
      </c>
      <c r="T11">
        <v>0.55000000000000004</v>
      </c>
      <c r="U11">
        <v>0.77</v>
      </c>
      <c r="V11" s="88">
        <v>1</v>
      </c>
      <c r="W11" s="87">
        <v>0.47000000000000003</v>
      </c>
      <c r="X11">
        <v>0.55000000000000004</v>
      </c>
      <c r="Y11">
        <v>0.77</v>
      </c>
      <c r="Z11" s="88">
        <v>0.92</v>
      </c>
      <c r="AA11" s="87">
        <v>0.44000000000000006</v>
      </c>
      <c r="AB11">
        <v>0.55000000000000004</v>
      </c>
      <c r="AC11">
        <v>0.77</v>
      </c>
      <c r="AD11" s="88">
        <v>1</v>
      </c>
      <c r="AE11" s="87">
        <v>0.47000000000000003</v>
      </c>
      <c r="AF11">
        <v>0.55000000000000004</v>
      </c>
      <c r="AG11">
        <v>0.77</v>
      </c>
      <c r="AH11" s="88">
        <v>0.92</v>
      </c>
      <c r="AI11" s="87">
        <v>3.8900000000000006</v>
      </c>
      <c r="AJ11">
        <v>7</v>
      </c>
      <c r="AK11">
        <v>8</v>
      </c>
      <c r="AL11" s="88">
        <v>9.5</v>
      </c>
      <c r="AM11" s="87">
        <v>4.8099999999999987</v>
      </c>
      <c r="AN11">
        <v>7</v>
      </c>
      <c r="AO11">
        <v>8</v>
      </c>
      <c r="AP11" s="88">
        <v>9</v>
      </c>
      <c r="AQ11" s="87">
        <v>0.60499999999999998</v>
      </c>
      <c r="AR11">
        <v>1.1000000000000001</v>
      </c>
      <c r="AS11">
        <v>2.31</v>
      </c>
      <c r="AT11">
        <v>4.1549999999999994</v>
      </c>
      <c r="AU11" s="87">
        <v>0.77499999999999991</v>
      </c>
      <c r="AV11">
        <v>1.1000000000000001</v>
      </c>
      <c r="AW11">
        <v>2.31</v>
      </c>
      <c r="AX11" s="88">
        <v>3.53</v>
      </c>
      <c r="AY11" s="87">
        <v>1.1550000000000002</v>
      </c>
      <c r="AZ11">
        <v>2.4750000000000001</v>
      </c>
      <c r="BA11">
        <v>4.2350000000000003</v>
      </c>
      <c r="BB11">
        <v>6.6550000000000002</v>
      </c>
      <c r="BC11" s="87">
        <v>1.5650000000000008</v>
      </c>
      <c r="BD11">
        <v>2.4750000000000001</v>
      </c>
      <c r="BE11">
        <v>4.2350000000000003</v>
      </c>
      <c r="BF11" s="88">
        <v>5.830000000000001</v>
      </c>
      <c r="BG11" s="87">
        <f t="shared" si="5"/>
        <v>5.6500000000000012</v>
      </c>
      <c r="BH11">
        <f t="shared" si="6"/>
        <v>10.574999999999999</v>
      </c>
      <c r="BI11">
        <f t="shared" si="7"/>
        <v>14.545000000000002</v>
      </c>
      <c r="BJ11">
        <f t="shared" si="8"/>
        <v>20.309999999999999</v>
      </c>
      <c r="BK11" s="87">
        <f t="shared" si="9"/>
        <v>7.15</v>
      </c>
      <c r="BL11">
        <f t="shared" si="10"/>
        <v>10.574999999999999</v>
      </c>
      <c r="BM11">
        <f t="shared" si="11"/>
        <v>14.545000000000002</v>
      </c>
      <c r="BN11">
        <f t="shared" si="12"/>
        <v>18.36</v>
      </c>
      <c r="BO11" s="138">
        <f t="shared" si="13"/>
        <v>9.59</v>
      </c>
      <c r="BP11" s="143">
        <f t="shared" si="14"/>
        <v>15.698</v>
      </c>
      <c r="BQ11" s="138">
        <f t="shared" si="15"/>
        <v>9.8899999999999988</v>
      </c>
      <c r="BR11" s="139">
        <f t="shared" si="16"/>
        <v>15.308000000000002</v>
      </c>
      <c r="BS11" s="87">
        <f t="shared" si="17"/>
        <v>12.644</v>
      </c>
      <c r="BT11" s="88">
        <f t="shared" si="18"/>
        <v>12.599</v>
      </c>
      <c r="BU11" s="134">
        <f t="shared" si="19"/>
        <v>12.621500000000001</v>
      </c>
    </row>
    <row r="12" spans="1:73" ht="30" x14ac:dyDescent="0.25">
      <c r="A12" s="102" t="s">
        <v>66</v>
      </c>
      <c r="B12" s="102" t="s">
        <v>77</v>
      </c>
      <c r="C12" s="121" t="s">
        <v>90</v>
      </c>
      <c r="D12" s="155" t="s">
        <v>105</v>
      </c>
      <c r="E12" s="156" t="s">
        <v>104</v>
      </c>
      <c r="F12" s="156" t="s">
        <v>105</v>
      </c>
      <c r="G12" s="110">
        <f t="shared" si="0"/>
        <v>0.66</v>
      </c>
      <c r="H12" s="110">
        <f t="shared" si="1"/>
        <v>1</v>
      </c>
      <c r="I12" s="110">
        <f t="shared" si="2"/>
        <v>0.66</v>
      </c>
      <c r="J12" s="147">
        <f t="shared" si="4"/>
        <v>10.75</v>
      </c>
      <c r="K12" s="87">
        <v>0.44000000000000006</v>
      </c>
      <c r="L12">
        <v>0.55000000000000004</v>
      </c>
      <c r="M12">
        <v>0.77</v>
      </c>
      <c r="N12" s="88">
        <v>1</v>
      </c>
      <c r="O12" s="87">
        <v>0.47000000000000003</v>
      </c>
      <c r="P12">
        <v>0.55000000000000004</v>
      </c>
      <c r="Q12">
        <v>0.77</v>
      </c>
      <c r="R12" s="88">
        <v>0.92</v>
      </c>
      <c r="S12" s="87">
        <v>0.77</v>
      </c>
      <c r="T12">
        <v>1</v>
      </c>
      <c r="U12">
        <v>1</v>
      </c>
      <c r="V12" s="88">
        <v>1</v>
      </c>
      <c r="W12" s="87">
        <v>0.83</v>
      </c>
      <c r="X12">
        <v>1</v>
      </c>
      <c r="Y12">
        <v>1</v>
      </c>
      <c r="Z12" s="88">
        <v>1</v>
      </c>
      <c r="AA12" s="87">
        <v>0.44000000000000006</v>
      </c>
      <c r="AB12">
        <v>0.55000000000000004</v>
      </c>
      <c r="AC12">
        <v>0.77</v>
      </c>
      <c r="AD12" s="88">
        <v>1</v>
      </c>
      <c r="AE12" s="87">
        <v>0.47000000000000003</v>
      </c>
      <c r="AF12">
        <v>0.55000000000000004</v>
      </c>
      <c r="AG12">
        <v>0.77</v>
      </c>
      <c r="AH12" s="88">
        <v>0.92</v>
      </c>
      <c r="AI12" s="87">
        <v>2.2549999999999999</v>
      </c>
      <c r="AJ12">
        <v>3.8500000000000005</v>
      </c>
      <c r="AK12">
        <v>6.16</v>
      </c>
      <c r="AL12" s="88">
        <v>9.1550000000000011</v>
      </c>
      <c r="AM12" s="87">
        <v>2.7399999999999993</v>
      </c>
      <c r="AN12">
        <v>3.8500000000000005</v>
      </c>
      <c r="AO12">
        <v>6.16</v>
      </c>
      <c r="AP12" s="88">
        <v>8.129999999999999</v>
      </c>
      <c r="AQ12" s="87">
        <v>1.04</v>
      </c>
      <c r="AR12">
        <v>2</v>
      </c>
      <c r="AS12">
        <v>3</v>
      </c>
      <c r="AT12">
        <v>4.5</v>
      </c>
      <c r="AU12" s="87">
        <v>1.3599999999999999</v>
      </c>
      <c r="AV12">
        <v>2</v>
      </c>
      <c r="AW12">
        <v>3</v>
      </c>
      <c r="AX12" s="88">
        <v>4</v>
      </c>
      <c r="AY12" s="87">
        <v>1.1550000000000002</v>
      </c>
      <c r="AZ12">
        <v>2.4750000000000001</v>
      </c>
      <c r="BA12">
        <v>4.2350000000000003</v>
      </c>
      <c r="BB12">
        <v>6.6550000000000002</v>
      </c>
      <c r="BC12" s="87">
        <v>1.5650000000000008</v>
      </c>
      <c r="BD12">
        <v>2.4750000000000001</v>
      </c>
      <c r="BE12">
        <v>4.2350000000000003</v>
      </c>
      <c r="BF12" s="88">
        <v>5.830000000000001</v>
      </c>
      <c r="BG12" s="87">
        <f t="shared" si="5"/>
        <v>4.45</v>
      </c>
      <c r="BH12">
        <f t="shared" si="6"/>
        <v>8.3250000000000011</v>
      </c>
      <c r="BI12">
        <f t="shared" si="7"/>
        <v>13.395</v>
      </c>
      <c r="BJ12">
        <f t="shared" si="8"/>
        <v>20.310000000000002</v>
      </c>
      <c r="BK12" s="87">
        <f t="shared" si="9"/>
        <v>5.6650000000000009</v>
      </c>
      <c r="BL12">
        <f t="shared" si="10"/>
        <v>8.3250000000000011</v>
      </c>
      <c r="BM12">
        <f t="shared" si="11"/>
        <v>13.395</v>
      </c>
      <c r="BN12">
        <f t="shared" si="12"/>
        <v>17.96</v>
      </c>
      <c r="BO12" s="138">
        <f t="shared" si="13"/>
        <v>7.5500000000000007</v>
      </c>
      <c r="BP12" s="143">
        <f t="shared" si="14"/>
        <v>14.778</v>
      </c>
      <c r="BQ12" s="138">
        <f t="shared" si="15"/>
        <v>7.793000000000001</v>
      </c>
      <c r="BR12" s="139">
        <f t="shared" si="16"/>
        <v>14.308</v>
      </c>
      <c r="BS12" s="87">
        <f t="shared" si="17"/>
        <v>11.164000000000001</v>
      </c>
      <c r="BT12" s="88">
        <f t="shared" si="18"/>
        <v>11.0505</v>
      </c>
      <c r="BU12" s="134">
        <f t="shared" si="19"/>
        <v>11.107250000000001</v>
      </c>
    </row>
    <row r="13" spans="1:73" x14ac:dyDescent="0.25">
      <c r="A13" s="102" t="s">
        <v>67</v>
      </c>
      <c r="B13" s="102" t="s">
        <v>78</v>
      </c>
      <c r="C13" s="121" t="s">
        <v>91</v>
      </c>
      <c r="D13" s="155" t="s">
        <v>104</v>
      </c>
      <c r="E13" s="156" t="s">
        <v>105</v>
      </c>
      <c r="F13" s="156" t="s">
        <v>106</v>
      </c>
      <c r="G13" s="110">
        <f t="shared" si="0"/>
        <v>1</v>
      </c>
      <c r="H13" s="110">
        <f t="shared" si="1"/>
        <v>0.66</v>
      </c>
      <c r="I13" s="110">
        <f t="shared" si="2"/>
        <v>0.33</v>
      </c>
      <c r="J13" s="147">
        <f t="shared" si="4"/>
        <v>10.8</v>
      </c>
      <c r="K13" s="87">
        <v>0.77</v>
      </c>
      <c r="L13">
        <v>1</v>
      </c>
      <c r="M13">
        <v>1</v>
      </c>
      <c r="N13" s="88">
        <v>1</v>
      </c>
      <c r="O13" s="87">
        <v>0.83</v>
      </c>
      <c r="P13">
        <v>1</v>
      </c>
      <c r="Q13">
        <v>1</v>
      </c>
      <c r="R13" s="88">
        <v>1</v>
      </c>
      <c r="S13" s="87">
        <v>0.44000000000000006</v>
      </c>
      <c r="T13">
        <v>0.55000000000000004</v>
      </c>
      <c r="U13">
        <v>0.77</v>
      </c>
      <c r="V13" s="88">
        <v>1</v>
      </c>
      <c r="W13" s="87">
        <v>0.47000000000000003</v>
      </c>
      <c r="X13">
        <v>0.55000000000000004</v>
      </c>
      <c r="Y13">
        <v>0.77</v>
      </c>
      <c r="Z13" s="88">
        <v>0.92</v>
      </c>
      <c r="AA13" s="87">
        <v>0</v>
      </c>
      <c r="AB13">
        <v>0.22000000000000003</v>
      </c>
      <c r="AC13">
        <v>0.44</v>
      </c>
      <c r="AD13" s="88">
        <v>0.55000000000000004</v>
      </c>
      <c r="AE13" s="87">
        <v>0.06</v>
      </c>
      <c r="AF13">
        <v>0.22000000000000003</v>
      </c>
      <c r="AG13">
        <v>0.44</v>
      </c>
      <c r="AH13" s="88">
        <v>0.52</v>
      </c>
      <c r="AI13" s="87">
        <v>3.8900000000000006</v>
      </c>
      <c r="AJ13">
        <v>7</v>
      </c>
      <c r="AK13">
        <v>8</v>
      </c>
      <c r="AL13" s="88">
        <v>9.5</v>
      </c>
      <c r="AM13" s="87">
        <v>4.8099999999999987</v>
      </c>
      <c r="AN13">
        <v>7</v>
      </c>
      <c r="AO13">
        <v>8</v>
      </c>
      <c r="AP13" s="88">
        <v>9</v>
      </c>
      <c r="AQ13" s="87">
        <v>0.60499999999999998</v>
      </c>
      <c r="AR13">
        <v>1.1000000000000001</v>
      </c>
      <c r="AS13">
        <v>2.31</v>
      </c>
      <c r="AT13">
        <v>4.1549999999999994</v>
      </c>
      <c r="AU13" s="87">
        <v>0.77499999999999991</v>
      </c>
      <c r="AV13">
        <v>1.1000000000000001</v>
      </c>
      <c r="AW13">
        <v>2.31</v>
      </c>
      <c r="AX13" s="88">
        <v>3.53</v>
      </c>
      <c r="AY13" s="187">
        <v>-0.32999999999999996</v>
      </c>
      <c r="AZ13" s="179">
        <v>0.9900000000000001</v>
      </c>
      <c r="BA13" s="179">
        <v>2.42</v>
      </c>
      <c r="BB13" s="179">
        <v>3.6850000000000005</v>
      </c>
      <c r="BC13" s="187">
        <v>4.9999999999999933E-2</v>
      </c>
      <c r="BD13" s="179">
        <v>0.9900000000000001</v>
      </c>
      <c r="BE13" s="179">
        <v>2.42</v>
      </c>
      <c r="BF13" s="188">
        <v>3.3000000000000007</v>
      </c>
      <c r="BG13" s="87">
        <f t="shared" si="5"/>
        <v>4.1650000000000009</v>
      </c>
      <c r="BH13">
        <f t="shared" si="6"/>
        <v>9.09</v>
      </c>
      <c r="BI13">
        <f t="shared" si="7"/>
        <v>12.73</v>
      </c>
      <c r="BJ13">
        <f t="shared" si="8"/>
        <v>17.34</v>
      </c>
      <c r="BK13" s="87">
        <f t="shared" si="9"/>
        <v>5.6349999999999989</v>
      </c>
      <c r="BL13">
        <f t="shared" si="10"/>
        <v>9.09</v>
      </c>
      <c r="BM13">
        <f t="shared" si="11"/>
        <v>12.73</v>
      </c>
      <c r="BN13">
        <f t="shared" si="12"/>
        <v>15.83</v>
      </c>
      <c r="BO13" s="138">
        <f t="shared" si="13"/>
        <v>8.1050000000000004</v>
      </c>
      <c r="BP13" s="143">
        <f t="shared" si="14"/>
        <v>13.652000000000001</v>
      </c>
      <c r="BQ13" s="138">
        <f t="shared" si="15"/>
        <v>8.3989999999999991</v>
      </c>
      <c r="BR13" s="139">
        <f t="shared" si="16"/>
        <v>13.350000000000001</v>
      </c>
      <c r="BS13" s="87">
        <f t="shared" si="17"/>
        <v>10.878500000000001</v>
      </c>
      <c r="BT13" s="88">
        <f t="shared" si="18"/>
        <v>10.874500000000001</v>
      </c>
      <c r="BU13" s="134">
        <f t="shared" si="19"/>
        <v>10.8765</v>
      </c>
    </row>
    <row r="14" spans="1:73" ht="30" x14ac:dyDescent="0.25">
      <c r="A14" s="102" t="s">
        <v>68</v>
      </c>
      <c r="B14" s="102" t="s">
        <v>79</v>
      </c>
      <c r="C14" s="121" t="s">
        <v>92</v>
      </c>
      <c r="D14" s="155" t="s">
        <v>104</v>
      </c>
      <c r="E14" s="156" t="s">
        <v>105</v>
      </c>
      <c r="F14" s="156" t="s">
        <v>106</v>
      </c>
      <c r="G14" s="110">
        <f t="shared" si="0"/>
        <v>1</v>
      </c>
      <c r="H14" s="110">
        <f t="shared" si="1"/>
        <v>0.66</v>
      </c>
      <c r="I14" s="110">
        <f t="shared" si="2"/>
        <v>0.33</v>
      </c>
      <c r="J14" s="147">
        <f t="shared" si="4"/>
        <v>10.8</v>
      </c>
      <c r="K14" s="87">
        <v>0.77</v>
      </c>
      <c r="L14">
        <v>1</v>
      </c>
      <c r="M14">
        <v>1</v>
      </c>
      <c r="N14" s="88">
        <v>1</v>
      </c>
      <c r="O14" s="87">
        <v>0.83</v>
      </c>
      <c r="P14">
        <v>1</v>
      </c>
      <c r="Q14">
        <v>1</v>
      </c>
      <c r="R14" s="88">
        <v>1</v>
      </c>
      <c r="S14" s="87">
        <v>0.44000000000000006</v>
      </c>
      <c r="T14">
        <v>0.55000000000000004</v>
      </c>
      <c r="U14">
        <v>0.77</v>
      </c>
      <c r="V14" s="88">
        <v>1</v>
      </c>
      <c r="W14" s="87">
        <v>0.47000000000000003</v>
      </c>
      <c r="X14">
        <v>0.55000000000000004</v>
      </c>
      <c r="Y14">
        <v>0.77</v>
      </c>
      <c r="Z14" s="88">
        <v>0.92</v>
      </c>
      <c r="AA14" s="87">
        <v>0</v>
      </c>
      <c r="AB14">
        <v>0.22000000000000003</v>
      </c>
      <c r="AC14">
        <v>0.44</v>
      </c>
      <c r="AD14" s="88">
        <v>0.55000000000000004</v>
      </c>
      <c r="AE14" s="87">
        <v>0.06</v>
      </c>
      <c r="AF14">
        <v>0.22000000000000003</v>
      </c>
      <c r="AG14">
        <v>0.44</v>
      </c>
      <c r="AH14" s="88">
        <v>0.52</v>
      </c>
      <c r="AI14" s="87">
        <v>3.8900000000000006</v>
      </c>
      <c r="AJ14">
        <v>7</v>
      </c>
      <c r="AK14">
        <v>8</v>
      </c>
      <c r="AL14" s="88">
        <v>9.5</v>
      </c>
      <c r="AM14" s="87">
        <v>4.8099999999999987</v>
      </c>
      <c r="AN14">
        <v>7</v>
      </c>
      <c r="AO14">
        <v>8</v>
      </c>
      <c r="AP14" s="88">
        <v>9</v>
      </c>
      <c r="AQ14" s="87">
        <v>0.60499999999999998</v>
      </c>
      <c r="AR14">
        <v>1.1000000000000001</v>
      </c>
      <c r="AS14">
        <v>2.31</v>
      </c>
      <c r="AT14">
        <v>4.1549999999999994</v>
      </c>
      <c r="AU14" s="87">
        <v>0.77499999999999991</v>
      </c>
      <c r="AV14">
        <v>1.1000000000000001</v>
      </c>
      <c r="AW14">
        <v>2.31</v>
      </c>
      <c r="AX14" s="88">
        <v>3.53</v>
      </c>
      <c r="AY14" s="187">
        <v>-0.32999999999999996</v>
      </c>
      <c r="AZ14" s="179">
        <v>0.9900000000000001</v>
      </c>
      <c r="BA14" s="179">
        <v>2.42</v>
      </c>
      <c r="BB14" s="179">
        <v>3.6850000000000005</v>
      </c>
      <c r="BC14" s="187">
        <v>4.9999999999999933E-2</v>
      </c>
      <c r="BD14" s="179">
        <v>0.9900000000000001</v>
      </c>
      <c r="BE14" s="179">
        <v>2.42</v>
      </c>
      <c r="BF14" s="188">
        <v>3.3000000000000007</v>
      </c>
      <c r="BG14" s="87">
        <f t="shared" si="5"/>
        <v>4.1650000000000009</v>
      </c>
      <c r="BH14">
        <f t="shared" si="6"/>
        <v>9.09</v>
      </c>
      <c r="BI14">
        <f t="shared" si="7"/>
        <v>12.73</v>
      </c>
      <c r="BJ14">
        <f t="shared" si="8"/>
        <v>17.34</v>
      </c>
      <c r="BK14" s="87">
        <f t="shared" si="9"/>
        <v>5.6349999999999989</v>
      </c>
      <c r="BL14">
        <f t="shared" si="10"/>
        <v>9.09</v>
      </c>
      <c r="BM14">
        <f t="shared" si="11"/>
        <v>12.73</v>
      </c>
      <c r="BN14">
        <f t="shared" si="12"/>
        <v>15.83</v>
      </c>
      <c r="BO14" s="138">
        <f t="shared" si="13"/>
        <v>8.1050000000000004</v>
      </c>
      <c r="BP14" s="143">
        <f t="shared" si="14"/>
        <v>13.652000000000001</v>
      </c>
      <c r="BQ14" s="138">
        <f t="shared" si="15"/>
        <v>8.3989999999999991</v>
      </c>
      <c r="BR14" s="139">
        <f t="shared" si="16"/>
        <v>13.350000000000001</v>
      </c>
      <c r="BS14" s="87">
        <f t="shared" si="17"/>
        <v>10.878500000000001</v>
      </c>
      <c r="BT14" s="88">
        <f t="shared" si="18"/>
        <v>10.874500000000001</v>
      </c>
      <c r="BU14" s="134">
        <f t="shared" si="19"/>
        <v>10.8765</v>
      </c>
    </row>
    <row r="15" spans="1:73" ht="30" x14ac:dyDescent="0.25">
      <c r="A15" s="102" t="s">
        <v>69</v>
      </c>
      <c r="B15" s="102" t="s">
        <v>80</v>
      </c>
      <c r="C15" s="121" t="s">
        <v>81</v>
      </c>
      <c r="D15" s="155" t="s">
        <v>105</v>
      </c>
      <c r="E15" s="156" t="s">
        <v>104</v>
      </c>
      <c r="F15" s="156" t="s">
        <v>104</v>
      </c>
      <c r="G15" s="110">
        <f t="shared" si="0"/>
        <v>0.66</v>
      </c>
      <c r="H15" s="110">
        <f t="shared" si="1"/>
        <v>1</v>
      </c>
      <c r="I15" s="110">
        <f t="shared" si="2"/>
        <v>1</v>
      </c>
      <c r="J15" s="147">
        <f t="shared" si="4"/>
        <v>12.45</v>
      </c>
      <c r="K15" s="87">
        <v>0.44000000000000006</v>
      </c>
      <c r="L15">
        <v>0.55000000000000004</v>
      </c>
      <c r="M15">
        <v>0.77</v>
      </c>
      <c r="N15" s="88">
        <v>1</v>
      </c>
      <c r="O15" s="87">
        <v>0.47000000000000003</v>
      </c>
      <c r="P15">
        <v>0.55000000000000004</v>
      </c>
      <c r="Q15">
        <v>0.77</v>
      </c>
      <c r="R15" s="88">
        <v>0.92</v>
      </c>
      <c r="S15" s="87">
        <v>0.77</v>
      </c>
      <c r="T15">
        <v>1</v>
      </c>
      <c r="U15">
        <v>1</v>
      </c>
      <c r="V15" s="88">
        <v>1</v>
      </c>
      <c r="W15" s="87">
        <v>0.83</v>
      </c>
      <c r="X15">
        <v>1</v>
      </c>
      <c r="Y15">
        <v>1</v>
      </c>
      <c r="Z15" s="88">
        <v>1</v>
      </c>
      <c r="AA15" s="87">
        <v>0.77</v>
      </c>
      <c r="AB15">
        <v>1</v>
      </c>
      <c r="AC15">
        <v>1</v>
      </c>
      <c r="AD15" s="88">
        <v>1</v>
      </c>
      <c r="AE15" s="87">
        <v>0.83</v>
      </c>
      <c r="AF15">
        <v>1</v>
      </c>
      <c r="AG15">
        <v>1</v>
      </c>
      <c r="AH15" s="88">
        <v>1</v>
      </c>
      <c r="AI15" s="87">
        <v>2.2549999999999999</v>
      </c>
      <c r="AJ15">
        <v>3.8500000000000005</v>
      </c>
      <c r="AK15">
        <v>6.16</v>
      </c>
      <c r="AL15" s="88">
        <v>9.1550000000000011</v>
      </c>
      <c r="AM15" s="87">
        <v>2.7399999999999993</v>
      </c>
      <c r="AN15">
        <v>3.8500000000000005</v>
      </c>
      <c r="AO15">
        <v>6.16</v>
      </c>
      <c r="AP15" s="88">
        <v>8.129999999999999</v>
      </c>
      <c r="AQ15" s="87">
        <v>1.04</v>
      </c>
      <c r="AR15">
        <v>2</v>
      </c>
      <c r="AS15">
        <v>3</v>
      </c>
      <c r="AT15">
        <v>4.5</v>
      </c>
      <c r="AU15" s="87">
        <v>1.3599999999999999</v>
      </c>
      <c r="AV15">
        <v>2</v>
      </c>
      <c r="AW15">
        <v>3</v>
      </c>
      <c r="AX15" s="88">
        <v>4</v>
      </c>
      <c r="AY15" s="87">
        <v>1.9649999999999999</v>
      </c>
      <c r="AZ15">
        <v>4.5</v>
      </c>
      <c r="BA15">
        <v>5.5</v>
      </c>
      <c r="BB15">
        <v>7</v>
      </c>
      <c r="BC15" s="87">
        <v>2.7349999999999994</v>
      </c>
      <c r="BD15">
        <v>4.5</v>
      </c>
      <c r="BE15">
        <v>5.5</v>
      </c>
      <c r="BF15" s="88">
        <v>6.5</v>
      </c>
      <c r="BG15" s="87">
        <f t="shared" si="5"/>
        <v>5.26</v>
      </c>
      <c r="BH15">
        <f t="shared" si="6"/>
        <v>10.350000000000001</v>
      </c>
      <c r="BI15">
        <f t="shared" si="7"/>
        <v>14.66</v>
      </c>
      <c r="BJ15">
        <f t="shared" si="8"/>
        <v>20.655000000000001</v>
      </c>
      <c r="BK15" s="87">
        <f t="shared" si="9"/>
        <v>6.8349999999999991</v>
      </c>
      <c r="BL15">
        <f t="shared" si="10"/>
        <v>10.350000000000001</v>
      </c>
      <c r="BM15">
        <f t="shared" si="11"/>
        <v>14.66</v>
      </c>
      <c r="BN15">
        <f t="shared" si="12"/>
        <v>18.63</v>
      </c>
      <c r="BO15" s="138">
        <f t="shared" si="13"/>
        <v>9.3320000000000007</v>
      </c>
      <c r="BP15" s="143">
        <f t="shared" si="14"/>
        <v>15.859000000000002</v>
      </c>
      <c r="BQ15" s="138">
        <f t="shared" si="15"/>
        <v>9.6470000000000002</v>
      </c>
      <c r="BR15" s="139">
        <f t="shared" si="16"/>
        <v>15.454000000000001</v>
      </c>
      <c r="BS15" s="87">
        <f t="shared" si="17"/>
        <v>12.595500000000001</v>
      </c>
      <c r="BT15" s="88">
        <f t="shared" si="18"/>
        <v>12.5505</v>
      </c>
      <c r="BU15" s="134">
        <f t="shared" si="19"/>
        <v>12.573</v>
      </c>
    </row>
    <row r="16" spans="1:73" ht="36.75" customHeight="1" x14ac:dyDescent="0.25">
      <c r="A16" s="102" t="s">
        <v>70</v>
      </c>
      <c r="B16" s="102" t="s">
        <v>82</v>
      </c>
      <c r="C16" s="121" t="s">
        <v>93</v>
      </c>
      <c r="D16" s="155" t="s">
        <v>105</v>
      </c>
      <c r="E16" s="156" t="s">
        <v>104</v>
      </c>
      <c r="F16" s="156" t="s">
        <v>105</v>
      </c>
      <c r="G16" s="110">
        <f t="shared" si="0"/>
        <v>0.66</v>
      </c>
      <c r="H16" s="110">
        <f t="shared" si="1"/>
        <v>1</v>
      </c>
      <c r="I16" s="110">
        <f t="shared" si="2"/>
        <v>0.66</v>
      </c>
      <c r="J16" s="147">
        <f t="shared" si="4"/>
        <v>10.75</v>
      </c>
      <c r="K16" s="87">
        <v>0.44000000000000006</v>
      </c>
      <c r="L16">
        <v>0.55000000000000004</v>
      </c>
      <c r="M16">
        <v>0.77</v>
      </c>
      <c r="N16" s="88">
        <v>1</v>
      </c>
      <c r="O16" s="87">
        <v>0.47000000000000003</v>
      </c>
      <c r="P16">
        <v>0.55000000000000004</v>
      </c>
      <c r="Q16">
        <v>0.77</v>
      </c>
      <c r="R16" s="88">
        <v>0.92</v>
      </c>
      <c r="S16" s="87">
        <v>0.77</v>
      </c>
      <c r="T16">
        <v>1</v>
      </c>
      <c r="U16">
        <v>1</v>
      </c>
      <c r="V16" s="88">
        <v>1</v>
      </c>
      <c r="W16" s="87">
        <v>0.83</v>
      </c>
      <c r="X16">
        <v>1</v>
      </c>
      <c r="Y16">
        <v>1</v>
      </c>
      <c r="Z16" s="88">
        <v>1</v>
      </c>
      <c r="AA16" s="87">
        <v>0.44000000000000006</v>
      </c>
      <c r="AB16">
        <v>0.55000000000000004</v>
      </c>
      <c r="AC16">
        <v>0.77</v>
      </c>
      <c r="AD16" s="88">
        <v>1</v>
      </c>
      <c r="AE16" s="87">
        <v>0.47000000000000003</v>
      </c>
      <c r="AF16">
        <v>0.55000000000000004</v>
      </c>
      <c r="AG16">
        <v>0.77</v>
      </c>
      <c r="AH16" s="88">
        <v>0.92</v>
      </c>
      <c r="AI16" s="87">
        <v>2.2549999999999999</v>
      </c>
      <c r="AJ16">
        <v>3.8500000000000005</v>
      </c>
      <c r="AK16">
        <v>6.16</v>
      </c>
      <c r="AL16" s="88">
        <v>9.1550000000000011</v>
      </c>
      <c r="AM16" s="87">
        <v>2.7399999999999993</v>
      </c>
      <c r="AN16">
        <v>3.8500000000000005</v>
      </c>
      <c r="AO16">
        <v>6.16</v>
      </c>
      <c r="AP16" s="88">
        <v>8.129999999999999</v>
      </c>
      <c r="AQ16" s="87">
        <v>1.04</v>
      </c>
      <c r="AR16">
        <v>2</v>
      </c>
      <c r="AS16">
        <v>3</v>
      </c>
      <c r="AT16">
        <v>4.5</v>
      </c>
      <c r="AU16" s="87">
        <v>1.3599999999999999</v>
      </c>
      <c r="AV16">
        <v>2</v>
      </c>
      <c r="AW16">
        <v>3</v>
      </c>
      <c r="AX16" s="88">
        <v>4</v>
      </c>
      <c r="AY16" s="87">
        <v>1.1550000000000002</v>
      </c>
      <c r="AZ16">
        <v>2.4750000000000001</v>
      </c>
      <c r="BA16">
        <v>4.2350000000000003</v>
      </c>
      <c r="BB16">
        <v>6.6550000000000002</v>
      </c>
      <c r="BC16" s="87">
        <v>1.5650000000000008</v>
      </c>
      <c r="BD16">
        <v>2.4750000000000001</v>
      </c>
      <c r="BE16">
        <v>4.2350000000000003</v>
      </c>
      <c r="BF16" s="88">
        <v>5.830000000000001</v>
      </c>
      <c r="BG16" s="87">
        <f t="shared" si="5"/>
        <v>4.45</v>
      </c>
      <c r="BH16">
        <f t="shared" si="6"/>
        <v>8.3250000000000011</v>
      </c>
      <c r="BI16">
        <f t="shared" si="7"/>
        <v>13.395</v>
      </c>
      <c r="BJ16">
        <f t="shared" si="8"/>
        <v>20.310000000000002</v>
      </c>
      <c r="BK16" s="87">
        <f t="shared" si="9"/>
        <v>5.6650000000000009</v>
      </c>
      <c r="BL16">
        <f t="shared" si="10"/>
        <v>8.3250000000000011</v>
      </c>
      <c r="BM16">
        <f t="shared" si="11"/>
        <v>13.395</v>
      </c>
      <c r="BN16">
        <f t="shared" si="12"/>
        <v>17.96</v>
      </c>
      <c r="BO16" s="138">
        <f t="shared" si="13"/>
        <v>7.5500000000000007</v>
      </c>
      <c r="BP16" s="143">
        <f t="shared" si="14"/>
        <v>14.778</v>
      </c>
      <c r="BQ16" s="138">
        <f t="shared" si="15"/>
        <v>7.793000000000001</v>
      </c>
      <c r="BR16" s="139">
        <f t="shared" si="16"/>
        <v>14.308</v>
      </c>
      <c r="BS16" s="87">
        <f t="shared" si="17"/>
        <v>11.164000000000001</v>
      </c>
      <c r="BT16" s="88">
        <f t="shared" si="18"/>
        <v>11.0505</v>
      </c>
      <c r="BU16" s="134">
        <f t="shared" si="19"/>
        <v>11.107250000000001</v>
      </c>
    </row>
    <row r="17" spans="1:73" ht="30.75" thickBot="1" x14ac:dyDescent="0.3">
      <c r="A17" s="102" t="s">
        <v>71</v>
      </c>
      <c r="B17" s="102" t="s">
        <v>83</v>
      </c>
      <c r="C17" s="121" t="s">
        <v>94</v>
      </c>
      <c r="D17" s="157" t="s">
        <v>106</v>
      </c>
      <c r="E17" s="158" t="s">
        <v>104</v>
      </c>
      <c r="F17" s="158" t="s">
        <v>105</v>
      </c>
      <c r="G17" s="123">
        <f t="shared" si="0"/>
        <v>0.33</v>
      </c>
      <c r="H17" s="123">
        <f t="shared" si="1"/>
        <v>1</v>
      </c>
      <c r="I17" s="123">
        <f t="shared" si="2"/>
        <v>0.66</v>
      </c>
      <c r="J17" s="148">
        <f t="shared" si="4"/>
        <v>8.2750000000000004</v>
      </c>
      <c r="K17" s="91">
        <v>0</v>
      </c>
      <c r="L17" s="93">
        <v>0.22000000000000003</v>
      </c>
      <c r="M17" s="93">
        <v>0.44</v>
      </c>
      <c r="N17" s="94">
        <v>0.55000000000000004</v>
      </c>
      <c r="O17" s="91">
        <v>0.06</v>
      </c>
      <c r="P17" s="93">
        <v>0.22000000000000003</v>
      </c>
      <c r="Q17" s="93">
        <v>0.44</v>
      </c>
      <c r="R17" s="94">
        <v>0.52</v>
      </c>
      <c r="S17" s="91">
        <v>0.77</v>
      </c>
      <c r="T17" s="93">
        <v>1</v>
      </c>
      <c r="U17" s="93">
        <v>1</v>
      </c>
      <c r="V17" s="94">
        <v>1</v>
      </c>
      <c r="W17" s="91">
        <v>0.83</v>
      </c>
      <c r="X17" s="93">
        <v>1</v>
      </c>
      <c r="Y17" s="93">
        <v>1</v>
      </c>
      <c r="Z17" s="94">
        <v>1</v>
      </c>
      <c r="AA17" s="91">
        <v>0.44000000000000006</v>
      </c>
      <c r="AB17" s="93">
        <v>0.55000000000000004</v>
      </c>
      <c r="AC17" s="93">
        <v>0.77</v>
      </c>
      <c r="AD17" s="94">
        <v>1</v>
      </c>
      <c r="AE17" s="91">
        <v>0.47000000000000003</v>
      </c>
      <c r="AF17" s="93">
        <v>0.55000000000000004</v>
      </c>
      <c r="AG17" s="93">
        <v>0.77</v>
      </c>
      <c r="AH17" s="94">
        <v>0.92</v>
      </c>
      <c r="AI17" s="189">
        <v>-0.33000000000000007</v>
      </c>
      <c r="AJ17" s="201">
        <v>1.5400000000000003</v>
      </c>
      <c r="AK17" s="201">
        <v>3.52</v>
      </c>
      <c r="AL17" s="190">
        <v>5.0600000000000005</v>
      </c>
      <c r="AM17" s="189">
        <v>0.19999999999999996</v>
      </c>
      <c r="AN17" s="201">
        <v>1.5400000000000003</v>
      </c>
      <c r="AO17" s="201">
        <v>3.52</v>
      </c>
      <c r="AP17" s="190">
        <v>4.6000000000000014</v>
      </c>
      <c r="AQ17" s="91">
        <v>1.04</v>
      </c>
      <c r="AR17" s="93">
        <v>2</v>
      </c>
      <c r="AS17" s="93">
        <v>3</v>
      </c>
      <c r="AT17" s="93">
        <v>4.5</v>
      </c>
      <c r="AU17" s="91">
        <v>1.3599999999999999</v>
      </c>
      <c r="AV17" s="93">
        <v>2</v>
      </c>
      <c r="AW17" s="93">
        <v>3</v>
      </c>
      <c r="AX17" s="94">
        <v>4</v>
      </c>
      <c r="AY17" s="91">
        <v>1.1550000000000002</v>
      </c>
      <c r="AZ17" s="93">
        <v>2.4750000000000001</v>
      </c>
      <c r="BA17" s="93">
        <v>4.2350000000000003</v>
      </c>
      <c r="BB17" s="93">
        <v>6.6550000000000002</v>
      </c>
      <c r="BC17" s="91">
        <v>1.5650000000000008</v>
      </c>
      <c r="BD17" s="93">
        <v>2.4750000000000001</v>
      </c>
      <c r="BE17" s="93">
        <v>4.2350000000000003</v>
      </c>
      <c r="BF17" s="94">
        <v>5.830000000000001</v>
      </c>
      <c r="BG17" s="91">
        <f t="shared" si="5"/>
        <v>1.8650000000000002</v>
      </c>
      <c r="BH17" s="93">
        <f t="shared" si="6"/>
        <v>6.0150000000000006</v>
      </c>
      <c r="BI17" s="93">
        <f t="shared" si="7"/>
        <v>10.754999999999999</v>
      </c>
      <c r="BJ17" s="93">
        <f t="shared" si="8"/>
        <v>16.215</v>
      </c>
      <c r="BK17" s="91">
        <f t="shared" si="9"/>
        <v>3.1250000000000009</v>
      </c>
      <c r="BL17" s="93">
        <f t="shared" si="10"/>
        <v>6.0150000000000006</v>
      </c>
      <c r="BM17" s="93">
        <f t="shared" si="11"/>
        <v>10.754999999999999</v>
      </c>
      <c r="BN17" s="93">
        <f t="shared" si="12"/>
        <v>14.430000000000003</v>
      </c>
      <c r="BO17" s="140">
        <f t="shared" si="13"/>
        <v>5.1850000000000014</v>
      </c>
      <c r="BP17" s="144">
        <f t="shared" si="14"/>
        <v>11.846999999999998</v>
      </c>
      <c r="BQ17" s="140">
        <f t="shared" si="15"/>
        <v>5.4370000000000012</v>
      </c>
      <c r="BR17" s="141">
        <f t="shared" si="16"/>
        <v>11.489999999999998</v>
      </c>
      <c r="BS17" s="91">
        <f t="shared" si="17"/>
        <v>8.516</v>
      </c>
      <c r="BT17" s="94">
        <f t="shared" si="18"/>
        <v>8.4634999999999998</v>
      </c>
      <c r="BU17" s="135">
        <f t="shared" si="19"/>
        <v>8.4897500000000008</v>
      </c>
    </row>
    <row r="18" spans="1:73" x14ac:dyDescent="0.25">
      <c r="BF18" s="60"/>
      <c r="BG18" s="59"/>
      <c r="BH18" s="59"/>
      <c r="BI18" s="59"/>
      <c r="BJ18" s="59"/>
      <c r="BK18" s="59"/>
    </row>
    <row r="19" spans="1:73" x14ac:dyDescent="0.25">
      <c r="A19" s="1" t="s">
        <v>124</v>
      </c>
      <c r="B19" s="1"/>
    </row>
    <row r="20" spans="1:73" ht="15.75" thickBot="1" x14ac:dyDescent="0.3">
      <c r="A20" s="107" t="s">
        <v>103</v>
      </c>
      <c r="B20" s="108" t="s">
        <v>122</v>
      </c>
      <c r="E20" s="112" t="s">
        <v>17</v>
      </c>
      <c r="I20" t="s">
        <v>18</v>
      </c>
    </row>
    <row r="21" spans="1:73" x14ac:dyDescent="0.25">
      <c r="A21" s="106" t="s">
        <v>107</v>
      </c>
      <c r="B21" s="2">
        <v>0</v>
      </c>
      <c r="C21" s="79">
        <v>0</v>
      </c>
      <c r="D21" s="80" t="s">
        <v>107</v>
      </c>
      <c r="E21" s="81">
        <v>0</v>
      </c>
      <c r="F21" s="82">
        <f>C21</f>
        <v>0</v>
      </c>
      <c r="G21" s="83">
        <v>0</v>
      </c>
      <c r="H21" s="84">
        <v>0.22</v>
      </c>
      <c r="I21" s="85">
        <v>0</v>
      </c>
      <c r="J21" s="83">
        <f>F21</f>
        <v>0</v>
      </c>
      <c r="K21" s="83">
        <f>G21</f>
        <v>0</v>
      </c>
      <c r="L21" s="86">
        <v>0.15</v>
      </c>
    </row>
    <row r="22" spans="1:73" x14ac:dyDescent="0.25">
      <c r="A22" s="106" t="s">
        <v>106</v>
      </c>
      <c r="B22" s="2">
        <v>0.33</v>
      </c>
      <c r="C22" s="79">
        <v>0.33</v>
      </c>
      <c r="D22" s="80" t="s">
        <v>106</v>
      </c>
      <c r="E22" s="87">
        <v>0</v>
      </c>
      <c r="F22" s="111">
        <f>C22-0.11</f>
        <v>0.22000000000000003</v>
      </c>
      <c r="G22">
        <f>C22+0.11</f>
        <v>0.44</v>
      </c>
      <c r="H22" s="88">
        <f t="shared" ref="H22" si="20">G22+0.11</f>
        <v>0.55000000000000004</v>
      </c>
      <c r="I22" s="89">
        <v>0.06</v>
      </c>
      <c r="J22">
        <f t="shared" ref="J22:K24" si="21">F22</f>
        <v>0.22000000000000003</v>
      </c>
      <c r="K22">
        <f t="shared" si="21"/>
        <v>0.44</v>
      </c>
      <c r="L22" s="90">
        <f t="shared" ref="L22" si="22">K22+0.08</f>
        <v>0.52</v>
      </c>
    </row>
    <row r="23" spans="1:73" x14ac:dyDescent="0.25">
      <c r="A23" s="106" t="s">
        <v>105</v>
      </c>
      <c r="B23" s="2">
        <v>0.66</v>
      </c>
      <c r="C23" s="79">
        <v>0.66</v>
      </c>
      <c r="D23" s="80" t="s">
        <v>105</v>
      </c>
      <c r="E23" s="87">
        <f t="shared" ref="E23" si="23">F23-0.11</f>
        <v>0.44000000000000006</v>
      </c>
      <c r="F23" s="111">
        <f t="shared" ref="F23" si="24">C23-0.11</f>
        <v>0.55000000000000004</v>
      </c>
      <c r="G23">
        <f t="shared" ref="G23" si="25">C23+0.11</f>
        <v>0.77</v>
      </c>
      <c r="H23" s="88">
        <v>1</v>
      </c>
      <c r="I23" s="89">
        <f t="shared" ref="I23" si="26">J23-0.08</f>
        <v>0.47000000000000003</v>
      </c>
      <c r="J23">
        <f t="shared" si="21"/>
        <v>0.55000000000000004</v>
      </c>
      <c r="K23">
        <f t="shared" si="21"/>
        <v>0.77</v>
      </c>
      <c r="L23" s="90">
        <v>0.92</v>
      </c>
    </row>
    <row r="24" spans="1:73" ht="15.75" thickBot="1" x14ac:dyDescent="0.3">
      <c r="A24" s="106" t="s">
        <v>104</v>
      </c>
      <c r="B24" s="2">
        <v>1</v>
      </c>
      <c r="C24" s="79">
        <v>1</v>
      </c>
      <c r="D24" s="80" t="s">
        <v>104</v>
      </c>
      <c r="E24" s="91">
        <v>0.77</v>
      </c>
      <c r="F24" s="92">
        <v>1</v>
      </c>
      <c r="G24" s="93">
        <v>1</v>
      </c>
      <c r="H24" s="94">
        <v>1</v>
      </c>
      <c r="I24" s="95">
        <v>0.83</v>
      </c>
      <c r="J24" s="93">
        <f t="shared" si="21"/>
        <v>1</v>
      </c>
      <c r="K24" s="93">
        <f t="shared" si="21"/>
        <v>1</v>
      </c>
      <c r="L24" s="96">
        <v>1</v>
      </c>
    </row>
    <row r="25" spans="1:73" x14ac:dyDescent="0.25">
      <c r="A25" s="99"/>
    </row>
    <row r="26" spans="1:73" x14ac:dyDescent="0.25">
      <c r="A26" s="1" t="s">
        <v>119</v>
      </c>
    </row>
    <row r="27" spans="1:73" ht="15.75" thickBot="1" x14ac:dyDescent="0.3">
      <c r="A27" s="107" t="s">
        <v>103</v>
      </c>
      <c r="B27" s="108" t="s">
        <v>123</v>
      </c>
      <c r="E27" s="112" t="s">
        <v>17</v>
      </c>
      <c r="I27" t="s">
        <v>18</v>
      </c>
    </row>
    <row r="28" spans="1:73" x14ac:dyDescent="0.25">
      <c r="A28" s="106" t="s">
        <v>107</v>
      </c>
      <c r="B28" s="2">
        <v>1</v>
      </c>
      <c r="C28" s="79">
        <v>1</v>
      </c>
      <c r="D28" s="80" t="s">
        <v>107</v>
      </c>
      <c r="E28" s="81">
        <v>0</v>
      </c>
      <c r="F28" s="82">
        <v>0.5</v>
      </c>
      <c r="G28" s="83">
        <v>1.5</v>
      </c>
      <c r="H28" s="84">
        <v>2</v>
      </c>
      <c r="I28" s="85">
        <v>0</v>
      </c>
      <c r="J28" s="83">
        <f>F28</f>
        <v>0.5</v>
      </c>
      <c r="K28" s="83">
        <f>G28</f>
        <v>1.5</v>
      </c>
      <c r="L28" s="86">
        <v>1.8</v>
      </c>
    </row>
    <row r="29" spans="1:73" x14ac:dyDescent="0.25">
      <c r="A29" s="106" t="s">
        <v>106</v>
      </c>
      <c r="B29" s="2">
        <v>2.5</v>
      </c>
      <c r="C29" s="79">
        <v>2.5</v>
      </c>
      <c r="D29" s="80" t="s">
        <v>106</v>
      </c>
      <c r="E29" s="87">
        <v>1.5</v>
      </c>
      <c r="F29" s="111">
        <f>C29-0.5</f>
        <v>2</v>
      </c>
      <c r="G29">
        <f>C29+0.5</f>
        <v>3</v>
      </c>
      <c r="H29" s="88">
        <f t="shared" ref="H29:H31" si="27">G29+1.5</f>
        <v>4.5</v>
      </c>
      <c r="I29" s="89">
        <v>1.7</v>
      </c>
      <c r="J29">
        <f t="shared" ref="J29:K31" si="28">F29</f>
        <v>2</v>
      </c>
      <c r="K29">
        <f t="shared" si="28"/>
        <v>3</v>
      </c>
      <c r="L29" s="90">
        <f t="shared" ref="L29:L31" si="29">K29+1</f>
        <v>4</v>
      </c>
    </row>
    <row r="30" spans="1:73" x14ac:dyDescent="0.25">
      <c r="A30" s="106" t="s">
        <v>105</v>
      </c>
      <c r="B30" s="2">
        <v>5</v>
      </c>
      <c r="C30" s="79">
        <v>5</v>
      </c>
      <c r="D30" s="80" t="s">
        <v>105</v>
      </c>
      <c r="E30" s="87">
        <f t="shared" ref="E30:E31" si="30">F30-1.5</f>
        <v>3</v>
      </c>
      <c r="F30" s="111">
        <f>C30-0.5</f>
        <v>4.5</v>
      </c>
      <c r="G30">
        <f>C30+0.5</f>
        <v>5.5</v>
      </c>
      <c r="H30" s="88">
        <f t="shared" si="27"/>
        <v>7</v>
      </c>
      <c r="I30" s="89">
        <f t="shared" ref="I30:I31" si="31">J30-1</f>
        <v>3.5</v>
      </c>
      <c r="J30">
        <f t="shared" si="28"/>
        <v>4.5</v>
      </c>
      <c r="K30">
        <f t="shared" si="28"/>
        <v>5.5</v>
      </c>
      <c r="L30" s="90">
        <f t="shared" si="29"/>
        <v>6.5</v>
      </c>
    </row>
    <row r="31" spans="1:73" ht="15.75" thickBot="1" x14ac:dyDescent="0.3">
      <c r="A31" s="106" t="s">
        <v>104</v>
      </c>
      <c r="B31" s="2">
        <v>7.5</v>
      </c>
      <c r="C31" s="79">
        <v>7.5</v>
      </c>
      <c r="D31" s="80" t="s">
        <v>104</v>
      </c>
      <c r="E31" s="91">
        <f t="shared" si="30"/>
        <v>5.5</v>
      </c>
      <c r="F31" s="92">
        <f>C31-0.5</f>
        <v>7</v>
      </c>
      <c r="G31" s="93">
        <f>C31+0.5</f>
        <v>8</v>
      </c>
      <c r="H31" s="94">
        <f t="shared" si="27"/>
        <v>9.5</v>
      </c>
      <c r="I31" s="95">
        <f t="shared" si="31"/>
        <v>6</v>
      </c>
      <c r="J31" s="93">
        <f t="shared" si="28"/>
        <v>7</v>
      </c>
      <c r="K31" s="93">
        <f t="shared" si="28"/>
        <v>8</v>
      </c>
      <c r="L31" s="96">
        <f t="shared" si="29"/>
        <v>9</v>
      </c>
    </row>
    <row r="33" spans="1:12" ht="15.75" thickBot="1" x14ac:dyDescent="0.3">
      <c r="A33" s="1" t="s">
        <v>191</v>
      </c>
    </row>
    <row r="34" spans="1:12" ht="67.5" customHeight="1" thickBot="1" x14ac:dyDescent="0.3">
      <c r="A34" s="114" t="s">
        <v>117</v>
      </c>
      <c r="B34" s="113" t="s">
        <v>99</v>
      </c>
      <c r="C34" s="115" t="s">
        <v>108</v>
      </c>
      <c r="D34" s="116" t="s">
        <v>125</v>
      </c>
      <c r="E34" s="283" t="s">
        <v>126</v>
      </c>
      <c r="F34" s="284"/>
      <c r="G34" s="284"/>
      <c r="H34" s="284"/>
      <c r="I34" s="284"/>
      <c r="J34" s="284"/>
      <c r="K34" s="284"/>
      <c r="L34" s="285"/>
    </row>
    <row r="35" spans="1:12" x14ac:dyDescent="0.25">
      <c r="A35" s="125" t="s">
        <v>114</v>
      </c>
      <c r="B35" s="117" t="s">
        <v>100</v>
      </c>
      <c r="C35" s="118" t="s">
        <v>104</v>
      </c>
      <c r="D35" s="152">
        <v>7.5</v>
      </c>
      <c r="E35" s="87">
        <v>5.5</v>
      </c>
      <c r="F35" s="111">
        <v>7</v>
      </c>
      <c r="G35">
        <v>8</v>
      </c>
      <c r="H35" s="88">
        <v>9.5</v>
      </c>
      <c r="I35" s="89">
        <v>6</v>
      </c>
      <c r="J35">
        <v>7</v>
      </c>
      <c r="K35">
        <v>8</v>
      </c>
      <c r="L35" s="90">
        <v>9</v>
      </c>
    </row>
    <row r="36" spans="1:12" x14ac:dyDescent="0.25">
      <c r="A36" s="126" t="s">
        <v>115</v>
      </c>
      <c r="B36" s="104" t="s">
        <v>101</v>
      </c>
      <c r="C36" s="2" t="s">
        <v>106</v>
      </c>
      <c r="D36" s="153">
        <v>2.5</v>
      </c>
      <c r="E36" s="87">
        <v>1.5</v>
      </c>
      <c r="F36" s="111">
        <v>2</v>
      </c>
      <c r="G36">
        <v>3</v>
      </c>
      <c r="H36" s="88">
        <v>4.5</v>
      </c>
      <c r="I36" s="89">
        <v>1.7</v>
      </c>
      <c r="J36">
        <v>2</v>
      </c>
      <c r="K36">
        <v>3</v>
      </c>
      <c r="L36" s="90">
        <v>4</v>
      </c>
    </row>
    <row r="37" spans="1:12" ht="15.75" thickBot="1" x14ac:dyDescent="0.3">
      <c r="A37" s="127" t="s">
        <v>116</v>
      </c>
      <c r="B37" s="119" t="s">
        <v>102</v>
      </c>
      <c r="C37" s="120" t="s">
        <v>105</v>
      </c>
      <c r="D37" s="154">
        <v>5</v>
      </c>
      <c r="E37" s="91">
        <v>3</v>
      </c>
      <c r="F37" s="92">
        <v>4.5</v>
      </c>
      <c r="G37" s="93">
        <v>5.5</v>
      </c>
      <c r="H37" s="94">
        <v>7</v>
      </c>
      <c r="I37" s="95">
        <v>3.5</v>
      </c>
      <c r="J37" s="93">
        <v>4.5</v>
      </c>
      <c r="K37" s="93">
        <v>5.5</v>
      </c>
      <c r="L37" s="96">
        <v>6.5</v>
      </c>
    </row>
    <row r="39" spans="1:12" ht="15.75" thickBot="1" x14ac:dyDescent="0.3">
      <c r="A39" s="1" t="s">
        <v>192</v>
      </c>
    </row>
    <row r="40" spans="1:12" ht="45.75" thickBot="1" x14ac:dyDescent="0.3">
      <c r="A40" s="128" t="s">
        <v>132</v>
      </c>
      <c r="B40" s="129" t="s">
        <v>133</v>
      </c>
      <c r="E40" s="283" t="s">
        <v>134</v>
      </c>
      <c r="F40" s="284"/>
      <c r="G40" s="284"/>
      <c r="H40" s="284"/>
      <c r="I40" s="284"/>
      <c r="J40" s="284"/>
      <c r="K40" s="284"/>
      <c r="L40" s="285"/>
    </row>
    <row r="41" spans="1:12" x14ac:dyDescent="0.25">
      <c r="A41" s="125" t="s">
        <v>129</v>
      </c>
      <c r="B41" s="130" t="s">
        <v>107</v>
      </c>
      <c r="D41" s="133" t="s">
        <v>138</v>
      </c>
      <c r="E41" s="81">
        <f>E21*F$35+E$35*F21-F21*F$35</f>
        <v>0</v>
      </c>
      <c r="F41" s="83">
        <f>F21*F$35</f>
        <v>0</v>
      </c>
      <c r="G41" s="83">
        <f>G21*G$35</f>
        <v>0</v>
      </c>
      <c r="H41" s="84">
        <f>G21*H$35+G$35*H21-G21*G$35</f>
        <v>1.76</v>
      </c>
      <c r="I41" s="81">
        <f>I21*J$35+I$35*J21-J21*J$35</f>
        <v>0</v>
      </c>
      <c r="J41" s="83">
        <f>J21*J$35</f>
        <v>0</v>
      </c>
      <c r="K41" s="83">
        <f>K21*K$35</f>
        <v>0</v>
      </c>
      <c r="L41" s="84">
        <f>K21*L$35+K$35*L21-K21*K$35</f>
        <v>1.2</v>
      </c>
    </row>
    <row r="42" spans="1:12" x14ac:dyDescent="0.25">
      <c r="A42" s="126" t="s">
        <v>129</v>
      </c>
      <c r="B42" s="131" t="s">
        <v>106</v>
      </c>
      <c r="D42" s="134" t="s">
        <v>137</v>
      </c>
      <c r="E42" s="87">
        <f t="shared" ref="E42:E44" si="32">E22*F$35+E$35*F22-F22*F$35</f>
        <v>-0.33000000000000007</v>
      </c>
      <c r="F42">
        <f t="shared" ref="F42:G42" si="33">F22*F$35</f>
        <v>1.5400000000000003</v>
      </c>
      <c r="G42">
        <f t="shared" si="33"/>
        <v>3.52</v>
      </c>
      <c r="H42" s="88">
        <f t="shared" ref="H42:H44" si="34">G22*H$35+G$35*H22-G22*G$35</f>
        <v>5.0600000000000005</v>
      </c>
      <c r="I42" s="87">
        <f t="shared" ref="I42:I44" si="35">I22*J$35+I$35*J22-J22*J$35</f>
        <v>0.19999999999999996</v>
      </c>
      <c r="J42">
        <f t="shared" ref="J42:K42" si="36">J22*J$35</f>
        <v>1.5400000000000003</v>
      </c>
      <c r="K42">
        <f t="shared" si="36"/>
        <v>3.52</v>
      </c>
      <c r="L42" s="88">
        <f t="shared" ref="L42:L44" si="37">K22*L$35+K$35*L22-K22*K$35</f>
        <v>4.6000000000000014</v>
      </c>
    </row>
    <row r="43" spans="1:12" x14ac:dyDescent="0.25">
      <c r="A43" s="126" t="s">
        <v>129</v>
      </c>
      <c r="B43" s="131" t="s">
        <v>105</v>
      </c>
      <c r="D43" s="134" t="s">
        <v>136</v>
      </c>
      <c r="E43" s="87">
        <f t="shared" si="32"/>
        <v>2.2549999999999999</v>
      </c>
      <c r="F43">
        <f t="shared" ref="F43:G43" si="38">F23*F$35</f>
        <v>3.8500000000000005</v>
      </c>
      <c r="G43">
        <f t="shared" si="38"/>
        <v>6.16</v>
      </c>
      <c r="H43" s="88">
        <f t="shared" si="34"/>
        <v>9.1550000000000011</v>
      </c>
      <c r="I43" s="87">
        <f t="shared" si="35"/>
        <v>2.7399999999999993</v>
      </c>
      <c r="J43">
        <f t="shared" ref="J43:K43" si="39">J23*J$35</f>
        <v>3.8500000000000005</v>
      </c>
      <c r="K43">
        <f t="shared" si="39"/>
        <v>6.16</v>
      </c>
      <c r="L43" s="88">
        <f t="shared" si="37"/>
        <v>8.129999999999999</v>
      </c>
    </row>
    <row r="44" spans="1:12" ht="15.75" thickBot="1" x14ac:dyDescent="0.3">
      <c r="A44" s="127" t="s">
        <v>129</v>
      </c>
      <c r="B44" s="132" t="s">
        <v>104</v>
      </c>
      <c r="D44" s="135" t="s">
        <v>135</v>
      </c>
      <c r="E44" s="91">
        <f t="shared" si="32"/>
        <v>3.8900000000000006</v>
      </c>
      <c r="F44" s="93">
        <f t="shared" ref="F44:G44" si="40">F24*F$35</f>
        <v>7</v>
      </c>
      <c r="G44" s="93">
        <f t="shared" si="40"/>
        <v>8</v>
      </c>
      <c r="H44" s="94">
        <f t="shared" si="34"/>
        <v>9.5</v>
      </c>
      <c r="I44" s="91">
        <f t="shared" si="35"/>
        <v>4.8099999999999987</v>
      </c>
      <c r="J44" s="93">
        <f t="shared" ref="J44:K44" si="41">J24*J$35</f>
        <v>7</v>
      </c>
      <c r="K44" s="93">
        <f t="shared" si="41"/>
        <v>8</v>
      </c>
      <c r="L44" s="94">
        <f t="shared" si="37"/>
        <v>9</v>
      </c>
    </row>
    <row r="45" spans="1:12" x14ac:dyDescent="0.25">
      <c r="A45" s="125" t="s">
        <v>130</v>
      </c>
      <c r="B45" s="130" t="s">
        <v>107</v>
      </c>
      <c r="D45" s="133" t="s">
        <v>139</v>
      </c>
      <c r="E45" s="81">
        <f>E21*F$36+E$36*F21-F21*F$36</f>
        <v>0</v>
      </c>
      <c r="F45" s="83">
        <f>F21*F$36</f>
        <v>0</v>
      </c>
      <c r="G45" s="83">
        <f>G21*G$36</f>
        <v>0</v>
      </c>
      <c r="H45" s="84">
        <f>G21*H$36+G$36*H21-G21*G$36</f>
        <v>0.66</v>
      </c>
      <c r="I45" s="81">
        <f>I21*J$36+I$36*J21-J21*J$36</f>
        <v>0</v>
      </c>
      <c r="J45" s="83">
        <f>J21*J$36</f>
        <v>0</v>
      </c>
      <c r="K45" s="83">
        <f>K21*K$36</f>
        <v>0</v>
      </c>
      <c r="L45" s="84">
        <f>K21*L$36+K$36*L21-K21*K$36</f>
        <v>0.44999999999999996</v>
      </c>
    </row>
    <row r="46" spans="1:12" x14ac:dyDescent="0.25">
      <c r="A46" s="126" t="s">
        <v>130</v>
      </c>
      <c r="B46" s="131" t="s">
        <v>106</v>
      </c>
      <c r="D46" s="134" t="s">
        <v>144</v>
      </c>
      <c r="E46" s="87">
        <f>E22*F$36+E$36*F22-F22*F$36</f>
        <v>-0.10999999999999999</v>
      </c>
      <c r="F46">
        <f t="shared" ref="F46:G46" si="42">F22*F$36</f>
        <v>0.44000000000000006</v>
      </c>
      <c r="G46">
        <f t="shared" si="42"/>
        <v>1.32</v>
      </c>
      <c r="H46" s="88">
        <f t="shared" ref="H46:H48" si="43">G22*H$36+G$36*H22-G22*G$36</f>
        <v>2.3099999999999996</v>
      </c>
      <c r="I46" s="87">
        <f t="shared" ref="I46:I48" si="44">I22*J$36+I$36*J22-J22*J$36</f>
        <v>5.3999999999999992E-2</v>
      </c>
      <c r="J46">
        <f t="shared" ref="J46:K46" si="45">J22*J$36</f>
        <v>0.44000000000000006</v>
      </c>
      <c r="K46">
        <f t="shared" si="45"/>
        <v>1.32</v>
      </c>
      <c r="L46" s="88">
        <f t="shared" ref="L46:L48" si="46">K22*L$36+K$36*L22-K22*K$36</f>
        <v>2</v>
      </c>
    </row>
    <row r="47" spans="1:12" x14ac:dyDescent="0.25">
      <c r="A47" s="126" t="s">
        <v>130</v>
      </c>
      <c r="B47" s="131" t="s">
        <v>105</v>
      </c>
      <c r="D47" s="134" t="s">
        <v>145</v>
      </c>
      <c r="E47" s="87">
        <f t="shared" ref="E47:E48" si="47">E23*F$36+E$36*F23-F23*F$36</f>
        <v>0.60499999999999998</v>
      </c>
      <c r="F47">
        <f t="shared" ref="F47:G47" si="48">F23*F$36</f>
        <v>1.1000000000000001</v>
      </c>
      <c r="G47">
        <f t="shared" si="48"/>
        <v>2.31</v>
      </c>
      <c r="H47" s="88">
        <f t="shared" si="43"/>
        <v>4.1549999999999994</v>
      </c>
      <c r="I47" s="87">
        <f t="shared" si="44"/>
        <v>0.77499999999999991</v>
      </c>
      <c r="J47">
        <f t="shared" ref="J47:K47" si="49">J23*J$36</f>
        <v>1.1000000000000001</v>
      </c>
      <c r="K47">
        <f t="shared" si="49"/>
        <v>2.31</v>
      </c>
      <c r="L47" s="88">
        <f t="shared" si="46"/>
        <v>3.53</v>
      </c>
    </row>
    <row r="48" spans="1:12" ht="15.75" thickBot="1" x14ac:dyDescent="0.3">
      <c r="A48" s="127" t="s">
        <v>130</v>
      </c>
      <c r="B48" s="132" t="s">
        <v>104</v>
      </c>
      <c r="D48" s="135" t="s">
        <v>146</v>
      </c>
      <c r="E48" s="91">
        <f t="shared" si="47"/>
        <v>1.04</v>
      </c>
      <c r="F48" s="93">
        <f t="shared" ref="F48:G48" si="50">F24*F$36</f>
        <v>2</v>
      </c>
      <c r="G48" s="93">
        <f t="shared" si="50"/>
        <v>3</v>
      </c>
      <c r="H48" s="94">
        <f t="shared" si="43"/>
        <v>4.5</v>
      </c>
      <c r="I48" s="91">
        <f t="shared" si="44"/>
        <v>1.3599999999999999</v>
      </c>
      <c r="J48" s="93">
        <f t="shared" ref="J48:K48" si="51">J24*J$36</f>
        <v>2</v>
      </c>
      <c r="K48" s="93">
        <f t="shared" si="51"/>
        <v>3</v>
      </c>
      <c r="L48" s="94">
        <f t="shared" si="46"/>
        <v>4</v>
      </c>
    </row>
    <row r="49" spans="1:12" x14ac:dyDescent="0.25">
      <c r="A49" s="125" t="s">
        <v>131</v>
      </c>
      <c r="B49" s="130" t="s">
        <v>107</v>
      </c>
      <c r="D49" s="133" t="s">
        <v>141</v>
      </c>
      <c r="E49" s="87">
        <f>E21*F$37+E$37*F21-F21*F$37</f>
        <v>0</v>
      </c>
      <c r="F49">
        <f>F21*F$37</f>
        <v>0</v>
      </c>
      <c r="G49">
        <f>G21*G$37</f>
        <v>0</v>
      </c>
      <c r="H49" s="88">
        <f>G21*H$37+G$37*H21-G21*G$37</f>
        <v>1.21</v>
      </c>
      <c r="I49" s="87">
        <f>I21*J$37+I$37*J21-J21*J$37</f>
        <v>0</v>
      </c>
      <c r="J49">
        <f>J21*J$37</f>
        <v>0</v>
      </c>
      <c r="K49">
        <f>K21*K$37</f>
        <v>0</v>
      </c>
      <c r="L49" s="88">
        <f>K21*L$37+K$37*L21-K21*K$37</f>
        <v>0.82499999999999996</v>
      </c>
    </row>
    <row r="50" spans="1:12" x14ac:dyDescent="0.25">
      <c r="A50" s="126" t="s">
        <v>131</v>
      </c>
      <c r="B50" s="131" t="s">
        <v>106</v>
      </c>
      <c r="D50" s="134" t="s">
        <v>140</v>
      </c>
      <c r="E50" s="87">
        <f t="shared" ref="E50:E52" si="52">E22*F$37+E$37*F22-F22*F$37</f>
        <v>-0.32999999999999996</v>
      </c>
      <c r="F50">
        <f t="shared" ref="F50:G50" si="53">F22*F$37</f>
        <v>0.9900000000000001</v>
      </c>
      <c r="G50">
        <f t="shared" si="53"/>
        <v>2.42</v>
      </c>
      <c r="H50" s="88">
        <f t="shared" ref="H50:H52" si="54">G22*H$37+G$37*H22-G22*G$37</f>
        <v>3.6850000000000005</v>
      </c>
      <c r="I50" s="87">
        <f t="shared" ref="I50:I52" si="55">I22*J$37+I$37*J22-J22*J$37</f>
        <v>4.9999999999999933E-2</v>
      </c>
      <c r="J50">
        <f t="shared" ref="J50:K50" si="56">J22*J$37</f>
        <v>0.9900000000000001</v>
      </c>
      <c r="K50">
        <f t="shared" si="56"/>
        <v>2.42</v>
      </c>
      <c r="L50" s="88">
        <f t="shared" ref="L50:L52" si="57">K22*L$37+K$37*L22-K22*K$37</f>
        <v>3.3000000000000007</v>
      </c>
    </row>
    <row r="51" spans="1:12" x14ac:dyDescent="0.25">
      <c r="A51" s="126" t="s">
        <v>131</v>
      </c>
      <c r="B51" s="131" t="s">
        <v>105</v>
      </c>
      <c r="D51" s="134" t="s">
        <v>142</v>
      </c>
      <c r="E51" s="87">
        <f t="shared" si="52"/>
        <v>1.1550000000000002</v>
      </c>
      <c r="F51">
        <f t="shared" ref="F51:G51" si="58">F23*F$37</f>
        <v>2.4750000000000001</v>
      </c>
      <c r="G51">
        <f t="shared" si="58"/>
        <v>4.2350000000000003</v>
      </c>
      <c r="H51" s="88">
        <f t="shared" si="54"/>
        <v>6.6550000000000002</v>
      </c>
      <c r="I51" s="87">
        <f t="shared" si="55"/>
        <v>1.5650000000000008</v>
      </c>
      <c r="J51">
        <f t="shared" ref="J51:K51" si="59">J23*J$37</f>
        <v>2.4750000000000001</v>
      </c>
      <c r="K51">
        <f t="shared" si="59"/>
        <v>4.2350000000000003</v>
      </c>
      <c r="L51" s="88">
        <f t="shared" si="57"/>
        <v>5.830000000000001</v>
      </c>
    </row>
    <row r="52" spans="1:12" ht="15.75" thickBot="1" x14ac:dyDescent="0.3">
      <c r="A52" s="127" t="s">
        <v>131</v>
      </c>
      <c r="B52" s="132" t="s">
        <v>104</v>
      </c>
      <c r="D52" s="135" t="s">
        <v>143</v>
      </c>
      <c r="E52" s="91">
        <f t="shared" si="52"/>
        <v>1.9649999999999999</v>
      </c>
      <c r="F52" s="93">
        <f t="shared" ref="F52:G52" si="60">F24*F$37</f>
        <v>4.5</v>
      </c>
      <c r="G52" s="93">
        <f t="shared" si="60"/>
        <v>5.5</v>
      </c>
      <c r="H52" s="94">
        <f t="shared" si="54"/>
        <v>7</v>
      </c>
      <c r="I52" s="91">
        <f t="shared" si="55"/>
        <v>2.7349999999999994</v>
      </c>
      <c r="J52" s="93">
        <f t="shared" ref="J52:K52" si="61">J24*J$37</f>
        <v>4.5</v>
      </c>
      <c r="K52" s="93">
        <f t="shared" si="61"/>
        <v>5.5</v>
      </c>
      <c r="L52" s="94">
        <f t="shared" si="57"/>
        <v>6.5</v>
      </c>
    </row>
  </sheetData>
  <mergeCells count="35">
    <mergeCell ref="BS6:BT6"/>
    <mergeCell ref="BU6:BU7"/>
    <mergeCell ref="BG6:BN6"/>
    <mergeCell ref="BG7:BJ7"/>
    <mergeCell ref="BK7:BN7"/>
    <mergeCell ref="BO6:BR6"/>
    <mergeCell ref="BO7:BP7"/>
    <mergeCell ref="BQ7:BR7"/>
    <mergeCell ref="AY6:BF6"/>
    <mergeCell ref="AI7:AL7"/>
    <mergeCell ref="AM7:AP7"/>
    <mergeCell ref="AQ7:AT7"/>
    <mergeCell ref="AU7:AX7"/>
    <mergeCell ref="AY7:BB7"/>
    <mergeCell ref="BC7:BF7"/>
    <mergeCell ref="AQ6:AX6"/>
    <mergeCell ref="AA6:AH6"/>
    <mergeCell ref="AA7:AD7"/>
    <mergeCell ref="AE7:AH7"/>
    <mergeCell ref="E40:L40"/>
    <mergeCell ref="AI6:AP6"/>
    <mergeCell ref="J6:J7"/>
    <mergeCell ref="E34:L34"/>
    <mergeCell ref="K6:R6"/>
    <mergeCell ref="O7:R7"/>
    <mergeCell ref="K7:N7"/>
    <mergeCell ref="S6:Z6"/>
    <mergeCell ref="S7:V7"/>
    <mergeCell ref="W7:Z7"/>
    <mergeCell ref="G6:I6"/>
    <mergeCell ref="A3:E3"/>
    <mergeCell ref="A6:A7"/>
    <mergeCell ref="B6:B7"/>
    <mergeCell ref="C6:C7"/>
    <mergeCell ref="D6:F6"/>
  </mergeCells>
  <hyperlinks>
    <hyperlink ref="B2" r:id="rId1" xr:uid="{4DC97A13-A5A9-447D-88B6-BFF061BE3C83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EFD8-9B5D-45A9-8624-5505780514E0}">
  <dimension ref="A1:BU52"/>
  <sheetViews>
    <sheetView topLeftCell="BG10" workbookViewId="0">
      <selection activeCell="BU9" sqref="BU9"/>
    </sheetView>
  </sheetViews>
  <sheetFormatPr defaultRowHeight="15" x14ac:dyDescent="0.25"/>
  <cols>
    <col min="1" max="1" width="28.85546875" customWidth="1"/>
    <col min="2" max="2" width="39" customWidth="1"/>
    <col min="3" max="3" width="40.42578125" customWidth="1"/>
    <col min="4" max="4" width="15.5703125" customWidth="1"/>
    <col min="5" max="5" width="12.140625" customWidth="1"/>
    <col min="6" max="6" width="11.7109375" customWidth="1"/>
    <col min="7" max="9" width="9.140625" customWidth="1"/>
    <col min="10" max="10" width="18" customWidth="1"/>
    <col min="1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95</v>
      </c>
      <c r="B1" s="98"/>
      <c r="C1" s="98"/>
    </row>
    <row r="2" spans="1:73" x14ac:dyDescent="0.25">
      <c r="A2" s="1" t="s">
        <v>96</v>
      </c>
      <c r="B2" s="101" t="s">
        <v>97</v>
      </c>
      <c r="C2" s="98"/>
    </row>
    <row r="3" spans="1:73" ht="30" customHeight="1" x14ac:dyDescent="0.25">
      <c r="A3" s="274" t="s">
        <v>98</v>
      </c>
      <c r="B3" s="275"/>
      <c r="C3" s="275"/>
      <c r="D3" s="276"/>
      <c r="E3" s="276"/>
    </row>
    <row r="4" spans="1:73" x14ac:dyDescent="0.25">
      <c r="A4" s="1" t="s">
        <v>110</v>
      </c>
      <c r="B4" s="99"/>
      <c r="C4" s="99"/>
    </row>
    <row r="5" spans="1:73" ht="15.75" thickBot="1" x14ac:dyDescent="0.3">
      <c r="A5" s="100" t="s">
        <v>109</v>
      </c>
      <c r="B5" s="99"/>
      <c r="C5" s="99"/>
      <c r="BO5">
        <v>0.8</v>
      </c>
    </row>
    <row r="6" spans="1:73" ht="86.25" customHeight="1" thickBot="1" x14ac:dyDescent="0.3">
      <c r="A6" s="273" t="s">
        <v>85</v>
      </c>
      <c r="B6" s="273" t="s">
        <v>86</v>
      </c>
      <c r="C6" s="277" t="s">
        <v>87</v>
      </c>
      <c r="D6" s="278" t="s">
        <v>127</v>
      </c>
      <c r="E6" s="279"/>
      <c r="F6" s="279"/>
      <c r="G6" s="279" t="s">
        <v>128</v>
      </c>
      <c r="H6" s="279"/>
      <c r="I6" s="279"/>
      <c r="J6" s="286" t="s">
        <v>157</v>
      </c>
      <c r="K6" s="280" t="s">
        <v>150</v>
      </c>
      <c r="L6" s="281"/>
      <c r="M6" s="281"/>
      <c r="N6" s="281"/>
      <c r="O6" s="281"/>
      <c r="P6" s="281"/>
      <c r="Q6" s="281"/>
      <c r="R6" s="282"/>
      <c r="S6" s="280" t="s">
        <v>148</v>
      </c>
      <c r="T6" s="281"/>
      <c r="U6" s="281"/>
      <c r="V6" s="281"/>
      <c r="W6" s="281"/>
      <c r="X6" s="281"/>
      <c r="Y6" s="281"/>
      <c r="Z6" s="282"/>
      <c r="AA6" s="280" t="s">
        <v>149</v>
      </c>
      <c r="AB6" s="281"/>
      <c r="AC6" s="281"/>
      <c r="AD6" s="281"/>
      <c r="AE6" s="281"/>
      <c r="AF6" s="281"/>
      <c r="AG6" s="281"/>
      <c r="AH6" s="282"/>
      <c r="AI6" s="280" t="s">
        <v>147</v>
      </c>
      <c r="AJ6" s="281"/>
      <c r="AK6" s="281"/>
      <c r="AL6" s="281"/>
      <c r="AM6" s="281"/>
      <c r="AN6" s="281"/>
      <c r="AO6" s="281"/>
      <c r="AP6" s="282"/>
      <c r="AQ6" s="280" t="s">
        <v>158</v>
      </c>
      <c r="AR6" s="281"/>
      <c r="AS6" s="281"/>
      <c r="AT6" s="281"/>
      <c r="AU6" s="281"/>
      <c r="AV6" s="281"/>
      <c r="AW6" s="281"/>
      <c r="AX6" s="282"/>
      <c r="AY6" s="280" t="s">
        <v>159</v>
      </c>
      <c r="AZ6" s="281"/>
      <c r="BA6" s="281"/>
      <c r="BB6" s="281"/>
      <c r="BC6" s="281"/>
      <c r="BD6" s="281"/>
      <c r="BE6" s="281"/>
      <c r="BF6" s="282"/>
      <c r="BG6" s="280" t="s">
        <v>205</v>
      </c>
      <c r="BH6" s="281"/>
      <c r="BI6" s="281"/>
      <c r="BJ6" s="281"/>
      <c r="BK6" s="281"/>
      <c r="BL6" s="281"/>
      <c r="BM6" s="281"/>
      <c r="BN6" s="282"/>
      <c r="BO6" s="292" t="s">
        <v>151</v>
      </c>
      <c r="BP6" s="293"/>
      <c r="BQ6" s="293"/>
      <c r="BR6" s="294"/>
      <c r="BS6" s="288" t="s">
        <v>153</v>
      </c>
      <c r="BT6" s="289"/>
      <c r="BU6" s="290" t="s">
        <v>156</v>
      </c>
    </row>
    <row r="7" spans="1:73" s="97" customFormat="1" ht="23.25" customHeight="1" thickBot="1" x14ac:dyDescent="0.3">
      <c r="A7" s="273"/>
      <c r="B7" s="273"/>
      <c r="C7" s="277"/>
      <c r="D7" s="122" t="s">
        <v>114</v>
      </c>
      <c r="E7" s="107" t="s">
        <v>115</v>
      </c>
      <c r="F7" s="107" t="s">
        <v>116</v>
      </c>
      <c r="G7" s="107" t="s">
        <v>114</v>
      </c>
      <c r="H7" s="107" t="s">
        <v>115</v>
      </c>
      <c r="I7" s="107" t="s">
        <v>116</v>
      </c>
      <c r="J7" s="287"/>
      <c r="K7" s="280" t="s">
        <v>17</v>
      </c>
      <c r="L7" s="281"/>
      <c r="M7" s="281"/>
      <c r="N7" s="282"/>
      <c r="O7" s="280" t="s">
        <v>18</v>
      </c>
      <c r="P7" s="281"/>
      <c r="Q7" s="281"/>
      <c r="R7" s="282"/>
      <c r="S7" s="280" t="s">
        <v>17</v>
      </c>
      <c r="T7" s="281"/>
      <c r="U7" s="281"/>
      <c r="V7" s="282"/>
      <c r="W7" s="280" t="s">
        <v>18</v>
      </c>
      <c r="X7" s="281"/>
      <c r="Y7" s="281"/>
      <c r="Z7" s="282"/>
      <c r="AA7" s="280" t="s">
        <v>17</v>
      </c>
      <c r="AB7" s="281"/>
      <c r="AC7" s="281"/>
      <c r="AD7" s="282"/>
      <c r="AE7" s="280" t="s">
        <v>18</v>
      </c>
      <c r="AF7" s="281"/>
      <c r="AG7" s="281"/>
      <c r="AH7" s="282"/>
      <c r="AI7" s="280" t="s">
        <v>17</v>
      </c>
      <c r="AJ7" s="281"/>
      <c r="AK7" s="281"/>
      <c r="AL7" s="282"/>
      <c r="AM7" s="280" t="s">
        <v>18</v>
      </c>
      <c r="AN7" s="281"/>
      <c r="AO7" s="281"/>
      <c r="AP7" s="282"/>
      <c r="AQ7" s="280" t="s">
        <v>17</v>
      </c>
      <c r="AR7" s="281"/>
      <c r="AS7" s="281"/>
      <c r="AT7" s="282"/>
      <c r="AU7" s="280" t="s">
        <v>18</v>
      </c>
      <c r="AV7" s="281"/>
      <c r="AW7" s="281"/>
      <c r="AX7" s="282"/>
      <c r="AY7" s="280" t="s">
        <v>17</v>
      </c>
      <c r="AZ7" s="281"/>
      <c r="BA7" s="281"/>
      <c r="BB7" s="282"/>
      <c r="BC7" s="280" t="s">
        <v>18</v>
      </c>
      <c r="BD7" s="281"/>
      <c r="BE7" s="281"/>
      <c r="BF7" s="282"/>
      <c r="BG7" s="280" t="s">
        <v>17</v>
      </c>
      <c r="BH7" s="281"/>
      <c r="BI7" s="281"/>
      <c r="BJ7" s="282"/>
      <c r="BK7" s="280" t="s">
        <v>18</v>
      </c>
      <c r="BL7" s="281"/>
      <c r="BM7" s="281"/>
      <c r="BN7" s="282"/>
      <c r="BO7" s="295" t="s">
        <v>152</v>
      </c>
      <c r="BP7" s="296"/>
      <c r="BQ7" s="295" t="s">
        <v>26</v>
      </c>
      <c r="BR7" s="297"/>
      <c r="BS7" s="145" t="s">
        <v>154</v>
      </c>
      <c r="BT7" s="145" t="s">
        <v>155</v>
      </c>
      <c r="BU7" s="291"/>
    </row>
    <row r="8" spans="1:73" ht="30" x14ac:dyDescent="0.25">
      <c r="A8" s="102" t="s">
        <v>8</v>
      </c>
      <c r="B8" s="102" t="s">
        <v>84</v>
      </c>
      <c r="C8" s="121" t="s">
        <v>72</v>
      </c>
      <c r="D8" s="155" t="s">
        <v>104</v>
      </c>
      <c r="E8" s="156" t="s">
        <v>105</v>
      </c>
      <c r="F8" s="156" t="s">
        <v>104</v>
      </c>
      <c r="G8" s="110">
        <f t="shared" ref="G8:I17" si="0">IF(D8=$A$21,$B$21,(IF(D8=$A$22,$B$22,IF(D8=$A$23,$B$23,$B$24))))</f>
        <v>1</v>
      </c>
      <c r="H8" s="110">
        <f t="shared" si="0"/>
        <v>0.66</v>
      </c>
      <c r="I8" s="110">
        <f t="shared" si="0"/>
        <v>1</v>
      </c>
      <c r="J8" s="147">
        <f>G8*$D$35+H8*$D$36+I8*$D$37</f>
        <v>14.15</v>
      </c>
      <c r="K8" s="81">
        <v>0.77</v>
      </c>
      <c r="L8" s="83">
        <v>1</v>
      </c>
      <c r="M8" s="83">
        <v>1</v>
      </c>
      <c r="N8" s="84">
        <v>1</v>
      </c>
      <c r="O8" s="81">
        <v>0.83</v>
      </c>
      <c r="P8" s="83">
        <v>1</v>
      </c>
      <c r="Q8" s="83">
        <v>1</v>
      </c>
      <c r="R8" s="84">
        <v>1</v>
      </c>
      <c r="S8" s="81">
        <v>0.44000000000000006</v>
      </c>
      <c r="T8" s="83">
        <v>0.55000000000000004</v>
      </c>
      <c r="U8" s="83">
        <v>0.77</v>
      </c>
      <c r="V8" s="84">
        <v>1</v>
      </c>
      <c r="W8" s="81">
        <v>0.47000000000000003</v>
      </c>
      <c r="X8" s="83">
        <v>0.55000000000000004</v>
      </c>
      <c r="Y8" s="83">
        <v>0.77</v>
      </c>
      <c r="Z8" s="84">
        <v>0.92</v>
      </c>
      <c r="AA8" s="81">
        <v>0.77</v>
      </c>
      <c r="AB8" s="83">
        <v>1</v>
      </c>
      <c r="AC8" s="83">
        <v>1</v>
      </c>
      <c r="AD8" s="84">
        <v>1</v>
      </c>
      <c r="AE8" s="81">
        <v>0.83</v>
      </c>
      <c r="AF8" s="83">
        <v>1</v>
      </c>
      <c r="AG8" s="83">
        <v>1</v>
      </c>
      <c r="AH8" s="84">
        <v>1</v>
      </c>
      <c r="AI8" s="81">
        <v>3.8900000000000006</v>
      </c>
      <c r="AJ8" s="83">
        <v>7</v>
      </c>
      <c r="AK8" s="83">
        <v>8</v>
      </c>
      <c r="AL8" s="84">
        <v>9.5</v>
      </c>
      <c r="AM8" s="81">
        <v>4.8099999999999987</v>
      </c>
      <c r="AN8" s="83">
        <v>7</v>
      </c>
      <c r="AO8" s="83">
        <v>8</v>
      </c>
      <c r="AP8" s="84">
        <v>9</v>
      </c>
      <c r="AQ8" s="81">
        <v>0.60499999999999998</v>
      </c>
      <c r="AR8" s="83">
        <v>1.1000000000000001</v>
      </c>
      <c r="AS8" s="83">
        <v>2.31</v>
      </c>
      <c r="AT8" s="83">
        <v>4.1549999999999994</v>
      </c>
      <c r="AU8" s="81">
        <v>0.77499999999999991</v>
      </c>
      <c r="AV8" s="83">
        <v>1.1000000000000001</v>
      </c>
      <c r="AW8" s="83">
        <v>2.31</v>
      </c>
      <c r="AX8" s="84">
        <v>3.53</v>
      </c>
      <c r="AY8" s="81">
        <v>1.9649999999999999</v>
      </c>
      <c r="AZ8" s="83">
        <v>4.5</v>
      </c>
      <c r="BA8" s="83">
        <v>5.5</v>
      </c>
      <c r="BB8" s="83">
        <v>7</v>
      </c>
      <c r="BC8" s="81">
        <v>2.7349999999999994</v>
      </c>
      <c r="BD8" s="83">
        <v>4.5</v>
      </c>
      <c r="BE8" s="83">
        <v>5.5</v>
      </c>
      <c r="BF8" s="84">
        <v>6.5</v>
      </c>
      <c r="BG8" s="81">
        <f>AI8+AQ8+AY8</f>
        <v>6.4600000000000009</v>
      </c>
      <c r="BH8" s="83">
        <f t="shared" ref="BH8:BN17" si="1">AJ8+AR8+AZ8</f>
        <v>12.6</v>
      </c>
      <c r="BI8" s="83">
        <f t="shared" si="1"/>
        <v>15.81</v>
      </c>
      <c r="BJ8" s="83">
        <f t="shared" si="1"/>
        <v>20.655000000000001</v>
      </c>
      <c r="BK8" s="81">
        <f t="shared" si="1"/>
        <v>8.3199999999999985</v>
      </c>
      <c r="BL8" s="83">
        <f t="shared" si="1"/>
        <v>12.6</v>
      </c>
      <c r="BM8" s="83">
        <f t="shared" si="1"/>
        <v>15.81</v>
      </c>
      <c r="BN8" s="83">
        <f t="shared" si="1"/>
        <v>19.03</v>
      </c>
      <c r="BO8" s="136">
        <f>BO$5*BH8+(1-BO$5)*BG8</f>
        <v>11.372</v>
      </c>
      <c r="BP8" s="142">
        <f>BO$5*BI8+(1-BO$5)*BJ8</f>
        <v>16.779</v>
      </c>
      <c r="BQ8" s="136">
        <f>BO$5*BL8+(1-BO$5)*BK8</f>
        <v>11.744</v>
      </c>
      <c r="BR8" s="137">
        <f>BO$5*BM8+(1-BO$5)*BN8</f>
        <v>16.454000000000001</v>
      </c>
      <c r="BS8" s="81">
        <f>(BO8+BP8)/2</f>
        <v>14.0755</v>
      </c>
      <c r="BT8" s="84">
        <f>(BQ8+BR8)/2</f>
        <v>14.099</v>
      </c>
      <c r="BU8" s="133">
        <f>(BS8+BT8)/2</f>
        <v>14.087250000000001</v>
      </c>
    </row>
    <row r="9" spans="1:73" x14ac:dyDescent="0.25">
      <c r="A9" s="102" t="s">
        <v>9</v>
      </c>
      <c r="B9" s="102" t="s">
        <v>73</v>
      </c>
      <c r="C9" s="121" t="s">
        <v>88</v>
      </c>
      <c r="D9" s="155" t="s">
        <v>106</v>
      </c>
      <c r="E9" s="156" t="s">
        <v>106</v>
      </c>
      <c r="F9" s="156" t="s">
        <v>105</v>
      </c>
      <c r="G9" s="110">
        <f t="shared" si="0"/>
        <v>0.33</v>
      </c>
      <c r="H9" s="110">
        <f t="shared" si="0"/>
        <v>0.33</v>
      </c>
      <c r="I9" s="110">
        <f t="shared" si="0"/>
        <v>0.66</v>
      </c>
      <c r="J9" s="147">
        <f t="shared" ref="J9:J17" si="2">G9*$D$35+H9*$D$36+I9*$D$37</f>
        <v>6.6000000000000005</v>
      </c>
      <c r="K9" s="87">
        <v>0</v>
      </c>
      <c r="L9">
        <v>0.22000000000000003</v>
      </c>
      <c r="M9">
        <v>0.44</v>
      </c>
      <c r="N9" s="88">
        <v>0.55000000000000004</v>
      </c>
      <c r="O9" s="87">
        <v>0.06</v>
      </c>
      <c r="P9">
        <v>0.22000000000000003</v>
      </c>
      <c r="Q9">
        <v>0.44</v>
      </c>
      <c r="R9" s="88">
        <v>0.52</v>
      </c>
      <c r="S9" s="87">
        <v>0</v>
      </c>
      <c r="T9">
        <v>0.22000000000000003</v>
      </c>
      <c r="U9">
        <v>0.44</v>
      </c>
      <c r="V9" s="88">
        <v>0.55000000000000004</v>
      </c>
      <c r="W9" s="87">
        <v>0.06</v>
      </c>
      <c r="X9">
        <v>0.22000000000000003</v>
      </c>
      <c r="Y9">
        <v>0.44</v>
      </c>
      <c r="Z9" s="88">
        <v>0.52</v>
      </c>
      <c r="AA9" s="87">
        <v>0.44000000000000006</v>
      </c>
      <c r="AB9">
        <v>0.55000000000000004</v>
      </c>
      <c r="AC9">
        <v>0.77</v>
      </c>
      <c r="AD9" s="88">
        <v>1</v>
      </c>
      <c r="AE9" s="87">
        <v>0.47000000000000003</v>
      </c>
      <c r="AF9">
        <v>0.55000000000000004</v>
      </c>
      <c r="AG9">
        <v>0.77</v>
      </c>
      <c r="AH9" s="88">
        <v>0.92</v>
      </c>
      <c r="AI9" s="187">
        <v>0</v>
      </c>
      <c r="AJ9" s="179">
        <v>1.5400000000000003</v>
      </c>
      <c r="AK9" s="179">
        <v>3.52</v>
      </c>
      <c r="AL9" s="188">
        <v>5.0600000000000005</v>
      </c>
      <c r="AM9" s="187">
        <v>0.19999999999999996</v>
      </c>
      <c r="AN9" s="179">
        <v>1.5400000000000003</v>
      </c>
      <c r="AO9" s="179">
        <v>3.52</v>
      </c>
      <c r="AP9" s="188">
        <v>4.6000000000000014</v>
      </c>
      <c r="AQ9" s="187">
        <v>0</v>
      </c>
      <c r="AR9" s="179">
        <v>0.44000000000000006</v>
      </c>
      <c r="AS9" s="179">
        <v>1.32</v>
      </c>
      <c r="AT9" s="179">
        <v>2.3099999999999996</v>
      </c>
      <c r="AU9" s="187">
        <v>5.3999999999999992E-2</v>
      </c>
      <c r="AV9" s="179">
        <v>0.44000000000000006</v>
      </c>
      <c r="AW9" s="179">
        <v>1.32</v>
      </c>
      <c r="AX9" s="188">
        <v>2</v>
      </c>
      <c r="AY9" s="87">
        <v>1.1550000000000002</v>
      </c>
      <c r="AZ9">
        <v>2.4750000000000001</v>
      </c>
      <c r="BA9">
        <v>4.2350000000000003</v>
      </c>
      <c r="BB9">
        <v>6.6550000000000002</v>
      </c>
      <c r="BC9" s="87">
        <v>1.5650000000000008</v>
      </c>
      <c r="BD9">
        <v>2.4750000000000001</v>
      </c>
      <c r="BE9">
        <v>4.2350000000000003</v>
      </c>
      <c r="BF9" s="88">
        <v>5.830000000000001</v>
      </c>
      <c r="BG9" s="87">
        <f t="shared" ref="BG9:BG17" si="3">AI9+AQ9+AY9</f>
        <v>1.1550000000000002</v>
      </c>
      <c r="BH9">
        <f t="shared" si="1"/>
        <v>4.4550000000000001</v>
      </c>
      <c r="BI9">
        <f t="shared" si="1"/>
        <v>9.0749999999999993</v>
      </c>
      <c r="BJ9">
        <f t="shared" si="1"/>
        <v>14.025</v>
      </c>
      <c r="BK9" s="87">
        <f t="shared" si="1"/>
        <v>1.8190000000000008</v>
      </c>
      <c r="BL9">
        <f t="shared" si="1"/>
        <v>4.4550000000000001</v>
      </c>
      <c r="BM9">
        <f t="shared" si="1"/>
        <v>9.0749999999999993</v>
      </c>
      <c r="BN9">
        <f t="shared" si="1"/>
        <v>12.430000000000003</v>
      </c>
      <c r="BO9" s="138">
        <f t="shared" ref="BO9:BO17" si="4">BO$5*BH9+(1-BO$5)*BG9</f>
        <v>3.7949999999999999</v>
      </c>
      <c r="BP9" s="143">
        <f t="shared" ref="BP9:BP17" si="5">BO$5*BI9+(1-BO$5)*BJ9</f>
        <v>10.065</v>
      </c>
      <c r="BQ9" s="138">
        <f t="shared" ref="BQ9:BQ17" si="6">BO$5*BL9+(1-BO$5)*BK9</f>
        <v>3.9278</v>
      </c>
      <c r="BR9" s="139">
        <f t="shared" ref="BR9:BR17" si="7">BO$5*BM9+(1-BO$5)*BN9</f>
        <v>9.7460000000000004</v>
      </c>
      <c r="BS9" s="87">
        <f t="shared" ref="BS9:BS17" si="8">(BO9+BP9)/2</f>
        <v>6.93</v>
      </c>
      <c r="BT9" s="88">
        <f t="shared" ref="BT9:BT17" si="9">(BQ9+BR9)/2</f>
        <v>6.8369</v>
      </c>
      <c r="BU9" s="134">
        <f t="shared" ref="BU9:BU17" si="10">(BS9+BT9)/2</f>
        <v>6.8834499999999998</v>
      </c>
    </row>
    <row r="10" spans="1:73" x14ac:dyDescent="0.25">
      <c r="A10" s="102" t="s">
        <v>10</v>
      </c>
      <c r="B10" s="102" t="s">
        <v>74</v>
      </c>
      <c r="C10" s="121" t="s">
        <v>89</v>
      </c>
      <c r="D10" s="155" t="s">
        <v>105</v>
      </c>
      <c r="E10" s="156" t="s">
        <v>105</v>
      </c>
      <c r="F10" s="156" t="s">
        <v>105</v>
      </c>
      <c r="G10" s="110">
        <f t="shared" si="0"/>
        <v>0.66</v>
      </c>
      <c r="H10" s="110">
        <f t="shared" si="0"/>
        <v>0.66</v>
      </c>
      <c r="I10" s="110">
        <f t="shared" si="0"/>
        <v>0.66</v>
      </c>
      <c r="J10" s="147">
        <f t="shared" si="2"/>
        <v>9.9</v>
      </c>
      <c r="K10" s="87">
        <v>0.44000000000000006</v>
      </c>
      <c r="L10">
        <v>0.55000000000000004</v>
      </c>
      <c r="M10">
        <v>0.77</v>
      </c>
      <c r="N10" s="88">
        <v>1</v>
      </c>
      <c r="O10" s="87">
        <v>0.47000000000000003</v>
      </c>
      <c r="P10">
        <v>0.55000000000000004</v>
      </c>
      <c r="Q10">
        <v>0.77</v>
      </c>
      <c r="R10" s="88">
        <v>0.92</v>
      </c>
      <c r="S10" s="87">
        <v>0.44000000000000006</v>
      </c>
      <c r="T10">
        <v>0.55000000000000004</v>
      </c>
      <c r="U10">
        <v>0.77</v>
      </c>
      <c r="V10" s="88">
        <v>1</v>
      </c>
      <c r="W10" s="87">
        <v>0.47000000000000003</v>
      </c>
      <c r="X10">
        <v>0.55000000000000004</v>
      </c>
      <c r="Y10">
        <v>0.77</v>
      </c>
      <c r="Z10" s="88">
        <v>0.92</v>
      </c>
      <c r="AA10" s="87">
        <v>0.44000000000000006</v>
      </c>
      <c r="AB10">
        <v>0.55000000000000004</v>
      </c>
      <c r="AC10">
        <v>0.77</v>
      </c>
      <c r="AD10" s="88">
        <v>1</v>
      </c>
      <c r="AE10" s="87">
        <v>0.47000000000000003</v>
      </c>
      <c r="AF10">
        <v>0.55000000000000004</v>
      </c>
      <c r="AG10">
        <v>0.77</v>
      </c>
      <c r="AH10" s="88">
        <v>0.92</v>
      </c>
      <c r="AI10" s="87">
        <v>2.2549999999999999</v>
      </c>
      <c r="AJ10">
        <v>3.8500000000000005</v>
      </c>
      <c r="AK10">
        <v>6.16</v>
      </c>
      <c r="AL10" s="88">
        <v>9.1550000000000011</v>
      </c>
      <c r="AM10" s="87">
        <v>2.7399999999999993</v>
      </c>
      <c r="AN10">
        <v>3.8500000000000005</v>
      </c>
      <c r="AO10">
        <v>6.16</v>
      </c>
      <c r="AP10" s="88">
        <v>8.129999999999999</v>
      </c>
      <c r="AQ10" s="87">
        <v>0.60499999999999998</v>
      </c>
      <c r="AR10">
        <v>1.1000000000000001</v>
      </c>
      <c r="AS10">
        <v>2.31</v>
      </c>
      <c r="AT10">
        <v>4.1549999999999994</v>
      </c>
      <c r="AU10" s="87">
        <v>0.77499999999999991</v>
      </c>
      <c r="AV10">
        <v>1.1000000000000001</v>
      </c>
      <c r="AW10">
        <v>2.31</v>
      </c>
      <c r="AX10" s="88">
        <v>3.53</v>
      </c>
      <c r="AY10" s="87">
        <v>1.1550000000000002</v>
      </c>
      <c r="AZ10">
        <v>2.4750000000000001</v>
      </c>
      <c r="BA10">
        <v>4.2350000000000003</v>
      </c>
      <c r="BB10">
        <v>6.6550000000000002</v>
      </c>
      <c r="BC10" s="87">
        <v>1.5650000000000008</v>
      </c>
      <c r="BD10">
        <v>2.4750000000000001</v>
      </c>
      <c r="BE10">
        <v>4.2350000000000003</v>
      </c>
      <c r="BF10" s="88">
        <v>5.830000000000001</v>
      </c>
      <c r="BG10" s="87">
        <f t="shared" si="3"/>
        <v>4.0150000000000006</v>
      </c>
      <c r="BH10">
        <f t="shared" si="1"/>
        <v>7.4250000000000007</v>
      </c>
      <c r="BI10">
        <f t="shared" si="1"/>
        <v>12.705000000000002</v>
      </c>
      <c r="BJ10">
        <f t="shared" si="1"/>
        <v>19.965</v>
      </c>
      <c r="BK10" s="87">
        <f t="shared" si="1"/>
        <v>5.08</v>
      </c>
      <c r="BL10">
        <f t="shared" si="1"/>
        <v>7.4250000000000007</v>
      </c>
      <c r="BM10">
        <f t="shared" si="1"/>
        <v>12.705000000000002</v>
      </c>
      <c r="BN10">
        <f t="shared" si="1"/>
        <v>17.489999999999998</v>
      </c>
      <c r="BO10" s="138">
        <f t="shared" si="4"/>
        <v>6.7430000000000012</v>
      </c>
      <c r="BP10" s="143">
        <f t="shared" si="5"/>
        <v>14.157</v>
      </c>
      <c r="BQ10" s="138">
        <f t="shared" si="6"/>
        <v>6.9560000000000013</v>
      </c>
      <c r="BR10" s="139">
        <f t="shared" si="7"/>
        <v>13.662000000000001</v>
      </c>
      <c r="BS10" s="87">
        <f t="shared" si="8"/>
        <v>10.450000000000001</v>
      </c>
      <c r="BT10" s="88">
        <f t="shared" si="9"/>
        <v>10.309000000000001</v>
      </c>
      <c r="BU10" s="134">
        <f t="shared" si="10"/>
        <v>10.3795</v>
      </c>
    </row>
    <row r="11" spans="1:73" x14ac:dyDescent="0.25">
      <c r="A11" s="102" t="s">
        <v>65</v>
      </c>
      <c r="B11" s="102" t="s">
        <v>75</v>
      </c>
      <c r="C11" s="121" t="s">
        <v>76</v>
      </c>
      <c r="D11" s="155" t="s">
        <v>104</v>
      </c>
      <c r="E11" s="156" t="s">
        <v>105</v>
      </c>
      <c r="F11" s="156" t="s">
        <v>105</v>
      </c>
      <c r="G11" s="110">
        <f t="shared" si="0"/>
        <v>1</v>
      </c>
      <c r="H11" s="110">
        <f t="shared" si="0"/>
        <v>0.66</v>
      </c>
      <c r="I11" s="110">
        <f t="shared" si="0"/>
        <v>0.66</v>
      </c>
      <c r="J11" s="147">
        <f t="shared" si="2"/>
        <v>12.450000000000001</v>
      </c>
      <c r="K11" s="87">
        <v>0.77</v>
      </c>
      <c r="L11">
        <v>1</v>
      </c>
      <c r="M11">
        <v>1</v>
      </c>
      <c r="N11" s="88">
        <v>1</v>
      </c>
      <c r="O11" s="87">
        <v>0.83</v>
      </c>
      <c r="P11">
        <v>1</v>
      </c>
      <c r="Q11">
        <v>1</v>
      </c>
      <c r="R11" s="88">
        <v>1</v>
      </c>
      <c r="S11" s="87">
        <v>0.44000000000000006</v>
      </c>
      <c r="T11">
        <v>0.55000000000000004</v>
      </c>
      <c r="U11">
        <v>0.77</v>
      </c>
      <c r="V11" s="88">
        <v>1</v>
      </c>
      <c r="W11" s="87">
        <v>0.47000000000000003</v>
      </c>
      <c r="X11">
        <v>0.55000000000000004</v>
      </c>
      <c r="Y11">
        <v>0.77</v>
      </c>
      <c r="Z11" s="88">
        <v>0.92</v>
      </c>
      <c r="AA11" s="87">
        <v>0.44000000000000006</v>
      </c>
      <c r="AB11">
        <v>0.55000000000000004</v>
      </c>
      <c r="AC11">
        <v>0.77</v>
      </c>
      <c r="AD11" s="88">
        <v>1</v>
      </c>
      <c r="AE11" s="87">
        <v>0.47000000000000003</v>
      </c>
      <c r="AF11">
        <v>0.55000000000000004</v>
      </c>
      <c r="AG11">
        <v>0.77</v>
      </c>
      <c r="AH11" s="88">
        <v>0.92</v>
      </c>
      <c r="AI11" s="87">
        <v>3.8900000000000006</v>
      </c>
      <c r="AJ11">
        <v>7</v>
      </c>
      <c r="AK11">
        <v>8</v>
      </c>
      <c r="AL11" s="88">
        <v>9.5</v>
      </c>
      <c r="AM11" s="87">
        <v>4.8099999999999987</v>
      </c>
      <c r="AN11">
        <v>7</v>
      </c>
      <c r="AO11">
        <v>8</v>
      </c>
      <c r="AP11" s="88">
        <v>9</v>
      </c>
      <c r="AQ11" s="87">
        <v>0.60499999999999998</v>
      </c>
      <c r="AR11">
        <v>1.1000000000000001</v>
      </c>
      <c r="AS11">
        <v>2.31</v>
      </c>
      <c r="AT11">
        <v>4.1549999999999994</v>
      </c>
      <c r="AU11" s="87">
        <v>0.77499999999999991</v>
      </c>
      <c r="AV11">
        <v>1.1000000000000001</v>
      </c>
      <c r="AW11">
        <v>2.31</v>
      </c>
      <c r="AX11" s="88">
        <v>3.53</v>
      </c>
      <c r="AY11" s="87">
        <v>1.1550000000000002</v>
      </c>
      <c r="AZ11">
        <v>2.4750000000000001</v>
      </c>
      <c r="BA11">
        <v>4.2350000000000003</v>
      </c>
      <c r="BB11">
        <v>6.6550000000000002</v>
      </c>
      <c r="BC11" s="87">
        <v>1.5650000000000008</v>
      </c>
      <c r="BD11">
        <v>2.4750000000000001</v>
      </c>
      <c r="BE11">
        <v>4.2350000000000003</v>
      </c>
      <c r="BF11" s="88">
        <v>5.830000000000001</v>
      </c>
      <c r="BG11" s="87">
        <f t="shared" si="3"/>
        <v>5.6500000000000012</v>
      </c>
      <c r="BH11">
        <f t="shared" si="1"/>
        <v>10.574999999999999</v>
      </c>
      <c r="BI11">
        <f t="shared" si="1"/>
        <v>14.545000000000002</v>
      </c>
      <c r="BJ11">
        <f t="shared" si="1"/>
        <v>20.309999999999999</v>
      </c>
      <c r="BK11" s="87">
        <f t="shared" si="1"/>
        <v>7.15</v>
      </c>
      <c r="BL11">
        <f t="shared" si="1"/>
        <v>10.574999999999999</v>
      </c>
      <c r="BM11">
        <f t="shared" si="1"/>
        <v>14.545000000000002</v>
      </c>
      <c r="BN11">
        <f t="shared" si="1"/>
        <v>18.36</v>
      </c>
      <c r="BO11" s="138">
        <f t="shared" si="4"/>
        <v>9.59</v>
      </c>
      <c r="BP11" s="143">
        <f t="shared" si="5"/>
        <v>15.698</v>
      </c>
      <c r="BQ11" s="138">
        <f t="shared" si="6"/>
        <v>9.8899999999999988</v>
      </c>
      <c r="BR11" s="139">
        <f t="shared" si="7"/>
        <v>15.308000000000002</v>
      </c>
      <c r="BS11" s="87">
        <f t="shared" si="8"/>
        <v>12.644</v>
      </c>
      <c r="BT11" s="88">
        <f t="shared" si="9"/>
        <v>12.599</v>
      </c>
      <c r="BU11" s="134">
        <f t="shared" si="10"/>
        <v>12.621500000000001</v>
      </c>
    </row>
    <row r="12" spans="1:73" ht="30" x14ac:dyDescent="0.25">
      <c r="A12" s="102" t="s">
        <v>66</v>
      </c>
      <c r="B12" s="102" t="s">
        <v>77</v>
      </c>
      <c r="C12" s="121" t="s">
        <v>90</v>
      </c>
      <c r="D12" s="155" t="s">
        <v>105</v>
      </c>
      <c r="E12" s="156" t="s">
        <v>104</v>
      </c>
      <c r="F12" s="156" t="s">
        <v>105</v>
      </c>
      <c r="G12" s="110">
        <f t="shared" si="0"/>
        <v>0.66</v>
      </c>
      <c r="H12" s="110">
        <f t="shared" si="0"/>
        <v>1</v>
      </c>
      <c r="I12" s="110">
        <f t="shared" si="0"/>
        <v>0.66</v>
      </c>
      <c r="J12" s="147">
        <f t="shared" si="2"/>
        <v>10.75</v>
      </c>
      <c r="K12" s="87">
        <v>0.44000000000000006</v>
      </c>
      <c r="L12">
        <v>0.55000000000000004</v>
      </c>
      <c r="M12">
        <v>0.77</v>
      </c>
      <c r="N12" s="88">
        <v>1</v>
      </c>
      <c r="O12" s="87">
        <v>0.47000000000000003</v>
      </c>
      <c r="P12">
        <v>0.55000000000000004</v>
      </c>
      <c r="Q12">
        <v>0.77</v>
      </c>
      <c r="R12" s="88">
        <v>0.92</v>
      </c>
      <c r="S12" s="87">
        <v>0.77</v>
      </c>
      <c r="T12">
        <v>1</v>
      </c>
      <c r="U12">
        <v>1</v>
      </c>
      <c r="V12" s="88">
        <v>1</v>
      </c>
      <c r="W12" s="87">
        <v>0.83</v>
      </c>
      <c r="X12">
        <v>1</v>
      </c>
      <c r="Y12">
        <v>1</v>
      </c>
      <c r="Z12" s="88">
        <v>1</v>
      </c>
      <c r="AA12" s="87">
        <v>0.44000000000000006</v>
      </c>
      <c r="AB12">
        <v>0.55000000000000004</v>
      </c>
      <c r="AC12">
        <v>0.77</v>
      </c>
      <c r="AD12" s="88">
        <v>1</v>
      </c>
      <c r="AE12" s="87">
        <v>0.47000000000000003</v>
      </c>
      <c r="AF12">
        <v>0.55000000000000004</v>
      </c>
      <c r="AG12">
        <v>0.77</v>
      </c>
      <c r="AH12" s="88">
        <v>0.92</v>
      </c>
      <c r="AI12" s="87">
        <v>2.2549999999999999</v>
      </c>
      <c r="AJ12">
        <v>3.8500000000000005</v>
      </c>
      <c r="AK12">
        <v>6.16</v>
      </c>
      <c r="AL12" s="88">
        <v>9.1550000000000011</v>
      </c>
      <c r="AM12" s="87">
        <v>2.7399999999999993</v>
      </c>
      <c r="AN12">
        <v>3.8500000000000005</v>
      </c>
      <c r="AO12">
        <v>6.16</v>
      </c>
      <c r="AP12" s="88">
        <v>8.129999999999999</v>
      </c>
      <c r="AQ12" s="87">
        <v>1.04</v>
      </c>
      <c r="AR12">
        <v>2</v>
      </c>
      <c r="AS12">
        <v>3</v>
      </c>
      <c r="AT12">
        <v>4.5</v>
      </c>
      <c r="AU12" s="87">
        <v>1.3599999999999999</v>
      </c>
      <c r="AV12">
        <v>2</v>
      </c>
      <c r="AW12">
        <v>3</v>
      </c>
      <c r="AX12" s="88">
        <v>4</v>
      </c>
      <c r="AY12" s="87">
        <v>1.1550000000000002</v>
      </c>
      <c r="AZ12">
        <v>2.4750000000000001</v>
      </c>
      <c r="BA12">
        <v>4.2350000000000003</v>
      </c>
      <c r="BB12">
        <v>6.6550000000000002</v>
      </c>
      <c r="BC12" s="87">
        <v>1.5650000000000008</v>
      </c>
      <c r="BD12">
        <v>2.4750000000000001</v>
      </c>
      <c r="BE12">
        <v>4.2350000000000003</v>
      </c>
      <c r="BF12" s="88">
        <v>5.830000000000001</v>
      </c>
      <c r="BG12" s="87">
        <f t="shared" si="3"/>
        <v>4.45</v>
      </c>
      <c r="BH12">
        <f t="shared" si="1"/>
        <v>8.3250000000000011</v>
      </c>
      <c r="BI12">
        <f t="shared" si="1"/>
        <v>13.395</v>
      </c>
      <c r="BJ12">
        <f t="shared" si="1"/>
        <v>20.310000000000002</v>
      </c>
      <c r="BK12" s="87">
        <f t="shared" si="1"/>
        <v>5.6650000000000009</v>
      </c>
      <c r="BL12">
        <f t="shared" si="1"/>
        <v>8.3250000000000011</v>
      </c>
      <c r="BM12">
        <f t="shared" si="1"/>
        <v>13.395</v>
      </c>
      <c r="BN12">
        <f t="shared" si="1"/>
        <v>17.96</v>
      </c>
      <c r="BO12" s="138">
        <f t="shared" si="4"/>
        <v>7.5500000000000007</v>
      </c>
      <c r="BP12" s="143">
        <f t="shared" si="5"/>
        <v>14.778</v>
      </c>
      <c r="BQ12" s="138">
        <f t="shared" si="6"/>
        <v>7.793000000000001</v>
      </c>
      <c r="BR12" s="139">
        <f t="shared" si="7"/>
        <v>14.308</v>
      </c>
      <c r="BS12" s="87">
        <f t="shared" si="8"/>
        <v>11.164000000000001</v>
      </c>
      <c r="BT12" s="88">
        <f t="shared" si="9"/>
        <v>11.0505</v>
      </c>
      <c r="BU12" s="134">
        <f t="shared" si="10"/>
        <v>11.107250000000001</v>
      </c>
    </row>
    <row r="13" spans="1:73" x14ac:dyDescent="0.25">
      <c r="A13" s="102" t="s">
        <v>67</v>
      </c>
      <c r="B13" s="102" t="s">
        <v>78</v>
      </c>
      <c r="C13" s="121" t="s">
        <v>91</v>
      </c>
      <c r="D13" s="155" t="s">
        <v>104</v>
      </c>
      <c r="E13" s="156" t="s">
        <v>105</v>
      </c>
      <c r="F13" s="156" t="s">
        <v>106</v>
      </c>
      <c r="G13" s="110">
        <f t="shared" si="0"/>
        <v>1</v>
      </c>
      <c r="H13" s="110">
        <f t="shared" si="0"/>
        <v>0.66</v>
      </c>
      <c r="I13" s="110">
        <f t="shared" si="0"/>
        <v>0.33</v>
      </c>
      <c r="J13" s="147">
        <f t="shared" si="2"/>
        <v>10.8</v>
      </c>
      <c r="K13" s="87">
        <v>0.77</v>
      </c>
      <c r="L13">
        <v>1</v>
      </c>
      <c r="M13">
        <v>1</v>
      </c>
      <c r="N13" s="88">
        <v>1</v>
      </c>
      <c r="O13" s="87">
        <v>0.83</v>
      </c>
      <c r="P13">
        <v>1</v>
      </c>
      <c r="Q13">
        <v>1</v>
      </c>
      <c r="R13" s="88">
        <v>1</v>
      </c>
      <c r="S13" s="87">
        <v>0.44000000000000006</v>
      </c>
      <c r="T13">
        <v>0.55000000000000004</v>
      </c>
      <c r="U13">
        <v>0.77</v>
      </c>
      <c r="V13" s="88">
        <v>1</v>
      </c>
      <c r="W13" s="87">
        <v>0.47000000000000003</v>
      </c>
      <c r="X13">
        <v>0.55000000000000004</v>
      </c>
      <c r="Y13">
        <v>0.77</v>
      </c>
      <c r="Z13" s="88">
        <v>0.92</v>
      </c>
      <c r="AA13" s="87">
        <v>0</v>
      </c>
      <c r="AB13">
        <v>0.22000000000000003</v>
      </c>
      <c r="AC13">
        <v>0.44</v>
      </c>
      <c r="AD13" s="88">
        <v>0.55000000000000004</v>
      </c>
      <c r="AE13" s="87">
        <v>0.06</v>
      </c>
      <c r="AF13">
        <v>0.22000000000000003</v>
      </c>
      <c r="AG13">
        <v>0.44</v>
      </c>
      <c r="AH13" s="88">
        <v>0.52</v>
      </c>
      <c r="AI13" s="87">
        <v>3.8900000000000006</v>
      </c>
      <c r="AJ13">
        <v>7</v>
      </c>
      <c r="AK13">
        <v>8</v>
      </c>
      <c r="AL13" s="88">
        <v>9.5</v>
      </c>
      <c r="AM13" s="87">
        <v>4.8099999999999987</v>
      </c>
      <c r="AN13">
        <v>7</v>
      </c>
      <c r="AO13">
        <v>8</v>
      </c>
      <c r="AP13" s="88">
        <v>9</v>
      </c>
      <c r="AQ13" s="87">
        <v>0.60499999999999998</v>
      </c>
      <c r="AR13">
        <v>1.1000000000000001</v>
      </c>
      <c r="AS13">
        <v>2.31</v>
      </c>
      <c r="AT13">
        <v>4.1549999999999994</v>
      </c>
      <c r="AU13" s="87">
        <v>0.77499999999999991</v>
      </c>
      <c r="AV13">
        <v>1.1000000000000001</v>
      </c>
      <c r="AW13">
        <v>2.31</v>
      </c>
      <c r="AX13" s="88">
        <v>3.53</v>
      </c>
      <c r="AY13" s="187">
        <v>0</v>
      </c>
      <c r="AZ13" s="179">
        <v>0.9900000000000001</v>
      </c>
      <c r="BA13" s="179">
        <v>2.42</v>
      </c>
      <c r="BB13" s="179">
        <v>3.6850000000000005</v>
      </c>
      <c r="BC13" s="187">
        <v>4.9999999999999933E-2</v>
      </c>
      <c r="BD13" s="179">
        <v>0.9900000000000001</v>
      </c>
      <c r="BE13" s="179">
        <v>2.42</v>
      </c>
      <c r="BF13" s="188">
        <v>3.3000000000000007</v>
      </c>
      <c r="BG13" s="87">
        <f t="shared" si="3"/>
        <v>4.495000000000001</v>
      </c>
      <c r="BH13">
        <f t="shared" si="1"/>
        <v>9.09</v>
      </c>
      <c r="BI13">
        <f t="shared" si="1"/>
        <v>12.73</v>
      </c>
      <c r="BJ13">
        <f t="shared" si="1"/>
        <v>17.34</v>
      </c>
      <c r="BK13" s="87">
        <f t="shared" si="1"/>
        <v>5.6349999999999989</v>
      </c>
      <c r="BL13">
        <f t="shared" si="1"/>
        <v>9.09</v>
      </c>
      <c r="BM13">
        <f t="shared" si="1"/>
        <v>12.73</v>
      </c>
      <c r="BN13">
        <f t="shared" si="1"/>
        <v>15.83</v>
      </c>
      <c r="BO13" s="138">
        <f t="shared" si="4"/>
        <v>8.1709999999999994</v>
      </c>
      <c r="BP13" s="143">
        <f t="shared" si="5"/>
        <v>13.652000000000001</v>
      </c>
      <c r="BQ13" s="138">
        <f t="shared" si="6"/>
        <v>8.3989999999999991</v>
      </c>
      <c r="BR13" s="139">
        <f t="shared" si="7"/>
        <v>13.350000000000001</v>
      </c>
      <c r="BS13" s="87">
        <f t="shared" si="8"/>
        <v>10.9115</v>
      </c>
      <c r="BT13" s="88">
        <f t="shared" si="9"/>
        <v>10.874500000000001</v>
      </c>
      <c r="BU13" s="134">
        <f t="shared" si="10"/>
        <v>10.893000000000001</v>
      </c>
    </row>
    <row r="14" spans="1:73" ht="30" x14ac:dyDescent="0.25">
      <c r="A14" s="102" t="s">
        <v>68</v>
      </c>
      <c r="B14" s="102" t="s">
        <v>79</v>
      </c>
      <c r="C14" s="121" t="s">
        <v>92</v>
      </c>
      <c r="D14" s="155" t="s">
        <v>104</v>
      </c>
      <c r="E14" s="156" t="s">
        <v>105</v>
      </c>
      <c r="F14" s="156" t="s">
        <v>106</v>
      </c>
      <c r="G14" s="110">
        <f t="shared" si="0"/>
        <v>1</v>
      </c>
      <c r="H14" s="110">
        <f t="shared" si="0"/>
        <v>0.66</v>
      </c>
      <c r="I14" s="110">
        <f t="shared" si="0"/>
        <v>0.33</v>
      </c>
      <c r="J14" s="147">
        <f t="shared" si="2"/>
        <v>10.8</v>
      </c>
      <c r="K14" s="87">
        <v>0.77</v>
      </c>
      <c r="L14">
        <v>1</v>
      </c>
      <c r="M14">
        <v>1</v>
      </c>
      <c r="N14" s="88">
        <v>1</v>
      </c>
      <c r="O14" s="87">
        <v>0.83</v>
      </c>
      <c r="P14">
        <v>1</v>
      </c>
      <c r="Q14">
        <v>1</v>
      </c>
      <c r="R14" s="88">
        <v>1</v>
      </c>
      <c r="S14" s="87">
        <v>0.44000000000000006</v>
      </c>
      <c r="T14">
        <v>0.55000000000000004</v>
      </c>
      <c r="U14">
        <v>0.77</v>
      </c>
      <c r="V14" s="88">
        <v>1</v>
      </c>
      <c r="W14" s="87">
        <v>0.47000000000000003</v>
      </c>
      <c r="X14">
        <v>0.55000000000000004</v>
      </c>
      <c r="Y14">
        <v>0.77</v>
      </c>
      <c r="Z14" s="88">
        <v>0.92</v>
      </c>
      <c r="AA14" s="87">
        <v>0</v>
      </c>
      <c r="AB14">
        <v>0.22000000000000003</v>
      </c>
      <c r="AC14">
        <v>0.44</v>
      </c>
      <c r="AD14" s="88">
        <v>0.55000000000000004</v>
      </c>
      <c r="AE14" s="87">
        <v>0.06</v>
      </c>
      <c r="AF14">
        <v>0.22000000000000003</v>
      </c>
      <c r="AG14">
        <v>0.44</v>
      </c>
      <c r="AH14" s="88">
        <v>0.52</v>
      </c>
      <c r="AI14" s="87">
        <v>3.8900000000000006</v>
      </c>
      <c r="AJ14">
        <v>7</v>
      </c>
      <c r="AK14">
        <v>8</v>
      </c>
      <c r="AL14" s="88">
        <v>9.5</v>
      </c>
      <c r="AM14" s="87">
        <v>4.8099999999999987</v>
      </c>
      <c r="AN14">
        <v>7</v>
      </c>
      <c r="AO14">
        <v>8</v>
      </c>
      <c r="AP14" s="88">
        <v>9</v>
      </c>
      <c r="AQ14" s="87">
        <v>0.60499999999999998</v>
      </c>
      <c r="AR14">
        <v>1.1000000000000001</v>
      </c>
      <c r="AS14">
        <v>2.31</v>
      </c>
      <c r="AT14">
        <v>4.1549999999999994</v>
      </c>
      <c r="AU14" s="87">
        <v>0.77499999999999991</v>
      </c>
      <c r="AV14">
        <v>1.1000000000000001</v>
      </c>
      <c r="AW14">
        <v>2.31</v>
      </c>
      <c r="AX14" s="88">
        <v>3.53</v>
      </c>
      <c r="AY14" s="187">
        <v>0</v>
      </c>
      <c r="AZ14" s="179">
        <v>0.9900000000000001</v>
      </c>
      <c r="BA14" s="179">
        <v>2.42</v>
      </c>
      <c r="BB14" s="179">
        <v>3.6850000000000005</v>
      </c>
      <c r="BC14" s="187">
        <v>4.9999999999999933E-2</v>
      </c>
      <c r="BD14" s="179">
        <v>0.9900000000000001</v>
      </c>
      <c r="BE14" s="179">
        <v>2.42</v>
      </c>
      <c r="BF14" s="188">
        <v>3.3000000000000007</v>
      </c>
      <c r="BG14" s="87">
        <f t="shared" si="3"/>
        <v>4.495000000000001</v>
      </c>
      <c r="BH14">
        <f t="shared" si="1"/>
        <v>9.09</v>
      </c>
      <c r="BI14">
        <f t="shared" si="1"/>
        <v>12.73</v>
      </c>
      <c r="BJ14">
        <f t="shared" si="1"/>
        <v>17.34</v>
      </c>
      <c r="BK14" s="87">
        <f t="shared" si="1"/>
        <v>5.6349999999999989</v>
      </c>
      <c r="BL14">
        <f t="shared" si="1"/>
        <v>9.09</v>
      </c>
      <c r="BM14">
        <f t="shared" si="1"/>
        <v>12.73</v>
      </c>
      <c r="BN14">
        <f t="shared" si="1"/>
        <v>15.83</v>
      </c>
      <c r="BO14" s="138">
        <f t="shared" si="4"/>
        <v>8.1709999999999994</v>
      </c>
      <c r="BP14" s="143">
        <f t="shared" si="5"/>
        <v>13.652000000000001</v>
      </c>
      <c r="BQ14" s="138">
        <f t="shared" si="6"/>
        <v>8.3989999999999991</v>
      </c>
      <c r="BR14" s="139">
        <f t="shared" si="7"/>
        <v>13.350000000000001</v>
      </c>
      <c r="BS14" s="87">
        <f t="shared" si="8"/>
        <v>10.9115</v>
      </c>
      <c r="BT14" s="88">
        <f t="shared" si="9"/>
        <v>10.874500000000001</v>
      </c>
      <c r="BU14" s="134">
        <f t="shared" si="10"/>
        <v>10.893000000000001</v>
      </c>
    </row>
    <row r="15" spans="1:73" ht="30" x14ac:dyDescent="0.25">
      <c r="A15" s="102" t="s">
        <v>69</v>
      </c>
      <c r="B15" s="102" t="s">
        <v>80</v>
      </c>
      <c r="C15" s="121" t="s">
        <v>81</v>
      </c>
      <c r="D15" s="155" t="s">
        <v>105</v>
      </c>
      <c r="E15" s="156" t="s">
        <v>104</v>
      </c>
      <c r="F15" s="156" t="s">
        <v>104</v>
      </c>
      <c r="G15" s="110">
        <f t="shared" si="0"/>
        <v>0.66</v>
      </c>
      <c r="H15" s="110">
        <f t="shared" si="0"/>
        <v>1</v>
      </c>
      <c r="I15" s="110">
        <f t="shared" si="0"/>
        <v>1</v>
      </c>
      <c r="J15" s="147">
        <f t="shared" si="2"/>
        <v>12.45</v>
      </c>
      <c r="K15" s="87">
        <v>0.44000000000000006</v>
      </c>
      <c r="L15">
        <v>0.55000000000000004</v>
      </c>
      <c r="M15">
        <v>0.77</v>
      </c>
      <c r="N15" s="88">
        <v>1</v>
      </c>
      <c r="O15" s="87">
        <v>0.47000000000000003</v>
      </c>
      <c r="P15">
        <v>0.55000000000000004</v>
      </c>
      <c r="Q15">
        <v>0.77</v>
      </c>
      <c r="R15" s="88">
        <v>0.92</v>
      </c>
      <c r="S15" s="87">
        <v>0.77</v>
      </c>
      <c r="T15">
        <v>1</v>
      </c>
      <c r="U15">
        <v>1</v>
      </c>
      <c r="V15" s="88">
        <v>1</v>
      </c>
      <c r="W15" s="87">
        <v>0.83</v>
      </c>
      <c r="X15">
        <v>1</v>
      </c>
      <c r="Y15">
        <v>1</v>
      </c>
      <c r="Z15" s="88">
        <v>1</v>
      </c>
      <c r="AA15" s="87">
        <v>0.77</v>
      </c>
      <c r="AB15">
        <v>1</v>
      </c>
      <c r="AC15">
        <v>1</v>
      </c>
      <c r="AD15" s="88">
        <v>1</v>
      </c>
      <c r="AE15" s="87">
        <v>0.83</v>
      </c>
      <c r="AF15">
        <v>1</v>
      </c>
      <c r="AG15">
        <v>1</v>
      </c>
      <c r="AH15" s="88">
        <v>1</v>
      </c>
      <c r="AI15" s="87">
        <v>2.2549999999999999</v>
      </c>
      <c r="AJ15">
        <v>3.8500000000000005</v>
      </c>
      <c r="AK15">
        <v>6.16</v>
      </c>
      <c r="AL15" s="88">
        <v>9.1550000000000011</v>
      </c>
      <c r="AM15" s="87">
        <v>2.7399999999999993</v>
      </c>
      <c r="AN15">
        <v>3.8500000000000005</v>
      </c>
      <c r="AO15">
        <v>6.16</v>
      </c>
      <c r="AP15" s="88">
        <v>8.129999999999999</v>
      </c>
      <c r="AQ15" s="87">
        <v>1.04</v>
      </c>
      <c r="AR15">
        <v>2</v>
      </c>
      <c r="AS15">
        <v>3</v>
      </c>
      <c r="AT15">
        <v>4.5</v>
      </c>
      <c r="AU15" s="87">
        <v>1.3599999999999999</v>
      </c>
      <c r="AV15">
        <v>2</v>
      </c>
      <c r="AW15">
        <v>3</v>
      </c>
      <c r="AX15" s="88">
        <v>4</v>
      </c>
      <c r="AY15" s="87">
        <v>1.9649999999999999</v>
      </c>
      <c r="AZ15">
        <v>4.5</v>
      </c>
      <c r="BA15">
        <v>5.5</v>
      </c>
      <c r="BB15">
        <v>7</v>
      </c>
      <c r="BC15" s="87">
        <v>2.7349999999999994</v>
      </c>
      <c r="BD15">
        <v>4.5</v>
      </c>
      <c r="BE15">
        <v>5.5</v>
      </c>
      <c r="BF15" s="88">
        <v>6.5</v>
      </c>
      <c r="BG15" s="87">
        <f t="shared" si="3"/>
        <v>5.26</v>
      </c>
      <c r="BH15">
        <f t="shared" si="1"/>
        <v>10.350000000000001</v>
      </c>
      <c r="BI15">
        <f t="shared" si="1"/>
        <v>14.66</v>
      </c>
      <c r="BJ15">
        <f t="shared" si="1"/>
        <v>20.655000000000001</v>
      </c>
      <c r="BK15" s="87">
        <f t="shared" si="1"/>
        <v>6.8349999999999991</v>
      </c>
      <c r="BL15">
        <f t="shared" si="1"/>
        <v>10.350000000000001</v>
      </c>
      <c r="BM15">
        <f t="shared" si="1"/>
        <v>14.66</v>
      </c>
      <c r="BN15">
        <f t="shared" si="1"/>
        <v>18.63</v>
      </c>
      <c r="BO15" s="138">
        <f t="shared" si="4"/>
        <v>9.3320000000000007</v>
      </c>
      <c r="BP15" s="143">
        <f t="shared" si="5"/>
        <v>15.859000000000002</v>
      </c>
      <c r="BQ15" s="138">
        <f t="shared" si="6"/>
        <v>9.6470000000000002</v>
      </c>
      <c r="BR15" s="139">
        <f t="shared" si="7"/>
        <v>15.454000000000001</v>
      </c>
      <c r="BS15" s="87">
        <f t="shared" si="8"/>
        <v>12.595500000000001</v>
      </c>
      <c r="BT15" s="88">
        <f t="shared" si="9"/>
        <v>12.5505</v>
      </c>
      <c r="BU15" s="134">
        <f t="shared" si="10"/>
        <v>12.573</v>
      </c>
    </row>
    <row r="16" spans="1:73" ht="36.75" customHeight="1" x14ac:dyDescent="0.25">
      <c r="A16" s="102" t="s">
        <v>70</v>
      </c>
      <c r="B16" s="102" t="s">
        <v>82</v>
      </c>
      <c r="C16" s="121" t="s">
        <v>93</v>
      </c>
      <c r="D16" s="155" t="s">
        <v>105</v>
      </c>
      <c r="E16" s="156" t="s">
        <v>104</v>
      </c>
      <c r="F16" s="156" t="s">
        <v>105</v>
      </c>
      <c r="G16" s="110">
        <f t="shared" si="0"/>
        <v>0.66</v>
      </c>
      <c r="H16" s="110">
        <f t="shared" si="0"/>
        <v>1</v>
      </c>
      <c r="I16" s="110">
        <f t="shared" si="0"/>
        <v>0.66</v>
      </c>
      <c r="J16" s="147">
        <f t="shared" si="2"/>
        <v>10.75</v>
      </c>
      <c r="K16" s="87">
        <v>0.44000000000000006</v>
      </c>
      <c r="L16">
        <v>0.55000000000000004</v>
      </c>
      <c r="M16">
        <v>0.77</v>
      </c>
      <c r="N16" s="88">
        <v>1</v>
      </c>
      <c r="O16" s="87">
        <v>0.47000000000000003</v>
      </c>
      <c r="P16">
        <v>0.55000000000000004</v>
      </c>
      <c r="Q16">
        <v>0.77</v>
      </c>
      <c r="R16" s="88">
        <v>0.92</v>
      </c>
      <c r="S16" s="87">
        <v>0.77</v>
      </c>
      <c r="T16">
        <v>1</v>
      </c>
      <c r="U16">
        <v>1</v>
      </c>
      <c r="V16" s="88">
        <v>1</v>
      </c>
      <c r="W16" s="87">
        <v>0.83</v>
      </c>
      <c r="X16">
        <v>1</v>
      </c>
      <c r="Y16">
        <v>1</v>
      </c>
      <c r="Z16" s="88">
        <v>1</v>
      </c>
      <c r="AA16" s="87">
        <v>0.44000000000000006</v>
      </c>
      <c r="AB16">
        <v>0.55000000000000004</v>
      </c>
      <c r="AC16">
        <v>0.77</v>
      </c>
      <c r="AD16" s="88">
        <v>1</v>
      </c>
      <c r="AE16" s="87">
        <v>0.47000000000000003</v>
      </c>
      <c r="AF16">
        <v>0.55000000000000004</v>
      </c>
      <c r="AG16">
        <v>0.77</v>
      </c>
      <c r="AH16" s="88">
        <v>0.92</v>
      </c>
      <c r="AI16" s="87">
        <v>2.2549999999999999</v>
      </c>
      <c r="AJ16">
        <v>3.8500000000000005</v>
      </c>
      <c r="AK16">
        <v>6.16</v>
      </c>
      <c r="AL16" s="88">
        <v>9.1550000000000011</v>
      </c>
      <c r="AM16" s="87">
        <v>2.7399999999999993</v>
      </c>
      <c r="AN16">
        <v>3.8500000000000005</v>
      </c>
      <c r="AO16">
        <v>6.16</v>
      </c>
      <c r="AP16" s="88">
        <v>8.129999999999999</v>
      </c>
      <c r="AQ16" s="87">
        <v>1.04</v>
      </c>
      <c r="AR16">
        <v>2</v>
      </c>
      <c r="AS16">
        <v>3</v>
      </c>
      <c r="AT16">
        <v>4.5</v>
      </c>
      <c r="AU16" s="87">
        <v>1.3599999999999999</v>
      </c>
      <c r="AV16">
        <v>2</v>
      </c>
      <c r="AW16">
        <v>3</v>
      </c>
      <c r="AX16" s="88">
        <v>4</v>
      </c>
      <c r="AY16" s="87">
        <v>1.1550000000000002</v>
      </c>
      <c r="AZ16">
        <v>2.4750000000000001</v>
      </c>
      <c r="BA16">
        <v>4.2350000000000003</v>
      </c>
      <c r="BB16">
        <v>6.6550000000000002</v>
      </c>
      <c r="BC16" s="87">
        <v>1.5650000000000008</v>
      </c>
      <c r="BD16">
        <v>2.4750000000000001</v>
      </c>
      <c r="BE16">
        <v>4.2350000000000003</v>
      </c>
      <c r="BF16" s="88">
        <v>5.830000000000001</v>
      </c>
      <c r="BG16" s="87">
        <f t="shared" si="3"/>
        <v>4.45</v>
      </c>
      <c r="BH16">
        <f t="shared" si="1"/>
        <v>8.3250000000000011</v>
      </c>
      <c r="BI16">
        <f t="shared" si="1"/>
        <v>13.395</v>
      </c>
      <c r="BJ16">
        <f t="shared" si="1"/>
        <v>20.310000000000002</v>
      </c>
      <c r="BK16" s="87">
        <f t="shared" si="1"/>
        <v>5.6650000000000009</v>
      </c>
      <c r="BL16">
        <f t="shared" si="1"/>
        <v>8.3250000000000011</v>
      </c>
      <c r="BM16">
        <f t="shared" si="1"/>
        <v>13.395</v>
      </c>
      <c r="BN16">
        <f t="shared" si="1"/>
        <v>17.96</v>
      </c>
      <c r="BO16" s="138">
        <f t="shared" si="4"/>
        <v>7.5500000000000007</v>
      </c>
      <c r="BP16" s="143">
        <f t="shared" si="5"/>
        <v>14.778</v>
      </c>
      <c r="BQ16" s="138">
        <f t="shared" si="6"/>
        <v>7.793000000000001</v>
      </c>
      <c r="BR16" s="139">
        <f t="shared" si="7"/>
        <v>14.308</v>
      </c>
      <c r="BS16" s="87">
        <f t="shared" si="8"/>
        <v>11.164000000000001</v>
      </c>
      <c r="BT16" s="88">
        <f t="shared" si="9"/>
        <v>11.0505</v>
      </c>
      <c r="BU16" s="134">
        <f t="shared" si="10"/>
        <v>11.107250000000001</v>
      </c>
    </row>
    <row r="17" spans="1:73" ht="30.75" thickBot="1" x14ac:dyDescent="0.3">
      <c r="A17" s="102" t="s">
        <v>71</v>
      </c>
      <c r="B17" s="102" t="s">
        <v>83</v>
      </c>
      <c r="C17" s="121" t="s">
        <v>94</v>
      </c>
      <c r="D17" s="157" t="s">
        <v>106</v>
      </c>
      <c r="E17" s="158" t="s">
        <v>104</v>
      </c>
      <c r="F17" s="158" t="s">
        <v>105</v>
      </c>
      <c r="G17" s="123">
        <f t="shared" si="0"/>
        <v>0.33</v>
      </c>
      <c r="H17" s="123">
        <f t="shared" si="0"/>
        <v>1</v>
      </c>
      <c r="I17" s="123">
        <f t="shared" si="0"/>
        <v>0.66</v>
      </c>
      <c r="J17" s="148">
        <f t="shared" si="2"/>
        <v>8.2750000000000004</v>
      </c>
      <c r="K17" s="91">
        <v>0</v>
      </c>
      <c r="L17" s="93">
        <v>0.22000000000000003</v>
      </c>
      <c r="M17" s="93">
        <v>0.44</v>
      </c>
      <c r="N17" s="94">
        <v>0.55000000000000004</v>
      </c>
      <c r="O17" s="91">
        <v>0.06</v>
      </c>
      <c r="P17" s="93">
        <v>0.22000000000000003</v>
      </c>
      <c r="Q17" s="93">
        <v>0.44</v>
      </c>
      <c r="R17" s="94">
        <v>0.52</v>
      </c>
      <c r="S17" s="91">
        <v>0.77</v>
      </c>
      <c r="T17" s="93">
        <v>1</v>
      </c>
      <c r="U17" s="93">
        <v>1</v>
      </c>
      <c r="V17" s="94">
        <v>1</v>
      </c>
      <c r="W17" s="91">
        <v>0.83</v>
      </c>
      <c r="X17" s="93">
        <v>1</v>
      </c>
      <c r="Y17" s="93">
        <v>1</v>
      </c>
      <c r="Z17" s="94">
        <v>1</v>
      </c>
      <c r="AA17" s="91">
        <v>0.44000000000000006</v>
      </c>
      <c r="AB17" s="93">
        <v>0.55000000000000004</v>
      </c>
      <c r="AC17" s="93">
        <v>0.77</v>
      </c>
      <c r="AD17" s="94">
        <v>1</v>
      </c>
      <c r="AE17" s="91">
        <v>0.47000000000000003</v>
      </c>
      <c r="AF17" s="93">
        <v>0.55000000000000004</v>
      </c>
      <c r="AG17" s="93">
        <v>0.77</v>
      </c>
      <c r="AH17" s="94">
        <v>0.92</v>
      </c>
      <c r="AI17" s="189">
        <v>0</v>
      </c>
      <c r="AJ17" s="201">
        <v>1.5400000000000003</v>
      </c>
      <c r="AK17" s="201">
        <v>3.52</v>
      </c>
      <c r="AL17" s="190">
        <v>5.0600000000000005</v>
      </c>
      <c r="AM17" s="189">
        <v>0.19999999999999996</v>
      </c>
      <c r="AN17" s="201">
        <v>1.5400000000000003</v>
      </c>
      <c r="AO17" s="201">
        <v>3.52</v>
      </c>
      <c r="AP17" s="190">
        <v>4.6000000000000014</v>
      </c>
      <c r="AQ17" s="91">
        <v>1.04</v>
      </c>
      <c r="AR17" s="93">
        <v>2</v>
      </c>
      <c r="AS17" s="93">
        <v>3</v>
      </c>
      <c r="AT17" s="93">
        <v>4.5</v>
      </c>
      <c r="AU17" s="91">
        <v>1.3599999999999999</v>
      </c>
      <c r="AV17" s="93">
        <v>2</v>
      </c>
      <c r="AW17" s="93">
        <v>3</v>
      </c>
      <c r="AX17" s="94">
        <v>4</v>
      </c>
      <c r="AY17" s="91">
        <v>1.1550000000000002</v>
      </c>
      <c r="AZ17" s="93">
        <v>2.4750000000000001</v>
      </c>
      <c r="BA17" s="93">
        <v>4.2350000000000003</v>
      </c>
      <c r="BB17" s="93">
        <v>6.6550000000000002</v>
      </c>
      <c r="BC17" s="91">
        <v>1.5650000000000008</v>
      </c>
      <c r="BD17" s="93">
        <v>2.4750000000000001</v>
      </c>
      <c r="BE17" s="93">
        <v>4.2350000000000003</v>
      </c>
      <c r="BF17" s="94">
        <v>5.830000000000001</v>
      </c>
      <c r="BG17" s="91">
        <f t="shared" si="3"/>
        <v>2.1950000000000003</v>
      </c>
      <c r="BH17" s="93">
        <f t="shared" si="1"/>
        <v>6.0150000000000006</v>
      </c>
      <c r="BI17" s="93">
        <f t="shared" si="1"/>
        <v>10.754999999999999</v>
      </c>
      <c r="BJ17" s="93">
        <f t="shared" si="1"/>
        <v>16.215</v>
      </c>
      <c r="BK17" s="91">
        <f t="shared" si="1"/>
        <v>3.1250000000000009</v>
      </c>
      <c r="BL17" s="93">
        <f t="shared" si="1"/>
        <v>6.0150000000000006</v>
      </c>
      <c r="BM17" s="93">
        <f t="shared" si="1"/>
        <v>10.754999999999999</v>
      </c>
      <c r="BN17" s="93">
        <f t="shared" si="1"/>
        <v>14.430000000000003</v>
      </c>
      <c r="BO17" s="140">
        <f t="shared" si="4"/>
        <v>5.2510000000000012</v>
      </c>
      <c r="BP17" s="144">
        <f t="shared" si="5"/>
        <v>11.846999999999998</v>
      </c>
      <c r="BQ17" s="140">
        <f t="shared" si="6"/>
        <v>5.4370000000000012</v>
      </c>
      <c r="BR17" s="141">
        <f t="shared" si="7"/>
        <v>11.489999999999998</v>
      </c>
      <c r="BS17" s="91">
        <f t="shared" si="8"/>
        <v>8.5489999999999995</v>
      </c>
      <c r="BT17" s="94">
        <f t="shared" si="9"/>
        <v>8.4634999999999998</v>
      </c>
      <c r="BU17" s="135">
        <f t="shared" si="10"/>
        <v>8.5062499999999996</v>
      </c>
    </row>
    <row r="18" spans="1:73" x14ac:dyDescent="0.25">
      <c r="BF18" s="60"/>
      <c r="BG18" s="59"/>
      <c r="BH18" s="59"/>
      <c r="BI18" s="59"/>
      <c r="BJ18" s="59"/>
      <c r="BK18" s="59"/>
    </row>
    <row r="19" spans="1:73" x14ac:dyDescent="0.25">
      <c r="A19" s="1" t="s">
        <v>124</v>
      </c>
      <c r="B19" s="1"/>
    </row>
    <row r="20" spans="1:73" ht="15.75" thickBot="1" x14ac:dyDescent="0.3">
      <c r="A20" s="107" t="s">
        <v>103</v>
      </c>
      <c r="B20" s="108" t="s">
        <v>122</v>
      </c>
      <c r="E20" s="112" t="s">
        <v>17</v>
      </c>
      <c r="I20" t="s">
        <v>18</v>
      </c>
    </row>
    <row r="21" spans="1:73" x14ac:dyDescent="0.25">
      <c r="A21" s="106" t="s">
        <v>107</v>
      </c>
      <c r="B21" s="2">
        <v>0</v>
      </c>
      <c r="C21" s="79">
        <v>0</v>
      </c>
      <c r="D21" s="80" t="s">
        <v>107</v>
      </c>
      <c r="E21" s="81">
        <v>0</v>
      </c>
      <c r="F21" s="82">
        <f>C21</f>
        <v>0</v>
      </c>
      <c r="G21" s="83">
        <v>0</v>
      </c>
      <c r="H21" s="84">
        <v>0.22</v>
      </c>
      <c r="I21" s="85">
        <v>0</v>
      </c>
      <c r="J21" s="83">
        <f>F21</f>
        <v>0</v>
      </c>
      <c r="K21" s="83">
        <f>G21</f>
        <v>0</v>
      </c>
      <c r="L21" s="86">
        <v>0.15</v>
      </c>
    </row>
    <row r="22" spans="1:73" x14ac:dyDescent="0.25">
      <c r="A22" s="106" t="s">
        <v>106</v>
      </c>
      <c r="B22" s="2">
        <v>0.33</v>
      </c>
      <c r="C22" s="79">
        <v>0.33</v>
      </c>
      <c r="D22" s="80" t="s">
        <v>106</v>
      </c>
      <c r="E22" s="87">
        <v>0</v>
      </c>
      <c r="F22" s="111">
        <f>C22-0.11</f>
        <v>0.22000000000000003</v>
      </c>
      <c r="G22">
        <f>C22+0.11</f>
        <v>0.44</v>
      </c>
      <c r="H22" s="88">
        <f t="shared" ref="H22" si="11">G22+0.11</f>
        <v>0.55000000000000004</v>
      </c>
      <c r="I22" s="89">
        <v>0.06</v>
      </c>
      <c r="J22">
        <f t="shared" ref="J22:K24" si="12">F22</f>
        <v>0.22000000000000003</v>
      </c>
      <c r="K22">
        <f t="shared" si="12"/>
        <v>0.44</v>
      </c>
      <c r="L22" s="90">
        <f t="shared" ref="L22" si="13">K22+0.08</f>
        <v>0.52</v>
      </c>
    </row>
    <row r="23" spans="1:73" x14ac:dyDescent="0.25">
      <c r="A23" s="106" t="s">
        <v>105</v>
      </c>
      <c r="B23" s="2">
        <v>0.66</v>
      </c>
      <c r="C23" s="79">
        <v>0.66</v>
      </c>
      <c r="D23" s="80" t="s">
        <v>105</v>
      </c>
      <c r="E23" s="87">
        <f t="shared" ref="E23" si="14">F23-0.11</f>
        <v>0.44000000000000006</v>
      </c>
      <c r="F23" s="111">
        <f t="shared" ref="F23" si="15">C23-0.11</f>
        <v>0.55000000000000004</v>
      </c>
      <c r="G23">
        <f t="shared" ref="G23" si="16">C23+0.11</f>
        <v>0.77</v>
      </c>
      <c r="H23" s="88">
        <v>1</v>
      </c>
      <c r="I23" s="89">
        <f t="shared" ref="I23" si="17">J23-0.08</f>
        <v>0.47000000000000003</v>
      </c>
      <c r="J23">
        <f t="shared" si="12"/>
        <v>0.55000000000000004</v>
      </c>
      <c r="K23">
        <f t="shared" si="12"/>
        <v>0.77</v>
      </c>
      <c r="L23" s="90">
        <v>0.92</v>
      </c>
    </row>
    <row r="24" spans="1:73" ht="15.75" thickBot="1" x14ac:dyDescent="0.3">
      <c r="A24" s="106" t="s">
        <v>104</v>
      </c>
      <c r="B24" s="2">
        <v>1</v>
      </c>
      <c r="C24" s="79">
        <v>1</v>
      </c>
      <c r="D24" s="80" t="s">
        <v>104</v>
      </c>
      <c r="E24" s="91">
        <v>0.77</v>
      </c>
      <c r="F24" s="92">
        <v>1</v>
      </c>
      <c r="G24" s="93">
        <v>1</v>
      </c>
      <c r="H24" s="94">
        <v>1</v>
      </c>
      <c r="I24" s="95">
        <v>0.83</v>
      </c>
      <c r="J24" s="93">
        <f t="shared" si="12"/>
        <v>1</v>
      </c>
      <c r="K24" s="93">
        <f t="shared" si="12"/>
        <v>1</v>
      </c>
      <c r="L24" s="96">
        <v>1</v>
      </c>
    </row>
    <row r="25" spans="1:73" x14ac:dyDescent="0.25">
      <c r="A25" s="99"/>
    </row>
    <row r="26" spans="1:73" x14ac:dyDescent="0.25">
      <c r="A26" s="1" t="s">
        <v>119</v>
      </c>
    </row>
    <row r="27" spans="1:73" ht="15.75" thickBot="1" x14ac:dyDescent="0.3">
      <c r="A27" s="107" t="s">
        <v>103</v>
      </c>
      <c r="B27" s="108" t="s">
        <v>123</v>
      </c>
      <c r="E27" s="112" t="s">
        <v>17</v>
      </c>
      <c r="I27" t="s">
        <v>18</v>
      </c>
    </row>
    <row r="28" spans="1:73" x14ac:dyDescent="0.25">
      <c r="A28" s="106" t="s">
        <v>107</v>
      </c>
      <c r="B28" s="2">
        <v>1</v>
      </c>
      <c r="C28" s="79">
        <v>1</v>
      </c>
      <c r="D28" s="80" t="s">
        <v>107</v>
      </c>
      <c r="E28" s="81">
        <v>0</v>
      </c>
      <c r="F28" s="82">
        <v>0.5</v>
      </c>
      <c r="G28" s="83">
        <v>1.5</v>
      </c>
      <c r="H28" s="84">
        <v>2</v>
      </c>
      <c r="I28" s="85">
        <v>0</v>
      </c>
      <c r="J28" s="83">
        <f>F28</f>
        <v>0.5</v>
      </c>
      <c r="K28" s="83">
        <f>G28</f>
        <v>1.5</v>
      </c>
      <c r="L28" s="86">
        <v>1.8</v>
      </c>
    </row>
    <row r="29" spans="1:73" x14ac:dyDescent="0.25">
      <c r="A29" s="106" t="s">
        <v>106</v>
      </c>
      <c r="B29" s="2">
        <v>2.5</v>
      </c>
      <c r="C29" s="79">
        <v>2.5</v>
      </c>
      <c r="D29" s="80" t="s">
        <v>106</v>
      </c>
      <c r="E29" s="87">
        <v>1.5</v>
      </c>
      <c r="F29" s="111">
        <f>C29-0.5</f>
        <v>2</v>
      </c>
      <c r="G29">
        <f>C29+0.5</f>
        <v>3</v>
      </c>
      <c r="H29" s="88">
        <f t="shared" ref="H29:H31" si="18">G29+1.5</f>
        <v>4.5</v>
      </c>
      <c r="I29" s="89">
        <v>1.7</v>
      </c>
      <c r="J29">
        <f t="shared" ref="J29:K31" si="19">F29</f>
        <v>2</v>
      </c>
      <c r="K29">
        <f t="shared" si="19"/>
        <v>3</v>
      </c>
      <c r="L29" s="90">
        <f t="shared" ref="L29:L31" si="20">K29+1</f>
        <v>4</v>
      </c>
    </row>
    <row r="30" spans="1:73" x14ac:dyDescent="0.25">
      <c r="A30" s="106" t="s">
        <v>105</v>
      </c>
      <c r="B30" s="2">
        <v>5</v>
      </c>
      <c r="C30" s="79">
        <v>5</v>
      </c>
      <c r="D30" s="80" t="s">
        <v>105</v>
      </c>
      <c r="E30" s="87">
        <f t="shared" ref="E30:E31" si="21">F30-1.5</f>
        <v>3</v>
      </c>
      <c r="F30" s="111">
        <f>C30-0.5</f>
        <v>4.5</v>
      </c>
      <c r="G30">
        <f>C30+0.5</f>
        <v>5.5</v>
      </c>
      <c r="H30" s="88">
        <f t="shared" si="18"/>
        <v>7</v>
      </c>
      <c r="I30" s="89">
        <f t="shared" ref="I30:I31" si="22">J30-1</f>
        <v>3.5</v>
      </c>
      <c r="J30">
        <f t="shared" si="19"/>
        <v>4.5</v>
      </c>
      <c r="K30">
        <f t="shared" si="19"/>
        <v>5.5</v>
      </c>
      <c r="L30" s="90">
        <f t="shared" si="20"/>
        <v>6.5</v>
      </c>
    </row>
    <row r="31" spans="1:73" ht="15.75" thickBot="1" x14ac:dyDescent="0.3">
      <c r="A31" s="106" t="s">
        <v>104</v>
      </c>
      <c r="B31" s="2">
        <v>7.5</v>
      </c>
      <c r="C31" s="79">
        <v>7.5</v>
      </c>
      <c r="D31" s="80" t="s">
        <v>104</v>
      </c>
      <c r="E31" s="91">
        <f t="shared" si="21"/>
        <v>5.5</v>
      </c>
      <c r="F31" s="92">
        <f>C31-0.5</f>
        <v>7</v>
      </c>
      <c r="G31" s="93">
        <f>C31+0.5</f>
        <v>8</v>
      </c>
      <c r="H31" s="94">
        <f t="shared" si="18"/>
        <v>9.5</v>
      </c>
      <c r="I31" s="95">
        <f t="shared" si="22"/>
        <v>6</v>
      </c>
      <c r="J31" s="93">
        <f t="shared" si="19"/>
        <v>7</v>
      </c>
      <c r="K31" s="93">
        <f t="shared" si="19"/>
        <v>8</v>
      </c>
      <c r="L31" s="96">
        <f t="shared" si="20"/>
        <v>9</v>
      </c>
    </row>
    <row r="33" spans="1:12" ht="15.75" thickBot="1" x14ac:dyDescent="0.3">
      <c r="A33" s="1" t="s">
        <v>191</v>
      </c>
    </row>
    <row r="34" spans="1:12" ht="67.5" customHeight="1" thickBot="1" x14ac:dyDescent="0.3">
      <c r="A34" s="114" t="s">
        <v>117</v>
      </c>
      <c r="B34" s="113" t="s">
        <v>99</v>
      </c>
      <c r="C34" s="115" t="s">
        <v>108</v>
      </c>
      <c r="D34" s="116" t="s">
        <v>125</v>
      </c>
      <c r="E34" s="283" t="s">
        <v>126</v>
      </c>
      <c r="F34" s="284"/>
      <c r="G34" s="284"/>
      <c r="H34" s="284"/>
      <c r="I34" s="284"/>
      <c r="J34" s="284"/>
      <c r="K34" s="284"/>
      <c r="L34" s="285"/>
    </row>
    <row r="35" spans="1:12" x14ac:dyDescent="0.25">
      <c r="A35" s="125" t="s">
        <v>114</v>
      </c>
      <c r="B35" s="117" t="s">
        <v>100</v>
      </c>
      <c r="C35" s="118" t="s">
        <v>104</v>
      </c>
      <c r="D35" s="152">
        <v>7.5</v>
      </c>
      <c r="E35" s="87">
        <v>5.5</v>
      </c>
      <c r="F35" s="111">
        <v>7</v>
      </c>
      <c r="G35">
        <v>8</v>
      </c>
      <c r="H35" s="88">
        <v>9.5</v>
      </c>
      <c r="I35" s="89">
        <v>6</v>
      </c>
      <c r="J35">
        <v>7</v>
      </c>
      <c r="K35">
        <v>8</v>
      </c>
      <c r="L35" s="90">
        <v>9</v>
      </c>
    </row>
    <row r="36" spans="1:12" x14ac:dyDescent="0.25">
      <c r="A36" s="126" t="s">
        <v>115</v>
      </c>
      <c r="B36" s="104" t="s">
        <v>101</v>
      </c>
      <c r="C36" s="2" t="s">
        <v>106</v>
      </c>
      <c r="D36" s="153">
        <v>2.5</v>
      </c>
      <c r="E36" s="87">
        <v>1.5</v>
      </c>
      <c r="F36" s="111">
        <v>2</v>
      </c>
      <c r="G36">
        <v>3</v>
      </c>
      <c r="H36" s="88">
        <v>4.5</v>
      </c>
      <c r="I36" s="89">
        <v>1.7</v>
      </c>
      <c r="J36">
        <v>2</v>
      </c>
      <c r="K36">
        <v>3</v>
      </c>
      <c r="L36" s="90">
        <v>4</v>
      </c>
    </row>
    <row r="37" spans="1:12" ht="15.75" thickBot="1" x14ac:dyDescent="0.3">
      <c r="A37" s="127" t="s">
        <v>116</v>
      </c>
      <c r="B37" s="119" t="s">
        <v>102</v>
      </c>
      <c r="C37" s="120" t="s">
        <v>105</v>
      </c>
      <c r="D37" s="154">
        <v>5</v>
      </c>
      <c r="E37" s="91">
        <v>3</v>
      </c>
      <c r="F37" s="92">
        <v>4.5</v>
      </c>
      <c r="G37" s="93">
        <v>5.5</v>
      </c>
      <c r="H37" s="94">
        <v>7</v>
      </c>
      <c r="I37" s="95">
        <v>3.5</v>
      </c>
      <c r="J37" s="93">
        <v>4.5</v>
      </c>
      <c r="K37" s="93">
        <v>5.5</v>
      </c>
      <c r="L37" s="96">
        <v>6.5</v>
      </c>
    </row>
    <row r="39" spans="1:12" ht="15.75" thickBot="1" x14ac:dyDescent="0.3">
      <c r="A39" s="1" t="s">
        <v>192</v>
      </c>
    </row>
    <row r="40" spans="1:12" ht="45.75" thickBot="1" x14ac:dyDescent="0.3">
      <c r="A40" s="128" t="s">
        <v>132</v>
      </c>
      <c r="B40" s="129" t="s">
        <v>133</v>
      </c>
      <c r="E40" s="283" t="s">
        <v>134</v>
      </c>
      <c r="F40" s="284"/>
      <c r="G40" s="284"/>
      <c r="H40" s="284"/>
      <c r="I40" s="284"/>
      <c r="J40" s="284"/>
      <c r="K40" s="284"/>
      <c r="L40" s="285"/>
    </row>
    <row r="41" spans="1:12" x14ac:dyDescent="0.25">
      <c r="A41" s="125" t="s">
        <v>129</v>
      </c>
      <c r="B41" s="130" t="s">
        <v>107</v>
      </c>
      <c r="D41" s="133" t="s">
        <v>138</v>
      </c>
      <c r="E41" s="81">
        <f>E21*F$35+E$35*F21-F21*F$35</f>
        <v>0</v>
      </c>
      <c r="F41" s="83">
        <f>F21*F$35</f>
        <v>0</v>
      </c>
      <c r="G41" s="83">
        <f>G21*G$35</f>
        <v>0</v>
      </c>
      <c r="H41" s="84">
        <f>G21*H$35+G$35*H21-G21*G$35</f>
        <v>1.76</v>
      </c>
      <c r="I41" s="81">
        <f>I21*J$35+I$35*J21-J21*J$35</f>
        <v>0</v>
      </c>
      <c r="J41" s="83">
        <f>J21*J$35</f>
        <v>0</v>
      </c>
      <c r="K41" s="83">
        <f>K21*K$35</f>
        <v>0</v>
      </c>
      <c r="L41" s="84">
        <f>K21*L$35+K$35*L21-K21*K$35</f>
        <v>1.2</v>
      </c>
    </row>
    <row r="42" spans="1:12" x14ac:dyDescent="0.25">
      <c r="A42" s="126" t="s">
        <v>129</v>
      </c>
      <c r="B42" s="131" t="s">
        <v>106</v>
      </c>
      <c r="D42" s="134" t="s">
        <v>137</v>
      </c>
      <c r="E42" s="202">
        <f>IF(E22*F$35+E$35*F22-F22*F$35&lt;0,0,E22*F$35+E$35*F22-F22*F$35)</f>
        <v>0</v>
      </c>
      <c r="F42" s="179">
        <f t="shared" ref="F42:G44" si="23">F22*F$35</f>
        <v>1.5400000000000003</v>
      </c>
      <c r="G42" s="179">
        <f t="shared" si="23"/>
        <v>3.52</v>
      </c>
      <c r="H42" s="188">
        <f t="shared" ref="H42:H44" si="24">G22*H$35+G$35*H22-G22*G$35</f>
        <v>5.0600000000000005</v>
      </c>
      <c r="I42" s="187">
        <f t="shared" ref="I42:I44" si="25">I22*J$35+I$35*J22-J22*J$35</f>
        <v>0.19999999999999996</v>
      </c>
      <c r="J42" s="179">
        <f t="shared" ref="J42:K44" si="26">J22*J$35</f>
        <v>1.5400000000000003</v>
      </c>
      <c r="K42" s="179">
        <f t="shared" si="26"/>
        <v>3.52</v>
      </c>
      <c r="L42" s="188">
        <f t="shared" ref="L42:L44" si="27">K22*L$35+K$35*L22-K22*K$35</f>
        <v>4.6000000000000014</v>
      </c>
    </row>
    <row r="43" spans="1:12" x14ac:dyDescent="0.25">
      <c r="A43" s="126" t="s">
        <v>129</v>
      </c>
      <c r="B43" s="131" t="s">
        <v>105</v>
      </c>
      <c r="D43" s="134" t="s">
        <v>136</v>
      </c>
      <c r="E43" s="87">
        <f t="shared" ref="E43:E44" si="28">E23*F$35+E$35*F23-F23*F$35</f>
        <v>2.2549999999999999</v>
      </c>
      <c r="F43">
        <f t="shared" si="23"/>
        <v>3.8500000000000005</v>
      </c>
      <c r="G43">
        <f t="shared" si="23"/>
        <v>6.16</v>
      </c>
      <c r="H43" s="88">
        <f t="shared" si="24"/>
        <v>9.1550000000000011</v>
      </c>
      <c r="I43" s="87">
        <f t="shared" si="25"/>
        <v>2.7399999999999993</v>
      </c>
      <c r="J43">
        <f t="shared" si="26"/>
        <v>3.8500000000000005</v>
      </c>
      <c r="K43">
        <f t="shared" si="26"/>
        <v>6.16</v>
      </c>
      <c r="L43" s="88">
        <f t="shared" si="27"/>
        <v>8.129999999999999</v>
      </c>
    </row>
    <row r="44" spans="1:12" ht="15.75" thickBot="1" x14ac:dyDescent="0.3">
      <c r="A44" s="127" t="s">
        <v>129</v>
      </c>
      <c r="B44" s="132" t="s">
        <v>104</v>
      </c>
      <c r="D44" s="135" t="s">
        <v>135</v>
      </c>
      <c r="E44" s="91">
        <f t="shared" si="28"/>
        <v>3.8900000000000006</v>
      </c>
      <c r="F44" s="93">
        <f t="shared" si="23"/>
        <v>7</v>
      </c>
      <c r="G44" s="93">
        <f t="shared" si="23"/>
        <v>8</v>
      </c>
      <c r="H44" s="94">
        <f t="shared" si="24"/>
        <v>9.5</v>
      </c>
      <c r="I44" s="91">
        <f t="shared" si="25"/>
        <v>4.8099999999999987</v>
      </c>
      <c r="J44" s="93">
        <f t="shared" si="26"/>
        <v>7</v>
      </c>
      <c r="K44" s="93">
        <f t="shared" si="26"/>
        <v>8</v>
      </c>
      <c r="L44" s="94">
        <f t="shared" si="27"/>
        <v>9</v>
      </c>
    </row>
    <row r="45" spans="1:12" x14ac:dyDescent="0.25">
      <c r="A45" s="125" t="s">
        <v>130</v>
      </c>
      <c r="B45" s="130" t="s">
        <v>107</v>
      </c>
      <c r="D45" s="133" t="s">
        <v>139</v>
      </c>
      <c r="E45" s="81">
        <f>E21*F$36+E$36*F21-F21*F$36</f>
        <v>0</v>
      </c>
      <c r="F45" s="83">
        <f>F21*F$36</f>
        <v>0</v>
      </c>
      <c r="G45" s="83">
        <f>G21*G$36</f>
        <v>0</v>
      </c>
      <c r="H45" s="84">
        <f>G21*H$36+G$36*H21-G21*G$36</f>
        <v>0.66</v>
      </c>
      <c r="I45" s="81">
        <f>I21*J$36+I$36*J21-J21*J$36</f>
        <v>0</v>
      </c>
      <c r="J45" s="83">
        <f>J21*J$36</f>
        <v>0</v>
      </c>
      <c r="K45" s="83">
        <f>K21*K$36</f>
        <v>0</v>
      </c>
      <c r="L45" s="84">
        <f>K21*L$36+K$36*L21-K21*K$36</f>
        <v>0.44999999999999996</v>
      </c>
    </row>
    <row r="46" spans="1:12" x14ac:dyDescent="0.25">
      <c r="A46" s="126" t="s">
        <v>130</v>
      </c>
      <c r="B46" s="131" t="s">
        <v>106</v>
      </c>
      <c r="D46" s="134" t="s">
        <v>144</v>
      </c>
      <c r="E46" s="202">
        <f>IF(E22*F$36+E$36*F22-F22*F$36&lt;0,0,E22*F$36+E$36*F22-F22*F$36)</f>
        <v>0</v>
      </c>
      <c r="F46" s="179">
        <f t="shared" ref="F46:G48" si="29">F22*F$36</f>
        <v>0.44000000000000006</v>
      </c>
      <c r="G46" s="179">
        <f t="shared" si="29"/>
        <v>1.32</v>
      </c>
      <c r="H46" s="188">
        <f t="shared" ref="H46:H48" si="30">G22*H$36+G$36*H22-G22*G$36</f>
        <v>2.3099999999999996</v>
      </c>
      <c r="I46" s="187">
        <f t="shared" ref="I46:I48" si="31">I22*J$36+I$36*J22-J22*J$36</f>
        <v>5.3999999999999992E-2</v>
      </c>
      <c r="J46" s="179">
        <f t="shared" ref="J46:K48" si="32">J22*J$36</f>
        <v>0.44000000000000006</v>
      </c>
      <c r="K46" s="179">
        <f t="shared" si="32"/>
        <v>1.32</v>
      </c>
      <c r="L46" s="188">
        <f t="shared" ref="L46:L48" si="33">K22*L$36+K$36*L22-K22*K$36</f>
        <v>2</v>
      </c>
    </row>
    <row r="47" spans="1:12" x14ac:dyDescent="0.25">
      <c r="A47" s="126" t="s">
        <v>130</v>
      </c>
      <c r="B47" s="131" t="s">
        <v>105</v>
      </c>
      <c r="D47" s="134" t="s">
        <v>145</v>
      </c>
      <c r="E47" s="87">
        <f t="shared" ref="E47:E48" si="34">E23*F$36+E$36*F23-F23*F$36</f>
        <v>0.60499999999999998</v>
      </c>
      <c r="F47">
        <f t="shared" si="29"/>
        <v>1.1000000000000001</v>
      </c>
      <c r="G47">
        <f t="shared" si="29"/>
        <v>2.31</v>
      </c>
      <c r="H47" s="88">
        <f t="shared" si="30"/>
        <v>4.1549999999999994</v>
      </c>
      <c r="I47" s="87">
        <f t="shared" si="31"/>
        <v>0.77499999999999991</v>
      </c>
      <c r="J47">
        <f t="shared" si="32"/>
        <v>1.1000000000000001</v>
      </c>
      <c r="K47">
        <f t="shared" si="32"/>
        <v>2.31</v>
      </c>
      <c r="L47" s="88">
        <f t="shared" si="33"/>
        <v>3.53</v>
      </c>
    </row>
    <row r="48" spans="1:12" ht="15.75" thickBot="1" x14ac:dyDescent="0.3">
      <c r="A48" s="127" t="s">
        <v>130</v>
      </c>
      <c r="B48" s="132" t="s">
        <v>104</v>
      </c>
      <c r="D48" s="135" t="s">
        <v>146</v>
      </c>
      <c r="E48" s="91">
        <f t="shared" si="34"/>
        <v>1.04</v>
      </c>
      <c r="F48" s="93">
        <f t="shared" si="29"/>
        <v>2</v>
      </c>
      <c r="G48" s="93">
        <f t="shared" si="29"/>
        <v>3</v>
      </c>
      <c r="H48" s="94">
        <f t="shared" si="30"/>
        <v>4.5</v>
      </c>
      <c r="I48" s="91">
        <f t="shared" si="31"/>
        <v>1.3599999999999999</v>
      </c>
      <c r="J48" s="93">
        <f t="shared" si="32"/>
        <v>2</v>
      </c>
      <c r="K48" s="93">
        <f t="shared" si="32"/>
        <v>3</v>
      </c>
      <c r="L48" s="94">
        <f t="shared" si="33"/>
        <v>4</v>
      </c>
    </row>
    <row r="49" spans="1:12" x14ac:dyDescent="0.25">
      <c r="A49" s="125" t="s">
        <v>131</v>
      </c>
      <c r="B49" s="130" t="s">
        <v>107</v>
      </c>
      <c r="D49" s="133" t="s">
        <v>141</v>
      </c>
      <c r="E49" s="87">
        <f>E21*F$37+E$37*F21-F21*F$37</f>
        <v>0</v>
      </c>
      <c r="F49">
        <f>F21*F$37</f>
        <v>0</v>
      </c>
      <c r="G49">
        <f>G21*G$37</f>
        <v>0</v>
      </c>
      <c r="H49" s="88">
        <f>G21*H$37+G$37*H21-G21*G$37</f>
        <v>1.21</v>
      </c>
      <c r="I49" s="87">
        <f>I21*J$37+I$37*J21-J21*J$37</f>
        <v>0</v>
      </c>
      <c r="J49">
        <f>J21*J$37</f>
        <v>0</v>
      </c>
      <c r="K49">
        <f>K21*K$37</f>
        <v>0</v>
      </c>
      <c r="L49" s="88">
        <f>K21*L$37+K$37*L21-K21*K$37</f>
        <v>0.82499999999999996</v>
      </c>
    </row>
    <row r="50" spans="1:12" x14ac:dyDescent="0.25">
      <c r="A50" s="126" t="s">
        <v>131</v>
      </c>
      <c r="B50" s="131" t="s">
        <v>106</v>
      </c>
      <c r="D50" s="134" t="s">
        <v>140</v>
      </c>
      <c r="E50" s="202">
        <f>IF(E22*F$37+E$37*F22-F22*F$37&lt;0,0,E22*F$37+E$37*F22-F22*F$37)</f>
        <v>0</v>
      </c>
      <c r="F50" s="179">
        <f t="shared" ref="F50:G52" si="35">F22*F$37</f>
        <v>0.9900000000000001</v>
      </c>
      <c r="G50" s="179">
        <f t="shared" si="35"/>
        <v>2.42</v>
      </c>
      <c r="H50" s="188">
        <f t="shared" ref="H50:H52" si="36">G22*H$37+G$37*H22-G22*G$37</f>
        <v>3.6850000000000005</v>
      </c>
      <c r="I50" s="187">
        <f t="shared" ref="I50:I52" si="37">I22*J$37+I$37*J22-J22*J$37</f>
        <v>4.9999999999999933E-2</v>
      </c>
      <c r="J50" s="179">
        <f t="shared" ref="J50:K52" si="38">J22*J$37</f>
        <v>0.9900000000000001</v>
      </c>
      <c r="K50" s="179">
        <f t="shared" si="38"/>
        <v>2.42</v>
      </c>
      <c r="L50" s="188">
        <f t="shared" ref="L50:L52" si="39">K22*L$37+K$37*L22-K22*K$37</f>
        <v>3.3000000000000007</v>
      </c>
    </row>
    <row r="51" spans="1:12" x14ac:dyDescent="0.25">
      <c r="A51" s="126" t="s">
        <v>131</v>
      </c>
      <c r="B51" s="131" t="s">
        <v>105</v>
      </c>
      <c r="D51" s="134" t="s">
        <v>142</v>
      </c>
      <c r="E51" s="87">
        <f t="shared" ref="E51:E52" si="40">E23*F$37+E$37*F23-F23*F$37</f>
        <v>1.1550000000000002</v>
      </c>
      <c r="F51">
        <f t="shared" si="35"/>
        <v>2.4750000000000001</v>
      </c>
      <c r="G51">
        <f t="shared" si="35"/>
        <v>4.2350000000000003</v>
      </c>
      <c r="H51" s="88">
        <f t="shared" si="36"/>
        <v>6.6550000000000002</v>
      </c>
      <c r="I51" s="87">
        <f t="shared" si="37"/>
        <v>1.5650000000000008</v>
      </c>
      <c r="J51">
        <f t="shared" si="38"/>
        <v>2.4750000000000001</v>
      </c>
      <c r="K51">
        <f t="shared" si="38"/>
        <v>4.2350000000000003</v>
      </c>
      <c r="L51" s="88">
        <f t="shared" si="39"/>
        <v>5.830000000000001</v>
      </c>
    </row>
    <row r="52" spans="1:12" ht="15.75" thickBot="1" x14ac:dyDescent="0.3">
      <c r="A52" s="127" t="s">
        <v>131</v>
      </c>
      <c r="B52" s="132" t="s">
        <v>104</v>
      </c>
      <c r="D52" s="135" t="s">
        <v>143</v>
      </c>
      <c r="E52" s="91">
        <f t="shared" si="40"/>
        <v>1.9649999999999999</v>
      </c>
      <c r="F52" s="93">
        <f t="shared" si="35"/>
        <v>4.5</v>
      </c>
      <c r="G52" s="93">
        <f t="shared" si="35"/>
        <v>5.5</v>
      </c>
      <c r="H52" s="94">
        <f t="shared" si="36"/>
        <v>7</v>
      </c>
      <c r="I52" s="91">
        <f t="shared" si="37"/>
        <v>2.7349999999999994</v>
      </c>
      <c r="J52" s="93">
        <f t="shared" si="38"/>
        <v>4.5</v>
      </c>
      <c r="K52" s="93">
        <f t="shared" si="38"/>
        <v>5.5</v>
      </c>
      <c r="L52" s="94">
        <f t="shared" si="39"/>
        <v>6.5</v>
      </c>
    </row>
  </sheetData>
  <mergeCells count="35">
    <mergeCell ref="G6:I6"/>
    <mergeCell ref="A3:E3"/>
    <mergeCell ref="A6:A7"/>
    <mergeCell ref="B6:B7"/>
    <mergeCell ref="C6:C7"/>
    <mergeCell ref="D6:F6"/>
    <mergeCell ref="AQ6:AX6"/>
    <mergeCell ref="AE7:AH7"/>
    <mergeCell ref="AI7:AL7"/>
    <mergeCell ref="AM7:AP7"/>
    <mergeCell ref="AQ7:AT7"/>
    <mergeCell ref="BG6:BN6"/>
    <mergeCell ref="BO6:BR6"/>
    <mergeCell ref="BS6:BT6"/>
    <mergeCell ref="BU6:BU7"/>
    <mergeCell ref="BQ7:BR7"/>
    <mergeCell ref="BG7:BJ7"/>
    <mergeCell ref="BK7:BN7"/>
    <mergeCell ref="BO7:BP7"/>
    <mergeCell ref="E34:L34"/>
    <mergeCell ref="E40:L40"/>
    <mergeCell ref="AU7:AX7"/>
    <mergeCell ref="AY7:BB7"/>
    <mergeCell ref="BC7:BF7"/>
    <mergeCell ref="K7:N7"/>
    <mergeCell ref="O7:R7"/>
    <mergeCell ref="S7:V7"/>
    <mergeCell ref="W7:Z7"/>
    <mergeCell ref="AA7:AD7"/>
    <mergeCell ref="J6:J7"/>
    <mergeCell ref="K6:R6"/>
    <mergeCell ref="AY6:BF6"/>
    <mergeCell ref="S6:Z6"/>
    <mergeCell ref="AA6:AH6"/>
    <mergeCell ref="AI6:AP6"/>
  </mergeCells>
  <hyperlinks>
    <hyperlink ref="B2" r:id="rId1" xr:uid="{1572D147-63FA-4B55-B0E8-0BFE3A8AF340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A3F5-D578-4179-B947-64AB661C8263}">
  <dimension ref="A1:BU214"/>
  <sheetViews>
    <sheetView topLeftCell="A171" workbookViewId="0">
      <selection activeCell="B165" sqref="B165"/>
    </sheetView>
  </sheetViews>
  <sheetFormatPr defaultRowHeight="15" x14ac:dyDescent="0.25"/>
  <cols>
    <col min="1" max="1" width="28.85546875" customWidth="1"/>
    <col min="2" max="2" width="39" customWidth="1"/>
    <col min="3" max="3" width="40.42578125" customWidth="1"/>
    <col min="4" max="4" width="15.5703125" customWidth="1"/>
    <col min="5" max="5" width="12.140625" customWidth="1"/>
    <col min="6" max="6" width="11.7109375" customWidth="1"/>
    <col min="7" max="9" width="9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95</v>
      </c>
      <c r="B1" s="98"/>
      <c r="C1" s="98"/>
    </row>
    <row r="2" spans="1:73" x14ac:dyDescent="0.25">
      <c r="A2" s="1" t="s">
        <v>96</v>
      </c>
      <c r="B2" s="101" t="s">
        <v>97</v>
      </c>
      <c r="C2" s="98"/>
    </row>
    <row r="3" spans="1:73" ht="30" customHeight="1" x14ac:dyDescent="0.25">
      <c r="A3" s="274" t="s">
        <v>98</v>
      </c>
      <c r="B3" s="275"/>
      <c r="C3" s="275"/>
      <c r="D3" s="276"/>
      <c r="E3" s="276"/>
    </row>
    <row r="4" spans="1:73" ht="15.75" x14ac:dyDescent="0.25">
      <c r="A4" s="146"/>
      <c r="B4" s="99"/>
      <c r="C4" s="99"/>
    </row>
    <row r="5" spans="1:73" ht="15.75" x14ac:dyDescent="0.25">
      <c r="A5" s="146"/>
      <c r="B5" s="99"/>
      <c r="C5" s="99"/>
    </row>
    <row r="6" spans="1:73" ht="18.75" x14ac:dyDescent="0.3">
      <c r="A6" s="149" t="s">
        <v>160</v>
      </c>
      <c r="B6" s="99"/>
      <c r="C6" s="99"/>
    </row>
    <row r="7" spans="1:73" x14ac:dyDescent="0.25">
      <c r="A7" s="1" t="s">
        <v>110</v>
      </c>
      <c r="B7" s="99"/>
      <c r="C7" s="99"/>
    </row>
    <row r="8" spans="1:73" ht="15.75" thickBot="1" x14ac:dyDescent="0.3">
      <c r="A8" s="100" t="s">
        <v>163</v>
      </c>
      <c r="B8" s="99"/>
      <c r="C8" s="99"/>
      <c r="BO8">
        <v>0.8</v>
      </c>
    </row>
    <row r="9" spans="1:73" ht="86.25" customHeight="1" thickBot="1" x14ac:dyDescent="0.3">
      <c r="A9" s="273" t="s">
        <v>85</v>
      </c>
      <c r="B9" s="273" t="s">
        <v>86</v>
      </c>
      <c r="C9" s="277" t="s">
        <v>87</v>
      </c>
      <c r="D9" s="278" t="s">
        <v>127</v>
      </c>
      <c r="E9" s="279"/>
      <c r="F9" s="279"/>
      <c r="G9" s="279" t="s">
        <v>128</v>
      </c>
      <c r="H9" s="279"/>
      <c r="I9" s="279"/>
      <c r="J9" s="286" t="s">
        <v>157</v>
      </c>
      <c r="K9" s="280" t="s">
        <v>150</v>
      </c>
      <c r="L9" s="281"/>
      <c r="M9" s="281"/>
      <c r="N9" s="281"/>
      <c r="O9" s="281"/>
      <c r="P9" s="281"/>
      <c r="Q9" s="281"/>
      <c r="R9" s="282"/>
      <c r="S9" s="280" t="s">
        <v>148</v>
      </c>
      <c r="T9" s="281"/>
      <c r="U9" s="281"/>
      <c r="V9" s="281"/>
      <c r="W9" s="281"/>
      <c r="X9" s="281"/>
      <c r="Y9" s="281"/>
      <c r="Z9" s="282"/>
      <c r="AA9" s="280" t="s">
        <v>149</v>
      </c>
      <c r="AB9" s="281"/>
      <c r="AC9" s="281"/>
      <c r="AD9" s="281"/>
      <c r="AE9" s="281"/>
      <c r="AF9" s="281"/>
      <c r="AG9" s="281"/>
      <c r="AH9" s="282"/>
      <c r="AI9" s="280" t="s">
        <v>147</v>
      </c>
      <c r="AJ9" s="281"/>
      <c r="AK9" s="281"/>
      <c r="AL9" s="281"/>
      <c r="AM9" s="281"/>
      <c r="AN9" s="281"/>
      <c r="AO9" s="281"/>
      <c r="AP9" s="282"/>
      <c r="AQ9" s="280" t="s">
        <v>158</v>
      </c>
      <c r="AR9" s="281"/>
      <c r="AS9" s="281"/>
      <c r="AT9" s="281"/>
      <c r="AU9" s="281"/>
      <c r="AV9" s="281"/>
      <c r="AW9" s="281"/>
      <c r="AX9" s="282"/>
      <c r="AY9" s="280" t="s">
        <v>159</v>
      </c>
      <c r="AZ9" s="281"/>
      <c r="BA9" s="281"/>
      <c r="BB9" s="281"/>
      <c r="BC9" s="281"/>
      <c r="BD9" s="281"/>
      <c r="BE9" s="281"/>
      <c r="BF9" s="282"/>
      <c r="BG9" s="280" t="s">
        <v>205</v>
      </c>
      <c r="BH9" s="281"/>
      <c r="BI9" s="281"/>
      <c r="BJ9" s="281"/>
      <c r="BK9" s="281"/>
      <c r="BL9" s="281"/>
      <c r="BM9" s="281"/>
      <c r="BN9" s="282"/>
      <c r="BO9" s="292" t="s">
        <v>151</v>
      </c>
      <c r="BP9" s="293"/>
      <c r="BQ9" s="293"/>
      <c r="BR9" s="294"/>
      <c r="BS9" s="288" t="s">
        <v>153</v>
      </c>
      <c r="BT9" s="289"/>
      <c r="BU9" s="290" t="s">
        <v>156</v>
      </c>
    </row>
    <row r="10" spans="1:73" s="97" customFormat="1" ht="23.25" customHeight="1" thickBot="1" x14ac:dyDescent="0.3">
      <c r="A10" s="273"/>
      <c r="B10" s="273"/>
      <c r="C10" s="277"/>
      <c r="D10" s="122" t="s">
        <v>114</v>
      </c>
      <c r="E10" s="107" t="s">
        <v>115</v>
      </c>
      <c r="F10" s="107" t="s">
        <v>116</v>
      </c>
      <c r="G10" s="107" t="s">
        <v>114</v>
      </c>
      <c r="H10" s="107" t="s">
        <v>115</v>
      </c>
      <c r="I10" s="107" t="s">
        <v>116</v>
      </c>
      <c r="J10" s="287"/>
      <c r="K10" s="280" t="s">
        <v>17</v>
      </c>
      <c r="L10" s="281"/>
      <c r="M10" s="281"/>
      <c r="N10" s="282"/>
      <c r="O10" s="280" t="s">
        <v>18</v>
      </c>
      <c r="P10" s="281"/>
      <c r="Q10" s="281"/>
      <c r="R10" s="282"/>
      <c r="S10" s="280" t="s">
        <v>17</v>
      </c>
      <c r="T10" s="281"/>
      <c r="U10" s="281"/>
      <c r="V10" s="282"/>
      <c r="W10" s="280" t="s">
        <v>18</v>
      </c>
      <c r="X10" s="281"/>
      <c r="Y10" s="281"/>
      <c r="Z10" s="282"/>
      <c r="AA10" s="280" t="s">
        <v>17</v>
      </c>
      <c r="AB10" s="281"/>
      <c r="AC10" s="281"/>
      <c r="AD10" s="282"/>
      <c r="AE10" s="280" t="s">
        <v>18</v>
      </c>
      <c r="AF10" s="281"/>
      <c r="AG10" s="281"/>
      <c r="AH10" s="282"/>
      <c r="AI10" s="280" t="s">
        <v>17</v>
      </c>
      <c r="AJ10" s="281"/>
      <c r="AK10" s="281"/>
      <c r="AL10" s="282"/>
      <c r="AM10" s="280" t="s">
        <v>18</v>
      </c>
      <c r="AN10" s="281"/>
      <c r="AO10" s="281"/>
      <c r="AP10" s="282"/>
      <c r="AQ10" s="280" t="s">
        <v>17</v>
      </c>
      <c r="AR10" s="281"/>
      <c r="AS10" s="281"/>
      <c r="AT10" s="282"/>
      <c r="AU10" s="280" t="s">
        <v>18</v>
      </c>
      <c r="AV10" s="281"/>
      <c r="AW10" s="281"/>
      <c r="AX10" s="282"/>
      <c r="AY10" s="280" t="s">
        <v>17</v>
      </c>
      <c r="AZ10" s="281"/>
      <c r="BA10" s="281"/>
      <c r="BB10" s="282"/>
      <c r="BC10" s="280" t="s">
        <v>18</v>
      </c>
      <c r="BD10" s="281"/>
      <c r="BE10" s="281"/>
      <c r="BF10" s="282"/>
      <c r="BG10" s="280" t="s">
        <v>17</v>
      </c>
      <c r="BH10" s="281"/>
      <c r="BI10" s="281"/>
      <c r="BJ10" s="282"/>
      <c r="BK10" s="280" t="s">
        <v>18</v>
      </c>
      <c r="BL10" s="281"/>
      <c r="BM10" s="281"/>
      <c r="BN10" s="282"/>
      <c r="BO10" s="295" t="s">
        <v>152</v>
      </c>
      <c r="BP10" s="296"/>
      <c r="BQ10" s="295" t="s">
        <v>26</v>
      </c>
      <c r="BR10" s="297"/>
      <c r="BS10" s="145" t="s">
        <v>154</v>
      </c>
      <c r="BT10" s="145" t="s">
        <v>155</v>
      </c>
      <c r="BU10" s="291"/>
    </row>
    <row r="11" spans="1:73" ht="30" x14ac:dyDescent="0.25">
      <c r="A11" s="102" t="s">
        <v>8</v>
      </c>
      <c r="B11" s="102" t="s">
        <v>84</v>
      </c>
      <c r="C11" s="121" t="s">
        <v>72</v>
      </c>
      <c r="D11" s="155" t="s">
        <v>104</v>
      </c>
      <c r="E11" s="156" t="s">
        <v>105</v>
      </c>
      <c r="F11" s="156" t="s">
        <v>104</v>
      </c>
      <c r="G11" s="110">
        <f>IF(D11=$A$24,$B$24,(IF(D11=$A$25,$B$25,IF(D11=$A$26,$B$26,$B$27))))</f>
        <v>1</v>
      </c>
      <c r="H11" s="110">
        <f t="shared" ref="G11:I20" si="0">IF(E11=$A$24,$B$24,(IF(E11=$A$25,$B$25,IF(E11=$A$26,$B$26,$B$27))))</f>
        <v>0.66</v>
      </c>
      <c r="I11" s="110">
        <f t="shared" si="0"/>
        <v>1</v>
      </c>
      <c r="J11" s="147">
        <f>G11*$D$38+H11*$D$39+I11*$D$40</f>
        <v>14.15</v>
      </c>
      <c r="K11" s="81">
        <v>0.77</v>
      </c>
      <c r="L11" s="83">
        <v>1</v>
      </c>
      <c r="M11" s="83">
        <v>1</v>
      </c>
      <c r="N11" s="84">
        <v>1</v>
      </c>
      <c r="O11" s="81">
        <v>0.83</v>
      </c>
      <c r="P11" s="83">
        <v>1</v>
      </c>
      <c r="Q11" s="83">
        <v>1</v>
      </c>
      <c r="R11" s="84">
        <v>1</v>
      </c>
      <c r="S11" s="81">
        <v>0.44000000000000006</v>
      </c>
      <c r="T11" s="83">
        <v>0.55000000000000004</v>
      </c>
      <c r="U11" s="83">
        <v>0.77</v>
      </c>
      <c r="V11" s="84">
        <v>1</v>
      </c>
      <c r="W11" s="81">
        <v>0.47000000000000003</v>
      </c>
      <c r="X11" s="83">
        <v>0.55000000000000004</v>
      </c>
      <c r="Y11" s="83">
        <v>0.77</v>
      </c>
      <c r="Z11" s="84">
        <v>0.92</v>
      </c>
      <c r="AA11" s="81">
        <v>0.77</v>
      </c>
      <c r="AB11" s="83">
        <v>1</v>
      </c>
      <c r="AC11" s="83">
        <v>1</v>
      </c>
      <c r="AD11" s="84">
        <v>1</v>
      </c>
      <c r="AE11" s="81">
        <v>0.83</v>
      </c>
      <c r="AF11" s="83">
        <v>1</v>
      </c>
      <c r="AG11" s="83">
        <v>1</v>
      </c>
      <c r="AH11" s="84">
        <v>1</v>
      </c>
      <c r="AI11" s="81">
        <v>3.8900000000000006</v>
      </c>
      <c r="AJ11" s="83">
        <v>7</v>
      </c>
      <c r="AK11" s="83">
        <v>8</v>
      </c>
      <c r="AL11" s="84">
        <v>9.5</v>
      </c>
      <c r="AM11" s="81">
        <v>4.8099999999999987</v>
      </c>
      <c r="AN11" s="83">
        <v>7</v>
      </c>
      <c r="AO11" s="83">
        <v>8</v>
      </c>
      <c r="AP11" s="84">
        <v>9</v>
      </c>
      <c r="AQ11" s="81">
        <v>0.60499999999999998</v>
      </c>
      <c r="AR11" s="83">
        <v>1.1000000000000001</v>
      </c>
      <c r="AS11" s="83">
        <v>2.31</v>
      </c>
      <c r="AT11" s="83">
        <v>4.1549999999999994</v>
      </c>
      <c r="AU11" s="81">
        <v>0.77499999999999991</v>
      </c>
      <c r="AV11" s="83">
        <v>1.1000000000000001</v>
      </c>
      <c r="AW11" s="83">
        <v>2.31</v>
      </c>
      <c r="AX11" s="84">
        <v>3.53</v>
      </c>
      <c r="AY11" s="81">
        <v>1.9649999999999999</v>
      </c>
      <c r="AZ11" s="83">
        <v>4.5</v>
      </c>
      <c r="BA11" s="83">
        <v>5.5</v>
      </c>
      <c r="BB11" s="83">
        <v>7</v>
      </c>
      <c r="BC11" s="81">
        <v>2.7349999999999994</v>
      </c>
      <c r="BD11" s="83">
        <v>4.5</v>
      </c>
      <c r="BE11" s="83">
        <v>5.5</v>
      </c>
      <c r="BF11" s="84">
        <v>6.5</v>
      </c>
      <c r="BG11" s="81">
        <f>AI11+AQ11+AY11</f>
        <v>6.4600000000000009</v>
      </c>
      <c r="BH11" s="83">
        <f t="shared" ref="BH11:BN20" si="1">AJ11+AR11+AZ11</f>
        <v>12.6</v>
      </c>
      <c r="BI11" s="83">
        <f t="shared" si="1"/>
        <v>15.81</v>
      </c>
      <c r="BJ11" s="83">
        <f t="shared" si="1"/>
        <v>20.655000000000001</v>
      </c>
      <c r="BK11" s="81">
        <f t="shared" si="1"/>
        <v>8.3199999999999985</v>
      </c>
      <c r="BL11" s="83">
        <f t="shared" si="1"/>
        <v>12.6</v>
      </c>
      <c r="BM11" s="83">
        <f t="shared" si="1"/>
        <v>15.81</v>
      </c>
      <c r="BN11" s="83">
        <f t="shared" si="1"/>
        <v>19.03</v>
      </c>
      <c r="BO11" s="136">
        <f>BO$8*BH11+(1-BO$8)*BG11</f>
        <v>11.372</v>
      </c>
      <c r="BP11" s="142">
        <f>BO$8*BI11+(1-BO$8)*BJ11</f>
        <v>16.779</v>
      </c>
      <c r="BQ11" s="136">
        <f>BO$8*BL11+(1-BO$8)*BK11</f>
        <v>11.744</v>
      </c>
      <c r="BR11" s="137">
        <f>BO$8*BM11+(1-BO$8)*BN11</f>
        <v>16.454000000000001</v>
      </c>
      <c r="BS11" s="81">
        <f>(BO11+BP11)/2</f>
        <v>14.0755</v>
      </c>
      <c r="BT11" s="84">
        <f>(BQ11+BR11)/2</f>
        <v>14.099</v>
      </c>
      <c r="BU11" s="133">
        <f>(BS11+BT11)/2</f>
        <v>14.087250000000001</v>
      </c>
    </row>
    <row r="12" spans="1:73" x14ac:dyDescent="0.25">
      <c r="A12" s="102" t="s">
        <v>9</v>
      </c>
      <c r="B12" s="102" t="s">
        <v>73</v>
      </c>
      <c r="C12" s="121" t="s">
        <v>88</v>
      </c>
      <c r="D12" s="155" t="s">
        <v>106</v>
      </c>
      <c r="E12" s="156" t="s">
        <v>106</v>
      </c>
      <c r="F12" s="156" t="s">
        <v>105</v>
      </c>
      <c r="G12" s="110">
        <f t="shared" si="0"/>
        <v>0.33</v>
      </c>
      <c r="H12" s="110">
        <f t="shared" si="0"/>
        <v>0.33</v>
      </c>
      <c r="I12" s="110">
        <f t="shared" si="0"/>
        <v>0.66</v>
      </c>
      <c r="J12" s="147">
        <f t="shared" ref="J12:J20" si="2">G12*$D$38+H12*$D$39+I12*$D$40</f>
        <v>6.6000000000000005</v>
      </c>
      <c r="K12" s="87">
        <v>0</v>
      </c>
      <c r="L12">
        <v>0.22000000000000003</v>
      </c>
      <c r="M12">
        <v>0.44</v>
      </c>
      <c r="N12" s="88">
        <v>0.55000000000000004</v>
      </c>
      <c r="O12" s="87">
        <v>0.06</v>
      </c>
      <c r="P12">
        <v>0.22000000000000003</v>
      </c>
      <c r="Q12">
        <v>0.44</v>
      </c>
      <c r="R12" s="88">
        <v>0.52</v>
      </c>
      <c r="S12" s="87">
        <v>0</v>
      </c>
      <c r="T12">
        <v>0.22000000000000003</v>
      </c>
      <c r="U12">
        <v>0.44</v>
      </c>
      <c r="V12" s="88">
        <v>0.55000000000000004</v>
      </c>
      <c r="W12" s="87">
        <v>0.06</v>
      </c>
      <c r="X12">
        <v>0.22000000000000003</v>
      </c>
      <c r="Y12">
        <v>0.44</v>
      </c>
      <c r="Z12" s="88">
        <v>0.52</v>
      </c>
      <c r="AA12" s="87">
        <v>0.44000000000000006</v>
      </c>
      <c r="AB12">
        <v>0.55000000000000004</v>
      </c>
      <c r="AC12">
        <v>0.77</v>
      </c>
      <c r="AD12" s="88">
        <v>1</v>
      </c>
      <c r="AE12" s="87">
        <v>0.47000000000000003</v>
      </c>
      <c r="AF12">
        <v>0.55000000000000004</v>
      </c>
      <c r="AG12">
        <v>0.77</v>
      </c>
      <c r="AH12" s="88">
        <v>0.92</v>
      </c>
      <c r="AI12" s="87">
        <v>-0.33000000000000007</v>
      </c>
      <c r="AJ12">
        <v>1.5400000000000003</v>
      </c>
      <c r="AK12">
        <v>3.52</v>
      </c>
      <c r="AL12" s="88">
        <v>5.0600000000000005</v>
      </c>
      <c r="AM12" s="87">
        <v>0.19999999999999996</v>
      </c>
      <c r="AN12">
        <v>1.5400000000000003</v>
      </c>
      <c r="AO12">
        <v>3.52</v>
      </c>
      <c r="AP12" s="88">
        <v>4.6000000000000014</v>
      </c>
      <c r="AQ12" s="87">
        <v>-0.10999999999999999</v>
      </c>
      <c r="AR12">
        <v>0.44000000000000006</v>
      </c>
      <c r="AS12">
        <v>1.32</v>
      </c>
      <c r="AT12">
        <v>2.3099999999999996</v>
      </c>
      <c r="AU12" s="87">
        <v>5.3999999999999992E-2</v>
      </c>
      <c r="AV12">
        <v>0.44000000000000006</v>
      </c>
      <c r="AW12">
        <v>1.32</v>
      </c>
      <c r="AX12" s="88">
        <v>2</v>
      </c>
      <c r="AY12" s="87">
        <v>1.1550000000000002</v>
      </c>
      <c r="AZ12">
        <v>2.4750000000000001</v>
      </c>
      <c r="BA12">
        <v>4.2350000000000003</v>
      </c>
      <c r="BB12">
        <v>6.6550000000000002</v>
      </c>
      <c r="BC12" s="87">
        <v>1.5650000000000008</v>
      </c>
      <c r="BD12">
        <v>2.4750000000000001</v>
      </c>
      <c r="BE12">
        <v>4.2350000000000003</v>
      </c>
      <c r="BF12" s="88">
        <v>5.830000000000001</v>
      </c>
      <c r="BG12" s="87">
        <f t="shared" ref="BG12:BG20" si="3">AI12+AQ12+AY12</f>
        <v>0.71500000000000019</v>
      </c>
      <c r="BH12">
        <f t="shared" si="1"/>
        <v>4.4550000000000001</v>
      </c>
      <c r="BI12">
        <f t="shared" si="1"/>
        <v>9.0749999999999993</v>
      </c>
      <c r="BJ12">
        <f t="shared" si="1"/>
        <v>14.025</v>
      </c>
      <c r="BK12" s="87">
        <f t="shared" si="1"/>
        <v>1.8190000000000008</v>
      </c>
      <c r="BL12">
        <f t="shared" si="1"/>
        <v>4.4550000000000001</v>
      </c>
      <c r="BM12">
        <f t="shared" si="1"/>
        <v>9.0749999999999993</v>
      </c>
      <c r="BN12">
        <f t="shared" si="1"/>
        <v>12.430000000000003</v>
      </c>
      <c r="BO12" s="138">
        <f t="shared" ref="BO12:BO20" si="4">BO$8*BH12+(1-BO$8)*BG12</f>
        <v>3.7069999999999999</v>
      </c>
      <c r="BP12" s="143">
        <f t="shared" ref="BP12:BP20" si="5">BO$8*BI12+(1-BO$8)*BJ12</f>
        <v>10.065</v>
      </c>
      <c r="BQ12" s="138">
        <f t="shared" ref="BQ12:BQ20" si="6">BO$8*BL12+(1-BO$8)*BK12</f>
        <v>3.9278</v>
      </c>
      <c r="BR12" s="139">
        <f t="shared" ref="BR12:BR20" si="7">BO$8*BM12+(1-BO$8)*BN12</f>
        <v>9.7460000000000004</v>
      </c>
      <c r="BS12" s="87">
        <f t="shared" ref="BS12:BS20" si="8">(BO12+BP12)/2</f>
        <v>6.8859999999999992</v>
      </c>
      <c r="BT12" s="88">
        <f t="shared" ref="BT12:BT20" si="9">(BQ12+BR12)/2</f>
        <v>6.8369</v>
      </c>
      <c r="BU12" s="134">
        <f t="shared" ref="BU12:BU20" si="10">(BS12+BT12)/2</f>
        <v>6.8614499999999996</v>
      </c>
    </row>
    <row r="13" spans="1:73" x14ac:dyDescent="0.25">
      <c r="A13" s="102" t="s">
        <v>10</v>
      </c>
      <c r="B13" s="102" t="s">
        <v>74</v>
      </c>
      <c r="C13" s="121" t="s">
        <v>89</v>
      </c>
      <c r="D13" s="155" t="s">
        <v>105</v>
      </c>
      <c r="E13" s="156" t="s">
        <v>105</v>
      </c>
      <c r="F13" s="156" t="s">
        <v>105</v>
      </c>
      <c r="G13" s="110">
        <f t="shared" si="0"/>
        <v>0.66</v>
      </c>
      <c r="H13" s="110">
        <f t="shared" si="0"/>
        <v>0.66</v>
      </c>
      <c r="I13" s="110">
        <f t="shared" si="0"/>
        <v>0.66</v>
      </c>
      <c r="J13" s="147">
        <f t="shared" si="2"/>
        <v>9.9</v>
      </c>
      <c r="K13" s="87">
        <v>0.44000000000000006</v>
      </c>
      <c r="L13">
        <v>0.55000000000000004</v>
      </c>
      <c r="M13">
        <v>0.77</v>
      </c>
      <c r="N13" s="88">
        <v>1</v>
      </c>
      <c r="O13" s="87">
        <v>0.47000000000000003</v>
      </c>
      <c r="P13">
        <v>0.55000000000000004</v>
      </c>
      <c r="Q13">
        <v>0.77</v>
      </c>
      <c r="R13" s="88">
        <v>0.92</v>
      </c>
      <c r="S13" s="87">
        <v>0.44000000000000006</v>
      </c>
      <c r="T13">
        <v>0.55000000000000004</v>
      </c>
      <c r="U13">
        <v>0.77</v>
      </c>
      <c r="V13" s="88">
        <v>1</v>
      </c>
      <c r="W13" s="87">
        <v>0.47000000000000003</v>
      </c>
      <c r="X13">
        <v>0.55000000000000004</v>
      </c>
      <c r="Y13">
        <v>0.77</v>
      </c>
      <c r="Z13" s="88">
        <v>0.92</v>
      </c>
      <c r="AA13" s="87">
        <v>0.44000000000000006</v>
      </c>
      <c r="AB13">
        <v>0.55000000000000004</v>
      </c>
      <c r="AC13">
        <v>0.77</v>
      </c>
      <c r="AD13" s="88">
        <v>1</v>
      </c>
      <c r="AE13" s="87">
        <v>0.47000000000000003</v>
      </c>
      <c r="AF13">
        <v>0.55000000000000004</v>
      </c>
      <c r="AG13">
        <v>0.77</v>
      </c>
      <c r="AH13" s="88">
        <v>0.92</v>
      </c>
      <c r="AI13" s="87">
        <v>2.2549999999999999</v>
      </c>
      <c r="AJ13">
        <v>3.8500000000000005</v>
      </c>
      <c r="AK13">
        <v>6.16</v>
      </c>
      <c r="AL13" s="88">
        <v>9.1550000000000011</v>
      </c>
      <c r="AM13" s="87">
        <v>2.7399999999999993</v>
      </c>
      <c r="AN13">
        <v>3.8500000000000005</v>
      </c>
      <c r="AO13">
        <v>6.16</v>
      </c>
      <c r="AP13" s="88">
        <v>8.129999999999999</v>
      </c>
      <c r="AQ13" s="87">
        <v>0.60499999999999998</v>
      </c>
      <c r="AR13">
        <v>1.1000000000000001</v>
      </c>
      <c r="AS13">
        <v>2.31</v>
      </c>
      <c r="AT13">
        <v>4.1549999999999994</v>
      </c>
      <c r="AU13" s="87">
        <v>0.77499999999999991</v>
      </c>
      <c r="AV13">
        <v>1.1000000000000001</v>
      </c>
      <c r="AW13">
        <v>2.31</v>
      </c>
      <c r="AX13" s="88">
        <v>3.53</v>
      </c>
      <c r="AY13" s="87">
        <v>1.1550000000000002</v>
      </c>
      <c r="AZ13">
        <v>2.4750000000000001</v>
      </c>
      <c r="BA13">
        <v>4.2350000000000003</v>
      </c>
      <c r="BB13">
        <v>6.6550000000000002</v>
      </c>
      <c r="BC13" s="87">
        <v>1.5650000000000008</v>
      </c>
      <c r="BD13">
        <v>2.4750000000000001</v>
      </c>
      <c r="BE13">
        <v>4.2350000000000003</v>
      </c>
      <c r="BF13" s="88">
        <v>5.830000000000001</v>
      </c>
      <c r="BG13" s="87">
        <f t="shared" si="3"/>
        <v>4.0150000000000006</v>
      </c>
      <c r="BH13">
        <f t="shared" si="1"/>
        <v>7.4250000000000007</v>
      </c>
      <c r="BI13">
        <f t="shared" si="1"/>
        <v>12.705000000000002</v>
      </c>
      <c r="BJ13">
        <f t="shared" si="1"/>
        <v>19.965</v>
      </c>
      <c r="BK13" s="87">
        <f t="shared" si="1"/>
        <v>5.08</v>
      </c>
      <c r="BL13">
        <f t="shared" si="1"/>
        <v>7.4250000000000007</v>
      </c>
      <c r="BM13">
        <f t="shared" si="1"/>
        <v>12.705000000000002</v>
      </c>
      <c r="BN13">
        <f t="shared" si="1"/>
        <v>17.489999999999998</v>
      </c>
      <c r="BO13" s="138">
        <f t="shared" si="4"/>
        <v>6.7430000000000012</v>
      </c>
      <c r="BP13" s="143">
        <f t="shared" si="5"/>
        <v>14.157</v>
      </c>
      <c r="BQ13" s="138">
        <f t="shared" si="6"/>
        <v>6.9560000000000013</v>
      </c>
      <c r="BR13" s="139">
        <f t="shared" si="7"/>
        <v>13.662000000000001</v>
      </c>
      <c r="BS13" s="87">
        <f t="shared" si="8"/>
        <v>10.450000000000001</v>
      </c>
      <c r="BT13" s="88">
        <f t="shared" si="9"/>
        <v>10.309000000000001</v>
      </c>
      <c r="BU13" s="134">
        <f t="shared" si="10"/>
        <v>10.3795</v>
      </c>
    </row>
    <row r="14" spans="1:73" x14ac:dyDescent="0.25">
      <c r="A14" s="102" t="s">
        <v>65</v>
      </c>
      <c r="B14" s="102" t="s">
        <v>75</v>
      </c>
      <c r="C14" s="121" t="s">
        <v>76</v>
      </c>
      <c r="D14" s="155" t="s">
        <v>104</v>
      </c>
      <c r="E14" s="156" t="s">
        <v>105</v>
      </c>
      <c r="F14" s="156" t="s">
        <v>105</v>
      </c>
      <c r="G14" s="110">
        <f t="shared" si="0"/>
        <v>1</v>
      </c>
      <c r="H14" s="110">
        <f t="shared" si="0"/>
        <v>0.66</v>
      </c>
      <c r="I14" s="110">
        <f t="shared" si="0"/>
        <v>0.66</v>
      </c>
      <c r="J14" s="147">
        <f t="shared" si="2"/>
        <v>12.450000000000001</v>
      </c>
      <c r="K14" s="87">
        <v>0.77</v>
      </c>
      <c r="L14">
        <v>1</v>
      </c>
      <c r="M14">
        <v>1</v>
      </c>
      <c r="N14" s="88">
        <v>1</v>
      </c>
      <c r="O14" s="87">
        <v>0.83</v>
      </c>
      <c r="P14">
        <v>1</v>
      </c>
      <c r="Q14">
        <v>1</v>
      </c>
      <c r="R14" s="88">
        <v>1</v>
      </c>
      <c r="S14" s="87">
        <v>0.44000000000000006</v>
      </c>
      <c r="T14">
        <v>0.55000000000000004</v>
      </c>
      <c r="U14">
        <v>0.77</v>
      </c>
      <c r="V14" s="88">
        <v>1</v>
      </c>
      <c r="W14" s="87">
        <v>0.47000000000000003</v>
      </c>
      <c r="X14">
        <v>0.55000000000000004</v>
      </c>
      <c r="Y14">
        <v>0.77</v>
      </c>
      <c r="Z14" s="88">
        <v>0.92</v>
      </c>
      <c r="AA14" s="87">
        <v>0.44000000000000006</v>
      </c>
      <c r="AB14">
        <v>0.55000000000000004</v>
      </c>
      <c r="AC14">
        <v>0.77</v>
      </c>
      <c r="AD14" s="88">
        <v>1</v>
      </c>
      <c r="AE14" s="87">
        <v>0.47000000000000003</v>
      </c>
      <c r="AF14">
        <v>0.55000000000000004</v>
      </c>
      <c r="AG14">
        <v>0.77</v>
      </c>
      <c r="AH14" s="88">
        <v>0.92</v>
      </c>
      <c r="AI14" s="87">
        <v>3.8900000000000006</v>
      </c>
      <c r="AJ14">
        <v>7</v>
      </c>
      <c r="AK14">
        <v>8</v>
      </c>
      <c r="AL14" s="88">
        <v>9.5</v>
      </c>
      <c r="AM14" s="87">
        <v>4.8099999999999987</v>
      </c>
      <c r="AN14">
        <v>7</v>
      </c>
      <c r="AO14">
        <v>8</v>
      </c>
      <c r="AP14" s="88">
        <v>9</v>
      </c>
      <c r="AQ14" s="87">
        <v>0.60499999999999998</v>
      </c>
      <c r="AR14">
        <v>1.1000000000000001</v>
      </c>
      <c r="AS14">
        <v>2.31</v>
      </c>
      <c r="AT14">
        <v>4.1549999999999994</v>
      </c>
      <c r="AU14" s="87">
        <v>0.77499999999999991</v>
      </c>
      <c r="AV14">
        <v>1.1000000000000001</v>
      </c>
      <c r="AW14">
        <v>2.31</v>
      </c>
      <c r="AX14" s="88">
        <v>3.53</v>
      </c>
      <c r="AY14" s="87">
        <v>1.1550000000000002</v>
      </c>
      <c r="AZ14">
        <v>2.4750000000000001</v>
      </c>
      <c r="BA14">
        <v>4.2350000000000003</v>
      </c>
      <c r="BB14">
        <v>6.6550000000000002</v>
      </c>
      <c r="BC14" s="87">
        <v>1.5650000000000008</v>
      </c>
      <c r="BD14">
        <v>2.4750000000000001</v>
      </c>
      <c r="BE14">
        <v>4.2350000000000003</v>
      </c>
      <c r="BF14" s="88">
        <v>5.830000000000001</v>
      </c>
      <c r="BG14" s="87">
        <f t="shared" si="3"/>
        <v>5.6500000000000012</v>
      </c>
      <c r="BH14">
        <f t="shared" si="1"/>
        <v>10.574999999999999</v>
      </c>
      <c r="BI14">
        <f t="shared" si="1"/>
        <v>14.545000000000002</v>
      </c>
      <c r="BJ14">
        <f t="shared" si="1"/>
        <v>20.309999999999999</v>
      </c>
      <c r="BK14" s="87">
        <f t="shared" si="1"/>
        <v>7.15</v>
      </c>
      <c r="BL14">
        <f t="shared" si="1"/>
        <v>10.574999999999999</v>
      </c>
      <c r="BM14">
        <f t="shared" si="1"/>
        <v>14.545000000000002</v>
      </c>
      <c r="BN14">
        <f t="shared" si="1"/>
        <v>18.36</v>
      </c>
      <c r="BO14" s="138">
        <f t="shared" si="4"/>
        <v>9.59</v>
      </c>
      <c r="BP14" s="143">
        <f t="shared" si="5"/>
        <v>15.698</v>
      </c>
      <c r="BQ14" s="138">
        <f t="shared" si="6"/>
        <v>9.8899999999999988</v>
      </c>
      <c r="BR14" s="139">
        <f t="shared" si="7"/>
        <v>15.308000000000002</v>
      </c>
      <c r="BS14" s="87">
        <f t="shared" si="8"/>
        <v>12.644</v>
      </c>
      <c r="BT14" s="88">
        <f t="shared" si="9"/>
        <v>12.599</v>
      </c>
      <c r="BU14" s="134">
        <f t="shared" si="10"/>
        <v>12.621500000000001</v>
      </c>
    </row>
    <row r="15" spans="1:73" ht="30" x14ac:dyDescent="0.25">
      <c r="A15" s="102" t="s">
        <v>66</v>
      </c>
      <c r="B15" s="102" t="s">
        <v>77</v>
      </c>
      <c r="C15" s="121" t="s">
        <v>90</v>
      </c>
      <c r="D15" s="155" t="s">
        <v>105</v>
      </c>
      <c r="E15" s="156" t="s">
        <v>104</v>
      </c>
      <c r="F15" s="156" t="s">
        <v>105</v>
      </c>
      <c r="G15" s="110">
        <f t="shared" si="0"/>
        <v>0.66</v>
      </c>
      <c r="H15" s="110">
        <f t="shared" si="0"/>
        <v>1</v>
      </c>
      <c r="I15" s="110">
        <f t="shared" si="0"/>
        <v>0.66</v>
      </c>
      <c r="J15" s="147">
        <f t="shared" si="2"/>
        <v>10.75</v>
      </c>
      <c r="K15" s="87">
        <v>0.44000000000000006</v>
      </c>
      <c r="L15">
        <v>0.55000000000000004</v>
      </c>
      <c r="M15">
        <v>0.77</v>
      </c>
      <c r="N15" s="88">
        <v>1</v>
      </c>
      <c r="O15" s="87">
        <v>0.47000000000000003</v>
      </c>
      <c r="P15">
        <v>0.55000000000000004</v>
      </c>
      <c r="Q15">
        <v>0.77</v>
      </c>
      <c r="R15" s="88">
        <v>0.92</v>
      </c>
      <c r="S15" s="87">
        <v>0.77</v>
      </c>
      <c r="T15">
        <v>1</v>
      </c>
      <c r="U15">
        <v>1</v>
      </c>
      <c r="V15" s="88">
        <v>1</v>
      </c>
      <c r="W15" s="87">
        <v>0.83</v>
      </c>
      <c r="X15">
        <v>1</v>
      </c>
      <c r="Y15">
        <v>1</v>
      </c>
      <c r="Z15" s="88">
        <v>1</v>
      </c>
      <c r="AA15" s="87">
        <v>0.44000000000000006</v>
      </c>
      <c r="AB15">
        <v>0.55000000000000004</v>
      </c>
      <c r="AC15">
        <v>0.77</v>
      </c>
      <c r="AD15" s="88">
        <v>1</v>
      </c>
      <c r="AE15" s="87">
        <v>0.47000000000000003</v>
      </c>
      <c r="AF15">
        <v>0.55000000000000004</v>
      </c>
      <c r="AG15">
        <v>0.77</v>
      </c>
      <c r="AH15" s="88">
        <v>0.92</v>
      </c>
      <c r="AI15" s="87">
        <v>2.2549999999999999</v>
      </c>
      <c r="AJ15">
        <v>3.8500000000000005</v>
      </c>
      <c r="AK15">
        <v>6.16</v>
      </c>
      <c r="AL15" s="88">
        <v>9.1550000000000011</v>
      </c>
      <c r="AM15" s="87">
        <v>2.7399999999999993</v>
      </c>
      <c r="AN15">
        <v>3.8500000000000005</v>
      </c>
      <c r="AO15">
        <v>6.16</v>
      </c>
      <c r="AP15" s="88">
        <v>8.129999999999999</v>
      </c>
      <c r="AQ15" s="87">
        <v>1.04</v>
      </c>
      <c r="AR15">
        <v>2</v>
      </c>
      <c r="AS15">
        <v>3</v>
      </c>
      <c r="AT15">
        <v>4.5</v>
      </c>
      <c r="AU15" s="87">
        <v>1.3599999999999999</v>
      </c>
      <c r="AV15">
        <v>2</v>
      </c>
      <c r="AW15">
        <v>3</v>
      </c>
      <c r="AX15" s="88">
        <v>4</v>
      </c>
      <c r="AY15" s="87">
        <v>1.1550000000000002</v>
      </c>
      <c r="AZ15">
        <v>2.4750000000000001</v>
      </c>
      <c r="BA15">
        <v>4.2350000000000003</v>
      </c>
      <c r="BB15">
        <v>6.6550000000000002</v>
      </c>
      <c r="BC15" s="87">
        <v>1.5650000000000008</v>
      </c>
      <c r="BD15">
        <v>2.4750000000000001</v>
      </c>
      <c r="BE15">
        <v>4.2350000000000003</v>
      </c>
      <c r="BF15" s="88">
        <v>5.830000000000001</v>
      </c>
      <c r="BG15" s="87">
        <f t="shared" si="3"/>
        <v>4.45</v>
      </c>
      <c r="BH15">
        <f t="shared" si="1"/>
        <v>8.3250000000000011</v>
      </c>
      <c r="BI15">
        <f t="shared" si="1"/>
        <v>13.395</v>
      </c>
      <c r="BJ15">
        <f t="shared" si="1"/>
        <v>20.310000000000002</v>
      </c>
      <c r="BK15" s="87">
        <f t="shared" si="1"/>
        <v>5.6650000000000009</v>
      </c>
      <c r="BL15">
        <f t="shared" si="1"/>
        <v>8.3250000000000011</v>
      </c>
      <c r="BM15">
        <f t="shared" si="1"/>
        <v>13.395</v>
      </c>
      <c r="BN15">
        <f t="shared" si="1"/>
        <v>17.96</v>
      </c>
      <c r="BO15" s="138">
        <f t="shared" si="4"/>
        <v>7.5500000000000007</v>
      </c>
      <c r="BP15" s="143">
        <f t="shared" si="5"/>
        <v>14.778</v>
      </c>
      <c r="BQ15" s="138">
        <f t="shared" si="6"/>
        <v>7.793000000000001</v>
      </c>
      <c r="BR15" s="139">
        <f t="shared" si="7"/>
        <v>14.308</v>
      </c>
      <c r="BS15" s="87">
        <f t="shared" si="8"/>
        <v>11.164000000000001</v>
      </c>
      <c r="BT15" s="88">
        <f t="shared" si="9"/>
        <v>11.0505</v>
      </c>
      <c r="BU15" s="134">
        <f t="shared" si="10"/>
        <v>11.107250000000001</v>
      </c>
    </row>
    <row r="16" spans="1:73" x14ac:dyDescent="0.25">
      <c r="A16" s="102" t="s">
        <v>67</v>
      </c>
      <c r="B16" s="102" t="s">
        <v>78</v>
      </c>
      <c r="C16" s="121" t="s">
        <v>91</v>
      </c>
      <c r="D16" s="155" t="s">
        <v>104</v>
      </c>
      <c r="E16" s="156" t="s">
        <v>105</v>
      </c>
      <c r="F16" s="156" t="s">
        <v>106</v>
      </c>
      <c r="G16" s="110">
        <f t="shared" si="0"/>
        <v>1</v>
      </c>
      <c r="H16" s="110">
        <f t="shared" si="0"/>
        <v>0.66</v>
      </c>
      <c r="I16" s="110">
        <f t="shared" si="0"/>
        <v>0.33</v>
      </c>
      <c r="J16" s="147">
        <f t="shared" si="2"/>
        <v>10.8</v>
      </c>
      <c r="K16" s="87">
        <v>0.77</v>
      </c>
      <c r="L16">
        <v>1</v>
      </c>
      <c r="M16">
        <v>1</v>
      </c>
      <c r="N16" s="88">
        <v>1</v>
      </c>
      <c r="O16" s="87">
        <v>0.83</v>
      </c>
      <c r="P16">
        <v>1</v>
      </c>
      <c r="Q16">
        <v>1</v>
      </c>
      <c r="R16" s="88">
        <v>1</v>
      </c>
      <c r="S16" s="87">
        <v>0.44000000000000006</v>
      </c>
      <c r="T16">
        <v>0.55000000000000004</v>
      </c>
      <c r="U16">
        <v>0.77</v>
      </c>
      <c r="V16" s="88">
        <v>1</v>
      </c>
      <c r="W16" s="87">
        <v>0.47000000000000003</v>
      </c>
      <c r="X16">
        <v>0.55000000000000004</v>
      </c>
      <c r="Y16">
        <v>0.77</v>
      </c>
      <c r="Z16" s="88">
        <v>0.92</v>
      </c>
      <c r="AA16" s="87">
        <v>0</v>
      </c>
      <c r="AB16">
        <v>0.22000000000000003</v>
      </c>
      <c r="AC16">
        <v>0.44</v>
      </c>
      <c r="AD16" s="88">
        <v>0.55000000000000004</v>
      </c>
      <c r="AE16" s="87">
        <v>0.06</v>
      </c>
      <c r="AF16">
        <v>0.22000000000000003</v>
      </c>
      <c r="AG16">
        <v>0.44</v>
      </c>
      <c r="AH16" s="88">
        <v>0.52</v>
      </c>
      <c r="AI16" s="87">
        <v>3.8900000000000006</v>
      </c>
      <c r="AJ16">
        <v>7</v>
      </c>
      <c r="AK16">
        <v>8</v>
      </c>
      <c r="AL16" s="88">
        <v>9.5</v>
      </c>
      <c r="AM16" s="87">
        <v>4.8099999999999987</v>
      </c>
      <c r="AN16">
        <v>7</v>
      </c>
      <c r="AO16">
        <v>8</v>
      </c>
      <c r="AP16" s="88">
        <v>9</v>
      </c>
      <c r="AQ16" s="87">
        <v>0.60499999999999998</v>
      </c>
      <c r="AR16">
        <v>1.1000000000000001</v>
      </c>
      <c r="AS16">
        <v>2.31</v>
      </c>
      <c r="AT16">
        <v>4.1549999999999994</v>
      </c>
      <c r="AU16" s="87">
        <v>0.77499999999999991</v>
      </c>
      <c r="AV16">
        <v>1.1000000000000001</v>
      </c>
      <c r="AW16">
        <v>2.31</v>
      </c>
      <c r="AX16" s="88">
        <v>3.53</v>
      </c>
      <c r="AY16" s="87">
        <v>-0.32999999999999996</v>
      </c>
      <c r="AZ16">
        <v>0.9900000000000001</v>
      </c>
      <c r="BA16">
        <v>2.42</v>
      </c>
      <c r="BB16">
        <v>3.6850000000000005</v>
      </c>
      <c r="BC16" s="87">
        <v>4.9999999999999933E-2</v>
      </c>
      <c r="BD16">
        <v>0.9900000000000001</v>
      </c>
      <c r="BE16">
        <v>2.42</v>
      </c>
      <c r="BF16" s="88">
        <v>3.3000000000000007</v>
      </c>
      <c r="BG16" s="87">
        <f t="shared" si="3"/>
        <v>4.1650000000000009</v>
      </c>
      <c r="BH16">
        <f t="shared" si="1"/>
        <v>9.09</v>
      </c>
      <c r="BI16">
        <f t="shared" si="1"/>
        <v>12.73</v>
      </c>
      <c r="BJ16">
        <f t="shared" si="1"/>
        <v>17.34</v>
      </c>
      <c r="BK16" s="87">
        <f t="shared" si="1"/>
        <v>5.6349999999999989</v>
      </c>
      <c r="BL16">
        <f t="shared" si="1"/>
        <v>9.09</v>
      </c>
      <c r="BM16">
        <f t="shared" si="1"/>
        <v>12.73</v>
      </c>
      <c r="BN16">
        <f t="shared" si="1"/>
        <v>15.83</v>
      </c>
      <c r="BO16" s="138">
        <f t="shared" si="4"/>
        <v>8.1050000000000004</v>
      </c>
      <c r="BP16" s="143">
        <f t="shared" si="5"/>
        <v>13.652000000000001</v>
      </c>
      <c r="BQ16" s="138">
        <f t="shared" si="6"/>
        <v>8.3989999999999991</v>
      </c>
      <c r="BR16" s="139">
        <f t="shared" si="7"/>
        <v>13.350000000000001</v>
      </c>
      <c r="BS16" s="87">
        <f t="shared" si="8"/>
        <v>10.878500000000001</v>
      </c>
      <c r="BT16" s="88">
        <f t="shared" si="9"/>
        <v>10.874500000000001</v>
      </c>
      <c r="BU16" s="134">
        <f t="shared" si="10"/>
        <v>10.8765</v>
      </c>
    </row>
    <row r="17" spans="1:73" ht="30" x14ac:dyDescent="0.25">
      <c r="A17" s="102" t="s">
        <v>68</v>
      </c>
      <c r="B17" s="102" t="s">
        <v>79</v>
      </c>
      <c r="C17" s="121" t="s">
        <v>92</v>
      </c>
      <c r="D17" s="155" t="s">
        <v>104</v>
      </c>
      <c r="E17" s="156" t="s">
        <v>105</v>
      </c>
      <c r="F17" s="156" t="s">
        <v>106</v>
      </c>
      <c r="G17" s="110">
        <f t="shared" si="0"/>
        <v>1</v>
      </c>
      <c r="H17" s="110">
        <f t="shared" si="0"/>
        <v>0.66</v>
      </c>
      <c r="I17" s="110">
        <f t="shared" si="0"/>
        <v>0.33</v>
      </c>
      <c r="J17" s="147">
        <f t="shared" si="2"/>
        <v>10.8</v>
      </c>
      <c r="K17" s="87">
        <v>0.77</v>
      </c>
      <c r="L17">
        <v>1</v>
      </c>
      <c r="M17">
        <v>1</v>
      </c>
      <c r="N17" s="88">
        <v>1</v>
      </c>
      <c r="O17" s="87">
        <v>0.83</v>
      </c>
      <c r="P17">
        <v>1</v>
      </c>
      <c r="Q17">
        <v>1</v>
      </c>
      <c r="R17" s="88">
        <v>1</v>
      </c>
      <c r="S17" s="87">
        <v>0.44000000000000006</v>
      </c>
      <c r="T17">
        <v>0.55000000000000004</v>
      </c>
      <c r="U17">
        <v>0.77</v>
      </c>
      <c r="V17" s="88">
        <v>1</v>
      </c>
      <c r="W17" s="87">
        <v>0.47000000000000003</v>
      </c>
      <c r="X17">
        <v>0.55000000000000004</v>
      </c>
      <c r="Y17">
        <v>0.77</v>
      </c>
      <c r="Z17" s="88">
        <v>0.92</v>
      </c>
      <c r="AA17" s="87">
        <v>0</v>
      </c>
      <c r="AB17">
        <v>0.22000000000000003</v>
      </c>
      <c r="AC17">
        <v>0.44</v>
      </c>
      <c r="AD17" s="88">
        <v>0.55000000000000004</v>
      </c>
      <c r="AE17" s="87">
        <v>0.06</v>
      </c>
      <c r="AF17">
        <v>0.22000000000000003</v>
      </c>
      <c r="AG17">
        <v>0.44</v>
      </c>
      <c r="AH17" s="88">
        <v>0.52</v>
      </c>
      <c r="AI17" s="87">
        <v>3.8900000000000006</v>
      </c>
      <c r="AJ17">
        <v>7</v>
      </c>
      <c r="AK17">
        <v>8</v>
      </c>
      <c r="AL17" s="88">
        <v>9.5</v>
      </c>
      <c r="AM17" s="87">
        <v>4.8099999999999987</v>
      </c>
      <c r="AN17">
        <v>7</v>
      </c>
      <c r="AO17">
        <v>8</v>
      </c>
      <c r="AP17" s="88">
        <v>9</v>
      </c>
      <c r="AQ17" s="87">
        <v>0.60499999999999998</v>
      </c>
      <c r="AR17">
        <v>1.1000000000000001</v>
      </c>
      <c r="AS17">
        <v>2.31</v>
      </c>
      <c r="AT17">
        <v>4.1549999999999994</v>
      </c>
      <c r="AU17" s="87">
        <v>0.77499999999999991</v>
      </c>
      <c r="AV17">
        <v>1.1000000000000001</v>
      </c>
      <c r="AW17">
        <v>2.31</v>
      </c>
      <c r="AX17" s="88">
        <v>3.53</v>
      </c>
      <c r="AY17" s="87">
        <v>-0.32999999999999996</v>
      </c>
      <c r="AZ17">
        <v>0.9900000000000001</v>
      </c>
      <c r="BA17">
        <v>2.42</v>
      </c>
      <c r="BB17">
        <v>3.6850000000000005</v>
      </c>
      <c r="BC17" s="87">
        <v>4.9999999999999933E-2</v>
      </c>
      <c r="BD17">
        <v>0.9900000000000001</v>
      </c>
      <c r="BE17">
        <v>2.42</v>
      </c>
      <c r="BF17" s="88">
        <v>3.3000000000000007</v>
      </c>
      <c r="BG17" s="87">
        <f t="shared" si="3"/>
        <v>4.1650000000000009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87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138">
        <f t="shared" si="4"/>
        <v>8.1050000000000004</v>
      </c>
      <c r="BP17" s="143">
        <f t="shared" si="5"/>
        <v>13.652000000000001</v>
      </c>
      <c r="BQ17" s="138">
        <f t="shared" si="6"/>
        <v>8.3989999999999991</v>
      </c>
      <c r="BR17" s="139">
        <f t="shared" si="7"/>
        <v>13.350000000000001</v>
      </c>
      <c r="BS17" s="87">
        <f t="shared" si="8"/>
        <v>10.878500000000001</v>
      </c>
      <c r="BT17" s="88">
        <f t="shared" si="9"/>
        <v>10.874500000000001</v>
      </c>
      <c r="BU17" s="134">
        <f t="shared" si="10"/>
        <v>10.8765</v>
      </c>
    </row>
    <row r="18" spans="1:73" ht="30" x14ac:dyDescent="0.25">
      <c r="A18" s="102" t="s">
        <v>69</v>
      </c>
      <c r="B18" s="102" t="s">
        <v>80</v>
      </c>
      <c r="C18" s="121" t="s">
        <v>81</v>
      </c>
      <c r="D18" s="155" t="s">
        <v>105</v>
      </c>
      <c r="E18" s="156" t="s">
        <v>104</v>
      </c>
      <c r="F18" s="156" t="s">
        <v>104</v>
      </c>
      <c r="G18" s="110">
        <f t="shared" si="0"/>
        <v>0.66</v>
      </c>
      <c r="H18" s="110">
        <f t="shared" si="0"/>
        <v>1</v>
      </c>
      <c r="I18" s="110">
        <f t="shared" si="0"/>
        <v>1</v>
      </c>
      <c r="J18" s="147">
        <f t="shared" si="2"/>
        <v>12.45</v>
      </c>
      <c r="K18" s="87">
        <v>0.44000000000000006</v>
      </c>
      <c r="L18">
        <v>0.55000000000000004</v>
      </c>
      <c r="M18">
        <v>0.77</v>
      </c>
      <c r="N18" s="88">
        <v>1</v>
      </c>
      <c r="O18" s="87">
        <v>0.47000000000000003</v>
      </c>
      <c r="P18">
        <v>0.55000000000000004</v>
      </c>
      <c r="Q18">
        <v>0.77</v>
      </c>
      <c r="R18" s="88">
        <v>0.92</v>
      </c>
      <c r="S18" s="87">
        <v>0.77</v>
      </c>
      <c r="T18">
        <v>1</v>
      </c>
      <c r="U18">
        <v>1</v>
      </c>
      <c r="V18" s="88">
        <v>1</v>
      </c>
      <c r="W18" s="87">
        <v>0.83</v>
      </c>
      <c r="X18">
        <v>1</v>
      </c>
      <c r="Y18">
        <v>1</v>
      </c>
      <c r="Z18" s="88">
        <v>1</v>
      </c>
      <c r="AA18" s="87">
        <v>0.77</v>
      </c>
      <c r="AB18">
        <v>1</v>
      </c>
      <c r="AC18">
        <v>1</v>
      </c>
      <c r="AD18" s="88">
        <v>1</v>
      </c>
      <c r="AE18" s="87">
        <v>0.83</v>
      </c>
      <c r="AF18">
        <v>1</v>
      </c>
      <c r="AG18">
        <v>1</v>
      </c>
      <c r="AH18" s="88">
        <v>1</v>
      </c>
      <c r="AI18" s="87">
        <v>2.2549999999999999</v>
      </c>
      <c r="AJ18">
        <v>3.8500000000000005</v>
      </c>
      <c r="AK18">
        <v>6.16</v>
      </c>
      <c r="AL18" s="88">
        <v>9.1550000000000011</v>
      </c>
      <c r="AM18" s="87">
        <v>2.7399999999999993</v>
      </c>
      <c r="AN18">
        <v>3.8500000000000005</v>
      </c>
      <c r="AO18">
        <v>6.16</v>
      </c>
      <c r="AP18" s="88">
        <v>8.129999999999999</v>
      </c>
      <c r="AQ18" s="87">
        <v>1.04</v>
      </c>
      <c r="AR18">
        <v>2</v>
      </c>
      <c r="AS18">
        <v>3</v>
      </c>
      <c r="AT18">
        <v>4.5</v>
      </c>
      <c r="AU18" s="87">
        <v>1.3599999999999999</v>
      </c>
      <c r="AV18">
        <v>2</v>
      </c>
      <c r="AW18">
        <v>3</v>
      </c>
      <c r="AX18" s="88">
        <v>4</v>
      </c>
      <c r="AY18" s="87">
        <v>1.9649999999999999</v>
      </c>
      <c r="AZ18">
        <v>4.5</v>
      </c>
      <c r="BA18">
        <v>5.5</v>
      </c>
      <c r="BB18">
        <v>7</v>
      </c>
      <c r="BC18" s="87">
        <v>2.7349999999999994</v>
      </c>
      <c r="BD18">
        <v>4.5</v>
      </c>
      <c r="BE18">
        <v>5.5</v>
      </c>
      <c r="BF18" s="88">
        <v>6.5</v>
      </c>
      <c r="BG18" s="87">
        <f t="shared" si="3"/>
        <v>5.26</v>
      </c>
      <c r="BH18">
        <f t="shared" si="1"/>
        <v>10.350000000000001</v>
      </c>
      <c r="BI18">
        <f t="shared" si="1"/>
        <v>14.66</v>
      </c>
      <c r="BJ18">
        <f t="shared" si="1"/>
        <v>20.655000000000001</v>
      </c>
      <c r="BK18" s="87">
        <f t="shared" si="1"/>
        <v>6.8349999999999991</v>
      </c>
      <c r="BL18">
        <f t="shared" si="1"/>
        <v>10.350000000000001</v>
      </c>
      <c r="BM18">
        <f t="shared" si="1"/>
        <v>14.66</v>
      </c>
      <c r="BN18">
        <f t="shared" si="1"/>
        <v>18.63</v>
      </c>
      <c r="BO18" s="138">
        <f t="shared" si="4"/>
        <v>9.3320000000000007</v>
      </c>
      <c r="BP18" s="143">
        <f t="shared" si="5"/>
        <v>15.859000000000002</v>
      </c>
      <c r="BQ18" s="138">
        <f t="shared" si="6"/>
        <v>9.6470000000000002</v>
      </c>
      <c r="BR18" s="139">
        <f t="shared" si="7"/>
        <v>15.454000000000001</v>
      </c>
      <c r="BS18" s="87">
        <f t="shared" si="8"/>
        <v>12.595500000000001</v>
      </c>
      <c r="BT18" s="88">
        <f t="shared" si="9"/>
        <v>12.5505</v>
      </c>
      <c r="BU18" s="134">
        <f t="shared" si="10"/>
        <v>12.573</v>
      </c>
    </row>
    <row r="19" spans="1:73" ht="36.75" customHeight="1" x14ac:dyDescent="0.25">
      <c r="A19" s="102" t="s">
        <v>70</v>
      </c>
      <c r="B19" s="102" t="s">
        <v>82</v>
      </c>
      <c r="C19" s="121" t="s">
        <v>93</v>
      </c>
      <c r="D19" s="155" t="s">
        <v>105</v>
      </c>
      <c r="E19" s="156" t="s">
        <v>104</v>
      </c>
      <c r="F19" s="156" t="s">
        <v>105</v>
      </c>
      <c r="G19" s="110">
        <f t="shared" si="0"/>
        <v>0.66</v>
      </c>
      <c r="H19" s="110">
        <f t="shared" si="0"/>
        <v>1</v>
      </c>
      <c r="I19" s="110">
        <f t="shared" si="0"/>
        <v>0.66</v>
      </c>
      <c r="J19" s="147">
        <f t="shared" si="2"/>
        <v>10.75</v>
      </c>
      <c r="K19" s="87">
        <v>0.44000000000000006</v>
      </c>
      <c r="L19">
        <v>0.55000000000000004</v>
      </c>
      <c r="M19">
        <v>0.77</v>
      </c>
      <c r="N19" s="88">
        <v>1</v>
      </c>
      <c r="O19" s="87">
        <v>0.47000000000000003</v>
      </c>
      <c r="P19">
        <v>0.55000000000000004</v>
      </c>
      <c r="Q19">
        <v>0.77</v>
      </c>
      <c r="R19" s="88">
        <v>0.92</v>
      </c>
      <c r="S19" s="87">
        <v>0.77</v>
      </c>
      <c r="T19">
        <v>1</v>
      </c>
      <c r="U19">
        <v>1</v>
      </c>
      <c r="V19" s="88">
        <v>1</v>
      </c>
      <c r="W19" s="87">
        <v>0.83</v>
      </c>
      <c r="X19">
        <v>1</v>
      </c>
      <c r="Y19">
        <v>1</v>
      </c>
      <c r="Z19" s="88">
        <v>1</v>
      </c>
      <c r="AA19" s="87">
        <v>0.44000000000000006</v>
      </c>
      <c r="AB19">
        <v>0.55000000000000004</v>
      </c>
      <c r="AC19">
        <v>0.77</v>
      </c>
      <c r="AD19" s="88">
        <v>1</v>
      </c>
      <c r="AE19" s="87">
        <v>0.47000000000000003</v>
      </c>
      <c r="AF19">
        <v>0.55000000000000004</v>
      </c>
      <c r="AG19">
        <v>0.77</v>
      </c>
      <c r="AH19" s="88">
        <v>0.92</v>
      </c>
      <c r="AI19" s="87">
        <v>2.2549999999999999</v>
      </c>
      <c r="AJ19">
        <v>3.8500000000000005</v>
      </c>
      <c r="AK19">
        <v>6.16</v>
      </c>
      <c r="AL19" s="88">
        <v>9.1550000000000011</v>
      </c>
      <c r="AM19" s="87">
        <v>2.7399999999999993</v>
      </c>
      <c r="AN19">
        <v>3.8500000000000005</v>
      </c>
      <c r="AO19">
        <v>6.16</v>
      </c>
      <c r="AP19" s="88">
        <v>8.129999999999999</v>
      </c>
      <c r="AQ19" s="87">
        <v>1.04</v>
      </c>
      <c r="AR19">
        <v>2</v>
      </c>
      <c r="AS19">
        <v>3</v>
      </c>
      <c r="AT19">
        <v>4.5</v>
      </c>
      <c r="AU19" s="87">
        <v>1.3599999999999999</v>
      </c>
      <c r="AV19">
        <v>2</v>
      </c>
      <c r="AW19">
        <v>3</v>
      </c>
      <c r="AX19" s="88">
        <v>4</v>
      </c>
      <c r="AY19" s="87">
        <v>1.1550000000000002</v>
      </c>
      <c r="AZ19">
        <v>2.4750000000000001</v>
      </c>
      <c r="BA19">
        <v>4.2350000000000003</v>
      </c>
      <c r="BB19">
        <v>6.6550000000000002</v>
      </c>
      <c r="BC19" s="87">
        <v>1.5650000000000008</v>
      </c>
      <c r="BD19">
        <v>2.4750000000000001</v>
      </c>
      <c r="BE19">
        <v>4.2350000000000003</v>
      </c>
      <c r="BF19" s="88">
        <v>5.830000000000001</v>
      </c>
      <c r="BG19" s="87">
        <f t="shared" si="3"/>
        <v>4.45</v>
      </c>
      <c r="BH19">
        <f t="shared" si="1"/>
        <v>8.3250000000000011</v>
      </c>
      <c r="BI19">
        <f t="shared" si="1"/>
        <v>13.395</v>
      </c>
      <c r="BJ19">
        <f t="shared" si="1"/>
        <v>20.310000000000002</v>
      </c>
      <c r="BK19" s="87">
        <f t="shared" si="1"/>
        <v>5.6650000000000009</v>
      </c>
      <c r="BL19">
        <f t="shared" si="1"/>
        <v>8.3250000000000011</v>
      </c>
      <c r="BM19">
        <f t="shared" si="1"/>
        <v>13.395</v>
      </c>
      <c r="BN19">
        <f t="shared" si="1"/>
        <v>17.96</v>
      </c>
      <c r="BO19" s="138">
        <f t="shared" si="4"/>
        <v>7.5500000000000007</v>
      </c>
      <c r="BP19" s="143">
        <f t="shared" si="5"/>
        <v>14.778</v>
      </c>
      <c r="BQ19" s="138">
        <f t="shared" si="6"/>
        <v>7.793000000000001</v>
      </c>
      <c r="BR19" s="139">
        <f t="shared" si="7"/>
        <v>14.308</v>
      </c>
      <c r="BS19" s="87">
        <f t="shared" si="8"/>
        <v>11.164000000000001</v>
      </c>
      <c r="BT19" s="88">
        <f t="shared" si="9"/>
        <v>11.0505</v>
      </c>
      <c r="BU19" s="134">
        <f t="shared" si="10"/>
        <v>11.107250000000001</v>
      </c>
    </row>
    <row r="20" spans="1:73" ht="30.75" thickBot="1" x14ac:dyDescent="0.3">
      <c r="A20" s="102" t="s">
        <v>71</v>
      </c>
      <c r="B20" s="102" t="s">
        <v>83</v>
      </c>
      <c r="C20" s="121" t="s">
        <v>94</v>
      </c>
      <c r="D20" s="157" t="s">
        <v>106</v>
      </c>
      <c r="E20" s="158" t="s">
        <v>104</v>
      </c>
      <c r="F20" s="158" t="s">
        <v>105</v>
      </c>
      <c r="G20" s="123">
        <f t="shared" si="0"/>
        <v>0.33</v>
      </c>
      <c r="H20" s="123">
        <f t="shared" si="0"/>
        <v>1</v>
      </c>
      <c r="I20" s="123">
        <f t="shared" si="0"/>
        <v>0.66</v>
      </c>
      <c r="J20" s="148">
        <f t="shared" si="2"/>
        <v>8.2750000000000004</v>
      </c>
      <c r="K20" s="91">
        <v>0</v>
      </c>
      <c r="L20" s="93">
        <v>0.22000000000000003</v>
      </c>
      <c r="M20" s="93">
        <v>0.44</v>
      </c>
      <c r="N20" s="94">
        <v>0.55000000000000004</v>
      </c>
      <c r="O20" s="91">
        <v>0.06</v>
      </c>
      <c r="P20" s="93">
        <v>0.22000000000000003</v>
      </c>
      <c r="Q20" s="93">
        <v>0.44</v>
      </c>
      <c r="R20" s="94">
        <v>0.52</v>
      </c>
      <c r="S20" s="91">
        <v>0.77</v>
      </c>
      <c r="T20" s="93">
        <v>1</v>
      </c>
      <c r="U20" s="93">
        <v>1</v>
      </c>
      <c r="V20" s="94">
        <v>1</v>
      </c>
      <c r="W20" s="91">
        <v>0.83</v>
      </c>
      <c r="X20" s="93">
        <v>1</v>
      </c>
      <c r="Y20" s="93">
        <v>1</v>
      </c>
      <c r="Z20" s="94">
        <v>1</v>
      </c>
      <c r="AA20" s="91">
        <v>0.44000000000000006</v>
      </c>
      <c r="AB20" s="93">
        <v>0.55000000000000004</v>
      </c>
      <c r="AC20" s="93">
        <v>0.77</v>
      </c>
      <c r="AD20" s="94">
        <v>1</v>
      </c>
      <c r="AE20" s="91">
        <v>0.47000000000000003</v>
      </c>
      <c r="AF20" s="93">
        <v>0.55000000000000004</v>
      </c>
      <c r="AG20" s="93">
        <v>0.77</v>
      </c>
      <c r="AH20" s="94">
        <v>0.92</v>
      </c>
      <c r="AI20" s="91">
        <v>-0.33000000000000007</v>
      </c>
      <c r="AJ20" s="93">
        <v>1.5400000000000003</v>
      </c>
      <c r="AK20" s="93">
        <v>3.52</v>
      </c>
      <c r="AL20" s="94">
        <v>5.0600000000000005</v>
      </c>
      <c r="AM20" s="91">
        <v>0.19999999999999996</v>
      </c>
      <c r="AN20" s="93">
        <v>1.5400000000000003</v>
      </c>
      <c r="AO20" s="93">
        <v>3.52</v>
      </c>
      <c r="AP20" s="94">
        <v>4.6000000000000014</v>
      </c>
      <c r="AQ20" s="91">
        <v>1.04</v>
      </c>
      <c r="AR20" s="93">
        <v>2</v>
      </c>
      <c r="AS20" s="93">
        <v>3</v>
      </c>
      <c r="AT20" s="93">
        <v>4.5</v>
      </c>
      <c r="AU20" s="91">
        <v>1.3599999999999999</v>
      </c>
      <c r="AV20" s="93">
        <v>2</v>
      </c>
      <c r="AW20" s="93">
        <v>3</v>
      </c>
      <c r="AX20" s="94">
        <v>4</v>
      </c>
      <c r="AY20" s="91">
        <v>1.1550000000000002</v>
      </c>
      <c r="AZ20" s="93">
        <v>2.4750000000000001</v>
      </c>
      <c r="BA20" s="93">
        <v>4.2350000000000003</v>
      </c>
      <c r="BB20" s="93">
        <v>6.6550000000000002</v>
      </c>
      <c r="BC20" s="91">
        <v>1.5650000000000008</v>
      </c>
      <c r="BD20" s="93">
        <v>2.4750000000000001</v>
      </c>
      <c r="BE20" s="93">
        <v>4.2350000000000003</v>
      </c>
      <c r="BF20" s="94">
        <v>5.830000000000001</v>
      </c>
      <c r="BG20" s="91">
        <f t="shared" si="3"/>
        <v>1.8650000000000002</v>
      </c>
      <c r="BH20" s="93">
        <f t="shared" si="1"/>
        <v>6.0150000000000006</v>
      </c>
      <c r="BI20" s="93">
        <f t="shared" si="1"/>
        <v>10.754999999999999</v>
      </c>
      <c r="BJ20" s="93">
        <f t="shared" si="1"/>
        <v>16.215</v>
      </c>
      <c r="BK20" s="91">
        <f t="shared" si="1"/>
        <v>3.1250000000000009</v>
      </c>
      <c r="BL20" s="93">
        <f t="shared" si="1"/>
        <v>6.0150000000000006</v>
      </c>
      <c r="BM20" s="93">
        <f t="shared" si="1"/>
        <v>10.754999999999999</v>
      </c>
      <c r="BN20" s="93">
        <f t="shared" si="1"/>
        <v>14.430000000000003</v>
      </c>
      <c r="BO20" s="140">
        <f t="shared" si="4"/>
        <v>5.1850000000000014</v>
      </c>
      <c r="BP20" s="144">
        <f t="shared" si="5"/>
        <v>11.846999999999998</v>
      </c>
      <c r="BQ20" s="140">
        <f t="shared" si="6"/>
        <v>5.4370000000000012</v>
      </c>
      <c r="BR20" s="141">
        <f t="shared" si="7"/>
        <v>11.489999999999998</v>
      </c>
      <c r="BS20" s="91">
        <f t="shared" si="8"/>
        <v>8.516</v>
      </c>
      <c r="BT20" s="94">
        <f t="shared" si="9"/>
        <v>8.4634999999999998</v>
      </c>
      <c r="BU20" s="135">
        <f t="shared" si="10"/>
        <v>8.4897500000000008</v>
      </c>
    </row>
    <row r="21" spans="1:73" x14ac:dyDescent="0.25">
      <c r="BF21" s="60"/>
      <c r="BG21" s="59"/>
      <c r="BH21" s="59"/>
      <c r="BI21" s="59"/>
      <c r="BJ21" s="59"/>
      <c r="BK21" s="59"/>
    </row>
    <row r="22" spans="1:73" x14ac:dyDescent="0.25">
      <c r="A22" s="1" t="s">
        <v>188</v>
      </c>
      <c r="B22" s="1"/>
    </row>
    <row r="23" spans="1:73" ht="15.75" thickBot="1" x14ac:dyDescent="0.3">
      <c r="A23" s="107" t="s">
        <v>103</v>
      </c>
      <c r="B23" s="108" t="s">
        <v>122</v>
      </c>
      <c r="E23" s="112" t="s">
        <v>17</v>
      </c>
      <c r="I23" t="s">
        <v>18</v>
      </c>
    </row>
    <row r="24" spans="1:73" x14ac:dyDescent="0.25">
      <c r="A24" s="106" t="s">
        <v>107</v>
      </c>
      <c r="B24" s="2">
        <v>0</v>
      </c>
      <c r="C24" s="79">
        <v>0</v>
      </c>
      <c r="D24" s="80" t="s">
        <v>107</v>
      </c>
      <c r="E24" s="81">
        <v>0</v>
      </c>
      <c r="F24" s="82">
        <f>C24</f>
        <v>0</v>
      </c>
      <c r="G24" s="83">
        <v>0</v>
      </c>
      <c r="H24" s="84">
        <v>0.22</v>
      </c>
      <c r="I24" s="85">
        <v>0</v>
      </c>
      <c r="J24" s="83">
        <f>F24</f>
        <v>0</v>
      </c>
      <c r="K24" s="83">
        <f>G24</f>
        <v>0</v>
      </c>
      <c r="L24" s="86">
        <v>0.15</v>
      </c>
    </row>
    <row r="25" spans="1:73" x14ac:dyDescent="0.25">
      <c r="A25" s="106" t="s">
        <v>106</v>
      </c>
      <c r="B25" s="2">
        <v>0.33</v>
      </c>
      <c r="C25" s="79">
        <v>0.33</v>
      </c>
      <c r="D25" s="80" t="s">
        <v>106</v>
      </c>
      <c r="E25" s="87">
        <v>0</v>
      </c>
      <c r="F25" s="111">
        <f>C25-0.11</f>
        <v>0.22000000000000003</v>
      </c>
      <c r="G25">
        <f>C25+0.11</f>
        <v>0.44</v>
      </c>
      <c r="H25" s="88">
        <f t="shared" ref="H25" si="11">G25+0.11</f>
        <v>0.55000000000000004</v>
      </c>
      <c r="I25" s="89">
        <v>0.06</v>
      </c>
      <c r="J25">
        <f t="shared" ref="J25:K27" si="12">F25</f>
        <v>0.22000000000000003</v>
      </c>
      <c r="K25">
        <f t="shared" si="12"/>
        <v>0.44</v>
      </c>
      <c r="L25" s="90">
        <f t="shared" ref="L25" si="13">K25+0.08</f>
        <v>0.52</v>
      </c>
    </row>
    <row r="26" spans="1:73" x14ac:dyDescent="0.25">
      <c r="A26" s="106" t="s">
        <v>105</v>
      </c>
      <c r="B26" s="2">
        <v>0.66</v>
      </c>
      <c r="C26" s="79">
        <v>0.66</v>
      </c>
      <c r="D26" s="80" t="s">
        <v>105</v>
      </c>
      <c r="E26" s="87">
        <f t="shared" ref="E26" si="14">F26-0.11</f>
        <v>0.44000000000000006</v>
      </c>
      <c r="F26" s="111">
        <f t="shared" ref="F26" si="15">C26-0.11</f>
        <v>0.55000000000000004</v>
      </c>
      <c r="G26">
        <f t="shared" ref="G26" si="16">C26+0.11</f>
        <v>0.77</v>
      </c>
      <c r="H26" s="88">
        <v>1</v>
      </c>
      <c r="I26" s="89">
        <f t="shared" ref="I26" si="17">J26-0.08</f>
        <v>0.47000000000000003</v>
      </c>
      <c r="J26">
        <f t="shared" si="12"/>
        <v>0.55000000000000004</v>
      </c>
      <c r="K26">
        <f t="shared" si="12"/>
        <v>0.77</v>
      </c>
      <c r="L26" s="90">
        <v>0.92</v>
      </c>
    </row>
    <row r="27" spans="1:73" ht="15.75" thickBot="1" x14ac:dyDescent="0.3">
      <c r="A27" s="106" t="s">
        <v>104</v>
      </c>
      <c r="B27" s="2">
        <v>1</v>
      </c>
      <c r="C27" s="79">
        <v>1</v>
      </c>
      <c r="D27" s="80" t="s">
        <v>104</v>
      </c>
      <c r="E27" s="91">
        <v>0.77</v>
      </c>
      <c r="F27" s="92">
        <v>1</v>
      </c>
      <c r="G27" s="93">
        <v>1</v>
      </c>
      <c r="H27" s="94">
        <v>1</v>
      </c>
      <c r="I27" s="95">
        <v>0.83</v>
      </c>
      <c r="J27" s="93">
        <f t="shared" si="12"/>
        <v>1</v>
      </c>
      <c r="K27" s="93">
        <f t="shared" si="12"/>
        <v>1</v>
      </c>
      <c r="L27" s="96">
        <v>1</v>
      </c>
    </row>
    <row r="28" spans="1:73" x14ac:dyDescent="0.25">
      <c r="A28" s="99"/>
    </row>
    <row r="29" spans="1:73" x14ac:dyDescent="0.25">
      <c r="A29" s="1" t="s">
        <v>190</v>
      </c>
    </row>
    <row r="30" spans="1:73" ht="15.75" thickBot="1" x14ac:dyDescent="0.3">
      <c r="A30" s="107" t="s">
        <v>103</v>
      </c>
      <c r="B30" s="108" t="s">
        <v>123</v>
      </c>
      <c r="E30" s="112" t="s">
        <v>17</v>
      </c>
      <c r="I30" t="s">
        <v>18</v>
      </c>
    </row>
    <row r="31" spans="1:73" x14ac:dyDescent="0.25">
      <c r="A31" s="106" t="s">
        <v>107</v>
      </c>
      <c r="B31" s="2">
        <v>1</v>
      </c>
      <c r="C31" s="79">
        <v>1</v>
      </c>
      <c r="D31" s="80" t="s">
        <v>107</v>
      </c>
      <c r="E31" s="81">
        <v>0</v>
      </c>
      <c r="F31" s="82">
        <v>0.5</v>
      </c>
      <c r="G31" s="83">
        <v>1.5</v>
      </c>
      <c r="H31" s="84">
        <v>2</v>
      </c>
      <c r="I31" s="85">
        <v>0</v>
      </c>
      <c r="J31" s="83">
        <f>F31</f>
        <v>0.5</v>
      </c>
      <c r="K31" s="83">
        <f>G31</f>
        <v>1.5</v>
      </c>
      <c r="L31" s="86">
        <v>1.8</v>
      </c>
    </row>
    <row r="32" spans="1:73" x14ac:dyDescent="0.25">
      <c r="A32" s="106" t="s">
        <v>106</v>
      </c>
      <c r="B32" s="2">
        <v>2.5</v>
      </c>
      <c r="C32" s="79">
        <v>2.5</v>
      </c>
      <c r="D32" s="80" t="s">
        <v>106</v>
      </c>
      <c r="E32" s="87">
        <v>1.5</v>
      </c>
      <c r="F32" s="111">
        <f>C32-0.5</f>
        <v>2</v>
      </c>
      <c r="G32">
        <f>C32+0.5</f>
        <v>3</v>
      </c>
      <c r="H32" s="88">
        <f t="shared" ref="H32:H34" si="18">G32+1.5</f>
        <v>4.5</v>
      </c>
      <c r="I32" s="89">
        <v>1.7</v>
      </c>
      <c r="J32">
        <f t="shared" ref="J32:K34" si="19">F32</f>
        <v>2</v>
      </c>
      <c r="K32">
        <f t="shared" si="19"/>
        <v>3</v>
      </c>
      <c r="L32" s="90">
        <f t="shared" ref="L32:L34" si="20">K32+1</f>
        <v>4</v>
      </c>
    </row>
    <row r="33" spans="1:12" x14ac:dyDescent="0.25">
      <c r="A33" s="106" t="s">
        <v>105</v>
      </c>
      <c r="B33" s="2">
        <v>5</v>
      </c>
      <c r="C33" s="79">
        <v>5</v>
      </c>
      <c r="D33" s="80" t="s">
        <v>105</v>
      </c>
      <c r="E33" s="87">
        <f t="shared" ref="E33:E34" si="21">F33-1.5</f>
        <v>3</v>
      </c>
      <c r="F33" s="111">
        <f>C33-0.5</f>
        <v>4.5</v>
      </c>
      <c r="G33">
        <f>C33+0.5</f>
        <v>5.5</v>
      </c>
      <c r="H33" s="88">
        <f t="shared" si="18"/>
        <v>7</v>
      </c>
      <c r="I33" s="89">
        <f t="shared" ref="I33:I34" si="22">J33-1</f>
        <v>3.5</v>
      </c>
      <c r="J33">
        <f t="shared" si="19"/>
        <v>4.5</v>
      </c>
      <c r="K33">
        <f t="shared" si="19"/>
        <v>5.5</v>
      </c>
      <c r="L33" s="90">
        <f t="shared" si="20"/>
        <v>6.5</v>
      </c>
    </row>
    <row r="34" spans="1:12" ht="15.75" thickBot="1" x14ac:dyDescent="0.3">
      <c r="A34" s="106" t="s">
        <v>104</v>
      </c>
      <c r="B34" s="2">
        <v>7.5</v>
      </c>
      <c r="C34" s="79">
        <v>7.5</v>
      </c>
      <c r="D34" s="80" t="s">
        <v>104</v>
      </c>
      <c r="E34" s="91">
        <f t="shared" si="21"/>
        <v>5.5</v>
      </c>
      <c r="F34" s="92">
        <f>C34-0.5</f>
        <v>7</v>
      </c>
      <c r="G34" s="93">
        <f>C34+0.5</f>
        <v>8</v>
      </c>
      <c r="H34" s="94">
        <f t="shared" si="18"/>
        <v>9.5</v>
      </c>
      <c r="I34" s="95">
        <f t="shared" si="22"/>
        <v>6</v>
      </c>
      <c r="J34" s="93">
        <f t="shared" si="19"/>
        <v>7</v>
      </c>
      <c r="K34" s="93">
        <f t="shared" si="19"/>
        <v>8</v>
      </c>
      <c r="L34" s="96">
        <f t="shared" si="20"/>
        <v>9</v>
      </c>
    </row>
    <row r="36" spans="1:12" ht="15.75" thickBot="1" x14ac:dyDescent="0.3">
      <c r="A36" s="1" t="s">
        <v>193</v>
      </c>
    </row>
    <row r="37" spans="1:12" ht="67.5" customHeight="1" thickBot="1" x14ac:dyDescent="0.3">
      <c r="A37" s="114" t="s">
        <v>117</v>
      </c>
      <c r="B37" s="113" t="s">
        <v>99</v>
      </c>
      <c r="C37" s="115" t="s">
        <v>108</v>
      </c>
      <c r="D37" s="116" t="s">
        <v>189</v>
      </c>
      <c r="E37" s="283" t="s">
        <v>126</v>
      </c>
      <c r="F37" s="284"/>
      <c r="G37" s="284"/>
      <c r="H37" s="284"/>
      <c r="I37" s="284"/>
      <c r="J37" s="284"/>
      <c r="K37" s="284"/>
      <c r="L37" s="285"/>
    </row>
    <row r="38" spans="1:12" x14ac:dyDescent="0.25">
      <c r="A38" s="125" t="s">
        <v>114</v>
      </c>
      <c r="B38" s="117" t="s">
        <v>100</v>
      </c>
      <c r="C38" s="118" t="s">
        <v>104</v>
      </c>
      <c r="D38" s="152">
        <v>7.5</v>
      </c>
      <c r="E38" s="87">
        <v>5.5</v>
      </c>
      <c r="F38" s="111">
        <v>7</v>
      </c>
      <c r="G38">
        <v>8</v>
      </c>
      <c r="H38" s="88">
        <v>9.5</v>
      </c>
      <c r="I38" s="89">
        <v>6</v>
      </c>
      <c r="J38">
        <v>7</v>
      </c>
      <c r="K38">
        <v>8</v>
      </c>
      <c r="L38" s="90">
        <v>9</v>
      </c>
    </row>
    <row r="39" spans="1:12" x14ac:dyDescent="0.25">
      <c r="A39" s="126" t="s">
        <v>115</v>
      </c>
      <c r="B39" s="104" t="s">
        <v>101</v>
      </c>
      <c r="C39" s="2" t="s">
        <v>106</v>
      </c>
      <c r="D39" s="153">
        <v>2.5</v>
      </c>
      <c r="E39" s="87">
        <v>1.5</v>
      </c>
      <c r="F39" s="111">
        <v>2</v>
      </c>
      <c r="G39">
        <v>3</v>
      </c>
      <c r="H39" s="88">
        <v>4.5</v>
      </c>
      <c r="I39" s="89">
        <v>1.7</v>
      </c>
      <c r="J39">
        <v>2</v>
      </c>
      <c r="K39">
        <v>3</v>
      </c>
      <c r="L39" s="90">
        <v>4</v>
      </c>
    </row>
    <row r="40" spans="1:12" ht="15.75" thickBot="1" x14ac:dyDescent="0.3">
      <c r="A40" s="127" t="s">
        <v>116</v>
      </c>
      <c r="B40" s="119" t="s">
        <v>102</v>
      </c>
      <c r="C40" s="120" t="s">
        <v>105</v>
      </c>
      <c r="D40" s="154">
        <v>5</v>
      </c>
      <c r="E40" s="91">
        <v>3</v>
      </c>
      <c r="F40" s="92">
        <v>4.5</v>
      </c>
      <c r="G40" s="93">
        <v>5.5</v>
      </c>
      <c r="H40" s="94">
        <v>7</v>
      </c>
      <c r="I40" s="95">
        <v>3.5</v>
      </c>
      <c r="J40" s="93">
        <v>4.5</v>
      </c>
      <c r="K40" s="93">
        <v>5.5</v>
      </c>
      <c r="L40" s="96">
        <v>6.5</v>
      </c>
    </row>
    <row r="42" spans="1:12" ht="15.75" thickBot="1" x14ac:dyDescent="0.3">
      <c r="A42" s="1" t="s">
        <v>194</v>
      </c>
    </row>
    <row r="43" spans="1:12" ht="45.75" thickBot="1" x14ac:dyDescent="0.3">
      <c r="A43" s="128" t="s">
        <v>132</v>
      </c>
      <c r="B43" s="129" t="s">
        <v>133</v>
      </c>
      <c r="E43" s="283" t="s">
        <v>134</v>
      </c>
      <c r="F43" s="284"/>
      <c r="G43" s="284"/>
      <c r="H43" s="284"/>
      <c r="I43" s="284"/>
      <c r="J43" s="284"/>
      <c r="K43" s="284"/>
      <c r="L43" s="285"/>
    </row>
    <row r="44" spans="1:12" x14ac:dyDescent="0.25">
      <c r="A44" s="125" t="s">
        <v>129</v>
      </c>
      <c r="B44" s="130" t="s">
        <v>107</v>
      </c>
      <c r="D44" s="133" t="s">
        <v>138</v>
      </c>
      <c r="E44" s="81">
        <f>E24*F$38+E$38*F24-F24*F$38</f>
        <v>0</v>
      </c>
      <c r="F44" s="83">
        <f>F24*F$38</f>
        <v>0</v>
      </c>
      <c r="G44" s="83">
        <f>G24*G$38</f>
        <v>0</v>
      </c>
      <c r="H44" s="84">
        <f>G24*H$38+G$38*H24-G24*G$38</f>
        <v>1.76</v>
      </c>
      <c r="I44" s="81">
        <f>I24*J$38+I$38*J24-J24*J$38</f>
        <v>0</v>
      </c>
      <c r="J44" s="83">
        <f>J24*J$38</f>
        <v>0</v>
      </c>
      <c r="K44" s="83">
        <f>K24*K$38</f>
        <v>0</v>
      </c>
      <c r="L44" s="84">
        <f>K24*L$38+K$38*L24-K24*K$38</f>
        <v>1.2</v>
      </c>
    </row>
    <row r="45" spans="1:12" x14ac:dyDescent="0.25">
      <c r="A45" s="126" t="s">
        <v>129</v>
      </c>
      <c r="B45" s="131" t="s">
        <v>106</v>
      </c>
      <c r="D45" s="134" t="s">
        <v>137</v>
      </c>
      <c r="E45" s="87">
        <f t="shared" ref="E45:E47" si="23">E25*F$38+E$38*F25-F25*F$38</f>
        <v>-0.33000000000000007</v>
      </c>
      <c r="F45">
        <f t="shared" ref="F45:G47" si="24">F25*F$38</f>
        <v>1.5400000000000003</v>
      </c>
      <c r="G45">
        <f t="shared" si="24"/>
        <v>3.52</v>
      </c>
      <c r="H45" s="88">
        <f t="shared" ref="H45:H47" si="25">G25*H$38+G$38*H25-G25*G$38</f>
        <v>5.0600000000000005</v>
      </c>
      <c r="I45" s="87">
        <f t="shared" ref="I45:I47" si="26">I25*J$38+I$38*J25-J25*J$38</f>
        <v>0.19999999999999996</v>
      </c>
      <c r="J45">
        <f t="shared" ref="J45:K47" si="27">J25*J$38</f>
        <v>1.5400000000000003</v>
      </c>
      <c r="K45">
        <f t="shared" si="27"/>
        <v>3.52</v>
      </c>
      <c r="L45" s="88">
        <f t="shared" ref="L45:L47" si="28">K25*L$38+K$38*L25-K25*K$38</f>
        <v>4.6000000000000014</v>
      </c>
    </row>
    <row r="46" spans="1:12" x14ac:dyDescent="0.25">
      <c r="A46" s="126" t="s">
        <v>129</v>
      </c>
      <c r="B46" s="131" t="s">
        <v>105</v>
      </c>
      <c r="D46" s="134" t="s">
        <v>136</v>
      </c>
      <c r="E46" s="87">
        <f t="shared" si="23"/>
        <v>2.2549999999999999</v>
      </c>
      <c r="F46">
        <f t="shared" si="24"/>
        <v>3.8500000000000005</v>
      </c>
      <c r="G46">
        <f t="shared" si="24"/>
        <v>6.16</v>
      </c>
      <c r="H46" s="88">
        <f t="shared" si="25"/>
        <v>9.1550000000000011</v>
      </c>
      <c r="I46" s="87">
        <f t="shared" si="26"/>
        <v>2.7399999999999993</v>
      </c>
      <c r="J46">
        <f t="shared" si="27"/>
        <v>3.8500000000000005</v>
      </c>
      <c r="K46">
        <f t="shared" si="27"/>
        <v>6.16</v>
      </c>
      <c r="L46" s="88">
        <f t="shared" si="28"/>
        <v>8.129999999999999</v>
      </c>
    </row>
    <row r="47" spans="1:12" ht="15.75" thickBot="1" x14ac:dyDescent="0.3">
      <c r="A47" s="127" t="s">
        <v>129</v>
      </c>
      <c r="B47" s="132" t="s">
        <v>104</v>
      </c>
      <c r="D47" s="135" t="s">
        <v>135</v>
      </c>
      <c r="E47" s="91">
        <f t="shared" si="23"/>
        <v>3.8900000000000006</v>
      </c>
      <c r="F47" s="93">
        <f t="shared" si="24"/>
        <v>7</v>
      </c>
      <c r="G47" s="93">
        <f t="shared" si="24"/>
        <v>8</v>
      </c>
      <c r="H47" s="94">
        <f t="shared" si="25"/>
        <v>9.5</v>
      </c>
      <c r="I47" s="91">
        <f t="shared" si="26"/>
        <v>4.8099999999999987</v>
      </c>
      <c r="J47" s="93">
        <f t="shared" si="27"/>
        <v>7</v>
      </c>
      <c r="K47" s="93">
        <f t="shared" si="27"/>
        <v>8</v>
      </c>
      <c r="L47" s="94">
        <f t="shared" si="28"/>
        <v>9</v>
      </c>
    </row>
    <row r="48" spans="1:12" x14ac:dyDescent="0.25">
      <c r="A48" s="125" t="s">
        <v>130</v>
      </c>
      <c r="B48" s="130" t="s">
        <v>107</v>
      </c>
      <c r="D48" s="133" t="s">
        <v>139</v>
      </c>
      <c r="E48" s="81">
        <f>E24*F$39+E$39*F24-F24*F$39</f>
        <v>0</v>
      </c>
      <c r="F48" s="83">
        <f>F24*F$39</f>
        <v>0</v>
      </c>
      <c r="G48" s="83">
        <f>G24*G$39</f>
        <v>0</v>
      </c>
      <c r="H48" s="84">
        <f>G24*H$39+G$39*H24-G24*G$39</f>
        <v>0.66</v>
      </c>
      <c r="I48" s="81">
        <f>I24*J$39+I$39*J24-J24*J$39</f>
        <v>0</v>
      </c>
      <c r="J48" s="83">
        <f>J24*J$39</f>
        <v>0</v>
      </c>
      <c r="K48" s="83">
        <f>K24*K$39</f>
        <v>0</v>
      </c>
      <c r="L48" s="84">
        <f>K24*L$39+K$39*L24-K24*K$39</f>
        <v>0.44999999999999996</v>
      </c>
    </row>
    <row r="49" spans="1:73" x14ac:dyDescent="0.25">
      <c r="A49" s="126" t="s">
        <v>130</v>
      </c>
      <c r="B49" s="131" t="s">
        <v>106</v>
      </c>
      <c r="D49" s="134" t="s">
        <v>144</v>
      </c>
      <c r="E49" s="87">
        <f>E25*F$39+E$39*F25-F25*F$39</f>
        <v>-0.10999999999999999</v>
      </c>
      <c r="F49">
        <f t="shared" ref="F49:G51" si="29">F25*F$39</f>
        <v>0.44000000000000006</v>
      </c>
      <c r="G49">
        <f t="shared" si="29"/>
        <v>1.32</v>
      </c>
      <c r="H49" s="88">
        <f t="shared" ref="H49:H51" si="30">G25*H$39+G$39*H25-G25*G$39</f>
        <v>2.3099999999999996</v>
      </c>
      <c r="I49" s="87">
        <f t="shared" ref="I49:I51" si="31">I25*J$39+I$39*J25-J25*J$39</f>
        <v>5.3999999999999992E-2</v>
      </c>
      <c r="J49">
        <f t="shared" ref="J49:K51" si="32">J25*J$39</f>
        <v>0.44000000000000006</v>
      </c>
      <c r="K49">
        <f t="shared" si="32"/>
        <v>1.32</v>
      </c>
      <c r="L49" s="88">
        <f t="shared" ref="L49:L51" si="33">K25*L$39+K$39*L25-K25*K$39</f>
        <v>2</v>
      </c>
    </row>
    <row r="50" spans="1:73" x14ac:dyDescent="0.25">
      <c r="A50" s="126" t="s">
        <v>130</v>
      </c>
      <c r="B50" s="131" t="s">
        <v>105</v>
      </c>
      <c r="D50" s="134" t="s">
        <v>145</v>
      </c>
      <c r="E50" s="87">
        <f t="shared" ref="E50:E51" si="34">E26*F$39+E$39*F26-F26*F$39</f>
        <v>0.60499999999999998</v>
      </c>
      <c r="F50">
        <f t="shared" si="29"/>
        <v>1.1000000000000001</v>
      </c>
      <c r="G50">
        <f t="shared" si="29"/>
        <v>2.31</v>
      </c>
      <c r="H50" s="88">
        <f t="shared" si="30"/>
        <v>4.1549999999999994</v>
      </c>
      <c r="I50" s="87">
        <f t="shared" si="31"/>
        <v>0.77499999999999991</v>
      </c>
      <c r="J50">
        <f t="shared" si="32"/>
        <v>1.1000000000000001</v>
      </c>
      <c r="K50">
        <f t="shared" si="32"/>
        <v>2.31</v>
      </c>
      <c r="L50" s="88">
        <f t="shared" si="33"/>
        <v>3.53</v>
      </c>
    </row>
    <row r="51" spans="1:73" ht="15.75" thickBot="1" x14ac:dyDescent="0.3">
      <c r="A51" s="127" t="s">
        <v>130</v>
      </c>
      <c r="B51" s="132" t="s">
        <v>104</v>
      </c>
      <c r="D51" s="135" t="s">
        <v>146</v>
      </c>
      <c r="E51" s="91">
        <f t="shared" si="34"/>
        <v>1.04</v>
      </c>
      <c r="F51" s="93">
        <f t="shared" si="29"/>
        <v>2</v>
      </c>
      <c r="G51" s="93">
        <f t="shared" si="29"/>
        <v>3</v>
      </c>
      <c r="H51" s="94">
        <f t="shared" si="30"/>
        <v>4.5</v>
      </c>
      <c r="I51" s="91">
        <f t="shared" si="31"/>
        <v>1.3599999999999999</v>
      </c>
      <c r="J51" s="93">
        <f t="shared" si="32"/>
        <v>2</v>
      </c>
      <c r="K51" s="93">
        <f t="shared" si="32"/>
        <v>3</v>
      </c>
      <c r="L51" s="94">
        <f t="shared" si="33"/>
        <v>4</v>
      </c>
    </row>
    <row r="52" spans="1:73" x14ac:dyDescent="0.25">
      <c r="A52" s="125" t="s">
        <v>131</v>
      </c>
      <c r="B52" s="130" t="s">
        <v>107</v>
      </c>
      <c r="D52" s="133" t="s">
        <v>141</v>
      </c>
      <c r="E52" s="87">
        <f>E24*F$40+E$40*F24-F24*F$40</f>
        <v>0</v>
      </c>
      <c r="F52">
        <f>F24*F$40</f>
        <v>0</v>
      </c>
      <c r="G52">
        <f>G24*G$40</f>
        <v>0</v>
      </c>
      <c r="H52" s="88">
        <f>G24*H$40+G$40*H24-G24*G$40</f>
        <v>1.21</v>
      </c>
      <c r="I52" s="87">
        <f>I24*J$40+I$40*J24-J24*J$40</f>
        <v>0</v>
      </c>
      <c r="J52">
        <f>J24*J$40</f>
        <v>0</v>
      </c>
      <c r="K52">
        <f>K24*K$40</f>
        <v>0</v>
      </c>
      <c r="L52" s="88">
        <f>K24*L$40+K$40*L24-K24*K$40</f>
        <v>0.82499999999999996</v>
      </c>
    </row>
    <row r="53" spans="1:73" x14ac:dyDescent="0.25">
      <c r="A53" s="126" t="s">
        <v>131</v>
      </c>
      <c r="B53" s="131" t="s">
        <v>106</v>
      </c>
      <c r="D53" s="134" t="s">
        <v>140</v>
      </c>
      <c r="E53" s="87">
        <f t="shared" ref="E53:E55" si="35">E25*F$40+E$40*F25-F25*F$40</f>
        <v>-0.32999999999999996</v>
      </c>
      <c r="F53">
        <f t="shared" ref="F53:G55" si="36">F25*F$40</f>
        <v>0.9900000000000001</v>
      </c>
      <c r="G53">
        <f t="shared" si="36"/>
        <v>2.42</v>
      </c>
      <c r="H53" s="88">
        <f t="shared" ref="H53:H55" si="37">G25*H$40+G$40*H25-G25*G$40</f>
        <v>3.6850000000000005</v>
      </c>
      <c r="I53" s="87">
        <f t="shared" ref="I53:I55" si="38">I25*J$40+I$40*J25-J25*J$40</f>
        <v>4.9999999999999933E-2</v>
      </c>
      <c r="J53">
        <f t="shared" ref="J53:K55" si="39">J25*J$40</f>
        <v>0.9900000000000001</v>
      </c>
      <c r="K53">
        <f t="shared" si="39"/>
        <v>2.42</v>
      </c>
      <c r="L53" s="88">
        <f t="shared" ref="L53:L55" si="40">K25*L$40+K$40*L25-K25*K$40</f>
        <v>3.3000000000000007</v>
      </c>
    </row>
    <row r="54" spans="1:73" x14ac:dyDescent="0.25">
      <c r="A54" s="126" t="s">
        <v>131</v>
      </c>
      <c r="B54" s="131" t="s">
        <v>105</v>
      </c>
      <c r="D54" s="134" t="s">
        <v>142</v>
      </c>
      <c r="E54" s="87">
        <f t="shared" si="35"/>
        <v>1.1550000000000002</v>
      </c>
      <c r="F54">
        <f t="shared" si="36"/>
        <v>2.4750000000000001</v>
      </c>
      <c r="G54">
        <f t="shared" si="36"/>
        <v>4.2350000000000003</v>
      </c>
      <c r="H54" s="88">
        <f t="shared" si="37"/>
        <v>6.6550000000000002</v>
      </c>
      <c r="I54" s="87">
        <f t="shared" si="38"/>
        <v>1.5650000000000008</v>
      </c>
      <c r="J54">
        <f t="shared" si="39"/>
        <v>2.4750000000000001</v>
      </c>
      <c r="K54">
        <f t="shared" si="39"/>
        <v>4.2350000000000003</v>
      </c>
      <c r="L54" s="88">
        <f t="shared" si="40"/>
        <v>5.830000000000001</v>
      </c>
    </row>
    <row r="55" spans="1:73" ht="15.75" thickBot="1" x14ac:dyDescent="0.3">
      <c r="A55" s="127" t="s">
        <v>131</v>
      </c>
      <c r="B55" s="132" t="s">
        <v>104</v>
      </c>
      <c r="D55" s="135" t="s">
        <v>143</v>
      </c>
      <c r="E55" s="91">
        <f t="shared" si="35"/>
        <v>1.9649999999999999</v>
      </c>
      <c r="F55" s="93">
        <f t="shared" si="36"/>
        <v>4.5</v>
      </c>
      <c r="G55" s="93">
        <f t="shared" si="36"/>
        <v>5.5</v>
      </c>
      <c r="H55" s="94">
        <f t="shared" si="37"/>
        <v>7</v>
      </c>
      <c r="I55" s="91">
        <f t="shared" si="38"/>
        <v>2.7349999999999994</v>
      </c>
      <c r="J55" s="93">
        <f t="shared" si="39"/>
        <v>4.5</v>
      </c>
      <c r="K55" s="93">
        <f t="shared" si="39"/>
        <v>5.5</v>
      </c>
      <c r="L55" s="94">
        <f t="shared" si="40"/>
        <v>6.5</v>
      </c>
    </row>
    <row r="58" spans="1:73" ht="18.75" x14ac:dyDescent="0.3">
      <c r="A58" s="149" t="s">
        <v>161</v>
      </c>
      <c r="B58" s="99"/>
      <c r="C58" s="99"/>
    </row>
    <row r="59" spans="1:73" x14ac:dyDescent="0.25">
      <c r="A59" s="1" t="s">
        <v>110</v>
      </c>
      <c r="B59" s="99"/>
      <c r="C59" s="99"/>
    </row>
    <row r="60" spans="1:73" ht="15.75" thickBot="1" x14ac:dyDescent="0.3">
      <c r="A60" s="100" t="s">
        <v>166</v>
      </c>
      <c r="B60" s="99"/>
      <c r="C60" s="99"/>
      <c r="BO60">
        <v>0.8</v>
      </c>
    </row>
    <row r="61" spans="1:73" ht="86.25" customHeight="1" thickBot="1" x14ac:dyDescent="0.3">
      <c r="A61" s="273" t="s">
        <v>85</v>
      </c>
      <c r="B61" s="273" t="s">
        <v>86</v>
      </c>
      <c r="C61" s="277" t="s">
        <v>87</v>
      </c>
      <c r="D61" s="278" t="s">
        <v>127</v>
      </c>
      <c r="E61" s="279"/>
      <c r="F61" s="279"/>
      <c r="G61" s="279" t="s">
        <v>128</v>
      </c>
      <c r="H61" s="279"/>
      <c r="I61" s="279"/>
      <c r="J61" s="286" t="s">
        <v>157</v>
      </c>
      <c r="K61" s="280" t="s">
        <v>150</v>
      </c>
      <c r="L61" s="281"/>
      <c r="M61" s="281"/>
      <c r="N61" s="281"/>
      <c r="O61" s="281"/>
      <c r="P61" s="281"/>
      <c r="Q61" s="281"/>
      <c r="R61" s="282"/>
      <c r="S61" s="280" t="s">
        <v>148</v>
      </c>
      <c r="T61" s="281"/>
      <c r="U61" s="281"/>
      <c r="V61" s="281"/>
      <c r="W61" s="281"/>
      <c r="X61" s="281"/>
      <c r="Y61" s="281"/>
      <c r="Z61" s="282"/>
      <c r="AA61" s="280" t="s">
        <v>149</v>
      </c>
      <c r="AB61" s="281"/>
      <c r="AC61" s="281"/>
      <c r="AD61" s="281"/>
      <c r="AE61" s="281"/>
      <c r="AF61" s="281"/>
      <c r="AG61" s="281"/>
      <c r="AH61" s="282"/>
      <c r="AI61" s="280" t="s">
        <v>147</v>
      </c>
      <c r="AJ61" s="281"/>
      <c r="AK61" s="281"/>
      <c r="AL61" s="281"/>
      <c r="AM61" s="281"/>
      <c r="AN61" s="281"/>
      <c r="AO61" s="281"/>
      <c r="AP61" s="282"/>
      <c r="AQ61" s="280" t="s">
        <v>158</v>
      </c>
      <c r="AR61" s="281"/>
      <c r="AS61" s="281"/>
      <c r="AT61" s="281"/>
      <c r="AU61" s="281"/>
      <c r="AV61" s="281"/>
      <c r="AW61" s="281"/>
      <c r="AX61" s="282"/>
      <c r="AY61" s="280" t="s">
        <v>159</v>
      </c>
      <c r="AZ61" s="281"/>
      <c r="BA61" s="281"/>
      <c r="BB61" s="281"/>
      <c r="BC61" s="281"/>
      <c r="BD61" s="281"/>
      <c r="BE61" s="281"/>
      <c r="BF61" s="282"/>
      <c r="BG61" s="280" t="s">
        <v>205</v>
      </c>
      <c r="BH61" s="281"/>
      <c r="BI61" s="281"/>
      <c r="BJ61" s="281"/>
      <c r="BK61" s="281"/>
      <c r="BL61" s="281"/>
      <c r="BM61" s="281"/>
      <c r="BN61" s="282"/>
      <c r="BO61" s="292" t="s">
        <v>151</v>
      </c>
      <c r="BP61" s="293"/>
      <c r="BQ61" s="293"/>
      <c r="BR61" s="294"/>
      <c r="BS61" s="288" t="s">
        <v>153</v>
      </c>
      <c r="BT61" s="289"/>
      <c r="BU61" s="290" t="s">
        <v>156</v>
      </c>
    </row>
    <row r="62" spans="1:73" s="97" customFormat="1" ht="23.25" customHeight="1" thickBot="1" x14ac:dyDescent="0.3">
      <c r="A62" s="273"/>
      <c r="B62" s="273"/>
      <c r="C62" s="277"/>
      <c r="D62" s="122" t="s">
        <v>114</v>
      </c>
      <c r="E62" s="107" t="s">
        <v>115</v>
      </c>
      <c r="F62" s="107" t="s">
        <v>116</v>
      </c>
      <c r="G62" s="107" t="s">
        <v>114</v>
      </c>
      <c r="H62" s="107" t="s">
        <v>115</v>
      </c>
      <c r="I62" s="107" t="s">
        <v>116</v>
      </c>
      <c r="J62" s="287"/>
      <c r="K62" s="280" t="s">
        <v>17</v>
      </c>
      <c r="L62" s="281"/>
      <c r="M62" s="281"/>
      <c r="N62" s="282"/>
      <c r="O62" s="280" t="s">
        <v>18</v>
      </c>
      <c r="P62" s="281"/>
      <c r="Q62" s="281"/>
      <c r="R62" s="282"/>
      <c r="S62" s="280" t="s">
        <v>17</v>
      </c>
      <c r="T62" s="281"/>
      <c r="U62" s="281"/>
      <c r="V62" s="282"/>
      <c r="W62" s="280" t="s">
        <v>18</v>
      </c>
      <c r="X62" s="281"/>
      <c r="Y62" s="281"/>
      <c r="Z62" s="282"/>
      <c r="AA62" s="280" t="s">
        <v>17</v>
      </c>
      <c r="AB62" s="281"/>
      <c r="AC62" s="281"/>
      <c r="AD62" s="282"/>
      <c r="AE62" s="280" t="s">
        <v>18</v>
      </c>
      <c r="AF62" s="281"/>
      <c r="AG62" s="281"/>
      <c r="AH62" s="282"/>
      <c r="AI62" s="280" t="s">
        <v>17</v>
      </c>
      <c r="AJ62" s="281"/>
      <c r="AK62" s="281"/>
      <c r="AL62" s="282"/>
      <c r="AM62" s="280" t="s">
        <v>18</v>
      </c>
      <c r="AN62" s="281"/>
      <c r="AO62" s="281"/>
      <c r="AP62" s="282"/>
      <c r="AQ62" s="280" t="s">
        <v>17</v>
      </c>
      <c r="AR62" s="281"/>
      <c r="AS62" s="281"/>
      <c r="AT62" s="282"/>
      <c r="AU62" s="280" t="s">
        <v>18</v>
      </c>
      <c r="AV62" s="281"/>
      <c r="AW62" s="281"/>
      <c r="AX62" s="282"/>
      <c r="AY62" s="280" t="s">
        <v>17</v>
      </c>
      <c r="AZ62" s="281"/>
      <c r="BA62" s="281"/>
      <c r="BB62" s="282"/>
      <c r="BC62" s="280" t="s">
        <v>18</v>
      </c>
      <c r="BD62" s="281"/>
      <c r="BE62" s="281"/>
      <c r="BF62" s="282"/>
      <c r="BG62" s="280" t="s">
        <v>17</v>
      </c>
      <c r="BH62" s="281"/>
      <c r="BI62" s="281"/>
      <c r="BJ62" s="282"/>
      <c r="BK62" s="280" t="s">
        <v>18</v>
      </c>
      <c r="BL62" s="281"/>
      <c r="BM62" s="281"/>
      <c r="BN62" s="282"/>
      <c r="BO62" s="295" t="s">
        <v>152</v>
      </c>
      <c r="BP62" s="296"/>
      <c r="BQ62" s="295" t="s">
        <v>26</v>
      </c>
      <c r="BR62" s="297"/>
      <c r="BS62" s="145" t="s">
        <v>154</v>
      </c>
      <c r="BT62" s="145" t="s">
        <v>155</v>
      </c>
      <c r="BU62" s="291"/>
    </row>
    <row r="63" spans="1:73" ht="30" x14ac:dyDescent="0.25">
      <c r="A63" s="102" t="s">
        <v>8</v>
      </c>
      <c r="B63" s="102" t="s">
        <v>84</v>
      </c>
      <c r="C63" s="121" t="s">
        <v>72</v>
      </c>
      <c r="D63" s="156" t="s">
        <v>106</v>
      </c>
      <c r="E63" s="156" t="s">
        <v>105</v>
      </c>
      <c r="F63" s="156" t="s">
        <v>104</v>
      </c>
      <c r="G63" s="110">
        <f>IF(D63=$A$76,$B$76,(IF(D63=$A$77,$B$77,IF(D63=$A$78,$B$78,$B$79))))</f>
        <v>0.33</v>
      </c>
      <c r="H63" s="110">
        <f t="shared" ref="H63:I63" si="41">IF(E63=$A$76,$B$76,(IF(E63=$A$77,$B$77,IF(E63=$A$78,$B$78,$B$79))))</f>
        <v>0.66</v>
      </c>
      <c r="I63" s="110">
        <f t="shared" si="41"/>
        <v>1</v>
      </c>
      <c r="J63" s="147">
        <f>G63*$D$90+H63*$D$91+I63*$D$92</f>
        <v>12.425000000000001</v>
      </c>
      <c r="K63" s="81">
        <v>0</v>
      </c>
      <c r="L63" s="83">
        <v>0.22000000000000003</v>
      </c>
      <c r="M63" s="83">
        <v>0.44</v>
      </c>
      <c r="N63" s="84">
        <v>0.55000000000000004</v>
      </c>
      <c r="O63" s="81">
        <v>0.06</v>
      </c>
      <c r="P63" s="83">
        <v>0.22000000000000003</v>
      </c>
      <c r="Q63" s="83">
        <v>0.44</v>
      </c>
      <c r="R63" s="84">
        <v>0.52</v>
      </c>
      <c r="S63" s="81">
        <v>0.44000000000000006</v>
      </c>
      <c r="T63" s="83">
        <v>0.55000000000000004</v>
      </c>
      <c r="U63" s="83">
        <v>0.77</v>
      </c>
      <c r="V63" s="84">
        <v>1</v>
      </c>
      <c r="W63" s="81">
        <v>0.47000000000000003</v>
      </c>
      <c r="X63" s="83">
        <v>0.55000000000000004</v>
      </c>
      <c r="Y63" s="83">
        <v>0.77</v>
      </c>
      <c r="Z63" s="84">
        <v>0.92</v>
      </c>
      <c r="AA63" s="81">
        <v>0.77</v>
      </c>
      <c r="AB63" s="83">
        <v>1</v>
      </c>
      <c r="AC63" s="83">
        <v>1</v>
      </c>
      <c r="AD63" s="84">
        <v>1</v>
      </c>
      <c r="AE63" s="81">
        <v>0.83</v>
      </c>
      <c r="AF63" s="83">
        <v>1</v>
      </c>
      <c r="AG63" s="83">
        <v>1</v>
      </c>
      <c r="AH63" s="84">
        <v>1</v>
      </c>
      <c r="AI63" s="81">
        <v>-0.33000000000000007</v>
      </c>
      <c r="AJ63" s="83">
        <v>1.5400000000000003</v>
      </c>
      <c r="AK63" s="83">
        <v>3.52</v>
      </c>
      <c r="AL63" s="84">
        <v>5.0600000000000005</v>
      </c>
      <c r="AM63" s="81">
        <v>0.19999999999999996</v>
      </c>
      <c r="AN63" s="83">
        <v>1.5400000000000003</v>
      </c>
      <c r="AO63" s="83">
        <v>3.52</v>
      </c>
      <c r="AP63" s="84">
        <v>4.6000000000000014</v>
      </c>
      <c r="AQ63" s="81">
        <v>2.2549999999999999</v>
      </c>
      <c r="AR63" s="83">
        <v>3.8500000000000005</v>
      </c>
      <c r="AS63" s="83">
        <v>6.16</v>
      </c>
      <c r="AT63" s="83">
        <v>9.1550000000000011</v>
      </c>
      <c r="AU63" s="81">
        <v>2.7399999999999993</v>
      </c>
      <c r="AV63" s="83">
        <v>3.8500000000000005</v>
      </c>
      <c r="AW63" s="83">
        <v>6.16</v>
      </c>
      <c r="AX63" s="84">
        <v>8.129999999999999</v>
      </c>
      <c r="AY63" s="81">
        <v>1.9649999999999999</v>
      </c>
      <c r="AZ63" s="83">
        <v>4.5</v>
      </c>
      <c r="BA63" s="83">
        <v>5.5</v>
      </c>
      <c r="BB63" s="83">
        <v>7</v>
      </c>
      <c r="BC63" s="81">
        <v>2.7349999999999994</v>
      </c>
      <c r="BD63" s="83">
        <v>4.5</v>
      </c>
      <c r="BE63" s="83">
        <v>5.5</v>
      </c>
      <c r="BF63" s="84">
        <v>6.5</v>
      </c>
      <c r="BG63" s="81">
        <f>AI63+AQ63+AY63</f>
        <v>3.8899999999999997</v>
      </c>
      <c r="BH63" s="83">
        <f t="shared" ref="BH63:BH72" si="42">AJ63+AR63+AZ63</f>
        <v>9.89</v>
      </c>
      <c r="BI63" s="83">
        <f t="shared" ref="BI63:BI72" si="43">AK63+AS63+BA63</f>
        <v>15.18</v>
      </c>
      <c r="BJ63" s="83">
        <f t="shared" ref="BJ63:BJ72" si="44">AL63+AT63+BB63</f>
        <v>21.215000000000003</v>
      </c>
      <c r="BK63" s="81">
        <f t="shared" ref="BK63:BK72" si="45">AM63+AU63+BC63</f>
        <v>5.6749999999999989</v>
      </c>
      <c r="BL63" s="83">
        <f t="shared" ref="BL63:BL72" si="46">AN63+AV63+BD63</f>
        <v>9.89</v>
      </c>
      <c r="BM63" s="83">
        <f t="shared" ref="BM63:BM72" si="47">AO63+AW63+BE63</f>
        <v>15.18</v>
      </c>
      <c r="BN63" s="83">
        <f t="shared" ref="BN63:BN72" si="48">AP63+AX63+BF63</f>
        <v>19.23</v>
      </c>
      <c r="BO63" s="136">
        <f>BO$8*BH63+(1-BO$8)*BG63</f>
        <v>8.6900000000000013</v>
      </c>
      <c r="BP63" s="142">
        <f>BO$8*BI63+(1-BO$8)*BJ63</f>
        <v>16.387</v>
      </c>
      <c r="BQ63" s="136">
        <f>BO$8*BL63+(1-BO$8)*BK63</f>
        <v>9.0470000000000006</v>
      </c>
      <c r="BR63" s="137">
        <f>BO$8*BM63+(1-BO$8)*BN63</f>
        <v>15.989999999999998</v>
      </c>
      <c r="BS63" s="81">
        <f>(BO63+BP63)/2</f>
        <v>12.538500000000001</v>
      </c>
      <c r="BT63" s="84">
        <f>(BQ63+BR63)/2</f>
        <v>12.5185</v>
      </c>
      <c r="BU63" s="133">
        <f>(BS63+BT63)/2</f>
        <v>12.528500000000001</v>
      </c>
    </row>
    <row r="64" spans="1:73" x14ac:dyDescent="0.25">
      <c r="A64" s="102" t="s">
        <v>9</v>
      </c>
      <c r="B64" s="102" t="s">
        <v>73</v>
      </c>
      <c r="C64" s="121" t="s">
        <v>88</v>
      </c>
      <c r="D64" s="156" t="s">
        <v>106</v>
      </c>
      <c r="E64" s="156" t="s">
        <v>106</v>
      </c>
      <c r="F64" s="156" t="s">
        <v>105</v>
      </c>
      <c r="G64" s="110">
        <f t="shared" ref="G64:G72" si="49">IF(D64=$A$76,$B$76,(IF(D64=$A$77,$B$77,IF(D64=$A$78,$B$78,$B$79))))</f>
        <v>0.33</v>
      </c>
      <c r="H64" s="110">
        <f t="shared" ref="H64:H72" si="50">IF(E64=$A$76,$B$76,(IF(E64=$A$77,$B$77,IF(E64=$A$78,$B$78,$B$79))))</f>
        <v>0.33</v>
      </c>
      <c r="I64" s="110">
        <f t="shared" ref="I64:I72" si="51">IF(F64=$A$76,$B$76,(IF(F64=$A$77,$B$77,IF(F64=$A$78,$B$78,$B$79))))</f>
        <v>0.66</v>
      </c>
      <c r="J64" s="147">
        <f t="shared" ref="J64:J72" si="52">G64*$D$90+H64*$D$91+I64*$D$92</f>
        <v>8.25</v>
      </c>
      <c r="K64" s="87">
        <v>0</v>
      </c>
      <c r="L64">
        <v>0.22000000000000003</v>
      </c>
      <c r="M64">
        <v>0.44</v>
      </c>
      <c r="N64" s="88">
        <v>0.55000000000000004</v>
      </c>
      <c r="O64" s="87">
        <v>0.06</v>
      </c>
      <c r="P64">
        <v>0.22000000000000003</v>
      </c>
      <c r="Q64">
        <v>0.44</v>
      </c>
      <c r="R64" s="88">
        <v>0.52</v>
      </c>
      <c r="S64" s="87">
        <v>0</v>
      </c>
      <c r="T64">
        <v>0.22000000000000003</v>
      </c>
      <c r="U64">
        <v>0.44</v>
      </c>
      <c r="V64" s="88">
        <v>0.55000000000000004</v>
      </c>
      <c r="W64" s="87">
        <v>0.06</v>
      </c>
      <c r="X64">
        <v>0.22000000000000003</v>
      </c>
      <c r="Y64">
        <v>0.44</v>
      </c>
      <c r="Z64" s="88">
        <v>0.52</v>
      </c>
      <c r="AA64" s="87">
        <v>0.44000000000000006</v>
      </c>
      <c r="AB64">
        <v>0.55000000000000004</v>
      </c>
      <c r="AC64">
        <v>0.77</v>
      </c>
      <c r="AD64" s="88">
        <v>1</v>
      </c>
      <c r="AE64" s="87">
        <v>0.47000000000000003</v>
      </c>
      <c r="AF64">
        <v>0.55000000000000004</v>
      </c>
      <c r="AG64">
        <v>0.77</v>
      </c>
      <c r="AH64" s="88">
        <v>0.92</v>
      </c>
      <c r="AI64" s="87">
        <v>-0.33000000000000007</v>
      </c>
      <c r="AJ64">
        <v>1.5400000000000003</v>
      </c>
      <c r="AK64">
        <v>3.52</v>
      </c>
      <c r="AL64" s="88">
        <v>5.0600000000000005</v>
      </c>
      <c r="AM64" s="87">
        <v>0.19999999999999996</v>
      </c>
      <c r="AN64">
        <v>1.5400000000000003</v>
      </c>
      <c r="AO64">
        <v>3.52</v>
      </c>
      <c r="AP64" s="88">
        <v>4.6000000000000014</v>
      </c>
      <c r="AQ64" s="87">
        <v>-0.33000000000000007</v>
      </c>
      <c r="AR64">
        <v>1.5400000000000003</v>
      </c>
      <c r="AS64">
        <v>3.52</v>
      </c>
      <c r="AT64">
        <v>5.0600000000000005</v>
      </c>
      <c r="AU64" s="87">
        <v>0.19999999999999996</v>
      </c>
      <c r="AV64">
        <v>1.5400000000000003</v>
      </c>
      <c r="AW64">
        <v>3.52</v>
      </c>
      <c r="AX64" s="88">
        <v>4.6000000000000014</v>
      </c>
      <c r="AY64" s="87">
        <v>1.1550000000000002</v>
      </c>
      <c r="AZ64">
        <v>2.4750000000000001</v>
      </c>
      <c r="BA64">
        <v>4.2350000000000003</v>
      </c>
      <c r="BB64">
        <v>6.6550000000000002</v>
      </c>
      <c r="BC64" s="87">
        <v>1.5650000000000008</v>
      </c>
      <c r="BD64">
        <v>2.4750000000000001</v>
      </c>
      <c r="BE64">
        <v>4.2350000000000003</v>
      </c>
      <c r="BF64" s="88">
        <v>5.830000000000001</v>
      </c>
      <c r="BG64" s="87">
        <f t="shared" ref="BG64:BG72" si="53">AI64+AQ64+AY64</f>
        <v>0.49500000000000011</v>
      </c>
      <c r="BH64">
        <f t="shared" si="42"/>
        <v>5.5550000000000006</v>
      </c>
      <c r="BI64">
        <f t="shared" si="43"/>
        <v>11.275</v>
      </c>
      <c r="BJ64">
        <f t="shared" si="44"/>
        <v>16.775000000000002</v>
      </c>
      <c r="BK64" s="87">
        <f t="shared" si="45"/>
        <v>1.9650000000000007</v>
      </c>
      <c r="BL64">
        <f t="shared" si="46"/>
        <v>5.5550000000000006</v>
      </c>
      <c r="BM64">
        <f t="shared" si="47"/>
        <v>11.275</v>
      </c>
      <c r="BN64">
        <f t="shared" si="48"/>
        <v>15.030000000000005</v>
      </c>
      <c r="BO64" s="138">
        <f t="shared" ref="BO64:BO72" si="54">BO$8*BH64+(1-BO$8)*BG64</f>
        <v>4.543000000000001</v>
      </c>
      <c r="BP64" s="143">
        <f t="shared" ref="BP64:BP72" si="55">BO$8*BI64+(1-BO$8)*BJ64</f>
        <v>12.375</v>
      </c>
      <c r="BQ64" s="138">
        <f t="shared" ref="BQ64:BQ72" si="56">BO$8*BL64+(1-BO$8)*BK64</f>
        <v>4.8370000000000006</v>
      </c>
      <c r="BR64" s="139">
        <f t="shared" ref="BR64:BR72" si="57">BO$8*BM64+(1-BO$8)*BN64</f>
        <v>12.026000000000002</v>
      </c>
      <c r="BS64" s="87">
        <f t="shared" ref="BS64:BS72" si="58">(BO64+BP64)/2</f>
        <v>8.4589999999999996</v>
      </c>
      <c r="BT64" s="88">
        <f t="shared" ref="BT64:BT72" si="59">(BQ64+BR64)/2</f>
        <v>8.4315000000000015</v>
      </c>
      <c r="BU64" s="134">
        <f t="shared" ref="BU64:BU72" si="60">(BS64+BT64)/2</f>
        <v>8.4452500000000015</v>
      </c>
    </row>
    <row r="65" spans="1:73" x14ac:dyDescent="0.25">
      <c r="A65" s="102" t="s">
        <v>10</v>
      </c>
      <c r="B65" s="102" t="s">
        <v>74</v>
      </c>
      <c r="C65" s="121" t="s">
        <v>89</v>
      </c>
      <c r="D65" s="156" t="s">
        <v>105</v>
      </c>
      <c r="E65" s="156" t="s">
        <v>104</v>
      </c>
      <c r="F65" s="156" t="s">
        <v>105</v>
      </c>
      <c r="G65" s="110">
        <f t="shared" si="49"/>
        <v>0.66</v>
      </c>
      <c r="H65" s="110">
        <f t="shared" si="50"/>
        <v>1</v>
      </c>
      <c r="I65" s="110">
        <f t="shared" si="51"/>
        <v>0.66</v>
      </c>
      <c r="J65" s="147">
        <f t="shared" si="52"/>
        <v>15.75</v>
      </c>
      <c r="K65" s="87">
        <v>0.44000000000000006</v>
      </c>
      <c r="L65">
        <v>0.55000000000000004</v>
      </c>
      <c r="M65">
        <v>0.77</v>
      </c>
      <c r="N65" s="88">
        <v>1</v>
      </c>
      <c r="O65" s="87">
        <v>0.47000000000000003</v>
      </c>
      <c r="P65">
        <v>0.55000000000000004</v>
      </c>
      <c r="Q65">
        <v>0.77</v>
      </c>
      <c r="R65" s="88">
        <v>0.92</v>
      </c>
      <c r="S65" s="87">
        <v>0.77</v>
      </c>
      <c r="T65">
        <v>1</v>
      </c>
      <c r="U65">
        <v>1</v>
      </c>
      <c r="V65" s="88">
        <v>1</v>
      </c>
      <c r="W65" s="87">
        <v>0.83</v>
      </c>
      <c r="X65">
        <v>1</v>
      </c>
      <c r="Y65">
        <v>1</v>
      </c>
      <c r="Z65" s="88">
        <v>1</v>
      </c>
      <c r="AA65" s="87">
        <v>0.44000000000000006</v>
      </c>
      <c r="AB65">
        <v>0.55000000000000004</v>
      </c>
      <c r="AC65">
        <v>0.77</v>
      </c>
      <c r="AD65" s="88">
        <v>1</v>
      </c>
      <c r="AE65" s="87">
        <v>0.47000000000000003</v>
      </c>
      <c r="AF65">
        <v>0.55000000000000004</v>
      </c>
      <c r="AG65">
        <v>0.77</v>
      </c>
      <c r="AH65" s="88">
        <v>0.92</v>
      </c>
      <c r="AI65" s="87">
        <v>2.2549999999999999</v>
      </c>
      <c r="AJ65">
        <v>3.8500000000000005</v>
      </c>
      <c r="AK65">
        <v>6.16</v>
      </c>
      <c r="AL65" s="88">
        <v>9.1550000000000011</v>
      </c>
      <c r="AM65" s="87">
        <v>2.7399999999999993</v>
      </c>
      <c r="AN65">
        <v>3.8500000000000005</v>
      </c>
      <c r="AO65">
        <v>6.16</v>
      </c>
      <c r="AP65" s="88">
        <v>8.129999999999999</v>
      </c>
      <c r="AQ65" s="87">
        <v>3.8900000000000006</v>
      </c>
      <c r="AR65">
        <v>7</v>
      </c>
      <c r="AS65">
        <v>8</v>
      </c>
      <c r="AT65">
        <v>9.5</v>
      </c>
      <c r="AU65" s="87">
        <v>4.8099999999999987</v>
      </c>
      <c r="AV65">
        <v>7</v>
      </c>
      <c r="AW65">
        <v>8</v>
      </c>
      <c r="AX65" s="88">
        <v>9</v>
      </c>
      <c r="AY65" s="87">
        <v>1.1550000000000002</v>
      </c>
      <c r="AZ65">
        <v>2.4750000000000001</v>
      </c>
      <c r="BA65">
        <v>4.2350000000000003</v>
      </c>
      <c r="BB65">
        <v>6.6550000000000002</v>
      </c>
      <c r="BC65" s="87">
        <v>1.5650000000000008</v>
      </c>
      <c r="BD65">
        <v>2.4750000000000001</v>
      </c>
      <c r="BE65">
        <v>4.2350000000000003</v>
      </c>
      <c r="BF65" s="88">
        <v>5.830000000000001</v>
      </c>
      <c r="BG65" s="87">
        <f t="shared" si="53"/>
        <v>7.3000000000000007</v>
      </c>
      <c r="BH65">
        <f t="shared" si="42"/>
        <v>13.325000000000001</v>
      </c>
      <c r="BI65">
        <f t="shared" si="43"/>
        <v>18.395</v>
      </c>
      <c r="BJ65">
        <f t="shared" si="44"/>
        <v>25.310000000000002</v>
      </c>
      <c r="BK65" s="87">
        <f t="shared" si="45"/>
        <v>9.1149999999999984</v>
      </c>
      <c r="BL65">
        <f t="shared" si="46"/>
        <v>13.325000000000001</v>
      </c>
      <c r="BM65">
        <f t="shared" si="47"/>
        <v>18.395</v>
      </c>
      <c r="BN65">
        <f t="shared" si="48"/>
        <v>22.96</v>
      </c>
      <c r="BO65" s="138">
        <f t="shared" si="54"/>
        <v>12.120000000000001</v>
      </c>
      <c r="BP65" s="143">
        <f t="shared" si="55"/>
        <v>19.777999999999999</v>
      </c>
      <c r="BQ65" s="138">
        <f t="shared" si="56"/>
        <v>12.483000000000001</v>
      </c>
      <c r="BR65" s="139">
        <f t="shared" si="57"/>
        <v>19.308</v>
      </c>
      <c r="BS65" s="87">
        <f t="shared" si="58"/>
        <v>15.949</v>
      </c>
      <c r="BT65" s="88">
        <f t="shared" si="59"/>
        <v>15.8955</v>
      </c>
      <c r="BU65" s="134">
        <f t="shared" si="60"/>
        <v>15.92225</v>
      </c>
    </row>
    <row r="66" spans="1:73" x14ac:dyDescent="0.25">
      <c r="A66" s="102" t="s">
        <v>65</v>
      </c>
      <c r="B66" s="102" t="s">
        <v>75</v>
      </c>
      <c r="C66" s="121" t="s">
        <v>76</v>
      </c>
      <c r="D66" s="156" t="s">
        <v>104</v>
      </c>
      <c r="E66" s="156" t="s">
        <v>105</v>
      </c>
      <c r="F66" s="156" t="s">
        <v>106</v>
      </c>
      <c r="G66" s="110">
        <f t="shared" si="49"/>
        <v>1</v>
      </c>
      <c r="H66" s="110">
        <f t="shared" si="50"/>
        <v>0.66</v>
      </c>
      <c r="I66" s="110">
        <f t="shared" si="51"/>
        <v>0.33</v>
      </c>
      <c r="J66" s="147">
        <f t="shared" si="52"/>
        <v>14.1</v>
      </c>
      <c r="K66" s="87">
        <v>0.77</v>
      </c>
      <c r="L66">
        <v>1</v>
      </c>
      <c r="M66">
        <v>1</v>
      </c>
      <c r="N66" s="88">
        <v>1</v>
      </c>
      <c r="O66" s="87">
        <v>0.83</v>
      </c>
      <c r="P66">
        <v>1</v>
      </c>
      <c r="Q66">
        <v>1</v>
      </c>
      <c r="R66" s="88">
        <v>1</v>
      </c>
      <c r="S66" s="87">
        <v>0.44000000000000006</v>
      </c>
      <c r="T66">
        <v>0.55000000000000004</v>
      </c>
      <c r="U66">
        <v>0.77</v>
      </c>
      <c r="V66" s="88">
        <v>1</v>
      </c>
      <c r="W66" s="87">
        <v>0.47000000000000003</v>
      </c>
      <c r="X66">
        <v>0.55000000000000004</v>
      </c>
      <c r="Y66">
        <v>0.77</v>
      </c>
      <c r="Z66" s="88">
        <v>0.92</v>
      </c>
      <c r="AA66" s="87">
        <v>0</v>
      </c>
      <c r="AB66">
        <v>0.22000000000000003</v>
      </c>
      <c r="AC66">
        <v>0.44</v>
      </c>
      <c r="AD66" s="88">
        <v>0.55000000000000004</v>
      </c>
      <c r="AE66" s="87">
        <v>0.06</v>
      </c>
      <c r="AF66">
        <v>0.22000000000000003</v>
      </c>
      <c r="AG66">
        <v>0.44</v>
      </c>
      <c r="AH66" s="88">
        <v>0.52</v>
      </c>
      <c r="AI66" s="87">
        <v>3.8900000000000006</v>
      </c>
      <c r="AJ66">
        <v>7</v>
      </c>
      <c r="AK66">
        <v>8</v>
      </c>
      <c r="AL66" s="88">
        <v>9.5</v>
      </c>
      <c r="AM66" s="87">
        <v>4.8099999999999987</v>
      </c>
      <c r="AN66">
        <v>7</v>
      </c>
      <c r="AO66">
        <v>8</v>
      </c>
      <c r="AP66" s="88">
        <v>9</v>
      </c>
      <c r="AQ66" s="87">
        <v>2.2549999999999999</v>
      </c>
      <c r="AR66">
        <v>3.8500000000000005</v>
      </c>
      <c r="AS66">
        <v>6.16</v>
      </c>
      <c r="AT66">
        <v>9.1550000000000011</v>
      </c>
      <c r="AU66" s="87">
        <v>2.7399999999999993</v>
      </c>
      <c r="AV66">
        <v>3.8500000000000005</v>
      </c>
      <c r="AW66">
        <v>6.16</v>
      </c>
      <c r="AX66" s="88">
        <v>8.129999999999999</v>
      </c>
      <c r="AY66" s="87">
        <v>-0.32999999999999996</v>
      </c>
      <c r="AZ66">
        <v>0.9900000000000001</v>
      </c>
      <c r="BA66">
        <v>2.42</v>
      </c>
      <c r="BB66">
        <v>3.6850000000000005</v>
      </c>
      <c r="BC66" s="87">
        <v>4.9999999999999933E-2</v>
      </c>
      <c r="BD66">
        <v>0.9900000000000001</v>
      </c>
      <c r="BE66">
        <v>2.42</v>
      </c>
      <c r="BF66" s="88">
        <v>3.3000000000000007</v>
      </c>
      <c r="BG66" s="87">
        <f t="shared" si="53"/>
        <v>5.8150000000000004</v>
      </c>
      <c r="BH66">
        <f t="shared" si="42"/>
        <v>11.840000000000002</v>
      </c>
      <c r="BI66">
        <f t="shared" si="43"/>
        <v>16.579999999999998</v>
      </c>
      <c r="BJ66">
        <f t="shared" si="44"/>
        <v>22.340000000000003</v>
      </c>
      <c r="BK66" s="87">
        <f t="shared" si="45"/>
        <v>7.5999999999999979</v>
      </c>
      <c r="BL66">
        <f t="shared" si="46"/>
        <v>11.840000000000002</v>
      </c>
      <c r="BM66">
        <f t="shared" si="47"/>
        <v>16.579999999999998</v>
      </c>
      <c r="BN66">
        <f t="shared" si="48"/>
        <v>20.43</v>
      </c>
      <c r="BO66" s="138">
        <f t="shared" si="54"/>
        <v>10.635000000000002</v>
      </c>
      <c r="BP66" s="143">
        <f t="shared" si="55"/>
        <v>17.731999999999999</v>
      </c>
      <c r="BQ66" s="138">
        <f t="shared" si="56"/>
        <v>10.992000000000001</v>
      </c>
      <c r="BR66" s="139">
        <f t="shared" si="57"/>
        <v>17.349999999999998</v>
      </c>
      <c r="BS66" s="87">
        <f t="shared" si="58"/>
        <v>14.1835</v>
      </c>
      <c r="BT66" s="88">
        <f t="shared" si="59"/>
        <v>14.170999999999999</v>
      </c>
      <c r="BU66" s="134">
        <f t="shared" si="60"/>
        <v>14.177250000000001</v>
      </c>
    </row>
    <row r="67" spans="1:73" ht="30" x14ac:dyDescent="0.25">
      <c r="A67" s="102" t="s">
        <v>66</v>
      </c>
      <c r="B67" s="102" t="s">
        <v>77</v>
      </c>
      <c r="C67" s="121" t="s">
        <v>90</v>
      </c>
      <c r="D67" s="156" t="s">
        <v>105</v>
      </c>
      <c r="E67" s="156" t="s">
        <v>104</v>
      </c>
      <c r="F67" s="156" t="s">
        <v>105</v>
      </c>
      <c r="G67" s="110">
        <f t="shared" si="49"/>
        <v>0.66</v>
      </c>
      <c r="H67" s="110">
        <f t="shared" si="50"/>
        <v>1</v>
      </c>
      <c r="I67" s="110">
        <f t="shared" si="51"/>
        <v>0.66</v>
      </c>
      <c r="J67" s="147">
        <f t="shared" si="52"/>
        <v>15.75</v>
      </c>
      <c r="K67" s="87">
        <v>0.44000000000000006</v>
      </c>
      <c r="L67">
        <v>0.55000000000000004</v>
      </c>
      <c r="M67">
        <v>0.77</v>
      </c>
      <c r="N67" s="88">
        <v>1</v>
      </c>
      <c r="O67" s="87">
        <v>0.47000000000000003</v>
      </c>
      <c r="P67">
        <v>0.55000000000000004</v>
      </c>
      <c r="Q67">
        <v>0.77</v>
      </c>
      <c r="R67" s="88">
        <v>0.92</v>
      </c>
      <c r="S67" s="87">
        <v>0.77</v>
      </c>
      <c r="T67">
        <v>1</v>
      </c>
      <c r="U67">
        <v>1</v>
      </c>
      <c r="V67" s="88">
        <v>1</v>
      </c>
      <c r="W67" s="87">
        <v>0.83</v>
      </c>
      <c r="X67">
        <v>1</v>
      </c>
      <c r="Y67">
        <v>1</v>
      </c>
      <c r="Z67" s="88">
        <v>1</v>
      </c>
      <c r="AA67" s="87">
        <v>0.44000000000000006</v>
      </c>
      <c r="AB67">
        <v>0.55000000000000004</v>
      </c>
      <c r="AC67">
        <v>0.77</v>
      </c>
      <c r="AD67" s="88">
        <v>1</v>
      </c>
      <c r="AE67" s="87">
        <v>0.47000000000000003</v>
      </c>
      <c r="AF67">
        <v>0.55000000000000004</v>
      </c>
      <c r="AG67">
        <v>0.77</v>
      </c>
      <c r="AH67" s="88">
        <v>0.92</v>
      </c>
      <c r="AI67" s="87">
        <v>2.2549999999999999</v>
      </c>
      <c r="AJ67">
        <v>3.8500000000000005</v>
      </c>
      <c r="AK67">
        <v>6.16</v>
      </c>
      <c r="AL67" s="88">
        <v>9.1550000000000011</v>
      </c>
      <c r="AM67" s="87">
        <v>2.7399999999999993</v>
      </c>
      <c r="AN67">
        <v>3.8500000000000005</v>
      </c>
      <c r="AO67">
        <v>6.16</v>
      </c>
      <c r="AP67" s="88">
        <v>8.129999999999999</v>
      </c>
      <c r="AQ67" s="87">
        <v>3.8900000000000006</v>
      </c>
      <c r="AR67">
        <v>7</v>
      </c>
      <c r="AS67">
        <v>8</v>
      </c>
      <c r="AT67">
        <v>9.5</v>
      </c>
      <c r="AU67" s="87">
        <v>4.8099999999999987</v>
      </c>
      <c r="AV67">
        <v>7</v>
      </c>
      <c r="AW67">
        <v>8</v>
      </c>
      <c r="AX67" s="88">
        <v>9</v>
      </c>
      <c r="AY67" s="87">
        <v>1.1550000000000002</v>
      </c>
      <c r="AZ67">
        <v>2.4750000000000001</v>
      </c>
      <c r="BA67">
        <v>4.2350000000000003</v>
      </c>
      <c r="BB67">
        <v>6.6550000000000002</v>
      </c>
      <c r="BC67" s="87">
        <v>1.5650000000000008</v>
      </c>
      <c r="BD67">
        <v>2.4750000000000001</v>
      </c>
      <c r="BE67">
        <v>4.2350000000000003</v>
      </c>
      <c r="BF67" s="88">
        <v>5.830000000000001</v>
      </c>
      <c r="BG67" s="87">
        <f t="shared" si="53"/>
        <v>7.3000000000000007</v>
      </c>
      <c r="BH67">
        <f t="shared" si="42"/>
        <v>13.325000000000001</v>
      </c>
      <c r="BI67">
        <f t="shared" si="43"/>
        <v>18.395</v>
      </c>
      <c r="BJ67">
        <f t="shared" si="44"/>
        <v>25.310000000000002</v>
      </c>
      <c r="BK67" s="87">
        <f t="shared" si="45"/>
        <v>9.1149999999999984</v>
      </c>
      <c r="BL67">
        <f t="shared" si="46"/>
        <v>13.325000000000001</v>
      </c>
      <c r="BM67">
        <f t="shared" si="47"/>
        <v>18.395</v>
      </c>
      <c r="BN67">
        <f t="shared" si="48"/>
        <v>22.96</v>
      </c>
      <c r="BO67" s="138">
        <f t="shared" si="54"/>
        <v>12.120000000000001</v>
      </c>
      <c r="BP67" s="143">
        <f t="shared" si="55"/>
        <v>19.777999999999999</v>
      </c>
      <c r="BQ67" s="138">
        <f t="shared" si="56"/>
        <v>12.483000000000001</v>
      </c>
      <c r="BR67" s="139">
        <f t="shared" si="57"/>
        <v>19.308</v>
      </c>
      <c r="BS67" s="87">
        <f t="shared" si="58"/>
        <v>15.949</v>
      </c>
      <c r="BT67" s="88">
        <f t="shared" si="59"/>
        <v>15.8955</v>
      </c>
      <c r="BU67" s="134">
        <f t="shared" si="60"/>
        <v>15.92225</v>
      </c>
    </row>
    <row r="68" spans="1:73" x14ac:dyDescent="0.25">
      <c r="A68" s="102" t="s">
        <v>67</v>
      </c>
      <c r="B68" s="102" t="s">
        <v>78</v>
      </c>
      <c r="C68" s="121" t="s">
        <v>91</v>
      </c>
      <c r="D68" s="156" t="s">
        <v>104</v>
      </c>
      <c r="E68" s="156" t="s">
        <v>105</v>
      </c>
      <c r="F68" s="156" t="s">
        <v>106</v>
      </c>
      <c r="G68" s="110">
        <f t="shared" si="49"/>
        <v>1</v>
      </c>
      <c r="H68" s="110">
        <f t="shared" si="50"/>
        <v>0.66</v>
      </c>
      <c r="I68" s="110">
        <f t="shared" si="51"/>
        <v>0.33</v>
      </c>
      <c r="J68" s="147">
        <f t="shared" si="52"/>
        <v>14.1</v>
      </c>
      <c r="K68" s="87">
        <v>0.77</v>
      </c>
      <c r="L68">
        <v>1</v>
      </c>
      <c r="M68">
        <v>1</v>
      </c>
      <c r="N68" s="88">
        <v>1</v>
      </c>
      <c r="O68" s="87">
        <v>0.83</v>
      </c>
      <c r="P68">
        <v>1</v>
      </c>
      <c r="Q68">
        <v>1</v>
      </c>
      <c r="R68" s="88">
        <v>1</v>
      </c>
      <c r="S68" s="87">
        <v>0.44000000000000006</v>
      </c>
      <c r="T68">
        <v>0.55000000000000004</v>
      </c>
      <c r="U68">
        <v>0.77</v>
      </c>
      <c r="V68" s="88">
        <v>1</v>
      </c>
      <c r="W68" s="87">
        <v>0.47000000000000003</v>
      </c>
      <c r="X68">
        <v>0.55000000000000004</v>
      </c>
      <c r="Y68">
        <v>0.77</v>
      </c>
      <c r="Z68" s="88">
        <v>0.92</v>
      </c>
      <c r="AA68" s="87">
        <v>0</v>
      </c>
      <c r="AB68">
        <v>0.22000000000000003</v>
      </c>
      <c r="AC68">
        <v>0.44</v>
      </c>
      <c r="AD68" s="88">
        <v>0.55000000000000004</v>
      </c>
      <c r="AE68" s="87">
        <v>0.06</v>
      </c>
      <c r="AF68">
        <v>0.22000000000000003</v>
      </c>
      <c r="AG68">
        <v>0.44</v>
      </c>
      <c r="AH68" s="88">
        <v>0.52</v>
      </c>
      <c r="AI68" s="87">
        <v>3.8900000000000006</v>
      </c>
      <c r="AJ68">
        <v>7</v>
      </c>
      <c r="AK68">
        <v>8</v>
      </c>
      <c r="AL68" s="88">
        <v>9.5</v>
      </c>
      <c r="AM68" s="87">
        <v>4.8099999999999987</v>
      </c>
      <c r="AN68">
        <v>7</v>
      </c>
      <c r="AO68">
        <v>8</v>
      </c>
      <c r="AP68" s="88">
        <v>9</v>
      </c>
      <c r="AQ68" s="87">
        <v>2.2549999999999999</v>
      </c>
      <c r="AR68">
        <v>3.8500000000000005</v>
      </c>
      <c r="AS68">
        <v>6.16</v>
      </c>
      <c r="AT68">
        <v>9.1550000000000011</v>
      </c>
      <c r="AU68" s="87">
        <v>2.7399999999999993</v>
      </c>
      <c r="AV68">
        <v>3.8500000000000005</v>
      </c>
      <c r="AW68">
        <v>6.16</v>
      </c>
      <c r="AX68" s="88">
        <v>8.129999999999999</v>
      </c>
      <c r="AY68" s="87">
        <v>-0.32999999999999996</v>
      </c>
      <c r="AZ68">
        <v>0.9900000000000001</v>
      </c>
      <c r="BA68">
        <v>2.42</v>
      </c>
      <c r="BB68">
        <v>3.6850000000000005</v>
      </c>
      <c r="BC68" s="87">
        <v>4.9999999999999933E-2</v>
      </c>
      <c r="BD68">
        <v>0.9900000000000001</v>
      </c>
      <c r="BE68">
        <v>2.42</v>
      </c>
      <c r="BF68" s="88">
        <v>3.3000000000000007</v>
      </c>
      <c r="BG68" s="87">
        <f t="shared" si="53"/>
        <v>5.8150000000000004</v>
      </c>
      <c r="BH68">
        <f t="shared" si="42"/>
        <v>11.840000000000002</v>
      </c>
      <c r="BI68">
        <f t="shared" si="43"/>
        <v>16.579999999999998</v>
      </c>
      <c r="BJ68">
        <f t="shared" si="44"/>
        <v>22.340000000000003</v>
      </c>
      <c r="BK68" s="87">
        <f t="shared" si="45"/>
        <v>7.5999999999999979</v>
      </c>
      <c r="BL68">
        <f t="shared" si="46"/>
        <v>11.840000000000002</v>
      </c>
      <c r="BM68">
        <f t="shared" si="47"/>
        <v>16.579999999999998</v>
      </c>
      <c r="BN68">
        <f t="shared" si="48"/>
        <v>20.43</v>
      </c>
      <c r="BO68" s="138">
        <f t="shared" si="54"/>
        <v>10.635000000000002</v>
      </c>
      <c r="BP68" s="143">
        <f t="shared" si="55"/>
        <v>17.731999999999999</v>
      </c>
      <c r="BQ68" s="138">
        <f t="shared" si="56"/>
        <v>10.992000000000001</v>
      </c>
      <c r="BR68" s="139">
        <f t="shared" si="57"/>
        <v>17.349999999999998</v>
      </c>
      <c r="BS68" s="87">
        <f t="shared" si="58"/>
        <v>14.1835</v>
      </c>
      <c r="BT68" s="88">
        <f t="shared" si="59"/>
        <v>14.170999999999999</v>
      </c>
      <c r="BU68" s="134">
        <f t="shared" si="60"/>
        <v>14.177250000000001</v>
      </c>
    </row>
    <row r="69" spans="1:73" ht="30" x14ac:dyDescent="0.25">
      <c r="A69" s="102" t="s">
        <v>68</v>
      </c>
      <c r="B69" s="102" t="s">
        <v>79</v>
      </c>
      <c r="C69" s="121" t="s">
        <v>92</v>
      </c>
      <c r="D69" s="156" t="s">
        <v>104</v>
      </c>
      <c r="E69" s="156" t="s">
        <v>105</v>
      </c>
      <c r="F69" s="156" t="s">
        <v>106</v>
      </c>
      <c r="G69" s="110">
        <f t="shared" si="49"/>
        <v>1</v>
      </c>
      <c r="H69" s="110">
        <f t="shared" si="50"/>
        <v>0.66</v>
      </c>
      <c r="I69" s="110">
        <f t="shared" si="51"/>
        <v>0.33</v>
      </c>
      <c r="J69" s="147">
        <f t="shared" si="52"/>
        <v>14.1</v>
      </c>
      <c r="K69" s="87">
        <v>0.77</v>
      </c>
      <c r="L69">
        <v>1</v>
      </c>
      <c r="M69">
        <v>1</v>
      </c>
      <c r="N69" s="88">
        <v>1</v>
      </c>
      <c r="O69" s="87">
        <v>0.83</v>
      </c>
      <c r="P69">
        <v>1</v>
      </c>
      <c r="Q69">
        <v>1</v>
      </c>
      <c r="R69" s="88">
        <v>1</v>
      </c>
      <c r="S69" s="87">
        <v>0.44000000000000006</v>
      </c>
      <c r="T69">
        <v>0.55000000000000004</v>
      </c>
      <c r="U69">
        <v>0.77</v>
      </c>
      <c r="V69" s="88">
        <v>1</v>
      </c>
      <c r="W69" s="87">
        <v>0.47000000000000003</v>
      </c>
      <c r="X69">
        <v>0.55000000000000004</v>
      </c>
      <c r="Y69">
        <v>0.77</v>
      </c>
      <c r="Z69" s="88">
        <v>0.92</v>
      </c>
      <c r="AA69" s="87">
        <v>0</v>
      </c>
      <c r="AB69">
        <v>0.22000000000000003</v>
      </c>
      <c r="AC69">
        <v>0.44</v>
      </c>
      <c r="AD69" s="88">
        <v>0.55000000000000004</v>
      </c>
      <c r="AE69" s="87">
        <v>0.06</v>
      </c>
      <c r="AF69">
        <v>0.22000000000000003</v>
      </c>
      <c r="AG69">
        <v>0.44</v>
      </c>
      <c r="AH69" s="88">
        <v>0.52</v>
      </c>
      <c r="AI69" s="87">
        <v>3.8900000000000006</v>
      </c>
      <c r="AJ69">
        <v>7</v>
      </c>
      <c r="AK69">
        <v>8</v>
      </c>
      <c r="AL69" s="88">
        <v>9.5</v>
      </c>
      <c r="AM69" s="87">
        <v>4.8099999999999987</v>
      </c>
      <c r="AN69">
        <v>7</v>
      </c>
      <c r="AO69">
        <v>8</v>
      </c>
      <c r="AP69" s="88">
        <v>9</v>
      </c>
      <c r="AQ69" s="87">
        <v>2.2549999999999999</v>
      </c>
      <c r="AR69">
        <v>3.8500000000000005</v>
      </c>
      <c r="AS69">
        <v>6.16</v>
      </c>
      <c r="AT69">
        <v>9.1550000000000011</v>
      </c>
      <c r="AU69" s="87">
        <v>2.7399999999999993</v>
      </c>
      <c r="AV69">
        <v>3.8500000000000005</v>
      </c>
      <c r="AW69">
        <v>6.16</v>
      </c>
      <c r="AX69" s="88">
        <v>8.129999999999999</v>
      </c>
      <c r="AY69" s="87">
        <v>-0.32999999999999996</v>
      </c>
      <c r="AZ69">
        <v>0.9900000000000001</v>
      </c>
      <c r="BA69">
        <v>2.42</v>
      </c>
      <c r="BB69">
        <v>3.6850000000000005</v>
      </c>
      <c r="BC69" s="87">
        <v>4.9999999999999933E-2</v>
      </c>
      <c r="BD69">
        <v>0.9900000000000001</v>
      </c>
      <c r="BE69">
        <v>2.42</v>
      </c>
      <c r="BF69" s="88">
        <v>3.3000000000000007</v>
      </c>
      <c r="BG69" s="87">
        <f t="shared" si="53"/>
        <v>5.8150000000000004</v>
      </c>
      <c r="BH69">
        <f t="shared" si="42"/>
        <v>11.840000000000002</v>
      </c>
      <c r="BI69">
        <f t="shared" si="43"/>
        <v>16.579999999999998</v>
      </c>
      <c r="BJ69">
        <f t="shared" si="44"/>
        <v>22.340000000000003</v>
      </c>
      <c r="BK69" s="87">
        <f t="shared" si="45"/>
        <v>7.5999999999999979</v>
      </c>
      <c r="BL69">
        <f t="shared" si="46"/>
        <v>11.840000000000002</v>
      </c>
      <c r="BM69">
        <f t="shared" si="47"/>
        <v>16.579999999999998</v>
      </c>
      <c r="BN69">
        <f t="shared" si="48"/>
        <v>20.43</v>
      </c>
      <c r="BO69" s="138">
        <f t="shared" si="54"/>
        <v>10.635000000000002</v>
      </c>
      <c r="BP69" s="143">
        <f t="shared" si="55"/>
        <v>17.731999999999999</v>
      </c>
      <c r="BQ69" s="138">
        <f t="shared" si="56"/>
        <v>10.992000000000001</v>
      </c>
      <c r="BR69" s="139">
        <f t="shared" si="57"/>
        <v>17.349999999999998</v>
      </c>
      <c r="BS69" s="87">
        <f t="shared" si="58"/>
        <v>14.1835</v>
      </c>
      <c r="BT69" s="88">
        <f t="shared" si="59"/>
        <v>14.170999999999999</v>
      </c>
      <c r="BU69" s="134">
        <f t="shared" si="60"/>
        <v>14.177250000000001</v>
      </c>
    </row>
    <row r="70" spans="1:73" ht="30" x14ac:dyDescent="0.25">
      <c r="A70" s="102" t="s">
        <v>69</v>
      </c>
      <c r="B70" s="102" t="s">
        <v>80</v>
      </c>
      <c r="C70" s="121" t="s">
        <v>81</v>
      </c>
      <c r="D70" s="156" t="s">
        <v>105</v>
      </c>
      <c r="E70" s="156" t="s">
        <v>106</v>
      </c>
      <c r="F70" s="156" t="s">
        <v>104</v>
      </c>
      <c r="G70" s="110">
        <f t="shared" si="49"/>
        <v>0.66</v>
      </c>
      <c r="H70" s="110">
        <f t="shared" si="50"/>
        <v>0.33</v>
      </c>
      <c r="I70" s="110">
        <f t="shared" si="51"/>
        <v>1</v>
      </c>
      <c r="J70" s="147">
        <f t="shared" si="52"/>
        <v>12.425000000000001</v>
      </c>
      <c r="K70" s="87">
        <v>0.44000000000000006</v>
      </c>
      <c r="L70">
        <v>0.55000000000000004</v>
      </c>
      <c r="M70">
        <v>0.77</v>
      </c>
      <c r="N70" s="88">
        <v>1</v>
      </c>
      <c r="O70" s="87">
        <v>0.47000000000000003</v>
      </c>
      <c r="P70">
        <v>0.55000000000000004</v>
      </c>
      <c r="Q70">
        <v>0.77</v>
      </c>
      <c r="R70" s="88">
        <v>0.92</v>
      </c>
      <c r="S70" s="87">
        <v>0</v>
      </c>
      <c r="T70">
        <v>0.22000000000000003</v>
      </c>
      <c r="U70">
        <v>0.44</v>
      </c>
      <c r="V70" s="88">
        <v>0.55000000000000004</v>
      </c>
      <c r="W70" s="87">
        <v>0.06</v>
      </c>
      <c r="X70">
        <v>0.22000000000000003</v>
      </c>
      <c r="Y70">
        <v>0.44</v>
      </c>
      <c r="Z70" s="88">
        <v>0.52</v>
      </c>
      <c r="AA70" s="87">
        <v>0.77</v>
      </c>
      <c r="AB70">
        <v>1</v>
      </c>
      <c r="AC70">
        <v>1</v>
      </c>
      <c r="AD70" s="88">
        <v>1</v>
      </c>
      <c r="AE70" s="87">
        <v>0.83</v>
      </c>
      <c r="AF70">
        <v>1</v>
      </c>
      <c r="AG70">
        <v>1</v>
      </c>
      <c r="AH70" s="88">
        <v>1</v>
      </c>
      <c r="AI70" s="87">
        <v>2.2549999999999999</v>
      </c>
      <c r="AJ70">
        <v>3.8500000000000005</v>
      </c>
      <c r="AK70">
        <v>6.16</v>
      </c>
      <c r="AL70" s="88">
        <v>9.1550000000000011</v>
      </c>
      <c r="AM70" s="87">
        <v>2.7399999999999993</v>
      </c>
      <c r="AN70">
        <v>3.8500000000000005</v>
      </c>
      <c r="AO70">
        <v>6.16</v>
      </c>
      <c r="AP70" s="88">
        <v>8.129999999999999</v>
      </c>
      <c r="AQ70" s="87">
        <v>-0.33000000000000007</v>
      </c>
      <c r="AR70">
        <v>1.5400000000000003</v>
      </c>
      <c r="AS70">
        <v>3.52</v>
      </c>
      <c r="AT70">
        <v>5.0600000000000005</v>
      </c>
      <c r="AU70" s="87">
        <v>0.19999999999999996</v>
      </c>
      <c r="AV70">
        <v>1.5400000000000003</v>
      </c>
      <c r="AW70">
        <v>3.52</v>
      </c>
      <c r="AX70" s="88">
        <v>4.6000000000000014</v>
      </c>
      <c r="AY70" s="87">
        <v>1.9649999999999999</v>
      </c>
      <c r="AZ70">
        <v>4.5</v>
      </c>
      <c r="BA70">
        <v>5.5</v>
      </c>
      <c r="BB70">
        <v>7</v>
      </c>
      <c r="BC70" s="87">
        <v>2.7349999999999994</v>
      </c>
      <c r="BD70">
        <v>4.5</v>
      </c>
      <c r="BE70">
        <v>5.5</v>
      </c>
      <c r="BF70" s="88">
        <v>6.5</v>
      </c>
      <c r="BG70" s="87">
        <f t="shared" si="53"/>
        <v>3.8899999999999997</v>
      </c>
      <c r="BH70">
        <f t="shared" si="42"/>
        <v>9.89</v>
      </c>
      <c r="BI70">
        <f t="shared" si="43"/>
        <v>15.18</v>
      </c>
      <c r="BJ70">
        <f t="shared" si="44"/>
        <v>21.215000000000003</v>
      </c>
      <c r="BK70" s="87">
        <f t="shared" si="45"/>
        <v>5.6749999999999989</v>
      </c>
      <c r="BL70">
        <f t="shared" si="46"/>
        <v>9.89</v>
      </c>
      <c r="BM70">
        <f t="shared" si="47"/>
        <v>15.18</v>
      </c>
      <c r="BN70">
        <f t="shared" si="48"/>
        <v>19.23</v>
      </c>
      <c r="BO70" s="138">
        <f t="shared" si="54"/>
        <v>8.6900000000000013</v>
      </c>
      <c r="BP70" s="143">
        <f t="shared" si="55"/>
        <v>16.387</v>
      </c>
      <c r="BQ70" s="138">
        <f t="shared" si="56"/>
        <v>9.0470000000000006</v>
      </c>
      <c r="BR70" s="139">
        <f t="shared" si="57"/>
        <v>15.989999999999998</v>
      </c>
      <c r="BS70" s="87">
        <f t="shared" si="58"/>
        <v>12.538500000000001</v>
      </c>
      <c r="BT70" s="88">
        <f t="shared" si="59"/>
        <v>12.5185</v>
      </c>
      <c r="BU70" s="134">
        <f t="shared" si="60"/>
        <v>12.528500000000001</v>
      </c>
    </row>
    <row r="71" spans="1:73" ht="36.75" customHeight="1" x14ac:dyDescent="0.25">
      <c r="A71" s="102" t="s">
        <v>70</v>
      </c>
      <c r="B71" s="102" t="s">
        <v>82</v>
      </c>
      <c r="C71" s="121" t="s">
        <v>93</v>
      </c>
      <c r="D71" s="156" t="s">
        <v>106</v>
      </c>
      <c r="E71" s="156" t="s">
        <v>104</v>
      </c>
      <c r="F71" s="156" t="s">
        <v>105</v>
      </c>
      <c r="G71" s="110">
        <f t="shared" si="49"/>
        <v>0.33</v>
      </c>
      <c r="H71" s="110">
        <f t="shared" si="50"/>
        <v>1</v>
      </c>
      <c r="I71" s="110">
        <f t="shared" si="51"/>
        <v>0.66</v>
      </c>
      <c r="J71" s="147">
        <f t="shared" si="52"/>
        <v>13.275</v>
      </c>
      <c r="K71" s="87">
        <v>0</v>
      </c>
      <c r="L71">
        <v>0.22000000000000003</v>
      </c>
      <c r="M71">
        <v>0.44</v>
      </c>
      <c r="N71" s="88">
        <v>0.55000000000000004</v>
      </c>
      <c r="O71" s="87">
        <v>0.06</v>
      </c>
      <c r="P71">
        <v>0.22000000000000003</v>
      </c>
      <c r="Q71">
        <v>0.44</v>
      </c>
      <c r="R71" s="88">
        <v>0.52</v>
      </c>
      <c r="S71" s="87">
        <v>0.77</v>
      </c>
      <c r="T71">
        <v>1</v>
      </c>
      <c r="U71">
        <v>1</v>
      </c>
      <c r="V71" s="88">
        <v>1</v>
      </c>
      <c r="W71" s="87">
        <v>0.83</v>
      </c>
      <c r="X71">
        <v>1</v>
      </c>
      <c r="Y71">
        <v>1</v>
      </c>
      <c r="Z71" s="88">
        <v>1</v>
      </c>
      <c r="AA71" s="87">
        <v>0.44000000000000006</v>
      </c>
      <c r="AB71">
        <v>0.55000000000000004</v>
      </c>
      <c r="AC71">
        <v>0.77</v>
      </c>
      <c r="AD71" s="88">
        <v>1</v>
      </c>
      <c r="AE71" s="87">
        <v>0.47000000000000003</v>
      </c>
      <c r="AF71">
        <v>0.55000000000000004</v>
      </c>
      <c r="AG71">
        <v>0.77</v>
      </c>
      <c r="AH71" s="88">
        <v>0.92</v>
      </c>
      <c r="AI71" s="87">
        <v>-0.33000000000000007</v>
      </c>
      <c r="AJ71">
        <v>1.5400000000000003</v>
      </c>
      <c r="AK71">
        <v>3.52</v>
      </c>
      <c r="AL71" s="88">
        <v>5.0600000000000005</v>
      </c>
      <c r="AM71" s="87">
        <v>0.19999999999999996</v>
      </c>
      <c r="AN71">
        <v>1.5400000000000003</v>
      </c>
      <c r="AO71">
        <v>3.52</v>
      </c>
      <c r="AP71" s="88">
        <v>4.6000000000000014</v>
      </c>
      <c r="AQ71" s="87">
        <v>3.8900000000000006</v>
      </c>
      <c r="AR71">
        <v>7</v>
      </c>
      <c r="AS71">
        <v>8</v>
      </c>
      <c r="AT71">
        <v>9.5</v>
      </c>
      <c r="AU71" s="87">
        <v>4.8099999999999987</v>
      </c>
      <c r="AV71">
        <v>7</v>
      </c>
      <c r="AW71">
        <v>8</v>
      </c>
      <c r="AX71" s="88">
        <v>9</v>
      </c>
      <c r="AY71" s="87">
        <v>1.1550000000000002</v>
      </c>
      <c r="AZ71">
        <v>2.4750000000000001</v>
      </c>
      <c r="BA71">
        <v>4.2350000000000003</v>
      </c>
      <c r="BB71">
        <v>6.6550000000000002</v>
      </c>
      <c r="BC71" s="87">
        <v>1.5650000000000008</v>
      </c>
      <c r="BD71">
        <v>2.4750000000000001</v>
      </c>
      <c r="BE71">
        <v>4.2350000000000003</v>
      </c>
      <c r="BF71" s="88">
        <v>5.830000000000001</v>
      </c>
      <c r="BG71" s="87">
        <f t="shared" si="53"/>
        <v>4.7150000000000007</v>
      </c>
      <c r="BH71">
        <f t="shared" si="42"/>
        <v>11.015000000000001</v>
      </c>
      <c r="BI71">
        <f t="shared" si="43"/>
        <v>15.754999999999999</v>
      </c>
      <c r="BJ71">
        <f t="shared" si="44"/>
        <v>21.215</v>
      </c>
      <c r="BK71" s="87">
        <f t="shared" si="45"/>
        <v>6.5749999999999993</v>
      </c>
      <c r="BL71">
        <f t="shared" si="46"/>
        <v>11.015000000000001</v>
      </c>
      <c r="BM71">
        <f t="shared" si="47"/>
        <v>15.754999999999999</v>
      </c>
      <c r="BN71">
        <f t="shared" si="48"/>
        <v>19.430000000000003</v>
      </c>
      <c r="BO71" s="138">
        <f t="shared" si="54"/>
        <v>9.7550000000000008</v>
      </c>
      <c r="BP71" s="143">
        <f t="shared" si="55"/>
        <v>16.846999999999998</v>
      </c>
      <c r="BQ71" s="138">
        <f t="shared" si="56"/>
        <v>10.127000000000001</v>
      </c>
      <c r="BR71" s="139">
        <f t="shared" si="57"/>
        <v>16.489999999999998</v>
      </c>
      <c r="BS71" s="87">
        <f t="shared" si="58"/>
        <v>13.300999999999998</v>
      </c>
      <c r="BT71" s="88">
        <f t="shared" si="59"/>
        <v>13.308499999999999</v>
      </c>
      <c r="BU71" s="134">
        <f t="shared" si="60"/>
        <v>13.304749999999999</v>
      </c>
    </row>
    <row r="72" spans="1:73" ht="30.75" thickBot="1" x14ac:dyDescent="0.3">
      <c r="A72" s="102" t="s">
        <v>71</v>
      </c>
      <c r="B72" s="102" t="s">
        <v>83</v>
      </c>
      <c r="C72" s="121" t="s">
        <v>94</v>
      </c>
      <c r="D72" s="156" t="s">
        <v>106</v>
      </c>
      <c r="E72" s="156" t="s">
        <v>104</v>
      </c>
      <c r="F72" s="156" t="s">
        <v>105</v>
      </c>
      <c r="G72" s="110">
        <f t="shared" si="49"/>
        <v>0.33</v>
      </c>
      <c r="H72" s="110">
        <f t="shared" si="50"/>
        <v>1</v>
      </c>
      <c r="I72" s="110">
        <f t="shared" si="51"/>
        <v>0.66</v>
      </c>
      <c r="J72" s="147">
        <f t="shared" si="52"/>
        <v>13.275</v>
      </c>
      <c r="K72" s="91">
        <v>0</v>
      </c>
      <c r="L72" s="93">
        <v>0.22000000000000003</v>
      </c>
      <c r="M72" s="93">
        <v>0.44</v>
      </c>
      <c r="N72" s="94">
        <v>0.55000000000000004</v>
      </c>
      <c r="O72" s="91">
        <v>0.06</v>
      </c>
      <c r="P72" s="93">
        <v>0.22000000000000003</v>
      </c>
      <c r="Q72" s="93">
        <v>0.44</v>
      </c>
      <c r="R72" s="94">
        <v>0.52</v>
      </c>
      <c r="S72" s="91">
        <v>0.77</v>
      </c>
      <c r="T72" s="93">
        <v>1</v>
      </c>
      <c r="U72" s="93">
        <v>1</v>
      </c>
      <c r="V72" s="94">
        <v>1</v>
      </c>
      <c r="W72" s="91">
        <v>0.83</v>
      </c>
      <c r="X72" s="93">
        <v>1</v>
      </c>
      <c r="Y72" s="93">
        <v>1</v>
      </c>
      <c r="Z72" s="94">
        <v>1</v>
      </c>
      <c r="AA72" s="91">
        <v>0.44000000000000006</v>
      </c>
      <c r="AB72" s="93">
        <v>0.55000000000000004</v>
      </c>
      <c r="AC72" s="93">
        <v>0.77</v>
      </c>
      <c r="AD72" s="94">
        <v>1</v>
      </c>
      <c r="AE72" s="91">
        <v>0.47000000000000003</v>
      </c>
      <c r="AF72" s="93">
        <v>0.55000000000000004</v>
      </c>
      <c r="AG72" s="93">
        <v>0.77</v>
      </c>
      <c r="AH72" s="94">
        <v>0.92</v>
      </c>
      <c r="AI72" s="91">
        <v>-0.33000000000000007</v>
      </c>
      <c r="AJ72" s="93">
        <v>1.5400000000000003</v>
      </c>
      <c r="AK72" s="93">
        <v>3.52</v>
      </c>
      <c r="AL72" s="94">
        <v>5.0600000000000005</v>
      </c>
      <c r="AM72" s="91">
        <v>0.19999999999999996</v>
      </c>
      <c r="AN72" s="93">
        <v>1.5400000000000003</v>
      </c>
      <c r="AO72" s="93">
        <v>3.52</v>
      </c>
      <c r="AP72" s="94">
        <v>4.6000000000000014</v>
      </c>
      <c r="AQ72" s="91">
        <v>3.8900000000000006</v>
      </c>
      <c r="AR72" s="93">
        <v>7</v>
      </c>
      <c r="AS72" s="93">
        <v>8</v>
      </c>
      <c r="AT72" s="93">
        <v>9.5</v>
      </c>
      <c r="AU72" s="91">
        <v>4.8099999999999987</v>
      </c>
      <c r="AV72" s="93">
        <v>7</v>
      </c>
      <c r="AW72" s="93">
        <v>8</v>
      </c>
      <c r="AX72" s="94">
        <v>9</v>
      </c>
      <c r="AY72" s="91">
        <v>1.1550000000000002</v>
      </c>
      <c r="AZ72" s="93">
        <v>2.4750000000000001</v>
      </c>
      <c r="BA72" s="93">
        <v>4.2350000000000003</v>
      </c>
      <c r="BB72" s="93">
        <v>6.6550000000000002</v>
      </c>
      <c r="BC72" s="91">
        <v>1.5650000000000008</v>
      </c>
      <c r="BD72" s="93">
        <v>2.4750000000000001</v>
      </c>
      <c r="BE72" s="93">
        <v>4.2350000000000003</v>
      </c>
      <c r="BF72" s="94">
        <v>5.830000000000001</v>
      </c>
      <c r="BG72" s="91">
        <f t="shared" si="53"/>
        <v>4.7150000000000007</v>
      </c>
      <c r="BH72" s="93">
        <f t="shared" si="42"/>
        <v>11.015000000000001</v>
      </c>
      <c r="BI72" s="93">
        <f t="shared" si="43"/>
        <v>15.754999999999999</v>
      </c>
      <c r="BJ72" s="93">
        <f t="shared" si="44"/>
        <v>21.215</v>
      </c>
      <c r="BK72" s="91">
        <f t="shared" si="45"/>
        <v>6.5749999999999993</v>
      </c>
      <c r="BL72" s="93">
        <f t="shared" si="46"/>
        <v>11.015000000000001</v>
      </c>
      <c r="BM72" s="93">
        <f t="shared" si="47"/>
        <v>15.754999999999999</v>
      </c>
      <c r="BN72" s="93">
        <f t="shared" si="48"/>
        <v>19.430000000000003</v>
      </c>
      <c r="BO72" s="140">
        <f t="shared" si="54"/>
        <v>9.7550000000000008</v>
      </c>
      <c r="BP72" s="144">
        <f t="shared" si="55"/>
        <v>16.846999999999998</v>
      </c>
      <c r="BQ72" s="140">
        <f t="shared" si="56"/>
        <v>10.127000000000001</v>
      </c>
      <c r="BR72" s="141">
        <f t="shared" si="57"/>
        <v>16.489999999999998</v>
      </c>
      <c r="BS72" s="91">
        <f t="shared" si="58"/>
        <v>13.300999999999998</v>
      </c>
      <c r="BT72" s="94">
        <f t="shared" si="59"/>
        <v>13.308499999999999</v>
      </c>
      <c r="BU72" s="135">
        <f t="shared" si="60"/>
        <v>13.304749999999999</v>
      </c>
    </row>
    <row r="73" spans="1:73" x14ac:dyDescent="0.25">
      <c r="BF73" s="60"/>
      <c r="BG73" s="59"/>
      <c r="BH73" s="59"/>
      <c r="BI73" s="59"/>
      <c r="BJ73" s="59"/>
      <c r="BK73" s="59"/>
    </row>
    <row r="74" spans="1:73" x14ac:dyDescent="0.25">
      <c r="A74" s="1" t="s">
        <v>195</v>
      </c>
      <c r="B74" s="1"/>
    </row>
    <row r="75" spans="1:73" ht="15.75" thickBot="1" x14ac:dyDescent="0.3">
      <c r="A75" s="107" t="s">
        <v>103</v>
      </c>
      <c r="B75" s="108" t="s">
        <v>122</v>
      </c>
      <c r="E75" s="112" t="s">
        <v>17</v>
      </c>
      <c r="I75" t="s">
        <v>18</v>
      </c>
    </row>
    <row r="76" spans="1:73" x14ac:dyDescent="0.25">
      <c r="A76" s="106" t="s">
        <v>107</v>
      </c>
      <c r="B76" s="2">
        <v>0</v>
      </c>
      <c r="C76" s="79">
        <v>0</v>
      </c>
      <c r="D76" s="80" t="s">
        <v>107</v>
      </c>
      <c r="E76" s="81">
        <v>0</v>
      </c>
      <c r="F76" s="82">
        <f>C76</f>
        <v>0</v>
      </c>
      <c r="G76" s="83">
        <v>0</v>
      </c>
      <c r="H76" s="84">
        <v>0.22</v>
      </c>
      <c r="I76" s="85">
        <v>0</v>
      </c>
      <c r="J76" s="83">
        <f>F76</f>
        <v>0</v>
      </c>
      <c r="K76" s="83">
        <f>G76</f>
        <v>0</v>
      </c>
      <c r="L76" s="86">
        <v>0.15</v>
      </c>
    </row>
    <row r="77" spans="1:73" x14ac:dyDescent="0.25">
      <c r="A77" s="106" t="s">
        <v>106</v>
      </c>
      <c r="B77" s="2">
        <v>0.33</v>
      </c>
      <c r="C77" s="79">
        <v>0.33</v>
      </c>
      <c r="D77" s="80" t="s">
        <v>106</v>
      </c>
      <c r="E77" s="87">
        <v>0</v>
      </c>
      <c r="F77" s="111">
        <f>C77-0.11</f>
        <v>0.22000000000000003</v>
      </c>
      <c r="G77">
        <f>C77+0.11</f>
        <v>0.44</v>
      </c>
      <c r="H77" s="88">
        <f t="shared" ref="H77" si="61">G77+0.11</f>
        <v>0.55000000000000004</v>
      </c>
      <c r="I77" s="89">
        <v>0.06</v>
      </c>
      <c r="J77">
        <f t="shared" ref="J77:J79" si="62">F77</f>
        <v>0.22000000000000003</v>
      </c>
      <c r="K77">
        <f t="shared" ref="K77:K79" si="63">G77</f>
        <v>0.44</v>
      </c>
      <c r="L77" s="90">
        <f t="shared" ref="L77" si="64">K77+0.08</f>
        <v>0.52</v>
      </c>
    </row>
    <row r="78" spans="1:73" x14ac:dyDescent="0.25">
      <c r="A78" s="106" t="s">
        <v>105</v>
      </c>
      <c r="B78" s="2">
        <v>0.66</v>
      </c>
      <c r="C78" s="79">
        <v>0.66</v>
      </c>
      <c r="D78" s="80" t="s">
        <v>105</v>
      </c>
      <c r="E78" s="87">
        <f t="shared" ref="E78" si="65">F78-0.11</f>
        <v>0.44000000000000006</v>
      </c>
      <c r="F78" s="111">
        <f t="shared" ref="F78" si="66">C78-0.11</f>
        <v>0.55000000000000004</v>
      </c>
      <c r="G78">
        <f t="shared" ref="G78" si="67">C78+0.11</f>
        <v>0.77</v>
      </c>
      <c r="H78" s="88">
        <v>1</v>
      </c>
      <c r="I78" s="89">
        <f t="shared" ref="I78" si="68">J78-0.08</f>
        <v>0.47000000000000003</v>
      </c>
      <c r="J78">
        <f t="shared" si="62"/>
        <v>0.55000000000000004</v>
      </c>
      <c r="K78">
        <f t="shared" si="63"/>
        <v>0.77</v>
      </c>
      <c r="L78" s="90">
        <v>0.92</v>
      </c>
    </row>
    <row r="79" spans="1:73" ht="15.75" thickBot="1" x14ac:dyDescent="0.3">
      <c r="A79" s="106" t="s">
        <v>104</v>
      </c>
      <c r="B79" s="2">
        <v>1</v>
      </c>
      <c r="C79" s="79">
        <v>1</v>
      </c>
      <c r="D79" s="80" t="s">
        <v>104</v>
      </c>
      <c r="E79" s="91">
        <v>0.77</v>
      </c>
      <c r="F79" s="92">
        <v>1</v>
      </c>
      <c r="G79" s="93">
        <v>1</v>
      </c>
      <c r="H79" s="94">
        <v>1</v>
      </c>
      <c r="I79" s="95">
        <v>0.83</v>
      </c>
      <c r="J79" s="93">
        <f t="shared" si="62"/>
        <v>1</v>
      </c>
      <c r="K79" s="93">
        <f t="shared" si="63"/>
        <v>1</v>
      </c>
      <c r="L79" s="96">
        <v>1</v>
      </c>
    </row>
    <row r="80" spans="1:73" x14ac:dyDescent="0.25">
      <c r="A80" s="99"/>
    </row>
    <row r="81" spans="1:12" x14ac:dyDescent="0.25">
      <c r="A81" s="1" t="s">
        <v>196</v>
      </c>
    </row>
    <row r="82" spans="1:12" ht="15.75" thickBot="1" x14ac:dyDescent="0.3">
      <c r="A82" s="107" t="s">
        <v>103</v>
      </c>
      <c r="B82" s="108" t="s">
        <v>123</v>
      </c>
      <c r="E82" s="112" t="s">
        <v>17</v>
      </c>
      <c r="I82" t="s">
        <v>18</v>
      </c>
    </row>
    <row r="83" spans="1:12" x14ac:dyDescent="0.25">
      <c r="A83" s="106" t="s">
        <v>107</v>
      </c>
      <c r="B83" s="2">
        <v>1</v>
      </c>
      <c r="C83" s="79">
        <v>1</v>
      </c>
      <c r="D83" s="80" t="s">
        <v>107</v>
      </c>
      <c r="E83" s="81">
        <v>0</v>
      </c>
      <c r="F83" s="82">
        <v>0.5</v>
      </c>
      <c r="G83" s="83">
        <v>1.5</v>
      </c>
      <c r="H83" s="84">
        <v>2</v>
      </c>
      <c r="I83" s="85">
        <v>0</v>
      </c>
      <c r="J83" s="83">
        <f>F83</f>
        <v>0.5</v>
      </c>
      <c r="K83" s="83">
        <f>G83</f>
        <v>1.5</v>
      </c>
      <c r="L83" s="86">
        <v>1.8</v>
      </c>
    </row>
    <row r="84" spans="1:12" x14ac:dyDescent="0.25">
      <c r="A84" s="106" t="s">
        <v>106</v>
      </c>
      <c r="B84" s="2">
        <v>2.5</v>
      </c>
      <c r="C84" s="79">
        <v>2.5</v>
      </c>
      <c r="D84" s="80" t="s">
        <v>106</v>
      </c>
      <c r="E84" s="87">
        <v>1.5</v>
      </c>
      <c r="F84" s="111">
        <f>C84-0.5</f>
        <v>2</v>
      </c>
      <c r="G84">
        <f>C84+0.5</f>
        <v>3</v>
      </c>
      <c r="H84" s="88">
        <f t="shared" ref="H84:H86" si="69">G84+1.5</f>
        <v>4.5</v>
      </c>
      <c r="I84" s="89">
        <v>1.7</v>
      </c>
      <c r="J84">
        <f t="shared" ref="J84:J86" si="70">F84</f>
        <v>2</v>
      </c>
      <c r="K84">
        <f t="shared" ref="K84:K86" si="71">G84</f>
        <v>3</v>
      </c>
      <c r="L84" s="90">
        <f t="shared" ref="L84:L86" si="72">K84+1</f>
        <v>4</v>
      </c>
    </row>
    <row r="85" spans="1:12" x14ac:dyDescent="0.25">
      <c r="A85" s="106" t="s">
        <v>105</v>
      </c>
      <c r="B85" s="2">
        <v>5</v>
      </c>
      <c r="C85" s="79">
        <v>5</v>
      </c>
      <c r="D85" s="80" t="s">
        <v>105</v>
      </c>
      <c r="E85" s="87">
        <f t="shared" ref="E85:E86" si="73">F85-1.5</f>
        <v>3</v>
      </c>
      <c r="F85" s="111">
        <f>C85-0.5</f>
        <v>4.5</v>
      </c>
      <c r="G85">
        <f>C85+0.5</f>
        <v>5.5</v>
      </c>
      <c r="H85" s="88">
        <f t="shared" si="69"/>
        <v>7</v>
      </c>
      <c r="I85" s="89">
        <f t="shared" ref="I85:I86" si="74">J85-1</f>
        <v>3.5</v>
      </c>
      <c r="J85">
        <f t="shared" si="70"/>
        <v>4.5</v>
      </c>
      <c r="K85">
        <f t="shared" si="71"/>
        <v>5.5</v>
      </c>
      <c r="L85" s="90">
        <f t="shared" si="72"/>
        <v>6.5</v>
      </c>
    </row>
    <row r="86" spans="1:12" ht="15.75" thickBot="1" x14ac:dyDescent="0.3">
      <c r="A86" s="106" t="s">
        <v>104</v>
      </c>
      <c r="B86" s="2">
        <v>7.5</v>
      </c>
      <c r="C86" s="79">
        <v>7.5</v>
      </c>
      <c r="D86" s="80" t="s">
        <v>104</v>
      </c>
      <c r="E86" s="91">
        <f t="shared" si="73"/>
        <v>5.5</v>
      </c>
      <c r="F86" s="92">
        <f>C86-0.5</f>
        <v>7</v>
      </c>
      <c r="G86" s="93">
        <f>C86+0.5</f>
        <v>8</v>
      </c>
      <c r="H86" s="94">
        <f t="shared" si="69"/>
        <v>9.5</v>
      </c>
      <c r="I86" s="95">
        <f t="shared" si="74"/>
        <v>6</v>
      </c>
      <c r="J86" s="93">
        <f t="shared" si="70"/>
        <v>7</v>
      </c>
      <c r="K86" s="93">
        <f t="shared" si="71"/>
        <v>8</v>
      </c>
      <c r="L86" s="96">
        <f t="shared" si="72"/>
        <v>9</v>
      </c>
    </row>
    <row r="88" spans="1:12" ht="15.75" thickBot="1" x14ac:dyDescent="0.3">
      <c r="A88" s="1" t="s">
        <v>197</v>
      </c>
    </row>
    <row r="89" spans="1:12" ht="67.5" customHeight="1" thickBot="1" x14ac:dyDescent="0.3">
      <c r="A89" s="114" t="s">
        <v>117</v>
      </c>
      <c r="B89" s="113" t="s">
        <v>99</v>
      </c>
      <c r="C89" s="115" t="s">
        <v>108</v>
      </c>
      <c r="D89" s="116" t="s">
        <v>198</v>
      </c>
      <c r="E89" s="283" t="s">
        <v>126</v>
      </c>
      <c r="F89" s="284"/>
      <c r="G89" s="284"/>
      <c r="H89" s="284"/>
      <c r="I89" s="284"/>
      <c r="J89" s="284"/>
      <c r="K89" s="284"/>
      <c r="L89" s="285"/>
    </row>
    <row r="90" spans="1:12" x14ac:dyDescent="0.25">
      <c r="A90" s="125" t="s">
        <v>114</v>
      </c>
      <c r="B90" s="117" t="s">
        <v>100</v>
      </c>
      <c r="C90" s="118" t="s">
        <v>104</v>
      </c>
      <c r="D90" s="150">
        <v>7.5</v>
      </c>
      <c r="E90" s="87">
        <v>5.5</v>
      </c>
      <c r="F90" s="111">
        <v>7</v>
      </c>
      <c r="G90">
        <v>8</v>
      </c>
      <c r="H90" s="88">
        <v>9.5</v>
      </c>
      <c r="I90" s="89">
        <v>6</v>
      </c>
      <c r="J90">
        <v>7</v>
      </c>
      <c r="K90">
        <v>8</v>
      </c>
      <c r="L90" s="90">
        <v>9</v>
      </c>
    </row>
    <row r="91" spans="1:12" x14ac:dyDescent="0.25">
      <c r="A91" s="126" t="s">
        <v>115</v>
      </c>
      <c r="B91" s="104" t="s">
        <v>101</v>
      </c>
      <c r="C91" s="2" t="s">
        <v>104</v>
      </c>
      <c r="D91" s="150">
        <v>7.5</v>
      </c>
      <c r="E91" s="87">
        <v>5.5</v>
      </c>
      <c r="F91" s="111">
        <v>7</v>
      </c>
      <c r="G91">
        <v>8</v>
      </c>
      <c r="H91" s="88">
        <v>9.5</v>
      </c>
      <c r="I91" s="89">
        <v>6</v>
      </c>
      <c r="J91">
        <v>7</v>
      </c>
      <c r="K91">
        <v>8</v>
      </c>
      <c r="L91" s="90">
        <v>9</v>
      </c>
    </row>
    <row r="92" spans="1:12" ht="15.75" thickBot="1" x14ac:dyDescent="0.3">
      <c r="A92" s="127" t="s">
        <v>116</v>
      </c>
      <c r="B92" s="119" t="s">
        <v>102</v>
      </c>
      <c r="C92" s="120" t="s">
        <v>105</v>
      </c>
      <c r="D92" s="150">
        <v>5</v>
      </c>
      <c r="E92" s="91">
        <v>3</v>
      </c>
      <c r="F92" s="92">
        <v>4.5</v>
      </c>
      <c r="G92" s="93">
        <v>5.5</v>
      </c>
      <c r="H92" s="94">
        <v>7</v>
      </c>
      <c r="I92" s="95">
        <v>3.5</v>
      </c>
      <c r="J92" s="93">
        <v>4.5</v>
      </c>
      <c r="K92" s="93">
        <v>5.5</v>
      </c>
      <c r="L92" s="96">
        <v>6.5</v>
      </c>
    </row>
    <row r="94" spans="1:12" ht="15.75" thickBot="1" x14ac:dyDescent="0.3">
      <c r="A94" s="1" t="s">
        <v>199</v>
      </c>
    </row>
    <row r="95" spans="1:12" ht="45.75" thickBot="1" x14ac:dyDescent="0.3">
      <c r="A95" s="128" t="s">
        <v>132</v>
      </c>
      <c r="B95" s="129" t="s">
        <v>133</v>
      </c>
      <c r="E95" s="283" t="s">
        <v>134</v>
      </c>
      <c r="F95" s="284"/>
      <c r="G95" s="284"/>
      <c r="H95" s="284"/>
      <c r="I95" s="284"/>
      <c r="J95" s="284"/>
      <c r="K95" s="284"/>
      <c r="L95" s="285"/>
    </row>
    <row r="96" spans="1:12" x14ac:dyDescent="0.25">
      <c r="A96" s="125" t="s">
        <v>129</v>
      </c>
      <c r="B96" s="130" t="s">
        <v>107</v>
      </c>
      <c r="D96" s="133" t="s">
        <v>138</v>
      </c>
      <c r="E96" s="81">
        <f>E76*F$90+E$90*F76-F76*F$90</f>
        <v>0</v>
      </c>
      <c r="F96" s="83">
        <f>F76*F$90</f>
        <v>0</v>
      </c>
      <c r="G96" s="83">
        <f>G76*G$90</f>
        <v>0</v>
      </c>
      <c r="H96" s="84">
        <f>G76*H$90+G$90*H76-G76*G$90</f>
        <v>1.76</v>
      </c>
      <c r="I96" s="81">
        <f>I76*J$90+I$90*J76-J76*J$90</f>
        <v>0</v>
      </c>
      <c r="J96" s="83">
        <f>J76*J$90</f>
        <v>0</v>
      </c>
      <c r="K96" s="83">
        <f>K76*K$90</f>
        <v>0</v>
      </c>
      <c r="L96" s="84">
        <f>K76*L$90+K$90*L76-K76*K$90</f>
        <v>1.2</v>
      </c>
    </row>
    <row r="97" spans="1:67" x14ac:dyDescent="0.25">
      <c r="A97" s="126" t="s">
        <v>129</v>
      </c>
      <c r="B97" s="131" t="s">
        <v>106</v>
      </c>
      <c r="D97" s="134" t="s">
        <v>137</v>
      </c>
      <c r="E97" s="87">
        <f t="shared" ref="E97:E99" si="75">E77*F$90+E$90*F77-F77*F$90</f>
        <v>-0.33000000000000007</v>
      </c>
      <c r="F97">
        <f t="shared" ref="F97:G97" si="76">F77*F$90</f>
        <v>1.5400000000000003</v>
      </c>
      <c r="G97">
        <f t="shared" si="76"/>
        <v>3.52</v>
      </c>
      <c r="H97" s="88">
        <f t="shared" ref="H97:H99" si="77">G77*H$90+G$90*H77-G77*G$90</f>
        <v>5.0600000000000005</v>
      </c>
      <c r="I97" s="87">
        <f t="shared" ref="I97:I99" si="78">I77*J$90+I$90*J77-J77*J$90</f>
        <v>0.19999999999999996</v>
      </c>
      <c r="J97">
        <f t="shared" ref="J97:K97" si="79">J77*J$90</f>
        <v>1.5400000000000003</v>
      </c>
      <c r="K97">
        <f t="shared" si="79"/>
        <v>3.52</v>
      </c>
      <c r="L97" s="88">
        <f t="shared" ref="L97:L99" si="80">K77*L$90+K$90*L77-K77*K$90</f>
        <v>4.6000000000000014</v>
      </c>
    </row>
    <row r="98" spans="1:67" x14ac:dyDescent="0.25">
      <c r="A98" s="126" t="s">
        <v>129</v>
      </c>
      <c r="B98" s="131" t="s">
        <v>105</v>
      </c>
      <c r="D98" s="134" t="s">
        <v>136</v>
      </c>
      <c r="E98" s="87">
        <f t="shared" si="75"/>
        <v>2.2549999999999999</v>
      </c>
      <c r="F98">
        <f t="shared" ref="F98:G98" si="81">F78*F$90</f>
        <v>3.8500000000000005</v>
      </c>
      <c r="G98">
        <f t="shared" si="81"/>
        <v>6.16</v>
      </c>
      <c r="H98" s="88">
        <f t="shared" si="77"/>
        <v>9.1550000000000011</v>
      </c>
      <c r="I98" s="87">
        <f t="shared" si="78"/>
        <v>2.7399999999999993</v>
      </c>
      <c r="J98">
        <f t="shared" ref="J98:K98" si="82">J78*J$90</f>
        <v>3.8500000000000005</v>
      </c>
      <c r="K98">
        <f t="shared" si="82"/>
        <v>6.16</v>
      </c>
      <c r="L98" s="88">
        <f t="shared" si="80"/>
        <v>8.129999999999999</v>
      </c>
    </row>
    <row r="99" spans="1:67" ht="15.75" thickBot="1" x14ac:dyDescent="0.3">
      <c r="A99" s="127" t="s">
        <v>129</v>
      </c>
      <c r="B99" s="132" t="s">
        <v>104</v>
      </c>
      <c r="D99" s="135" t="s">
        <v>135</v>
      </c>
      <c r="E99" s="91">
        <f t="shared" si="75"/>
        <v>3.8900000000000006</v>
      </c>
      <c r="F99" s="93">
        <f t="shared" ref="F99:G99" si="83">F79*F$90</f>
        <v>7</v>
      </c>
      <c r="G99" s="93">
        <f t="shared" si="83"/>
        <v>8</v>
      </c>
      <c r="H99" s="94">
        <f t="shared" si="77"/>
        <v>9.5</v>
      </c>
      <c r="I99" s="91">
        <f t="shared" si="78"/>
        <v>4.8099999999999987</v>
      </c>
      <c r="J99" s="93">
        <f t="shared" ref="J99:K99" si="84">J79*J$90</f>
        <v>7</v>
      </c>
      <c r="K99" s="93">
        <f t="shared" si="84"/>
        <v>8</v>
      </c>
      <c r="L99" s="94">
        <f t="shared" si="80"/>
        <v>9</v>
      </c>
    </row>
    <row r="100" spans="1:67" x14ac:dyDescent="0.25">
      <c r="A100" s="125" t="s">
        <v>130</v>
      </c>
      <c r="B100" s="130" t="s">
        <v>107</v>
      </c>
      <c r="D100" s="133" t="s">
        <v>139</v>
      </c>
      <c r="E100" s="81">
        <f>E76*F$91+E$91*F76-F76*F$91</f>
        <v>0</v>
      </c>
      <c r="F100" s="83">
        <f>F76*F$91</f>
        <v>0</v>
      </c>
      <c r="G100" s="83">
        <f>G76*G$91</f>
        <v>0</v>
      </c>
      <c r="H100" s="84">
        <f>G76*H$91+G$91*H76-G76*G$91</f>
        <v>1.76</v>
      </c>
      <c r="I100" s="81">
        <f>I76*J$91+I$91*J76-J76*J$91</f>
        <v>0</v>
      </c>
      <c r="J100" s="83">
        <f>J76*J$91</f>
        <v>0</v>
      </c>
      <c r="K100" s="83">
        <f>K76*K$91</f>
        <v>0</v>
      </c>
      <c r="L100" s="84">
        <f>K76*L$91+K$91*L76-K76*K$91</f>
        <v>1.2</v>
      </c>
    </row>
    <row r="101" spans="1:67" x14ac:dyDescent="0.25">
      <c r="A101" s="126" t="s">
        <v>130</v>
      </c>
      <c r="B101" s="131" t="s">
        <v>106</v>
      </c>
      <c r="D101" s="134" t="s">
        <v>144</v>
      </c>
      <c r="E101" s="87">
        <f t="shared" ref="E101:E103" si="85">E77*F$91+E$91*F77-F77*F$91</f>
        <v>-0.33000000000000007</v>
      </c>
      <c r="F101">
        <f t="shared" ref="F101:G101" si="86">F77*F$91</f>
        <v>1.5400000000000003</v>
      </c>
      <c r="G101">
        <f t="shared" si="86"/>
        <v>3.52</v>
      </c>
      <c r="H101" s="88">
        <f t="shared" ref="H101:H103" si="87">G77*H$91+G$91*H77-G77*G$91</f>
        <v>5.0600000000000005</v>
      </c>
      <c r="I101" s="87">
        <f t="shared" ref="I101:I103" si="88">I77*J$91+I$91*J77-J77*J$91</f>
        <v>0.19999999999999996</v>
      </c>
      <c r="J101">
        <f t="shared" ref="J101:K101" si="89">J77*J$91</f>
        <v>1.5400000000000003</v>
      </c>
      <c r="K101">
        <f t="shared" si="89"/>
        <v>3.52</v>
      </c>
      <c r="L101" s="88">
        <f t="shared" ref="L101:L103" si="90">K77*L$91+K$91*L77-K77*K$91</f>
        <v>4.6000000000000014</v>
      </c>
    </row>
    <row r="102" spans="1:67" x14ac:dyDescent="0.25">
      <c r="A102" s="126" t="s">
        <v>130</v>
      </c>
      <c r="B102" s="131" t="s">
        <v>105</v>
      </c>
      <c r="D102" s="134" t="s">
        <v>145</v>
      </c>
      <c r="E102" s="87">
        <f t="shared" si="85"/>
        <v>2.2549999999999999</v>
      </c>
      <c r="F102">
        <f t="shared" ref="F102:G102" si="91">F78*F$91</f>
        <v>3.8500000000000005</v>
      </c>
      <c r="G102">
        <f t="shared" si="91"/>
        <v>6.16</v>
      </c>
      <c r="H102" s="88">
        <f t="shared" si="87"/>
        <v>9.1550000000000011</v>
      </c>
      <c r="I102" s="87">
        <f t="shared" si="88"/>
        <v>2.7399999999999993</v>
      </c>
      <c r="J102">
        <f t="shared" ref="J102:K102" si="92">J78*J$91</f>
        <v>3.8500000000000005</v>
      </c>
      <c r="K102">
        <f t="shared" si="92"/>
        <v>6.16</v>
      </c>
      <c r="L102" s="88">
        <f t="shared" si="90"/>
        <v>8.129999999999999</v>
      </c>
    </row>
    <row r="103" spans="1:67" ht="15.75" thickBot="1" x14ac:dyDescent="0.3">
      <c r="A103" s="127" t="s">
        <v>130</v>
      </c>
      <c r="B103" s="132" t="s">
        <v>104</v>
      </c>
      <c r="D103" s="135" t="s">
        <v>146</v>
      </c>
      <c r="E103" s="91">
        <f t="shared" si="85"/>
        <v>3.8900000000000006</v>
      </c>
      <c r="F103" s="93">
        <f t="shared" ref="F103:G103" si="93">F79*F$91</f>
        <v>7</v>
      </c>
      <c r="G103" s="93">
        <f t="shared" si="93"/>
        <v>8</v>
      </c>
      <c r="H103" s="94">
        <f t="shared" si="87"/>
        <v>9.5</v>
      </c>
      <c r="I103" s="91">
        <f t="shared" si="88"/>
        <v>4.8099999999999987</v>
      </c>
      <c r="J103" s="93">
        <f t="shared" ref="J103:K103" si="94">J79*J$91</f>
        <v>7</v>
      </c>
      <c r="K103" s="93">
        <f t="shared" si="94"/>
        <v>8</v>
      </c>
      <c r="L103" s="94">
        <f t="shared" si="90"/>
        <v>9</v>
      </c>
    </row>
    <row r="104" spans="1:67" x14ac:dyDescent="0.25">
      <c r="A104" s="125" t="s">
        <v>131</v>
      </c>
      <c r="B104" s="130" t="s">
        <v>107</v>
      </c>
      <c r="D104" s="133" t="s">
        <v>141</v>
      </c>
      <c r="E104" s="81">
        <f>E76*F$92+E$92*F76-F76*F$92</f>
        <v>0</v>
      </c>
      <c r="F104" s="83">
        <f>F76*F$92</f>
        <v>0</v>
      </c>
      <c r="G104" s="83">
        <f>G76*G$92</f>
        <v>0</v>
      </c>
      <c r="H104" s="84">
        <f>G76*H$92+G$92*H76-G76*G$92</f>
        <v>1.21</v>
      </c>
      <c r="I104" s="81">
        <f>I76*J$92+I$92*J76-J76*J$92</f>
        <v>0</v>
      </c>
      <c r="J104" s="83">
        <f>J76*J$92</f>
        <v>0</v>
      </c>
      <c r="K104" s="83">
        <f>K76*K$92</f>
        <v>0</v>
      </c>
      <c r="L104" s="84">
        <f>K76*L$92+K$92*L76-K76*K$92</f>
        <v>0.82499999999999996</v>
      </c>
    </row>
    <row r="105" spans="1:67" x14ac:dyDescent="0.25">
      <c r="A105" s="126" t="s">
        <v>131</v>
      </c>
      <c r="B105" s="131" t="s">
        <v>106</v>
      </c>
      <c r="D105" s="134" t="s">
        <v>140</v>
      </c>
      <c r="E105" s="87">
        <f t="shared" ref="E105:E107" si="95">E77*F$92+E$92*F77-F77*F$92</f>
        <v>-0.32999999999999996</v>
      </c>
      <c r="F105">
        <f t="shared" ref="F105:G105" si="96">F77*F$92</f>
        <v>0.9900000000000001</v>
      </c>
      <c r="G105">
        <f t="shared" si="96"/>
        <v>2.42</v>
      </c>
      <c r="H105" s="88">
        <f t="shared" ref="H105:H107" si="97">G77*H$92+G$92*H77-G77*G$92</f>
        <v>3.6850000000000005</v>
      </c>
      <c r="I105" s="87">
        <f t="shared" ref="I105:I107" si="98">I77*J$92+I$92*J77-J77*J$92</f>
        <v>4.9999999999999933E-2</v>
      </c>
      <c r="J105">
        <f t="shared" ref="J105:K105" si="99">J77*J$92</f>
        <v>0.9900000000000001</v>
      </c>
      <c r="K105">
        <f t="shared" si="99"/>
        <v>2.42</v>
      </c>
      <c r="L105" s="88">
        <f t="shared" ref="L105:L107" si="100">K77*L$92+K$92*L77-K77*K$92</f>
        <v>3.3000000000000007</v>
      </c>
    </row>
    <row r="106" spans="1:67" x14ac:dyDescent="0.25">
      <c r="A106" s="126" t="s">
        <v>131</v>
      </c>
      <c r="B106" s="131" t="s">
        <v>105</v>
      </c>
      <c r="D106" s="134" t="s">
        <v>142</v>
      </c>
      <c r="E106" s="87">
        <f t="shared" si="95"/>
        <v>1.1550000000000002</v>
      </c>
      <c r="F106">
        <f t="shared" ref="F106:G106" si="101">F78*F$92</f>
        <v>2.4750000000000001</v>
      </c>
      <c r="G106">
        <f t="shared" si="101"/>
        <v>4.2350000000000003</v>
      </c>
      <c r="H106" s="88">
        <f t="shared" si="97"/>
        <v>6.6550000000000002</v>
      </c>
      <c r="I106" s="87">
        <f t="shared" si="98"/>
        <v>1.5650000000000008</v>
      </c>
      <c r="J106">
        <f t="shared" ref="J106:K106" si="102">J78*J$92</f>
        <v>2.4750000000000001</v>
      </c>
      <c r="K106">
        <f t="shared" si="102"/>
        <v>4.2350000000000003</v>
      </c>
      <c r="L106" s="88">
        <f t="shared" si="100"/>
        <v>5.830000000000001</v>
      </c>
    </row>
    <row r="107" spans="1:67" ht="15.75" thickBot="1" x14ac:dyDescent="0.3">
      <c r="A107" s="127" t="s">
        <v>131</v>
      </c>
      <c r="B107" s="132" t="s">
        <v>104</v>
      </c>
      <c r="D107" s="135" t="s">
        <v>143</v>
      </c>
      <c r="E107" s="91">
        <f t="shared" si="95"/>
        <v>1.9649999999999999</v>
      </c>
      <c r="F107" s="93">
        <f t="shared" ref="F107:G107" si="103">F79*F$92</f>
        <v>4.5</v>
      </c>
      <c r="G107" s="93">
        <f t="shared" si="103"/>
        <v>5.5</v>
      </c>
      <c r="H107" s="94">
        <f t="shared" si="97"/>
        <v>7</v>
      </c>
      <c r="I107" s="91">
        <f t="shared" si="98"/>
        <v>2.7349999999999994</v>
      </c>
      <c r="J107" s="93">
        <f t="shared" ref="J107:K107" si="104">J79*J$92</f>
        <v>4.5</v>
      </c>
      <c r="K107" s="93">
        <f t="shared" si="104"/>
        <v>5.5</v>
      </c>
      <c r="L107" s="94">
        <f t="shared" si="100"/>
        <v>6.5</v>
      </c>
    </row>
    <row r="110" spans="1:67" ht="18.75" x14ac:dyDescent="0.3">
      <c r="A110" s="149" t="s">
        <v>162</v>
      </c>
      <c r="B110" s="99"/>
      <c r="C110" s="99"/>
    </row>
    <row r="111" spans="1:67" x14ac:dyDescent="0.25">
      <c r="A111" s="1" t="s">
        <v>110</v>
      </c>
      <c r="B111" s="99"/>
      <c r="C111" s="99"/>
    </row>
    <row r="112" spans="1:67" ht="15.75" thickBot="1" x14ac:dyDescent="0.3">
      <c r="A112" s="100" t="s">
        <v>169</v>
      </c>
      <c r="B112" s="99"/>
      <c r="C112" s="99"/>
      <c r="BO112">
        <v>0.8</v>
      </c>
    </row>
    <row r="113" spans="1:73" ht="86.25" customHeight="1" thickBot="1" x14ac:dyDescent="0.3">
      <c r="A113" s="273" t="s">
        <v>85</v>
      </c>
      <c r="B113" s="273" t="s">
        <v>86</v>
      </c>
      <c r="C113" s="277" t="s">
        <v>87</v>
      </c>
      <c r="D113" s="278" t="s">
        <v>127</v>
      </c>
      <c r="E113" s="279"/>
      <c r="F113" s="279"/>
      <c r="G113" s="279" t="s">
        <v>128</v>
      </c>
      <c r="H113" s="279"/>
      <c r="I113" s="279"/>
      <c r="J113" s="286" t="s">
        <v>157</v>
      </c>
      <c r="K113" s="280" t="s">
        <v>150</v>
      </c>
      <c r="L113" s="281"/>
      <c r="M113" s="281"/>
      <c r="N113" s="281"/>
      <c r="O113" s="281"/>
      <c r="P113" s="281"/>
      <c r="Q113" s="281"/>
      <c r="R113" s="282"/>
      <c r="S113" s="280" t="s">
        <v>148</v>
      </c>
      <c r="T113" s="281"/>
      <c r="U113" s="281"/>
      <c r="V113" s="281"/>
      <c r="W113" s="281"/>
      <c r="X113" s="281"/>
      <c r="Y113" s="281"/>
      <c r="Z113" s="282"/>
      <c r="AA113" s="280" t="s">
        <v>149</v>
      </c>
      <c r="AB113" s="281"/>
      <c r="AC113" s="281"/>
      <c r="AD113" s="281"/>
      <c r="AE113" s="281"/>
      <c r="AF113" s="281"/>
      <c r="AG113" s="281"/>
      <c r="AH113" s="282"/>
      <c r="AI113" s="280" t="s">
        <v>147</v>
      </c>
      <c r="AJ113" s="281"/>
      <c r="AK113" s="281"/>
      <c r="AL113" s="281"/>
      <c r="AM113" s="281"/>
      <c r="AN113" s="281"/>
      <c r="AO113" s="281"/>
      <c r="AP113" s="282"/>
      <c r="AQ113" s="280" t="s">
        <v>158</v>
      </c>
      <c r="AR113" s="281"/>
      <c r="AS113" s="281"/>
      <c r="AT113" s="281"/>
      <c r="AU113" s="281"/>
      <c r="AV113" s="281"/>
      <c r="AW113" s="281"/>
      <c r="AX113" s="282"/>
      <c r="AY113" s="280" t="s">
        <v>159</v>
      </c>
      <c r="AZ113" s="281"/>
      <c r="BA113" s="281"/>
      <c r="BB113" s="281"/>
      <c r="BC113" s="281"/>
      <c r="BD113" s="281"/>
      <c r="BE113" s="281"/>
      <c r="BF113" s="282"/>
      <c r="BG113" s="280" t="s">
        <v>205</v>
      </c>
      <c r="BH113" s="281"/>
      <c r="BI113" s="281"/>
      <c r="BJ113" s="281"/>
      <c r="BK113" s="281"/>
      <c r="BL113" s="281"/>
      <c r="BM113" s="281"/>
      <c r="BN113" s="282"/>
      <c r="BO113" s="292" t="s">
        <v>151</v>
      </c>
      <c r="BP113" s="293"/>
      <c r="BQ113" s="293"/>
      <c r="BR113" s="294"/>
      <c r="BS113" s="288" t="s">
        <v>153</v>
      </c>
      <c r="BT113" s="289"/>
      <c r="BU113" s="290" t="s">
        <v>156</v>
      </c>
    </row>
    <row r="114" spans="1:73" s="97" customFormat="1" ht="23.25" customHeight="1" thickBot="1" x14ac:dyDescent="0.3">
      <c r="A114" s="273"/>
      <c r="B114" s="273"/>
      <c r="C114" s="277"/>
      <c r="D114" s="122" t="s">
        <v>114</v>
      </c>
      <c r="E114" s="107" t="s">
        <v>115</v>
      </c>
      <c r="F114" s="107" t="s">
        <v>116</v>
      </c>
      <c r="G114" s="107" t="s">
        <v>114</v>
      </c>
      <c r="H114" s="107" t="s">
        <v>115</v>
      </c>
      <c r="I114" s="107" t="s">
        <v>116</v>
      </c>
      <c r="J114" s="287"/>
      <c r="K114" s="280" t="s">
        <v>17</v>
      </c>
      <c r="L114" s="281"/>
      <c r="M114" s="281"/>
      <c r="N114" s="282"/>
      <c r="O114" s="280" t="s">
        <v>18</v>
      </c>
      <c r="P114" s="281"/>
      <c r="Q114" s="281"/>
      <c r="R114" s="282"/>
      <c r="S114" s="280" t="s">
        <v>17</v>
      </c>
      <c r="T114" s="281"/>
      <c r="U114" s="281"/>
      <c r="V114" s="282"/>
      <c r="W114" s="280" t="s">
        <v>18</v>
      </c>
      <c r="X114" s="281"/>
      <c r="Y114" s="281"/>
      <c r="Z114" s="282"/>
      <c r="AA114" s="280" t="s">
        <v>17</v>
      </c>
      <c r="AB114" s="281"/>
      <c r="AC114" s="281"/>
      <c r="AD114" s="282"/>
      <c r="AE114" s="280" t="s">
        <v>18</v>
      </c>
      <c r="AF114" s="281"/>
      <c r="AG114" s="281"/>
      <c r="AH114" s="282"/>
      <c r="AI114" s="280" t="s">
        <v>17</v>
      </c>
      <c r="AJ114" s="281"/>
      <c r="AK114" s="281"/>
      <c r="AL114" s="282"/>
      <c r="AM114" s="280" t="s">
        <v>18</v>
      </c>
      <c r="AN114" s="281"/>
      <c r="AO114" s="281"/>
      <c r="AP114" s="282"/>
      <c r="AQ114" s="280" t="s">
        <v>17</v>
      </c>
      <c r="AR114" s="281"/>
      <c r="AS114" s="281"/>
      <c r="AT114" s="282"/>
      <c r="AU114" s="280" t="s">
        <v>18</v>
      </c>
      <c r="AV114" s="281"/>
      <c r="AW114" s="281"/>
      <c r="AX114" s="282"/>
      <c r="AY114" s="280" t="s">
        <v>17</v>
      </c>
      <c r="AZ114" s="281"/>
      <c r="BA114" s="281"/>
      <c r="BB114" s="282"/>
      <c r="BC114" s="280" t="s">
        <v>18</v>
      </c>
      <c r="BD114" s="281"/>
      <c r="BE114" s="281"/>
      <c r="BF114" s="282"/>
      <c r="BG114" s="280" t="s">
        <v>17</v>
      </c>
      <c r="BH114" s="281"/>
      <c r="BI114" s="281"/>
      <c r="BJ114" s="282"/>
      <c r="BK114" s="280" t="s">
        <v>18</v>
      </c>
      <c r="BL114" s="281"/>
      <c r="BM114" s="281"/>
      <c r="BN114" s="282"/>
      <c r="BO114" s="295" t="s">
        <v>152</v>
      </c>
      <c r="BP114" s="296"/>
      <c r="BQ114" s="295" t="s">
        <v>26</v>
      </c>
      <c r="BR114" s="297"/>
      <c r="BS114" s="145" t="s">
        <v>154</v>
      </c>
      <c r="BT114" s="145" t="s">
        <v>155</v>
      </c>
      <c r="BU114" s="291"/>
    </row>
    <row r="115" spans="1:73" ht="30" x14ac:dyDescent="0.25">
      <c r="A115" s="102" t="s">
        <v>8</v>
      </c>
      <c r="B115" s="102" t="s">
        <v>84</v>
      </c>
      <c r="C115" s="121" t="s">
        <v>72</v>
      </c>
      <c r="D115" s="156" t="s">
        <v>106</v>
      </c>
      <c r="E115" s="156" t="s">
        <v>105</v>
      </c>
      <c r="F115" s="156" t="s">
        <v>104</v>
      </c>
      <c r="G115" s="110">
        <f>IF(D115=$A$128,$B$128,(IF(D115=$A$129,$B$129,IF(D115=$A$130,$B$130,$B$131))))</f>
        <v>0.33</v>
      </c>
      <c r="H115" s="110">
        <f t="shared" ref="H115:I115" si="105">IF(E115=$A$128,$B$128,(IF(E115=$A$129,$B$129,IF(E115=$A$130,$B$130,$B$131))))</f>
        <v>0.66</v>
      </c>
      <c r="I115" s="110">
        <f t="shared" si="105"/>
        <v>1</v>
      </c>
      <c r="J115" s="147">
        <f>G115*$D$142+H115*$D$143+I115*$D$144</f>
        <v>11.625</v>
      </c>
      <c r="K115" s="81">
        <v>0</v>
      </c>
      <c r="L115" s="83">
        <v>0.22000000000000003</v>
      </c>
      <c r="M115" s="83">
        <v>0.44</v>
      </c>
      <c r="N115" s="84">
        <v>0.55000000000000004</v>
      </c>
      <c r="O115" s="81">
        <v>0.06</v>
      </c>
      <c r="P115" s="83">
        <v>0.22000000000000003</v>
      </c>
      <c r="Q115" s="83">
        <v>0.44</v>
      </c>
      <c r="R115" s="84">
        <v>0.52</v>
      </c>
      <c r="S115" s="81">
        <v>0.44000000000000006</v>
      </c>
      <c r="T115" s="83">
        <v>0.55000000000000004</v>
      </c>
      <c r="U115" s="83">
        <v>0.77</v>
      </c>
      <c r="V115" s="84">
        <v>1</v>
      </c>
      <c r="W115" s="81">
        <v>0.47000000000000003</v>
      </c>
      <c r="X115" s="83">
        <v>0.55000000000000004</v>
      </c>
      <c r="Y115" s="83">
        <v>0.77</v>
      </c>
      <c r="Z115" s="84">
        <v>0.92</v>
      </c>
      <c r="AA115" s="81">
        <v>0.77</v>
      </c>
      <c r="AB115" s="83">
        <v>1</v>
      </c>
      <c r="AC115" s="83">
        <v>1</v>
      </c>
      <c r="AD115" s="84">
        <v>1</v>
      </c>
      <c r="AE115" s="81">
        <v>0.83</v>
      </c>
      <c r="AF115" s="83">
        <v>1</v>
      </c>
      <c r="AG115" s="83">
        <v>1</v>
      </c>
      <c r="AH115" s="84">
        <v>1</v>
      </c>
      <c r="AI115" s="81">
        <v>-0.10999999999999999</v>
      </c>
      <c r="AJ115" s="83">
        <v>0.44000000000000006</v>
      </c>
      <c r="AK115" s="83">
        <v>1.32</v>
      </c>
      <c r="AL115" s="84">
        <v>2.3099999999999996</v>
      </c>
      <c r="AM115" s="81">
        <v>5.3999999999999992E-2</v>
      </c>
      <c r="AN115" s="83">
        <v>0.44000000000000006</v>
      </c>
      <c r="AO115" s="83">
        <v>1.32</v>
      </c>
      <c r="AP115" s="84">
        <v>2</v>
      </c>
      <c r="AQ115" s="81">
        <v>1.1550000000000002</v>
      </c>
      <c r="AR115" s="83">
        <v>2.4750000000000001</v>
      </c>
      <c r="AS115" s="83">
        <v>4.2350000000000003</v>
      </c>
      <c r="AT115" s="83">
        <v>6.6550000000000002</v>
      </c>
      <c r="AU115" s="81">
        <v>1.5650000000000008</v>
      </c>
      <c r="AV115" s="83">
        <v>2.4750000000000001</v>
      </c>
      <c r="AW115" s="83">
        <v>4.2350000000000003</v>
      </c>
      <c r="AX115" s="84">
        <v>5.830000000000001</v>
      </c>
      <c r="AY115" s="81">
        <v>3.8900000000000006</v>
      </c>
      <c r="AZ115" s="83">
        <v>7</v>
      </c>
      <c r="BA115" s="83">
        <v>8</v>
      </c>
      <c r="BB115" s="83">
        <v>9.5</v>
      </c>
      <c r="BC115" s="81">
        <v>4.8099999999999987</v>
      </c>
      <c r="BD115" s="83">
        <v>7</v>
      </c>
      <c r="BE115" s="83">
        <v>8</v>
      </c>
      <c r="BF115" s="84">
        <v>9</v>
      </c>
      <c r="BG115" s="81">
        <f>AI115+AQ115+AY115</f>
        <v>4.9350000000000005</v>
      </c>
      <c r="BH115" s="83">
        <f t="shared" ref="BH115:BH124" si="106">AJ115+AR115+AZ115</f>
        <v>9.9149999999999991</v>
      </c>
      <c r="BI115" s="83">
        <f t="shared" ref="BI115:BI124" si="107">AK115+AS115+BA115</f>
        <v>13.555</v>
      </c>
      <c r="BJ115" s="83">
        <f t="shared" ref="BJ115:BJ124" si="108">AL115+AT115+BB115</f>
        <v>18.465</v>
      </c>
      <c r="BK115" s="81">
        <f t="shared" ref="BK115:BK124" si="109">AM115+AU115+BC115</f>
        <v>6.4289999999999994</v>
      </c>
      <c r="BL115" s="83">
        <f t="shared" ref="BL115:BL124" si="110">AN115+AV115+BD115</f>
        <v>9.9149999999999991</v>
      </c>
      <c r="BM115" s="83">
        <f t="shared" ref="BM115:BM124" si="111">AO115+AW115+BE115</f>
        <v>13.555</v>
      </c>
      <c r="BN115" s="83">
        <f t="shared" ref="BN115:BN124" si="112">AP115+AX115+BF115</f>
        <v>16.830000000000002</v>
      </c>
      <c r="BO115" s="136">
        <f>BO$8*BH115+(1-BO$8)*BG115</f>
        <v>8.9189999999999987</v>
      </c>
      <c r="BP115" s="142">
        <f>BO$8*BI115+(1-BO$8)*BJ115</f>
        <v>14.537000000000001</v>
      </c>
      <c r="BQ115" s="136">
        <f>BO$8*BL115+(1-BO$8)*BK115</f>
        <v>9.2177999999999987</v>
      </c>
      <c r="BR115" s="137">
        <f>BO$8*BM115+(1-BO$8)*BN115</f>
        <v>14.21</v>
      </c>
      <c r="BS115" s="81">
        <f>(BO115+BP115)/2</f>
        <v>11.728</v>
      </c>
      <c r="BT115" s="84">
        <f>(BQ115+BR115)/2</f>
        <v>11.713899999999999</v>
      </c>
      <c r="BU115" s="133">
        <f>(BS115+BT115)/2</f>
        <v>11.720949999999998</v>
      </c>
    </row>
    <row r="116" spans="1:73" x14ac:dyDescent="0.25">
      <c r="A116" s="102" t="s">
        <v>9</v>
      </c>
      <c r="B116" s="102" t="s">
        <v>73</v>
      </c>
      <c r="C116" s="121" t="s">
        <v>88</v>
      </c>
      <c r="D116" s="156" t="s">
        <v>105</v>
      </c>
      <c r="E116" s="156" t="s">
        <v>106</v>
      </c>
      <c r="F116" s="156" t="s">
        <v>106</v>
      </c>
      <c r="G116" s="110">
        <f t="shared" ref="G116:G124" si="113">IF(D116=$A$128,$B$128,(IF(D116=$A$129,$B$129,IF(D116=$A$130,$B$130,$B$131))))</f>
        <v>0.66</v>
      </c>
      <c r="H116" s="110">
        <f t="shared" ref="H116:H124" si="114">IF(E116=$A$128,$B$128,(IF(E116=$A$129,$B$129,IF(E116=$A$130,$B$130,$B$131))))</f>
        <v>0.33</v>
      </c>
      <c r="I116" s="110">
        <f t="shared" ref="I116:I124" si="115">IF(F116=$A$128,$B$128,(IF(F116=$A$129,$B$129,IF(F116=$A$130,$B$130,$B$131))))</f>
        <v>0.33</v>
      </c>
      <c r="J116" s="147">
        <f t="shared" ref="J116:J124" si="116">G116*$D$142+H116*$D$143+I116*$D$144</f>
        <v>5.7750000000000004</v>
      </c>
      <c r="K116" s="87">
        <v>0.44000000000000006</v>
      </c>
      <c r="L116">
        <v>0.55000000000000004</v>
      </c>
      <c r="M116">
        <v>0.77</v>
      </c>
      <c r="N116" s="88">
        <v>1</v>
      </c>
      <c r="O116" s="87">
        <v>0.47000000000000003</v>
      </c>
      <c r="P116">
        <v>0.55000000000000004</v>
      </c>
      <c r="Q116">
        <v>0.77</v>
      </c>
      <c r="R116" s="88">
        <v>0.92</v>
      </c>
      <c r="S116" s="87">
        <v>0</v>
      </c>
      <c r="T116">
        <v>0.22000000000000003</v>
      </c>
      <c r="U116">
        <v>0.44</v>
      </c>
      <c r="V116" s="88">
        <v>0.55000000000000004</v>
      </c>
      <c r="W116" s="87">
        <v>0.06</v>
      </c>
      <c r="X116">
        <v>0.22000000000000003</v>
      </c>
      <c r="Y116">
        <v>0.44</v>
      </c>
      <c r="Z116" s="88">
        <v>0.52</v>
      </c>
      <c r="AA116" s="87">
        <v>0</v>
      </c>
      <c r="AB116">
        <v>0.22000000000000003</v>
      </c>
      <c r="AC116">
        <v>0.44</v>
      </c>
      <c r="AD116" s="88">
        <v>0.55000000000000004</v>
      </c>
      <c r="AE116" s="87">
        <v>0.06</v>
      </c>
      <c r="AF116">
        <v>0.22000000000000003</v>
      </c>
      <c r="AG116">
        <v>0.44</v>
      </c>
      <c r="AH116" s="88">
        <v>0.52</v>
      </c>
      <c r="AI116" s="87">
        <v>0.60499999999999998</v>
      </c>
      <c r="AJ116">
        <v>1.1000000000000001</v>
      </c>
      <c r="AK116">
        <v>2.31</v>
      </c>
      <c r="AL116" s="88">
        <v>4.1549999999999994</v>
      </c>
      <c r="AM116" s="87">
        <v>0.77499999999999991</v>
      </c>
      <c r="AN116">
        <v>1.1000000000000001</v>
      </c>
      <c r="AO116">
        <v>2.31</v>
      </c>
      <c r="AP116" s="88">
        <v>3.53</v>
      </c>
      <c r="AQ116" s="87">
        <v>-0.32999999999999996</v>
      </c>
      <c r="AR116">
        <v>0.9900000000000001</v>
      </c>
      <c r="AS116">
        <v>2.42</v>
      </c>
      <c r="AT116">
        <v>3.6850000000000005</v>
      </c>
      <c r="AU116" s="87">
        <v>4.9999999999999933E-2</v>
      </c>
      <c r="AV116">
        <v>0.9900000000000001</v>
      </c>
      <c r="AW116">
        <v>2.42</v>
      </c>
      <c r="AX116" s="88">
        <v>3.3000000000000007</v>
      </c>
      <c r="AY116" s="87">
        <v>-0.33000000000000007</v>
      </c>
      <c r="AZ116">
        <v>1.5400000000000003</v>
      </c>
      <c r="BA116">
        <v>3.52</v>
      </c>
      <c r="BB116">
        <v>5.0600000000000005</v>
      </c>
      <c r="BC116" s="87">
        <v>0.19999999999999996</v>
      </c>
      <c r="BD116">
        <v>1.5400000000000003</v>
      </c>
      <c r="BE116">
        <v>3.52</v>
      </c>
      <c r="BF116" s="88">
        <v>4.6000000000000014</v>
      </c>
      <c r="BG116" s="87">
        <f t="shared" ref="BG116:BG124" si="117">AI116+AQ116+AY116</f>
        <v>-5.5000000000000049E-2</v>
      </c>
      <c r="BH116">
        <f t="shared" si="106"/>
        <v>3.6300000000000008</v>
      </c>
      <c r="BI116">
        <f t="shared" si="107"/>
        <v>8.25</v>
      </c>
      <c r="BJ116">
        <f t="shared" si="108"/>
        <v>12.9</v>
      </c>
      <c r="BK116" s="87">
        <f t="shared" si="109"/>
        <v>1.0249999999999999</v>
      </c>
      <c r="BL116">
        <f t="shared" si="110"/>
        <v>3.6300000000000008</v>
      </c>
      <c r="BM116">
        <f t="shared" si="111"/>
        <v>8.25</v>
      </c>
      <c r="BN116">
        <f t="shared" si="112"/>
        <v>11.430000000000001</v>
      </c>
      <c r="BO116" s="138">
        <f t="shared" ref="BO116:BO124" si="118">BO$8*BH116+(1-BO$8)*BG116</f>
        <v>2.8930000000000007</v>
      </c>
      <c r="BP116" s="143">
        <f t="shared" ref="BP116:BP124" si="119">BO$8*BI116+(1-BO$8)*BJ116</f>
        <v>9.18</v>
      </c>
      <c r="BQ116" s="138">
        <f t="shared" ref="BQ116:BQ124" si="120">BO$8*BL116+(1-BO$8)*BK116</f>
        <v>3.1090000000000009</v>
      </c>
      <c r="BR116" s="139">
        <f t="shared" ref="BR116:BR124" si="121">BO$8*BM116+(1-BO$8)*BN116</f>
        <v>8.8859999999999992</v>
      </c>
      <c r="BS116" s="87">
        <f t="shared" ref="BS116:BS124" si="122">(BO116+BP116)/2</f>
        <v>6.0365000000000002</v>
      </c>
      <c r="BT116" s="88">
        <f t="shared" ref="BT116:BT124" si="123">(BQ116+BR116)/2</f>
        <v>5.9975000000000005</v>
      </c>
      <c r="BU116" s="134">
        <f t="shared" ref="BU116:BU124" si="124">(BS116+BT116)/2</f>
        <v>6.0170000000000003</v>
      </c>
    </row>
    <row r="117" spans="1:73" x14ac:dyDescent="0.25">
      <c r="A117" s="102" t="s">
        <v>10</v>
      </c>
      <c r="B117" s="102" t="s">
        <v>74</v>
      </c>
      <c r="C117" s="121" t="s">
        <v>89</v>
      </c>
      <c r="D117" s="156" t="s">
        <v>105</v>
      </c>
      <c r="E117" s="156" t="s">
        <v>104</v>
      </c>
      <c r="F117" s="156" t="s">
        <v>105</v>
      </c>
      <c r="G117" s="110">
        <f t="shared" si="113"/>
        <v>0.66</v>
      </c>
      <c r="H117" s="110">
        <f t="shared" si="114"/>
        <v>1</v>
      </c>
      <c r="I117" s="110">
        <f t="shared" si="115"/>
        <v>0.66</v>
      </c>
      <c r="J117" s="147">
        <f t="shared" si="116"/>
        <v>11.600000000000001</v>
      </c>
      <c r="K117" s="87">
        <v>0.44000000000000006</v>
      </c>
      <c r="L117">
        <v>0.55000000000000004</v>
      </c>
      <c r="M117">
        <v>0.77</v>
      </c>
      <c r="N117" s="88">
        <v>1</v>
      </c>
      <c r="O117" s="87">
        <v>0.47000000000000003</v>
      </c>
      <c r="P117">
        <v>0.55000000000000004</v>
      </c>
      <c r="Q117">
        <v>0.77</v>
      </c>
      <c r="R117" s="88">
        <v>0.92</v>
      </c>
      <c r="S117" s="87">
        <v>0.77</v>
      </c>
      <c r="T117">
        <v>1</v>
      </c>
      <c r="U117">
        <v>1</v>
      </c>
      <c r="V117" s="88">
        <v>1</v>
      </c>
      <c r="W117" s="87">
        <v>0.83</v>
      </c>
      <c r="X117">
        <v>1</v>
      </c>
      <c r="Y117">
        <v>1</v>
      </c>
      <c r="Z117" s="88">
        <v>1</v>
      </c>
      <c r="AA117" s="87">
        <v>0.44000000000000006</v>
      </c>
      <c r="AB117">
        <v>0.55000000000000004</v>
      </c>
      <c r="AC117">
        <v>0.77</v>
      </c>
      <c r="AD117" s="88">
        <v>1</v>
      </c>
      <c r="AE117" s="87">
        <v>0.47000000000000003</v>
      </c>
      <c r="AF117">
        <v>0.55000000000000004</v>
      </c>
      <c r="AG117">
        <v>0.77</v>
      </c>
      <c r="AH117" s="88">
        <v>0.92</v>
      </c>
      <c r="AI117" s="87">
        <v>0.60499999999999998</v>
      </c>
      <c r="AJ117">
        <v>1.1000000000000001</v>
      </c>
      <c r="AK117">
        <v>2.31</v>
      </c>
      <c r="AL117" s="88">
        <v>4.1549999999999994</v>
      </c>
      <c r="AM117" s="87">
        <v>0.77499999999999991</v>
      </c>
      <c r="AN117">
        <v>1.1000000000000001</v>
      </c>
      <c r="AO117">
        <v>2.31</v>
      </c>
      <c r="AP117" s="88">
        <v>3.53</v>
      </c>
      <c r="AQ117" s="87">
        <v>1.9649999999999999</v>
      </c>
      <c r="AR117">
        <v>4.5</v>
      </c>
      <c r="AS117">
        <v>5.5</v>
      </c>
      <c r="AT117">
        <v>7</v>
      </c>
      <c r="AU117" s="87">
        <v>2.7349999999999994</v>
      </c>
      <c r="AV117">
        <v>4.5</v>
      </c>
      <c r="AW117">
        <v>5.5</v>
      </c>
      <c r="AX117" s="88">
        <v>6.5</v>
      </c>
      <c r="AY117" s="87">
        <v>2.2549999999999999</v>
      </c>
      <c r="AZ117">
        <v>3.8500000000000005</v>
      </c>
      <c r="BA117">
        <v>6.16</v>
      </c>
      <c r="BB117">
        <v>9.1550000000000011</v>
      </c>
      <c r="BC117" s="87">
        <v>2.7399999999999993</v>
      </c>
      <c r="BD117">
        <v>3.8500000000000005</v>
      </c>
      <c r="BE117">
        <v>6.16</v>
      </c>
      <c r="BF117" s="88">
        <v>8.129999999999999</v>
      </c>
      <c r="BG117" s="87">
        <f t="shared" si="117"/>
        <v>4.8249999999999993</v>
      </c>
      <c r="BH117">
        <f t="shared" si="106"/>
        <v>9.4499999999999993</v>
      </c>
      <c r="BI117">
        <f t="shared" si="107"/>
        <v>13.97</v>
      </c>
      <c r="BJ117">
        <f t="shared" si="108"/>
        <v>20.310000000000002</v>
      </c>
      <c r="BK117" s="87">
        <f t="shared" si="109"/>
        <v>6.2499999999999982</v>
      </c>
      <c r="BL117">
        <f t="shared" si="110"/>
        <v>9.4499999999999993</v>
      </c>
      <c r="BM117">
        <f t="shared" si="111"/>
        <v>13.97</v>
      </c>
      <c r="BN117">
        <f t="shared" si="112"/>
        <v>18.159999999999997</v>
      </c>
      <c r="BO117" s="138">
        <f t="shared" si="118"/>
        <v>8.5249999999999986</v>
      </c>
      <c r="BP117" s="143">
        <f t="shared" si="119"/>
        <v>15.238000000000001</v>
      </c>
      <c r="BQ117" s="138">
        <f t="shared" si="120"/>
        <v>8.8099999999999987</v>
      </c>
      <c r="BR117" s="139">
        <f t="shared" si="121"/>
        <v>14.808</v>
      </c>
      <c r="BS117" s="87">
        <f t="shared" si="122"/>
        <v>11.881499999999999</v>
      </c>
      <c r="BT117" s="88">
        <f t="shared" si="123"/>
        <v>11.808999999999999</v>
      </c>
      <c r="BU117" s="134">
        <f t="shared" si="124"/>
        <v>11.84525</v>
      </c>
    </row>
    <row r="118" spans="1:73" x14ac:dyDescent="0.25">
      <c r="A118" s="102" t="s">
        <v>65</v>
      </c>
      <c r="B118" s="102" t="s">
        <v>75</v>
      </c>
      <c r="C118" s="121" t="s">
        <v>76</v>
      </c>
      <c r="D118" s="156" t="s">
        <v>104</v>
      </c>
      <c r="E118" s="156" t="s">
        <v>105</v>
      </c>
      <c r="F118" s="156" t="s">
        <v>106</v>
      </c>
      <c r="G118" s="110">
        <f t="shared" si="113"/>
        <v>1</v>
      </c>
      <c r="H118" s="110">
        <f t="shared" si="114"/>
        <v>0.66</v>
      </c>
      <c r="I118" s="110">
        <f t="shared" si="115"/>
        <v>0.33</v>
      </c>
      <c r="J118" s="147">
        <f t="shared" si="116"/>
        <v>8.2750000000000004</v>
      </c>
      <c r="K118" s="87">
        <v>0.77</v>
      </c>
      <c r="L118">
        <v>1</v>
      </c>
      <c r="M118">
        <v>1</v>
      </c>
      <c r="N118" s="88">
        <v>1</v>
      </c>
      <c r="O118" s="87">
        <v>0.83</v>
      </c>
      <c r="P118">
        <v>1</v>
      </c>
      <c r="Q118">
        <v>1</v>
      </c>
      <c r="R118" s="88">
        <v>1</v>
      </c>
      <c r="S118" s="87">
        <v>0.44000000000000006</v>
      </c>
      <c r="T118">
        <v>0.55000000000000004</v>
      </c>
      <c r="U118">
        <v>0.77</v>
      </c>
      <c r="V118" s="88">
        <v>1</v>
      </c>
      <c r="W118" s="87">
        <v>0.47000000000000003</v>
      </c>
      <c r="X118">
        <v>0.55000000000000004</v>
      </c>
      <c r="Y118">
        <v>0.77</v>
      </c>
      <c r="Z118" s="88">
        <v>0.92</v>
      </c>
      <c r="AA118" s="87">
        <v>0</v>
      </c>
      <c r="AB118">
        <v>0.22000000000000003</v>
      </c>
      <c r="AC118">
        <v>0.44</v>
      </c>
      <c r="AD118" s="88">
        <v>0.55000000000000004</v>
      </c>
      <c r="AE118" s="87">
        <v>0.06</v>
      </c>
      <c r="AF118">
        <v>0.22000000000000003</v>
      </c>
      <c r="AG118">
        <v>0.44</v>
      </c>
      <c r="AH118" s="88">
        <v>0.52</v>
      </c>
      <c r="AI118" s="87">
        <v>1.04</v>
      </c>
      <c r="AJ118">
        <v>2</v>
      </c>
      <c r="AK118">
        <v>3</v>
      </c>
      <c r="AL118" s="88">
        <v>4.5</v>
      </c>
      <c r="AM118" s="87">
        <v>1.3599999999999999</v>
      </c>
      <c r="AN118">
        <v>2</v>
      </c>
      <c r="AO118">
        <v>3</v>
      </c>
      <c r="AP118" s="88">
        <v>4</v>
      </c>
      <c r="AQ118" s="87">
        <v>1.1550000000000002</v>
      </c>
      <c r="AR118">
        <v>2.4750000000000001</v>
      </c>
      <c r="AS118">
        <v>4.2350000000000003</v>
      </c>
      <c r="AT118">
        <v>6.6550000000000002</v>
      </c>
      <c r="AU118" s="87">
        <v>1.5650000000000008</v>
      </c>
      <c r="AV118">
        <v>2.4750000000000001</v>
      </c>
      <c r="AW118">
        <v>4.2350000000000003</v>
      </c>
      <c r="AX118" s="88">
        <v>5.830000000000001</v>
      </c>
      <c r="AY118" s="87">
        <v>-0.33000000000000007</v>
      </c>
      <c r="AZ118">
        <v>1.5400000000000003</v>
      </c>
      <c r="BA118">
        <v>3.52</v>
      </c>
      <c r="BB118">
        <v>5.0600000000000005</v>
      </c>
      <c r="BC118" s="87">
        <v>0.19999999999999996</v>
      </c>
      <c r="BD118">
        <v>1.5400000000000003</v>
      </c>
      <c r="BE118">
        <v>3.52</v>
      </c>
      <c r="BF118" s="88">
        <v>4.6000000000000014</v>
      </c>
      <c r="BG118" s="87">
        <f t="shared" si="117"/>
        <v>1.8650000000000002</v>
      </c>
      <c r="BH118">
        <f t="shared" si="106"/>
        <v>6.0149999999999997</v>
      </c>
      <c r="BI118">
        <f t="shared" si="107"/>
        <v>10.755000000000001</v>
      </c>
      <c r="BJ118">
        <f t="shared" si="108"/>
        <v>16.215000000000003</v>
      </c>
      <c r="BK118" s="87">
        <f t="shared" si="109"/>
        <v>3.1250000000000009</v>
      </c>
      <c r="BL118">
        <f t="shared" si="110"/>
        <v>6.0149999999999997</v>
      </c>
      <c r="BM118">
        <f t="shared" si="111"/>
        <v>10.755000000000001</v>
      </c>
      <c r="BN118">
        <f t="shared" si="112"/>
        <v>14.430000000000003</v>
      </c>
      <c r="BO118" s="138">
        <f t="shared" si="118"/>
        <v>5.1850000000000005</v>
      </c>
      <c r="BP118" s="143">
        <f t="shared" si="119"/>
        <v>11.847000000000001</v>
      </c>
      <c r="BQ118" s="138">
        <f t="shared" si="120"/>
        <v>5.4370000000000003</v>
      </c>
      <c r="BR118" s="139">
        <f t="shared" si="121"/>
        <v>11.490000000000002</v>
      </c>
      <c r="BS118" s="87">
        <f t="shared" si="122"/>
        <v>8.5160000000000018</v>
      </c>
      <c r="BT118" s="88">
        <f t="shared" si="123"/>
        <v>8.4635000000000016</v>
      </c>
      <c r="BU118" s="134">
        <f t="shared" si="124"/>
        <v>8.4897500000000008</v>
      </c>
    </row>
    <row r="119" spans="1:73" ht="30" x14ac:dyDescent="0.25">
      <c r="A119" s="102" t="s">
        <v>66</v>
      </c>
      <c r="B119" s="102" t="s">
        <v>77</v>
      </c>
      <c r="C119" s="121" t="s">
        <v>90</v>
      </c>
      <c r="D119" s="156" t="s">
        <v>105</v>
      </c>
      <c r="E119" s="156" t="s">
        <v>104</v>
      </c>
      <c r="F119" s="156" t="s">
        <v>106</v>
      </c>
      <c r="G119" s="110">
        <f t="shared" si="113"/>
        <v>0.66</v>
      </c>
      <c r="H119" s="110">
        <f t="shared" si="114"/>
        <v>1</v>
      </c>
      <c r="I119" s="110">
        <f t="shared" si="115"/>
        <v>0.33</v>
      </c>
      <c r="J119" s="147">
        <f t="shared" si="116"/>
        <v>9.125</v>
      </c>
      <c r="K119" s="87">
        <v>0.44000000000000006</v>
      </c>
      <c r="L119">
        <v>0.55000000000000004</v>
      </c>
      <c r="M119">
        <v>0.77</v>
      </c>
      <c r="N119" s="88">
        <v>1</v>
      </c>
      <c r="O119" s="87">
        <v>0.47000000000000003</v>
      </c>
      <c r="P119">
        <v>0.55000000000000004</v>
      </c>
      <c r="Q119">
        <v>0.77</v>
      </c>
      <c r="R119" s="88">
        <v>0.92</v>
      </c>
      <c r="S119" s="87">
        <v>0.77</v>
      </c>
      <c r="T119">
        <v>1</v>
      </c>
      <c r="U119">
        <v>1</v>
      </c>
      <c r="V119" s="88">
        <v>1</v>
      </c>
      <c r="W119" s="87">
        <v>0.83</v>
      </c>
      <c r="X119">
        <v>1</v>
      </c>
      <c r="Y119">
        <v>1</v>
      </c>
      <c r="Z119" s="88">
        <v>1</v>
      </c>
      <c r="AA119" s="87">
        <v>0</v>
      </c>
      <c r="AB119">
        <v>0.22000000000000003</v>
      </c>
      <c r="AC119">
        <v>0.44</v>
      </c>
      <c r="AD119" s="88">
        <v>0.55000000000000004</v>
      </c>
      <c r="AE119" s="87">
        <v>0.06</v>
      </c>
      <c r="AF119">
        <v>0.22000000000000003</v>
      </c>
      <c r="AG119">
        <v>0.44</v>
      </c>
      <c r="AH119" s="88">
        <v>0.52</v>
      </c>
      <c r="AI119" s="87">
        <v>0.60499999999999998</v>
      </c>
      <c r="AJ119">
        <v>1.1000000000000001</v>
      </c>
      <c r="AK119">
        <v>2.31</v>
      </c>
      <c r="AL119" s="88">
        <v>4.1549999999999994</v>
      </c>
      <c r="AM119" s="87">
        <v>0.77499999999999991</v>
      </c>
      <c r="AN119">
        <v>1.1000000000000001</v>
      </c>
      <c r="AO119">
        <v>2.31</v>
      </c>
      <c r="AP119" s="88">
        <v>3.53</v>
      </c>
      <c r="AQ119" s="87">
        <v>1.9649999999999999</v>
      </c>
      <c r="AR119">
        <v>4.5</v>
      </c>
      <c r="AS119">
        <v>5.5</v>
      </c>
      <c r="AT119">
        <v>7</v>
      </c>
      <c r="AU119" s="87">
        <v>2.7349999999999994</v>
      </c>
      <c r="AV119">
        <v>4.5</v>
      </c>
      <c r="AW119">
        <v>5.5</v>
      </c>
      <c r="AX119" s="88">
        <v>6.5</v>
      </c>
      <c r="AY119" s="87">
        <v>-0.33000000000000007</v>
      </c>
      <c r="AZ119">
        <v>1.5400000000000003</v>
      </c>
      <c r="BA119">
        <v>3.52</v>
      </c>
      <c r="BB119">
        <v>5.0600000000000005</v>
      </c>
      <c r="BC119" s="87">
        <v>0.19999999999999996</v>
      </c>
      <c r="BD119">
        <v>1.5400000000000003</v>
      </c>
      <c r="BE119">
        <v>3.52</v>
      </c>
      <c r="BF119" s="88">
        <v>4.6000000000000014</v>
      </c>
      <c r="BG119" s="87">
        <f t="shared" si="117"/>
        <v>2.2399999999999998</v>
      </c>
      <c r="BH119">
        <f t="shared" si="106"/>
        <v>7.14</v>
      </c>
      <c r="BI119">
        <f t="shared" si="107"/>
        <v>11.33</v>
      </c>
      <c r="BJ119">
        <f t="shared" si="108"/>
        <v>16.215</v>
      </c>
      <c r="BK119" s="87">
        <f t="shared" si="109"/>
        <v>3.7099999999999991</v>
      </c>
      <c r="BL119">
        <f t="shared" si="110"/>
        <v>7.14</v>
      </c>
      <c r="BM119">
        <f t="shared" si="111"/>
        <v>11.33</v>
      </c>
      <c r="BN119">
        <f t="shared" si="112"/>
        <v>14.63</v>
      </c>
      <c r="BO119" s="138">
        <f t="shared" si="118"/>
        <v>6.1599999999999993</v>
      </c>
      <c r="BP119" s="143">
        <f t="shared" si="119"/>
        <v>12.306999999999999</v>
      </c>
      <c r="BQ119" s="138">
        <f t="shared" si="120"/>
        <v>6.4539999999999997</v>
      </c>
      <c r="BR119" s="139">
        <f t="shared" si="121"/>
        <v>11.99</v>
      </c>
      <c r="BS119" s="87">
        <f t="shared" si="122"/>
        <v>9.2334999999999994</v>
      </c>
      <c r="BT119" s="88">
        <f t="shared" si="123"/>
        <v>9.2219999999999995</v>
      </c>
      <c r="BU119" s="134">
        <f t="shared" si="124"/>
        <v>9.2277500000000003</v>
      </c>
    </row>
    <row r="120" spans="1:73" x14ac:dyDescent="0.25">
      <c r="A120" s="102" t="s">
        <v>67</v>
      </c>
      <c r="B120" s="102" t="s">
        <v>78</v>
      </c>
      <c r="C120" s="121" t="s">
        <v>91</v>
      </c>
      <c r="D120" s="156" t="s">
        <v>106</v>
      </c>
      <c r="E120" s="156" t="s">
        <v>105</v>
      </c>
      <c r="F120" s="156" t="s">
        <v>106</v>
      </c>
      <c r="G120" s="110">
        <f t="shared" si="113"/>
        <v>0.33</v>
      </c>
      <c r="H120" s="110">
        <f t="shared" si="114"/>
        <v>0.66</v>
      </c>
      <c r="I120" s="110">
        <f t="shared" si="115"/>
        <v>0.33</v>
      </c>
      <c r="J120" s="147">
        <f t="shared" si="116"/>
        <v>6.6</v>
      </c>
      <c r="K120" s="87">
        <v>0</v>
      </c>
      <c r="L120">
        <v>0.22000000000000003</v>
      </c>
      <c r="M120">
        <v>0.44</v>
      </c>
      <c r="N120" s="88">
        <v>0.55000000000000004</v>
      </c>
      <c r="O120" s="87">
        <v>0.06</v>
      </c>
      <c r="P120">
        <v>0.22000000000000003</v>
      </c>
      <c r="Q120">
        <v>0.44</v>
      </c>
      <c r="R120" s="88">
        <v>0.52</v>
      </c>
      <c r="S120" s="87">
        <v>0.44000000000000006</v>
      </c>
      <c r="T120">
        <v>0.55000000000000004</v>
      </c>
      <c r="U120">
        <v>0.77</v>
      </c>
      <c r="V120" s="88">
        <v>1</v>
      </c>
      <c r="W120" s="87">
        <v>0.47000000000000003</v>
      </c>
      <c r="X120">
        <v>0.55000000000000004</v>
      </c>
      <c r="Y120">
        <v>0.77</v>
      </c>
      <c r="Z120" s="88">
        <v>0.92</v>
      </c>
      <c r="AA120" s="87">
        <v>0</v>
      </c>
      <c r="AB120">
        <v>0.22000000000000003</v>
      </c>
      <c r="AC120">
        <v>0.44</v>
      </c>
      <c r="AD120" s="88">
        <v>0.55000000000000004</v>
      </c>
      <c r="AE120" s="87">
        <v>0.06</v>
      </c>
      <c r="AF120">
        <v>0.22000000000000003</v>
      </c>
      <c r="AG120">
        <v>0.44</v>
      </c>
      <c r="AH120" s="88">
        <v>0.52</v>
      </c>
      <c r="AI120" s="87">
        <v>-0.10999999999999999</v>
      </c>
      <c r="AJ120">
        <v>0.44000000000000006</v>
      </c>
      <c r="AK120">
        <v>1.32</v>
      </c>
      <c r="AL120" s="88">
        <v>2.3099999999999996</v>
      </c>
      <c r="AM120" s="87">
        <v>5.3999999999999992E-2</v>
      </c>
      <c r="AN120">
        <v>0.44000000000000006</v>
      </c>
      <c r="AO120">
        <v>1.32</v>
      </c>
      <c r="AP120" s="88">
        <v>2</v>
      </c>
      <c r="AQ120" s="87">
        <v>1.1550000000000002</v>
      </c>
      <c r="AR120">
        <v>2.4750000000000001</v>
      </c>
      <c r="AS120">
        <v>4.2350000000000003</v>
      </c>
      <c r="AT120">
        <v>6.6550000000000002</v>
      </c>
      <c r="AU120" s="87">
        <v>1.5650000000000008</v>
      </c>
      <c r="AV120">
        <v>2.4750000000000001</v>
      </c>
      <c r="AW120">
        <v>4.2350000000000003</v>
      </c>
      <c r="AX120" s="88">
        <v>5.830000000000001</v>
      </c>
      <c r="AY120" s="87">
        <v>-0.33000000000000007</v>
      </c>
      <c r="AZ120">
        <v>1.5400000000000003</v>
      </c>
      <c r="BA120">
        <v>3.52</v>
      </c>
      <c r="BB120">
        <v>5.0600000000000005</v>
      </c>
      <c r="BC120" s="87">
        <v>0.19999999999999996</v>
      </c>
      <c r="BD120">
        <v>1.5400000000000003</v>
      </c>
      <c r="BE120">
        <v>3.52</v>
      </c>
      <c r="BF120" s="88">
        <v>4.6000000000000014</v>
      </c>
      <c r="BG120" s="87">
        <f t="shared" si="117"/>
        <v>0.7150000000000003</v>
      </c>
      <c r="BH120">
        <f t="shared" si="106"/>
        <v>4.4550000000000001</v>
      </c>
      <c r="BI120">
        <f t="shared" si="107"/>
        <v>9.0750000000000011</v>
      </c>
      <c r="BJ120">
        <f t="shared" si="108"/>
        <v>14.025</v>
      </c>
      <c r="BK120" s="87">
        <f t="shared" si="109"/>
        <v>1.8190000000000008</v>
      </c>
      <c r="BL120">
        <f t="shared" si="110"/>
        <v>4.4550000000000001</v>
      </c>
      <c r="BM120">
        <f t="shared" si="111"/>
        <v>9.0750000000000011</v>
      </c>
      <c r="BN120">
        <f t="shared" si="112"/>
        <v>12.430000000000003</v>
      </c>
      <c r="BO120" s="138">
        <f t="shared" si="118"/>
        <v>3.7069999999999999</v>
      </c>
      <c r="BP120" s="143">
        <f t="shared" si="119"/>
        <v>10.065000000000001</v>
      </c>
      <c r="BQ120" s="138">
        <f t="shared" si="120"/>
        <v>3.9278</v>
      </c>
      <c r="BR120" s="139">
        <f t="shared" si="121"/>
        <v>9.7460000000000022</v>
      </c>
      <c r="BS120" s="87">
        <f t="shared" si="122"/>
        <v>6.886000000000001</v>
      </c>
      <c r="BT120" s="88">
        <f t="shared" si="123"/>
        <v>6.8369000000000009</v>
      </c>
      <c r="BU120" s="134">
        <f t="shared" si="124"/>
        <v>6.8614500000000014</v>
      </c>
    </row>
    <row r="121" spans="1:73" ht="30" x14ac:dyDescent="0.25">
      <c r="A121" s="102" t="s">
        <v>68</v>
      </c>
      <c r="B121" s="102" t="s">
        <v>79</v>
      </c>
      <c r="C121" s="121" t="s">
        <v>92</v>
      </c>
      <c r="D121" s="156" t="s">
        <v>104</v>
      </c>
      <c r="E121" s="156" t="s">
        <v>105</v>
      </c>
      <c r="F121" s="156" t="s">
        <v>106</v>
      </c>
      <c r="G121" s="110">
        <f t="shared" si="113"/>
        <v>1</v>
      </c>
      <c r="H121" s="110">
        <f t="shared" si="114"/>
        <v>0.66</v>
      </c>
      <c r="I121" s="110">
        <f t="shared" si="115"/>
        <v>0.33</v>
      </c>
      <c r="J121" s="147">
        <f t="shared" si="116"/>
        <v>8.2750000000000004</v>
      </c>
      <c r="K121" s="87">
        <v>0.77</v>
      </c>
      <c r="L121">
        <v>1</v>
      </c>
      <c r="M121">
        <v>1</v>
      </c>
      <c r="N121" s="88">
        <v>1</v>
      </c>
      <c r="O121" s="87">
        <v>0.83</v>
      </c>
      <c r="P121">
        <v>1</v>
      </c>
      <c r="Q121">
        <v>1</v>
      </c>
      <c r="R121" s="88">
        <v>1</v>
      </c>
      <c r="S121" s="87">
        <v>0.44000000000000006</v>
      </c>
      <c r="T121">
        <v>0.55000000000000004</v>
      </c>
      <c r="U121">
        <v>0.77</v>
      </c>
      <c r="V121" s="88">
        <v>1</v>
      </c>
      <c r="W121" s="87">
        <v>0.47000000000000003</v>
      </c>
      <c r="X121">
        <v>0.55000000000000004</v>
      </c>
      <c r="Y121">
        <v>0.77</v>
      </c>
      <c r="Z121" s="88">
        <v>0.92</v>
      </c>
      <c r="AA121" s="87">
        <v>0</v>
      </c>
      <c r="AB121">
        <v>0.22000000000000003</v>
      </c>
      <c r="AC121">
        <v>0.44</v>
      </c>
      <c r="AD121" s="88">
        <v>0.55000000000000004</v>
      </c>
      <c r="AE121" s="87">
        <v>0.06</v>
      </c>
      <c r="AF121">
        <v>0.22000000000000003</v>
      </c>
      <c r="AG121">
        <v>0.44</v>
      </c>
      <c r="AH121" s="88">
        <v>0.52</v>
      </c>
      <c r="AI121" s="87">
        <v>1.04</v>
      </c>
      <c r="AJ121">
        <v>2</v>
      </c>
      <c r="AK121">
        <v>3</v>
      </c>
      <c r="AL121" s="88">
        <v>4.5</v>
      </c>
      <c r="AM121" s="87">
        <v>1.3599999999999999</v>
      </c>
      <c r="AN121">
        <v>2</v>
      </c>
      <c r="AO121">
        <v>3</v>
      </c>
      <c r="AP121" s="88">
        <v>4</v>
      </c>
      <c r="AQ121" s="87">
        <v>1.1550000000000002</v>
      </c>
      <c r="AR121">
        <v>2.4750000000000001</v>
      </c>
      <c r="AS121">
        <v>4.2350000000000003</v>
      </c>
      <c r="AT121">
        <v>6.6550000000000002</v>
      </c>
      <c r="AU121" s="87">
        <v>1.5650000000000008</v>
      </c>
      <c r="AV121">
        <v>2.4750000000000001</v>
      </c>
      <c r="AW121">
        <v>4.2350000000000003</v>
      </c>
      <c r="AX121" s="88">
        <v>5.830000000000001</v>
      </c>
      <c r="AY121" s="87">
        <v>-0.33000000000000007</v>
      </c>
      <c r="AZ121">
        <v>1.5400000000000003</v>
      </c>
      <c r="BA121">
        <v>3.52</v>
      </c>
      <c r="BB121">
        <v>5.0600000000000005</v>
      </c>
      <c r="BC121" s="87">
        <v>0.19999999999999996</v>
      </c>
      <c r="BD121">
        <v>1.5400000000000003</v>
      </c>
      <c r="BE121">
        <v>3.52</v>
      </c>
      <c r="BF121" s="88">
        <v>4.6000000000000014</v>
      </c>
      <c r="BG121" s="87">
        <f t="shared" si="117"/>
        <v>1.8650000000000002</v>
      </c>
      <c r="BH121">
        <f t="shared" si="106"/>
        <v>6.0149999999999997</v>
      </c>
      <c r="BI121">
        <f t="shared" si="107"/>
        <v>10.755000000000001</v>
      </c>
      <c r="BJ121">
        <f t="shared" si="108"/>
        <v>16.215000000000003</v>
      </c>
      <c r="BK121" s="87">
        <f t="shared" si="109"/>
        <v>3.1250000000000009</v>
      </c>
      <c r="BL121">
        <f t="shared" si="110"/>
        <v>6.0149999999999997</v>
      </c>
      <c r="BM121">
        <f t="shared" si="111"/>
        <v>10.755000000000001</v>
      </c>
      <c r="BN121">
        <f t="shared" si="112"/>
        <v>14.430000000000003</v>
      </c>
      <c r="BO121" s="138">
        <f t="shared" si="118"/>
        <v>5.1850000000000005</v>
      </c>
      <c r="BP121" s="143">
        <f t="shared" si="119"/>
        <v>11.847000000000001</v>
      </c>
      <c r="BQ121" s="138">
        <f t="shared" si="120"/>
        <v>5.4370000000000003</v>
      </c>
      <c r="BR121" s="139">
        <f t="shared" si="121"/>
        <v>11.490000000000002</v>
      </c>
      <c r="BS121" s="87">
        <f t="shared" si="122"/>
        <v>8.5160000000000018</v>
      </c>
      <c r="BT121" s="88">
        <f t="shared" si="123"/>
        <v>8.4635000000000016</v>
      </c>
      <c r="BU121" s="134">
        <f t="shared" si="124"/>
        <v>8.4897500000000008</v>
      </c>
    </row>
    <row r="122" spans="1:73" ht="30" x14ac:dyDescent="0.25">
      <c r="A122" s="102" t="s">
        <v>69</v>
      </c>
      <c r="B122" s="102" t="s">
        <v>80</v>
      </c>
      <c r="C122" s="121" t="s">
        <v>81</v>
      </c>
      <c r="D122" s="156" t="s">
        <v>105</v>
      </c>
      <c r="E122" s="156" t="s">
        <v>106</v>
      </c>
      <c r="F122" s="156" t="s">
        <v>104</v>
      </c>
      <c r="G122" s="110">
        <f t="shared" si="113"/>
        <v>0.66</v>
      </c>
      <c r="H122" s="110">
        <f t="shared" si="114"/>
        <v>0.33</v>
      </c>
      <c r="I122" s="110">
        <f t="shared" si="115"/>
        <v>1</v>
      </c>
      <c r="J122" s="147">
        <f t="shared" si="116"/>
        <v>10.8</v>
      </c>
      <c r="K122" s="87">
        <v>0.44000000000000006</v>
      </c>
      <c r="L122">
        <v>0.55000000000000004</v>
      </c>
      <c r="M122">
        <v>0.77</v>
      </c>
      <c r="N122" s="88">
        <v>1</v>
      </c>
      <c r="O122" s="87">
        <v>0.47000000000000003</v>
      </c>
      <c r="P122">
        <v>0.55000000000000004</v>
      </c>
      <c r="Q122">
        <v>0.77</v>
      </c>
      <c r="R122" s="88">
        <v>0.92</v>
      </c>
      <c r="S122" s="87">
        <v>0</v>
      </c>
      <c r="T122">
        <v>0.22000000000000003</v>
      </c>
      <c r="U122">
        <v>0.44</v>
      </c>
      <c r="V122" s="88">
        <v>0.55000000000000004</v>
      </c>
      <c r="W122" s="87">
        <v>0.06</v>
      </c>
      <c r="X122">
        <v>0.22000000000000003</v>
      </c>
      <c r="Y122">
        <v>0.44</v>
      </c>
      <c r="Z122" s="88">
        <v>0.52</v>
      </c>
      <c r="AA122" s="87">
        <v>0.77</v>
      </c>
      <c r="AB122">
        <v>1</v>
      </c>
      <c r="AC122">
        <v>1</v>
      </c>
      <c r="AD122" s="88">
        <v>1</v>
      </c>
      <c r="AE122" s="87">
        <v>0.83</v>
      </c>
      <c r="AF122">
        <v>1</v>
      </c>
      <c r="AG122">
        <v>1</v>
      </c>
      <c r="AH122" s="88">
        <v>1</v>
      </c>
      <c r="AI122" s="87">
        <v>0.60499999999999998</v>
      </c>
      <c r="AJ122">
        <v>1.1000000000000001</v>
      </c>
      <c r="AK122">
        <v>2.31</v>
      </c>
      <c r="AL122" s="88">
        <v>4.1549999999999994</v>
      </c>
      <c r="AM122" s="87">
        <v>0.77499999999999991</v>
      </c>
      <c r="AN122">
        <v>1.1000000000000001</v>
      </c>
      <c r="AO122">
        <v>2.31</v>
      </c>
      <c r="AP122" s="88">
        <v>3.53</v>
      </c>
      <c r="AQ122" s="87">
        <v>-0.32999999999999996</v>
      </c>
      <c r="AR122">
        <v>0.9900000000000001</v>
      </c>
      <c r="AS122">
        <v>2.42</v>
      </c>
      <c r="AT122">
        <v>3.6850000000000005</v>
      </c>
      <c r="AU122" s="87">
        <v>4.9999999999999933E-2</v>
      </c>
      <c r="AV122">
        <v>0.9900000000000001</v>
      </c>
      <c r="AW122">
        <v>2.42</v>
      </c>
      <c r="AX122" s="88">
        <v>3.3000000000000007</v>
      </c>
      <c r="AY122" s="87">
        <v>3.8900000000000006</v>
      </c>
      <c r="AZ122">
        <v>7</v>
      </c>
      <c r="BA122">
        <v>8</v>
      </c>
      <c r="BB122">
        <v>9.5</v>
      </c>
      <c r="BC122" s="87">
        <v>4.8099999999999987</v>
      </c>
      <c r="BD122">
        <v>7</v>
      </c>
      <c r="BE122">
        <v>8</v>
      </c>
      <c r="BF122" s="88">
        <v>9</v>
      </c>
      <c r="BG122" s="87">
        <f t="shared" si="117"/>
        <v>4.1650000000000009</v>
      </c>
      <c r="BH122">
        <f t="shared" si="106"/>
        <v>9.09</v>
      </c>
      <c r="BI122">
        <f t="shared" si="107"/>
        <v>12.73</v>
      </c>
      <c r="BJ122">
        <f t="shared" si="108"/>
        <v>17.34</v>
      </c>
      <c r="BK122" s="87">
        <f t="shared" si="109"/>
        <v>5.6349999999999989</v>
      </c>
      <c r="BL122">
        <f t="shared" si="110"/>
        <v>9.09</v>
      </c>
      <c r="BM122">
        <f t="shared" si="111"/>
        <v>12.73</v>
      </c>
      <c r="BN122">
        <f t="shared" si="112"/>
        <v>15.83</v>
      </c>
      <c r="BO122" s="138">
        <f t="shared" si="118"/>
        <v>8.1050000000000004</v>
      </c>
      <c r="BP122" s="143">
        <f t="shared" si="119"/>
        <v>13.652000000000001</v>
      </c>
      <c r="BQ122" s="138">
        <f t="shared" si="120"/>
        <v>8.3989999999999991</v>
      </c>
      <c r="BR122" s="139">
        <f t="shared" si="121"/>
        <v>13.350000000000001</v>
      </c>
      <c r="BS122" s="87">
        <f t="shared" si="122"/>
        <v>10.878500000000001</v>
      </c>
      <c r="BT122" s="88">
        <f t="shared" si="123"/>
        <v>10.874500000000001</v>
      </c>
      <c r="BU122" s="134">
        <f t="shared" si="124"/>
        <v>10.8765</v>
      </c>
    </row>
    <row r="123" spans="1:73" ht="36.75" customHeight="1" x14ac:dyDescent="0.25">
      <c r="A123" s="102" t="s">
        <v>70</v>
      </c>
      <c r="B123" s="102" t="s">
        <v>82</v>
      </c>
      <c r="C123" s="121" t="s">
        <v>93</v>
      </c>
      <c r="D123" s="156" t="s">
        <v>105</v>
      </c>
      <c r="E123" s="156" t="s">
        <v>104</v>
      </c>
      <c r="F123" s="156" t="s">
        <v>106</v>
      </c>
      <c r="G123" s="110">
        <f t="shared" si="113"/>
        <v>0.66</v>
      </c>
      <c r="H123" s="110">
        <f t="shared" si="114"/>
        <v>1</v>
      </c>
      <c r="I123" s="110">
        <f t="shared" si="115"/>
        <v>0.33</v>
      </c>
      <c r="J123" s="147">
        <f t="shared" si="116"/>
        <v>9.125</v>
      </c>
      <c r="K123" s="87">
        <v>0.44000000000000006</v>
      </c>
      <c r="L123">
        <v>0.55000000000000004</v>
      </c>
      <c r="M123">
        <v>0.77</v>
      </c>
      <c r="N123" s="88">
        <v>1</v>
      </c>
      <c r="O123" s="87">
        <v>0.47000000000000003</v>
      </c>
      <c r="P123">
        <v>0.55000000000000004</v>
      </c>
      <c r="Q123">
        <v>0.77</v>
      </c>
      <c r="R123" s="88">
        <v>0.92</v>
      </c>
      <c r="S123" s="87">
        <v>0.77</v>
      </c>
      <c r="T123">
        <v>1</v>
      </c>
      <c r="U123">
        <v>1</v>
      </c>
      <c r="V123" s="88">
        <v>1</v>
      </c>
      <c r="W123" s="87">
        <v>0.83</v>
      </c>
      <c r="X123">
        <v>1</v>
      </c>
      <c r="Y123">
        <v>1</v>
      </c>
      <c r="Z123" s="88">
        <v>1</v>
      </c>
      <c r="AA123" s="87">
        <v>0</v>
      </c>
      <c r="AB123">
        <v>0.22000000000000003</v>
      </c>
      <c r="AC123">
        <v>0.44</v>
      </c>
      <c r="AD123" s="88">
        <v>0.55000000000000004</v>
      </c>
      <c r="AE123" s="87">
        <v>0.06</v>
      </c>
      <c r="AF123">
        <v>0.22000000000000003</v>
      </c>
      <c r="AG123">
        <v>0.44</v>
      </c>
      <c r="AH123" s="88">
        <v>0.52</v>
      </c>
      <c r="AI123" s="87">
        <v>0.60499999999999998</v>
      </c>
      <c r="AJ123">
        <v>1.1000000000000001</v>
      </c>
      <c r="AK123">
        <v>2.31</v>
      </c>
      <c r="AL123" s="88">
        <v>4.1549999999999994</v>
      </c>
      <c r="AM123" s="87">
        <v>0.77499999999999991</v>
      </c>
      <c r="AN123">
        <v>1.1000000000000001</v>
      </c>
      <c r="AO123">
        <v>2.31</v>
      </c>
      <c r="AP123" s="88">
        <v>3.53</v>
      </c>
      <c r="AQ123" s="87">
        <v>1.9649999999999999</v>
      </c>
      <c r="AR123">
        <v>4.5</v>
      </c>
      <c r="AS123">
        <v>5.5</v>
      </c>
      <c r="AT123">
        <v>7</v>
      </c>
      <c r="AU123" s="87">
        <v>2.7349999999999994</v>
      </c>
      <c r="AV123">
        <v>4.5</v>
      </c>
      <c r="AW123">
        <v>5.5</v>
      </c>
      <c r="AX123" s="88">
        <v>6.5</v>
      </c>
      <c r="AY123" s="87">
        <v>-0.33000000000000007</v>
      </c>
      <c r="AZ123">
        <v>1.5400000000000003</v>
      </c>
      <c r="BA123">
        <v>3.52</v>
      </c>
      <c r="BB123">
        <v>5.0600000000000005</v>
      </c>
      <c r="BC123" s="87">
        <v>0.19999999999999996</v>
      </c>
      <c r="BD123">
        <v>1.5400000000000003</v>
      </c>
      <c r="BE123">
        <v>3.52</v>
      </c>
      <c r="BF123" s="88">
        <v>4.6000000000000014</v>
      </c>
      <c r="BG123" s="87">
        <f t="shared" si="117"/>
        <v>2.2399999999999998</v>
      </c>
      <c r="BH123">
        <f t="shared" si="106"/>
        <v>7.14</v>
      </c>
      <c r="BI123">
        <f t="shared" si="107"/>
        <v>11.33</v>
      </c>
      <c r="BJ123">
        <f t="shared" si="108"/>
        <v>16.215</v>
      </c>
      <c r="BK123" s="87">
        <f t="shared" si="109"/>
        <v>3.7099999999999991</v>
      </c>
      <c r="BL123">
        <f t="shared" si="110"/>
        <v>7.14</v>
      </c>
      <c r="BM123">
        <f t="shared" si="111"/>
        <v>11.33</v>
      </c>
      <c r="BN123">
        <f t="shared" si="112"/>
        <v>14.63</v>
      </c>
      <c r="BO123" s="138">
        <f t="shared" si="118"/>
        <v>6.1599999999999993</v>
      </c>
      <c r="BP123" s="143">
        <f t="shared" si="119"/>
        <v>12.306999999999999</v>
      </c>
      <c r="BQ123" s="138">
        <f t="shared" si="120"/>
        <v>6.4539999999999997</v>
      </c>
      <c r="BR123" s="139">
        <f t="shared" si="121"/>
        <v>11.99</v>
      </c>
      <c r="BS123" s="87">
        <f t="shared" si="122"/>
        <v>9.2334999999999994</v>
      </c>
      <c r="BT123" s="88">
        <f t="shared" si="123"/>
        <v>9.2219999999999995</v>
      </c>
      <c r="BU123" s="134">
        <f t="shared" si="124"/>
        <v>9.2277500000000003</v>
      </c>
    </row>
    <row r="124" spans="1:73" ht="30.75" thickBot="1" x14ac:dyDescent="0.3">
      <c r="A124" s="102" t="s">
        <v>71</v>
      </c>
      <c r="B124" s="102" t="s">
        <v>83</v>
      </c>
      <c r="C124" s="121" t="s">
        <v>94</v>
      </c>
      <c r="D124" s="156" t="s">
        <v>106</v>
      </c>
      <c r="E124" s="156" t="s">
        <v>104</v>
      </c>
      <c r="F124" s="156" t="s">
        <v>105</v>
      </c>
      <c r="G124" s="110">
        <f t="shared" si="113"/>
        <v>0.33</v>
      </c>
      <c r="H124" s="110">
        <f t="shared" si="114"/>
        <v>1</v>
      </c>
      <c r="I124" s="110">
        <f t="shared" si="115"/>
        <v>0.66</v>
      </c>
      <c r="J124" s="147">
        <f t="shared" si="116"/>
        <v>10.775</v>
      </c>
      <c r="K124" s="91">
        <v>0</v>
      </c>
      <c r="L124" s="93">
        <v>0.22000000000000003</v>
      </c>
      <c r="M124" s="93">
        <v>0.44</v>
      </c>
      <c r="N124" s="94">
        <v>0.55000000000000004</v>
      </c>
      <c r="O124" s="91">
        <v>0.06</v>
      </c>
      <c r="P124" s="93">
        <v>0.22000000000000003</v>
      </c>
      <c r="Q124" s="93">
        <v>0.44</v>
      </c>
      <c r="R124" s="94">
        <v>0.52</v>
      </c>
      <c r="S124" s="91">
        <v>0.77</v>
      </c>
      <c r="T124" s="93">
        <v>1</v>
      </c>
      <c r="U124" s="93">
        <v>1</v>
      </c>
      <c r="V124" s="94">
        <v>1</v>
      </c>
      <c r="W124" s="91">
        <v>0.83</v>
      </c>
      <c r="X124" s="93">
        <v>1</v>
      </c>
      <c r="Y124" s="93">
        <v>1</v>
      </c>
      <c r="Z124" s="94">
        <v>1</v>
      </c>
      <c r="AA124" s="91">
        <v>0.44000000000000006</v>
      </c>
      <c r="AB124" s="93">
        <v>0.55000000000000004</v>
      </c>
      <c r="AC124" s="93">
        <v>0.77</v>
      </c>
      <c r="AD124" s="94">
        <v>1</v>
      </c>
      <c r="AE124" s="91">
        <v>0.47000000000000003</v>
      </c>
      <c r="AF124" s="93">
        <v>0.55000000000000004</v>
      </c>
      <c r="AG124" s="93">
        <v>0.77</v>
      </c>
      <c r="AH124" s="94">
        <v>0.92</v>
      </c>
      <c r="AI124" s="91">
        <v>-0.10999999999999999</v>
      </c>
      <c r="AJ124" s="93">
        <v>0.44000000000000006</v>
      </c>
      <c r="AK124" s="93">
        <v>1.32</v>
      </c>
      <c r="AL124" s="94">
        <v>2.3099999999999996</v>
      </c>
      <c r="AM124" s="91">
        <v>5.3999999999999992E-2</v>
      </c>
      <c r="AN124" s="93">
        <v>0.44000000000000006</v>
      </c>
      <c r="AO124" s="93">
        <v>1.32</v>
      </c>
      <c r="AP124" s="94">
        <v>2</v>
      </c>
      <c r="AQ124" s="91">
        <v>1.9649999999999999</v>
      </c>
      <c r="AR124" s="93">
        <v>4.5</v>
      </c>
      <c r="AS124" s="93">
        <v>5.5</v>
      </c>
      <c r="AT124" s="93">
        <v>7</v>
      </c>
      <c r="AU124" s="91">
        <v>2.7349999999999994</v>
      </c>
      <c r="AV124" s="93">
        <v>4.5</v>
      </c>
      <c r="AW124" s="93">
        <v>5.5</v>
      </c>
      <c r="AX124" s="94">
        <v>6.5</v>
      </c>
      <c r="AY124" s="91">
        <v>2.2549999999999999</v>
      </c>
      <c r="AZ124" s="93">
        <v>3.8500000000000005</v>
      </c>
      <c r="BA124" s="93">
        <v>6.16</v>
      </c>
      <c r="BB124" s="93">
        <v>9.1550000000000011</v>
      </c>
      <c r="BC124" s="91">
        <v>2.7399999999999993</v>
      </c>
      <c r="BD124" s="93">
        <v>3.8500000000000005</v>
      </c>
      <c r="BE124" s="93">
        <v>6.16</v>
      </c>
      <c r="BF124" s="94">
        <v>8.129999999999999</v>
      </c>
      <c r="BG124" s="91">
        <f t="shared" si="117"/>
        <v>4.1099999999999994</v>
      </c>
      <c r="BH124" s="93">
        <f t="shared" si="106"/>
        <v>8.7900000000000009</v>
      </c>
      <c r="BI124" s="93">
        <f t="shared" si="107"/>
        <v>12.98</v>
      </c>
      <c r="BJ124" s="93">
        <f t="shared" si="108"/>
        <v>18.465</v>
      </c>
      <c r="BK124" s="91">
        <f t="shared" si="109"/>
        <v>5.5289999999999981</v>
      </c>
      <c r="BL124" s="93">
        <f t="shared" si="110"/>
        <v>8.7900000000000009</v>
      </c>
      <c r="BM124" s="93">
        <f t="shared" si="111"/>
        <v>12.98</v>
      </c>
      <c r="BN124" s="93">
        <f t="shared" si="112"/>
        <v>16.63</v>
      </c>
      <c r="BO124" s="140">
        <f t="shared" si="118"/>
        <v>7.854000000000001</v>
      </c>
      <c r="BP124" s="144">
        <f t="shared" si="119"/>
        <v>14.077</v>
      </c>
      <c r="BQ124" s="140">
        <f t="shared" si="120"/>
        <v>8.1378000000000004</v>
      </c>
      <c r="BR124" s="141">
        <f t="shared" si="121"/>
        <v>13.709999999999999</v>
      </c>
      <c r="BS124" s="91">
        <f t="shared" si="122"/>
        <v>10.9655</v>
      </c>
      <c r="BT124" s="94">
        <f t="shared" si="123"/>
        <v>10.9239</v>
      </c>
      <c r="BU124" s="135">
        <f t="shared" si="124"/>
        <v>10.944700000000001</v>
      </c>
    </row>
    <row r="125" spans="1:73" x14ac:dyDescent="0.25">
      <c r="BF125" s="60"/>
      <c r="BG125" s="59"/>
      <c r="BH125" s="59"/>
      <c r="BI125" s="59"/>
      <c r="BJ125" s="59"/>
      <c r="BK125" s="59"/>
    </row>
    <row r="126" spans="1:73" x14ac:dyDescent="0.25">
      <c r="A126" s="1" t="s">
        <v>200</v>
      </c>
      <c r="B126" s="1"/>
    </row>
    <row r="127" spans="1:73" ht="15.75" thickBot="1" x14ac:dyDescent="0.3">
      <c r="A127" s="107" t="s">
        <v>103</v>
      </c>
      <c r="B127" s="108" t="s">
        <v>122</v>
      </c>
      <c r="E127" s="112" t="s">
        <v>17</v>
      </c>
      <c r="I127" t="s">
        <v>18</v>
      </c>
    </row>
    <row r="128" spans="1:73" x14ac:dyDescent="0.25">
      <c r="A128" s="106" t="s">
        <v>107</v>
      </c>
      <c r="B128" s="2">
        <v>0</v>
      </c>
      <c r="C128" s="79">
        <v>0</v>
      </c>
      <c r="D128" s="80" t="s">
        <v>107</v>
      </c>
      <c r="E128" s="81">
        <v>0</v>
      </c>
      <c r="F128" s="82">
        <f>C128</f>
        <v>0</v>
      </c>
      <c r="G128" s="83">
        <v>0</v>
      </c>
      <c r="H128" s="84">
        <v>0.22</v>
      </c>
      <c r="I128" s="85">
        <v>0</v>
      </c>
      <c r="J128" s="83">
        <f>F128</f>
        <v>0</v>
      </c>
      <c r="K128" s="83">
        <f>G128</f>
        <v>0</v>
      </c>
      <c r="L128" s="86">
        <v>0.15</v>
      </c>
    </row>
    <row r="129" spans="1:12" x14ac:dyDescent="0.25">
      <c r="A129" s="106" t="s">
        <v>106</v>
      </c>
      <c r="B129" s="2">
        <v>0.33</v>
      </c>
      <c r="C129" s="79">
        <v>0.33</v>
      </c>
      <c r="D129" s="80" t="s">
        <v>106</v>
      </c>
      <c r="E129" s="87">
        <v>0</v>
      </c>
      <c r="F129" s="111">
        <f>C129-0.11</f>
        <v>0.22000000000000003</v>
      </c>
      <c r="G129">
        <f>C129+0.11</f>
        <v>0.44</v>
      </c>
      <c r="H129" s="88">
        <f t="shared" ref="H129" si="125">G129+0.11</f>
        <v>0.55000000000000004</v>
      </c>
      <c r="I129" s="89">
        <v>0.06</v>
      </c>
      <c r="J129">
        <f t="shared" ref="J129:J131" si="126">F129</f>
        <v>0.22000000000000003</v>
      </c>
      <c r="K129">
        <f t="shared" ref="K129:K131" si="127">G129</f>
        <v>0.44</v>
      </c>
      <c r="L129" s="90">
        <f t="shared" ref="L129" si="128">K129+0.08</f>
        <v>0.52</v>
      </c>
    </row>
    <row r="130" spans="1:12" x14ac:dyDescent="0.25">
      <c r="A130" s="106" t="s">
        <v>105</v>
      </c>
      <c r="B130" s="2">
        <v>0.66</v>
      </c>
      <c r="C130" s="79">
        <v>0.66</v>
      </c>
      <c r="D130" s="80" t="s">
        <v>105</v>
      </c>
      <c r="E130" s="87">
        <f t="shared" ref="E130" si="129">F130-0.11</f>
        <v>0.44000000000000006</v>
      </c>
      <c r="F130" s="111">
        <f t="shared" ref="F130" si="130">C130-0.11</f>
        <v>0.55000000000000004</v>
      </c>
      <c r="G130">
        <f t="shared" ref="G130" si="131">C130+0.11</f>
        <v>0.77</v>
      </c>
      <c r="H130" s="88">
        <v>1</v>
      </c>
      <c r="I130" s="89">
        <f t="shared" ref="I130" si="132">J130-0.08</f>
        <v>0.47000000000000003</v>
      </c>
      <c r="J130">
        <f t="shared" si="126"/>
        <v>0.55000000000000004</v>
      </c>
      <c r="K130">
        <f t="shared" si="127"/>
        <v>0.77</v>
      </c>
      <c r="L130" s="90">
        <v>0.92</v>
      </c>
    </row>
    <row r="131" spans="1:12" ht="15.75" thickBot="1" x14ac:dyDescent="0.3">
      <c r="A131" s="106" t="s">
        <v>104</v>
      </c>
      <c r="B131" s="2">
        <v>1</v>
      </c>
      <c r="C131" s="79">
        <v>1</v>
      </c>
      <c r="D131" s="80" t="s">
        <v>104</v>
      </c>
      <c r="E131" s="91">
        <v>0.77</v>
      </c>
      <c r="F131" s="92">
        <v>1</v>
      </c>
      <c r="G131" s="93">
        <v>1</v>
      </c>
      <c r="H131" s="94">
        <v>1</v>
      </c>
      <c r="I131" s="95">
        <v>0.83</v>
      </c>
      <c r="J131" s="93">
        <f t="shared" si="126"/>
        <v>1</v>
      </c>
      <c r="K131" s="93">
        <f t="shared" si="127"/>
        <v>1</v>
      </c>
      <c r="L131" s="96">
        <v>1</v>
      </c>
    </row>
    <row r="132" spans="1:12" x14ac:dyDescent="0.25">
      <c r="A132" s="99"/>
    </row>
    <row r="133" spans="1:12" x14ac:dyDescent="0.25">
      <c r="A133" s="1" t="s">
        <v>201</v>
      </c>
    </row>
    <row r="134" spans="1:12" ht="15.75" thickBot="1" x14ac:dyDescent="0.3">
      <c r="A134" s="107" t="s">
        <v>103</v>
      </c>
      <c r="B134" s="108" t="s">
        <v>123</v>
      </c>
      <c r="E134" s="112" t="s">
        <v>17</v>
      </c>
      <c r="I134" t="s">
        <v>18</v>
      </c>
    </row>
    <row r="135" spans="1:12" x14ac:dyDescent="0.25">
      <c r="A135" s="106" t="s">
        <v>107</v>
      </c>
      <c r="B135" s="2">
        <v>1</v>
      </c>
      <c r="C135" s="79">
        <v>1</v>
      </c>
      <c r="D135" s="80" t="s">
        <v>107</v>
      </c>
      <c r="E135" s="81">
        <v>0</v>
      </c>
      <c r="F135" s="82">
        <v>0.5</v>
      </c>
      <c r="G135" s="83">
        <v>1.5</v>
      </c>
      <c r="H135" s="84">
        <v>2</v>
      </c>
      <c r="I135" s="85">
        <v>0</v>
      </c>
      <c r="J135" s="83">
        <f>F135</f>
        <v>0.5</v>
      </c>
      <c r="K135" s="83">
        <f>G135</f>
        <v>1.5</v>
      </c>
      <c r="L135" s="86">
        <v>1.8</v>
      </c>
    </row>
    <row r="136" spans="1:12" x14ac:dyDescent="0.25">
      <c r="A136" s="106" t="s">
        <v>106</v>
      </c>
      <c r="B136" s="2">
        <v>2.5</v>
      </c>
      <c r="C136" s="79">
        <v>2.5</v>
      </c>
      <c r="D136" s="80" t="s">
        <v>106</v>
      </c>
      <c r="E136" s="87">
        <v>1.5</v>
      </c>
      <c r="F136" s="111">
        <f>C136-0.5</f>
        <v>2</v>
      </c>
      <c r="G136">
        <f>C136+0.5</f>
        <v>3</v>
      </c>
      <c r="H136" s="88">
        <f t="shared" ref="H136:H138" si="133">G136+1.5</f>
        <v>4.5</v>
      </c>
      <c r="I136" s="89">
        <v>1.7</v>
      </c>
      <c r="J136">
        <f t="shared" ref="J136:J138" si="134">F136</f>
        <v>2</v>
      </c>
      <c r="K136">
        <f t="shared" ref="K136:K138" si="135">G136</f>
        <v>3</v>
      </c>
      <c r="L136" s="90">
        <f t="shared" ref="L136:L138" si="136">K136+1</f>
        <v>4</v>
      </c>
    </row>
    <row r="137" spans="1:12" x14ac:dyDescent="0.25">
      <c r="A137" s="106" t="s">
        <v>105</v>
      </c>
      <c r="B137" s="2">
        <v>5</v>
      </c>
      <c r="C137" s="79">
        <v>5</v>
      </c>
      <c r="D137" s="80" t="s">
        <v>105</v>
      </c>
      <c r="E137" s="87">
        <f t="shared" ref="E137:E138" si="137">F137-1.5</f>
        <v>3</v>
      </c>
      <c r="F137" s="111">
        <f>C137-0.5</f>
        <v>4.5</v>
      </c>
      <c r="G137">
        <f>C137+0.5</f>
        <v>5.5</v>
      </c>
      <c r="H137" s="88">
        <f t="shared" si="133"/>
        <v>7</v>
      </c>
      <c r="I137" s="89">
        <f t="shared" ref="I137:I138" si="138">J137-1</f>
        <v>3.5</v>
      </c>
      <c r="J137">
        <f t="shared" si="134"/>
        <v>4.5</v>
      </c>
      <c r="K137">
        <f t="shared" si="135"/>
        <v>5.5</v>
      </c>
      <c r="L137" s="90">
        <f t="shared" si="136"/>
        <v>6.5</v>
      </c>
    </row>
    <row r="138" spans="1:12" ht="15.75" thickBot="1" x14ac:dyDescent="0.3">
      <c r="A138" s="106" t="s">
        <v>104</v>
      </c>
      <c r="B138" s="2">
        <v>7.5</v>
      </c>
      <c r="C138" s="79">
        <v>7.5</v>
      </c>
      <c r="D138" s="80" t="s">
        <v>104</v>
      </c>
      <c r="E138" s="91">
        <f t="shared" si="137"/>
        <v>5.5</v>
      </c>
      <c r="F138" s="92">
        <f>C138-0.5</f>
        <v>7</v>
      </c>
      <c r="G138" s="93">
        <f>C138+0.5</f>
        <v>8</v>
      </c>
      <c r="H138" s="94">
        <f t="shared" si="133"/>
        <v>9.5</v>
      </c>
      <c r="I138" s="95">
        <f t="shared" si="138"/>
        <v>6</v>
      </c>
      <c r="J138" s="93">
        <f t="shared" si="134"/>
        <v>7</v>
      </c>
      <c r="K138" s="93">
        <f t="shared" si="135"/>
        <v>8</v>
      </c>
      <c r="L138" s="96">
        <f t="shared" si="136"/>
        <v>9</v>
      </c>
    </row>
    <row r="140" spans="1:12" ht="15.75" thickBot="1" x14ac:dyDescent="0.3">
      <c r="A140" s="1" t="s">
        <v>202</v>
      </c>
    </row>
    <row r="141" spans="1:12" ht="67.5" customHeight="1" thickBot="1" x14ac:dyDescent="0.3">
      <c r="A141" s="114" t="s">
        <v>117</v>
      </c>
      <c r="B141" s="113" t="s">
        <v>99</v>
      </c>
      <c r="C141" s="115" t="s">
        <v>108</v>
      </c>
      <c r="D141" s="116" t="s">
        <v>203</v>
      </c>
      <c r="E141" s="283" t="s">
        <v>126</v>
      </c>
      <c r="F141" s="284"/>
      <c r="G141" s="284"/>
      <c r="H141" s="284"/>
      <c r="I141" s="284"/>
      <c r="J141" s="284"/>
      <c r="K141" s="284"/>
      <c r="L141" s="285"/>
    </row>
    <row r="142" spans="1:12" x14ac:dyDescent="0.25">
      <c r="A142" s="125" t="s">
        <v>114</v>
      </c>
      <c r="B142" s="117" t="s">
        <v>100</v>
      </c>
      <c r="C142" s="118" t="s">
        <v>106</v>
      </c>
      <c r="D142" s="150">
        <v>2.5</v>
      </c>
      <c r="E142" s="87">
        <v>1.5</v>
      </c>
      <c r="F142" s="111">
        <v>2</v>
      </c>
      <c r="G142">
        <v>3</v>
      </c>
      <c r="H142" s="88">
        <v>4.5</v>
      </c>
      <c r="I142" s="89">
        <v>1.7</v>
      </c>
      <c r="J142">
        <v>2</v>
      </c>
      <c r="K142">
        <v>3</v>
      </c>
      <c r="L142" s="90">
        <v>4</v>
      </c>
    </row>
    <row r="143" spans="1:12" x14ac:dyDescent="0.25">
      <c r="A143" s="126" t="s">
        <v>115</v>
      </c>
      <c r="B143" s="104" t="s">
        <v>101</v>
      </c>
      <c r="C143" s="2" t="s">
        <v>105</v>
      </c>
      <c r="D143" s="150">
        <v>5</v>
      </c>
      <c r="E143" s="87">
        <v>3</v>
      </c>
      <c r="F143" s="111">
        <v>4.5</v>
      </c>
      <c r="G143">
        <v>5.5</v>
      </c>
      <c r="H143" s="88">
        <v>7</v>
      </c>
      <c r="I143" s="89">
        <v>3.5</v>
      </c>
      <c r="J143">
        <v>4.5</v>
      </c>
      <c r="K143">
        <v>5.5</v>
      </c>
      <c r="L143" s="90">
        <v>6.5</v>
      </c>
    </row>
    <row r="144" spans="1:12" ht="15.75" thickBot="1" x14ac:dyDescent="0.3">
      <c r="A144" s="127" t="s">
        <v>116</v>
      </c>
      <c r="B144" s="119" t="s">
        <v>102</v>
      </c>
      <c r="C144" s="120" t="s">
        <v>104</v>
      </c>
      <c r="D144" s="150">
        <v>7.5</v>
      </c>
      <c r="E144" s="91">
        <v>5.5</v>
      </c>
      <c r="F144" s="92">
        <v>7</v>
      </c>
      <c r="G144" s="93">
        <v>8</v>
      </c>
      <c r="H144" s="94">
        <v>9.5</v>
      </c>
      <c r="I144" s="95">
        <v>6</v>
      </c>
      <c r="J144" s="93">
        <v>7</v>
      </c>
      <c r="K144" s="93">
        <v>8</v>
      </c>
      <c r="L144" s="96">
        <v>9</v>
      </c>
    </row>
    <row r="146" spans="1:12" ht="15.75" thickBot="1" x14ac:dyDescent="0.3">
      <c r="A146" s="1" t="s">
        <v>204</v>
      </c>
    </row>
    <row r="147" spans="1:12" ht="45.75" thickBot="1" x14ac:dyDescent="0.3">
      <c r="A147" s="171" t="s">
        <v>132</v>
      </c>
      <c r="B147" s="172" t="s">
        <v>133</v>
      </c>
      <c r="E147" s="283" t="s">
        <v>134</v>
      </c>
      <c r="F147" s="284"/>
      <c r="G147" s="284"/>
      <c r="H147" s="284"/>
      <c r="I147" s="284"/>
      <c r="J147" s="284"/>
      <c r="K147" s="284"/>
      <c r="L147" s="285"/>
    </row>
    <row r="148" spans="1:12" x14ac:dyDescent="0.25">
      <c r="A148" s="125" t="s">
        <v>129</v>
      </c>
      <c r="B148" s="130" t="s">
        <v>107</v>
      </c>
      <c r="D148" s="133" t="s">
        <v>138</v>
      </c>
      <c r="E148" s="81">
        <f>E128*F$142+E$142*F128-F128*F$142</f>
        <v>0</v>
      </c>
      <c r="F148" s="83">
        <f>F128*F$142</f>
        <v>0</v>
      </c>
      <c r="G148" s="83">
        <f>G128*G$142</f>
        <v>0</v>
      </c>
      <c r="H148" s="84">
        <f>G128*H$142+G$142*H128-G128*G$142</f>
        <v>0.66</v>
      </c>
      <c r="I148" s="81">
        <f>I128*J$142+I$142*J128-J128*J$142</f>
        <v>0</v>
      </c>
      <c r="J148" s="83">
        <f>J128*J$142</f>
        <v>0</v>
      </c>
      <c r="K148" s="83">
        <f>K128*K$142</f>
        <v>0</v>
      </c>
      <c r="L148" s="84">
        <f>K128*L$142+K$142*L128-K128*K$142</f>
        <v>0.44999999999999996</v>
      </c>
    </row>
    <row r="149" spans="1:12" x14ac:dyDescent="0.25">
      <c r="A149" s="126" t="s">
        <v>129</v>
      </c>
      <c r="B149" s="131" t="s">
        <v>106</v>
      </c>
      <c r="D149" s="134" t="s">
        <v>137</v>
      </c>
      <c r="E149" s="87">
        <f t="shared" ref="E149:E151" si="139">E129*F$142+E$142*F129-F129*F$142</f>
        <v>-0.10999999999999999</v>
      </c>
      <c r="F149">
        <f t="shared" ref="F149:G149" si="140">F129*F$142</f>
        <v>0.44000000000000006</v>
      </c>
      <c r="G149">
        <f t="shared" si="140"/>
        <v>1.32</v>
      </c>
      <c r="H149" s="88">
        <f t="shared" ref="H149:H151" si="141">G129*H$142+G$142*H129-G129*G$142</f>
        <v>2.3099999999999996</v>
      </c>
      <c r="I149" s="87">
        <f t="shared" ref="I149:I151" si="142">I129*J$142+I$142*J129-J129*J$142</f>
        <v>5.3999999999999992E-2</v>
      </c>
      <c r="J149">
        <f t="shared" ref="J149:K149" si="143">J129*J$142</f>
        <v>0.44000000000000006</v>
      </c>
      <c r="K149">
        <f t="shared" si="143"/>
        <v>1.32</v>
      </c>
      <c r="L149" s="88">
        <f t="shared" ref="L149:L151" si="144">K129*L$142+K$142*L129-K129*K$142</f>
        <v>2</v>
      </c>
    </row>
    <row r="150" spans="1:12" x14ac:dyDescent="0.25">
      <c r="A150" s="126" t="s">
        <v>129</v>
      </c>
      <c r="B150" s="131" t="s">
        <v>105</v>
      </c>
      <c r="D150" s="134" t="s">
        <v>136</v>
      </c>
      <c r="E150" s="87">
        <f t="shared" si="139"/>
        <v>0.60499999999999998</v>
      </c>
      <c r="F150">
        <f t="shared" ref="F150:G150" si="145">F130*F$142</f>
        <v>1.1000000000000001</v>
      </c>
      <c r="G150">
        <f t="shared" si="145"/>
        <v>2.31</v>
      </c>
      <c r="H150" s="88">
        <f t="shared" si="141"/>
        <v>4.1549999999999994</v>
      </c>
      <c r="I150" s="87">
        <f t="shared" si="142"/>
        <v>0.77499999999999991</v>
      </c>
      <c r="J150">
        <f t="shared" ref="J150:K150" si="146">J130*J$142</f>
        <v>1.1000000000000001</v>
      </c>
      <c r="K150">
        <f t="shared" si="146"/>
        <v>2.31</v>
      </c>
      <c r="L150" s="88">
        <f t="shared" si="144"/>
        <v>3.53</v>
      </c>
    </row>
    <row r="151" spans="1:12" ht="15.75" thickBot="1" x14ac:dyDescent="0.3">
      <c r="A151" s="127" t="s">
        <v>129</v>
      </c>
      <c r="B151" s="132" t="s">
        <v>104</v>
      </c>
      <c r="D151" s="135" t="s">
        <v>135</v>
      </c>
      <c r="E151" s="91">
        <f t="shared" si="139"/>
        <v>1.04</v>
      </c>
      <c r="F151" s="93">
        <f t="shared" ref="F151:G151" si="147">F131*F$142</f>
        <v>2</v>
      </c>
      <c r="G151" s="93">
        <f t="shared" si="147"/>
        <v>3</v>
      </c>
      <c r="H151" s="94">
        <f t="shared" si="141"/>
        <v>4.5</v>
      </c>
      <c r="I151" s="91">
        <f t="shared" si="142"/>
        <v>1.3599999999999999</v>
      </c>
      <c r="J151" s="93">
        <f t="shared" ref="J151:K151" si="148">J131*J$142</f>
        <v>2</v>
      </c>
      <c r="K151" s="93">
        <f t="shared" si="148"/>
        <v>3</v>
      </c>
      <c r="L151" s="94">
        <f t="shared" si="144"/>
        <v>4</v>
      </c>
    </row>
    <row r="152" spans="1:12" x14ac:dyDescent="0.25">
      <c r="A152" s="125" t="s">
        <v>130</v>
      </c>
      <c r="B152" s="130" t="s">
        <v>107</v>
      </c>
      <c r="D152" s="133" t="s">
        <v>139</v>
      </c>
      <c r="E152" s="81">
        <f>E128*F$143+E$143*F128-F128*F$143</f>
        <v>0</v>
      </c>
      <c r="F152" s="83">
        <f>F128*F$143</f>
        <v>0</v>
      </c>
      <c r="G152" s="83">
        <f>G128*G$143</f>
        <v>0</v>
      </c>
      <c r="H152" s="84">
        <f>G128*H$143+G$143*H128-G128*G$143</f>
        <v>1.21</v>
      </c>
      <c r="I152" s="81">
        <f>I128*J$143+I$143*J128-J128*J$143</f>
        <v>0</v>
      </c>
      <c r="J152" s="83">
        <f>J128*J$143</f>
        <v>0</v>
      </c>
      <c r="K152" s="83">
        <f>K128*K$143</f>
        <v>0</v>
      </c>
      <c r="L152" s="84">
        <f>K128*L$143+K$143*L128-K128*K$143</f>
        <v>0.82499999999999996</v>
      </c>
    </row>
    <row r="153" spans="1:12" x14ac:dyDescent="0.25">
      <c r="A153" s="126" t="s">
        <v>130</v>
      </c>
      <c r="B153" s="131" t="s">
        <v>106</v>
      </c>
      <c r="D153" s="134" t="s">
        <v>144</v>
      </c>
      <c r="E153" s="87">
        <f t="shared" ref="E153:E155" si="149">E129*F$143+E$143*F129-F129*F$143</f>
        <v>-0.32999999999999996</v>
      </c>
      <c r="F153">
        <f t="shared" ref="F153:G153" si="150">F129*F$143</f>
        <v>0.9900000000000001</v>
      </c>
      <c r="G153">
        <f t="shared" si="150"/>
        <v>2.42</v>
      </c>
      <c r="H153" s="88">
        <f t="shared" ref="H153:H155" si="151">G129*H$143+G$143*H129-G129*G$143</f>
        <v>3.6850000000000005</v>
      </c>
      <c r="I153" s="87">
        <f t="shared" ref="I153:I155" si="152">I129*J$143+I$143*J129-J129*J$143</f>
        <v>4.9999999999999933E-2</v>
      </c>
      <c r="J153">
        <f t="shared" ref="J153:K153" si="153">J129*J$143</f>
        <v>0.9900000000000001</v>
      </c>
      <c r="K153">
        <f t="shared" si="153"/>
        <v>2.42</v>
      </c>
      <c r="L153" s="88">
        <f t="shared" ref="L153:L155" si="154">K129*L$143+K$143*L129-K129*K$143</f>
        <v>3.3000000000000007</v>
      </c>
    </row>
    <row r="154" spans="1:12" x14ac:dyDescent="0.25">
      <c r="A154" s="126" t="s">
        <v>130</v>
      </c>
      <c r="B154" s="131" t="s">
        <v>105</v>
      </c>
      <c r="D154" s="134" t="s">
        <v>145</v>
      </c>
      <c r="E154" s="87">
        <f t="shared" si="149"/>
        <v>1.1550000000000002</v>
      </c>
      <c r="F154">
        <f t="shared" ref="F154:G154" si="155">F130*F$143</f>
        <v>2.4750000000000001</v>
      </c>
      <c r="G154">
        <f t="shared" si="155"/>
        <v>4.2350000000000003</v>
      </c>
      <c r="H154" s="88">
        <f t="shared" si="151"/>
        <v>6.6550000000000002</v>
      </c>
      <c r="I154" s="87">
        <f t="shared" si="152"/>
        <v>1.5650000000000008</v>
      </c>
      <c r="J154">
        <f t="shared" ref="J154:K154" si="156">J130*J$143</f>
        <v>2.4750000000000001</v>
      </c>
      <c r="K154">
        <f t="shared" si="156"/>
        <v>4.2350000000000003</v>
      </c>
      <c r="L154" s="88">
        <f t="shared" si="154"/>
        <v>5.830000000000001</v>
      </c>
    </row>
    <row r="155" spans="1:12" ht="15.75" thickBot="1" x14ac:dyDescent="0.3">
      <c r="A155" s="127" t="s">
        <v>130</v>
      </c>
      <c r="B155" s="132" t="s">
        <v>104</v>
      </c>
      <c r="D155" s="135" t="s">
        <v>146</v>
      </c>
      <c r="E155" s="91">
        <f t="shared" si="149"/>
        <v>1.9649999999999999</v>
      </c>
      <c r="F155" s="93">
        <f t="shared" ref="F155:G155" si="157">F131*F$143</f>
        <v>4.5</v>
      </c>
      <c r="G155" s="93">
        <f t="shared" si="157"/>
        <v>5.5</v>
      </c>
      <c r="H155" s="94">
        <f t="shared" si="151"/>
        <v>7</v>
      </c>
      <c r="I155" s="91">
        <f t="shared" si="152"/>
        <v>2.7349999999999994</v>
      </c>
      <c r="J155" s="93">
        <f t="shared" ref="J155:K155" si="158">J131*J$143</f>
        <v>4.5</v>
      </c>
      <c r="K155" s="93">
        <f t="shared" si="158"/>
        <v>5.5</v>
      </c>
      <c r="L155" s="94">
        <f t="shared" si="154"/>
        <v>6.5</v>
      </c>
    </row>
    <row r="156" spans="1:12" x14ac:dyDescent="0.25">
      <c r="A156" s="125" t="s">
        <v>131</v>
      </c>
      <c r="B156" s="130" t="s">
        <v>107</v>
      </c>
      <c r="D156" s="133" t="s">
        <v>141</v>
      </c>
      <c r="E156" s="81">
        <f>E128*F$144+E$144*F128-F128*F$144</f>
        <v>0</v>
      </c>
      <c r="F156" s="83">
        <f>F128*F$144</f>
        <v>0</v>
      </c>
      <c r="G156" s="83">
        <f>G128*G$144</f>
        <v>0</v>
      </c>
      <c r="H156" s="84">
        <f>G128*H$144+G$144*H128-G128*G$144</f>
        <v>1.76</v>
      </c>
      <c r="I156" s="81">
        <f>I128*J$144+I$144*J128-J128*J$144</f>
        <v>0</v>
      </c>
      <c r="J156" s="83">
        <f>J128*J$144</f>
        <v>0</v>
      </c>
      <c r="K156" s="83">
        <f>K128*K$144</f>
        <v>0</v>
      </c>
      <c r="L156" s="84">
        <f>K128*L$144+K$144*L128-K128*K$144</f>
        <v>1.2</v>
      </c>
    </row>
    <row r="157" spans="1:12" x14ac:dyDescent="0.25">
      <c r="A157" s="126" t="s">
        <v>131</v>
      </c>
      <c r="B157" s="131" t="s">
        <v>106</v>
      </c>
      <c r="D157" s="134" t="s">
        <v>140</v>
      </c>
      <c r="E157" s="87">
        <f t="shared" ref="E157:E159" si="159">E129*F$144+E$144*F129-F129*F$144</f>
        <v>-0.33000000000000007</v>
      </c>
      <c r="F157">
        <f t="shared" ref="F157:G157" si="160">F129*F$144</f>
        <v>1.5400000000000003</v>
      </c>
      <c r="G157">
        <f t="shared" si="160"/>
        <v>3.52</v>
      </c>
      <c r="H157" s="88">
        <f t="shared" ref="H157:H159" si="161">G129*H$144+G$144*H129-G129*G$144</f>
        <v>5.0600000000000005</v>
      </c>
      <c r="I157" s="87">
        <f t="shared" ref="I157:I159" si="162">I129*J$144+I$144*J129-J129*J$144</f>
        <v>0.19999999999999996</v>
      </c>
      <c r="J157">
        <f t="shared" ref="J157:K157" si="163">J129*J$144</f>
        <v>1.5400000000000003</v>
      </c>
      <c r="K157">
        <f t="shared" si="163"/>
        <v>3.52</v>
      </c>
      <c r="L157" s="88">
        <f t="shared" ref="L157:L159" si="164">K129*L$144+K$144*L129-K129*K$144</f>
        <v>4.6000000000000014</v>
      </c>
    </row>
    <row r="158" spans="1:12" x14ac:dyDescent="0.25">
      <c r="A158" s="126" t="s">
        <v>131</v>
      </c>
      <c r="B158" s="131" t="s">
        <v>105</v>
      </c>
      <c r="D158" s="134" t="s">
        <v>142</v>
      </c>
      <c r="E158" s="87">
        <f t="shared" si="159"/>
        <v>2.2549999999999999</v>
      </c>
      <c r="F158">
        <f t="shared" ref="F158:G158" si="165">F130*F$144</f>
        <v>3.8500000000000005</v>
      </c>
      <c r="G158">
        <f t="shared" si="165"/>
        <v>6.16</v>
      </c>
      <c r="H158" s="88">
        <f t="shared" si="161"/>
        <v>9.1550000000000011</v>
      </c>
      <c r="I158" s="87">
        <f t="shared" si="162"/>
        <v>2.7399999999999993</v>
      </c>
      <c r="J158">
        <f t="shared" ref="J158:K158" si="166">J130*J$144</f>
        <v>3.8500000000000005</v>
      </c>
      <c r="K158">
        <f t="shared" si="166"/>
        <v>6.16</v>
      </c>
      <c r="L158" s="88">
        <f t="shared" si="164"/>
        <v>8.129999999999999</v>
      </c>
    </row>
    <row r="159" spans="1:12" ht="15.75" thickBot="1" x14ac:dyDescent="0.3">
      <c r="A159" s="127" t="s">
        <v>131</v>
      </c>
      <c r="B159" s="132" t="s">
        <v>104</v>
      </c>
      <c r="D159" s="135" t="s">
        <v>143</v>
      </c>
      <c r="E159" s="91">
        <f t="shared" si="159"/>
        <v>3.8900000000000006</v>
      </c>
      <c r="F159" s="93">
        <f t="shared" ref="F159:G159" si="167">F131*F$144</f>
        <v>7</v>
      </c>
      <c r="G159" s="93">
        <f t="shared" si="167"/>
        <v>8</v>
      </c>
      <c r="H159" s="94">
        <f t="shared" si="161"/>
        <v>9.5</v>
      </c>
      <c r="I159" s="91">
        <f t="shared" si="162"/>
        <v>4.8099999999999987</v>
      </c>
      <c r="J159" s="93">
        <f t="shared" ref="J159:K159" si="168">J131*J$144</f>
        <v>7</v>
      </c>
      <c r="K159" s="93">
        <f t="shared" si="168"/>
        <v>8</v>
      </c>
      <c r="L159" s="94">
        <f t="shared" si="164"/>
        <v>9</v>
      </c>
    </row>
    <row r="161" spans="1:25" x14ac:dyDescent="0.25">
      <c r="A161" s="1" t="s">
        <v>220</v>
      </c>
    </row>
    <row r="162" spans="1:25" ht="15.75" thickBot="1" x14ac:dyDescent="0.3">
      <c r="A162" s="1" t="s">
        <v>206</v>
      </c>
    </row>
    <row r="163" spans="1:25" x14ac:dyDescent="0.25">
      <c r="A163" s="163" t="s">
        <v>175</v>
      </c>
      <c r="B163" s="278" t="s">
        <v>17</v>
      </c>
      <c r="C163" s="298"/>
      <c r="D163" s="298"/>
      <c r="E163" s="299"/>
      <c r="F163" s="278" t="s">
        <v>18</v>
      </c>
      <c r="G163" s="298"/>
      <c r="H163" s="298"/>
      <c r="I163" s="299"/>
    </row>
    <row r="164" spans="1:25" x14ac:dyDescent="0.25">
      <c r="A164" s="161" t="s">
        <v>176</v>
      </c>
      <c r="B164" s="9">
        <v>0.3</v>
      </c>
      <c r="C164" s="2">
        <v>0.4</v>
      </c>
      <c r="D164" s="2">
        <v>0.6</v>
      </c>
      <c r="E164" s="10">
        <v>0.7</v>
      </c>
      <c r="F164" s="9">
        <f>0.35</f>
        <v>0.35</v>
      </c>
      <c r="G164" s="2">
        <f>C164</f>
        <v>0.4</v>
      </c>
      <c r="H164" s="2">
        <f>D164</f>
        <v>0.6</v>
      </c>
      <c r="I164" s="10">
        <v>0.65</v>
      </c>
    </row>
    <row r="165" spans="1:25" ht="15.75" thickBot="1" x14ac:dyDescent="0.3">
      <c r="A165" s="162" t="s">
        <v>177</v>
      </c>
      <c r="B165" s="160">
        <v>0.3</v>
      </c>
      <c r="C165" s="120">
        <v>0.4</v>
      </c>
      <c r="D165" s="120">
        <v>0.6</v>
      </c>
      <c r="E165" s="124">
        <v>0.7</v>
      </c>
      <c r="F165" s="160">
        <v>0.35</v>
      </c>
      <c r="G165" s="120">
        <f>C165</f>
        <v>0.4</v>
      </c>
      <c r="H165" s="120">
        <f>D165</f>
        <v>0.6</v>
      </c>
      <c r="I165" s="124">
        <v>0.65</v>
      </c>
    </row>
    <row r="167" spans="1:25" x14ac:dyDescent="0.25">
      <c r="A167" s="1" t="s">
        <v>219</v>
      </c>
    </row>
    <row r="168" spans="1:25" ht="15.75" thickBot="1" x14ac:dyDescent="0.3">
      <c r="A168" s="1" t="s">
        <v>208</v>
      </c>
    </row>
    <row r="169" spans="1:25" ht="15" customHeight="1" thickBot="1" x14ac:dyDescent="0.3">
      <c r="A169" s="170" t="s">
        <v>175</v>
      </c>
      <c r="B169" s="300" t="s">
        <v>17</v>
      </c>
      <c r="C169" s="301"/>
      <c r="D169" s="301"/>
      <c r="E169" s="302"/>
      <c r="F169" s="303" t="s">
        <v>18</v>
      </c>
      <c r="G169" s="301"/>
      <c r="H169" s="301"/>
      <c r="I169" s="302"/>
    </row>
    <row r="170" spans="1:25" x14ac:dyDescent="0.25">
      <c r="A170" s="168" t="s">
        <v>176</v>
      </c>
      <c r="B170" s="11">
        <v>0.1</v>
      </c>
      <c r="C170" s="12">
        <v>0.2</v>
      </c>
      <c r="D170" s="12">
        <v>0.4</v>
      </c>
      <c r="E170" s="13">
        <v>0.5</v>
      </c>
      <c r="F170" s="9">
        <f>0.15</f>
        <v>0.15</v>
      </c>
      <c r="G170" s="2">
        <f>C170</f>
        <v>0.2</v>
      </c>
      <c r="H170" s="2">
        <f>D170</f>
        <v>0.4</v>
      </c>
      <c r="I170" s="10">
        <v>0.45</v>
      </c>
    </row>
    <row r="171" spans="1:25" x14ac:dyDescent="0.25">
      <c r="A171" s="161" t="s">
        <v>177</v>
      </c>
      <c r="B171" s="9">
        <v>0.1</v>
      </c>
      <c r="C171" s="2">
        <v>0.2</v>
      </c>
      <c r="D171" s="2">
        <v>0.4</v>
      </c>
      <c r="E171" s="10">
        <v>0.5</v>
      </c>
      <c r="F171" s="9">
        <v>0.15</v>
      </c>
      <c r="G171" s="2">
        <f t="shared" ref="G171:H172" si="169">C171</f>
        <v>0.2</v>
      </c>
      <c r="H171" s="2">
        <f t="shared" si="169"/>
        <v>0.4</v>
      </c>
      <c r="I171" s="10">
        <v>0.45</v>
      </c>
    </row>
    <row r="172" spans="1:25" ht="15.75" thickBot="1" x14ac:dyDescent="0.3">
      <c r="A172" s="162" t="s">
        <v>207</v>
      </c>
      <c r="B172" s="160">
        <v>0.2</v>
      </c>
      <c r="C172" s="120">
        <v>0.3</v>
      </c>
      <c r="D172" s="120">
        <v>0.5</v>
      </c>
      <c r="E172" s="124">
        <v>0.6</v>
      </c>
      <c r="F172" s="160">
        <v>0.25</v>
      </c>
      <c r="G172" s="120">
        <f t="shared" si="169"/>
        <v>0.3</v>
      </c>
      <c r="H172" s="120">
        <f t="shared" si="169"/>
        <v>0.5</v>
      </c>
      <c r="I172" s="124">
        <v>0.55000000000000004</v>
      </c>
    </row>
    <row r="174" spans="1:25" ht="15.75" thickBot="1" x14ac:dyDescent="0.3">
      <c r="A174" t="s">
        <v>212</v>
      </c>
    </row>
    <row r="175" spans="1:25" ht="15.75" thickBot="1" x14ac:dyDescent="0.3">
      <c r="A175" s="304" t="s">
        <v>86</v>
      </c>
      <c r="B175" s="303" t="s">
        <v>209</v>
      </c>
      <c r="C175" s="306"/>
      <c r="D175" s="306"/>
      <c r="E175" s="306"/>
      <c r="F175" s="306"/>
      <c r="G175" s="306"/>
      <c r="H175" s="306"/>
      <c r="I175" s="307"/>
      <c r="J175" s="303" t="s">
        <v>210</v>
      </c>
      <c r="K175" s="306"/>
      <c r="L175" s="306"/>
      <c r="M175" s="306"/>
      <c r="N175" s="306"/>
      <c r="O175" s="306"/>
      <c r="P175" s="306"/>
      <c r="Q175" s="307"/>
      <c r="R175" s="303" t="s">
        <v>211</v>
      </c>
      <c r="S175" s="306"/>
      <c r="T175" s="306"/>
      <c r="U175" s="306"/>
      <c r="V175" s="306"/>
      <c r="W175" s="306"/>
      <c r="X175" s="306"/>
      <c r="Y175" s="307"/>
    </row>
    <row r="176" spans="1:25" ht="33.75" customHeight="1" thickBot="1" x14ac:dyDescent="0.3">
      <c r="A176" s="305"/>
      <c r="B176" s="300" t="s">
        <v>17</v>
      </c>
      <c r="C176" s="301"/>
      <c r="D176" s="301"/>
      <c r="E176" s="302"/>
      <c r="F176" s="303" t="s">
        <v>18</v>
      </c>
      <c r="G176" s="301"/>
      <c r="H176" s="301"/>
      <c r="I176" s="302"/>
      <c r="J176" s="300" t="s">
        <v>17</v>
      </c>
      <c r="K176" s="301"/>
      <c r="L176" s="301"/>
      <c r="M176" s="302"/>
      <c r="N176" s="303" t="s">
        <v>18</v>
      </c>
      <c r="O176" s="301"/>
      <c r="P176" s="301"/>
      <c r="Q176" s="302"/>
      <c r="R176" s="300" t="s">
        <v>17</v>
      </c>
      <c r="S176" s="301"/>
      <c r="T176" s="301"/>
      <c r="U176" s="302"/>
      <c r="V176" s="303" t="s">
        <v>18</v>
      </c>
      <c r="W176" s="301"/>
      <c r="X176" s="301"/>
      <c r="Y176" s="302"/>
    </row>
    <row r="177" spans="1:32" x14ac:dyDescent="0.25">
      <c r="A177" s="169" t="s">
        <v>84</v>
      </c>
      <c r="B177" s="11">
        <f>BG11</f>
        <v>6.4600000000000009</v>
      </c>
      <c r="C177" s="12">
        <f t="shared" ref="C177:I177" si="170">BH11</f>
        <v>12.6</v>
      </c>
      <c r="D177" s="12">
        <f t="shared" si="170"/>
        <v>15.81</v>
      </c>
      <c r="E177" s="13">
        <f t="shared" si="170"/>
        <v>20.655000000000001</v>
      </c>
      <c r="F177" s="11">
        <f t="shared" si="170"/>
        <v>8.3199999999999985</v>
      </c>
      <c r="G177" s="12">
        <f t="shared" si="170"/>
        <v>12.6</v>
      </c>
      <c r="H177" s="12">
        <f t="shared" si="170"/>
        <v>15.81</v>
      </c>
      <c r="I177" s="166">
        <f t="shared" si="170"/>
        <v>19.03</v>
      </c>
      <c r="J177" s="11">
        <f>BG63</f>
        <v>3.8899999999999997</v>
      </c>
      <c r="K177" s="12">
        <f t="shared" ref="K177:Q177" si="171">BH63</f>
        <v>9.89</v>
      </c>
      <c r="L177" s="12">
        <f t="shared" si="171"/>
        <v>15.18</v>
      </c>
      <c r="M177" s="13">
        <f t="shared" si="171"/>
        <v>21.215000000000003</v>
      </c>
      <c r="N177" s="11">
        <f t="shared" si="171"/>
        <v>5.6749999999999989</v>
      </c>
      <c r="O177" s="12">
        <f t="shared" si="171"/>
        <v>9.89</v>
      </c>
      <c r="P177" s="12">
        <f t="shared" si="171"/>
        <v>15.18</v>
      </c>
      <c r="Q177" s="13">
        <f t="shared" si="171"/>
        <v>19.23</v>
      </c>
      <c r="R177" s="11">
        <f>BG115</f>
        <v>4.9350000000000005</v>
      </c>
      <c r="S177" s="12">
        <f t="shared" ref="S177:Y177" si="172">BH115</f>
        <v>9.9149999999999991</v>
      </c>
      <c r="T177" s="12">
        <f t="shared" si="172"/>
        <v>13.555</v>
      </c>
      <c r="U177" s="13">
        <f t="shared" si="172"/>
        <v>18.465</v>
      </c>
      <c r="V177" s="11">
        <f t="shared" si="172"/>
        <v>6.4289999999999994</v>
      </c>
      <c r="W177" s="12">
        <f t="shared" si="172"/>
        <v>9.9149999999999991</v>
      </c>
      <c r="X177" s="12">
        <f t="shared" si="172"/>
        <v>13.555</v>
      </c>
      <c r="Y177" s="13">
        <f t="shared" si="172"/>
        <v>16.830000000000002</v>
      </c>
    </row>
    <row r="178" spans="1:32" x14ac:dyDescent="0.25">
      <c r="A178" s="164" t="s">
        <v>73</v>
      </c>
      <c r="B178" s="9">
        <f t="shared" ref="B178:B186" si="173">BG12</f>
        <v>0.71500000000000019</v>
      </c>
      <c r="C178" s="2">
        <f t="shared" ref="C178:C186" si="174">BH12</f>
        <v>4.4550000000000001</v>
      </c>
      <c r="D178" s="2">
        <f t="shared" ref="D178:D186" si="175">BI12</f>
        <v>9.0749999999999993</v>
      </c>
      <c r="E178" s="10">
        <f t="shared" ref="E178:E186" si="176">BJ12</f>
        <v>14.025</v>
      </c>
      <c r="F178" s="9">
        <f t="shared" ref="F178:F186" si="177">BK12</f>
        <v>1.8190000000000008</v>
      </c>
      <c r="G178" s="2">
        <f t="shared" ref="G178:G186" si="178">BL12</f>
        <v>4.4550000000000001</v>
      </c>
      <c r="H178" s="2">
        <f t="shared" ref="H178:H186" si="179">BM12</f>
        <v>9.0749999999999993</v>
      </c>
      <c r="I178" s="159">
        <f t="shared" ref="I178:I186" si="180">BN12</f>
        <v>12.430000000000003</v>
      </c>
      <c r="J178" s="9">
        <f t="shared" ref="J178:J186" si="181">BG64</f>
        <v>0.49500000000000011</v>
      </c>
      <c r="K178" s="2">
        <f t="shared" ref="K178:K186" si="182">BH64</f>
        <v>5.5550000000000006</v>
      </c>
      <c r="L178" s="2">
        <f t="shared" ref="L178:L186" si="183">BI64</f>
        <v>11.275</v>
      </c>
      <c r="M178" s="10">
        <f t="shared" ref="M178:M186" si="184">BJ64</f>
        <v>16.775000000000002</v>
      </c>
      <c r="N178" s="9">
        <f t="shared" ref="N178:N186" si="185">BK64</f>
        <v>1.9650000000000007</v>
      </c>
      <c r="O178" s="2">
        <f t="shared" ref="O178:O186" si="186">BL64</f>
        <v>5.5550000000000006</v>
      </c>
      <c r="P178" s="2">
        <f t="shared" ref="P178:P186" si="187">BM64</f>
        <v>11.275</v>
      </c>
      <c r="Q178" s="10">
        <f t="shared" ref="Q178:Q186" si="188">BN64</f>
        <v>15.030000000000005</v>
      </c>
      <c r="R178" s="9">
        <f t="shared" ref="R178:R186" si="189">BG116</f>
        <v>-5.5000000000000049E-2</v>
      </c>
      <c r="S178" s="2">
        <f t="shared" ref="S178:S186" si="190">BH116</f>
        <v>3.6300000000000008</v>
      </c>
      <c r="T178" s="2">
        <f t="shared" ref="T178:T186" si="191">BI116</f>
        <v>8.25</v>
      </c>
      <c r="U178" s="10">
        <f t="shared" ref="U178:U186" si="192">BJ116</f>
        <v>12.9</v>
      </c>
      <c r="V178" s="9">
        <f t="shared" ref="V178:V186" si="193">BK116</f>
        <v>1.0249999999999999</v>
      </c>
      <c r="W178" s="2">
        <f t="shared" ref="W178:W186" si="194">BL116</f>
        <v>3.6300000000000008</v>
      </c>
      <c r="X178" s="2">
        <f t="shared" ref="X178:X186" si="195">BM116</f>
        <v>8.25</v>
      </c>
      <c r="Y178" s="10">
        <f t="shared" ref="Y178:Y186" si="196">BN116</f>
        <v>11.430000000000001</v>
      </c>
    </row>
    <row r="179" spans="1:32" x14ac:dyDescent="0.25">
      <c r="A179" s="164" t="s">
        <v>74</v>
      </c>
      <c r="B179" s="9">
        <f t="shared" si="173"/>
        <v>4.0150000000000006</v>
      </c>
      <c r="C179" s="2">
        <f t="shared" si="174"/>
        <v>7.4250000000000007</v>
      </c>
      <c r="D179" s="2">
        <f t="shared" si="175"/>
        <v>12.705000000000002</v>
      </c>
      <c r="E179" s="10">
        <f t="shared" si="176"/>
        <v>19.965</v>
      </c>
      <c r="F179" s="9">
        <f t="shared" si="177"/>
        <v>5.08</v>
      </c>
      <c r="G179" s="2">
        <f t="shared" si="178"/>
        <v>7.4250000000000007</v>
      </c>
      <c r="H179" s="2">
        <f t="shared" si="179"/>
        <v>12.705000000000002</v>
      </c>
      <c r="I179" s="159">
        <f t="shared" si="180"/>
        <v>17.489999999999998</v>
      </c>
      <c r="J179" s="9">
        <f t="shared" si="181"/>
        <v>7.3000000000000007</v>
      </c>
      <c r="K179" s="2">
        <f t="shared" si="182"/>
        <v>13.325000000000001</v>
      </c>
      <c r="L179" s="2">
        <f t="shared" si="183"/>
        <v>18.395</v>
      </c>
      <c r="M179" s="10">
        <f t="shared" si="184"/>
        <v>25.310000000000002</v>
      </c>
      <c r="N179" s="9">
        <f t="shared" si="185"/>
        <v>9.1149999999999984</v>
      </c>
      <c r="O179" s="2">
        <f t="shared" si="186"/>
        <v>13.325000000000001</v>
      </c>
      <c r="P179" s="2">
        <f t="shared" si="187"/>
        <v>18.395</v>
      </c>
      <c r="Q179" s="10">
        <f t="shared" si="188"/>
        <v>22.96</v>
      </c>
      <c r="R179" s="9">
        <f t="shared" si="189"/>
        <v>4.8249999999999993</v>
      </c>
      <c r="S179" s="2">
        <f t="shared" si="190"/>
        <v>9.4499999999999993</v>
      </c>
      <c r="T179" s="2">
        <f t="shared" si="191"/>
        <v>13.97</v>
      </c>
      <c r="U179" s="10">
        <f t="shared" si="192"/>
        <v>20.310000000000002</v>
      </c>
      <c r="V179" s="9">
        <f t="shared" si="193"/>
        <v>6.2499999999999982</v>
      </c>
      <c r="W179" s="2">
        <f t="shared" si="194"/>
        <v>9.4499999999999993</v>
      </c>
      <c r="X179" s="2">
        <f t="shared" si="195"/>
        <v>13.97</v>
      </c>
      <c r="Y179" s="10">
        <f t="shared" si="196"/>
        <v>18.159999999999997</v>
      </c>
    </row>
    <row r="180" spans="1:32" x14ac:dyDescent="0.25">
      <c r="A180" s="164" t="s">
        <v>75</v>
      </c>
      <c r="B180" s="9">
        <f t="shared" si="173"/>
        <v>5.6500000000000012</v>
      </c>
      <c r="C180" s="2">
        <f t="shared" si="174"/>
        <v>10.574999999999999</v>
      </c>
      <c r="D180" s="2">
        <f t="shared" si="175"/>
        <v>14.545000000000002</v>
      </c>
      <c r="E180" s="10">
        <f t="shared" si="176"/>
        <v>20.309999999999999</v>
      </c>
      <c r="F180" s="9">
        <f t="shared" si="177"/>
        <v>7.15</v>
      </c>
      <c r="G180" s="2">
        <f t="shared" si="178"/>
        <v>10.574999999999999</v>
      </c>
      <c r="H180" s="2">
        <f t="shared" si="179"/>
        <v>14.545000000000002</v>
      </c>
      <c r="I180" s="159">
        <f t="shared" si="180"/>
        <v>18.36</v>
      </c>
      <c r="J180" s="9">
        <f t="shared" si="181"/>
        <v>5.8150000000000004</v>
      </c>
      <c r="K180" s="2">
        <f t="shared" si="182"/>
        <v>11.840000000000002</v>
      </c>
      <c r="L180" s="2">
        <f t="shared" si="183"/>
        <v>16.579999999999998</v>
      </c>
      <c r="M180" s="10">
        <f t="shared" si="184"/>
        <v>22.340000000000003</v>
      </c>
      <c r="N180" s="9">
        <f t="shared" si="185"/>
        <v>7.5999999999999979</v>
      </c>
      <c r="O180" s="2">
        <f t="shared" si="186"/>
        <v>11.840000000000002</v>
      </c>
      <c r="P180" s="2">
        <f t="shared" si="187"/>
        <v>16.579999999999998</v>
      </c>
      <c r="Q180" s="10">
        <f t="shared" si="188"/>
        <v>20.43</v>
      </c>
      <c r="R180" s="9">
        <f t="shared" si="189"/>
        <v>1.8650000000000002</v>
      </c>
      <c r="S180" s="2">
        <f t="shared" si="190"/>
        <v>6.0149999999999997</v>
      </c>
      <c r="T180" s="2">
        <f t="shared" si="191"/>
        <v>10.755000000000001</v>
      </c>
      <c r="U180" s="10">
        <f t="shared" si="192"/>
        <v>16.215000000000003</v>
      </c>
      <c r="V180" s="9">
        <f t="shared" si="193"/>
        <v>3.1250000000000009</v>
      </c>
      <c r="W180" s="2">
        <f t="shared" si="194"/>
        <v>6.0149999999999997</v>
      </c>
      <c r="X180" s="2">
        <f t="shared" si="195"/>
        <v>10.755000000000001</v>
      </c>
      <c r="Y180" s="10">
        <f t="shared" si="196"/>
        <v>14.430000000000003</v>
      </c>
    </row>
    <row r="181" spans="1:32" x14ac:dyDescent="0.25">
      <c r="A181" s="164" t="s">
        <v>77</v>
      </c>
      <c r="B181" s="9">
        <f t="shared" si="173"/>
        <v>4.45</v>
      </c>
      <c r="C181" s="2">
        <f t="shared" si="174"/>
        <v>8.3250000000000011</v>
      </c>
      <c r="D181" s="2">
        <f t="shared" si="175"/>
        <v>13.395</v>
      </c>
      <c r="E181" s="10">
        <f t="shared" si="176"/>
        <v>20.310000000000002</v>
      </c>
      <c r="F181" s="9">
        <f t="shared" si="177"/>
        <v>5.6650000000000009</v>
      </c>
      <c r="G181" s="2">
        <f t="shared" si="178"/>
        <v>8.3250000000000011</v>
      </c>
      <c r="H181" s="2">
        <f t="shared" si="179"/>
        <v>13.395</v>
      </c>
      <c r="I181" s="159">
        <f t="shared" si="180"/>
        <v>17.96</v>
      </c>
      <c r="J181" s="9">
        <f t="shared" si="181"/>
        <v>7.3000000000000007</v>
      </c>
      <c r="K181" s="2">
        <f t="shared" si="182"/>
        <v>13.325000000000001</v>
      </c>
      <c r="L181" s="2">
        <f t="shared" si="183"/>
        <v>18.395</v>
      </c>
      <c r="M181" s="10">
        <f t="shared" si="184"/>
        <v>25.310000000000002</v>
      </c>
      <c r="N181" s="9">
        <f t="shared" si="185"/>
        <v>9.1149999999999984</v>
      </c>
      <c r="O181" s="2">
        <f t="shared" si="186"/>
        <v>13.325000000000001</v>
      </c>
      <c r="P181" s="2">
        <f t="shared" si="187"/>
        <v>18.395</v>
      </c>
      <c r="Q181" s="10">
        <f t="shared" si="188"/>
        <v>22.96</v>
      </c>
      <c r="R181" s="9">
        <f t="shared" si="189"/>
        <v>2.2399999999999998</v>
      </c>
      <c r="S181" s="2">
        <f t="shared" si="190"/>
        <v>7.14</v>
      </c>
      <c r="T181" s="2">
        <f t="shared" si="191"/>
        <v>11.33</v>
      </c>
      <c r="U181" s="10">
        <f t="shared" si="192"/>
        <v>16.215</v>
      </c>
      <c r="V181" s="9">
        <f t="shared" si="193"/>
        <v>3.7099999999999991</v>
      </c>
      <c r="W181" s="2">
        <f t="shared" si="194"/>
        <v>7.14</v>
      </c>
      <c r="X181" s="2">
        <f t="shared" si="195"/>
        <v>11.33</v>
      </c>
      <c r="Y181" s="10">
        <f t="shared" si="196"/>
        <v>14.63</v>
      </c>
    </row>
    <row r="182" spans="1:32" x14ac:dyDescent="0.25">
      <c r="A182" s="164" t="s">
        <v>78</v>
      </c>
      <c r="B182" s="9">
        <f t="shared" si="173"/>
        <v>4.1650000000000009</v>
      </c>
      <c r="C182" s="2">
        <f t="shared" si="174"/>
        <v>9.09</v>
      </c>
      <c r="D182" s="2">
        <f t="shared" si="175"/>
        <v>12.73</v>
      </c>
      <c r="E182" s="10">
        <f t="shared" si="176"/>
        <v>17.34</v>
      </c>
      <c r="F182" s="9">
        <f t="shared" si="177"/>
        <v>5.6349999999999989</v>
      </c>
      <c r="G182" s="2">
        <f t="shared" si="178"/>
        <v>9.09</v>
      </c>
      <c r="H182" s="2">
        <f t="shared" si="179"/>
        <v>12.73</v>
      </c>
      <c r="I182" s="159">
        <f t="shared" si="180"/>
        <v>15.83</v>
      </c>
      <c r="J182" s="9">
        <f t="shared" si="181"/>
        <v>5.8150000000000004</v>
      </c>
      <c r="K182" s="2">
        <f t="shared" si="182"/>
        <v>11.840000000000002</v>
      </c>
      <c r="L182" s="2">
        <f t="shared" si="183"/>
        <v>16.579999999999998</v>
      </c>
      <c r="M182" s="10">
        <f t="shared" si="184"/>
        <v>22.340000000000003</v>
      </c>
      <c r="N182" s="9">
        <f t="shared" si="185"/>
        <v>7.5999999999999979</v>
      </c>
      <c r="O182" s="2">
        <f t="shared" si="186"/>
        <v>11.840000000000002</v>
      </c>
      <c r="P182" s="2">
        <f t="shared" si="187"/>
        <v>16.579999999999998</v>
      </c>
      <c r="Q182" s="10">
        <f t="shared" si="188"/>
        <v>20.43</v>
      </c>
      <c r="R182" s="9">
        <f t="shared" si="189"/>
        <v>0.7150000000000003</v>
      </c>
      <c r="S182" s="2">
        <f t="shared" si="190"/>
        <v>4.4550000000000001</v>
      </c>
      <c r="T182" s="2">
        <f t="shared" si="191"/>
        <v>9.0750000000000011</v>
      </c>
      <c r="U182" s="10">
        <f t="shared" si="192"/>
        <v>14.025</v>
      </c>
      <c r="V182" s="9">
        <f t="shared" si="193"/>
        <v>1.8190000000000008</v>
      </c>
      <c r="W182" s="2">
        <f t="shared" si="194"/>
        <v>4.4550000000000001</v>
      </c>
      <c r="X182" s="2">
        <f t="shared" si="195"/>
        <v>9.0750000000000011</v>
      </c>
      <c r="Y182" s="10">
        <f t="shared" si="196"/>
        <v>12.430000000000003</v>
      </c>
    </row>
    <row r="183" spans="1:32" x14ac:dyDescent="0.25">
      <c r="A183" s="164" t="s">
        <v>79</v>
      </c>
      <c r="B183" s="9">
        <f t="shared" si="173"/>
        <v>4.1650000000000009</v>
      </c>
      <c r="C183" s="2">
        <f t="shared" si="174"/>
        <v>9.09</v>
      </c>
      <c r="D183" s="2">
        <f t="shared" si="175"/>
        <v>12.73</v>
      </c>
      <c r="E183" s="10">
        <f t="shared" si="176"/>
        <v>17.34</v>
      </c>
      <c r="F183" s="9">
        <f t="shared" si="177"/>
        <v>5.6349999999999989</v>
      </c>
      <c r="G183" s="2">
        <f t="shared" si="178"/>
        <v>9.09</v>
      </c>
      <c r="H183" s="2">
        <f t="shared" si="179"/>
        <v>12.73</v>
      </c>
      <c r="I183" s="159">
        <f t="shared" si="180"/>
        <v>15.83</v>
      </c>
      <c r="J183" s="9">
        <f t="shared" si="181"/>
        <v>5.8150000000000004</v>
      </c>
      <c r="K183" s="2">
        <f t="shared" si="182"/>
        <v>11.840000000000002</v>
      </c>
      <c r="L183" s="2">
        <f t="shared" si="183"/>
        <v>16.579999999999998</v>
      </c>
      <c r="M183" s="10">
        <f t="shared" si="184"/>
        <v>22.340000000000003</v>
      </c>
      <c r="N183" s="9">
        <f t="shared" si="185"/>
        <v>7.5999999999999979</v>
      </c>
      <c r="O183" s="2">
        <f t="shared" si="186"/>
        <v>11.840000000000002</v>
      </c>
      <c r="P183" s="2">
        <f t="shared" si="187"/>
        <v>16.579999999999998</v>
      </c>
      <c r="Q183" s="10">
        <f t="shared" si="188"/>
        <v>20.43</v>
      </c>
      <c r="R183" s="9">
        <f t="shared" si="189"/>
        <v>1.8650000000000002</v>
      </c>
      <c r="S183" s="2">
        <f t="shared" si="190"/>
        <v>6.0149999999999997</v>
      </c>
      <c r="T183" s="2">
        <f t="shared" si="191"/>
        <v>10.755000000000001</v>
      </c>
      <c r="U183" s="10">
        <f t="shared" si="192"/>
        <v>16.215000000000003</v>
      </c>
      <c r="V183" s="9">
        <f t="shared" si="193"/>
        <v>3.1250000000000009</v>
      </c>
      <c r="W183" s="2">
        <f t="shared" si="194"/>
        <v>6.0149999999999997</v>
      </c>
      <c r="X183" s="2">
        <f t="shared" si="195"/>
        <v>10.755000000000001</v>
      </c>
      <c r="Y183" s="10">
        <f t="shared" si="196"/>
        <v>14.430000000000003</v>
      </c>
    </row>
    <row r="184" spans="1:32" x14ac:dyDescent="0.25">
      <c r="A184" s="164" t="s">
        <v>80</v>
      </c>
      <c r="B184" s="9">
        <f t="shared" si="173"/>
        <v>5.26</v>
      </c>
      <c r="C184" s="2">
        <f t="shared" si="174"/>
        <v>10.350000000000001</v>
      </c>
      <c r="D184" s="2">
        <f t="shared" si="175"/>
        <v>14.66</v>
      </c>
      <c r="E184" s="10">
        <f t="shared" si="176"/>
        <v>20.655000000000001</v>
      </c>
      <c r="F184" s="9">
        <f t="shared" si="177"/>
        <v>6.8349999999999991</v>
      </c>
      <c r="G184" s="2">
        <f t="shared" si="178"/>
        <v>10.350000000000001</v>
      </c>
      <c r="H184" s="2">
        <f t="shared" si="179"/>
        <v>14.66</v>
      </c>
      <c r="I184" s="159">
        <f t="shared" si="180"/>
        <v>18.63</v>
      </c>
      <c r="J184" s="9">
        <f t="shared" si="181"/>
        <v>3.8899999999999997</v>
      </c>
      <c r="K184" s="2">
        <f t="shared" si="182"/>
        <v>9.89</v>
      </c>
      <c r="L184" s="2">
        <f t="shared" si="183"/>
        <v>15.18</v>
      </c>
      <c r="M184" s="10">
        <f t="shared" si="184"/>
        <v>21.215000000000003</v>
      </c>
      <c r="N184" s="9">
        <f t="shared" si="185"/>
        <v>5.6749999999999989</v>
      </c>
      <c r="O184" s="2">
        <f t="shared" si="186"/>
        <v>9.89</v>
      </c>
      <c r="P184" s="2">
        <f t="shared" si="187"/>
        <v>15.18</v>
      </c>
      <c r="Q184" s="10">
        <f t="shared" si="188"/>
        <v>19.23</v>
      </c>
      <c r="R184" s="9">
        <f t="shared" si="189"/>
        <v>4.1650000000000009</v>
      </c>
      <c r="S184" s="2">
        <f t="shared" si="190"/>
        <v>9.09</v>
      </c>
      <c r="T184" s="2">
        <f t="shared" si="191"/>
        <v>12.73</v>
      </c>
      <c r="U184" s="10">
        <f t="shared" si="192"/>
        <v>17.34</v>
      </c>
      <c r="V184" s="9">
        <f t="shared" si="193"/>
        <v>5.6349999999999989</v>
      </c>
      <c r="W184" s="2">
        <f t="shared" si="194"/>
        <v>9.09</v>
      </c>
      <c r="X184" s="2">
        <f t="shared" si="195"/>
        <v>12.73</v>
      </c>
      <c r="Y184" s="10">
        <f t="shared" si="196"/>
        <v>15.83</v>
      </c>
    </row>
    <row r="185" spans="1:32" x14ac:dyDescent="0.25">
      <c r="A185" s="164" t="s">
        <v>82</v>
      </c>
      <c r="B185" s="9">
        <f t="shared" si="173"/>
        <v>4.45</v>
      </c>
      <c r="C185" s="2">
        <f t="shared" si="174"/>
        <v>8.3250000000000011</v>
      </c>
      <c r="D185" s="2">
        <f t="shared" si="175"/>
        <v>13.395</v>
      </c>
      <c r="E185" s="10">
        <f t="shared" si="176"/>
        <v>20.310000000000002</v>
      </c>
      <c r="F185" s="9">
        <f t="shared" si="177"/>
        <v>5.6650000000000009</v>
      </c>
      <c r="G185" s="2">
        <f t="shared" si="178"/>
        <v>8.3250000000000011</v>
      </c>
      <c r="H185" s="2">
        <f t="shared" si="179"/>
        <v>13.395</v>
      </c>
      <c r="I185" s="159">
        <f t="shared" si="180"/>
        <v>17.96</v>
      </c>
      <c r="J185" s="9">
        <f t="shared" si="181"/>
        <v>4.7150000000000007</v>
      </c>
      <c r="K185" s="2">
        <f t="shared" si="182"/>
        <v>11.015000000000001</v>
      </c>
      <c r="L185" s="2">
        <f t="shared" si="183"/>
        <v>15.754999999999999</v>
      </c>
      <c r="M185" s="10">
        <f t="shared" si="184"/>
        <v>21.215</v>
      </c>
      <c r="N185" s="9">
        <f t="shared" si="185"/>
        <v>6.5749999999999993</v>
      </c>
      <c r="O185" s="2">
        <f t="shared" si="186"/>
        <v>11.015000000000001</v>
      </c>
      <c r="P185" s="2">
        <f t="shared" si="187"/>
        <v>15.754999999999999</v>
      </c>
      <c r="Q185" s="10">
        <f t="shared" si="188"/>
        <v>19.430000000000003</v>
      </c>
      <c r="R185" s="9">
        <f t="shared" si="189"/>
        <v>2.2399999999999998</v>
      </c>
      <c r="S185" s="2">
        <f t="shared" si="190"/>
        <v>7.14</v>
      </c>
      <c r="T185" s="2">
        <f t="shared" si="191"/>
        <v>11.33</v>
      </c>
      <c r="U185" s="10">
        <f t="shared" si="192"/>
        <v>16.215</v>
      </c>
      <c r="V185" s="9">
        <f t="shared" si="193"/>
        <v>3.7099999999999991</v>
      </c>
      <c r="W185" s="2">
        <f t="shared" si="194"/>
        <v>7.14</v>
      </c>
      <c r="X185" s="2">
        <f t="shared" si="195"/>
        <v>11.33</v>
      </c>
      <c r="Y185" s="10">
        <f t="shared" si="196"/>
        <v>14.63</v>
      </c>
    </row>
    <row r="186" spans="1:32" ht="15.75" thickBot="1" x14ac:dyDescent="0.3">
      <c r="A186" s="165" t="s">
        <v>83</v>
      </c>
      <c r="B186" s="160">
        <f t="shared" si="173"/>
        <v>1.8650000000000002</v>
      </c>
      <c r="C186" s="120">
        <f t="shared" si="174"/>
        <v>6.0150000000000006</v>
      </c>
      <c r="D186" s="120">
        <f t="shared" si="175"/>
        <v>10.754999999999999</v>
      </c>
      <c r="E186" s="124">
        <f t="shared" si="176"/>
        <v>16.215</v>
      </c>
      <c r="F186" s="160">
        <f t="shared" si="177"/>
        <v>3.1250000000000009</v>
      </c>
      <c r="G186" s="120">
        <f t="shared" si="178"/>
        <v>6.0150000000000006</v>
      </c>
      <c r="H186" s="120">
        <f t="shared" si="179"/>
        <v>10.754999999999999</v>
      </c>
      <c r="I186" s="167">
        <f t="shared" si="180"/>
        <v>14.430000000000003</v>
      </c>
      <c r="J186" s="160">
        <f t="shared" si="181"/>
        <v>4.7150000000000007</v>
      </c>
      <c r="K186" s="120">
        <f t="shared" si="182"/>
        <v>11.015000000000001</v>
      </c>
      <c r="L186" s="120">
        <f t="shared" si="183"/>
        <v>15.754999999999999</v>
      </c>
      <c r="M186" s="124">
        <f t="shared" si="184"/>
        <v>21.215</v>
      </c>
      <c r="N186" s="160">
        <f t="shared" si="185"/>
        <v>6.5749999999999993</v>
      </c>
      <c r="O186" s="120">
        <f t="shared" si="186"/>
        <v>11.015000000000001</v>
      </c>
      <c r="P186" s="120">
        <f t="shared" si="187"/>
        <v>15.754999999999999</v>
      </c>
      <c r="Q186" s="124">
        <f t="shared" si="188"/>
        <v>19.430000000000003</v>
      </c>
      <c r="R186" s="160">
        <f t="shared" si="189"/>
        <v>4.1099999999999994</v>
      </c>
      <c r="S186" s="120">
        <f t="shared" si="190"/>
        <v>8.7900000000000009</v>
      </c>
      <c r="T186" s="120">
        <f t="shared" si="191"/>
        <v>12.98</v>
      </c>
      <c r="U186" s="124">
        <f t="shared" si="192"/>
        <v>18.465</v>
      </c>
      <c r="V186" s="160">
        <f t="shared" si="193"/>
        <v>5.5289999999999981</v>
      </c>
      <c r="W186" s="120">
        <f t="shared" si="194"/>
        <v>8.7900000000000009</v>
      </c>
      <c r="X186" s="120">
        <f t="shared" si="195"/>
        <v>12.98</v>
      </c>
      <c r="Y186" s="124">
        <f t="shared" si="196"/>
        <v>16.63</v>
      </c>
    </row>
    <row r="188" spans="1:32" ht="15.75" thickBot="1" x14ac:dyDescent="0.3">
      <c r="A188" t="s">
        <v>213</v>
      </c>
      <c r="Z188">
        <v>0.8</v>
      </c>
    </row>
    <row r="189" spans="1:32" ht="33" customHeight="1" thickBot="1" x14ac:dyDescent="0.3">
      <c r="A189" s="304" t="s">
        <v>86</v>
      </c>
      <c r="B189" s="303" t="s">
        <v>214</v>
      </c>
      <c r="C189" s="306"/>
      <c r="D189" s="306"/>
      <c r="E189" s="306"/>
      <c r="F189" s="306"/>
      <c r="G189" s="306"/>
      <c r="H189" s="306"/>
      <c r="I189" s="307"/>
      <c r="J189" s="303" t="s">
        <v>215</v>
      </c>
      <c r="K189" s="306"/>
      <c r="L189" s="306"/>
      <c r="M189" s="306"/>
      <c r="N189" s="306"/>
      <c r="O189" s="306"/>
      <c r="P189" s="306"/>
      <c r="Q189" s="307"/>
      <c r="R189" s="280" t="s">
        <v>216</v>
      </c>
      <c r="S189" s="281"/>
      <c r="T189" s="281"/>
      <c r="U189" s="281"/>
      <c r="V189" s="281"/>
      <c r="W189" s="281"/>
      <c r="X189" s="281"/>
      <c r="Y189" s="282"/>
      <c r="Z189" s="292" t="s">
        <v>151</v>
      </c>
      <c r="AA189" s="293"/>
      <c r="AB189" s="293"/>
      <c r="AC189" s="294"/>
      <c r="AD189" s="288" t="s">
        <v>153</v>
      </c>
      <c r="AE189" s="289"/>
      <c r="AF189" s="290" t="s">
        <v>156</v>
      </c>
    </row>
    <row r="190" spans="1:32" ht="27.75" customHeight="1" thickBot="1" x14ac:dyDescent="0.3">
      <c r="A190" s="305"/>
      <c r="B190" s="300" t="s">
        <v>17</v>
      </c>
      <c r="C190" s="301"/>
      <c r="D190" s="301"/>
      <c r="E190" s="302"/>
      <c r="F190" s="303" t="s">
        <v>18</v>
      </c>
      <c r="G190" s="301"/>
      <c r="H190" s="301"/>
      <c r="I190" s="302"/>
      <c r="J190" s="300" t="s">
        <v>17</v>
      </c>
      <c r="K190" s="301"/>
      <c r="L190" s="301"/>
      <c r="M190" s="302"/>
      <c r="N190" s="303" t="s">
        <v>18</v>
      </c>
      <c r="O190" s="301"/>
      <c r="P190" s="301"/>
      <c r="Q190" s="302"/>
      <c r="R190" s="280" t="s">
        <v>17</v>
      </c>
      <c r="S190" s="281"/>
      <c r="T190" s="281"/>
      <c r="U190" s="282"/>
      <c r="V190" s="280" t="s">
        <v>18</v>
      </c>
      <c r="W190" s="281"/>
      <c r="X190" s="281"/>
      <c r="Y190" s="282"/>
      <c r="Z190" s="295" t="s">
        <v>152</v>
      </c>
      <c r="AA190" s="296"/>
      <c r="AB190" s="295" t="s">
        <v>26</v>
      </c>
      <c r="AC190" s="297"/>
      <c r="AD190" s="145" t="s">
        <v>154</v>
      </c>
      <c r="AE190" s="145" t="s">
        <v>155</v>
      </c>
      <c r="AF190" s="291"/>
    </row>
    <row r="191" spans="1:32" ht="30.75" customHeight="1" x14ac:dyDescent="0.25">
      <c r="A191" s="169" t="s">
        <v>84</v>
      </c>
      <c r="B191" s="173">
        <f>B177*C$164+B$164*C177-C$164*C177</f>
        <v>1.3240000000000007</v>
      </c>
      <c r="C191" s="118">
        <f>C177*C$164</f>
        <v>5.04</v>
      </c>
      <c r="D191" s="118">
        <f>D177*D$164</f>
        <v>9.4860000000000007</v>
      </c>
      <c r="E191" s="174">
        <f>D$164*E177+D177*E$164-D$164*D177</f>
        <v>13.974</v>
      </c>
      <c r="F191" s="173">
        <f>F177*G$164+F$164*G177-G$164*G177</f>
        <v>2.6979999999999986</v>
      </c>
      <c r="G191" s="118">
        <f>G177*G$164</f>
        <v>5.04</v>
      </c>
      <c r="H191" s="118">
        <f>H177*H$164</f>
        <v>9.4860000000000007</v>
      </c>
      <c r="I191" s="174">
        <f>H$164*I177+H177*I$164-H$164*H177</f>
        <v>12.208500000000001</v>
      </c>
      <c r="J191" s="173">
        <f>J177*C$165+B$165*K177-K177*C$165</f>
        <v>0.56699999999999928</v>
      </c>
      <c r="K191" s="118">
        <f>K177*C$165</f>
        <v>3.9560000000000004</v>
      </c>
      <c r="L191" s="118">
        <f>L177*D$165</f>
        <v>9.1079999999999988</v>
      </c>
      <c r="M191" s="174">
        <f>M177*D$165+L177*E$165-L177*D$165</f>
        <v>14.247000000000002</v>
      </c>
      <c r="N191" s="173">
        <f>N177*G$165+F$165*O177-O177*G$165</f>
        <v>1.7754999999999992</v>
      </c>
      <c r="O191" s="118">
        <f>O177*G$165</f>
        <v>3.9560000000000004</v>
      </c>
      <c r="P191" s="118">
        <f>P177*H$165</f>
        <v>9.1079999999999988</v>
      </c>
      <c r="Q191" s="174">
        <f>Q177*H$165+P177*I$165-P177*H$165</f>
        <v>12.297000000000002</v>
      </c>
      <c r="R191" s="173">
        <f>B191+J191</f>
        <v>1.891</v>
      </c>
      <c r="S191" s="118">
        <f t="shared" ref="S191:Y191" si="197">C191+K191</f>
        <v>8.9960000000000004</v>
      </c>
      <c r="T191" s="118">
        <f t="shared" si="197"/>
        <v>18.594000000000001</v>
      </c>
      <c r="U191" s="174">
        <f t="shared" si="197"/>
        <v>28.221000000000004</v>
      </c>
      <c r="V191" s="173">
        <f t="shared" si="197"/>
        <v>4.4734999999999978</v>
      </c>
      <c r="W191" s="118">
        <f t="shared" si="197"/>
        <v>8.9960000000000004</v>
      </c>
      <c r="X191" s="118">
        <f t="shared" si="197"/>
        <v>18.594000000000001</v>
      </c>
      <c r="Y191" s="174">
        <f t="shared" si="197"/>
        <v>24.505500000000005</v>
      </c>
      <c r="Z191" s="136">
        <f>Z$188*S191+(1-Z$188)*R191</f>
        <v>7.5750000000000002</v>
      </c>
      <c r="AA191" s="142">
        <f>Z$188*T191+(1-Z$188)*U191</f>
        <v>20.519400000000001</v>
      </c>
      <c r="AB191" s="136">
        <f>Z$188*W191+(1-Z$188)*V191</f>
        <v>8.0914999999999999</v>
      </c>
      <c r="AC191" s="137">
        <f>Z$188*X191+(1-Z$188)*Y191</f>
        <v>19.776299999999999</v>
      </c>
      <c r="AD191" s="81">
        <f>(Z191+AA191)/2</f>
        <v>14.0472</v>
      </c>
      <c r="AE191" s="84">
        <f>(AB191+AC191)/2</f>
        <v>13.9339</v>
      </c>
      <c r="AF191" s="133">
        <f>(AD191+AE191)/2</f>
        <v>13.990549999999999</v>
      </c>
    </row>
    <row r="192" spans="1:32" x14ac:dyDescent="0.25">
      <c r="A192" s="164" t="s">
        <v>73</v>
      </c>
      <c r="B192" s="11">
        <f t="shared" ref="B192:B200" si="198">B178*C$164+B$164*C178-C$164*C178</f>
        <v>-0.15949999999999998</v>
      </c>
      <c r="C192" s="12">
        <f t="shared" ref="C192:D192" si="199">C178*C$164</f>
        <v>1.782</v>
      </c>
      <c r="D192" s="12">
        <f t="shared" si="199"/>
        <v>5.4449999999999994</v>
      </c>
      <c r="E192" s="13">
        <f t="shared" ref="E192:E200" si="200">D$164*E178+D178*E$164-D$164*D178</f>
        <v>9.322499999999998</v>
      </c>
      <c r="F192" s="11">
        <f t="shared" ref="F192:F200" si="201">F178*G$164+F$164*G178-G$164*G178</f>
        <v>0.50485000000000024</v>
      </c>
      <c r="G192" s="12">
        <f t="shared" ref="G192:H192" si="202">G178*G$164</f>
        <v>1.782</v>
      </c>
      <c r="H192" s="12">
        <f t="shared" si="202"/>
        <v>5.4449999999999994</v>
      </c>
      <c r="I192" s="13">
        <f t="shared" ref="I192:I200" si="203">H$164*I178+H178*I$164-H$164*H178</f>
        <v>7.9117500000000023</v>
      </c>
      <c r="J192" s="11">
        <f t="shared" ref="J192:J200" si="204">J178*C$165+B$165*K178-K178*C$165</f>
        <v>-0.35750000000000037</v>
      </c>
      <c r="K192" s="12">
        <f t="shared" ref="K192:L192" si="205">K178*C$165</f>
        <v>2.2220000000000004</v>
      </c>
      <c r="L192" s="12">
        <f t="shared" si="205"/>
        <v>6.7649999999999997</v>
      </c>
      <c r="M192" s="13">
        <f t="shared" ref="M192:M200" si="206">M178*D$165+L178*E$165-L178*D$165</f>
        <v>11.192500000000003</v>
      </c>
      <c r="N192" s="11">
        <f t="shared" ref="N192:N200" si="207">N178*G$165+F$165*O178-O178*G$165</f>
        <v>0.50824999999999987</v>
      </c>
      <c r="O192" s="12">
        <f t="shared" ref="O192:P192" si="208">O178*G$165</f>
        <v>2.2220000000000004</v>
      </c>
      <c r="P192" s="12">
        <f t="shared" si="208"/>
        <v>6.7649999999999997</v>
      </c>
      <c r="Q192" s="13">
        <f t="shared" ref="Q192:Q200" si="209">Q178*H$165+P178*I$165-P178*H$165</f>
        <v>9.5817500000000031</v>
      </c>
      <c r="R192" s="11">
        <f>B192+J192</f>
        <v>-0.51700000000000035</v>
      </c>
      <c r="S192" s="12">
        <f t="shared" ref="S192:S200" si="210">C192+K192</f>
        <v>4.0040000000000004</v>
      </c>
      <c r="T192" s="12">
        <f t="shared" ref="T192:T200" si="211">D192+L192</f>
        <v>12.209999999999999</v>
      </c>
      <c r="U192" s="13">
        <f t="shared" ref="U192:U200" si="212">E192+M192</f>
        <v>20.515000000000001</v>
      </c>
      <c r="V192" s="11">
        <f t="shared" ref="V192:V200" si="213">F192+N192</f>
        <v>1.0131000000000001</v>
      </c>
      <c r="W192" s="12">
        <f t="shared" ref="W192:W200" si="214">G192+O192</f>
        <v>4.0040000000000004</v>
      </c>
      <c r="X192" s="12">
        <f t="shared" ref="X192:X200" si="215">H192+P192</f>
        <v>12.209999999999999</v>
      </c>
      <c r="Y192" s="13">
        <f t="shared" ref="Y192:Y200" si="216">I192+Q192</f>
        <v>17.493500000000004</v>
      </c>
      <c r="Z192" s="138">
        <f t="shared" ref="Z192:Z200" si="217">Z$188*S192+(1-Z$188)*R192</f>
        <v>3.0998000000000006</v>
      </c>
      <c r="AA192" s="143">
        <f t="shared" ref="AA192:AA200" si="218">Z$188*T192+(1-Z$188)*U192</f>
        <v>13.870999999999999</v>
      </c>
      <c r="AB192" s="138">
        <f t="shared" ref="AB192:AB200" si="219">Z$188*W192+(1-Z$188)*V192</f>
        <v>3.4058200000000007</v>
      </c>
      <c r="AC192" s="139">
        <f t="shared" ref="AC192:AC200" si="220">Z$188*X192+(1-Z$188)*Y192</f>
        <v>13.2667</v>
      </c>
      <c r="AD192" s="87">
        <f t="shared" ref="AD192:AD200" si="221">(Z192+AA192)/2</f>
        <v>8.4854000000000003</v>
      </c>
      <c r="AE192" s="88">
        <f t="shared" ref="AE192:AE200" si="222">(AB192+AC192)/2</f>
        <v>8.3362600000000011</v>
      </c>
      <c r="AF192" s="134">
        <f t="shared" ref="AF192:AF200" si="223">(AD192+AE192)/2</f>
        <v>8.4108300000000007</v>
      </c>
    </row>
    <row r="193" spans="1:40" x14ac:dyDescent="0.25">
      <c r="A193" s="164" t="s">
        <v>74</v>
      </c>
      <c r="B193" s="11">
        <f t="shared" si="198"/>
        <v>0.86349999999999971</v>
      </c>
      <c r="C193" s="12">
        <f t="shared" ref="C193:D193" si="224">C179*C$164</f>
        <v>2.9700000000000006</v>
      </c>
      <c r="D193" s="12">
        <f t="shared" si="224"/>
        <v>7.6230000000000011</v>
      </c>
      <c r="E193" s="13">
        <f t="shared" si="200"/>
        <v>13.249500000000001</v>
      </c>
      <c r="F193" s="11">
        <f t="shared" si="201"/>
        <v>1.6607499999999993</v>
      </c>
      <c r="G193" s="12">
        <f t="shared" ref="G193:H193" si="225">G179*G$164</f>
        <v>2.9700000000000006</v>
      </c>
      <c r="H193" s="12">
        <f t="shared" si="225"/>
        <v>7.6230000000000011</v>
      </c>
      <c r="I193" s="13">
        <f t="shared" si="203"/>
        <v>11.129249999999999</v>
      </c>
      <c r="J193" s="11">
        <f t="shared" si="204"/>
        <v>1.5874999999999995</v>
      </c>
      <c r="K193" s="12">
        <f t="shared" ref="K193:L193" si="226">K179*C$165</f>
        <v>5.330000000000001</v>
      </c>
      <c r="L193" s="12">
        <f t="shared" si="226"/>
        <v>11.036999999999999</v>
      </c>
      <c r="M193" s="13">
        <f t="shared" si="206"/>
        <v>17.025500000000001</v>
      </c>
      <c r="N193" s="11">
        <f t="shared" si="207"/>
        <v>2.9797499999999983</v>
      </c>
      <c r="O193" s="12">
        <f t="shared" ref="O193:P193" si="227">O179*G$165</f>
        <v>5.330000000000001</v>
      </c>
      <c r="P193" s="12">
        <f t="shared" si="227"/>
        <v>11.036999999999999</v>
      </c>
      <c r="Q193" s="13">
        <f t="shared" si="209"/>
        <v>14.69575</v>
      </c>
      <c r="R193" s="11">
        <f t="shared" ref="R193:R200" si="228">B193+J193</f>
        <v>2.4509999999999992</v>
      </c>
      <c r="S193" s="12">
        <f t="shared" si="210"/>
        <v>8.3000000000000007</v>
      </c>
      <c r="T193" s="12">
        <f t="shared" si="211"/>
        <v>18.66</v>
      </c>
      <c r="U193" s="13">
        <f t="shared" si="212"/>
        <v>30.275000000000002</v>
      </c>
      <c r="V193" s="11">
        <f t="shared" si="213"/>
        <v>4.6404999999999976</v>
      </c>
      <c r="W193" s="12">
        <f t="shared" si="214"/>
        <v>8.3000000000000007</v>
      </c>
      <c r="X193" s="12">
        <f t="shared" si="215"/>
        <v>18.66</v>
      </c>
      <c r="Y193" s="13">
        <f t="shared" si="216"/>
        <v>25.824999999999999</v>
      </c>
      <c r="Z193" s="138">
        <f t="shared" si="217"/>
        <v>7.1302000000000003</v>
      </c>
      <c r="AA193" s="143">
        <f t="shared" si="218"/>
        <v>20.983000000000001</v>
      </c>
      <c r="AB193" s="138">
        <f t="shared" si="219"/>
        <v>7.5681000000000003</v>
      </c>
      <c r="AC193" s="139">
        <f t="shared" si="220"/>
        <v>20.093</v>
      </c>
      <c r="AD193" s="87">
        <f t="shared" si="221"/>
        <v>14.0566</v>
      </c>
      <c r="AE193" s="88">
        <f t="shared" si="222"/>
        <v>13.830550000000001</v>
      </c>
      <c r="AF193" s="134">
        <f t="shared" si="223"/>
        <v>13.943574999999999</v>
      </c>
    </row>
    <row r="194" spans="1:40" x14ac:dyDescent="0.25">
      <c r="A194" s="164" t="s">
        <v>75</v>
      </c>
      <c r="B194" s="11">
        <f t="shared" si="198"/>
        <v>1.2025000000000015</v>
      </c>
      <c r="C194" s="12">
        <f t="shared" ref="C194:D194" si="229">C180*C$164</f>
        <v>4.2299999999999995</v>
      </c>
      <c r="D194" s="12">
        <f t="shared" si="229"/>
        <v>8.7270000000000003</v>
      </c>
      <c r="E194" s="13">
        <f t="shared" si="200"/>
        <v>13.640499999999999</v>
      </c>
      <c r="F194" s="11">
        <f t="shared" si="201"/>
        <v>2.3312499999999998</v>
      </c>
      <c r="G194" s="12">
        <f t="shared" ref="G194:H194" si="230">G180*G$164</f>
        <v>4.2299999999999995</v>
      </c>
      <c r="H194" s="12">
        <f t="shared" si="230"/>
        <v>8.7270000000000003</v>
      </c>
      <c r="I194" s="13">
        <f t="shared" si="203"/>
        <v>11.74325</v>
      </c>
      <c r="J194" s="11">
        <f t="shared" si="204"/>
        <v>1.1419999999999995</v>
      </c>
      <c r="K194" s="12">
        <f t="shared" ref="K194:L194" si="231">K180*C$165</f>
        <v>4.7360000000000007</v>
      </c>
      <c r="L194" s="12">
        <f t="shared" si="231"/>
        <v>9.9479999999999986</v>
      </c>
      <c r="M194" s="13">
        <f t="shared" si="206"/>
        <v>15.061999999999999</v>
      </c>
      <c r="N194" s="11">
        <f t="shared" si="207"/>
        <v>2.4479999999999986</v>
      </c>
      <c r="O194" s="12">
        <f t="shared" ref="O194:P194" si="232">O180*G$165</f>
        <v>4.7360000000000007</v>
      </c>
      <c r="P194" s="12">
        <f t="shared" si="232"/>
        <v>9.9479999999999986</v>
      </c>
      <c r="Q194" s="13">
        <f t="shared" si="209"/>
        <v>13.086999999999998</v>
      </c>
      <c r="R194" s="11">
        <f t="shared" si="228"/>
        <v>2.3445000000000009</v>
      </c>
      <c r="S194" s="12">
        <f t="shared" si="210"/>
        <v>8.9660000000000011</v>
      </c>
      <c r="T194" s="12">
        <f t="shared" si="211"/>
        <v>18.674999999999997</v>
      </c>
      <c r="U194" s="13">
        <f t="shared" si="212"/>
        <v>28.702500000000001</v>
      </c>
      <c r="V194" s="11">
        <f t="shared" si="213"/>
        <v>4.7792499999999984</v>
      </c>
      <c r="W194" s="12">
        <f t="shared" si="214"/>
        <v>8.9660000000000011</v>
      </c>
      <c r="X194" s="12">
        <f t="shared" si="215"/>
        <v>18.674999999999997</v>
      </c>
      <c r="Y194" s="13">
        <f t="shared" si="216"/>
        <v>24.830249999999999</v>
      </c>
      <c r="Z194" s="138">
        <f t="shared" si="217"/>
        <v>7.6417000000000019</v>
      </c>
      <c r="AA194" s="143">
        <f t="shared" si="218"/>
        <v>20.680499999999995</v>
      </c>
      <c r="AB194" s="138">
        <f t="shared" si="219"/>
        <v>8.1286500000000004</v>
      </c>
      <c r="AC194" s="139">
        <f t="shared" si="220"/>
        <v>19.906049999999997</v>
      </c>
      <c r="AD194" s="87">
        <f t="shared" si="221"/>
        <v>14.161099999999998</v>
      </c>
      <c r="AE194" s="88">
        <f t="shared" si="222"/>
        <v>14.017349999999999</v>
      </c>
      <c r="AF194" s="134">
        <f t="shared" si="223"/>
        <v>14.089224999999999</v>
      </c>
    </row>
    <row r="195" spans="1:40" x14ac:dyDescent="0.25">
      <c r="A195" s="164" t="s">
        <v>77</v>
      </c>
      <c r="B195" s="11">
        <f t="shared" si="198"/>
        <v>0.94749999999999934</v>
      </c>
      <c r="C195" s="12">
        <f t="shared" ref="C195:D195" si="233">C181*C$164</f>
        <v>3.3300000000000005</v>
      </c>
      <c r="D195" s="12">
        <f t="shared" si="233"/>
        <v>8.036999999999999</v>
      </c>
      <c r="E195" s="13">
        <f t="shared" si="200"/>
        <v>13.525500000000001</v>
      </c>
      <c r="F195" s="11">
        <f t="shared" si="201"/>
        <v>1.8497499999999998</v>
      </c>
      <c r="G195" s="12">
        <f t="shared" ref="G195:H195" si="234">G181*G$164</f>
        <v>3.3300000000000005</v>
      </c>
      <c r="H195" s="12">
        <f t="shared" si="234"/>
        <v>8.036999999999999</v>
      </c>
      <c r="I195" s="13">
        <f t="shared" si="203"/>
        <v>11.44575</v>
      </c>
      <c r="J195" s="11">
        <f t="shared" si="204"/>
        <v>1.5874999999999995</v>
      </c>
      <c r="K195" s="12">
        <f t="shared" ref="K195:L195" si="235">K181*C$165</f>
        <v>5.330000000000001</v>
      </c>
      <c r="L195" s="12">
        <f t="shared" si="235"/>
        <v>11.036999999999999</v>
      </c>
      <c r="M195" s="13">
        <f t="shared" si="206"/>
        <v>17.025500000000001</v>
      </c>
      <c r="N195" s="11">
        <f t="shared" si="207"/>
        <v>2.9797499999999983</v>
      </c>
      <c r="O195" s="12">
        <f t="shared" ref="O195:P195" si="236">O181*G$165</f>
        <v>5.330000000000001</v>
      </c>
      <c r="P195" s="12">
        <f t="shared" si="236"/>
        <v>11.036999999999999</v>
      </c>
      <c r="Q195" s="13">
        <f t="shared" si="209"/>
        <v>14.69575</v>
      </c>
      <c r="R195" s="11">
        <f t="shared" si="228"/>
        <v>2.5349999999999988</v>
      </c>
      <c r="S195" s="12">
        <f t="shared" si="210"/>
        <v>8.6600000000000019</v>
      </c>
      <c r="T195" s="12">
        <f t="shared" si="211"/>
        <v>19.073999999999998</v>
      </c>
      <c r="U195" s="13">
        <f t="shared" si="212"/>
        <v>30.551000000000002</v>
      </c>
      <c r="V195" s="11">
        <f t="shared" si="213"/>
        <v>4.8294999999999977</v>
      </c>
      <c r="W195" s="12">
        <f t="shared" si="214"/>
        <v>8.6600000000000019</v>
      </c>
      <c r="X195" s="12">
        <f t="shared" si="215"/>
        <v>19.073999999999998</v>
      </c>
      <c r="Y195" s="13">
        <f t="shared" si="216"/>
        <v>26.141500000000001</v>
      </c>
      <c r="Z195" s="138">
        <f t="shared" si="217"/>
        <v>7.4350000000000014</v>
      </c>
      <c r="AA195" s="143">
        <f t="shared" si="218"/>
        <v>21.369399999999999</v>
      </c>
      <c r="AB195" s="138">
        <f t="shared" si="219"/>
        <v>7.8939000000000012</v>
      </c>
      <c r="AC195" s="139">
        <f t="shared" si="220"/>
        <v>20.487499999999997</v>
      </c>
      <c r="AD195" s="87">
        <f t="shared" si="221"/>
        <v>14.402200000000001</v>
      </c>
      <c r="AE195" s="88">
        <f t="shared" si="222"/>
        <v>14.1907</v>
      </c>
      <c r="AF195" s="134">
        <f t="shared" si="223"/>
        <v>14.29645</v>
      </c>
    </row>
    <row r="196" spans="1:40" x14ac:dyDescent="0.25">
      <c r="A196" s="164" t="s">
        <v>78</v>
      </c>
      <c r="B196" s="11">
        <f t="shared" si="198"/>
        <v>0.75700000000000056</v>
      </c>
      <c r="C196" s="12">
        <f t="shared" ref="C196:D196" si="237">C182*C$164</f>
        <v>3.6360000000000001</v>
      </c>
      <c r="D196" s="12">
        <f t="shared" si="237"/>
        <v>7.6379999999999999</v>
      </c>
      <c r="E196" s="13">
        <f t="shared" si="200"/>
        <v>11.676999999999998</v>
      </c>
      <c r="F196" s="11">
        <f t="shared" si="201"/>
        <v>1.7994999999999992</v>
      </c>
      <c r="G196" s="12">
        <f t="shared" ref="G196:H196" si="238">G182*G$164</f>
        <v>3.6360000000000001</v>
      </c>
      <c r="H196" s="12">
        <f t="shared" si="238"/>
        <v>7.6379999999999999</v>
      </c>
      <c r="I196" s="13">
        <f t="shared" si="203"/>
        <v>10.134500000000001</v>
      </c>
      <c r="J196" s="11">
        <f t="shared" si="204"/>
        <v>1.1419999999999995</v>
      </c>
      <c r="K196" s="12">
        <f t="shared" ref="K196:L196" si="239">K182*C$165</f>
        <v>4.7360000000000007</v>
      </c>
      <c r="L196" s="12">
        <f t="shared" si="239"/>
        <v>9.9479999999999986</v>
      </c>
      <c r="M196" s="13">
        <f t="shared" si="206"/>
        <v>15.061999999999999</v>
      </c>
      <c r="N196" s="11">
        <f t="shared" si="207"/>
        <v>2.4479999999999986</v>
      </c>
      <c r="O196" s="12">
        <f t="shared" ref="O196:P196" si="240">O182*G$165</f>
        <v>4.7360000000000007</v>
      </c>
      <c r="P196" s="12">
        <f t="shared" si="240"/>
        <v>9.9479999999999986</v>
      </c>
      <c r="Q196" s="13">
        <f t="shared" si="209"/>
        <v>13.086999999999998</v>
      </c>
      <c r="R196" s="11">
        <f t="shared" si="228"/>
        <v>1.899</v>
      </c>
      <c r="S196" s="12">
        <f t="shared" si="210"/>
        <v>8.3719999999999999</v>
      </c>
      <c r="T196" s="12">
        <f t="shared" si="211"/>
        <v>17.585999999999999</v>
      </c>
      <c r="U196" s="13">
        <f t="shared" si="212"/>
        <v>26.738999999999997</v>
      </c>
      <c r="V196" s="11">
        <f t="shared" si="213"/>
        <v>4.2474999999999978</v>
      </c>
      <c r="W196" s="12">
        <f t="shared" si="214"/>
        <v>8.3719999999999999</v>
      </c>
      <c r="X196" s="12">
        <f t="shared" si="215"/>
        <v>17.585999999999999</v>
      </c>
      <c r="Y196" s="13">
        <f t="shared" si="216"/>
        <v>23.221499999999999</v>
      </c>
      <c r="Z196" s="138">
        <f t="shared" si="217"/>
        <v>7.0774000000000008</v>
      </c>
      <c r="AA196" s="143">
        <f t="shared" si="218"/>
        <v>19.416599999999999</v>
      </c>
      <c r="AB196" s="138">
        <f t="shared" si="219"/>
        <v>7.5470999999999995</v>
      </c>
      <c r="AC196" s="139">
        <f t="shared" si="220"/>
        <v>18.713099999999997</v>
      </c>
      <c r="AD196" s="87">
        <f t="shared" si="221"/>
        <v>13.247</v>
      </c>
      <c r="AE196" s="88">
        <f t="shared" si="222"/>
        <v>13.130099999999999</v>
      </c>
      <c r="AF196" s="134">
        <f t="shared" si="223"/>
        <v>13.188549999999999</v>
      </c>
    </row>
    <row r="197" spans="1:40" x14ac:dyDescent="0.25">
      <c r="A197" s="164" t="s">
        <v>79</v>
      </c>
      <c r="B197" s="11">
        <f t="shared" si="198"/>
        <v>0.75700000000000056</v>
      </c>
      <c r="C197" s="12">
        <f t="shared" ref="C197:D197" si="241">C183*C$164</f>
        <v>3.6360000000000001</v>
      </c>
      <c r="D197" s="12">
        <f t="shared" si="241"/>
        <v>7.6379999999999999</v>
      </c>
      <c r="E197" s="13">
        <f t="shared" si="200"/>
        <v>11.676999999999998</v>
      </c>
      <c r="F197" s="11">
        <f t="shared" si="201"/>
        <v>1.7994999999999992</v>
      </c>
      <c r="G197" s="12">
        <f t="shared" ref="G197:H197" si="242">G183*G$164</f>
        <v>3.6360000000000001</v>
      </c>
      <c r="H197" s="12">
        <f t="shared" si="242"/>
        <v>7.6379999999999999</v>
      </c>
      <c r="I197" s="13">
        <f t="shared" si="203"/>
        <v>10.134500000000001</v>
      </c>
      <c r="J197" s="11">
        <f t="shared" si="204"/>
        <v>1.1419999999999995</v>
      </c>
      <c r="K197" s="12">
        <f t="shared" ref="K197:L197" si="243">K183*C$165</f>
        <v>4.7360000000000007</v>
      </c>
      <c r="L197" s="12">
        <f t="shared" si="243"/>
        <v>9.9479999999999986</v>
      </c>
      <c r="M197" s="13">
        <f t="shared" si="206"/>
        <v>15.061999999999999</v>
      </c>
      <c r="N197" s="11">
        <f t="shared" si="207"/>
        <v>2.4479999999999986</v>
      </c>
      <c r="O197" s="12">
        <f t="shared" ref="O197:P197" si="244">O183*G$165</f>
        <v>4.7360000000000007</v>
      </c>
      <c r="P197" s="12">
        <f t="shared" si="244"/>
        <v>9.9479999999999986</v>
      </c>
      <c r="Q197" s="13">
        <f t="shared" si="209"/>
        <v>13.086999999999998</v>
      </c>
      <c r="R197" s="11">
        <f t="shared" si="228"/>
        <v>1.899</v>
      </c>
      <c r="S197" s="12">
        <f t="shared" si="210"/>
        <v>8.3719999999999999</v>
      </c>
      <c r="T197" s="12">
        <f t="shared" si="211"/>
        <v>17.585999999999999</v>
      </c>
      <c r="U197" s="13">
        <f t="shared" si="212"/>
        <v>26.738999999999997</v>
      </c>
      <c r="V197" s="11">
        <f t="shared" si="213"/>
        <v>4.2474999999999978</v>
      </c>
      <c r="W197" s="12">
        <f t="shared" si="214"/>
        <v>8.3719999999999999</v>
      </c>
      <c r="X197" s="12">
        <f t="shared" si="215"/>
        <v>17.585999999999999</v>
      </c>
      <c r="Y197" s="13">
        <f t="shared" si="216"/>
        <v>23.221499999999999</v>
      </c>
      <c r="Z197" s="138">
        <f t="shared" si="217"/>
        <v>7.0774000000000008</v>
      </c>
      <c r="AA197" s="143">
        <f t="shared" si="218"/>
        <v>19.416599999999999</v>
      </c>
      <c r="AB197" s="138">
        <f t="shared" si="219"/>
        <v>7.5470999999999995</v>
      </c>
      <c r="AC197" s="139">
        <f t="shared" si="220"/>
        <v>18.713099999999997</v>
      </c>
      <c r="AD197" s="87">
        <f t="shared" si="221"/>
        <v>13.247</v>
      </c>
      <c r="AE197" s="88">
        <f t="shared" si="222"/>
        <v>13.130099999999999</v>
      </c>
      <c r="AF197" s="134">
        <f t="shared" si="223"/>
        <v>13.188549999999999</v>
      </c>
    </row>
    <row r="198" spans="1:40" x14ac:dyDescent="0.25">
      <c r="A198" s="164" t="s">
        <v>80</v>
      </c>
      <c r="B198" s="11">
        <f t="shared" si="198"/>
        <v>1.069</v>
      </c>
      <c r="C198" s="12">
        <f t="shared" ref="C198:D198" si="245">C184*C$164</f>
        <v>4.1400000000000006</v>
      </c>
      <c r="D198" s="12">
        <f t="shared" si="245"/>
        <v>8.7959999999999994</v>
      </c>
      <c r="E198" s="13">
        <f t="shared" si="200"/>
        <v>13.859000000000002</v>
      </c>
      <c r="F198" s="11">
        <f t="shared" si="201"/>
        <v>2.2164999999999999</v>
      </c>
      <c r="G198" s="12">
        <f t="shared" ref="G198:H198" si="246">G184*G$164</f>
        <v>4.1400000000000006</v>
      </c>
      <c r="H198" s="12">
        <f t="shared" si="246"/>
        <v>8.7959999999999994</v>
      </c>
      <c r="I198" s="13">
        <f t="shared" si="203"/>
        <v>11.911000000000001</v>
      </c>
      <c r="J198" s="11">
        <f t="shared" si="204"/>
        <v>0.56699999999999928</v>
      </c>
      <c r="K198" s="12">
        <f t="shared" ref="K198:L198" si="247">K184*C$165</f>
        <v>3.9560000000000004</v>
      </c>
      <c r="L198" s="12">
        <f t="shared" si="247"/>
        <v>9.1079999999999988</v>
      </c>
      <c r="M198" s="13">
        <f t="shared" si="206"/>
        <v>14.247000000000002</v>
      </c>
      <c r="N198" s="11">
        <f t="shared" si="207"/>
        <v>1.7754999999999992</v>
      </c>
      <c r="O198" s="12">
        <f t="shared" ref="O198:P198" si="248">O184*G$165</f>
        <v>3.9560000000000004</v>
      </c>
      <c r="P198" s="12">
        <f t="shared" si="248"/>
        <v>9.1079999999999988</v>
      </c>
      <c r="Q198" s="13">
        <f t="shared" si="209"/>
        <v>12.297000000000002</v>
      </c>
      <c r="R198" s="11">
        <f t="shared" si="228"/>
        <v>1.6359999999999992</v>
      </c>
      <c r="S198" s="12">
        <f t="shared" si="210"/>
        <v>8.0960000000000001</v>
      </c>
      <c r="T198" s="12">
        <f t="shared" si="211"/>
        <v>17.903999999999996</v>
      </c>
      <c r="U198" s="13">
        <f t="shared" si="212"/>
        <v>28.106000000000002</v>
      </c>
      <c r="V198" s="11">
        <f t="shared" si="213"/>
        <v>3.9919999999999991</v>
      </c>
      <c r="W198" s="12">
        <f t="shared" si="214"/>
        <v>8.0960000000000001</v>
      </c>
      <c r="X198" s="12">
        <f t="shared" si="215"/>
        <v>17.903999999999996</v>
      </c>
      <c r="Y198" s="13">
        <f t="shared" si="216"/>
        <v>24.208000000000006</v>
      </c>
      <c r="Z198" s="138">
        <f t="shared" si="217"/>
        <v>6.8040000000000003</v>
      </c>
      <c r="AA198" s="143">
        <f t="shared" si="218"/>
        <v>19.944399999999998</v>
      </c>
      <c r="AB198" s="138">
        <f t="shared" si="219"/>
        <v>7.2752000000000008</v>
      </c>
      <c r="AC198" s="139">
        <f t="shared" si="220"/>
        <v>19.1648</v>
      </c>
      <c r="AD198" s="87">
        <f t="shared" si="221"/>
        <v>13.374199999999998</v>
      </c>
      <c r="AE198" s="88">
        <f t="shared" si="222"/>
        <v>13.22</v>
      </c>
      <c r="AF198" s="134">
        <f t="shared" si="223"/>
        <v>13.2971</v>
      </c>
    </row>
    <row r="199" spans="1:40" x14ac:dyDescent="0.25">
      <c r="A199" s="164" t="s">
        <v>82</v>
      </c>
      <c r="B199" s="11">
        <f t="shared" si="198"/>
        <v>0.94749999999999934</v>
      </c>
      <c r="C199" s="12">
        <f t="shared" ref="C199:D199" si="249">C185*C$164</f>
        <v>3.3300000000000005</v>
      </c>
      <c r="D199" s="12">
        <f t="shared" si="249"/>
        <v>8.036999999999999</v>
      </c>
      <c r="E199" s="13">
        <f t="shared" si="200"/>
        <v>13.525500000000001</v>
      </c>
      <c r="F199" s="11">
        <f t="shared" si="201"/>
        <v>1.8497499999999998</v>
      </c>
      <c r="G199" s="12">
        <f t="shared" ref="G199:H199" si="250">G185*G$164</f>
        <v>3.3300000000000005</v>
      </c>
      <c r="H199" s="12">
        <f t="shared" si="250"/>
        <v>8.036999999999999</v>
      </c>
      <c r="I199" s="13">
        <f t="shared" si="203"/>
        <v>11.44575</v>
      </c>
      <c r="J199" s="11">
        <f t="shared" si="204"/>
        <v>0.78449999999999953</v>
      </c>
      <c r="K199" s="12">
        <f t="shared" ref="K199:L199" si="251">K185*C$165</f>
        <v>4.4060000000000006</v>
      </c>
      <c r="L199" s="12">
        <f t="shared" si="251"/>
        <v>9.4529999999999994</v>
      </c>
      <c r="M199" s="13">
        <f t="shared" si="206"/>
        <v>14.304500000000001</v>
      </c>
      <c r="N199" s="11">
        <f t="shared" si="207"/>
        <v>2.0792499999999992</v>
      </c>
      <c r="O199" s="12">
        <f t="shared" ref="O199:P199" si="252">O185*G$165</f>
        <v>4.4060000000000006</v>
      </c>
      <c r="P199" s="12">
        <f t="shared" si="252"/>
        <v>9.4529999999999994</v>
      </c>
      <c r="Q199" s="13">
        <f t="shared" si="209"/>
        <v>12.44575</v>
      </c>
      <c r="R199" s="11">
        <f t="shared" si="228"/>
        <v>1.7319999999999989</v>
      </c>
      <c r="S199" s="12">
        <f t="shared" si="210"/>
        <v>7.7360000000000007</v>
      </c>
      <c r="T199" s="12">
        <f t="shared" si="211"/>
        <v>17.489999999999998</v>
      </c>
      <c r="U199" s="13">
        <f t="shared" si="212"/>
        <v>27.830000000000002</v>
      </c>
      <c r="V199" s="11">
        <f t="shared" si="213"/>
        <v>3.9289999999999989</v>
      </c>
      <c r="W199" s="12">
        <f t="shared" si="214"/>
        <v>7.7360000000000007</v>
      </c>
      <c r="X199" s="12">
        <f t="shared" si="215"/>
        <v>17.489999999999998</v>
      </c>
      <c r="Y199" s="13">
        <f t="shared" si="216"/>
        <v>23.891500000000001</v>
      </c>
      <c r="Z199" s="138">
        <f t="shared" si="217"/>
        <v>6.5352000000000006</v>
      </c>
      <c r="AA199" s="143">
        <f t="shared" si="218"/>
        <v>19.558</v>
      </c>
      <c r="AB199" s="138">
        <f t="shared" si="219"/>
        <v>6.9746000000000006</v>
      </c>
      <c r="AC199" s="139">
        <f t="shared" si="220"/>
        <v>18.770299999999999</v>
      </c>
      <c r="AD199" s="87">
        <f t="shared" si="221"/>
        <v>13.0466</v>
      </c>
      <c r="AE199" s="88">
        <f t="shared" si="222"/>
        <v>12.872450000000001</v>
      </c>
      <c r="AF199" s="134">
        <f t="shared" si="223"/>
        <v>12.959524999999999</v>
      </c>
    </row>
    <row r="200" spans="1:40" ht="15.75" thickBot="1" x14ac:dyDescent="0.3">
      <c r="A200" s="165" t="s">
        <v>83</v>
      </c>
      <c r="B200" s="175">
        <f t="shared" si="198"/>
        <v>0.14449999999999941</v>
      </c>
      <c r="C200" s="176">
        <f t="shared" ref="C200:D200" si="253">C186*C$164</f>
        <v>2.4060000000000006</v>
      </c>
      <c r="D200" s="176">
        <f t="shared" si="253"/>
        <v>6.4529999999999994</v>
      </c>
      <c r="E200" s="177">
        <f t="shared" si="200"/>
        <v>10.804499999999997</v>
      </c>
      <c r="F200" s="175">
        <f t="shared" si="201"/>
        <v>0.94924999999999971</v>
      </c>
      <c r="G200" s="176">
        <f t="shared" ref="G200:H200" si="254">G186*G$164</f>
        <v>2.4060000000000006</v>
      </c>
      <c r="H200" s="176">
        <f t="shared" si="254"/>
        <v>6.4529999999999994</v>
      </c>
      <c r="I200" s="177">
        <f t="shared" si="203"/>
        <v>9.1957500000000003</v>
      </c>
      <c r="J200" s="175">
        <f t="shared" si="204"/>
        <v>0.78449999999999953</v>
      </c>
      <c r="K200" s="176">
        <f t="shared" ref="K200:L200" si="255">K186*C$165</f>
        <v>4.4060000000000006</v>
      </c>
      <c r="L200" s="176">
        <f t="shared" si="255"/>
        <v>9.4529999999999994</v>
      </c>
      <c r="M200" s="177">
        <f t="shared" si="206"/>
        <v>14.304500000000001</v>
      </c>
      <c r="N200" s="175">
        <f t="shared" si="207"/>
        <v>2.0792499999999992</v>
      </c>
      <c r="O200" s="176">
        <f t="shared" ref="O200:P200" si="256">O186*G$165</f>
        <v>4.4060000000000006</v>
      </c>
      <c r="P200" s="176">
        <f t="shared" si="256"/>
        <v>9.4529999999999994</v>
      </c>
      <c r="Q200" s="177">
        <f t="shared" si="209"/>
        <v>12.44575</v>
      </c>
      <c r="R200" s="175">
        <f t="shared" si="228"/>
        <v>0.92899999999999894</v>
      </c>
      <c r="S200" s="176">
        <f t="shared" si="210"/>
        <v>6.8120000000000012</v>
      </c>
      <c r="T200" s="176">
        <f t="shared" si="211"/>
        <v>15.905999999999999</v>
      </c>
      <c r="U200" s="177">
        <f t="shared" si="212"/>
        <v>25.108999999999998</v>
      </c>
      <c r="V200" s="175">
        <f t="shared" si="213"/>
        <v>3.0284999999999989</v>
      </c>
      <c r="W200" s="176">
        <f t="shared" si="214"/>
        <v>6.8120000000000012</v>
      </c>
      <c r="X200" s="176">
        <f t="shared" si="215"/>
        <v>15.905999999999999</v>
      </c>
      <c r="Y200" s="177">
        <f t="shared" si="216"/>
        <v>21.641500000000001</v>
      </c>
      <c r="Z200" s="140">
        <f t="shared" si="217"/>
        <v>5.6354000000000006</v>
      </c>
      <c r="AA200" s="144">
        <f t="shared" si="218"/>
        <v>17.746600000000001</v>
      </c>
      <c r="AB200" s="140">
        <f t="shared" si="219"/>
        <v>6.0553000000000008</v>
      </c>
      <c r="AC200" s="141">
        <f t="shared" si="220"/>
        <v>17.053100000000001</v>
      </c>
      <c r="AD200" s="91">
        <f t="shared" si="221"/>
        <v>11.691000000000001</v>
      </c>
      <c r="AE200" s="94">
        <f t="shared" si="222"/>
        <v>11.554200000000002</v>
      </c>
      <c r="AF200" s="135">
        <f t="shared" si="223"/>
        <v>11.622600000000002</v>
      </c>
    </row>
    <row r="202" spans="1:40" ht="15.75" thickBot="1" x14ac:dyDescent="0.3">
      <c r="A202" t="s">
        <v>217</v>
      </c>
      <c r="AH202">
        <v>0.8</v>
      </c>
    </row>
    <row r="203" spans="1:40" ht="15.75" thickBot="1" x14ac:dyDescent="0.3">
      <c r="A203" s="304" t="s">
        <v>86</v>
      </c>
      <c r="B203" s="303" t="s">
        <v>214</v>
      </c>
      <c r="C203" s="306"/>
      <c r="D203" s="306"/>
      <c r="E203" s="306"/>
      <c r="F203" s="306"/>
      <c r="G203" s="306"/>
      <c r="H203" s="306"/>
      <c r="I203" s="307"/>
      <c r="J203" s="303" t="s">
        <v>215</v>
      </c>
      <c r="K203" s="306"/>
      <c r="L203" s="306"/>
      <c r="M203" s="306"/>
      <c r="N203" s="306"/>
      <c r="O203" s="306"/>
      <c r="P203" s="306"/>
      <c r="Q203" s="307"/>
      <c r="R203" s="303" t="s">
        <v>218</v>
      </c>
      <c r="S203" s="306"/>
      <c r="T203" s="306"/>
      <c r="U203" s="306"/>
      <c r="V203" s="306"/>
      <c r="W203" s="306"/>
      <c r="X203" s="306"/>
      <c r="Y203" s="307"/>
      <c r="Z203" s="280" t="s">
        <v>216</v>
      </c>
      <c r="AA203" s="281"/>
      <c r="AB203" s="281"/>
      <c r="AC203" s="281"/>
      <c r="AD203" s="281"/>
      <c r="AE203" s="281"/>
      <c r="AF203" s="281"/>
      <c r="AG203" s="282"/>
      <c r="AH203" s="292" t="s">
        <v>151</v>
      </c>
      <c r="AI203" s="293"/>
      <c r="AJ203" s="293"/>
      <c r="AK203" s="294"/>
      <c r="AL203" s="288" t="s">
        <v>153</v>
      </c>
      <c r="AM203" s="289"/>
      <c r="AN203" s="290" t="s">
        <v>156</v>
      </c>
    </row>
    <row r="204" spans="1:40" ht="31.5" customHeight="1" thickBot="1" x14ac:dyDescent="0.3">
      <c r="A204" s="305"/>
      <c r="B204" s="300" t="s">
        <v>17</v>
      </c>
      <c r="C204" s="301"/>
      <c r="D204" s="301"/>
      <c r="E204" s="302"/>
      <c r="F204" s="303" t="s">
        <v>18</v>
      </c>
      <c r="G204" s="301"/>
      <c r="H204" s="301"/>
      <c r="I204" s="302"/>
      <c r="J204" s="300" t="s">
        <v>17</v>
      </c>
      <c r="K204" s="301"/>
      <c r="L204" s="301"/>
      <c r="M204" s="302"/>
      <c r="N204" s="303" t="s">
        <v>18</v>
      </c>
      <c r="O204" s="301"/>
      <c r="P204" s="301"/>
      <c r="Q204" s="302"/>
      <c r="R204" s="300" t="s">
        <v>17</v>
      </c>
      <c r="S204" s="301"/>
      <c r="T204" s="301"/>
      <c r="U204" s="302"/>
      <c r="V204" s="303" t="s">
        <v>18</v>
      </c>
      <c r="W204" s="301"/>
      <c r="X204" s="301"/>
      <c r="Y204" s="302"/>
      <c r="Z204" s="280" t="s">
        <v>17</v>
      </c>
      <c r="AA204" s="281"/>
      <c r="AB204" s="281"/>
      <c r="AC204" s="282"/>
      <c r="AD204" s="280" t="s">
        <v>18</v>
      </c>
      <c r="AE204" s="281"/>
      <c r="AF204" s="281"/>
      <c r="AG204" s="282"/>
      <c r="AH204" s="295" t="s">
        <v>152</v>
      </c>
      <c r="AI204" s="296"/>
      <c r="AJ204" s="295" t="s">
        <v>26</v>
      </c>
      <c r="AK204" s="297"/>
      <c r="AL204" s="145" t="s">
        <v>154</v>
      </c>
      <c r="AM204" s="145" t="s">
        <v>155</v>
      </c>
      <c r="AN204" s="291"/>
    </row>
    <row r="205" spans="1:40" x14ac:dyDescent="0.25">
      <c r="A205" s="169" t="s">
        <v>84</v>
      </c>
      <c r="B205" s="11">
        <f>B177*C$170+B$170*C177-C$170*C177</f>
        <v>3.2000000000000473E-2</v>
      </c>
      <c r="C205" s="12">
        <f>C177*C$170</f>
        <v>2.52</v>
      </c>
      <c r="D205" s="12">
        <f>D177*D$170</f>
        <v>6.3240000000000007</v>
      </c>
      <c r="E205" s="13">
        <f>D177*E$170+D$170*E177-D$170*D177</f>
        <v>9.843</v>
      </c>
      <c r="F205" s="11">
        <f>F177*G$170+F$170*G177-G$170*G177</f>
        <v>1.0339999999999994</v>
      </c>
      <c r="G205" s="12">
        <f>G177*G$170</f>
        <v>2.52</v>
      </c>
      <c r="H205" s="12">
        <f>H177*H$170</f>
        <v>6.3240000000000007</v>
      </c>
      <c r="I205" s="166">
        <f>H177*I$170+H$170*I177-H$170*H177</f>
        <v>8.4024999999999999</v>
      </c>
      <c r="J205" s="11">
        <f>J177*C$171+B$171*K177-C$171*K177</f>
        <v>-0.21100000000000008</v>
      </c>
      <c r="K205" s="12">
        <f>K177*C$171</f>
        <v>1.9780000000000002</v>
      </c>
      <c r="L205" s="12">
        <f>L177*D$171</f>
        <v>6.0720000000000001</v>
      </c>
      <c r="M205" s="13">
        <f>M177*D$171+L177*E$171-D$171*L177</f>
        <v>10.004000000000001</v>
      </c>
      <c r="N205" s="11">
        <f>N177*G$171+F$171*O177-G$171*O177</f>
        <v>0.64049999999999985</v>
      </c>
      <c r="O205" s="12">
        <f>O177*G$171</f>
        <v>1.9780000000000002</v>
      </c>
      <c r="P205" s="12">
        <f>P177*H$171</f>
        <v>6.0720000000000001</v>
      </c>
      <c r="Q205" s="166">
        <f>Q177*H$171+P177*I$171-H$171*P177</f>
        <v>8.4510000000000005</v>
      </c>
      <c r="R205" s="11">
        <f>R177*C$172+S177*B$172-C$172*S177</f>
        <v>0.48900000000000032</v>
      </c>
      <c r="S205" s="12">
        <f>S177*C$172</f>
        <v>2.9744999999999995</v>
      </c>
      <c r="T205" s="12">
        <f>T177*D$172</f>
        <v>6.7774999999999999</v>
      </c>
      <c r="U205" s="13">
        <f>U177*D$172+E$172*T177-T177*D$172</f>
        <v>10.587999999999997</v>
      </c>
      <c r="V205" s="11">
        <f>V177*G$172+W177*F$172-G$172*W177</f>
        <v>1.4329499999999995</v>
      </c>
      <c r="W205" s="12">
        <f>W177*G$172</f>
        <v>2.9744999999999995</v>
      </c>
      <c r="X205" s="12">
        <f>X177*H$172</f>
        <v>6.7774999999999999</v>
      </c>
      <c r="Y205" s="166">
        <f>Y177*H$172+I$172*X177-X177*H$172</f>
        <v>9.0927500000000023</v>
      </c>
      <c r="Z205" s="11">
        <f>B205+J205+R205</f>
        <v>0.31000000000000072</v>
      </c>
      <c r="AA205" s="12">
        <f t="shared" ref="AA205:AG205" si="257">C205+K205+S205</f>
        <v>7.4725000000000001</v>
      </c>
      <c r="AB205" s="12">
        <f t="shared" si="257"/>
        <v>19.173500000000001</v>
      </c>
      <c r="AC205" s="13">
        <f t="shared" si="257"/>
        <v>30.434999999999999</v>
      </c>
      <c r="AD205" s="11">
        <f t="shared" si="257"/>
        <v>3.1074499999999987</v>
      </c>
      <c r="AE205" s="12">
        <f t="shared" si="257"/>
        <v>7.4725000000000001</v>
      </c>
      <c r="AF205" s="12">
        <f t="shared" si="257"/>
        <v>19.173500000000001</v>
      </c>
      <c r="AG205" s="166">
        <f t="shared" si="257"/>
        <v>25.946250000000003</v>
      </c>
      <c r="AH205" s="81">
        <f>AH$202*AA205+(1-AH$202)*Z205</f>
        <v>6.0400000000000009</v>
      </c>
      <c r="AI205" s="84">
        <f>AH$202*AB205+(1-AH$202)*AC205</f>
        <v>21.425799999999999</v>
      </c>
      <c r="AJ205" s="81">
        <f>AH$202*AE205+(1-AH$202)*AD205</f>
        <v>6.5994900000000003</v>
      </c>
      <c r="AK205" s="84">
        <f>AH$202*AF205+(1-AH$202)*AG205</f>
        <v>20.52805</v>
      </c>
      <c r="AL205" s="81">
        <f>(AH205+AI205)/2</f>
        <v>13.732900000000001</v>
      </c>
      <c r="AM205" s="84">
        <f>(AJ205+AK205)/2</f>
        <v>13.56377</v>
      </c>
      <c r="AN205" s="133">
        <f>(AL205+AM205)/2</f>
        <v>13.648334999999999</v>
      </c>
    </row>
    <row r="206" spans="1:40" x14ac:dyDescent="0.25">
      <c r="A206" s="164" t="s">
        <v>73</v>
      </c>
      <c r="B206" s="9">
        <f t="shared" ref="B206:B214" si="258">B178*C$170+B$170*C178-C$170*C178</f>
        <v>-0.30249999999999999</v>
      </c>
      <c r="C206" s="2">
        <f t="shared" ref="C206:D206" si="259">C178*C$170</f>
        <v>0.89100000000000001</v>
      </c>
      <c r="D206" s="2">
        <f t="shared" si="259"/>
        <v>3.63</v>
      </c>
      <c r="E206" s="10">
        <f t="shared" ref="E206:E214" si="260">D178*E$170+D$170*E178-D$170*D178</f>
        <v>6.517500000000001</v>
      </c>
      <c r="F206" s="9">
        <f t="shared" ref="F206:F214" si="261">F178*G$170+F$170*G178-G$170*G178</f>
        <v>0.14105000000000012</v>
      </c>
      <c r="G206" s="2">
        <f t="shared" ref="G206:H206" si="262">G178*G$170</f>
        <v>0.89100000000000001</v>
      </c>
      <c r="H206" s="2">
        <f t="shared" si="262"/>
        <v>3.63</v>
      </c>
      <c r="I206" s="159">
        <f t="shared" ref="I206:I214" si="263">H178*I$170+H$170*I178-H$170*H178</f>
        <v>5.4257500000000016</v>
      </c>
      <c r="J206" s="9">
        <f t="shared" ref="J206:J214" si="264">J178*C$171+B$171*K178-C$171*K178</f>
        <v>-0.45650000000000013</v>
      </c>
      <c r="K206" s="2">
        <f t="shared" ref="K206:L206" si="265">K178*C$171</f>
        <v>1.1110000000000002</v>
      </c>
      <c r="L206" s="2">
        <f t="shared" si="265"/>
        <v>4.5100000000000007</v>
      </c>
      <c r="M206" s="10">
        <f t="shared" ref="M206:M214" si="266">M178*D$171+L178*E$171-D$171*L178</f>
        <v>7.8374999999999995</v>
      </c>
      <c r="N206" s="9">
        <f t="shared" ref="N206:N214" si="267">N178*G$171+F$171*O178-G$171*O178</f>
        <v>0.11525000000000007</v>
      </c>
      <c r="O206" s="2">
        <f t="shared" ref="O206:P206" si="268">O178*G$171</f>
        <v>1.1110000000000002</v>
      </c>
      <c r="P206" s="2">
        <f t="shared" si="268"/>
        <v>4.5100000000000007</v>
      </c>
      <c r="Q206" s="159">
        <f t="shared" ref="Q206:Q214" si="269">Q178*H$171+P178*I$171-H$171*P178</f>
        <v>6.575750000000002</v>
      </c>
      <c r="R206" s="9">
        <f t="shared" ref="R206:R214" si="270">R178*C$172+S178*B$172-C$172*S178</f>
        <v>-0.37949999999999995</v>
      </c>
      <c r="S206" s="2">
        <f t="shared" ref="S206:T206" si="271">S178*C$172</f>
        <v>1.0890000000000002</v>
      </c>
      <c r="T206" s="2">
        <f t="shared" si="271"/>
        <v>4.125</v>
      </c>
      <c r="U206" s="10">
        <f t="shared" ref="U206:U214" si="272">U178*D$172+E$172*T178-T178*D$172</f>
        <v>7.2750000000000004</v>
      </c>
      <c r="V206" s="9">
        <f t="shared" ref="V206:V214" si="273">V178*G$172+W178*F$172-G$172*W178</f>
        <v>0.12599999999999989</v>
      </c>
      <c r="W206" s="2">
        <f t="shared" ref="W206:X206" si="274">W178*G$172</f>
        <v>1.0890000000000002</v>
      </c>
      <c r="X206" s="2">
        <f t="shared" si="274"/>
        <v>4.125</v>
      </c>
      <c r="Y206" s="159">
        <f t="shared" ref="Y206:Y214" si="275">Y178*H$172+I$172*X178-X178*H$172</f>
        <v>6.1275000000000013</v>
      </c>
      <c r="Z206" s="9">
        <f t="shared" ref="Z206:Z214" si="276">B206+J206+R206</f>
        <v>-1.1385000000000001</v>
      </c>
      <c r="AA206" s="2">
        <f t="shared" ref="AA206:AA214" si="277">C206+K206+S206</f>
        <v>3.0910000000000002</v>
      </c>
      <c r="AB206" s="2">
        <f t="shared" ref="AB206:AB214" si="278">D206+L206+T206</f>
        <v>12.265000000000001</v>
      </c>
      <c r="AC206" s="10">
        <f t="shared" ref="AC206:AC214" si="279">E206+M206+U206</f>
        <v>21.630000000000003</v>
      </c>
      <c r="AD206" s="9">
        <f t="shared" ref="AD206:AD214" si="280">F206+N206+V206</f>
        <v>0.38230000000000008</v>
      </c>
      <c r="AE206" s="2">
        <f t="shared" ref="AE206:AE214" si="281">G206+O206+W206</f>
        <v>3.0910000000000002</v>
      </c>
      <c r="AF206" s="2">
        <f t="shared" ref="AF206:AF214" si="282">H206+P206+X206</f>
        <v>12.265000000000001</v>
      </c>
      <c r="AG206" s="159">
        <f t="shared" ref="AG206:AG214" si="283">I206+Q206+Y206</f>
        <v>18.129000000000005</v>
      </c>
      <c r="AH206" s="87">
        <f t="shared" ref="AH206:AH214" si="284">AH$202*AA206+(1-AH$202)*Z206</f>
        <v>2.2451000000000003</v>
      </c>
      <c r="AI206" s="88">
        <f t="shared" ref="AI206:AI214" si="285">AH$202*AB206+(1-AH$202)*AC206</f>
        <v>14.138000000000002</v>
      </c>
      <c r="AJ206" s="87">
        <f t="shared" ref="AJ206:AJ214" si="286">AH$202*AE206+(1-AH$202)*AD206</f>
        <v>2.5492600000000003</v>
      </c>
      <c r="AK206" s="88">
        <f t="shared" ref="AK206:AK214" si="287">AH$202*AF206+(1-AH$202)*AG206</f>
        <v>13.437800000000001</v>
      </c>
      <c r="AL206" s="87">
        <f t="shared" ref="AL206:AL214" si="288">(AH206+AI206)/2</f>
        <v>8.1915500000000012</v>
      </c>
      <c r="AM206" s="88">
        <f t="shared" ref="AM206:AM214" si="289">(AJ206+AK206)/2</f>
        <v>7.9935300000000007</v>
      </c>
      <c r="AN206" s="134">
        <f t="shared" ref="AN206:AN214" si="290">(AL206+AM206)/2</f>
        <v>8.0925400000000014</v>
      </c>
    </row>
    <row r="207" spans="1:40" x14ac:dyDescent="0.25">
      <c r="A207" s="164" t="s">
        <v>74</v>
      </c>
      <c r="B207" s="9">
        <f t="shared" si="258"/>
        <v>6.0499999999999998E-2</v>
      </c>
      <c r="C207" s="2">
        <f t="shared" ref="C207:D207" si="291">C179*C$170</f>
        <v>1.4850000000000003</v>
      </c>
      <c r="D207" s="2">
        <f t="shared" si="291"/>
        <v>5.0820000000000007</v>
      </c>
      <c r="E207" s="10">
        <f t="shared" si="260"/>
        <v>9.2565000000000008</v>
      </c>
      <c r="F207" s="9">
        <f t="shared" si="261"/>
        <v>0.64474999999999971</v>
      </c>
      <c r="G207" s="2">
        <f t="shared" ref="G207:H207" si="292">G179*G$170</f>
        <v>1.4850000000000003</v>
      </c>
      <c r="H207" s="2">
        <f t="shared" si="292"/>
        <v>5.0820000000000007</v>
      </c>
      <c r="I207" s="159">
        <f t="shared" si="263"/>
        <v>7.6312499999999996</v>
      </c>
      <c r="J207" s="9">
        <f t="shared" si="264"/>
        <v>0.12749999999999995</v>
      </c>
      <c r="K207" s="2">
        <f t="shared" ref="K207:L207" si="293">K179*C$171</f>
        <v>2.6650000000000005</v>
      </c>
      <c r="L207" s="2">
        <f t="shared" si="293"/>
        <v>7.3580000000000005</v>
      </c>
      <c r="M207" s="10">
        <f t="shared" si="266"/>
        <v>11.9635</v>
      </c>
      <c r="N207" s="9">
        <f t="shared" si="267"/>
        <v>1.1567499999999993</v>
      </c>
      <c r="O207" s="2">
        <f t="shared" ref="O207:P207" si="294">O179*G$171</f>
        <v>2.6650000000000005</v>
      </c>
      <c r="P207" s="2">
        <f t="shared" si="294"/>
        <v>7.3580000000000005</v>
      </c>
      <c r="Q207" s="159">
        <f t="shared" si="269"/>
        <v>10.103750000000002</v>
      </c>
      <c r="R207" s="9">
        <f t="shared" si="270"/>
        <v>0.50249999999999995</v>
      </c>
      <c r="S207" s="2">
        <f t="shared" ref="S207:T207" si="295">S179*C$172</f>
        <v>2.8349999999999995</v>
      </c>
      <c r="T207" s="2">
        <f t="shared" si="295"/>
        <v>6.9850000000000003</v>
      </c>
      <c r="U207" s="10">
        <f t="shared" si="272"/>
        <v>11.552</v>
      </c>
      <c r="V207" s="9">
        <f t="shared" si="273"/>
        <v>1.4024999999999994</v>
      </c>
      <c r="W207" s="2">
        <f t="shared" ref="W207:X207" si="296">W179*G$172</f>
        <v>2.8349999999999995</v>
      </c>
      <c r="X207" s="2">
        <f t="shared" si="296"/>
        <v>6.9850000000000003</v>
      </c>
      <c r="Y207" s="159">
        <f t="shared" si="275"/>
        <v>9.7785000000000011</v>
      </c>
      <c r="Z207" s="9">
        <f t="shared" si="276"/>
        <v>0.69049999999999989</v>
      </c>
      <c r="AA207" s="2">
        <f t="shared" si="277"/>
        <v>6.9849999999999994</v>
      </c>
      <c r="AB207" s="2">
        <f t="shared" si="278"/>
        <v>19.425000000000001</v>
      </c>
      <c r="AC207" s="10">
        <f t="shared" si="279"/>
        <v>32.771999999999998</v>
      </c>
      <c r="AD207" s="9">
        <f t="shared" si="280"/>
        <v>3.2039999999999984</v>
      </c>
      <c r="AE207" s="2">
        <f t="shared" si="281"/>
        <v>6.9849999999999994</v>
      </c>
      <c r="AF207" s="2">
        <f t="shared" si="282"/>
        <v>19.425000000000001</v>
      </c>
      <c r="AG207" s="159">
        <f t="shared" si="283"/>
        <v>27.513500000000001</v>
      </c>
      <c r="AH207" s="87">
        <f t="shared" si="284"/>
        <v>5.7260999999999997</v>
      </c>
      <c r="AI207" s="88">
        <f t="shared" si="285"/>
        <v>22.0944</v>
      </c>
      <c r="AJ207" s="87">
        <f t="shared" si="286"/>
        <v>6.2287999999999997</v>
      </c>
      <c r="AK207" s="88">
        <f t="shared" si="287"/>
        <v>21.0427</v>
      </c>
      <c r="AL207" s="87">
        <f t="shared" si="288"/>
        <v>13.91025</v>
      </c>
      <c r="AM207" s="88">
        <f t="shared" si="289"/>
        <v>13.63575</v>
      </c>
      <c r="AN207" s="134">
        <f t="shared" si="290"/>
        <v>13.773</v>
      </c>
    </row>
    <row r="208" spans="1:40" x14ac:dyDescent="0.25">
      <c r="A208" s="164" t="s">
        <v>75</v>
      </c>
      <c r="B208" s="9">
        <f t="shared" si="258"/>
        <v>7.2500000000000231E-2</v>
      </c>
      <c r="C208" s="2">
        <f t="shared" ref="C208:D208" si="297">C180*C$170</f>
        <v>2.1149999999999998</v>
      </c>
      <c r="D208" s="2">
        <f t="shared" si="297"/>
        <v>5.8180000000000014</v>
      </c>
      <c r="E208" s="10">
        <f t="shared" si="260"/>
        <v>9.5785</v>
      </c>
      <c r="F208" s="9">
        <f t="shared" si="261"/>
        <v>0.90125000000000055</v>
      </c>
      <c r="G208" s="2">
        <f t="shared" ref="G208:H208" si="298">G180*G$170</f>
        <v>2.1149999999999998</v>
      </c>
      <c r="H208" s="2">
        <f t="shared" si="298"/>
        <v>5.8180000000000014</v>
      </c>
      <c r="I208" s="159">
        <f t="shared" si="263"/>
        <v>8.0712499999999991</v>
      </c>
      <c r="J208" s="9">
        <f t="shared" si="264"/>
        <v>-2.0999999999999908E-2</v>
      </c>
      <c r="K208" s="2">
        <f t="shared" ref="K208:L208" si="299">K180*C$171</f>
        <v>2.3680000000000003</v>
      </c>
      <c r="L208" s="2">
        <f t="shared" si="299"/>
        <v>6.6319999999999997</v>
      </c>
      <c r="M208" s="10">
        <f t="shared" si="266"/>
        <v>10.593999999999999</v>
      </c>
      <c r="N208" s="9">
        <f t="shared" si="267"/>
        <v>0.92799999999999949</v>
      </c>
      <c r="O208" s="2">
        <f t="shared" ref="O208:P208" si="300">O180*G$171</f>
        <v>2.3680000000000003</v>
      </c>
      <c r="P208" s="2">
        <f t="shared" si="300"/>
        <v>6.6319999999999997</v>
      </c>
      <c r="Q208" s="159">
        <f t="shared" si="269"/>
        <v>9.0009999999999994</v>
      </c>
      <c r="R208" s="9">
        <f t="shared" si="270"/>
        <v>-4.1999999999999593E-2</v>
      </c>
      <c r="S208" s="2">
        <f t="shared" ref="S208:T208" si="301">S180*C$172</f>
        <v>1.8044999999999998</v>
      </c>
      <c r="T208" s="2">
        <f t="shared" si="301"/>
        <v>5.3775000000000004</v>
      </c>
      <c r="U208" s="10">
        <f t="shared" si="272"/>
        <v>9.1829999999999998</v>
      </c>
      <c r="V208" s="9">
        <f t="shared" si="273"/>
        <v>0.63675000000000037</v>
      </c>
      <c r="W208" s="2">
        <f t="shared" ref="W208:X208" si="302">W180*G$172</f>
        <v>1.8044999999999998</v>
      </c>
      <c r="X208" s="2">
        <f t="shared" si="302"/>
        <v>5.3775000000000004</v>
      </c>
      <c r="Y208" s="159">
        <f t="shared" si="275"/>
        <v>7.7527500000000034</v>
      </c>
      <c r="Z208" s="9">
        <f t="shared" si="276"/>
        <v>9.5000000000007301E-3</v>
      </c>
      <c r="AA208" s="2">
        <f t="shared" si="277"/>
        <v>6.2875000000000005</v>
      </c>
      <c r="AB208" s="2">
        <f t="shared" si="278"/>
        <v>17.827500000000001</v>
      </c>
      <c r="AC208" s="10">
        <f t="shared" si="279"/>
        <v>29.355499999999999</v>
      </c>
      <c r="AD208" s="9">
        <f t="shared" si="280"/>
        <v>2.4660000000000002</v>
      </c>
      <c r="AE208" s="2">
        <f t="shared" si="281"/>
        <v>6.2875000000000005</v>
      </c>
      <c r="AF208" s="2">
        <f t="shared" si="282"/>
        <v>17.827500000000001</v>
      </c>
      <c r="AG208" s="159">
        <f t="shared" si="283"/>
        <v>24.824999999999999</v>
      </c>
      <c r="AH208" s="87">
        <f t="shared" si="284"/>
        <v>5.0319000000000011</v>
      </c>
      <c r="AI208" s="88">
        <f t="shared" si="285"/>
        <v>20.133099999999999</v>
      </c>
      <c r="AJ208" s="87">
        <f t="shared" si="286"/>
        <v>5.523200000000001</v>
      </c>
      <c r="AK208" s="88">
        <f t="shared" si="287"/>
        <v>19.227</v>
      </c>
      <c r="AL208" s="87">
        <f t="shared" si="288"/>
        <v>12.5825</v>
      </c>
      <c r="AM208" s="88">
        <f t="shared" si="289"/>
        <v>12.3751</v>
      </c>
      <c r="AN208" s="134">
        <f t="shared" si="290"/>
        <v>12.4788</v>
      </c>
    </row>
    <row r="209" spans="1:40" x14ac:dyDescent="0.25">
      <c r="A209" s="164" t="s">
        <v>77</v>
      </c>
      <c r="B209" s="9">
        <f t="shared" si="258"/>
        <v>5.7499999999999885E-2</v>
      </c>
      <c r="C209" s="2">
        <f t="shared" ref="C209:D209" si="303">C181*C$170</f>
        <v>1.6650000000000003</v>
      </c>
      <c r="D209" s="2">
        <f t="shared" si="303"/>
        <v>5.3580000000000005</v>
      </c>
      <c r="E209" s="10">
        <f t="shared" si="260"/>
        <v>9.4634999999999998</v>
      </c>
      <c r="F209" s="9">
        <f t="shared" si="261"/>
        <v>0.71675</v>
      </c>
      <c r="G209" s="2">
        <f t="shared" ref="G209:H209" si="304">G181*G$170</f>
        <v>1.6650000000000003</v>
      </c>
      <c r="H209" s="2">
        <f t="shared" si="304"/>
        <v>5.3580000000000005</v>
      </c>
      <c r="I209" s="159">
        <f t="shared" si="263"/>
        <v>7.8537500000000016</v>
      </c>
      <c r="J209" s="9">
        <f t="shared" si="264"/>
        <v>0.12749999999999995</v>
      </c>
      <c r="K209" s="2">
        <f t="shared" ref="K209:L209" si="305">K181*C$171</f>
        <v>2.6650000000000005</v>
      </c>
      <c r="L209" s="2">
        <f t="shared" si="305"/>
        <v>7.3580000000000005</v>
      </c>
      <c r="M209" s="10">
        <f t="shared" si="266"/>
        <v>11.9635</v>
      </c>
      <c r="N209" s="9">
        <f t="shared" si="267"/>
        <v>1.1567499999999993</v>
      </c>
      <c r="O209" s="2">
        <f t="shared" ref="O209:P209" si="306">O181*G$171</f>
        <v>2.6650000000000005</v>
      </c>
      <c r="P209" s="2">
        <f t="shared" si="306"/>
        <v>7.3580000000000005</v>
      </c>
      <c r="Q209" s="159">
        <f t="shared" si="269"/>
        <v>10.103750000000002</v>
      </c>
      <c r="R209" s="9">
        <f t="shared" si="270"/>
        <v>-4.2000000000000259E-2</v>
      </c>
      <c r="S209" s="2">
        <f t="shared" ref="S209:T209" si="307">S181*C$172</f>
        <v>2.1419999999999999</v>
      </c>
      <c r="T209" s="2">
        <f t="shared" si="307"/>
        <v>5.665</v>
      </c>
      <c r="U209" s="10">
        <f t="shared" si="272"/>
        <v>9.2405000000000008</v>
      </c>
      <c r="V209" s="9">
        <f t="shared" si="273"/>
        <v>0.75599999999999978</v>
      </c>
      <c r="W209" s="2">
        <f t="shared" ref="W209:X209" si="308">W181*G$172</f>
        <v>2.1419999999999999</v>
      </c>
      <c r="X209" s="2">
        <f t="shared" si="308"/>
        <v>5.665</v>
      </c>
      <c r="Y209" s="159">
        <f t="shared" si="275"/>
        <v>7.8815000000000017</v>
      </c>
      <c r="Z209" s="9">
        <f t="shared" si="276"/>
        <v>0.14299999999999957</v>
      </c>
      <c r="AA209" s="2">
        <f t="shared" si="277"/>
        <v>6.4720000000000013</v>
      </c>
      <c r="AB209" s="2">
        <f t="shared" si="278"/>
        <v>18.381</v>
      </c>
      <c r="AC209" s="10">
        <f t="shared" si="279"/>
        <v>30.6675</v>
      </c>
      <c r="AD209" s="9">
        <f t="shared" si="280"/>
        <v>2.6294999999999993</v>
      </c>
      <c r="AE209" s="2">
        <f t="shared" si="281"/>
        <v>6.4720000000000013</v>
      </c>
      <c r="AF209" s="2">
        <f t="shared" si="282"/>
        <v>18.381</v>
      </c>
      <c r="AG209" s="159">
        <f t="shared" si="283"/>
        <v>25.839000000000006</v>
      </c>
      <c r="AH209" s="87">
        <f t="shared" si="284"/>
        <v>5.2062000000000017</v>
      </c>
      <c r="AI209" s="88">
        <f t="shared" si="285"/>
        <v>20.8383</v>
      </c>
      <c r="AJ209" s="87">
        <f t="shared" si="286"/>
        <v>5.7035000000000018</v>
      </c>
      <c r="AK209" s="88">
        <f t="shared" si="287"/>
        <v>19.872599999999998</v>
      </c>
      <c r="AL209" s="87">
        <f t="shared" si="288"/>
        <v>13.022250000000001</v>
      </c>
      <c r="AM209" s="88">
        <f t="shared" si="289"/>
        <v>12.78805</v>
      </c>
      <c r="AN209" s="134">
        <f t="shared" si="290"/>
        <v>12.905150000000001</v>
      </c>
    </row>
    <row r="210" spans="1:40" x14ac:dyDescent="0.25">
      <c r="A210" s="164" t="s">
        <v>78</v>
      </c>
      <c r="B210" s="9">
        <f t="shared" si="258"/>
        <v>-7.5999999999999845E-2</v>
      </c>
      <c r="C210" s="2">
        <f t="shared" ref="C210:D210" si="309">C182*C$170</f>
        <v>1.8180000000000001</v>
      </c>
      <c r="D210" s="2">
        <f t="shared" si="309"/>
        <v>5.0920000000000005</v>
      </c>
      <c r="E210" s="10">
        <f t="shared" si="260"/>
        <v>8.2089999999999996</v>
      </c>
      <c r="F210" s="9">
        <f t="shared" si="261"/>
        <v>0.67249999999999988</v>
      </c>
      <c r="G210" s="2">
        <f t="shared" ref="G210:H210" si="310">G182*G$170</f>
        <v>1.8180000000000001</v>
      </c>
      <c r="H210" s="2">
        <f t="shared" si="310"/>
        <v>5.0920000000000005</v>
      </c>
      <c r="I210" s="159">
        <f t="shared" si="263"/>
        <v>6.9685000000000006</v>
      </c>
      <c r="J210" s="9">
        <f t="shared" si="264"/>
        <v>-2.0999999999999908E-2</v>
      </c>
      <c r="K210" s="2">
        <f t="shared" ref="K210:L210" si="311">K182*C$171</f>
        <v>2.3680000000000003</v>
      </c>
      <c r="L210" s="2">
        <f t="shared" si="311"/>
        <v>6.6319999999999997</v>
      </c>
      <c r="M210" s="10">
        <f t="shared" si="266"/>
        <v>10.593999999999999</v>
      </c>
      <c r="N210" s="9">
        <f t="shared" si="267"/>
        <v>0.92799999999999949</v>
      </c>
      <c r="O210" s="2">
        <f t="shared" ref="O210:P210" si="312">O182*G$171</f>
        <v>2.3680000000000003</v>
      </c>
      <c r="P210" s="2">
        <f t="shared" si="312"/>
        <v>6.6319999999999997</v>
      </c>
      <c r="Q210" s="159">
        <f t="shared" si="269"/>
        <v>9.0009999999999994</v>
      </c>
      <c r="R210" s="9">
        <f t="shared" si="270"/>
        <v>-0.23099999999999987</v>
      </c>
      <c r="S210" s="2">
        <f t="shared" ref="S210:T210" si="313">S182*C$172</f>
        <v>1.3365</v>
      </c>
      <c r="T210" s="2">
        <f t="shared" si="313"/>
        <v>4.5375000000000005</v>
      </c>
      <c r="U210" s="10">
        <f t="shared" si="272"/>
        <v>7.919999999999999</v>
      </c>
      <c r="V210" s="9">
        <f t="shared" si="273"/>
        <v>0.32295000000000007</v>
      </c>
      <c r="W210" s="2">
        <f t="shared" ref="W210:X210" si="314">W182*G$172</f>
        <v>1.3365</v>
      </c>
      <c r="X210" s="2">
        <f t="shared" si="314"/>
        <v>4.5375000000000005</v>
      </c>
      <c r="Y210" s="159">
        <f t="shared" si="275"/>
        <v>6.668750000000002</v>
      </c>
      <c r="Z210" s="9">
        <f t="shared" si="276"/>
        <v>-0.32799999999999963</v>
      </c>
      <c r="AA210" s="2">
        <f t="shared" si="277"/>
        <v>5.5225</v>
      </c>
      <c r="AB210" s="2">
        <f t="shared" si="278"/>
        <v>16.261500000000002</v>
      </c>
      <c r="AC210" s="10">
        <f t="shared" si="279"/>
        <v>26.722999999999995</v>
      </c>
      <c r="AD210" s="9">
        <f t="shared" si="280"/>
        <v>1.9234499999999994</v>
      </c>
      <c r="AE210" s="2">
        <f t="shared" si="281"/>
        <v>5.5225</v>
      </c>
      <c r="AF210" s="2">
        <f t="shared" si="282"/>
        <v>16.261500000000002</v>
      </c>
      <c r="AG210" s="159">
        <f t="shared" si="283"/>
        <v>22.638250000000003</v>
      </c>
      <c r="AH210" s="87">
        <f t="shared" si="284"/>
        <v>4.3524000000000003</v>
      </c>
      <c r="AI210" s="88">
        <f t="shared" si="285"/>
        <v>18.3538</v>
      </c>
      <c r="AJ210" s="87">
        <f t="shared" si="286"/>
        <v>4.8026900000000001</v>
      </c>
      <c r="AK210" s="88">
        <f t="shared" si="287"/>
        <v>17.536850000000001</v>
      </c>
      <c r="AL210" s="87">
        <f t="shared" si="288"/>
        <v>11.3531</v>
      </c>
      <c r="AM210" s="88">
        <f t="shared" si="289"/>
        <v>11.16977</v>
      </c>
      <c r="AN210" s="134">
        <f t="shared" si="290"/>
        <v>11.261434999999999</v>
      </c>
    </row>
    <row r="211" spans="1:40" x14ac:dyDescent="0.25">
      <c r="A211" s="164" t="s">
        <v>79</v>
      </c>
      <c r="B211" s="9">
        <f t="shared" si="258"/>
        <v>-7.5999999999999845E-2</v>
      </c>
      <c r="C211" s="2">
        <f t="shared" ref="C211:D211" si="315">C183*C$170</f>
        <v>1.8180000000000001</v>
      </c>
      <c r="D211" s="2">
        <f t="shared" si="315"/>
        <v>5.0920000000000005</v>
      </c>
      <c r="E211" s="10">
        <f t="shared" si="260"/>
        <v>8.2089999999999996</v>
      </c>
      <c r="F211" s="9">
        <f t="shared" si="261"/>
        <v>0.67249999999999988</v>
      </c>
      <c r="G211" s="2">
        <f t="shared" ref="G211:H211" si="316">G183*G$170</f>
        <v>1.8180000000000001</v>
      </c>
      <c r="H211" s="2">
        <f t="shared" si="316"/>
        <v>5.0920000000000005</v>
      </c>
      <c r="I211" s="159">
        <f t="shared" si="263"/>
        <v>6.9685000000000006</v>
      </c>
      <c r="J211" s="9">
        <f t="shared" si="264"/>
        <v>-2.0999999999999908E-2</v>
      </c>
      <c r="K211" s="2">
        <f t="shared" ref="K211:L211" si="317">K183*C$171</f>
        <v>2.3680000000000003</v>
      </c>
      <c r="L211" s="2">
        <f t="shared" si="317"/>
        <v>6.6319999999999997</v>
      </c>
      <c r="M211" s="10">
        <f t="shared" si="266"/>
        <v>10.593999999999999</v>
      </c>
      <c r="N211" s="9">
        <f t="shared" si="267"/>
        <v>0.92799999999999949</v>
      </c>
      <c r="O211" s="2">
        <f t="shared" ref="O211:P211" si="318">O183*G$171</f>
        <v>2.3680000000000003</v>
      </c>
      <c r="P211" s="2">
        <f t="shared" si="318"/>
        <v>6.6319999999999997</v>
      </c>
      <c r="Q211" s="159">
        <f t="shared" si="269"/>
        <v>9.0009999999999994</v>
      </c>
      <c r="R211" s="9">
        <f t="shared" si="270"/>
        <v>-4.1999999999999593E-2</v>
      </c>
      <c r="S211" s="2">
        <f t="shared" ref="S211:T211" si="319">S183*C$172</f>
        <v>1.8044999999999998</v>
      </c>
      <c r="T211" s="2">
        <f t="shared" si="319"/>
        <v>5.3775000000000004</v>
      </c>
      <c r="U211" s="10">
        <f t="shared" si="272"/>
        <v>9.1829999999999998</v>
      </c>
      <c r="V211" s="9">
        <f t="shared" si="273"/>
        <v>0.63675000000000037</v>
      </c>
      <c r="W211" s="2">
        <f t="shared" ref="W211:X211" si="320">W183*G$172</f>
        <v>1.8044999999999998</v>
      </c>
      <c r="X211" s="2">
        <f t="shared" si="320"/>
        <v>5.3775000000000004</v>
      </c>
      <c r="Y211" s="159">
        <f t="shared" si="275"/>
        <v>7.7527500000000034</v>
      </c>
      <c r="Z211" s="9">
        <f t="shared" si="276"/>
        <v>-0.13899999999999935</v>
      </c>
      <c r="AA211" s="2">
        <f t="shared" si="277"/>
        <v>5.9904999999999999</v>
      </c>
      <c r="AB211" s="2">
        <f t="shared" si="278"/>
        <v>17.101500000000001</v>
      </c>
      <c r="AC211" s="10">
        <f t="shared" si="279"/>
        <v>27.985999999999997</v>
      </c>
      <c r="AD211" s="9">
        <f t="shared" si="280"/>
        <v>2.2372499999999995</v>
      </c>
      <c r="AE211" s="2">
        <f t="shared" si="281"/>
        <v>5.9904999999999999</v>
      </c>
      <c r="AF211" s="2">
        <f t="shared" si="282"/>
        <v>17.101500000000001</v>
      </c>
      <c r="AG211" s="159">
        <f t="shared" si="283"/>
        <v>23.722250000000003</v>
      </c>
      <c r="AH211" s="87">
        <f t="shared" si="284"/>
        <v>4.7645999999999997</v>
      </c>
      <c r="AI211" s="88">
        <f t="shared" si="285"/>
        <v>19.278400000000001</v>
      </c>
      <c r="AJ211" s="87">
        <f t="shared" si="286"/>
        <v>5.2398499999999997</v>
      </c>
      <c r="AK211" s="88">
        <f t="shared" si="287"/>
        <v>18.425650000000001</v>
      </c>
      <c r="AL211" s="87">
        <f t="shared" si="288"/>
        <v>12.0215</v>
      </c>
      <c r="AM211" s="88">
        <f t="shared" si="289"/>
        <v>11.832750000000001</v>
      </c>
      <c r="AN211" s="134">
        <f t="shared" si="290"/>
        <v>11.927125</v>
      </c>
    </row>
    <row r="212" spans="1:40" x14ac:dyDescent="0.25">
      <c r="A212" s="164" t="s">
        <v>80</v>
      </c>
      <c r="B212" s="9">
        <f t="shared" si="258"/>
        <v>1.6999999999999904E-2</v>
      </c>
      <c r="C212" s="2">
        <f t="shared" ref="C212:D212" si="321">C184*C$170</f>
        <v>2.0700000000000003</v>
      </c>
      <c r="D212" s="2">
        <f t="shared" si="321"/>
        <v>5.8640000000000008</v>
      </c>
      <c r="E212" s="10">
        <f t="shared" si="260"/>
        <v>9.7279999999999998</v>
      </c>
      <c r="F212" s="9">
        <f t="shared" si="261"/>
        <v>0.84949999999999992</v>
      </c>
      <c r="G212" s="2">
        <f t="shared" ref="G212:H212" si="322">G184*G$170</f>
        <v>2.0700000000000003</v>
      </c>
      <c r="H212" s="2">
        <f t="shared" si="322"/>
        <v>5.8640000000000008</v>
      </c>
      <c r="I212" s="159">
        <f t="shared" si="263"/>
        <v>8.1849999999999987</v>
      </c>
      <c r="J212" s="9">
        <f t="shared" si="264"/>
        <v>-0.21100000000000008</v>
      </c>
      <c r="K212" s="2">
        <f t="shared" ref="K212:L212" si="323">K184*C$171</f>
        <v>1.9780000000000002</v>
      </c>
      <c r="L212" s="2">
        <f t="shared" si="323"/>
        <v>6.0720000000000001</v>
      </c>
      <c r="M212" s="10">
        <f t="shared" si="266"/>
        <v>10.004000000000001</v>
      </c>
      <c r="N212" s="9">
        <f t="shared" si="267"/>
        <v>0.64049999999999985</v>
      </c>
      <c r="O212" s="2">
        <f t="shared" ref="O212:P212" si="324">O184*G$171</f>
        <v>1.9780000000000002</v>
      </c>
      <c r="P212" s="2">
        <f t="shared" si="324"/>
        <v>6.0720000000000001</v>
      </c>
      <c r="Q212" s="159">
        <f t="shared" si="269"/>
        <v>8.4510000000000005</v>
      </c>
      <c r="R212" s="9">
        <f t="shared" si="270"/>
        <v>0.34050000000000047</v>
      </c>
      <c r="S212" s="2">
        <f t="shared" ref="S212:T212" si="325">S184*C$172</f>
        <v>2.7269999999999999</v>
      </c>
      <c r="T212" s="2">
        <f t="shared" si="325"/>
        <v>6.3650000000000002</v>
      </c>
      <c r="U212" s="10">
        <f t="shared" si="272"/>
        <v>9.9429999999999996</v>
      </c>
      <c r="V212" s="9">
        <f t="shared" si="273"/>
        <v>1.2359999999999998</v>
      </c>
      <c r="W212" s="2">
        <f t="shared" ref="W212:X212" si="326">W184*G$172</f>
        <v>2.7269999999999999</v>
      </c>
      <c r="X212" s="2">
        <f t="shared" si="326"/>
        <v>6.3650000000000002</v>
      </c>
      <c r="Y212" s="159">
        <f t="shared" si="275"/>
        <v>8.5515000000000008</v>
      </c>
      <c r="Z212" s="9">
        <f t="shared" si="276"/>
        <v>0.1465000000000003</v>
      </c>
      <c r="AA212" s="2">
        <f t="shared" si="277"/>
        <v>6.7750000000000004</v>
      </c>
      <c r="AB212" s="2">
        <f t="shared" si="278"/>
        <v>18.301000000000002</v>
      </c>
      <c r="AC212" s="10">
        <f t="shared" si="279"/>
        <v>29.674999999999997</v>
      </c>
      <c r="AD212" s="9">
        <f t="shared" si="280"/>
        <v>2.7259999999999995</v>
      </c>
      <c r="AE212" s="2">
        <f t="shared" si="281"/>
        <v>6.7750000000000004</v>
      </c>
      <c r="AF212" s="2">
        <f t="shared" si="282"/>
        <v>18.301000000000002</v>
      </c>
      <c r="AG212" s="159">
        <f t="shared" si="283"/>
        <v>25.1875</v>
      </c>
      <c r="AH212" s="87">
        <f t="shared" si="284"/>
        <v>5.4493000000000009</v>
      </c>
      <c r="AI212" s="88">
        <f t="shared" si="285"/>
        <v>20.575800000000001</v>
      </c>
      <c r="AJ212" s="87">
        <f t="shared" si="286"/>
        <v>5.9652000000000003</v>
      </c>
      <c r="AK212" s="88">
        <f t="shared" si="287"/>
        <v>19.6783</v>
      </c>
      <c r="AL212" s="87">
        <f t="shared" si="288"/>
        <v>13.012550000000001</v>
      </c>
      <c r="AM212" s="88">
        <f t="shared" si="289"/>
        <v>12.82175</v>
      </c>
      <c r="AN212" s="134">
        <f t="shared" si="290"/>
        <v>12.917149999999999</v>
      </c>
    </row>
    <row r="213" spans="1:40" x14ac:dyDescent="0.25">
      <c r="A213" s="164" t="s">
        <v>82</v>
      </c>
      <c r="B213" s="9">
        <f t="shared" si="258"/>
        <v>5.7499999999999885E-2</v>
      </c>
      <c r="C213" s="2">
        <f t="shared" ref="C213:D213" si="327">C185*C$170</f>
        <v>1.6650000000000003</v>
      </c>
      <c r="D213" s="2">
        <f t="shared" si="327"/>
        <v>5.3580000000000005</v>
      </c>
      <c r="E213" s="10">
        <f t="shared" si="260"/>
        <v>9.4634999999999998</v>
      </c>
      <c r="F213" s="9">
        <f t="shared" si="261"/>
        <v>0.71675</v>
      </c>
      <c r="G213" s="2">
        <f t="shared" ref="G213:H213" si="328">G185*G$170</f>
        <v>1.6650000000000003</v>
      </c>
      <c r="H213" s="2">
        <f t="shared" si="328"/>
        <v>5.3580000000000005</v>
      </c>
      <c r="I213" s="159">
        <f t="shared" si="263"/>
        <v>7.8537500000000016</v>
      </c>
      <c r="J213" s="9">
        <f t="shared" si="264"/>
        <v>-0.15850000000000009</v>
      </c>
      <c r="K213" s="2">
        <f t="shared" ref="K213:L213" si="329">K185*C$171</f>
        <v>2.2030000000000003</v>
      </c>
      <c r="L213" s="2">
        <f t="shared" si="329"/>
        <v>6.3019999999999996</v>
      </c>
      <c r="M213" s="10">
        <f t="shared" si="266"/>
        <v>10.061500000000002</v>
      </c>
      <c r="N213" s="9">
        <f t="shared" si="267"/>
        <v>0.76424999999999965</v>
      </c>
      <c r="O213" s="2">
        <f t="shared" ref="O213:P213" si="330">O185*G$171</f>
        <v>2.2030000000000003</v>
      </c>
      <c r="P213" s="2">
        <f t="shared" si="330"/>
        <v>6.3019999999999996</v>
      </c>
      <c r="Q213" s="159">
        <f t="shared" si="269"/>
        <v>8.5597500000000011</v>
      </c>
      <c r="R213" s="9">
        <f t="shared" si="270"/>
        <v>-4.2000000000000259E-2</v>
      </c>
      <c r="S213" s="2">
        <f t="shared" ref="S213:T213" si="331">S185*C$172</f>
        <v>2.1419999999999999</v>
      </c>
      <c r="T213" s="2">
        <f t="shared" si="331"/>
        <v>5.665</v>
      </c>
      <c r="U213" s="10">
        <f t="shared" si="272"/>
        <v>9.2405000000000008</v>
      </c>
      <c r="V213" s="9">
        <f t="shared" si="273"/>
        <v>0.75599999999999978</v>
      </c>
      <c r="W213" s="2">
        <f t="shared" ref="W213:X213" si="332">W185*G$172</f>
        <v>2.1419999999999999</v>
      </c>
      <c r="X213" s="2">
        <f t="shared" si="332"/>
        <v>5.665</v>
      </c>
      <c r="Y213" s="159">
        <f t="shared" si="275"/>
        <v>7.8815000000000017</v>
      </c>
      <c r="Z213" s="9">
        <f t="shared" si="276"/>
        <v>-0.14300000000000046</v>
      </c>
      <c r="AA213" s="2">
        <f t="shared" si="277"/>
        <v>6.01</v>
      </c>
      <c r="AB213" s="2">
        <f t="shared" si="278"/>
        <v>17.324999999999999</v>
      </c>
      <c r="AC213" s="10">
        <f t="shared" si="279"/>
        <v>28.765500000000003</v>
      </c>
      <c r="AD213" s="9">
        <f t="shared" si="280"/>
        <v>2.2369999999999992</v>
      </c>
      <c r="AE213" s="2">
        <f t="shared" si="281"/>
        <v>6.01</v>
      </c>
      <c r="AF213" s="2">
        <f t="shared" si="282"/>
        <v>17.324999999999999</v>
      </c>
      <c r="AG213" s="159">
        <f t="shared" si="283"/>
        <v>24.295000000000005</v>
      </c>
      <c r="AH213" s="87">
        <f t="shared" si="284"/>
        <v>4.7793999999999999</v>
      </c>
      <c r="AI213" s="88">
        <f t="shared" si="285"/>
        <v>19.613099999999999</v>
      </c>
      <c r="AJ213" s="87">
        <f t="shared" si="286"/>
        <v>5.2553999999999998</v>
      </c>
      <c r="AK213" s="88">
        <f t="shared" si="287"/>
        <v>18.719000000000001</v>
      </c>
      <c r="AL213" s="87">
        <f t="shared" si="288"/>
        <v>12.196249999999999</v>
      </c>
      <c r="AM213" s="88">
        <f t="shared" si="289"/>
        <v>11.987200000000001</v>
      </c>
      <c r="AN213" s="134">
        <f t="shared" si="290"/>
        <v>12.091725</v>
      </c>
    </row>
    <row r="214" spans="1:40" ht="15.75" thickBot="1" x14ac:dyDescent="0.3">
      <c r="A214" s="165" t="s">
        <v>83</v>
      </c>
      <c r="B214" s="160">
        <f t="shared" si="258"/>
        <v>-0.22850000000000015</v>
      </c>
      <c r="C214" s="120">
        <f t="shared" ref="C214:D214" si="333">C186*C$170</f>
        <v>1.2030000000000003</v>
      </c>
      <c r="D214" s="120">
        <f t="shared" si="333"/>
        <v>4.3019999999999996</v>
      </c>
      <c r="E214" s="124">
        <f t="shared" si="260"/>
        <v>7.5615000000000006</v>
      </c>
      <c r="F214" s="160">
        <f t="shared" si="261"/>
        <v>0.32424999999999993</v>
      </c>
      <c r="G214" s="120">
        <f t="shared" ref="G214:H214" si="334">G186*G$170</f>
        <v>1.2030000000000003</v>
      </c>
      <c r="H214" s="120">
        <f t="shared" si="334"/>
        <v>4.3019999999999996</v>
      </c>
      <c r="I214" s="167">
        <f t="shared" si="263"/>
        <v>6.3097500000000011</v>
      </c>
      <c r="J214" s="160">
        <f t="shared" si="264"/>
        <v>-0.15850000000000009</v>
      </c>
      <c r="K214" s="120">
        <f t="shared" ref="K214:L214" si="335">K186*C$171</f>
        <v>2.2030000000000003</v>
      </c>
      <c r="L214" s="120">
        <f t="shared" si="335"/>
        <v>6.3019999999999996</v>
      </c>
      <c r="M214" s="124">
        <f t="shared" si="266"/>
        <v>10.061500000000002</v>
      </c>
      <c r="N214" s="160">
        <f t="shared" si="267"/>
        <v>0.76424999999999965</v>
      </c>
      <c r="O214" s="120">
        <f t="shared" ref="O214:P214" si="336">O186*G$171</f>
        <v>2.2030000000000003</v>
      </c>
      <c r="P214" s="120">
        <f t="shared" si="336"/>
        <v>6.3019999999999996</v>
      </c>
      <c r="Q214" s="167">
        <f t="shared" si="269"/>
        <v>8.5597500000000011</v>
      </c>
      <c r="R214" s="160">
        <f t="shared" si="270"/>
        <v>0.35400000000000009</v>
      </c>
      <c r="S214" s="120">
        <f t="shared" ref="S214:T214" si="337">S186*C$172</f>
        <v>2.637</v>
      </c>
      <c r="T214" s="120">
        <f t="shared" si="337"/>
        <v>6.49</v>
      </c>
      <c r="U214" s="124">
        <f t="shared" si="272"/>
        <v>10.530499999999998</v>
      </c>
      <c r="V214" s="160">
        <f t="shared" si="273"/>
        <v>1.2191999999999994</v>
      </c>
      <c r="W214" s="120">
        <f t="shared" ref="W214:X214" si="338">W186*G$172</f>
        <v>2.637</v>
      </c>
      <c r="X214" s="120">
        <f t="shared" si="338"/>
        <v>6.49</v>
      </c>
      <c r="Y214" s="167">
        <f t="shared" si="275"/>
        <v>8.9640000000000004</v>
      </c>
      <c r="Z214" s="160">
        <f t="shared" si="276"/>
        <v>-3.300000000000014E-2</v>
      </c>
      <c r="AA214" s="120">
        <f t="shared" si="277"/>
        <v>6.043000000000001</v>
      </c>
      <c r="AB214" s="120">
        <f t="shared" si="278"/>
        <v>17.094000000000001</v>
      </c>
      <c r="AC214" s="124">
        <f t="shared" si="279"/>
        <v>28.153500000000001</v>
      </c>
      <c r="AD214" s="160">
        <f t="shared" si="280"/>
        <v>2.3076999999999988</v>
      </c>
      <c r="AE214" s="120">
        <f t="shared" si="281"/>
        <v>6.043000000000001</v>
      </c>
      <c r="AF214" s="120">
        <f t="shared" si="282"/>
        <v>17.094000000000001</v>
      </c>
      <c r="AG214" s="167">
        <f t="shared" si="283"/>
        <v>23.833500000000001</v>
      </c>
      <c r="AH214" s="91">
        <f t="shared" si="284"/>
        <v>4.8278000000000016</v>
      </c>
      <c r="AI214" s="94">
        <f t="shared" si="285"/>
        <v>19.305900000000001</v>
      </c>
      <c r="AJ214" s="91">
        <f t="shared" si="286"/>
        <v>5.2959400000000008</v>
      </c>
      <c r="AK214" s="94">
        <f t="shared" si="287"/>
        <v>18.4419</v>
      </c>
      <c r="AL214" s="91">
        <f t="shared" si="288"/>
        <v>12.066850000000002</v>
      </c>
      <c r="AM214" s="94">
        <f t="shared" si="289"/>
        <v>11.868920000000001</v>
      </c>
      <c r="AN214" s="135">
        <f t="shared" si="290"/>
        <v>11.967885000000003</v>
      </c>
    </row>
  </sheetData>
  <mergeCells count="150">
    <mergeCell ref="AH203:AK203"/>
    <mergeCell ref="AL203:AM203"/>
    <mergeCell ref="AN203:AN204"/>
    <mergeCell ref="Z204:AC204"/>
    <mergeCell ref="AD204:AG204"/>
    <mergeCell ref="AH204:AI204"/>
    <mergeCell ref="AJ204:AK204"/>
    <mergeCell ref="R203:Y203"/>
    <mergeCell ref="R204:U204"/>
    <mergeCell ref="V204:Y204"/>
    <mergeCell ref="AF189:AF190"/>
    <mergeCell ref="Z190:AA190"/>
    <mergeCell ref="AB190:AC190"/>
    <mergeCell ref="A203:A204"/>
    <mergeCell ref="B203:I203"/>
    <mergeCell ref="J203:Q203"/>
    <mergeCell ref="B204:E204"/>
    <mergeCell ref="F204:I204"/>
    <mergeCell ref="J204:M204"/>
    <mergeCell ref="N204:Q204"/>
    <mergeCell ref="R189:Y189"/>
    <mergeCell ref="R190:U190"/>
    <mergeCell ref="V190:Y190"/>
    <mergeCell ref="Z189:AC189"/>
    <mergeCell ref="AD189:AE189"/>
    <mergeCell ref="A189:A190"/>
    <mergeCell ref="B189:I189"/>
    <mergeCell ref="J189:Q189"/>
    <mergeCell ref="B190:E190"/>
    <mergeCell ref="F190:I190"/>
    <mergeCell ref="J190:M190"/>
    <mergeCell ref="N190:Q190"/>
    <mergeCell ref="Z203:AG203"/>
    <mergeCell ref="A175:A176"/>
    <mergeCell ref="B175:I175"/>
    <mergeCell ref="B176:E176"/>
    <mergeCell ref="J175:Q175"/>
    <mergeCell ref="J176:M176"/>
    <mergeCell ref="R175:Y175"/>
    <mergeCell ref="R176:U176"/>
    <mergeCell ref="F176:I176"/>
    <mergeCell ref="N176:Q176"/>
    <mergeCell ref="V176:Y176"/>
    <mergeCell ref="E141:L141"/>
    <mergeCell ref="E147:L147"/>
    <mergeCell ref="B163:E163"/>
    <mergeCell ref="F163:I163"/>
    <mergeCell ref="B169:E169"/>
    <mergeCell ref="F169:I169"/>
    <mergeCell ref="AU114:AX114"/>
    <mergeCell ref="AY114:BB114"/>
    <mergeCell ref="BC114:BF114"/>
    <mergeCell ref="J113:J114"/>
    <mergeCell ref="AY113:BF113"/>
    <mergeCell ref="BG113:BN113"/>
    <mergeCell ref="BO113:BR113"/>
    <mergeCell ref="BS113:BT113"/>
    <mergeCell ref="BU113:BU114"/>
    <mergeCell ref="K114:N114"/>
    <mergeCell ref="O114:R114"/>
    <mergeCell ref="S114:V114"/>
    <mergeCell ref="W114:Z114"/>
    <mergeCell ref="AA114:AD114"/>
    <mergeCell ref="K113:R113"/>
    <mergeCell ref="S113:Z113"/>
    <mergeCell ref="AA113:AH113"/>
    <mergeCell ref="AI113:AP113"/>
    <mergeCell ref="AQ113:AX113"/>
    <mergeCell ref="AE114:AH114"/>
    <mergeCell ref="AI114:AL114"/>
    <mergeCell ref="AM114:AP114"/>
    <mergeCell ref="AQ114:AT114"/>
    <mergeCell ref="BQ114:BR114"/>
    <mergeCell ref="BG114:BJ114"/>
    <mergeCell ref="BK114:BN114"/>
    <mergeCell ref="BO114:BP114"/>
    <mergeCell ref="E89:L89"/>
    <mergeCell ref="E95:L95"/>
    <mergeCell ref="A113:A114"/>
    <mergeCell ref="B113:B114"/>
    <mergeCell ref="C113:C114"/>
    <mergeCell ref="D113:F113"/>
    <mergeCell ref="G113:I113"/>
    <mergeCell ref="AM62:AP62"/>
    <mergeCell ref="AQ62:AT62"/>
    <mergeCell ref="BO61:BR61"/>
    <mergeCell ref="BS61:BT61"/>
    <mergeCell ref="BU61:BU62"/>
    <mergeCell ref="K62:N62"/>
    <mergeCell ref="O62:R62"/>
    <mergeCell ref="S62:V62"/>
    <mergeCell ref="W62:Z62"/>
    <mergeCell ref="AA62:AD62"/>
    <mergeCell ref="AE62:AH62"/>
    <mergeCell ref="AI62:AL62"/>
    <mergeCell ref="S61:Z61"/>
    <mergeCell ref="AA61:AH61"/>
    <mergeCell ref="AI61:AP61"/>
    <mergeCell ref="AQ61:AX61"/>
    <mergeCell ref="AY61:BF61"/>
    <mergeCell ref="BG61:BN61"/>
    <mergeCell ref="BK62:BN62"/>
    <mergeCell ref="BO62:BP62"/>
    <mergeCell ref="BQ62:BR62"/>
    <mergeCell ref="AU62:AX62"/>
    <mergeCell ref="AY62:BB62"/>
    <mergeCell ref="BC62:BF62"/>
    <mergeCell ref="BG62:BJ62"/>
    <mergeCell ref="E37:L37"/>
    <mergeCell ref="E43:L43"/>
    <mergeCell ref="A61:A62"/>
    <mergeCell ref="B61:B62"/>
    <mergeCell ref="C61:C62"/>
    <mergeCell ref="D61:F61"/>
    <mergeCell ref="G61:I61"/>
    <mergeCell ref="J61:J62"/>
    <mergeCell ref="K61:R61"/>
    <mergeCell ref="BS9:BT9"/>
    <mergeCell ref="BU9:BU10"/>
    <mergeCell ref="K10:N10"/>
    <mergeCell ref="O10:R10"/>
    <mergeCell ref="S10:V10"/>
    <mergeCell ref="W10:Z10"/>
    <mergeCell ref="AA10:AD10"/>
    <mergeCell ref="K9:R9"/>
    <mergeCell ref="S9:Z9"/>
    <mergeCell ref="AA9:AH9"/>
    <mergeCell ref="AI9:AP9"/>
    <mergeCell ref="AQ9:AX9"/>
    <mergeCell ref="AE10:AH10"/>
    <mergeCell ref="AI10:AL10"/>
    <mergeCell ref="AM10:AP10"/>
    <mergeCell ref="AQ10:AT10"/>
    <mergeCell ref="BQ10:BR10"/>
    <mergeCell ref="AU10:AX10"/>
    <mergeCell ref="AY10:BB10"/>
    <mergeCell ref="BC10:BF10"/>
    <mergeCell ref="BG10:BJ10"/>
    <mergeCell ref="BK10:BN10"/>
    <mergeCell ref="BO10:BP10"/>
    <mergeCell ref="A3:E3"/>
    <mergeCell ref="A9:A10"/>
    <mergeCell ref="B9:B10"/>
    <mergeCell ref="C9:C10"/>
    <mergeCell ref="D9:F9"/>
    <mergeCell ref="G9:I9"/>
    <mergeCell ref="AY9:BF9"/>
    <mergeCell ref="BG9:BN9"/>
    <mergeCell ref="BO9:BR9"/>
    <mergeCell ref="J9:J10"/>
  </mergeCells>
  <hyperlinks>
    <hyperlink ref="B2" r:id="rId1" xr:uid="{8A178278-89D1-479C-ADFA-9148B133F11C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5A04-68AE-441E-AF3F-47127F8919B9}">
  <dimension ref="A1:BU216"/>
  <sheetViews>
    <sheetView topLeftCell="C20" workbookViewId="0">
      <selection activeCell="E45" sqref="E45"/>
    </sheetView>
  </sheetViews>
  <sheetFormatPr defaultRowHeight="15" x14ac:dyDescent="0.25"/>
  <cols>
    <col min="1" max="1" width="31.710937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1.7109375" customWidth="1"/>
    <col min="7" max="9" width="9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95</v>
      </c>
      <c r="B1" s="98"/>
      <c r="C1" s="98"/>
    </row>
    <row r="2" spans="1:73" x14ac:dyDescent="0.25">
      <c r="A2" s="1" t="s">
        <v>96</v>
      </c>
      <c r="B2" s="101" t="s">
        <v>97</v>
      </c>
      <c r="C2" s="98"/>
    </row>
    <row r="3" spans="1:73" ht="30" customHeight="1" x14ac:dyDescent="0.25">
      <c r="A3" s="274" t="s">
        <v>98</v>
      </c>
      <c r="B3" s="275"/>
      <c r="C3" s="275"/>
      <c r="D3" s="276"/>
      <c r="E3" s="276"/>
    </row>
    <row r="4" spans="1:73" ht="15.75" x14ac:dyDescent="0.25">
      <c r="A4" s="146"/>
      <c r="B4" s="99"/>
      <c r="C4" s="99"/>
    </row>
    <row r="5" spans="1:73" ht="15.75" x14ac:dyDescent="0.25">
      <c r="A5" s="146"/>
      <c r="B5" s="99"/>
      <c r="C5" s="99"/>
    </row>
    <row r="6" spans="1:73" ht="18.75" x14ac:dyDescent="0.3">
      <c r="A6" s="149" t="s">
        <v>160</v>
      </c>
      <c r="B6" s="99"/>
      <c r="C6" s="99"/>
    </row>
    <row r="7" spans="1:73" x14ac:dyDescent="0.25">
      <c r="A7" s="1" t="s">
        <v>110</v>
      </c>
      <c r="B7" s="99"/>
      <c r="C7" s="99"/>
    </row>
    <row r="8" spans="1:73" ht="15.75" thickBot="1" x14ac:dyDescent="0.3">
      <c r="A8" s="100" t="s">
        <v>163</v>
      </c>
      <c r="B8" s="99"/>
      <c r="C8" s="99"/>
      <c r="BO8">
        <v>0.8</v>
      </c>
    </row>
    <row r="9" spans="1:73" ht="86.25" customHeight="1" thickBot="1" x14ac:dyDescent="0.3">
      <c r="A9" s="273" t="s">
        <v>85</v>
      </c>
      <c r="B9" s="273" t="s">
        <v>86</v>
      </c>
      <c r="C9" s="277" t="s">
        <v>87</v>
      </c>
      <c r="D9" s="278" t="s">
        <v>127</v>
      </c>
      <c r="E9" s="279"/>
      <c r="F9" s="279"/>
      <c r="G9" s="279" t="s">
        <v>128</v>
      </c>
      <c r="H9" s="279"/>
      <c r="I9" s="279"/>
      <c r="J9" s="286" t="s">
        <v>157</v>
      </c>
      <c r="K9" s="280" t="s">
        <v>150</v>
      </c>
      <c r="L9" s="281"/>
      <c r="M9" s="281"/>
      <c r="N9" s="281"/>
      <c r="O9" s="281"/>
      <c r="P9" s="281"/>
      <c r="Q9" s="281"/>
      <c r="R9" s="282"/>
      <c r="S9" s="280" t="s">
        <v>148</v>
      </c>
      <c r="T9" s="281"/>
      <c r="U9" s="281"/>
      <c r="V9" s="281"/>
      <c r="W9" s="281"/>
      <c r="X9" s="281"/>
      <c r="Y9" s="281"/>
      <c r="Z9" s="282"/>
      <c r="AA9" s="280" t="s">
        <v>149</v>
      </c>
      <c r="AB9" s="281"/>
      <c r="AC9" s="281"/>
      <c r="AD9" s="281"/>
      <c r="AE9" s="281"/>
      <c r="AF9" s="281"/>
      <c r="AG9" s="281"/>
      <c r="AH9" s="282"/>
      <c r="AI9" s="280" t="s">
        <v>147</v>
      </c>
      <c r="AJ9" s="281"/>
      <c r="AK9" s="281"/>
      <c r="AL9" s="281"/>
      <c r="AM9" s="281"/>
      <c r="AN9" s="281"/>
      <c r="AO9" s="281"/>
      <c r="AP9" s="282"/>
      <c r="AQ9" s="280" t="s">
        <v>158</v>
      </c>
      <c r="AR9" s="281"/>
      <c r="AS9" s="281"/>
      <c r="AT9" s="281"/>
      <c r="AU9" s="281"/>
      <c r="AV9" s="281"/>
      <c r="AW9" s="281"/>
      <c r="AX9" s="282"/>
      <c r="AY9" s="280" t="s">
        <v>159</v>
      </c>
      <c r="AZ9" s="281"/>
      <c r="BA9" s="281"/>
      <c r="BB9" s="281"/>
      <c r="BC9" s="281"/>
      <c r="BD9" s="281"/>
      <c r="BE9" s="281"/>
      <c r="BF9" s="282"/>
      <c r="BG9" s="280" t="s">
        <v>205</v>
      </c>
      <c r="BH9" s="281"/>
      <c r="BI9" s="281"/>
      <c r="BJ9" s="281"/>
      <c r="BK9" s="281"/>
      <c r="BL9" s="281"/>
      <c r="BM9" s="281"/>
      <c r="BN9" s="282"/>
      <c r="BO9" s="292" t="s">
        <v>151</v>
      </c>
      <c r="BP9" s="293"/>
      <c r="BQ9" s="293"/>
      <c r="BR9" s="294"/>
      <c r="BS9" s="288" t="s">
        <v>153</v>
      </c>
      <c r="BT9" s="289"/>
      <c r="BU9" s="290" t="s">
        <v>156</v>
      </c>
    </row>
    <row r="10" spans="1:73" s="97" customFormat="1" ht="23.25" customHeight="1" thickBot="1" x14ac:dyDescent="0.3">
      <c r="A10" s="273"/>
      <c r="B10" s="273"/>
      <c r="C10" s="277"/>
      <c r="D10" s="122" t="s">
        <v>114</v>
      </c>
      <c r="E10" s="107" t="s">
        <v>115</v>
      </c>
      <c r="F10" s="107" t="s">
        <v>116</v>
      </c>
      <c r="G10" s="107" t="s">
        <v>114</v>
      </c>
      <c r="H10" s="107" t="s">
        <v>115</v>
      </c>
      <c r="I10" s="107" t="s">
        <v>116</v>
      </c>
      <c r="J10" s="287"/>
      <c r="K10" s="280" t="s">
        <v>17</v>
      </c>
      <c r="L10" s="281"/>
      <c r="M10" s="281"/>
      <c r="N10" s="282"/>
      <c r="O10" s="280" t="s">
        <v>18</v>
      </c>
      <c r="P10" s="281"/>
      <c r="Q10" s="281"/>
      <c r="R10" s="282"/>
      <c r="S10" s="280" t="s">
        <v>17</v>
      </c>
      <c r="T10" s="281"/>
      <c r="U10" s="281"/>
      <c r="V10" s="282"/>
      <c r="W10" s="280" t="s">
        <v>18</v>
      </c>
      <c r="X10" s="281"/>
      <c r="Y10" s="281"/>
      <c r="Z10" s="282"/>
      <c r="AA10" s="280" t="s">
        <v>17</v>
      </c>
      <c r="AB10" s="281"/>
      <c r="AC10" s="281"/>
      <c r="AD10" s="282"/>
      <c r="AE10" s="280" t="s">
        <v>18</v>
      </c>
      <c r="AF10" s="281"/>
      <c r="AG10" s="281"/>
      <c r="AH10" s="282"/>
      <c r="AI10" s="280" t="s">
        <v>17</v>
      </c>
      <c r="AJ10" s="281"/>
      <c r="AK10" s="281"/>
      <c r="AL10" s="282"/>
      <c r="AM10" s="280" t="s">
        <v>18</v>
      </c>
      <c r="AN10" s="281"/>
      <c r="AO10" s="281"/>
      <c r="AP10" s="282"/>
      <c r="AQ10" s="280" t="s">
        <v>17</v>
      </c>
      <c r="AR10" s="281"/>
      <c r="AS10" s="281"/>
      <c r="AT10" s="282"/>
      <c r="AU10" s="280" t="s">
        <v>18</v>
      </c>
      <c r="AV10" s="281"/>
      <c r="AW10" s="281"/>
      <c r="AX10" s="282"/>
      <c r="AY10" s="280" t="s">
        <v>17</v>
      </c>
      <c r="AZ10" s="281"/>
      <c r="BA10" s="281"/>
      <c r="BB10" s="282"/>
      <c r="BC10" s="280" t="s">
        <v>18</v>
      </c>
      <c r="BD10" s="281"/>
      <c r="BE10" s="281"/>
      <c r="BF10" s="282"/>
      <c r="BG10" s="280" t="s">
        <v>17</v>
      </c>
      <c r="BH10" s="281"/>
      <c r="BI10" s="281"/>
      <c r="BJ10" s="282"/>
      <c r="BK10" s="280" t="s">
        <v>18</v>
      </c>
      <c r="BL10" s="281"/>
      <c r="BM10" s="281"/>
      <c r="BN10" s="282"/>
      <c r="BO10" s="295" t="s">
        <v>152</v>
      </c>
      <c r="BP10" s="296"/>
      <c r="BQ10" s="295" t="s">
        <v>26</v>
      </c>
      <c r="BR10" s="297"/>
      <c r="BS10" s="145" t="s">
        <v>154</v>
      </c>
      <c r="BT10" s="145" t="s">
        <v>155</v>
      </c>
      <c r="BU10" s="291"/>
    </row>
    <row r="11" spans="1:73" ht="30" x14ac:dyDescent="0.25">
      <c r="A11" s="102" t="s">
        <v>8</v>
      </c>
      <c r="B11" s="102" t="s">
        <v>84</v>
      </c>
      <c r="C11" s="121" t="s">
        <v>72</v>
      </c>
      <c r="D11" s="155" t="s">
        <v>104</v>
      </c>
      <c r="E11" s="156" t="s">
        <v>105</v>
      </c>
      <c r="F11" s="156" t="s">
        <v>104</v>
      </c>
      <c r="G11" s="110">
        <f>IF(D11=$A$24,$B$24,(IF(D11=$A$25,$B$25,IF(D11=$A$26,$B$26,$B$27))))</f>
        <v>1</v>
      </c>
      <c r="H11" s="110">
        <f t="shared" ref="G11:I20" si="0">IF(E11=$A$24,$B$24,(IF(E11=$A$25,$B$25,IF(E11=$A$26,$B$26,$B$27))))</f>
        <v>0.66</v>
      </c>
      <c r="I11" s="110">
        <f t="shared" si="0"/>
        <v>1</v>
      </c>
      <c r="J11" s="147">
        <f>G11*$D$38+H11*$D$39+I11*$D$40</f>
        <v>14.15</v>
      </c>
      <c r="K11" s="81">
        <v>0.77</v>
      </c>
      <c r="L11" s="83">
        <v>1</v>
      </c>
      <c r="M11" s="83">
        <v>1</v>
      </c>
      <c r="N11" s="84">
        <v>1</v>
      </c>
      <c r="O11" s="81">
        <v>0.83</v>
      </c>
      <c r="P11" s="83">
        <v>1</v>
      </c>
      <c r="Q11" s="83">
        <v>1</v>
      </c>
      <c r="R11" s="84">
        <v>1</v>
      </c>
      <c r="S11" s="81">
        <v>0.44000000000000006</v>
      </c>
      <c r="T11" s="83">
        <v>0.55000000000000004</v>
      </c>
      <c r="U11" s="83">
        <v>0.77</v>
      </c>
      <c r="V11" s="84">
        <v>1</v>
      </c>
      <c r="W11" s="81">
        <v>0.47000000000000003</v>
      </c>
      <c r="X11" s="83">
        <v>0.55000000000000004</v>
      </c>
      <c r="Y11" s="83">
        <v>0.77</v>
      </c>
      <c r="Z11" s="84">
        <v>0.92</v>
      </c>
      <c r="AA11" s="81">
        <v>0.77</v>
      </c>
      <c r="AB11" s="83">
        <v>1</v>
      </c>
      <c r="AC11" s="83">
        <v>1</v>
      </c>
      <c r="AD11" s="84">
        <v>1</v>
      </c>
      <c r="AE11" s="81">
        <v>0.83</v>
      </c>
      <c r="AF11" s="83">
        <v>1</v>
      </c>
      <c r="AG11" s="83">
        <v>1</v>
      </c>
      <c r="AH11" s="84">
        <v>1</v>
      </c>
      <c r="AI11" s="81">
        <v>3.8900000000000006</v>
      </c>
      <c r="AJ11" s="83">
        <v>7</v>
      </c>
      <c r="AK11" s="83">
        <v>8</v>
      </c>
      <c r="AL11" s="84">
        <v>9.5</v>
      </c>
      <c r="AM11" s="81">
        <v>4.8099999999999987</v>
      </c>
      <c r="AN11" s="83">
        <v>7</v>
      </c>
      <c r="AO11" s="83">
        <v>8</v>
      </c>
      <c r="AP11" s="84">
        <v>9</v>
      </c>
      <c r="AQ11" s="81">
        <v>0.60499999999999998</v>
      </c>
      <c r="AR11" s="83">
        <v>1.1000000000000001</v>
      </c>
      <c r="AS11" s="83">
        <v>2.31</v>
      </c>
      <c r="AT11" s="83">
        <v>4.1549999999999994</v>
      </c>
      <c r="AU11" s="81">
        <v>0.77499999999999991</v>
      </c>
      <c r="AV11" s="83">
        <v>1.1000000000000001</v>
      </c>
      <c r="AW11" s="83">
        <v>2.31</v>
      </c>
      <c r="AX11" s="84">
        <v>3.53</v>
      </c>
      <c r="AY11" s="81">
        <v>1.9649999999999999</v>
      </c>
      <c r="AZ11" s="83">
        <v>4.5</v>
      </c>
      <c r="BA11" s="83">
        <v>5.5</v>
      </c>
      <c r="BB11" s="83">
        <v>7</v>
      </c>
      <c r="BC11" s="81">
        <v>2.7349999999999994</v>
      </c>
      <c r="BD11" s="83">
        <v>4.5</v>
      </c>
      <c r="BE11" s="83">
        <v>5.5</v>
      </c>
      <c r="BF11" s="84">
        <v>6.5</v>
      </c>
      <c r="BG11" s="81">
        <f>AI11+AQ11+AY11</f>
        <v>6.4600000000000009</v>
      </c>
      <c r="BH11" s="83">
        <f t="shared" ref="BH11:BN20" si="1">AJ11+AR11+AZ11</f>
        <v>12.6</v>
      </c>
      <c r="BI11" s="83">
        <f t="shared" si="1"/>
        <v>15.81</v>
      </c>
      <c r="BJ11" s="83">
        <f t="shared" si="1"/>
        <v>20.655000000000001</v>
      </c>
      <c r="BK11" s="81">
        <f t="shared" si="1"/>
        <v>8.3199999999999985</v>
      </c>
      <c r="BL11" s="83">
        <f t="shared" si="1"/>
        <v>12.6</v>
      </c>
      <c r="BM11" s="83">
        <f t="shared" si="1"/>
        <v>15.81</v>
      </c>
      <c r="BN11" s="83">
        <f t="shared" si="1"/>
        <v>19.03</v>
      </c>
      <c r="BO11" s="136">
        <f>BO$8*BH11+(1-BO$8)*BG11</f>
        <v>11.372</v>
      </c>
      <c r="BP11" s="142">
        <f>BO$8*BI11+(1-BO$8)*BJ11</f>
        <v>16.779</v>
      </c>
      <c r="BQ11" s="136">
        <f>BO$8*BL11+(1-BO$8)*BK11</f>
        <v>11.744</v>
      </c>
      <c r="BR11" s="137">
        <f>BO$8*BM11+(1-BO$8)*BN11</f>
        <v>16.454000000000001</v>
      </c>
      <c r="BS11" s="81">
        <f>(BO11+BP11)/2</f>
        <v>14.0755</v>
      </c>
      <c r="BT11" s="84">
        <f>(BQ11+BR11)/2</f>
        <v>14.099</v>
      </c>
      <c r="BU11" s="133">
        <f>(BS11+BT11)/2</f>
        <v>14.087250000000001</v>
      </c>
    </row>
    <row r="12" spans="1:73" x14ac:dyDescent="0.25">
      <c r="A12" s="102" t="s">
        <v>9</v>
      </c>
      <c r="B12" s="102" t="s">
        <v>73</v>
      </c>
      <c r="C12" s="121" t="s">
        <v>88</v>
      </c>
      <c r="D12" s="155" t="s">
        <v>106</v>
      </c>
      <c r="E12" s="156" t="s">
        <v>106</v>
      </c>
      <c r="F12" s="156" t="s">
        <v>105</v>
      </c>
      <c r="G12" s="110">
        <f t="shared" si="0"/>
        <v>0.33</v>
      </c>
      <c r="H12" s="110">
        <f t="shared" si="0"/>
        <v>0.33</v>
      </c>
      <c r="I12" s="110">
        <f t="shared" si="0"/>
        <v>0.66</v>
      </c>
      <c r="J12" s="147">
        <f t="shared" ref="J12:J20" si="2">G12*$D$38+H12*$D$39+I12*$D$40</f>
        <v>6.6000000000000005</v>
      </c>
      <c r="K12" s="87">
        <v>0</v>
      </c>
      <c r="L12">
        <v>0.22000000000000003</v>
      </c>
      <c r="M12">
        <v>0.44</v>
      </c>
      <c r="N12" s="88">
        <v>0.55000000000000004</v>
      </c>
      <c r="O12" s="87">
        <v>0.06</v>
      </c>
      <c r="P12">
        <v>0.22000000000000003</v>
      </c>
      <c r="Q12">
        <v>0.44</v>
      </c>
      <c r="R12" s="88">
        <v>0.52</v>
      </c>
      <c r="S12" s="87">
        <v>0</v>
      </c>
      <c r="T12">
        <v>0.22000000000000003</v>
      </c>
      <c r="U12">
        <v>0.44</v>
      </c>
      <c r="V12" s="88">
        <v>0.55000000000000004</v>
      </c>
      <c r="W12" s="87">
        <v>0.06</v>
      </c>
      <c r="X12">
        <v>0.22000000000000003</v>
      </c>
      <c r="Y12">
        <v>0.44</v>
      </c>
      <c r="Z12" s="88">
        <v>0.52</v>
      </c>
      <c r="AA12" s="87">
        <v>0.44000000000000006</v>
      </c>
      <c r="AB12">
        <v>0.55000000000000004</v>
      </c>
      <c r="AC12">
        <v>0.77</v>
      </c>
      <c r="AD12" s="88">
        <v>1</v>
      </c>
      <c r="AE12" s="87">
        <v>0.47000000000000003</v>
      </c>
      <c r="AF12">
        <v>0.55000000000000004</v>
      </c>
      <c r="AG12">
        <v>0.77</v>
      </c>
      <c r="AH12" s="88">
        <v>0.92</v>
      </c>
      <c r="AI12" s="187">
        <v>-0.33000000000000007</v>
      </c>
      <c r="AJ12" s="179">
        <v>1.5400000000000003</v>
      </c>
      <c r="AK12" s="179">
        <v>3.52</v>
      </c>
      <c r="AL12" s="188">
        <v>5.0600000000000005</v>
      </c>
      <c r="AM12" s="187">
        <v>0.19999999999999996</v>
      </c>
      <c r="AN12" s="179">
        <v>1.5400000000000003</v>
      </c>
      <c r="AO12" s="179">
        <v>3.52</v>
      </c>
      <c r="AP12" s="188">
        <v>4.6000000000000014</v>
      </c>
      <c r="AQ12" s="187">
        <v>-0.10999999999999999</v>
      </c>
      <c r="AR12" s="179">
        <v>0.44000000000000006</v>
      </c>
      <c r="AS12" s="179">
        <v>1.32</v>
      </c>
      <c r="AT12" s="179">
        <v>2.3099999999999996</v>
      </c>
      <c r="AU12" s="187">
        <v>5.3999999999999992E-2</v>
      </c>
      <c r="AV12" s="179">
        <v>0.44000000000000006</v>
      </c>
      <c r="AW12" s="179">
        <v>1.32</v>
      </c>
      <c r="AX12" s="188">
        <v>2</v>
      </c>
      <c r="AY12" s="87">
        <v>1.1550000000000002</v>
      </c>
      <c r="AZ12">
        <v>2.4750000000000001</v>
      </c>
      <c r="BA12">
        <v>4.2350000000000003</v>
      </c>
      <c r="BB12">
        <v>6.6550000000000002</v>
      </c>
      <c r="BC12" s="87">
        <v>1.5650000000000008</v>
      </c>
      <c r="BD12">
        <v>2.4750000000000001</v>
      </c>
      <c r="BE12">
        <v>4.2350000000000003</v>
      </c>
      <c r="BF12" s="88">
        <v>5.830000000000001</v>
      </c>
      <c r="BG12" s="87">
        <f t="shared" ref="BG12:BG20" si="3">AI12+AQ12+AY12</f>
        <v>0.71500000000000019</v>
      </c>
      <c r="BH12">
        <f t="shared" si="1"/>
        <v>4.4550000000000001</v>
      </c>
      <c r="BI12">
        <f t="shared" si="1"/>
        <v>9.0749999999999993</v>
      </c>
      <c r="BJ12">
        <f t="shared" si="1"/>
        <v>14.025</v>
      </c>
      <c r="BK12" s="87">
        <f t="shared" si="1"/>
        <v>1.8190000000000008</v>
      </c>
      <c r="BL12">
        <f t="shared" si="1"/>
        <v>4.4550000000000001</v>
      </c>
      <c r="BM12">
        <f t="shared" si="1"/>
        <v>9.0749999999999993</v>
      </c>
      <c r="BN12">
        <f t="shared" si="1"/>
        <v>12.430000000000003</v>
      </c>
      <c r="BO12" s="138">
        <f t="shared" ref="BO12:BO20" si="4">BO$8*BH12+(1-BO$8)*BG12</f>
        <v>3.7069999999999999</v>
      </c>
      <c r="BP12" s="143">
        <f t="shared" ref="BP12:BP20" si="5">BO$8*BI12+(1-BO$8)*BJ12</f>
        <v>10.065</v>
      </c>
      <c r="BQ12" s="138">
        <f t="shared" ref="BQ12:BQ20" si="6">BO$8*BL12+(1-BO$8)*BK12</f>
        <v>3.9278</v>
      </c>
      <c r="BR12" s="139">
        <f t="shared" ref="BR12:BR20" si="7">BO$8*BM12+(1-BO$8)*BN12</f>
        <v>9.7460000000000004</v>
      </c>
      <c r="BS12" s="87">
        <f t="shared" ref="BS12:BS20" si="8">(BO12+BP12)/2</f>
        <v>6.8859999999999992</v>
      </c>
      <c r="BT12" s="88">
        <f t="shared" ref="BT12:BT20" si="9">(BQ12+BR12)/2</f>
        <v>6.8369</v>
      </c>
      <c r="BU12" s="134">
        <f t="shared" ref="BU12:BU20" si="10">(BS12+BT12)/2</f>
        <v>6.8614499999999996</v>
      </c>
    </row>
    <row r="13" spans="1:73" x14ac:dyDescent="0.25">
      <c r="A13" s="102" t="s">
        <v>10</v>
      </c>
      <c r="B13" s="102" t="s">
        <v>74</v>
      </c>
      <c r="C13" s="121" t="s">
        <v>89</v>
      </c>
      <c r="D13" s="155" t="s">
        <v>105</v>
      </c>
      <c r="E13" s="156" t="s">
        <v>105</v>
      </c>
      <c r="F13" s="156" t="s">
        <v>105</v>
      </c>
      <c r="G13" s="110">
        <f t="shared" si="0"/>
        <v>0.66</v>
      </c>
      <c r="H13" s="110">
        <f t="shared" si="0"/>
        <v>0.66</v>
      </c>
      <c r="I13" s="110">
        <f t="shared" si="0"/>
        <v>0.66</v>
      </c>
      <c r="J13" s="147">
        <f t="shared" si="2"/>
        <v>9.9</v>
      </c>
      <c r="K13" s="87">
        <v>0.44000000000000006</v>
      </c>
      <c r="L13">
        <v>0.55000000000000004</v>
      </c>
      <c r="M13">
        <v>0.77</v>
      </c>
      <c r="N13" s="88">
        <v>1</v>
      </c>
      <c r="O13" s="87">
        <v>0.47000000000000003</v>
      </c>
      <c r="P13">
        <v>0.55000000000000004</v>
      </c>
      <c r="Q13">
        <v>0.77</v>
      </c>
      <c r="R13" s="88">
        <v>0.92</v>
      </c>
      <c r="S13" s="87">
        <v>0.44000000000000006</v>
      </c>
      <c r="T13">
        <v>0.55000000000000004</v>
      </c>
      <c r="U13">
        <v>0.77</v>
      </c>
      <c r="V13" s="88">
        <v>1</v>
      </c>
      <c r="W13" s="87">
        <v>0.47000000000000003</v>
      </c>
      <c r="X13">
        <v>0.55000000000000004</v>
      </c>
      <c r="Y13">
        <v>0.77</v>
      </c>
      <c r="Z13" s="88">
        <v>0.92</v>
      </c>
      <c r="AA13" s="87">
        <v>0.44000000000000006</v>
      </c>
      <c r="AB13">
        <v>0.55000000000000004</v>
      </c>
      <c r="AC13">
        <v>0.77</v>
      </c>
      <c r="AD13" s="88">
        <v>1</v>
      </c>
      <c r="AE13" s="87">
        <v>0.47000000000000003</v>
      </c>
      <c r="AF13">
        <v>0.55000000000000004</v>
      </c>
      <c r="AG13">
        <v>0.77</v>
      </c>
      <c r="AH13" s="88">
        <v>0.92</v>
      </c>
      <c r="AI13" s="87">
        <v>2.2549999999999999</v>
      </c>
      <c r="AJ13">
        <v>3.8500000000000005</v>
      </c>
      <c r="AK13">
        <v>6.16</v>
      </c>
      <c r="AL13" s="88">
        <v>9.1550000000000011</v>
      </c>
      <c r="AM13" s="87">
        <v>2.7399999999999993</v>
      </c>
      <c r="AN13">
        <v>3.8500000000000005</v>
      </c>
      <c r="AO13">
        <v>6.16</v>
      </c>
      <c r="AP13" s="88">
        <v>8.129999999999999</v>
      </c>
      <c r="AQ13" s="87">
        <v>0.60499999999999998</v>
      </c>
      <c r="AR13">
        <v>1.1000000000000001</v>
      </c>
      <c r="AS13">
        <v>2.31</v>
      </c>
      <c r="AT13">
        <v>4.1549999999999994</v>
      </c>
      <c r="AU13" s="87">
        <v>0.77499999999999991</v>
      </c>
      <c r="AV13">
        <v>1.1000000000000001</v>
      </c>
      <c r="AW13">
        <v>2.31</v>
      </c>
      <c r="AX13" s="88">
        <v>3.53</v>
      </c>
      <c r="AY13" s="87">
        <v>1.1550000000000002</v>
      </c>
      <c r="AZ13">
        <v>2.4750000000000001</v>
      </c>
      <c r="BA13">
        <v>4.2350000000000003</v>
      </c>
      <c r="BB13">
        <v>6.6550000000000002</v>
      </c>
      <c r="BC13" s="87">
        <v>1.5650000000000008</v>
      </c>
      <c r="BD13">
        <v>2.4750000000000001</v>
      </c>
      <c r="BE13">
        <v>4.2350000000000003</v>
      </c>
      <c r="BF13" s="88">
        <v>5.830000000000001</v>
      </c>
      <c r="BG13" s="87">
        <f t="shared" si="3"/>
        <v>4.0150000000000006</v>
      </c>
      <c r="BH13">
        <f t="shared" si="1"/>
        <v>7.4250000000000007</v>
      </c>
      <c r="BI13">
        <f t="shared" si="1"/>
        <v>12.705000000000002</v>
      </c>
      <c r="BJ13">
        <f t="shared" si="1"/>
        <v>19.965</v>
      </c>
      <c r="BK13" s="87">
        <f t="shared" si="1"/>
        <v>5.08</v>
      </c>
      <c r="BL13">
        <f t="shared" si="1"/>
        <v>7.4250000000000007</v>
      </c>
      <c r="BM13">
        <f t="shared" si="1"/>
        <v>12.705000000000002</v>
      </c>
      <c r="BN13">
        <f t="shared" si="1"/>
        <v>17.489999999999998</v>
      </c>
      <c r="BO13" s="138">
        <f t="shared" si="4"/>
        <v>6.7430000000000012</v>
      </c>
      <c r="BP13" s="143">
        <f t="shared" si="5"/>
        <v>14.157</v>
      </c>
      <c r="BQ13" s="138">
        <f t="shared" si="6"/>
        <v>6.9560000000000013</v>
      </c>
      <c r="BR13" s="139">
        <f t="shared" si="7"/>
        <v>13.662000000000001</v>
      </c>
      <c r="BS13" s="87">
        <f t="shared" si="8"/>
        <v>10.450000000000001</v>
      </c>
      <c r="BT13" s="88">
        <f t="shared" si="9"/>
        <v>10.309000000000001</v>
      </c>
      <c r="BU13" s="134">
        <f t="shared" si="10"/>
        <v>10.3795</v>
      </c>
    </row>
    <row r="14" spans="1:73" x14ac:dyDescent="0.25">
      <c r="A14" s="102" t="s">
        <v>65</v>
      </c>
      <c r="B14" s="102" t="s">
        <v>75</v>
      </c>
      <c r="C14" s="121" t="s">
        <v>76</v>
      </c>
      <c r="D14" s="155" t="s">
        <v>104</v>
      </c>
      <c r="E14" s="156" t="s">
        <v>105</v>
      </c>
      <c r="F14" s="156" t="s">
        <v>105</v>
      </c>
      <c r="G14" s="110">
        <f t="shared" si="0"/>
        <v>1</v>
      </c>
      <c r="H14" s="110">
        <f t="shared" si="0"/>
        <v>0.66</v>
      </c>
      <c r="I14" s="110">
        <f t="shared" si="0"/>
        <v>0.66</v>
      </c>
      <c r="J14" s="147">
        <f t="shared" si="2"/>
        <v>12.450000000000001</v>
      </c>
      <c r="K14" s="87">
        <v>0.77</v>
      </c>
      <c r="L14">
        <v>1</v>
      </c>
      <c r="M14">
        <v>1</v>
      </c>
      <c r="N14" s="88">
        <v>1</v>
      </c>
      <c r="O14" s="87">
        <v>0.83</v>
      </c>
      <c r="P14">
        <v>1</v>
      </c>
      <c r="Q14">
        <v>1</v>
      </c>
      <c r="R14" s="88">
        <v>1</v>
      </c>
      <c r="S14" s="87">
        <v>0.44000000000000006</v>
      </c>
      <c r="T14">
        <v>0.55000000000000004</v>
      </c>
      <c r="U14">
        <v>0.77</v>
      </c>
      <c r="V14" s="88">
        <v>1</v>
      </c>
      <c r="W14" s="87">
        <v>0.47000000000000003</v>
      </c>
      <c r="X14">
        <v>0.55000000000000004</v>
      </c>
      <c r="Y14">
        <v>0.77</v>
      </c>
      <c r="Z14" s="88">
        <v>0.92</v>
      </c>
      <c r="AA14" s="87">
        <v>0.44000000000000006</v>
      </c>
      <c r="AB14">
        <v>0.55000000000000004</v>
      </c>
      <c r="AC14">
        <v>0.77</v>
      </c>
      <c r="AD14" s="88">
        <v>1</v>
      </c>
      <c r="AE14" s="87">
        <v>0.47000000000000003</v>
      </c>
      <c r="AF14">
        <v>0.55000000000000004</v>
      </c>
      <c r="AG14">
        <v>0.77</v>
      </c>
      <c r="AH14" s="88">
        <v>0.92</v>
      </c>
      <c r="AI14" s="87">
        <v>3.8900000000000006</v>
      </c>
      <c r="AJ14">
        <v>7</v>
      </c>
      <c r="AK14">
        <v>8</v>
      </c>
      <c r="AL14" s="88">
        <v>9.5</v>
      </c>
      <c r="AM14" s="87">
        <v>4.8099999999999987</v>
      </c>
      <c r="AN14">
        <v>7</v>
      </c>
      <c r="AO14">
        <v>8</v>
      </c>
      <c r="AP14" s="88">
        <v>9</v>
      </c>
      <c r="AQ14" s="87">
        <v>0.60499999999999998</v>
      </c>
      <c r="AR14">
        <v>1.1000000000000001</v>
      </c>
      <c r="AS14">
        <v>2.31</v>
      </c>
      <c r="AT14">
        <v>4.1549999999999994</v>
      </c>
      <c r="AU14" s="87">
        <v>0.77499999999999991</v>
      </c>
      <c r="AV14">
        <v>1.1000000000000001</v>
      </c>
      <c r="AW14">
        <v>2.31</v>
      </c>
      <c r="AX14" s="88">
        <v>3.53</v>
      </c>
      <c r="AY14" s="87">
        <v>1.1550000000000002</v>
      </c>
      <c r="AZ14">
        <v>2.4750000000000001</v>
      </c>
      <c r="BA14">
        <v>4.2350000000000003</v>
      </c>
      <c r="BB14">
        <v>6.6550000000000002</v>
      </c>
      <c r="BC14" s="87">
        <v>1.5650000000000008</v>
      </c>
      <c r="BD14">
        <v>2.4750000000000001</v>
      </c>
      <c r="BE14">
        <v>4.2350000000000003</v>
      </c>
      <c r="BF14" s="88">
        <v>5.830000000000001</v>
      </c>
      <c r="BG14" s="87">
        <f t="shared" si="3"/>
        <v>5.6500000000000012</v>
      </c>
      <c r="BH14">
        <f t="shared" si="1"/>
        <v>10.574999999999999</v>
      </c>
      <c r="BI14">
        <f t="shared" si="1"/>
        <v>14.545000000000002</v>
      </c>
      <c r="BJ14">
        <f t="shared" si="1"/>
        <v>20.309999999999999</v>
      </c>
      <c r="BK14" s="87">
        <f t="shared" si="1"/>
        <v>7.15</v>
      </c>
      <c r="BL14">
        <f t="shared" si="1"/>
        <v>10.574999999999999</v>
      </c>
      <c r="BM14">
        <f t="shared" si="1"/>
        <v>14.545000000000002</v>
      </c>
      <c r="BN14">
        <f t="shared" si="1"/>
        <v>18.36</v>
      </c>
      <c r="BO14" s="138">
        <f t="shared" si="4"/>
        <v>9.59</v>
      </c>
      <c r="BP14" s="143">
        <f t="shared" si="5"/>
        <v>15.698</v>
      </c>
      <c r="BQ14" s="138">
        <f t="shared" si="6"/>
        <v>9.8899999999999988</v>
      </c>
      <c r="BR14" s="139">
        <f t="shared" si="7"/>
        <v>15.308000000000002</v>
      </c>
      <c r="BS14" s="87">
        <f t="shared" si="8"/>
        <v>12.644</v>
      </c>
      <c r="BT14" s="88">
        <f t="shared" si="9"/>
        <v>12.599</v>
      </c>
      <c r="BU14" s="134">
        <f t="shared" si="10"/>
        <v>12.621500000000001</v>
      </c>
    </row>
    <row r="15" spans="1:73" ht="30" x14ac:dyDescent="0.25">
      <c r="A15" s="102" t="s">
        <v>66</v>
      </c>
      <c r="B15" s="102" t="s">
        <v>77</v>
      </c>
      <c r="C15" s="121" t="s">
        <v>90</v>
      </c>
      <c r="D15" s="155" t="s">
        <v>105</v>
      </c>
      <c r="E15" s="156" t="s">
        <v>104</v>
      </c>
      <c r="F15" s="156" t="s">
        <v>105</v>
      </c>
      <c r="G15" s="110">
        <f t="shared" si="0"/>
        <v>0.66</v>
      </c>
      <c r="H15" s="110">
        <f t="shared" si="0"/>
        <v>1</v>
      </c>
      <c r="I15" s="110">
        <f t="shared" si="0"/>
        <v>0.66</v>
      </c>
      <c r="J15" s="147">
        <f t="shared" si="2"/>
        <v>10.75</v>
      </c>
      <c r="K15" s="87">
        <v>0.44000000000000006</v>
      </c>
      <c r="L15">
        <v>0.55000000000000004</v>
      </c>
      <c r="M15">
        <v>0.77</v>
      </c>
      <c r="N15" s="88">
        <v>1</v>
      </c>
      <c r="O15" s="87">
        <v>0.47000000000000003</v>
      </c>
      <c r="P15">
        <v>0.55000000000000004</v>
      </c>
      <c r="Q15">
        <v>0.77</v>
      </c>
      <c r="R15" s="88">
        <v>0.92</v>
      </c>
      <c r="S15" s="87">
        <v>0.77</v>
      </c>
      <c r="T15">
        <v>1</v>
      </c>
      <c r="U15">
        <v>1</v>
      </c>
      <c r="V15" s="88">
        <v>1</v>
      </c>
      <c r="W15" s="87">
        <v>0.83</v>
      </c>
      <c r="X15">
        <v>1</v>
      </c>
      <c r="Y15">
        <v>1</v>
      </c>
      <c r="Z15" s="88">
        <v>1</v>
      </c>
      <c r="AA15" s="87">
        <v>0.44000000000000006</v>
      </c>
      <c r="AB15">
        <v>0.55000000000000004</v>
      </c>
      <c r="AC15">
        <v>0.77</v>
      </c>
      <c r="AD15" s="88">
        <v>1</v>
      </c>
      <c r="AE15" s="87">
        <v>0.47000000000000003</v>
      </c>
      <c r="AF15">
        <v>0.55000000000000004</v>
      </c>
      <c r="AG15">
        <v>0.77</v>
      </c>
      <c r="AH15" s="88">
        <v>0.92</v>
      </c>
      <c r="AI15" s="87">
        <v>2.2549999999999999</v>
      </c>
      <c r="AJ15">
        <v>3.8500000000000005</v>
      </c>
      <c r="AK15">
        <v>6.16</v>
      </c>
      <c r="AL15" s="88">
        <v>9.1550000000000011</v>
      </c>
      <c r="AM15" s="87">
        <v>2.7399999999999993</v>
      </c>
      <c r="AN15">
        <v>3.8500000000000005</v>
      </c>
      <c r="AO15">
        <v>6.16</v>
      </c>
      <c r="AP15" s="88">
        <v>8.129999999999999</v>
      </c>
      <c r="AQ15" s="87">
        <v>1.04</v>
      </c>
      <c r="AR15">
        <v>2</v>
      </c>
      <c r="AS15">
        <v>3</v>
      </c>
      <c r="AT15">
        <v>4.5</v>
      </c>
      <c r="AU15" s="87">
        <v>1.3599999999999999</v>
      </c>
      <c r="AV15">
        <v>2</v>
      </c>
      <c r="AW15">
        <v>3</v>
      </c>
      <c r="AX15" s="88">
        <v>4</v>
      </c>
      <c r="AY15" s="87">
        <v>1.1550000000000002</v>
      </c>
      <c r="AZ15">
        <v>2.4750000000000001</v>
      </c>
      <c r="BA15">
        <v>4.2350000000000003</v>
      </c>
      <c r="BB15">
        <v>6.6550000000000002</v>
      </c>
      <c r="BC15" s="87">
        <v>1.5650000000000008</v>
      </c>
      <c r="BD15">
        <v>2.4750000000000001</v>
      </c>
      <c r="BE15">
        <v>4.2350000000000003</v>
      </c>
      <c r="BF15" s="88">
        <v>5.830000000000001</v>
      </c>
      <c r="BG15" s="87">
        <f t="shared" si="3"/>
        <v>4.45</v>
      </c>
      <c r="BH15">
        <f t="shared" si="1"/>
        <v>8.3250000000000011</v>
      </c>
      <c r="BI15">
        <f t="shared" si="1"/>
        <v>13.395</v>
      </c>
      <c r="BJ15">
        <f t="shared" si="1"/>
        <v>20.310000000000002</v>
      </c>
      <c r="BK15" s="87">
        <f t="shared" si="1"/>
        <v>5.6650000000000009</v>
      </c>
      <c r="BL15">
        <f t="shared" si="1"/>
        <v>8.3250000000000011</v>
      </c>
      <c r="BM15">
        <f t="shared" si="1"/>
        <v>13.395</v>
      </c>
      <c r="BN15">
        <f t="shared" si="1"/>
        <v>17.96</v>
      </c>
      <c r="BO15" s="138">
        <f t="shared" si="4"/>
        <v>7.5500000000000007</v>
      </c>
      <c r="BP15" s="143">
        <f t="shared" si="5"/>
        <v>14.778</v>
      </c>
      <c r="BQ15" s="138">
        <f t="shared" si="6"/>
        <v>7.793000000000001</v>
      </c>
      <c r="BR15" s="139">
        <f t="shared" si="7"/>
        <v>14.308</v>
      </c>
      <c r="BS15" s="87">
        <f t="shared" si="8"/>
        <v>11.164000000000001</v>
      </c>
      <c r="BT15" s="88">
        <f t="shared" si="9"/>
        <v>11.0505</v>
      </c>
      <c r="BU15" s="134">
        <f t="shared" si="10"/>
        <v>11.107250000000001</v>
      </c>
    </row>
    <row r="16" spans="1:73" x14ac:dyDescent="0.25">
      <c r="A16" s="102" t="s">
        <v>67</v>
      </c>
      <c r="B16" s="102" t="s">
        <v>78</v>
      </c>
      <c r="C16" s="121" t="s">
        <v>91</v>
      </c>
      <c r="D16" s="155" t="s">
        <v>104</v>
      </c>
      <c r="E16" s="156" t="s">
        <v>105</v>
      </c>
      <c r="F16" s="156" t="s">
        <v>106</v>
      </c>
      <c r="G16" s="110">
        <f t="shared" si="0"/>
        <v>1</v>
      </c>
      <c r="H16" s="110">
        <f t="shared" si="0"/>
        <v>0.66</v>
      </c>
      <c r="I16" s="110">
        <f t="shared" si="0"/>
        <v>0.33</v>
      </c>
      <c r="J16" s="147">
        <f t="shared" si="2"/>
        <v>10.8</v>
      </c>
      <c r="K16" s="87">
        <v>0.77</v>
      </c>
      <c r="L16">
        <v>1</v>
      </c>
      <c r="M16">
        <v>1</v>
      </c>
      <c r="N16" s="88">
        <v>1</v>
      </c>
      <c r="O16" s="87">
        <v>0.83</v>
      </c>
      <c r="P16">
        <v>1</v>
      </c>
      <c r="Q16">
        <v>1</v>
      </c>
      <c r="R16" s="88">
        <v>1</v>
      </c>
      <c r="S16" s="87">
        <v>0.44000000000000006</v>
      </c>
      <c r="T16">
        <v>0.55000000000000004</v>
      </c>
      <c r="U16">
        <v>0.77</v>
      </c>
      <c r="V16" s="88">
        <v>1</v>
      </c>
      <c r="W16" s="87">
        <v>0.47000000000000003</v>
      </c>
      <c r="X16">
        <v>0.55000000000000004</v>
      </c>
      <c r="Y16">
        <v>0.77</v>
      </c>
      <c r="Z16" s="88">
        <v>0.92</v>
      </c>
      <c r="AA16" s="87">
        <v>0</v>
      </c>
      <c r="AB16">
        <v>0.22000000000000003</v>
      </c>
      <c r="AC16">
        <v>0.44</v>
      </c>
      <c r="AD16" s="88">
        <v>0.55000000000000004</v>
      </c>
      <c r="AE16" s="87">
        <v>0.06</v>
      </c>
      <c r="AF16">
        <v>0.22000000000000003</v>
      </c>
      <c r="AG16">
        <v>0.44</v>
      </c>
      <c r="AH16" s="88">
        <v>0.52</v>
      </c>
      <c r="AI16" s="87">
        <v>3.8900000000000006</v>
      </c>
      <c r="AJ16">
        <v>7</v>
      </c>
      <c r="AK16">
        <v>8</v>
      </c>
      <c r="AL16" s="88">
        <v>9.5</v>
      </c>
      <c r="AM16" s="87">
        <v>4.8099999999999987</v>
      </c>
      <c r="AN16">
        <v>7</v>
      </c>
      <c r="AO16">
        <v>8</v>
      </c>
      <c r="AP16" s="88">
        <v>9</v>
      </c>
      <c r="AQ16" s="87">
        <v>0.60499999999999998</v>
      </c>
      <c r="AR16">
        <v>1.1000000000000001</v>
      </c>
      <c r="AS16">
        <v>2.31</v>
      </c>
      <c r="AT16">
        <v>4.1549999999999994</v>
      </c>
      <c r="AU16" s="87">
        <v>0.77499999999999991</v>
      </c>
      <c r="AV16">
        <v>1.1000000000000001</v>
      </c>
      <c r="AW16">
        <v>2.31</v>
      </c>
      <c r="AX16" s="88">
        <v>3.53</v>
      </c>
      <c r="AY16" s="187">
        <v>-0.32999999999999996</v>
      </c>
      <c r="AZ16" s="179">
        <v>0.9900000000000001</v>
      </c>
      <c r="BA16" s="179">
        <v>2.42</v>
      </c>
      <c r="BB16" s="179">
        <v>3.6850000000000005</v>
      </c>
      <c r="BC16" s="187">
        <v>4.9999999999999933E-2</v>
      </c>
      <c r="BD16" s="179">
        <v>0.9900000000000001</v>
      </c>
      <c r="BE16" s="179">
        <v>2.42</v>
      </c>
      <c r="BF16" s="188">
        <v>3.3000000000000007</v>
      </c>
      <c r="BG16" s="87">
        <f t="shared" si="3"/>
        <v>4.1650000000000009</v>
      </c>
      <c r="BH16">
        <f t="shared" si="1"/>
        <v>9.09</v>
      </c>
      <c r="BI16">
        <f t="shared" si="1"/>
        <v>12.73</v>
      </c>
      <c r="BJ16">
        <f t="shared" si="1"/>
        <v>17.34</v>
      </c>
      <c r="BK16" s="87">
        <f t="shared" si="1"/>
        <v>5.6349999999999989</v>
      </c>
      <c r="BL16">
        <f t="shared" si="1"/>
        <v>9.09</v>
      </c>
      <c r="BM16">
        <f t="shared" si="1"/>
        <v>12.73</v>
      </c>
      <c r="BN16">
        <f t="shared" si="1"/>
        <v>15.83</v>
      </c>
      <c r="BO16" s="138">
        <f t="shared" si="4"/>
        <v>8.1050000000000004</v>
      </c>
      <c r="BP16" s="143">
        <f t="shared" si="5"/>
        <v>13.652000000000001</v>
      </c>
      <c r="BQ16" s="138">
        <f t="shared" si="6"/>
        <v>8.3989999999999991</v>
      </c>
      <c r="BR16" s="139">
        <f t="shared" si="7"/>
        <v>13.350000000000001</v>
      </c>
      <c r="BS16" s="87">
        <f t="shared" si="8"/>
        <v>10.878500000000001</v>
      </c>
      <c r="BT16" s="88">
        <f t="shared" si="9"/>
        <v>10.874500000000001</v>
      </c>
      <c r="BU16" s="134">
        <f t="shared" si="10"/>
        <v>10.8765</v>
      </c>
    </row>
    <row r="17" spans="1:73" ht="30" x14ac:dyDescent="0.25">
      <c r="A17" s="102" t="s">
        <v>68</v>
      </c>
      <c r="B17" s="102" t="s">
        <v>79</v>
      </c>
      <c r="C17" s="121" t="s">
        <v>92</v>
      </c>
      <c r="D17" s="155" t="s">
        <v>104</v>
      </c>
      <c r="E17" s="156" t="s">
        <v>105</v>
      </c>
      <c r="F17" s="156" t="s">
        <v>106</v>
      </c>
      <c r="G17" s="110">
        <f t="shared" si="0"/>
        <v>1</v>
      </c>
      <c r="H17" s="110">
        <f t="shared" si="0"/>
        <v>0.66</v>
      </c>
      <c r="I17" s="110">
        <f t="shared" si="0"/>
        <v>0.33</v>
      </c>
      <c r="J17" s="147">
        <f t="shared" si="2"/>
        <v>10.8</v>
      </c>
      <c r="K17" s="87">
        <v>0.77</v>
      </c>
      <c r="L17">
        <v>1</v>
      </c>
      <c r="M17">
        <v>1</v>
      </c>
      <c r="N17" s="88">
        <v>1</v>
      </c>
      <c r="O17" s="87">
        <v>0.83</v>
      </c>
      <c r="P17">
        <v>1</v>
      </c>
      <c r="Q17">
        <v>1</v>
      </c>
      <c r="R17" s="88">
        <v>1</v>
      </c>
      <c r="S17" s="87">
        <v>0.44000000000000006</v>
      </c>
      <c r="T17">
        <v>0.55000000000000004</v>
      </c>
      <c r="U17">
        <v>0.77</v>
      </c>
      <c r="V17" s="88">
        <v>1</v>
      </c>
      <c r="W17" s="87">
        <v>0.47000000000000003</v>
      </c>
      <c r="X17">
        <v>0.55000000000000004</v>
      </c>
      <c r="Y17">
        <v>0.77</v>
      </c>
      <c r="Z17" s="88">
        <v>0.92</v>
      </c>
      <c r="AA17" s="87">
        <v>0</v>
      </c>
      <c r="AB17">
        <v>0.22000000000000003</v>
      </c>
      <c r="AC17">
        <v>0.44</v>
      </c>
      <c r="AD17" s="88">
        <v>0.55000000000000004</v>
      </c>
      <c r="AE17" s="87">
        <v>0.06</v>
      </c>
      <c r="AF17">
        <v>0.22000000000000003</v>
      </c>
      <c r="AG17">
        <v>0.44</v>
      </c>
      <c r="AH17" s="88">
        <v>0.52</v>
      </c>
      <c r="AI17" s="87">
        <v>3.8900000000000006</v>
      </c>
      <c r="AJ17">
        <v>7</v>
      </c>
      <c r="AK17">
        <v>8</v>
      </c>
      <c r="AL17" s="88">
        <v>9.5</v>
      </c>
      <c r="AM17" s="87">
        <v>4.8099999999999987</v>
      </c>
      <c r="AN17">
        <v>7</v>
      </c>
      <c r="AO17">
        <v>8</v>
      </c>
      <c r="AP17" s="88">
        <v>9</v>
      </c>
      <c r="AQ17" s="87">
        <v>0.60499999999999998</v>
      </c>
      <c r="AR17">
        <v>1.1000000000000001</v>
      </c>
      <c r="AS17">
        <v>2.31</v>
      </c>
      <c r="AT17">
        <v>4.1549999999999994</v>
      </c>
      <c r="AU17" s="87">
        <v>0.77499999999999991</v>
      </c>
      <c r="AV17">
        <v>1.1000000000000001</v>
      </c>
      <c r="AW17">
        <v>2.31</v>
      </c>
      <c r="AX17" s="88">
        <v>3.53</v>
      </c>
      <c r="AY17" s="187">
        <v>-0.32999999999999996</v>
      </c>
      <c r="AZ17" s="179">
        <v>0.9900000000000001</v>
      </c>
      <c r="BA17" s="179">
        <v>2.42</v>
      </c>
      <c r="BB17" s="179">
        <v>3.6850000000000005</v>
      </c>
      <c r="BC17" s="187">
        <v>4.9999999999999933E-2</v>
      </c>
      <c r="BD17" s="179">
        <v>0.9900000000000001</v>
      </c>
      <c r="BE17" s="179">
        <v>2.42</v>
      </c>
      <c r="BF17" s="188">
        <v>3.3000000000000007</v>
      </c>
      <c r="BG17" s="87">
        <f t="shared" si="3"/>
        <v>4.1650000000000009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87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138">
        <f t="shared" si="4"/>
        <v>8.1050000000000004</v>
      </c>
      <c r="BP17" s="143">
        <f t="shared" si="5"/>
        <v>13.652000000000001</v>
      </c>
      <c r="BQ17" s="138">
        <f t="shared" si="6"/>
        <v>8.3989999999999991</v>
      </c>
      <c r="BR17" s="139">
        <f t="shared" si="7"/>
        <v>13.350000000000001</v>
      </c>
      <c r="BS17" s="87">
        <f t="shared" si="8"/>
        <v>10.878500000000001</v>
      </c>
      <c r="BT17" s="88">
        <f t="shared" si="9"/>
        <v>10.874500000000001</v>
      </c>
      <c r="BU17" s="134">
        <f t="shared" si="10"/>
        <v>10.8765</v>
      </c>
    </row>
    <row r="18" spans="1:73" ht="30" x14ac:dyDescent="0.25">
      <c r="A18" s="102" t="s">
        <v>69</v>
      </c>
      <c r="B18" s="102" t="s">
        <v>80</v>
      </c>
      <c r="C18" s="121" t="s">
        <v>81</v>
      </c>
      <c r="D18" s="155" t="s">
        <v>105</v>
      </c>
      <c r="E18" s="156" t="s">
        <v>104</v>
      </c>
      <c r="F18" s="156" t="s">
        <v>104</v>
      </c>
      <c r="G18" s="110">
        <f t="shared" si="0"/>
        <v>0.66</v>
      </c>
      <c r="H18" s="110">
        <f t="shared" si="0"/>
        <v>1</v>
      </c>
      <c r="I18" s="110">
        <f t="shared" si="0"/>
        <v>1</v>
      </c>
      <c r="J18" s="147">
        <f t="shared" si="2"/>
        <v>12.45</v>
      </c>
      <c r="K18" s="87">
        <v>0.44000000000000006</v>
      </c>
      <c r="L18">
        <v>0.55000000000000004</v>
      </c>
      <c r="M18">
        <v>0.77</v>
      </c>
      <c r="N18" s="88">
        <v>1</v>
      </c>
      <c r="O18" s="87">
        <v>0.47000000000000003</v>
      </c>
      <c r="P18">
        <v>0.55000000000000004</v>
      </c>
      <c r="Q18">
        <v>0.77</v>
      </c>
      <c r="R18" s="88">
        <v>0.92</v>
      </c>
      <c r="S18" s="87">
        <v>0.77</v>
      </c>
      <c r="T18">
        <v>1</v>
      </c>
      <c r="U18">
        <v>1</v>
      </c>
      <c r="V18" s="88">
        <v>1</v>
      </c>
      <c r="W18" s="87">
        <v>0.83</v>
      </c>
      <c r="X18">
        <v>1</v>
      </c>
      <c r="Y18">
        <v>1</v>
      </c>
      <c r="Z18" s="88">
        <v>1</v>
      </c>
      <c r="AA18" s="87">
        <v>0.77</v>
      </c>
      <c r="AB18">
        <v>1</v>
      </c>
      <c r="AC18">
        <v>1</v>
      </c>
      <c r="AD18" s="88">
        <v>1</v>
      </c>
      <c r="AE18" s="87">
        <v>0.83</v>
      </c>
      <c r="AF18">
        <v>1</v>
      </c>
      <c r="AG18">
        <v>1</v>
      </c>
      <c r="AH18" s="88">
        <v>1</v>
      </c>
      <c r="AI18" s="87">
        <v>2.2549999999999999</v>
      </c>
      <c r="AJ18">
        <v>3.8500000000000005</v>
      </c>
      <c r="AK18">
        <v>6.16</v>
      </c>
      <c r="AL18" s="88">
        <v>9.1550000000000011</v>
      </c>
      <c r="AM18" s="87">
        <v>2.7399999999999993</v>
      </c>
      <c r="AN18">
        <v>3.8500000000000005</v>
      </c>
      <c r="AO18">
        <v>6.16</v>
      </c>
      <c r="AP18" s="88">
        <v>8.129999999999999</v>
      </c>
      <c r="AQ18" s="87">
        <v>1.04</v>
      </c>
      <c r="AR18">
        <v>2</v>
      </c>
      <c r="AS18">
        <v>3</v>
      </c>
      <c r="AT18">
        <v>4.5</v>
      </c>
      <c r="AU18" s="87">
        <v>1.3599999999999999</v>
      </c>
      <c r="AV18">
        <v>2</v>
      </c>
      <c r="AW18">
        <v>3</v>
      </c>
      <c r="AX18" s="88">
        <v>4</v>
      </c>
      <c r="AY18" s="87">
        <v>1.9649999999999999</v>
      </c>
      <c r="AZ18">
        <v>4.5</v>
      </c>
      <c r="BA18">
        <v>5.5</v>
      </c>
      <c r="BB18">
        <v>7</v>
      </c>
      <c r="BC18" s="87">
        <v>2.7349999999999994</v>
      </c>
      <c r="BD18">
        <v>4.5</v>
      </c>
      <c r="BE18">
        <v>5.5</v>
      </c>
      <c r="BF18" s="88">
        <v>6.5</v>
      </c>
      <c r="BG18" s="87">
        <f t="shared" si="3"/>
        <v>5.26</v>
      </c>
      <c r="BH18">
        <f t="shared" si="1"/>
        <v>10.350000000000001</v>
      </c>
      <c r="BI18">
        <f t="shared" si="1"/>
        <v>14.66</v>
      </c>
      <c r="BJ18">
        <f t="shared" si="1"/>
        <v>20.655000000000001</v>
      </c>
      <c r="BK18" s="87">
        <f t="shared" si="1"/>
        <v>6.8349999999999991</v>
      </c>
      <c r="BL18">
        <f t="shared" si="1"/>
        <v>10.350000000000001</v>
      </c>
      <c r="BM18">
        <f t="shared" si="1"/>
        <v>14.66</v>
      </c>
      <c r="BN18">
        <f t="shared" si="1"/>
        <v>18.63</v>
      </c>
      <c r="BO18" s="138">
        <f t="shared" si="4"/>
        <v>9.3320000000000007</v>
      </c>
      <c r="BP18" s="143">
        <f t="shared" si="5"/>
        <v>15.859000000000002</v>
      </c>
      <c r="BQ18" s="138">
        <f t="shared" si="6"/>
        <v>9.6470000000000002</v>
      </c>
      <c r="BR18" s="139">
        <f t="shared" si="7"/>
        <v>15.454000000000001</v>
      </c>
      <c r="BS18" s="87">
        <f t="shared" si="8"/>
        <v>12.595500000000001</v>
      </c>
      <c r="BT18" s="88">
        <f t="shared" si="9"/>
        <v>12.5505</v>
      </c>
      <c r="BU18" s="134">
        <f t="shared" si="10"/>
        <v>12.573</v>
      </c>
    </row>
    <row r="19" spans="1:73" ht="36.75" customHeight="1" x14ac:dyDescent="0.25">
      <c r="A19" s="102" t="s">
        <v>70</v>
      </c>
      <c r="B19" s="102" t="s">
        <v>82</v>
      </c>
      <c r="C19" s="121" t="s">
        <v>93</v>
      </c>
      <c r="D19" s="155" t="s">
        <v>105</v>
      </c>
      <c r="E19" s="156" t="s">
        <v>104</v>
      </c>
      <c r="F19" s="156" t="s">
        <v>105</v>
      </c>
      <c r="G19" s="110">
        <f t="shared" si="0"/>
        <v>0.66</v>
      </c>
      <c r="H19" s="110">
        <f t="shared" si="0"/>
        <v>1</v>
      </c>
      <c r="I19" s="110">
        <f t="shared" si="0"/>
        <v>0.66</v>
      </c>
      <c r="J19" s="147">
        <f t="shared" si="2"/>
        <v>10.75</v>
      </c>
      <c r="K19" s="87">
        <v>0.44000000000000006</v>
      </c>
      <c r="L19">
        <v>0.55000000000000004</v>
      </c>
      <c r="M19">
        <v>0.77</v>
      </c>
      <c r="N19" s="88">
        <v>1</v>
      </c>
      <c r="O19" s="87">
        <v>0.47000000000000003</v>
      </c>
      <c r="P19">
        <v>0.55000000000000004</v>
      </c>
      <c r="Q19">
        <v>0.77</v>
      </c>
      <c r="R19" s="88">
        <v>0.92</v>
      </c>
      <c r="S19" s="87">
        <v>0.77</v>
      </c>
      <c r="T19">
        <v>1</v>
      </c>
      <c r="U19">
        <v>1</v>
      </c>
      <c r="V19" s="88">
        <v>1</v>
      </c>
      <c r="W19" s="87">
        <v>0.83</v>
      </c>
      <c r="X19">
        <v>1</v>
      </c>
      <c r="Y19">
        <v>1</v>
      </c>
      <c r="Z19" s="88">
        <v>1</v>
      </c>
      <c r="AA19" s="87">
        <v>0.44000000000000006</v>
      </c>
      <c r="AB19">
        <v>0.55000000000000004</v>
      </c>
      <c r="AC19">
        <v>0.77</v>
      </c>
      <c r="AD19" s="88">
        <v>1</v>
      </c>
      <c r="AE19" s="87">
        <v>0.47000000000000003</v>
      </c>
      <c r="AF19">
        <v>0.55000000000000004</v>
      </c>
      <c r="AG19">
        <v>0.77</v>
      </c>
      <c r="AH19" s="88">
        <v>0.92</v>
      </c>
      <c r="AI19" s="87">
        <v>2.2549999999999999</v>
      </c>
      <c r="AJ19">
        <v>3.8500000000000005</v>
      </c>
      <c r="AK19">
        <v>6.16</v>
      </c>
      <c r="AL19" s="88">
        <v>9.1550000000000011</v>
      </c>
      <c r="AM19" s="87">
        <v>2.7399999999999993</v>
      </c>
      <c r="AN19">
        <v>3.8500000000000005</v>
      </c>
      <c r="AO19">
        <v>6.16</v>
      </c>
      <c r="AP19" s="88">
        <v>8.129999999999999</v>
      </c>
      <c r="AQ19" s="87">
        <v>1.04</v>
      </c>
      <c r="AR19">
        <v>2</v>
      </c>
      <c r="AS19">
        <v>3</v>
      </c>
      <c r="AT19">
        <v>4.5</v>
      </c>
      <c r="AU19" s="87">
        <v>1.3599999999999999</v>
      </c>
      <c r="AV19">
        <v>2</v>
      </c>
      <c r="AW19">
        <v>3</v>
      </c>
      <c r="AX19" s="88">
        <v>4</v>
      </c>
      <c r="AY19" s="87">
        <v>1.1550000000000002</v>
      </c>
      <c r="AZ19">
        <v>2.4750000000000001</v>
      </c>
      <c r="BA19">
        <v>4.2350000000000003</v>
      </c>
      <c r="BB19">
        <v>6.6550000000000002</v>
      </c>
      <c r="BC19" s="87">
        <v>1.5650000000000008</v>
      </c>
      <c r="BD19">
        <v>2.4750000000000001</v>
      </c>
      <c r="BE19">
        <v>4.2350000000000003</v>
      </c>
      <c r="BF19" s="88">
        <v>5.830000000000001</v>
      </c>
      <c r="BG19" s="87">
        <f t="shared" si="3"/>
        <v>4.45</v>
      </c>
      <c r="BH19">
        <f t="shared" si="1"/>
        <v>8.3250000000000011</v>
      </c>
      <c r="BI19">
        <f t="shared" si="1"/>
        <v>13.395</v>
      </c>
      <c r="BJ19">
        <f t="shared" si="1"/>
        <v>20.310000000000002</v>
      </c>
      <c r="BK19" s="87">
        <f t="shared" si="1"/>
        <v>5.6650000000000009</v>
      </c>
      <c r="BL19">
        <f t="shared" si="1"/>
        <v>8.3250000000000011</v>
      </c>
      <c r="BM19">
        <f t="shared" si="1"/>
        <v>13.395</v>
      </c>
      <c r="BN19">
        <f t="shared" si="1"/>
        <v>17.96</v>
      </c>
      <c r="BO19" s="138">
        <f t="shared" si="4"/>
        <v>7.5500000000000007</v>
      </c>
      <c r="BP19" s="143">
        <f t="shared" si="5"/>
        <v>14.778</v>
      </c>
      <c r="BQ19" s="138">
        <f t="shared" si="6"/>
        <v>7.793000000000001</v>
      </c>
      <c r="BR19" s="139">
        <f t="shared" si="7"/>
        <v>14.308</v>
      </c>
      <c r="BS19" s="87">
        <f t="shared" si="8"/>
        <v>11.164000000000001</v>
      </c>
      <c r="BT19" s="88">
        <f t="shared" si="9"/>
        <v>11.0505</v>
      </c>
      <c r="BU19" s="134">
        <f t="shared" si="10"/>
        <v>11.107250000000001</v>
      </c>
    </row>
    <row r="20" spans="1:73" ht="30.75" thickBot="1" x14ac:dyDescent="0.3">
      <c r="A20" s="102" t="s">
        <v>71</v>
      </c>
      <c r="B20" s="102" t="s">
        <v>83</v>
      </c>
      <c r="C20" s="121" t="s">
        <v>94</v>
      </c>
      <c r="D20" s="157" t="s">
        <v>106</v>
      </c>
      <c r="E20" s="158" t="s">
        <v>104</v>
      </c>
      <c r="F20" s="158" t="s">
        <v>105</v>
      </c>
      <c r="G20" s="123">
        <f t="shared" si="0"/>
        <v>0.33</v>
      </c>
      <c r="H20" s="123">
        <f t="shared" si="0"/>
        <v>1</v>
      </c>
      <c r="I20" s="123">
        <f t="shared" si="0"/>
        <v>0.66</v>
      </c>
      <c r="J20" s="148">
        <f t="shared" si="2"/>
        <v>8.2750000000000004</v>
      </c>
      <c r="K20" s="91">
        <v>0</v>
      </c>
      <c r="L20" s="93">
        <v>0.22000000000000003</v>
      </c>
      <c r="M20" s="93">
        <v>0.44</v>
      </c>
      <c r="N20" s="94">
        <v>0.55000000000000004</v>
      </c>
      <c r="O20" s="91">
        <v>0.06</v>
      </c>
      <c r="P20" s="93">
        <v>0.22000000000000003</v>
      </c>
      <c r="Q20" s="93">
        <v>0.44</v>
      </c>
      <c r="R20" s="94">
        <v>0.52</v>
      </c>
      <c r="S20" s="91">
        <v>0.77</v>
      </c>
      <c r="T20" s="93">
        <v>1</v>
      </c>
      <c r="U20" s="93">
        <v>1</v>
      </c>
      <c r="V20" s="94">
        <v>1</v>
      </c>
      <c r="W20" s="91">
        <v>0.83</v>
      </c>
      <c r="X20" s="93">
        <v>1</v>
      </c>
      <c r="Y20" s="93">
        <v>1</v>
      </c>
      <c r="Z20" s="94">
        <v>1</v>
      </c>
      <c r="AA20" s="91">
        <v>0.44000000000000006</v>
      </c>
      <c r="AB20" s="93">
        <v>0.55000000000000004</v>
      </c>
      <c r="AC20" s="93">
        <v>0.77</v>
      </c>
      <c r="AD20" s="94">
        <v>1</v>
      </c>
      <c r="AE20" s="91">
        <v>0.47000000000000003</v>
      </c>
      <c r="AF20" s="93">
        <v>0.55000000000000004</v>
      </c>
      <c r="AG20" s="93">
        <v>0.77</v>
      </c>
      <c r="AH20" s="94">
        <v>0.92</v>
      </c>
      <c r="AI20" s="91">
        <v>-0.33000000000000007</v>
      </c>
      <c r="AJ20" s="93">
        <v>1.5400000000000003</v>
      </c>
      <c r="AK20" s="93">
        <v>3.52</v>
      </c>
      <c r="AL20" s="94">
        <v>5.0600000000000005</v>
      </c>
      <c r="AM20" s="91">
        <v>0.19999999999999996</v>
      </c>
      <c r="AN20" s="93">
        <v>1.5400000000000003</v>
      </c>
      <c r="AO20" s="93">
        <v>3.52</v>
      </c>
      <c r="AP20" s="94">
        <v>4.6000000000000014</v>
      </c>
      <c r="AQ20" s="91">
        <v>1.04</v>
      </c>
      <c r="AR20" s="93">
        <v>2</v>
      </c>
      <c r="AS20" s="93">
        <v>3</v>
      </c>
      <c r="AT20" s="93">
        <v>4.5</v>
      </c>
      <c r="AU20" s="91">
        <v>1.3599999999999999</v>
      </c>
      <c r="AV20" s="93">
        <v>2</v>
      </c>
      <c r="AW20" s="93">
        <v>3</v>
      </c>
      <c r="AX20" s="94">
        <v>4</v>
      </c>
      <c r="AY20" s="91">
        <v>1.1550000000000002</v>
      </c>
      <c r="AZ20" s="93">
        <v>2.4750000000000001</v>
      </c>
      <c r="BA20" s="93">
        <v>4.2350000000000003</v>
      </c>
      <c r="BB20" s="93">
        <v>6.6550000000000002</v>
      </c>
      <c r="BC20" s="91">
        <v>1.5650000000000008</v>
      </c>
      <c r="BD20" s="93">
        <v>2.4750000000000001</v>
      </c>
      <c r="BE20" s="93">
        <v>4.2350000000000003</v>
      </c>
      <c r="BF20" s="94">
        <v>5.830000000000001</v>
      </c>
      <c r="BG20" s="91">
        <f t="shared" si="3"/>
        <v>1.8650000000000002</v>
      </c>
      <c r="BH20" s="93">
        <f t="shared" si="1"/>
        <v>6.0150000000000006</v>
      </c>
      <c r="BI20" s="93">
        <f t="shared" si="1"/>
        <v>10.754999999999999</v>
      </c>
      <c r="BJ20" s="93">
        <f t="shared" si="1"/>
        <v>16.215</v>
      </c>
      <c r="BK20" s="91">
        <f t="shared" si="1"/>
        <v>3.1250000000000009</v>
      </c>
      <c r="BL20" s="93">
        <f t="shared" si="1"/>
        <v>6.0150000000000006</v>
      </c>
      <c r="BM20" s="93">
        <f t="shared" si="1"/>
        <v>10.754999999999999</v>
      </c>
      <c r="BN20" s="93">
        <f t="shared" si="1"/>
        <v>14.430000000000003</v>
      </c>
      <c r="BO20" s="140">
        <f t="shared" si="4"/>
        <v>5.1850000000000014</v>
      </c>
      <c r="BP20" s="144">
        <f t="shared" si="5"/>
        <v>11.846999999999998</v>
      </c>
      <c r="BQ20" s="140">
        <f t="shared" si="6"/>
        <v>5.4370000000000012</v>
      </c>
      <c r="BR20" s="141">
        <f t="shared" si="7"/>
        <v>11.489999999999998</v>
      </c>
      <c r="BS20" s="91">
        <f t="shared" si="8"/>
        <v>8.516</v>
      </c>
      <c r="BT20" s="94">
        <f t="shared" si="9"/>
        <v>8.4634999999999998</v>
      </c>
      <c r="BU20" s="135">
        <f t="shared" si="10"/>
        <v>8.4897500000000008</v>
      </c>
    </row>
    <row r="21" spans="1:73" x14ac:dyDescent="0.25">
      <c r="BF21" s="60"/>
      <c r="BG21" s="59"/>
      <c r="BH21" s="59"/>
      <c r="BI21" s="59"/>
      <c r="BJ21" s="59"/>
      <c r="BK21" s="59"/>
    </row>
    <row r="22" spans="1:73" x14ac:dyDescent="0.25">
      <c r="A22" s="1" t="s">
        <v>188</v>
      </c>
      <c r="B22" s="1"/>
    </row>
    <row r="23" spans="1:73" ht="15.75" thickBot="1" x14ac:dyDescent="0.3">
      <c r="A23" s="107" t="s">
        <v>103</v>
      </c>
      <c r="B23" s="108" t="s">
        <v>122</v>
      </c>
      <c r="E23" s="112" t="s">
        <v>17</v>
      </c>
      <c r="I23" t="s">
        <v>18</v>
      </c>
    </row>
    <row r="24" spans="1:73" x14ac:dyDescent="0.25">
      <c r="A24" s="106" t="s">
        <v>107</v>
      </c>
      <c r="B24" s="2">
        <v>0</v>
      </c>
      <c r="C24" s="79">
        <v>0</v>
      </c>
      <c r="D24" s="80" t="s">
        <v>107</v>
      </c>
      <c r="E24" s="81">
        <v>0</v>
      </c>
      <c r="F24" s="82">
        <f>C24</f>
        <v>0</v>
      </c>
      <c r="G24" s="83">
        <v>0</v>
      </c>
      <c r="H24" s="84">
        <v>0.22</v>
      </c>
      <c r="I24" s="85">
        <v>0</v>
      </c>
      <c r="J24" s="83">
        <f>F24</f>
        <v>0</v>
      </c>
      <c r="K24" s="83">
        <f>G24</f>
        <v>0</v>
      </c>
      <c r="L24" s="86">
        <v>0.15</v>
      </c>
    </row>
    <row r="25" spans="1:73" x14ac:dyDescent="0.25">
      <c r="A25" s="106" t="s">
        <v>106</v>
      </c>
      <c r="B25" s="2">
        <v>0.33</v>
      </c>
      <c r="C25" s="79">
        <v>0.33</v>
      </c>
      <c r="D25" s="80" t="s">
        <v>106</v>
      </c>
      <c r="E25" s="87">
        <v>0</v>
      </c>
      <c r="F25" s="111">
        <f>C25-0.11</f>
        <v>0.22000000000000003</v>
      </c>
      <c r="G25">
        <f>C25+0.11</f>
        <v>0.44</v>
      </c>
      <c r="H25" s="88">
        <f t="shared" ref="H25" si="11">G25+0.11</f>
        <v>0.55000000000000004</v>
      </c>
      <c r="I25" s="89">
        <v>0.06</v>
      </c>
      <c r="J25">
        <f t="shared" ref="J25:K27" si="12">F25</f>
        <v>0.22000000000000003</v>
      </c>
      <c r="K25">
        <f t="shared" si="12"/>
        <v>0.44</v>
      </c>
      <c r="L25" s="90">
        <f t="shared" ref="L25" si="13">K25+0.08</f>
        <v>0.52</v>
      </c>
    </row>
    <row r="26" spans="1:73" x14ac:dyDescent="0.25">
      <c r="A26" s="106" t="s">
        <v>105</v>
      </c>
      <c r="B26" s="2">
        <v>0.66</v>
      </c>
      <c r="C26" s="79">
        <v>0.66</v>
      </c>
      <c r="D26" s="80" t="s">
        <v>105</v>
      </c>
      <c r="E26" s="87">
        <f t="shared" ref="E26" si="14">F26-0.11</f>
        <v>0.44000000000000006</v>
      </c>
      <c r="F26" s="111">
        <f t="shared" ref="F26" si="15">C26-0.11</f>
        <v>0.55000000000000004</v>
      </c>
      <c r="G26">
        <f t="shared" ref="G26" si="16">C26+0.11</f>
        <v>0.77</v>
      </c>
      <c r="H26" s="88">
        <v>1</v>
      </c>
      <c r="I26" s="89">
        <f t="shared" ref="I26" si="17">J26-0.08</f>
        <v>0.47000000000000003</v>
      </c>
      <c r="J26">
        <f t="shared" si="12"/>
        <v>0.55000000000000004</v>
      </c>
      <c r="K26">
        <f t="shared" si="12"/>
        <v>0.77</v>
      </c>
      <c r="L26" s="90">
        <v>0.92</v>
      </c>
    </row>
    <row r="27" spans="1:73" ht="15.75" thickBot="1" x14ac:dyDescent="0.3">
      <c r="A27" s="106" t="s">
        <v>104</v>
      </c>
      <c r="B27" s="2">
        <v>1</v>
      </c>
      <c r="C27" s="79">
        <v>1</v>
      </c>
      <c r="D27" s="80" t="s">
        <v>104</v>
      </c>
      <c r="E27" s="91">
        <v>0.77</v>
      </c>
      <c r="F27" s="92">
        <v>1</v>
      </c>
      <c r="G27" s="93">
        <v>1</v>
      </c>
      <c r="H27" s="94">
        <v>1</v>
      </c>
      <c r="I27" s="95">
        <v>0.83</v>
      </c>
      <c r="J27" s="93">
        <f t="shared" si="12"/>
        <v>1</v>
      </c>
      <c r="K27" s="93">
        <f t="shared" si="12"/>
        <v>1</v>
      </c>
      <c r="L27" s="96">
        <v>1</v>
      </c>
    </row>
    <row r="28" spans="1:73" x14ac:dyDescent="0.25">
      <c r="A28" s="99"/>
    </row>
    <row r="29" spans="1:73" x14ac:dyDescent="0.25">
      <c r="A29" s="1" t="s">
        <v>190</v>
      </c>
    </row>
    <row r="30" spans="1:73" ht="15.75" thickBot="1" x14ac:dyDescent="0.3">
      <c r="A30" s="107" t="s">
        <v>103</v>
      </c>
      <c r="B30" s="108" t="s">
        <v>123</v>
      </c>
      <c r="E30" s="112" t="s">
        <v>17</v>
      </c>
      <c r="I30" t="s">
        <v>18</v>
      </c>
    </row>
    <row r="31" spans="1:73" x14ac:dyDescent="0.25">
      <c r="A31" s="106" t="s">
        <v>107</v>
      </c>
      <c r="B31" s="2">
        <v>1</v>
      </c>
      <c r="C31" s="79">
        <v>1</v>
      </c>
      <c r="D31" s="80" t="s">
        <v>107</v>
      </c>
      <c r="E31" s="81">
        <v>0</v>
      </c>
      <c r="F31" s="82">
        <v>0.5</v>
      </c>
      <c r="G31" s="83">
        <v>1.5</v>
      </c>
      <c r="H31" s="84">
        <v>2</v>
      </c>
      <c r="I31" s="85">
        <v>0</v>
      </c>
      <c r="J31" s="83">
        <f>F31</f>
        <v>0.5</v>
      </c>
      <c r="K31" s="83">
        <f>G31</f>
        <v>1.5</v>
      </c>
      <c r="L31" s="86">
        <v>1.8</v>
      </c>
    </row>
    <row r="32" spans="1:73" x14ac:dyDescent="0.25">
      <c r="A32" s="106" t="s">
        <v>106</v>
      </c>
      <c r="B32" s="2">
        <v>2.5</v>
      </c>
      <c r="C32" s="79">
        <v>2.5</v>
      </c>
      <c r="D32" s="80" t="s">
        <v>106</v>
      </c>
      <c r="E32" s="87">
        <v>1.5</v>
      </c>
      <c r="F32" s="111">
        <f>C32-0.5</f>
        <v>2</v>
      </c>
      <c r="G32">
        <f>C32+0.5</f>
        <v>3</v>
      </c>
      <c r="H32" s="88">
        <f t="shared" ref="H32:H34" si="18">G32+1.5</f>
        <v>4.5</v>
      </c>
      <c r="I32" s="89">
        <v>1.7</v>
      </c>
      <c r="J32">
        <f t="shared" ref="J32:K34" si="19">F32</f>
        <v>2</v>
      </c>
      <c r="K32">
        <f t="shared" si="19"/>
        <v>3</v>
      </c>
      <c r="L32" s="90">
        <f t="shared" ref="L32:L34" si="20">K32+1</f>
        <v>4</v>
      </c>
    </row>
    <row r="33" spans="1:12" x14ac:dyDescent="0.25">
      <c r="A33" s="106" t="s">
        <v>105</v>
      </c>
      <c r="B33" s="2">
        <v>5</v>
      </c>
      <c r="C33" s="79">
        <v>5</v>
      </c>
      <c r="D33" s="80" t="s">
        <v>105</v>
      </c>
      <c r="E33" s="87">
        <f t="shared" ref="E33:E34" si="21">F33-1.5</f>
        <v>3</v>
      </c>
      <c r="F33" s="111">
        <f>C33-0.5</f>
        <v>4.5</v>
      </c>
      <c r="G33">
        <f>C33+0.5</f>
        <v>5.5</v>
      </c>
      <c r="H33" s="88">
        <f t="shared" si="18"/>
        <v>7</v>
      </c>
      <c r="I33" s="89">
        <f t="shared" ref="I33:I34" si="22">J33-1</f>
        <v>3.5</v>
      </c>
      <c r="J33">
        <f t="shared" si="19"/>
        <v>4.5</v>
      </c>
      <c r="K33">
        <f t="shared" si="19"/>
        <v>5.5</v>
      </c>
      <c r="L33" s="90">
        <f t="shared" si="20"/>
        <v>6.5</v>
      </c>
    </row>
    <row r="34" spans="1:12" ht="15.75" thickBot="1" x14ac:dyDescent="0.3">
      <c r="A34" s="106" t="s">
        <v>104</v>
      </c>
      <c r="B34" s="2">
        <v>7.5</v>
      </c>
      <c r="C34" s="79">
        <v>7.5</v>
      </c>
      <c r="D34" s="80" t="s">
        <v>104</v>
      </c>
      <c r="E34" s="91">
        <f t="shared" si="21"/>
        <v>5.5</v>
      </c>
      <c r="F34" s="92">
        <f>C34-0.5</f>
        <v>7</v>
      </c>
      <c r="G34" s="93">
        <f>C34+0.5</f>
        <v>8</v>
      </c>
      <c r="H34" s="94">
        <f t="shared" si="18"/>
        <v>9.5</v>
      </c>
      <c r="I34" s="95">
        <f t="shared" si="22"/>
        <v>6</v>
      </c>
      <c r="J34" s="93">
        <f t="shared" si="19"/>
        <v>7</v>
      </c>
      <c r="K34" s="93">
        <f t="shared" si="19"/>
        <v>8</v>
      </c>
      <c r="L34" s="96">
        <f t="shared" si="20"/>
        <v>9</v>
      </c>
    </row>
    <row r="36" spans="1:12" ht="15.75" thickBot="1" x14ac:dyDescent="0.3">
      <c r="A36" s="1" t="s">
        <v>193</v>
      </c>
    </row>
    <row r="37" spans="1:12" ht="67.5" customHeight="1" thickBot="1" x14ac:dyDescent="0.3">
      <c r="A37" s="114" t="s">
        <v>117</v>
      </c>
      <c r="B37" s="113" t="s">
        <v>99</v>
      </c>
      <c r="C37" s="115" t="s">
        <v>108</v>
      </c>
      <c r="D37" s="116" t="s">
        <v>189</v>
      </c>
      <c r="E37" s="283" t="s">
        <v>126</v>
      </c>
      <c r="F37" s="284"/>
      <c r="G37" s="284"/>
      <c r="H37" s="284"/>
      <c r="I37" s="284"/>
      <c r="J37" s="284"/>
      <c r="K37" s="284"/>
      <c r="L37" s="285"/>
    </row>
    <row r="38" spans="1:12" x14ac:dyDescent="0.25">
      <c r="A38" s="125" t="s">
        <v>114</v>
      </c>
      <c r="B38" s="117" t="s">
        <v>100</v>
      </c>
      <c r="C38" s="118" t="s">
        <v>104</v>
      </c>
      <c r="D38" s="152">
        <v>7.5</v>
      </c>
      <c r="E38" s="87">
        <v>5.5</v>
      </c>
      <c r="F38" s="111">
        <v>7</v>
      </c>
      <c r="G38">
        <v>8</v>
      </c>
      <c r="H38" s="88">
        <v>9.5</v>
      </c>
      <c r="I38" s="89">
        <v>6</v>
      </c>
      <c r="J38">
        <v>7</v>
      </c>
      <c r="K38">
        <v>8</v>
      </c>
      <c r="L38" s="90">
        <v>9</v>
      </c>
    </row>
    <row r="39" spans="1:12" x14ac:dyDescent="0.25">
      <c r="A39" s="126" t="s">
        <v>115</v>
      </c>
      <c r="B39" s="104" t="s">
        <v>101</v>
      </c>
      <c r="C39" s="2" t="s">
        <v>106</v>
      </c>
      <c r="D39" s="153">
        <v>2.5</v>
      </c>
      <c r="E39" s="87">
        <v>1.5</v>
      </c>
      <c r="F39" s="111">
        <v>2</v>
      </c>
      <c r="G39">
        <v>3</v>
      </c>
      <c r="H39" s="88">
        <v>4.5</v>
      </c>
      <c r="I39" s="89">
        <v>1.7</v>
      </c>
      <c r="J39">
        <v>2</v>
      </c>
      <c r="K39">
        <v>3</v>
      </c>
      <c r="L39" s="90">
        <v>4</v>
      </c>
    </row>
    <row r="40" spans="1:12" ht="15.75" thickBot="1" x14ac:dyDescent="0.3">
      <c r="A40" s="127" t="s">
        <v>116</v>
      </c>
      <c r="B40" s="119" t="s">
        <v>102</v>
      </c>
      <c r="C40" s="120" t="s">
        <v>105</v>
      </c>
      <c r="D40" s="154">
        <v>5</v>
      </c>
      <c r="E40" s="91">
        <v>3</v>
      </c>
      <c r="F40" s="92">
        <v>4.5</v>
      </c>
      <c r="G40" s="93">
        <v>5.5</v>
      </c>
      <c r="H40" s="94">
        <v>7</v>
      </c>
      <c r="I40" s="95">
        <v>3.5</v>
      </c>
      <c r="J40" s="93">
        <v>4.5</v>
      </c>
      <c r="K40" s="93">
        <v>5.5</v>
      </c>
      <c r="L40" s="96">
        <v>6.5</v>
      </c>
    </row>
    <row r="42" spans="1:12" ht="15.75" thickBot="1" x14ac:dyDescent="0.3">
      <c r="A42" s="1" t="s">
        <v>194</v>
      </c>
    </row>
    <row r="43" spans="1:12" ht="30.75" thickBot="1" x14ac:dyDescent="0.3">
      <c r="A43" s="128" t="s">
        <v>132</v>
      </c>
      <c r="B43" s="129" t="s">
        <v>133</v>
      </c>
      <c r="E43" s="283" t="s">
        <v>134</v>
      </c>
      <c r="F43" s="284"/>
      <c r="G43" s="284"/>
      <c r="H43" s="284"/>
      <c r="I43" s="284"/>
      <c r="J43" s="284"/>
      <c r="K43" s="284"/>
      <c r="L43" s="285"/>
    </row>
    <row r="44" spans="1:12" x14ac:dyDescent="0.25">
      <c r="A44" s="125" t="s">
        <v>129</v>
      </c>
      <c r="B44" s="130" t="s">
        <v>107</v>
      </c>
      <c r="D44" s="133" t="s">
        <v>138</v>
      </c>
      <c r="E44" s="81">
        <f>E24*F$38+E$38*F24-F24*F$38</f>
        <v>0</v>
      </c>
      <c r="F44" s="83">
        <f>F24*F$38</f>
        <v>0</v>
      </c>
      <c r="G44" s="83">
        <f>G24*G$38</f>
        <v>0</v>
      </c>
      <c r="H44" s="84">
        <f>G24*H$38+G$38*H24-G24*G$38</f>
        <v>1.76</v>
      </c>
      <c r="I44" s="81">
        <f>I24*J$38+I$38*J24-J24*J$38</f>
        <v>0</v>
      </c>
      <c r="J44" s="83">
        <f>J24*J$38</f>
        <v>0</v>
      </c>
      <c r="K44" s="83">
        <f>K24*K$38</f>
        <v>0</v>
      </c>
      <c r="L44" s="84">
        <f>K24*L$38+K$38*L24-K24*K$38</f>
        <v>1.2</v>
      </c>
    </row>
    <row r="45" spans="1:12" x14ac:dyDescent="0.25">
      <c r="A45" s="126" t="s">
        <v>129</v>
      </c>
      <c r="B45" s="131" t="s">
        <v>106</v>
      </c>
      <c r="D45" s="134" t="s">
        <v>137</v>
      </c>
      <c r="E45" s="187">
        <f t="shared" ref="E45:E47" si="23">E25*F$38+E$38*F25-F25*F$38</f>
        <v>-0.33000000000000007</v>
      </c>
      <c r="F45" s="179">
        <f t="shared" ref="F45:G47" si="24">F25*F$38</f>
        <v>1.5400000000000003</v>
      </c>
      <c r="G45" s="179">
        <f t="shared" si="24"/>
        <v>3.52</v>
      </c>
      <c r="H45" s="188">
        <f t="shared" ref="H45:H47" si="25">G25*H$38+G$38*H25-G25*G$38</f>
        <v>5.0600000000000005</v>
      </c>
      <c r="I45" s="187">
        <f t="shared" ref="I45:I47" si="26">I25*J$38+I$38*J25-J25*J$38</f>
        <v>0.19999999999999996</v>
      </c>
      <c r="J45" s="179">
        <f t="shared" ref="J45:K47" si="27">J25*J$38</f>
        <v>1.5400000000000003</v>
      </c>
      <c r="K45" s="179">
        <f t="shared" si="27"/>
        <v>3.52</v>
      </c>
      <c r="L45" s="188">
        <f t="shared" ref="L45:L47" si="28">K25*L$38+K$38*L25-K25*K$38</f>
        <v>4.6000000000000014</v>
      </c>
    </row>
    <row r="46" spans="1:12" x14ac:dyDescent="0.25">
      <c r="A46" s="126" t="s">
        <v>129</v>
      </c>
      <c r="B46" s="131" t="s">
        <v>105</v>
      </c>
      <c r="D46" s="134" t="s">
        <v>136</v>
      </c>
      <c r="E46" s="87">
        <f t="shared" si="23"/>
        <v>2.2549999999999999</v>
      </c>
      <c r="F46">
        <f t="shared" si="24"/>
        <v>3.8500000000000005</v>
      </c>
      <c r="G46">
        <f t="shared" si="24"/>
        <v>6.16</v>
      </c>
      <c r="H46" s="88">
        <f t="shared" si="25"/>
        <v>9.1550000000000011</v>
      </c>
      <c r="I46" s="87">
        <f t="shared" si="26"/>
        <v>2.7399999999999993</v>
      </c>
      <c r="J46">
        <f t="shared" si="27"/>
        <v>3.8500000000000005</v>
      </c>
      <c r="K46">
        <f t="shared" si="27"/>
        <v>6.16</v>
      </c>
      <c r="L46" s="88">
        <f t="shared" si="28"/>
        <v>8.129999999999999</v>
      </c>
    </row>
    <row r="47" spans="1:12" ht="15.75" thickBot="1" x14ac:dyDescent="0.3">
      <c r="A47" s="127" t="s">
        <v>129</v>
      </c>
      <c r="B47" s="132" t="s">
        <v>104</v>
      </c>
      <c r="D47" s="135" t="s">
        <v>135</v>
      </c>
      <c r="E47" s="91">
        <f t="shared" si="23"/>
        <v>3.8900000000000006</v>
      </c>
      <c r="F47" s="93">
        <f t="shared" si="24"/>
        <v>7</v>
      </c>
      <c r="G47" s="93">
        <f t="shared" si="24"/>
        <v>8</v>
      </c>
      <c r="H47" s="94">
        <f t="shared" si="25"/>
        <v>9.5</v>
      </c>
      <c r="I47" s="91">
        <f t="shared" si="26"/>
        <v>4.8099999999999987</v>
      </c>
      <c r="J47" s="93">
        <f t="shared" si="27"/>
        <v>7</v>
      </c>
      <c r="K47" s="93">
        <f t="shared" si="27"/>
        <v>8</v>
      </c>
      <c r="L47" s="94">
        <f t="shared" si="28"/>
        <v>9</v>
      </c>
    </row>
    <row r="48" spans="1:12" x14ac:dyDescent="0.25">
      <c r="A48" s="125" t="s">
        <v>130</v>
      </c>
      <c r="B48" s="130" t="s">
        <v>107</v>
      </c>
      <c r="D48" s="133" t="s">
        <v>139</v>
      </c>
      <c r="E48" s="81">
        <f>E24*F$39+E$39*F24-F24*F$39</f>
        <v>0</v>
      </c>
      <c r="F48" s="83">
        <f>F24*F$39</f>
        <v>0</v>
      </c>
      <c r="G48" s="83">
        <f>G24*G$39</f>
        <v>0</v>
      </c>
      <c r="H48" s="84">
        <f>G24*H$39+G$39*H24-G24*G$39</f>
        <v>0.66</v>
      </c>
      <c r="I48" s="81">
        <f>I24*J$39+I$39*J24-J24*J$39</f>
        <v>0</v>
      </c>
      <c r="J48" s="83">
        <f>J24*J$39</f>
        <v>0</v>
      </c>
      <c r="K48" s="83">
        <f>K24*K$39</f>
        <v>0</v>
      </c>
      <c r="L48" s="84">
        <f>K24*L$39+K$39*L24-K24*K$39</f>
        <v>0.44999999999999996</v>
      </c>
    </row>
    <row r="49" spans="1:73" x14ac:dyDescent="0.25">
      <c r="A49" s="126" t="s">
        <v>130</v>
      </c>
      <c r="B49" s="131" t="s">
        <v>106</v>
      </c>
      <c r="D49" s="134" t="s">
        <v>144</v>
      </c>
      <c r="E49" s="187">
        <f>E25*F$39+E$39*F25-F25*F$39</f>
        <v>-0.10999999999999999</v>
      </c>
      <c r="F49" s="179">
        <f t="shared" ref="F49:G51" si="29">F25*F$39</f>
        <v>0.44000000000000006</v>
      </c>
      <c r="G49" s="179">
        <f t="shared" si="29"/>
        <v>1.32</v>
      </c>
      <c r="H49" s="188">
        <f t="shared" ref="H49:H51" si="30">G25*H$39+G$39*H25-G25*G$39</f>
        <v>2.3099999999999996</v>
      </c>
      <c r="I49" s="187">
        <f t="shared" ref="I49:I51" si="31">I25*J$39+I$39*J25-J25*J$39</f>
        <v>5.3999999999999992E-2</v>
      </c>
      <c r="J49" s="179">
        <f t="shared" ref="J49:K51" si="32">J25*J$39</f>
        <v>0.44000000000000006</v>
      </c>
      <c r="K49" s="179">
        <f t="shared" si="32"/>
        <v>1.32</v>
      </c>
      <c r="L49" s="188">
        <f t="shared" ref="L49:L51" si="33">K25*L$39+K$39*L25-K25*K$39</f>
        <v>2</v>
      </c>
    </row>
    <row r="50" spans="1:73" x14ac:dyDescent="0.25">
      <c r="A50" s="126" t="s">
        <v>130</v>
      </c>
      <c r="B50" s="131" t="s">
        <v>105</v>
      </c>
      <c r="D50" s="134" t="s">
        <v>145</v>
      </c>
      <c r="E50" s="87">
        <f t="shared" ref="E50:E51" si="34">E26*F$39+E$39*F26-F26*F$39</f>
        <v>0.60499999999999998</v>
      </c>
      <c r="F50">
        <f t="shared" si="29"/>
        <v>1.1000000000000001</v>
      </c>
      <c r="G50">
        <f t="shared" si="29"/>
        <v>2.31</v>
      </c>
      <c r="H50" s="88">
        <f t="shared" si="30"/>
        <v>4.1549999999999994</v>
      </c>
      <c r="I50" s="87">
        <f t="shared" si="31"/>
        <v>0.77499999999999991</v>
      </c>
      <c r="J50">
        <f t="shared" si="32"/>
        <v>1.1000000000000001</v>
      </c>
      <c r="K50">
        <f t="shared" si="32"/>
        <v>2.31</v>
      </c>
      <c r="L50" s="88">
        <f t="shared" si="33"/>
        <v>3.53</v>
      </c>
    </row>
    <row r="51" spans="1:73" ht="15.75" thickBot="1" x14ac:dyDescent="0.3">
      <c r="A51" s="127" t="s">
        <v>130</v>
      </c>
      <c r="B51" s="132" t="s">
        <v>104</v>
      </c>
      <c r="D51" s="135" t="s">
        <v>146</v>
      </c>
      <c r="E51" s="91">
        <f t="shared" si="34"/>
        <v>1.04</v>
      </c>
      <c r="F51" s="93">
        <f t="shared" si="29"/>
        <v>2</v>
      </c>
      <c r="G51" s="93">
        <f t="shared" si="29"/>
        <v>3</v>
      </c>
      <c r="H51" s="94">
        <f t="shared" si="30"/>
        <v>4.5</v>
      </c>
      <c r="I51" s="91">
        <f t="shared" si="31"/>
        <v>1.3599999999999999</v>
      </c>
      <c r="J51" s="93">
        <f t="shared" si="32"/>
        <v>2</v>
      </c>
      <c r="K51" s="93">
        <f t="shared" si="32"/>
        <v>3</v>
      </c>
      <c r="L51" s="94">
        <f t="shared" si="33"/>
        <v>4</v>
      </c>
    </row>
    <row r="52" spans="1:73" x14ac:dyDescent="0.25">
      <c r="A52" s="125" t="s">
        <v>131</v>
      </c>
      <c r="B52" s="130" t="s">
        <v>107</v>
      </c>
      <c r="D52" s="133" t="s">
        <v>141</v>
      </c>
      <c r="E52" s="87">
        <f>E24*F$40+E$40*F24-F24*F$40</f>
        <v>0</v>
      </c>
      <c r="F52">
        <f>F24*F$40</f>
        <v>0</v>
      </c>
      <c r="G52">
        <f>G24*G$40</f>
        <v>0</v>
      </c>
      <c r="H52" s="88">
        <f>G24*H$40+G$40*H24-G24*G$40</f>
        <v>1.21</v>
      </c>
      <c r="I52" s="87">
        <f>I24*J$40+I$40*J24-J24*J$40</f>
        <v>0</v>
      </c>
      <c r="J52">
        <f>J24*J$40</f>
        <v>0</v>
      </c>
      <c r="K52">
        <f>K24*K$40</f>
        <v>0</v>
      </c>
      <c r="L52" s="88">
        <f>K24*L$40+K$40*L24-K24*K$40</f>
        <v>0.82499999999999996</v>
      </c>
    </row>
    <row r="53" spans="1:73" x14ac:dyDescent="0.25">
      <c r="A53" s="126" t="s">
        <v>131</v>
      </c>
      <c r="B53" s="131" t="s">
        <v>106</v>
      </c>
      <c r="D53" s="134" t="s">
        <v>140</v>
      </c>
      <c r="E53" s="187">
        <f t="shared" ref="E53:E55" si="35">E25*F$40+E$40*F25-F25*F$40</f>
        <v>-0.32999999999999996</v>
      </c>
      <c r="F53" s="179">
        <f t="shared" ref="F53:G55" si="36">F25*F$40</f>
        <v>0.9900000000000001</v>
      </c>
      <c r="G53" s="179">
        <f t="shared" si="36"/>
        <v>2.42</v>
      </c>
      <c r="H53" s="188">
        <f t="shared" ref="H53:H55" si="37">G25*H$40+G$40*H25-G25*G$40</f>
        <v>3.6850000000000005</v>
      </c>
      <c r="I53" s="187">
        <f t="shared" ref="I53:I55" si="38">I25*J$40+I$40*J25-J25*J$40</f>
        <v>4.9999999999999933E-2</v>
      </c>
      <c r="J53" s="179">
        <f t="shared" ref="J53:K55" si="39">J25*J$40</f>
        <v>0.9900000000000001</v>
      </c>
      <c r="K53" s="179">
        <f t="shared" si="39"/>
        <v>2.42</v>
      </c>
      <c r="L53" s="188">
        <f t="shared" ref="L53:L55" si="40">K25*L$40+K$40*L25-K25*K$40</f>
        <v>3.3000000000000007</v>
      </c>
    </row>
    <row r="54" spans="1:73" x14ac:dyDescent="0.25">
      <c r="A54" s="126" t="s">
        <v>131</v>
      </c>
      <c r="B54" s="131" t="s">
        <v>105</v>
      </c>
      <c r="D54" s="134" t="s">
        <v>142</v>
      </c>
      <c r="E54" s="87">
        <f t="shared" si="35"/>
        <v>1.1550000000000002</v>
      </c>
      <c r="F54">
        <f t="shared" si="36"/>
        <v>2.4750000000000001</v>
      </c>
      <c r="G54">
        <f t="shared" si="36"/>
        <v>4.2350000000000003</v>
      </c>
      <c r="H54" s="88">
        <f t="shared" si="37"/>
        <v>6.6550000000000002</v>
      </c>
      <c r="I54" s="87">
        <f t="shared" si="38"/>
        <v>1.5650000000000008</v>
      </c>
      <c r="J54">
        <f t="shared" si="39"/>
        <v>2.4750000000000001</v>
      </c>
      <c r="K54">
        <f t="shared" si="39"/>
        <v>4.2350000000000003</v>
      </c>
      <c r="L54" s="88">
        <f t="shared" si="40"/>
        <v>5.830000000000001</v>
      </c>
    </row>
    <row r="55" spans="1:73" ht="15.75" thickBot="1" x14ac:dyDescent="0.3">
      <c r="A55" s="127" t="s">
        <v>131</v>
      </c>
      <c r="B55" s="132" t="s">
        <v>104</v>
      </c>
      <c r="D55" s="135" t="s">
        <v>143</v>
      </c>
      <c r="E55" s="91">
        <f t="shared" si="35"/>
        <v>1.9649999999999999</v>
      </c>
      <c r="F55" s="93">
        <f t="shared" si="36"/>
        <v>4.5</v>
      </c>
      <c r="G55" s="93">
        <f t="shared" si="36"/>
        <v>5.5</v>
      </c>
      <c r="H55" s="94">
        <f t="shared" si="37"/>
        <v>7</v>
      </c>
      <c r="I55" s="91">
        <f t="shared" si="38"/>
        <v>2.7349999999999994</v>
      </c>
      <c r="J55" s="93">
        <f t="shared" si="39"/>
        <v>4.5</v>
      </c>
      <c r="K55" s="93">
        <f t="shared" si="39"/>
        <v>5.5</v>
      </c>
      <c r="L55" s="94">
        <f t="shared" si="40"/>
        <v>6.5</v>
      </c>
    </row>
    <row r="58" spans="1:73" ht="18.75" x14ac:dyDescent="0.3">
      <c r="A58" s="149" t="s">
        <v>161</v>
      </c>
      <c r="B58" s="99"/>
      <c r="C58" s="99"/>
    </row>
    <row r="59" spans="1:73" x14ac:dyDescent="0.25">
      <c r="A59" s="1" t="s">
        <v>110</v>
      </c>
      <c r="B59" s="99"/>
      <c r="C59" s="99"/>
    </row>
    <row r="60" spans="1:73" ht="15.75" thickBot="1" x14ac:dyDescent="0.3">
      <c r="A60" s="100" t="s">
        <v>166</v>
      </c>
      <c r="B60" s="99"/>
      <c r="C60" s="99"/>
      <c r="BO60">
        <v>0.8</v>
      </c>
    </row>
    <row r="61" spans="1:73" ht="86.25" customHeight="1" thickBot="1" x14ac:dyDescent="0.3">
      <c r="A61" s="273" t="s">
        <v>85</v>
      </c>
      <c r="B61" s="273" t="s">
        <v>86</v>
      </c>
      <c r="C61" s="277" t="s">
        <v>87</v>
      </c>
      <c r="D61" s="278" t="s">
        <v>127</v>
      </c>
      <c r="E61" s="279"/>
      <c r="F61" s="279"/>
      <c r="G61" s="279" t="s">
        <v>128</v>
      </c>
      <c r="H61" s="279"/>
      <c r="I61" s="279"/>
      <c r="J61" s="286" t="s">
        <v>157</v>
      </c>
      <c r="K61" s="280" t="s">
        <v>150</v>
      </c>
      <c r="L61" s="281"/>
      <c r="M61" s="281"/>
      <c r="N61" s="281"/>
      <c r="O61" s="281"/>
      <c r="P61" s="281"/>
      <c r="Q61" s="281"/>
      <c r="R61" s="282"/>
      <c r="S61" s="280" t="s">
        <v>148</v>
      </c>
      <c r="T61" s="281"/>
      <c r="U61" s="281"/>
      <c r="V61" s="281"/>
      <c r="W61" s="281"/>
      <c r="X61" s="281"/>
      <c r="Y61" s="281"/>
      <c r="Z61" s="282"/>
      <c r="AA61" s="280" t="s">
        <v>149</v>
      </c>
      <c r="AB61" s="281"/>
      <c r="AC61" s="281"/>
      <c r="AD61" s="281"/>
      <c r="AE61" s="281"/>
      <c r="AF61" s="281"/>
      <c r="AG61" s="281"/>
      <c r="AH61" s="282"/>
      <c r="AI61" s="280" t="s">
        <v>147</v>
      </c>
      <c r="AJ61" s="281"/>
      <c r="AK61" s="281"/>
      <c r="AL61" s="281"/>
      <c r="AM61" s="281"/>
      <c r="AN61" s="281"/>
      <c r="AO61" s="281"/>
      <c r="AP61" s="282"/>
      <c r="AQ61" s="280" t="s">
        <v>158</v>
      </c>
      <c r="AR61" s="281"/>
      <c r="AS61" s="281"/>
      <c r="AT61" s="281"/>
      <c r="AU61" s="281"/>
      <c r="AV61" s="281"/>
      <c r="AW61" s="281"/>
      <c r="AX61" s="282"/>
      <c r="AY61" s="280" t="s">
        <v>159</v>
      </c>
      <c r="AZ61" s="281"/>
      <c r="BA61" s="281"/>
      <c r="BB61" s="281"/>
      <c r="BC61" s="281"/>
      <c r="BD61" s="281"/>
      <c r="BE61" s="281"/>
      <c r="BF61" s="282"/>
      <c r="BG61" s="280" t="s">
        <v>205</v>
      </c>
      <c r="BH61" s="281"/>
      <c r="BI61" s="281"/>
      <c r="BJ61" s="281"/>
      <c r="BK61" s="281"/>
      <c r="BL61" s="281"/>
      <c r="BM61" s="281"/>
      <c r="BN61" s="282"/>
      <c r="BO61" s="292" t="s">
        <v>151</v>
      </c>
      <c r="BP61" s="293"/>
      <c r="BQ61" s="293"/>
      <c r="BR61" s="294"/>
      <c r="BS61" s="288" t="s">
        <v>153</v>
      </c>
      <c r="BT61" s="289"/>
      <c r="BU61" s="290" t="s">
        <v>156</v>
      </c>
    </row>
    <row r="62" spans="1:73" s="97" customFormat="1" ht="23.25" customHeight="1" thickBot="1" x14ac:dyDescent="0.3">
      <c r="A62" s="273"/>
      <c r="B62" s="273"/>
      <c r="C62" s="277"/>
      <c r="D62" s="122" t="s">
        <v>114</v>
      </c>
      <c r="E62" s="107" t="s">
        <v>115</v>
      </c>
      <c r="F62" s="107" t="s">
        <v>116</v>
      </c>
      <c r="G62" s="107" t="s">
        <v>114</v>
      </c>
      <c r="H62" s="107" t="s">
        <v>115</v>
      </c>
      <c r="I62" s="107" t="s">
        <v>116</v>
      </c>
      <c r="J62" s="287"/>
      <c r="K62" s="280" t="s">
        <v>17</v>
      </c>
      <c r="L62" s="281"/>
      <c r="M62" s="281"/>
      <c r="N62" s="282"/>
      <c r="O62" s="280" t="s">
        <v>18</v>
      </c>
      <c r="P62" s="281"/>
      <c r="Q62" s="281"/>
      <c r="R62" s="282"/>
      <c r="S62" s="280" t="s">
        <v>17</v>
      </c>
      <c r="T62" s="281"/>
      <c r="U62" s="281"/>
      <c r="V62" s="282"/>
      <c r="W62" s="280" t="s">
        <v>18</v>
      </c>
      <c r="X62" s="281"/>
      <c r="Y62" s="281"/>
      <c r="Z62" s="282"/>
      <c r="AA62" s="280" t="s">
        <v>17</v>
      </c>
      <c r="AB62" s="281"/>
      <c r="AC62" s="281"/>
      <c r="AD62" s="282"/>
      <c r="AE62" s="280" t="s">
        <v>18</v>
      </c>
      <c r="AF62" s="281"/>
      <c r="AG62" s="281"/>
      <c r="AH62" s="282"/>
      <c r="AI62" s="280" t="s">
        <v>17</v>
      </c>
      <c r="AJ62" s="281"/>
      <c r="AK62" s="281"/>
      <c r="AL62" s="282"/>
      <c r="AM62" s="280" t="s">
        <v>18</v>
      </c>
      <c r="AN62" s="281"/>
      <c r="AO62" s="281"/>
      <c r="AP62" s="282"/>
      <c r="AQ62" s="280" t="s">
        <v>17</v>
      </c>
      <c r="AR62" s="281"/>
      <c r="AS62" s="281"/>
      <c r="AT62" s="282"/>
      <c r="AU62" s="280" t="s">
        <v>18</v>
      </c>
      <c r="AV62" s="281"/>
      <c r="AW62" s="281"/>
      <c r="AX62" s="282"/>
      <c r="AY62" s="280" t="s">
        <v>17</v>
      </c>
      <c r="AZ62" s="281"/>
      <c r="BA62" s="281"/>
      <c r="BB62" s="282"/>
      <c r="BC62" s="280" t="s">
        <v>18</v>
      </c>
      <c r="BD62" s="281"/>
      <c r="BE62" s="281"/>
      <c r="BF62" s="282"/>
      <c r="BG62" s="280" t="s">
        <v>17</v>
      </c>
      <c r="BH62" s="281"/>
      <c r="BI62" s="281"/>
      <c r="BJ62" s="282"/>
      <c r="BK62" s="280" t="s">
        <v>18</v>
      </c>
      <c r="BL62" s="281"/>
      <c r="BM62" s="281"/>
      <c r="BN62" s="282"/>
      <c r="BO62" s="295" t="s">
        <v>152</v>
      </c>
      <c r="BP62" s="296"/>
      <c r="BQ62" s="295" t="s">
        <v>26</v>
      </c>
      <c r="BR62" s="297"/>
      <c r="BS62" s="145" t="s">
        <v>154</v>
      </c>
      <c r="BT62" s="145" t="s">
        <v>155</v>
      </c>
      <c r="BU62" s="291"/>
    </row>
    <row r="63" spans="1:73" ht="30" x14ac:dyDescent="0.25">
      <c r="A63" s="102" t="s">
        <v>8</v>
      </c>
      <c r="B63" s="102" t="s">
        <v>84</v>
      </c>
      <c r="C63" s="121" t="s">
        <v>72</v>
      </c>
      <c r="D63" s="156" t="s">
        <v>106</v>
      </c>
      <c r="E63" s="156" t="s">
        <v>105</v>
      </c>
      <c r="F63" s="156" t="s">
        <v>104</v>
      </c>
      <c r="G63" s="110">
        <f>IF(D63=$A$76,$B$76,(IF(D63=$A$77,$B$77,IF(D63=$A$78,$B$78,$B$79))))</f>
        <v>0.33</v>
      </c>
      <c r="H63" s="110">
        <f t="shared" ref="H63:I72" si="41">IF(E63=$A$76,$B$76,(IF(E63=$A$77,$B$77,IF(E63=$A$78,$B$78,$B$79))))</f>
        <v>0.66</v>
      </c>
      <c r="I63" s="110">
        <f t="shared" si="41"/>
        <v>1</v>
      </c>
      <c r="J63" s="147">
        <f>G63*$D$90+H63*$D$91+I63*$D$92</f>
        <v>12.425000000000001</v>
      </c>
      <c r="K63" s="81">
        <v>0</v>
      </c>
      <c r="L63" s="83">
        <v>0.22000000000000003</v>
      </c>
      <c r="M63" s="83">
        <v>0.44</v>
      </c>
      <c r="N63" s="84">
        <v>0.55000000000000004</v>
      </c>
      <c r="O63" s="81">
        <v>0.06</v>
      </c>
      <c r="P63" s="83">
        <v>0.22000000000000003</v>
      </c>
      <c r="Q63" s="83">
        <v>0.44</v>
      </c>
      <c r="R63" s="84">
        <v>0.52</v>
      </c>
      <c r="S63" s="81">
        <v>0.44000000000000006</v>
      </c>
      <c r="T63" s="83">
        <v>0.55000000000000004</v>
      </c>
      <c r="U63" s="83">
        <v>0.77</v>
      </c>
      <c r="V63" s="84">
        <v>1</v>
      </c>
      <c r="W63" s="81">
        <v>0.47000000000000003</v>
      </c>
      <c r="X63" s="83">
        <v>0.55000000000000004</v>
      </c>
      <c r="Y63" s="83">
        <v>0.77</v>
      </c>
      <c r="Z63" s="84">
        <v>0.92</v>
      </c>
      <c r="AA63" s="81">
        <v>0.77</v>
      </c>
      <c r="AB63" s="83">
        <v>1</v>
      </c>
      <c r="AC63" s="83">
        <v>1</v>
      </c>
      <c r="AD63" s="84">
        <v>1</v>
      </c>
      <c r="AE63" s="81">
        <v>0.83</v>
      </c>
      <c r="AF63" s="83">
        <v>1</v>
      </c>
      <c r="AG63" s="83">
        <v>1</v>
      </c>
      <c r="AH63" s="84">
        <v>1</v>
      </c>
      <c r="AI63" s="185">
        <v>-0.33000000000000007</v>
      </c>
      <c r="AJ63" s="200">
        <v>1.5400000000000003</v>
      </c>
      <c r="AK63" s="200">
        <v>3.52</v>
      </c>
      <c r="AL63" s="186">
        <v>5.0600000000000005</v>
      </c>
      <c r="AM63" s="185">
        <v>0.19999999999999996</v>
      </c>
      <c r="AN63" s="200">
        <v>1.5400000000000003</v>
      </c>
      <c r="AO63" s="200">
        <v>3.52</v>
      </c>
      <c r="AP63" s="186">
        <v>4.6000000000000014</v>
      </c>
      <c r="AQ63" s="81">
        <v>2.2549999999999999</v>
      </c>
      <c r="AR63" s="83">
        <v>3.8500000000000005</v>
      </c>
      <c r="AS63" s="83">
        <v>6.16</v>
      </c>
      <c r="AT63" s="83">
        <v>9.1550000000000011</v>
      </c>
      <c r="AU63" s="81">
        <v>2.7399999999999993</v>
      </c>
      <c r="AV63" s="83">
        <v>3.8500000000000005</v>
      </c>
      <c r="AW63" s="83">
        <v>6.16</v>
      </c>
      <c r="AX63" s="84">
        <v>8.129999999999999</v>
      </c>
      <c r="AY63" s="81">
        <v>1.9649999999999999</v>
      </c>
      <c r="AZ63" s="83">
        <v>4.5</v>
      </c>
      <c r="BA63" s="83">
        <v>5.5</v>
      </c>
      <c r="BB63" s="83">
        <v>7</v>
      </c>
      <c r="BC63" s="81">
        <v>2.7349999999999994</v>
      </c>
      <c r="BD63" s="83">
        <v>4.5</v>
      </c>
      <c r="BE63" s="83">
        <v>5.5</v>
      </c>
      <c r="BF63" s="84">
        <v>6.5</v>
      </c>
      <c r="BG63" s="81">
        <f>AI63+AQ63+AY63</f>
        <v>3.8899999999999997</v>
      </c>
      <c r="BH63" s="83">
        <f t="shared" ref="BH63:BN72" si="42">AJ63+AR63+AZ63</f>
        <v>9.89</v>
      </c>
      <c r="BI63" s="83">
        <f t="shared" si="42"/>
        <v>15.18</v>
      </c>
      <c r="BJ63" s="83">
        <f t="shared" si="42"/>
        <v>21.215000000000003</v>
      </c>
      <c r="BK63" s="81">
        <f t="shared" si="42"/>
        <v>5.6749999999999989</v>
      </c>
      <c r="BL63" s="83">
        <f t="shared" si="42"/>
        <v>9.89</v>
      </c>
      <c r="BM63" s="83">
        <f t="shared" si="42"/>
        <v>15.18</v>
      </c>
      <c r="BN63" s="83">
        <f t="shared" si="42"/>
        <v>19.23</v>
      </c>
      <c r="BO63" s="136">
        <f>BO$8*BH63+(1-BO$8)*BG63</f>
        <v>8.6900000000000013</v>
      </c>
      <c r="BP63" s="142">
        <f>BO$8*BI63+(1-BO$8)*BJ63</f>
        <v>16.387</v>
      </c>
      <c r="BQ63" s="136">
        <f>BO$8*BL63+(1-BO$8)*BK63</f>
        <v>9.0470000000000006</v>
      </c>
      <c r="BR63" s="137">
        <f>BO$8*BM63+(1-BO$8)*BN63</f>
        <v>15.989999999999998</v>
      </c>
      <c r="BS63" s="81">
        <f>(BO63+BP63)/2</f>
        <v>12.538500000000001</v>
      </c>
      <c r="BT63" s="84">
        <f>(BQ63+BR63)/2</f>
        <v>12.5185</v>
      </c>
      <c r="BU63" s="133">
        <f>(BS63+BT63)/2</f>
        <v>12.528500000000001</v>
      </c>
    </row>
    <row r="64" spans="1:73" x14ac:dyDescent="0.25">
      <c r="A64" s="102" t="s">
        <v>9</v>
      </c>
      <c r="B64" s="102" t="s">
        <v>73</v>
      </c>
      <c r="C64" s="121" t="s">
        <v>88</v>
      </c>
      <c r="D64" s="156" t="s">
        <v>106</v>
      </c>
      <c r="E64" s="156" t="s">
        <v>106</v>
      </c>
      <c r="F64" s="156" t="s">
        <v>105</v>
      </c>
      <c r="G64" s="110">
        <f t="shared" ref="G64:G72" si="43">IF(D64=$A$76,$B$76,(IF(D64=$A$77,$B$77,IF(D64=$A$78,$B$78,$B$79))))</f>
        <v>0.33</v>
      </c>
      <c r="H64" s="110">
        <f t="shared" si="41"/>
        <v>0.33</v>
      </c>
      <c r="I64" s="110">
        <f t="shared" si="41"/>
        <v>0.66</v>
      </c>
      <c r="J64" s="147">
        <f t="shared" ref="J64:J72" si="44">G64*$D$90+H64*$D$91+I64*$D$92</f>
        <v>8.25</v>
      </c>
      <c r="K64" s="87">
        <v>0</v>
      </c>
      <c r="L64">
        <v>0.22000000000000003</v>
      </c>
      <c r="M64">
        <v>0.44</v>
      </c>
      <c r="N64" s="88">
        <v>0.55000000000000004</v>
      </c>
      <c r="O64" s="87">
        <v>0.06</v>
      </c>
      <c r="P64">
        <v>0.22000000000000003</v>
      </c>
      <c r="Q64">
        <v>0.44</v>
      </c>
      <c r="R64" s="88">
        <v>0.52</v>
      </c>
      <c r="S64" s="87">
        <v>0</v>
      </c>
      <c r="T64">
        <v>0.22000000000000003</v>
      </c>
      <c r="U64">
        <v>0.44</v>
      </c>
      <c r="V64" s="88">
        <v>0.55000000000000004</v>
      </c>
      <c r="W64" s="87">
        <v>0.06</v>
      </c>
      <c r="X64">
        <v>0.22000000000000003</v>
      </c>
      <c r="Y64">
        <v>0.44</v>
      </c>
      <c r="Z64" s="88">
        <v>0.52</v>
      </c>
      <c r="AA64" s="87">
        <v>0.44000000000000006</v>
      </c>
      <c r="AB64">
        <v>0.55000000000000004</v>
      </c>
      <c r="AC64">
        <v>0.77</v>
      </c>
      <c r="AD64" s="88">
        <v>1</v>
      </c>
      <c r="AE64" s="87">
        <v>0.47000000000000003</v>
      </c>
      <c r="AF64">
        <v>0.55000000000000004</v>
      </c>
      <c r="AG64">
        <v>0.77</v>
      </c>
      <c r="AH64" s="88">
        <v>0.92</v>
      </c>
      <c r="AI64" s="187">
        <v>-0.33000000000000007</v>
      </c>
      <c r="AJ64" s="179">
        <v>1.5400000000000003</v>
      </c>
      <c r="AK64" s="179">
        <v>3.52</v>
      </c>
      <c r="AL64" s="188">
        <v>5.0600000000000005</v>
      </c>
      <c r="AM64" s="187">
        <v>0.19999999999999996</v>
      </c>
      <c r="AN64" s="179">
        <v>1.5400000000000003</v>
      </c>
      <c r="AO64" s="179">
        <v>3.52</v>
      </c>
      <c r="AP64" s="188">
        <v>4.6000000000000014</v>
      </c>
      <c r="AQ64" s="187">
        <v>-0.33000000000000007</v>
      </c>
      <c r="AR64" s="179">
        <v>1.5400000000000003</v>
      </c>
      <c r="AS64" s="179">
        <v>3.52</v>
      </c>
      <c r="AT64" s="179">
        <v>5.0600000000000005</v>
      </c>
      <c r="AU64" s="187">
        <v>0.19999999999999996</v>
      </c>
      <c r="AV64" s="179">
        <v>1.5400000000000003</v>
      </c>
      <c r="AW64" s="179">
        <v>3.52</v>
      </c>
      <c r="AX64" s="188">
        <v>4.6000000000000014</v>
      </c>
      <c r="AY64" s="87">
        <v>1.1550000000000002</v>
      </c>
      <c r="AZ64">
        <v>2.4750000000000001</v>
      </c>
      <c r="BA64">
        <v>4.2350000000000003</v>
      </c>
      <c r="BB64">
        <v>6.6550000000000002</v>
      </c>
      <c r="BC64" s="87">
        <v>1.5650000000000008</v>
      </c>
      <c r="BD64">
        <v>2.4750000000000001</v>
      </c>
      <c r="BE64">
        <v>4.2350000000000003</v>
      </c>
      <c r="BF64" s="88">
        <v>5.830000000000001</v>
      </c>
      <c r="BG64" s="87">
        <f t="shared" ref="BG64:BG72" si="45">AI64+AQ64+AY64</f>
        <v>0.49500000000000011</v>
      </c>
      <c r="BH64">
        <f t="shared" si="42"/>
        <v>5.5550000000000006</v>
      </c>
      <c r="BI64">
        <f t="shared" si="42"/>
        <v>11.275</v>
      </c>
      <c r="BJ64">
        <f t="shared" si="42"/>
        <v>16.775000000000002</v>
      </c>
      <c r="BK64" s="87">
        <f t="shared" si="42"/>
        <v>1.9650000000000007</v>
      </c>
      <c r="BL64">
        <f t="shared" si="42"/>
        <v>5.5550000000000006</v>
      </c>
      <c r="BM64">
        <f t="shared" si="42"/>
        <v>11.275</v>
      </c>
      <c r="BN64">
        <f t="shared" si="42"/>
        <v>15.030000000000005</v>
      </c>
      <c r="BO64" s="138">
        <f t="shared" ref="BO64:BO72" si="46">BO$8*BH64+(1-BO$8)*BG64</f>
        <v>4.543000000000001</v>
      </c>
      <c r="BP64" s="143">
        <f t="shared" ref="BP64:BP72" si="47">BO$8*BI64+(1-BO$8)*BJ64</f>
        <v>12.375</v>
      </c>
      <c r="BQ64" s="138">
        <f t="shared" ref="BQ64:BQ72" si="48">BO$8*BL64+(1-BO$8)*BK64</f>
        <v>4.8370000000000006</v>
      </c>
      <c r="BR64" s="139">
        <f t="shared" ref="BR64:BR72" si="49">BO$8*BM64+(1-BO$8)*BN64</f>
        <v>12.026000000000002</v>
      </c>
      <c r="BS64" s="87">
        <f t="shared" ref="BS64:BS72" si="50">(BO64+BP64)/2</f>
        <v>8.4589999999999996</v>
      </c>
      <c r="BT64" s="88">
        <f t="shared" ref="BT64:BT72" si="51">(BQ64+BR64)/2</f>
        <v>8.4315000000000015</v>
      </c>
      <c r="BU64" s="134">
        <f t="shared" ref="BU64:BU72" si="52">(BS64+BT64)/2</f>
        <v>8.4452500000000015</v>
      </c>
    </row>
    <row r="65" spans="1:73" x14ac:dyDescent="0.25">
      <c r="A65" s="102" t="s">
        <v>10</v>
      </c>
      <c r="B65" s="102" t="s">
        <v>74</v>
      </c>
      <c r="C65" s="121" t="s">
        <v>89</v>
      </c>
      <c r="D65" s="156" t="s">
        <v>105</v>
      </c>
      <c r="E65" s="156" t="s">
        <v>104</v>
      </c>
      <c r="F65" s="156" t="s">
        <v>105</v>
      </c>
      <c r="G65" s="110">
        <f t="shared" si="43"/>
        <v>0.66</v>
      </c>
      <c r="H65" s="110">
        <f t="shared" si="41"/>
        <v>1</v>
      </c>
      <c r="I65" s="110">
        <f t="shared" si="41"/>
        <v>0.66</v>
      </c>
      <c r="J65" s="147">
        <f t="shared" si="44"/>
        <v>15.75</v>
      </c>
      <c r="K65" s="87">
        <v>0.44000000000000006</v>
      </c>
      <c r="L65">
        <v>0.55000000000000004</v>
      </c>
      <c r="M65">
        <v>0.77</v>
      </c>
      <c r="N65" s="88">
        <v>1</v>
      </c>
      <c r="O65" s="87">
        <v>0.47000000000000003</v>
      </c>
      <c r="P65">
        <v>0.55000000000000004</v>
      </c>
      <c r="Q65">
        <v>0.77</v>
      </c>
      <c r="R65" s="88">
        <v>0.92</v>
      </c>
      <c r="S65" s="87">
        <v>0.77</v>
      </c>
      <c r="T65">
        <v>1</v>
      </c>
      <c r="U65">
        <v>1</v>
      </c>
      <c r="V65" s="88">
        <v>1</v>
      </c>
      <c r="W65" s="87">
        <v>0.83</v>
      </c>
      <c r="X65">
        <v>1</v>
      </c>
      <c r="Y65">
        <v>1</v>
      </c>
      <c r="Z65" s="88">
        <v>1</v>
      </c>
      <c r="AA65" s="87">
        <v>0.44000000000000006</v>
      </c>
      <c r="AB65">
        <v>0.55000000000000004</v>
      </c>
      <c r="AC65">
        <v>0.77</v>
      </c>
      <c r="AD65" s="88">
        <v>1</v>
      </c>
      <c r="AE65" s="87">
        <v>0.47000000000000003</v>
      </c>
      <c r="AF65">
        <v>0.55000000000000004</v>
      </c>
      <c r="AG65">
        <v>0.77</v>
      </c>
      <c r="AH65" s="88">
        <v>0.92</v>
      </c>
      <c r="AI65" s="87">
        <v>2.2549999999999999</v>
      </c>
      <c r="AJ65">
        <v>3.8500000000000005</v>
      </c>
      <c r="AK65">
        <v>6.16</v>
      </c>
      <c r="AL65" s="88">
        <v>9.1550000000000011</v>
      </c>
      <c r="AM65" s="87">
        <v>2.7399999999999993</v>
      </c>
      <c r="AN65">
        <v>3.8500000000000005</v>
      </c>
      <c r="AO65">
        <v>6.16</v>
      </c>
      <c r="AP65" s="88">
        <v>8.129999999999999</v>
      </c>
      <c r="AQ65" s="87">
        <v>3.8900000000000006</v>
      </c>
      <c r="AR65">
        <v>7</v>
      </c>
      <c r="AS65">
        <v>8</v>
      </c>
      <c r="AT65">
        <v>9.5</v>
      </c>
      <c r="AU65" s="87">
        <v>4.8099999999999987</v>
      </c>
      <c r="AV65">
        <v>7</v>
      </c>
      <c r="AW65">
        <v>8</v>
      </c>
      <c r="AX65" s="88">
        <v>9</v>
      </c>
      <c r="AY65" s="87">
        <v>1.1550000000000002</v>
      </c>
      <c r="AZ65">
        <v>2.4750000000000001</v>
      </c>
      <c r="BA65">
        <v>4.2350000000000003</v>
      </c>
      <c r="BB65">
        <v>6.6550000000000002</v>
      </c>
      <c r="BC65" s="87">
        <v>1.5650000000000008</v>
      </c>
      <c r="BD65">
        <v>2.4750000000000001</v>
      </c>
      <c r="BE65">
        <v>4.2350000000000003</v>
      </c>
      <c r="BF65" s="88">
        <v>5.830000000000001</v>
      </c>
      <c r="BG65" s="87">
        <f t="shared" si="45"/>
        <v>7.3000000000000007</v>
      </c>
      <c r="BH65">
        <f t="shared" si="42"/>
        <v>13.325000000000001</v>
      </c>
      <c r="BI65">
        <f t="shared" si="42"/>
        <v>18.395</v>
      </c>
      <c r="BJ65">
        <f t="shared" si="42"/>
        <v>25.310000000000002</v>
      </c>
      <c r="BK65" s="87">
        <f t="shared" si="42"/>
        <v>9.1149999999999984</v>
      </c>
      <c r="BL65">
        <f t="shared" si="42"/>
        <v>13.325000000000001</v>
      </c>
      <c r="BM65">
        <f t="shared" si="42"/>
        <v>18.395</v>
      </c>
      <c r="BN65">
        <f t="shared" si="42"/>
        <v>22.96</v>
      </c>
      <c r="BO65" s="138">
        <f t="shared" si="46"/>
        <v>12.120000000000001</v>
      </c>
      <c r="BP65" s="143">
        <f t="shared" si="47"/>
        <v>19.777999999999999</v>
      </c>
      <c r="BQ65" s="138">
        <f t="shared" si="48"/>
        <v>12.483000000000001</v>
      </c>
      <c r="BR65" s="139">
        <f t="shared" si="49"/>
        <v>19.308</v>
      </c>
      <c r="BS65" s="87">
        <f t="shared" si="50"/>
        <v>15.949</v>
      </c>
      <c r="BT65" s="88">
        <f t="shared" si="51"/>
        <v>15.8955</v>
      </c>
      <c r="BU65" s="134">
        <f t="shared" si="52"/>
        <v>15.92225</v>
      </c>
    </row>
    <row r="66" spans="1:73" x14ac:dyDescent="0.25">
      <c r="A66" s="102" t="s">
        <v>65</v>
      </c>
      <c r="B66" s="102" t="s">
        <v>75</v>
      </c>
      <c r="C66" s="121" t="s">
        <v>76</v>
      </c>
      <c r="D66" s="156" t="s">
        <v>104</v>
      </c>
      <c r="E66" s="156" t="s">
        <v>105</v>
      </c>
      <c r="F66" s="156" t="s">
        <v>106</v>
      </c>
      <c r="G66" s="110">
        <f t="shared" si="43"/>
        <v>1</v>
      </c>
      <c r="H66" s="110">
        <f t="shared" si="41"/>
        <v>0.66</v>
      </c>
      <c r="I66" s="110">
        <f t="shared" si="41"/>
        <v>0.33</v>
      </c>
      <c r="J66" s="147">
        <f t="shared" si="44"/>
        <v>14.1</v>
      </c>
      <c r="K66" s="87">
        <v>0.77</v>
      </c>
      <c r="L66">
        <v>1</v>
      </c>
      <c r="M66">
        <v>1</v>
      </c>
      <c r="N66" s="88">
        <v>1</v>
      </c>
      <c r="O66" s="87">
        <v>0.83</v>
      </c>
      <c r="P66">
        <v>1</v>
      </c>
      <c r="Q66">
        <v>1</v>
      </c>
      <c r="R66" s="88">
        <v>1</v>
      </c>
      <c r="S66" s="87">
        <v>0.44000000000000006</v>
      </c>
      <c r="T66">
        <v>0.55000000000000004</v>
      </c>
      <c r="U66">
        <v>0.77</v>
      </c>
      <c r="V66" s="88">
        <v>1</v>
      </c>
      <c r="W66" s="87">
        <v>0.47000000000000003</v>
      </c>
      <c r="X66">
        <v>0.55000000000000004</v>
      </c>
      <c r="Y66">
        <v>0.77</v>
      </c>
      <c r="Z66" s="88">
        <v>0.92</v>
      </c>
      <c r="AA66" s="87">
        <v>0</v>
      </c>
      <c r="AB66">
        <v>0.22000000000000003</v>
      </c>
      <c r="AC66">
        <v>0.44</v>
      </c>
      <c r="AD66" s="88">
        <v>0.55000000000000004</v>
      </c>
      <c r="AE66" s="87">
        <v>0.06</v>
      </c>
      <c r="AF66">
        <v>0.22000000000000003</v>
      </c>
      <c r="AG66">
        <v>0.44</v>
      </c>
      <c r="AH66" s="88">
        <v>0.52</v>
      </c>
      <c r="AI66" s="87">
        <v>3.8900000000000006</v>
      </c>
      <c r="AJ66">
        <v>7</v>
      </c>
      <c r="AK66">
        <v>8</v>
      </c>
      <c r="AL66" s="88">
        <v>9.5</v>
      </c>
      <c r="AM66" s="87">
        <v>4.8099999999999987</v>
      </c>
      <c r="AN66">
        <v>7</v>
      </c>
      <c r="AO66">
        <v>8</v>
      </c>
      <c r="AP66" s="88">
        <v>9</v>
      </c>
      <c r="AQ66" s="87">
        <v>2.2549999999999999</v>
      </c>
      <c r="AR66">
        <v>3.8500000000000005</v>
      </c>
      <c r="AS66">
        <v>6.16</v>
      </c>
      <c r="AT66">
        <v>9.1550000000000011</v>
      </c>
      <c r="AU66" s="87">
        <v>2.7399999999999993</v>
      </c>
      <c r="AV66">
        <v>3.8500000000000005</v>
      </c>
      <c r="AW66">
        <v>6.16</v>
      </c>
      <c r="AX66" s="88">
        <v>8.129999999999999</v>
      </c>
      <c r="AY66" s="187">
        <v>-0.32999999999999996</v>
      </c>
      <c r="AZ66" s="179">
        <v>0.9900000000000001</v>
      </c>
      <c r="BA66" s="179">
        <v>2.42</v>
      </c>
      <c r="BB66" s="179">
        <v>3.6850000000000005</v>
      </c>
      <c r="BC66" s="187">
        <v>4.9999999999999933E-2</v>
      </c>
      <c r="BD66" s="179">
        <v>0.9900000000000001</v>
      </c>
      <c r="BE66" s="179">
        <v>2.42</v>
      </c>
      <c r="BF66" s="188">
        <v>3.3000000000000007</v>
      </c>
      <c r="BG66" s="87">
        <f t="shared" si="45"/>
        <v>5.8150000000000004</v>
      </c>
      <c r="BH66">
        <f t="shared" si="42"/>
        <v>11.840000000000002</v>
      </c>
      <c r="BI66">
        <f t="shared" si="42"/>
        <v>16.579999999999998</v>
      </c>
      <c r="BJ66">
        <f t="shared" si="42"/>
        <v>22.340000000000003</v>
      </c>
      <c r="BK66" s="87">
        <f t="shared" si="42"/>
        <v>7.5999999999999979</v>
      </c>
      <c r="BL66">
        <f t="shared" si="42"/>
        <v>11.840000000000002</v>
      </c>
      <c r="BM66">
        <f t="shared" si="42"/>
        <v>16.579999999999998</v>
      </c>
      <c r="BN66">
        <f t="shared" si="42"/>
        <v>20.43</v>
      </c>
      <c r="BO66" s="138">
        <f t="shared" si="46"/>
        <v>10.635000000000002</v>
      </c>
      <c r="BP66" s="143">
        <f t="shared" si="47"/>
        <v>17.731999999999999</v>
      </c>
      <c r="BQ66" s="138">
        <f t="shared" si="48"/>
        <v>10.992000000000001</v>
      </c>
      <c r="BR66" s="139">
        <f t="shared" si="49"/>
        <v>17.349999999999998</v>
      </c>
      <c r="BS66" s="87">
        <f t="shared" si="50"/>
        <v>14.1835</v>
      </c>
      <c r="BT66" s="88">
        <f t="shared" si="51"/>
        <v>14.170999999999999</v>
      </c>
      <c r="BU66" s="134">
        <f t="shared" si="52"/>
        <v>14.177250000000001</v>
      </c>
    </row>
    <row r="67" spans="1:73" ht="30" x14ac:dyDescent="0.25">
      <c r="A67" s="102" t="s">
        <v>66</v>
      </c>
      <c r="B67" s="102" t="s">
        <v>77</v>
      </c>
      <c r="C67" s="121" t="s">
        <v>90</v>
      </c>
      <c r="D67" s="156" t="s">
        <v>105</v>
      </c>
      <c r="E67" s="156" t="s">
        <v>104</v>
      </c>
      <c r="F67" s="156" t="s">
        <v>105</v>
      </c>
      <c r="G67" s="110">
        <f t="shared" si="43"/>
        <v>0.66</v>
      </c>
      <c r="H67" s="110">
        <f t="shared" si="41"/>
        <v>1</v>
      </c>
      <c r="I67" s="110">
        <f t="shared" si="41"/>
        <v>0.66</v>
      </c>
      <c r="J67" s="147">
        <f t="shared" si="44"/>
        <v>15.75</v>
      </c>
      <c r="K67" s="87">
        <v>0.44000000000000006</v>
      </c>
      <c r="L67">
        <v>0.55000000000000004</v>
      </c>
      <c r="M67">
        <v>0.77</v>
      </c>
      <c r="N67" s="88">
        <v>1</v>
      </c>
      <c r="O67" s="87">
        <v>0.47000000000000003</v>
      </c>
      <c r="P67">
        <v>0.55000000000000004</v>
      </c>
      <c r="Q67">
        <v>0.77</v>
      </c>
      <c r="R67" s="88">
        <v>0.92</v>
      </c>
      <c r="S67" s="87">
        <v>0.77</v>
      </c>
      <c r="T67">
        <v>1</v>
      </c>
      <c r="U67">
        <v>1</v>
      </c>
      <c r="V67" s="88">
        <v>1</v>
      </c>
      <c r="W67" s="87">
        <v>0.83</v>
      </c>
      <c r="X67">
        <v>1</v>
      </c>
      <c r="Y67">
        <v>1</v>
      </c>
      <c r="Z67" s="88">
        <v>1</v>
      </c>
      <c r="AA67" s="87">
        <v>0.44000000000000006</v>
      </c>
      <c r="AB67">
        <v>0.55000000000000004</v>
      </c>
      <c r="AC67">
        <v>0.77</v>
      </c>
      <c r="AD67" s="88">
        <v>1</v>
      </c>
      <c r="AE67" s="87">
        <v>0.47000000000000003</v>
      </c>
      <c r="AF67">
        <v>0.55000000000000004</v>
      </c>
      <c r="AG67">
        <v>0.77</v>
      </c>
      <c r="AH67" s="88">
        <v>0.92</v>
      </c>
      <c r="AI67" s="87">
        <v>2.2549999999999999</v>
      </c>
      <c r="AJ67">
        <v>3.8500000000000005</v>
      </c>
      <c r="AK67">
        <v>6.16</v>
      </c>
      <c r="AL67" s="88">
        <v>9.1550000000000011</v>
      </c>
      <c r="AM67" s="87">
        <v>2.7399999999999993</v>
      </c>
      <c r="AN67">
        <v>3.8500000000000005</v>
      </c>
      <c r="AO67">
        <v>6.16</v>
      </c>
      <c r="AP67" s="88">
        <v>8.129999999999999</v>
      </c>
      <c r="AQ67" s="87">
        <v>3.8900000000000006</v>
      </c>
      <c r="AR67">
        <v>7</v>
      </c>
      <c r="AS67">
        <v>8</v>
      </c>
      <c r="AT67">
        <v>9.5</v>
      </c>
      <c r="AU67" s="87">
        <v>4.8099999999999987</v>
      </c>
      <c r="AV67">
        <v>7</v>
      </c>
      <c r="AW67">
        <v>8</v>
      </c>
      <c r="AX67" s="88">
        <v>9</v>
      </c>
      <c r="AY67" s="87">
        <v>1.1550000000000002</v>
      </c>
      <c r="AZ67">
        <v>2.4750000000000001</v>
      </c>
      <c r="BA67">
        <v>4.2350000000000003</v>
      </c>
      <c r="BB67">
        <v>6.6550000000000002</v>
      </c>
      <c r="BC67" s="87">
        <v>1.5650000000000008</v>
      </c>
      <c r="BD67">
        <v>2.4750000000000001</v>
      </c>
      <c r="BE67">
        <v>4.2350000000000003</v>
      </c>
      <c r="BF67" s="88">
        <v>5.830000000000001</v>
      </c>
      <c r="BG67" s="87">
        <f t="shared" si="45"/>
        <v>7.3000000000000007</v>
      </c>
      <c r="BH67">
        <f t="shared" si="42"/>
        <v>13.325000000000001</v>
      </c>
      <c r="BI67">
        <f t="shared" si="42"/>
        <v>18.395</v>
      </c>
      <c r="BJ67">
        <f t="shared" si="42"/>
        <v>25.310000000000002</v>
      </c>
      <c r="BK67" s="87">
        <f t="shared" si="42"/>
        <v>9.1149999999999984</v>
      </c>
      <c r="BL67">
        <f t="shared" si="42"/>
        <v>13.325000000000001</v>
      </c>
      <c r="BM67">
        <f t="shared" si="42"/>
        <v>18.395</v>
      </c>
      <c r="BN67">
        <f t="shared" si="42"/>
        <v>22.96</v>
      </c>
      <c r="BO67" s="138">
        <f t="shared" si="46"/>
        <v>12.120000000000001</v>
      </c>
      <c r="BP67" s="143">
        <f t="shared" si="47"/>
        <v>19.777999999999999</v>
      </c>
      <c r="BQ67" s="138">
        <f t="shared" si="48"/>
        <v>12.483000000000001</v>
      </c>
      <c r="BR67" s="139">
        <f t="shared" si="49"/>
        <v>19.308</v>
      </c>
      <c r="BS67" s="87">
        <f t="shared" si="50"/>
        <v>15.949</v>
      </c>
      <c r="BT67" s="88">
        <f t="shared" si="51"/>
        <v>15.8955</v>
      </c>
      <c r="BU67" s="134">
        <f t="shared" si="52"/>
        <v>15.92225</v>
      </c>
    </row>
    <row r="68" spans="1:73" x14ac:dyDescent="0.25">
      <c r="A68" s="102" t="s">
        <v>67</v>
      </c>
      <c r="B68" s="102" t="s">
        <v>78</v>
      </c>
      <c r="C68" s="121" t="s">
        <v>91</v>
      </c>
      <c r="D68" s="156" t="s">
        <v>104</v>
      </c>
      <c r="E68" s="156" t="s">
        <v>105</v>
      </c>
      <c r="F68" s="156" t="s">
        <v>106</v>
      </c>
      <c r="G68" s="110">
        <f t="shared" si="43"/>
        <v>1</v>
      </c>
      <c r="H68" s="110">
        <f t="shared" si="41"/>
        <v>0.66</v>
      </c>
      <c r="I68" s="110">
        <f t="shared" si="41"/>
        <v>0.33</v>
      </c>
      <c r="J68" s="147">
        <f t="shared" si="44"/>
        <v>14.1</v>
      </c>
      <c r="K68" s="87">
        <v>0.77</v>
      </c>
      <c r="L68">
        <v>1</v>
      </c>
      <c r="M68">
        <v>1</v>
      </c>
      <c r="N68" s="88">
        <v>1</v>
      </c>
      <c r="O68" s="87">
        <v>0.83</v>
      </c>
      <c r="P68">
        <v>1</v>
      </c>
      <c r="Q68">
        <v>1</v>
      </c>
      <c r="R68" s="88">
        <v>1</v>
      </c>
      <c r="S68" s="87">
        <v>0.44000000000000006</v>
      </c>
      <c r="T68">
        <v>0.55000000000000004</v>
      </c>
      <c r="U68">
        <v>0.77</v>
      </c>
      <c r="V68" s="88">
        <v>1</v>
      </c>
      <c r="W68" s="87">
        <v>0.47000000000000003</v>
      </c>
      <c r="X68">
        <v>0.55000000000000004</v>
      </c>
      <c r="Y68">
        <v>0.77</v>
      </c>
      <c r="Z68" s="88">
        <v>0.92</v>
      </c>
      <c r="AA68" s="87">
        <v>0</v>
      </c>
      <c r="AB68">
        <v>0.22000000000000003</v>
      </c>
      <c r="AC68">
        <v>0.44</v>
      </c>
      <c r="AD68" s="88">
        <v>0.55000000000000004</v>
      </c>
      <c r="AE68" s="87">
        <v>0.06</v>
      </c>
      <c r="AF68">
        <v>0.22000000000000003</v>
      </c>
      <c r="AG68">
        <v>0.44</v>
      </c>
      <c r="AH68" s="88">
        <v>0.52</v>
      </c>
      <c r="AI68" s="87">
        <v>3.8900000000000006</v>
      </c>
      <c r="AJ68">
        <v>7</v>
      </c>
      <c r="AK68">
        <v>8</v>
      </c>
      <c r="AL68" s="88">
        <v>9.5</v>
      </c>
      <c r="AM68" s="87">
        <v>4.8099999999999987</v>
      </c>
      <c r="AN68">
        <v>7</v>
      </c>
      <c r="AO68">
        <v>8</v>
      </c>
      <c r="AP68" s="88">
        <v>9</v>
      </c>
      <c r="AQ68" s="87">
        <v>2.2549999999999999</v>
      </c>
      <c r="AR68">
        <v>3.8500000000000005</v>
      </c>
      <c r="AS68">
        <v>6.16</v>
      </c>
      <c r="AT68">
        <v>9.1550000000000011</v>
      </c>
      <c r="AU68" s="87">
        <v>2.7399999999999993</v>
      </c>
      <c r="AV68">
        <v>3.8500000000000005</v>
      </c>
      <c r="AW68">
        <v>6.16</v>
      </c>
      <c r="AX68" s="88">
        <v>8.129999999999999</v>
      </c>
      <c r="AY68" s="187">
        <v>-0.32999999999999996</v>
      </c>
      <c r="AZ68" s="179">
        <v>0.9900000000000001</v>
      </c>
      <c r="BA68" s="179">
        <v>2.42</v>
      </c>
      <c r="BB68" s="179">
        <v>3.6850000000000005</v>
      </c>
      <c r="BC68" s="187">
        <v>4.9999999999999933E-2</v>
      </c>
      <c r="BD68" s="179">
        <v>0.9900000000000001</v>
      </c>
      <c r="BE68" s="179">
        <v>2.42</v>
      </c>
      <c r="BF68" s="188">
        <v>3.3000000000000007</v>
      </c>
      <c r="BG68" s="87">
        <f t="shared" si="45"/>
        <v>5.8150000000000004</v>
      </c>
      <c r="BH68">
        <f t="shared" si="42"/>
        <v>11.840000000000002</v>
      </c>
      <c r="BI68">
        <f t="shared" si="42"/>
        <v>16.579999999999998</v>
      </c>
      <c r="BJ68">
        <f t="shared" si="42"/>
        <v>22.340000000000003</v>
      </c>
      <c r="BK68" s="87">
        <f t="shared" si="42"/>
        <v>7.5999999999999979</v>
      </c>
      <c r="BL68">
        <f t="shared" si="42"/>
        <v>11.840000000000002</v>
      </c>
      <c r="BM68">
        <f t="shared" si="42"/>
        <v>16.579999999999998</v>
      </c>
      <c r="BN68">
        <f t="shared" si="42"/>
        <v>20.43</v>
      </c>
      <c r="BO68" s="138">
        <f t="shared" si="46"/>
        <v>10.635000000000002</v>
      </c>
      <c r="BP68" s="143">
        <f t="shared" si="47"/>
        <v>17.731999999999999</v>
      </c>
      <c r="BQ68" s="138">
        <f t="shared" si="48"/>
        <v>10.992000000000001</v>
      </c>
      <c r="BR68" s="139">
        <f t="shared" si="49"/>
        <v>17.349999999999998</v>
      </c>
      <c r="BS68" s="87">
        <f t="shared" si="50"/>
        <v>14.1835</v>
      </c>
      <c r="BT68" s="88">
        <f t="shared" si="51"/>
        <v>14.170999999999999</v>
      </c>
      <c r="BU68" s="134">
        <f t="shared" si="52"/>
        <v>14.177250000000001</v>
      </c>
    </row>
    <row r="69" spans="1:73" ht="30" x14ac:dyDescent="0.25">
      <c r="A69" s="102" t="s">
        <v>68</v>
      </c>
      <c r="B69" s="102" t="s">
        <v>79</v>
      </c>
      <c r="C69" s="121" t="s">
        <v>92</v>
      </c>
      <c r="D69" s="156" t="s">
        <v>104</v>
      </c>
      <c r="E69" s="156" t="s">
        <v>105</v>
      </c>
      <c r="F69" s="156" t="s">
        <v>106</v>
      </c>
      <c r="G69" s="110">
        <f t="shared" si="43"/>
        <v>1</v>
      </c>
      <c r="H69" s="110">
        <f t="shared" si="41"/>
        <v>0.66</v>
      </c>
      <c r="I69" s="110">
        <f t="shared" si="41"/>
        <v>0.33</v>
      </c>
      <c r="J69" s="147">
        <f t="shared" si="44"/>
        <v>14.1</v>
      </c>
      <c r="K69" s="87">
        <v>0.77</v>
      </c>
      <c r="L69">
        <v>1</v>
      </c>
      <c r="M69">
        <v>1</v>
      </c>
      <c r="N69" s="88">
        <v>1</v>
      </c>
      <c r="O69" s="87">
        <v>0.83</v>
      </c>
      <c r="P69">
        <v>1</v>
      </c>
      <c r="Q69">
        <v>1</v>
      </c>
      <c r="R69" s="88">
        <v>1</v>
      </c>
      <c r="S69" s="87">
        <v>0.44000000000000006</v>
      </c>
      <c r="T69">
        <v>0.55000000000000004</v>
      </c>
      <c r="U69">
        <v>0.77</v>
      </c>
      <c r="V69" s="88">
        <v>1</v>
      </c>
      <c r="W69" s="87">
        <v>0.47000000000000003</v>
      </c>
      <c r="X69">
        <v>0.55000000000000004</v>
      </c>
      <c r="Y69">
        <v>0.77</v>
      </c>
      <c r="Z69" s="88">
        <v>0.92</v>
      </c>
      <c r="AA69" s="87">
        <v>0</v>
      </c>
      <c r="AB69">
        <v>0.22000000000000003</v>
      </c>
      <c r="AC69">
        <v>0.44</v>
      </c>
      <c r="AD69" s="88">
        <v>0.55000000000000004</v>
      </c>
      <c r="AE69" s="87">
        <v>0.06</v>
      </c>
      <c r="AF69">
        <v>0.22000000000000003</v>
      </c>
      <c r="AG69">
        <v>0.44</v>
      </c>
      <c r="AH69" s="88">
        <v>0.52</v>
      </c>
      <c r="AI69" s="87">
        <v>3.8900000000000006</v>
      </c>
      <c r="AJ69">
        <v>7</v>
      </c>
      <c r="AK69">
        <v>8</v>
      </c>
      <c r="AL69" s="88">
        <v>9.5</v>
      </c>
      <c r="AM69" s="87">
        <v>4.8099999999999987</v>
      </c>
      <c r="AN69">
        <v>7</v>
      </c>
      <c r="AO69">
        <v>8</v>
      </c>
      <c r="AP69" s="88">
        <v>9</v>
      </c>
      <c r="AQ69" s="87">
        <v>2.2549999999999999</v>
      </c>
      <c r="AR69">
        <v>3.8500000000000005</v>
      </c>
      <c r="AS69">
        <v>6.16</v>
      </c>
      <c r="AT69">
        <v>9.1550000000000011</v>
      </c>
      <c r="AU69" s="87">
        <v>2.7399999999999993</v>
      </c>
      <c r="AV69">
        <v>3.8500000000000005</v>
      </c>
      <c r="AW69">
        <v>6.16</v>
      </c>
      <c r="AX69" s="88">
        <v>8.129999999999999</v>
      </c>
      <c r="AY69" s="187">
        <v>-0.32999999999999996</v>
      </c>
      <c r="AZ69" s="179">
        <v>0.9900000000000001</v>
      </c>
      <c r="BA69" s="179">
        <v>2.42</v>
      </c>
      <c r="BB69" s="179">
        <v>3.6850000000000005</v>
      </c>
      <c r="BC69" s="187">
        <v>4.9999999999999933E-2</v>
      </c>
      <c r="BD69" s="179">
        <v>0.9900000000000001</v>
      </c>
      <c r="BE69" s="179">
        <v>2.42</v>
      </c>
      <c r="BF69" s="188">
        <v>3.3000000000000007</v>
      </c>
      <c r="BG69" s="87">
        <f t="shared" si="45"/>
        <v>5.8150000000000004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87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138">
        <f t="shared" si="46"/>
        <v>10.635000000000002</v>
      </c>
      <c r="BP69" s="143">
        <f t="shared" si="47"/>
        <v>17.731999999999999</v>
      </c>
      <c r="BQ69" s="138">
        <f t="shared" si="48"/>
        <v>10.992000000000001</v>
      </c>
      <c r="BR69" s="139">
        <f t="shared" si="49"/>
        <v>17.349999999999998</v>
      </c>
      <c r="BS69" s="87">
        <f t="shared" si="50"/>
        <v>14.1835</v>
      </c>
      <c r="BT69" s="88">
        <f t="shared" si="51"/>
        <v>14.170999999999999</v>
      </c>
      <c r="BU69" s="134">
        <f t="shared" si="52"/>
        <v>14.177250000000001</v>
      </c>
    </row>
    <row r="70" spans="1:73" ht="30" x14ac:dyDescent="0.25">
      <c r="A70" s="102" t="s">
        <v>69</v>
      </c>
      <c r="B70" s="102" t="s">
        <v>80</v>
      </c>
      <c r="C70" s="121" t="s">
        <v>81</v>
      </c>
      <c r="D70" s="156" t="s">
        <v>105</v>
      </c>
      <c r="E70" s="156" t="s">
        <v>106</v>
      </c>
      <c r="F70" s="156" t="s">
        <v>104</v>
      </c>
      <c r="G70" s="110">
        <f t="shared" si="43"/>
        <v>0.66</v>
      </c>
      <c r="H70" s="110">
        <f t="shared" si="41"/>
        <v>0.33</v>
      </c>
      <c r="I70" s="110">
        <f t="shared" si="41"/>
        <v>1</v>
      </c>
      <c r="J70" s="147">
        <f t="shared" si="44"/>
        <v>12.425000000000001</v>
      </c>
      <c r="K70" s="87">
        <v>0.44000000000000006</v>
      </c>
      <c r="L70">
        <v>0.55000000000000004</v>
      </c>
      <c r="M70">
        <v>0.77</v>
      </c>
      <c r="N70" s="88">
        <v>1</v>
      </c>
      <c r="O70" s="87">
        <v>0.47000000000000003</v>
      </c>
      <c r="P70">
        <v>0.55000000000000004</v>
      </c>
      <c r="Q70">
        <v>0.77</v>
      </c>
      <c r="R70" s="88">
        <v>0.92</v>
      </c>
      <c r="S70" s="87">
        <v>0</v>
      </c>
      <c r="T70">
        <v>0.22000000000000003</v>
      </c>
      <c r="U70">
        <v>0.44</v>
      </c>
      <c r="V70" s="88">
        <v>0.55000000000000004</v>
      </c>
      <c r="W70" s="87">
        <v>0.06</v>
      </c>
      <c r="X70">
        <v>0.22000000000000003</v>
      </c>
      <c r="Y70">
        <v>0.44</v>
      </c>
      <c r="Z70" s="88">
        <v>0.52</v>
      </c>
      <c r="AA70" s="87">
        <v>0.77</v>
      </c>
      <c r="AB70">
        <v>1</v>
      </c>
      <c r="AC70">
        <v>1</v>
      </c>
      <c r="AD70" s="88">
        <v>1</v>
      </c>
      <c r="AE70" s="87">
        <v>0.83</v>
      </c>
      <c r="AF70">
        <v>1</v>
      </c>
      <c r="AG70">
        <v>1</v>
      </c>
      <c r="AH70" s="88">
        <v>1</v>
      </c>
      <c r="AI70" s="87">
        <v>2.2549999999999999</v>
      </c>
      <c r="AJ70">
        <v>3.8500000000000005</v>
      </c>
      <c r="AK70">
        <v>6.16</v>
      </c>
      <c r="AL70" s="88">
        <v>9.1550000000000011</v>
      </c>
      <c r="AM70" s="87">
        <v>2.7399999999999993</v>
      </c>
      <c r="AN70">
        <v>3.8500000000000005</v>
      </c>
      <c r="AO70">
        <v>6.16</v>
      </c>
      <c r="AP70" s="88">
        <v>8.129999999999999</v>
      </c>
      <c r="AQ70" s="187">
        <v>-0.33000000000000007</v>
      </c>
      <c r="AR70" s="179">
        <v>1.5400000000000003</v>
      </c>
      <c r="AS70" s="179">
        <v>3.52</v>
      </c>
      <c r="AT70" s="179">
        <v>5.0600000000000005</v>
      </c>
      <c r="AU70" s="187">
        <v>0.19999999999999996</v>
      </c>
      <c r="AV70" s="179">
        <v>1.5400000000000003</v>
      </c>
      <c r="AW70" s="179">
        <v>3.52</v>
      </c>
      <c r="AX70" s="188">
        <v>4.6000000000000014</v>
      </c>
      <c r="AY70" s="87">
        <v>1.9649999999999999</v>
      </c>
      <c r="AZ70">
        <v>4.5</v>
      </c>
      <c r="BA70">
        <v>5.5</v>
      </c>
      <c r="BB70">
        <v>7</v>
      </c>
      <c r="BC70" s="87">
        <v>2.7349999999999994</v>
      </c>
      <c r="BD70">
        <v>4.5</v>
      </c>
      <c r="BE70">
        <v>5.5</v>
      </c>
      <c r="BF70" s="88">
        <v>6.5</v>
      </c>
      <c r="BG70" s="87">
        <f t="shared" si="45"/>
        <v>3.8899999999999997</v>
      </c>
      <c r="BH70">
        <f t="shared" si="42"/>
        <v>9.89</v>
      </c>
      <c r="BI70">
        <f t="shared" si="42"/>
        <v>15.18</v>
      </c>
      <c r="BJ70">
        <f t="shared" si="42"/>
        <v>21.215000000000003</v>
      </c>
      <c r="BK70" s="87">
        <f t="shared" si="42"/>
        <v>5.6749999999999989</v>
      </c>
      <c r="BL70">
        <f t="shared" si="42"/>
        <v>9.89</v>
      </c>
      <c r="BM70">
        <f t="shared" si="42"/>
        <v>15.18</v>
      </c>
      <c r="BN70">
        <f t="shared" si="42"/>
        <v>19.23</v>
      </c>
      <c r="BO70" s="138">
        <f t="shared" si="46"/>
        <v>8.6900000000000013</v>
      </c>
      <c r="BP70" s="143">
        <f t="shared" si="47"/>
        <v>16.387</v>
      </c>
      <c r="BQ70" s="138">
        <f t="shared" si="48"/>
        <v>9.0470000000000006</v>
      </c>
      <c r="BR70" s="139">
        <f t="shared" si="49"/>
        <v>15.989999999999998</v>
      </c>
      <c r="BS70" s="87">
        <f t="shared" si="50"/>
        <v>12.538500000000001</v>
      </c>
      <c r="BT70" s="88">
        <f t="shared" si="51"/>
        <v>12.5185</v>
      </c>
      <c r="BU70" s="134">
        <f t="shared" si="52"/>
        <v>12.528500000000001</v>
      </c>
    </row>
    <row r="71" spans="1:73" ht="36.75" customHeight="1" x14ac:dyDescent="0.25">
      <c r="A71" s="102" t="s">
        <v>70</v>
      </c>
      <c r="B71" s="102" t="s">
        <v>82</v>
      </c>
      <c r="C71" s="121" t="s">
        <v>93</v>
      </c>
      <c r="D71" s="156" t="s">
        <v>106</v>
      </c>
      <c r="E71" s="156" t="s">
        <v>104</v>
      </c>
      <c r="F71" s="156" t="s">
        <v>105</v>
      </c>
      <c r="G71" s="110">
        <f t="shared" si="43"/>
        <v>0.33</v>
      </c>
      <c r="H71" s="110">
        <f t="shared" si="41"/>
        <v>1</v>
      </c>
      <c r="I71" s="110">
        <f t="shared" si="41"/>
        <v>0.66</v>
      </c>
      <c r="J71" s="147">
        <f t="shared" si="44"/>
        <v>13.275</v>
      </c>
      <c r="K71" s="87">
        <v>0</v>
      </c>
      <c r="L71">
        <v>0.22000000000000003</v>
      </c>
      <c r="M71">
        <v>0.44</v>
      </c>
      <c r="N71" s="88">
        <v>0.55000000000000004</v>
      </c>
      <c r="O71" s="87">
        <v>0.06</v>
      </c>
      <c r="P71">
        <v>0.22000000000000003</v>
      </c>
      <c r="Q71">
        <v>0.44</v>
      </c>
      <c r="R71" s="88">
        <v>0.52</v>
      </c>
      <c r="S71" s="87">
        <v>0.77</v>
      </c>
      <c r="T71">
        <v>1</v>
      </c>
      <c r="U71">
        <v>1</v>
      </c>
      <c r="V71" s="88">
        <v>1</v>
      </c>
      <c r="W71" s="87">
        <v>0.83</v>
      </c>
      <c r="X71">
        <v>1</v>
      </c>
      <c r="Y71">
        <v>1</v>
      </c>
      <c r="Z71" s="88">
        <v>1</v>
      </c>
      <c r="AA71" s="87">
        <v>0.44000000000000006</v>
      </c>
      <c r="AB71">
        <v>0.55000000000000004</v>
      </c>
      <c r="AC71">
        <v>0.77</v>
      </c>
      <c r="AD71" s="88">
        <v>1</v>
      </c>
      <c r="AE71" s="87">
        <v>0.47000000000000003</v>
      </c>
      <c r="AF71">
        <v>0.55000000000000004</v>
      </c>
      <c r="AG71">
        <v>0.77</v>
      </c>
      <c r="AH71" s="88">
        <v>0.92</v>
      </c>
      <c r="AI71" s="187">
        <v>-0.33000000000000007</v>
      </c>
      <c r="AJ71" s="179">
        <v>1.5400000000000003</v>
      </c>
      <c r="AK71" s="179">
        <v>3.52</v>
      </c>
      <c r="AL71" s="188">
        <v>5.0600000000000005</v>
      </c>
      <c r="AM71" s="187">
        <v>0.19999999999999996</v>
      </c>
      <c r="AN71" s="179">
        <v>1.5400000000000003</v>
      </c>
      <c r="AO71" s="179">
        <v>3.52</v>
      </c>
      <c r="AP71" s="188">
        <v>4.6000000000000014</v>
      </c>
      <c r="AQ71" s="87">
        <v>3.8900000000000006</v>
      </c>
      <c r="AR71">
        <v>7</v>
      </c>
      <c r="AS71">
        <v>8</v>
      </c>
      <c r="AT71">
        <v>9.5</v>
      </c>
      <c r="AU71" s="87">
        <v>4.8099999999999987</v>
      </c>
      <c r="AV71">
        <v>7</v>
      </c>
      <c r="AW71">
        <v>8</v>
      </c>
      <c r="AX71" s="88">
        <v>9</v>
      </c>
      <c r="AY71" s="87">
        <v>1.1550000000000002</v>
      </c>
      <c r="AZ71">
        <v>2.4750000000000001</v>
      </c>
      <c r="BA71">
        <v>4.2350000000000003</v>
      </c>
      <c r="BB71">
        <v>6.6550000000000002</v>
      </c>
      <c r="BC71" s="87">
        <v>1.5650000000000008</v>
      </c>
      <c r="BD71">
        <v>2.4750000000000001</v>
      </c>
      <c r="BE71">
        <v>4.2350000000000003</v>
      </c>
      <c r="BF71" s="88">
        <v>5.830000000000001</v>
      </c>
      <c r="BG71" s="87">
        <f t="shared" si="45"/>
        <v>4.7150000000000007</v>
      </c>
      <c r="BH71">
        <f t="shared" si="42"/>
        <v>11.015000000000001</v>
      </c>
      <c r="BI71">
        <f t="shared" si="42"/>
        <v>15.754999999999999</v>
      </c>
      <c r="BJ71">
        <f t="shared" si="42"/>
        <v>21.215</v>
      </c>
      <c r="BK71" s="87">
        <f t="shared" si="42"/>
        <v>6.5749999999999993</v>
      </c>
      <c r="BL71">
        <f t="shared" si="42"/>
        <v>11.015000000000001</v>
      </c>
      <c r="BM71">
        <f t="shared" si="42"/>
        <v>15.754999999999999</v>
      </c>
      <c r="BN71">
        <f t="shared" si="42"/>
        <v>19.430000000000003</v>
      </c>
      <c r="BO71" s="138">
        <f t="shared" si="46"/>
        <v>9.7550000000000008</v>
      </c>
      <c r="BP71" s="143">
        <f t="shared" si="47"/>
        <v>16.846999999999998</v>
      </c>
      <c r="BQ71" s="138">
        <f t="shared" si="48"/>
        <v>10.127000000000001</v>
      </c>
      <c r="BR71" s="139">
        <f t="shared" si="49"/>
        <v>16.489999999999998</v>
      </c>
      <c r="BS71" s="87">
        <f t="shared" si="50"/>
        <v>13.300999999999998</v>
      </c>
      <c r="BT71" s="88">
        <f t="shared" si="51"/>
        <v>13.308499999999999</v>
      </c>
      <c r="BU71" s="134">
        <f t="shared" si="52"/>
        <v>13.304749999999999</v>
      </c>
    </row>
    <row r="72" spans="1:73" ht="30.75" thickBot="1" x14ac:dyDescent="0.3">
      <c r="A72" s="102" t="s">
        <v>71</v>
      </c>
      <c r="B72" s="102" t="s">
        <v>83</v>
      </c>
      <c r="C72" s="121" t="s">
        <v>94</v>
      </c>
      <c r="D72" s="156" t="s">
        <v>106</v>
      </c>
      <c r="E72" s="156" t="s">
        <v>104</v>
      </c>
      <c r="F72" s="156" t="s">
        <v>105</v>
      </c>
      <c r="G72" s="110">
        <f t="shared" si="43"/>
        <v>0.33</v>
      </c>
      <c r="H72" s="110">
        <f t="shared" si="41"/>
        <v>1</v>
      </c>
      <c r="I72" s="110">
        <f t="shared" si="41"/>
        <v>0.66</v>
      </c>
      <c r="J72" s="147">
        <f t="shared" si="44"/>
        <v>13.275</v>
      </c>
      <c r="K72" s="91">
        <v>0</v>
      </c>
      <c r="L72" s="93">
        <v>0.22000000000000003</v>
      </c>
      <c r="M72" s="93">
        <v>0.44</v>
      </c>
      <c r="N72" s="94">
        <v>0.55000000000000004</v>
      </c>
      <c r="O72" s="91">
        <v>0.06</v>
      </c>
      <c r="P72" s="93">
        <v>0.22000000000000003</v>
      </c>
      <c r="Q72" s="93">
        <v>0.44</v>
      </c>
      <c r="R72" s="94">
        <v>0.52</v>
      </c>
      <c r="S72" s="91">
        <v>0.77</v>
      </c>
      <c r="T72" s="93">
        <v>1</v>
      </c>
      <c r="U72" s="93">
        <v>1</v>
      </c>
      <c r="V72" s="94">
        <v>1</v>
      </c>
      <c r="W72" s="91">
        <v>0.83</v>
      </c>
      <c r="X72" s="93">
        <v>1</v>
      </c>
      <c r="Y72" s="93">
        <v>1</v>
      </c>
      <c r="Z72" s="94">
        <v>1</v>
      </c>
      <c r="AA72" s="91">
        <v>0.44000000000000006</v>
      </c>
      <c r="AB72" s="93">
        <v>0.55000000000000004</v>
      </c>
      <c r="AC72" s="93">
        <v>0.77</v>
      </c>
      <c r="AD72" s="94">
        <v>1</v>
      </c>
      <c r="AE72" s="91">
        <v>0.47000000000000003</v>
      </c>
      <c r="AF72" s="93">
        <v>0.55000000000000004</v>
      </c>
      <c r="AG72" s="93">
        <v>0.77</v>
      </c>
      <c r="AH72" s="94">
        <v>0.92</v>
      </c>
      <c r="AI72" s="189">
        <v>-0.33000000000000007</v>
      </c>
      <c r="AJ72" s="201">
        <v>1.5400000000000003</v>
      </c>
      <c r="AK72" s="201">
        <v>3.52</v>
      </c>
      <c r="AL72" s="190">
        <v>5.0600000000000005</v>
      </c>
      <c r="AM72" s="189">
        <v>0.19999999999999996</v>
      </c>
      <c r="AN72" s="201">
        <v>1.5400000000000003</v>
      </c>
      <c r="AO72" s="201">
        <v>3.52</v>
      </c>
      <c r="AP72" s="190">
        <v>4.6000000000000014</v>
      </c>
      <c r="AQ72" s="91">
        <v>3.8900000000000006</v>
      </c>
      <c r="AR72" s="93">
        <v>7</v>
      </c>
      <c r="AS72" s="93">
        <v>8</v>
      </c>
      <c r="AT72" s="93">
        <v>9.5</v>
      </c>
      <c r="AU72" s="91">
        <v>4.8099999999999987</v>
      </c>
      <c r="AV72" s="93">
        <v>7</v>
      </c>
      <c r="AW72" s="93">
        <v>8</v>
      </c>
      <c r="AX72" s="94">
        <v>9</v>
      </c>
      <c r="AY72" s="91">
        <v>1.1550000000000002</v>
      </c>
      <c r="AZ72" s="93">
        <v>2.4750000000000001</v>
      </c>
      <c r="BA72" s="93">
        <v>4.2350000000000003</v>
      </c>
      <c r="BB72" s="93">
        <v>6.6550000000000002</v>
      </c>
      <c r="BC72" s="91">
        <v>1.5650000000000008</v>
      </c>
      <c r="BD72" s="93">
        <v>2.4750000000000001</v>
      </c>
      <c r="BE72" s="93">
        <v>4.2350000000000003</v>
      </c>
      <c r="BF72" s="94">
        <v>5.830000000000001</v>
      </c>
      <c r="BG72" s="91">
        <f t="shared" si="45"/>
        <v>4.7150000000000007</v>
      </c>
      <c r="BH72" s="93">
        <f t="shared" si="42"/>
        <v>11.015000000000001</v>
      </c>
      <c r="BI72" s="93">
        <f t="shared" si="42"/>
        <v>15.754999999999999</v>
      </c>
      <c r="BJ72" s="93">
        <f t="shared" si="42"/>
        <v>21.215</v>
      </c>
      <c r="BK72" s="91">
        <f t="shared" si="42"/>
        <v>6.5749999999999993</v>
      </c>
      <c r="BL72" s="93">
        <f t="shared" si="42"/>
        <v>11.015000000000001</v>
      </c>
      <c r="BM72" s="93">
        <f t="shared" si="42"/>
        <v>15.754999999999999</v>
      </c>
      <c r="BN72" s="93">
        <f t="shared" si="42"/>
        <v>19.430000000000003</v>
      </c>
      <c r="BO72" s="140">
        <f t="shared" si="46"/>
        <v>9.7550000000000008</v>
      </c>
      <c r="BP72" s="144">
        <f t="shared" si="47"/>
        <v>16.846999999999998</v>
      </c>
      <c r="BQ72" s="140">
        <f t="shared" si="48"/>
        <v>10.127000000000001</v>
      </c>
      <c r="BR72" s="141">
        <f t="shared" si="49"/>
        <v>16.489999999999998</v>
      </c>
      <c r="BS72" s="91">
        <f t="shared" si="50"/>
        <v>13.300999999999998</v>
      </c>
      <c r="BT72" s="94">
        <f t="shared" si="51"/>
        <v>13.308499999999999</v>
      </c>
      <c r="BU72" s="135">
        <f t="shared" si="52"/>
        <v>13.304749999999999</v>
      </c>
    </row>
    <row r="73" spans="1:73" x14ac:dyDescent="0.25">
      <c r="BF73" s="60"/>
      <c r="BG73" s="59"/>
      <c r="BH73" s="59"/>
      <c r="BI73" s="59"/>
      <c r="BJ73" s="59"/>
      <c r="BK73" s="59"/>
    </row>
    <row r="74" spans="1:73" x14ac:dyDescent="0.25">
      <c r="A74" s="1" t="s">
        <v>195</v>
      </c>
      <c r="B74" s="1"/>
    </row>
    <row r="75" spans="1:73" ht="15.75" thickBot="1" x14ac:dyDescent="0.3">
      <c r="A75" s="107" t="s">
        <v>103</v>
      </c>
      <c r="B75" s="108" t="s">
        <v>122</v>
      </c>
      <c r="E75" s="112" t="s">
        <v>17</v>
      </c>
      <c r="I75" t="s">
        <v>18</v>
      </c>
    </row>
    <row r="76" spans="1:73" x14ac:dyDescent="0.25">
      <c r="A76" s="106" t="s">
        <v>107</v>
      </c>
      <c r="B76" s="2">
        <v>0</v>
      </c>
      <c r="C76" s="79">
        <v>0</v>
      </c>
      <c r="D76" s="80" t="s">
        <v>107</v>
      </c>
      <c r="E76" s="81">
        <v>0</v>
      </c>
      <c r="F76" s="82">
        <f>C76</f>
        <v>0</v>
      </c>
      <c r="G76" s="83">
        <v>0</v>
      </c>
      <c r="H76" s="84">
        <v>0.22</v>
      </c>
      <c r="I76" s="85">
        <v>0</v>
      </c>
      <c r="J76" s="83">
        <f>F76</f>
        <v>0</v>
      </c>
      <c r="K76" s="83">
        <f>G76</f>
        <v>0</v>
      </c>
      <c r="L76" s="86">
        <v>0.15</v>
      </c>
    </row>
    <row r="77" spans="1:73" x14ac:dyDescent="0.25">
      <c r="A77" s="106" t="s">
        <v>106</v>
      </c>
      <c r="B77" s="2">
        <v>0.33</v>
      </c>
      <c r="C77" s="79">
        <v>0.33</v>
      </c>
      <c r="D77" s="80" t="s">
        <v>106</v>
      </c>
      <c r="E77" s="87">
        <v>0</v>
      </c>
      <c r="F77" s="111">
        <f>C77-0.11</f>
        <v>0.22000000000000003</v>
      </c>
      <c r="G77">
        <f>C77+0.11</f>
        <v>0.44</v>
      </c>
      <c r="H77" s="88">
        <f t="shared" ref="H77" si="53">G77+0.11</f>
        <v>0.55000000000000004</v>
      </c>
      <c r="I77" s="89">
        <v>0.06</v>
      </c>
      <c r="J77">
        <f t="shared" ref="J77:K79" si="54">F77</f>
        <v>0.22000000000000003</v>
      </c>
      <c r="K77">
        <f t="shared" si="54"/>
        <v>0.44</v>
      </c>
      <c r="L77" s="90">
        <f t="shared" ref="L77" si="55">K77+0.08</f>
        <v>0.52</v>
      </c>
    </row>
    <row r="78" spans="1:73" x14ac:dyDescent="0.25">
      <c r="A78" s="106" t="s">
        <v>105</v>
      </c>
      <c r="B78" s="2">
        <v>0.66</v>
      </c>
      <c r="C78" s="79">
        <v>0.66</v>
      </c>
      <c r="D78" s="80" t="s">
        <v>105</v>
      </c>
      <c r="E78" s="87">
        <f t="shared" ref="E78" si="56">F78-0.11</f>
        <v>0.44000000000000006</v>
      </c>
      <c r="F78" s="111">
        <f t="shared" ref="F78" si="57">C78-0.11</f>
        <v>0.55000000000000004</v>
      </c>
      <c r="G78">
        <f t="shared" ref="G78" si="58">C78+0.11</f>
        <v>0.77</v>
      </c>
      <c r="H78" s="88">
        <v>1</v>
      </c>
      <c r="I78" s="89">
        <f t="shared" ref="I78" si="59">J78-0.08</f>
        <v>0.47000000000000003</v>
      </c>
      <c r="J78">
        <f t="shared" si="54"/>
        <v>0.55000000000000004</v>
      </c>
      <c r="K78">
        <f t="shared" si="54"/>
        <v>0.77</v>
      </c>
      <c r="L78" s="90">
        <v>0.92</v>
      </c>
    </row>
    <row r="79" spans="1:73" ht="15.75" thickBot="1" x14ac:dyDescent="0.3">
      <c r="A79" s="106" t="s">
        <v>104</v>
      </c>
      <c r="B79" s="2">
        <v>1</v>
      </c>
      <c r="C79" s="79">
        <v>1</v>
      </c>
      <c r="D79" s="80" t="s">
        <v>104</v>
      </c>
      <c r="E79" s="91">
        <v>0.77</v>
      </c>
      <c r="F79" s="92">
        <v>1</v>
      </c>
      <c r="G79" s="93">
        <v>1</v>
      </c>
      <c r="H79" s="94">
        <v>1</v>
      </c>
      <c r="I79" s="95">
        <v>0.83</v>
      </c>
      <c r="J79" s="93">
        <f t="shared" si="54"/>
        <v>1</v>
      </c>
      <c r="K79" s="93">
        <f t="shared" si="54"/>
        <v>1</v>
      </c>
      <c r="L79" s="96">
        <v>1</v>
      </c>
    </row>
    <row r="80" spans="1:73" x14ac:dyDescent="0.25">
      <c r="A80" s="99"/>
    </row>
    <row r="81" spans="1:12" x14ac:dyDescent="0.25">
      <c r="A81" s="1" t="s">
        <v>196</v>
      </c>
    </row>
    <row r="82" spans="1:12" ht="15.75" thickBot="1" x14ac:dyDescent="0.3">
      <c r="A82" s="107" t="s">
        <v>103</v>
      </c>
      <c r="B82" s="108" t="s">
        <v>123</v>
      </c>
      <c r="E82" s="112" t="s">
        <v>17</v>
      </c>
      <c r="I82" t="s">
        <v>18</v>
      </c>
    </row>
    <row r="83" spans="1:12" x14ac:dyDescent="0.25">
      <c r="A83" s="106" t="s">
        <v>107</v>
      </c>
      <c r="B83" s="2">
        <v>1</v>
      </c>
      <c r="C83" s="79">
        <v>1</v>
      </c>
      <c r="D83" s="80" t="s">
        <v>107</v>
      </c>
      <c r="E83" s="81">
        <v>0</v>
      </c>
      <c r="F83" s="82">
        <v>0.5</v>
      </c>
      <c r="G83" s="83">
        <v>1.5</v>
      </c>
      <c r="H83" s="84">
        <v>2</v>
      </c>
      <c r="I83" s="85">
        <v>0</v>
      </c>
      <c r="J83" s="83">
        <f>F83</f>
        <v>0.5</v>
      </c>
      <c r="K83" s="83">
        <f>G83</f>
        <v>1.5</v>
      </c>
      <c r="L83" s="86">
        <v>1.8</v>
      </c>
    </row>
    <row r="84" spans="1:12" x14ac:dyDescent="0.25">
      <c r="A84" s="106" t="s">
        <v>106</v>
      </c>
      <c r="B84" s="2">
        <v>2.5</v>
      </c>
      <c r="C84" s="79">
        <v>2.5</v>
      </c>
      <c r="D84" s="80" t="s">
        <v>106</v>
      </c>
      <c r="E84" s="87">
        <v>1.5</v>
      </c>
      <c r="F84" s="111">
        <f>C84-0.5</f>
        <v>2</v>
      </c>
      <c r="G84">
        <f>C84+0.5</f>
        <v>3</v>
      </c>
      <c r="H84" s="88">
        <f t="shared" ref="H84:H86" si="60">G84+1.5</f>
        <v>4.5</v>
      </c>
      <c r="I84" s="89">
        <v>1.7</v>
      </c>
      <c r="J84">
        <f t="shared" ref="J84:K86" si="61">F84</f>
        <v>2</v>
      </c>
      <c r="K84">
        <f t="shared" si="61"/>
        <v>3</v>
      </c>
      <c r="L84" s="90">
        <f t="shared" ref="L84:L86" si="62">K84+1</f>
        <v>4</v>
      </c>
    </row>
    <row r="85" spans="1:12" x14ac:dyDescent="0.25">
      <c r="A85" s="106" t="s">
        <v>105</v>
      </c>
      <c r="B85" s="2">
        <v>5</v>
      </c>
      <c r="C85" s="79">
        <v>5</v>
      </c>
      <c r="D85" s="80" t="s">
        <v>105</v>
      </c>
      <c r="E85" s="87">
        <f t="shared" ref="E85:E86" si="63">F85-1.5</f>
        <v>3</v>
      </c>
      <c r="F85" s="111">
        <f>C85-0.5</f>
        <v>4.5</v>
      </c>
      <c r="G85">
        <f>C85+0.5</f>
        <v>5.5</v>
      </c>
      <c r="H85" s="88">
        <f t="shared" si="60"/>
        <v>7</v>
      </c>
      <c r="I85" s="89">
        <f t="shared" ref="I85:I86" si="64">J85-1</f>
        <v>3.5</v>
      </c>
      <c r="J85">
        <f t="shared" si="61"/>
        <v>4.5</v>
      </c>
      <c r="K85">
        <f t="shared" si="61"/>
        <v>5.5</v>
      </c>
      <c r="L85" s="90">
        <f t="shared" si="62"/>
        <v>6.5</v>
      </c>
    </row>
    <row r="86" spans="1:12" ht="15.75" thickBot="1" x14ac:dyDescent="0.3">
      <c r="A86" s="106" t="s">
        <v>104</v>
      </c>
      <c r="B86" s="2">
        <v>7.5</v>
      </c>
      <c r="C86" s="79">
        <v>7.5</v>
      </c>
      <c r="D86" s="80" t="s">
        <v>104</v>
      </c>
      <c r="E86" s="91">
        <f t="shared" si="63"/>
        <v>5.5</v>
      </c>
      <c r="F86" s="92">
        <f>C86-0.5</f>
        <v>7</v>
      </c>
      <c r="G86" s="93">
        <f>C86+0.5</f>
        <v>8</v>
      </c>
      <c r="H86" s="94">
        <f t="shared" si="60"/>
        <v>9.5</v>
      </c>
      <c r="I86" s="95">
        <f t="shared" si="64"/>
        <v>6</v>
      </c>
      <c r="J86" s="93">
        <f t="shared" si="61"/>
        <v>7</v>
      </c>
      <c r="K86" s="93">
        <f t="shared" si="61"/>
        <v>8</v>
      </c>
      <c r="L86" s="96">
        <f t="shared" si="62"/>
        <v>9</v>
      </c>
    </row>
    <row r="88" spans="1:12" ht="15.75" thickBot="1" x14ac:dyDescent="0.3">
      <c r="A88" s="1" t="s">
        <v>197</v>
      </c>
    </row>
    <row r="89" spans="1:12" ht="67.5" customHeight="1" thickBot="1" x14ac:dyDescent="0.3">
      <c r="A89" s="114" t="s">
        <v>117</v>
      </c>
      <c r="B89" s="113" t="s">
        <v>99</v>
      </c>
      <c r="C89" s="115" t="s">
        <v>108</v>
      </c>
      <c r="D89" s="116" t="s">
        <v>198</v>
      </c>
      <c r="E89" s="283" t="s">
        <v>126</v>
      </c>
      <c r="F89" s="284"/>
      <c r="G89" s="284"/>
      <c r="H89" s="284"/>
      <c r="I89" s="284"/>
      <c r="J89" s="284"/>
      <c r="K89" s="284"/>
      <c r="L89" s="285"/>
    </row>
    <row r="90" spans="1:12" x14ac:dyDescent="0.25">
      <c r="A90" s="125" t="s">
        <v>114</v>
      </c>
      <c r="B90" s="117" t="s">
        <v>100</v>
      </c>
      <c r="C90" s="118" t="s">
        <v>104</v>
      </c>
      <c r="D90" s="150">
        <v>7.5</v>
      </c>
      <c r="E90" s="87">
        <v>5.5</v>
      </c>
      <c r="F90" s="111">
        <v>7</v>
      </c>
      <c r="G90">
        <v>8</v>
      </c>
      <c r="H90" s="88">
        <v>9.5</v>
      </c>
      <c r="I90" s="89">
        <v>6</v>
      </c>
      <c r="J90">
        <v>7</v>
      </c>
      <c r="K90">
        <v>8</v>
      </c>
      <c r="L90" s="90">
        <v>9</v>
      </c>
    </row>
    <row r="91" spans="1:12" x14ac:dyDescent="0.25">
      <c r="A91" s="126" t="s">
        <v>115</v>
      </c>
      <c r="B91" s="104" t="s">
        <v>101</v>
      </c>
      <c r="C91" s="2" t="s">
        <v>104</v>
      </c>
      <c r="D91" s="150">
        <v>7.5</v>
      </c>
      <c r="E91" s="87">
        <v>5.5</v>
      </c>
      <c r="F91" s="111">
        <v>7</v>
      </c>
      <c r="G91">
        <v>8</v>
      </c>
      <c r="H91" s="88">
        <v>9.5</v>
      </c>
      <c r="I91" s="89">
        <v>6</v>
      </c>
      <c r="J91">
        <v>7</v>
      </c>
      <c r="K91">
        <v>8</v>
      </c>
      <c r="L91" s="90">
        <v>9</v>
      </c>
    </row>
    <row r="92" spans="1:12" ht="15.75" thickBot="1" x14ac:dyDescent="0.3">
      <c r="A92" s="127" t="s">
        <v>116</v>
      </c>
      <c r="B92" s="119" t="s">
        <v>102</v>
      </c>
      <c r="C92" s="120" t="s">
        <v>105</v>
      </c>
      <c r="D92" s="150">
        <v>5</v>
      </c>
      <c r="E92" s="91">
        <v>3</v>
      </c>
      <c r="F92" s="92">
        <v>4.5</v>
      </c>
      <c r="G92" s="93">
        <v>5.5</v>
      </c>
      <c r="H92" s="94">
        <v>7</v>
      </c>
      <c r="I92" s="95">
        <v>3.5</v>
      </c>
      <c r="J92" s="93">
        <v>4.5</v>
      </c>
      <c r="K92" s="93">
        <v>5.5</v>
      </c>
      <c r="L92" s="96">
        <v>6.5</v>
      </c>
    </row>
    <row r="94" spans="1:12" ht="15.75" thickBot="1" x14ac:dyDescent="0.3">
      <c r="A94" s="1" t="s">
        <v>199</v>
      </c>
    </row>
    <row r="95" spans="1:12" ht="30.75" thickBot="1" x14ac:dyDescent="0.3">
      <c r="A95" s="128" t="s">
        <v>132</v>
      </c>
      <c r="B95" s="129" t="s">
        <v>133</v>
      </c>
      <c r="E95" s="283" t="s">
        <v>134</v>
      </c>
      <c r="F95" s="284"/>
      <c r="G95" s="284"/>
      <c r="H95" s="284"/>
      <c r="I95" s="284"/>
      <c r="J95" s="284"/>
      <c r="K95" s="284"/>
      <c r="L95" s="285"/>
    </row>
    <row r="96" spans="1:12" x14ac:dyDescent="0.25">
      <c r="A96" s="125" t="s">
        <v>129</v>
      </c>
      <c r="B96" s="130" t="s">
        <v>107</v>
      </c>
      <c r="D96" s="133" t="s">
        <v>138</v>
      </c>
      <c r="E96" s="81">
        <f>E76*F$90+E$90*F76-F76*F$90</f>
        <v>0</v>
      </c>
      <c r="F96" s="83">
        <f>F76*F$90</f>
        <v>0</v>
      </c>
      <c r="G96" s="83">
        <f>G76*G$90</f>
        <v>0</v>
      </c>
      <c r="H96" s="84">
        <f>G76*H$90+G$90*H76-G76*G$90</f>
        <v>1.76</v>
      </c>
      <c r="I96" s="81">
        <f>I76*J$90+I$90*J76-J76*J$90</f>
        <v>0</v>
      </c>
      <c r="J96" s="83">
        <f>J76*J$90</f>
        <v>0</v>
      </c>
      <c r="K96" s="83">
        <f>K76*K$90</f>
        <v>0</v>
      </c>
      <c r="L96" s="84">
        <f>K76*L$90+K$90*L76-K76*K$90</f>
        <v>1.2</v>
      </c>
    </row>
    <row r="97" spans="1:67" x14ac:dyDescent="0.25">
      <c r="A97" s="126" t="s">
        <v>129</v>
      </c>
      <c r="B97" s="131" t="s">
        <v>106</v>
      </c>
      <c r="D97" s="134" t="s">
        <v>137</v>
      </c>
      <c r="E97" s="187">
        <f t="shared" ref="E97:E99" si="65">E77*F$90+E$90*F77-F77*F$90</f>
        <v>-0.33000000000000007</v>
      </c>
      <c r="F97" s="179">
        <f t="shared" ref="F97:G99" si="66">F77*F$90</f>
        <v>1.5400000000000003</v>
      </c>
      <c r="G97" s="179">
        <f t="shared" si="66"/>
        <v>3.52</v>
      </c>
      <c r="H97" s="188">
        <f t="shared" ref="H97:H99" si="67">G77*H$90+G$90*H77-G77*G$90</f>
        <v>5.0600000000000005</v>
      </c>
      <c r="I97" s="187">
        <f t="shared" ref="I97:I99" si="68">I77*J$90+I$90*J77-J77*J$90</f>
        <v>0.19999999999999996</v>
      </c>
      <c r="J97" s="179">
        <f t="shared" ref="J97:K99" si="69">J77*J$90</f>
        <v>1.5400000000000003</v>
      </c>
      <c r="K97" s="179">
        <f t="shared" si="69"/>
        <v>3.52</v>
      </c>
      <c r="L97" s="188">
        <f t="shared" ref="L97:L99" si="70">K77*L$90+K$90*L77-K77*K$90</f>
        <v>4.6000000000000014</v>
      </c>
    </row>
    <row r="98" spans="1:67" x14ac:dyDescent="0.25">
      <c r="A98" s="126" t="s">
        <v>129</v>
      </c>
      <c r="B98" s="131" t="s">
        <v>105</v>
      </c>
      <c r="D98" s="134" t="s">
        <v>136</v>
      </c>
      <c r="E98" s="87">
        <f t="shared" si="65"/>
        <v>2.2549999999999999</v>
      </c>
      <c r="F98">
        <f t="shared" si="66"/>
        <v>3.8500000000000005</v>
      </c>
      <c r="G98">
        <f t="shared" si="66"/>
        <v>6.16</v>
      </c>
      <c r="H98" s="88">
        <f t="shared" si="67"/>
        <v>9.1550000000000011</v>
      </c>
      <c r="I98" s="87">
        <f t="shared" si="68"/>
        <v>2.7399999999999993</v>
      </c>
      <c r="J98">
        <f t="shared" si="69"/>
        <v>3.8500000000000005</v>
      </c>
      <c r="K98">
        <f t="shared" si="69"/>
        <v>6.16</v>
      </c>
      <c r="L98" s="88">
        <f t="shared" si="70"/>
        <v>8.129999999999999</v>
      </c>
    </row>
    <row r="99" spans="1:67" ht="15.75" thickBot="1" x14ac:dyDescent="0.3">
      <c r="A99" s="127" t="s">
        <v>129</v>
      </c>
      <c r="B99" s="132" t="s">
        <v>104</v>
      </c>
      <c r="D99" s="135" t="s">
        <v>135</v>
      </c>
      <c r="E99" s="91">
        <f t="shared" si="65"/>
        <v>3.8900000000000006</v>
      </c>
      <c r="F99" s="93">
        <f t="shared" si="66"/>
        <v>7</v>
      </c>
      <c r="G99" s="93">
        <f t="shared" si="66"/>
        <v>8</v>
      </c>
      <c r="H99" s="94">
        <f t="shared" si="67"/>
        <v>9.5</v>
      </c>
      <c r="I99" s="91">
        <f t="shared" si="68"/>
        <v>4.8099999999999987</v>
      </c>
      <c r="J99" s="93">
        <f t="shared" si="69"/>
        <v>7</v>
      </c>
      <c r="K99" s="93">
        <f t="shared" si="69"/>
        <v>8</v>
      </c>
      <c r="L99" s="94">
        <f t="shared" si="70"/>
        <v>9</v>
      </c>
    </row>
    <row r="100" spans="1:67" x14ac:dyDescent="0.25">
      <c r="A100" s="125" t="s">
        <v>130</v>
      </c>
      <c r="B100" s="130" t="s">
        <v>107</v>
      </c>
      <c r="D100" s="133" t="s">
        <v>139</v>
      </c>
      <c r="E100" s="81">
        <f>E76*F$91+E$91*F76-F76*F$91</f>
        <v>0</v>
      </c>
      <c r="F100" s="83">
        <f>F76*F$91</f>
        <v>0</v>
      </c>
      <c r="G100" s="83">
        <f>G76*G$91</f>
        <v>0</v>
      </c>
      <c r="H100" s="84">
        <f>G76*H$91+G$91*H76-G76*G$91</f>
        <v>1.76</v>
      </c>
      <c r="I100" s="81">
        <f>I76*J$91+I$91*J76-J76*J$91</f>
        <v>0</v>
      </c>
      <c r="J100" s="83">
        <f>J76*J$91</f>
        <v>0</v>
      </c>
      <c r="K100" s="83">
        <f>K76*K$91</f>
        <v>0</v>
      </c>
      <c r="L100" s="84">
        <f>K76*L$91+K$91*L76-K76*K$91</f>
        <v>1.2</v>
      </c>
    </row>
    <row r="101" spans="1:67" x14ac:dyDescent="0.25">
      <c r="A101" s="126" t="s">
        <v>130</v>
      </c>
      <c r="B101" s="131" t="s">
        <v>106</v>
      </c>
      <c r="D101" s="134" t="s">
        <v>144</v>
      </c>
      <c r="E101" s="187">
        <f t="shared" ref="E101:E103" si="71">E77*F$91+E$91*F77-F77*F$91</f>
        <v>-0.33000000000000007</v>
      </c>
      <c r="F101" s="179">
        <f t="shared" ref="F101:G103" si="72">F77*F$91</f>
        <v>1.5400000000000003</v>
      </c>
      <c r="G101" s="179">
        <f t="shared" si="72"/>
        <v>3.52</v>
      </c>
      <c r="H101" s="188">
        <f t="shared" ref="H101:H103" si="73">G77*H$91+G$91*H77-G77*G$91</f>
        <v>5.0600000000000005</v>
      </c>
      <c r="I101" s="187">
        <f t="shared" ref="I101:I103" si="74">I77*J$91+I$91*J77-J77*J$91</f>
        <v>0.19999999999999996</v>
      </c>
      <c r="J101" s="179">
        <f t="shared" ref="J101:K103" si="75">J77*J$91</f>
        <v>1.5400000000000003</v>
      </c>
      <c r="K101" s="179">
        <f t="shared" si="75"/>
        <v>3.52</v>
      </c>
      <c r="L101" s="188">
        <f t="shared" ref="L101:L103" si="76">K77*L$91+K$91*L77-K77*K$91</f>
        <v>4.6000000000000014</v>
      </c>
    </row>
    <row r="102" spans="1:67" x14ac:dyDescent="0.25">
      <c r="A102" s="126" t="s">
        <v>130</v>
      </c>
      <c r="B102" s="131" t="s">
        <v>105</v>
      </c>
      <c r="D102" s="134" t="s">
        <v>145</v>
      </c>
      <c r="E102" s="87">
        <f t="shared" si="71"/>
        <v>2.2549999999999999</v>
      </c>
      <c r="F102">
        <f t="shared" si="72"/>
        <v>3.8500000000000005</v>
      </c>
      <c r="G102">
        <f t="shared" si="72"/>
        <v>6.16</v>
      </c>
      <c r="H102" s="88">
        <f t="shared" si="73"/>
        <v>9.1550000000000011</v>
      </c>
      <c r="I102" s="87">
        <f t="shared" si="74"/>
        <v>2.7399999999999993</v>
      </c>
      <c r="J102">
        <f t="shared" si="75"/>
        <v>3.8500000000000005</v>
      </c>
      <c r="K102">
        <f t="shared" si="75"/>
        <v>6.16</v>
      </c>
      <c r="L102" s="88">
        <f t="shared" si="76"/>
        <v>8.129999999999999</v>
      </c>
    </row>
    <row r="103" spans="1:67" ht="15.75" thickBot="1" x14ac:dyDescent="0.3">
      <c r="A103" s="127" t="s">
        <v>130</v>
      </c>
      <c r="B103" s="132" t="s">
        <v>104</v>
      </c>
      <c r="D103" s="135" t="s">
        <v>146</v>
      </c>
      <c r="E103" s="91">
        <f t="shared" si="71"/>
        <v>3.8900000000000006</v>
      </c>
      <c r="F103" s="93">
        <f t="shared" si="72"/>
        <v>7</v>
      </c>
      <c r="G103" s="93">
        <f t="shared" si="72"/>
        <v>8</v>
      </c>
      <c r="H103" s="94">
        <f t="shared" si="73"/>
        <v>9.5</v>
      </c>
      <c r="I103" s="91">
        <f t="shared" si="74"/>
        <v>4.8099999999999987</v>
      </c>
      <c r="J103" s="93">
        <f t="shared" si="75"/>
        <v>7</v>
      </c>
      <c r="K103" s="93">
        <f t="shared" si="75"/>
        <v>8</v>
      </c>
      <c r="L103" s="94">
        <f t="shared" si="76"/>
        <v>9</v>
      </c>
    </row>
    <row r="104" spans="1:67" x14ac:dyDescent="0.25">
      <c r="A104" s="125" t="s">
        <v>131</v>
      </c>
      <c r="B104" s="130" t="s">
        <v>107</v>
      </c>
      <c r="D104" s="133" t="s">
        <v>141</v>
      </c>
      <c r="E104" s="81">
        <f>E76*F$92+E$92*F76-F76*F$92</f>
        <v>0</v>
      </c>
      <c r="F104" s="83">
        <f>F76*F$92</f>
        <v>0</v>
      </c>
      <c r="G104" s="83">
        <f>G76*G$92</f>
        <v>0</v>
      </c>
      <c r="H104" s="84">
        <f>G76*H$92+G$92*H76-G76*G$92</f>
        <v>1.21</v>
      </c>
      <c r="I104" s="81">
        <f>I76*J$92+I$92*J76-J76*J$92</f>
        <v>0</v>
      </c>
      <c r="J104" s="83">
        <f>J76*J$92</f>
        <v>0</v>
      </c>
      <c r="K104" s="83">
        <f>K76*K$92</f>
        <v>0</v>
      </c>
      <c r="L104" s="84">
        <f>K76*L$92+K$92*L76-K76*K$92</f>
        <v>0.82499999999999996</v>
      </c>
    </row>
    <row r="105" spans="1:67" x14ac:dyDescent="0.25">
      <c r="A105" s="126" t="s">
        <v>131</v>
      </c>
      <c r="B105" s="131" t="s">
        <v>106</v>
      </c>
      <c r="D105" s="134" t="s">
        <v>140</v>
      </c>
      <c r="E105" s="187">
        <f t="shared" ref="E105:E107" si="77">E77*F$92+E$92*F77-F77*F$92</f>
        <v>-0.32999999999999996</v>
      </c>
      <c r="F105" s="179">
        <f t="shared" ref="F105:G107" si="78">F77*F$92</f>
        <v>0.9900000000000001</v>
      </c>
      <c r="G105" s="179">
        <f t="shared" si="78"/>
        <v>2.42</v>
      </c>
      <c r="H105" s="188">
        <f t="shared" ref="H105:H107" si="79">G77*H$92+G$92*H77-G77*G$92</f>
        <v>3.6850000000000005</v>
      </c>
      <c r="I105" s="187">
        <f t="shared" ref="I105:I107" si="80">I77*J$92+I$92*J77-J77*J$92</f>
        <v>4.9999999999999933E-2</v>
      </c>
      <c r="J105" s="179">
        <f t="shared" ref="J105:K107" si="81">J77*J$92</f>
        <v>0.9900000000000001</v>
      </c>
      <c r="K105" s="179">
        <f t="shared" si="81"/>
        <v>2.42</v>
      </c>
      <c r="L105" s="188">
        <f t="shared" ref="L105:L107" si="82">K77*L$92+K$92*L77-K77*K$92</f>
        <v>3.3000000000000007</v>
      </c>
    </row>
    <row r="106" spans="1:67" x14ac:dyDescent="0.25">
      <c r="A106" s="126" t="s">
        <v>131</v>
      </c>
      <c r="B106" s="131" t="s">
        <v>105</v>
      </c>
      <c r="D106" s="134" t="s">
        <v>142</v>
      </c>
      <c r="E106" s="87">
        <f t="shared" si="77"/>
        <v>1.1550000000000002</v>
      </c>
      <c r="F106">
        <f t="shared" si="78"/>
        <v>2.4750000000000001</v>
      </c>
      <c r="G106">
        <f t="shared" si="78"/>
        <v>4.2350000000000003</v>
      </c>
      <c r="H106" s="88">
        <f t="shared" si="79"/>
        <v>6.6550000000000002</v>
      </c>
      <c r="I106" s="87">
        <f t="shared" si="80"/>
        <v>1.5650000000000008</v>
      </c>
      <c r="J106">
        <f t="shared" si="81"/>
        <v>2.4750000000000001</v>
      </c>
      <c r="K106">
        <f t="shared" si="81"/>
        <v>4.2350000000000003</v>
      </c>
      <c r="L106" s="88">
        <f t="shared" si="82"/>
        <v>5.830000000000001</v>
      </c>
    </row>
    <row r="107" spans="1:67" ht="15.75" thickBot="1" x14ac:dyDescent="0.3">
      <c r="A107" s="127" t="s">
        <v>131</v>
      </c>
      <c r="B107" s="132" t="s">
        <v>104</v>
      </c>
      <c r="D107" s="135" t="s">
        <v>143</v>
      </c>
      <c r="E107" s="91">
        <f t="shared" si="77"/>
        <v>1.9649999999999999</v>
      </c>
      <c r="F107" s="93">
        <f t="shared" si="78"/>
        <v>4.5</v>
      </c>
      <c r="G107" s="93">
        <f t="shared" si="78"/>
        <v>5.5</v>
      </c>
      <c r="H107" s="94">
        <f t="shared" si="79"/>
        <v>7</v>
      </c>
      <c r="I107" s="91">
        <f t="shared" si="80"/>
        <v>2.7349999999999994</v>
      </c>
      <c r="J107" s="93">
        <f t="shared" si="81"/>
        <v>4.5</v>
      </c>
      <c r="K107" s="93">
        <f t="shared" si="81"/>
        <v>5.5</v>
      </c>
      <c r="L107" s="94">
        <f t="shared" si="82"/>
        <v>6.5</v>
      </c>
    </row>
    <row r="110" spans="1:67" ht="18.75" x14ac:dyDescent="0.3">
      <c r="A110" s="149" t="s">
        <v>162</v>
      </c>
      <c r="B110" s="99"/>
      <c r="C110" s="99"/>
    </row>
    <row r="111" spans="1:67" x14ac:dyDescent="0.25">
      <c r="A111" s="1" t="s">
        <v>110</v>
      </c>
      <c r="B111" s="99"/>
      <c r="C111" s="99"/>
    </row>
    <row r="112" spans="1:67" ht="15.75" thickBot="1" x14ac:dyDescent="0.3">
      <c r="A112" s="100" t="s">
        <v>169</v>
      </c>
      <c r="B112" s="99"/>
      <c r="C112" s="99"/>
      <c r="BO112">
        <v>0.8</v>
      </c>
    </row>
    <row r="113" spans="1:73" ht="86.25" customHeight="1" thickBot="1" x14ac:dyDescent="0.3">
      <c r="A113" s="273" t="s">
        <v>85</v>
      </c>
      <c r="B113" s="273" t="s">
        <v>86</v>
      </c>
      <c r="C113" s="277" t="s">
        <v>87</v>
      </c>
      <c r="D113" s="278" t="s">
        <v>127</v>
      </c>
      <c r="E113" s="279"/>
      <c r="F113" s="279"/>
      <c r="G113" s="279" t="s">
        <v>128</v>
      </c>
      <c r="H113" s="279"/>
      <c r="I113" s="279"/>
      <c r="J113" s="286" t="s">
        <v>157</v>
      </c>
      <c r="K113" s="280" t="s">
        <v>150</v>
      </c>
      <c r="L113" s="281"/>
      <c r="M113" s="281"/>
      <c r="N113" s="281"/>
      <c r="O113" s="281"/>
      <c r="P113" s="281"/>
      <c r="Q113" s="281"/>
      <c r="R113" s="282"/>
      <c r="S113" s="280" t="s">
        <v>148</v>
      </c>
      <c r="T113" s="281"/>
      <c r="U113" s="281"/>
      <c r="V113" s="281"/>
      <c r="W113" s="281"/>
      <c r="X113" s="281"/>
      <c r="Y113" s="281"/>
      <c r="Z113" s="282"/>
      <c r="AA113" s="280" t="s">
        <v>149</v>
      </c>
      <c r="AB113" s="281"/>
      <c r="AC113" s="281"/>
      <c r="AD113" s="281"/>
      <c r="AE113" s="281"/>
      <c r="AF113" s="281"/>
      <c r="AG113" s="281"/>
      <c r="AH113" s="282"/>
      <c r="AI113" s="280" t="s">
        <v>147</v>
      </c>
      <c r="AJ113" s="281"/>
      <c r="AK113" s="281"/>
      <c r="AL113" s="281"/>
      <c r="AM113" s="281"/>
      <c r="AN113" s="281"/>
      <c r="AO113" s="281"/>
      <c r="AP113" s="282"/>
      <c r="AQ113" s="280" t="s">
        <v>158</v>
      </c>
      <c r="AR113" s="281"/>
      <c r="AS113" s="281"/>
      <c r="AT113" s="281"/>
      <c r="AU113" s="281"/>
      <c r="AV113" s="281"/>
      <c r="AW113" s="281"/>
      <c r="AX113" s="282"/>
      <c r="AY113" s="280" t="s">
        <v>159</v>
      </c>
      <c r="AZ113" s="281"/>
      <c r="BA113" s="281"/>
      <c r="BB113" s="281"/>
      <c r="BC113" s="281"/>
      <c r="BD113" s="281"/>
      <c r="BE113" s="281"/>
      <c r="BF113" s="282"/>
      <c r="BG113" s="280" t="s">
        <v>205</v>
      </c>
      <c r="BH113" s="281"/>
      <c r="BI113" s="281"/>
      <c r="BJ113" s="281"/>
      <c r="BK113" s="281"/>
      <c r="BL113" s="281"/>
      <c r="BM113" s="281"/>
      <c r="BN113" s="282"/>
      <c r="BO113" s="292" t="s">
        <v>151</v>
      </c>
      <c r="BP113" s="293"/>
      <c r="BQ113" s="293"/>
      <c r="BR113" s="294"/>
      <c r="BS113" s="288" t="s">
        <v>153</v>
      </c>
      <c r="BT113" s="289"/>
      <c r="BU113" s="290" t="s">
        <v>156</v>
      </c>
    </row>
    <row r="114" spans="1:73" s="97" customFormat="1" ht="23.25" customHeight="1" thickBot="1" x14ac:dyDescent="0.3">
      <c r="A114" s="273"/>
      <c r="B114" s="273"/>
      <c r="C114" s="277"/>
      <c r="D114" s="122" t="s">
        <v>114</v>
      </c>
      <c r="E114" s="107" t="s">
        <v>115</v>
      </c>
      <c r="F114" s="107" t="s">
        <v>116</v>
      </c>
      <c r="G114" s="107" t="s">
        <v>114</v>
      </c>
      <c r="H114" s="107" t="s">
        <v>115</v>
      </c>
      <c r="I114" s="107" t="s">
        <v>116</v>
      </c>
      <c r="J114" s="287"/>
      <c r="K114" s="280" t="s">
        <v>17</v>
      </c>
      <c r="L114" s="281"/>
      <c r="M114" s="281"/>
      <c r="N114" s="282"/>
      <c r="O114" s="280" t="s">
        <v>18</v>
      </c>
      <c r="P114" s="281"/>
      <c r="Q114" s="281"/>
      <c r="R114" s="282"/>
      <c r="S114" s="280" t="s">
        <v>17</v>
      </c>
      <c r="T114" s="281"/>
      <c r="U114" s="281"/>
      <c r="V114" s="282"/>
      <c r="W114" s="280" t="s">
        <v>18</v>
      </c>
      <c r="X114" s="281"/>
      <c r="Y114" s="281"/>
      <c r="Z114" s="282"/>
      <c r="AA114" s="280" t="s">
        <v>17</v>
      </c>
      <c r="AB114" s="281"/>
      <c r="AC114" s="281"/>
      <c r="AD114" s="282"/>
      <c r="AE114" s="280" t="s">
        <v>18</v>
      </c>
      <c r="AF114" s="281"/>
      <c r="AG114" s="281"/>
      <c r="AH114" s="282"/>
      <c r="AI114" s="280" t="s">
        <v>17</v>
      </c>
      <c r="AJ114" s="281"/>
      <c r="AK114" s="281"/>
      <c r="AL114" s="282"/>
      <c r="AM114" s="280" t="s">
        <v>18</v>
      </c>
      <c r="AN114" s="281"/>
      <c r="AO114" s="281"/>
      <c r="AP114" s="282"/>
      <c r="AQ114" s="280" t="s">
        <v>17</v>
      </c>
      <c r="AR114" s="281"/>
      <c r="AS114" s="281"/>
      <c r="AT114" s="282"/>
      <c r="AU114" s="280" t="s">
        <v>18</v>
      </c>
      <c r="AV114" s="281"/>
      <c r="AW114" s="281"/>
      <c r="AX114" s="282"/>
      <c r="AY114" s="280" t="s">
        <v>17</v>
      </c>
      <c r="AZ114" s="281"/>
      <c r="BA114" s="281"/>
      <c r="BB114" s="282"/>
      <c r="BC114" s="280" t="s">
        <v>18</v>
      </c>
      <c r="BD114" s="281"/>
      <c r="BE114" s="281"/>
      <c r="BF114" s="282"/>
      <c r="BG114" s="280" t="s">
        <v>17</v>
      </c>
      <c r="BH114" s="281"/>
      <c r="BI114" s="281"/>
      <c r="BJ114" s="282"/>
      <c r="BK114" s="280" t="s">
        <v>18</v>
      </c>
      <c r="BL114" s="281"/>
      <c r="BM114" s="281"/>
      <c r="BN114" s="282"/>
      <c r="BO114" s="295" t="s">
        <v>152</v>
      </c>
      <c r="BP114" s="296"/>
      <c r="BQ114" s="295" t="s">
        <v>26</v>
      </c>
      <c r="BR114" s="297"/>
      <c r="BS114" s="145" t="s">
        <v>154</v>
      </c>
      <c r="BT114" s="145" t="s">
        <v>155</v>
      </c>
      <c r="BU114" s="291"/>
    </row>
    <row r="115" spans="1:73" ht="30" x14ac:dyDescent="0.25">
      <c r="A115" s="102" t="s">
        <v>8</v>
      </c>
      <c r="B115" s="102" t="s">
        <v>84</v>
      </c>
      <c r="C115" s="121" t="s">
        <v>72</v>
      </c>
      <c r="D115" s="156" t="s">
        <v>106</v>
      </c>
      <c r="E115" s="156" t="s">
        <v>105</v>
      </c>
      <c r="F115" s="156" t="s">
        <v>104</v>
      </c>
      <c r="G115" s="110">
        <f>IF(D115=$A$128,$B$128,(IF(D115=$A$129,$B$129,IF(D115=$A$130,$B$130,$B$131))))</f>
        <v>0.33</v>
      </c>
      <c r="H115" s="110">
        <f t="shared" ref="H115:I124" si="83">IF(E115=$A$128,$B$128,(IF(E115=$A$129,$B$129,IF(E115=$A$130,$B$130,$B$131))))</f>
        <v>0.66</v>
      </c>
      <c r="I115" s="110">
        <f t="shared" si="83"/>
        <v>1</v>
      </c>
      <c r="J115" s="147">
        <f>G115*$D$142+H115*$D$143+I115*$D$144</f>
        <v>11.625</v>
      </c>
      <c r="K115" s="81">
        <v>0</v>
      </c>
      <c r="L115" s="83">
        <v>0.22000000000000003</v>
      </c>
      <c r="M115" s="83">
        <v>0.44</v>
      </c>
      <c r="N115" s="84">
        <v>0.55000000000000004</v>
      </c>
      <c r="O115" s="81">
        <v>0.06</v>
      </c>
      <c r="P115" s="83">
        <v>0.22000000000000003</v>
      </c>
      <c r="Q115" s="83">
        <v>0.44</v>
      </c>
      <c r="R115" s="84">
        <v>0.52</v>
      </c>
      <c r="S115" s="81">
        <v>0.44000000000000006</v>
      </c>
      <c r="T115" s="83">
        <v>0.55000000000000004</v>
      </c>
      <c r="U115" s="83">
        <v>0.77</v>
      </c>
      <c r="V115" s="84">
        <v>1</v>
      </c>
      <c r="W115" s="81">
        <v>0.47000000000000003</v>
      </c>
      <c r="X115" s="83">
        <v>0.55000000000000004</v>
      </c>
      <c r="Y115" s="83">
        <v>0.77</v>
      </c>
      <c r="Z115" s="84">
        <v>0.92</v>
      </c>
      <c r="AA115" s="81">
        <v>0.77</v>
      </c>
      <c r="AB115" s="83">
        <v>1</v>
      </c>
      <c r="AC115" s="83">
        <v>1</v>
      </c>
      <c r="AD115" s="84">
        <v>1</v>
      </c>
      <c r="AE115" s="81">
        <v>0.83</v>
      </c>
      <c r="AF115" s="83">
        <v>1</v>
      </c>
      <c r="AG115" s="83">
        <v>1</v>
      </c>
      <c r="AH115" s="84">
        <v>1</v>
      </c>
      <c r="AI115" s="185">
        <v>-0.10999999999999999</v>
      </c>
      <c r="AJ115" s="200">
        <v>0.44000000000000006</v>
      </c>
      <c r="AK115" s="200">
        <v>1.32</v>
      </c>
      <c r="AL115" s="186">
        <v>2.3099999999999996</v>
      </c>
      <c r="AM115" s="185">
        <v>5.3999999999999992E-2</v>
      </c>
      <c r="AN115" s="200">
        <v>0.44000000000000006</v>
      </c>
      <c r="AO115" s="200">
        <v>1.32</v>
      </c>
      <c r="AP115" s="186">
        <v>2</v>
      </c>
      <c r="AQ115" s="81">
        <v>1.1550000000000002</v>
      </c>
      <c r="AR115" s="83">
        <v>2.4750000000000001</v>
      </c>
      <c r="AS115" s="83">
        <v>4.2350000000000003</v>
      </c>
      <c r="AT115" s="83">
        <v>6.6550000000000002</v>
      </c>
      <c r="AU115" s="81">
        <v>1.5650000000000008</v>
      </c>
      <c r="AV115" s="83">
        <v>2.4750000000000001</v>
      </c>
      <c r="AW115" s="83">
        <v>4.2350000000000003</v>
      </c>
      <c r="AX115" s="84">
        <v>5.830000000000001</v>
      </c>
      <c r="AY115" s="81">
        <v>3.8900000000000006</v>
      </c>
      <c r="AZ115" s="83">
        <v>7</v>
      </c>
      <c r="BA115" s="83">
        <v>8</v>
      </c>
      <c r="BB115" s="83">
        <v>9.5</v>
      </c>
      <c r="BC115" s="81">
        <v>4.8099999999999987</v>
      </c>
      <c r="BD115" s="83">
        <v>7</v>
      </c>
      <c r="BE115" s="83">
        <v>8</v>
      </c>
      <c r="BF115" s="84">
        <v>9</v>
      </c>
      <c r="BG115" s="81">
        <f>AI115+AQ115+AY115</f>
        <v>4.9350000000000005</v>
      </c>
      <c r="BH115" s="83">
        <f t="shared" ref="BH115:BN124" si="84">AJ115+AR115+AZ115</f>
        <v>9.9149999999999991</v>
      </c>
      <c r="BI115" s="83">
        <f t="shared" si="84"/>
        <v>13.555</v>
      </c>
      <c r="BJ115" s="83">
        <f t="shared" si="84"/>
        <v>18.465</v>
      </c>
      <c r="BK115" s="81">
        <f t="shared" si="84"/>
        <v>6.4289999999999994</v>
      </c>
      <c r="BL115" s="83">
        <f t="shared" si="84"/>
        <v>9.9149999999999991</v>
      </c>
      <c r="BM115" s="83">
        <f t="shared" si="84"/>
        <v>13.555</v>
      </c>
      <c r="BN115" s="83">
        <f t="shared" si="84"/>
        <v>16.830000000000002</v>
      </c>
      <c r="BO115" s="136">
        <f>BO$8*BH115+(1-BO$8)*BG115</f>
        <v>8.9189999999999987</v>
      </c>
      <c r="BP115" s="142">
        <f>BO$8*BI115+(1-BO$8)*BJ115</f>
        <v>14.537000000000001</v>
      </c>
      <c r="BQ115" s="136">
        <f>BO$8*BL115+(1-BO$8)*BK115</f>
        <v>9.2177999999999987</v>
      </c>
      <c r="BR115" s="137">
        <f>BO$8*BM115+(1-BO$8)*BN115</f>
        <v>14.21</v>
      </c>
      <c r="BS115" s="81">
        <f>(BO115+BP115)/2</f>
        <v>11.728</v>
      </c>
      <c r="BT115" s="84">
        <f>(BQ115+BR115)/2</f>
        <v>11.713899999999999</v>
      </c>
      <c r="BU115" s="133">
        <f>(BS115+BT115)/2</f>
        <v>11.720949999999998</v>
      </c>
    </row>
    <row r="116" spans="1:73" x14ac:dyDescent="0.25">
      <c r="A116" s="102" t="s">
        <v>9</v>
      </c>
      <c r="B116" s="102" t="s">
        <v>73</v>
      </c>
      <c r="C116" s="121" t="s">
        <v>88</v>
      </c>
      <c r="D116" s="156" t="s">
        <v>105</v>
      </c>
      <c r="E116" s="156" t="s">
        <v>106</v>
      </c>
      <c r="F116" s="156" t="s">
        <v>106</v>
      </c>
      <c r="G116" s="110">
        <f t="shared" ref="G116:G124" si="85">IF(D116=$A$128,$B$128,(IF(D116=$A$129,$B$129,IF(D116=$A$130,$B$130,$B$131))))</f>
        <v>0.66</v>
      </c>
      <c r="H116" s="110">
        <f t="shared" si="83"/>
        <v>0.33</v>
      </c>
      <c r="I116" s="110">
        <f t="shared" si="83"/>
        <v>0.33</v>
      </c>
      <c r="J116" s="147">
        <f t="shared" ref="J116:J124" si="86">G116*$D$142+H116*$D$143+I116*$D$144</f>
        <v>5.7750000000000004</v>
      </c>
      <c r="K116" s="87">
        <v>0.44000000000000006</v>
      </c>
      <c r="L116">
        <v>0.55000000000000004</v>
      </c>
      <c r="M116">
        <v>0.77</v>
      </c>
      <c r="N116" s="88">
        <v>1</v>
      </c>
      <c r="O116" s="87">
        <v>0.47000000000000003</v>
      </c>
      <c r="P116">
        <v>0.55000000000000004</v>
      </c>
      <c r="Q116">
        <v>0.77</v>
      </c>
      <c r="R116" s="88">
        <v>0.92</v>
      </c>
      <c r="S116" s="87">
        <v>0</v>
      </c>
      <c r="T116">
        <v>0.22000000000000003</v>
      </c>
      <c r="U116">
        <v>0.44</v>
      </c>
      <c r="V116" s="88">
        <v>0.55000000000000004</v>
      </c>
      <c r="W116" s="87">
        <v>0.06</v>
      </c>
      <c r="X116">
        <v>0.22000000000000003</v>
      </c>
      <c r="Y116">
        <v>0.44</v>
      </c>
      <c r="Z116" s="88">
        <v>0.52</v>
      </c>
      <c r="AA116" s="87">
        <v>0</v>
      </c>
      <c r="AB116">
        <v>0.22000000000000003</v>
      </c>
      <c r="AC116">
        <v>0.44</v>
      </c>
      <c r="AD116" s="88">
        <v>0.55000000000000004</v>
      </c>
      <c r="AE116" s="87">
        <v>0.06</v>
      </c>
      <c r="AF116">
        <v>0.22000000000000003</v>
      </c>
      <c r="AG116">
        <v>0.44</v>
      </c>
      <c r="AH116" s="88">
        <v>0.52</v>
      </c>
      <c r="AI116" s="87">
        <v>0.60499999999999998</v>
      </c>
      <c r="AJ116">
        <v>1.1000000000000001</v>
      </c>
      <c r="AK116">
        <v>2.31</v>
      </c>
      <c r="AL116" s="88">
        <v>4.1549999999999994</v>
      </c>
      <c r="AM116" s="87">
        <v>0.77499999999999991</v>
      </c>
      <c r="AN116">
        <v>1.1000000000000001</v>
      </c>
      <c r="AO116">
        <v>2.31</v>
      </c>
      <c r="AP116" s="88">
        <v>3.53</v>
      </c>
      <c r="AQ116" s="187">
        <v>-0.32999999999999996</v>
      </c>
      <c r="AR116" s="179">
        <v>0.9900000000000001</v>
      </c>
      <c r="AS116" s="179">
        <v>2.42</v>
      </c>
      <c r="AT116" s="179">
        <v>3.6850000000000005</v>
      </c>
      <c r="AU116" s="187">
        <v>4.9999999999999933E-2</v>
      </c>
      <c r="AV116" s="179">
        <v>0.9900000000000001</v>
      </c>
      <c r="AW116" s="179">
        <v>2.42</v>
      </c>
      <c r="AX116" s="188">
        <v>3.3000000000000007</v>
      </c>
      <c r="AY116" s="187">
        <v>-0.33000000000000007</v>
      </c>
      <c r="AZ116" s="179">
        <v>1.5400000000000003</v>
      </c>
      <c r="BA116" s="179">
        <v>3.52</v>
      </c>
      <c r="BB116" s="179">
        <v>5.0600000000000005</v>
      </c>
      <c r="BC116" s="187">
        <v>0.19999999999999996</v>
      </c>
      <c r="BD116" s="179">
        <v>1.5400000000000003</v>
      </c>
      <c r="BE116" s="179">
        <v>3.52</v>
      </c>
      <c r="BF116" s="188">
        <v>4.6000000000000014</v>
      </c>
      <c r="BG116" s="187">
        <f t="shared" ref="BG116:BG124" si="87">AI116+AQ116+AY116</f>
        <v>-5.5000000000000049E-2</v>
      </c>
      <c r="BH116" s="179">
        <f t="shared" si="84"/>
        <v>3.6300000000000008</v>
      </c>
      <c r="BI116" s="179">
        <f t="shared" si="84"/>
        <v>8.25</v>
      </c>
      <c r="BJ116" s="179">
        <f t="shared" si="84"/>
        <v>12.9</v>
      </c>
      <c r="BK116" s="187">
        <f t="shared" si="84"/>
        <v>1.0249999999999999</v>
      </c>
      <c r="BL116" s="179">
        <f t="shared" si="84"/>
        <v>3.6300000000000008</v>
      </c>
      <c r="BM116" s="179">
        <f t="shared" si="84"/>
        <v>8.25</v>
      </c>
      <c r="BN116" s="179">
        <f t="shared" si="84"/>
        <v>11.430000000000001</v>
      </c>
      <c r="BO116" s="138">
        <f t="shared" ref="BO116:BO124" si="88">BO$8*BH116+(1-BO$8)*BG116</f>
        <v>2.8930000000000007</v>
      </c>
      <c r="BP116" s="143">
        <f t="shared" ref="BP116:BP124" si="89">BO$8*BI116+(1-BO$8)*BJ116</f>
        <v>9.18</v>
      </c>
      <c r="BQ116" s="138">
        <f t="shared" ref="BQ116:BQ124" si="90">BO$8*BL116+(1-BO$8)*BK116</f>
        <v>3.1090000000000009</v>
      </c>
      <c r="BR116" s="139">
        <f t="shared" ref="BR116:BR124" si="91">BO$8*BM116+(1-BO$8)*BN116</f>
        <v>8.8859999999999992</v>
      </c>
      <c r="BS116" s="87">
        <f t="shared" ref="BS116:BS124" si="92">(BO116+BP116)/2</f>
        <v>6.0365000000000002</v>
      </c>
      <c r="BT116" s="88">
        <f t="shared" ref="BT116:BT124" si="93">(BQ116+BR116)/2</f>
        <v>5.9975000000000005</v>
      </c>
      <c r="BU116" s="134">
        <f t="shared" ref="BU116:BU124" si="94">(BS116+BT116)/2</f>
        <v>6.0170000000000003</v>
      </c>
    </row>
    <row r="117" spans="1:73" x14ac:dyDescent="0.25">
      <c r="A117" s="102" t="s">
        <v>10</v>
      </c>
      <c r="B117" s="102" t="s">
        <v>74</v>
      </c>
      <c r="C117" s="121" t="s">
        <v>89</v>
      </c>
      <c r="D117" s="156" t="s">
        <v>105</v>
      </c>
      <c r="E117" s="156" t="s">
        <v>104</v>
      </c>
      <c r="F117" s="156" t="s">
        <v>105</v>
      </c>
      <c r="G117" s="110">
        <f t="shared" si="85"/>
        <v>0.66</v>
      </c>
      <c r="H117" s="110">
        <f t="shared" si="83"/>
        <v>1</v>
      </c>
      <c r="I117" s="110">
        <f t="shared" si="83"/>
        <v>0.66</v>
      </c>
      <c r="J117" s="147">
        <f t="shared" si="86"/>
        <v>11.600000000000001</v>
      </c>
      <c r="K117" s="87">
        <v>0.44000000000000006</v>
      </c>
      <c r="L117">
        <v>0.55000000000000004</v>
      </c>
      <c r="M117">
        <v>0.77</v>
      </c>
      <c r="N117" s="88">
        <v>1</v>
      </c>
      <c r="O117" s="87">
        <v>0.47000000000000003</v>
      </c>
      <c r="P117">
        <v>0.55000000000000004</v>
      </c>
      <c r="Q117">
        <v>0.77</v>
      </c>
      <c r="R117" s="88">
        <v>0.92</v>
      </c>
      <c r="S117" s="87">
        <v>0.77</v>
      </c>
      <c r="T117">
        <v>1</v>
      </c>
      <c r="U117">
        <v>1</v>
      </c>
      <c r="V117" s="88">
        <v>1</v>
      </c>
      <c r="W117" s="87">
        <v>0.83</v>
      </c>
      <c r="X117">
        <v>1</v>
      </c>
      <c r="Y117">
        <v>1</v>
      </c>
      <c r="Z117" s="88">
        <v>1</v>
      </c>
      <c r="AA117" s="87">
        <v>0.44000000000000006</v>
      </c>
      <c r="AB117">
        <v>0.55000000000000004</v>
      </c>
      <c r="AC117">
        <v>0.77</v>
      </c>
      <c r="AD117" s="88">
        <v>1</v>
      </c>
      <c r="AE117" s="87">
        <v>0.47000000000000003</v>
      </c>
      <c r="AF117">
        <v>0.55000000000000004</v>
      </c>
      <c r="AG117">
        <v>0.77</v>
      </c>
      <c r="AH117" s="88">
        <v>0.92</v>
      </c>
      <c r="AI117" s="87">
        <v>0.60499999999999998</v>
      </c>
      <c r="AJ117">
        <v>1.1000000000000001</v>
      </c>
      <c r="AK117">
        <v>2.31</v>
      </c>
      <c r="AL117" s="88">
        <v>4.1549999999999994</v>
      </c>
      <c r="AM117" s="87">
        <v>0.77499999999999991</v>
      </c>
      <c r="AN117">
        <v>1.1000000000000001</v>
      </c>
      <c r="AO117">
        <v>2.31</v>
      </c>
      <c r="AP117" s="88">
        <v>3.53</v>
      </c>
      <c r="AQ117" s="87">
        <v>1.9649999999999999</v>
      </c>
      <c r="AR117">
        <v>4.5</v>
      </c>
      <c r="AS117">
        <v>5.5</v>
      </c>
      <c r="AT117">
        <v>7</v>
      </c>
      <c r="AU117" s="87">
        <v>2.7349999999999994</v>
      </c>
      <c r="AV117">
        <v>4.5</v>
      </c>
      <c r="AW117">
        <v>5.5</v>
      </c>
      <c r="AX117" s="88">
        <v>6.5</v>
      </c>
      <c r="AY117" s="87">
        <v>2.2549999999999999</v>
      </c>
      <c r="AZ117">
        <v>3.8500000000000005</v>
      </c>
      <c r="BA117">
        <v>6.16</v>
      </c>
      <c r="BB117">
        <v>9.1550000000000011</v>
      </c>
      <c r="BC117" s="87">
        <v>2.7399999999999993</v>
      </c>
      <c r="BD117">
        <v>3.8500000000000005</v>
      </c>
      <c r="BE117">
        <v>6.16</v>
      </c>
      <c r="BF117" s="88">
        <v>8.129999999999999</v>
      </c>
      <c r="BG117" s="87">
        <f t="shared" si="87"/>
        <v>4.8249999999999993</v>
      </c>
      <c r="BH117">
        <f t="shared" si="84"/>
        <v>9.4499999999999993</v>
      </c>
      <c r="BI117">
        <f t="shared" si="84"/>
        <v>13.97</v>
      </c>
      <c r="BJ117">
        <f t="shared" si="84"/>
        <v>20.310000000000002</v>
      </c>
      <c r="BK117" s="87">
        <f t="shared" si="84"/>
        <v>6.2499999999999982</v>
      </c>
      <c r="BL117">
        <f t="shared" si="84"/>
        <v>9.4499999999999993</v>
      </c>
      <c r="BM117">
        <f t="shared" si="84"/>
        <v>13.97</v>
      </c>
      <c r="BN117">
        <f t="shared" si="84"/>
        <v>18.159999999999997</v>
      </c>
      <c r="BO117" s="138">
        <f t="shared" si="88"/>
        <v>8.5249999999999986</v>
      </c>
      <c r="BP117" s="143">
        <f t="shared" si="89"/>
        <v>15.238000000000001</v>
      </c>
      <c r="BQ117" s="138">
        <f t="shared" si="90"/>
        <v>8.8099999999999987</v>
      </c>
      <c r="BR117" s="139">
        <f t="shared" si="91"/>
        <v>14.808</v>
      </c>
      <c r="BS117" s="87">
        <f t="shared" si="92"/>
        <v>11.881499999999999</v>
      </c>
      <c r="BT117" s="88">
        <f t="shared" si="93"/>
        <v>11.808999999999999</v>
      </c>
      <c r="BU117" s="134">
        <f t="shared" si="94"/>
        <v>11.84525</v>
      </c>
    </row>
    <row r="118" spans="1:73" x14ac:dyDescent="0.25">
      <c r="A118" s="102" t="s">
        <v>65</v>
      </c>
      <c r="B118" s="102" t="s">
        <v>75</v>
      </c>
      <c r="C118" s="121" t="s">
        <v>76</v>
      </c>
      <c r="D118" s="156" t="s">
        <v>104</v>
      </c>
      <c r="E118" s="156" t="s">
        <v>105</v>
      </c>
      <c r="F118" s="156" t="s">
        <v>106</v>
      </c>
      <c r="G118" s="110">
        <f t="shared" si="85"/>
        <v>1</v>
      </c>
      <c r="H118" s="110">
        <f t="shared" si="83"/>
        <v>0.66</v>
      </c>
      <c r="I118" s="110">
        <f t="shared" si="83"/>
        <v>0.33</v>
      </c>
      <c r="J118" s="147">
        <f t="shared" si="86"/>
        <v>8.2750000000000004</v>
      </c>
      <c r="K118" s="87">
        <v>0.77</v>
      </c>
      <c r="L118">
        <v>1</v>
      </c>
      <c r="M118">
        <v>1</v>
      </c>
      <c r="N118" s="88">
        <v>1</v>
      </c>
      <c r="O118" s="87">
        <v>0.83</v>
      </c>
      <c r="P118">
        <v>1</v>
      </c>
      <c r="Q118">
        <v>1</v>
      </c>
      <c r="R118" s="88">
        <v>1</v>
      </c>
      <c r="S118" s="87">
        <v>0.44000000000000006</v>
      </c>
      <c r="T118">
        <v>0.55000000000000004</v>
      </c>
      <c r="U118">
        <v>0.77</v>
      </c>
      <c r="V118" s="88">
        <v>1</v>
      </c>
      <c r="W118" s="87">
        <v>0.47000000000000003</v>
      </c>
      <c r="X118">
        <v>0.55000000000000004</v>
      </c>
      <c r="Y118">
        <v>0.77</v>
      </c>
      <c r="Z118" s="88">
        <v>0.92</v>
      </c>
      <c r="AA118" s="87">
        <v>0</v>
      </c>
      <c r="AB118">
        <v>0.22000000000000003</v>
      </c>
      <c r="AC118">
        <v>0.44</v>
      </c>
      <c r="AD118" s="88">
        <v>0.55000000000000004</v>
      </c>
      <c r="AE118" s="87">
        <v>0.06</v>
      </c>
      <c r="AF118">
        <v>0.22000000000000003</v>
      </c>
      <c r="AG118">
        <v>0.44</v>
      </c>
      <c r="AH118" s="88">
        <v>0.52</v>
      </c>
      <c r="AI118" s="87">
        <v>1.04</v>
      </c>
      <c r="AJ118">
        <v>2</v>
      </c>
      <c r="AK118">
        <v>3</v>
      </c>
      <c r="AL118" s="88">
        <v>4.5</v>
      </c>
      <c r="AM118" s="87">
        <v>1.3599999999999999</v>
      </c>
      <c r="AN118">
        <v>2</v>
      </c>
      <c r="AO118">
        <v>3</v>
      </c>
      <c r="AP118" s="88">
        <v>4</v>
      </c>
      <c r="AQ118" s="87">
        <v>1.1550000000000002</v>
      </c>
      <c r="AR118">
        <v>2.4750000000000001</v>
      </c>
      <c r="AS118">
        <v>4.2350000000000003</v>
      </c>
      <c r="AT118">
        <v>6.6550000000000002</v>
      </c>
      <c r="AU118" s="87">
        <v>1.5650000000000008</v>
      </c>
      <c r="AV118">
        <v>2.4750000000000001</v>
      </c>
      <c r="AW118">
        <v>4.2350000000000003</v>
      </c>
      <c r="AX118" s="88">
        <v>5.830000000000001</v>
      </c>
      <c r="AY118" s="187">
        <v>-0.33000000000000007</v>
      </c>
      <c r="AZ118" s="179">
        <v>1.5400000000000003</v>
      </c>
      <c r="BA118" s="179">
        <v>3.52</v>
      </c>
      <c r="BB118" s="179">
        <v>5.0600000000000005</v>
      </c>
      <c r="BC118" s="187">
        <v>0.19999999999999996</v>
      </c>
      <c r="BD118" s="179">
        <v>1.5400000000000003</v>
      </c>
      <c r="BE118" s="179">
        <v>3.52</v>
      </c>
      <c r="BF118" s="188">
        <v>4.6000000000000014</v>
      </c>
      <c r="BG118" s="87">
        <f t="shared" si="87"/>
        <v>1.8650000000000002</v>
      </c>
      <c r="BH118">
        <f t="shared" si="84"/>
        <v>6.0149999999999997</v>
      </c>
      <c r="BI118">
        <f t="shared" si="84"/>
        <v>10.755000000000001</v>
      </c>
      <c r="BJ118">
        <f t="shared" si="84"/>
        <v>16.215000000000003</v>
      </c>
      <c r="BK118" s="87">
        <f t="shared" si="84"/>
        <v>3.1250000000000009</v>
      </c>
      <c r="BL118">
        <f t="shared" si="84"/>
        <v>6.0149999999999997</v>
      </c>
      <c r="BM118">
        <f t="shared" si="84"/>
        <v>10.755000000000001</v>
      </c>
      <c r="BN118">
        <f t="shared" si="84"/>
        <v>14.430000000000003</v>
      </c>
      <c r="BO118" s="138">
        <f t="shared" si="88"/>
        <v>5.1850000000000005</v>
      </c>
      <c r="BP118" s="143">
        <f t="shared" si="89"/>
        <v>11.847000000000001</v>
      </c>
      <c r="BQ118" s="138">
        <f t="shared" si="90"/>
        <v>5.4370000000000003</v>
      </c>
      <c r="BR118" s="139">
        <f t="shared" si="91"/>
        <v>11.490000000000002</v>
      </c>
      <c r="BS118" s="87">
        <f t="shared" si="92"/>
        <v>8.5160000000000018</v>
      </c>
      <c r="BT118" s="88">
        <f t="shared" si="93"/>
        <v>8.4635000000000016</v>
      </c>
      <c r="BU118" s="134">
        <f t="shared" si="94"/>
        <v>8.4897500000000008</v>
      </c>
    </row>
    <row r="119" spans="1:73" ht="30" x14ac:dyDescent="0.25">
      <c r="A119" s="102" t="s">
        <v>66</v>
      </c>
      <c r="B119" s="102" t="s">
        <v>77</v>
      </c>
      <c r="C119" s="121" t="s">
        <v>90</v>
      </c>
      <c r="D119" s="156" t="s">
        <v>105</v>
      </c>
      <c r="E119" s="156" t="s">
        <v>104</v>
      </c>
      <c r="F119" s="156" t="s">
        <v>106</v>
      </c>
      <c r="G119" s="110">
        <f t="shared" si="85"/>
        <v>0.66</v>
      </c>
      <c r="H119" s="110">
        <f t="shared" si="83"/>
        <v>1</v>
      </c>
      <c r="I119" s="110">
        <f t="shared" si="83"/>
        <v>0.33</v>
      </c>
      <c r="J119" s="147">
        <f t="shared" si="86"/>
        <v>9.125</v>
      </c>
      <c r="K119" s="87">
        <v>0.44000000000000006</v>
      </c>
      <c r="L119">
        <v>0.55000000000000004</v>
      </c>
      <c r="M119">
        <v>0.77</v>
      </c>
      <c r="N119" s="88">
        <v>1</v>
      </c>
      <c r="O119" s="87">
        <v>0.47000000000000003</v>
      </c>
      <c r="P119">
        <v>0.55000000000000004</v>
      </c>
      <c r="Q119">
        <v>0.77</v>
      </c>
      <c r="R119" s="88">
        <v>0.92</v>
      </c>
      <c r="S119" s="87">
        <v>0.77</v>
      </c>
      <c r="T119">
        <v>1</v>
      </c>
      <c r="U119">
        <v>1</v>
      </c>
      <c r="V119" s="88">
        <v>1</v>
      </c>
      <c r="W119" s="87">
        <v>0.83</v>
      </c>
      <c r="X119">
        <v>1</v>
      </c>
      <c r="Y119">
        <v>1</v>
      </c>
      <c r="Z119" s="88">
        <v>1</v>
      </c>
      <c r="AA119" s="87">
        <v>0</v>
      </c>
      <c r="AB119">
        <v>0.22000000000000003</v>
      </c>
      <c r="AC119">
        <v>0.44</v>
      </c>
      <c r="AD119" s="88">
        <v>0.55000000000000004</v>
      </c>
      <c r="AE119" s="87">
        <v>0.06</v>
      </c>
      <c r="AF119">
        <v>0.22000000000000003</v>
      </c>
      <c r="AG119">
        <v>0.44</v>
      </c>
      <c r="AH119" s="88">
        <v>0.52</v>
      </c>
      <c r="AI119" s="87">
        <v>0.60499999999999998</v>
      </c>
      <c r="AJ119">
        <v>1.1000000000000001</v>
      </c>
      <c r="AK119">
        <v>2.31</v>
      </c>
      <c r="AL119" s="88">
        <v>4.1549999999999994</v>
      </c>
      <c r="AM119" s="87">
        <v>0.77499999999999991</v>
      </c>
      <c r="AN119">
        <v>1.1000000000000001</v>
      </c>
      <c r="AO119">
        <v>2.31</v>
      </c>
      <c r="AP119" s="88">
        <v>3.53</v>
      </c>
      <c r="AQ119" s="87">
        <v>1.9649999999999999</v>
      </c>
      <c r="AR119">
        <v>4.5</v>
      </c>
      <c r="AS119">
        <v>5.5</v>
      </c>
      <c r="AT119">
        <v>7</v>
      </c>
      <c r="AU119" s="87">
        <v>2.7349999999999994</v>
      </c>
      <c r="AV119">
        <v>4.5</v>
      </c>
      <c r="AW119">
        <v>5.5</v>
      </c>
      <c r="AX119" s="88">
        <v>6.5</v>
      </c>
      <c r="AY119" s="187">
        <v>-0.33000000000000007</v>
      </c>
      <c r="AZ119" s="179">
        <v>1.5400000000000003</v>
      </c>
      <c r="BA119" s="179">
        <v>3.52</v>
      </c>
      <c r="BB119" s="179">
        <v>5.0600000000000005</v>
      </c>
      <c r="BC119" s="187">
        <v>0.19999999999999996</v>
      </c>
      <c r="BD119" s="179">
        <v>1.5400000000000003</v>
      </c>
      <c r="BE119" s="179">
        <v>3.52</v>
      </c>
      <c r="BF119" s="188">
        <v>4.6000000000000014</v>
      </c>
      <c r="BG119" s="87">
        <f t="shared" si="87"/>
        <v>2.2399999999999998</v>
      </c>
      <c r="BH119">
        <f t="shared" si="84"/>
        <v>7.14</v>
      </c>
      <c r="BI119">
        <f t="shared" si="84"/>
        <v>11.33</v>
      </c>
      <c r="BJ119">
        <f t="shared" si="84"/>
        <v>16.215</v>
      </c>
      <c r="BK119" s="87">
        <f t="shared" si="84"/>
        <v>3.7099999999999991</v>
      </c>
      <c r="BL119">
        <f t="shared" si="84"/>
        <v>7.14</v>
      </c>
      <c r="BM119">
        <f t="shared" si="84"/>
        <v>11.33</v>
      </c>
      <c r="BN119">
        <f t="shared" si="84"/>
        <v>14.63</v>
      </c>
      <c r="BO119" s="138">
        <f t="shared" si="88"/>
        <v>6.1599999999999993</v>
      </c>
      <c r="BP119" s="143">
        <f t="shared" si="89"/>
        <v>12.306999999999999</v>
      </c>
      <c r="BQ119" s="138">
        <f t="shared" si="90"/>
        <v>6.4539999999999997</v>
      </c>
      <c r="BR119" s="139">
        <f t="shared" si="91"/>
        <v>11.99</v>
      </c>
      <c r="BS119" s="87">
        <f t="shared" si="92"/>
        <v>9.2334999999999994</v>
      </c>
      <c r="BT119" s="88">
        <f t="shared" si="93"/>
        <v>9.2219999999999995</v>
      </c>
      <c r="BU119" s="134">
        <f t="shared" si="94"/>
        <v>9.2277500000000003</v>
      </c>
    </row>
    <row r="120" spans="1:73" x14ac:dyDescent="0.25">
      <c r="A120" s="102" t="s">
        <v>67</v>
      </c>
      <c r="B120" s="102" t="s">
        <v>78</v>
      </c>
      <c r="C120" s="121" t="s">
        <v>91</v>
      </c>
      <c r="D120" s="156" t="s">
        <v>106</v>
      </c>
      <c r="E120" s="156" t="s">
        <v>105</v>
      </c>
      <c r="F120" s="156" t="s">
        <v>106</v>
      </c>
      <c r="G120" s="110">
        <f t="shared" si="85"/>
        <v>0.33</v>
      </c>
      <c r="H120" s="110">
        <f t="shared" si="83"/>
        <v>0.66</v>
      </c>
      <c r="I120" s="110">
        <f t="shared" si="83"/>
        <v>0.33</v>
      </c>
      <c r="J120" s="147">
        <f t="shared" si="86"/>
        <v>6.6</v>
      </c>
      <c r="K120" s="87">
        <v>0</v>
      </c>
      <c r="L120">
        <v>0.22000000000000003</v>
      </c>
      <c r="M120">
        <v>0.44</v>
      </c>
      <c r="N120" s="88">
        <v>0.55000000000000004</v>
      </c>
      <c r="O120" s="87">
        <v>0.06</v>
      </c>
      <c r="P120">
        <v>0.22000000000000003</v>
      </c>
      <c r="Q120">
        <v>0.44</v>
      </c>
      <c r="R120" s="88">
        <v>0.52</v>
      </c>
      <c r="S120" s="87">
        <v>0.44000000000000006</v>
      </c>
      <c r="T120">
        <v>0.55000000000000004</v>
      </c>
      <c r="U120">
        <v>0.77</v>
      </c>
      <c r="V120" s="88">
        <v>1</v>
      </c>
      <c r="W120" s="87">
        <v>0.47000000000000003</v>
      </c>
      <c r="X120">
        <v>0.55000000000000004</v>
      </c>
      <c r="Y120">
        <v>0.77</v>
      </c>
      <c r="Z120" s="88">
        <v>0.92</v>
      </c>
      <c r="AA120" s="87">
        <v>0</v>
      </c>
      <c r="AB120">
        <v>0.22000000000000003</v>
      </c>
      <c r="AC120">
        <v>0.44</v>
      </c>
      <c r="AD120" s="88">
        <v>0.55000000000000004</v>
      </c>
      <c r="AE120" s="87">
        <v>0.06</v>
      </c>
      <c r="AF120">
        <v>0.22000000000000003</v>
      </c>
      <c r="AG120">
        <v>0.44</v>
      </c>
      <c r="AH120" s="88">
        <v>0.52</v>
      </c>
      <c r="AI120" s="187">
        <v>-0.10999999999999999</v>
      </c>
      <c r="AJ120" s="179">
        <v>0.44000000000000006</v>
      </c>
      <c r="AK120" s="179">
        <v>1.32</v>
      </c>
      <c r="AL120" s="188">
        <v>2.3099999999999996</v>
      </c>
      <c r="AM120" s="187">
        <v>5.3999999999999992E-2</v>
      </c>
      <c r="AN120" s="179">
        <v>0.44000000000000006</v>
      </c>
      <c r="AO120" s="179">
        <v>1.32</v>
      </c>
      <c r="AP120" s="188">
        <v>2</v>
      </c>
      <c r="AQ120" s="87">
        <v>1.1550000000000002</v>
      </c>
      <c r="AR120">
        <v>2.4750000000000001</v>
      </c>
      <c r="AS120">
        <v>4.2350000000000003</v>
      </c>
      <c r="AT120">
        <v>6.6550000000000002</v>
      </c>
      <c r="AU120" s="87">
        <v>1.5650000000000008</v>
      </c>
      <c r="AV120">
        <v>2.4750000000000001</v>
      </c>
      <c r="AW120">
        <v>4.2350000000000003</v>
      </c>
      <c r="AX120" s="88">
        <v>5.830000000000001</v>
      </c>
      <c r="AY120" s="187">
        <v>-0.33000000000000007</v>
      </c>
      <c r="AZ120" s="179">
        <v>1.5400000000000003</v>
      </c>
      <c r="BA120" s="179">
        <v>3.52</v>
      </c>
      <c r="BB120" s="179">
        <v>5.0600000000000005</v>
      </c>
      <c r="BC120" s="187">
        <v>0.19999999999999996</v>
      </c>
      <c r="BD120" s="179">
        <v>1.5400000000000003</v>
      </c>
      <c r="BE120" s="179">
        <v>3.52</v>
      </c>
      <c r="BF120" s="188">
        <v>4.6000000000000014</v>
      </c>
      <c r="BG120" s="87">
        <f t="shared" si="87"/>
        <v>0.7150000000000003</v>
      </c>
      <c r="BH120">
        <f t="shared" si="84"/>
        <v>4.4550000000000001</v>
      </c>
      <c r="BI120">
        <f t="shared" si="84"/>
        <v>9.0750000000000011</v>
      </c>
      <c r="BJ120">
        <f t="shared" si="84"/>
        <v>14.025</v>
      </c>
      <c r="BK120" s="87">
        <f t="shared" si="84"/>
        <v>1.8190000000000008</v>
      </c>
      <c r="BL120">
        <f t="shared" si="84"/>
        <v>4.4550000000000001</v>
      </c>
      <c r="BM120">
        <f t="shared" si="84"/>
        <v>9.0750000000000011</v>
      </c>
      <c r="BN120">
        <f t="shared" si="84"/>
        <v>12.430000000000003</v>
      </c>
      <c r="BO120" s="138">
        <f t="shared" si="88"/>
        <v>3.7069999999999999</v>
      </c>
      <c r="BP120" s="143">
        <f t="shared" si="89"/>
        <v>10.065000000000001</v>
      </c>
      <c r="BQ120" s="138">
        <f t="shared" si="90"/>
        <v>3.9278</v>
      </c>
      <c r="BR120" s="139">
        <f t="shared" si="91"/>
        <v>9.7460000000000022</v>
      </c>
      <c r="BS120" s="87">
        <f t="shared" si="92"/>
        <v>6.886000000000001</v>
      </c>
      <c r="BT120" s="88">
        <f t="shared" si="93"/>
        <v>6.8369000000000009</v>
      </c>
      <c r="BU120" s="134">
        <f t="shared" si="94"/>
        <v>6.8614500000000014</v>
      </c>
    </row>
    <row r="121" spans="1:73" ht="30" x14ac:dyDescent="0.25">
      <c r="A121" s="102" t="s">
        <v>68</v>
      </c>
      <c r="B121" s="102" t="s">
        <v>79</v>
      </c>
      <c r="C121" s="121" t="s">
        <v>92</v>
      </c>
      <c r="D121" s="156" t="s">
        <v>104</v>
      </c>
      <c r="E121" s="156" t="s">
        <v>105</v>
      </c>
      <c r="F121" s="156" t="s">
        <v>106</v>
      </c>
      <c r="G121" s="110">
        <f t="shared" si="85"/>
        <v>1</v>
      </c>
      <c r="H121" s="110">
        <f t="shared" si="83"/>
        <v>0.66</v>
      </c>
      <c r="I121" s="110">
        <f t="shared" si="83"/>
        <v>0.33</v>
      </c>
      <c r="J121" s="147">
        <f t="shared" si="86"/>
        <v>8.2750000000000004</v>
      </c>
      <c r="K121" s="87">
        <v>0.77</v>
      </c>
      <c r="L121">
        <v>1</v>
      </c>
      <c r="M121">
        <v>1</v>
      </c>
      <c r="N121" s="88">
        <v>1</v>
      </c>
      <c r="O121" s="87">
        <v>0.83</v>
      </c>
      <c r="P121">
        <v>1</v>
      </c>
      <c r="Q121">
        <v>1</v>
      </c>
      <c r="R121" s="88">
        <v>1</v>
      </c>
      <c r="S121" s="87">
        <v>0.44000000000000006</v>
      </c>
      <c r="T121">
        <v>0.55000000000000004</v>
      </c>
      <c r="U121">
        <v>0.77</v>
      </c>
      <c r="V121" s="88">
        <v>1</v>
      </c>
      <c r="W121" s="87">
        <v>0.47000000000000003</v>
      </c>
      <c r="X121">
        <v>0.55000000000000004</v>
      </c>
      <c r="Y121">
        <v>0.77</v>
      </c>
      <c r="Z121" s="88">
        <v>0.92</v>
      </c>
      <c r="AA121" s="87">
        <v>0</v>
      </c>
      <c r="AB121">
        <v>0.22000000000000003</v>
      </c>
      <c r="AC121">
        <v>0.44</v>
      </c>
      <c r="AD121" s="88">
        <v>0.55000000000000004</v>
      </c>
      <c r="AE121" s="87">
        <v>0.06</v>
      </c>
      <c r="AF121">
        <v>0.22000000000000003</v>
      </c>
      <c r="AG121">
        <v>0.44</v>
      </c>
      <c r="AH121" s="88">
        <v>0.52</v>
      </c>
      <c r="AI121" s="87">
        <v>1.04</v>
      </c>
      <c r="AJ121">
        <v>2</v>
      </c>
      <c r="AK121">
        <v>3</v>
      </c>
      <c r="AL121" s="88">
        <v>4.5</v>
      </c>
      <c r="AM121" s="87">
        <v>1.3599999999999999</v>
      </c>
      <c r="AN121">
        <v>2</v>
      </c>
      <c r="AO121">
        <v>3</v>
      </c>
      <c r="AP121" s="88">
        <v>4</v>
      </c>
      <c r="AQ121" s="87">
        <v>1.1550000000000002</v>
      </c>
      <c r="AR121">
        <v>2.4750000000000001</v>
      </c>
      <c r="AS121">
        <v>4.2350000000000003</v>
      </c>
      <c r="AT121">
        <v>6.6550000000000002</v>
      </c>
      <c r="AU121" s="87">
        <v>1.5650000000000008</v>
      </c>
      <c r="AV121">
        <v>2.4750000000000001</v>
      </c>
      <c r="AW121">
        <v>4.2350000000000003</v>
      </c>
      <c r="AX121" s="88">
        <v>5.830000000000001</v>
      </c>
      <c r="AY121" s="187">
        <v>-0.33000000000000007</v>
      </c>
      <c r="AZ121" s="179">
        <v>1.5400000000000003</v>
      </c>
      <c r="BA121" s="179">
        <v>3.52</v>
      </c>
      <c r="BB121" s="179">
        <v>5.0600000000000005</v>
      </c>
      <c r="BC121" s="187">
        <v>0.19999999999999996</v>
      </c>
      <c r="BD121" s="179">
        <v>1.5400000000000003</v>
      </c>
      <c r="BE121" s="179">
        <v>3.52</v>
      </c>
      <c r="BF121" s="188">
        <v>4.6000000000000014</v>
      </c>
      <c r="BG121" s="87">
        <f t="shared" si="87"/>
        <v>1.8650000000000002</v>
      </c>
      <c r="BH121">
        <f t="shared" si="84"/>
        <v>6.0149999999999997</v>
      </c>
      <c r="BI121">
        <f t="shared" si="84"/>
        <v>10.755000000000001</v>
      </c>
      <c r="BJ121">
        <f t="shared" si="84"/>
        <v>16.215000000000003</v>
      </c>
      <c r="BK121" s="87">
        <f t="shared" si="84"/>
        <v>3.1250000000000009</v>
      </c>
      <c r="BL121">
        <f t="shared" si="84"/>
        <v>6.0149999999999997</v>
      </c>
      <c r="BM121">
        <f t="shared" si="84"/>
        <v>10.755000000000001</v>
      </c>
      <c r="BN121">
        <f t="shared" si="84"/>
        <v>14.430000000000003</v>
      </c>
      <c r="BO121" s="138">
        <f t="shared" si="88"/>
        <v>5.1850000000000005</v>
      </c>
      <c r="BP121" s="143">
        <f t="shared" si="89"/>
        <v>11.847000000000001</v>
      </c>
      <c r="BQ121" s="138">
        <f t="shared" si="90"/>
        <v>5.4370000000000003</v>
      </c>
      <c r="BR121" s="139">
        <f t="shared" si="91"/>
        <v>11.490000000000002</v>
      </c>
      <c r="BS121" s="87">
        <f t="shared" si="92"/>
        <v>8.5160000000000018</v>
      </c>
      <c r="BT121" s="88">
        <f t="shared" si="93"/>
        <v>8.4635000000000016</v>
      </c>
      <c r="BU121" s="134">
        <f t="shared" si="94"/>
        <v>8.4897500000000008</v>
      </c>
    </row>
    <row r="122" spans="1:73" ht="30" x14ac:dyDescent="0.25">
      <c r="A122" s="102" t="s">
        <v>69</v>
      </c>
      <c r="B122" s="102" t="s">
        <v>80</v>
      </c>
      <c r="C122" s="121" t="s">
        <v>81</v>
      </c>
      <c r="D122" s="156" t="s">
        <v>105</v>
      </c>
      <c r="E122" s="156" t="s">
        <v>106</v>
      </c>
      <c r="F122" s="156" t="s">
        <v>104</v>
      </c>
      <c r="G122" s="110">
        <f t="shared" si="85"/>
        <v>0.66</v>
      </c>
      <c r="H122" s="110">
        <f t="shared" si="83"/>
        <v>0.33</v>
      </c>
      <c r="I122" s="110">
        <f t="shared" si="83"/>
        <v>1</v>
      </c>
      <c r="J122" s="147">
        <f t="shared" si="86"/>
        <v>10.8</v>
      </c>
      <c r="K122" s="87">
        <v>0.44000000000000006</v>
      </c>
      <c r="L122">
        <v>0.55000000000000004</v>
      </c>
      <c r="M122">
        <v>0.77</v>
      </c>
      <c r="N122" s="88">
        <v>1</v>
      </c>
      <c r="O122" s="87">
        <v>0.47000000000000003</v>
      </c>
      <c r="P122">
        <v>0.55000000000000004</v>
      </c>
      <c r="Q122">
        <v>0.77</v>
      </c>
      <c r="R122" s="88">
        <v>0.92</v>
      </c>
      <c r="S122" s="87">
        <v>0</v>
      </c>
      <c r="T122">
        <v>0.22000000000000003</v>
      </c>
      <c r="U122">
        <v>0.44</v>
      </c>
      <c r="V122" s="88">
        <v>0.55000000000000004</v>
      </c>
      <c r="W122" s="87">
        <v>0.06</v>
      </c>
      <c r="X122">
        <v>0.22000000000000003</v>
      </c>
      <c r="Y122">
        <v>0.44</v>
      </c>
      <c r="Z122" s="88">
        <v>0.52</v>
      </c>
      <c r="AA122" s="87">
        <v>0.77</v>
      </c>
      <c r="AB122">
        <v>1</v>
      </c>
      <c r="AC122">
        <v>1</v>
      </c>
      <c r="AD122" s="88">
        <v>1</v>
      </c>
      <c r="AE122" s="87">
        <v>0.83</v>
      </c>
      <c r="AF122">
        <v>1</v>
      </c>
      <c r="AG122">
        <v>1</v>
      </c>
      <c r="AH122" s="88">
        <v>1</v>
      </c>
      <c r="AI122" s="87">
        <v>0.60499999999999998</v>
      </c>
      <c r="AJ122">
        <v>1.1000000000000001</v>
      </c>
      <c r="AK122">
        <v>2.31</v>
      </c>
      <c r="AL122" s="88">
        <v>4.1549999999999994</v>
      </c>
      <c r="AM122" s="87">
        <v>0.77499999999999991</v>
      </c>
      <c r="AN122">
        <v>1.1000000000000001</v>
      </c>
      <c r="AO122">
        <v>2.31</v>
      </c>
      <c r="AP122" s="88">
        <v>3.53</v>
      </c>
      <c r="AQ122" s="187">
        <v>-0.32999999999999996</v>
      </c>
      <c r="AR122" s="179">
        <v>0.9900000000000001</v>
      </c>
      <c r="AS122" s="179">
        <v>2.42</v>
      </c>
      <c r="AT122" s="179">
        <v>3.6850000000000005</v>
      </c>
      <c r="AU122" s="187">
        <v>4.9999999999999933E-2</v>
      </c>
      <c r="AV122" s="179">
        <v>0.9900000000000001</v>
      </c>
      <c r="AW122" s="179">
        <v>2.42</v>
      </c>
      <c r="AX122" s="188">
        <v>3.3000000000000007</v>
      </c>
      <c r="AY122" s="87">
        <v>3.8900000000000006</v>
      </c>
      <c r="AZ122">
        <v>7</v>
      </c>
      <c r="BA122">
        <v>8</v>
      </c>
      <c r="BB122">
        <v>9.5</v>
      </c>
      <c r="BC122" s="87">
        <v>4.8099999999999987</v>
      </c>
      <c r="BD122">
        <v>7</v>
      </c>
      <c r="BE122">
        <v>8</v>
      </c>
      <c r="BF122" s="88">
        <v>9</v>
      </c>
      <c r="BG122" s="87">
        <f t="shared" si="87"/>
        <v>4.1650000000000009</v>
      </c>
      <c r="BH122">
        <f t="shared" si="84"/>
        <v>9.09</v>
      </c>
      <c r="BI122">
        <f t="shared" si="84"/>
        <v>12.73</v>
      </c>
      <c r="BJ122">
        <f t="shared" si="84"/>
        <v>17.34</v>
      </c>
      <c r="BK122" s="87">
        <f t="shared" si="84"/>
        <v>5.6349999999999989</v>
      </c>
      <c r="BL122">
        <f t="shared" si="84"/>
        <v>9.09</v>
      </c>
      <c r="BM122">
        <f t="shared" si="84"/>
        <v>12.73</v>
      </c>
      <c r="BN122">
        <f t="shared" si="84"/>
        <v>15.83</v>
      </c>
      <c r="BO122" s="138">
        <f t="shared" si="88"/>
        <v>8.1050000000000004</v>
      </c>
      <c r="BP122" s="143">
        <f t="shared" si="89"/>
        <v>13.652000000000001</v>
      </c>
      <c r="BQ122" s="138">
        <f t="shared" si="90"/>
        <v>8.3989999999999991</v>
      </c>
      <c r="BR122" s="139">
        <f t="shared" si="91"/>
        <v>13.350000000000001</v>
      </c>
      <c r="BS122" s="87">
        <f t="shared" si="92"/>
        <v>10.878500000000001</v>
      </c>
      <c r="BT122" s="88">
        <f t="shared" si="93"/>
        <v>10.874500000000001</v>
      </c>
      <c r="BU122" s="134">
        <f t="shared" si="94"/>
        <v>10.8765</v>
      </c>
    </row>
    <row r="123" spans="1:73" ht="36.75" customHeight="1" x14ac:dyDescent="0.25">
      <c r="A123" s="102" t="s">
        <v>70</v>
      </c>
      <c r="B123" s="102" t="s">
        <v>82</v>
      </c>
      <c r="C123" s="121" t="s">
        <v>93</v>
      </c>
      <c r="D123" s="156" t="s">
        <v>105</v>
      </c>
      <c r="E123" s="156" t="s">
        <v>104</v>
      </c>
      <c r="F123" s="156" t="s">
        <v>106</v>
      </c>
      <c r="G123" s="110">
        <f t="shared" si="85"/>
        <v>0.66</v>
      </c>
      <c r="H123" s="110">
        <f t="shared" si="83"/>
        <v>1</v>
      </c>
      <c r="I123" s="110">
        <f t="shared" si="83"/>
        <v>0.33</v>
      </c>
      <c r="J123" s="147">
        <f t="shared" si="86"/>
        <v>9.125</v>
      </c>
      <c r="K123" s="87">
        <v>0.44000000000000006</v>
      </c>
      <c r="L123">
        <v>0.55000000000000004</v>
      </c>
      <c r="M123">
        <v>0.77</v>
      </c>
      <c r="N123" s="88">
        <v>1</v>
      </c>
      <c r="O123" s="87">
        <v>0.47000000000000003</v>
      </c>
      <c r="P123">
        <v>0.55000000000000004</v>
      </c>
      <c r="Q123">
        <v>0.77</v>
      </c>
      <c r="R123" s="88">
        <v>0.92</v>
      </c>
      <c r="S123" s="87">
        <v>0.77</v>
      </c>
      <c r="T123">
        <v>1</v>
      </c>
      <c r="U123">
        <v>1</v>
      </c>
      <c r="V123" s="88">
        <v>1</v>
      </c>
      <c r="W123" s="87">
        <v>0.83</v>
      </c>
      <c r="X123">
        <v>1</v>
      </c>
      <c r="Y123">
        <v>1</v>
      </c>
      <c r="Z123" s="88">
        <v>1</v>
      </c>
      <c r="AA123" s="87">
        <v>0</v>
      </c>
      <c r="AB123">
        <v>0.22000000000000003</v>
      </c>
      <c r="AC123">
        <v>0.44</v>
      </c>
      <c r="AD123" s="88">
        <v>0.55000000000000004</v>
      </c>
      <c r="AE123" s="87">
        <v>0.06</v>
      </c>
      <c r="AF123">
        <v>0.22000000000000003</v>
      </c>
      <c r="AG123">
        <v>0.44</v>
      </c>
      <c r="AH123" s="88">
        <v>0.52</v>
      </c>
      <c r="AI123" s="87">
        <v>0.60499999999999998</v>
      </c>
      <c r="AJ123">
        <v>1.1000000000000001</v>
      </c>
      <c r="AK123">
        <v>2.31</v>
      </c>
      <c r="AL123" s="88">
        <v>4.1549999999999994</v>
      </c>
      <c r="AM123" s="87">
        <v>0.77499999999999991</v>
      </c>
      <c r="AN123">
        <v>1.1000000000000001</v>
      </c>
      <c r="AO123">
        <v>2.31</v>
      </c>
      <c r="AP123" s="88">
        <v>3.53</v>
      </c>
      <c r="AQ123" s="87">
        <v>1.9649999999999999</v>
      </c>
      <c r="AR123">
        <v>4.5</v>
      </c>
      <c r="AS123">
        <v>5.5</v>
      </c>
      <c r="AT123">
        <v>7</v>
      </c>
      <c r="AU123" s="87">
        <v>2.7349999999999994</v>
      </c>
      <c r="AV123">
        <v>4.5</v>
      </c>
      <c r="AW123">
        <v>5.5</v>
      </c>
      <c r="AX123" s="88">
        <v>6.5</v>
      </c>
      <c r="AY123" s="187">
        <v>-0.33000000000000007</v>
      </c>
      <c r="AZ123" s="179">
        <v>1.5400000000000003</v>
      </c>
      <c r="BA123" s="179">
        <v>3.52</v>
      </c>
      <c r="BB123" s="179">
        <v>5.0600000000000005</v>
      </c>
      <c r="BC123" s="187">
        <v>0.19999999999999996</v>
      </c>
      <c r="BD123" s="179">
        <v>1.5400000000000003</v>
      </c>
      <c r="BE123" s="179">
        <v>3.52</v>
      </c>
      <c r="BF123" s="188">
        <v>4.6000000000000014</v>
      </c>
      <c r="BG123" s="87">
        <f t="shared" si="87"/>
        <v>2.2399999999999998</v>
      </c>
      <c r="BH123">
        <f t="shared" si="84"/>
        <v>7.14</v>
      </c>
      <c r="BI123">
        <f t="shared" si="84"/>
        <v>11.33</v>
      </c>
      <c r="BJ123">
        <f t="shared" si="84"/>
        <v>16.215</v>
      </c>
      <c r="BK123" s="87">
        <f t="shared" si="84"/>
        <v>3.7099999999999991</v>
      </c>
      <c r="BL123">
        <f t="shared" si="84"/>
        <v>7.14</v>
      </c>
      <c r="BM123">
        <f t="shared" si="84"/>
        <v>11.33</v>
      </c>
      <c r="BN123">
        <f t="shared" si="84"/>
        <v>14.63</v>
      </c>
      <c r="BO123" s="138">
        <f t="shared" si="88"/>
        <v>6.1599999999999993</v>
      </c>
      <c r="BP123" s="143">
        <f t="shared" si="89"/>
        <v>12.306999999999999</v>
      </c>
      <c r="BQ123" s="138">
        <f t="shared" si="90"/>
        <v>6.4539999999999997</v>
      </c>
      <c r="BR123" s="139">
        <f t="shared" si="91"/>
        <v>11.99</v>
      </c>
      <c r="BS123" s="87">
        <f t="shared" si="92"/>
        <v>9.2334999999999994</v>
      </c>
      <c r="BT123" s="88">
        <f t="shared" si="93"/>
        <v>9.2219999999999995</v>
      </c>
      <c r="BU123" s="134">
        <f t="shared" si="94"/>
        <v>9.2277500000000003</v>
      </c>
    </row>
    <row r="124" spans="1:73" ht="30.75" thickBot="1" x14ac:dyDescent="0.3">
      <c r="A124" s="102" t="s">
        <v>71</v>
      </c>
      <c r="B124" s="102" t="s">
        <v>83</v>
      </c>
      <c r="C124" s="121" t="s">
        <v>94</v>
      </c>
      <c r="D124" s="156" t="s">
        <v>106</v>
      </c>
      <c r="E124" s="156" t="s">
        <v>104</v>
      </c>
      <c r="F124" s="156" t="s">
        <v>105</v>
      </c>
      <c r="G124" s="110">
        <f t="shared" si="85"/>
        <v>0.33</v>
      </c>
      <c r="H124" s="110">
        <f t="shared" si="83"/>
        <v>1</v>
      </c>
      <c r="I124" s="110">
        <f t="shared" si="83"/>
        <v>0.66</v>
      </c>
      <c r="J124" s="147">
        <f t="shared" si="86"/>
        <v>10.775</v>
      </c>
      <c r="K124" s="91">
        <v>0</v>
      </c>
      <c r="L124" s="93">
        <v>0.22000000000000003</v>
      </c>
      <c r="M124" s="93">
        <v>0.44</v>
      </c>
      <c r="N124" s="94">
        <v>0.55000000000000004</v>
      </c>
      <c r="O124" s="91">
        <v>0.06</v>
      </c>
      <c r="P124" s="93">
        <v>0.22000000000000003</v>
      </c>
      <c r="Q124" s="93">
        <v>0.44</v>
      </c>
      <c r="R124" s="94">
        <v>0.52</v>
      </c>
      <c r="S124" s="91">
        <v>0.77</v>
      </c>
      <c r="T124" s="93">
        <v>1</v>
      </c>
      <c r="U124" s="93">
        <v>1</v>
      </c>
      <c r="V124" s="94">
        <v>1</v>
      </c>
      <c r="W124" s="91">
        <v>0.83</v>
      </c>
      <c r="X124" s="93">
        <v>1</v>
      </c>
      <c r="Y124" s="93">
        <v>1</v>
      </c>
      <c r="Z124" s="94">
        <v>1</v>
      </c>
      <c r="AA124" s="91">
        <v>0.44000000000000006</v>
      </c>
      <c r="AB124" s="93">
        <v>0.55000000000000004</v>
      </c>
      <c r="AC124" s="93">
        <v>0.77</v>
      </c>
      <c r="AD124" s="94">
        <v>1</v>
      </c>
      <c r="AE124" s="91">
        <v>0.47000000000000003</v>
      </c>
      <c r="AF124" s="93">
        <v>0.55000000000000004</v>
      </c>
      <c r="AG124" s="93">
        <v>0.77</v>
      </c>
      <c r="AH124" s="94">
        <v>0.92</v>
      </c>
      <c r="AI124" s="189">
        <v>-0.10999999999999999</v>
      </c>
      <c r="AJ124" s="201">
        <v>0.44000000000000006</v>
      </c>
      <c r="AK124" s="201">
        <v>1.32</v>
      </c>
      <c r="AL124" s="190">
        <v>2.3099999999999996</v>
      </c>
      <c r="AM124" s="189">
        <v>5.3999999999999992E-2</v>
      </c>
      <c r="AN124" s="201">
        <v>0.44000000000000006</v>
      </c>
      <c r="AO124" s="201">
        <v>1.32</v>
      </c>
      <c r="AP124" s="190">
        <v>2</v>
      </c>
      <c r="AQ124" s="91">
        <v>1.9649999999999999</v>
      </c>
      <c r="AR124" s="93">
        <v>4.5</v>
      </c>
      <c r="AS124" s="93">
        <v>5.5</v>
      </c>
      <c r="AT124" s="93">
        <v>7</v>
      </c>
      <c r="AU124" s="91">
        <v>2.7349999999999994</v>
      </c>
      <c r="AV124" s="93">
        <v>4.5</v>
      </c>
      <c r="AW124" s="93">
        <v>5.5</v>
      </c>
      <c r="AX124" s="94">
        <v>6.5</v>
      </c>
      <c r="AY124" s="91">
        <v>2.2549999999999999</v>
      </c>
      <c r="AZ124" s="93">
        <v>3.8500000000000005</v>
      </c>
      <c r="BA124" s="93">
        <v>6.16</v>
      </c>
      <c r="BB124" s="93">
        <v>9.1550000000000011</v>
      </c>
      <c r="BC124" s="91">
        <v>2.7399999999999993</v>
      </c>
      <c r="BD124" s="93">
        <v>3.8500000000000005</v>
      </c>
      <c r="BE124" s="93">
        <v>6.16</v>
      </c>
      <c r="BF124" s="94">
        <v>8.129999999999999</v>
      </c>
      <c r="BG124" s="91">
        <f t="shared" si="87"/>
        <v>4.1099999999999994</v>
      </c>
      <c r="BH124" s="93">
        <f t="shared" si="84"/>
        <v>8.7900000000000009</v>
      </c>
      <c r="BI124" s="93">
        <f t="shared" si="84"/>
        <v>12.98</v>
      </c>
      <c r="BJ124" s="93">
        <f t="shared" si="84"/>
        <v>18.465</v>
      </c>
      <c r="BK124" s="91">
        <f t="shared" si="84"/>
        <v>5.5289999999999981</v>
      </c>
      <c r="BL124" s="93">
        <f t="shared" si="84"/>
        <v>8.7900000000000009</v>
      </c>
      <c r="BM124" s="93">
        <f t="shared" si="84"/>
        <v>12.98</v>
      </c>
      <c r="BN124" s="93">
        <f t="shared" si="84"/>
        <v>16.63</v>
      </c>
      <c r="BO124" s="140">
        <f t="shared" si="88"/>
        <v>7.854000000000001</v>
      </c>
      <c r="BP124" s="144">
        <f t="shared" si="89"/>
        <v>14.077</v>
      </c>
      <c r="BQ124" s="140">
        <f t="shared" si="90"/>
        <v>8.1378000000000004</v>
      </c>
      <c r="BR124" s="141">
        <f t="shared" si="91"/>
        <v>13.709999999999999</v>
      </c>
      <c r="BS124" s="91">
        <f t="shared" si="92"/>
        <v>10.9655</v>
      </c>
      <c r="BT124" s="94">
        <f t="shared" si="93"/>
        <v>10.9239</v>
      </c>
      <c r="BU124" s="135">
        <f t="shared" si="94"/>
        <v>10.944700000000001</v>
      </c>
    </row>
    <row r="125" spans="1:73" x14ac:dyDescent="0.25">
      <c r="BF125" s="60"/>
      <c r="BG125" s="59"/>
      <c r="BH125" s="59"/>
      <c r="BI125" s="59"/>
      <c r="BJ125" s="59"/>
      <c r="BK125" s="59"/>
    </row>
    <row r="126" spans="1:73" x14ac:dyDescent="0.25">
      <c r="A126" s="1" t="s">
        <v>200</v>
      </c>
      <c r="B126" s="1"/>
    </row>
    <row r="127" spans="1:73" ht="15.75" thickBot="1" x14ac:dyDescent="0.3">
      <c r="A127" s="107" t="s">
        <v>103</v>
      </c>
      <c r="B127" s="108" t="s">
        <v>122</v>
      </c>
      <c r="E127" s="112" t="s">
        <v>17</v>
      </c>
      <c r="I127" t="s">
        <v>18</v>
      </c>
    </row>
    <row r="128" spans="1:73" x14ac:dyDescent="0.25">
      <c r="A128" s="106" t="s">
        <v>107</v>
      </c>
      <c r="B128" s="2">
        <v>0</v>
      </c>
      <c r="C128" s="79">
        <v>0</v>
      </c>
      <c r="D128" s="80" t="s">
        <v>107</v>
      </c>
      <c r="E128" s="81">
        <v>0</v>
      </c>
      <c r="F128" s="82">
        <f>C128</f>
        <v>0</v>
      </c>
      <c r="G128" s="83">
        <v>0</v>
      </c>
      <c r="H128" s="84">
        <v>0.22</v>
      </c>
      <c r="I128" s="85">
        <v>0</v>
      </c>
      <c r="J128" s="83">
        <f>F128</f>
        <v>0</v>
      </c>
      <c r="K128" s="83">
        <f>G128</f>
        <v>0</v>
      </c>
      <c r="L128" s="86">
        <v>0.15</v>
      </c>
    </row>
    <row r="129" spans="1:12" x14ac:dyDescent="0.25">
      <c r="A129" s="106" t="s">
        <v>106</v>
      </c>
      <c r="B129" s="2">
        <v>0.33</v>
      </c>
      <c r="C129" s="79">
        <v>0.33</v>
      </c>
      <c r="D129" s="80" t="s">
        <v>106</v>
      </c>
      <c r="E129" s="87">
        <v>0</v>
      </c>
      <c r="F129" s="111">
        <f>C129-0.11</f>
        <v>0.22000000000000003</v>
      </c>
      <c r="G129">
        <f>C129+0.11</f>
        <v>0.44</v>
      </c>
      <c r="H129" s="88">
        <f t="shared" ref="H129" si="95">G129+0.11</f>
        <v>0.55000000000000004</v>
      </c>
      <c r="I129" s="89">
        <v>0.06</v>
      </c>
      <c r="J129">
        <f t="shared" ref="J129:K131" si="96">F129</f>
        <v>0.22000000000000003</v>
      </c>
      <c r="K129">
        <f t="shared" si="96"/>
        <v>0.44</v>
      </c>
      <c r="L129" s="90">
        <f t="shared" ref="L129" si="97">K129+0.08</f>
        <v>0.52</v>
      </c>
    </row>
    <row r="130" spans="1:12" x14ac:dyDescent="0.25">
      <c r="A130" s="106" t="s">
        <v>105</v>
      </c>
      <c r="B130" s="2">
        <v>0.66</v>
      </c>
      <c r="C130" s="79">
        <v>0.66</v>
      </c>
      <c r="D130" s="80" t="s">
        <v>105</v>
      </c>
      <c r="E130" s="87">
        <f t="shared" ref="E130" si="98">F130-0.11</f>
        <v>0.44000000000000006</v>
      </c>
      <c r="F130" s="111">
        <f t="shared" ref="F130" si="99">C130-0.11</f>
        <v>0.55000000000000004</v>
      </c>
      <c r="G130">
        <f t="shared" ref="G130" si="100">C130+0.11</f>
        <v>0.77</v>
      </c>
      <c r="H130" s="88">
        <v>1</v>
      </c>
      <c r="I130" s="89">
        <f t="shared" ref="I130" si="101">J130-0.08</f>
        <v>0.47000000000000003</v>
      </c>
      <c r="J130">
        <f t="shared" si="96"/>
        <v>0.55000000000000004</v>
      </c>
      <c r="K130">
        <f t="shared" si="96"/>
        <v>0.77</v>
      </c>
      <c r="L130" s="90">
        <v>0.92</v>
      </c>
    </row>
    <row r="131" spans="1:12" ht="15.75" thickBot="1" x14ac:dyDescent="0.3">
      <c r="A131" s="106" t="s">
        <v>104</v>
      </c>
      <c r="B131" s="2">
        <v>1</v>
      </c>
      <c r="C131" s="79">
        <v>1</v>
      </c>
      <c r="D131" s="80" t="s">
        <v>104</v>
      </c>
      <c r="E131" s="91">
        <v>0.77</v>
      </c>
      <c r="F131" s="92">
        <v>1</v>
      </c>
      <c r="G131" s="93">
        <v>1</v>
      </c>
      <c r="H131" s="94">
        <v>1</v>
      </c>
      <c r="I131" s="95">
        <v>0.83</v>
      </c>
      <c r="J131" s="93">
        <f t="shared" si="96"/>
        <v>1</v>
      </c>
      <c r="K131" s="93">
        <f t="shared" si="96"/>
        <v>1</v>
      </c>
      <c r="L131" s="96">
        <v>1</v>
      </c>
    </row>
    <row r="132" spans="1:12" x14ac:dyDescent="0.25">
      <c r="A132" s="99"/>
    </row>
    <row r="133" spans="1:12" x14ac:dyDescent="0.25">
      <c r="A133" s="1" t="s">
        <v>201</v>
      </c>
    </row>
    <row r="134" spans="1:12" ht="15.75" thickBot="1" x14ac:dyDescent="0.3">
      <c r="A134" s="107" t="s">
        <v>103</v>
      </c>
      <c r="B134" s="108" t="s">
        <v>123</v>
      </c>
      <c r="E134" s="112" t="s">
        <v>17</v>
      </c>
      <c r="I134" t="s">
        <v>18</v>
      </c>
    </row>
    <row r="135" spans="1:12" x14ac:dyDescent="0.25">
      <c r="A135" s="106" t="s">
        <v>107</v>
      </c>
      <c r="B135" s="2">
        <v>1</v>
      </c>
      <c r="C135" s="79">
        <v>1</v>
      </c>
      <c r="D135" s="80" t="s">
        <v>107</v>
      </c>
      <c r="E135" s="81">
        <v>0</v>
      </c>
      <c r="F135" s="82">
        <v>0.5</v>
      </c>
      <c r="G135" s="83">
        <v>1.5</v>
      </c>
      <c r="H135" s="84">
        <v>2</v>
      </c>
      <c r="I135" s="85">
        <v>0</v>
      </c>
      <c r="J135" s="83">
        <f>F135</f>
        <v>0.5</v>
      </c>
      <c r="K135" s="83">
        <f>G135</f>
        <v>1.5</v>
      </c>
      <c r="L135" s="86">
        <v>1.8</v>
      </c>
    </row>
    <row r="136" spans="1:12" x14ac:dyDescent="0.25">
      <c r="A136" s="106" t="s">
        <v>106</v>
      </c>
      <c r="B136" s="2">
        <v>2.5</v>
      </c>
      <c r="C136" s="79">
        <v>2.5</v>
      </c>
      <c r="D136" s="80" t="s">
        <v>106</v>
      </c>
      <c r="E136" s="87">
        <v>1.5</v>
      </c>
      <c r="F136" s="111">
        <f>C136-0.5</f>
        <v>2</v>
      </c>
      <c r="G136">
        <f>C136+0.5</f>
        <v>3</v>
      </c>
      <c r="H136" s="88">
        <f t="shared" ref="H136:H138" si="102">G136+1.5</f>
        <v>4.5</v>
      </c>
      <c r="I136" s="89">
        <v>1.7</v>
      </c>
      <c r="J136">
        <f t="shared" ref="J136:K138" si="103">F136</f>
        <v>2</v>
      </c>
      <c r="K136">
        <f t="shared" si="103"/>
        <v>3</v>
      </c>
      <c r="L136" s="90">
        <f t="shared" ref="L136:L138" si="104">K136+1</f>
        <v>4</v>
      </c>
    </row>
    <row r="137" spans="1:12" x14ac:dyDescent="0.25">
      <c r="A137" s="106" t="s">
        <v>105</v>
      </c>
      <c r="B137" s="2">
        <v>5</v>
      </c>
      <c r="C137" s="79">
        <v>5</v>
      </c>
      <c r="D137" s="80" t="s">
        <v>105</v>
      </c>
      <c r="E137" s="87">
        <f t="shared" ref="E137:E138" si="105">F137-1.5</f>
        <v>3</v>
      </c>
      <c r="F137" s="111">
        <f>C137-0.5</f>
        <v>4.5</v>
      </c>
      <c r="G137">
        <f>C137+0.5</f>
        <v>5.5</v>
      </c>
      <c r="H137" s="88">
        <f t="shared" si="102"/>
        <v>7</v>
      </c>
      <c r="I137" s="89">
        <f t="shared" ref="I137:I138" si="106">J137-1</f>
        <v>3.5</v>
      </c>
      <c r="J137">
        <f t="shared" si="103"/>
        <v>4.5</v>
      </c>
      <c r="K137">
        <f t="shared" si="103"/>
        <v>5.5</v>
      </c>
      <c r="L137" s="90">
        <f t="shared" si="104"/>
        <v>6.5</v>
      </c>
    </row>
    <row r="138" spans="1:12" ht="15.75" thickBot="1" x14ac:dyDescent="0.3">
      <c r="A138" s="106" t="s">
        <v>104</v>
      </c>
      <c r="B138" s="2">
        <v>7.5</v>
      </c>
      <c r="C138" s="79">
        <v>7.5</v>
      </c>
      <c r="D138" s="80" t="s">
        <v>104</v>
      </c>
      <c r="E138" s="91">
        <f t="shared" si="105"/>
        <v>5.5</v>
      </c>
      <c r="F138" s="92">
        <f>C138-0.5</f>
        <v>7</v>
      </c>
      <c r="G138" s="93">
        <f>C138+0.5</f>
        <v>8</v>
      </c>
      <c r="H138" s="94">
        <f t="shared" si="102"/>
        <v>9.5</v>
      </c>
      <c r="I138" s="95">
        <f t="shared" si="106"/>
        <v>6</v>
      </c>
      <c r="J138" s="93">
        <f t="shared" si="103"/>
        <v>7</v>
      </c>
      <c r="K138" s="93">
        <f t="shared" si="103"/>
        <v>8</v>
      </c>
      <c r="L138" s="96">
        <f t="shared" si="104"/>
        <v>9</v>
      </c>
    </row>
    <row r="140" spans="1:12" ht="15.75" thickBot="1" x14ac:dyDescent="0.3">
      <c r="A140" s="1" t="s">
        <v>202</v>
      </c>
    </row>
    <row r="141" spans="1:12" ht="67.5" customHeight="1" thickBot="1" x14ac:dyDescent="0.3">
      <c r="A141" s="114" t="s">
        <v>117</v>
      </c>
      <c r="B141" s="113" t="s">
        <v>99</v>
      </c>
      <c r="C141" s="115" t="s">
        <v>108</v>
      </c>
      <c r="D141" s="116" t="s">
        <v>203</v>
      </c>
      <c r="E141" s="283" t="s">
        <v>126</v>
      </c>
      <c r="F141" s="284"/>
      <c r="G141" s="284"/>
      <c r="H141" s="284"/>
      <c r="I141" s="284"/>
      <c r="J141" s="284"/>
      <c r="K141" s="284"/>
      <c r="L141" s="285"/>
    </row>
    <row r="142" spans="1:12" x14ac:dyDescent="0.25">
      <c r="A142" s="125" t="s">
        <v>114</v>
      </c>
      <c r="B142" s="117" t="s">
        <v>100</v>
      </c>
      <c r="C142" s="118" t="s">
        <v>106</v>
      </c>
      <c r="D142" s="150">
        <v>2.5</v>
      </c>
      <c r="E142" s="87">
        <v>1.5</v>
      </c>
      <c r="F142" s="111">
        <v>2</v>
      </c>
      <c r="G142">
        <v>3</v>
      </c>
      <c r="H142" s="88">
        <v>4.5</v>
      </c>
      <c r="I142" s="89">
        <v>1.7</v>
      </c>
      <c r="J142">
        <v>2</v>
      </c>
      <c r="K142">
        <v>3</v>
      </c>
      <c r="L142" s="90">
        <v>4</v>
      </c>
    </row>
    <row r="143" spans="1:12" x14ac:dyDescent="0.25">
      <c r="A143" s="126" t="s">
        <v>115</v>
      </c>
      <c r="B143" s="104" t="s">
        <v>101</v>
      </c>
      <c r="C143" s="2" t="s">
        <v>105</v>
      </c>
      <c r="D143" s="150">
        <v>5</v>
      </c>
      <c r="E143" s="87">
        <v>3</v>
      </c>
      <c r="F143" s="111">
        <v>4.5</v>
      </c>
      <c r="G143">
        <v>5.5</v>
      </c>
      <c r="H143" s="88">
        <v>7</v>
      </c>
      <c r="I143" s="89">
        <v>3.5</v>
      </c>
      <c r="J143">
        <v>4.5</v>
      </c>
      <c r="K143">
        <v>5.5</v>
      </c>
      <c r="L143" s="90">
        <v>6.5</v>
      </c>
    </row>
    <row r="144" spans="1:12" ht="15.75" thickBot="1" x14ac:dyDescent="0.3">
      <c r="A144" s="127" t="s">
        <v>116</v>
      </c>
      <c r="B144" s="119" t="s">
        <v>102</v>
      </c>
      <c r="C144" s="120" t="s">
        <v>104</v>
      </c>
      <c r="D144" s="150">
        <v>7.5</v>
      </c>
      <c r="E144" s="91">
        <v>5.5</v>
      </c>
      <c r="F144" s="92">
        <v>7</v>
      </c>
      <c r="G144" s="93">
        <v>8</v>
      </c>
      <c r="H144" s="94">
        <v>9.5</v>
      </c>
      <c r="I144" s="95">
        <v>6</v>
      </c>
      <c r="J144" s="93">
        <v>7</v>
      </c>
      <c r="K144" s="93">
        <v>8</v>
      </c>
      <c r="L144" s="96">
        <v>9</v>
      </c>
    </row>
    <row r="146" spans="1:12" ht="15.75" thickBot="1" x14ac:dyDescent="0.3">
      <c r="A146" s="1" t="s">
        <v>204</v>
      </c>
    </row>
    <row r="147" spans="1:12" ht="30.75" thickBot="1" x14ac:dyDescent="0.3">
      <c r="A147" s="171" t="s">
        <v>132</v>
      </c>
      <c r="B147" s="172" t="s">
        <v>133</v>
      </c>
      <c r="E147" s="283" t="s">
        <v>134</v>
      </c>
      <c r="F147" s="284"/>
      <c r="G147" s="284"/>
      <c r="H147" s="284"/>
      <c r="I147" s="284"/>
      <c r="J147" s="284"/>
      <c r="K147" s="284"/>
      <c r="L147" s="285"/>
    </row>
    <row r="148" spans="1:12" x14ac:dyDescent="0.25">
      <c r="A148" s="125" t="s">
        <v>129</v>
      </c>
      <c r="B148" s="130" t="s">
        <v>107</v>
      </c>
      <c r="D148" s="133" t="s">
        <v>138</v>
      </c>
      <c r="E148" s="81">
        <f>E128*F$142+E$142*F128-F128*F$142</f>
        <v>0</v>
      </c>
      <c r="F148" s="83">
        <f>F128*F$142</f>
        <v>0</v>
      </c>
      <c r="G148" s="83">
        <f>G128*G$142</f>
        <v>0</v>
      </c>
      <c r="H148" s="84">
        <f>G128*H$142+G$142*H128-G128*G$142</f>
        <v>0.66</v>
      </c>
      <c r="I148" s="81">
        <f>I128*J$142+I$142*J128-J128*J$142</f>
        <v>0</v>
      </c>
      <c r="J148" s="83">
        <f>J128*J$142</f>
        <v>0</v>
      </c>
      <c r="K148" s="83">
        <f>K128*K$142</f>
        <v>0</v>
      </c>
      <c r="L148" s="84">
        <f>K128*L$142+K$142*L128-K128*K$142</f>
        <v>0.44999999999999996</v>
      </c>
    </row>
    <row r="149" spans="1:12" x14ac:dyDescent="0.25">
      <c r="A149" s="126" t="s">
        <v>129</v>
      </c>
      <c r="B149" s="131" t="s">
        <v>106</v>
      </c>
      <c r="D149" s="134" t="s">
        <v>137</v>
      </c>
      <c r="E149" s="187">
        <f t="shared" ref="E149:E151" si="107">E129*F$142+E$142*F129-F129*F$142</f>
        <v>-0.10999999999999999</v>
      </c>
      <c r="F149" s="179">
        <f t="shared" ref="F149:G151" si="108">F129*F$142</f>
        <v>0.44000000000000006</v>
      </c>
      <c r="G149" s="179">
        <f t="shared" si="108"/>
        <v>1.32</v>
      </c>
      <c r="H149" s="188">
        <f t="shared" ref="H149:H151" si="109">G129*H$142+G$142*H129-G129*G$142</f>
        <v>2.3099999999999996</v>
      </c>
      <c r="I149" s="187">
        <f t="shared" ref="I149:I151" si="110">I129*J$142+I$142*J129-J129*J$142</f>
        <v>5.3999999999999992E-2</v>
      </c>
      <c r="J149" s="179">
        <f t="shared" ref="J149:K151" si="111">J129*J$142</f>
        <v>0.44000000000000006</v>
      </c>
      <c r="K149" s="179">
        <f t="shared" si="111"/>
        <v>1.32</v>
      </c>
      <c r="L149" s="188">
        <f t="shared" ref="L149:L151" si="112">K129*L$142+K$142*L129-K129*K$142</f>
        <v>2</v>
      </c>
    </row>
    <row r="150" spans="1:12" x14ac:dyDescent="0.25">
      <c r="A150" s="126" t="s">
        <v>129</v>
      </c>
      <c r="B150" s="131" t="s">
        <v>105</v>
      </c>
      <c r="D150" s="134" t="s">
        <v>136</v>
      </c>
      <c r="E150" s="87">
        <f t="shared" si="107"/>
        <v>0.60499999999999998</v>
      </c>
      <c r="F150">
        <f t="shared" si="108"/>
        <v>1.1000000000000001</v>
      </c>
      <c r="G150">
        <f t="shared" si="108"/>
        <v>2.31</v>
      </c>
      <c r="H150" s="88">
        <f t="shared" si="109"/>
        <v>4.1549999999999994</v>
      </c>
      <c r="I150" s="87">
        <f t="shared" si="110"/>
        <v>0.77499999999999991</v>
      </c>
      <c r="J150">
        <f t="shared" si="111"/>
        <v>1.1000000000000001</v>
      </c>
      <c r="K150">
        <f t="shared" si="111"/>
        <v>2.31</v>
      </c>
      <c r="L150" s="88">
        <f t="shared" si="112"/>
        <v>3.53</v>
      </c>
    </row>
    <row r="151" spans="1:12" ht="15.75" thickBot="1" x14ac:dyDescent="0.3">
      <c r="A151" s="127" t="s">
        <v>129</v>
      </c>
      <c r="B151" s="132" t="s">
        <v>104</v>
      </c>
      <c r="D151" s="135" t="s">
        <v>135</v>
      </c>
      <c r="E151" s="91">
        <f t="shared" si="107"/>
        <v>1.04</v>
      </c>
      <c r="F151" s="93">
        <f t="shared" si="108"/>
        <v>2</v>
      </c>
      <c r="G151" s="93">
        <f t="shared" si="108"/>
        <v>3</v>
      </c>
      <c r="H151" s="94">
        <f t="shared" si="109"/>
        <v>4.5</v>
      </c>
      <c r="I151" s="91">
        <f t="shared" si="110"/>
        <v>1.3599999999999999</v>
      </c>
      <c r="J151" s="93">
        <f t="shared" si="111"/>
        <v>2</v>
      </c>
      <c r="K151" s="93">
        <f t="shared" si="111"/>
        <v>3</v>
      </c>
      <c r="L151" s="94">
        <f t="shared" si="112"/>
        <v>4</v>
      </c>
    </row>
    <row r="152" spans="1:12" x14ac:dyDescent="0.25">
      <c r="A152" s="125" t="s">
        <v>130</v>
      </c>
      <c r="B152" s="130" t="s">
        <v>107</v>
      </c>
      <c r="D152" s="133" t="s">
        <v>139</v>
      </c>
      <c r="E152" s="81">
        <f>E128*F$143+E$143*F128-F128*F$143</f>
        <v>0</v>
      </c>
      <c r="F152" s="83">
        <f>F128*F$143</f>
        <v>0</v>
      </c>
      <c r="G152" s="83">
        <f>G128*G$143</f>
        <v>0</v>
      </c>
      <c r="H152" s="84">
        <f>G128*H$143+G$143*H128-G128*G$143</f>
        <v>1.21</v>
      </c>
      <c r="I152" s="81">
        <f>I128*J$143+I$143*J128-J128*J$143</f>
        <v>0</v>
      </c>
      <c r="J152" s="83">
        <f>J128*J$143</f>
        <v>0</v>
      </c>
      <c r="K152" s="83">
        <f>K128*K$143</f>
        <v>0</v>
      </c>
      <c r="L152" s="84">
        <f>K128*L$143+K$143*L128-K128*K$143</f>
        <v>0.82499999999999996</v>
      </c>
    </row>
    <row r="153" spans="1:12" x14ac:dyDescent="0.25">
      <c r="A153" s="126" t="s">
        <v>130</v>
      </c>
      <c r="B153" s="131" t="s">
        <v>106</v>
      </c>
      <c r="D153" s="134" t="s">
        <v>144</v>
      </c>
      <c r="E153" s="187">
        <f t="shared" ref="E153:E155" si="113">E129*F$143+E$143*F129-F129*F$143</f>
        <v>-0.32999999999999996</v>
      </c>
      <c r="F153" s="179">
        <f t="shared" ref="F153:G155" si="114">F129*F$143</f>
        <v>0.9900000000000001</v>
      </c>
      <c r="G153" s="179">
        <f t="shared" si="114"/>
        <v>2.42</v>
      </c>
      <c r="H153" s="188">
        <f t="shared" ref="H153:H155" si="115">G129*H$143+G$143*H129-G129*G$143</f>
        <v>3.6850000000000005</v>
      </c>
      <c r="I153" s="187">
        <f t="shared" ref="I153:I155" si="116">I129*J$143+I$143*J129-J129*J$143</f>
        <v>4.9999999999999933E-2</v>
      </c>
      <c r="J153" s="179">
        <f t="shared" ref="J153:K155" si="117">J129*J$143</f>
        <v>0.9900000000000001</v>
      </c>
      <c r="K153" s="179">
        <f t="shared" si="117"/>
        <v>2.42</v>
      </c>
      <c r="L153" s="188">
        <f t="shared" ref="L153:L155" si="118">K129*L$143+K$143*L129-K129*K$143</f>
        <v>3.3000000000000007</v>
      </c>
    </row>
    <row r="154" spans="1:12" x14ac:dyDescent="0.25">
      <c r="A154" s="126" t="s">
        <v>130</v>
      </c>
      <c r="B154" s="131" t="s">
        <v>105</v>
      </c>
      <c r="D154" s="134" t="s">
        <v>145</v>
      </c>
      <c r="E154" s="87">
        <f t="shared" si="113"/>
        <v>1.1550000000000002</v>
      </c>
      <c r="F154">
        <f t="shared" si="114"/>
        <v>2.4750000000000001</v>
      </c>
      <c r="G154">
        <f t="shared" si="114"/>
        <v>4.2350000000000003</v>
      </c>
      <c r="H154" s="88">
        <f t="shared" si="115"/>
        <v>6.6550000000000002</v>
      </c>
      <c r="I154" s="87">
        <f t="shared" si="116"/>
        <v>1.5650000000000008</v>
      </c>
      <c r="J154">
        <f t="shared" si="117"/>
        <v>2.4750000000000001</v>
      </c>
      <c r="K154">
        <f t="shared" si="117"/>
        <v>4.2350000000000003</v>
      </c>
      <c r="L154" s="88">
        <f t="shared" si="118"/>
        <v>5.830000000000001</v>
      </c>
    </row>
    <row r="155" spans="1:12" ht="15.75" thickBot="1" x14ac:dyDescent="0.3">
      <c r="A155" s="127" t="s">
        <v>130</v>
      </c>
      <c r="B155" s="132" t="s">
        <v>104</v>
      </c>
      <c r="D155" s="135" t="s">
        <v>146</v>
      </c>
      <c r="E155" s="91">
        <f t="shared" si="113"/>
        <v>1.9649999999999999</v>
      </c>
      <c r="F155" s="93">
        <f t="shared" si="114"/>
        <v>4.5</v>
      </c>
      <c r="G155" s="93">
        <f t="shared" si="114"/>
        <v>5.5</v>
      </c>
      <c r="H155" s="94">
        <f t="shared" si="115"/>
        <v>7</v>
      </c>
      <c r="I155" s="91">
        <f t="shared" si="116"/>
        <v>2.7349999999999994</v>
      </c>
      <c r="J155" s="93">
        <f t="shared" si="117"/>
        <v>4.5</v>
      </c>
      <c r="K155" s="93">
        <f t="shared" si="117"/>
        <v>5.5</v>
      </c>
      <c r="L155" s="94">
        <f t="shared" si="118"/>
        <v>6.5</v>
      </c>
    </row>
    <row r="156" spans="1:12" x14ac:dyDescent="0.25">
      <c r="A156" s="125" t="s">
        <v>131</v>
      </c>
      <c r="B156" s="130" t="s">
        <v>107</v>
      </c>
      <c r="D156" s="133" t="s">
        <v>141</v>
      </c>
      <c r="E156" s="81">
        <f>E128*F$144+E$144*F128-F128*F$144</f>
        <v>0</v>
      </c>
      <c r="F156" s="83">
        <f>F128*F$144</f>
        <v>0</v>
      </c>
      <c r="G156" s="83">
        <f>G128*G$144</f>
        <v>0</v>
      </c>
      <c r="H156" s="84">
        <f>G128*H$144+G$144*H128-G128*G$144</f>
        <v>1.76</v>
      </c>
      <c r="I156" s="81">
        <f>I128*J$144+I$144*J128-J128*J$144</f>
        <v>0</v>
      </c>
      <c r="J156" s="83">
        <f>J128*J$144</f>
        <v>0</v>
      </c>
      <c r="K156" s="83">
        <f>K128*K$144</f>
        <v>0</v>
      </c>
      <c r="L156" s="84">
        <f>K128*L$144+K$144*L128-K128*K$144</f>
        <v>1.2</v>
      </c>
    </row>
    <row r="157" spans="1:12" x14ac:dyDescent="0.25">
      <c r="A157" s="126" t="s">
        <v>131</v>
      </c>
      <c r="B157" s="131" t="s">
        <v>106</v>
      </c>
      <c r="D157" s="134" t="s">
        <v>140</v>
      </c>
      <c r="E157" s="187">
        <f t="shared" ref="E157:E159" si="119">E129*F$144+E$144*F129-F129*F$144</f>
        <v>-0.33000000000000007</v>
      </c>
      <c r="F157" s="179">
        <f t="shared" ref="F157:G159" si="120">F129*F$144</f>
        <v>1.5400000000000003</v>
      </c>
      <c r="G157" s="179">
        <f t="shared" si="120"/>
        <v>3.52</v>
      </c>
      <c r="H157" s="188">
        <f t="shared" ref="H157:H159" si="121">G129*H$144+G$144*H129-G129*G$144</f>
        <v>5.0600000000000005</v>
      </c>
      <c r="I157" s="187">
        <f t="shared" ref="I157:I159" si="122">I129*J$144+I$144*J129-J129*J$144</f>
        <v>0.19999999999999996</v>
      </c>
      <c r="J157" s="179">
        <f t="shared" ref="J157:K159" si="123">J129*J$144</f>
        <v>1.5400000000000003</v>
      </c>
      <c r="K157" s="179">
        <f t="shared" si="123"/>
        <v>3.52</v>
      </c>
      <c r="L157" s="188">
        <f t="shared" ref="L157:L159" si="124">K129*L$144+K$144*L129-K129*K$144</f>
        <v>4.6000000000000014</v>
      </c>
    </row>
    <row r="158" spans="1:12" x14ac:dyDescent="0.25">
      <c r="A158" s="126" t="s">
        <v>131</v>
      </c>
      <c r="B158" s="131" t="s">
        <v>105</v>
      </c>
      <c r="D158" s="134" t="s">
        <v>142</v>
      </c>
      <c r="E158" s="87">
        <f t="shared" si="119"/>
        <v>2.2549999999999999</v>
      </c>
      <c r="F158">
        <f t="shared" si="120"/>
        <v>3.8500000000000005</v>
      </c>
      <c r="G158">
        <f t="shared" si="120"/>
        <v>6.16</v>
      </c>
      <c r="H158" s="88">
        <f t="shared" si="121"/>
        <v>9.1550000000000011</v>
      </c>
      <c r="I158" s="87">
        <f t="shared" si="122"/>
        <v>2.7399999999999993</v>
      </c>
      <c r="J158">
        <f t="shared" si="123"/>
        <v>3.8500000000000005</v>
      </c>
      <c r="K158">
        <f t="shared" si="123"/>
        <v>6.16</v>
      </c>
      <c r="L158" s="88">
        <f t="shared" si="124"/>
        <v>8.129999999999999</v>
      </c>
    </row>
    <row r="159" spans="1:12" ht="15.75" thickBot="1" x14ac:dyDescent="0.3">
      <c r="A159" s="127" t="s">
        <v>131</v>
      </c>
      <c r="B159" s="132" t="s">
        <v>104</v>
      </c>
      <c r="D159" s="135" t="s">
        <v>143</v>
      </c>
      <c r="E159" s="91">
        <f t="shared" si="119"/>
        <v>3.8900000000000006</v>
      </c>
      <c r="F159" s="93">
        <f t="shared" si="120"/>
        <v>7</v>
      </c>
      <c r="G159" s="93">
        <f t="shared" si="120"/>
        <v>8</v>
      </c>
      <c r="H159" s="94">
        <f t="shared" si="121"/>
        <v>9.5</v>
      </c>
      <c r="I159" s="91">
        <f t="shared" si="122"/>
        <v>4.8099999999999987</v>
      </c>
      <c r="J159" s="93">
        <f t="shared" si="123"/>
        <v>7</v>
      </c>
      <c r="K159" s="93">
        <f t="shared" si="123"/>
        <v>8</v>
      </c>
      <c r="L159" s="94">
        <f t="shared" si="124"/>
        <v>9</v>
      </c>
    </row>
    <row r="161" spans="1:3" x14ac:dyDescent="0.25">
      <c r="A161" s="1" t="s">
        <v>221</v>
      </c>
    </row>
    <row r="162" spans="1:3" ht="15.75" thickBot="1" x14ac:dyDescent="0.3">
      <c r="A162" s="1" t="s">
        <v>206</v>
      </c>
    </row>
    <row r="163" spans="1:3" ht="15.75" thickBot="1" x14ac:dyDescent="0.3">
      <c r="A163" s="170" t="s">
        <v>175</v>
      </c>
      <c r="B163" s="192" t="s">
        <v>224</v>
      </c>
      <c r="C163" s="192" t="s">
        <v>225</v>
      </c>
    </row>
    <row r="164" spans="1:3" x14ac:dyDescent="0.25">
      <c r="A164" s="191" t="s">
        <v>176</v>
      </c>
      <c r="B164" s="173">
        <v>1</v>
      </c>
      <c r="C164" s="174">
        <f>B164/B$166</f>
        <v>0.5</v>
      </c>
    </row>
    <row r="165" spans="1:3" ht="15.75" thickBot="1" x14ac:dyDescent="0.3">
      <c r="A165" s="28" t="s">
        <v>177</v>
      </c>
      <c r="B165" s="18">
        <v>1</v>
      </c>
      <c r="C165" s="20">
        <f>B165/B$166</f>
        <v>0.5</v>
      </c>
    </row>
    <row r="166" spans="1:3" ht="15.75" thickBot="1" x14ac:dyDescent="0.3">
      <c r="A166" s="29" t="s">
        <v>223</v>
      </c>
      <c r="B166" s="193">
        <f>SUM(B164:B165)</f>
        <v>2</v>
      </c>
      <c r="C166" s="194">
        <f>SUM(C164:C165)</f>
        <v>1</v>
      </c>
    </row>
    <row r="168" spans="1:3" x14ac:dyDescent="0.25">
      <c r="A168" s="1" t="s">
        <v>222</v>
      </c>
    </row>
    <row r="169" spans="1:3" ht="15.75" thickBot="1" x14ac:dyDescent="0.3">
      <c r="A169" s="1" t="s">
        <v>208</v>
      </c>
    </row>
    <row r="170" spans="1:3" ht="15" customHeight="1" thickBot="1" x14ac:dyDescent="0.3">
      <c r="A170" s="178" t="s">
        <v>175</v>
      </c>
      <c r="B170" s="114" t="s">
        <v>224</v>
      </c>
      <c r="C170" s="198" t="s">
        <v>225</v>
      </c>
    </row>
    <row r="171" spans="1:3" x14ac:dyDescent="0.25">
      <c r="A171" s="191" t="s">
        <v>176</v>
      </c>
      <c r="B171" s="26">
        <v>0.75</v>
      </c>
      <c r="C171" s="199">
        <f>B171/B$174</f>
        <v>0.3</v>
      </c>
    </row>
    <row r="172" spans="1:3" x14ac:dyDescent="0.25">
      <c r="A172" s="27" t="s">
        <v>177</v>
      </c>
      <c r="B172" s="27">
        <v>0.75</v>
      </c>
      <c r="C172" s="161">
        <f t="shared" ref="C172:C173" si="125">B172/B$174</f>
        <v>0.3</v>
      </c>
    </row>
    <row r="173" spans="1:3" ht="15.75" thickBot="1" x14ac:dyDescent="0.3">
      <c r="A173" s="195" t="s">
        <v>207</v>
      </c>
      <c r="B173" s="195">
        <v>1</v>
      </c>
      <c r="C173" s="162">
        <f t="shared" si="125"/>
        <v>0.4</v>
      </c>
    </row>
    <row r="174" spans="1:3" ht="15.75" thickBot="1" x14ac:dyDescent="0.3">
      <c r="A174" s="29" t="s">
        <v>223</v>
      </c>
      <c r="B174" s="196">
        <f>SUM(B171:B173)</f>
        <v>2.5</v>
      </c>
      <c r="C174" s="197">
        <f>SUM(C171:C173)</f>
        <v>1</v>
      </c>
    </row>
    <row r="176" spans="1:3" ht="15.75" thickBot="1" x14ac:dyDescent="0.3">
      <c r="A176" t="s">
        <v>212</v>
      </c>
    </row>
    <row r="177" spans="1:32" ht="15.75" thickBot="1" x14ac:dyDescent="0.3">
      <c r="A177" s="304" t="s">
        <v>86</v>
      </c>
      <c r="B177" s="303" t="s">
        <v>209</v>
      </c>
      <c r="C177" s="306"/>
      <c r="D177" s="306"/>
      <c r="E177" s="306"/>
      <c r="F177" s="306"/>
      <c r="G177" s="306"/>
      <c r="H177" s="306"/>
      <c r="I177" s="307"/>
      <c r="J177" s="303" t="s">
        <v>210</v>
      </c>
      <c r="K177" s="306"/>
      <c r="L177" s="306"/>
      <c r="M177" s="306"/>
      <c r="N177" s="306"/>
      <c r="O177" s="306"/>
      <c r="P177" s="306"/>
      <c r="Q177" s="307"/>
      <c r="R177" s="303" t="s">
        <v>211</v>
      </c>
      <c r="S177" s="306"/>
      <c r="T177" s="306"/>
      <c r="U177" s="306"/>
      <c r="V177" s="306"/>
      <c r="W177" s="306"/>
      <c r="X177" s="306"/>
      <c r="Y177" s="307"/>
    </row>
    <row r="178" spans="1:32" ht="33.75" customHeight="1" thickBot="1" x14ac:dyDescent="0.3">
      <c r="A178" s="305"/>
      <c r="B178" s="300" t="s">
        <v>17</v>
      </c>
      <c r="C178" s="301"/>
      <c r="D178" s="301"/>
      <c r="E178" s="302"/>
      <c r="F178" s="303" t="s">
        <v>18</v>
      </c>
      <c r="G178" s="301"/>
      <c r="H178" s="301"/>
      <c r="I178" s="302"/>
      <c r="J178" s="300" t="s">
        <v>17</v>
      </c>
      <c r="K178" s="301"/>
      <c r="L178" s="301"/>
      <c r="M178" s="302"/>
      <c r="N178" s="303" t="s">
        <v>18</v>
      </c>
      <c r="O178" s="301"/>
      <c r="P178" s="301"/>
      <c r="Q178" s="302"/>
      <c r="R178" s="300" t="s">
        <v>17</v>
      </c>
      <c r="S178" s="301"/>
      <c r="T178" s="301"/>
      <c r="U178" s="302"/>
      <c r="V178" s="303" t="s">
        <v>18</v>
      </c>
      <c r="W178" s="301"/>
      <c r="X178" s="301"/>
      <c r="Y178" s="302"/>
    </row>
    <row r="179" spans="1:32" x14ac:dyDescent="0.25">
      <c r="A179" s="169" t="s">
        <v>84</v>
      </c>
      <c r="B179" s="11">
        <f t="shared" ref="B179:B188" si="126">BG11</f>
        <v>6.4600000000000009</v>
      </c>
      <c r="C179" s="12">
        <f t="shared" ref="C179:C188" si="127">BH11</f>
        <v>12.6</v>
      </c>
      <c r="D179" s="12">
        <f t="shared" ref="D179:D188" si="128">BI11</f>
        <v>15.81</v>
      </c>
      <c r="E179" s="13">
        <f t="shared" ref="E179:E188" si="129">BJ11</f>
        <v>20.655000000000001</v>
      </c>
      <c r="F179" s="11">
        <f t="shared" ref="F179:F188" si="130">BK11</f>
        <v>8.3199999999999985</v>
      </c>
      <c r="G179" s="12">
        <f t="shared" ref="G179:G188" si="131">BL11</f>
        <v>12.6</v>
      </c>
      <c r="H179" s="12">
        <f t="shared" ref="H179:H188" si="132">BM11</f>
        <v>15.81</v>
      </c>
      <c r="I179" s="166">
        <f t="shared" ref="I179:I188" si="133">BN11</f>
        <v>19.03</v>
      </c>
      <c r="J179" s="11">
        <f t="shared" ref="J179:J188" si="134">BG63</f>
        <v>3.8899999999999997</v>
      </c>
      <c r="K179" s="12">
        <f t="shared" ref="K179:K188" si="135">BH63</f>
        <v>9.89</v>
      </c>
      <c r="L179" s="12">
        <f t="shared" ref="L179:L188" si="136">BI63</f>
        <v>15.18</v>
      </c>
      <c r="M179" s="13">
        <f t="shared" ref="M179:M188" si="137">BJ63</f>
        <v>21.215000000000003</v>
      </c>
      <c r="N179" s="11">
        <f t="shared" ref="N179:N188" si="138">BK63</f>
        <v>5.6749999999999989</v>
      </c>
      <c r="O179" s="12">
        <f t="shared" ref="O179:O188" si="139">BL63</f>
        <v>9.89</v>
      </c>
      <c r="P179" s="12">
        <f t="shared" ref="P179:P188" si="140">BM63</f>
        <v>15.18</v>
      </c>
      <c r="Q179" s="13">
        <f t="shared" ref="Q179:Q188" si="141">BN63</f>
        <v>19.23</v>
      </c>
      <c r="R179" s="11">
        <f t="shared" ref="R179:R188" si="142">BG115</f>
        <v>4.9350000000000005</v>
      </c>
      <c r="S179" s="12">
        <f t="shared" ref="S179:S188" si="143">BH115</f>
        <v>9.9149999999999991</v>
      </c>
      <c r="T179" s="12">
        <f t="shared" ref="T179:T188" si="144">BI115</f>
        <v>13.555</v>
      </c>
      <c r="U179" s="13">
        <f t="shared" ref="U179:U188" si="145">BJ115</f>
        <v>18.465</v>
      </c>
      <c r="V179" s="11">
        <f t="shared" ref="V179:V188" si="146">BK115</f>
        <v>6.4289999999999994</v>
      </c>
      <c r="W179" s="12">
        <f t="shared" ref="W179:W188" si="147">BL115</f>
        <v>9.9149999999999991</v>
      </c>
      <c r="X179" s="12">
        <f t="shared" ref="X179:X188" si="148">BM115</f>
        <v>13.555</v>
      </c>
      <c r="Y179" s="13">
        <f t="shared" ref="Y179:Y188" si="149">BN115</f>
        <v>16.830000000000002</v>
      </c>
    </row>
    <row r="180" spans="1:32" x14ac:dyDescent="0.25">
      <c r="A180" s="164" t="s">
        <v>73</v>
      </c>
      <c r="B180" s="9">
        <f t="shared" si="126"/>
        <v>0.71500000000000019</v>
      </c>
      <c r="C180" s="2">
        <f t="shared" si="127"/>
        <v>4.4550000000000001</v>
      </c>
      <c r="D180" s="2">
        <f t="shared" si="128"/>
        <v>9.0749999999999993</v>
      </c>
      <c r="E180" s="10">
        <f t="shared" si="129"/>
        <v>14.025</v>
      </c>
      <c r="F180" s="9">
        <f t="shared" si="130"/>
        <v>1.8190000000000008</v>
      </c>
      <c r="G180" s="2">
        <f t="shared" si="131"/>
        <v>4.4550000000000001</v>
      </c>
      <c r="H180" s="2">
        <f t="shared" si="132"/>
        <v>9.0749999999999993</v>
      </c>
      <c r="I180" s="159">
        <f t="shared" si="133"/>
        <v>12.430000000000003</v>
      </c>
      <c r="J180" s="9">
        <f t="shared" si="134"/>
        <v>0.49500000000000011</v>
      </c>
      <c r="K180" s="2">
        <f t="shared" si="135"/>
        <v>5.5550000000000006</v>
      </c>
      <c r="L180" s="2">
        <f t="shared" si="136"/>
        <v>11.275</v>
      </c>
      <c r="M180" s="10">
        <f t="shared" si="137"/>
        <v>16.775000000000002</v>
      </c>
      <c r="N180" s="9">
        <f t="shared" si="138"/>
        <v>1.9650000000000007</v>
      </c>
      <c r="O180" s="2">
        <f t="shared" si="139"/>
        <v>5.5550000000000006</v>
      </c>
      <c r="P180" s="2">
        <f t="shared" si="140"/>
        <v>11.275</v>
      </c>
      <c r="Q180" s="10">
        <f t="shared" si="141"/>
        <v>15.030000000000005</v>
      </c>
      <c r="R180" s="180">
        <f t="shared" si="142"/>
        <v>-5.5000000000000049E-2</v>
      </c>
      <c r="S180" s="181">
        <f t="shared" si="143"/>
        <v>3.6300000000000008</v>
      </c>
      <c r="T180" s="181">
        <f t="shared" si="144"/>
        <v>8.25</v>
      </c>
      <c r="U180" s="182">
        <f t="shared" si="145"/>
        <v>12.9</v>
      </c>
      <c r="V180" s="180">
        <f t="shared" si="146"/>
        <v>1.0249999999999999</v>
      </c>
      <c r="W180" s="181">
        <f t="shared" si="147"/>
        <v>3.6300000000000008</v>
      </c>
      <c r="X180" s="181">
        <f t="shared" si="148"/>
        <v>8.25</v>
      </c>
      <c r="Y180" s="182">
        <f t="shared" si="149"/>
        <v>11.430000000000001</v>
      </c>
    </row>
    <row r="181" spans="1:32" x14ac:dyDescent="0.25">
      <c r="A181" s="164" t="s">
        <v>74</v>
      </c>
      <c r="B181" s="9">
        <f t="shared" si="126"/>
        <v>4.0150000000000006</v>
      </c>
      <c r="C181" s="2">
        <f t="shared" si="127"/>
        <v>7.4250000000000007</v>
      </c>
      <c r="D181" s="2">
        <f t="shared" si="128"/>
        <v>12.705000000000002</v>
      </c>
      <c r="E181" s="10">
        <f t="shared" si="129"/>
        <v>19.965</v>
      </c>
      <c r="F181" s="9">
        <f t="shared" si="130"/>
        <v>5.08</v>
      </c>
      <c r="G181" s="2">
        <f t="shared" si="131"/>
        <v>7.4250000000000007</v>
      </c>
      <c r="H181" s="2">
        <f t="shared" si="132"/>
        <v>12.705000000000002</v>
      </c>
      <c r="I181" s="159">
        <f t="shared" si="133"/>
        <v>17.489999999999998</v>
      </c>
      <c r="J181" s="9">
        <f t="shared" si="134"/>
        <v>7.3000000000000007</v>
      </c>
      <c r="K181" s="2">
        <f t="shared" si="135"/>
        <v>13.325000000000001</v>
      </c>
      <c r="L181" s="2">
        <f t="shared" si="136"/>
        <v>18.395</v>
      </c>
      <c r="M181" s="10">
        <f t="shared" si="137"/>
        <v>25.310000000000002</v>
      </c>
      <c r="N181" s="9">
        <f t="shared" si="138"/>
        <v>9.1149999999999984</v>
      </c>
      <c r="O181" s="2">
        <f t="shared" si="139"/>
        <v>13.325000000000001</v>
      </c>
      <c r="P181" s="2">
        <f t="shared" si="140"/>
        <v>18.395</v>
      </c>
      <c r="Q181" s="10">
        <f t="shared" si="141"/>
        <v>22.96</v>
      </c>
      <c r="R181" s="9">
        <f t="shared" si="142"/>
        <v>4.8249999999999993</v>
      </c>
      <c r="S181" s="2">
        <f t="shared" si="143"/>
        <v>9.4499999999999993</v>
      </c>
      <c r="T181" s="2">
        <f t="shared" si="144"/>
        <v>13.97</v>
      </c>
      <c r="U181" s="10">
        <f t="shared" si="145"/>
        <v>20.310000000000002</v>
      </c>
      <c r="V181" s="9">
        <f t="shared" si="146"/>
        <v>6.2499999999999982</v>
      </c>
      <c r="W181" s="2">
        <f t="shared" si="147"/>
        <v>9.4499999999999993</v>
      </c>
      <c r="X181" s="2">
        <f t="shared" si="148"/>
        <v>13.97</v>
      </c>
      <c r="Y181" s="10">
        <f t="shared" si="149"/>
        <v>18.159999999999997</v>
      </c>
    </row>
    <row r="182" spans="1:32" x14ac:dyDescent="0.25">
      <c r="A182" s="164" t="s">
        <v>75</v>
      </c>
      <c r="B182" s="9">
        <f t="shared" si="126"/>
        <v>5.6500000000000012</v>
      </c>
      <c r="C182" s="2">
        <f t="shared" si="127"/>
        <v>10.574999999999999</v>
      </c>
      <c r="D182" s="2">
        <f t="shared" si="128"/>
        <v>14.545000000000002</v>
      </c>
      <c r="E182" s="10">
        <f t="shared" si="129"/>
        <v>20.309999999999999</v>
      </c>
      <c r="F182" s="9">
        <f t="shared" si="130"/>
        <v>7.15</v>
      </c>
      <c r="G182" s="2">
        <f t="shared" si="131"/>
        <v>10.574999999999999</v>
      </c>
      <c r="H182" s="2">
        <f t="shared" si="132"/>
        <v>14.545000000000002</v>
      </c>
      <c r="I182" s="159">
        <f t="shared" si="133"/>
        <v>18.36</v>
      </c>
      <c r="J182" s="9">
        <f t="shared" si="134"/>
        <v>5.8150000000000004</v>
      </c>
      <c r="K182" s="2">
        <f t="shared" si="135"/>
        <v>11.840000000000002</v>
      </c>
      <c r="L182" s="2">
        <f t="shared" si="136"/>
        <v>16.579999999999998</v>
      </c>
      <c r="M182" s="10">
        <f t="shared" si="137"/>
        <v>22.340000000000003</v>
      </c>
      <c r="N182" s="9">
        <f t="shared" si="138"/>
        <v>7.5999999999999979</v>
      </c>
      <c r="O182" s="2">
        <f t="shared" si="139"/>
        <v>11.840000000000002</v>
      </c>
      <c r="P182" s="2">
        <f t="shared" si="140"/>
        <v>16.579999999999998</v>
      </c>
      <c r="Q182" s="10">
        <f t="shared" si="141"/>
        <v>20.43</v>
      </c>
      <c r="R182" s="9">
        <f t="shared" si="142"/>
        <v>1.8650000000000002</v>
      </c>
      <c r="S182" s="2">
        <f t="shared" si="143"/>
        <v>6.0149999999999997</v>
      </c>
      <c r="T182" s="2">
        <f t="shared" si="144"/>
        <v>10.755000000000001</v>
      </c>
      <c r="U182" s="10">
        <f t="shared" si="145"/>
        <v>16.215000000000003</v>
      </c>
      <c r="V182" s="9">
        <f t="shared" si="146"/>
        <v>3.1250000000000009</v>
      </c>
      <c r="W182" s="2">
        <f t="shared" si="147"/>
        <v>6.0149999999999997</v>
      </c>
      <c r="X182" s="2">
        <f t="shared" si="148"/>
        <v>10.755000000000001</v>
      </c>
      <c r="Y182" s="10">
        <f t="shared" si="149"/>
        <v>14.430000000000003</v>
      </c>
    </row>
    <row r="183" spans="1:32" x14ac:dyDescent="0.25">
      <c r="A183" s="164" t="s">
        <v>77</v>
      </c>
      <c r="B183" s="9">
        <f t="shared" si="126"/>
        <v>4.45</v>
      </c>
      <c r="C183" s="2">
        <f t="shared" si="127"/>
        <v>8.3250000000000011</v>
      </c>
      <c r="D183" s="2">
        <f t="shared" si="128"/>
        <v>13.395</v>
      </c>
      <c r="E183" s="10">
        <f t="shared" si="129"/>
        <v>20.310000000000002</v>
      </c>
      <c r="F183" s="9">
        <f t="shared" si="130"/>
        <v>5.6650000000000009</v>
      </c>
      <c r="G183" s="2">
        <f t="shared" si="131"/>
        <v>8.3250000000000011</v>
      </c>
      <c r="H183" s="2">
        <f t="shared" si="132"/>
        <v>13.395</v>
      </c>
      <c r="I183" s="159">
        <f t="shared" si="133"/>
        <v>17.96</v>
      </c>
      <c r="J183" s="9">
        <f t="shared" si="134"/>
        <v>7.3000000000000007</v>
      </c>
      <c r="K183" s="2">
        <f t="shared" si="135"/>
        <v>13.325000000000001</v>
      </c>
      <c r="L183" s="2">
        <f t="shared" si="136"/>
        <v>18.395</v>
      </c>
      <c r="M183" s="10">
        <f t="shared" si="137"/>
        <v>25.310000000000002</v>
      </c>
      <c r="N183" s="9">
        <f t="shared" si="138"/>
        <v>9.1149999999999984</v>
      </c>
      <c r="O183" s="2">
        <f t="shared" si="139"/>
        <v>13.325000000000001</v>
      </c>
      <c r="P183" s="2">
        <f t="shared" si="140"/>
        <v>18.395</v>
      </c>
      <c r="Q183" s="10">
        <f t="shared" si="141"/>
        <v>22.96</v>
      </c>
      <c r="R183" s="9">
        <f t="shared" si="142"/>
        <v>2.2399999999999998</v>
      </c>
      <c r="S183" s="2">
        <f t="shared" si="143"/>
        <v>7.14</v>
      </c>
      <c r="T183" s="2">
        <f t="shared" si="144"/>
        <v>11.33</v>
      </c>
      <c r="U183" s="10">
        <f t="shared" si="145"/>
        <v>16.215</v>
      </c>
      <c r="V183" s="9">
        <f t="shared" si="146"/>
        <v>3.7099999999999991</v>
      </c>
      <c r="W183" s="2">
        <f t="shared" si="147"/>
        <v>7.14</v>
      </c>
      <c r="X183" s="2">
        <f t="shared" si="148"/>
        <v>11.33</v>
      </c>
      <c r="Y183" s="10">
        <f t="shared" si="149"/>
        <v>14.63</v>
      </c>
    </row>
    <row r="184" spans="1:32" x14ac:dyDescent="0.25">
      <c r="A184" s="164" t="s">
        <v>78</v>
      </c>
      <c r="B184" s="9">
        <f t="shared" si="126"/>
        <v>4.1650000000000009</v>
      </c>
      <c r="C184" s="2">
        <f t="shared" si="127"/>
        <v>9.09</v>
      </c>
      <c r="D184" s="2">
        <f t="shared" si="128"/>
        <v>12.73</v>
      </c>
      <c r="E184" s="10">
        <f t="shared" si="129"/>
        <v>17.34</v>
      </c>
      <c r="F184" s="9">
        <f t="shared" si="130"/>
        <v>5.6349999999999989</v>
      </c>
      <c r="G184" s="2">
        <f t="shared" si="131"/>
        <v>9.09</v>
      </c>
      <c r="H184" s="2">
        <f t="shared" si="132"/>
        <v>12.73</v>
      </c>
      <c r="I184" s="159">
        <f t="shared" si="133"/>
        <v>15.83</v>
      </c>
      <c r="J184" s="9">
        <f t="shared" si="134"/>
        <v>5.8150000000000004</v>
      </c>
      <c r="K184" s="2">
        <f t="shared" si="135"/>
        <v>11.840000000000002</v>
      </c>
      <c r="L184" s="2">
        <f t="shared" si="136"/>
        <v>16.579999999999998</v>
      </c>
      <c r="M184" s="10">
        <f t="shared" si="137"/>
        <v>22.340000000000003</v>
      </c>
      <c r="N184" s="9">
        <f t="shared" si="138"/>
        <v>7.5999999999999979</v>
      </c>
      <c r="O184" s="2">
        <f t="shared" si="139"/>
        <v>11.840000000000002</v>
      </c>
      <c r="P184" s="2">
        <f t="shared" si="140"/>
        <v>16.579999999999998</v>
      </c>
      <c r="Q184" s="10">
        <f t="shared" si="141"/>
        <v>20.43</v>
      </c>
      <c r="R184" s="9">
        <f t="shared" si="142"/>
        <v>0.7150000000000003</v>
      </c>
      <c r="S184" s="2">
        <f t="shared" si="143"/>
        <v>4.4550000000000001</v>
      </c>
      <c r="T184" s="2">
        <f t="shared" si="144"/>
        <v>9.0750000000000011</v>
      </c>
      <c r="U184" s="10">
        <f t="shared" si="145"/>
        <v>14.025</v>
      </c>
      <c r="V184" s="9">
        <f t="shared" si="146"/>
        <v>1.8190000000000008</v>
      </c>
      <c r="W184" s="2">
        <f t="shared" si="147"/>
        <v>4.4550000000000001</v>
      </c>
      <c r="X184" s="2">
        <f t="shared" si="148"/>
        <v>9.0750000000000011</v>
      </c>
      <c r="Y184" s="10">
        <f t="shared" si="149"/>
        <v>12.430000000000003</v>
      </c>
    </row>
    <row r="185" spans="1:32" x14ac:dyDescent="0.25">
      <c r="A185" s="164" t="s">
        <v>79</v>
      </c>
      <c r="B185" s="9">
        <f t="shared" si="126"/>
        <v>4.1650000000000009</v>
      </c>
      <c r="C185" s="2">
        <f t="shared" si="127"/>
        <v>9.09</v>
      </c>
      <c r="D185" s="2">
        <f t="shared" si="128"/>
        <v>12.73</v>
      </c>
      <c r="E185" s="10">
        <f t="shared" si="129"/>
        <v>17.34</v>
      </c>
      <c r="F185" s="9">
        <f t="shared" si="130"/>
        <v>5.6349999999999989</v>
      </c>
      <c r="G185" s="2">
        <f t="shared" si="131"/>
        <v>9.09</v>
      </c>
      <c r="H185" s="2">
        <f t="shared" si="132"/>
        <v>12.73</v>
      </c>
      <c r="I185" s="159">
        <f t="shared" si="133"/>
        <v>15.83</v>
      </c>
      <c r="J185" s="9">
        <f t="shared" si="134"/>
        <v>5.8150000000000004</v>
      </c>
      <c r="K185" s="2">
        <f t="shared" si="135"/>
        <v>11.840000000000002</v>
      </c>
      <c r="L185" s="2">
        <f t="shared" si="136"/>
        <v>16.579999999999998</v>
      </c>
      <c r="M185" s="10">
        <f t="shared" si="137"/>
        <v>22.340000000000003</v>
      </c>
      <c r="N185" s="9">
        <f t="shared" si="138"/>
        <v>7.5999999999999979</v>
      </c>
      <c r="O185" s="2">
        <f t="shared" si="139"/>
        <v>11.840000000000002</v>
      </c>
      <c r="P185" s="2">
        <f t="shared" si="140"/>
        <v>16.579999999999998</v>
      </c>
      <c r="Q185" s="10">
        <f t="shared" si="141"/>
        <v>20.43</v>
      </c>
      <c r="R185" s="9">
        <f t="shared" si="142"/>
        <v>1.8650000000000002</v>
      </c>
      <c r="S185" s="2">
        <f t="shared" si="143"/>
        <v>6.0149999999999997</v>
      </c>
      <c r="T185" s="2">
        <f t="shared" si="144"/>
        <v>10.755000000000001</v>
      </c>
      <c r="U185" s="10">
        <f t="shared" si="145"/>
        <v>16.215000000000003</v>
      </c>
      <c r="V185" s="9">
        <f t="shared" si="146"/>
        <v>3.1250000000000009</v>
      </c>
      <c r="W185" s="2">
        <f t="shared" si="147"/>
        <v>6.0149999999999997</v>
      </c>
      <c r="X185" s="2">
        <f t="shared" si="148"/>
        <v>10.755000000000001</v>
      </c>
      <c r="Y185" s="10">
        <f t="shared" si="149"/>
        <v>14.430000000000003</v>
      </c>
    </row>
    <row r="186" spans="1:32" x14ac:dyDescent="0.25">
      <c r="A186" s="164" t="s">
        <v>80</v>
      </c>
      <c r="B186" s="9">
        <f t="shared" si="126"/>
        <v>5.26</v>
      </c>
      <c r="C186" s="2">
        <f t="shared" si="127"/>
        <v>10.350000000000001</v>
      </c>
      <c r="D186" s="2">
        <f t="shared" si="128"/>
        <v>14.66</v>
      </c>
      <c r="E186" s="10">
        <f t="shared" si="129"/>
        <v>20.655000000000001</v>
      </c>
      <c r="F186" s="9">
        <f t="shared" si="130"/>
        <v>6.8349999999999991</v>
      </c>
      <c r="G186" s="2">
        <f t="shared" si="131"/>
        <v>10.350000000000001</v>
      </c>
      <c r="H186" s="2">
        <f t="shared" si="132"/>
        <v>14.66</v>
      </c>
      <c r="I186" s="159">
        <f t="shared" si="133"/>
        <v>18.63</v>
      </c>
      <c r="J186" s="9">
        <f t="shared" si="134"/>
        <v>3.8899999999999997</v>
      </c>
      <c r="K186" s="2">
        <f t="shared" si="135"/>
        <v>9.89</v>
      </c>
      <c r="L186" s="2">
        <f t="shared" si="136"/>
        <v>15.18</v>
      </c>
      <c r="M186" s="10">
        <f t="shared" si="137"/>
        <v>21.215000000000003</v>
      </c>
      <c r="N186" s="9">
        <f t="shared" si="138"/>
        <v>5.6749999999999989</v>
      </c>
      <c r="O186" s="2">
        <f t="shared" si="139"/>
        <v>9.89</v>
      </c>
      <c r="P186" s="2">
        <f t="shared" si="140"/>
        <v>15.18</v>
      </c>
      <c r="Q186" s="10">
        <f t="shared" si="141"/>
        <v>19.23</v>
      </c>
      <c r="R186" s="9">
        <f t="shared" si="142"/>
        <v>4.1650000000000009</v>
      </c>
      <c r="S186" s="2">
        <f t="shared" si="143"/>
        <v>9.09</v>
      </c>
      <c r="T186" s="2">
        <f t="shared" si="144"/>
        <v>12.73</v>
      </c>
      <c r="U186" s="10">
        <f t="shared" si="145"/>
        <v>17.34</v>
      </c>
      <c r="V186" s="9">
        <f t="shared" si="146"/>
        <v>5.6349999999999989</v>
      </c>
      <c r="W186" s="2">
        <f t="shared" si="147"/>
        <v>9.09</v>
      </c>
      <c r="X186" s="2">
        <f t="shared" si="148"/>
        <v>12.73</v>
      </c>
      <c r="Y186" s="10">
        <f t="shared" si="149"/>
        <v>15.83</v>
      </c>
    </row>
    <row r="187" spans="1:32" x14ac:dyDescent="0.25">
      <c r="A187" s="164" t="s">
        <v>82</v>
      </c>
      <c r="B187" s="9">
        <f t="shared" si="126"/>
        <v>4.45</v>
      </c>
      <c r="C187" s="2">
        <f t="shared" si="127"/>
        <v>8.3250000000000011</v>
      </c>
      <c r="D187" s="2">
        <f t="shared" si="128"/>
        <v>13.395</v>
      </c>
      <c r="E187" s="10">
        <f t="shared" si="129"/>
        <v>20.310000000000002</v>
      </c>
      <c r="F187" s="9">
        <f t="shared" si="130"/>
        <v>5.6650000000000009</v>
      </c>
      <c r="G187" s="2">
        <f t="shared" si="131"/>
        <v>8.3250000000000011</v>
      </c>
      <c r="H187" s="2">
        <f t="shared" si="132"/>
        <v>13.395</v>
      </c>
      <c r="I187" s="159">
        <f t="shared" si="133"/>
        <v>17.96</v>
      </c>
      <c r="J187" s="9">
        <f t="shared" si="134"/>
        <v>4.7150000000000007</v>
      </c>
      <c r="K187" s="2">
        <f t="shared" si="135"/>
        <v>11.015000000000001</v>
      </c>
      <c r="L187" s="2">
        <f t="shared" si="136"/>
        <v>15.754999999999999</v>
      </c>
      <c r="M187" s="10">
        <f t="shared" si="137"/>
        <v>21.215</v>
      </c>
      <c r="N187" s="9">
        <f t="shared" si="138"/>
        <v>6.5749999999999993</v>
      </c>
      <c r="O187" s="2">
        <f t="shared" si="139"/>
        <v>11.015000000000001</v>
      </c>
      <c r="P187" s="2">
        <f t="shared" si="140"/>
        <v>15.754999999999999</v>
      </c>
      <c r="Q187" s="10">
        <f t="shared" si="141"/>
        <v>19.430000000000003</v>
      </c>
      <c r="R187" s="9">
        <f t="shared" si="142"/>
        <v>2.2399999999999998</v>
      </c>
      <c r="S187" s="2">
        <f t="shared" si="143"/>
        <v>7.14</v>
      </c>
      <c r="T187" s="2">
        <f t="shared" si="144"/>
        <v>11.33</v>
      </c>
      <c r="U187" s="10">
        <f t="shared" si="145"/>
        <v>16.215</v>
      </c>
      <c r="V187" s="9">
        <f t="shared" si="146"/>
        <v>3.7099999999999991</v>
      </c>
      <c r="W187" s="2">
        <f t="shared" si="147"/>
        <v>7.14</v>
      </c>
      <c r="X187" s="2">
        <f t="shared" si="148"/>
        <v>11.33</v>
      </c>
      <c r="Y187" s="10">
        <f t="shared" si="149"/>
        <v>14.63</v>
      </c>
    </row>
    <row r="188" spans="1:32" ht="15.75" thickBot="1" x14ac:dyDescent="0.3">
      <c r="A188" s="165" t="s">
        <v>83</v>
      </c>
      <c r="B188" s="160">
        <f t="shared" si="126"/>
        <v>1.8650000000000002</v>
      </c>
      <c r="C188" s="120">
        <f t="shared" si="127"/>
        <v>6.0150000000000006</v>
      </c>
      <c r="D188" s="120">
        <f t="shared" si="128"/>
        <v>10.754999999999999</v>
      </c>
      <c r="E188" s="124">
        <f t="shared" si="129"/>
        <v>16.215</v>
      </c>
      <c r="F188" s="160">
        <f t="shared" si="130"/>
        <v>3.1250000000000009</v>
      </c>
      <c r="G188" s="120">
        <f t="shared" si="131"/>
        <v>6.0150000000000006</v>
      </c>
      <c r="H188" s="120">
        <f t="shared" si="132"/>
        <v>10.754999999999999</v>
      </c>
      <c r="I188" s="167">
        <f t="shared" si="133"/>
        <v>14.430000000000003</v>
      </c>
      <c r="J188" s="160">
        <f t="shared" si="134"/>
        <v>4.7150000000000007</v>
      </c>
      <c r="K188" s="120">
        <f t="shared" si="135"/>
        <v>11.015000000000001</v>
      </c>
      <c r="L188" s="120">
        <f t="shared" si="136"/>
        <v>15.754999999999999</v>
      </c>
      <c r="M188" s="124">
        <f t="shared" si="137"/>
        <v>21.215</v>
      </c>
      <c r="N188" s="160">
        <f t="shared" si="138"/>
        <v>6.5749999999999993</v>
      </c>
      <c r="O188" s="120">
        <f t="shared" si="139"/>
        <v>11.015000000000001</v>
      </c>
      <c r="P188" s="120">
        <f t="shared" si="140"/>
        <v>15.754999999999999</v>
      </c>
      <c r="Q188" s="124">
        <f t="shared" si="141"/>
        <v>19.430000000000003</v>
      </c>
      <c r="R188" s="160">
        <f t="shared" si="142"/>
        <v>4.1099999999999994</v>
      </c>
      <c r="S188" s="120">
        <f t="shared" si="143"/>
        <v>8.7900000000000009</v>
      </c>
      <c r="T188" s="120">
        <f t="shared" si="144"/>
        <v>12.98</v>
      </c>
      <c r="U188" s="124">
        <f t="shared" si="145"/>
        <v>18.465</v>
      </c>
      <c r="V188" s="160">
        <f t="shared" si="146"/>
        <v>5.5289999999999981</v>
      </c>
      <c r="W188" s="120">
        <f t="shared" si="147"/>
        <v>8.7900000000000009</v>
      </c>
      <c r="X188" s="120">
        <f t="shared" si="148"/>
        <v>12.98</v>
      </c>
      <c r="Y188" s="124">
        <f t="shared" si="149"/>
        <v>16.63</v>
      </c>
    </row>
    <row r="190" spans="1:32" ht="15.75" thickBot="1" x14ac:dyDescent="0.3">
      <c r="A190" t="s">
        <v>213</v>
      </c>
      <c r="Z190">
        <v>0.8</v>
      </c>
    </row>
    <row r="191" spans="1:32" ht="33" customHeight="1" thickBot="1" x14ac:dyDescent="0.3">
      <c r="A191" s="304" t="s">
        <v>86</v>
      </c>
      <c r="B191" s="303" t="s">
        <v>214</v>
      </c>
      <c r="C191" s="306"/>
      <c r="D191" s="306"/>
      <c r="E191" s="306"/>
      <c r="F191" s="306"/>
      <c r="G191" s="306"/>
      <c r="H191" s="306"/>
      <c r="I191" s="307"/>
      <c r="J191" s="303" t="s">
        <v>215</v>
      </c>
      <c r="K191" s="306"/>
      <c r="L191" s="306"/>
      <c r="M191" s="306"/>
      <c r="N191" s="306"/>
      <c r="O191" s="306"/>
      <c r="P191" s="306"/>
      <c r="Q191" s="307"/>
      <c r="R191" s="280" t="s">
        <v>216</v>
      </c>
      <c r="S191" s="281"/>
      <c r="T191" s="281"/>
      <c r="U191" s="281"/>
      <c r="V191" s="281"/>
      <c r="W191" s="281"/>
      <c r="X191" s="281"/>
      <c r="Y191" s="282"/>
      <c r="Z191" s="292" t="s">
        <v>151</v>
      </c>
      <c r="AA191" s="293"/>
      <c r="AB191" s="293"/>
      <c r="AC191" s="294"/>
      <c r="AD191" s="288" t="s">
        <v>153</v>
      </c>
      <c r="AE191" s="289"/>
      <c r="AF191" s="290" t="s">
        <v>156</v>
      </c>
    </row>
    <row r="192" spans="1:32" ht="27.75" customHeight="1" thickBot="1" x14ac:dyDescent="0.3">
      <c r="A192" s="305"/>
      <c r="B192" s="300" t="s">
        <v>17</v>
      </c>
      <c r="C192" s="301"/>
      <c r="D192" s="301"/>
      <c r="E192" s="302"/>
      <c r="F192" s="303" t="s">
        <v>18</v>
      </c>
      <c r="G192" s="301"/>
      <c r="H192" s="301"/>
      <c r="I192" s="302"/>
      <c r="J192" s="300" t="s">
        <v>17</v>
      </c>
      <c r="K192" s="301"/>
      <c r="L192" s="301"/>
      <c r="M192" s="302"/>
      <c r="N192" s="303" t="s">
        <v>18</v>
      </c>
      <c r="O192" s="301"/>
      <c r="P192" s="301"/>
      <c r="Q192" s="302"/>
      <c r="R192" s="280" t="s">
        <v>17</v>
      </c>
      <c r="S192" s="281"/>
      <c r="T192" s="281"/>
      <c r="U192" s="282"/>
      <c r="V192" s="280" t="s">
        <v>18</v>
      </c>
      <c r="W192" s="281"/>
      <c r="X192" s="281"/>
      <c r="Y192" s="282"/>
      <c r="Z192" s="295" t="s">
        <v>152</v>
      </c>
      <c r="AA192" s="296"/>
      <c r="AB192" s="295" t="s">
        <v>26</v>
      </c>
      <c r="AC192" s="297"/>
      <c r="AD192" s="145" t="s">
        <v>154</v>
      </c>
      <c r="AE192" s="145" t="s">
        <v>155</v>
      </c>
      <c r="AF192" s="291"/>
    </row>
    <row r="193" spans="1:40" ht="30.75" customHeight="1" x14ac:dyDescent="0.25">
      <c r="A193" s="169" t="s">
        <v>84</v>
      </c>
      <c r="B193" s="11">
        <f>B179*$C$164</f>
        <v>3.2300000000000004</v>
      </c>
      <c r="C193" s="12">
        <f t="shared" ref="C193:I193" si="150">C179*$C$164</f>
        <v>6.3</v>
      </c>
      <c r="D193" s="12">
        <f t="shared" si="150"/>
        <v>7.9050000000000002</v>
      </c>
      <c r="E193" s="13">
        <f t="shared" si="150"/>
        <v>10.327500000000001</v>
      </c>
      <c r="F193" s="11">
        <f t="shared" si="150"/>
        <v>4.1599999999999993</v>
      </c>
      <c r="G193" s="12">
        <f t="shared" si="150"/>
        <v>6.3</v>
      </c>
      <c r="H193" s="12">
        <f t="shared" si="150"/>
        <v>7.9050000000000002</v>
      </c>
      <c r="I193" s="166">
        <f t="shared" si="150"/>
        <v>9.5150000000000006</v>
      </c>
      <c r="J193" s="11">
        <f>J179*$C$165</f>
        <v>1.9449999999999998</v>
      </c>
      <c r="K193" s="12">
        <f t="shared" ref="K193:Q193" si="151">K179*$C$165</f>
        <v>4.9450000000000003</v>
      </c>
      <c r="L193" s="12">
        <f t="shared" si="151"/>
        <v>7.59</v>
      </c>
      <c r="M193" s="13">
        <f t="shared" si="151"/>
        <v>10.607500000000002</v>
      </c>
      <c r="N193" s="11">
        <f t="shared" si="151"/>
        <v>2.8374999999999995</v>
      </c>
      <c r="O193" s="12">
        <f t="shared" si="151"/>
        <v>4.9450000000000003</v>
      </c>
      <c r="P193" s="12">
        <f t="shared" si="151"/>
        <v>7.59</v>
      </c>
      <c r="Q193" s="166">
        <f t="shared" si="151"/>
        <v>9.6150000000000002</v>
      </c>
      <c r="R193" s="173">
        <f>B193+J193</f>
        <v>5.1750000000000007</v>
      </c>
      <c r="S193" s="118">
        <f t="shared" ref="S193:Y202" si="152">C193+K193</f>
        <v>11.245000000000001</v>
      </c>
      <c r="T193" s="118">
        <f t="shared" si="152"/>
        <v>15.495000000000001</v>
      </c>
      <c r="U193" s="174">
        <f t="shared" si="152"/>
        <v>20.935000000000002</v>
      </c>
      <c r="V193" s="173">
        <f t="shared" si="152"/>
        <v>6.9974999999999987</v>
      </c>
      <c r="W193" s="118">
        <f t="shared" si="152"/>
        <v>11.245000000000001</v>
      </c>
      <c r="X193" s="118">
        <f t="shared" si="152"/>
        <v>15.495000000000001</v>
      </c>
      <c r="Y193" s="174">
        <f t="shared" si="152"/>
        <v>19.130000000000003</v>
      </c>
      <c r="Z193" s="136">
        <f>Z$190*S193+(1-Z$190)*R193</f>
        <v>10.031000000000001</v>
      </c>
      <c r="AA193" s="142">
        <f>Z$190*T193+(1-Z$190)*U193</f>
        <v>16.582999999999998</v>
      </c>
      <c r="AB193" s="136">
        <f>Z$190*W193+(1-Z$190)*V193</f>
        <v>10.3955</v>
      </c>
      <c r="AC193" s="137">
        <f>Z$190*X193+(1-Z$190)*Y193</f>
        <v>16.222000000000001</v>
      </c>
      <c r="AD193" s="81">
        <f>(Z193+AA193)/2</f>
        <v>13.306999999999999</v>
      </c>
      <c r="AE193" s="84">
        <f>(AB193+AC193)/2</f>
        <v>13.30875</v>
      </c>
      <c r="AF193" s="133">
        <f>(AD193+AE193)/2</f>
        <v>13.307874999999999</v>
      </c>
    </row>
    <row r="194" spans="1:40" x14ac:dyDescent="0.25">
      <c r="A194" s="164" t="s">
        <v>73</v>
      </c>
      <c r="B194" s="9">
        <f t="shared" ref="B194:I202" si="153">B180*$C$164</f>
        <v>0.3575000000000001</v>
      </c>
      <c r="C194" s="2">
        <f t="shared" si="153"/>
        <v>2.2275</v>
      </c>
      <c r="D194" s="2">
        <f t="shared" si="153"/>
        <v>4.5374999999999996</v>
      </c>
      <c r="E194" s="10">
        <f t="shared" si="153"/>
        <v>7.0125000000000002</v>
      </c>
      <c r="F194" s="9">
        <f t="shared" si="153"/>
        <v>0.90950000000000042</v>
      </c>
      <c r="G194" s="2">
        <f t="shared" si="153"/>
        <v>2.2275</v>
      </c>
      <c r="H194" s="2">
        <f t="shared" si="153"/>
        <v>4.5374999999999996</v>
      </c>
      <c r="I194" s="159">
        <f t="shared" si="153"/>
        <v>6.2150000000000016</v>
      </c>
      <c r="J194" s="9">
        <f t="shared" ref="J194:Q202" si="154">J180*$C$165</f>
        <v>0.24750000000000005</v>
      </c>
      <c r="K194" s="2">
        <f t="shared" si="154"/>
        <v>2.7775000000000003</v>
      </c>
      <c r="L194" s="2">
        <f t="shared" si="154"/>
        <v>5.6375000000000002</v>
      </c>
      <c r="M194" s="10">
        <f t="shared" si="154"/>
        <v>8.3875000000000011</v>
      </c>
      <c r="N194" s="9">
        <f t="shared" si="154"/>
        <v>0.98250000000000037</v>
      </c>
      <c r="O194" s="2">
        <f t="shared" si="154"/>
        <v>2.7775000000000003</v>
      </c>
      <c r="P194" s="2">
        <f t="shared" si="154"/>
        <v>5.6375000000000002</v>
      </c>
      <c r="Q194" s="159">
        <f t="shared" si="154"/>
        <v>7.5150000000000023</v>
      </c>
      <c r="R194" s="11">
        <f>B194+J194</f>
        <v>0.6050000000000002</v>
      </c>
      <c r="S194" s="12">
        <f t="shared" si="152"/>
        <v>5.0050000000000008</v>
      </c>
      <c r="T194" s="12">
        <f t="shared" si="152"/>
        <v>10.175000000000001</v>
      </c>
      <c r="U194" s="13">
        <f t="shared" si="152"/>
        <v>15.400000000000002</v>
      </c>
      <c r="V194" s="11">
        <f t="shared" si="152"/>
        <v>1.8920000000000008</v>
      </c>
      <c r="W194" s="12">
        <f t="shared" si="152"/>
        <v>5.0050000000000008</v>
      </c>
      <c r="X194" s="12">
        <f t="shared" si="152"/>
        <v>10.175000000000001</v>
      </c>
      <c r="Y194" s="13">
        <f t="shared" si="152"/>
        <v>13.730000000000004</v>
      </c>
      <c r="Z194" s="138">
        <f t="shared" ref="Z194:Z202" si="155">Z$190*S194+(1-Z$190)*R194</f>
        <v>4.1250000000000009</v>
      </c>
      <c r="AA194" s="143">
        <f t="shared" ref="AA194:AA202" si="156">Z$190*T194+(1-Z$190)*U194</f>
        <v>11.22</v>
      </c>
      <c r="AB194" s="138">
        <f t="shared" ref="AB194:AB202" si="157">Z$190*W194+(1-Z$190)*V194</f>
        <v>4.3824000000000005</v>
      </c>
      <c r="AC194" s="139">
        <f t="shared" ref="AC194:AC202" si="158">Z$190*X194+(1-Z$190)*Y194</f>
        <v>10.886000000000001</v>
      </c>
      <c r="AD194" s="87">
        <f t="shared" ref="AD194:AD202" si="159">(Z194+AA194)/2</f>
        <v>7.6725000000000012</v>
      </c>
      <c r="AE194" s="88">
        <f t="shared" ref="AE194:AE202" si="160">(AB194+AC194)/2</f>
        <v>7.6342000000000008</v>
      </c>
      <c r="AF194" s="134">
        <f t="shared" ref="AF194:AF202" si="161">(AD194+AE194)/2</f>
        <v>7.6533500000000014</v>
      </c>
    </row>
    <row r="195" spans="1:40" x14ac:dyDescent="0.25">
      <c r="A195" s="164" t="s">
        <v>74</v>
      </c>
      <c r="B195" s="9">
        <f t="shared" si="153"/>
        <v>2.0075000000000003</v>
      </c>
      <c r="C195" s="2">
        <f t="shared" si="153"/>
        <v>3.7125000000000004</v>
      </c>
      <c r="D195" s="2">
        <f t="shared" si="153"/>
        <v>6.3525000000000009</v>
      </c>
      <c r="E195" s="10">
        <f t="shared" si="153"/>
        <v>9.9824999999999999</v>
      </c>
      <c r="F195" s="9">
        <f t="shared" si="153"/>
        <v>2.54</v>
      </c>
      <c r="G195" s="2">
        <f t="shared" si="153"/>
        <v>3.7125000000000004</v>
      </c>
      <c r="H195" s="2">
        <f t="shared" si="153"/>
        <v>6.3525000000000009</v>
      </c>
      <c r="I195" s="159">
        <f t="shared" si="153"/>
        <v>8.7449999999999992</v>
      </c>
      <c r="J195" s="9">
        <f t="shared" si="154"/>
        <v>3.6500000000000004</v>
      </c>
      <c r="K195" s="2">
        <f t="shared" si="154"/>
        <v>6.6625000000000005</v>
      </c>
      <c r="L195" s="2">
        <f t="shared" si="154"/>
        <v>9.1974999999999998</v>
      </c>
      <c r="M195" s="10">
        <f t="shared" si="154"/>
        <v>12.655000000000001</v>
      </c>
      <c r="N195" s="9">
        <f t="shared" si="154"/>
        <v>4.5574999999999992</v>
      </c>
      <c r="O195" s="2">
        <f t="shared" si="154"/>
        <v>6.6625000000000005</v>
      </c>
      <c r="P195" s="2">
        <f t="shared" si="154"/>
        <v>9.1974999999999998</v>
      </c>
      <c r="Q195" s="159">
        <f t="shared" si="154"/>
        <v>11.48</v>
      </c>
      <c r="R195" s="11">
        <f t="shared" ref="R195:R202" si="162">B195+J195</f>
        <v>5.6575000000000006</v>
      </c>
      <c r="S195" s="12">
        <f t="shared" si="152"/>
        <v>10.375</v>
      </c>
      <c r="T195" s="12">
        <f t="shared" si="152"/>
        <v>15.55</v>
      </c>
      <c r="U195" s="13">
        <f t="shared" si="152"/>
        <v>22.637500000000003</v>
      </c>
      <c r="V195" s="11">
        <f t="shared" si="152"/>
        <v>7.0974999999999993</v>
      </c>
      <c r="W195" s="12">
        <f t="shared" si="152"/>
        <v>10.375</v>
      </c>
      <c r="X195" s="12">
        <f t="shared" si="152"/>
        <v>15.55</v>
      </c>
      <c r="Y195" s="13">
        <f t="shared" si="152"/>
        <v>20.225000000000001</v>
      </c>
      <c r="Z195" s="138">
        <f t="shared" si="155"/>
        <v>9.4314999999999998</v>
      </c>
      <c r="AA195" s="143">
        <f t="shared" si="156"/>
        <v>16.967500000000001</v>
      </c>
      <c r="AB195" s="138">
        <f t="shared" si="157"/>
        <v>9.7195</v>
      </c>
      <c r="AC195" s="139">
        <f t="shared" si="158"/>
        <v>16.484999999999999</v>
      </c>
      <c r="AD195" s="87">
        <f t="shared" si="159"/>
        <v>13.1995</v>
      </c>
      <c r="AE195" s="88">
        <f t="shared" si="160"/>
        <v>13.10225</v>
      </c>
      <c r="AF195" s="134">
        <f t="shared" si="161"/>
        <v>13.150874999999999</v>
      </c>
    </row>
    <row r="196" spans="1:40" x14ac:dyDescent="0.25">
      <c r="A196" s="164" t="s">
        <v>75</v>
      </c>
      <c r="B196" s="9">
        <f t="shared" si="153"/>
        <v>2.8250000000000006</v>
      </c>
      <c r="C196" s="2">
        <f t="shared" si="153"/>
        <v>5.2874999999999996</v>
      </c>
      <c r="D196" s="2">
        <f t="shared" si="153"/>
        <v>7.2725000000000009</v>
      </c>
      <c r="E196" s="10">
        <f t="shared" si="153"/>
        <v>10.154999999999999</v>
      </c>
      <c r="F196" s="9">
        <f t="shared" si="153"/>
        <v>3.5750000000000002</v>
      </c>
      <c r="G196" s="2">
        <f t="shared" si="153"/>
        <v>5.2874999999999996</v>
      </c>
      <c r="H196" s="2">
        <f t="shared" si="153"/>
        <v>7.2725000000000009</v>
      </c>
      <c r="I196" s="159">
        <f t="shared" si="153"/>
        <v>9.18</v>
      </c>
      <c r="J196" s="9">
        <f t="shared" si="154"/>
        <v>2.9075000000000002</v>
      </c>
      <c r="K196" s="2">
        <f t="shared" si="154"/>
        <v>5.9200000000000008</v>
      </c>
      <c r="L196" s="2">
        <f t="shared" si="154"/>
        <v>8.2899999999999991</v>
      </c>
      <c r="M196" s="10">
        <f t="shared" si="154"/>
        <v>11.170000000000002</v>
      </c>
      <c r="N196" s="9">
        <f t="shared" si="154"/>
        <v>3.7999999999999989</v>
      </c>
      <c r="O196" s="2">
        <f t="shared" si="154"/>
        <v>5.9200000000000008</v>
      </c>
      <c r="P196" s="2">
        <f t="shared" si="154"/>
        <v>8.2899999999999991</v>
      </c>
      <c r="Q196" s="159">
        <f t="shared" si="154"/>
        <v>10.215</v>
      </c>
      <c r="R196" s="11">
        <f t="shared" si="162"/>
        <v>5.7325000000000008</v>
      </c>
      <c r="S196" s="12">
        <f t="shared" si="152"/>
        <v>11.2075</v>
      </c>
      <c r="T196" s="12">
        <f t="shared" si="152"/>
        <v>15.5625</v>
      </c>
      <c r="U196" s="13">
        <f t="shared" si="152"/>
        <v>21.325000000000003</v>
      </c>
      <c r="V196" s="11">
        <f t="shared" si="152"/>
        <v>7.3749999999999991</v>
      </c>
      <c r="W196" s="12">
        <f t="shared" si="152"/>
        <v>11.2075</v>
      </c>
      <c r="X196" s="12">
        <f t="shared" si="152"/>
        <v>15.5625</v>
      </c>
      <c r="Y196" s="13">
        <f t="shared" si="152"/>
        <v>19.395</v>
      </c>
      <c r="Z196" s="138">
        <f t="shared" si="155"/>
        <v>10.112499999999999</v>
      </c>
      <c r="AA196" s="143">
        <f t="shared" si="156"/>
        <v>16.715</v>
      </c>
      <c r="AB196" s="138">
        <f t="shared" si="157"/>
        <v>10.440999999999999</v>
      </c>
      <c r="AC196" s="139">
        <f t="shared" si="158"/>
        <v>16.329000000000001</v>
      </c>
      <c r="AD196" s="87">
        <f t="shared" si="159"/>
        <v>13.41375</v>
      </c>
      <c r="AE196" s="88">
        <f t="shared" si="160"/>
        <v>13.385</v>
      </c>
      <c r="AF196" s="134">
        <f t="shared" si="161"/>
        <v>13.399374999999999</v>
      </c>
    </row>
    <row r="197" spans="1:40" x14ac:dyDescent="0.25">
      <c r="A197" s="164" t="s">
        <v>77</v>
      </c>
      <c r="B197" s="9">
        <f t="shared" si="153"/>
        <v>2.2250000000000001</v>
      </c>
      <c r="C197" s="2">
        <f t="shared" si="153"/>
        <v>4.1625000000000005</v>
      </c>
      <c r="D197" s="2">
        <f t="shared" si="153"/>
        <v>6.6974999999999998</v>
      </c>
      <c r="E197" s="10">
        <f t="shared" si="153"/>
        <v>10.155000000000001</v>
      </c>
      <c r="F197" s="9">
        <f t="shared" si="153"/>
        <v>2.8325000000000005</v>
      </c>
      <c r="G197" s="2">
        <f t="shared" si="153"/>
        <v>4.1625000000000005</v>
      </c>
      <c r="H197" s="2">
        <f t="shared" si="153"/>
        <v>6.6974999999999998</v>
      </c>
      <c r="I197" s="159">
        <f t="shared" si="153"/>
        <v>8.98</v>
      </c>
      <c r="J197" s="9">
        <f t="shared" si="154"/>
        <v>3.6500000000000004</v>
      </c>
      <c r="K197" s="2">
        <f t="shared" si="154"/>
        <v>6.6625000000000005</v>
      </c>
      <c r="L197" s="2">
        <f t="shared" si="154"/>
        <v>9.1974999999999998</v>
      </c>
      <c r="M197" s="10">
        <f t="shared" si="154"/>
        <v>12.655000000000001</v>
      </c>
      <c r="N197" s="9">
        <f t="shared" si="154"/>
        <v>4.5574999999999992</v>
      </c>
      <c r="O197" s="2">
        <f t="shared" si="154"/>
        <v>6.6625000000000005</v>
      </c>
      <c r="P197" s="2">
        <f t="shared" si="154"/>
        <v>9.1974999999999998</v>
      </c>
      <c r="Q197" s="159">
        <f t="shared" si="154"/>
        <v>11.48</v>
      </c>
      <c r="R197" s="11">
        <f t="shared" si="162"/>
        <v>5.875</v>
      </c>
      <c r="S197" s="12">
        <f t="shared" si="152"/>
        <v>10.825000000000001</v>
      </c>
      <c r="T197" s="12">
        <f t="shared" si="152"/>
        <v>15.895</v>
      </c>
      <c r="U197" s="13">
        <f t="shared" si="152"/>
        <v>22.810000000000002</v>
      </c>
      <c r="V197" s="11">
        <f t="shared" si="152"/>
        <v>7.39</v>
      </c>
      <c r="W197" s="12">
        <f t="shared" si="152"/>
        <v>10.825000000000001</v>
      </c>
      <c r="X197" s="12">
        <f t="shared" si="152"/>
        <v>15.895</v>
      </c>
      <c r="Y197" s="13">
        <f t="shared" si="152"/>
        <v>20.46</v>
      </c>
      <c r="Z197" s="138">
        <f t="shared" si="155"/>
        <v>9.8350000000000009</v>
      </c>
      <c r="AA197" s="143">
        <f t="shared" si="156"/>
        <v>17.277999999999999</v>
      </c>
      <c r="AB197" s="138">
        <f t="shared" si="157"/>
        <v>10.138000000000002</v>
      </c>
      <c r="AC197" s="139">
        <f t="shared" si="158"/>
        <v>16.808</v>
      </c>
      <c r="AD197" s="87">
        <f t="shared" si="159"/>
        <v>13.5565</v>
      </c>
      <c r="AE197" s="88">
        <f t="shared" si="160"/>
        <v>13.473000000000001</v>
      </c>
      <c r="AF197" s="134">
        <f t="shared" si="161"/>
        <v>13.514749999999999</v>
      </c>
    </row>
    <row r="198" spans="1:40" x14ac:dyDescent="0.25">
      <c r="A198" s="164" t="s">
        <v>78</v>
      </c>
      <c r="B198" s="9">
        <f t="shared" si="153"/>
        <v>2.0825000000000005</v>
      </c>
      <c r="C198" s="2">
        <f t="shared" si="153"/>
        <v>4.5449999999999999</v>
      </c>
      <c r="D198" s="2">
        <f t="shared" si="153"/>
        <v>6.3650000000000002</v>
      </c>
      <c r="E198" s="10">
        <f t="shared" si="153"/>
        <v>8.67</v>
      </c>
      <c r="F198" s="9">
        <f t="shared" si="153"/>
        <v>2.8174999999999994</v>
      </c>
      <c r="G198" s="2">
        <f t="shared" si="153"/>
        <v>4.5449999999999999</v>
      </c>
      <c r="H198" s="2">
        <f t="shared" si="153"/>
        <v>6.3650000000000002</v>
      </c>
      <c r="I198" s="159">
        <f t="shared" si="153"/>
        <v>7.915</v>
      </c>
      <c r="J198" s="9">
        <f t="shared" si="154"/>
        <v>2.9075000000000002</v>
      </c>
      <c r="K198" s="2">
        <f t="shared" si="154"/>
        <v>5.9200000000000008</v>
      </c>
      <c r="L198" s="2">
        <f t="shared" si="154"/>
        <v>8.2899999999999991</v>
      </c>
      <c r="M198" s="10">
        <f t="shared" si="154"/>
        <v>11.170000000000002</v>
      </c>
      <c r="N198" s="9">
        <f t="shared" si="154"/>
        <v>3.7999999999999989</v>
      </c>
      <c r="O198" s="2">
        <f t="shared" si="154"/>
        <v>5.9200000000000008</v>
      </c>
      <c r="P198" s="2">
        <f t="shared" si="154"/>
        <v>8.2899999999999991</v>
      </c>
      <c r="Q198" s="159">
        <f t="shared" si="154"/>
        <v>10.215</v>
      </c>
      <c r="R198" s="11">
        <f t="shared" si="162"/>
        <v>4.99</v>
      </c>
      <c r="S198" s="12">
        <f t="shared" si="152"/>
        <v>10.465</v>
      </c>
      <c r="T198" s="12">
        <f t="shared" si="152"/>
        <v>14.654999999999999</v>
      </c>
      <c r="U198" s="13">
        <f t="shared" si="152"/>
        <v>19.840000000000003</v>
      </c>
      <c r="V198" s="11">
        <f t="shared" si="152"/>
        <v>6.6174999999999979</v>
      </c>
      <c r="W198" s="12">
        <f t="shared" si="152"/>
        <v>10.465</v>
      </c>
      <c r="X198" s="12">
        <f t="shared" si="152"/>
        <v>14.654999999999999</v>
      </c>
      <c r="Y198" s="13">
        <f t="shared" si="152"/>
        <v>18.13</v>
      </c>
      <c r="Z198" s="138">
        <f t="shared" si="155"/>
        <v>9.3699999999999992</v>
      </c>
      <c r="AA198" s="143">
        <f t="shared" si="156"/>
        <v>15.692</v>
      </c>
      <c r="AB198" s="138">
        <f t="shared" si="157"/>
        <v>9.6954999999999991</v>
      </c>
      <c r="AC198" s="139">
        <f t="shared" si="158"/>
        <v>15.35</v>
      </c>
      <c r="AD198" s="87">
        <f t="shared" si="159"/>
        <v>12.530999999999999</v>
      </c>
      <c r="AE198" s="88">
        <f t="shared" si="160"/>
        <v>12.522749999999998</v>
      </c>
      <c r="AF198" s="134">
        <f t="shared" si="161"/>
        <v>12.526874999999999</v>
      </c>
    </row>
    <row r="199" spans="1:40" x14ac:dyDescent="0.25">
      <c r="A199" s="164" t="s">
        <v>79</v>
      </c>
      <c r="B199" s="9">
        <f t="shared" si="153"/>
        <v>2.0825000000000005</v>
      </c>
      <c r="C199" s="2">
        <f t="shared" si="153"/>
        <v>4.5449999999999999</v>
      </c>
      <c r="D199" s="2">
        <f t="shared" si="153"/>
        <v>6.3650000000000002</v>
      </c>
      <c r="E199" s="10">
        <f t="shared" si="153"/>
        <v>8.67</v>
      </c>
      <c r="F199" s="9">
        <f t="shared" si="153"/>
        <v>2.8174999999999994</v>
      </c>
      <c r="G199" s="2">
        <f t="shared" si="153"/>
        <v>4.5449999999999999</v>
      </c>
      <c r="H199" s="2">
        <f t="shared" si="153"/>
        <v>6.3650000000000002</v>
      </c>
      <c r="I199" s="159">
        <f t="shared" si="153"/>
        <v>7.915</v>
      </c>
      <c r="J199" s="9">
        <f t="shared" si="154"/>
        <v>2.9075000000000002</v>
      </c>
      <c r="K199" s="2">
        <f t="shared" si="154"/>
        <v>5.9200000000000008</v>
      </c>
      <c r="L199" s="2">
        <f t="shared" si="154"/>
        <v>8.2899999999999991</v>
      </c>
      <c r="M199" s="10">
        <f t="shared" si="154"/>
        <v>11.170000000000002</v>
      </c>
      <c r="N199" s="9">
        <f t="shared" si="154"/>
        <v>3.7999999999999989</v>
      </c>
      <c r="O199" s="2">
        <f t="shared" si="154"/>
        <v>5.9200000000000008</v>
      </c>
      <c r="P199" s="2">
        <f t="shared" si="154"/>
        <v>8.2899999999999991</v>
      </c>
      <c r="Q199" s="159">
        <f t="shared" si="154"/>
        <v>10.215</v>
      </c>
      <c r="R199" s="11">
        <f t="shared" si="162"/>
        <v>4.99</v>
      </c>
      <c r="S199" s="12">
        <f t="shared" si="152"/>
        <v>10.465</v>
      </c>
      <c r="T199" s="12">
        <f t="shared" si="152"/>
        <v>14.654999999999999</v>
      </c>
      <c r="U199" s="13">
        <f t="shared" si="152"/>
        <v>19.840000000000003</v>
      </c>
      <c r="V199" s="11">
        <f t="shared" si="152"/>
        <v>6.6174999999999979</v>
      </c>
      <c r="W199" s="12">
        <f t="shared" si="152"/>
        <v>10.465</v>
      </c>
      <c r="X199" s="12">
        <f t="shared" si="152"/>
        <v>14.654999999999999</v>
      </c>
      <c r="Y199" s="13">
        <f t="shared" si="152"/>
        <v>18.13</v>
      </c>
      <c r="Z199" s="138">
        <f t="shared" si="155"/>
        <v>9.3699999999999992</v>
      </c>
      <c r="AA199" s="143">
        <f t="shared" si="156"/>
        <v>15.692</v>
      </c>
      <c r="AB199" s="138">
        <f t="shared" si="157"/>
        <v>9.6954999999999991</v>
      </c>
      <c r="AC199" s="139">
        <f t="shared" si="158"/>
        <v>15.35</v>
      </c>
      <c r="AD199" s="87">
        <f t="shared" si="159"/>
        <v>12.530999999999999</v>
      </c>
      <c r="AE199" s="88">
        <f t="shared" si="160"/>
        <v>12.522749999999998</v>
      </c>
      <c r="AF199" s="134">
        <f t="shared" si="161"/>
        <v>12.526874999999999</v>
      </c>
    </row>
    <row r="200" spans="1:40" x14ac:dyDescent="0.25">
      <c r="A200" s="164" t="s">
        <v>80</v>
      </c>
      <c r="B200" s="9">
        <f t="shared" si="153"/>
        <v>2.63</v>
      </c>
      <c r="C200" s="2">
        <f t="shared" si="153"/>
        <v>5.1750000000000007</v>
      </c>
      <c r="D200" s="2">
        <f t="shared" si="153"/>
        <v>7.33</v>
      </c>
      <c r="E200" s="10">
        <f t="shared" si="153"/>
        <v>10.327500000000001</v>
      </c>
      <c r="F200" s="9">
        <f t="shared" si="153"/>
        <v>3.4174999999999995</v>
      </c>
      <c r="G200" s="2">
        <f t="shared" si="153"/>
        <v>5.1750000000000007</v>
      </c>
      <c r="H200" s="2">
        <f t="shared" si="153"/>
        <v>7.33</v>
      </c>
      <c r="I200" s="159">
        <f t="shared" si="153"/>
        <v>9.3149999999999995</v>
      </c>
      <c r="J200" s="9">
        <f t="shared" si="154"/>
        <v>1.9449999999999998</v>
      </c>
      <c r="K200" s="2">
        <f t="shared" si="154"/>
        <v>4.9450000000000003</v>
      </c>
      <c r="L200" s="2">
        <f t="shared" si="154"/>
        <v>7.59</v>
      </c>
      <c r="M200" s="10">
        <f t="shared" si="154"/>
        <v>10.607500000000002</v>
      </c>
      <c r="N200" s="9">
        <f t="shared" si="154"/>
        <v>2.8374999999999995</v>
      </c>
      <c r="O200" s="2">
        <f t="shared" si="154"/>
        <v>4.9450000000000003</v>
      </c>
      <c r="P200" s="2">
        <f t="shared" si="154"/>
        <v>7.59</v>
      </c>
      <c r="Q200" s="159">
        <f t="shared" si="154"/>
        <v>9.6150000000000002</v>
      </c>
      <c r="R200" s="11">
        <f t="shared" si="162"/>
        <v>4.5749999999999993</v>
      </c>
      <c r="S200" s="12">
        <f t="shared" si="152"/>
        <v>10.120000000000001</v>
      </c>
      <c r="T200" s="12">
        <f t="shared" si="152"/>
        <v>14.92</v>
      </c>
      <c r="U200" s="13">
        <f t="shared" si="152"/>
        <v>20.935000000000002</v>
      </c>
      <c r="V200" s="11">
        <f t="shared" si="152"/>
        <v>6.254999999999999</v>
      </c>
      <c r="W200" s="12">
        <f t="shared" si="152"/>
        <v>10.120000000000001</v>
      </c>
      <c r="X200" s="12">
        <f t="shared" si="152"/>
        <v>14.92</v>
      </c>
      <c r="Y200" s="13">
        <f t="shared" si="152"/>
        <v>18.93</v>
      </c>
      <c r="Z200" s="138">
        <f t="shared" si="155"/>
        <v>9.011000000000001</v>
      </c>
      <c r="AA200" s="143">
        <f t="shared" si="156"/>
        <v>16.122999999999998</v>
      </c>
      <c r="AB200" s="138">
        <f t="shared" si="157"/>
        <v>9.3470000000000013</v>
      </c>
      <c r="AC200" s="139">
        <f t="shared" si="158"/>
        <v>15.722</v>
      </c>
      <c r="AD200" s="87">
        <f t="shared" si="159"/>
        <v>12.567</v>
      </c>
      <c r="AE200" s="88">
        <f t="shared" si="160"/>
        <v>12.534500000000001</v>
      </c>
      <c r="AF200" s="134">
        <f t="shared" si="161"/>
        <v>12.550750000000001</v>
      </c>
    </row>
    <row r="201" spans="1:40" x14ac:dyDescent="0.25">
      <c r="A201" s="164" t="s">
        <v>82</v>
      </c>
      <c r="B201" s="9">
        <f t="shared" si="153"/>
        <v>2.2250000000000001</v>
      </c>
      <c r="C201" s="2">
        <f t="shared" si="153"/>
        <v>4.1625000000000005</v>
      </c>
      <c r="D201" s="2">
        <f t="shared" si="153"/>
        <v>6.6974999999999998</v>
      </c>
      <c r="E201" s="10">
        <f t="shared" si="153"/>
        <v>10.155000000000001</v>
      </c>
      <c r="F201" s="9">
        <f t="shared" si="153"/>
        <v>2.8325000000000005</v>
      </c>
      <c r="G201" s="2">
        <f t="shared" si="153"/>
        <v>4.1625000000000005</v>
      </c>
      <c r="H201" s="2">
        <f t="shared" si="153"/>
        <v>6.6974999999999998</v>
      </c>
      <c r="I201" s="159">
        <f t="shared" si="153"/>
        <v>8.98</v>
      </c>
      <c r="J201" s="9">
        <f t="shared" si="154"/>
        <v>2.3575000000000004</v>
      </c>
      <c r="K201" s="2">
        <f t="shared" si="154"/>
        <v>5.5075000000000003</v>
      </c>
      <c r="L201" s="2">
        <f t="shared" si="154"/>
        <v>7.8774999999999995</v>
      </c>
      <c r="M201" s="10">
        <f t="shared" si="154"/>
        <v>10.6075</v>
      </c>
      <c r="N201" s="9">
        <f t="shared" si="154"/>
        <v>3.2874999999999996</v>
      </c>
      <c r="O201" s="2">
        <f t="shared" si="154"/>
        <v>5.5075000000000003</v>
      </c>
      <c r="P201" s="2">
        <f t="shared" si="154"/>
        <v>7.8774999999999995</v>
      </c>
      <c r="Q201" s="159">
        <f t="shared" si="154"/>
        <v>9.7150000000000016</v>
      </c>
      <c r="R201" s="11">
        <f t="shared" si="162"/>
        <v>4.5825000000000005</v>
      </c>
      <c r="S201" s="12">
        <f t="shared" si="152"/>
        <v>9.6700000000000017</v>
      </c>
      <c r="T201" s="12">
        <f t="shared" si="152"/>
        <v>14.574999999999999</v>
      </c>
      <c r="U201" s="13">
        <f t="shared" si="152"/>
        <v>20.762500000000003</v>
      </c>
      <c r="V201" s="11">
        <f t="shared" si="152"/>
        <v>6.12</v>
      </c>
      <c r="W201" s="12">
        <f t="shared" si="152"/>
        <v>9.6700000000000017</v>
      </c>
      <c r="X201" s="12">
        <f t="shared" si="152"/>
        <v>14.574999999999999</v>
      </c>
      <c r="Y201" s="13">
        <f t="shared" si="152"/>
        <v>18.695</v>
      </c>
      <c r="Z201" s="138">
        <f t="shared" si="155"/>
        <v>8.6525000000000016</v>
      </c>
      <c r="AA201" s="143">
        <f t="shared" si="156"/>
        <v>15.8125</v>
      </c>
      <c r="AB201" s="138">
        <f t="shared" si="157"/>
        <v>8.9600000000000009</v>
      </c>
      <c r="AC201" s="139">
        <f t="shared" si="158"/>
        <v>15.398999999999999</v>
      </c>
      <c r="AD201" s="87">
        <f t="shared" si="159"/>
        <v>12.232500000000002</v>
      </c>
      <c r="AE201" s="88">
        <f t="shared" si="160"/>
        <v>12.179500000000001</v>
      </c>
      <c r="AF201" s="134">
        <f t="shared" si="161"/>
        <v>12.206000000000001</v>
      </c>
    </row>
    <row r="202" spans="1:40" ht="15.75" thickBot="1" x14ac:dyDescent="0.3">
      <c r="A202" s="165" t="s">
        <v>83</v>
      </c>
      <c r="B202" s="160">
        <f t="shared" si="153"/>
        <v>0.93250000000000011</v>
      </c>
      <c r="C202" s="120">
        <f t="shared" si="153"/>
        <v>3.0075000000000003</v>
      </c>
      <c r="D202" s="120">
        <f t="shared" si="153"/>
        <v>5.3774999999999995</v>
      </c>
      <c r="E202" s="124">
        <f t="shared" si="153"/>
        <v>8.1074999999999999</v>
      </c>
      <c r="F202" s="160">
        <f t="shared" si="153"/>
        <v>1.5625000000000004</v>
      </c>
      <c r="G202" s="120">
        <f t="shared" si="153"/>
        <v>3.0075000000000003</v>
      </c>
      <c r="H202" s="120">
        <f t="shared" si="153"/>
        <v>5.3774999999999995</v>
      </c>
      <c r="I202" s="167">
        <f t="shared" si="153"/>
        <v>7.2150000000000016</v>
      </c>
      <c r="J202" s="160">
        <f t="shared" si="154"/>
        <v>2.3575000000000004</v>
      </c>
      <c r="K202" s="120">
        <f t="shared" si="154"/>
        <v>5.5075000000000003</v>
      </c>
      <c r="L202" s="120">
        <f t="shared" si="154"/>
        <v>7.8774999999999995</v>
      </c>
      <c r="M202" s="124">
        <f t="shared" si="154"/>
        <v>10.6075</v>
      </c>
      <c r="N202" s="160">
        <f t="shared" si="154"/>
        <v>3.2874999999999996</v>
      </c>
      <c r="O202" s="120">
        <f t="shared" si="154"/>
        <v>5.5075000000000003</v>
      </c>
      <c r="P202" s="120">
        <f t="shared" si="154"/>
        <v>7.8774999999999995</v>
      </c>
      <c r="Q202" s="167">
        <f t="shared" si="154"/>
        <v>9.7150000000000016</v>
      </c>
      <c r="R202" s="175">
        <f t="shared" si="162"/>
        <v>3.2900000000000005</v>
      </c>
      <c r="S202" s="176">
        <f t="shared" si="152"/>
        <v>8.5150000000000006</v>
      </c>
      <c r="T202" s="176">
        <f t="shared" si="152"/>
        <v>13.254999999999999</v>
      </c>
      <c r="U202" s="177">
        <f t="shared" si="152"/>
        <v>18.715</v>
      </c>
      <c r="V202" s="175">
        <f t="shared" si="152"/>
        <v>4.8499999999999996</v>
      </c>
      <c r="W202" s="176">
        <f t="shared" si="152"/>
        <v>8.5150000000000006</v>
      </c>
      <c r="X202" s="176">
        <f t="shared" si="152"/>
        <v>13.254999999999999</v>
      </c>
      <c r="Y202" s="177">
        <f t="shared" si="152"/>
        <v>16.930000000000003</v>
      </c>
      <c r="Z202" s="140">
        <f t="shared" si="155"/>
        <v>7.4700000000000006</v>
      </c>
      <c r="AA202" s="144">
        <f t="shared" si="156"/>
        <v>14.346999999999998</v>
      </c>
      <c r="AB202" s="140">
        <f t="shared" si="157"/>
        <v>7.7820000000000009</v>
      </c>
      <c r="AC202" s="141">
        <f t="shared" si="158"/>
        <v>13.989999999999998</v>
      </c>
      <c r="AD202" s="91">
        <f t="shared" si="159"/>
        <v>10.9085</v>
      </c>
      <c r="AE202" s="94">
        <f t="shared" si="160"/>
        <v>10.885999999999999</v>
      </c>
      <c r="AF202" s="135">
        <f t="shared" si="161"/>
        <v>10.89725</v>
      </c>
    </row>
    <row r="204" spans="1:40" ht="15.75" thickBot="1" x14ac:dyDescent="0.3">
      <c r="A204" t="s">
        <v>217</v>
      </c>
      <c r="AH204">
        <v>0.8</v>
      </c>
    </row>
    <row r="205" spans="1:40" ht="15.75" thickBot="1" x14ac:dyDescent="0.3">
      <c r="A205" s="304" t="s">
        <v>86</v>
      </c>
      <c r="B205" s="303" t="s">
        <v>214</v>
      </c>
      <c r="C205" s="306"/>
      <c r="D205" s="306"/>
      <c r="E205" s="306"/>
      <c r="F205" s="306"/>
      <c r="G205" s="306"/>
      <c r="H205" s="306"/>
      <c r="I205" s="307"/>
      <c r="J205" s="303" t="s">
        <v>215</v>
      </c>
      <c r="K205" s="306"/>
      <c r="L205" s="306"/>
      <c r="M205" s="306"/>
      <c r="N205" s="306"/>
      <c r="O205" s="306"/>
      <c r="P205" s="306"/>
      <c r="Q205" s="307"/>
      <c r="R205" s="303" t="s">
        <v>218</v>
      </c>
      <c r="S205" s="306"/>
      <c r="T205" s="306"/>
      <c r="U205" s="306"/>
      <c r="V205" s="306"/>
      <c r="W205" s="306"/>
      <c r="X205" s="306"/>
      <c r="Y205" s="307"/>
      <c r="Z205" s="280" t="s">
        <v>216</v>
      </c>
      <c r="AA205" s="281"/>
      <c r="AB205" s="281"/>
      <c r="AC205" s="281"/>
      <c r="AD205" s="281"/>
      <c r="AE205" s="281"/>
      <c r="AF205" s="281"/>
      <c r="AG205" s="282"/>
      <c r="AH205" s="292" t="s">
        <v>151</v>
      </c>
      <c r="AI205" s="293"/>
      <c r="AJ205" s="293"/>
      <c r="AK205" s="294"/>
      <c r="AL205" s="288" t="s">
        <v>153</v>
      </c>
      <c r="AM205" s="289"/>
      <c r="AN205" s="290" t="s">
        <v>156</v>
      </c>
    </row>
    <row r="206" spans="1:40" ht="31.5" customHeight="1" thickBot="1" x14ac:dyDescent="0.3">
      <c r="A206" s="305"/>
      <c r="B206" s="300" t="s">
        <v>17</v>
      </c>
      <c r="C206" s="301"/>
      <c r="D206" s="301"/>
      <c r="E206" s="302"/>
      <c r="F206" s="303" t="s">
        <v>18</v>
      </c>
      <c r="G206" s="301"/>
      <c r="H206" s="301"/>
      <c r="I206" s="302"/>
      <c r="J206" s="300" t="s">
        <v>17</v>
      </c>
      <c r="K206" s="301"/>
      <c r="L206" s="301"/>
      <c r="M206" s="302"/>
      <c r="N206" s="303" t="s">
        <v>18</v>
      </c>
      <c r="O206" s="301"/>
      <c r="P206" s="301"/>
      <c r="Q206" s="302"/>
      <c r="R206" s="300" t="s">
        <v>17</v>
      </c>
      <c r="S206" s="301"/>
      <c r="T206" s="301"/>
      <c r="U206" s="302"/>
      <c r="V206" s="303" t="s">
        <v>18</v>
      </c>
      <c r="W206" s="301"/>
      <c r="X206" s="301"/>
      <c r="Y206" s="302"/>
      <c r="Z206" s="280" t="s">
        <v>17</v>
      </c>
      <c r="AA206" s="281"/>
      <c r="AB206" s="281"/>
      <c r="AC206" s="282"/>
      <c r="AD206" s="280" t="s">
        <v>18</v>
      </c>
      <c r="AE206" s="281"/>
      <c r="AF206" s="281"/>
      <c r="AG206" s="282"/>
      <c r="AH206" s="295" t="s">
        <v>152</v>
      </c>
      <c r="AI206" s="296"/>
      <c r="AJ206" s="295" t="s">
        <v>26</v>
      </c>
      <c r="AK206" s="297"/>
      <c r="AL206" s="145" t="s">
        <v>154</v>
      </c>
      <c r="AM206" s="145" t="s">
        <v>155</v>
      </c>
      <c r="AN206" s="291"/>
    </row>
    <row r="207" spans="1:40" x14ac:dyDescent="0.25">
      <c r="A207" s="169" t="s">
        <v>84</v>
      </c>
      <c r="B207" s="11">
        <f>B179*$C$171</f>
        <v>1.9380000000000002</v>
      </c>
      <c r="C207" s="12">
        <f t="shared" ref="C207:I207" si="163">C179*$C$171</f>
        <v>3.78</v>
      </c>
      <c r="D207" s="12">
        <f t="shared" si="163"/>
        <v>4.7430000000000003</v>
      </c>
      <c r="E207" s="13">
        <f t="shared" si="163"/>
        <v>6.1965000000000003</v>
      </c>
      <c r="F207" s="11">
        <f t="shared" si="163"/>
        <v>2.4959999999999996</v>
      </c>
      <c r="G207" s="12">
        <f t="shared" si="163"/>
        <v>3.78</v>
      </c>
      <c r="H207" s="12">
        <f t="shared" si="163"/>
        <v>4.7430000000000003</v>
      </c>
      <c r="I207" s="166">
        <f t="shared" si="163"/>
        <v>5.7090000000000005</v>
      </c>
      <c r="J207" s="11">
        <f>J179*$C$172</f>
        <v>1.1669999999999998</v>
      </c>
      <c r="K207" s="12">
        <f t="shared" ref="K207:Q207" si="164">K179*$C$172</f>
        <v>2.9670000000000001</v>
      </c>
      <c r="L207" s="12">
        <f t="shared" si="164"/>
        <v>4.5539999999999994</v>
      </c>
      <c r="M207" s="13">
        <f t="shared" si="164"/>
        <v>6.3645000000000005</v>
      </c>
      <c r="N207" s="11">
        <f t="shared" si="164"/>
        <v>1.7024999999999997</v>
      </c>
      <c r="O207" s="12">
        <f t="shared" si="164"/>
        <v>2.9670000000000001</v>
      </c>
      <c r="P207" s="12">
        <f t="shared" si="164"/>
        <v>4.5539999999999994</v>
      </c>
      <c r="Q207" s="166">
        <f t="shared" si="164"/>
        <v>5.7690000000000001</v>
      </c>
      <c r="R207" s="173">
        <f>R179*$C$173</f>
        <v>1.9740000000000002</v>
      </c>
      <c r="S207" s="173">
        <f t="shared" ref="S207:Y207" si="165">S179*$C$173</f>
        <v>3.9659999999999997</v>
      </c>
      <c r="T207" s="173">
        <f t="shared" si="165"/>
        <v>5.4220000000000006</v>
      </c>
      <c r="U207" s="173">
        <f t="shared" si="165"/>
        <v>7.3860000000000001</v>
      </c>
      <c r="V207" s="173">
        <f t="shared" si="165"/>
        <v>2.5716000000000001</v>
      </c>
      <c r="W207" s="173">
        <f t="shared" si="165"/>
        <v>3.9659999999999997</v>
      </c>
      <c r="X207" s="173">
        <f t="shared" si="165"/>
        <v>5.4220000000000006</v>
      </c>
      <c r="Y207" s="199">
        <f t="shared" si="165"/>
        <v>6.7320000000000011</v>
      </c>
      <c r="Z207" s="11">
        <f>B207+J207+R207</f>
        <v>5.0790000000000006</v>
      </c>
      <c r="AA207" s="12">
        <f t="shared" ref="AA207:AG216" si="166">C207+K207+S207</f>
        <v>10.712999999999999</v>
      </c>
      <c r="AB207" s="12">
        <f t="shared" si="166"/>
        <v>14.719000000000001</v>
      </c>
      <c r="AC207" s="13">
        <f t="shared" si="166"/>
        <v>19.946999999999999</v>
      </c>
      <c r="AD207" s="11">
        <f t="shared" si="166"/>
        <v>6.7700999999999993</v>
      </c>
      <c r="AE207" s="12">
        <f t="shared" si="166"/>
        <v>10.712999999999999</v>
      </c>
      <c r="AF207" s="12">
        <f t="shared" si="166"/>
        <v>14.719000000000001</v>
      </c>
      <c r="AG207" s="166">
        <f t="shared" si="166"/>
        <v>18.21</v>
      </c>
      <c r="AH207" s="81">
        <f>AH$204*AA207+(1-AH$204)*Z207</f>
        <v>9.5861999999999998</v>
      </c>
      <c r="AI207" s="84">
        <f>AH$204*AB207+(1-AH$204)*AC207</f>
        <v>15.764600000000002</v>
      </c>
      <c r="AJ207" s="81">
        <f>AH$204*AE207+(1-AH$204)*AD207</f>
        <v>9.9244199999999996</v>
      </c>
      <c r="AK207" s="84">
        <f>AH$204*AF207+(1-AH$204)*AG207</f>
        <v>15.417200000000001</v>
      </c>
      <c r="AL207" s="81">
        <f>(AH207+AI207)/2</f>
        <v>12.6754</v>
      </c>
      <c r="AM207" s="84">
        <f>(AJ207+AK207)/2</f>
        <v>12.670809999999999</v>
      </c>
      <c r="AN207" s="133">
        <f>(AL207+AM207)/2</f>
        <v>12.673105</v>
      </c>
    </row>
    <row r="208" spans="1:40" x14ac:dyDescent="0.25">
      <c r="A208" s="164" t="s">
        <v>73</v>
      </c>
      <c r="B208" s="9">
        <f t="shared" ref="B208:I216" si="167">B180*$C$171</f>
        <v>0.21450000000000005</v>
      </c>
      <c r="C208" s="2">
        <f t="shared" si="167"/>
        <v>1.3365</v>
      </c>
      <c r="D208" s="2">
        <f t="shared" si="167"/>
        <v>2.7224999999999997</v>
      </c>
      <c r="E208" s="10">
        <f t="shared" si="167"/>
        <v>4.2074999999999996</v>
      </c>
      <c r="F208" s="9">
        <f t="shared" si="167"/>
        <v>0.54570000000000018</v>
      </c>
      <c r="G208" s="2">
        <f t="shared" si="167"/>
        <v>1.3365</v>
      </c>
      <c r="H208" s="2">
        <f t="shared" si="167"/>
        <v>2.7224999999999997</v>
      </c>
      <c r="I208" s="159">
        <f t="shared" si="167"/>
        <v>3.729000000000001</v>
      </c>
      <c r="J208" s="9">
        <f t="shared" ref="J208:Q216" si="168">J180*$C$172</f>
        <v>0.14850000000000002</v>
      </c>
      <c r="K208" s="2">
        <f t="shared" si="168"/>
        <v>1.6665000000000001</v>
      </c>
      <c r="L208" s="2">
        <f t="shared" si="168"/>
        <v>3.3824999999999998</v>
      </c>
      <c r="M208" s="10">
        <f t="shared" si="168"/>
        <v>5.0325000000000006</v>
      </c>
      <c r="N208" s="9">
        <f t="shared" si="168"/>
        <v>0.58950000000000025</v>
      </c>
      <c r="O208" s="2">
        <f t="shared" si="168"/>
        <v>1.6665000000000001</v>
      </c>
      <c r="P208" s="2">
        <f t="shared" si="168"/>
        <v>3.3824999999999998</v>
      </c>
      <c r="Q208" s="159">
        <f t="shared" si="168"/>
        <v>4.5090000000000012</v>
      </c>
      <c r="R208" s="184">
        <f t="shared" ref="R208:Y216" si="169">R180*$C$173</f>
        <v>-2.200000000000002E-2</v>
      </c>
      <c r="S208" s="184">
        <f t="shared" si="169"/>
        <v>1.4520000000000004</v>
      </c>
      <c r="T208" s="184">
        <f t="shared" si="169"/>
        <v>3.3000000000000003</v>
      </c>
      <c r="U208" s="184">
        <f t="shared" si="169"/>
        <v>5.16</v>
      </c>
      <c r="V208" s="184">
        <f t="shared" si="169"/>
        <v>0.41</v>
      </c>
      <c r="W208" s="184">
        <f t="shared" si="169"/>
        <v>1.4520000000000004</v>
      </c>
      <c r="X208" s="184">
        <f t="shared" si="169"/>
        <v>3.3000000000000003</v>
      </c>
      <c r="Y208" s="183">
        <f t="shared" si="169"/>
        <v>4.572000000000001</v>
      </c>
      <c r="Z208" s="9">
        <f t="shared" ref="Z208:Z216" si="170">B208+J208+R208</f>
        <v>0.34100000000000008</v>
      </c>
      <c r="AA208" s="2">
        <f t="shared" si="166"/>
        <v>4.4550000000000001</v>
      </c>
      <c r="AB208" s="2">
        <f t="shared" si="166"/>
        <v>9.4049999999999994</v>
      </c>
      <c r="AC208" s="10">
        <f t="shared" si="166"/>
        <v>14.4</v>
      </c>
      <c r="AD208" s="9">
        <f t="shared" si="166"/>
        <v>1.5452000000000004</v>
      </c>
      <c r="AE208" s="2">
        <f t="shared" si="166"/>
        <v>4.4550000000000001</v>
      </c>
      <c r="AF208" s="2">
        <f t="shared" si="166"/>
        <v>9.4049999999999994</v>
      </c>
      <c r="AG208" s="159">
        <f t="shared" si="166"/>
        <v>12.810000000000004</v>
      </c>
      <c r="AH208" s="87">
        <f t="shared" ref="AH208:AH216" si="171">AH$204*AA208+(1-AH$204)*Z208</f>
        <v>3.6322000000000001</v>
      </c>
      <c r="AI208" s="88">
        <f t="shared" ref="AI208:AI216" si="172">AH$204*AB208+(1-AH$204)*AC208</f>
        <v>10.404</v>
      </c>
      <c r="AJ208" s="87">
        <f t="shared" ref="AJ208:AJ216" si="173">AH$204*AE208+(1-AH$204)*AD208</f>
        <v>3.87304</v>
      </c>
      <c r="AK208" s="88">
        <f t="shared" ref="AK208:AK216" si="174">AH$204*AF208+(1-AH$204)*AG208</f>
        <v>10.086</v>
      </c>
      <c r="AL208" s="87">
        <f t="shared" ref="AL208:AL216" si="175">(AH208+AI208)/2</f>
        <v>7.0181000000000004</v>
      </c>
      <c r="AM208" s="88">
        <f t="shared" ref="AM208:AM216" si="176">(AJ208+AK208)/2</f>
        <v>6.9795199999999999</v>
      </c>
      <c r="AN208" s="134">
        <f t="shared" ref="AN208:AN216" si="177">(AL208+AM208)/2</f>
        <v>6.9988100000000006</v>
      </c>
    </row>
    <row r="209" spans="1:40" x14ac:dyDescent="0.25">
      <c r="A209" s="164" t="s">
        <v>74</v>
      </c>
      <c r="B209" s="9">
        <f t="shared" si="167"/>
        <v>1.2045000000000001</v>
      </c>
      <c r="C209" s="2">
        <f t="shared" si="167"/>
        <v>2.2275</v>
      </c>
      <c r="D209" s="2">
        <f t="shared" si="167"/>
        <v>3.8115000000000006</v>
      </c>
      <c r="E209" s="10">
        <f t="shared" si="167"/>
        <v>5.9894999999999996</v>
      </c>
      <c r="F209" s="9">
        <f t="shared" si="167"/>
        <v>1.524</v>
      </c>
      <c r="G209" s="2">
        <f t="shared" si="167"/>
        <v>2.2275</v>
      </c>
      <c r="H209" s="2">
        <f t="shared" si="167"/>
        <v>3.8115000000000006</v>
      </c>
      <c r="I209" s="159">
        <f t="shared" si="167"/>
        <v>5.246999999999999</v>
      </c>
      <c r="J209" s="9">
        <f t="shared" si="168"/>
        <v>2.19</v>
      </c>
      <c r="K209" s="2">
        <f t="shared" si="168"/>
        <v>3.9975000000000001</v>
      </c>
      <c r="L209" s="2">
        <f t="shared" si="168"/>
        <v>5.5184999999999995</v>
      </c>
      <c r="M209" s="10">
        <f t="shared" si="168"/>
        <v>7.593</v>
      </c>
      <c r="N209" s="9">
        <f t="shared" si="168"/>
        <v>2.7344999999999993</v>
      </c>
      <c r="O209" s="2">
        <f t="shared" si="168"/>
        <v>3.9975000000000001</v>
      </c>
      <c r="P209" s="2">
        <f t="shared" si="168"/>
        <v>5.5184999999999995</v>
      </c>
      <c r="Q209" s="159">
        <f t="shared" si="168"/>
        <v>6.8879999999999999</v>
      </c>
      <c r="R209" s="11">
        <f t="shared" si="169"/>
        <v>1.9299999999999997</v>
      </c>
      <c r="S209" s="11">
        <f t="shared" si="169"/>
        <v>3.78</v>
      </c>
      <c r="T209" s="11">
        <f t="shared" si="169"/>
        <v>5.588000000000001</v>
      </c>
      <c r="U209" s="11">
        <f t="shared" si="169"/>
        <v>8.1240000000000006</v>
      </c>
      <c r="V209" s="11">
        <f t="shared" si="169"/>
        <v>2.4999999999999996</v>
      </c>
      <c r="W209" s="11">
        <f t="shared" si="169"/>
        <v>3.78</v>
      </c>
      <c r="X209" s="11">
        <f t="shared" si="169"/>
        <v>5.588000000000001</v>
      </c>
      <c r="Y209" s="168">
        <f t="shared" si="169"/>
        <v>7.2639999999999993</v>
      </c>
      <c r="Z209" s="9">
        <f t="shared" si="170"/>
        <v>5.3244999999999996</v>
      </c>
      <c r="AA209" s="2">
        <f t="shared" si="166"/>
        <v>10.004999999999999</v>
      </c>
      <c r="AB209" s="2">
        <f t="shared" si="166"/>
        <v>14.918000000000001</v>
      </c>
      <c r="AC209" s="10">
        <f t="shared" si="166"/>
        <v>21.706499999999998</v>
      </c>
      <c r="AD209" s="9">
        <f t="shared" si="166"/>
        <v>6.7584999999999997</v>
      </c>
      <c r="AE209" s="2">
        <f t="shared" si="166"/>
        <v>10.004999999999999</v>
      </c>
      <c r="AF209" s="2">
        <f t="shared" si="166"/>
        <v>14.918000000000001</v>
      </c>
      <c r="AG209" s="159">
        <f t="shared" si="166"/>
        <v>19.398999999999997</v>
      </c>
      <c r="AH209" s="87">
        <f t="shared" si="171"/>
        <v>9.0688999999999993</v>
      </c>
      <c r="AI209" s="88">
        <f t="shared" si="172"/>
        <v>16.275700000000001</v>
      </c>
      <c r="AJ209" s="87">
        <f t="shared" si="173"/>
        <v>9.3556999999999988</v>
      </c>
      <c r="AK209" s="88">
        <f t="shared" si="174"/>
        <v>15.8142</v>
      </c>
      <c r="AL209" s="87">
        <f t="shared" si="175"/>
        <v>12.6723</v>
      </c>
      <c r="AM209" s="88">
        <f t="shared" si="176"/>
        <v>12.584949999999999</v>
      </c>
      <c r="AN209" s="134">
        <f t="shared" si="177"/>
        <v>12.628625</v>
      </c>
    </row>
    <row r="210" spans="1:40" x14ac:dyDescent="0.25">
      <c r="A210" s="164" t="s">
        <v>75</v>
      </c>
      <c r="B210" s="9">
        <f t="shared" si="167"/>
        <v>1.6950000000000003</v>
      </c>
      <c r="C210" s="2">
        <f t="shared" si="167"/>
        <v>3.1724999999999999</v>
      </c>
      <c r="D210" s="2">
        <f t="shared" si="167"/>
        <v>4.3635000000000002</v>
      </c>
      <c r="E210" s="10">
        <f t="shared" si="167"/>
        <v>6.0929999999999991</v>
      </c>
      <c r="F210" s="9">
        <f t="shared" si="167"/>
        <v>2.145</v>
      </c>
      <c r="G210" s="2">
        <f t="shared" si="167"/>
        <v>3.1724999999999999</v>
      </c>
      <c r="H210" s="2">
        <f t="shared" si="167"/>
        <v>4.3635000000000002</v>
      </c>
      <c r="I210" s="159">
        <f t="shared" si="167"/>
        <v>5.508</v>
      </c>
      <c r="J210" s="9">
        <f t="shared" si="168"/>
        <v>1.7445000000000002</v>
      </c>
      <c r="K210" s="2">
        <f t="shared" si="168"/>
        <v>3.5520000000000005</v>
      </c>
      <c r="L210" s="2">
        <f t="shared" si="168"/>
        <v>4.9739999999999993</v>
      </c>
      <c r="M210" s="10">
        <f t="shared" si="168"/>
        <v>6.7020000000000008</v>
      </c>
      <c r="N210" s="9">
        <f t="shared" si="168"/>
        <v>2.2799999999999994</v>
      </c>
      <c r="O210" s="2">
        <f t="shared" si="168"/>
        <v>3.5520000000000005</v>
      </c>
      <c r="P210" s="2">
        <f t="shared" si="168"/>
        <v>4.9739999999999993</v>
      </c>
      <c r="Q210" s="159">
        <f t="shared" si="168"/>
        <v>6.1289999999999996</v>
      </c>
      <c r="R210" s="11">
        <f t="shared" si="169"/>
        <v>0.74600000000000011</v>
      </c>
      <c r="S210" s="11">
        <f t="shared" si="169"/>
        <v>2.4060000000000001</v>
      </c>
      <c r="T210" s="11">
        <f t="shared" si="169"/>
        <v>4.3020000000000005</v>
      </c>
      <c r="U210" s="11">
        <f t="shared" si="169"/>
        <v>6.4860000000000015</v>
      </c>
      <c r="V210" s="11">
        <f t="shared" si="169"/>
        <v>1.2500000000000004</v>
      </c>
      <c r="W210" s="11">
        <f t="shared" si="169"/>
        <v>2.4060000000000001</v>
      </c>
      <c r="X210" s="11">
        <f t="shared" si="169"/>
        <v>4.3020000000000005</v>
      </c>
      <c r="Y210" s="168">
        <f t="shared" si="169"/>
        <v>5.772000000000002</v>
      </c>
      <c r="Z210" s="9">
        <f t="shared" si="170"/>
        <v>4.1855000000000011</v>
      </c>
      <c r="AA210" s="2">
        <f t="shared" si="166"/>
        <v>9.1305000000000014</v>
      </c>
      <c r="AB210" s="2">
        <f t="shared" si="166"/>
        <v>13.639499999999998</v>
      </c>
      <c r="AC210" s="10">
        <f t="shared" si="166"/>
        <v>19.281000000000002</v>
      </c>
      <c r="AD210" s="9">
        <f t="shared" si="166"/>
        <v>5.6749999999999989</v>
      </c>
      <c r="AE210" s="2">
        <f t="shared" si="166"/>
        <v>9.1305000000000014</v>
      </c>
      <c r="AF210" s="2">
        <f t="shared" si="166"/>
        <v>13.639499999999998</v>
      </c>
      <c r="AG210" s="159">
        <f t="shared" si="166"/>
        <v>17.409000000000002</v>
      </c>
      <c r="AH210" s="87">
        <f t="shared" si="171"/>
        <v>8.1415000000000006</v>
      </c>
      <c r="AI210" s="88">
        <f t="shared" si="172"/>
        <v>14.767799999999999</v>
      </c>
      <c r="AJ210" s="87">
        <f t="shared" si="173"/>
        <v>8.4394000000000009</v>
      </c>
      <c r="AK210" s="88">
        <f t="shared" si="174"/>
        <v>14.3934</v>
      </c>
      <c r="AL210" s="87">
        <f t="shared" si="175"/>
        <v>11.454650000000001</v>
      </c>
      <c r="AM210" s="88">
        <f t="shared" si="176"/>
        <v>11.416399999999999</v>
      </c>
      <c r="AN210" s="134">
        <f t="shared" si="177"/>
        <v>11.435525</v>
      </c>
    </row>
    <row r="211" spans="1:40" x14ac:dyDescent="0.25">
      <c r="A211" s="164" t="s">
        <v>77</v>
      </c>
      <c r="B211" s="9">
        <f t="shared" si="167"/>
        <v>1.335</v>
      </c>
      <c r="C211" s="2">
        <f t="shared" si="167"/>
        <v>2.4975000000000001</v>
      </c>
      <c r="D211" s="2">
        <f t="shared" si="167"/>
        <v>4.0184999999999995</v>
      </c>
      <c r="E211" s="10">
        <f t="shared" si="167"/>
        <v>6.0930000000000009</v>
      </c>
      <c r="F211" s="9">
        <f t="shared" si="167"/>
        <v>1.6995000000000002</v>
      </c>
      <c r="G211" s="2">
        <f t="shared" si="167"/>
        <v>2.4975000000000001</v>
      </c>
      <c r="H211" s="2">
        <f t="shared" si="167"/>
        <v>4.0184999999999995</v>
      </c>
      <c r="I211" s="159">
        <f t="shared" si="167"/>
        <v>5.3879999999999999</v>
      </c>
      <c r="J211" s="9">
        <f t="shared" si="168"/>
        <v>2.19</v>
      </c>
      <c r="K211" s="2">
        <f t="shared" si="168"/>
        <v>3.9975000000000001</v>
      </c>
      <c r="L211" s="2">
        <f t="shared" si="168"/>
        <v>5.5184999999999995</v>
      </c>
      <c r="M211" s="10">
        <f t="shared" si="168"/>
        <v>7.593</v>
      </c>
      <c r="N211" s="9">
        <f t="shared" si="168"/>
        <v>2.7344999999999993</v>
      </c>
      <c r="O211" s="2">
        <f t="shared" si="168"/>
        <v>3.9975000000000001</v>
      </c>
      <c r="P211" s="2">
        <f t="shared" si="168"/>
        <v>5.5184999999999995</v>
      </c>
      <c r="Q211" s="159">
        <f t="shared" si="168"/>
        <v>6.8879999999999999</v>
      </c>
      <c r="R211" s="11">
        <f t="shared" si="169"/>
        <v>0.89599999999999991</v>
      </c>
      <c r="S211" s="11">
        <f t="shared" si="169"/>
        <v>2.8559999999999999</v>
      </c>
      <c r="T211" s="11">
        <f t="shared" si="169"/>
        <v>4.532</v>
      </c>
      <c r="U211" s="11">
        <f t="shared" si="169"/>
        <v>6.4860000000000007</v>
      </c>
      <c r="V211" s="11">
        <f t="shared" si="169"/>
        <v>1.4839999999999998</v>
      </c>
      <c r="W211" s="11">
        <f t="shared" si="169"/>
        <v>2.8559999999999999</v>
      </c>
      <c r="X211" s="11">
        <f t="shared" si="169"/>
        <v>4.532</v>
      </c>
      <c r="Y211" s="168">
        <f t="shared" si="169"/>
        <v>5.8520000000000003</v>
      </c>
      <c r="Z211" s="9">
        <f t="shared" si="170"/>
        <v>4.4209999999999994</v>
      </c>
      <c r="AA211" s="2">
        <f t="shared" si="166"/>
        <v>9.3509999999999991</v>
      </c>
      <c r="AB211" s="2">
        <f t="shared" si="166"/>
        <v>14.068999999999999</v>
      </c>
      <c r="AC211" s="10">
        <f t="shared" si="166"/>
        <v>20.172000000000001</v>
      </c>
      <c r="AD211" s="9">
        <f t="shared" si="166"/>
        <v>5.9179999999999993</v>
      </c>
      <c r="AE211" s="2">
        <f t="shared" si="166"/>
        <v>9.3509999999999991</v>
      </c>
      <c r="AF211" s="2">
        <f t="shared" si="166"/>
        <v>14.068999999999999</v>
      </c>
      <c r="AG211" s="159">
        <f t="shared" si="166"/>
        <v>18.128</v>
      </c>
      <c r="AH211" s="87">
        <f t="shared" si="171"/>
        <v>8.3649999999999984</v>
      </c>
      <c r="AI211" s="88">
        <f t="shared" si="172"/>
        <v>15.2896</v>
      </c>
      <c r="AJ211" s="87">
        <f t="shared" si="173"/>
        <v>8.6643999999999988</v>
      </c>
      <c r="AK211" s="88">
        <f t="shared" si="174"/>
        <v>14.880799999999999</v>
      </c>
      <c r="AL211" s="87">
        <f t="shared" si="175"/>
        <v>11.827299999999999</v>
      </c>
      <c r="AM211" s="88">
        <f t="shared" si="176"/>
        <v>11.772599999999999</v>
      </c>
      <c r="AN211" s="134">
        <f t="shared" si="177"/>
        <v>11.799949999999999</v>
      </c>
    </row>
    <row r="212" spans="1:40" x14ac:dyDescent="0.25">
      <c r="A212" s="164" t="s">
        <v>78</v>
      </c>
      <c r="B212" s="9">
        <f t="shared" si="167"/>
        <v>1.2495000000000003</v>
      </c>
      <c r="C212" s="2">
        <f t="shared" si="167"/>
        <v>2.7269999999999999</v>
      </c>
      <c r="D212" s="2">
        <f t="shared" si="167"/>
        <v>3.819</v>
      </c>
      <c r="E212" s="10">
        <f t="shared" si="167"/>
        <v>5.202</v>
      </c>
      <c r="F212" s="9">
        <f t="shared" si="167"/>
        <v>1.6904999999999997</v>
      </c>
      <c r="G212" s="2">
        <f t="shared" si="167"/>
        <v>2.7269999999999999</v>
      </c>
      <c r="H212" s="2">
        <f t="shared" si="167"/>
        <v>3.819</v>
      </c>
      <c r="I212" s="159">
        <f t="shared" si="167"/>
        <v>4.7489999999999997</v>
      </c>
      <c r="J212" s="9">
        <f t="shared" si="168"/>
        <v>1.7445000000000002</v>
      </c>
      <c r="K212" s="2">
        <f t="shared" si="168"/>
        <v>3.5520000000000005</v>
      </c>
      <c r="L212" s="2">
        <f t="shared" si="168"/>
        <v>4.9739999999999993</v>
      </c>
      <c r="M212" s="10">
        <f t="shared" si="168"/>
        <v>6.7020000000000008</v>
      </c>
      <c r="N212" s="9">
        <f t="shared" si="168"/>
        <v>2.2799999999999994</v>
      </c>
      <c r="O212" s="2">
        <f t="shared" si="168"/>
        <v>3.5520000000000005</v>
      </c>
      <c r="P212" s="2">
        <f t="shared" si="168"/>
        <v>4.9739999999999993</v>
      </c>
      <c r="Q212" s="159">
        <f t="shared" si="168"/>
        <v>6.1289999999999996</v>
      </c>
      <c r="R212" s="11">
        <f t="shared" si="169"/>
        <v>0.28600000000000014</v>
      </c>
      <c r="S212" s="11">
        <f t="shared" si="169"/>
        <v>1.782</v>
      </c>
      <c r="T212" s="11">
        <f t="shared" si="169"/>
        <v>3.6300000000000008</v>
      </c>
      <c r="U212" s="11">
        <f t="shared" si="169"/>
        <v>5.61</v>
      </c>
      <c r="V212" s="11">
        <f t="shared" si="169"/>
        <v>0.72760000000000036</v>
      </c>
      <c r="W212" s="11">
        <f t="shared" si="169"/>
        <v>1.782</v>
      </c>
      <c r="X212" s="11">
        <f t="shared" si="169"/>
        <v>3.6300000000000008</v>
      </c>
      <c r="Y212" s="168">
        <f t="shared" si="169"/>
        <v>4.9720000000000013</v>
      </c>
      <c r="Z212" s="9">
        <f t="shared" si="170"/>
        <v>3.2800000000000007</v>
      </c>
      <c r="AA212" s="2">
        <f t="shared" si="166"/>
        <v>8.0609999999999999</v>
      </c>
      <c r="AB212" s="2">
        <f t="shared" si="166"/>
        <v>12.423</v>
      </c>
      <c r="AC212" s="10">
        <f t="shared" si="166"/>
        <v>17.513999999999999</v>
      </c>
      <c r="AD212" s="9">
        <f t="shared" si="166"/>
        <v>4.6980999999999993</v>
      </c>
      <c r="AE212" s="2">
        <f t="shared" si="166"/>
        <v>8.0609999999999999</v>
      </c>
      <c r="AF212" s="2">
        <f t="shared" si="166"/>
        <v>12.423</v>
      </c>
      <c r="AG212" s="159">
        <f t="shared" si="166"/>
        <v>15.850000000000001</v>
      </c>
      <c r="AH212" s="87">
        <f t="shared" si="171"/>
        <v>7.1048</v>
      </c>
      <c r="AI212" s="88">
        <f t="shared" si="172"/>
        <v>13.4412</v>
      </c>
      <c r="AJ212" s="87">
        <f t="shared" si="173"/>
        <v>7.38842</v>
      </c>
      <c r="AK212" s="88">
        <f t="shared" si="174"/>
        <v>13.108400000000001</v>
      </c>
      <c r="AL212" s="87">
        <f t="shared" si="175"/>
        <v>10.273</v>
      </c>
      <c r="AM212" s="88">
        <f t="shared" si="176"/>
        <v>10.24841</v>
      </c>
      <c r="AN212" s="134">
        <f t="shared" si="177"/>
        <v>10.260705</v>
      </c>
    </row>
    <row r="213" spans="1:40" x14ac:dyDescent="0.25">
      <c r="A213" s="164" t="s">
        <v>79</v>
      </c>
      <c r="B213" s="9">
        <f t="shared" si="167"/>
        <v>1.2495000000000003</v>
      </c>
      <c r="C213" s="2">
        <f t="shared" si="167"/>
        <v>2.7269999999999999</v>
      </c>
      <c r="D213" s="2">
        <f t="shared" si="167"/>
        <v>3.819</v>
      </c>
      <c r="E213" s="10">
        <f t="shared" si="167"/>
        <v>5.202</v>
      </c>
      <c r="F213" s="9">
        <f t="shared" si="167"/>
        <v>1.6904999999999997</v>
      </c>
      <c r="G213" s="2">
        <f t="shared" si="167"/>
        <v>2.7269999999999999</v>
      </c>
      <c r="H213" s="2">
        <f t="shared" si="167"/>
        <v>3.819</v>
      </c>
      <c r="I213" s="159">
        <f t="shared" si="167"/>
        <v>4.7489999999999997</v>
      </c>
      <c r="J213" s="9">
        <f t="shared" si="168"/>
        <v>1.7445000000000002</v>
      </c>
      <c r="K213" s="2">
        <f t="shared" si="168"/>
        <v>3.5520000000000005</v>
      </c>
      <c r="L213" s="2">
        <f t="shared" si="168"/>
        <v>4.9739999999999993</v>
      </c>
      <c r="M213" s="10">
        <f t="shared" si="168"/>
        <v>6.7020000000000008</v>
      </c>
      <c r="N213" s="9">
        <f t="shared" si="168"/>
        <v>2.2799999999999994</v>
      </c>
      <c r="O213" s="2">
        <f t="shared" si="168"/>
        <v>3.5520000000000005</v>
      </c>
      <c r="P213" s="2">
        <f t="shared" si="168"/>
        <v>4.9739999999999993</v>
      </c>
      <c r="Q213" s="159">
        <f t="shared" si="168"/>
        <v>6.1289999999999996</v>
      </c>
      <c r="R213" s="11">
        <f t="shared" si="169"/>
        <v>0.74600000000000011</v>
      </c>
      <c r="S213" s="11">
        <f t="shared" si="169"/>
        <v>2.4060000000000001</v>
      </c>
      <c r="T213" s="11">
        <f t="shared" si="169"/>
        <v>4.3020000000000005</v>
      </c>
      <c r="U213" s="11">
        <f t="shared" si="169"/>
        <v>6.4860000000000015</v>
      </c>
      <c r="V213" s="11">
        <f t="shared" si="169"/>
        <v>1.2500000000000004</v>
      </c>
      <c r="W213" s="11">
        <f t="shared" si="169"/>
        <v>2.4060000000000001</v>
      </c>
      <c r="X213" s="11">
        <f t="shared" si="169"/>
        <v>4.3020000000000005</v>
      </c>
      <c r="Y213" s="168">
        <f t="shared" si="169"/>
        <v>5.772000000000002</v>
      </c>
      <c r="Z213" s="9">
        <f t="shared" si="170"/>
        <v>3.7400000000000007</v>
      </c>
      <c r="AA213" s="2">
        <f t="shared" si="166"/>
        <v>8.6850000000000005</v>
      </c>
      <c r="AB213" s="2">
        <f t="shared" si="166"/>
        <v>13.094999999999999</v>
      </c>
      <c r="AC213" s="10">
        <f t="shared" si="166"/>
        <v>18.39</v>
      </c>
      <c r="AD213" s="9">
        <f t="shared" si="166"/>
        <v>5.2204999999999995</v>
      </c>
      <c r="AE213" s="2">
        <f t="shared" si="166"/>
        <v>8.6850000000000005</v>
      </c>
      <c r="AF213" s="2">
        <f t="shared" si="166"/>
        <v>13.094999999999999</v>
      </c>
      <c r="AG213" s="159">
        <f t="shared" si="166"/>
        <v>16.650000000000002</v>
      </c>
      <c r="AH213" s="87">
        <f t="shared" si="171"/>
        <v>7.6960000000000006</v>
      </c>
      <c r="AI213" s="88">
        <f t="shared" si="172"/>
        <v>14.153999999999998</v>
      </c>
      <c r="AJ213" s="87">
        <f t="shared" si="173"/>
        <v>7.9920999999999998</v>
      </c>
      <c r="AK213" s="88">
        <f t="shared" si="174"/>
        <v>13.805999999999999</v>
      </c>
      <c r="AL213" s="87">
        <f t="shared" si="175"/>
        <v>10.924999999999999</v>
      </c>
      <c r="AM213" s="88">
        <f t="shared" si="176"/>
        <v>10.899049999999999</v>
      </c>
      <c r="AN213" s="134">
        <f t="shared" si="177"/>
        <v>10.912025</v>
      </c>
    </row>
    <row r="214" spans="1:40" x14ac:dyDescent="0.25">
      <c r="A214" s="164" t="s">
        <v>80</v>
      </c>
      <c r="B214" s="9">
        <f t="shared" si="167"/>
        <v>1.5779999999999998</v>
      </c>
      <c r="C214" s="2">
        <f t="shared" si="167"/>
        <v>3.1050000000000004</v>
      </c>
      <c r="D214" s="2">
        <f t="shared" si="167"/>
        <v>4.3979999999999997</v>
      </c>
      <c r="E214" s="10">
        <f t="shared" si="167"/>
        <v>6.1965000000000003</v>
      </c>
      <c r="F214" s="9">
        <f t="shared" si="167"/>
        <v>2.0504999999999995</v>
      </c>
      <c r="G214" s="2">
        <f t="shared" si="167"/>
        <v>3.1050000000000004</v>
      </c>
      <c r="H214" s="2">
        <f t="shared" si="167"/>
        <v>4.3979999999999997</v>
      </c>
      <c r="I214" s="159">
        <f t="shared" si="167"/>
        <v>5.5889999999999995</v>
      </c>
      <c r="J214" s="9">
        <f t="shared" si="168"/>
        <v>1.1669999999999998</v>
      </c>
      <c r="K214" s="2">
        <f t="shared" si="168"/>
        <v>2.9670000000000001</v>
      </c>
      <c r="L214" s="2">
        <f t="shared" si="168"/>
        <v>4.5539999999999994</v>
      </c>
      <c r="M214" s="10">
        <f t="shared" si="168"/>
        <v>6.3645000000000005</v>
      </c>
      <c r="N214" s="9">
        <f t="shared" si="168"/>
        <v>1.7024999999999997</v>
      </c>
      <c r="O214" s="2">
        <f t="shared" si="168"/>
        <v>2.9670000000000001</v>
      </c>
      <c r="P214" s="2">
        <f t="shared" si="168"/>
        <v>4.5539999999999994</v>
      </c>
      <c r="Q214" s="159">
        <f t="shared" si="168"/>
        <v>5.7690000000000001</v>
      </c>
      <c r="R214" s="11">
        <f t="shared" si="169"/>
        <v>1.6660000000000004</v>
      </c>
      <c r="S214" s="11">
        <f t="shared" si="169"/>
        <v>3.6360000000000001</v>
      </c>
      <c r="T214" s="11">
        <f t="shared" si="169"/>
        <v>5.0920000000000005</v>
      </c>
      <c r="U214" s="11">
        <f t="shared" si="169"/>
        <v>6.9359999999999999</v>
      </c>
      <c r="V214" s="11">
        <f t="shared" si="169"/>
        <v>2.2539999999999996</v>
      </c>
      <c r="W214" s="11">
        <f t="shared" si="169"/>
        <v>3.6360000000000001</v>
      </c>
      <c r="X214" s="11">
        <f t="shared" si="169"/>
        <v>5.0920000000000005</v>
      </c>
      <c r="Y214" s="168">
        <f t="shared" si="169"/>
        <v>6.3320000000000007</v>
      </c>
      <c r="Z214" s="9">
        <f t="shared" si="170"/>
        <v>4.4109999999999996</v>
      </c>
      <c r="AA214" s="2">
        <f t="shared" si="166"/>
        <v>9.708000000000002</v>
      </c>
      <c r="AB214" s="2">
        <f t="shared" si="166"/>
        <v>14.043999999999999</v>
      </c>
      <c r="AC214" s="10">
        <f t="shared" si="166"/>
        <v>19.497</v>
      </c>
      <c r="AD214" s="9">
        <f t="shared" si="166"/>
        <v>6.0069999999999988</v>
      </c>
      <c r="AE214" s="2">
        <f t="shared" si="166"/>
        <v>9.708000000000002</v>
      </c>
      <c r="AF214" s="2">
        <f t="shared" si="166"/>
        <v>14.043999999999999</v>
      </c>
      <c r="AG214" s="159">
        <f t="shared" si="166"/>
        <v>17.690000000000001</v>
      </c>
      <c r="AH214" s="87">
        <f t="shared" si="171"/>
        <v>8.6486000000000018</v>
      </c>
      <c r="AI214" s="88">
        <f t="shared" si="172"/>
        <v>15.134599999999999</v>
      </c>
      <c r="AJ214" s="87">
        <f t="shared" si="173"/>
        <v>8.9678000000000004</v>
      </c>
      <c r="AK214" s="88">
        <f t="shared" si="174"/>
        <v>14.773199999999999</v>
      </c>
      <c r="AL214" s="87">
        <f t="shared" si="175"/>
        <v>11.8916</v>
      </c>
      <c r="AM214" s="88">
        <f t="shared" si="176"/>
        <v>11.8705</v>
      </c>
      <c r="AN214" s="134">
        <f t="shared" si="177"/>
        <v>11.88105</v>
      </c>
    </row>
    <row r="215" spans="1:40" x14ac:dyDescent="0.25">
      <c r="A215" s="164" t="s">
        <v>82</v>
      </c>
      <c r="B215" s="9">
        <f t="shared" si="167"/>
        <v>1.335</v>
      </c>
      <c r="C215" s="2">
        <f t="shared" si="167"/>
        <v>2.4975000000000001</v>
      </c>
      <c r="D215" s="2">
        <f t="shared" si="167"/>
        <v>4.0184999999999995</v>
      </c>
      <c r="E215" s="10">
        <f t="shared" si="167"/>
        <v>6.0930000000000009</v>
      </c>
      <c r="F215" s="9">
        <f t="shared" si="167"/>
        <v>1.6995000000000002</v>
      </c>
      <c r="G215" s="2">
        <f t="shared" si="167"/>
        <v>2.4975000000000001</v>
      </c>
      <c r="H215" s="2">
        <f t="shared" si="167"/>
        <v>4.0184999999999995</v>
      </c>
      <c r="I215" s="159">
        <f t="shared" si="167"/>
        <v>5.3879999999999999</v>
      </c>
      <c r="J215" s="9">
        <f t="shared" si="168"/>
        <v>1.4145000000000001</v>
      </c>
      <c r="K215" s="2">
        <f t="shared" si="168"/>
        <v>3.3045</v>
      </c>
      <c r="L215" s="2">
        <f t="shared" si="168"/>
        <v>4.7264999999999997</v>
      </c>
      <c r="M215" s="10">
        <f t="shared" si="168"/>
        <v>6.3644999999999996</v>
      </c>
      <c r="N215" s="9">
        <f t="shared" si="168"/>
        <v>1.9724999999999997</v>
      </c>
      <c r="O215" s="2">
        <f t="shared" si="168"/>
        <v>3.3045</v>
      </c>
      <c r="P215" s="2">
        <f t="shared" si="168"/>
        <v>4.7264999999999997</v>
      </c>
      <c r="Q215" s="159">
        <f t="shared" si="168"/>
        <v>5.8290000000000006</v>
      </c>
      <c r="R215" s="11">
        <f t="shared" si="169"/>
        <v>0.89599999999999991</v>
      </c>
      <c r="S215" s="11">
        <f t="shared" si="169"/>
        <v>2.8559999999999999</v>
      </c>
      <c r="T215" s="11">
        <f t="shared" si="169"/>
        <v>4.532</v>
      </c>
      <c r="U215" s="11">
        <f t="shared" si="169"/>
        <v>6.4860000000000007</v>
      </c>
      <c r="V215" s="11">
        <f t="shared" si="169"/>
        <v>1.4839999999999998</v>
      </c>
      <c r="W215" s="11">
        <f t="shared" si="169"/>
        <v>2.8559999999999999</v>
      </c>
      <c r="X215" s="11">
        <f t="shared" si="169"/>
        <v>4.532</v>
      </c>
      <c r="Y215" s="168">
        <f t="shared" si="169"/>
        <v>5.8520000000000003</v>
      </c>
      <c r="Z215" s="9">
        <f t="shared" si="170"/>
        <v>3.6455000000000002</v>
      </c>
      <c r="AA215" s="2">
        <f t="shared" si="166"/>
        <v>8.6579999999999995</v>
      </c>
      <c r="AB215" s="2">
        <f t="shared" si="166"/>
        <v>13.276999999999999</v>
      </c>
      <c r="AC215" s="10">
        <f t="shared" si="166"/>
        <v>18.9435</v>
      </c>
      <c r="AD215" s="9">
        <f t="shared" si="166"/>
        <v>5.1559999999999997</v>
      </c>
      <c r="AE215" s="2">
        <f t="shared" si="166"/>
        <v>8.6579999999999995</v>
      </c>
      <c r="AF215" s="2">
        <f t="shared" si="166"/>
        <v>13.276999999999999</v>
      </c>
      <c r="AG215" s="159">
        <f t="shared" si="166"/>
        <v>17.069000000000003</v>
      </c>
      <c r="AH215" s="87">
        <f t="shared" si="171"/>
        <v>7.6555</v>
      </c>
      <c r="AI215" s="88">
        <f t="shared" si="172"/>
        <v>14.410299999999999</v>
      </c>
      <c r="AJ215" s="87">
        <f t="shared" si="173"/>
        <v>7.9575999999999993</v>
      </c>
      <c r="AK215" s="88">
        <f t="shared" si="174"/>
        <v>14.035400000000001</v>
      </c>
      <c r="AL215" s="87">
        <f t="shared" si="175"/>
        <v>11.0329</v>
      </c>
      <c r="AM215" s="88">
        <f t="shared" si="176"/>
        <v>10.996500000000001</v>
      </c>
      <c r="AN215" s="134">
        <f t="shared" si="177"/>
        <v>11.014700000000001</v>
      </c>
    </row>
    <row r="216" spans="1:40" ht="15.75" thickBot="1" x14ac:dyDescent="0.3">
      <c r="A216" s="165" t="s">
        <v>83</v>
      </c>
      <c r="B216" s="160">
        <f t="shared" si="167"/>
        <v>0.5595</v>
      </c>
      <c r="C216" s="120">
        <f t="shared" si="167"/>
        <v>1.8045</v>
      </c>
      <c r="D216" s="120">
        <f t="shared" si="167"/>
        <v>3.2264999999999997</v>
      </c>
      <c r="E216" s="124">
        <f t="shared" si="167"/>
        <v>4.8644999999999996</v>
      </c>
      <c r="F216" s="160">
        <f t="shared" si="167"/>
        <v>0.93750000000000022</v>
      </c>
      <c r="G216" s="120">
        <f t="shared" si="167"/>
        <v>1.8045</v>
      </c>
      <c r="H216" s="120">
        <f t="shared" si="167"/>
        <v>3.2264999999999997</v>
      </c>
      <c r="I216" s="167">
        <f t="shared" si="167"/>
        <v>4.3290000000000006</v>
      </c>
      <c r="J216" s="160">
        <f t="shared" si="168"/>
        <v>1.4145000000000001</v>
      </c>
      <c r="K216" s="120">
        <f t="shared" si="168"/>
        <v>3.3045</v>
      </c>
      <c r="L216" s="120">
        <f t="shared" si="168"/>
        <v>4.7264999999999997</v>
      </c>
      <c r="M216" s="124">
        <f t="shared" si="168"/>
        <v>6.3644999999999996</v>
      </c>
      <c r="N216" s="160">
        <f t="shared" si="168"/>
        <v>1.9724999999999997</v>
      </c>
      <c r="O216" s="120">
        <f t="shared" si="168"/>
        <v>3.3045</v>
      </c>
      <c r="P216" s="120">
        <f t="shared" si="168"/>
        <v>4.7264999999999997</v>
      </c>
      <c r="Q216" s="167">
        <f t="shared" si="168"/>
        <v>5.8290000000000006</v>
      </c>
      <c r="R216" s="175">
        <f t="shared" si="169"/>
        <v>1.6439999999999999</v>
      </c>
      <c r="S216" s="175">
        <f t="shared" si="169"/>
        <v>3.5160000000000005</v>
      </c>
      <c r="T216" s="175">
        <f t="shared" si="169"/>
        <v>5.1920000000000002</v>
      </c>
      <c r="U216" s="175">
        <f t="shared" si="169"/>
        <v>7.3860000000000001</v>
      </c>
      <c r="V216" s="175">
        <f t="shared" si="169"/>
        <v>2.2115999999999993</v>
      </c>
      <c r="W216" s="175">
        <f t="shared" si="169"/>
        <v>3.5160000000000005</v>
      </c>
      <c r="X216" s="175">
        <f t="shared" si="169"/>
        <v>5.1920000000000002</v>
      </c>
      <c r="Y216" s="135">
        <f t="shared" si="169"/>
        <v>6.6520000000000001</v>
      </c>
      <c r="Z216" s="160">
        <f t="shared" si="170"/>
        <v>3.6180000000000003</v>
      </c>
      <c r="AA216" s="120">
        <f t="shared" si="166"/>
        <v>8.625</v>
      </c>
      <c r="AB216" s="120">
        <f t="shared" si="166"/>
        <v>13.145</v>
      </c>
      <c r="AC216" s="124">
        <f t="shared" si="166"/>
        <v>18.614999999999998</v>
      </c>
      <c r="AD216" s="160">
        <f t="shared" si="166"/>
        <v>5.121599999999999</v>
      </c>
      <c r="AE216" s="120">
        <f t="shared" si="166"/>
        <v>8.625</v>
      </c>
      <c r="AF216" s="120">
        <f t="shared" si="166"/>
        <v>13.145</v>
      </c>
      <c r="AG216" s="167">
        <f t="shared" si="166"/>
        <v>16.810000000000002</v>
      </c>
      <c r="AH216" s="91">
        <f t="shared" si="171"/>
        <v>7.6236000000000006</v>
      </c>
      <c r="AI216" s="94">
        <f t="shared" si="172"/>
        <v>14.238999999999999</v>
      </c>
      <c r="AJ216" s="91">
        <f t="shared" si="173"/>
        <v>7.9243199999999998</v>
      </c>
      <c r="AK216" s="94">
        <f t="shared" si="174"/>
        <v>13.878</v>
      </c>
      <c r="AL216" s="91">
        <f t="shared" si="175"/>
        <v>10.9313</v>
      </c>
      <c r="AM216" s="94">
        <f t="shared" si="176"/>
        <v>10.901160000000001</v>
      </c>
      <c r="AN216" s="135">
        <f t="shared" si="177"/>
        <v>10.916230000000001</v>
      </c>
    </row>
  </sheetData>
  <mergeCells count="146">
    <mergeCell ref="AL205:AM205"/>
    <mergeCell ref="AN205:AN206"/>
    <mergeCell ref="B206:E206"/>
    <mergeCell ref="F206:I206"/>
    <mergeCell ref="J206:M206"/>
    <mergeCell ref="N206:Q206"/>
    <mergeCell ref="R206:U206"/>
    <mergeCell ref="V206:Y206"/>
    <mergeCell ref="Z206:AC206"/>
    <mergeCell ref="AD206:AG206"/>
    <mergeCell ref="A205:A206"/>
    <mergeCell ref="B205:I205"/>
    <mergeCell ref="J205:Q205"/>
    <mergeCell ref="R205:Y205"/>
    <mergeCell ref="Z205:AG205"/>
    <mergeCell ref="AH205:AK205"/>
    <mergeCell ref="AH206:AI206"/>
    <mergeCell ref="AJ206:AK206"/>
    <mergeCell ref="AF191:AF192"/>
    <mergeCell ref="B192:E192"/>
    <mergeCell ref="F192:I192"/>
    <mergeCell ref="J192:M192"/>
    <mergeCell ref="N192:Q192"/>
    <mergeCell ref="R192:U192"/>
    <mergeCell ref="V192:Y192"/>
    <mergeCell ref="Z192:AA192"/>
    <mergeCell ref="AB192:AC192"/>
    <mergeCell ref="A191:A192"/>
    <mergeCell ref="B191:I191"/>
    <mergeCell ref="J191:Q191"/>
    <mergeCell ref="R191:Y191"/>
    <mergeCell ref="Z191:AC191"/>
    <mergeCell ref="AD191:AE191"/>
    <mergeCell ref="A177:A178"/>
    <mergeCell ref="B177:I177"/>
    <mergeCell ref="J177:Q177"/>
    <mergeCell ref="R177:Y177"/>
    <mergeCell ref="B178:E178"/>
    <mergeCell ref="F178:I178"/>
    <mergeCell ref="J178:M178"/>
    <mergeCell ref="N178:Q178"/>
    <mergeCell ref="R178:U178"/>
    <mergeCell ref="V178:Y178"/>
    <mergeCell ref="E141:L141"/>
    <mergeCell ref="E147:L147"/>
    <mergeCell ref="AU114:AX114"/>
    <mergeCell ref="AY114:BB114"/>
    <mergeCell ref="BC114:BF114"/>
    <mergeCell ref="BG114:BJ114"/>
    <mergeCell ref="BK114:BN114"/>
    <mergeCell ref="BO114:BP114"/>
    <mergeCell ref="J113:J114"/>
    <mergeCell ref="AY113:BF113"/>
    <mergeCell ref="BG113:BN113"/>
    <mergeCell ref="BO113:BR113"/>
    <mergeCell ref="BS113:BT113"/>
    <mergeCell ref="BU113:BU114"/>
    <mergeCell ref="K114:N114"/>
    <mergeCell ref="O114:R114"/>
    <mergeCell ref="S114:V114"/>
    <mergeCell ref="W114:Z114"/>
    <mergeCell ref="AA114:AD114"/>
    <mergeCell ref="K113:R113"/>
    <mergeCell ref="S113:Z113"/>
    <mergeCell ref="AA113:AH113"/>
    <mergeCell ref="AI113:AP113"/>
    <mergeCell ref="AQ113:AX113"/>
    <mergeCell ref="AE114:AH114"/>
    <mergeCell ref="AI114:AL114"/>
    <mergeCell ref="AM114:AP114"/>
    <mergeCell ref="AQ114:AT114"/>
    <mergeCell ref="BQ114:BR114"/>
    <mergeCell ref="E89:L89"/>
    <mergeCell ref="E95:L95"/>
    <mergeCell ref="A113:A114"/>
    <mergeCell ref="B113:B114"/>
    <mergeCell ref="C113:C114"/>
    <mergeCell ref="D113:F113"/>
    <mergeCell ref="G113:I113"/>
    <mergeCell ref="AM62:AP62"/>
    <mergeCell ref="AQ62:AT62"/>
    <mergeCell ref="BO61:BR61"/>
    <mergeCell ref="BS61:BT61"/>
    <mergeCell ref="BU61:BU62"/>
    <mergeCell ref="K62:N62"/>
    <mergeCell ref="O62:R62"/>
    <mergeCell ref="S62:V62"/>
    <mergeCell ref="W62:Z62"/>
    <mergeCell ref="AA62:AD62"/>
    <mergeCell ref="AE62:AH62"/>
    <mergeCell ref="AI62:AL62"/>
    <mergeCell ref="S61:Z61"/>
    <mergeCell ref="AA61:AH61"/>
    <mergeCell ref="AI61:AP61"/>
    <mergeCell ref="AQ61:AX61"/>
    <mergeCell ref="AY61:BF61"/>
    <mergeCell ref="BG61:BN61"/>
    <mergeCell ref="BK62:BN62"/>
    <mergeCell ref="BO62:BP62"/>
    <mergeCell ref="BQ62:BR62"/>
    <mergeCell ref="AU62:AX62"/>
    <mergeCell ref="AY62:BB62"/>
    <mergeCell ref="BC62:BF62"/>
    <mergeCell ref="BG62:BJ62"/>
    <mergeCell ref="E37:L37"/>
    <mergeCell ref="E43:L43"/>
    <mergeCell ref="A61:A62"/>
    <mergeCell ref="B61:B62"/>
    <mergeCell ref="C61:C62"/>
    <mergeCell ref="D61:F61"/>
    <mergeCell ref="G61:I61"/>
    <mergeCell ref="J61:J62"/>
    <mergeCell ref="K61:R61"/>
    <mergeCell ref="BS9:BT9"/>
    <mergeCell ref="BU9:BU10"/>
    <mergeCell ref="K10:N10"/>
    <mergeCell ref="O10:R10"/>
    <mergeCell ref="S10:V10"/>
    <mergeCell ref="W10:Z10"/>
    <mergeCell ref="AA10:AD10"/>
    <mergeCell ref="K9:R9"/>
    <mergeCell ref="S9:Z9"/>
    <mergeCell ref="AA9:AH9"/>
    <mergeCell ref="AI9:AP9"/>
    <mergeCell ref="AQ9:AX9"/>
    <mergeCell ref="AE10:AH10"/>
    <mergeCell ref="AI10:AL10"/>
    <mergeCell ref="AM10:AP10"/>
    <mergeCell ref="AQ10:AT10"/>
    <mergeCell ref="BQ10:BR10"/>
    <mergeCell ref="AU10:AX10"/>
    <mergeCell ref="AY10:BB10"/>
    <mergeCell ref="BC10:BF10"/>
    <mergeCell ref="BG10:BJ10"/>
    <mergeCell ref="BK10:BN10"/>
    <mergeCell ref="BO10:BP10"/>
    <mergeCell ref="A3:E3"/>
    <mergeCell ref="A9:A10"/>
    <mergeCell ref="B9:B10"/>
    <mergeCell ref="C9:C10"/>
    <mergeCell ref="D9:F9"/>
    <mergeCell ref="G9:I9"/>
    <mergeCell ref="AY9:BF9"/>
    <mergeCell ref="BG9:BN9"/>
    <mergeCell ref="BO9:BR9"/>
    <mergeCell ref="J9:J10"/>
  </mergeCells>
  <hyperlinks>
    <hyperlink ref="B2" r:id="rId1" xr:uid="{74469EFC-1295-41EF-A63B-401D4BF10BB2}"/>
  </hyperlink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41C6-953A-4761-B710-8F60DE283453}">
  <dimension ref="A1:BU216"/>
  <sheetViews>
    <sheetView topLeftCell="A203" workbookViewId="0">
      <selection activeCell="B209" sqref="B209"/>
    </sheetView>
  </sheetViews>
  <sheetFormatPr defaultRowHeight="15" x14ac:dyDescent="0.25"/>
  <cols>
    <col min="1" max="1" width="31.710937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1.7109375" customWidth="1"/>
    <col min="7" max="9" width="9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95</v>
      </c>
      <c r="B1" s="98"/>
      <c r="C1" s="98"/>
    </row>
    <row r="2" spans="1:73" x14ac:dyDescent="0.25">
      <c r="A2" s="1" t="s">
        <v>96</v>
      </c>
      <c r="B2" s="101" t="s">
        <v>97</v>
      </c>
      <c r="C2" s="98"/>
    </row>
    <row r="3" spans="1:73" ht="30" customHeight="1" x14ac:dyDescent="0.25">
      <c r="A3" s="274" t="s">
        <v>98</v>
      </c>
      <c r="B3" s="275"/>
      <c r="C3" s="275"/>
      <c r="D3" s="276"/>
      <c r="E3" s="276"/>
    </row>
    <row r="4" spans="1:73" ht="15.75" x14ac:dyDescent="0.25">
      <c r="A4" s="146"/>
      <c r="B4" s="99"/>
      <c r="C4" s="99"/>
    </row>
    <row r="5" spans="1:73" ht="15.75" x14ac:dyDescent="0.25">
      <c r="A5" s="146"/>
      <c r="B5" s="99"/>
      <c r="C5" s="99"/>
    </row>
    <row r="6" spans="1:73" ht="18.75" x14ac:dyDescent="0.3">
      <c r="A6" s="149" t="s">
        <v>160</v>
      </c>
      <c r="B6" s="99"/>
      <c r="C6" s="99"/>
    </row>
    <row r="7" spans="1:73" x14ac:dyDescent="0.25">
      <c r="A7" s="1" t="s">
        <v>110</v>
      </c>
      <c r="B7" s="99"/>
      <c r="C7" s="99"/>
    </row>
    <row r="8" spans="1:73" ht="15.75" thickBot="1" x14ac:dyDescent="0.3">
      <c r="A8" s="100" t="s">
        <v>163</v>
      </c>
      <c r="B8" s="99"/>
      <c r="C8" s="99"/>
      <c r="BO8">
        <v>0.8</v>
      </c>
    </row>
    <row r="9" spans="1:73" ht="86.25" customHeight="1" thickBot="1" x14ac:dyDescent="0.3">
      <c r="A9" s="273" t="s">
        <v>85</v>
      </c>
      <c r="B9" s="273" t="s">
        <v>86</v>
      </c>
      <c r="C9" s="277" t="s">
        <v>87</v>
      </c>
      <c r="D9" s="278" t="s">
        <v>127</v>
      </c>
      <c r="E9" s="279"/>
      <c r="F9" s="279"/>
      <c r="G9" s="279" t="s">
        <v>128</v>
      </c>
      <c r="H9" s="279"/>
      <c r="I9" s="279"/>
      <c r="J9" s="286" t="s">
        <v>157</v>
      </c>
      <c r="K9" s="280" t="s">
        <v>150</v>
      </c>
      <c r="L9" s="281"/>
      <c r="M9" s="281"/>
      <c r="N9" s="281"/>
      <c r="O9" s="281"/>
      <c r="P9" s="281"/>
      <c r="Q9" s="281"/>
      <c r="R9" s="282"/>
      <c r="S9" s="280" t="s">
        <v>148</v>
      </c>
      <c r="T9" s="281"/>
      <c r="U9" s="281"/>
      <c r="V9" s="281"/>
      <c r="W9" s="281"/>
      <c r="X9" s="281"/>
      <c r="Y9" s="281"/>
      <c r="Z9" s="282"/>
      <c r="AA9" s="280" t="s">
        <v>149</v>
      </c>
      <c r="AB9" s="281"/>
      <c r="AC9" s="281"/>
      <c r="AD9" s="281"/>
      <c r="AE9" s="281"/>
      <c r="AF9" s="281"/>
      <c r="AG9" s="281"/>
      <c r="AH9" s="282"/>
      <c r="AI9" s="280" t="s">
        <v>147</v>
      </c>
      <c r="AJ9" s="281"/>
      <c r="AK9" s="281"/>
      <c r="AL9" s="281"/>
      <c r="AM9" s="281"/>
      <c r="AN9" s="281"/>
      <c r="AO9" s="281"/>
      <c r="AP9" s="282"/>
      <c r="AQ9" s="280" t="s">
        <v>158</v>
      </c>
      <c r="AR9" s="281"/>
      <c r="AS9" s="281"/>
      <c r="AT9" s="281"/>
      <c r="AU9" s="281"/>
      <c r="AV9" s="281"/>
      <c r="AW9" s="281"/>
      <c r="AX9" s="282"/>
      <c r="AY9" s="280" t="s">
        <v>159</v>
      </c>
      <c r="AZ9" s="281"/>
      <c r="BA9" s="281"/>
      <c r="BB9" s="281"/>
      <c r="BC9" s="281"/>
      <c r="BD9" s="281"/>
      <c r="BE9" s="281"/>
      <c r="BF9" s="282"/>
      <c r="BG9" s="280" t="s">
        <v>205</v>
      </c>
      <c r="BH9" s="281"/>
      <c r="BI9" s="281"/>
      <c r="BJ9" s="281"/>
      <c r="BK9" s="281"/>
      <c r="BL9" s="281"/>
      <c r="BM9" s="281"/>
      <c r="BN9" s="282"/>
      <c r="BO9" s="292" t="s">
        <v>151</v>
      </c>
      <c r="BP9" s="293"/>
      <c r="BQ9" s="293"/>
      <c r="BR9" s="294"/>
      <c r="BS9" s="288" t="s">
        <v>153</v>
      </c>
      <c r="BT9" s="289"/>
      <c r="BU9" s="290" t="s">
        <v>156</v>
      </c>
    </row>
    <row r="10" spans="1:73" s="97" customFormat="1" ht="23.25" customHeight="1" thickBot="1" x14ac:dyDescent="0.3">
      <c r="A10" s="273"/>
      <c r="B10" s="273"/>
      <c r="C10" s="277"/>
      <c r="D10" s="122" t="s">
        <v>114</v>
      </c>
      <c r="E10" s="107" t="s">
        <v>115</v>
      </c>
      <c r="F10" s="107" t="s">
        <v>116</v>
      </c>
      <c r="G10" s="107" t="s">
        <v>114</v>
      </c>
      <c r="H10" s="107" t="s">
        <v>115</v>
      </c>
      <c r="I10" s="107" t="s">
        <v>116</v>
      </c>
      <c r="J10" s="287"/>
      <c r="K10" s="280" t="s">
        <v>17</v>
      </c>
      <c r="L10" s="281"/>
      <c r="M10" s="281"/>
      <c r="N10" s="282"/>
      <c r="O10" s="280" t="s">
        <v>18</v>
      </c>
      <c r="P10" s="281"/>
      <c r="Q10" s="281"/>
      <c r="R10" s="282"/>
      <c r="S10" s="280" t="s">
        <v>17</v>
      </c>
      <c r="T10" s="281"/>
      <c r="U10" s="281"/>
      <c r="V10" s="282"/>
      <c r="W10" s="280" t="s">
        <v>18</v>
      </c>
      <c r="X10" s="281"/>
      <c r="Y10" s="281"/>
      <c r="Z10" s="282"/>
      <c r="AA10" s="280" t="s">
        <v>17</v>
      </c>
      <c r="AB10" s="281"/>
      <c r="AC10" s="281"/>
      <c r="AD10" s="282"/>
      <c r="AE10" s="280" t="s">
        <v>18</v>
      </c>
      <c r="AF10" s="281"/>
      <c r="AG10" s="281"/>
      <c r="AH10" s="282"/>
      <c r="AI10" s="280" t="s">
        <v>17</v>
      </c>
      <c r="AJ10" s="281"/>
      <c r="AK10" s="281"/>
      <c r="AL10" s="282"/>
      <c r="AM10" s="280" t="s">
        <v>18</v>
      </c>
      <c r="AN10" s="281"/>
      <c r="AO10" s="281"/>
      <c r="AP10" s="282"/>
      <c r="AQ10" s="280" t="s">
        <v>17</v>
      </c>
      <c r="AR10" s="281"/>
      <c r="AS10" s="281"/>
      <c r="AT10" s="282"/>
      <c r="AU10" s="280" t="s">
        <v>18</v>
      </c>
      <c r="AV10" s="281"/>
      <c r="AW10" s="281"/>
      <c r="AX10" s="282"/>
      <c r="AY10" s="280" t="s">
        <v>17</v>
      </c>
      <c r="AZ10" s="281"/>
      <c r="BA10" s="281"/>
      <c r="BB10" s="282"/>
      <c r="BC10" s="280" t="s">
        <v>18</v>
      </c>
      <c r="BD10" s="281"/>
      <c r="BE10" s="281"/>
      <c r="BF10" s="282"/>
      <c r="BG10" s="280" t="s">
        <v>17</v>
      </c>
      <c r="BH10" s="281"/>
      <c r="BI10" s="281"/>
      <c r="BJ10" s="282"/>
      <c r="BK10" s="280" t="s">
        <v>18</v>
      </c>
      <c r="BL10" s="281"/>
      <c r="BM10" s="281"/>
      <c r="BN10" s="282"/>
      <c r="BO10" s="295" t="s">
        <v>152</v>
      </c>
      <c r="BP10" s="296"/>
      <c r="BQ10" s="295" t="s">
        <v>26</v>
      </c>
      <c r="BR10" s="297"/>
      <c r="BS10" s="145" t="s">
        <v>154</v>
      </c>
      <c r="BT10" s="145" t="s">
        <v>155</v>
      </c>
      <c r="BU10" s="291"/>
    </row>
    <row r="11" spans="1:73" ht="30" x14ac:dyDescent="0.25">
      <c r="A11" s="102" t="s">
        <v>8</v>
      </c>
      <c r="B11" s="102" t="s">
        <v>84</v>
      </c>
      <c r="C11" s="121" t="s">
        <v>72</v>
      </c>
      <c r="D11" s="155" t="s">
        <v>104</v>
      </c>
      <c r="E11" s="156" t="s">
        <v>105</v>
      </c>
      <c r="F11" s="156" t="s">
        <v>104</v>
      </c>
      <c r="G11" s="110">
        <f>IF(D11=$A$24,$B$24,(IF(D11=$A$25,$B$25,IF(D11=$A$26,$B$26,$B$27))))</f>
        <v>1</v>
      </c>
      <c r="H11" s="110">
        <f t="shared" ref="G11:I20" si="0">IF(E11=$A$24,$B$24,(IF(E11=$A$25,$B$25,IF(E11=$A$26,$B$26,$B$27))))</f>
        <v>0.66</v>
      </c>
      <c r="I11" s="110">
        <f t="shared" si="0"/>
        <v>1</v>
      </c>
      <c r="J11" s="147">
        <f>G11*$D$38+H11*$D$39+I11*$D$40</f>
        <v>14.15</v>
      </c>
      <c r="K11" s="81">
        <v>0.77</v>
      </c>
      <c r="L11" s="83">
        <v>1</v>
      </c>
      <c r="M11" s="83">
        <v>1</v>
      </c>
      <c r="N11" s="84">
        <v>1</v>
      </c>
      <c r="O11" s="81">
        <v>0.83</v>
      </c>
      <c r="P11" s="83">
        <v>1</v>
      </c>
      <c r="Q11" s="83">
        <v>1</v>
      </c>
      <c r="R11" s="84">
        <v>1</v>
      </c>
      <c r="S11" s="81">
        <v>0.44000000000000006</v>
      </c>
      <c r="T11" s="83">
        <v>0.55000000000000004</v>
      </c>
      <c r="U11" s="83">
        <v>0.77</v>
      </c>
      <c r="V11" s="84">
        <v>1</v>
      </c>
      <c r="W11" s="81">
        <v>0.47000000000000003</v>
      </c>
      <c r="X11" s="83">
        <v>0.55000000000000004</v>
      </c>
      <c r="Y11" s="83">
        <v>0.77</v>
      </c>
      <c r="Z11" s="84">
        <v>0.92</v>
      </c>
      <c r="AA11" s="81">
        <v>0.77</v>
      </c>
      <c r="AB11" s="83">
        <v>1</v>
      </c>
      <c r="AC11" s="83">
        <v>1</v>
      </c>
      <c r="AD11" s="84">
        <v>1</v>
      </c>
      <c r="AE11" s="81">
        <v>0.83</v>
      </c>
      <c r="AF11" s="83">
        <v>1</v>
      </c>
      <c r="AG11" s="83">
        <v>1</v>
      </c>
      <c r="AH11" s="84">
        <v>1</v>
      </c>
      <c r="AI11" s="81">
        <v>3.8900000000000006</v>
      </c>
      <c r="AJ11" s="83">
        <v>7</v>
      </c>
      <c r="AK11" s="83">
        <v>8</v>
      </c>
      <c r="AL11" s="84">
        <v>9.5</v>
      </c>
      <c r="AM11" s="81">
        <v>4.8099999999999987</v>
      </c>
      <c r="AN11" s="83">
        <v>7</v>
      </c>
      <c r="AO11" s="83">
        <v>8</v>
      </c>
      <c r="AP11" s="84">
        <v>9</v>
      </c>
      <c r="AQ11" s="81">
        <v>0.60499999999999998</v>
      </c>
      <c r="AR11" s="83">
        <v>1.1000000000000001</v>
      </c>
      <c r="AS11" s="83">
        <v>2.31</v>
      </c>
      <c r="AT11" s="83">
        <v>4.1549999999999994</v>
      </c>
      <c r="AU11" s="81">
        <v>0.77499999999999991</v>
      </c>
      <c r="AV11" s="83">
        <v>1.1000000000000001</v>
      </c>
      <c r="AW11" s="83">
        <v>2.31</v>
      </c>
      <c r="AX11" s="84">
        <v>3.53</v>
      </c>
      <c r="AY11" s="81">
        <v>1.9649999999999999</v>
      </c>
      <c r="AZ11" s="83">
        <v>4.5</v>
      </c>
      <c r="BA11" s="83">
        <v>5.5</v>
      </c>
      <c r="BB11" s="83">
        <v>7</v>
      </c>
      <c r="BC11" s="81">
        <v>2.7349999999999994</v>
      </c>
      <c r="BD11" s="83">
        <v>4.5</v>
      </c>
      <c r="BE11" s="83">
        <v>5.5</v>
      </c>
      <c r="BF11" s="84">
        <v>6.5</v>
      </c>
      <c r="BG11" s="81">
        <f>AI11+AQ11+AY11</f>
        <v>6.4600000000000009</v>
      </c>
      <c r="BH11" s="83">
        <f t="shared" ref="BH11:BN20" si="1">AJ11+AR11+AZ11</f>
        <v>12.6</v>
      </c>
      <c r="BI11" s="83">
        <f t="shared" si="1"/>
        <v>15.81</v>
      </c>
      <c r="BJ11" s="83">
        <f t="shared" si="1"/>
        <v>20.655000000000001</v>
      </c>
      <c r="BK11" s="81">
        <f t="shared" si="1"/>
        <v>8.3199999999999985</v>
      </c>
      <c r="BL11" s="83">
        <f t="shared" si="1"/>
        <v>12.6</v>
      </c>
      <c r="BM11" s="83">
        <f t="shared" si="1"/>
        <v>15.81</v>
      </c>
      <c r="BN11" s="83">
        <f t="shared" si="1"/>
        <v>19.03</v>
      </c>
      <c r="BO11" s="136">
        <f>BO$8*BH11+(1-BO$8)*BG11</f>
        <v>11.372</v>
      </c>
      <c r="BP11" s="142">
        <f>BO$8*BI11+(1-BO$8)*BJ11</f>
        <v>16.779</v>
      </c>
      <c r="BQ11" s="136">
        <f>BO$8*BL11+(1-BO$8)*BK11</f>
        <v>11.744</v>
      </c>
      <c r="BR11" s="137">
        <f>BO$8*BM11+(1-BO$8)*BN11</f>
        <v>16.454000000000001</v>
      </c>
      <c r="BS11" s="81">
        <f>(BO11+BP11)/2</f>
        <v>14.0755</v>
      </c>
      <c r="BT11" s="84">
        <f>(BQ11+BR11)/2</f>
        <v>14.099</v>
      </c>
      <c r="BU11" s="133">
        <f>(BS11+BT11)/2</f>
        <v>14.087250000000001</v>
      </c>
    </row>
    <row r="12" spans="1:73" x14ac:dyDescent="0.25">
      <c r="A12" s="102" t="s">
        <v>9</v>
      </c>
      <c r="B12" s="102" t="s">
        <v>73</v>
      </c>
      <c r="C12" s="121" t="s">
        <v>88</v>
      </c>
      <c r="D12" s="155" t="s">
        <v>106</v>
      </c>
      <c r="E12" s="156" t="s">
        <v>106</v>
      </c>
      <c r="F12" s="156" t="s">
        <v>105</v>
      </c>
      <c r="G12" s="110">
        <f t="shared" si="0"/>
        <v>0.33</v>
      </c>
      <c r="H12" s="110">
        <f t="shared" si="0"/>
        <v>0.33</v>
      </c>
      <c r="I12" s="110">
        <f t="shared" si="0"/>
        <v>0.66</v>
      </c>
      <c r="J12" s="147">
        <f t="shared" ref="J12:J20" si="2">G12*$D$38+H12*$D$39+I12*$D$40</f>
        <v>6.6000000000000005</v>
      </c>
      <c r="K12" s="87">
        <v>0</v>
      </c>
      <c r="L12">
        <v>0.22000000000000003</v>
      </c>
      <c r="M12">
        <v>0.44</v>
      </c>
      <c r="N12" s="88">
        <v>0.55000000000000004</v>
      </c>
      <c r="O12" s="87">
        <v>0.06</v>
      </c>
      <c r="P12">
        <v>0.22000000000000003</v>
      </c>
      <c r="Q12">
        <v>0.44</v>
      </c>
      <c r="R12" s="88">
        <v>0.52</v>
      </c>
      <c r="S12" s="87">
        <v>0</v>
      </c>
      <c r="T12">
        <v>0.22000000000000003</v>
      </c>
      <c r="U12">
        <v>0.44</v>
      </c>
      <c r="V12" s="88">
        <v>0.55000000000000004</v>
      </c>
      <c r="W12" s="87">
        <v>0.06</v>
      </c>
      <c r="X12">
        <v>0.22000000000000003</v>
      </c>
      <c r="Y12">
        <v>0.44</v>
      </c>
      <c r="Z12" s="88">
        <v>0.52</v>
      </c>
      <c r="AA12" s="87">
        <v>0.44000000000000006</v>
      </c>
      <c r="AB12">
        <v>0.55000000000000004</v>
      </c>
      <c r="AC12">
        <v>0.77</v>
      </c>
      <c r="AD12" s="88">
        <v>1</v>
      </c>
      <c r="AE12" s="87">
        <v>0.47000000000000003</v>
      </c>
      <c r="AF12">
        <v>0.55000000000000004</v>
      </c>
      <c r="AG12">
        <v>0.77</v>
      </c>
      <c r="AH12" s="88">
        <v>0.92</v>
      </c>
      <c r="AI12" s="187">
        <v>0</v>
      </c>
      <c r="AJ12" s="179">
        <v>1.5400000000000003</v>
      </c>
      <c r="AK12" s="179">
        <v>3.52</v>
      </c>
      <c r="AL12" s="188">
        <v>5.0600000000000005</v>
      </c>
      <c r="AM12" s="187">
        <v>0.19999999999999996</v>
      </c>
      <c r="AN12" s="179">
        <v>1.5400000000000003</v>
      </c>
      <c r="AO12" s="179">
        <v>3.52</v>
      </c>
      <c r="AP12" s="188">
        <v>4.6000000000000014</v>
      </c>
      <c r="AQ12" s="187">
        <v>0</v>
      </c>
      <c r="AR12" s="179">
        <v>0.44000000000000006</v>
      </c>
      <c r="AS12" s="179">
        <v>1.32</v>
      </c>
      <c r="AT12" s="179">
        <v>2.3099999999999996</v>
      </c>
      <c r="AU12" s="187">
        <v>5.3999999999999992E-2</v>
      </c>
      <c r="AV12" s="179">
        <v>0.44000000000000006</v>
      </c>
      <c r="AW12" s="179">
        <v>1.32</v>
      </c>
      <c r="AX12" s="188">
        <v>2</v>
      </c>
      <c r="AY12" s="87">
        <v>1.1550000000000002</v>
      </c>
      <c r="AZ12">
        <v>2.4750000000000001</v>
      </c>
      <c r="BA12">
        <v>4.2350000000000003</v>
      </c>
      <c r="BB12">
        <v>6.6550000000000002</v>
      </c>
      <c r="BC12" s="87">
        <v>1.5650000000000008</v>
      </c>
      <c r="BD12">
        <v>2.4750000000000001</v>
      </c>
      <c r="BE12">
        <v>4.2350000000000003</v>
      </c>
      <c r="BF12" s="88">
        <v>5.830000000000001</v>
      </c>
      <c r="BG12" s="87">
        <f t="shared" ref="BG12:BG20" si="3">AI12+AQ12+AY12</f>
        <v>1.1550000000000002</v>
      </c>
      <c r="BH12">
        <f t="shared" si="1"/>
        <v>4.4550000000000001</v>
      </c>
      <c r="BI12">
        <f t="shared" si="1"/>
        <v>9.0749999999999993</v>
      </c>
      <c r="BJ12">
        <f t="shared" si="1"/>
        <v>14.025</v>
      </c>
      <c r="BK12" s="87">
        <f t="shared" si="1"/>
        <v>1.8190000000000008</v>
      </c>
      <c r="BL12">
        <f t="shared" si="1"/>
        <v>4.4550000000000001</v>
      </c>
      <c r="BM12">
        <f t="shared" si="1"/>
        <v>9.0749999999999993</v>
      </c>
      <c r="BN12">
        <f t="shared" si="1"/>
        <v>12.430000000000003</v>
      </c>
      <c r="BO12" s="138">
        <f t="shared" ref="BO12:BO20" si="4">BO$8*BH12+(1-BO$8)*BG12</f>
        <v>3.7949999999999999</v>
      </c>
      <c r="BP12" s="143">
        <f t="shared" ref="BP12:BP20" si="5">BO$8*BI12+(1-BO$8)*BJ12</f>
        <v>10.065</v>
      </c>
      <c r="BQ12" s="138">
        <f t="shared" ref="BQ12:BQ20" si="6">BO$8*BL12+(1-BO$8)*BK12</f>
        <v>3.9278</v>
      </c>
      <c r="BR12" s="139">
        <f t="shared" ref="BR12:BR20" si="7">BO$8*BM12+(1-BO$8)*BN12</f>
        <v>9.7460000000000004</v>
      </c>
      <c r="BS12" s="87">
        <f t="shared" ref="BS12:BS20" si="8">(BO12+BP12)/2</f>
        <v>6.93</v>
      </c>
      <c r="BT12" s="88">
        <f t="shared" ref="BT12:BT20" si="9">(BQ12+BR12)/2</f>
        <v>6.8369</v>
      </c>
      <c r="BU12" s="134">
        <f t="shared" ref="BU12:BU20" si="10">(BS12+BT12)/2</f>
        <v>6.8834499999999998</v>
      </c>
    </row>
    <row r="13" spans="1:73" x14ac:dyDescent="0.25">
      <c r="A13" s="102" t="s">
        <v>10</v>
      </c>
      <c r="B13" s="102" t="s">
        <v>74</v>
      </c>
      <c r="C13" s="121" t="s">
        <v>89</v>
      </c>
      <c r="D13" s="155" t="s">
        <v>105</v>
      </c>
      <c r="E13" s="156" t="s">
        <v>105</v>
      </c>
      <c r="F13" s="156" t="s">
        <v>105</v>
      </c>
      <c r="G13" s="110">
        <f t="shared" si="0"/>
        <v>0.66</v>
      </c>
      <c r="H13" s="110">
        <f t="shared" si="0"/>
        <v>0.66</v>
      </c>
      <c r="I13" s="110">
        <f t="shared" si="0"/>
        <v>0.66</v>
      </c>
      <c r="J13" s="147">
        <f t="shared" si="2"/>
        <v>9.9</v>
      </c>
      <c r="K13" s="87">
        <v>0.44000000000000006</v>
      </c>
      <c r="L13">
        <v>0.55000000000000004</v>
      </c>
      <c r="M13">
        <v>0.77</v>
      </c>
      <c r="N13" s="88">
        <v>1</v>
      </c>
      <c r="O13" s="87">
        <v>0.47000000000000003</v>
      </c>
      <c r="P13">
        <v>0.55000000000000004</v>
      </c>
      <c r="Q13">
        <v>0.77</v>
      </c>
      <c r="R13" s="88">
        <v>0.92</v>
      </c>
      <c r="S13" s="87">
        <v>0.44000000000000006</v>
      </c>
      <c r="T13">
        <v>0.55000000000000004</v>
      </c>
      <c r="U13">
        <v>0.77</v>
      </c>
      <c r="V13" s="88">
        <v>1</v>
      </c>
      <c r="W13" s="87">
        <v>0.47000000000000003</v>
      </c>
      <c r="X13">
        <v>0.55000000000000004</v>
      </c>
      <c r="Y13">
        <v>0.77</v>
      </c>
      <c r="Z13" s="88">
        <v>0.92</v>
      </c>
      <c r="AA13" s="87">
        <v>0.44000000000000006</v>
      </c>
      <c r="AB13">
        <v>0.55000000000000004</v>
      </c>
      <c r="AC13">
        <v>0.77</v>
      </c>
      <c r="AD13" s="88">
        <v>1</v>
      </c>
      <c r="AE13" s="87">
        <v>0.47000000000000003</v>
      </c>
      <c r="AF13">
        <v>0.55000000000000004</v>
      </c>
      <c r="AG13">
        <v>0.77</v>
      </c>
      <c r="AH13" s="88">
        <v>0.92</v>
      </c>
      <c r="AI13" s="87">
        <v>2.2549999999999999</v>
      </c>
      <c r="AJ13">
        <v>3.8500000000000005</v>
      </c>
      <c r="AK13">
        <v>6.16</v>
      </c>
      <c r="AL13" s="88">
        <v>9.1550000000000011</v>
      </c>
      <c r="AM13" s="87">
        <v>2.7399999999999993</v>
      </c>
      <c r="AN13">
        <v>3.8500000000000005</v>
      </c>
      <c r="AO13">
        <v>6.16</v>
      </c>
      <c r="AP13" s="88">
        <v>8.129999999999999</v>
      </c>
      <c r="AQ13" s="87">
        <v>0.60499999999999998</v>
      </c>
      <c r="AR13">
        <v>1.1000000000000001</v>
      </c>
      <c r="AS13">
        <v>2.31</v>
      </c>
      <c r="AT13">
        <v>4.1549999999999994</v>
      </c>
      <c r="AU13" s="87">
        <v>0.77499999999999991</v>
      </c>
      <c r="AV13">
        <v>1.1000000000000001</v>
      </c>
      <c r="AW13">
        <v>2.31</v>
      </c>
      <c r="AX13" s="88">
        <v>3.53</v>
      </c>
      <c r="AY13" s="87">
        <v>1.1550000000000002</v>
      </c>
      <c r="AZ13">
        <v>2.4750000000000001</v>
      </c>
      <c r="BA13">
        <v>4.2350000000000003</v>
      </c>
      <c r="BB13">
        <v>6.6550000000000002</v>
      </c>
      <c r="BC13" s="87">
        <v>1.5650000000000008</v>
      </c>
      <c r="BD13">
        <v>2.4750000000000001</v>
      </c>
      <c r="BE13">
        <v>4.2350000000000003</v>
      </c>
      <c r="BF13" s="88">
        <v>5.830000000000001</v>
      </c>
      <c r="BG13" s="87">
        <f t="shared" si="3"/>
        <v>4.0150000000000006</v>
      </c>
      <c r="BH13">
        <f t="shared" si="1"/>
        <v>7.4250000000000007</v>
      </c>
      <c r="BI13">
        <f t="shared" si="1"/>
        <v>12.705000000000002</v>
      </c>
      <c r="BJ13">
        <f t="shared" si="1"/>
        <v>19.965</v>
      </c>
      <c r="BK13" s="87">
        <f t="shared" si="1"/>
        <v>5.08</v>
      </c>
      <c r="BL13">
        <f t="shared" si="1"/>
        <v>7.4250000000000007</v>
      </c>
      <c r="BM13">
        <f t="shared" si="1"/>
        <v>12.705000000000002</v>
      </c>
      <c r="BN13">
        <f t="shared" si="1"/>
        <v>17.489999999999998</v>
      </c>
      <c r="BO13" s="138">
        <f t="shared" si="4"/>
        <v>6.7430000000000012</v>
      </c>
      <c r="BP13" s="143">
        <f t="shared" si="5"/>
        <v>14.157</v>
      </c>
      <c r="BQ13" s="138">
        <f t="shared" si="6"/>
        <v>6.9560000000000013</v>
      </c>
      <c r="BR13" s="139">
        <f t="shared" si="7"/>
        <v>13.662000000000001</v>
      </c>
      <c r="BS13" s="87">
        <f t="shared" si="8"/>
        <v>10.450000000000001</v>
      </c>
      <c r="BT13" s="88">
        <f t="shared" si="9"/>
        <v>10.309000000000001</v>
      </c>
      <c r="BU13" s="134">
        <f t="shared" si="10"/>
        <v>10.3795</v>
      </c>
    </row>
    <row r="14" spans="1:73" x14ac:dyDescent="0.25">
      <c r="A14" s="102" t="s">
        <v>65</v>
      </c>
      <c r="B14" s="102" t="s">
        <v>75</v>
      </c>
      <c r="C14" s="121" t="s">
        <v>76</v>
      </c>
      <c r="D14" s="155" t="s">
        <v>104</v>
      </c>
      <c r="E14" s="156" t="s">
        <v>105</v>
      </c>
      <c r="F14" s="156" t="s">
        <v>105</v>
      </c>
      <c r="G14" s="110">
        <f t="shared" si="0"/>
        <v>1</v>
      </c>
      <c r="H14" s="110">
        <f t="shared" si="0"/>
        <v>0.66</v>
      </c>
      <c r="I14" s="110">
        <f t="shared" si="0"/>
        <v>0.66</v>
      </c>
      <c r="J14" s="147">
        <f t="shared" si="2"/>
        <v>12.450000000000001</v>
      </c>
      <c r="K14" s="87">
        <v>0.77</v>
      </c>
      <c r="L14">
        <v>1</v>
      </c>
      <c r="M14">
        <v>1</v>
      </c>
      <c r="N14" s="88">
        <v>1</v>
      </c>
      <c r="O14" s="87">
        <v>0.83</v>
      </c>
      <c r="P14">
        <v>1</v>
      </c>
      <c r="Q14">
        <v>1</v>
      </c>
      <c r="R14" s="88">
        <v>1</v>
      </c>
      <c r="S14" s="87">
        <v>0.44000000000000006</v>
      </c>
      <c r="T14">
        <v>0.55000000000000004</v>
      </c>
      <c r="U14">
        <v>0.77</v>
      </c>
      <c r="V14" s="88">
        <v>1</v>
      </c>
      <c r="W14" s="87">
        <v>0.47000000000000003</v>
      </c>
      <c r="X14">
        <v>0.55000000000000004</v>
      </c>
      <c r="Y14">
        <v>0.77</v>
      </c>
      <c r="Z14" s="88">
        <v>0.92</v>
      </c>
      <c r="AA14" s="87">
        <v>0.44000000000000006</v>
      </c>
      <c r="AB14">
        <v>0.55000000000000004</v>
      </c>
      <c r="AC14">
        <v>0.77</v>
      </c>
      <c r="AD14" s="88">
        <v>1</v>
      </c>
      <c r="AE14" s="87">
        <v>0.47000000000000003</v>
      </c>
      <c r="AF14">
        <v>0.55000000000000004</v>
      </c>
      <c r="AG14">
        <v>0.77</v>
      </c>
      <c r="AH14" s="88">
        <v>0.92</v>
      </c>
      <c r="AI14" s="87">
        <v>3.8900000000000006</v>
      </c>
      <c r="AJ14">
        <v>7</v>
      </c>
      <c r="AK14">
        <v>8</v>
      </c>
      <c r="AL14" s="88">
        <v>9.5</v>
      </c>
      <c r="AM14" s="87">
        <v>4.8099999999999987</v>
      </c>
      <c r="AN14">
        <v>7</v>
      </c>
      <c r="AO14">
        <v>8</v>
      </c>
      <c r="AP14" s="88">
        <v>9</v>
      </c>
      <c r="AQ14" s="87">
        <v>0.60499999999999998</v>
      </c>
      <c r="AR14">
        <v>1.1000000000000001</v>
      </c>
      <c r="AS14">
        <v>2.31</v>
      </c>
      <c r="AT14">
        <v>4.1549999999999994</v>
      </c>
      <c r="AU14" s="87">
        <v>0.77499999999999991</v>
      </c>
      <c r="AV14">
        <v>1.1000000000000001</v>
      </c>
      <c r="AW14">
        <v>2.31</v>
      </c>
      <c r="AX14" s="88">
        <v>3.53</v>
      </c>
      <c r="AY14" s="87">
        <v>1.1550000000000002</v>
      </c>
      <c r="AZ14">
        <v>2.4750000000000001</v>
      </c>
      <c r="BA14">
        <v>4.2350000000000003</v>
      </c>
      <c r="BB14">
        <v>6.6550000000000002</v>
      </c>
      <c r="BC14" s="87">
        <v>1.5650000000000008</v>
      </c>
      <c r="BD14">
        <v>2.4750000000000001</v>
      </c>
      <c r="BE14">
        <v>4.2350000000000003</v>
      </c>
      <c r="BF14" s="88">
        <v>5.830000000000001</v>
      </c>
      <c r="BG14" s="87">
        <f t="shared" si="3"/>
        <v>5.6500000000000012</v>
      </c>
      <c r="BH14">
        <f t="shared" si="1"/>
        <v>10.574999999999999</v>
      </c>
      <c r="BI14">
        <f t="shared" si="1"/>
        <v>14.545000000000002</v>
      </c>
      <c r="BJ14">
        <f t="shared" si="1"/>
        <v>20.309999999999999</v>
      </c>
      <c r="BK14" s="87">
        <f t="shared" si="1"/>
        <v>7.15</v>
      </c>
      <c r="BL14">
        <f t="shared" si="1"/>
        <v>10.574999999999999</v>
      </c>
      <c r="BM14">
        <f t="shared" si="1"/>
        <v>14.545000000000002</v>
      </c>
      <c r="BN14">
        <f t="shared" si="1"/>
        <v>18.36</v>
      </c>
      <c r="BO14" s="138">
        <f t="shared" si="4"/>
        <v>9.59</v>
      </c>
      <c r="BP14" s="143">
        <f t="shared" si="5"/>
        <v>15.698</v>
      </c>
      <c r="BQ14" s="138">
        <f t="shared" si="6"/>
        <v>9.8899999999999988</v>
      </c>
      <c r="BR14" s="139">
        <f t="shared" si="7"/>
        <v>15.308000000000002</v>
      </c>
      <c r="BS14" s="87">
        <f t="shared" si="8"/>
        <v>12.644</v>
      </c>
      <c r="BT14" s="88">
        <f t="shared" si="9"/>
        <v>12.599</v>
      </c>
      <c r="BU14" s="134">
        <f t="shared" si="10"/>
        <v>12.621500000000001</v>
      </c>
    </row>
    <row r="15" spans="1:73" ht="30" x14ac:dyDescent="0.25">
      <c r="A15" s="102" t="s">
        <v>66</v>
      </c>
      <c r="B15" s="102" t="s">
        <v>77</v>
      </c>
      <c r="C15" s="121" t="s">
        <v>90</v>
      </c>
      <c r="D15" s="155" t="s">
        <v>105</v>
      </c>
      <c r="E15" s="156" t="s">
        <v>104</v>
      </c>
      <c r="F15" s="156" t="s">
        <v>105</v>
      </c>
      <c r="G15" s="110">
        <f t="shared" si="0"/>
        <v>0.66</v>
      </c>
      <c r="H15" s="110">
        <f t="shared" si="0"/>
        <v>1</v>
      </c>
      <c r="I15" s="110">
        <f t="shared" si="0"/>
        <v>0.66</v>
      </c>
      <c r="J15" s="147">
        <f t="shared" si="2"/>
        <v>10.75</v>
      </c>
      <c r="K15" s="87">
        <v>0.44000000000000006</v>
      </c>
      <c r="L15">
        <v>0.55000000000000004</v>
      </c>
      <c r="M15">
        <v>0.77</v>
      </c>
      <c r="N15" s="88">
        <v>1</v>
      </c>
      <c r="O15" s="87">
        <v>0.47000000000000003</v>
      </c>
      <c r="P15">
        <v>0.55000000000000004</v>
      </c>
      <c r="Q15">
        <v>0.77</v>
      </c>
      <c r="R15" s="88">
        <v>0.92</v>
      </c>
      <c r="S15" s="87">
        <v>0.77</v>
      </c>
      <c r="T15">
        <v>1</v>
      </c>
      <c r="U15">
        <v>1</v>
      </c>
      <c r="V15" s="88">
        <v>1</v>
      </c>
      <c r="W15" s="87">
        <v>0.83</v>
      </c>
      <c r="X15">
        <v>1</v>
      </c>
      <c r="Y15">
        <v>1</v>
      </c>
      <c r="Z15" s="88">
        <v>1</v>
      </c>
      <c r="AA15" s="87">
        <v>0.44000000000000006</v>
      </c>
      <c r="AB15">
        <v>0.55000000000000004</v>
      </c>
      <c r="AC15">
        <v>0.77</v>
      </c>
      <c r="AD15" s="88">
        <v>1</v>
      </c>
      <c r="AE15" s="87">
        <v>0.47000000000000003</v>
      </c>
      <c r="AF15">
        <v>0.55000000000000004</v>
      </c>
      <c r="AG15">
        <v>0.77</v>
      </c>
      <c r="AH15" s="88">
        <v>0.92</v>
      </c>
      <c r="AI15" s="87">
        <v>2.2549999999999999</v>
      </c>
      <c r="AJ15">
        <v>3.8500000000000005</v>
      </c>
      <c r="AK15">
        <v>6.16</v>
      </c>
      <c r="AL15" s="88">
        <v>9.1550000000000011</v>
      </c>
      <c r="AM15" s="87">
        <v>2.7399999999999993</v>
      </c>
      <c r="AN15">
        <v>3.8500000000000005</v>
      </c>
      <c r="AO15">
        <v>6.16</v>
      </c>
      <c r="AP15" s="88">
        <v>8.129999999999999</v>
      </c>
      <c r="AQ15" s="87">
        <v>1.04</v>
      </c>
      <c r="AR15">
        <v>2</v>
      </c>
      <c r="AS15">
        <v>3</v>
      </c>
      <c r="AT15">
        <v>4.5</v>
      </c>
      <c r="AU15" s="87">
        <v>1.3599999999999999</v>
      </c>
      <c r="AV15">
        <v>2</v>
      </c>
      <c r="AW15">
        <v>3</v>
      </c>
      <c r="AX15" s="88">
        <v>4</v>
      </c>
      <c r="AY15" s="87">
        <v>1.1550000000000002</v>
      </c>
      <c r="AZ15">
        <v>2.4750000000000001</v>
      </c>
      <c r="BA15">
        <v>4.2350000000000003</v>
      </c>
      <c r="BB15">
        <v>6.6550000000000002</v>
      </c>
      <c r="BC15" s="87">
        <v>1.5650000000000008</v>
      </c>
      <c r="BD15">
        <v>2.4750000000000001</v>
      </c>
      <c r="BE15">
        <v>4.2350000000000003</v>
      </c>
      <c r="BF15" s="88">
        <v>5.830000000000001</v>
      </c>
      <c r="BG15" s="87">
        <f t="shared" si="3"/>
        <v>4.45</v>
      </c>
      <c r="BH15">
        <f t="shared" si="1"/>
        <v>8.3250000000000011</v>
      </c>
      <c r="BI15">
        <f t="shared" si="1"/>
        <v>13.395</v>
      </c>
      <c r="BJ15">
        <f t="shared" si="1"/>
        <v>20.310000000000002</v>
      </c>
      <c r="BK15" s="87">
        <f t="shared" si="1"/>
        <v>5.6650000000000009</v>
      </c>
      <c r="BL15">
        <f t="shared" si="1"/>
        <v>8.3250000000000011</v>
      </c>
      <c r="BM15">
        <f t="shared" si="1"/>
        <v>13.395</v>
      </c>
      <c r="BN15">
        <f t="shared" si="1"/>
        <v>17.96</v>
      </c>
      <c r="BO15" s="138">
        <f t="shared" si="4"/>
        <v>7.5500000000000007</v>
      </c>
      <c r="BP15" s="143">
        <f t="shared" si="5"/>
        <v>14.778</v>
      </c>
      <c r="BQ15" s="138">
        <f t="shared" si="6"/>
        <v>7.793000000000001</v>
      </c>
      <c r="BR15" s="139">
        <f t="shared" si="7"/>
        <v>14.308</v>
      </c>
      <c r="BS15" s="87">
        <f t="shared" si="8"/>
        <v>11.164000000000001</v>
      </c>
      <c r="BT15" s="88">
        <f t="shared" si="9"/>
        <v>11.0505</v>
      </c>
      <c r="BU15" s="134">
        <f t="shared" si="10"/>
        <v>11.107250000000001</v>
      </c>
    </row>
    <row r="16" spans="1:73" x14ac:dyDescent="0.25">
      <c r="A16" s="102" t="s">
        <v>67</v>
      </c>
      <c r="B16" s="102" t="s">
        <v>78</v>
      </c>
      <c r="C16" s="121" t="s">
        <v>91</v>
      </c>
      <c r="D16" s="155" t="s">
        <v>104</v>
      </c>
      <c r="E16" s="156" t="s">
        <v>105</v>
      </c>
      <c r="F16" s="156" t="s">
        <v>106</v>
      </c>
      <c r="G16" s="110">
        <f t="shared" si="0"/>
        <v>1</v>
      </c>
      <c r="H16" s="110">
        <f t="shared" si="0"/>
        <v>0.66</v>
      </c>
      <c r="I16" s="110">
        <f t="shared" si="0"/>
        <v>0.33</v>
      </c>
      <c r="J16" s="147">
        <f t="shared" si="2"/>
        <v>10.8</v>
      </c>
      <c r="K16" s="87">
        <v>0.77</v>
      </c>
      <c r="L16">
        <v>1</v>
      </c>
      <c r="M16">
        <v>1</v>
      </c>
      <c r="N16" s="88">
        <v>1</v>
      </c>
      <c r="O16" s="87">
        <v>0.83</v>
      </c>
      <c r="P16">
        <v>1</v>
      </c>
      <c r="Q16">
        <v>1</v>
      </c>
      <c r="R16" s="88">
        <v>1</v>
      </c>
      <c r="S16" s="87">
        <v>0.44000000000000006</v>
      </c>
      <c r="T16">
        <v>0.55000000000000004</v>
      </c>
      <c r="U16">
        <v>0.77</v>
      </c>
      <c r="V16" s="88">
        <v>1</v>
      </c>
      <c r="W16" s="87">
        <v>0.47000000000000003</v>
      </c>
      <c r="X16">
        <v>0.55000000000000004</v>
      </c>
      <c r="Y16">
        <v>0.77</v>
      </c>
      <c r="Z16" s="88">
        <v>0.92</v>
      </c>
      <c r="AA16" s="87">
        <v>0</v>
      </c>
      <c r="AB16">
        <v>0.22000000000000003</v>
      </c>
      <c r="AC16">
        <v>0.44</v>
      </c>
      <c r="AD16" s="88">
        <v>0.55000000000000004</v>
      </c>
      <c r="AE16" s="87">
        <v>0.06</v>
      </c>
      <c r="AF16">
        <v>0.22000000000000003</v>
      </c>
      <c r="AG16">
        <v>0.44</v>
      </c>
      <c r="AH16" s="88">
        <v>0.52</v>
      </c>
      <c r="AI16" s="87">
        <v>3.8900000000000006</v>
      </c>
      <c r="AJ16">
        <v>7</v>
      </c>
      <c r="AK16">
        <v>8</v>
      </c>
      <c r="AL16" s="88">
        <v>9.5</v>
      </c>
      <c r="AM16" s="87">
        <v>4.8099999999999987</v>
      </c>
      <c r="AN16">
        <v>7</v>
      </c>
      <c r="AO16">
        <v>8</v>
      </c>
      <c r="AP16" s="88">
        <v>9</v>
      </c>
      <c r="AQ16" s="87">
        <v>0.60499999999999998</v>
      </c>
      <c r="AR16">
        <v>1.1000000000000001</v>
      </c>
      <c r="AS16">
        <v>2.31</v>
      </c>
      <c r="AT16">
        <v>4.1549999999999994</v>
      </c>
      <c r="AU16" s="87">
        <v>0.77499999999999991</v>
      </c>
      <c r="AV16">
        <v>1.1000000000000001</v>
      </c>
      <c r="AW16">
        <v>2.31</v>
      </c>
      <c r="AX16" s="88">
        <v>3.53</v>
      </c>
      <c r="AY16" s="187">
        <v>0</v>
      </c>
      <c r="AZ16" s="179">
        <v>0.9900000000000001</v>
      </c>
      <c r="BA16" s="179">
        <v>2.42</v>
      </c>
      <c r="BB16" s="179">
        <v>3.6850000000000005</v>
      </c>
      <c r="BC16" s="187">
        <v>4.9999999999999933E-2</v>
      </c>
      <c r="BD16" s="179">
        <v>0.9900000000000001</v>
      </c>
      <c r="BE16" s="179">
        <v>2.42</v>
      </c>
      <c r="BF16" s="188">
        <v>3.3000000000000007</v>
      </c>
      <c r="BG16" s="87">
        <f t="shared" si="3"/>
        <v>4.495000000000001</v>
      </c>
      <c r="BH16">
        <f t="shared" si="1"/>
        <v>9.09</v>
      </c>
      <c r="BI16">
        <f t="shared" si="1"/>
        <v>12.73</v>
      </c>
      <c r="BJ16">
        <f t="shared" si="1"/>
        <v>17.34</v>
      </c>
      <c r="BK16" s="87">
        <f t="shared" si="1"/>
        <v>5.6349999999999989</v>
      </c>
      <c r="BL16">
        <f t="shared" si="1"/>
        <v>9.09</v>
      </c>
      <c r="BM16">
        <f t="shared" si="1"/>
        <v>12.73</v>
      </c>
      <c r="BN16">
        <f t="shared" si="1"/>
        <v>15.83</v>
      </c>
      <c r="BO16" s="138">
        <f t="shared" si="4"/>
        <v>8.1709999999999994</v>
      </c>
      <c r="BP16" s="143">
        <f t="shared" si="5"/>
        <v>13.652000000000001</v>
      </c>
      <c r="BQ16" s="138">
        <f t="shared" si="6"/>
        <v>8.3989999999999991</v>
      </c>
      <c r="BR16" s="139">
        <f t="shared" si="7"/>
        <v>13.350000000000001</v>
      </c>
      <c r="BS16" s="87">
        <f t="shared" si="8"/>
        <v>10.9115</v>
      </c>
      <c r="BT16" s="88">
        <f t="shared" si="9"/>
        <v>10.874500000000001</v>
      </c>
      <c r="BU16" s="134">
        <f t="shared" si="10"/>
        <v>10.893000000000001</v>
      </c>
    </row>
    <row r="17" spans="1:73" ht="30" x14ac:dyDescent="0.25">
      <c r="A17" s="102" t="s">
        <v>68</v>
      </c>
      <c r="B17" s="102" t="s">
        <v>79</v>
      </c>
      <c r="C17" s="121" t="s">
        <v>92</v>
      </c>
      <c r="D17" s="155" t="s">
        <v>104</v>
      </c>
      <c r="E17" s="156" t="s">
        <v>105</v>
      </c>
      <c r="F17" s="156" t="s">
        <v>106</v>
      </c>
      <c r="G17" s="110">
        <f t="shared" si="0"/>
        <v>1</v>
      </c>
      <c r="H17" s="110">
        <f t="shared" si="0"/>
        <v>0.66</v>
      </c>
      <c r="I17" s="110">
        <f t="shared" si="0"/>
        <v>0.33</v>
      </c>
      <c r="J17" s="147">
        <f t="shared" si="2"/>
        <v>10.8</v>
      </c>
      <c r="K17" s="87">
        <v>0.77</v>
      </c>
      <c r="L17">
        <v>1</v>
      </c>
      <c r="M17">
        <v>1</v>
      </c>
      <c r="N17" s="88">
        <v>1</v>
      </c>
      <c r="O17" s="87">
        <v>0.83</v>
      </c>
      <c r="P17">
        <v>1</v>
      </c>
      <c r="Q17">
        <v>1</v>
      </c>
      <c r="R17" s="88">
        <v>1</v>
      </c>
      <c r="S17" s="87">
        <v>0.44000000000000006</v>
      </c>
      <c r="T17">
        <v>0.55000000000000004</v>
      </c>
      <c r="U17">
        <v>0.77</v>
      </c>
      <c r="V17" s="88">
        <v>1</v>
      </c>
      <c r="W17" s="87">
        <v>0.47000000000000003</v>
      </c>
      <c r="X17">
        <v>0.55000000000000004</v>
      </c>
      <c r="Y17">
        <v>0.77</v>
      </c>
      <c r="Z17" s="88">
        <v>0.92</v>
      </c>
      <c r="AA17" s="87">
        <v>0</v>
      </c>
      <c r="AB17">
        <v>0.22000000000000003</v>
      </c>
      <c r="AC17">
        <v>0.44</v>
      </c>
      <c r="AD17" s="88">
        <v>0.55000000000000004</v>
      </c>
      <c r="AE17" s="87">
        <v>0.06</v>
      </c>
      <c r="AF17">
        <v>0.22000000000000003</v>
      </c>
      <c r="AG17">
        <v>0.44</v>
      </c>
      <c r="AH17" s="88">
        <v>0.52</v>
      </c>
      <c r="AI17" s="87">
        <v>3.8900000000000006</v>
      </c>
      <c r="AJ17">
        <v>7</v>
      </c>
      <c r="AK17">
        <v>8</v>
      </c>
      <c r="AL17" s="88">
        <v>9.5</v>
      </c>
      <c r="AM17" s="87">
        <v>4.8099999999999987</v>
      </c>
      <c r="AN17">
        <v>7</v>
      </c>
      <c r="AO17">
        <v>8</v>
      </c>
      <c r="AP17" s="88">
        <v>9</v>
      </c>
      <c r="AQ17" s="87">
        <v>0.60499999999999998</v>
      </c>
      <c r="AR17">
        <v>1.1000000000000001</v>
      </c>
      <c r="AS17">
        <v>2.31</v>
      </c>
      <c r="AT17">
        <v>4.1549999999999994</v>
      </c>
      <c r="AU17" s="87">
        <v>0.77499999999999991</v>
      </c>
      <c r="AV17">
        <v>1.1000000000000001</v>
      </c>
      <c r="AW17">
        <v>2.31</v>
      </c>
      <c r="AX17" s="88">
        <v>3.53</v>
      </c>
      <c r="AY17" s="187">
        <v>0</v>
      </c>
      <c r="AZ17" s="179">
        <v>0.9900000000000001</v>
      </c>
      <c r="BA17" s="179">
        <v>2.42</v>
      </c>
      <c r="BB17" s="179">
        <v>3.6850000000000005</v>
      </c>
      <c r="BC17" s="187">
        <v>4.9999999999999933E-2</v>
      </c>
      <c r="BD17" s="179">
        <v>0.9900000000000001</v>
      </c>
      <c r="BE17" s="179">
        <v>2.42</v>
      </c>
      <c r="BF17" s="188">
        <v>3.3000000000000007</v>
      </c>
      <c r="BG17" s="87">
        <f t="shared" si="3"/>
        <v>4.495000000000001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87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138">
        <f t="shared" si="4"/>
        <v>8.1709999999999994</v>
      </c>
      <c r="BP17" s="143">
        <f t="shared" si="5"/>
        <v>13.652000000000001</v>
      </c>
      <c r="BQ17" s="138">
        <f t="shared" si="6"/>
        <v>8.3989999999999991</v>
      </c>
      <c r="BR17" s="139">
        <f t="shared" si="7"/>
        <v>13.350000000000001</v>
      </c>
      <c r="BS17" s="87">
        <f t="shared" si="8"/>
        <v>10.9115</v>
      </c>
      <c r="BT17" s="88">
        <f t="shared" si="9"/>
        <v>10.874500000000001</v>
      </c>
      <c r="BU17" s="134">
        <f t="shared" si="10"/>
        <v>10.893000000000001</v>
      </c>
    </row>
    <row r="18" spans="1:73" ht="30" x14ac:dyDescent="0.25">
      <c r="A18" s="102" t="s">
        <v>69</v>
      </c>
      <c r="B18" s="102" t="s">
        <v>80</v>
      </c>
      <c r="C18" s="121" t="s">
        <v>81</v>
      </c>
      <c r="D18" s="155" t="s">
        <v>105</v>
      </c>
      <c r="E18" s="156" t="s">
        <v>104</v>
      </c>
      <c r="F18" s="156" t="s">
        <v>104</v>
      </c>
      <c r="G18" s="110">
        <f t="shared" si="0"/>
        <v>0.66</v>
      </c>
      <c r="H18" s="110">
        <f t="shared" si="0"/>
        <v>1</v>
      </c>
      <c r="I18" s="110">
        <f t="shared" si="0"/>
        <v>1</v>
      </c>
      <c r="J18" s="147">
        <f t="shared" si="2"/>
        <v>12.45</v>
      </c>
      <c r="K18" s="87">
        <v>0.44000000000000006</v>
      </c>
      <c r="L18">
        <v>0.55000000000000004</v>
      </c>
      <c r="M18">
        <v>0.77</v>
      </c>
      <c r="N18" s="88">
        <v>1</v>
      </c>
      <c r="O18" s="87">
        <v>0.47000000000000003</v>
      </c>
      <c r="P18">
        <v>0.55000000000000004</v>
      </c>
      <c r="Q18">
        <v>0.77</v>
      </c>
      <c r="R18" s="88">
        <v>0.92</v>
      </c>
      <c r="S18" s="87">
        <v>0.77</v>
      </c>
      <c r="T18">
        <v>1</v>
      </c>
      <c r="U18">
        <v>1</v>
      </c>
      <c r="V18" s="88">
        <v>1</v>
      </c>
      <c r="W18" s="87">
        <v>0.83</v>
      </c>
      <c r="X18">
        <v>1</v>
      </c>
      <c r="Y18">
        <v>1</v>
      </c>
      <c r="Z18" s="88">
        <v>1</v>
      </c>
      <c r="AA18" s="87">
        <v>0.77</v>
      </c>
      <c r="AB18">
        <v>1</v>
      </c>
      <c r="AC18">
        <v>1</v>
      </c>
      <c r="AD18" s="88">
        <v>1</v>
      </c>
      <c r="AE18" s="87">
        <v>0.83</v>
      </c>
      <c r="AF18">
        <v>1</v>
      </c>
      <c r="AG18">
        <v>1</v>
      </c>
      <c r="AH18" s="88">
        <v>1</v>
      </c>
      <c r="AI18" s="87">
        <v>2.2549999999999999</v>
      </c>
      <c r="AJ18">
        <v>3.8500000000000005</v>
      </c>
      <c r="AK18">
        <v>6.16</v>
      </c>
      <c r="AL18" s="88">
        <v>9.1550000000000011</v>
      </c>
      <c r="AM18" s="87">
        <v>2.7399999999999993</v>
      </c>
      <c r="AN18">
        <v>3.8500000000000005</v>
      </c>
      <c r="AO18">
        <v>6.16</v>
      </c>
      <c r="AP18" s="88">
        <v>8.129999999999999</v>
      </c>
      <c r="AQ18" s="87">
        <v>1.04</v>
      </c>
      <c r="AR18">
        <v>2</v>
      </c>
      <c r="AS18">
        <v>3</v>
      </c>
      <c r="AT18">
        <v>4.5</v>
      </c>
      <c r="AU18" s="87">
        <v>1.3599999999999999</v>
      </c>
      <c r="AV18">
        <v>2</v>
      </c>
      <c r="AW18">
        <v>3</v>
      </c>
      <c r="AX18" s="88">
        <v>4</v>
      </c>
      <c r="AY18" s="87">
        <v>1.9649999999999999</v>
      </c>
      <c r="AZ18">
        <v>4.5</v>
      </c>
      <c r="BA18">
        <v>5.5</v>
      </c>
      <c r="BB18">
        <v>7</v>
      </c>
      <c r="BC18" s="87">
        <v>2.7349999999999994</v>
      </c>
      <c r="BD18">
        <v>4.5</v>
      </c>
      <c r="BE18">
        <v>5.5</v>
      </c>
      <c r="BF18" s="88">
        <v>6.5</v>
      </c>
      <c r="BG18" s="87">
        <f t="shared" si="3"/>
        <v>5.26</v>
      </c>
      <c r="BH18">
        <f t="shared" si="1"/>
        <v>10.350000000000001</v>
      </c>
      <c r="BI18">
        <f t="shared" si="1"/>
        <v>14.66</v>
      </c>
      <c r="BJ18">
        <f t="shared" si="1"/>
        <v>20.655000000000001</v>
      </c>
      <c r="BK18" s="87">
        <f t="shared" si="1"/>
        <v>6.8349999999999991</v>
      </c>
      <c r="BL18">
        <f t="shared" si="1"/>
        <v>10.350000000000001</v>
      </c>
      <c r="BM18">
        <f t="shared" si="1"/>
        <v>14.66</v>
      </c>
      <c r="BN18">
        <f t="shared" si="1"/>
        <v>18.63</v>
      </c>
      <c r="BO18" s="138">
        <f t="shared" si="4"/>
        <v>9.3320000000000007</v>
      </c>
      <c r="BP18" s="143">
        <f t="shared" si="5"/>
        <v>15.859000000000002</v>
      </c>
      <c r="BQ18" s="138">
        <f t="shared" si="6"/>
        <v>9.6470000000000002</v>
      </c>
      <c r="BR18" s="139">
        <f t="shared" si="7"/>
        <v>15.454000000000001</v>
      </c>
      <c r="BS18" s="87">
        <f t="shared" si="8"/>
        <v>12.595500000000001</v>
      </c>
      <c r="BT18" s="88">
        <f t="shared" si="9"/>
        <v>12.5505</v>
      </c>
      <c r="BU18" s="134">
        <f t="shared" si="10"/>
        <v>12.573</v>
      </c>
    </row>
    <row r="19" spans="1:73" ht="36.75" customHeight="1" x14ac:dyDescent="0.25">
      <c r="A19" s="102" t="s">
        <v>70</v>
      </c>
      <c r="B19" s="102" t="s">
        <v>82</v>
      </c>
      <c r="C19" s="121" t="s">
        <v>93</v>
      </c>
      <c r="D19" s="155" t="s">
        <v>105</v>
      </c>
      <c r="E19" s="156" t="s">
        <v>104</v>
      </c>
      <c r="F19" s="156" t="s">
        <v>105</v>
      </c>
      <c r="G19" s="110">
        <f t="shared" si="0"/>
        <v>0.66</v>
      </c>
      <c r="H19" s="110">
        <f t="shared" si="0"/>
        <v>1</v>
      </c>
      <c r="I19" s="110">
        <f t="shared" si="0"/>
        <v>0.66</v>
      </c>
      <c r="J19" s="147">
        <f t="shared" si="2"/>
        <v>10.75</v>
      </c>
      <c r="K19" s="87">
        <v>0.44000000000000006</v>
      </c>
      <c r="L19">
        <v>0.55000000000000004</v>
      </c>
      <c r="M19">
        <v>0.77</v>
      </c>
      <c r="N19" s="88">
        <v>1</v>
      </c>
      <c r="O19" s="87">
        <v>0.47000000000000003</v>
      </c>
      <c r="P19">
        <v>0.55000000000000004</v>
      </c>
      <c r="Q19">
        <v>0.77</v>
      </c>
      <c r="R19" s="88">
        <v>0.92</v>
      </c>
      <c r="S19" s="87">
        <v>0.77</v>
      </c>
      <c r="T19">
        <v>1</v>
      </c>
      <c r="U19">
        <v>1</v>
      </c>
      <c r="V19" s="88">
        <v>1</v>
      </c>
      <c r="W19" s="87">
        <v>0.83</v>
      </c>
      <c r="X19">
        <v>1</v>
      </c>
      <c r="Y19">
        <v>1</v>
      </c>
      <c r="Z19" s="88">
        <v>1</v>
      </c>
      <c r="AA19" s="87">
        <v>0.44000000000000006</v>
      </c>
      <c r="AB19">
        <v>0.55000000000000004</v>
      </c>
      <c r="AC19">
        <v>0.77</v>
      </c>
      <c r="AD19" s="88">
        <v>1</v>
      </c>
      <c r="AE19" s="87">
        <v>0.47000000000000003</v>
      </c>
      <c r="AF19">
        <v>0.55000000000000004</v>
      </c>
      <c r="AG19">
        <v>0.77</v>
      </c>
      <c r="AH19" s="88">
        <v>0.92</v>
      </c>
      <c r="AI19" s="87">
        <v>2.2549999999999999</v>
      </c>
      <c r="AJ19">
        <v>3.8500000000000005</v>
      </c>
      <c r="AK19">
        <v>6.16</v>
      </c>
      <c r="AL19" s="88">
        <v>9.1550000000000011</v>
      </c>
      <c r="AM19" s="87">
        <v>2.7399999999999993</v>
      </c>
      <c r="AN19">
        <v>3.8500000000000005</v>
      </c>
      <c r="AO19">
        <v>6.16</v>
      </c>
      <c r="AP19" s="88">
        <v>8.129999999999999</v>
      </c>
      <c r="AQ19" s="87">
        <v>1.04</v>
      </c>
      <c r="AR19">
        <v>2</v>
      </c>
      <c r="AS19">
        <v>3</v>
      </c>
      <c r="AT19">
        <v>4.5</v>
      </c>
      <c r="AU19" s="87">
        <v>1.3599999999999999</v>
      </c>
      <c r="AV19">
        <v>2</v>
      </c>
      <c r="AW19">
        <v>3</v>
      </c>
      <c r="AX19" s="88">
        <v>4</v>
      </c>
      <c r="AY19" s="87">
        <v>1.1550000000000002</v>
      </c>
      <c r="AZ19">
        <v>2.4750000000000001</v>
      </c>
      <c r="BA19">
        <v>4.2350000000000003</v>
      </c>
      <c r="BB19">
        <v>6.6550000000000002</v>
      </c>
      <c r="BC19" s="87">
        <v>1.5650000000000008</v>
      </c>
      <c r="BD19">
        <v>2.4750000000000001</v>
      </c>
      <c r="BE19">
        <v>4.2350000000000003</v>
      </c>
      <c r="BF19" s="88">
        <v>5.830000000000001</v>
      </c>
      <c r="BG19" s="87">
        <f t="shared" si="3"/>
        <v>4.45</v>
      </c>
      <c r="BH19">
        <f t="shared" si="1"/>
        <v>8.3250000000000011</v>
      </c>
      <c r="BI19">
        <f t="shared" si="1"/>
        <v>13.395</v>
      </c>
      <c r="BJ19">
        <f t="shared" si="1"/>
        <v>20.310000000000002</v>
      </c>
      <c r="BK19" s="87">
        <f t="shared" si="1"/>
        <v>5.6650000000000009</v>
      </c>
      <c r="BL19">
        <f t="shared" si="1"/>
        <v>8.3250000000000011</v>
      </c>
      <c r="BM19">
        <f t="shared" si="1"/>
        <v>13.395</v>
      </c>
      <c r="BN19">
        <f t="shared" si="1"/>
        <v>17.96</v>
      </c>
      <c r="BO19" s="138">
        <f t="shared" si="4"/>
        <v>7.5500000000000007</v>
      </c>
      <c r="BP19" s="143">
        <f t="shared" si="5"/>
        <v>14.778</v>
      </c>
      <c r="BQ19" s="138">
        <f t="shared" si="6"/>
        <v>7.793000000000001</v>
      </c>
      <c r="BR19" s="139">
        <f t="shared" si="7"/>
        <v>14.308</v>
      </c>
      <c r="BS19" s="87">
        <f t="shared" si="8"/>
        <v>11.164000000000001</v>
      </c>
      <c r="BT19" s="88">
        <f t="shared" si="9"/>
        <v>11.0505</v>
      </c>
      <c r="BU19" s="134">
        <f t="shared" si="10"/>
        <v>11.107250000000001</v>
      </c>
    </row>
    <row r="20" spans="1:73" ht="30.75" thickBot="1" x14ac:dyDescent="0.3">
      <c r="A20" s="102" t="s">
        <v>71</v>
      </c>
      <c r="B20" s="102" t="s">
        <v>83</v>
      </c>
      <c r="C20" s="121" t="s">
        <v>94</v>
      </c>
      <c r="D20" s="157" t="s">
        <v>106</v>
      </c>
      <c r="E20" s="158" t="s">
        <v>104</v>
      </c>
      <c r="F20" s="158" t="s">
        <v>105</v>
      </c>
      <c r="G20" s="123">
        <f t="shared" si="0"/>
        <v>0.33</v>
      </c>
      <c r="H20" s="123">
        <f t="shared" si="0"/>
        <v>1</v>
      </c>
      <c r="I20" s="123">
        <f t="shared" si="0"/>
        <v>0.66</v>
      </c>
      <c r="J20" s="148">
        <f t="shared" si="2"/>
        <v>8.2750000000000004</v>
      </c>
      <c r="K20" s="91">
        <v>0</v>
      </c>
      <c r="L20" s="93">
        <v>0.22000000000000003</v>
      </c>
      <c r="M20" s="93">
        <v>0.44</v>
      </c>
      <c r="N20" s="94">
        <v>0.55000000000000004</v>
      </c>
      <c r="O20" s="91">
        <v>0.06</v>
      </c>
      <c r="P20" s="93">
        <v>0.22000000000000003</v>
      </c>
      <c r="Q20" s="93">
        <v>0.44</v>
      </c>
      <c r="R20" s="94">
        <v>0.52</v>
      </c>
      <c r="S20" s="91">
        <v>0.77</v>
      </c>
      <c r="T20" s="93">
        <v>1</v>
      </c>
      <c r="U20" s="93">
        <v>1</v>
      </c>
      <c r="V20" s="94">
        <v>1</v>
      </c>
      <c r="W20" s="91">
        <v>0.83</v>
      </c>
      <c r="X20" s="93">
        <v>1</v>
      </c>
      <c r="Y20" s="93">
        <v>1</v>
      </c>
      <c r="Z20" s="94">
        <v>1</v>
      </c>
      <c r="AA20" s="91">
        <v>0.44000000000000006</v>
      </c>
      <c r="AB20" s="93">
        <v>0.55000000000000004</v>
      </c>
      <c r="AC20" s="93">
        <v>0.77</v>
      </c>
      <c r="AD20" s="94">
        <v>1</v>
      </c>
      <c r="AE20" s="91">
        <v>0.47000000000000003</v>
      </c>
      <c r="AF20" s="93">
        <v>0.55000000000000004</v>
      </c>
      <c r="AG20" s="93">
        <v>0.77</v>
      </c>
      <c r="AH20" s="94">
        <v>0.92</v>
      </c>
      <c r="AI20" s="189">
        <v>0</v>
      </c>
      <c r="AJ20" s="201">
        <v>1.5400000000000003</v>
      </c>
      <c r="AK20" s="201">
        <v>3.52</v>
      </c>
      <c r="AL20" s="190">
        <v>5.0600000000000005</v>
      </c>
      <c r="AM20" s="189">
        <v>0.19999999999999996</v>
      </c>
      <c r="AN20" s="201">
        <v>1.5400000000000003</v>
      </c>
      <c r="AO20" s="201">
        <v>3.52</v>
      </c>
      <c r="AP20" s="190">
        <v>4.6000000000000014</v>
      </c>
      <c r="AQ20" s="91">
        <v>1.04</v>
      </c>
      <c r="AR20" s="93">
        <v>2</v>
      </c>
      <c r="AS20" s="93">
        <v>3</v>
      </c>
      <c r="AT20" s="93">
        <v>4.5</v>
      </c>
      <c r="AU20" s="91">
        <v>1.3599999999999999</v>
      </c>
      <c r="AV20" s="93">
        <v>2</v>
      </c>
      <c r="AW20" s="93">
        <v>3</v>
      </c>
      <c r="AX20" s="94">
        <v>4</v>
      </c>
      <c r="AY20" s="91">
        <v>1.1550000000000002</v>
      </c>
      <c r="AZ20" s="93">
        <v>2.4750000000000001</v>
      </c>
      <c r="BA20" s="93">
        <v>4.2350000000000003</v>
      </c>
      <c r="BB20" s="93">
        <v>6.6550000000000002</v>
      </c>
      <c r="BC20" s="91">
        <v>1.5650000000000008</v>
      </c>
      <c r="BD20" s="93">
        <v>2.4750000000000001</v>
      </c>
      <c r="BE20" s="93">
        <v>4.2350000000000003</v>
      </c>
      <c r="BF20" s="94">
        <v>5.830000000000001</v>
      </c>
      <c r="BG20" s="91">
        <f t="shared" si="3"/>
        <v>2.1950000000000003</v>
      </c>
      <c r="BH20" s="93">
        <f t="shared" si="1"/>
        <v>6.0150000000000006</v>
      </c>
      <c r="BI20" s="93">
        <f t="shared" si="1"/>
        <v>10.754999999999999</v>
      </c>
      <c r="BJ20" s="93">
        <f t="shared" si="1"/>
        <v>16.215</v>
      </c>
      <c r="BK20" s="91">
        <f t="shared" si="1"/>
        <v>3.1250000000000009</v>
      </c>
      <c r="BL20" s="93">
        <f t="shared" si="1"/>
        <v>6.0150000000000006</v>
      </c>
      <c r="BM20" s="93">
        <f t="shared" si="1"/>
        <v>10.754999999999999</v>
      </c>
      <c r="BN20" s="93">
        <f t="shared" si="1"/>
        <v>14.430000000000003</v>
      </c>
      <c r="BO20" s="140">
        <f t="shared" si="4"/>
        <v>5.2510000000000012</v>
      </c>
      <c r="BP20" s="144">
        <f t="shared" si="5"/>
        <v>11.846999999999998</v>
      </c>
      <c r="BQ20" s="140">
        <f t="shared" si="6"/>
        <v>5.4370000000000012</v>
      </c>
      <c r="BR20" s="141">
        <f t="shared" si="7"/>
        <v>11.489999999999998</v>
      </c>
      <c r="BS20" s="91">
        <f t="shared" si="8"/>
        <v>8.5489999999999995</v>
      </c>
      <c r="BT20" s="94">
        <f t="shared" si="9"/>
        <v>8.4634999999999998</v>
      </c>
      <c r="BU20" s="135">
        <f t="shared" si="10"/>
        <v>8.5062499999999996</v>
      </c>
    </row>
    <row r="21" spans="1:73" x14ac:dyDescent="0.25">
      <c r="BF21" s="60"/>
      <c r="BG21" s="59"/>
      <c r="BH21" s="59"/>
      <c r="BI21" s="59"/>
      <c r="BJ21" s="59"/>
      <c r="BK21" s="59"/>
    </row>
    <row r="22" spans="1:73" x14ac:dyDescent="0.25">
      <c r="A22" s="1" t="s">
        <v>188</v>
      </c>
      <c r="B22" s="1"/>
    </row>
    <row r="23" spans="1:73" ht="15.75" thickBot="1" x14ac:dyDescent="0.3">
      <c r="A23" s="107" t="s">
        <v>103</v>
      </c>
      <c r="B23" s="108" t="s">
        <v>122</v>
      </c>
      <c r="E23" s="112" t="s">
        <v>17</v>
      </c>
      <c r="I23" t="s">
        <v>18</v>
      </c>
    </row>
    <row r="24" spans="1:73" x14ac:dyDescent="0.25">
      <c r="A24" s="106" t="s">
        <v>107</v>
      </c>
      <c r="B24" s="2">
        <v>0</v>
      </c>
      <c r="C24" s="79">
        <v>0</v>
      </c>
      <c r="D24" s="80" t="s">
        <v>107</v>
      </c>
      <c r="E24" s="81">
        <v>0</v>
      </c>
      <c r="F24" s="82">
        <f>C24</f>
        <v>0</v>
      </c>
      <c r="G24" s="83">
        <v>0</v>
      </c>
      <c r="H24" s="84">
        <v>0.22</v>
      </c>
      <c r="I24" s="85">
        <v>0</v>
      </c>
      <c r="J24" s="83">
        <f>F24</f>
        <v>0</v>
      </c>
      <c r="K24" s="83">
        <f>G24</f>
        <v>0</v>
      </c>
      <c r="L24" s="86">
        <v>0.15</v>
      </c>
    </row>
    <row r="25" spans="1:73" x14ac:dyDescent="0.25">
      <c r="A25" s="106" t="s">
        <v>106</v>
      </c>
      <c r="B25" s="2">
        <v>0.33</v>
      </c>
      <c r="C25" s="79">
        <v>0.33</v>
      </c>
      <c r="D25" s="80" t="s">
        <v>106</v>
      </c>
      <c r="E25" s="87">
        <v>0</v>
      </c>
      <c r="F25" s="111">
        <f>C25-0.11</f>
        <v>0.22000000000000003</v>
      </c>
      <c r="G25">
        <f>C25+0.11</f>
        <v>0.44</v>
      </c>
      <c r="H25" s="88">
        <f t="shared" ref="H25" si="11">G25+0.11</f>
        <v>0.55000000000000004</v>
      </c>
      <c r="I25" s="89">
        <v>0.06</v>
      </c>
      <c r="J25">
        <f t="shared" ref="J25:K27" si="12">F25</f>
        <v>0.22000000000000003</v>
      </c>
      <c r="K25">
        <f t="shared" si="12"/>
        <v>0.44</v>
      </c>
      <c r="L25" s="90">
        <f t="shared" ref="L25" si="13">K25+0.08</f>
        <v>0.52</v>
      </c>
    </row>
    <row r="26" spans="1:73" x14ac:dyDescent="0.25">
      <c r="A26" s="106" t="s">
        <v>105</v>
      </c>
      <c r="B26" s="2">
        <v>0.66</v>
      </c>
      <c r="C26" s="79">
        <v>0.66</v>
      </c>
      <c r="D26" s="80" t="s">
        <v>105</v>
      </c>
      <c r="E26" s="87">
        <f t="shared" ref="E26" si="14">F26-0.11</f>
        <v>0.44000000000000006</v>
      </c>
      <c r="F26" s="111">
        <f t="shared" ref="F26" si="15">C26-0.11</f>
        <v>0.55000000000000004</v>
      </c>
      <c r="G26">
        <f t="shared" ref="G26" si="16">C26+0.11</f>
        <v>0.77</v>
      </c>
      <c r="H26" s="88">
        <v>1</v>
      </c>
      <c r="I26" s="89">
        <f t="shared" ref="I26" si="17">J26-0.08</f>
        <v>0.47000000000000003</v>
      </c>
      <c r="J26">
        <f t="shared" si="12"/>
        <v>0.55000000000000004</v>
      </c>
      <c r="K26">
        <f t="shared" si="12"/>
        <v>0.77</v>
      </c>
      <c r="L26" s="90">
        <v>0.92</v>
      </c>
    </row>
    <row r="27" spans="1:73" ht="15.75" thickBot="1" x14ac:dyDescent="0.3">
      <c r="A27" s="106" t="s">
        <v>104</v>
      </c>
      <c r="B27" s="2">
        <v>1</v>
      </c>
      <c r="C27" s="79">
        <v>1</v>
      </c>
      <c r="D27" s="80" t="s">
        <v>104</v>
      </c>
      <c r="E27" s="91">
        <v>0.77</v>
      </c>
      <c r="F27" s="92">
        <v>1</v>
      </c>
      <c r="G27" s="93">
        <v>1</v>
      </c>
      <c r="H27" s="94">
        <v>1</v>
      </c>
      <c r="I27" s="95">
        <v>0.83</v>
      </c>
      <c r="J27" s="93">
        <f t="shared" si="12"/>
        <v>1</v>
      </c>
      <c r="K27" s="93">
        <f t="shared" si="12"/>
        <v>1</v>
      </c>
      <c r="L27" s="96">
        <v>1</v>
      </c>
    </row>
    <row r="28" spans="1:73" x14ac:dyDescent="0.25">
      <c r="A28" s="99"/>
    </row>
    <row r="29" spans="1:73" x14ac:dyDescent="0.25">
      <c r="A29" s="1" t="s">
        <v>190</v>
      </c>
    </row>
    <row r="30" spans="1:73" ht="15.75" thickBot="1" x14ac:dyDescent="0.3">
      <c r="A30" s="107" t="s">
        <v>103</v>
      </c>
      <c r="B30" s="108" t="s">
        <v>123</v>
      </c>
      <c r="E30" s="112" t="s">
        <v>17</v>
      </c>
      <c r="I30" t="s">
        <v>18</v>
      </c>
    </row>
    <row r="31" spans="1:73" x14ac:dyDescent="0.25">
      <c r="A31" s="106" t="s">
        <v>107</v>
      </c>
      <c r="B31" s="2">
        <v>1</v>
      </c>
      <c r="C31" s="79">
        <v>1</v>
      </c>
      <c r="D31" s="80" t="s">
        <v>107</v>
      </c>
      <c r="E31" s="81">
        <v>0</v>
      </c>
      <c r="F31" s="82">
        <v>0.5</v>
      </c>
      <c r="G31" s="83">
        <v>1.5</v>
      </c>
      <c r="H31" s="84">
        <v>2</v>
      </c>
      <c r="I31" s="85">
        <v>0</v>
      </c>
      <c r="J31" s="83">
        <f>F31</f>
        <v>0.5</v>
      </c>
      <c r="K31" s="83">
        <f>G31</f>
        <v>1.5</v>
      </c>
      <c r="L31" s="86">
        <v>1.8</v>
      </c>
    </row>
    <row r="32" spans="1:73" x14ac:dyDescent="0.25">
      <c r="A32" s="106" t="s">
        <v>106</v>
      </c>
      <c r="B32" s="2">
        <v>2.5</v>
      </c>
      <c r="C32" s="79">
        <v>2.5</v>
      </c>
      <c r="D32" s="80" t="s">
        <v>106</v>
      </c>
      <c r="E32" s="87">
        <v>1.5</v>
      </c>
      <c r="F32" s="111">
        <f>C32-0.5</f>
        <v>2</v>
      </c>
      <c r="G32">
        <f>C32+0.5</f>
        <v>3</v>
      </c>
      <c r="H32" s="88">
        <f t="shared" ref="H32:H34" si="18">G32+1.5</f>
        <v>4.5</v>
      </c>
      <c r="I32" s="89">
        <v>1.7</v>
      </c>
      <c r="J32">
        <f t="shared" ref="J32:K34" si="19">F32</f>
        <v>2</v>
      </c>
      <c r="K32">
        <f t="shared" si="19"/>
        <v>3</v>
      </c>
      <c r="L32" s="90">
        <f t="shared" ref="L32:L34" si="20">K32+1</f>
        <v>4</v>
      </c>
    </row>
    <row r="33" spans="1:12" x14ac:dyDescent="0.25">
      <c r="A33" s="106" t="s">
        <v>105</v>
      </c>
      <c r="B33" s="2">
        <v>5</v>
      </c>
      <c r="C33" s="79">
        <v>5</v>
      </c>
      <c r="D33" s="80" t="s">
        <v>105</v>
      </c>
      <c r="E33" s="87">
        <f t="shared" ref="E33:E34" si="21">F33-1.5</f>
        <v>3</v>
      </c>
      <c r="F33" s="111">
        <f>C33-0.5</f>
        <v>4.5</v>
      </c>
      <c r="G33">
        <f>C33+0.5</f>
        <v>5.5</v>
      </c>
      <c r="H33" s="88">
        <f t="shared" si="18"/>
        <v>7</v>
      </c>
      <c r="I33" s="89">
        <f t="shared" ref="I33:I34" si="22">J33-1</f>
        <v>3.5</v>
      </c>
      <c r="J33">
        <f t="shared" si="19"/>
        <v>4.5</v>
      </c>
      <c r="K33">
        <f t="shared" si="19"/>
        <v>5.5</v>
      </c>
      <c r="L33" s="90">
        <f t="shared" si="20"/>
        <v>6.5</v>
      </c>
    </row>
    <row r="34" spans="1:12" ht="15.75" thickBot="1" x14ac:dyDescent="0.3">
      <c r="A34" s="106" t="s">
        <v>104</v>
      </c>
      <c r="B34" s="2">
        <v>7.5</v>
      </c>
      <c r="C34" s="79">
        <v>7.5</v>
      </c>
      <c r="D34" s="80" t="s">
        <v>104</v>
      </c>
      <c r="E34" s="91">
        <f t="shared" si="21"/>
        <v>5.5</v>
      </c>
      <c r="F34" s="92">
        <f>C34-0.5</f>
        <v>7</v>
      </c>
      <c r="G34" s="93">
        <f>C34+0.5</f>
        <v>8</v>
      </c>
      <c r="H34" s="94">
        <f t="shared" si="18"/>
        <v>9.5</v>
      </c>
      <c r="I34" s="95">
        <f t="shared" si="22"/>
        <v>6</v>
      </c>
      <c r="J34" s="93">
        <f t="shared" si="19"/>
        <v>7</v>
      </c>
      <c r="K34" s="93">
        <f t="shared" si="19"/>
        <v>8</v>
      </c>
      <c r="L34" s="96">
        <f t="shared" si="20"/>
        <v>9</v>
      </c>
    </row>
    <row r="36" spans="1:12" ht="15.75" thickBot="1" x14ac:dyDescent="0.3">
      <c r="A36" s="1" t="s">
        <v>193</v>
      </c>
    </row>
    <row r="37" spans="1:12" ht="67.5" customHeight="1" thickBot="1" x14ac:dyDescent="0.3">
      <c r="A37" s="114" t="s">
        <v>117</v>
      </c>
      <c r="B37" s="113" t="s">
        <v>99</v>
      </c>
      <c r="C37" s="115" t="s">
        <v>108</v>
      </c>
      <c r="D37" s="116" t="s">
        <v>189</v>
      </c>
      <c r="E37" s="283" t="s">
        <v>126</v>
      </c>
      <c r="F37" s="284"/>
      <c r="G37" s="284"/>
      <c r="H37" s="284"/>
      <c r="I37" s="284"/>
      <c r="J37" s="284"/>
      <c r="K37" s="284"/>
      <c r="L37" s="285"/>
    </row>
    <row r="38" spans="1:12" x14ac:dyDescent="0.25">
      <c r="A38" s="125" t="s">
        <v>114</v>
      </c>
      <c r="B38" s="117" t="s">
        <v>100</v>
      </c>
      <c r="C38" s="118" t="s">
        <v>104</v>
      </c>
      <c r="D38" s="152">
        <v>7.5</v>
      </c>
      <c r="E38" s="87">
        <v>5.5</v>
      </c>
      <c r="F38" s="111">
        <v>7</v>
      </c>
      <c r="G38">
        <v>8</v>
      </c>
      <c r="H38" s="88">
        <v>9.5</v>
      </c>
      <c r="I38" s="89">
        <v>6</v>
      </c>
      <c r="J38">
        <v>7</v>
      </c>
      <c r="K38">
        <v>8</v>
      </c>
      <c r="L38" s="90">
        <v>9</v>
      </c>
    </row>
    <row r="39" spans="1:12" x14ac:dyDescent="0.25">
      <c r="A39" s="126" t="s">
        <v>115</v>
      </c>
      <c r="B39" s="104" t="s">
        <v>101</v>
      </c>
      <c r="C39" s="2" t="s">
        <v>106</v>
      </c>
      <c r="D39" s="153">
        <v>2.5</v>
      </c>
      <c r="E39" s="87">
        <v>1.5</v>
      </c>
      <c r="F39" s="111">
        <v>2</v>
      </c>
      <c r="G39">
        <v>3</v>
      </c>
      <c r="H39" s="88">
        <v>4.5</v>
      </c>
      <c r="I39" s="89">
        <v>1.7</v>
      </c>
      <c r="J39">
        <v>2</v>
      </c>
      <c r="K39">
        <v>3</v>
      </c>
      <c r="L39" s="90">
        <v>4</v>
      </c>
    </row>
    <row r="40" spans="1:12" ht="15.75" thickBot="1" x14ac:dyDescent="0.3">
      <c r="A40" s="127" t="s">
        <v>116</v>
      </c>
      <c r="B40" s="119" t="s">
        <v>102</v>
      </c>
      <c r="C40" s="120" t="s">
        <v>105</v>
      </c>
      <c r="D40" s="154">
        <v>5</v>
      </c>
      <c r="E40" s="91">
        <v>3</v>
      </c>
      <c r="F40" s="92">
        <v>4.5</v>
      </c>
      <c r="G40" s="93">
        <v>5.5</v>
      </c>
      <c r="H40" s="94">
        <v>7</v>
      </c>
      <c r="I40" s="95">
        <v>3.5</v>
      </c>
      <c r="J40" s="93">
        <v>4.5</v>
      </c>
      <c r="K40" s="93">
        <v>5.5</v>
      </c>
      <c r="L40" s="96">
        <v>6.5</v>
      </c>
    </row>
    <row r="42" spans="1:12" ht="15.75" thickBot="1" x14ac:dyDescent="0.3">
      <c r="A42" s="1" t="s">
        <v>194</v>
      </c>
    </row>
    <row r="43" spans="1:12" ht="30.75" thickBot="1" x14ac:dyDescent="0.3">
      <c r="A43" s="128" t="s">
        <v>132</v>
      </c>
      <c r="B43" s="129" t="s">
        <v>133</v>
      </c>
      <c r="E43" s="283" t="s">
        <v>134</v>
      </c>
      <c r="F43" s="284"/>
      <c r="G43" s="284"/>
      <c r="H43" s="284"/>
      <c r="I43" s="284"/>
      <c r="J43" s="284"/>
      <c r="K43" s="284"/>
      <c r="L43" s="285"/>
    </row>
    <row r="44" spans="1:12" x14ac:dyDescent="0.25">
      <c r="A44" s="125" t="s">
        <v>129</v>
      </c>
      <c r="B44" s="130" t="s">
        <v>107</v>
      </c>
      <c r="D44" s="133" t="s">
        <v>138</v>
      </c>
      <c r="E44" s="81">
        <f>E24*F$38+E$38*F24-F24*F$38</f>
        <v>0</v>
      </c>
      <c r="F44" s="83">
        <f>F24*F$38</f>
        <v>0</v>
      </c>
      <c r="G44" s="83">
        <f>G24*G$38</f>
        <v>0</v>
      </c>
      <c r="H44" s="84">
        <f>G24*H$38+G$38*H24-G24*G$38</f>
        <v>1.76</v>
      </c>
      <c r="I44" s="81">
        <f>I24*J$38+I$38*J24-J24*J$38</f>
        <v>0</v>
      </c>
      <c r="J44" s="83">
        <f>J24*J$38</f>
        <v>0</v>
      </c>
      <c r="K44" s="83">
        <f>K24*K$38</f>
        <v>0</v>
      </c>
      <c r="L44" s="84">
        <f>K24*L$38+K$38*L24-K24*K$38</f>
        <v>1.2</v>
      </c>
    </row>
    <row r="45" spans="1:12" x14ac:dyDescent="0.25">
      <c r="A45" s="126" t="s">
        <v>129</v>
      </c>
      <c r="B45" s="131" t="s">
        <v>106</v>
      </c>
      <c r="D45" s="134" t="s">
        <v>137</v>
      </c>
      <c r="E45" s="202">
        <f>IF(E25*F$38+E$38*F25-F25*F$38&lt;0,0,E25*F$38+E$38*F25-F25*F$38)</f>
        <v>0</v>
      </c>
      <c r="F45" s="179">
        <f t="shared" ref="F45:G47" si="23">F25*F$38</f>
        <v>1.5400000000000003</v>
      </c>
      <c r="G45" s="179">
        <f t="shared" si="23"/>
        <v>3.52</v>
      </c>
      <c r="H45" s="188">
        <f t="shared" ref="H45:H47" si="24">G25*H$38+G$38*H25-G25*G$38</f>
        <v>5.0600000000000005</v>
      </c>
      <c r="I45" s="187">
        <f t="shared" ref="I45:I47" si="25">I25*J$38+I$38*J25-J25*J$38</f>
        <v>0.19999999999999996</v>
      </c>
      <c r="J45" s="179">
        <f t="shared" ref="J45:K47" si="26">J25*J$38</f>
        <v>1.5400000000000003</v>
      </c>
      <c r="K45" s="179">
        <f t="shared" si="26"/>
        <v>3.52</v>
      </c>
      <c r="L45" s="188">
        <f t="shared" ref="L45:L47" si="27">K25*L$38+K$38*L25-K25*K$38</f>
        <v>4.6000000000000014</v>
      </c>
    </row>
    <row r="46" spans="1:12" x14ac:dyDescent="0.25">
      <c r="A46" s="126" t="s">
        <v>129</v>
      </c>
      <c r="B46" s="131" t="s">
        <v>105</v>
      </c>
      <c r="D46" s="134" t="s">
        <v>136</v>
      </c>
      <c r="E46" s="87">
        <f t="shared" ref="E46:E47" si="28">E26*F$38+E$38*F26-F26*F$38</f>
        <v>2.2549999999999999</v>
      </c>
      <c r="F46">
        <f t="shared" si="23"/>
        <v>3.8500000000000005</v>
      </c>
      <c r="G46">
        <f t="shared" si="23"/>
        <v>6.16</v>
      </c>
      <c r="H46" s="88">
        <f t="shared" si="24"/>
        <v>9.1550000000000011</v>
      </c>
      <c r="I46" s="87">
        <f t="shared" si="25"/>
        <v>2.7399999999999993</v>
      </c>
      <c r="J46">
        <f t="shared" si="26"/>
        <v>3.8500000000000005</v>
      </c>
      <c r="K46">
        <f t="shared" si="26"/>
        <v>6.16</v>
      </c>
      <c r="L46" s="88">
        <f t="shared" si="27"/>
        <v>8.129999999999999</v>
      </c>
    </row>
    <row r="47" spans="1:12" ht="15.75" thickBot="1" x14ac:dyDescent="0.3">
      <c r="A47" s="127" t="s">
        <v>129</v>
      </c>
      <c r="B47" s="132" t="s">
        <v>104</v>
      </c>
      <c r="D47" s="135" t="s">
        <v>135</v>
      </c>
      <c r="E47" s="91">
        <f t="shared" si="28"/>
        <v>3.8900000000000006</v>
      </c>
      <c r="F47" s="93">
        <f t="shared" si="23"/>
        <v>7</v>
      </c>
      <c r="G47" s="93">
        <f t="shared" si="23"/>
        <v>8</v>
      </c>
      <c r="H47" s="94">
        <f t="shared" si="24"/>
        <v>9.5</v>
      </c>
      <c r="I47" s="91">
        <f t="shared" si="25"/>
        <v>4.8099999999999987</v>
      </c>
      <c r="J47" s="93">
        <f t="shared" si="26"/>
        <v>7</v>
      </c>
      <c r="K47" s="93">
        <f t="shared" si="26"/>
        <v>8</v>
      </c>
      <c r="L47" s="94">
        <f t="shared" si="27"/>
        <v>9</v>
      </c>
    </row>
    <row r="48" spans="1:12" x14ac:dyDescent="0.25">
      <c r="A48" s="125" t="s">
        <v>130</v>
      </c>
      <c r="B48" s="130" t="s">
        <v>107</v>
      </c>
      <c r="D48" s="133" t="s">
        <v>139</v>
      </c>
      <c r="E48" s="81">
        <f>E24*F$39+E$39*F24-F24*F$39</f>
        <v>0</v>
      </c>
      <c r="F48" s="83">
        <f>F24*F$39</f>
        <v>0</v>
      </c>
      <c r="G48" s="83">
        <f>G24*G$39</f>
        <v>0</v>
      </c>
      <c r="H48" s="84">
        <f>G24*H$39+G$39*H24-G24*G$39</f>
        <v>0.66</v>
      </c>
      <c r="I48" s="81">
        <f>I24*J$39+I$39*J24-J24*J$39</f>
        <v>0</v>
      </c>
      <c r="J48" s="83">
        <f>J24*J$39</f>
        <v>0</v>
      </c>
      <c r="K48" s="83">
        <f>K24*K$39</f>
        <v>0</v>
      </c>
      <c r="L48" s="84">
        <f>K24*L$39+K$39*L24-K24*K$39</f>
        <v>0.44999999999999996</v>
      </c>
    </row>
    <row r="49" spans="1:73" x14ac:dyDescent="0.25">
      <c r="A49" s="126" t="s">
        <v>130</v>
      </c>
      <c r="B49" s="131" t="s">
        <v>106</v>
      </c>
      <c r="D49" s="134" t="s">
        <v>144</v>
      </c>
      <c r="E49" s="202">
        <f>IF(E25*F$39+E$39*F25-F25*F$39&lt;0,0,E25*F$39+E$39*F25-F25*F$39)</f>
        <v>0</v>
      </c>
      <c r="F49" s="179">
        <f t="shared" ref="F49:G51" si="29">F25*F$39</f>
        <v>0.44000000000000006</v>
      </c>
      <c r="G49" s="179">
        <f t="shared" si="29"/>
        <v>1.32</v>
      </c>
      <c r="H49" s="188">
        <f t="shared" ref="H49:H51" si="30">G25*H$39+G$39*H25-G25*G$39</f>
        <v>2.3099999999999996</v>
      </c>
      <c r="I49" s="187">
        <f t="shared" ref="I49:I51" si="31">I25*J$39+I$39*J25-J25*J$39</f>
        <v>5.3999999999999992E-2</v>
      </c>
      <c r="J49" s="179">
        <f t="shared" ref="J49:K51" si="32">J25*J$39</f>
        <v>0.44000000000000006</v>
      </c>
      <c r="K49" s="179">
        <f t="shared" si="32"/>
        <v>1.32</v>
      </c>
      <c r="L49" s="188">
        <f t="shared" ref="L49:L51" si="33">K25*L$39+K$39*L25-K25*K$39</f>
        <v>2</v>
      </c>
    </row>
    <row r="50" spans="1:73" x14ac:dyDescent="0.25">
      <c r="A50" s="126" t="s">
        <v>130</v>
      </c>
      <c r="B50" s="131" t="s">
        <v>105</v>
      </c>
      <c r="D50" s="134" t="s">
        <v>145</v>
      </c>
      <c r="E50" s="87">
        <f t="shared" ref="E50:E51" si="34">E26*F$39+E$39*F26-F26*F$39</f>
        <v>0.60499999999999998</v>
      </c>
      <c r="F50">
        <f t="shared" si="29"/>
        <v>1.1000000000000001</v>
      </c>
      <c r="G50">
        <f t="shared" si="29"/>
        <v>2.31</v>
      </c>
      <c r="H50" s="88">
        <f t="shared" si="30"/>
        <v>4.1549999999999994</v>
      </c>
      <c r="I50" s="87">
        <f t="shared" si="31"/>
        <v>0.77499999999999991</v>
      </c>
      <c r="J50">
        <f t="shared" si="32"/>
        <v>1.1000000000000001</v>
      </c>
      <c r="K50">
        <f t="shared" si="32"/>
        <v>2.31</v>
      </c>
      <c r="L50" s="88">
        <f t="shared" si="33"/>
        <v>3.53</v>
      </c>
    </row>
    <row r="51" spans="1:73" ht="15.75" thickBot="1" x14ac:dyDescent="0.3">
      <c r="A51" s="127" t="s">
        <v>130</v>
      </c>
      <c r="B51" s="132" t="s">
        <v>104</v>
      </c>
      <c r="D51" s="135" t="s">
        <v>146</v>
      </c>
      <c r="E51" s="91">
        <f t="shared" si="34"/>
        <v>1.04</v>
      </c>
      <c r="F51" s="93">
        <f t="shared" si="29"/>
        <v>2</v>
      </c>
      <c r="G51" s="93">
        <f t="shared" si="29"/>
        <v>3</v>
      </c>
      <c r="H51" s="94">
        <f t="shared" si="30"/>
        <v>4.5</v>
      </c>
      <c r="I51" s="91">
        <f t="shared" si="31"/>
        <v>1.3599999999999999</v>
      </c>
      <c r="J51" s="93">
        <f t="shared" si="32"/>
        <v>2</v>
      </c>
      <c r="K51" s="93">
        <f t="shared" si="32"/>
        <v>3</v>
      </c>
      <c r="L51" s="94">
        <f t="shared" si="33"/>
        <v>4</v>
      </c>
    </row>
    <row r="52" spans="1:73" x14ac:dyDescent="0.25">
      <c r="A52" s="125" t="s">
        <v>131</v>
      </c>
      <c r="B52" s="130" t="s">
        <v>107</v>
      </c>
      <c r="D52" s="133" t="s">
        <v>141</v>
      </c>
      <c r="E52" s="87">
        <f>E24*F$40+E$40*F24-F24*F$40</f>
        <v>0</v>
      </c>
      <c r="F52">
        <f>F24*F$40</f>
        <v>0</v>
      </c>
      <c r="G52">
        <f>G24*G$40</f>
        <v>0</v>
      </c>
      <c r="H52" s="88">
        <f>G24*H$40+G$40*H24-G24*G$40</f>
        <v>1.21</v>
      </c>
      <c r="I52" s="87">
        <f>I24*J$40+I$40*J24-J24*J$40</f>
        <v>0</v>
      </c>
      <c r="J52">
        <f>J24*J$40</f>
        <v>0</v>
      </c>
      <c r="K52">
        <f>K24*K$40</f>
        <v>0</v>
      </c>
      <c r="L52" s="88">
        <f>K24*L$40+K$40*L24-K24*K$40</f>
        <v>0.82499999999999996</v>
      </c>
    </row>
    <row r="53" spans="1:73" x14ac:dyDescent="0.25">
      <c r="A53" s="126" t="s">
        <v>131</v>
      </c>
      <c r="B53" s="131" t="s">
        <v>106</v>
      </c>
      <c r="D53" s="134" t="s">
        <v>140</v>
      </c>
      <c r="E53" s="202">
        <f>IF(E25*F$40+E$40*F25-F25*F$40&lt;0,0,E25*F$40+E$40*F25-F25*F$40)</f>
        <v>0</v>
      </c>
      <c r="F53" s="179">
        <f t="shared" ref="F53:G55" si="35">F25*F$40</f>
        <v>0.9900000000000001</v>
      </c>
      <c r="G53" s="179">
        <f t="shared" si="35"/>
        <v>2.42</v>
      </c>
      <c r="H53" s="188">
        <f t="shared" ref="H53:H55" si="36">G25*H$40+G$40*H25-G25*G$40</f>
        <v>3.6850000000000005</v>
      </c>
      <c r="I53" s="187">
        <f t="shared" ref="I53:I55" si="37">I25*J$40+I$40*J25-J25*J$40</f>
        <v>4.9999999999999933E-2</v>
      </c>
      <c r="J53" s="179">
        <f t="shared" ref="J53:K55" si="38">J25*J$40</f>
        <v>0.9900000000000001</v>
      </c>
      <c r="K53" s="179">
        <f t="shared" si="38"/>
        <v>2.42</v>
      </c>
      <c r="L53" s="188">
        <f t="shared" ref="L53:L55" si="39">K25*L$40+K$40*L25-K25*K$40</f>
        <v>3.3000000000000007</v>
      </c>
    </row>
    <row r="54" spans="1:73" x14ac:dyDescent="0.25">
      <c r="A54" s="126" t="s">
        <v>131</v>
      </c>
      <c r="B54" s="131" t="s">
        <v>105</v>
      </c>
      <c r="D54" s="134" t="s">
        <v>142</v>
      </c>
      <c r="E54" s="87">
        <f t="shared" ref="E54:E55" si="40">E26*F$40+E$40*F26-F26*F$40</f>
        <v>1.1550000000000002</v>
      </c>
      <c r="F54">
        <f t="shared" si="35"/>
        <v>2.4750000000000001</v>
      </c>
      <c r="G54">
        <f t="shared" si="35"/>
        <v>4.2350000000000003</v>
      </c>
      <c r="H54" s="88">
        <f t="shared" si="36"/>
        <v>6.6550000000000002</v>
      </c>
      <c r="I54" s="87">
        <f t="shared" si="37"/>
        <v>1.5650000000000008</v>
      </c>
      <c r="J54">
        <f t="shared" si="38"/>
        <v>2.4750000000000001</v>
      </c>
      <c r="K54">
        <f t="shared" si="38"/>
        <v>4.2350000000000003</v>
      </c>
      <c r="L54" s="88">
        <f t="shared" si="39"/>
        <v>5.830000000000001</v>
      </c>
    </row>
    <row r="55" spans="1:73" ht="15.75" thickBot="1" x14ac:dyDescent="0.3">
      <c r="A55" s="127" t="s">
        <v>131</v>
      </c>
      <c r="B55" s="132" t="s">
        <v>104</v>
      </c>
      <c r="D55" s="135" t="s">
        <v>143</v>
      </c>
      <c r="E55" s="91">
        <f t="shared" si="40"/>
        <v>1.9649999999999999</v>
      </c>
      <c r="F55" s="93">
        <f t="shared" si="35"/>
        <v>4.5</v>
      </c>
      <c r="G55" s="93">
        <f t="shared" si="35"/>
        <v>5.5</v>
      </c>
      <c r="H55" s="94">
        <f t="shared" si="36"/>
        <v>7</v>
      </c>
      <c r="I55" s="91">
        <f t="shared" si="37"/>
        <v>2.7349999999999994</v>
      </c>
      <c r="J55" s="93">
        <f t="shared" si="38"/>
        <v>4.5</v>
      </c>
      <c r="K55" s="93">
        <f t="shared" si="38"/>
        <v>5.5</v>
      </c>
      <c r="L55" s="94">
        <f t="shared" si="39"/>
        <v>6.5</v>
      </c>
    </row>
    <row r="58" spans="1:73" ht="18.75" x14ac:dyDescent="0.3">
      <c r="A58" s="149" t="s">
        <v>161</v>
      </c>
      <c r="B58" s="99"/>
      <c r="C58" s="99"/>
    </row>
    <row r="59" spans="1:73" x14ac:dyDescent="0.25">
      <c r="A59" s="1" t="s">
        <v>110</v>
      </c>
      <c r="B59" s="99"/>
      <c r="C59" s="99"/>
    </row>
    <row r="60" spans="1:73" ht="15.75" thickBot="1" x14ac:dyDescent="0.3">
      <c r="A60" s="100" t="s">
        <v>166</v>
      </c>
      <c r="B60" s="99"/>
      <c r="C60" s="99"/>
      <c r="BO60">
        <v>0.8</v>
      </c>
    </row>
    <row r="61" spans="1:73" ht="86.25" customHeight="1" thickBot="1" x14ac:dyDescent="0.3">
      <c r="A61" s="273" t="s">
        <v>85</v>
      </c>
      <c r="B61" s="273" t="s">
        <v>86</v>
      </c>
      <c r="C61" s="277" t="s">
        <v>87</v>
      </c>
      <c r="D61" s="278" t="s">
        <v>127</v>
      </c>
      <c r="E61" s="279"/>
      <c r="F61" s="279"/>
      <c r="G61" s="279" t="s">
        <v>128</v>
      </c>
      <c r="H61" s="279"/>
      <c r="I61" s="279"/>
      <c r="J61" s="286" t="s">
        <v>157</v>
      </c>
      <c r="K61" s="280" t="s">
        <v>150</v>
      </c>
      <c r="L61" s="281"/>
      <c r="M61" s="281"/>
      <c r="N61" s="281"/>
      <c r="O61" s="281"/>
      <c r="P61" s="281"/>
      <c r="Q61" s="281"/>
      <c r="R61" s="282"/>
      <c r="S61" s="280" t="s">
        <v>148</v>
      </c>
      <c r="T61" s="281"/>
      <c r="U61" s="281"/>
      <c r="V61" s="281"/>
      <c r="W61" s="281"/>
      <c r="X61" s="281"/>
      <c r="Y61" s="281"/>
      <c r="Z61" s="282"/>
      <c r="AA61" s="280" t="s">
        <v>149</v>
      </c>
      <c r="AB61" s="281"/>
      <c r="AC61" s="281"/>
      <c r="AD61" s="281"/>
      <c r="AE61" s="281"/>
      <c r="AF61" s="281"/>
      <c r="AG61" s="281"/>
      <c r="AH61" s="282"/>
      <c r="AI61" s="280" t="s">
        <v>147</v>
      </c>
      <c r="AJ61" s="281"/>
      <c r="AK61" s="281"/>
      <c r="AL61" s="281"/>
      <c r="AM61" s="281"/>
      <c r="AN61" s="281"/>
      <c r="AO61" s="281"/>
      <c r="AP61" s="282"/>
      <c r="AQ61" s="280" t="s">
        <v>158</v>
      </c>
      <c r="AR61" s="281"/>
      <c r="AS61" s="281"/>
      <c r="AT61" s="281"/>
      <c r="AU61" s="281"/>
      <c r="AV61" s="281"/>
      <c r="AW61" s="281"/>
      <c r="AX61" s="282"/>
      <c r="AY61" s="280" t="s">
        <v>159</v>
      </c>
      <c r="AZ61" s="281"/>
      <c r="BA61" s="281"/>
      <c r="BB61" s="281"/>
      <c r="BC61" s="281"/>
      <c r="BD61" s="281"/>
      <c r="BE61" s="281"/>
      <c r="BF61" s="282"/>
      <c r="BG61" s="280" t="s">
        <v>205</v>
      </c>
      <c r="BH61" s="281"/>
      <c r="BI61" s="281"/>
      <c r="BJ61" s="281"/>
      <c r="BK61" s="281"/>
      <c r="BL61" s="281"/>
      <c r="BM61" s="281"/>
      <c r="BN61" s="282"/>
      <c r="BO61" s="292" t="s">
        <v>151</v>
      </c>
      <c r="BP61" s="293"/>
      <c r="BQ61" s="293"/>
      <c r="BR61" s="294"/>
      <c r="BS61" s="288" t="s">
        <v>153</v>
      </c>
      <c r="BT61" s="289"/>
      <c r="BU61" s="290" t="s">
        <v>156</v>
      </c>
    </row>
    <row r="62" spans="1:73" s="97" customFormat="1" ht="23.25" customHeight="1" thickBot="1" x14ac:dyDescent="0.3">
      <c r="A62" s="273"/>
      <c r="B62" s="273"/>
      <c r="C62" s="277"/>
      <c r="D62" s="122" t="s">
        <v>114</v>
      </c>
      <c r="E62" s="107" t="s">
        <v>115</v>
      </c>
      <c r="F62" s="107" t="s">
        <v>116</v>
      </c>
      <c r="G62" s="107" t="s">
        <v>114</v>
      </c>
      <c r="H62" s="107" t="s">
        <v>115</v>
      </c>
      <c r="I62" s="107" t="s">
        <v>116</v>
      </c>
      <c r="J62" s="287"/>
      <c r="K62" s="280" t="s">
        <v>17</v>
      </c>
      <c r="L62" s="281"/>
      <c r="M62" s="281"/>
      <c r="N62" s="282"/>
      <c r="O62" s="280" t="s">
        <v>18</v>
      </c>
      <c r="P62" s="281"/>
      <c r="Q62" s="281"/>
      <c r="R62" s="282"/>
      <c r="S62" s="280" t="s">
        <v>17</v>
      </c>
      <c r="T62" s="281"/>
      <c r="U62" s="281"/>
      <c r="V62" s="282"/>
      <c r="W62" s="280" t="s">
        <v>18</v>
      </c>
      <c r="X62" s="281"/>
      <c r="Y62" s="281"/>
      <c r="Z62" s="282"/>
      <c r="AA62" s="280" t="s">
        <v>17</v>
      </c>
      <c r="AB62" s="281"/>
      <c r="AC62" s="281"/>
      <c r="AD62" s="282"/>
      <c r="AE62" s="280" t="s">
        <v>18</v>
      </c>
      <c r="AF62" s="281"/>
      <c r="AG62" s="281"/>
      <c r="AH62" s="282"/>
      <c r="AI62" s="280" t="s">
        <v>17</v>
      </c>
      <c r="AJ62" s="281"/>
      <c r="AK62" s="281"/>
      <c r="AL62" s="282"/>
      <c r="AM62" s="280" t="s">
        <v>18</v>
      </c>
      <c r="AN62" s="281"/>
      <c r="AO62" s="281"/>
      <c r="AP62" s="282"/>
      <c r="AQ62" s="280" t="s">
        <v>17</v>
      </c>
      <c r="AR62" s="281"/>
      <c r="AS62" s="281"/>
      <c r="AT62" s="282"/>
      <c r="AU62" s="280" t="s">
        <v>18</v>
      </c>
      <c r="AV62" s="281"/>
      <c r="AW62" s="281"/>
      <c r="AX62" s="282"/>
      <c r="AY62" s="280" t="s">
        <v>17</v>
      </c>
      <c r="AZ62" s="281"/>
      <c r="BA62" s="281"/>
      <c r="BB62" s="282"/>
      <c r="BC62" s="280" t="s">
        <v>18</v>
      </c>
      <c r="BD62" s="281"/>
      <c r="BE62" s="281"/>
      <c r="BF62" s="282"/>
      <c r="BG62" s="280" t="s">
        <v>17</v>
      </c>
      <c r="BH62" s="281"/>
      <c r="BI62" s="281"/>
      <c r="BJ62" s="282"/>
      <c r="BK62" s="280" t="s">
        <v>18</v>
      </c>
      <c r="BL62" s="281"/>
      <c r="BM62" s="281"/>
      <c r="BN62" s="282"/>
      <c r="BO62" s="295" t="s">
        <v>152</v>
      </c>
      <c r="BP62" s="296"/>
      <c r="BQ62" s="295" t="s">
        <v>26</v>
      </c>
      <c r="BR62" s="297"/>
      <c r="BS62" s="145" t="s">
        <v>154</v>
      </c>
      <c r="BT62" s="145" t="s">
        <v>155</v>
      </c>
      <c r="BU62" s="291"/>
    </row>
    <row r="63" spans="1:73" ht="30" x14ac:dyDescent="0.25">
      <c r="A63" s="102" t="s">
        <v>8</v>
      </c>
      <c r="B63" s="102" t="s">
        <v>84</v>
      </c>
      <c r="C63" s="121" t="s">
        <v>72</v>
      </c>
      <c r="D63" s="156" t="s">
        <v>106</v>
      </c>
      <c r="E63" s="156" t="s">
        <v>105</v>
      </c>
      <c r="F63" s="156" t="s">
        <v>104</v>
      </c>
      <c r="G63" s="110">
        <f>IF(D63=$A$76,$B$76,(IF(D63=$A$77,$B$77,IF(D63=$A$78,$B$78,$B$79))))</f>
        <v>0.33</v>
      </c>
      <c r="H63" s="110">
        <f t="shared" ref="H63:I72" si="41">IF(E63=$A$76,$B$76,(IF(E63=$A$77,$B$77,IF(E63=$A$78,$B$78,$B$79))))</f>
        <v>0.66</v>
      </c>
      <c r="I63" s="110">
        <f t="shared" si="41"/>
        <v>1</v>
      </c>
      <c r="J63" s="147">
        <f>G63*$D$90+H63*$D$91+I63*$D$92</f>
        <v>12.425000000000001</v>
      </c>
      <c r="K63" s="81">
        <v>0</v>
      </c>
      <c r="L63" s="83">
        <v>0.22000000000000003</v>
      </c>
      <c r="M63" s="83">
        <v>0.44</v>
      </c>
      <c r="N63" s="84">
        <v>0.55000000000000004</v>
      </c>
      <c r="O63" s="81">
        <v>0.06</v>
      </c>
      <c r="P63" s="83">
        <v>0.22000000000000003</v>
      </c>
      <c r="Q63" s="83">
        <v>0.44</v>
      </c>
      <c r="R63" s="84">
        <v>0.52</v>
      </c>
      <c r="S63" s="81">
        <v>0.44000000000000006</v>
      </c>
      <c r="T63" s="83">
        <v>0.55000000000000004</v>
      </c>
      <c r="U63" s="83">
        <v>0.77</v>
      </c>
      <c r="V63" s="84">
        <v>1</v>
      </c>
      <c r="W63" s="81">
        <v>0.47000000000000003</v>
      </c>
      <c r="X63" s="83">
        <v>0.55000000000000004</v>
      </c>
      <c r="Y63" s="83">
        <v>0.77</v>
      </c>
      <c r="Z63" s="84">
        <v>0.92</v>
      </c>
      <c r="AA63" s="81">
        <v>0.77</v>
      </c>
      <c r="AB63" s="83">
        <v>1</v>
      </c>
      <c r="AC63" s="83">
        <v>1</v>
      </c>
      <c r="AD63" s="84">
        <v>1</v>
      </c>
      <c r="AE63" s="81">
        <v>0.83</v>
      </c>
      <c r="AF63" s="83">
        <v>1</v>
      </c>
      <c r="AG63" s="83">
        <v>1</v>
      </c>
      <c r="AH63" s="84">
        <v>1</v>
      </c>
      <c r="AI63" s="185">
        <v>0</v>
      </c>
      <c r="AJ63" s="200">
        <v>1.5400000000000003</v>
      </c>
      <c r="AK63" s="200">
        <v>3.52</v>
      </c>
      <c r="AL63" s="186">
        <v>5.0600000000000005</v>
      </c>
      <c r="AM63" s="185">
        <v>0.19999999999999996</v>
      </c>
      <c r="AN63" s="200">
        <v>1.5400000000000003</v>
      </c>
      <c r="AO63" s="200">
        <v>3.52</v>
      </c>
      <c r="AP63" s="186">
        <v>4.6000000000000014</v>
      </c>
      <c r="AQ63" s="81">
        <v>2.2549999999999999</v>
      </c>
      <c r="AR63" s="83">
        <v>3.8500000000000005</v>
      </c>
      <c r="AS63" s="83">
        <v>6.16</v>
      </c>
      <c r="AT63" s="83">
        <v>9.1550000000000011</v>
      </c>
      <c r="AU63" s="81">
        <v>2.7399999999999993</v>
      </c>
      <c r="AV63" s="83">
        <v>3.8500000000000005</v>
      </c>
      <c r="AW63" s="83">
        <v>6.16</v>
      </c>
      <c r="AX63" s="84">
        <v>8.129999999999999</v>
      </c>
      <c r="AY63" s="81">
        <v>1.9649999999999999</v>
      </c>
      <c r="AZ63" s="83">
        <v>4.5</v>
      </c>
      <c r="BA63" s="83">
        <v>5.5</v>
      </c>
      <c r="BB63" s="83">
        <v>7</v>
      </c>
      <c r="BC63" s="81">
        <v>2.7349999999999994</v>
      </c>
      <c r="BD63" s="83">
        <v>4.5</v>
      </c>
      <c r="BE63" s="83">
        <v>5.5</v>
      </c>
      <c r="BF63" s="84">
        <v>6.5</v>
      </c>
      <c r="BG63" s="81">
        <f>AI63+AQ63+AY63</f>
        <v>4.22</v>
      </c>
      <c r="BH63" s="83">
        <f t="shared" ref="BH63:BN72" si="42">AJ63+AR63+AZ63</f>
        <v>9.89</v>
      </c>
      <c r="BI63" s="83">
        <f t="shared" si="42"/>
        <v>15.18</v>
      </c>
      <c r="BJ63" s="83">
        <f t="shared" si="42"/>
        <v>21.215000000000003</v>
      </c>
      <c r="BK63" s="81">
        <f t="shared" si="42"/>
        <v>5.6749999999999989</v>
      </c>
      <c r="BL63" s="83">
        <f t="shared" si="42"/>
        <v>9.89</v>
      </c>
      <c r="BM63" s="83">
        <f t="shared" si="42"/>
        <v>15.18</v>
      </c>
      <c r="BN63" s="83">
        <f t="shared" si="42"/>
        <v>19.23</v>
      </c>
      <c r="BO63" s="136">
        <f>BO$8*BH63+(1-BO$8)*BG63</f>
        <v>8.7560000000000002</v>
      </c>
      <c r="BP63" s="142">
        <f>BO$8*BI63+(1-BO$8)*BJ63</f>
        <v>16.387</v>
      </c>
      <c r="BQ63" s="136">
        <f>BO$8*BL63+(1-BO$8)*BK63</f>
        <v>9.0470000000000006</v>
      </c>
      <c r="BR63" s="137">
        <f>BO$8*BM63+(1-BO$8)*BN63</f>
        <v>15.989999999999998</v>
      </c>
      <c r="BS63" s="81">
        <f>(BO63+BP63)/2</f>
        <v>12.5715</v>
      </c>
      <c r="BT63" s="84">
        <f>(BQ63+BR63)/2</f>
        <v>12.5185</v>
      </c>
      <c r="BU63" s="133">
        <f>(BS63+BT63)/2</f>
        <v>12.545</v>
      </c>
    </row>
    <row r="64" spans="1:73" x14ac:dyDescent="0.25">
      <c r="A64" s="102" t="s">
        <v>9</v>
      </c>
      <c r="B64" s="102" t="s">
        <v>73</v>
      </c>
      <c r="C64" s="121" t="s">
        <v>88</v>
      </c>
      <c r="D64" s="156" t="s">
        <v>106</v>
      </c>
      <c r="E64" s="156" t="s">
        <v>106</v>
      </c>
      <c r="F64" s="156" t="s">
        <v>105</v>
      </c>
      <c r="G64" s="110">
        <f t="shared" ref="G64:G72" si="43">IF(D64=$A$76,$B$76,(IF(D64=$A$77,$B$77,IF(D64=$A$78,$B$78,$B$79))))</f>
        <v>0.33</v>
      </c>
      <c r="H64" s="110">
        <f t="shared" si="41"/>
        <v>0.33</v>
      </c>
      <c r="I64" s="110">
        <f t="shared" si="41"/>
        <v>0.66</v>
      </c>
      <c r="J64" s="147">
        <f t="shared" ref="J64:J72" si="44">G64*$D$90+H64*$D$91+I64*$D$92</f>
        <v>8.25</v>
      </c>
      <c r="K64" s="87">
        <v>0</v>
      </c>
      <c r="L64">
        <v>0.22000000000000003</v>
      </c>
      <c r="M64">
        <v>0.44</v>
      </c>
      <c r="N64" s="88">
        <v>0.55000000000000004</v>
      </c>
      <c r="O64" s="87">
        <v>0.06</v>
      </c>
      <c r="P64">
        <v>0.22000000000000003</v>
      </c>
      <c r="Q64">
        <v>0.44</v>
      </c>
      <c r="R64" s="88">
        <v>0.52</v>
      </c>
      <c r="S64" s="87">
        <v>0</v>
      </c>
      <c r="T64">
        <v>0.22000000000000003</v>
      </c>
      <c r="U64">
        <v>0.44</v>
      </c>
      <c r="V64" s="88">
        <v>0.55000000000000004</v>
      </c>
      <c r="W64" s="87">
        <v>0.06</v>
      </c>
      <c r="X64">
        <v>0.22000000000000003</v>
      </c>
      <c r="Y64">
        <v>0.44</v>
      </c>
      <c r="Z64" s="88">
        <v>0.52</v>
      </c>
      <c r="AA64" s="87">
        <v>0.44000000000000006</v>
      </c>
      <c r="AB64">
        <v>0.55000000000000004</v>
      </c>
      <c r="AC64">
        <v>0.77</v>
      </c>
      <c r="AD64" s="88">
        <v>1</v>
      </c>
      <c r="AE64" s="87">
        <v>0.47000000000000003</v>
      </c>
      <c r="AF64">
        <v>0.55000000000000004</v>
      </c>
      <c r="AG64">
        <v>0.77</v>
      </c>
      <c r="AH64" s="88">
        <v>0.92</v>
      </c>
      <c r="AI64" s="187">
        <v>0</v>
      </c>
      <c r="AJ64" s="179">
        <v>1.5400000000000003</v>
      </c>
      <c r="AK64" s="179">
        <v>3.52</v>
      </c>
      <c r="AL64" s="188">
        <v>5.0600000000000005</v>
      </c>
      <c r="AM64" s="187">
        <v>0.19999999999999996</v>
      </c>
      <c r="AN64" s="179">
        <v>1.5400000000000003</v>
      </c>
      <c r="AO64" s="179">
        <v>3.52</v>
      </c>
      <c r="AP64" s="188">
        <v>4.6000000000000014</v>
      </c>
      <c r="AQ64" s="187">
        <v>0</v>
      </c>
      <c r="AR64" s="179">
        <v>1.5400000000000003</v>
      </c>
      <c r="AS64" s="179">
        <v>3.52</v>
      </c>
      <c r="AT64" s="179">
        <v>5.0600000000000005</v>
      </c>
      <c r="AU64" s="187">
        <v>0.19999999999999996</v>
      </c>
      <c r="AV64" s="179">
        <v>1.5400000000000003</v>
      </c>
      <c r="AW64" s="179">
        <v>3.52</v>
      </c>
      <c r="AX64" s="188">
        <v>4.6000000000000014</v>
      </c>
      <c r="AY64" s="87">
        <v>1.1550000000000002</v>
      </c>
      <c r="AZ64">
        <v>2.4750000000000001</v>
      </c>
      <c r="BA64">
        <v>4.2350000000000003</v>
      </c>
      <c r="BB64">
        <v>6.6550000000000002</v>
      </c>
      <c r="BC64" s="87">
        <v>1.5650000000000008</v>
      </c>
      <c r="BD64">
        <v>2.4750000000000001</v>
      </c>
      <c r="BE64">
        <v>4.2350000000000003</v>
      </c>
      <c r="BF64" s="88">
        <v>5.830000000000001</v>
      </c>
      <c r="BG64" s="87">
        <f t="shared" ref="BG64:BG72" si="45">AI64+AQ64+AY64</f>
        <v>1.1550000000000002</v>
      </c>
      <c r="BH64">
        <f t="shared" si="42"/>
        <v>5.5550000000000006</v>
      </c>
      <c r="BI64">
        <f t="shared" si="42"/>
        <v>11.275</v>
      </c>
      <c r="BJ64">
        <f t="shared" si="42"/>
        <v>16.775000000000002</v>
      </c>
      <c r="BK64" s="87">
        <f t="shared" si="42"/>
        <v>1.9650000000000007</v>
      </c>
      <c r="BL64">
        <f t="shared" si="42"/>
        <v>5.5550000000000006</v>
      </c>
      <c r="BM64">
        <f t="shared" si="42"/>
        <v>11.275</v>
      </c>
      <c r="BN64">
        <f t="shared" si="42"/>
        <v>15.030000000000005</v>
      </c>
      <c r="BO64" s="138">
        <f t="shared" ref="BO64:BO72" si="46">BO$8*BH64+(1-BO$8)*BG64</f>
        <v>4.6750000000000007</v>
      </c>
      <c r="BP64" s="143">
        <f t="shared" ref="BP64:BP72" si="47">BO$8*BI64+(1-BO$8)*BJ64</f>
        <v>12.375</v>
      </c>
      <c r="BQ64" s="138">
        <f t="shared" ref="BQ64:BQ72" si="48">BO$8*BL64+(1-BO$8)*BK64</f>
        <v>4.8370000000000006</v>
      </c>
      <c r="BR64" s="139">
        <f t="shared" ref="BR64:BR72" si="49">BO$8*BM64+(1-BO$8)*BN64</f>
        <v>12.026000000000002</v>
      </c>
      <c r="BS64" s="87">
        <f t="shared" ref="BS64:BS72" si="50">(BO64+BP64)/2</f>
        <v>8.5250000000000004</v>
      </c>
      <c r="BT64" s="88">
        <f t="shared" ref="BT64:BT72" si="51">(BQ64+BR64)/2</f>
        <v>8.4315000000000015</v>
      </c>
      <c r="BU64" s="134">
        <f t="shared" ref="BU64:BU72" si="52">(BS64+BT64)/2</f>
        <v>8.478250000000001</v>
      </c>
    </row>
    <row r="65" spans="1:73" x14ac:dyDescent="0.25">
      <c r="A65" s="102" t="s">
        <v>10</v>
      </c>
      <c r="B65" s="102" t="s">
        <v>74</v>
      </c>
      <c r="C65" s="121" t="s">
        <v>89</v>
      </c>
      <c r="D65" s="156" t="s">
        <v>105</v>
      </c>
      <c r="E65" s="156" t="s">
        <v>104</v>
      </c>
      <c r="F65" s="156" t="s">
        <v>105</v>
      </c>
      <c r="G65" s="110">
        <f t="shared" si="43"/>
        <v>0.66</v>
      </c>
      <c r="H65" s="110">
        <f t="shared" si="41"/>
        <v>1</v>
      </c>
      <c r="I65" s="110">
        <f t="shared" si="41"/>
        <v>0.66</v>
      </c>
      <c r="J65" s="147">
        <f t="shared" si="44"/>
        <v>15.75</v>
      </c>
      <c r="K65" s="87">
        <v>0.44000000000000006</v>
      </c>
      <c r="L65">
        <v>0.55000000000000004</v>
      </c>
      <c r="M65">
        <v>0.77</v>
      </c>
      <c r="N65" s="88">
        <v>1</v>
      </c>
      <c r="O65" s="87">
        <v>0.47000000000000003</v>
      </c>
      <c r="P65">
        <v>0.55000000000000004</v>
      </c>
      <c r="Q65">
        <v>0.77</v>
      </c>
      <c r="R65" s="88">
        <v>0.92</v>
      </c>
      <c r="S65" s="87">
        <v>0.77</v>
      </c>
      <c r="T65">
        <v>1</v>
      </c>
      <c r="U65">
        <v>1</v>
      </c>
      <c r="V65" s="88">
        <v>1</v>
      </c>
      <c r="W65" s="87">
        <v>0.83</v>
      </c>
      <c r="X65">
        <v>1</v>
      </c>
      <c r="Y65">
        <v>1</v>
      </c>
      <c r="Z65" s="88">
        <v>1</v>
      </c>
      <c r="AA65" s="87">
        <v>0.44000000000000006</v>
      </c>
      <c r="AB65">
        <v>0.55000000000000004</v>
      </c>
      <c r="AC65">
        <v>0.77</v>
      </c>
      <c r="AD65" s="88">
        <v>1</v>
      </c>
      <c r="AE65" s="87">
        <v>0.47000000000000003</v>
      </c>
      <c r="AF65">
        <v>0.55000000000000004</v>
      </c>
      <c r="AG65">
        <v>0.77</v>
      </c>
      <c r="AH65" s="88">
        <v>0.92</v>
      </c>
      <c r="AI65" s="87">
        <v>2.2549999999999999</v>
      </c>
      <c r="AJ65">
        <v>3.8500000000000005</v>
      </c>
      <c r="AK65">
        <v>6.16</v>
      </c>
      <c r="AL65" s="88">
        <v>9.1550000000000011</v>
      </c>
      <c r="AM65" s="87">
        <v>2.7399999999999993</v>
      </c>
      <c r="AN65">
        <v>3.8500000000000005</v>
      </c>
      <c r="AO65">
        <v>6.16</v>
      </c>
      <c r="AP65" s="88">
        <v>8.129999999999999</v>
      </c>
      <c r="AQ65" s="87">
        <v>3.8900000000000006</v>
      </c>
      <c r="AR65">
        <v>7</v>
      </c>
      <c r="AS65">
        <v>8</v>
      </c>
      <c r="AT65">
        <v>9.5</v>
      </c>
      <c r="AU65" s="87">
        <v>4.8099999999999987</v>
      </c>
      <c r="AV65">
        <v>7</v>
      </c>
      <c r="AW65">
        <v>8</v>
      </c>
      <c r="AX65" s="88">
        <v>9</v>
      </c>
      <c r="AY65" s="87">
        <v>1.1550000000000002</v>
      </c>
      <c r="AZ65">
        <v>2.4750000000000001</v>
      </c>
      <c r="BA65">
        <v>4.2350000000000003</v>
      </c>
      <c r="BB65">
        <v>6.6550000000000002</v>
      </c>
      <c r="BC65" s="87">
        <v>1.5650000000000008</v>
      </c>
      <c r="BD65">
        <v>2.4750000000000001</v>
      </c>
      <c r="BE65">
        <v>4.2350000000000003</v>
      </c>
      <c r="BF65" s="88">
        <v>5.830000000000001</v>
      </c>
      <c r="BG65" s="87">
        <f t="shared" si="45"/>
        <v>7.3000000000000007</v>
      </c>
      <c r="BH65">
        <f t="shared" si="42"/>
        <v>13.325000000000001</v>
      </c>
      <c r="BI65">
        <f t="shared" si="42"/>
        <v>18.395</v>
      </c>
      <c r="BJ65">
        <f t="shared" si="42"/>
        <v>25.310000000000002</v>
      </c>
      <c r="BK65" s="87">
        <f t="shared" si="42"/>
        <v>9.1149999999999984</v>
      </c>
      <c r="BL65">
        <f t="shared" si="42"/>
        <v>13.325000000000001</v>
      </c>
      <c r="BM65">
        <f t="shared" si="42"/>
        <v>18.395</v>
      </c>
      <c r="BN65">
        <f t="shared" si="42"/>
        <v>22.96</v>
      </c>
      <c r="BO65" s="138">
        <f t="shared" si="46"/>
        <v>12.120000000000001</v>
      </c>
      <c r="BP65" s="143">
        <f t="shared" si="47"/>
        <v>19.777999999999999</v>
      </c>
      <c r="BQ65" s="138">
        <f t="shared" si="48"/>
        <v>12.483000000000001</v>
      </c>
      <c r="BR65" s="139">
        <f t="shared" si="49"/>
        <v>19.308</v>
      </c>
      <c r="BS65" s="87">
        <f t="shared" si="50"/>
        <v>15.949</v>
      </c>
      <c r="BT65" s="88">
        <f t="shared" si="51"/>
        <v>15.8955</v>
      </c>
      <c r="BU65" s="134">
        <f t="shared" si="52"/>
        <v>15.92225</v>
      </c>
    </row>
    <row r="66" spans="1:73" x14ac:dyDescent="0.25">
      <c r="A66" s="102" t="s">
        <v>65</v>
      </c>
      <c r="B66" s="102" t="s">
        <v>75</v>
      </c>
      <c r="C66" s="121" t="s">
        <v>76</v>
      </c>
      <c r="D66" s="156" t="s">
        <v>104</v>
      </c>
      <c r="E66" s="156" t="s">
        <v>105</v>
      </c>
      <c r="F66" s="156" t="s">
        <v>106</v>
      </c>
      <c r="G66" s="110">
        <f t="shared" si="43"/>
        <v>1</v>
      </c>
      <c r="H66" s="110">
        <f t="shared" si="41"/>
        <v>0.66</v>
      </c>
      <c r="I66" s="110">
        <f t="shared" si="41"/>
        <v>0.33</v>
      </c>
      <c r="J66" s="147">
        <f t="shared" si="44"/>
        <v>14.1</v>
      </c>
      <c r="K66" s="87">
        <v>0.77</v>
      </c>
      <c r="L66">
        <v>1</v>
      </c>
      <c r="M66">
        <v>1</v>
      </c>
      <c r="N66" s="88">
        <v>1</v>
      </c>
      <c r="O66" s="87">
        <v>0.83</v>
      </c>
      <c r="P66">
        <v>1</v>
      </c>
      <c r="Q66">
        <v>1</v>
      </c>
      <c r="R66" s="88">
        <v>1</v>
      </c>
      <c r="S66" s="87">
        <v>0.44000000000000006</v>
      </c>
      <c r="T66">
        <v>0.55000000000000004</v>
      </c>
      <c r="U66">
        <v>0.77</v>
      </c>
      <c r="V66" s="88">
        <v>1</v>
      </c>
      <c r="W66" s="87">
        <v>0.47000000000000003</v>
      </c>
      <c r="X66">
        <v>0.55000000000000004</v>
      </c>
      <c r="Y66">
        <v>0.77</v>
      </c>
      <c r="Z66" s="88">
        <v>0.92</v>
      </c>
      <c r="AA66" s="87">
        <v>0</v>
      </c>
      <c r="AB66">
        <v>0.22000000000000003</v>
      </c>
      <c r="AC66">
        <v>0.44</v>
      </c>
      <c r="AD66" s="88">
        <v>0.55000000000000004</v>
      </c>
      <c r="AE66" s="87">
        <v>0.06</v>
      </c>
      <c r="AF66">
        <v>0.22000000000000003</v>
      </c>
      <c r="AG66">
        <v>0.44</v>
      </c>
      <c r="AH66" s="88">
        <v>0.52</v>
      </c>
      <c r="AI66" s="87">
        <v>3.8900000000000006</v>
      </c>
      <c r="AJ66">
        <v>7</v>
      </c>
      <c r="AK66">
        <v>8</v>
      </c>
      <c r="AL66" s="88">
        <v>9.5</v>
      </c>
      <c r="AM66" s="87">
        <v>4.8099999999999987</v>
      </c>
      <c r="AN66">
        <v>7</v>
      </c>
      <c r="AO66">
        <v>8</v>
      </c>
      <c r="AP66" s="88">
        <v>9</v>
      </c>
      <c r="AQ66" s="87">
        <v>2.2549999999999999</v>
      </c>
      <c r="AR66">
        <v>3.8500000000000005</v>
      </c>
      <c r="AS66">
        <v>6.16</v>
      </c>
      <c r="AT66">
        <v>9.1550000000000011</v>
      </c>
      <c r="AU66" s="87">
        <v>2.7399999999999993</v>
      </c>
      <c r="AV66">
        <v>3.8500000000000005</v>
      </c>
      <c r="AW66">
        <v>6.16</v>
      </c>
      <c r="AX66" s="88">
        <v>8.129999999999999</v>
      </c>
      <c r="AY66" s="187">
        <v>0</v>
      </c>
      <c r="AZ66" s="179">
        <v>0.9900000000000001</v>
      </c>
      <c r="BA66" s="179">
        <v>2.42</v>
      </c>
      <c r="BB66" s="179">
        <v>3.6850000000000005</v>
      </c>
      <c r="BC66" s="187">
        <v>4.9999999999999933E-2</v>
      </c>
      <c r="BD66" s="179">
        <v>0.9900000000000001</v>
      </c>
      <c r="BE66" s="179">
        <v>2.42</v>
      </c>
      <c r="BF66" s="188">
        <v>3.3000000000000007</v>
      </c>
      <c r="BG66" s="87">
        <f t="shared" si="45"/>
        <v>6.1450000000000005</v>
      </c>
      <c r="BH66">
        <f t="shared" si="42"/>
        <v>11.840000000000002</v>
      </c>
      <c r="BI66">
        <f t="shared" si="42"/>
        <v>16.579999999999998</v>
      </c>
      <c r="BJ66">
        <f t="shared" si="42"/>
        <v>22.340000000000003</v>
      </c>
      <c r="BK66" s="87">
        <f t="shared" si="42"/>
        <v>7.5999999999999979</v>
      </c>
      <c r="BL66">
        <f t="shared" si="42"/>
        <v>11.840000000000002</v>
      </c>
      <c r="BM66">
        <f t="shared" si="42"/>
        <v>16.579999999999998</v>
      </c>
      <c r="BN66">
        <f t="shared" si="42"/>
        <v>20.43</v>
      </c>
      <c r="BO66" s="138">
        <f t="shared" si="46"/>
        <v>10.701000000000001</v>
      </c>
      <c r="BP66" s="143">
        <f t="shared" si="47"/>
        <v>17.731999999999999</v>
      </c>
      <c r="BQ66" s="138">
        <f t="shared" si="48"/>
        <v>10.992000000000001</v>
      </c>
      <c r="BR66" s="139">
        <f t="shared" si="49"/>
        <v>17.349999999999998</v>
      </c>
      <c r="BS66" s="87">
        <f t="shared" si="50"/>
        <v>14.2165</v>
      </c>
      <c r="BT66" s="88">
        <f t="shared" si="51"/>
        <v>14.170999999999999</v>
      </c>
      <c r="BU66" s="134">
        <f t="shared" si="52"/>
        <v>14.19375</v>
      </c>
    </row>
    <row r="67" spans="1:73" ht="30" x14ac:dyDescent="0.25">
      <c r="A67" s="102" t="s">
        <v>66</v>
      </c>
      <c r="B67" s="102" t="s">
        <v>77</v>
      </c>
      <c r="C67" s="121" t="s">
        <v>90</v>
      </c>
      <c r="D67" s="156" t="s">
        <v>105</v>
      </c>
      <c r="E67" s="156" t="s">
        <v>104</v>
      </c>
      <c r="F67" s="156" t="s">
        <v>105</v>
      </c>
      <c r="G67" s="110">
        <f t="shared" si="43"/>
        <v>0.66</v>
      </c>
      <c r="H67" s="110">
        <f t="shared" si="41"/>
        <v>1</v>
      </c>
      <c r="I67" s="110">
        <f t="shared" si="41"/>
        <v>0.66</v>
      </c>
      <c r="J67" s="147">
        <f t="shared" si="44"/>
        <v>15.75</v>
      </c>
      <c r="K67" s="87">
        <v>0.44000000000000006</v>
      </c>
      <c r="L67">
        <v>0.55000000000000004</v>
      </c>
      <c r="M67">
        <v>0.77</v>
      </c>
      <c r="N67" s="88">
        <v>1</v>
      </c>
      <c r="O67" s="87">
        <v>0.47000000000000003</v>
      </c>
      <c r="P67">
        <v>0.55000000000000004</v>
      </c>
      <c r="Q67">
        <v>0.77</v>
      </c>
      <c r="R67" s="88">
        <v>0.92</v>
      </c>
      <c r="S67" s="87">
        <v>0.77</v>
      </c>
      <c r="T67">
        <v>1</v>
      </c>
      <c r="U67">
        <v>1</v>
      </c>
      <c r="V67" s="88">
        <v>1</v>
      </c>
      <c r="W67" s="87">
        <v>0.83</v>
      </c>
      <c r="X67">
        <v>1</v>
      </c>
      <c r="Y67">
        <v>1</v>
      </c>
      <c r="Z67" s="88">
        <v>1</v>
      </c>
      <c r="AA67" s="87">
        <v>0.44000000000000006</v>
      </c>
      <c r="AB67">
        <v>0.55000000000000004</v>
      </c>
      <c r="AC67">
        <v>0.77</v>
      </c>
      <c r="AD67" s="88">
        <v>1</v>
      </c>
      <c r="AE67" s="87">
        <v>0.47000000000000003</v>
      </c>
      <c r="AF67">
        <v>0.55000000000000004</v>
      </c>
      <c r="AG67">
        <v>0.77</v>
      </c>
      <c r="AH67" s="88">
        <v>0.92</v>
      </c>
      <c r="AI67" s="87">
        <v>2.2549999999999999</v>
      </c>
      <c r="AJ67">
        <v>3.8500000000000005</v>
      </c>
      <c r="AK67">
        <v>6.16</v>
      </c>
      <c r="AL67" s="88">
        <v>9.1550000000000011</v>
      </c>
      <c r="AM67" s="87">
        <v>2.7399999999999993</v>
      </c>
      <c r="AN67">
        <v>3.8500000000000005</v>
      </c>
      <c r="AO67">
        <v>6.16</v>
      </c>
      <c r="AP67" s="88">
        <v>8.129999999999999</v>
      </c>
      <c r="AQ67" s="87">
        <v>3.8900000000000006</v>
      </c>
      <c r="AR67">
        <v>7</v>
      </c>
      <c r="AS67">
        <v>8</v>
      </c>
      <c r="AT67">
        <v>9.5</v>
      </c>
      <c r="AU67" s="87">
        <v>4.8099999999999987</v>
      </c>
      <c r="AV67">
        <v>7</v>
      </c>
      <c r="AW67">
        <v>8</v>
      </c>
      <c r="AX67" s="88">
        <v>9</v>
      </c>
      <c r="AY67" s="87">
        <v>1.1550000000000002</v>
      </c>
      <c r="AZ67">
        <v>2.4750000000000001</v>
      </c>
      <c r="BA67">
        <v>4.2350000000000003</v>
      </c>
      <c r="BB67">
        <v>6.6550000000000002</v>
      </c>
      <c r="BC67" s="87">
        <v>1.5650000000000008</v>
      </c>
      <c r="BD67">
        <v>2.4750000000000001</v>
      </c>
      <c r="BE67">
        <v>4.2350000000000003</v>
      </c>
      <c r="BF67" s="88">
        <v>5.830000000000001</v>
      </c>
      <c r="BG67" s="87">
        <f t="shared" si="45"/>
        <v>7.3000000000000007</v>
      </c>
      <c r="BH67">
        <f t="shared" si="42"/>
        <v>13.325000000000001</v>
      </c>
      <c r="BI67">
        <f t="shared" si="42"/>
        <v>18.395</v>
      </c>
      <c r="BJ67">
        <f t="shared" si="42"/>
        <v>25.310000000000002</v>
      </c>
      <c r="BK67" s="87">
        <f t="shared" si="42"/>
        <v>9.1149999999999984</v>
      </c>
      <c r="BL67">
        <f t="shared" si="42"/>
        <v>13.325000000000001</v>
      </c>
      <c r="BM67">
        <f t="shared" si="42"/>
        <v>18.395</v>
      </c>
      <c r="BN67">
        <f t="shared" si="42"/>
        <v>22.96</v>
      </c>
      <c r="BO67" s="138">
        <f t="shared" si="46"/>
        <v>12.120000000000001</v>
      </c>
      <c r="BP67" s="143">
        <f t="shared" si="47"/>
        <v>19.777999999999999</v>
      </c>
      <c r="BQ67" s="138">
        <f t="shared" si="48"/>
        <v>12.483000000000001</v>
      </c>
      <c r="BR67" s="139">
        <f t="shared" si="49"/>
        <v>19.308</v>
      </c>
      <c r="BS67" s="87">
        <f t="shared" si="50"/>
        <v>15.949</v>
      </c>
      <c r="BT67" s="88">
        <f t="shared" si="51"/>
        <v>15.8955</v>
      </c>
      <c r="BU67" s="134">
        <f t="shared" si="52"/>
        <v>15.92225</v>
      </c>
    </row>
    <row r="68" spans="1:73" x14ac:dyDescent="0.25">
      <c r="A68" s="102" t="s">
        <v>67</v>
      </c>
      <c r="B68" s="102" t="s">
        <v>78</v>
      </c>
      <c r="C68" s="121" t="s">
        <v>91</v>
      </c>
      <c r="D68" s="156" t="s">
        <v>104</v>
      </c>
      <c r="E68" s="156" t="s">
        <v>105</v>
      </c>
      <c r="F68" s="156" t="s">
        <v>106</v>
      </c>
      <c r="G68" s="110">
        <f t="shared" si="43"/>
        <v>1</v>
      </c>
      <c r="H68" s="110">
        <f t="shared" si="41"/>
        <v>0.66</v>
      </c>
      <c r="I68" s="110">
        <f t="shared" si="41"/>
        <v>0.33</v>
      </c>
      <c r="J68" s="147">
        <f t="shared" si="44"/>
        <v>14.1</v>
      </c>
      <c r="K68" s="87">
        <v>0.77</v>
      </c>
      <c r="L68">
        <v>1</v>
      </c>
      <c r="M68">
        <v>1</v>
      </c>
      <c r="N68" s="88">
        <v>1</v>
      </c>
      <c r="O68" s="87">
        <v>0.83</v>
      </c>
      <c r="P68">
        <v>1</v>
      </c>
      <c r="Q68">
        <v>1</v>
      </c>
      <c r="R68" s="88">
        <v>1</v>
      </c>
      <c r="S68" s="87">
        <v>0.44000000000000006</v>
      </c>
      <c r="T68">
        <v>0.55000000000000004</v>
      </c>
      <c r="U68">
        <v>0.77</v>
      </c>
      <c r="V68" s="88">
        <v>1</v>
      </c>
      <c r="W68" s="87">
        <v>0.47000000000000003</v>
      </c>
      <c r="X68">
        <v>0.55000000000000004</v>
      </c>
      <c r="Y68">
        <v>0.77</v>
      </c>
      <c r="Z68" s="88">
        <v>0.92</v>
      </c>
      <c r="AA68" s="87">
        <v>0</v>
      </c>
      <c r="AB68">
        <v>0.22000000000000003</v>
      </c>
      <c r="AC68">
        <v>0.44</v>
      </c>
      <c r="AD68" s="88">
        <v>0.55000000000000004</v>
      </c>
      <c r="AE68" s="87">
        <v>0.06</v>
      </c>
      <c r="AF68">
        <v>0.22000000000000003</v>
      </c>
      <c r="AG68">
        <v>0.44</v>
      </c>
      <c r="AH68" s="88">
        <v>0.52</v>
      </c>
      <c r="AI68" s="87">
        <v>3.8900000000000006</v>
      </c>
      <c r="AJ68">
        <v>7</v>
      </c>
      <c r="AK68">
        <v>8</v>
      </c>
      <c r="AL68" s="88">
        <v>9.5</v>
      </c>
      <c r="AM68" s="87">
        <v>4.8099999999999987</v>
      </c>
      <c r="AN68">
        <v>7</v>
      </c>
      <c r="AO68">
        <v>8</v>
      </c>
      <c r="AP68" s="88">
        <v>9</v>
      </c>
      <c r="AQ68" s="87">
        <v>2.2549999999999999</v>
      </c>
      <c r="AR68">
        <v>3.8500000000000005</v>
      </c>
      <c r="AS68">
        <v>6.16</v>
      </c>
      <c r="AT68">
        <v>9.1550000000000011</v>
      </c>
      <c r="AU68" s="87">
        <v>2.7399999999999993</v>
      </c>
      <c r="AV68">
        <v>3.8500000000000005</v>
      </c>
      <c r="AW68">
        <v>6.16</v>
      </c>
      <c r="AX68" s="88">
        <v>8.129999999999999</v>
      </c>
      <c r="AY68" s="187">
        <v>0</v>
      </c>
      <c r="AZ68" s="179">
        <v>0.9900000000000001</v>
      </c>
      <c r="BA68" s="179">
        <v>2.42</v>
      </c>
      <c r="BB68" s="179">
        <v>3.6850000000000005</v>
      </c>
      <c r="BC68" s="187">
        <v>4.9999999999999933E-2</v>
      </c>
      <c r="BD68" s="179">
        <v>0.9900000000000001</v>
      </c>
      <c r="BE68" s="179">
        <v>2.42</v>
      </c>
      <c r="BF68" s="188">
        <v>3.3000000000000007</v>
      </c>
      <c r="BG68" s="87">
        <f t="shared" si="45"/>
        <v>6.1450000000000005</v>
      </c>
      <c r="BH68">
        <f t="shared" si="42"/>
        <v>11.840000000000002</v>
      </c>
      <c r="BI68">
        <f t="shared" si="42"/>
        <v>16.579999999999998</v>
      </c>
      <c r="BJ68">
        <f t="shared" si="42"/>
        <v>22.340000000000003</v>
      </c>
      <c r="BK68" s="87">
        <f t="shared" si="42"/>
        <v>7.5999999999999979</v>
      </c>
      <c r="BL68">
        <f t="shared" si="42"/>
        <v>11.840000000000002</v>
      </c>
      <c r="BM68">
        <f t="shared" si="42"/>
        <v>16.579999999999998</v>
      </c>
      <c r="BN68">
        <f t="shared" si="42"/>
        <v>20.43</v>
      </c>
      <c r="BO68" s="138">
        <f t="shared" si="46"/>
        <v>10.701000000000001</v>
      </c>
      <c r="BP68" s="143">
        <f t="shared" si="47"/>
        <v>17.731999999999999</v>
      </c>
      <c r="BQ68" s="138">
        <f t="shared" si="48"/>
        <v>10.992000000000001</v>
      </c>
      <c r="BR68" s="139">
        <f t="shared" si="49"/>
        <v>17.349999999999998</v>
      </c>
      <c r="BS68" s="87">
        <f t="shared" si="50"/>
        <v>14.2165</v>
      </c>
      <c r="BT68" s="88">
        <f t="shared" si="51"/>
        <v>14.170999999999999</v>
      </c>
      <c r="BU68" s="134">
        <f t="shared" si="52"/>
        <v>14.19375</v>
      </c>
    </row>
    <row r="69" spans="1:73" ht="30" x14ac:dyDescent="0.25">
      <c r="A69" s="102" t="s">
        <v>68</v>
      </c>
      <c r="B69" s="102" t="s">
        <v>79</v>
      </c>
      <c r="C69" s="121" t="s">
        <v>92</v>
      </c>
      <c r="D69" s="156" t="s">
        <v>104</v>
      </c>
      <c r="E69" s="156" t="s">
        <v>105</v>
      </c>
      <c r="F69" s="156" t="s">
        <v>106</v>
      </c>
      <c r="G69" s="110">
        <f t="shared" si="43"/>
        <v>1</v>
      </c>
      <c r="H69" s="110">
        <f t="shared" si="41"/>
        <v>0.66</v>
      </c>
      <c r="I69" s="110">
        <f t="shared" si="41"/>
        <v>0.33</v>
      </c>
      <c r="J69" s="147">
        <f t="shared" si="44"/>
        <v>14.1</v>
      </c>
      <c r="K69" s="87">
        <v>0.77</v>
      </c>
      <c r="L69">
        <v>1</v>
      </c>
      <c r="M69">
        <v>1</v>
      </c>
      <c r="N69" s="88">
        <v>1</v>
      </c>
      <c r="O69" s="87">
        <v>0.83</v>
      </c>
      <c r="P69">
        <v>1</v>
      </c>
      <c r="Q69">
        <v>1</v>
      </c>
      <c r="R69" s="88">
        <v>1</v>
      </c>
      <c r="S69" s="87">
        <v>0.44000000000000006</v>
      </c>
      <c r="T69">
        <v>0.55000000000000004</v>
      </c>
      <c r="U69">
        <v>0.77</v>
      </c>
      <c r="V69" s="88">
        <v>1</v>
      </c>
      <c r="W69" s="87">
        <v>0.47000000000000003</v>
      </c>
      <c r="X69">
        <v>0.55000000000000004</v>
      </c>
      <c r="Y69">
        <v>0.77</v>
      </c>
      <c r="Z69" s="88">
        <v>0.92</v>
      </c>
      <c r="AA69" s="87">
        <v>0</v>
      </c>
      <c r="AB69">
        <v>0.22000000000000003</v>
      </c>
      <c r="AC69">
        <v>0.44</v>
      </c>
      <c r="AD69" s="88">
        <v>0.55000000000000004</v>
      </c>
      <c r="AE69" s="87">
        <v>0.06</v>
      </c>
      <c r="AF69">
        <v>0.22000000000000003</v>
      </c>
      <c r="AG69">
        <v>0.44</v>
      </c>
      <c r="AH69" s="88">
        <v>0.52</v>
      </c>
      <c r="AI69" s="87">
        <v>3.8900000000000006</v>
      </c>
      <c r="AJ69">
        <v>7</v>
      </c>
      <c r="AK69">
        <v>8</v>
      </c>
      <c r="AL69" s="88">
        <v>9.5</v>
      </c>
      <c r="AM69" s="87">
        <v>4.8099999999999987</v>
      </c>
      <c r="AN69">
        <v>7</v>
      </c>
      <c r="AO69">
        <v>8</v>
      </c>
      <c r="AP69" s="88">
        <v>9</v>
      </c>
      <c r="AQ69" s="87">
        <v>2.2549999999999999</v>
      </c>
      <c r="AR69">
        <v>3.8500000000000005</v>
      </c>
      <c r="AS69">
        <v>6.16</v>
      </c>
      <c r="AT69">
        <v>9.1550000000000011</v>
      </c>
      <c r="AU69" s="87">
        <v>2.7399999999999993</v>
      </c>
      <c r="AV69">
        <v>3.8500000000000005</v>
      </c>
      <c r="AW69">
        <v>6.16</v>
      </c>
      <c r="AX69" s="88">
        <v>8.129999999999999</v>
      </c>
      <c r="AY69" s="187">
        <v>0</v>
      </c>
      <c r="AZ69" s="179">
        <v>0.9900000000000001</v>
      </c>
      <c r="BA69" s="179">
        <v>2.42</v>
      </c>
      <c r="BB69" s="179">
        <v>3.6850000000000005</v>
      </c>
      <c r="BC69" s="187">
        <v>4.9999999999999933E-2</v>
      </c>
      <c r="BD69" s="179">
        <v>0.9900000000000001</v>
      </c>
      <c r="BE69" s="179">
        <v>2.42</v>
      </c>
      <c r="BF69" s="188">
        <v>3.3000000000000007</v>
      </c>
      <c r="BG69" s="87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87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138">
        <f t="shared" si="46"/>
        <v>10.701000000000001</v>
      </c>
      <c r="BP69" s="143">
        <f t="shared" si="47"/>
        <v>17.731999999999999</v>
      </c>
      <c r="BQ69" s="138">
        <f t="shared" si="48"/>
        <v>10.992000000000001</v>
      </c>
      <c r="BR69" s="139">
        <f t="shared" si="49"/>
        <v>17.349999999999998</v>
      </c>
      <c r="BS69" s="87">
        <f t="shared" si="50"/>
        <v>14.2165</v>
      </c>
      <c r="BT69" s="88">
        <f t="shared" si="51"/>
        <v>14.170999999999999</v>
      </c>
      <c r="BU69" s="134">
        <f t="shared" si="52"/>
        <v>14.19375</v>
      </c>
    </row>
    <row r="70" spans="1:73" ht="30" x14ac:dyDescent="0.25">
      <c r="A70" s="102" t="s">
        <v>69</v>
      </c>
      <c r="B70" s="102" t="s">
        <v>80</v>
      </c>
      <c r="C70" s="121" t="s">
        <v>81</v>
      </c>
      <c r="D70" s="156" t="s">
        <v>105</v>
      </c>
      <c r="E70" s="156" t="s">
        <v>106</v>
      </c>
      <c r="F70" s="156" t="s">
        <v>104</v>
      </c>
      <c r="G70" s="110">
        <f t="shared" si="43"/>
        <v>0.66</v>
      </c>
      <c r="H70" s="110">
        <f t="shared" si="41"/>
        <v>0.33</v>
      </c>
      <c r="I70" s="110">
        <f t="shared" si="41"/>
        <v>1</v>
      </c>
      <c r="J70" s="147">
        <f t="shared" si="44"/>
        <v>12.425000000000001</v>
      </c>
      <c r="K70" s="87">
        <v>0.44000000000000006</v>
      </c>
      <c r="L70">
        <v>0.55000000000000004</v>
      </c>
      <c r="M70">
        <v>0.77</v>
      </c>
      <c r="N70" s="88">
        <v>1</v>
      </c>
      <c r="O70" s="87">
        <v>0.47000000000000003</v>
      </c>
      <c r="P70">
        <v>0.55000000000000004</v>
      </c>
      <c r="Q70">
        <v>0.77</v>
      </c>
      <c r="R70" s="88">
        <v>0.92</v>
      </c>
      <c r="S70" s="87">
        <v>0</v>
      </c>
      <c r="T70">
        <v>0.22000000000000003</v>
      </c>
      <c r="U70">
        <v>0.44</v>
      </c>
      <c r="V70" s="88">
        <v>0.55000000000000004</v>
      </c>
      <c r="W70" s="87">
        <v>0.06</v>
      </c>
      <c r="X70">
        <v>0.22000000000000003</v>
      </c>
      <c r="Y70">
        <v>0.44</v>
      </c>
      <c r="Z70" s="88">
        <v>0.52</v>
      </c>
      <c r="AA70" s="87">
        <v>0.77</v>
      </c>
      <c r="AB70">
        <v>1</v>
      </c>
      <c r="AC70">
        <v>1</v>
      </c>
      <c r="AD70" s="88">
        <v>1</v>
      </c>
      <c r="AE70" s="87">
        <v>0.83</v>
      </c>
      <c r="AF70">
        <v>1</v>
      </c>
      <c r="AG70">
        <v>1</v>
      </c>
      <c r="AH70" s="88">
        <v>1</v>
      </c>
      <c r="AI70" s="87">
        <v>2.2549999999999999</v>
      </c>
      <c r="AJ70">
        <v>3.8500000000000005</v>
      </c>
      <c r="AK70">
        <v>6.16</v>
      </c>
      <c r="AL70" s="88">
        <v>9.1550000000000011</v>
      </c>
      <c r="AM70" s="87">
        <v>2.7399999999999993</v>
      </c>
      <c r="AN70">
        <v>3.8500000000000005</v>
      </c>
      <c r="AO70">
        <v>6.16</v>
      </c>
      <c r="AP70" s="88">
        <v>8.129999999999999</v>
      </c>
      <c r="AQ70" s="187">
        <v>0</v>
      </c>
      <c r="AR70" s="179">
        <v>1.5400000000000003</v>
      </c>
      <c r="AS70" s="179">
        <v>3.52</v>
      </c>
      <c r="AT70" s="179">
        <v>5.0600000000000005</v>
      </c>
      <c r="AU70" s="187">
        <v>0.19999999999999996</v>
      </c>
      <c r="AV70" s="179">
        <v>1.5400000000000003</v>
      </c>
      <c r="AW70" s="179">
        <v>3.52</v>
      </c>
      <c r="AX70" s="188">
        <v>4.6000000000000014</v>
      </c>
      <c r="AY70" s="87">
        <v>1.9649999999999999</v>
      </c>
      <c r="AZ70">
        <v>4.5</v>
      </c>
      <c r="BA70">
        <v>5.5</v>
      </c>
      <c r="BB70">
        <v>7</v>
      </c>
      <c r="BC70" s="87">
        <v>2.7349999999999994</v>
      </c>
      <c r="BD70">
        <v>4.5</v>
      </c>
      <c r="BE70">
        <v>5.5</v>
      </c>
      <c r="BF70" s="88">
        <v>6.5</v>
      </c>
      <c r="BG70" s="87">
        <f t="shared" si="45"/>
        <v>4.22</v>
      </c>
      <c r="BH70">
        <f t="shared" si="42"/>
        <v>9.89</v>
      </c>
      <c r="BI70">
        <f t="shared" si="42"/>
        <v>15.18</v>
      </c>
      <c r="BJ70">
        <f t="shared" si="42"/>
        <v>21.215000000000003</v>
      </c>
      <c r="BK70" s="87">
        <f t="shared" si="42"/>
        <v>5.6749999999999989</v>
      </c>
      <c r="BL70">
        <f t="shared" si="42"/>
        <v>9.89</v>
      </c>
      <c r="BM70">
        <f t="shared" si="42"/>
        <v>15.18</v>
      </c>
      <c r="BN70">
        <f t="shared" si="42"/>
        <v>19.23</v>
      </c>
      <c r="BO70" s="138">
        <f t="shared" si="46"/>
        <v>8.7560000000000002</v>
      </c>
      <c r="BP70" s="143">
        <f t="shared" si="47"/>
        <v>16.387</v>
      </c>
      <c r="BQ70" s="138">
        <f t="shared" si="48"/>
        <v>9.0470000000000006</v>
      </c>
      <c r="BR70" s="139">
        <f t="shared" si="49"/>
        <v>15.989999999999998</v>
      </c>
      <c r="BS70" s="87">
        <f t="shared" si="50"/>
        <v>12.5715</v>
      </c>
      <c r="BT70" s="88">
        <f t="shared" si="51"/>
        <v>12.5185</v>
      </c>
      <c r="BU70" s="134">
        <f t="shared" si="52"/>
        <v>12.545</v>
      </c>
    </row>
    <row r="71" spans="1:73" ht="36.75" customHeight="1" x14ac:dyDescent="0.25">
      <c r="A71" s="102" t="s">
        <v>70</v>
      </c>
      <c r="B71" s="102" t="s">
        <v>82</v>
      </c>
      <c r="C71" s="121" t="s">
        <v>93</v>
      </c>
      <c r="D71" s="156" t="s">
        <v>106</v>
      </c>
      <c r="E71" s="156" t="s">
        <v>104</v>
      </c>
      <c r="F71" s="156" t="s">
        <v>105</v>
      </c>
      <c r="G71" s="110">
        <f t="shared" si="43"/>
        <v>0.33</v>
      </c>
      <c r="H71" s="110">
        <f t="shared" si="41"/>
        <v>1</v>
      </c>
      <c r="I71" s="110">
        <f t="shared" si="41"/>
        <v>0.66</v>
      </c>
      <c r="J71" s="147">
        <f t="shared" si="44"/>
        <v>13.275</v>
      </c>
      <c r="K71" s="87">
        <v>0</v>
      </c>
      <c r="L71">
        <v>0.22000000000000003</v>
      </c>
      <c r="M71">
        <v>0.44</v>
      </c>
      <c r="N71" s="88">
        <v>0.55000000000000004</v>
      </c>
      <c r="O71" s="87">
        <v>0.06</v>
      </c>
      <c r="P71">
        <v>0.22000000000000003</v>
      </c>
      <c r="Q71">
        <v>0.44</v>
      </c>
      <c r="R71" s="88">
        <v>0.52</v>
      </c>
      <c r="S71" s="87">
        <v>0.77</v>
      </c>
      <c r="T71">
        <v>1</v>
      </c>
      <c r="U71">
        <v>1</v>
      </c>
      <c r="V71" s="88">
        <v>1</v>
      </c>
      <c r="W71" s="87">
        <v>0.83</v>
      </c>
      <c r="X71">
        <v>1</v>
      </c>
      <c r="Y71">
        <v>1</v>
      </c>
      <c r="Z71" s="88">
        <v>1</v>
      </c>
      <c r="AA71" s="87">
        <v>0.44000000000000006</v>
      </c>
      <c r="AB71">
        <v>0.55000000000000004</v>
      </c>
      <c r="AC71">
        <v>0.77</v>
      </c>
      <c r="AD71" s="88">
        <v>1</v>
      </c>
      <c r="AE71" s="87">
        <v>0.47000000000000003</v>
      </c>
      <c r="AF71">
        <v>0.55000000000000004</v>
      </c>
      <c r="AG71">
        <v>0.77</v>
      </c>
      <c r="AH71" s="88">
        <v>0.92</v>
      </c>
      <c r="AI71" s="187">
        <v>0</v>
      </c>
      <c r="AJ71" s="179">
        <v>1.5400000000000003</v>
      </c>
      <c r="AK71" s="179">
        <v>3.52</v>
      </c>
      <c r="AL71" s="188">
        <v>5.0600000000000005</v>
      </c>
      <c r="AM71" s="187">
        <v>0.19999999999999996</v>
      </c>
      <c r="AN71" s="179">
        <v>1.5400000000000003</v>
      </c>
      <c r="AO71" s="179">
        <v>3.52</v>
      </c>
      <c r="AP71" s="188">
        <v>4.6000000000000014</v>
      </c>
      <c r="AQ71" s="87">
        <v>3.8900000000000006</v>
      </c>
      <c r="AR71">
        <v>7</v>
      </c>
      <c r="AS71">
        <v>8</v>
      </c>
      <c r="AT71">
        <v>9.5</v>
      </c>
      <c r="AU71" s="87">
        <v>4.8099999999999987</v>
      </c>
      <c r="AV71">
        <v>7</v>
      </c>
      <c r="AW71">
        <v>8</v>
      </c>
      <c r="AX71" s="88">
        <v>9</v>
      </c>
      <c r="AY71" s="87">
        <v>1.1550000000000002</v>
      </c>
      <c r="AZ71">
        <v>2.4750000000000001</v>
      </c>
      <c r="BA71">
        <v>4.2350000000000003</v>
      </c>
      <c r="BB71">
        <v>6.6550000000000002</v>
      </c>
      <c r="BC71" s="87">
        <v>1.5650000000000008</v>
      </c>
      <c r="BD71">
        <v>2.4750000000000001</v>
      </c>
      <c r="BE71">
        <v>4.2350000000000003</v>
      </c>
      <c r="BF71" s="88">
        <v>5.830000000000001</v>
      </c>
      <c r="BG71" s="87">
        <f t="shared" si="45"/>
        <v>5.0450000000000008</v>
      </c>
      <c r="BH71">
        <f t="shared" si="42"/>
        <v>11.015000000000001</v>
      </c>
      <c r="BI71">
        <f t="shared" si="42"/>
        <v>15.754999999999999</v>
      </c>
      <c r="BJ71">
        <f t="shared" si="42"/>
        <v>21.215</v>
      </c>
      <c r="BK71" s="87">
        <f t="shared" si="42"/>
        <v>6.5749999999999993</v>
      </c>
      <c r="BL71">
        <f t="shared" si="42"/>
        <v>11.015000000000001</v>
      </c>
      <c r="BM71">
        <f t="shared" si="42"/>
        <v>15.754999999999999</v>
      </c>
      <c r="BN71">
        <f t="shared" si="42"/>
        <v>19.430000000000003</v>
      </c>
      <c r="BO71" s="138">
        <f t="shared" si="46"/>
        <v>9.8210000000000015</v>
      </c>
      <c r="BP71" s="143">
        <f t="shared" si="47"/>
        <v>16.846999999999998</v>
      </c>
      <c r="BQ71" s="138">
        <f t="shared" si="48"/>
        <v>10.127000000000001</v>
      </c>
      <c r="BR71" s="139">
        <f t="shared" si="49"/>
        <v>16.489999999999998</v>
      </c>
      <c r="BS71" s="87">
        <f t="shared" si="50"/>
        <v>13.334</v>
      </c>
      <c r="BT71" s="88">
        <f t="shared" si="51"/>
        <v>13.308499999999999</v>
      </c>
      <c r="BU71" s="134">
        <f t="shared" si="52"/>
        <v>13.321249999999999</v>
      </c>
    </row>
    <row r="72" spans="1:73" ht="30.75" thickBot="1" x14ac:dyDescent="0.3">
      <c r="A72" s="102" t="s">
        <v>71</v>
      </c>
      <c r="B72" s="102" t="s">
        <v>83</v>
      </c>
      <c r="C72" s="121" t="s">
        <v>94</v>
      </c>
      <c r="D72" s="156" t="s">
        <v>106</v>
      </c>
      <c r="E72" s="156" t="s">
        <v>104</v>
      </c>
      <c r="F72" s="156" t="s">
        <v>105</v>
      </c>
      <c r="G72" s="110">
        <f t="shared" si="43"/>
        <v>0.33</v>
      </c>
      <c r="H72" s="110">
        <f t="shared" si="41"/>
        <v>1</v>
      </c>
      <c r="I72" s="110">
        <f t="shared" si="41"/>
        <v>0.66</v>
      </c>
      <c r="J72" s="147">
        <f t="shared" si="44"/>
        <v>13.275</v>
      </c>
      <c r="K72" s="91">
        <v>0</v>
      </c>
      <c r="L72" s="93">
        <v>0.22000000000000003</v>
      </c>
      <c r="M72" s="93">
        <v>0.44</v>
      </c>
      <c r="N72" s="94">
        <v>0.55000000000000004</v>
      </c>
      <c r="O72" s="91">
        <v>0.06</v>
      </c>
      <c r="P72" s="93">
        <v>0.22000000000000003</v>
      </c>
      <c r="Q72" s="93">
        <v>0.44</v>
      </c>
      <c r="R72" s="94">
        <v>0.52</v>
      </c>
      <c r="S72" s="91">
        <v>0.77</v>
      </c>
      <c r="T72" s="93">
        <v>1</v>
      </c>
      <c r="U72" s="93">
        <v>1</v>
      </c>
      <c r="V72" s="94">
        <v>1</v>
      </c>
      <c r="W72" s="91">
        <v>0.83</v>
      </c>
      <c r="X72" s="93">
        <v>1</v>
      </c>
      <c r="Y72" s="93">
        <v>1</v>
      </c>
      <c r="Z72" s="94">
        <v>1</v>
      </c>
      <c r="AA72" s="91">
        <v>0.44000000000000006</v>
      </c>
      <c r="AB72" s="93">
        <v>0.55000000000000004</v>
      </c>
      <c r="AC72" s="93">
        <v>0.77</v>
      </c>
      <c r="AD72" s="94">
        <v>1</v>
      </c>
      <c r="AE72" s="91">
        <v>0.47000000000000003</v>
      </c>
      <c r="AF72" s="93">
        <v>0.55000000000000004</v>
      </c>
      <c r="AG72" s="93">
        <v>0.77</v>
      </c>
      <c r="AH72" s="94">
        <v>0.92</v>
      </c>
      <c r="AI72" s="189">
        <v>0</v>
      </c>
      <c r="AJ72" s="201">
        <v>1.5400000000000003</v>
      </c>
      <c r="AK72" s="201">
        <v>3.52</v>
      </c>
      <c r="AL72" s="190">
        <v>5.0600000000000005</v>
      </c>
      <c r="AM72" s="189">
        <v>0.19999999999999996</v>
      </c>
      <c r="AN72" s="201">
        <v>1.5400000000000003</v>
      </c>
      <c r="AO72" s="201">
        <v>3.52</v>
      </c>
      <c r="AP72" s="190">
        <v>4.6000000000000014</v>
      </c>
      <c r="AQ72" s="91">
        <v>3.8900000000000006</v>
      </c>
      <c r="AR72" s="93">
        <v>7</v>
      </c>
      <c r="AS72" s="93">
        <v>8</v>
      </c>
      <c r="AT72" s="93">
        <v>9.5</v>
      </c>
      <c r="AU72" s="91">
        <v>4.8099999999999987</v>
      </c>
      <c r="AV72" s="93">
        <v>7</v>
      </c>
      <c r="AW72" s="93">
        <v>8</v>
      </c>
      <c r="AX72" s="94">
        <v>9</v>
      </c>
      <c r="AY72" s="91">
        <v>1.1550000000000002</v>
      </c>
      <c r="AZ72" s="93">
        <v>2.4750000000000001</v>
      </c>
      <c r="BA72" s="93">
        <v>4.2350000000000003</v>
      </c>
      <c r="BB72" s="93">
        <v>6.6550000000000002</v>
      </c>
      <c r="BC72" s="91">
        <v>1.5650000000000008</v>
      </c>
      <c r="BD72" s="93">
        <v>2.4750000000000001</v>
      </c>
      <c r="BE72" s="93">
        <v>4.2350000000000003</v>
      </c>
      <c r="BF72" s="94">
        <v>5.830000000000001</v>
      </c>
      <c r="BG72" s="91">
        <f t="shared" si="45"/>
        <v>5.0450000000000008</v>
      </c>
      <c r="BH72" s="93">
        <f t="shared" si="42"/>
        <v>11.015000000000001</v>
      </c>
      <c r="BI72" s="93">
        <f t="shared" si="42"/>
        <v>15.754999999999999</v>
      </c>
      <c r="BJ72" s="93">
        <f t="shared" si="42"/>
        <v>21.215</v>
      </c>
      <c r="BK72" s="91">
        <f t="shared" si="42"/>
        <v>6.5749999999999993</v>
      </c>
      <c r="BL72" s="93">
        <f t="shared" si="42"/>
        <v>11.015000000000001</v>
      </c>
      <c r="BM72" s="93">
        <f t="shared" si="42"/>
        <v>15.754999999999999</v>
      </c>
      <c r="BN72" s="93">
        <f t="shared" si="42"/>
        <v>19.430000000000003</v>
      </c>
      <c r="BO72" s="140">
        <f t="shared" si="46"/>
        <v>9.8210000000000015</v>
      </c>
      <c r="BP72" s="144">
        <f t="shared" si="47"/>
        <v>16.846999999999998</v>
      </c>
      <c r="BQ72" s="140">
        <f t="shared" si="48"/>
        <v>10.127000000000001</v>
      </c>
      <c r="BR72" s="141">
        <f t="shared" si="49"/>
        <v>16.489999999999998</v>
      </c>
      <c r="BS72" s="91">
        <f t="shared" si="50"/>
        <v>13.334</v>
      </c>
      <c r="BT72" s="94">
        <f t="shared" si="51"/>
        <v>13.308499999999999</v>
      </c>
      <c r="BU72" s="135">
        <f t="shared" si="52"/>
        <v>13.321249999999999</v>
      </c>
    </row>
    <row r="73" spans="1:73" x14ac:dyDescent="0.25">
      <c r="BF73" s="60"/>
      <c r="BG73" s="59"/>
      <c r="BH73" s="59"/>
      <c r="BI73" s="59"/>
      <c r="BJ73" s="59"/>
      <c r="BK73" s="59"/>
    </row>
    <row r="74" spans="1:73" x14ac:dyDescent="0.25">
      <c r="A74" s="1" t="s">
        <v>195</v>
      </c>
      <c r="B74" s="1"/>
    </row>
    <row r="75" spans="1:73" ht="15.75" thickBot="1" x14ac:dyDescent="0.3">
      <c r="A75" s="107" t="s">
        <v>103</v>
      </c>
      <c r="B75" s="108" t="s">
        <v>122</v>
      </c>
      <c r="E75" s="112" t="s">
        <v>17</v>
      </c>
      <c r="I75" t="s">
        <v>18</v>
      </c>
    </row>
    <row r="76" spans="1:73" x14ac:dyDescent="0.25">
      <c r="A76" s="106" t="s">
        <v>107</v>
      </c>
      <c r="B76" s="2">
        <v>0</v>
      </c>
      <c r="C76" s="79">
        <v>0</v>
      </c>
      <c r="D76" s="80" t="s">
        <v>107</v>
      </c>
      <c r="E76" s="81">
        <v>0</v>
      </c>
      <c r="F76" s="82">
        <f>C76</f>
        <v>0</v>
      </c>
      <c r="G76" s="83">
        <v>0</v>
      </c>
      <c r="H76" s="84">
        <v>0.22</v>
      </c>
      <c r="I76" s="85">
        <v>0</v>
      </c>
      <c r="J76" s="83">
        <f>F76</f>
        <v>0</v>
      </c>
      <c r="K76" s="83">
        <f>G76</f>
        <v>0</v>
      </c>
      <c r="L76" s="86">
        <v>0.15</v>
      </c>
    </row>
    <row r="77" spans="1:73" x14ac:dyDescent="0.25">
      <c r="A77" s="106" t="s">
        <v>106</v>
      </c>
      <c r="B77" s="2">
        <v>0.33</v>
      </c>
      <c r="C77" s="79">
        <v>0.33</v>
      </c>
      <c r="D77" s="80" t="s">
        <v>106</v>
      </c>
      <c r="E77" s="87">
        <v>0</v>
      </c>
      <c r="F77" s="111">
        <f>C77-0.11</f>
        <v>0.22000000000000003</v>
      </c>
      <c r="G77">
        <f>C77+0.11</f>
        <v>0.44</v>
      </c>
      <c r="H77" s="88">
        <f t="shared" ref="H77" si="53">G77+0.11</f>
        <v>0.55000000000000004</v>
      </c>
      <c r="I77" s="89">
        <v>0.06</v>
      </c>
      <c r="J77">
        <f t="shared" ref="J77:K79" si="54">F77</f>
        <v>0.22000000000000003</v>
      </c>
      <c r="K77">
        <f t="shared" si="54"/>
        <v>0.44</v>
      </c>
      <c r="L77" s="90">
        <f t="shared" ref="L77" si="55">K77+0.08</f>
        <v>0.52</v>
      </c>
    </row>
    <row r="78" spans="1:73" x14ac:dyDescent="0.25">
      <c r="A78" s="106" t="s">
        <v>105</v>
      </c>
      <c r="B78" s="2">
        <v>0.66</v>
      </c>
      <c r="C78" s="79">
        <v>0.66</v>
      </c>
      <c r="D78" s="80" t="s">
        <v>105</v>
      </c>
      <c r="E78" s="87">
        <f t="shared" ref="E78" si="56">F78-0.11</f>
        <v>0.44000000000000006</v>
      </c>
      <c r="F78" s="111">
        <f t="shared" ref="F78" si="57">C78-0.11</f>
        <v>0.55000000000000004</v>
      </c>
      <c r="G78">
        <f t="shared" ref="G78" si="58">C78+0.11</f>
        <v>0.77</v>
      </c>
      <c r="H78" s="88">
        <v>1</v>
      </c>
      <c r="I78" s="89">
        <f t="shared" ref="I78" si="59">J78-0.08</f>
        <v>0.47000000000000003</v>
      </c>
      <c r="J78">
        <f t="shared" si="54"/>
        <v>0.55000000000000004</v>
      </c>
      <c r="K78">
        <f t="shared" si="54"/>
        <v>0.77</v>
      </c>
      <c r="L78" s="90">
        <v>0.92</v>
      </c>
    </row>
    <row r="79" spans="1:73" ht="15.75" thickBot="1" x14ac:dyDescent="0.3">
      <c r="A79" s="106" t="s">
        <v>104</v>
      </c>
      <c r="B79" s="2">
        <v>1</v>
      </c>
      <c r="C79" s="79">
        <v>1</v>
      </c>
      <c r="D79" s="80" t="s">
        <v>104</v>
      </c>
      <c r="E79" s="91">
        <v>0.77</v>
      </c>
      <c r="F79" s="92">
        <v>1</v>
      </c>
      <c r="G79" s="93">
        <v>1</v>
      </c>
      <c r="H79" s="94">
        <v>1</v>
      </c>
      <c r="I79" s="95">
        <v>0.83</v>
      </c>
      <c r="J79" s="93">
        <f t="shared" si="54"/>
        <v>1</v>
      </c>
      <c r="K79" s="93">
        <f t="shared" si="54"/>
        <v>1</v>
      </c>
      <c r="L79" s="96">
        <v>1</v>
      </c>
    </row>
    <row r="80" spans="1:73" x14ac:dyDescent="0.25">
      <c r="A80" s="99"/>
    </row>
    <row r="81" spans="1:12" x14ac:dyDescent="0.25">
      <c r="A81" s="1" t="s">
        <v>196</v>
      </c>
    </row>
    <row r="82" spans="1:12" ht="15.75" thickBot="1" x14ac:dyDescent="0.3">
      <c r="A82" s="107" t="s">
        <v>103</v>
      </c>
      <c r="B82" s="108" t="s">
        <v>123</v>
      </c>
      <c r="E82" s="112" t="s">
        <v>17</v>
      </c>
      <c r="I82" t="s">
        <v>18</v>
      </c>
    </row>
    <row r="83" spans="1:12" x14ac:dyDescent="0.25">
      <c r="A83" s="106" t="s">
        <v>107</v>
      </c>
      <c r="B83" s="2">
        <v>1</v>
      </c>
      <c r="C83" s="79">
        <v>1</v>
      </c>
      <c r="D83" s="80" t="s">
        <v>107</v>
      </c>
      <c r="E83" s="81">
        <v>0</v>
      </c>
      <c r="F83" s="82">
        <v>0.5</v>
      </c>
      <c r="G83" s="83">
        <v>1.5</v>
      </c>
      <c r="H83" s="84">
        <v>2</v>
      </c>
      <c r="I83" s="85">
        <v>0</v>
      </c>
      <c r="J83" s="83">
        <f>F83</f>
        <v>0.5</v>
      </c>
      <c r="K83" s="83">
        <f>G83</f>
        <v>1.5</v>
      </c>
      <c r="L83" s="86">
        <v>1.8</v>
      </c>
    </row>
    <row r="84" spans="1:12" x14ac:dyDescent="0.25">
      <c r="A84" s="106" t="s">
        <v>106</v>
      </c>
      <c r="B84" s="2">
        <v>2.5</v>
      </c>
      <c r="C84" s="79">
        <v>2.5</v>
      </c>
      <c r="D84" s="80" t="s">
        <v>106</v>
      </c>
      <c r="E84" s="87">
        <v>1.5</v>
      </c>
      <c r="F84" s="111">
        <f>C84-0.5</f>
        <v>2</v>
      </c>
      <c r="G84">
        <f>C84+0.5</f>
        <v>3</v>
      </c>
      <c r="H84" s="88">
        <f t="shared" ref="H84:H86" si="60">G84+1.5</f>
        <v>4.5</v>
      </c>
      <c r="I84" s="89">
        <v>1.7</v>
      </c>
      <c r="J84">
        <f t="shared" ref="J84:K86" si="61">F84</f>
        <v>2</v>
      </c>
      <c r="K84">
        <f t="shared" si="61"/>
        <v>3</v>
      </c>
      <c r="L84" s="90">
        <f t="shared" ref="L84:L86" si="62">K84+1</f>
        <v>4</v>
      </c>
    </row>
    <row r="85" spans="1:12" x14ac:dyDescent="0.25">
      <c r="A85" s="106" t="s">
        <v>105</v>
      </c>
      <c r="B85" s="2">
        <v>5</v>
      </c>
      <c r="C85" s="79">
        <v>5</v>
      </c>
      <c r="D85" s="80" t="s">
        <v>105</v>
      </c>
      <c r="E85" s="87">
        <f t="shared" ref="E85:E86" si="63">F85-1.5</f>
        <v>3</v>
      </c>
      <c r="F85" s="111">
        <f>C85-0.5</f>
        <v>4.5</v>
      </c>
      <c r="G85">
        <f>C85+0.5</f>
        <v>5.5</v>
      </c>
      <c r="H85" s="88">
        <f t="shared" si="60"/>
        <v>7</v>
      </c>
      <c r="I85" s="89">
        <f t="shared" ref="I85:I86" si="64">J85-1</f>
        <v>3.5</v>
      </c>
      <c r="J85">
        <f t="shared" si="61"/>
        <v>4.5</v>
      </c>
      <c r="K85">
        <f t="shared" si="61"/>
        <v>5.5</v>
      </c>
      <c r="L85" s="90">
        <f t="shared" si="62"/>
        <v>6.5</v>
      </c>
    </row>
    <row r="86" spans="1:12" ht="15.75" thickBot="1" x14ac:dyDescent="0.3">
      <c r="A86" s="106" t="s">
        <v>104</v>
      </c>
      <c r="B86" s="2">
        <v>7.5</v>
      </c>
      <c r="C86" s="79">
        <v>7.5</v>
      </c>
      <c r="D86" s="80" t="s">
        <v>104</v>
      </c>
      <c r="E86" s="91">
        <f t="shared" si="63"/>
        <v>5.5</v>
      </c>
      <c r="F86" s="92">
        <f>C86-0.5</f>
        <v>7</v>
      </c>
      <c r="G86" s="93">
        <f>C86+0.5</f>
        <v>8</v>
      </c>
      <c r="H86" s="94">
        <f t="shared" si="60"/>
        <v>9.5</v>
      </c>
      <c r="I86" s="95">
        <f t="shared" si="64"/>
        <v>6</v>
      </c>
      <c r="J86" s="93">
        <f t="shared" si="61"/>
        <v>7</v>
      </c>
      <c r="K86" s="93">
        <f t="shared" si="61"/>
        <v>8</v>
      </c>
      <c r="L86" s="96">
        <f t="shared" si="62"/>
        <v>9</v>
      </c>
    </row>
    <row r="88" spans="1:12" ht="15.75" thickBot="1" x14ac:dyDescent="0.3">
      <c r="A88" s="1" t="s">
        <v>197</v>
      </c>
    </row>
    <row r="89" spans="1:12" ht="67.5" customHeight="1" thickBot="1" x14ac:dyDescent="0.3">
      <c r="A89" s="114" t="s">
        <v>117</v>
      </c>
      <c r="B89" s="113" t="s">
        <v>99</v>
      </c>
      <c r="C89" s="115" t="s">
        <v>108</v>
      </c>
      <c r="D89" s="116" t="s">
        <v>198</v>
      </c>
      <c r="E89" s="283" t="s">
        <v>126</v>
      </c>
      <c r="F89" s="284"/>
      <c r="G89" s="284"/>
      <c r="H89" s="284"/>
      <c r="I89" s="284"/>
      <c r="J89" s="284"/>
      <c r="K89" s="284"/>
      <c r="L89" s="285"/>
    </row>
    <row r="90" spans="1:12" x14ac:dyDescent="0.25">
      <c r="A90" s="125" t="s">
        <v>114</v>
      </c>
      <c r="B90" s="117" t="s">
        <v>100</v>
      </c>
      <c r="C90" s="118" t="s">
        <v>104</v>
      </c>
      <c r="D90" s="150">
        <v>7.5</v>
      </c>
      <c r="E90" s="87">
        <v>5.5</v>
      </c>
      <c r="F90" s="111">
        <v>7</v>
      </c>
      <c r="G90">
        <v>8</v>
      </c>
      <c r="H90" s="88">
        <v>9.5</v>
      </c>
      <c r="I90" s="89">
        <v>6</v>
      </c>
      <c r="J90">
        <v>7</v>
      </c>
      <c r="K90">
        <v>8</v>
      </c>
      <c r="L90" s="90">
        <v>9</v>
      </c>
    </row>
    <row r="91" spans="1:12" x14ac:dyDescent="0.25">
      <c r="A91" s="126" t="s">
        <v>115</v>
      </c>
      <c r="B91" s="104" t="s">
        <v>101</v>
      </c>
      <c r="C91" s="2" t="s">
        <v>104</v>
      </c>
      <c r="D91" s="150">
        <v>7.5</v>
      </c>
      <c r="E91" s="87">
        <v>5.5</v>
      </c>
      <c r="F91" s="111">
        <v>7</v>
      </c>
      <c r="G91">
        <v>8</v>
      </c>
      <c r="H91" s="88">
        <v>9.5</v>
      </c>
      <c r="I91" s="89">
        <v>6</v>
      </c>
      <c r="J91">
        <v>7</v>
      </c>
      <c r="K91">
        <v>8</v>
      </c>
      <c r="L91" s="90">
        <v>9</v>
      </c>
    </row>
    <row r="92" spans="1:12" ht="15.75" thickBot="1" x14ac:dyDescent="0.3">
      <c r="A92" s="127" t="s">
        <v>116</v>
      </c>
      <c r="B92" s="119" t="s">
        <v>102</v>
      </c>
      <c r="C92" s="120" t="s">
        <v>105</v>
      </c>
      <c r="D92" s="150">
        <v>5</v>
      </c>
      <c r="E92" s="91">
        <v>3</v>
      </c>
      <c r="F92" s="92">
        <v>4.5</v>
      </c>
      <c r="G92" s="93">
        <v>5.5</v>
      </c>
      <c r="H92" s="94">
        <v>7</v>
      </c>
      <c r="I92" s="95">
        <v>3.5</v>
      </c>
      <c r="J92" s="93">
        <v>4.5</v>
      </c>
      <c r="K92" s="93">
        <v>5.5</v>
      </c>
      <c r="L92" s="96">
        <v>6.5</v>
      </c>
    </row>
    <row r="94" spans="1:12" ht="15.75" thickBot="1" x14ac:dyDescent="0.3">
      <c r="A94" s="1" t="s">
        <v>199</v>
      </c>
    </row>
    <row r="95" spans="1:12" ht="30.75" thickBot="1" x14ac:dyDescent="0.3">
      <c r="A95" s="128" t="s">
        <v>132</v>
      </c>
      <c r="B95" s="129" t="s">
        <v>133</v>
      </c>
      <c r="E95" s="283" t="s">
        <v>134</v>
      </c>
      <c r="F95" s="284"/>
      <c r="G95" s="284"/>
      <c r="H95" s="284"/>
      <c r="I95" s="284"/>
      <c r="J95" s="284"/>
      <c r="K95" s="284"/>
      <c r="L95" s="285"/>
    </row>
    <row r="96" spans="1:12" x14ac:dyDescent="0.25">
      <c r="A96" s="125" t="s">
        <v>129</v>
      </c>
      <c r="B96" s="130" t="s">
        <v>107</v>
      </c>
      <c r="D96" s="133" t="s">
        <v>138</v>
      </c>
      <c r="E96" s="81">
        <f>E76*F$90+E$90*F76-F76*F$90</f>
        <v>0</v>
      </c>
      <c r="F96" s="83">
        <f>F76*F$90</f>
        <v>0</v>
      </c>
      <c r="G96" s="83">
        <f>G76*G$90</f>
        <v>0</v>
      </c>
      <c r="H96" s="84">
        <f>G76*H$90+G$90*H76-G76*G$90</f>
        <v>1.76</v>
      </c>
      <c r="I96" s="81">
        <f>I76*J$90+I$90*J76-J76*J$90</f>
        <v>0</v>
      </c>
      <c r="J96" s="83">
        <f>J76*J$90</f>
        <v>0</v>
      </c>
      <c r="K96" s="83">
        <f>K76*K$90</f>
        <v>0</v>
      </c>
      <c r="L96" s="84">
        <f>K76*L$90+K$90*L76-K76*K$90</f>
        <v>1.2</v>
      </c>
    </row>
    <row r="97" spans="1:67" x14ac:dyDescent="0.25">
      <c r="A97" s="126" t="s">
        <v>129</v>
      </c>
      <c r="B97" s="131" t="s">
        <v>106</v>
      </c>
      <c r="D97" s="134" t="s">
        <v>137</v>
      </c>
      <c r="E97" s="202">
        <f>IF(E77*F$90+E$90*F77-F77*F$90&lt;0,0,E77*F$90+E$90*F77-F77*F$90)</f>
        <v>0</v>
      </c>
      <c r="F97" s="179">
        <f t="shared" ref="F97:G99" si="65">F77*F$90</f>
        <v>1.5400000000000003</v>
      </c>
      <c r="G97" s="179">
        <f t="shared" si="65"/>
        <v>3.52</v>
      </c>
      <c r="H97" s="188">
        <f t="shared" ref="H97:H99" si="66">G77*H$90+G$90*H77-G77*G$90</f>
        <v>5.0600000000000005</v>
      </c>
      <c r="I97" s="187">
        <f t="shared" ref="I97:I99" si="67">I77*J$90+I$90*J77-J77*J$90</f>
        <v>0.19999999999999996</v>
      </c>
      <c r="J97" s="179">
        <f t="shared" ref="J97:K99" si="68">J77*J$90</f>
        <v>1.5400000000000003</v>
      </c>
      <c r="K97" s="179">
        <f t="shared" si="68"/>
        <v>3.52</v>
      </c>
      <c r="L97" s="188">
        <f t="shared" ref="L97:L99" si="69">K77*L$90+K$90*L77-K77*K$90</f>
        <v>4.6000000000000014</v>
      </c>
    </row>
    <row r="98" spans="1:67" x14ac:dyDescent="0.25">
      <c r="A98" s="126" t="s">
        <v>129</v>
      </c>
      <c r="B98" s="131" t="s">
        <v>105</v>
      </c>
      <c r="D98" s="134" t="s">
        <v>136</v>
      </c>
      <c r="E98" s="87">
        <f t="shared" ref="E98:E99" si="70">E78*F$90+E$90*F78-F78*F$90</f>
        <v>2.2549999999999999</v>
      </c>
      <c r="F98">
        <f t="shared" si="65"/>
        <v>3.8500000000000005</v>
      </c>
      <c r="G98">
        <f t="shared" si="65"/>
        <v>6.16</v>
      </c>
      <c r="H98" s="88">
        <f t="shared" si="66"/>
        <v>9.1550000000000011</v>
      </c>
      <c r="I98" s="87">
        <f t="shared" si="67"/>
        <v>2.7399999999999993</v>
      </c>
      <c r="J98">
        <f t="shared" si="68"/>
        <v>3.8500000000000005</v>
      </c>
      <c r="K98">
        <f t="shared" si="68"/>
        <v>6.16</v>
      </c>
      <c r="L98" s="88">
        <f t="shared" si="69"/>
        <v>8.129999999999999</v>
      </c>
    </row>
    <row r="99" spans="1:67" ht="15.75" thickBot="1" x14ac:dyDescent="0.3">
      <c r="A99" s="127" t="s">
        <v>129</v>
      </c>
      <c r="B99" s="132" t="s">
        <v>104</v>
      </c>
      <c r="D99" s="135" t="s">
        <v>135</v>
      </c>
      <c r="E99" s="91">
        <f t="shared" si="70"/>
        <v>3.8900000000000006</v>
      </c>
      <c r="F99" s="93">
        <f t="shared" si="65"/>
        <v>7</v>
      </c>
      <c r="G99" s="93">
        <f t="shared" si="65"/>
        <v>8</v>
      </c>
      <c r="H99" s="94">
        <f t="shared" si="66"/>
        <v>9.5</v>
      </c>
      <c r="I99" s="91">
        <f t="shared" si="67"/>
        <v>4.8099999999999987</v>
      </c>
      <c r="J99" s="93">
        <f t="shared" si="68"/>
        <v>7</v>
      </c>
      <c r="K99" s="93">
        <f t="shared" si="68"/>
        <v>8</v>
      </c>
      <c r="L99" s="94">
        <f t="shared" si="69"/>
        <v>9</v>
      </c>
    </row>
    <row r="100" spans="1:67" x14ac:dyDescent="0.25">
      <c r="A100" s="125" t="s">
        <v>130</v>
      </c>
      <c r="B100" s="130" t="s">
        <v>107</v>
      </c>
      <c r="D100" s="133" t="s">
        <v>139</v>
      </c>
      <c r="E100" s="81">
        <f>E76*F$91+E$91*F76-F76*F$91</f>
        <v>0</v>
      </c>
      <c r="F100" s="83">
        <f>F76*F$91</f>
        <v>0</v>
      </c>
      <c r="G100" s="83">
        <f>G76*G$91</f>
        <v>0</v>
      </c>
      <c r="H100" s="84">
        <f>G76*H$91+G$91*H76-G76*G$91</f>
        <v>1.76</v>
      </c>
      <c r="I100" s="81">
        <f>I76*J$91+I$91*J76-J76*J$91</f>
        <v>0</v>
      </c>
      <c r="J100" s="83">
        <f>J76*J$91</f>
        <v>0</v>
      </c>
      <c r="K100" s="83">
        <f>K76*K$91</f>
        <v>0</v>
      </c>
      <c r="L100" s="84">
        <f>K76*L$91+K$91*L76-K76*K$91</f>
        <v>1.2</v>
      </c>
    </row>
    <row r="101" spans="1:67" x14ac:dyDescent="0.25">
      <c r="A101" s="126" t="s">
        <v>130</v>
      </c>
      <c r="B101" s="131" t="s">
        <v>106</v>
      </c>
      <c r="D101" s="134" t="s">
        <v>144</v>
      </c>
      <c r="E101" s="202">
        <f>IF(E77*F$91+E$91*F77-F77*F$91&lt;0,0,E77*F$91+E$91*F77-F77*F$91)</f>
        <v>0</v>
      </c>
      <c r="F101" s="179">
        <f t="shared" ref="F101:G103" si="71">F77*F$91</f>
        <v>1.5400000000000003</v>
      </c>
      <c r="G101" s="179">
        <f t="shared" si="71"/>
        <v>3.52</v>
      </c>
      <c r="H101" s="188">
        <f t="shared" ref="H101:H103" si="72">G77*H$91+G$91*H77-G77*G$91</f>
        <v>5.0600000000000005</v>
      </c>
      <c r="I101" s="187">
        <f t="shared" ref="I101:I103" si="73">I77*J$91+I$91*J77-J77*J$91</f>
        <v>0.19999999999999996</v>
      </c>
      <c r="J101" s="179">
        <f t="shared" ref="J101:K103" si="74">J77*J$91</f>
        <v>1.5400000000000003</v>
      </c>
      <c r="K101" s="179">
        <f t="shared" si="74"/>
        <v>3.52</v>
      </c>
      <c r="L101" s="188">
        <f t="shared" ref="L101:L103" si="75">K77*L$91+K$91*L77-K77*K$91</f>
        <v>4.6000000000000014</v>
      </c>
    </row>
    <row r="102" spans="1:67" x14ac:dyDescent="0.25">
      <c r="A102" s="126" t="s">
        <v>130</v>
      </c>
      <c r="B102" s="131" t="s">
        <v>105</v>
      </c>
      <c r="D102" s="134" t="s">
        <v>145</v>
      </c>
      <c r="E102" s="87">
        <f t="shared" ref="E102:E103" si="76">E78*F$91+E$91*F78-F78*F$91</f>
        <v>2.2549999999999999</v>
      </c>
      <c r="F102">
        <f t="shared" si="71"/>
        <v>3.8500000000000005</v>
      </c>
      <c r="G102">
        <f t="shared" si="71"/>
        <v>6.16</v>
      </c>
      <c r="H102" s="88">
        <f t="shared" si="72"/>
        <v>9.1550000000000011</v>
      </c>
      <c r="I102" s="87">
        <f t="shared" si="73"/>
        <v>2.7399999999999993</v>
      </c>
      <c r="J102">
        <f t="shared" si="74"/>
        <v>3.8500000000000005</v>
      </c>
      <c r="K102">
        <f t="shared" si="74"/>
        <v>6.16</v>
      </c>
      <c r="L102" s="88">
        <f t="shared" si="75"/>
        <v>8.129999999999999</v>
      </c>
    </row>
    <row r="103" spans="1:67" ht="15.75" thickBot="1" x14ac:dyDescent="0.3">
      <c r="A103" s="127" t="s">
        <v>130</v>
      </c>
      <c r="B103" s="132" t="s">
        <v>104</v>
      </c>
      <c r="D103" s="135" t="s">
        <v>146</v>
      </c>
      <c r="E103" s="91">
        <f t="shared" si="76"/>
        <v>3.8900000000000006</v>
      </c>
      <c r="F103" s="93">
        <f t="shared" si="71"/>
        <v>7</v>
      </c>
      <c r="G103" s="93">
        <f t="shared" si="71"/>
        <v>8</v>
      </c>
      <c r="H103" s="94">
        <f t="shared" si="72"/>
        <v>9.5</v>
      </c>
      <c r="I103" s="91">
        <f t="shared" si="73"/>
        <v>4.8099999999999987</v>
      </c>
      <c r="J103" s="93">
        <f t="shared" si="74"/>
        <v>7</v>
      </c>
      <c r="K103" s="93">
        <f t="shared" si="74"/>
        <v>8</v>
      </c>
      <c r="L103" s="94">
        <f t="shared" si="75"/>
        <v>9</v>
      </c>
    </row>
    <row r="104" spans="1:67" x14ac:dyDescent="0.25">
      <c r="A104" s="125" t="s">
        <v>131</v>
      </c>
      <c r="B104" s="130" t="s">
        <v>107</v>
      </c>
      <c r="D104" s="133" t="s">
        <v>141</v>
      </c>
      <c r="E104" s="81">
        <f>E76*F$92+E$92*F76-F76*F$92</f>
        <v>0</v>
      </c>
      <c r="F104" s="83">
        <f>F76*F$92</f>
        <v>0</v>
      </c>
      <c r="G104" s="83">
        <f>G76*G$92</f>
        <v>0</v>
      </c>
      <c r="H104" s="84">
        <f>G76*H$92+G$92*H76-G76*G$92</f>
        <v>1.21</v>
      </c>
      <c r="I104" s="81">
        <f>I76*J$92+I$92*J76-J76*J$92</f>
        <v>0</v>
      </c>
      <c r="J104" s="83">
        <f>J76*J$92</f>
        <v>0</v>
      </c>
      <c r="K104" s="83">
        <f>K76*K$92</f>
        <v>0</v>
      </c>
      <c r="L104" s="84">
        <f>K76*L$92+K$92*L76-K76*K$92</f>
        <v>0.82499999999999996</v>
      </c>
    </row>
    <row r="105" spans="1:67" x14ac:dyDescent="0.25">
      <c r="A105" s="126" t="s">
        <v>131</v>
      </c>
      <c r="B105" s="131" t="s">
        <v>106</v>
      </c>
      <c r="D105" s="134" t="s">
        <v>140</v>
      </c>
      <c r="E105" s="202">
        <f>IF(E77*F$92+E$92*F77-F77*F$92&lt;0,0,E77*F$92+E$92*F77-F77*F$92)</f>
        <v>0</v>
      </c>
      <c r="F105" s="179">
        <f t="shared" ref="F105:G107" si="77">F77*F$92</f>
        <v>0.9900000000000001</v>
      </c>
      <c r="G105" s="179">
        <f t="shared" si="77"/>
        <v>2.42</v>
      </c>
      <c r="H105" s="188">
        <f t="shared" ref="H105:H107" si="78">G77*H$92+G$92*H77-G77*G$92</f>
        <v>3.6850000000000005</v>
      </c>
      <c r="I105" s="187">
        <f t="shared" ref="I105:I107" si="79">I77*J$92+I$92*J77-J77*J$92</f>
        <v>4.9999999999999933E-2</v>
      </c>
      <c r="J105" s="179">
        <f t="shared" ref="J105:K107" si="80">J77*J$92</f>
        <v>0.9900000000000001</v>
      </c>
      <c r="K105" s="179">
        <f t="shared" si="80"/>
        <v>2.42</v>
      </c>
      <c r="L105" s="188">
        <f t="shared" ref="L105:L107" si="81">K77*L$92+K$92*L77-K77*K$92</f>
        <v>3.3000000000000007</v>
      </c>
    </row>
    <row r="106" spans="1:67" x14ac:dyDescent="0.25">
      <c r="A106" s="126" t="s">
        <v>131</v>
      </c>
      <c r="B106" s="131" t="s">
        <v>105</v>
      </c>
      <c r="D106" s="134" t="s">
        <v>142</v>
      </c>
      <c r="E106" s="87">
        <f t="shared" ref="E106:E107" si="82">E78*F$92+E$92*F78-F78*F$92</f>
        <v>1.1550000000000002</v>
      </c>
      <c r="F106">
        <f t="shared" si="77"/>
        <v>2.4750000000000001</v>
      </c>
      <c r="G106">
        <f t="shared" si="77"/>
        <v>4.2350000000000003</v>
      </c>
      <c r="H106" s="88">
        <f t="shared" si="78"/>
        <v>6.6550000000000002</v>
      </c>
      <c r="I106" s="87">
        <f t="shared" si="79"/>
        <v>1.5650000000000008</v>
      </c>
      <c r="J106">
        <f t="shared" si="80"/>
        <v>2.4750000000000001</v>
      </c>
      <c r="K106">
        <f t="shared" si="80"/>
        <v>4.2350000000000003</v>
      </c>
      <c r="L106" s="88">
        <f t="shared" si="81"/>
        <v>5.830000000000001</v>
      </c>
    </row>
    <row r="107" spans="1:67" ht="15.75" thickBot="1" x14ac:dyDescent="0.3">
      <c r="A107" s="127" t="s">
        <v>131</v>
      </c>
      <c r="B107" s="132" t="s">
        <v>104</v>
      </c>
      <c r="D107" s="135" t="s">
        <v>143</v>
      </c>
      <c r="E107" s="91">
        <f t="shared" si="82"/>
        <v>1.9649999999999999</v>
      </c>
      <c r="F107" s="93">
        <f t="shared" si="77"/>
        <v>4.5</v>
      </c>
      <c r="G107" s="93">
        <f t="shared" si="77"/>
        <v>5.5</v>
      </c>
      <c r="H107" s="94">
        <f t="shared" si="78"/>
        <v>7</v>
      </c>
      <c r="I107" s="91">
        <f t="shared" si="79"/>
        <v>2.7349999999999994</v>
      </c>
      <c r="J107" s="93">
        <f t="shared" si="80"/>
        <v>4.5</v>
      </c>
      <c r="K107" s="93">
        <f t="shared" si="80"/>
        <v>5.5</v>
      </c>
      <c r="L107" s="94">
        <f t="shared" si="81"/>
        <v>6.5</v>
      </c>
    </row>
    <row r="110" spans="1:67" ht="18.75" x14ac:dyDescent="0.3">
      <c r="A110" s="149" t="s">
        <v>162</v>
      </c>
      <c r="B110" s="99"/>
      <c r="C110" s="99"/>
    </row>
    <row r="111" spans="1:67" x14ac:dyDescent="0.25">
      <c r="A111" s="1" t="s">
        <v>110</v>
      </c>
      <c r="B111" s="99"/>
      <c r="C111" s="99"/>
    </row>
    <row r="112" spans="1:67" ht="15.75" thickBot="1" x14ac:dyDescent="0.3">
      <c r="A112" s="100" t="s">
        <v>169</v>
      </c>
      <c r="B112" s="99"/>
      <c r="C112" s="99"/>
      <c r="BO112">
        <v>0.8</v>
      </c>
    </row>
    <row r="113" spans="1:73" ht="86.25" customHeight="1" thickBot="1" x14ac:dyDescent="0.3">
      <c r="A113" s="273" t="s">
        <v>85</v>
      </c>
      <c r="B113" s="273" t="s">
        <v>86</v>
      </c>
      <c r="C113" s="277" t="s">
        <v>87</v>
      </c>
      <c r="D113" s="278" t="s">
        <v>127</v>
      </c>
      <c r="E113" s="279"/>
      <c r="F113" s="279"/>
      <c r="G113" s="279" t="s">
        <v>128</v>
      </c>
      <c r="H113" s="279"/>
      <c r="I113" s="279"/>
      <c r="J113" s="286" t="s">
        <v>157</v>
      </c>
      <c r="K113" s="280" t="s">
        <v>150</v>
      </c>
      <c r="L113" s="281"/>
      <c r="M113" s="281"/>
      <c r="N113" s="281"/>
      <c r="O113" s="281"/>
      <c r="P113" s="281"/>
      <c r="Q113" s="281"/>
      <c r="R113" s="282"/>
      <c r="S113" s="280" t="s">
        <v>148</v>
      </c>
      <c r="T113" s="281"/>
      <c r="U113" s="281"/>
      <c r="V113" s="281"/>
      <c r="W113" s="281"/>
      <c r="X113" s="281"/>
      <c r="Y113" s="281"/>
      <c r="Z113" s="282"/>
      <c r="AA113" s="280" t="s">
        <v>149</v>
      </c>
      <c r="AB113" s="281"/>
      <c r="AC113" s="281"/>
      <c r="AD113" s="281"/>
      <c r="AE113" s="281"/>
      <c r="AF113" s="281"/>
      <c r="AG113" s="281"/>
      <c r="AH113" s="282"/>
      <c r="AI113" s="280" t="s">
        <v>147</v>
      </c>
      <c r="AJ113" s="281"/>
      <c r="AK113" s="281"/>
      <c r="AL113" s="281"/>
      <c r="AM113" s="281"/>
      <c r="AN113" s="281"/>
      <c r="AO113" s="281"/>
      <c r="AP113" s="282"/>
      <c r="AQ113" s="280" t="s">
        <v>158</v>
      </c>
      <c r="AR113" s="281"/>
      <c r="AS113" s="281"/>
      <c r="AT113" s="281"/>
      <c r="AU113" s="281"/>
      <c r="AV113" s="281"/>
      <c r="AW113" s="281"/>
      <c r="AX113" s="282"/>
      <c r="AY113" s="280" t="s">
        <v>159</v>
      </c>
      <c r="AZ113" s="281"/>
      <c r="BA113" s="281"/>
      <c r="BB113" s="281"/>
      <c r="BC113" s="281"/>
      <c r="BD113" s="281"/>
      <c r="BE113" s="281"/>
      <c r="BF113" s="282"/>
      <c r="BG113" s="280" t="s">
        <v>205</v>
      </c>
      <c r="BH113" s="281"/>
      <c r="BI113" s="281"/>
      <c r="BJ113" s="281"/>
      <c r="BK113" s="281"/>
      <c r="BL113" s="281"/>
      <c r="BM113" s="281"/>
      <c r="BN113" s="282"/>
      <c r="BO113" s="292" t="s">
        <v>151</v>
      </c>
      <c r="BP113" s="293"/>
      <c r="BQ113" s="293"/>
      <c r="BR113" s="294"/>
      <c r="BS113" s="288" t="s">
        <v>153</v>
      </c>
      <c r="BT113" s="289"/>
      <c r="BU113" s="290" t="s">
        <v>156</v>
      </c>
    </row>
    <row r="114" spans="1:73" s="97" customFormat="1" ht="23.25" customHeight="1" thickBot="1" x14ac:dyDescent="0.3">
      <c r="A114" s="273"/>
      <c r="B114" s="273"/>
      <c r="C114" s="277"/>
      <c r="D114" s="122" t="s">
        <v>114</v>
      </c>
      <c r="E114" s="107" t="s">
        <v>115</v>
      </c>
      <c r="F114" s="107" t="s">
        <v>116</v>
      </c>
      <c r="G114" s="107" t="s">
        <v>114</v>
      </c>
      <c r="H114" s="107" t="s">
        <v>115</v>
      </c>
      <c r="I114" s="107" t="s">
        <v>116</v>
      </c>
      <c r="J114" s="287"/>
      <c r="K114" s="280" t="s">
        <v>17</v>
      </c>
      <c r="L114" s="281"/>
      <c r="M114" s="281"/>
      <c r="N114" s="282"/>
      <c r="O114" s="280" t="s">
        <v>18</v>
      </c>
      <c r="P114" s="281"/>
      <c r="Q114" s="281"/>
      <c r="R114" s="282"/>
      <c r="S114" s="280" t="s">
        <v>17</v>
      </c>
      <c r="T114" s="281"/>
      <c r="U114" s="281"/>
      <c r="V114" s="282"/>
      <c r="W114" s="280" t="s">
        <v>18</v>
      </c>
      <c r="X114" s="281"/>
      <c r="Y114" s="281"/>
      <c r="Z114" s="282"/>
      <c r="AA114" s="280" t="s">
        <v>17</v>
      </c>
      <c r="AB114" s="281"/>
      <c r="AC114" s="281"/>
      <c r="AD114" s="282"/>
      <c r="AE114" s="280" t="s">
        <v>18</v>
      </c>
      <c r="AF114" s="281"/>
      <c r="AG114" s="281"/>
      <c r="AH114" s="282"/>
      <c r="AI114" s="280" t="s">
        <v>17</v>
      </c>
      <c r="AJ114" s="281"/>
      <c r="AK114" s="281"/>
      <c r="AL114" s="282"/>
      <c r="AM114" s="280" t="s">
        <v>18</v>
      </c>
      <c r="AN114" s="281"/>
      <c r="AO114" s="281"/>
      <c r="AP114" s="282"/>
      <c r="AQ114" s="280" t="s">
        <v>17</v>
      </c>
      <c r="AR114" s="281"/>
      <c r="AS114" s="281"/>
      <c r="AT114" s="282"/>
      <c r="AU114" s="280" t="s">
        <v>18</v>
      </c>
      <c r="AV114" s="281"/>
      <c r="AW114" s="281"/>
      <c r="AX114" s="282"/>
      <c r="AY114" s="280" t="s">
        <v>17</v>
      </c>
      <c r="AZ114" s="281"/>
      <c r="BA114" s="281"/>
      <c r="BB114" s="282"/>
      <c r="BC114" s="280" t="s">
        <v>18</v>
      </c>
      <c r="BD114" s="281"/>
      <c r="BE114" s="281"/>
      <c r="BF114" s="282"/>
      <c r="BG114" s="280" t="s">
        <v>17</v>
      </c>
      <c r="BH114" s="281"/>
      <c r="BI114" s="281"/>
      <c r="BJ114" s="282"/>
      <c r="BK114" s="280" t="s">
        <v>18</v>
      </c>
      <c r="BL114" s="281"/>
      <c r="BM114" s="281"/>
      <c r="BN114" s="282"/>
      <c r="BO114" s="295" t="s">
        <v>152</v>
      </c>
      <c r="BP114" s="296"/>
      <c r="BQ114" s="295" t="s">
        <v>26</v>
      </c>
      <c r="BR114" s="297"/>
      <c r="BS114" s="145" t="s">
        <v>154</v>
      </c>
      <c r="BT114" s="145" t="s">
        <v>155</v>
      </c>
      <c r="BU114" s="291"/>
    </row>
    <row r="115" spans="1:73" ht="30" x14ac:dyDescent="0.25">
      <c r="A115" s="102" t="s">
        <v>8</v>
      </c>
      <c r="B115" s="102" t="s">
        <v>84</v>
      </c>
      <c r="C115" s="121" t="s">
        <v>72</v>
      </c>
      <c r="D115" s="156" t="s">
        <v>106</v>
      </c>
      <c r="E115" s="156" t="s">
        <v>105</v>
      </c>
      <c r="F115" s="156" t="s">
        <v>104</v>
      </c>
      <c r="G115" s="110">
        <f>IF(D115=$A$128,$B$128,(IF(D115=$A$129,$B$129,IF(D115=$A$130,$B$130,$B$131))))</f>
        <v>0.33</v>
      </c>
      <c r="H115" s="110">
        <f t="shared" ref="H115:I124" si="83">IF(E115=$A$128,$B$128,(IF(E115=$A$129,$B$129,IF(E115=$A$130,$B$130,$B$131))))</f>
        <v>0.66</v>
      </c>
      <c r="I115" s="110">
        <f t="shared" si="83"/>
        <v>1</v>
      </c>
      <c r="J115" s="147">
        <f>G115*$D$142+H115*$D$143+I115*$D$144</f>
        <v>11.625</v>
      </c>
      <c r="K115" s="81">
        <v>0</v>
      </c>
      <c r="L115" s="83">
        <v>0.22000000000000003</v>
      </c>
      <c r="M115" s="83">
        <v>0.44</v>
      </c>
      <c r="N115" s="84">
        <v>0.55000000000000004</v>
      </c>
      <c r="O115" s="81">
        <v>0.06</v>
      </c>
      <c r="P115" s="83">
        <v>0.22000000000000003</v>
      </c>
      <c r="Q115" s="83">
        <v>0.44</v>
      </c>
      <c r="R115" s="84">
        <v>0.52</v>
      </c>
      <c r="S115" s="81">
        <v>0.44000000000000006</v>
      </c>
      <c r="T115" s="83">
        <v>0.55000000000000004</v>
      </c>
      <c r="U115" s="83">
        <v>0.77</v>
      </c>
      <c r="V115" s="84">
        <v>1</v>
      </c>
      <c r="W115" s="81">
        <v>0.47000000000000003</v>
      </c>
      <c r="X115" s="83">
        <v>0.55000000000000004</v>
      </c>
      <c r="Y115" s="83">
        <v>0.77</v>
      </c>
      <c r="Z115" s="84">
        <v>0.92</v>
      </c>
      <c r="AA115" s="81">
        <v>0.77</v>
      </c>
      <c r="AB115" s="83">
        <v>1</v>
      </c>
      <c r="AC115" s="83">
        <v>1</v>
      </c>
      <c r="AD115" s="84">
        <v>1</v>
      </c>
      <c r="AE115" s="81">
        <v>0.83</v>
      </c>
      <c r="AF115" s="83">
        <v>1</v>
      </c>
      <c r="AG115" s="83">
        <v>1</v>
      </c>
      <c r="AH115" s="84">
        <v>1</v>
      </c>
      <c r="AI115" s="185">
        <v>0</v>
      </c>
      <c r="AJ115" s="200">
        <v>0.44000000000000006</v>
      </c>
      <c r="AK115" s="200">
        <v>1.32</v>
      </c>
      <c r="AL115" s="186">
        <v>2.3099999999999996</v>
      </c>
      <c r="AM115" s="185">
        <v>5.3999999999999992E-2</v>
      </c>
      <c r="AN115" s="200">
        <v>0.44000000000000006</v>
      </c>
      <c r="AO115" s="200">
        <v>1.32</v>
      </c>
      <c r="AP115" s="186">
        <v>2</v>
      </c>
      <c r="AQ115" s="81">
        <v>1.1550000000000002</v>
      </c>
      <c r="AR115" s="83">
        <v>2.4750000000000001</v>
      </c>
      <c r="AS115" s="83">
        <v>4.2350000000000003</v>
      </c>
      <c r="AT115" s="83">
        <v>6.6550000000000002</v>
      </c>
      <c r="AU115" s="81">
        <v>1.5650000000000008</v>
      </c>
      <c r="AV115" s="83">
        <v>2.4750000000000001</v>
      </c>
      <c r="AW115" s="83">
        <v>4.2350000000000003</v>
      </c>
      <c r="AX115" s="84">
        <v>5.830000000000001</v>
      </c>
      <c r="AY115" s="81">
        <v>3.8900000000000006</v>
      </c>
      <c r="AZ115" s="83">
        <v>7</v>
      </c>
      <c r="BA115" s="83">
        <v>8</v>
      </c>
      <c r="BB115" s="83">
        <v>9.5</v>
      </c>
      <c r="BC115" s="81">
        <v>4.8099999999999987</v>
      </c>
      <c r="BD115" s="83">
        <v>7</v>
      </c>
      <c r="BE115" s="83">
        <v>8</v>
      </c>
      <c r="BF115" s="84">
        <v>9</v>
      </c>
      <c r="BG115" s="81">
        <f>AI115+AQ115+AY115</f>
        <v>5.0450000000000008</v>
      </c>
      <c r="BH115" s="83">
        <f t="shared" ref="BH115:BN124" si="84">AJ115+AR115+AZ115</f>
        <v>9.9149999999999991</v>
      </c>
      <c r="BI115" s="83">
        <f t="shared" si="84"/>
        <v>13.555</v>
      </c>
      <c r="BJ115" s="83">
        <f t="shared" si="84"/>
        <v>18.465</v>
      </c>
      <c r="BK115" s="81">
        <f t="shared" si="84"/>
        <v>6.4289999999999994</v>
      </c>
      <c r="BL115" s="83">
        <f t="shared" si="84"/>
        <v>9.9149999999999991</v>
      </c>
      <c r="BM115" s="83">
        <f t="shared" si="84"/>
        <v>13.555</v>
      </c>
      <c r="BN115" s="83">
        <f t="shared" si="84"/>
        <v>16.830000000000002</v>
      </c>
      <c r="BO115" s="136">
        <f>BO$8*BH115+(1-BO$8)*BG115</f>
        <v>8.9409999999999989</v>
      </c>
      <c r="BP115" s="142">
        <f>BO$8*BI115+(1-BO$8)*BJ115</f>
        <v>14.537000000000001</v>
      </c>
      <c r="BQ115" s="136">
        <f>BO$8*BL115+(1-BO$8)*BK115</f>
        <v>9.2177999999999987</v>
      </c>
      <c r="BR115" s="137">
        <f>BO$8*BM115+(1-BO$8)*BN115</f>
        <v>14.21</v>
      </c>
      <c r="BS115" s="81">
        <f>(BO115+BP115)/2</f>
        <v>11.739000000000001</v>
      </c>
      <c r="BT115" s="84">
        <f>(BQ115+BR115)/2</f>
        <v>11.713899999999999</v>
      </c>
      <c r="BU115" s="133">
        <f>(BS115+BT115)/2</f>
        <v>11.72645</v>
      </c>
    </row>
    <row r="116" spans="1:73" x14ac:dyDescent="0.25">
      <c r="A116" s="102" t="s">
        <v>9</v>
      </c>
      <c r="B116" s="102" t="s">
        <v>73</v>
      </c>
      <c r="C116" s="121" t="s">
        <v>88</v>
      </c>
      <c r="D116" s="156" t="s">
        <v>105</v>
      </c>
      <c r="E116" s="156" t="s">
        <v>106</v>
      </c>
      <c r="F116" s="156" t="s">
        <v>106</v>
      </c>
      <c r="G116" s="110">
        <f t="shared" ref="G116:G124" si="85">IF(D116=$A$128,$B$128,(IF(D116=$A$129,$B$129,IF(D116=$A$130,$B$130,$B$131))))</f>
        <v>0.66</v>
      </c>
      <c r="H116" s="110">
        <f t="shared" si="83"/>
        <v>0.33</v>
      </c>
      <c r="I116" s="110">
        <f t="shared" si="83"/>
        <v>0.33</v>
      </c>
      <c r="J116" s="147">
        <f t="shared" ref="J116:J124" si="86">G116*$D$142+H116*$D$143+I116*$D$144</f>
        <v>5.7750000000000004</v>
      </c>
      <c r="K116" s="87">
        <v>0.44000000000000006</v>
      </c>
      <c r="L116">
        <v>0.55000000000000004</v>
      </c>
      <c r="M116">
        <v>0.77</v>
      </c>
      <c r="N116" s="88">
        <v>1</v>
      </c>
      <c r="O116" s="87">
        <v>0.47000000000000003</v>
      </c>
      <c r="P116">
        <v>0.55000000000000004</v>
      </c>
      <c r="Q116">
        <v>0.77</v>
      </c>
      <c r="R116" s="88">
        <v>0.92</v>
      </c>
      <c r="S116" s="87">
        <v>0</v>
      </c>
      <c r="T116">
        <v>0.22000000000000003</v>
      </c>
      <c r="U116">
        <v>0.44</v>
      </c>
      <c r="V116" s="88">
        <v>0.55000000000000004</v>
      </c>
      <c r="W116" s="87">
        <v>0.06</v>
      </c>
      <c r="X116">
        <v>0.22000000000000003</v>
      </c>
      <c r="Y116">
        <v>0.44</v>
      </c>
      <c r="Z116" s="88">
        <v>0.52</v>
      </c>
      <c r="AA116" s="87">
        <v>0</v>
      </c>
      <c r="AB116">
        <v>0.22000000000000003</v>
      </c>
      <c r="AC116">
        <v>0.44</v>
      </c>
      <c r="AD116" s="88">
        <v>0.55000000000000004</v>
      </c>
      <c r="AE116" s="87">
        <v>0.06</v>
      </c>
      <c r="AF116">
        <v>0.22000000000000003</v>
      </c>
      <c r="AG116">
        <v>0.44</v>
      </c>
      <c r="AH116" s="88">
        <v>0.52</v>
      </c>
      <c r="AI116" s="87">
        <v>0.60499999999999998</v>
      </c>
      <c r="AJ116">
        <v>1.1000000000000001</v>
      </c>
      <c r="AK116">
        <v>2.31</v>
      </c>
      <c r="AL116" s="88">
        <v>4.1549999999999994</v>
      </c>
      <c r="AM116" s="87">
        <v>0.77499999999999991</v>
      </c>
      <c r="AN116">
        <v>1.1000000000000001</v>
      </c>
      <c r="AO116">
        <v>2.31</v>
      </c>
      <c r="AP116" s="88">
        <v>3.53</v>
      </c>
      <c r="AQ116" s="187">
        <v>0</v>
      </c>
      <c r="AR116" s="179">
        <v>0.9900000000000001</v>
      </c>
      <c r="AS116" s="179">
        <v>2.42</v>
      </c>
      <c r="AT116" s="179">
        <v>3.6850000000000005</v>
      </c>
      <c r="AU116" s="187">
        <v>4.9999999999999933E-2</v>
      </c>
      <c r="AV116" s="179">
        <v>0.9900000000000001</v>
      </c>
      <c r="AW116" s="179">
        <v>2.42</v>
      </c>
      <c r="AX116" s="188">
        <v>3.3000000000000007</v>
      </c>
      <c r="AY116" s="187">
        <v>0</v>
      </c>
      <c r="AZ116" s="179">
        <v>1.5400000000000003</v>
      </c>
      <c r="BA116" s="179">
        <v>3.52</v>
      </c>
      <c r="BB116" s="179">
        <v>5.0600000000000005</v>
      </c>
      <c r="BC116" s="187">
        <v>0.19999999999999996</v>
      </c>
      <c r="BD116" s="179">
        <v>1.5400000000000003</v>
      </c>
      <c r="BE116" s="179">
        <v>3.52</v>
      </c>
      <c r="BF116" s="188">
        <v>4.6000000000000014</v>
      </c>
      <c r="BG116" s="187">
        <f t="shared" ref="BG116:BG124" si="87">AI116+AQ116+AY116</f>
        <v>0.60499999999999998</v>
      </c>
      <c r="BH116" s="179">
        <f t="shared" si="84"/>
        <v>3.6300000000000008</v>
      </c>
      <c r="BI116" s="179">
        <f t="shared" si="84"/>
        <v>8.25</v>
      </c>
      <c r="BJ116" s="179">
        <f t="shared" si="84"/>
        <v>12.9</v>
      </c>
      <c r="BK116" s="187">
        <f t="shared" si="84"/>
        <v>1.0249999999999999</v>
      </c>
      <c r="BL116" s="179">
        <f t="shared" si="84"/>
        <v>3.6300000000000008</v>
      </c>
      <c r="BM116" s="179">
        <f t="shared" si="84"/>
        <v>8.25</v>
      </c>
      <c r="BN116" s="179">
        <f t="shared" si="84"/>
        <v>11.430000000000001</v>
      </c>
      <c r="BO116" s="138">
        <f t="shared" ref="BO116:BO124" si="88">BO$8*BH116+(1-BO$8)*BG116</f>
        <v>3.0250000000000008</v>
      </c>
      <c r="BP116" s="143">
        <f t="shared" ref="BP116:BP124" si="89">BO$8*BI116+(1-BO$8)*BJ116</f>
        <v>9.18</v>
      </c>
      <c r="BQ116" s="138">
        <f t="shared" ref="BQ116:BQ124" si="90">BO$8*BL116+(1-BO$8)*BK116</f>
        <v>3.1090000000000009</v>
      </c>
      <c r="BR116" s="139">
        <f t="shared" ref="BR116:BR124" si="91">BO$8*BM116+(1-BO$8)*BN116</f>
        <v>8.8859999999999992</v>
      </c>
      <c r="BS116" s="87">
        <f t="shared" ref="BS116:BS124" si="92">(BO116+BP116)/2</f>
        <v>6.1025</v>
      </c>
      <c r="BT116" s="88">
        <f t="shared" ref="BT116:BT124" si="93">(BQ116+BR116)/2</f>
        <v>5.9975000000000005</v>
      </c>
      <c r="BU116" s="134">
        <f t="shared" ref="BU116:BU124" si="94">(BS116+BT116)/2</f>
        <v>6.0500000000000007</v>
      </c>
    </row>
    <row r="117" spans="1:73" x14ac:dyDescent="0.25">
      <c r="A117" s="102" t="s">
        <v>10</v>
      </c>
      <c r="B117" s="102" t="s">
        <v>74</v>
      </c>
      <c r="C117" s="121" t="s">
        <v>89</v>
      </c>
      <c r="D117" s="156" t="s">
        <v>105</v>
      </c>
      <c r="E117" s="156" t="s">
        <v>104</v>
      </c>
      <c r="F117" s="156" t="s">
        <v>105</v>
      </c>
      <c r="G117" s="110">
        <f t="shared" si="85"/>
        <v>0.66</v>
      </c>
      <c r="H117" s="110">
        <f t="shared" si="83"/>
        <v>1</v>
      </c>
      <c r="I117" s="110">
        <f t="shared" si="83"/>
        <v>0.66</v>
      </c>
      <c r="J117" s="147">
        <f t="shared" si="86"/>
        <v>11.600000000000001</v>
      </c>
      <c r="K117" s="87">
        <v>0.44000000000000006</v>
      </c>
      <c r="L117">
        <v>0.55000000000000004</v>
      </c>
      <c r="M117">
        <v>0.77</v>
      </c>
      <c r="N117" s="88">
        <v>1</v>
      </c>
      <c r="O117" s="87">
        <v>0.47000000000000003</v>
      </c>
      <c r="P117">
        <v>0.55000000000000004</v>
      </c>
      <c r="Q117">
        <v>0.77</v>
      </c>
      <c r="R117" s="88">
        <v>0.92</v>
      </c>
      <c r="S117" s="87">
        <v>0.77</v>
      </c>
      <c r="T117">
        <v>1</v>
      </c>
      <c r="U117">
        <v>1</v>
      </c>
      <c r="V117" s="88">
        <v>1</v>
      </c>
      <c r="W117" s="87">
        <v>0.83</v>
      </c>
      <c r="X117">
        <v>1</v>
      </c>
      <c r="Y117">
        <v>1</v>
      </c>
      <c r="Z117" s="88">
        <v>1</v>
      </c>
      <c r="AA117" s="87">
        <v>0.44000000000000006</v>
      </c>
      <c r="AB117">
        <v>0.55000000000000004</v>
      </c>
      <c r="AC117">
        <v>0.77</v>
      </c>
      <c r="AD117" s="88">
        <v>1</v>
      </c>
      <c r="AE117" s="87">
        <v>0.47000000000000003</v>
      </c>
      <c r="AF117">
        <v>0.55000000000000004</v>
      </c>
      <c r="AG117">
        <v>0.77</v>
      </c>
      <c r="AH117" s="88">
        <v>0.92</v>
      </c>
      <c r="AI117" s="87">
        <v>0.60499999999999998</v>
      </c>
      <c r="AJ117">
        <v>1.1000000000000001</v>
      </c>
      <c r="AK117">
        <v>2.31</v>
      </c>
      <c r="AL117" s="88">
        <v>4.1549999999999994</v>
      </c>
      <c r="AM117" s="87">
        <v>0.77499999999999991</v>
      </c>
      <c r="AN117">
        <v>1.1000000000000001</v>
      </c>
      <c r="AO117">
        <v>2.31</v>
      </c>
      <c r="AP117" s="88">
        <v>3.53</v>
      </c>
      <c r="AQ117" s="87">
        <v>1.9649999999999999</v>
      </c>
      <c r="AR117">
        <v>4.5</v>
      </c>
      <c r="AS117">
        <v>5.5</v>
      </c>
      <c r="AT117">
        <v>7</v>
      </c>
      <c r="AU117" s="87">
        <v>2.7349999999999994</v>
      </c>
      <c r="AV117">
        <v>4.5</v>
      </c>
      <c r="AW117">
        <v>5.5</v>
      </c>
      <c r="AX117" s="88">
        <v>6.5</v>
      </c>
      <c r="AY117" s="87">
        <v>2.2549999999999999</v>
      </c>
      <c r="AZ117">
        <v>3.8500000000000005</v>
      </c>
      <c r="BA117">
        <v>6.16</v>
      </c>
      <c r="BB117">
        <v>9.1550000000000011</v>
      </c>
      <c r="BC117" s="87">
        <v>2.7399999999999993</v>
      </c>
      <c r="BD117">
        <v>3.8500000000000005</v>
      </c>
      <c r="BE117">
        <v>6.16</v>
      </c>
      <c r="BF117" s="88">
        <v>8.129999999999999</v>
      </c>
      <c r="BG117" s="87">
        <f t="shared" si="87"/>
        <v>4.8249999999999993</v>
      </c>
      <c r="BH117">
        <f t="shared" si="84"/>
        <v>9.4499999999999993</v>
      </c>
      <c r="BI117">
        <f t="shared" si="84"/>
        <v>13.97</v>
      </c>
      <c r="BJ117">
        <f t="shared" si="84"/>
        <v>20.310000000000002</v>
      </c>
      <c r="BK117" s="87">
        <f t="shared" si="84"/>
        <v>6.2499999999999982</v>
      </c>
      <c r="BL117">
        <f t="shared" si="84"/>
        <v>9.4499999999999993</v>
      </c>
      <c r="BM117">
        <f t="shared" si="84"/>
        <v>13.97</v>
      </c>
      <c r="BN117">
        <f t="shared" si="84"/>
        <v>18.159999999999997</v>
      </c>
      <c r="BO117" s="138">
        <f t="shared" si="88"/>
        <v>8.5249999999999986</v>
      </c>
      <c r="BP117" s="143">
        <f t="shared" si="89"/>
        <v>15.238000000000001</v>
      </c>
      <c r="BQ117" s="138">
        <f t="shared" si="90"/>
        <v>8.8099999999999987</v>
      </c>
      <c r="BR117" s="139">
        <f t="shared" si="91"/>
        <v>14.808</v>
      </c>
      <c r="BS117" s="87">
        <f t="shared" si="92"/>
        <v>11.881499999999999</v>
      </c>
      <c r="BT117" s="88">
        <f t="shared" si="93"/>
        <v>11.808999999999999</v>
      </c>
      <c r="BU117" s="134">
        <f t="shared" si="94"/>
        <v>11.84525</v>
      </c>
    </row>
    <row r="118" spans="1:73" x14ac:dyDescent="0.25">
      <c r="A118" s="102" t="s">
        <v>65</v>
      </c>
      <c r="B118" s="102" t="s">
        <v>75</v>
      </c>
      <c r="C118" s="121" t="s">
        <v>76</v>
      </c>
      <c r="D118" s="156" t="s">
        <v>104</v>
      </c>
      <c r="E118" s="156" t="s">
        <v>105</v>
      </c>
      <c r="F118" s="156" t="s">
        <v>106</v>
      </c>
      <c r="G118" s="110">
        <f t="shared" si="85"/>
        <v>1</v>
      </c>
      <c r="H118" s="110">
        <f t="shared" si="83"/>
        <v>0.66</v>
      </c>
      <c r="I118" s="110">
        <f t="shared" si="83"/>
        <v>0.33</v>
      </c>
      <c r="J118" s="147">
        <f t="shared" si="86"/>
        <v>8.2750000000000004</v>
      </c>
      <c r="K118" s="87">
        <v>0.77</v>
      </c>
      <c r="L118">
        <v>1</v>
      </c>
      <c r="M118">
        <v>1</v>
      </c>
      <c r="N118" s="88">
        <v>1</v>
      </c>
      <c r="O118" s="87">
        <v>0.83</v>
      </c>
      <c r="P118">
        <v>1</v>
      </c>
      <c r="Q118">
        <v>1</v>
      </c>
      <c r="R118" s="88">
        <v>1</v>
      </c>
      <c r="S118" s="87">
        <v>0.44000000000000006</v>
      </c>
      <c r="T118">
        <v>0.55000000000000004</v>
      </c>
      <c r="U118">
        <v>0.77</v>
      </c>
      <c r="V118" s="88">
        <v>1</v>
      </c>
      <c r="W118" s="87">
        <v>0.47000000000000003</v>
      </c>
      <c r="X118">
        <v>0.55000000000000004</v>
      </c>
      <c r="Y118">
        <v>0.77</v>
      </c>
      <c r="Z118" s="88">
        <v>0.92</v>
      </c>
      <c r="AA118" s="87">
        <v>0</v>
      </c>
      <c r="AB118">
        <v>0.22000000000000003</v>
      </c>
      <c r="AC118">
        <v>0.44</v>
      </c>
      <c r="AD118" s="88">
        <v>0.55000000000000004</v>
      </c>
      <c r="AE118" s="87">
        <v>0.06</v>
      </c>
      <c r="AF118">
        <v>0.22000000000000003</v>
      </c>
      <c r="AG118">
        <v>0.44</v>
      </c>
      <c r="AH118" s="88">
        <v>0.52</v>
      </c>
      <c r="AI118" s="87">
        <v>1.04</v>
      </c>
      <c r="AJ118">
        <v>2</v>
      </c>
      <c r="AK118">
        <v>3</v>
      </c>
      <c r="AL118" s="88">
        <v>4.5</v>
      </c>
      <c r="AM118" s="87">
        <v>1.3599999999999999</v>
      </c>
      <c r="AN118">
        <v>2</v>
      </c>
      <c r="AO118">
        <v>3</v>
      </c>
      <c r="AP118" s="88">
        <v>4</v>
      </c>
      <c r="AQ118" s="87">
        <v>1.1550000000000002</v>
      </c>
      <c r="AR118">
        <v>2.4750000000000001</v>
      </c>
      <c r="AS118">
        <v>4.2350000000000003</v>
      </c>
      <c r="AT118">
        <v>6.6550000000000002</v>
      </c>
      <c r="AU118" s="87">
        <v>1.5650000000000008</v>
      </c>
      <c r="AV118">
        <v>2.4750000000000001</v>
      </c>
      <c r="AW118">
        <v>4.2350000000000003</v>
      </c>
      <c r="AX118" s="88">
        <v>5.830000000000001</v>
      </c>
      <c r="AY118" s="187">
        <v>0</v>
      </c>
      <c r="AZ118" s="179">
        <v>1.5400000000000003</v>
      </c>
      <c r="BA118" s="179">
        <v>3.52</v>
      </c>
      <c r="BB118" s="179">
        <v>5.0600000000000005</v>
      </c>
      <c r="BC118" s="187">
        <v>0.19999999999999996</v>
      </c>
      <c r="BD118" s="179">
        <v>1.5400000000000003</v>
      </c>
      <c r="BE118" s="179">
        <v>3.52</v>
      </c>
      <c r="BF118" s="188">
        <v>4.6000000000000014</v>
      </c>
      <c r="BG118" s="87">
        <f t="shared" si="87"/>
        <v>2.1950000000000003</v>
      </c>
      <c r="BH118">
        <f t="shared" si="84"/>
        <v>6.0149999999999997</v>
      </c>
      <c r="BI118">
        <f t="shared" si="84"/>
        <v>10.755000000000001</v>
      </c>
      <c r="BJ118">
        <f t="shared" si="84"/>
        <v>16.215000000000003</v>
      </c>
      <c r="BK118" s="87">
        <f t="shared" si="84"/>
        <v>3.1250000000000009</v>
      </c>
      <c r="BL118">
        <f t="shared" si="84"/>
        <v>6.0149999999999997</v>
      </c>
      <c r="BM118">
        <f t="shared" si="84"/>
        <v>10.755000000000001</v>
      </c>
      <c r="BN118">
        <f t="shared" si="84"/>
        <v>14.430000000000003</v>
      </c>
      <c r="BO118" s="138">
        <f t="shared" si="88"/>
        <v>5.2510000000000003</v>
      </c>
      <c r="BP118" s="143">
        <f t="shared" si="89"/>
        <v>11.847000000000001</v>
      </c>
      <c r="BQ118" s="138">
        <f t="shared" si="90"/>
        <v>5.4370000000000003</v>
      </c>
      <c r="BR118" s="139">
        <f t="shared" si="91"/>
        <v>11.490000000000002</v>
      </c>
      <c r="BS118" s="87">
        <f t="shared" si="92"/>
        <v>8.5490000000000013</v>
      </c>
      <c r="BT118" s="88">
        <f t="shared" si="93"/>
        <v>8.4635000000000016</v>
      </c>
      <c r="BU118" s="134">
        <f t="shared" si="94"/>
        <v>8.5062500000000014</v>
      </c>
    </row>
    <row r="119" spans="1:73" ht="30" x14ac:dyDescent="0.25">
      <c r="A119" s="102" t="s">
        <v>66</v>
      </c>
      <c r="B119" s="102" t="s">
        <v>77</v>
      </c>
      <c r="C119" s="121" t="s">
        <v>90</v>
      </c>
      <c r="D119" s="156" t="s">
        <v>105</v>
      </c>
      <c r="E119" s="156" t="s">
        <v>104</v>
      </c>
      <c r="F119" s="156" t="s">
        <v>106</v>
      </c>
      <c r="G119" s="110">
        <f t="shared" si="85"/>
        <v>0.66</v>
      </c>
      <c r="H119" s="110">
        <f t="shared" si="83"/>
        <v>1</v>
      </c>
      <c r="I119" s="110">
        <f t="shared" si="83"/>
        <v>0.33</v>
      </c>
      <c r="J119" s="147">
        <f t="shared" si="86"/>
        <v>9.125</v>
      </c>
      <c r="K119" s="87">
        <v>0.44000000000000006</v>
      </c>
      <c r="L119">
        <v>0.55000000000000004</v>
      </c>
      <c r="M119">
        <v>0.77</v>
      </c>
      <c r="N119" s="88">
        <v>1</v>
      </c>
      <c r="O119" s="87">
        <v>0.47000000000000003</v>
      </c>
      <c r="P119">
        <v>0.55000000000000004</v>
      </c>
      <c r="Q119">
        <v>0.77</v>
      </c>
      <c r="R119" s="88">
        <v>0.92</v>
      </c>
      <c r="S119" s="87">
        <v>0.77</v>
      </c>
      <c r="T119">
        <v>1</v>
      </c>
      <c r="U119">
        <v>1</v>
      </c>
      <c r="V119" s="88">
        <v>1</v>
      </c>
      <c r="W119" s="87">
        <v>0.83</v>
      </c>
      <c r="X119">
        <v>1</v>
      </c>
      <c r="Y119">
        <v>1</v>
      </c>
      <c r="Z119" s="88">
        <v>1</v>
      </c>
      <c r="AA119" s="87">
        <v>0</v>
      </c>
      <c r="AB119">
        <v>0.22000000000000003</v>
      </c>
      <c r="AC119">
        <v>0.44</v>
      </c>
      <c r="AD119" s="88">
        <v>0.55000000000000004</v>
      </c>
      <c r="AE119" s="87">
        <v>0.06</v>
      </c>
      <c r="AF119">
        <v>0.22000000000000003</v>
      </c>
      <c r="AG119">
        <v>0.44</v>
      </c>
      <c r="AH119" s="88">
        <v>0.52</v>
      </c>
      <c r="AI119" s="87">
        <v>0.60499999999999998</v>
      </c>
      <c r="AJ119">
        <v>1.1000000000000001</v>
      </c>
      <c r="AK119">
        <v>2.31</v>
      </c>
      <c r="AL119" s="88">
        <v>4.1549999999999994</v>
      </c>
      <c r="AM119" s="87">
        <v>0.77499999999999991</v>
      </c>
      <c r="AN119">
        <v>1.1000000000000001</v>
      </c>
      <c r="AO119">
        <v>2.31</v>
      </c>
      <c r="AP119" s="88">
        <v>3.53</v>
      </c>
      <c r="AQ119" s="87">
        <v>1.9649999999999999</v>
      </c>
      <c r="AR119">
        <v>4.5</v>
      </c>
      <c r="AS119">
        <v>5.5</v>
      </c>
      <c r="AT119">
        <v>7</v>
      </c>
      <c r="AU119" s="87">
        <v>2.7349999999999994</v>
      </c>
      <c r="AV119">
        <v>4.5</v>
      </c>
      <c r="AW119">
        <v>5.5</v>
      </c>
      <c r="AX119" s="88">
        <v>6.5</v>
      </c>
      <c r="AY119" s="187">
        <v>0</v>
      </c>
      <c r="AZ119" s="179">
        <v>1.5400000000000003</v>
      </c>
      <c r="BA119" s="179">
        <v>3.52</v>
      </c>
      <c r="BB119" s="179">
        <v>5.0600000000000005</v>
      </c>
      <c r="BC119" s="187">
        <v>0.19999999999999996</v>
      </c>
      <c r="BD119" s="179">
        <v>1.5400000000000003</v>
      </c>
      <c r="BE119" s="179">
        <v>3.52</v>
      </c>
      <c r="BF119" s="188">
        <v>4.6000000000000014</v>
      </c>
      <c r="BG119" s="87">
        <f t="shared" si="87"/>
        <v>2.57</v>
      </c>
      <c r="BH119">
        <f t="shared" si="84"/>
        <v>7.14</v>
      </c>
      <c r="BI119">
        <f t="shared" si="84"/>
        <v>11.33</v>
      </c>
      <c r="BJ119">
        <f t="shared" si="84"/>
        <v>16.215</v>
      </c>
      <c r="BK119" s="87">
        <f t="shared" si="84"/>
        <v>3.7099999999999991</v>
      </c>
      <c r="BL119">
        <f t="shared" si="84"/>
        <v>7.14</v>
      </c>
      <c r="BM119">
        <f t="shared" si="84"/>
        <v>11.33</v>
      </c>
      <c r="BN119">
        <f t="shared" si="84"/>
        <v>14.63</v>
      </c>
      <c r="BO119" s="138">
        <f t="shared" si="88"/>
        <v>6.226</v>
      </c>
      <c r="BP119" s="143">
        <f t="shared" si="89"/>
        <v>12.306999999999999</v>
      </c>
      <c r="BQ119" s="138">
        <f t="shared" si="90"/>
        <v>6.4539999999999997</v>
      </c>
      <c r="BR119" s="139">
        <f t="shared" si="91"/>
        <v>11.99</v>
      </c>
      <c r="BS119" s="87">
        <f t="shared" si="92"/>
        <v>9.2664999999999988</v>
      </c>
      <c r="BT119" s="88">
        <f t="shared" si="93"/>
        <v>9.2219999999999995</v>
      </c>
      <c r="BU119" s="134">
        <f t="shared" si="94"/>
        <v>9.2442499999999992</v>
      </c>
    </row>
    <row r="120" spans="1:73" x14ac:dyDescent="0.25">
      <c r="A120" s="102" t="s">
        <v>67</v>
      </c>
      <c r="B120" s="102" t="s">
        <v>78</v>
      </c>
      <c r="C120" s="121" t="s">
        <v>91</v>
      </c>
      <c r="D120" s="156" t="s">
        <v>106</v>
      </c>
      <c r="E120" s="156" t="s">
        <v>105</v>
      </c>
      <c r="F120" s="156" t="s">
        <v>106</v>
      </c>
      <c r="G120" s="110">
        <f t="shared" si="85"/>
        <v>0.33</v>
      </c>
      <c r="H120" s="110">
        <f t="shared" si="83"/>
        <v>0.66</v>
      </c>
      <c r="I120" s="110">
        <f t="shared" si="83"/>
        <v>0.33</v>
      </c>
      <c r="J120" s="147">
        <f t="shared" si="86"/>
        <v>6.6</v>
      </c>
      <c r="K120" s="87">
        <v>0</v>
      </c>
      <c r="L120">
        <v>0.22000000000000003</v>
      </c>
      <c r="M120">
        <v>0.44</v>
      </c>
      <c r="N120" s="88">
        <v>0.55000000000000004</v>
      </c>
      <c r="O120" s="87">
        <v>0.06</v>
      </c>
      <c r="P120">
        <v>0.22000000000000003</v>
      </c>
      <c r="Q120">
        <v>0.44</v>
      </c>
      <c r="R120" s="88">
        <v>0.52</v>
      </c>
      <c r="S120" s="87">
        <v>0.44000000000000006</v>
      </c>
      <c r="T120">
        <v>0.55000000000000004</v>
      </c>
      <c r="U120">
        <v>0.77</v>
      </c>
      <c r="V120" s="88">
        <v>1</v>
      </c>
      <c r="W120" s="87">
        <v>0.47000000000000003</v>
      </c>
      <c r="X120">
        <v>0.55000000000000004</v>
      </c>
      <c r="Y120">
        <v>0.77</v>
      </c>
      <c r="Z120" s="88">
        <v>0.92</v>
      </c>
      <c r="AA120" s="87">
        <v>0</v>
      </c>
      <c r="AB120">
        <v>0.22000000000000003</v>
      </c>
      <c r="AC120">
        <v>0.44</v>
      </c>
      <c r="AD120" s="88">
        <v>0.55000000000000004</v>
      </c>
      <c r="AE120" s="87">
        <v>0.06</v>
      </c>
      <c r="AF120">
        <v>0.22000000000000003</v>
      </c>
      <c r="AG120">
        <v>0.44</v>
      </c>
      <c r="AH120" s="88">
        <v>0.52</v>
      </c>
      <c r="AI120" s="187">
        <v>0</v>
      </c>
      <c r="AJ120" s="179">
        <v>0.44000000000000006</v>
      </c>
      <c r="AK120" s="179">
        <v>1.32</v>
      </c>
      <c r="AL120" s="188">
        <v>2.3099999999999996</v>
      </c>
      <c r="AM120" s="187">
        <v>5.3999999999999992E-2</v>
      </c>
      <c r="AN120" s="179">
        <v>0.44000000000000006</v>
      </c>
      <c r="AO120" s="179">
        <v>1.32</v>
      </c>
      <c r="AP120" s="188">
        <v>2</v>
      </c>
      <c r="AQ120" s="87">
        <v>1.1550000000000002</v>
      </c>
      <c r="AR120">
        <v>2.4750000000000001</v>
      </c>
      <c r="AS120">
        <v>4.2350000000000003</v>
      </c>
      <c r="AT120">
        <v>6.6550000000000002</v>
      </c>
      <c r="AU120" s="87">
        <v>1.5650000000000008</v>
      </c>
      <c r="AV120">
        <v>2.4750000000000001</v>
      </c>
      <c r="AW120">
        <v>4.2350000000000003</v>
      </c>
      <c r="AX120" s="88">
        <v>5.830000000000001</v>
      </c>
      <c r="AY120" s="187">
        <v>0</v>
      </c>
      <c r="AZ120" s="179">
        <v>1.5400000000000003</v>
      </c>
      <c r="BA120" s="179">
        <v>3.52</v>
      </c>
      <c r="BB120" s="179">
        <v>5.0600000000000005</v>
      </c>
      <c r="BC120" s="187">
        <v>0.19999999999999996</v>
      </c>
      <c r="BD120" s="179">
        <v>1.5400000000000003</v>
      </c>
      <c r="BE120" s="179">
        <v>3.52</v>
      </c>
      <c r="BF120" s="188">
        <v>4.6000000000000014</v>
      </c>
      <c r="BG120" s="87">
        <f t="shared" si="87"/>
        <v>1.1550000000000002</v>
      </c>
      <c r="BH120">
        <f t="shared" si="84"/>
        <v>4.4550000000000001</v>
      </c>
      <c r="BI120">
        <f t="shared" si="84"/>
        <v>9.0750000000000011</v>
      </c>
      <c r="BJ120">
        <f t="shared" si="84"/>
        <v>14.025</v>
      </c>
      <c r="BK120" s="87">
        <f t="shared" si="84"/>
        <v>1.8190000000000008</v>
      </c>
      <c r="BL120">
        <f t="shared" si="84"/>
        <v>4.4550000000000001</v>
      </c>
      <c r="BM120">
        <f t="shared" si="84"/>
        <v>9.0750000000000011</v>
      </c>
      <c r="BN120">
        <f t="shared" si="84"/>
        <v>12.430000000000003</v>
      </c>
      <c r="BO120" s="138">
        <f t="shared" si="88"/>
        <v>3.7949999999999999</v>
      </c>
      <c r="BP120" s="143">
        <f t="shared" si="89"/>
        <v>10.065000000000001</v>
      </c>
      <c r="BQ120" s="138">
        <f t="shared" si="90"/>
        <v>3.9278</v>
      </c>
      <c r="BR120" s="139">
        <f t="shared" si="91"/>
        <v>9.7460000000000022</v>
      </c>
      <c r="BS120" s="87">
        <f t="shared" si="92"/>
        <v>6.9300000000000006</v>
      </c>
      <c r="BT120" s="88">
        <f t="shared" si="93"/>
        <v>6.8369000000000009</v>
      </c>
      <c r="BU120" s="134">
        <f t="shared" si="94"/>
        <v>6.8834500000000007</v>
      </c>
    </row>
    <row r="121" spans="1:73" ht="30" x14ac:dyDescent="0.25">
      <c r="A121" s="102" t="s">
        <v>68</v>
      </c>
      <c r="B121" s="102" t="s">
        <v>79</v>
      </c>
      <c r="C121" s="121" t="s">
        <v>92</v>
      </c>
      <c r="D121" s="156" t="s">
        <v>104</v>
      </c>
      <c r="E121" s="156" t="s">
        <v>105</v>
      </c>
      <c r="F121" s="156" t="s">
        <v>106</v>
      </c>
      <c r="G121" s="110">
        <f t="shared" si="85"/>
        <v>1</v>
      </c>
      <c r="H121" s="110">
        <f t="shared" si="83"/>
        <v>0.66</v>
      </c>
      <c r="I121" s="110">
        <f t="shared" si="83"/>
        <v>0.33</v>
      </c>
      <c r="J121" s="147">
        <f t="shared" si="86"/>
        <v>8.2750000000000004</v>
      </c>
      <c r="K121" s="87">
        <v>0.77</v>
      </c>
      <c r="L121">
        <v>1</v>
      </c>
      <c r="M121">
        <v>1</v>
      </c>
      <c r="N121" s="88">
        <v>1</v>
      </c>
      <c r="O121" s="87">
        <v>0.83</v>
      </c>
      <c r="P121">
        <v>1</v>
      </c>
      <c r="Q121">
        <v>1</v>
      </c>
      <c r="R121" s="88">
        <v>1</v>
      </c>
      <c r="S121" s="87">
        <v>0.44000000000000006</v>
      </c>
      <c r="T121">
        <v>0.55000000000000004</v>
      </c>
      <c r="U121">
        <v>0.77</v>
      </c>
      <c r="V121" s="88">
        <v>1</v>
      </c>
      <c r="W121" s="87">
        <v>0.47000000000000003</v>
      </c>
      <c r="X121">
        <v>0.55000000000000004</v>
      </c>
      <c r="Y121">
        <v>0.77</v>
      </c>
      <c r="Z121" s="88">
        <v>0.92</v>
      </c>
      <c r="AA121" s="87">
        <v>0</v>
      </c>
      <c r="AB121">
        <v>0.22000000000000003</v>
      </c>
      <c r="AC121">
        <v>0.44</v>
      </c>
      <c r="AD121" s="88">
        <v>0.55000000000000004</v>
      </c>
      <c r="AE121" s="87">
        <v>0.06</v>
      </c>
      <c r="AF121">
        <v>0.22000000000000003</v>
      </c>
      <c r="AG121">
        <v>0.44</v>
      </c>
      <c r="AH121" s="88">
        <v>0.52</v>
      </c>
      <c r="AI121" s="87">
        <v>1.04</v>
      </c>
      <c r="AJ121">
        <v>2</v>
      </c>
      <c r="AK121">
        <v>3</v>
      </c>
      <c r="AL121" s="88">
        <v>4.5</v>
      </c>
      <c r="AM121" s="87">
        <v>1.3599999999999999</v>
      </c>
      <c r="AN121">
        <v>2</v>
      </c>
      <c r="AO121">
        <v>3</v>
      </c>
      <c r="AP121" s="88">
        <v>4</v>
      </c>
      <c r="AQ121" s="87">
        <v>1.1550000000000002</v>
      </c>
      <c r="AR121">
        <v>2.4750000000000001</v>
      </c>
      <c r="AS121">
        <v>4.2350000000000003</v>
      </c>
      <c r="AT121">
        <v>6.6550000000000002</v>
      </c>
      <c r="AU121" s="87">
        <v>1.5650000000000008</v>
      </c>
      <c r="AV121">
        <v>2.4750000000000001</v>
      </c>
      <c r="AW121">
        <v>4.2350000000000003</v>
      </c>
      <c r="AX121" s="88">
        <v>5.830000000000001</v>
      </c>
      <c r="AY121" s="187">
        <v>0</v>
      </c>
      <c r="AZ121" s="179">
        <v>1.5400000000000003</v>
      </c>
      <c r="BA121" s="179">
        <v>3.52</v>
      </c>
      <c r="BB121" s="179">
        <v>5.0600000000000005</v>
      </c>
      <c r="BC121" s="187">
        <v>0.19999999999999996</v>
      </c>
      <c r="BD121" s="179">
        <v>1.5400000000000003</v>
      </c>
      <c r="BE121" s="179">
        <v>3.52</v>
      </c>
      <c r="BF121" s="188">
        <v>4.6000000000000014</v>
      </c>
      <c r="BG121" s="87">
        <f t="shared" si="87"/>
        <v>2.1950000000000003</v>
      </c>
      <c r="BH121">
        <f t="shared" si="84"/>
        <v>6.0149999999999997</v>
      </c>
      <c r="BI121">
        <f t="shared" si="84"/>
        <v>10.755000000000001</v>
      </c>
      <c r="BJ121">
        <f t="shared" si="84"/>
        <v>16.215000000000003</v>
      </c>
      <c r="BK121" s="87">
        <f t="shared" si="84"/>
        <v>3.1250000000000009</v>
      </c>
      <c r="BL121">
        <f t="shared" si="84"/>
        <v>6.0149999999999997</v>
      </c>
      <c r="BM121">
        <f t="shared" si="84"/>
        <v>10.755000000000001</v>
      </c>
      <c r="BN121">
        <f t="shared" si="84"/>
        <v>14.430000000000003</v>
      </c>
      <c r="BO121" s="138">
        <f t="shared" si="88"/>
        <v>5.2510000000000003</v>
      </c>
      <c r="BP121" s="143">
        <f t="shared" si="89"/>
        <v>11.847000000000001</v>
      </c>
      <c r="BQ121" s="138">
        <f t="shared" si="90"/>
        <v>5.4370000000000003</v>
      </c>
      <c r="BR121" s="139">
        <f t="shared" si="91"/>
        <v>11.490000000000002</v>
      </c>
      <c r="BS121" s="87">
        <f t="shared" si="92"/>
        <v>8.5490000000000013</v>
      </c>
      <c r="BT121" s="88">
        <f t="shared" si="93"/>
        <v>8.4635000000000016</v>
      </c>
      <c r="BU121" s="134">
        <f t="shared" si="94"/>
        <v>8.5062500000000014</v>
      </c>
    </row>
    <row r="122" spans="1:73" ht="30" x14ac:dyDescent="0.25">
      <c r="A122" s="102" t="s">
        <v>69</v>
      </c>
      <c r="B122" s="102" t="s">
        <v>80</v>
      </c>
      <c r="C122" s="121" t="s">
        <v>81</v>
      </c>
      <c r="D122" s="156" t="s">
        <v>105</v>
      </c>
      <c r="E122" s="156" t="s">
        <v>106</v>
      </c>
      <c r="F122" s="156" t="s">
        <v>104</v>
      </c>
      <c r="G122" s="110">
        <f t="shared" si="85"/>
        <v>0.66</v>
      </c>
      <c r="H122" s="110">
        <f t="shared" si="83"/>
        <v>0.33</v>
      </c>
      <c r="I122" s="110">
        <f t="shared" si="83"/>
        <v>1</v>
      </c>
      <c r="J122" s="147">
        <f t="shared" si="86"/>
        <v>10.8</v>
      </c>
      <c r="K122" s="87">
        <v>0.44000000000000006</v>
      </c>
      <c r="L122">
        <v>0.55000000000000004</v>
      </c>
      <c r="M122">
        <v>0.77</v>
      </c>
      <c r="N122" s="88">
        <v>1</v>
      </c>
      <c r="O122" s="87">
        <v>0.47000000000000003</v>
      </c>
      <c r="P122">
        <v>0.55000000000000004</v>
      </c>
      <c r="Q122">
        <v>0.77</v>
      </c>
      <c r="R122" s="88">
        <v>0.92</v>
      </c>
      <c r="S122" s="87">
        <v>0</v>
      </c>
      <c r="T122">
        <v>0.22000000000000003</v>
      </c>
      <c r="U122">
        <v>0.44</v>
      </c>
      <c r="V122" s="88">
        <v>0.55000000000000004</v>
      </c>
      <c r="W122" s="87">
        <v>0.06</v>
      </c>
      <c r="X122">
        <v>0.22000000000000003</v>
      </c>
      <c r="Y122">
        <v>0.44</v>
      </c>
      <c r="Z122" s="88">
        <v>0.52</v>
      </c>
      <c r="AA122" s="87">
        <v>0.77</v>
      </c>
      <c r="AB122">
        <v>1</v>
      </c>
      <c r="AC122">
        <v>1</v>
      </c>
      <c r="AD122" s="88">
        <v>1</v>
      </c>
      <c r="AE122" s="87">
        <v>0.83</v>
      </c>
      <c r="AF122">
        <v>1</v>
      </c>
      <c r="AG122">
        <v>1</v>
      </c>
      <c r="AH122" s="88">
        <v>1</v>
      </c>
      <c r="AI122" s="87">
        <v>0.60499999999999998</v>
      </c>
      <c r="AJ122">
        <v>1.1000000000000001</v>
      </c>
      <c r="AK122">
        <v>2.31</v>
      </c>
      <c r="AL122" s="88">
        <v>4.1549999999999994</v>
      </c>
      <c r="AM122" s="87">
        <v>0.77499999999999991</v>
      </c>
      <c r="AN122">
        <v>1.1000000000000001</v>
      </c>
      <c r="AO122">
        <v>2.31</v>
      </c>
      <c r="AP122" s="88">
        <v>3.53</v>
      </c>
      <c r="AQ122" s="187">
        <v>0</v>
      </c>
      <c r="AR122" s="179">
        <v>0.9900000000000001</v>
      </c>
      <c r="AS122" s="179">
        <v>2.42</v>
      </c>
      <c r="AT122" s="179">
        <v>3.6850000000000005</v>
      </c>
      <c r="AU122" s="187">
        <v>4.9999999999999933E-2</v>
      </c>
      <c r="AV122" s="179">
        <v>0.9900000000000001</v>
      </c>
      <c r="AW122" s="179">
        <v>2.42</v>
      </c>
      <c r="AX122" s="188">
        <v>3.3000000000000007</v>
      </c>
      <c r="AY122" s="87">
        <v>3.8900000000000006</v>
      </c>
      <c r="AZ122">
        <v>7</v>
      </c>
      <c r="BA122">
        <v>8</v>
      </c>
      <c r="BB122">
        <v>9.5</v>
      </c>
      <c r="BC122" s="87">
        <v>4.8099999999999987</v>
      </c>
      <c r="BD122">
        <v>7</v>
      </c>
      <c r="BE122">
        <v>8</v>
      </c>
      <c r="BF122" s="88">
        <v>9</v>
      </c>
      <c r="BG122" s="87">
        <f t="shared" si="87"/>
        <v>4.495000000000001</v>
      </c>
      <c r="BH122">
        <f t="shared" si="84"/>
        <v>9.09</v>
      </c>
      <c r="BI122">
        <f t="shared" si="84"/>
        <v>12.73</v>
      </c>
      <c r="BJ122">
        <f t="shared" si="84"/>
        <v>17.34</v>
      </c>
      <c r="BK122" s="87">
        <f t="shared" si="84"/>
        <v>5.6349999999999989</v>
      </c>
      <c r="BL122">
        <f t="shared" si="84"/>
        <v>9.09</v>
      </c>
      <c r="BM122">
        <f t="shared" si="84"/>
        <v>12.73</v>
      </c>
      <c r="BN122">
        <f t="shared" si="84"/>
        <v>15.83</v>
      </c>
      <c r="BO122" s="138">
        <f t="shared" si="88"/>
        <v>8.1709999999999994</v>
      </c>
      <c r="BP122" s="143">
        <f t="shared" si="89"/>
        <v>13.652000000000001</v>
      </c>
      <c r="BQ122" s="138">
        <f t="shared" si="90"/>
        <v>8.3989999999999991</v>
      </c>
      <c r="BR122" s="139">
        <f t="shared" si="91"/>
        <v>13.350000000000001</v>
      </c>
      <c r="BS122" s="87">
        <f t="shared" si="92"/>
        <v>10.9115</v>
      </c>
      <c r="BT122" s="88">
        <f t="shared" si="93"/>
        <v>10.874500000000001</v>
      </c>
      <c r="BU122" s="134">
        <f t="shared" si="94"/>
        <v>10.893000000000001</v>
      </c>
    </row>
    <row r="123" spans="1:73" ht="36.75" customHeight="1" x14ac:dyDescent="0.25">
      <c r="A123" s="102" t="s">
        <v>70</v>
      </c>
      <c r="B123" s="102" t="s">
        <v>82</v>
      </c>
      <c r="C123" s="121" t="s">
        <v>93</v>
      </c>
      <c r="D123" s="156" t="s">
        <v>105</v>
      </c>
      <c r="E123" s="156" t="s">
        <v>104</v>
      </c>
      <c r="F123" s="156" t="s">
        <v>106</v>
      </c>
      <c r="G123" s="110">
        <f t="shared" si="85"/>
        <v>0.66</v>
      </c>
      <c r="H123" s="110">
        <f t="shared" si="83"/>
        <v>1</v>
      </c>
      <c r="I123" s="110">
        <f t="shared" si="83"/>
        <v>0.33</v>
      </c>
      <c r="J123" s="147">
        <f t="shared" si="86"/>
        <v>9.125</v>
      </c>
      <c r="K123" s="87">
        <v>0.44000000000000006</v>
      </c>
      <c r="L123">
        <v>0.55000000000000004</v>
      </c>
      <c r="M123">
        <v>0.77</v>
      </c>
      <c r="N123" s="88">
        <v>1</v>
      </c>
      <c r="O123" s="87">
        <v>0.47000000000000003</v>
      </c>
      <c r="P123">
        <v>0.55000000000000004</v>
      </c>
      <c r="Q123">
        <v>0.77</v>
      </c>
      <c r="R123" s="88">
        <v>0.92</v>
      </c>
      <c r="S123" s="87">
        <v>0.77</v>
      </c>
      <c r="T123">
        <v>1</v>
      </c>
      <c r="U123">
        <v>1</v>
      </c>
      <c r="V123" s="88">
        <v>1</v>
      </c>
      <c r="W123" s="87">
        <v>0.83</v>
      </c>
      <c r="X123">
        <v>1</v>
      </c>
      <c r="Y123">
        <v>1</v>
      </c>
      <c r="Z123" s="88">
        <v>1</v>
      </c>
      <c r="AA123" s="87">
        <v>0</v>
      </c>
      <c r="AB123">
        <v>0.22000000000000003</v>
      </c>
      <c r="AC123">
        <v>0.44</v>
      </c>
      <c r="AD123" s="88">
        <v>0.55000000000000004</v>
      </c>
      <c r="AE123" s="87">
        <v>0.06</v>
      </c>
      <c r="AF123">
        <v>0.22000000000000003</v>
      </c>
      <c r="AG123">
        <v>0.44</v>
      </c>
      <c r="AH123" s="88">
        <v>0.52</v>
      </c>
      <c r="AI123" s="87">
        <v>0.60499999999999998</v>
      </c>
      <c r="AJ123">
        <v>1.1000000000000001</v>
      </c>
      <c r="AK123">
        <v>2.31</v>
      </c>
      <c r="AL123" s="88">
        <v>4.1549999999999994</v>
      </c>
      <c r="AM123" s="87">
        <v>0.77499999999999991</v>
      </c>
      <c r="AN123">
        <v>1.1000000000000001</v>
      </c>
      <c r="AO123">
        <v>2.31</v>
      </c>
      <c r="AP123" s="88">
        <v>3.53</v>
      </c>
      <c r="AQ123" s="87">
        <v>1.9649999999999999</v>
      </c>
      <c r="AR123">
        <v>4.5</v>
      </c>
      <c r="AS123">
        <v>5.5</v>
      </c>
      <c r="AT123">
        <v>7</v>
      </c>
      <c r="AU123" s="87">
        <v>2.7349999999999994</v>
      </c>
      <c r="AV123">
        <v>4.5</v>
      </c>
      <c r="AW123">
        <v>5.5</v>
      </c>
      <c r="AX123" s="88">
        <v>6.5</v>
      </c>
      <c r="AY123" s="187">
        <v>0</v>
      </c>
      <c r="AZ123" s="179">
        <v>1.5400000000000003</v>
      </c>
      <c r="BA123" s="179">
        <v>3.52</v>
      </c>
      <c r="BB123" s="179">
        <v>5.0600000000000005</v>
      </c>
      <c r="BC123" s="187">
        <v>0.19999999999999996</v>
      </c>
      <c r="BD123" s="179">
        <v>1.5400000000000003</v>
      </c>
      <c r="BE123" s="179">
        <v>3.52</v>
      </c>
      <c r="BF123" s="188">
        <v>4.6000000000000014</v>
      </c>
      <c r="BG123" s="87">
        <f t="shared" si="87"/>
        <v>2.57</v>
      </c>
      <c r="BH123">
        <f t="shared" si="84"/>
        <v>7.14</v>
      </c>
      <c r="BI123">
        <f t="shared" si="84"/>
        <v>11.33</v>
      </c>
      <c r="BJ123">
        <f t="shared" si="84"/>
        <v>16.215</v>
      </c>
      <c r="BK123" s="87">
        <f t="shared" si="84"/>
        <v>3.7099999999999991</v>
      </c>
      <c r="BL123">
        <f t="shared" si="84"/>
        <v>7.14</v>
      </c>
      <c r="BM123">
        <f t="shared" si="84"/>
        <v>11.33</v>
      </c>
      <c r="BN123">
        <f t="shared" si="84"/>
        <v>14.63</v>
      </c>
      <c r="BO123" s="138">
        <f t="shared" si="88"/>
        <v>6.226</v>
      </c>
      <c r="BP123" s="143">
        <f t="shared" si="89"/>
        <v>12.306999999999999</v>
      </c>
      <c r="BQ123" s="138">
        <f t="shared" si="90"/>
        <v>6.4539999999999997</v>
      </c>
      <c r="BR123" s="139">
        <f t="shared" si="91"/>
        <v>11.99</v>
      </c>
      <c r="BS123" s="87">
        <f t="shared" si="92"/>
        <v>9.2664999999999988</v>
      </c>
      <c r="BT123" s="88">
        <f t="shared" si="93"/>
        <v>9.2219999999999995</v>
      </c>
      <c r="BU123" s="134">
        <f t="shared" si="94"/>
        <v>9.2442499999999992</v>
      </c>
    </row>
    <row r="124" spans="1:73" ht="30.75" thickBot="1" x14ac:dyDescent="0.3">
      <c r="A124" s="102" t="s">
        <v>71</v>
      </c>
      <c r="B124" s="102" t="s">
        <v>83</v>
      </c>
      <c r="C124" s="121" t="s">
        <v>94</v>
      </c>
      <c r="D124" s="156" t="s">
        <v>106</v>
      </c>
      <c r="E124" s="156" t="s">
        <v>104</v>
      </c>
      <c r="F124" s="156" t="s">
        <v>105</v>
      </c>
      <c r="G124" s="110">
        <f t="shared" si="85"/>
        <v>0.33</v>
      </c>
      <c r="H124" s="110">
        <f t="shared" si="83"/>
        <v>1</v>
      </c>
      <c r="I124" s="110">
        <f t="shared" si="83"/>
        <v>0.66</v>
      </c>
      <c r="J124" s="147">
        <f t="shared" si="86"/>
        <v>10.775</v>
      </c>
      <c r="K124" s="91">
        <v>0</v>
      </c>
      <c r="L124" s="93">
        <v>0.22000000000000003</v>
      </c>
      <c r="M124" s="93">
        <v>0.44</v>
      </c>
      <c r="N124" s="94">
        <v>0.55000000000000004</v>
      </c>
      <c r="O124" s="91">
        <v>0.06</v>
      </c>
      <c r="P124" s="93">
        <v>0.22000000000000003</v>
      </c>
      <c r="Q124" s="93">
        <v>0.44</v>
      </c>
      <c r="R124" s="94">
        <v>0.52</v>
      </c>
      <c r="S124" s="91">
        <v>0.77</v>
      </c>
      <c r="T124" s="93">
        <v>1</v>
      </c>
      <c r="U124" s="93">
        <v>1</v>
      </c>
      <c r="V124" s="94">
        <v>1</v>
      </c>
      <c r="W124" s="91">
        <v>0.83</v>
      </c>
      <c r="X124" s="93">
        <v>1</v>
      </c>
      <c r="Y124" s="93">
        <v>1</v>
      </c>
      <c r="Z124" s="94">
        <v>1</v>
      </c>
      <c r="AA124" s="91">
        <v>0.44000000000000006</v>
      </c>
      <c r="AB124" s="93">
        <v>0.55000000000000004</v>
      </c>
      <c r="AC124" s="93">
        <v>0.77</v>
      </c>
      <c r="AD124" s="94">
        <v>1</v>
      </c>
      <c r="AE124" s="91">
        <v>0.47000000000000003</v>
      </c>
      <c r="AF124" s="93">
        <v>0.55000000000000004</v>
      </c>
      <c r="AG124" s="93">
        <v>0.77</v>
      </c>
      <c r="AH124" s="94">
        <v>0.92</v>
      </c>
      <c r="AI124" s="189">
        <v>0</v>
      </c>
      <c r="AJ124" s="201">
        <v>0.44000000000000006</v>
      </c>
      <c r="AK124" s="201">
        <v>1.32</v>
      </c>
      <c r="AL124" s="190">
        <v>2.3099999999999996</v>
      </c>
      <c r="AM124" s="189">
        <v>5.3999999999999992E-2</v>
      </c>
      <c r="AN124" s="201">
        <v>0.44000000000000006</v>
      </c>
      <c r="AO124" s="201">
        <v>1.32</v>
      </c>
      <c r="AP124" s="190">
        <v>2</v>
      </c>
      <c r="AQ124" s="91">
        <v>1.9649999999999999</v>
      </c>
      <c r="AR124" s="93">
        <v>4.5</v>
      </c>
      <c r="AS124" s="93">
        <v>5.5</v>
      </c>
      <c r="AT124" s="93">
        <v>7</v>
      </c>
      <c r="AU124" s="91">
        <v>2.7349999999999994</v>
      </c>
      <c r="AV124" s="93">
        <v>4.5</v>
      </c>
      <c r="AW124" s="93">
        <v>5.5</v>
      </c>
      <c r="AX124" s="94">
        <v>6.5</v>
      </c>
      <c r="AY124" s="91">
        <v>2.2549999999999999</v>
      </c>
      <c r="AZ124" s="93">
        <v>3.8500000000000005</v>
      </c>
      <c r="BA124" s="93">
        <v>6.16</v>
      </c>
      <c r="BB124" s="93">
        <v>9.1550000000000011</v>
      </c>
      <c r="BC124" s="91">
        <v>2.7399999999999993</v>
      </c>
      <c r="BD124" s="93">
        <v>3.8500000000000005</v>
      </c>
      <c r="BE124" s="93">
        <v>6.16</v>
      </c>
      <c r="BF124" s="94">
        <v>8.129999999999999</v>
      </c>
      <c r="BG124" s="91">
        <f t="shared" si="87"/>
        <v>4.22</v>
      </c>
      <c r="BH124" s="93">
        <f t="shared" si="84"/>
        <v>8.7900000000000009</v>
      </c>
      <c r="BI124" s="93">
        <f t="shared" si="84"/>
        <v>12.98</v>
      </c>
      <c r="BJ124" s="93">
        <f t="shared" si="84"/>
        <v>18.465</v>
      </c>
      <c r="BK124" s="91">
        <f t="shared" si="84"/>
        <v>5.5289999999999981</v>
      </c>
      <c r="BL124" s="93">
        <f t="shared" si="84"/>
        <v>8.7900000000000009</v>
      </c>
      <c r="BM124" s="93">
        <f t="shared" si="84"/>
        <v>12.98</v>
      </c>
      <c r="BN124" s="93">
        <f t="shared" si="84"/>
        <v>16.63</v>
      </c>
      <c r="BO124" s="140">
        <f t="shared" si="88"/>
        <v>7.8760000000000003</v>
      </c>
      <c r="BP124" s="144">
        <f t="shared" si="89"/>
        <v>14.077</v>
      </c>
      <c r="BQ124" s="140">
        <f t="shared" si="90"/>
        <v>8.1378000000000004</v>
      </c>
      <c r="BR124" s="141">
        <f t="shared" si="91"/>
        <v>13.709999999999999</v>
      </c>
      <c r="BS124" s="91">
        <f t="shared" si="92"/>
        <v>10.9765</v>
      </c>
      <c r="BT124" s="94">
        <f t="shared" si="93"/>
        <v>10.9239</v>
      </c>
      <c r="BU124" s="135">
        <f t="shared" si="94"/>
        <v>10.950199999999999</v>
      </c>
    </row>
    <row r="125" spans="1:73" x14ac:dyDescent="0.25">
      <c r="BF125" s="60"/>
      <c r="BG125" s="59"/>
      <c r="BH125" s="59"/>
      <c r="BI125" s="59"/>
      <c r="BJ125" s="59"/>
      <c r="BK125" s="59"/>
    </row>
    <row r="126" spans="1:73" x14ac:dyDescent="0.25">
      <c r="A126" s="1" t="s">
        <v>200</v>
      </c>
      <c r="B126" s="1"/>
    </row>
    <row r="127" spans="1:73" ht="15.75" thickBot="1" x14ac:dyDescent="0.3">
      <c r="A127" s="107" t="s">
        <v>103</v>
      </c>
      <c r="B127" s="108" t="s">
        <v>122</v>
      </c>
      <c r="E127" s="112" t="s">
        <v>17</v>
      </c>
      <c r="I127" t="s">
        <v>18</v>
      </c>
    </row>
    <row r="128" spans="1:73" x14ac:dyDescent="0.25">
      <c r="A128" s="106" t="s">
        <v>107</v>
      </c>
      <c r="B128" s="2">
        <v>0</v>
      </c>
      <c r="C128" s="79">
        <v>0</v>
      </c>
      <c r="D128" s="80" t="s">
        <v>107</v>
      </c>
      <c r="E128" s="81">
        <v>0</v>
      </c>
      <c r="F128" s="82">
        <f>C128</f>
        <v>0</v>
      </c>
      <c r="G128" s="83">
        <v>0</v>
      </c>
      <c r="H128" s="84">
        <v>0.22</v>
      </c>
      <c r="I128" s="85">
        <v>0</v>
      </c>
      <c r="J128" s="83">
        <f>F128</f>
        <v>0</v>
      </c>
      <c r="K128" s="83">
        <f>G128</f>
        <v>0</v>
      </c>
      <c r="L128" s="86">
        <v>0.15</v>
      </c>
    </row>
    <row r="129" spans="1:12" x14ac:dyDescent="0.25">
      <c r="A129" s="106" t="s">
        <v>106</v>
      </c>
      <c r="B129" s="2">
        <v>0.33</v>
      </c>
      <c r="C129" s="79">
        <v>0.33</v>
      </c>
      <c r="D129" s="80" t="s">
        <v>106</v>
      </c>
      <c r="E129" s="87">
        <v>0</v>
      </c>
      <c r="F129" s="111">
        <f>C129-0.11</f>
        <v>0.22000000000000003</v>
      </c>
      <c r="G129">
        <f>C129+0.11</f>
        <v>0.44</v>
      </c>
      <c r="H129" s="88">
        <f t="shared" ref="H129" si="95">G129+0.11</f>
        <v>0.55000000000000004</v>
      </c>
      <c r="I129" s="89">
        <v>0.06</v>
      </c>
      <c r="J129">
        <f t="shared" ref="J129:K131" si="96">F129</f>
        <v>0.22000000000000003</v>
      </c>
      <c r="K129">
        <f t="shared" si="96"/>
        <v>0.44</v>
      </c>
      <c r="L129" s="90">
        <f t="shared" ref="L129" si="97">K129+0.08</f>
        <v>0.52</v>
      </c>
    </row>
    <row r="130" spans="1:12" x14ac:dyDescent="0.25">
      <c r="A130" s="106" t="s">
        <v>105</v>
      </c>
      <c r="B130" s="2">
        <v>0.66</v>
      </c>
      <c r="C130" s="79">
        <v>0.66</v>
      </c>
      <c r="D130" s="80" t="s">
        <v>105</v>
      </c>
      <c r="E130" s="87">
        <f t="shared" ref="E130" si="98">F130-0.11</f>
        <v>0.44000000000000006</v>
      </c>
      <c r="F130" s="111">
        <f t="shared" ref="F130" si="99">C130-0.11</f>
        <v>0.55000000000000004</v>
      </c>
      <c r="G130">
        <f t="shared" ref="G130" si="100">C130+0.11</f>
        <v>0.77</v>
      </c>
      <c r="H130" s="88">
        <v>1</v>
      </c>
      <c r="I130" s="89">
        <f t="shared" ref="I130" si="101">J130-0.08</f>
        <v>0.47000000000000003</v>
      </c>
      <c r="J130">
        <f t="shared" si="96"/>
        <v>0.55000000000000004</v>
      </c>
      <c r="K130">
        <f t="shared" si="96"/>
        <v>0.77</v>
      </c>
      <c r="L130" s="90">
        <v>0.92</v>
      </c>
    </row>
    <row r="131" spans="1:12" ht="15.75" thickBot="1" x14ac:dyDescent="0.3">
      <c r="A131" s="106" t="s">
        <v>104</v>
      </c>
      <c r="B131" s="2">
        <v>1</v>
      </c>
      <c r="C131" s="79">
        <v>1</v>
      </c>
      <c r="D131" s="80" t="s">
        <v>104</v>
      </c>
      <c r="E131" s="91">
        <v>0.77</v>
      </c>
      <c r="F131" s="92">
        <v>1</v>
      </c>
      <c r="G131" s="93">
        <v>1</v>
      </c>
      <c r="H131" s="94">
        <v>1</v>
      </c>
      <c r="I131" s="95">
        <v>0.83</v>
      </c>
      <c r="J131" s="93">
        <f t="shared" si="96"/>
        <v>1</v>
      </c>
      <c r="K131" s="93">
        <f t="shared" si="96"/>
        <v>1</v>
      </c>
      <c r="L131" s="96">
        <v>1</v>
      </c>
    </row>
    <row r="132" spans="1:12" x14ac:dyDescent="0.25">
      <c r="A132" s="99"/>
    </row>
    <row r="133" spans="1:12" x14ac:dyDescent="0.25">
      <c r="A133" s="1" t="s">
        <v>201</v>
      </c>
    </row>
    <row r="134" spans="1:12" ht="15.75" thickBot="1" x14ac:dyDescent="0.3">
      <c r="A134" s="107" t="s">
        <v>103</v>
      </c>
      <c r="B134" s="108" t="s">
        <v>123</v>
      </c>
      <c r="E134" s="112" t="s">
        <v>17</v>
      </c>
      <c r="I134" t="s">
        <v>18</v>
      </c>
    </row>
    <row r="135" spans="1:12" x14ac:dyDescent="0.25">
      <c r="A135" s="106" t="s">
        <v>107</v>
      </c>
      <c r="B135" s="2">
        <v>1</v>
      </c>
      <c r="C135" s="79">
        <v>1</v>
      </c>
      <c r="D135" s="80" t="s">
        <v>107</v>
      </c>
      <c r="E135" s="81">
        <v>0</v>
      </c>
      <c r="F135" s="82">
        <v>0.5</v>
      </c>
      <c r="G135" s="83">
        <v>1.5</v>
      </c>
      <c r="H135" s="84">
        <v>2</v>
      </c>
      <c r="I135" s="85">
        <v>0</v>
      </c>
      <c r="J135" s="83">
        <f>F135</f>
        <v>0.5</v>
      </c>
      <c r="K135" s="83">
        <f>G135</f>
        <v>1.5</v>
      </c>
      <c r="L135" s="86">
        <v>1.8</v>
      </c>
    </row>
    <row r="136" spans="1:12" x14ac:dyDescent="0.25">
      <c r="A136" s="106" t="s">
        <v>106</v>
      </c>
      <c r="B136" s="2">
        <v>2.5</v>
      </c>
      <c r="C136" s="79">
        <v>2.5</v>
      </c>
      <c r="D136" s="80" t="s">
        <v>106</v>
      </c>
      <c r="E136" s="87">
        <v>1.5</v>
      </c>
      <c r="F136" s="111">
        <f>C136-0.5</f>
        <v>2</v>
      </c>
      <c r="G136">
        <f>C136+0.5</f>
        <v>3</v>
      </c>
      <c r="H136" s="88">
        <f t="shared" ref="H136:H138" si="102">G136+1.5</f>
        <v>4.5</v>
      </c>
      <c r="I136" s="89">
        <v>1.7</v>
      </c>
      <c r="J136">
        <f t="shared" ref="J136:K138" si="103">F136</f>
        <v>2</v>
      </c>
      <c r="K136">
        <f t="shared" si="103"/>
        <v>3</v>
      </c>
      <c r="L136" s="90">
        <f t="shared" ref="L136:L138" si="104">K136+1</f>
        <v>4</v>
      </c>
    </row>
    <row r="137" spans="1:12" x14ac:dyDescent="0.25">
      <c r="A137" s="106" t="s">
        <v>105</v>
      </c>
      <c r="B137" s="2">
        <v>5</v>
      </c>
      <c r="C137" s="79">
        <v>5</v>
      </c>
      <c r="D137" s="80" t="s">
        <v>105</v>
      </c>
      <c r="E137" s="87">
        <f t="shared" ref="E137:E138" si="105">F137-1.5</f>
        <v>3</v>
      </c>
      <c r="F137" s="111">
        <f>C137-0.5</f>
        <v>4.5</v>
      </c>
      <c r="G137">
        <f>C137+0.5</f>
        <v>5.5</v>
      </c>
      <c r="H137" s="88">
        <f t="shared" si="102"/>
        <v>7</v>
      </c>
      <c r="I137" s="89">
        <f t="shared" ref="I137:I138" si="106">J137-1</f>
        <v>3.5</v>
      </c>
      <c r="J137">
        <f t="shared" si="103"/>
        <v>4.5</v>
      </c>
      <c r="K137">
        <f t="shared" si="103"/>
        <v>5.5</v>
      </c>
      <c r="L137" s="90">
        <f t="shared" si="104"/>
        <v>6.5</v>
      </c>
    </row>
    <row r="138" spans="1:12" ht="15.75" thickBot="1" x14ac:dyDescent="0.3">
      <c r="A138" s="106" t="s">
        <v>104</v>
      </c>
      <c r="B138" s="2">
        <v>7.5</v>
      </c>
      <c r="C138" s="79">
        <v>7.5</v>
      </c>
      <c r="D138" s="80" t="s">
        <v>104</v>
      </c>
      <c r="E138" s="91">
        <f t="shared" si="105"/>
        <v>5.5</v>
      </c>
      <c r="F138" s="92">
        <f>C138-0.5</f>
        <v>7</v>
      </c>
      <c r="G138" s="93">
        <f>C138+0.5</f>
        <v>8</v>
      </c>
      <c r="H138" s="94">
        <f t="shared" si="102"/>
        <v>9.5</v>
      </c>
      <c r="I138" s="95">
        <f t="shared" si="106"/>
        <v>6</v>
      </c>
      <c r="J138" s="93">
        <f t="shared" si="103"/>
        <v>7</v>
      </c>
      <c r="K138" s="93">
        <f t="shared" si="103"/>
        <v>8</v>
      </c>
      <c r="L138" s="96">
        <f t="shared" si="104"/>
        <v>9</v>
      </c>
    </row>
    <row r="140" spans="1:12" ht="15.75" thickBot="1" x14ac:dyDescent="0.3">
      <c r="A140" s="1" t="s">
        <v>202</v>
      </c>
    </row>
    <row r="141" spans="1:12" ht="67.5" customHeight="1" thickBot="1" x14ac:dyDescent="0.3">
      <c r="A141" s="114" t="s">
        <v>117</v>
      </c>
      <c r="B141" s="113" t="s">
        <v>99</v>
      </c>
      <c r="C141" s="115" t="s">
        <v>108</v>
      </c>
      <c r="D141" s="116" t="s">
        <v>203</v>
      </c>
      <c r="E141" s="283" t="s">
        <v>126</v>
      </c>
      <c r="F141" s="284"/>
      <c r="G141" s="284"/>
      <c r="H141" s="284"/>
      <c r="I141" s="284"/>
      <c r="J141" s="284"/>
      <c r="K141" s="284"/>
      <c r="L141" s="285"/>
    </row>
    <row r="142" spans="1:12" x14ac:dyDescent="0.25">
      <c r="A142" s="125" t="s">
        <v>114</v>
      </c>
      <c r="B142" s="117" t="s">
        <v>100</v>
      </c>
      <c r="C142" s="118" t="s">
        <v>106</v>
      </c>
      <c r="D142" s="150">
        <v>2.5</v>
      </c>
      <c r="E142" s="87">
        <v>1.5</v>
      </c>
      <c r="F142" s="111">
        <v>2</v>
      </c>
      <c r="G142">
        <v>3</v>
      </c>
      <c r="H142" s="88">
        <v>4.5</v>
      </c>
      <c r="I142" s="89">
        <v>1.7</v>
      </c>
      <c r="J142">
        <v>2</v>
      </c>
      <c r="K142">
        <v>3</v>
      </c>
      <c r="L142" s="90">
        <v>4</v>
      </c>
    </row>
    <row r="143" spans="1:12" x14ac:dyDescent="0.25">
      <c r="A143" s="126" t="s">
        <v>115</v>
      </c>
      <c r="B143" s="104" t="s">
        <v>101</v>
      </c>
      <c r="C143" s="2" t="s">
        <v>105</v>
      </c>
      <c r="D143" s="150">
        <v>5</v>
      </c>
      <c r="E143" s="87">
        <v>3</v>
      </c>
      <c r="F143" s="111">
        <v>4.5</v>
      </c>
      <c r="G143">
        <v>5.5</v>
      </c>
      <c r="H143" s="88">
        <v>7</v>
      </c>
      <c r="I143" s="89">
        <v>3.5</v>
      </c>
      <c r="J143">
        <v>4.5</v>
      </c>
      <c r="K143">
        <v>5.5</v>
      </c>
      <c r="L143" s="90">
        <v>6.5</v>
      </c>
    </row>
    <row r="144" spans="1:12" ht="15.75" thickBot="1" x14ac:dyDescent="0.3">
      <c r="A144" s="127" t="s">
        <v>116</v>
      </c>
      <c r="B144" s="119" t="s">
        <v>102</v>
      </c>
      <c r="C144" s="120" t="s">
        <v>104</v>
      </c>
      <c r="D144" s="150">
        <v>7.5</v>
      </c>
      <c r="E144" s="91">
        <v>5.5</v>
      </c>
      <c r="F144" s="92">
        <v>7</v>
      </c>
      <c r="G144" s="93">
        <v>8</v>
      </c>
      <c r="H144" s="94">
        <v>9.5</v>
      </c>
      <c r="I144" s="95">
        <v>6</v>
      </c>
      <c r="J144" s="93">
        <v>7</v>
      </c>
      <c r="K144" s="93">
        <v>8</v>
      </c>
      <c r="L144" s="96">
        <v>9</v>
      </c>
    </row>
    <row r="146" spans="1:12" ht="15.75" thickBot="1" x14ac:dyDescent="0.3">
      <c r="A146" s="1" t="s">
        <v>204</v>
      </c>
    </row>
    <row r="147" spans="1:12" ht="30.75" thickBot="1" x14ac:dyDescent="0.3">
      <c r="A147" s="171" t="s">
        <v>132</v>
      </c>
      <c r="B147" s="172" t="s">
        <v>133</v>
      </c>
      <c r="E147" s="283" t="s">
        <v>134</v>
      </c>
      <c r="F147" s="284"/>
      <c r="G147" s="284"/>
      <c r="H147" s="284"/>
      <c r="I147" s="284"/>
      <c r="J147" s="284"/>
      <c r="K147" s="284"/>
      <c r="L147" s="285"/>
    </row>
    <row r="148" spans="1:12" x14ac:dyDescent="0.25">
      <c r="A148" s="125" t="s">
        <v>129</v>
      </c>
      <c r="B148" s="130" t="s">
        <v>107</v>
      </c>
      <c r="D148" s="133" t="s">
        <v>138</v>
      </c>
      <c r="E148" s="81">
        <f>E128*F$142+E$142*F128-F128*F$142</f>
        <v>0</v>
      </c>
      <c r="F148" s="83">
        <f>F128*F$142</f>
        <v>0</v>
      </c>
      <c r="G148" s="83">
        <f>G128*G$142</f>
        <v>0</v>
      </c>
      <c r="H148" s="84">
        <f>G128*H$142+G$142*H128-G128*G$142</f>
        <v>0.66</v>
      </c>
      <c r="I148" s="81">
        <f>I128*J$142+I$142*J128-J128*J$142</f>
        <v>0</v>
      </c>
      <c r="J148" s="83">
        <f>J128*J$142</f>
        <v>0</v>
      </c>
      <c r="K148" s="83">
        <f>K128*K$142</f>
        <v>0</v>
      </c>
      <c r="L148" s="84">
        <f>K128*L$142+K$142*L128-K128*K$142</f>
        <v>0.44999999999999996</v>
      </c>
    </row>
    <row r="149" spans="1:12" x14ac:dyDescent="0.25">
      <c r="A149" s="126" t="s">
        <v>129</v>
      </c>
      <c r="B149" s="131" t="s">
        <v>106</v>
      </c>
      <c r="D149" s="134" t="s">
        <v>137</v>
      </c>
      <c r="E149" s="202">
        <f>IF(E129*F$142+E$142*F129-F129*F$142&lt;0,0,E129*F$142+E$142*F129-F129*F$142)</f>
        <v>0</v>
      </c>
      <c r="F149" s="179">
        <f t="shared" ref="F149:G151" si="107">F129*F$142</f>
        <v>0.44000000000000006</v>
      </c>
      <c r="G149" s="179">
        <f t="shared" si="107"/>
        <v>1.32</v>
      </c>
      <c r="H149" s="188">
        <f t="shared" ref="H149:H151" si="108">G129*H$142+G$142*H129-G129*G$142</f>
        <v>2.3099999999999996</v>
      </c>
      <c r="I149" s="187">
        <f t="shared" ref="I149:I151" si="109">I129*J$142+I$142*J129-J129*J$142</f>
        <v>5.3999999999999992E-2</v>
      </c>
      <c r="J149" s="179">
        <f t="shared" ref="J149:K151" si="110">J129*J$142</f>
        <v>0.44000000000000006</v>
      </c>
      <c r="K149" s="179">
        <f t="shared" si="110"/>
        <v>1.32</v>
      </c>
      <c r="L149" s="188">
        <f t="shared" ref="L149:L151" si="111">K129*L$142+K$142*L129-K129*K$142</f>
        <v>2</v>
      </c>
    </row>
    <row r="150" spans="1:12" x14ac:dyDescent="0.25">
      <c r="A150" s="126" t="s">
        <v>129</v>
      </c>
      <c r="B150" s="131" t="s">
        <v>105</v>
      </c>
      <c r="D150" s="134" t="s">
        <v>136</v>
      </c>
      <c r="E150" s="87">
        <f t="shared" ref="E150:E151" si="112">E130*F$142+E$142*F130-F130*F$142</f>
        <v>0.60499999999999998</v>
      </c>
      <c r="F150">
        <f t="shared" si="107"/>
        <v>1.1000000000000001</v>
      </c>
      <c r="G150">
        <f t="shared" si="107"/>
        <v>2.31</v>
      </c>
      <c r="H150" s="88">
        <f t="shared" si="108"/>
        <v>4.1549999999999994</v>
      </c>
      <c r="I150" s="87">
        <f t="shared" si="109"/>
        <v>0.77499999999999991</v>
      </c>
      <c r="J150">
        <f t="shared" si="110"/>
        <v>1.1000000000000001</v>
      </c>
      <c r="K150">
        <f t="shared" si="110"/>
        <v>2.31</v>
      </c>
      <c r="L150" s="88">
        <f t="shared" si="111"/>
        <v>3.53</v>
      </c>
    </row>
    <row r="151" spans="1:12" ht="15.75" thickBot="1" x14ac:dyDescent="0.3">
      <c r="A151" s="127" t="s">
        <v>129</v>
      </c>
      <c r="B151" s="132" t="s">
        <v>104</v>
      </c>
      <c r="D151" s="135" t="s">
        <v>135</v>
      </c>
      <c r="E151" s="91">
        <f t="shared" si="112"/>
        <v>1.04</v>
      </c>
      <c r="F151" s="93">
        <f t="shared" si="107"/>
        <v>2</v>
      </c>
      <c r="G151" s="93">
        <f t="shared" si="107"/>
        <v>3</v>
      </c>
      <c r="H151" s="94">
        <f t="shared" si="108"/>
        <v>4.5</v>
      </c>
      <c r="I151" s="91">
        <f t="shared" si="109"/>
        <v>1.3599999999999999</v>
      </c>
      <c r="J151" s="93">
        <f t="shared" si="110"/>
        <v>2</v>
      </c>
      <c r="K151" s="93">
        <f t="shared" si="110"/>
        <v>3</v>
      </c>
      <c r="L151" s="94">
        <f t="shared" si="111"/>
        <v>4</v>
      </c>
    </row>
    <row r="152" spans="1:12" x14ac:dyDescent="0.25">
      <c r="A152" s="125" t="s">
        <v>130</v>
      </c>
      <c r="B152" s="130" t="s">
        <v>107</v>
      </c>
      <c r="D152" s="133" t="s">
        <v>139</v>
      </c>
      <c r="E152" s="81">
        <f>E128*F$143+E$143*F128-F128*F$143</f>
        <v>0</v>
      </c>
      <c r="F152" s="83">
        <f>F128*F$143</f>
        <v>0</v>
      </c>
      <c r="G152" s="83">
        <f>G128*G$143</f>
        <v>0</v>
      </c>
      <c r="H152" s="84">
        <f>G128*H$143+G$143*H128-G128*G$143</f>
        <v>1.21</v>
      </c>
      <c r="I152" s="81">
        <f>I128*J$143+I$143*J128-J128*J$143</f>
        <v>0</v>
      </c>
      <c r="J152" s="83">
        <f>J128*J$143</f>
        <v>0</v>
      </c>
      <c r="K152" s="83">
        <f>K128*K$143</f>
        <v>0</v>
      </c>
      <c r="L152" s="84">
        <f>K128*L$143+K$143*L128-K128*K$143</f>
        <v>0.82499999999999996</v>
      </c>
    </row>
    <row r="153" spans="1:12" x14ac:dyDescent="0.25">
      <c r="A153" s="126" t="s">
        <v>130</v>
      </c>
      <c r="B153" s="131" t="s">
        <v>106</v>
      </c>
      <c r="D153" s="134" t="s">
        <v>144</v>
      </c>
      <c r="E153" s="202">
        <f>IF(E129*F$143+E$143*F129-F129*F$143&lt;0,0,E129*F$143+E$143*F129-F129*F$143)</f>
        <v>0</v>
      </c>
      <c r="F153" s="179">
        <f t="shared" ref="F153:G155" si="113">F129*F$143</f>
        <v>0.9900000000000001</v>
      </c>
      <c r="G153" s="179">
        <f t="shared" si="113"/>
        <v>2.42</v>
      </c>
      <c r="H153" s="188">
        <f t="shared" ref="H153:H155" si="114">G129*H$143+G$143*H129-G129*G$143</f>
        <v>3.6850000000000005</v>
      </c>
      <c r="I153" s="187">
        <f t="shared" ref="I153:I155" si="115">I129*J$143+I$143*J129-J129*J$143</f>
        <v>4.9999999999999933E-2</v>
      </c>
      <c r="J153" s="179">
        <f t="shared" ref="J153:K155" si="116">J129*J$143</f>
        <v>0.9900000000000001</v>
      </c>
      <c r="K153" s="179">
        <f t="shared" si="116"/>
        <v>2.42</v>
      </c>
      <c r="L153" s="188">
        <f t="shared" ref="L153:L155" si="117">K129*L$143+K$143*L129-K129*K$143</f>
        <v>3.3000000000000007</v>
      </c>
    </row>
    <row r="154" spans="1:12" x14ac:dyDescent="0.25">
      <c r="A154" s="126" t="s">
        <v>130</v>
      </c>
      <c r="B154" s="131" t="s">
        <v>105</v>
      </c>
      <c r="D154" s="134" t="s">
        <v>145</v>
      </c>
      <c r="E154" s="87">
        <f t="shared" ref="E154:E155" si="118">E130*F$143+E$143*F130-F130*F$143</f>
        <v>1.1550000000000002</v>
      </c>
      <c r="F154">
        <f t="shared" si="113"/>
        <v>2.4750000000000001</v>
      </c>
      <c r="G154">
        <f t="shared" si="113"/>
        <v>4.2350000000000003</v>
      </c>
      <c r="H154" s="88">
        <f t="shared" si="114"/>
        <v>6.6550000000000002</v>
      </c>
      <c r="I154" s="87">
        <f t="shared" si="115"/>
        <v>1.5650000000000008</v>
      </c>
      <c r="J154">
        <f t="shared" si="116"/>
        <v>2.4750000000000001</v>
      </c>
      <c r="K154">
        <f t="shared" si="116"/>
        <v>4.2350000000000003</v>
      </c>
      <c r="L154" s="88">
        <f t="shared" si="117"/>
        <v>5.830000000000001</v>
      </c>
    </row>
    <row r="155" spans="1:12" ht="15.75" thickBot="1" x14ac:dyDescent="0.3">
      <c r="A155" s="127" t="s">
        <v>130</v>
      </c>
      <c r="B155" s="132" t="s">
        <v>104</v>
      </c>
      <c r="D155" s="135" t="s">
        <v>146</v>
      </c>
      <c r="E155" s="91">
        <f t="shared" si="118"/>
        <v>1.9649999999999999</v>
      </c>
      <c r="F155" s="93">
        <f t="shared" si="113"/>
        <v>4.5</v>
      </c>
      <c r="G155" s="93">
        <f t="shared" si="113"/>
        <v>5.5</v>
      </c>
      <c r="H155" s="94">
        <f t="shared" si="114"/>
        <v>7</v>
      </c>
      <c r="I155" s="91">
        <f t="shared" si="115"/>
        <v>2.7349999999999994</v>
      </c>
      <c r="J155" s="93">
        <f t="shared" si="116"/>
        <v>4.5</v>
      </c>
      <c r="K155" s="93">
        <f t="shared" si="116"/>
        <v>5.5</v>
      </c>
      <c r="L155" s="94">
        <f t="shared" si="117"/>
        <v>6.5</v>
      </c>
    </row>
    <row r="156" spans="1:12" x14ac:dyDescent="0.25">
      <c r="A156" s="125" t="s">
        <v>131</v>
      </c>
      <c r="B156" s="130" t="s">
        <v>107</v>
      </c>
      <c r="D156" s="133" t="s">
        <v>141</v>
      </c>
      <c r="E156" s="81">
        <f>E128*F$144+E$144*F128-F128*F$144</f>
        <v>0</v>
      </c>
      <c r="F156" s="83">
        <f>F128*F$144</f>
        <v>0</v>
      </c>
      <c r="G156" s="83">
        <f>G128*G$144</f>
        <v>0</v>
      </c>
      <c r="H156" s="84">
        <f>G128*H$144+G$144*H128-G128*G$144</f>
        <v>1.76</v>
      </c>
      <c r="I156" s="81">
        <f>I128*J$144+I$144*J128-J128*J$144</f>
        <v>0</v>
      </c>
      <c r="J156" s="83">
        <f>J128*J$144</f>
        <v>0</v>
      </c>
      <c r="K156" s="83">
        <f>K128*K$144</f>
        <v>0</v>
      </c>
      <c r="L156" s="84">
        <f>K128*L$144+K$144*L128-K128*K$144</f>
        <v>1.2</v>
      </c>
    </row>
    <row r="157" spans="1:12" x14ac:dyDescent="0.25">
      <c r="A157" s="126" t="s">
        <v>131</v>
      </c>
      <c r="B157" s="131" t="s">
        <v>106</v>
      </c>
      <c r="D157" s="134" t="s">
        <v>140</v>
      </c>
      <c r="E157" s="202">
        <f>IF(E129*F$144+E$144*F129-F129*F$144&lt;0,0,E129*F$144+E$144*F129-F129*F$144)</f>
        <v>0</v>
      </c>
      <c r="F157" s="179">
        <f t="shared" ref="F157:G159" si="119">F129*F$144</f>
        <v>1.5400000000000003</v>
      </c>
      <c r="G157" s="179">
        <f t="shared" si="119"/>
        <v>3.52</v>
      </c>
      <c r="H157" s="188">
        <f t="shared" ref="H157:H159" si="120">G129*H$144+G$144*H129-G129*G$144</f>
        <v>5.0600000000000005</v>
      </c>
      <c r="I157" s="187">
        <f t="shared" ref="I157:I159" si="121">I129*J$144+I$144*J129-J129*J$144</f>
        <v>0.19999999999999996</v>
      </c>
      <c r="J157" s="179">
        <f t="shared" ref="J157:K159" si="122">J129*J$144</f>
        <v>1.5400000000000003</v>
      </c>
      <c r="K157" s="179">
        <f t="shared" si="122"/>
        <v>3.52</v>
      </c>
      <c r="L157" s="188">
        <f t="shared" ref="L157:L159" si="123">K129*L$144+K$144*L129-K129*K$144</f>
        <v>4.6000000000000014</v>
      </c>
    </row>
    <row r="158" spans="1:12" x14ac:dyDescent="0.25">
      <c r="A158" s="126" t="s">
        <v>131</v>
      </c>
      <c r="B158" s="131" t="s">
        <v>105</v>
      </c>
      <c r="D158" s="134" t="s">
        <v>142</v>
      </c>
      <c r="E158" s="87">
        <f t="shared" ref="E158:E159" si="124">E130*F$144+E$144*F130-F130*F$144</f>
        <v>2.2549999999999999</v>
      </c>
      <c r="F158">
        <f t="shared" si="119"/>
        <v>3.8500000000000005</v>
      </c>
      <c r="G158">
        <f t="shared" si="119"/>
        <v>6.16</v>
      </c>
      <c r="H158" s="88">
        <f t="shared" si="120"/>
        <v>9.1550000000000011</v>
      </c>
      <c r="I158" s="87">
        <f t="shared" si="121"/>
        <v>2.7399999999999993</v>
      </c>
      <c r="J158">
        <f t="shared" si="122"/>
        <v>3.8500000000000005</v>
      </c>
      <c r="K158">
        <f t="shared" si="122"/>
        <v>6.16</v>
      </c>
      <c r="L158" s="88">
        <f t="shared" si="123"/>
        <v>8.129999999999999</v>
      </c>
    </row>
    <row r="159" spans="1:12" ht="15.75" thickBot="1" x14ac:dyDescent="0.3">
      <c r="A159" s="127" t="s">
        <v>131</v>
      </c>
      <c r="B159" s="132" t="s">
        <v>104</v>
      </c>
      <c r="D159" s="135" t="s">
        <v>143</v>
      </c>
      <c r="E159" s="91">
        <f t="shared" si="124"/>
        <v>3.8900000000000006</v>
      </c>
      <c r="F159" s="93">
        <f t="shared" si="119"/>
        <v>7</v>
      </c>
      <c r="G159" s="93">
        <f t="shared" si="119"/>
        <v>8</v>
      </c>
      <c r="H159" s="94">
        <f t="shared" si="120"/>
        <v>9.5</v>
      </c>
      <c r="I159" s="91">
        <f t="shared" si="121"/>
        <v>4.8099999999999987</v>
      </c>
      <c r="J159" s="93">
        <f t="shared" si="122"/>
        <v>7</v>
      </c>
      <c r="K159" s="93">
        <f t="shared" si="122"/>
        <v>8</v>
      </c>
      <c r="L159" s="94">
        <f t="shared" si="123"/>
        <v>9</v>
      </c>
    </row>
    <row r="161" spans="1:3" x14ac:dyDescent="0.25">
      <c r="A161" s="1" t="s">
        <v>221</v>
      </c>
    </row>
    <row r="162" spans="1:3" ht="15.75" thickBot="1" x14ac:dyDescent="0.3">
      <c r="A162" s="1" t="s">
        <v>206</v>
      </c>
    </row>
    <row r="163" spans="1:3" ht="15.75" thickBot="1" x14ac:dyDescent="0.3">
      <c r="A163" s="170" t="s">
        <v>175</v>
      </c>
      <c r="B163" s="192" t="s">
        <v>224</v>
      </c>
      <c r="C163" s="192" t="s">
        <v>225</v>
      </c>
    </row>
    <row r="164" spans="1:3" x14ac:dyDescent="0.25">
      <c r="A164" s="191" t="s">
        <v>176</v>
      </c>
      <c r="B164" s="173">
        <v>1</v>
      </c>
      <c r="C164" s="174">
        <f>B164/B$166</f>
        <v>0.5</v>
      </c>
    </row>
    <row r="165" spans="1:3" ht="15.75" thickBot="1" x14ac:dyDescent="0.3">
      <c r="A165" s="28" t="s">
        <v>177</v>
      </c>
      <c r="B165" s="18">
        <v>1</v>
      </c>
      <c r="C165" s="20">
        <f>B165/B$166</f>
        <v>0.5</v>
      </c>
    </row>
    <row r="166" spans="1:3" ht="15.75" thickBot="1" x14ac:dyDescent="0.3">
      <c r="A166" s="29" t="s">
        <v>223</v>
      </c>
      <c r="B166" s="193">
        <f>SUM(B164:B165)</f>
        <v>2</v>
      </c>
      <c r="C166" s="194">
        <f>SUM(C164:C165)</f>
        <v>1</v>
      </c>
    </row>
    <row r="168" spans="1:3" x14ac:dyDescent="0.25">
      <c r="A168" s="1" t="s">
        <v>222</v>
      </c>
    </row>
    <row r="169" spans="1:3" ht="15.75" thickBot="1" x14ac:dyDescent="0.3">
      <c r="A169" s="1" t="s">
        <v>208</v>
      </c>
    </row>
    <row r="170" spans="1:3" ht="15" customHeight="1" thickBot="1" x14ac:dyDescent="0.3">
      <c r="A170" s="178" t="s">
        <v>175</v>
      </c>
      <c r="B170" s="114" t="s">
        <v>224</v>
      </c>
      <c r="C170" s="198" t="s">
        <v>225</v>
      </c>
    </row>
    <row r="171" spans="1:3" x14ac:dyDescent="0.25">
      <c r="A171" s="191" t="s">
        <v>176</v>
      </c>
      <c r="B171" s="26">
        <v>0.75</v>
      </c>
      <c r="C171" s="199">
        <f>B171/B$174</f>
        <v>0.3</v>
      </c>
    </row>
    <row r="172" spans="1:3" x14ac:dyDescent="0.25">
      <c r="A172" s="27" t="s">
        <v>177</v>
      </c>
      <c r="B172" s="27">
        <v>0.75</v>
      </c>
      <c r="C172" s="161">
        <f t="shared" ref="C172:C173" si="125">B172/B$174</f>
        <v>0.3</v>
      </c>
    </row>
    <row r="173" spans="1:3" ht="15.75" thickBot="1" x14ac:dyDescent="0.3">
      <c r="A173" s="195" t="s">
        <v>207</v>
      </c>
      <c r="B173" s="195">
        <v>1</v>
      </c>
      <c r="C173" s="162">
        <f t="shared" si="125"/>
        <v>0.4</v>
      </c>
    </row>
    <row r="174" spans="1:3" ht="15.75" thickBot="1" x14ac:dyDescent="0.3">
      <c r="A174" s="29" t="s">
        <v>223</v>
      </c>
      <c r="B174" s="196">
        <f>SUM(B171:B173)</f>
        <v>2.5</v>
      </c>
      <c r="C174" s="197">
        <f>SUM(C171:C173)</f>
        <v>1</v>
      </c>
    </row>
    <row r="176" spans="1:3" ht="15.75" thickBot="1" x14ac:dyDescent="0.3">
      <c r="A176" t="s">
        <v>212</v>
      </c>
    </row>
    <row r="177" spans="1:32" ht="15.75" thickBot="1" x14ac:dyDescent="0.3">
      <c r="A177" s="304" t="s">
        <v>86</v>
      </c>
      <c r="B177" s="303" t="s">
        <v>209</v>
      </c>
      <c r="C177" s="306"/>
      <c r="D177" s="306"/>
      <c r="E177" s="306"/>
      <c r="F177" s="306"/>
      <c r="G177" s="306"/>
      <c r="H177" s="306"/>
      <c r="I177" s="307"/>
      <c r="J177" s="303" t="s">
        <v>210</v>
      </c>
      <c r="K177" s="306"/>
      <c r="L177" s="306"/>
      <c r="M177" s="306"/>
      <c r="N177" s="306"/>
      <c r="O177" s="306"/>
      <c r="P177" s="306"/>
      <c r="Q177" s="307"/>
      <c r="R177" s="303" t="s">
        <v>211</v>
      </c>
      <c r="S177" s="306"/>
      <c r="T177" s="306"/>
      <c r="U177" s="306"/>
      <c r="V177" s="306"/>
      <c r="W177" s="306"/>
      <c r="X177" s="306"/>
      <c r="Y177" s="307"/>
    </row>
    <row r="178" spans="1:32" ht="33.75" customHeight="1" thickBot="1" x14ac:dyDescent="0.3">
      <c r="A178" s="305"/>
      <c r="B178" s="300" t="s">
        <v>17</v>
      </c>
      <c r="C178" s="301"/>
      <c r="D178" s="301"/>
      <c r="E178" s="302"/>
      <c r="F178" s="303" t="s">
        <v>18</v>
      </c>
      <c r="G178" s="301"/>
      <c r="H178" s="301"/>
      <c r="I178" s="302"/>
      <c r="J178" s="300" t="s">
        <v>17</v>
      </c>
      <c r="K178" s="301"/>
      <c r="L178" s="301"/>
      <c r="M178" s="302"/>
      <c r="N178" s="303" t="s">
        <v>18</v>
      </c>
      <c r="O178" s="301"/>
      <c r="P178" s="301"/>
      <c r="Q178" s="302"/>
      <c r="R178" s="300" t="s">
        <v>17</v>
      </c>
      <c r="S178" s="301"/>
      <c r="T178" s="301"/>
      <c r="U178" s="302"/>
      <c r="V178" s="303" t="s">
        <v>18</v>
      </c>
      <c r="W178" s="301"/>
      <c r="X178" s="301"/>
      <c r="Y178" s="302"/>
    </row>
    <row r="179" spans="1:32" x14ac:dyDescent="0.25">
      <c r="A179" s="169" t="s">
        <v>84</v>
      </c>
      <c r="B179" s="11">
        <f t="shared" ref="B179:B188" si="126">BG11</f>
        <v>6.4600000000000009</v>
      </c>
      <c r="C179" s="12">
        <f t="shared" ref="C179:C188" si="127">BH11</f>
        <v>12.6</v>
      </c>
      <c r="D179" s="12">
        <f t="shared" ref="D179:D188" si="128">BI11</f>
        <v>15.81</v>
      </c>
      <c r="E179" s="13">
        <f t="shared" ref="E179:E188" si="129">BJ11</f>
        <v>20.655000000000001</v>
      </c>
      <c r="F179" s="11">
        <f t="shared" ref="F179:F188" si="130">BK11</f>
        <v>8.3199999999999985</v>
      </c>
      <c r="G179" s="12">
        <f t="shared" ref="G179:G188" si="131">BL11</f>
        <v>12.6</v>
      </c>
      <c r="H179" s="12">
        <f t="shared" ref="H179:H188" si="132">BM11</f>
        <v>15.81</v>
      </c>
      <c r="I179" s="166">
        <f t="shared" ref="I179:I188" si="133">BN11</f>
        <v>19.03</v>
      </c>
      <c r="J179" s="11">
        <f t="shared" ref="J179:J188" si="134">BG63</f>
        <v>4.22</v>
      </c>
      <c r="K179" s="12">
        <f t="shared" ref="K179:K188" si="135">BH63</f>
        <v>9.89</v>
      </c>
      <c r="L179" s="12">
        <f t="shared" ref="L179:L188" si="136">BI63</f>
        <v>15.18</v>
      </c>
      <c r="M179" s="13">
        <f t="shared" ref="M179:M188" si="137">BJ63</f>
        <v>21.215000000000003</v>
      </c>
      <c r="N179" s="11">
        <f t="shared" ref="N179:N188" si="138">BK63</f>
        <v>5.6749999999999989</v>
      </c>
      <c r="O179" s="12">
        <f t="shared" ref="O179:O188" si="139">BL63</f>
        <v>9.89</v>
      </c>
      <c r="P179" s="12">
        <f t="shared" ref="P179:P188" si="140">BM63</f>
        <v>15.18</v>
      </c>
      <c r="Q179" s="13">
        <f t="shared" ref="Q179:Q188" si="141">BN63</f>
        <v>19.23</v>
      </c>
      <c r="R179" s="11">
        <f t="shared" ref="R179:R188" si="142">BG115</f>
        <v>5.0450000000000008</v>
      </c>
      <c r="S179" s="12">
        <f t="shared" ref="S179:S188" si="143">BH115</f>
        <v>9.9149999999999991</v>
      </c>
      <c r="T179" s="12">
        <f t="shared" ref="T179:T188" si="144">BI115</f>
        <v>13.555</v>
      </c>
      <c r="U179" s="13">
        <f t="shared" ref="U179:U188" si="145">BJ115</f>
        <v>18.465</v>
      </c>
      <c r="V179" s="11">
        <f t="shared" ref="V179:V188" si="146">BK115</f>
        <v>6.4289999999999994</v>
      </c>
      <c r="W179" s="12">
        <f t="shared" ref="W179:W188" si="147">BL115</f>
        <v>9.9149999999999991</v>
      </c>
      <c r="X179" s="12">
        <f t="shared" ref="X179:X188" si="148">BM115</f>
        <v>13.555</v>
      </c>
      <c r="Y179" s="13">
        <f t="shared" ref="Y179:Y188" si="149">BN115</f>
        <v>16.830000000000002</v>
      </c>
    </row>
    <row r="180" spans="1:32" x14ac:dyDescent="0.25">
      <c r="A180" s="164" t="s">
        <v>73</v>
      </c>
      <c r="B180" s="9">
        <f t="shared" si="126"/>
        <v>1.1550000000000002</v>
      </c>
      <c r="C180" s="2">
        <f t="shared" si="127"/>
        <v>4.4550000000000001</v>
      </c>
      <c r="D180" s="2">
        <f t="shared" si="128"/>
        <v>9.0749999999999993</v>
      </c>
      <c r="E180" s="10">
        <f t="shared" si="129"/>
        <v>14.025</v>
      </c>
      <c r="F180" s="9">
        <f t="shared" si="130"/>
        <v>1.8190000000000008</v>
      </c>
      <c r="G180" s="2">
        <f t="shared" si="131"/>
        <v>4.4550000000000001</v>
      </c>
      <c r="H180" s="2">
        <f t="shared" si="132"/>
        <v>9.0749999999999993</v>
      </c>
      <c r="I180" s="159">
        <f t="shared" si="133"/>
        <v>12.430000000000003</v>
      </c>
      <c r="J180" s="9">
        <f t="shared" si="134"/>
        <v>1.1550000000000002</v>
      </c>
      <c r="K180" s="2">
        <f t="shared" si="135"/>
        <v>5.5550000000000006</v>
      </c>
      <c r="L180" s="2">
        <f t="shared" si="136"/>
        <v>11.275</v>
      </c>
      <c r="M180" s="10">
        <f t="shared" si="137"/>
        <v>16.775000000000002</v>
      </c>
      <c r="N180" s="9">
        <f t="shared" si="138"/>
        <v>1.9650000000000007</v>
      </c>
      <c r="O180" s="2">
        <f t="shared" si="139"/>
        <v>5.5550000000000006</v>
      </c>
      <c r="P180" s="2">
        <f t="shared" si="140"/>
        <v>11.275</v>
      </c>
      <c r="Q180" s="10">
        <f t="shared" si="141"/>
        <v>15.030000000000005</v>
      </c>
      <c r="R180" s="180">
        <f t="shared" si="142"/>
        <v>0.60499999999999998</v>
      </c>
      <c r="S180" s="181">
        <f t="shared" si="143"/>
        <v>3.6300000000000008</v>
      </c>
      <c r="T180" s="181">
        <f t="shared" si="144"/>
        <v>8.25</v>
      </c>
      <c r="U180" s="182">
        <f t="shared" si="145"/>
        <v>12.9</v>
      </c>
      <c r="V180" s="180">
        <f t="shared" si="146"/>
        <v>1.0249999999999999</v>
      </c>
      <c r="W180" s="181">
        <f t="shared" si="147"/>
        <v>3.6300000000000008</v>
      </c>
      <c r="X180" s="181">
        <f t="shared" si="148"/>
        <v>8.25</v>
      </c>
      <c r="Y180" s="182">
        <f t="shared" si="149"/>
        <v>11.430000000000001</v>
      </c>
    </row>
    <row r="181" spans="1:32" x14ac:dyDescent="0.25">
      <c r="A181" s="164" t="s">
        <v>74</v>
      </c>
      <c r="B181" s="9">
        <f t="shared" si="126"/>
        <v>4.0150000000000006</v>
      </c>
      <c r="C181" s="2">
        <f t="shared" si="127"/>
        <v>7.4250000000000007</v>
      </c>
      <c r="D181" s="2">
        <f t="shared" si="128"/>
        <v>12.705000000000002</v>
      </c>
      <c r="E181" s="10">
        <f t="shared" si="129"/>
        <v>19.965</v>
      </c>
      <c r="F181" s="9">
        <f t="shared" si="130"/>
        <v>5.08</v>
      </c>
      <c r="G181" s="2">
        <f t="shared" si="131"/>
        <v>7.4250000000000007</v>
      </c>
      <c r="H181" s="2">
        <f t="shared" si="132"/>
        <v>12.705000000000002</v>
      </c>
      <c r="I181" s="159">
        <f t="shared" si="133"/>
        <v>17.489999999999998</v>
      </c>
      <c r="J181" s="9">
        <f t="shared" si="134"/>
        <v>7.3000000000000007</v>
      </c>
      <c r="K181" s="2">
        <f t="shared" si="135"/>
        <v>13.325000000000001</v>
      </c>
      <c r="L181" s="2">
        <f t="shared" si="136"/>
        <v>18.395</v>
      </c>
      <c r="M181" s="10">
        <f t="shared" si="137"/>
        <v>25.310000000000002</v>
      </c>
      <c r="N181" s="9">
        <f t="shared" si="138"/>
        <v>9.1149999999999984</v>
      </c>
      <c r="O181" s="2">
        <f t="shared" si="139"/>
        <v>13.325000000000001</v>
      </c>
      <c r="P181" s="2">
        <f t="shared" si="140"/>
        <v>18.395</v>
      </c>
      <c r="Q181" s="10">
        <f t="shared" si="141"/>
        <v>22.96</v>
      </c>
      <c r="R181" s="9">
        <f t="shared" si="142"/>
        <v>4.8249999999999993</v>
      </c>
      <c r="S181" s="2">
        <f t="shared" si="143"/>
        <v>9.4499999999999993</v>
      </c>
      <c r="T181" s="2">
        <f t="shared" si="144"/>
        <v>13.97</v>
      </c>
      <c r="U181" s="10">
        <f t="shared" si="145"/>
        <v>20.310000000000002</v>
      </c>
      <c r="V181" s="9">
        <f t="shared" si="146"/>
        <v>6.2499999999999982</v>
      </c>
      <c r="W181" s="2">
        <f t="shared" si="147"/>
        <v>9.4499999999999993</v>
      </c>
      <c r="X181" s="2">
        <f t="shared" si="148"/>
        <v>13.97</v>
      </c>
      <c r="Y181" s="10">
        <f t="shared" si="149"/>
        <v>18.159999999999997</v>
      </c>
    </row>
    <row r="182" spans="1:32" x14ac:dyDescent="0.25">
      <c r="A182" s="164" t="s">
        <v>75</v>
      </c>
      <c r="B182" s="9">
        <f t="shared" si="126"/>
        <v>5.6500000000000012</v>
      </c>
      <c r="C182" s="2">
        <f t="shared" si="127"/>
        <v>10.574999999999999</v>
      </c>
      <c r="D182" s="2">
        <f t="shared" si="128"/>
        <v>14.545000000000002</v>
      </c>
      <c r="E182" s="10">
        <f t="shared" si="129"/>
        <v>20.309999999999999</v>
      </c>
      <c r="F182" s="9">
        <f t="shared" si="130"/>
        <v>7.15</v>
      </c>
      <c r="G182" s="2">
        <f t="shared" si="131"/>
        <v>10.574999999999999</v>
      </c>
      <c r="H182" s="2">
        <f t="shared" si="132"/>
        <v>14.545000000000002</v>
      </c>
      <c r="I182" s="159">
        <f t="shared" si="133"/>
        <v>18.36</v>
      </c>
      <c r="J182" s="9">
        <f t="shared" si="134"/>
        <v>6.1450000000000005</v>
      </c>
      <c r="K182" s="2">
        <f t="shared" si="135"/>
        <v>11.840000000000002</v>
      </c>
      <c r="L182" s="2">
        <f t="shared" si="136"/>
        <v>16.579999999999998</v>
      </c>
      <c r="M182" s="10">
        <f t="shared" si="137"/>
        <v>22.340000000000003</v>
      </c>
      <c r="N182" s="9">
        <f t="shared" si="138"/>
        <v>7.5999999999999979</v>
      </c>
      <c r="O182" s="2">
        <f t="shared" si="139"/>
        <v>11.840000000000002</v>
      </c>
      <c r="P182" s="2">
        <f t="shared" si="140"/>
        <v>16.579999999999998</v>
      </c>
      <c r="Q182" s="10">
        <f t="shared" si="141"/>
        <v>20.43</v>
      </c>
      <c r="R182" s="9">
        <f t="shared" si="142"/>
        <v>2.1950000000000003</v>
      </c>
      <c r="S182" s="2">
        <f t="shared" si="143"/>
        <v>6.0149999999999997</v>
      </c>
      <c r="T182" s="2">
        <f t="shared" si="144"/>
        <v>10.755000000000001</v>
      </c>
      <c r="U182" s="10">
        <f t="shared" si="145"/>
        <v>16.215000000000003</v>
      </c>
      <c r="V182" s="9">
        <f t="shared" si="146"/>
        <v>3.1250000000000009</v>
      </c>
      <c r="W182" s="2">
        <f t="shared" si="147"/>
        <v>6.0149999999999997</v>
      </c>
      <c r="X182" s="2">
        <f t="shared" si="148"/>
        <v>10.755000000000001</v>
      </c>
      <c r="Y182" s="10">
        <f t="shared" si="149"/>
        <v>14.430000000000003</v>
      </c>
    </row>
    <row r="183" spans="1:32" x14ac:dyDescent="0.25">
      <c r="A183" s="164" t="s">
        <v>77</v>
      </c>
      <c r="B183" s="9">
        <f t="shared" si="126"/>
        <v>4.45</v>
      </c>
      <c r="C183" s="2">
        <f t="shared" si="127"/>
        <v>8.3250000000000011</v>
      </c>
      <c r="D183" s="2">
        <f t="shared" si="128"/>
        <v>13.395</v>
      </c>
      <c r="E183" s="10">
        <f t="shared" si="129"/>
        <v>20.310000000000002</v>
      </c>
      <c r="F183" s="9">
        <f t="shared" si="130"/>
        <v>5.6650000000000009</v>
      </c>
      <c r="G183" s="2">
        <f t="shared" si="131"/>
        <v>8.3250000000000011</v>
      </c>
      <c r="H183" s="2">
        <f t="shared" si="132"/>
        <v>13.395</v>
      </c>
      <c r="I183" s="159">
        <f t="shared" si="133"/>
        <v>17.96</v>
      </c>
      <c r="J183" s="9">
        <f t="shared" si="134"/>
        <v>7.3000000000000007</v>
      </c>
      <c r="K183" s="2">
        <f t="shared" si="135"/>
        <v>13.325000000000001</v>
      </c>
      <c r="L183" s="2">
        <f t="shared" si="136"/>
        <v>18.395</v>
      </c>
      <c r="M183" s="10">
        <f t="shared" si="137"/>
        <v>25.310000000000002</v>
      </c>
      <c r="N183" s="9">
        <f t="shared" si="138"/>
        <v>9.1149999999999984</v>
      </c>
      <c r="O183" s="2">
        <f t="shared" si="139"/>
        <v>13.325000000000001</v>
      </c>
      <c r="P183" s="2">
        <f t="shared" si="140"/>
        <v>18.395</v>
      </c>
      <c r="Q183" s="10">
        <f t="shared" si="141"/>
        <v>22.96</v>
      </c>
      <c r="R183" s="9">
        <f t="shared" si="142"/>
        <v>2.57</v>
      </c>
      <c r="S183" s="2">
        <f t="shared" si="143"/>
        <v>7.14</v>
      </c>
      <c r="T183" s="2">
        <f t="shared" si="144"/>
        <v>11.33</v>
      </c>
      <c r="U183" s="10">
        <f t="shared" si="145"/>
        <v>16.215</v>
      </c>
      <c r="V183" s="9">
        <f t="shared" si="146"/>
        <v>3.7099999999999991</v>
      </c>
      <c r="W183" s="2">
        <f t="shared" si="147"/>
        <v>7.14</v>
      </c>
      <c r="X183" s="2">
        <f t="shared" si="148"/>
        <v>11.33</v>
      </c>
      <c r="Y183" s="10">
        <f t="shared" si="149"/>
        <v>14.63</v>
      </c>
    </row>
    <row r="184" spans="1:32" x14ac:dyDescent="0.25">
      <c r="A184" s="164" t="s">
        <v>78</v>
      </c>
      <c r="B184" s="9">
        <f t="shared" si="126"/>
        <v>4.495000000000001</v>
      </c>
      <c r="C184" s="2">
        <f t="shared" si="127"/>
        <v>9.09</v>
      </c>
      <c r="D184" s="2">
        <f t="shared" si="128"/>
        <v>12.73</v>
      </c>
      <c r="E184" s="10">
        <f t="shared" si="129"/>
        <v>17.34</v>
      </c>
      <c r="F184" s="9">
        <f t="shared" si="130"/>
        <v>5.6349999999999989</v>
      </c>
      <c r="G184" s="2">
        <f t="shared" si="131"/>
        <v>9.09</v>
      </c>
      <c r="H184" s="2">
        <f t="shared" si="132"/>
        <v>12.73</v>
      </c>
      <c r="I184" s="159">
        <f t="shared" si="133"/>
        <v>15.83</v>
      </c>
      <c r="J184" s="9">
        <f t="shared" si="134"/>
        <v>6.1450000000000005</v>
      </c>
      <c r="K184" s="2">
        <f t="shared" si="135"/>
        <v>11.840000000000002</v>
      </c>
      <c r="L184" s="2">
        <f t="shared" si="136"/>
        <v>16.579999999999998</v>
      </c>
      <c r="M184" s="10">
        <f t="shared" si="137"/>
        <v>22.340000000000003</v>
      </c>
      <c r="N184" s="9">
        <f t="shared" si="138"/>
        <v>7.5999999999999979</v>
      </c>
      <c r="O184" s="2">
        <f t="shared" si="139"/>
        <v>11.840000000000002</v>
      </c>
      <c r="P184" s="2">
        <f t="shared" si="140"/>
        <v>16.579999999999998</v>
      </c>
      <c r="Q184" s="10">
        <f t="shared" si="141"/>
        <v>20.43</v>
      </c>
      <c r="R184" s="9">
        <f t="shared" si="142"/>
        <v>1.1550000000000002</v>
      </c>
      <c r="S184" s="2">
        <f t="shared" si="143"/>
        <v>4.4550000000000001</v>
      </c>
      <c r="T184" s="2">
        <f t="shared" si="144"/>
        <v>9.0750000000000011</v>
      </c>
      <c r="U184" s="10">
        <f t="shared" si="145"/>
        <v>14.025</v>
      </c>
      <c r="V184" s="9">
        <f t="shared" si="146"/>
        <v>1.8190000000000008</v>
      </c>
      <c r="W184" s="2">
        <f t="shared" si="147"/>
        <v>4.4550000000000001</v>
      </c>
      <c r="X184" s="2">
        <f t="shared" si="148"/>
        <v>9.0750000000000011</v>
      </c>
      <c r="Y184" s="10">
        <f t="shared" si="149"/>
        <v>12.430000000000003</v>
      </c>
    </row>
    <row r="185" spans="1:32" x14ac:dyDescent="0.25">
      <c r="A185" s="164" t="s">
        <v>79</v>
      </c>
      <c r="B185" s="9">
        <f t="shared" si="126"/>
        <v>4.495000000000001</v>
      </c>
      <c r="C185" s="2">
        <f t="shared" si="127"/>
        <v>9.09</v>
      </c>
      <c r="D185" s="2">
        <f t="shared" si="128"/>
        <v>12.73</v>
      </c>
      <c r="E185" s="10">
        <f t="shared" si="129"/>
        <v>17.34</v>
      </c>
      <c r="F185" s="9">
        <f t="shared" si="130"/>
        <v>5.6349999999999989</v>
      </c>
      <c r="G185" s="2">
        <f t="shared" si="131"/>
        <v>9.09</v>
      </c>
      <c r="H185" s="2">
        <f t="shared" si="132"/>
        <v>12.73</v>
      </c>
      <c r="I185" s="159">
        <f t="shared" si="133"/>
        <v>15.83</v>
      </c>
      <c r="J185" s="9">
        <f t="shared" si="134"/>
        <v>6.1450000000000005</v>
      </c>
      <c r="K185" s="2">
        <f t="shared" si="135"/>
        <v>11.840000000000002</v>
      </c>
      <c r="L185" s="2">
        <f t="shared" si="136"/>
        <v>16.579999999999998</v>
      </c>
      <c r="M185" s="10">
        <f t="shared" si="137"/>
        <v>22.340000000000003</v>
      </c>
      <c r="N185" s="9">
        <f t="shared" si="138"/>
        <v>7.5999999999999979</v>
      </c>
      <c r="O185" s="2">
        <f t="shared" si="139"/>
        <v>11.840000000000002</v>
      </c>
      <c r="P185" s="2">
        <f t="shared" si="140"/>
        <v>16.579999999999998</v>
      </c>
      <c r="Q185" s="10">
        <f t="shared" si="141"/>
        <v>20.43</v>
      </c>
      <c r="R185" s="9">
        <f t="shared" si="142"/>
        <v>2.1950000000000003</v>
      </c>
      <c r="S185" s="2">
        <f t="shared" si="143"/>
        <v>6.0149999999999997</v>
      </c>
      <c r="T185" s="2">
        <f t="shared" si="144"/>
        <v>10.755000000000001</v>
      </c>
      <c r="U185" s="10">
        <f t="shared" si="145"/>
        <v>16.215000000000003</v>
      </c>
      <c r="V185" s="9">
        <f t="shared" si="146"/>
        <v>3.1250000000000009</v>
      </c>
      <c r="W185" s="2">
        <f t="shared" si="147"/>
        <v>6.0149999999999997</v>
      </c>
      <c r="X185" s="2">
        <f t="shared" si="148"/>
        <v>10.755000000000001</v>
      </c>
      <c r="Y185" s="10">
        <f t="shared" si="149"/>
        <v>14.430000000000003</v>
      </c>
    </row>
    <row r="186" spans="1:32" x14ac:dyDescent="0.25">
      <c r="A186" s="164" t="s">
        <v>80</v>
      </c>
      <c r="B186" s="9">
        <f t="shared" si="126"/>
        <v>5.26</v>
      </c>
      <c r="C186" s="2">
        <f t="shared" si="127"/>
        <v>10.350000000000001</v>
      </c>
      <c r="D186" s="2">
        <f t="shared" si="128"/>
        <v>14.66</v>
      </c>
      <c r="E186" s="10">
        <f t="shared" si="129"/>
        <v>20.655000000000001</v>
      </c>
      <c r="F186" s="9">
        <f t="shared" si="130"/>
        <v>6.8349999999999991</v>
      </c>
      <c r="G186" s="2">
        <f t="shared" si="131"/>
        <v>10.350000000000001</v>
      </c>
      <c r="H186" s="2">
        <f t="shared" si="132"/>
        <v>14.66</v>
      </c>
      <c r="I186" s="159">
        <f t="shared" si="133"/>
        <v>18.63</v>
      </c>
      <c r="J186" s="9">
        <f t="shared" si="134"/>
        <v>4.22</v>
      </c>
      <c r="K186" s="2">
        <f t="shared" si="135"/>
        <v>9.89</v>
      </c>
      <c r="L186" s="2">
        <f t="shared" si="136"/>
        <v>15.18</v>
      </c>
      <c r="M186" s="10">
        <f t="shared" si="137"/>
        <v>21.215000000000003</v>
      </c>
      <c r="N186" s="9">
        <f t="shared" si="138"/>
        <v>5.6749999999999989</v>
      </c>
      <c r="O186" s="2">
        <f t="shared" si="139"/>
        <v>9.89</v>
      </c>
      <c r="P186" s="2">
        <f t="shared" si="140"/>
        <v>15.18</v>
      </c>
      <c r="Q186" s="10">
        <f t="shared" si="141"/>
        <v>19.23</v>
      </c>
      <c r="R186" s="9">
        <f t="shared" si="142"/>
        <v>4.495000000000001</v>
      </c>
      <c r="S186" s="2">
        <f t="shared" si="143"/>
        <v>9.09</v>
      </c>
      <c r="T186" s="2">
        <f t="shared" si="144"/>
        <v>12.73</v>
      </c>
      <c r="U186" s="10">
        <f t="shared" si="145"/>
        <v>17.34</v>
      </c>
      <c r="V186" s="9">
        <f t="shared" si="146"/>
        <v>5.6349999999999989</v>
      </c>
      <c r="W186" s="2">
        <f t="shared" si="147"/>
        <v>9.09</v>
      </c>
      <c r="X186" s="2">
        <f t="shared" si="148"/>
        <v>12.73</v>
      </c>
      <c r="Y186" s="10">
        <f t="shared" si="149"/>
        <v>15.83</v>
      </c>
    </row>
    <row r="187" spans="1:32" x14ac:dyDescent="0.25">
      <c r="A187" s="164" t="s">
        <v>82</v>
      </c>
      <c r="B187" s="9">
        <f t="shared" si="126"/>
        <v>4.45</v>
      </c>
      <c r="C187" s="2">
        <f t="shared" si="127"/>
        <v>8.3250000000000011</v>
      </c>
      <c r="D187" s="2">
        <f t="shared" si="128"/>
        <v>13.395</v>
      </c>
      <c r="E187" s="10">
        <f t="shared" si="129"/>
        <v>20.310000000000002</v>
      </c>
      <c r="F187" s="9">
        <f t="shared" si="130"/>
        <v>5.6650000000000009</v>
      </c>
      <c r="G187" s="2">
        <f t="shared" si="131"/>
        <v>8.3250000000000011</v>
      </c>
      <c r="H187" s="2">
        <f t="shared" si="132"/>
        <v>13.395</v>
      </c>
      <c r="I187" s="159">
        <f t="shared" si="133"/>
        <v>17.96</v>
      </c>
      <c r="J187" s="9">
        <f t="shared" si="134"/>
        <v>5.0450000000000008</v>
      </c>
      <c r="K187" s="2">
        <f t="shared" si="135"/>
        <v>11.015000000000001</v>
      </c>
      <c r="L187" s="2">
        <f t="shared" si="136"/>
        <v>15.754999999999999</v>
      </c>
      <c r="M187" s="10">
        <f t="shared" si="137"/>
        <v>21.215</v>
      </c>
      <c r="N187" s="9">
        <f t="shared" si="138"/>
        <v>6.5749999999999993</v>
      </c>
      <c r="O187" s="2">
        <f t="shared" si="139"/>
        <v>11.015000000000001</v>
      </c>
      <c r="P187" s="2">
        <f t="shared" si="140"/>
        <v>15.754999999999999</v>
      </c>
      <c r="Q187" s="10">
        <f t="shared" si="141"/>
        <v>19.430000000000003</v>
      </c>
      <c r="R187" s="9">
        <f t="shared" si="142"/>
        <v>2.57</v>
      </c>
      <c r="S187" s="2">
        <f t="shared" si="143"/>
        <v>7.14</v>
      </c>
      <c r="T187" s="2">
        <f t="shared" si="144"/>
        <v>11.33</v>
      </c>
      <c r="U187" s="10">
        <f t="shared" si="145"/>
        <v>16.215</v>
      </c>
      <c r="V187" s="9">
        <f t="shared" si="146"/>
        <v>3.7099999999999991</v>
      </c>
      <c r="W187" s="2">
        <f t="shared" si="147"/>
        <v>7.14</v>
      </c>
      <c r="X187" s="2">
        <f t="shared" si="148"/>
        <v>11.33</v>
      </c>
      <c r="Y187" s="10">
        <f t="shared" si="149"/>
        <v>14.63</v>
      </c>
    </row>
    <row r="188" spans="1:32" ht="15.75" thickBot="1" x14ac:dyDescent="0.3">
      <c r="A188" s="165" t="s">
        <v>83</v>
      </c>
      <c r="B188" s="160">
        <f t="shared" si="126"/>
        <v>2.1950000000000003</v>
      </c>
      <c r="C188" s="120">
        <f t="shared" si="127"/>
        <v>6.0150000000000006</v>
      </c>
      <c r="D188" s="120">
        <f t="shared" si="128"/>
        <v>10.754999999999999</v>
      </c>
      <c r="E188" s="124">
        <f t="shared" si="129"/>
        <v>16.215</v>
      </c>
      <c r="F188" s="160">
        <f t="shared" si="130"/>
        <v>3.1250000000000009</v>
      </c>
      <c r="G188" s="120">
        <f t="shared" si="131"/>
        <v>6.0150000000000006</v>
      </c>
      <c r="H188" s="120">
        <f t="shared" si="132"/>
        <v>10.754999999999999</v>
      </c>
      <c r="I188" s="167">
        <f t="shared" si="133"/>
        <v>14.430000000000003</v>
      </c>
      <c r="J188" s="160">
        <f t="shared" si="134"/>
        <v>5.0450000000000008</v>
      </c>
      <c r="K188" s="120">
        <f t="shared" si="135"/>
        <v>11.015000000000001</v>
      </c>
      <c r="L188" s="120">
        <f t="shared" si="136"/>
        <v>15.754999999999999</v>
      </c>
      <c r="M188" s="124">
        <f t="shared" si="137"/>
        <v>21.215</v>
      </c>
      <c r="N188" s="160">
        <f t="shared" si="138"/>
        <v>6.5749999999999993</v>
      </c>
      <c r="O188" s="120">
        <f t="shared" si="139"/>
        <v>11.015000000000001</v>
      </c>
      <c r="P188" s="120">
        <f t="shared" si="140"/>
        <v>15.754999999999999</v>
      </c>
      <c r="Q188" s="124">
        <f t="shared" si="141"/>
        <v>19.430000000000003</v>
      </c>
      <c r="R188" s="160">
        <f t="shared" si="142"/>
        <v>4.22</v>
      </c>
      <c r="S188" s="120">
        <f t="shared" si="143"/>
        <v>8.7900000000000009</v>
      </c>
      <c r="T188" s="120">
        <f t="shared" si="144"/>
        <v>12.98</v>
      </c>
      <c r="U188" s="124">
        <f t="shared" si="145"/>
        <v>18.465</v>
      </c>
      <c r="V188" s="160">
        <f t="shared" si="146"/>
        <v>5.5289999999999981</v>
      </c>
      <c r="W188" s="120">
        <f t="shared" si="147"/>
        <v>8.7900000000000009</v>
      </c>
      <c r="X188" s="120">
        <f t="shared" si="148"/>
        <v>12.98</v>
      </c>
      <c r="Y188" s="124">
        <f t="shared" si="149"/>
        <v>16.63</v>
      </c>
    </row>
    <row r="190" spans="1:32" ht="15.75" thickBot="1" x14ac:dyDescent="0.3">
      <c r="A190" t="s">
        <v>213</v>
      </c>
      <c r="Z190">
        <v>0.8</v>
      </c>
    </row>
    <row r="191" spans="1:32" ht="33" customHeight="1" thickBot="1" x14ac:dyDescent="0.3">
      <c r="A191" s="304" t="s">
        <v>86</v>
      </c>
      <c r="B191" s="303" t="s">
        <v>214</v>
      </c>
      <c r="C191" s="306"/>
      <c r="D191" s="306"/>
      <c r="E191" s="306"/>
      <c r="F191" s="306"/>
      <c r="G191" s="306"/>
      <c r="H191" s="306"/>
      <c r="I191" s="307"/>
      <c r="J191" s="303" t="s">
        <v>215</v>
      </c>
      <c r="K191" s="306"/>
      <c r="L191" s="306"/>
      <c r="M191" s="306"/>
      <c r="N191" s="306"/>
      <c r="O191" s="306"/>
      <c r="P191" s="306"/>
      <c r="Q191" s="307"/>
      <c r="R191" s="280" t="s">
        <v>216</v>
      </c>
      <c r="S191" s="281"/>
      <c r="T191" s="281"/>
      <c r="U191" s="281"/>
      <c r="V191" s="281"/>
      <c r="W191" s="281"/>
      <c r="X191" s="281"/>
      <c r="Y191" s="282"/>
      <c r="Z191" s="292" t="s">
        <v>151</v>
      </c>
      <c r="AA191" s="293"/>
      <c r="AB191" s="293"/>
      <c r="AC191" s="294"/>
      <c r="AD191" s="288" t="s">
        <v>153</v>
      </c>
      <c r="AE191" s="289"/>
      <c r="AF191" s="290" t="s">
        <v>156</v>
      </c>
    </row>
    <row r="192" spans="1:32" ht="27.75" customHeight="1" thickBot="1" x14ac:dyDescent="0.3">
      <c r="A192" s="305"/>
      <c r="B192" s="300" t="s">
        <v>17</v>
      </c>
      <c r="C192" s="301"/>
      <c r="D192" s="301"/>
      <c r="E192" s="302"/>
      <c r="F192" s="303" t="s">
        <v>18</v>
      </c>
      <c r="G192" s="301"/>
      <c r="H192" s="301"/>
      <c r="I192" s="302"/>
      <c r="J192" s="300" t="s">
        <v>17</v>
      </c>
      <c r="K192" s="301"/>
      <c r="L192" s="301"/>
      <c r="M192" s="302"/>
      <c r="N192" s="303" t="s">
        <v>18</v>
      </c>
      <c r="O192" s="301"/>
      <c r="P192" s="301"/>
      <c r="Q192" s="302"/>
      <c r="R192" s="280" t="s">
        <v>17</v>
      </c>
      <c r="S192" s="281"/>
      <c r="T192" s="281"/>
      <c r="U192" s="282"/>
      <c r="V192" s="280" t="s">
        <v>18</v>
      </c>
      <c r="W192" s="281"/>
      <c r="X192" s="281"/>
      <c r="Y192" s="282"/>
      <c r="Z192" s="295" t="s">
        <v>152</v>
      </c>
      <c r="AA192" s="296"/>
      <c r="AB192" s="295" t="s">
        <v>26</v>
      </c>
      <c r="AC192" s="297"/>
      <c r="AD192" s="145" t="s">
        <v>154</v>
      </c>
      <c r="AE192" s="145" t="s">
        <v>155</v>
      </c>
      <c r="AF192" s="291"/>
    </row>
    <row r="193" spans="1:40" ht="30.75" customHeight="1" x14ac:dyDescent="0.25">
      <c r="A193" s="169" t="s">
        <v>84</v>
      </c>
      <c r="B193" s="11">
        <f>B179*$C$164</f>
        <v>3.2300000000000004</v>
      </c>
      <c r="C193" s="12">
        <f t="shared" ref="C193:I193" si="150">C179*$C$164</f>
        <v>6.3</v>
      </c>
      <c r="D193" s="12">
        <f t="shared" si="150"/>
        <v>7.9050000000000002</v>
      </c>
      <c r="E193" s="13">
        <f t="shared" si="150"/>
        <v>10.327500000000001</v>
      </c>
      <c r="F193" s="11">
        <f t="shared" si="150"/>
        <v>4.1599999999999993</v>
      </c>
      <c r="G193" s="12">
        <f t="shared" si="150"/>
        <v>6.3</v>
      </c>
      <c r="H193" s="12">
        <f t="shared" si="150"/>
        <v>7.9050000000000002</v>
      </c>
      <c r="I193" s="166">
        <f t="shared" si="150"/>
        <v>9.5150000000000006</v>
      </c>
      <c r="J193" s="11">
        <f>J179*$C$165</f>
        <v>2.11</v>
      </c>
      <c r="K193" s="12">
        <f t="shared" ref="K193:Q193" si="151">K179*$C$165</f>
        <v>4.9450000000000003</v>
      </c>
      <c r="L193" s="12">
        <f t="shared" si="151"/>
        <v>7.59</v>
      </c>
      <c r="M193" s="13">
        <f t="shared" si="151"/>
        <v>10.607500000000002</v>
      </c>
      <c r="N193" s="11">
        <f t="shared" si="151"/>
        <v>2.8374999999999995</v>
      </c>
      <c r="O193" s="12">
        <f t="shared" si="151"/>
        <v>4.9450000000000003</v>
      </c>
      <c r="P193" s="12">
        <f t="shared" si="151"/>
        <v>7.59</v>
      </c>
      <c r="Q193" s="166">
        <f t="shared" si="151"/>
        <v>9.6150000000000002</v>
      </c>
      <c r="R193" s="173">
        <f>B193+J193</f>
        <v>5.34</v>
      </c>
      <c r="S193" s="118">
        <f t="shared" ref="S193:Y202" si="152">C193+K193</f>
        <v>11.245000000000001</v>
      </c>
      <c r="T193" s="118">
        <f t="shared" si="152"/>
        <v>15.495000000000001</v>
      </c>
      <c r="U193" s="174">
        <f t="shared" si="152"/>
        <v>20.935000000000002</v>
      </c>
      <c r="V193" s="173">
        <f t="shared" si="152"/>
        <v>6.9974999999999987</v>
      </c>
      <c r="W193" s="118">
        <f t="shared" si="152"/>
        <v>11.245000000000001</v>
      </c>
      <c r="X193" s="118">
        <f t="shared" si="152"/>
        <v>15.495000000000001</v>
      </c>
      <c r="Y193" s="174">
        <f t="shared" si="152"/>
        <v>19.130000000000003</v>
      </c>
      <c r="Z193" s="136">
        <f>Z$190*S193+(1-Z$190)*R193</f>
        <v>10.064</v>
      </c>
      <c r="AA193" s="142">
        <f>Z$190*T193+(1-Z$190)*U193</f>
        <v>16.582999999999998</v>
      </c>
      <c r="AB193" s="136">
        <f>Z$190*W193+(1-Z$190)*V193</f>
        <v>10.3955</v>
      </c>
      <c r="AC193" s="137">
        <f>Z$190*X193+(1-Z$190)*Y193</f>
        <v>16.222000000000001</v>
      </c>
      <c r="AD193" s="81">
        <f>(Z193+AA193)/2</f>
        <v>13.323499999999999</v>
      </c>
      <c r="AE193" s="84">
        <f>(AB193+AC193)/2</f>
        <v>13.30875</v>
      </c>
      <c r="AF193" s="133">
        <f>(AD193+AE193)/2</f>
        <v>13.316125</v>
      </c>
    </row>
    <row r="194" spans="1:40" x14ac:dyDescent="0.25">
      <c r="A194" s="164" t="s">
        <v>73</v>
      </c>
      <c r="B194" s="9">
        <f t="shared" ref="B194:I202" si="153">B180*$C$164</f>
        <v>0.57750000000000012</v>
      </c>
      <c r="C194" s="2">
        <f t="shared" si="153"/>
        <v>2.2275</v>
      </c>
      <c r="D194" s="2">
        <f t="shared" si="153"/>
        <v>4.5374999999999996</v>
      </c>
      <c r="E194" s="10">
        <f t="shared" si="153"/>
        <v>7.0125000000000002</v>
      </c>
      <c r="F194" s="9">
        <f t="shared" si="153"/>
        <v>0.90950000000000042</v>
      </c>
      <c r="G194" s="2">
        <f t="shared" si="153"/>
        <v>2.2275</v>
      </c>
      <c r="H194" s="2">
        <f t="shared" si="153"/>
        <v>4.5374999999999996</v>
      </c>
      <c r="I194" s="159">
        <f t="shared" si="153"/>
        <v>6.2150000000000016</v>
      </c>
      <c r="J194" s="9">
        <f t="shared" ref="J194:Q202" si="154">J180*$C$165</f>
        <v>0.57750000000000012</v>
      </c>
      <c r="K194" s="2">
        <f t="shared" si="154"/>
        <v>2.7775000000000003</v>
      </c>
      <c r="L194" s="2">
        <f t="shared" si="154"/>
        <v>5.6375000000000002</v>
      </c>
      <c r="M194" s="10">
        <f t="shared" si="154"/>
        <v>8.3875000000000011</v>
      </c>
      <c r="N194" s="9">
        <f t="shared" si="154"/>
        <v>0.98250000000000037</v>
      </c>
      <c r="O194" s="2">
        <f t="shared" si="154"/>
        <v>2.7775000000000003</v>
      </c>
      <c r="P194" s="2">
        <f t="shared" si="154"/>
        <v>5.6375000000000002</v>
      </c>
      <c r="Q194" s="159">
        <f t="shared" si="154"/>
        <v>7.5150000000000023</v>
      </c>
      <c r="R194" s="11">
        <f>B194+J194</f>
        <v>1.1550000000000002</v>
      </c>
      <c r="S194" s="12">
        <f t="shared" si="152"/>
        <v>5.0050000000000008</v>
      </c>
      <c r="T194" s="12">
        <f t="shared" si="152"/>
        <v>10.175000000000001</v>
      </c>
      <c r="U194" s="13">
        <f t="shared" si="152"/>
        <v>15.400000000000002</v>
      </c>
      <c r="V194" s="11">
        <f t="shared" si="152"/>
        <v>1.8920000000000008</v>
      </c>
      <c r="W194" s="12">
        <f t="shared" si="152"/>
        <v>5.0050000000000008</v>
      </c>
      <c r="X194" s="12">
        <f t="shared" si="152"/>
        <v>10.175000000000001</v>
      </c>
      <c r="Y194" s="13">
        <f t="shared" si="152"/>
        <v>13.730000000000004</v>
      </c>
      <c r="Z194" s="138">
        <f t="shared" ref="Z194:Z202" si="155">Z$190*S194+(1-Z$190)*R194</f>
        <v>4.2350000000000003</v>
      </c>
      <c r="AA194" s="143">
        <f t="shared" ref="AA194:AA202" si="156">Z$190*T194+(1-Z$190)*U194</f>
        <v>11.22</v>
      </c>
      <c r="AB194" s="138">
        <f t="shared" ref="AB194:AB202" si="157">Z$190*W194+(1-Z$190)*V194</f>
        <v>4.3824000000000005</v>
      </c>
      <c r="AC194" s="139">
        <f t="shared" ref="AC194:AC202" si="158">Z$190*X194+(1-Z$190)*Y194</f>
        <v>10.886000000000001</v>
      </c>
      <c r="AD194" s="87">
        <f t="shared" ref="AD194:AD202" si="159">(Z194+AA194)/2</f>
        <v>7.7275000000000009</v>
      </c>
      <c r="AE194" s="88">
        <f t="shared" ref="AE194:AE202" si="160">(AB194+AC194)/2</f>
        <v>7.6342000000000008</v>
      </c>
      <c r="AF194" s="134">
        <f t="shared" ref="AF194:AF202" si="161">(AD194+AE194)/2</f>
        <v>7.6808500000000013</v>
      </c>
    </row>
    <row r="195" spans="1:40" x14ac:dyDescent="0.25">
      <c r="A195" s="164" t="s">
        <v>74</v>
      </c>
      <c r="B195" s="9">
        <f t="shared" si="153"/>
        <v>2.0075000000000003</v>
      </c>
      <c r="C195" s="2">
        <f t="shared" si="153"/>
        <v>3.7125000000000004</v>
      </c>
      <c r="D195" s="2">
        <f t="shared" si="153"/>
        <v>6.3525000000000009</v>
      </c>
      <c r="E195" s="10">
        <f t="shared" si="153"/>
        <v>9.9824999999999999</v>
      </c>
      <c r="F195" s="9">
        <f t="shared" si="153"/>
        <v>2.54</v>
      </c>
      <c r="G195" s="2">
        <f t="shared" si="153"/>
        <v>3.7125000000000004</v>
      </c>
      <c r="H195" s="2">
        <f t="shared" si="153"/>
        <v>6.3525000000000009</v>
      </c>
      <c r="I195" s="159">
        <f t="shared" si="153"/>
        <v>8.7449999999999992</v>
      </c>
      <c r="J195" s="9">
        <f t="shared" si="154"/>
        <v>3.6500000000000004</v>
      </c>
      <c r="K195" s="2">
        <f t="shared" si="154"/>
        <v>6.6625000000000005</v>
      </c>
      <c r="L195" s="2">
        <f t="shared" si="154"/>
        <v>9.1974999999999998</v>
      </c>
      <c r="M195" s="10">
        <f t="shared" si="154"/>
        <v>12.655000000000001</v>
      </c>
      <c r="N195" s="9">
        <f t="shared" si="154"/>
        <v>4.5574999999999992</v>
      </c>
      <c r="O195" s="2">
        <f t="shared" si="154"/>
        <v>6.6625000000000005</v>
      </c>
      <c r="P195" s="2">
        <f t="shared" si="154"/>
        <v>9.1974999999999998</v>
      </c>
      <c r="Q195" s="159">
        <f t="shared" si="154"/>
        <v>11.48</v>
      </c>
      <c r="R195" s="11">
        <f t="shared" ref="R195:R202" si="162">B195+J195</f>
        <v>5.6575000000000006</v>
      </c>
      <c r="S195" s="12">
        <f t="shared" si="152"/>
        <v>10.375</v>
      </c>
      <c r="T195" s="12">
        <f t="shared" si="152"/>
        <v>15.55</v>
      </c>
      <c r="U195" s="13">
        <f t="shared" si="152"/>
        <v>22.637500000000003</v>
      </c>
      <c r="V195" s="11">
        <f t="shared" si="152"/>
        <v>7.0974999999999993</v>
      </c>
      <c r="W195" s="12">
        <f t="shared" si="152"/>
        <v>10.375</v>
      </c>
      <c r="X195" s="12">
        <f t="shared" si="152"/>
        <v>15.55</v>
      </c>
      <c r="Y195" s="13">
        <f t="shared" si="152"/>
        <v>20.225000000000001</v>
      </c>
      <c r="Z195" s="138">
        <f t="shared" si="155"/>
        <v>9.4314999999999998</v>
      </c>
      <c r="AA195" s="143">
        <f t="shared" si="156"/>
        <v>16.967500000000001</v>
      </c>
      <c r="AB195" s="138">
        <f t="shared" si="157"/>
        <v>9.7195</v>
      </c>
      <c r="AC195" s="139">
        <f t="shared" si="158"/>
        <v>16.484999999999999</v>
      </c>
      <c r="AD195" s="87">
        <f t="shared" si="159"/>
        <v>13.1995</v>
      </c>
      <c r="AE195" s="88">
        <f t="shared" si="160"/>
        <v>13.10225</v>
      </c>
      <c r="AF195" s="134">
        <f t="shared" si="161"/>
        <v>13.150874999999999</v>
      </c>
    </row>
    <row r="196" spans="1:40" x14ac:dyDescent="0.25">
      <c r="A196" s="164" t="s">
        <v>75</v>
      </c>
      <c r="B196" s="9">
        <f t="shared" si="153"/>
        <v>2.8250000000000006</v>
      </c>
      <c r="C196" s="2">
        <f t="shared" si="153"/>
        <v>5.2874999999999996</v>
      </c>
      <c r="D196" s="2">
        <f t="shared" si="153"/>
        <v>7.2725000000000009</v>
      </c>
      <c r="E196" s="10">
        <f t="shared" si="153"/>
        <v>10.154999999999999</v>
      </c>
      <c r="F196" s="9">
        <f t="shared" si="153"/>
        <v>3.5750000000000002</v>
      </c>
      <c r="G196" s="2">
        <f t="shared" si="153"/>
        <v>5.2874999999999996</v>
      </c>
      <c r="H196" s="2">
        <f t="shared" si="153"/>
        <v>7.2725000000000009</v>
      </c>
      <c r="I196" s="159">
        <f t="shared" si="153"/>
        <v>9.18</v>
      </c>
      <c r="J196" s="9">
        <f t="shared" si="154"/>
        <v>3.0725000000000002</v>
      </c>
      <c r="K196" s="2">
        <f t="shared" si="154"/>
        <v>5.9200000000000008</v>
      </c>
      <c r="L196" s="2">
        <f t="shared" si="154"/>
        <v>8.2899999999999991</v>
      </c>
      <c r="M196" s="10">
        <f t="shared" si="154"/>
        <v>11.170000000000002</v>
      </c>
      <c r="N196" s="9">
        <f t="shared" si="154"/>
        <v>3.7999999999999989</v>
      </c>
      <c r="O196" s="2">
        <f t="shared" si="154"/>
        <v>5.9200000000000008</v>
      </c>
      <c r="P196" s="2">
        <f t="shared" si="154"/>
        <v>8.2899999999999991</v>
      </c>
      <c r="Q196" s="159">
        <f t="shared" si="154"/>
        <v>10.215</v>
      </c>
      <c r="R196" s="11">
        <f t="shared" si="162"/>
        <v>5.8975000000000009</v>
      </c>
      <c r="S196" s="12">
        <f t="shared" si="152"/>
        <v>11.2075</v>
      </c>
      <c r="T196" s="12">
        <f t="shared" si="152"/>
        <v>15.5625</v>
      </c>
      <c r="U196" s="13">
        <f t="shared" si="152"/>
        <v>21.325000000000003</v>
      </c>
      <c r="V196" s="11">
        <f t="shared" si="152"/>
        <v>7.3749999999999991</v>
      </c>
      <c r="W196" s="12">
        <f t="shared" si="152"/>
        <v>11.2075</v>
      </c>
      <c r="X196" s="12">
        <f t="shared" si="152"/>
        <v>15.5625</v>
      </c>
      <c r="Y196" s="13">
        <f t="shared" si="152"/>
        <v>19.395</v>
      </c>
      <c r="Z196" s="138">
        <f t="shared" si="155"/>
        <v>10.145499999999998</v>
      </c>
      <c r="AA196" s="143">
        <f t="shared" si="156"/>
        <v>16.715</v>
      </c>
      <c r="AB196" s="138">
        <f t="shared" si="157"/>
        <v>10.440999999999999</v>
      </c>
      <c r="AC196" s="139">
        <f t="shared" si="158"/>
        <v>16.329000000000001</v>
      </c>
      <c r="AD196" s="87">
        <f t="shared" si="159"/>
        <v>13.430249999999999</v>
      </c>
      <c r="AE196" s="88">
        <f t="shared" si="160"/>
        <v>13.385</v>
      </c>
      <c r="AF196" s="134">
        <f t="shared" si="161"/>
        <v>13.407624999999999</v>
      </c>
    </row>
    <row r="197" spans="1:40" x14ac:dyDescent="0.25">
      <c r="A197" s="164" t="s">
        <v>77</v>
      </c>
      <c r="B197" s="9">
        <f t="shared" si="153"/>
        <v>2.2250000000000001</v>
      </c>
      <c r="C197" s="2">
        <f t="shared" si="153"/>
        <v>4.1625000000000005</v>
      </c>
      <c r="D197" s="2">
        <f t="shared" si="153"/>
        <v>6.6974999999999998</v>
      </c>
      <c r="E197" s="10">
        <f t="shared" si="153"/>
        <v>10.155000000000001</v>
      </c>
      <c r="F197" s="9">
        <f t="shared" si="153"/>
        <v>2.8325000000000005</v>
      </c>
      <c r="G197" s="2">
        <f t="shared" si="153"/>
        <v>4.1625000000000005</v>
      </c>
      <c r="H197" s="2">
        <f t="shared" si="153"/>
        <v>6.6974999999999998</v>
      </c>
      <c r="I197" s="159">
        <f t="shared" si="153"/>
        <v>8.98</v>
      </c>
      <c r="J197" s="9">
        <f t="shared" si="154"/>
        <v>3.6500000000000004</v>
      </c>
      <c r="K197" s="2">
        <f t="shared" si="154"/>
        <v>6.6625000000000005</v>
      </c>
      <c r="L197" s="2">
        <f t="shared" si="154"/>
        <v>9.1974999999999998</v>
      </c>
      <c r="M197" s="10">
        <f t="shared" si="154"/>
        <v>12.655000000000001</v>
      </c>
      <c r="N197" s="9">
        <f t="shared" si="154"/>
        <v>4.5574999999999992</v>
      </c>
      <c r="O197" s="2">
        <f t="shared" si="154"/>
        <v>6.6625000000000005</v>
      </c>
      <c r="P197" s="2">
        <f t="shared" si="154"/>
        <v>9.1974999999999998</v>
      </c>
      <c r="Q197" s="159">
        <f t="shared" si="154"/>
        <v>11.48</v>
      </c>
      <c r="R197" s="11">
        <f t="shared" si="162"/>
        <v>5.875</v>
      </c>
      <c r="S197" s="12">
        <f t="shared" si="152"/>
        <v>10.825000000000001</v>
      </c>
      <c r="T197" s="12">
        <f t="shared" si="152"/>
        <v>15.895</v>
      </c>
      <c r="U197" s="13">
        <f t="shared" si="152"/>
        <v>22.810000000000002</v>
      </c>
      <c r="V197" s="11">
        <f t="shared" si="152"/>
        <v>7.39</v>
      </c>
      <c r="W197" s="12">
        <f t="shared" si="152"/>
        <v>10.825000000000001</v>
      </c>
      <c r="X197" s="12">
        <f t="shared" si="152"/>
        <v>15.895</v>
      </c>
      <c r="Y197" s="13">
        <f t="shared" si="152"/>
        <v>20.46</v>
      </c>
      <c r="Z197" s="138">
        <f t="shared" si="155"/>
        <v>9.8350000000000009</v>
      </c>
      <c r="AA197" s="143">
        <f t="shared" si="156"/>
        <v>17.277999999999999</v>
      </c>
      <c r="AB197" s="138">
        <f t="shared" si="157"/>
        <v>10.138000000000002</v>
      </c>
      <c r="AC197" s="139">
        <f t="shared" si="158"/>
        <v>16.808</v>
      </c>
      <c r="AD197" s="87">
        <f t="shared" si="159"/>
        <v>13.5565</v>
      </c>
      <c r="AE197" s="88">
        <f t="shared" si="160"/>
        <v>13.473000000000001</v>
      </c>
      <c r="AF197" s="134">
        <f t="shared" si="161"/>
        <v>13.514749999999999</v>
      </c>
    </row>
    <row r="198" spans="1:40" x14ac:dyDescent="0.25">
      <c r="A198" s="164" t="s">
        <v>78</v>
      </c>
      <c r="B198" s="9">
        <f t="shared" si="153"/>
        <v>2.2475000000000005</v>
      </c>
      <c r="C198" s="2">
        <f t="shared" si="153"/>
        <v>4.5449999999999999</v>
      </c>
      <c r="D198" s="2">
        <f t="shared" si="153"/>
        <v>6.3650000000000002</v>
      </c>
      <c r="E198" s="10">
        <f t="shared" si="153"/>
        <v>8.67</v>
      </c>
      <c r="F198" s="9">
        <f t="shared" si="153"/>
        <v>2.8174999999999994</v>
      </c>
      <c r="G198" s="2">
        <f t="shared" si="153"/>
        <v>4.5449999999999999</v>
      </c>
      <c r="H198" s="2">
        <f t="shared" si="153"/>
        <v>6.3650000000000002</v>
      </c>
      <c r="I198" s="159">
        <f t="shared" si="153"/>
        <v>7.915</v>
      </c>
      <c r="J198" s="9">
        <f t="shared" si="154"/>
        <v>3.0725000000000002</v>
      </c>
      <c r="K198" s="2">
        <f t="shared" si="154"/>
        <v>5.9200000000000008</v>
      </c>
      <c r="L198" s="2">
        <f t="shared" si="154"/>
        <v>8.2899999999999991</v>
      </c>
      <c r="M198" s="10">
        <f t="shared" si="154"/>
        <v>11.170000000000002</v>
      </c>
      <c r="N198" s="9">
        <f t="shared" si="154"/>
        <v>3.7999999999999989</v>
      </c>
      <c r="O198" s="2">
        <f t="shared" si="154"/>
        <v>5.9200000000000008</v>
      </c>
      <c r="P198" s="2">
        <f t="shared" si="154"/>
        <v>8.2899999999999991</v>
      </c>
      <c r="Q198" s="159">
        <f t="shared" si="154"/>
        <v>10.215</v>
      </c>
      <c r="R198" s="11">
        <f t="shared" si="162"/>
        <v>5.32</v>
      </c>
      <c r="S198" s="12">
        <f t="shared" si="152"/>
        <v>10.465</v>
      </c>
      <c r="T198" s="12">
        <f t="shared" si="152"/>
        <v>14.654999999999999</v>
      </c>
      <c r="U198" s="13">
        <f t="shared" si="152"/>
        <v>19.840000000000003</v>
      </c>
      <c r="V198" s="11">
        <f t="shared" si="152"/>
        <v>6.6174999999999979</v>
      </c>
      <c r="W198" s="12">
        <f t="shared" si="152"/>
        <v>10.465</v>
      </c>
      <c r="X198" s="12">
        <f t="shared" si="152"/>
        <v>14.654999999999999</v>
      </c>
      <c r="Y198" s="13">
        <f t="shared" si="152"/>
        <v>18.13</v>
      </c>
      <c r="Z198" s="138">
        <f t="shared" si="155"/>
        <v>9.4359999999999999</v>
      </c>
      <c r="AA198" s="143">
        <f t="shared" si="156"/>
        <v>15.692</v>
      </c>
      <c r="AB198" s="138">
        <f t="shared" si="157"/>
        <v>9.6954999999999991</v>
      </c>
      <c r="AC198" s="139">
        <f t="shared" si="158"/>
        <v>15.35</v>
      </c>
      <c r="AD198" s="87">
        <f t="shared" si="159"/>
        <v>12.564</v>
      </c>
      <c r="AE198" s="88">
        <f t="shared" si="160"/>
        <v>12.522749999999998</v>
      </c>
      <c r="AF198" s="134">
        <f t="shared" si="161"/>
        <v>12.543374999999999</v>
      </c>
    </row>
    <row r="199" spans="1:40" x14ac:dyDescent="0.25">
      <c r="A199" s="164" t="s">
        <v>79</v>
      </c>
      <c r="B199" s="9">
        <f t="shared" si="153"/>
        <v>2.2475000000000005</v>
      </c>
      <c r="C199" s="2">
        <f t="shared" si="153"/>
        <v>4.5449999999999999</v>
      </c>
      <c r="D199" s="2">
        <f t="shared" si="153"/>
        <v>6.3650000000000002</v>
      </c>
      <c r="E199" s="10">
        <f t="shared" si="153"/>
        <v>8.67</v>
      </c>
      <c r="F199" s="9">
        <f t="shared" si="153"/>
        <v>2.8174999999999994</v>
      </c>
      <c r="G199" s="2">
        <f t="shared" si="153"/>
        <v>4.5449999999999999</v>
      </c>
      <c r="H199" s="2">
        <f t="shared" si="153"/>
        <v>6.3650000000000002</v>
      </c>
      <c r="I199" s="159">
        <f t="shared" si="153"/>
        <v>7.915</v>
      </c>
      <c r="J199" s="9">
        <f t="shared" si="154"/>
        <v>3.0725000000000002</v>
      </c>
      <c r="K199" s="2">
        <f t="shared" si="154"/>
        <v>5.9200000000000008</v>
      </c>
      <c r="L199" s="2">
        <f t="shared" si="154"/>
        <v>8.2899999999999991</v>
      </c>
      <c r="M199" s="10">
        <f t="shared" si="154"/>
        <v>11.170000000000002</v>
      </c>
      <c r="N199" s="9">
        <f t="shared" si="154"/>
        <v>3.7999999999999989</v>
      </c>
      <c r="O199" s="2">
        <f t="shared" si="154"/>
        <v>5.9200000000000008</v>
      </c>
      <c r="P199" s="2">
        <f t="shared" si="154"/>
        <v>8.2899999999999991</v>
      </c>
      <c r="Q199" s="159">
        <f t="shared" si="154"/>
        <v>10.215</v>
      </c>
      <c r="R199" s="11">
        <f t="shared" si="162"/>
        <v>5.32</v>
      </c>
      <c r="S199" s="12">
        <f t="shared" si="152"/>
        <v>10.465</v>
      </c>
      <c r="T199" s="12">
        <f t="shared" si="152"/>
        <v>14.654999999999999</v>
      </c>
      <c r="U199" s="13">
        <f t="shared" si="152"/>
        <v>19.840000000000003</v>
      </c>
      <c r="V199" s="11">
        <f t="shared" si="152"/>
        <v>6.6174999999999979</v>
      </c>
      <c r="W199" s="12">
        <f t="shared" si="152"/>
        <v>10.465</v>
      </c>
      <c r="X199" s="12">
        <f t="shared" si="152"/>
        <v>14.654999999999999</v>
      </c>
      <c r="Y199" s="13">
        <f t="shared" si="152"/>
        <v>18.13</v>
      </c>
      <c r="Z199" s="138">
        <f t="shared" si="155"/>
        <v>9.4359999999999999</v>
      </c>
      <c r="AA199" s="143">
        <f t="shared" si="156"/>
        <v>15.692</v>
      </c>
      <c r="AB199" s="138">
        <f t="shared" si="157"/>
        <v>9.6954999999999991</v>
      </c>
      <c r="AC199" s="139">
        <f t="shared" si="158"/>
        <v>15.35</v>
      </c>
      <c r="AD199" s="87">
        <f t="shared" si="159"/>
        <v>12.564</v>
      </c>
      <c r="AE199" s="88">
        <f t="shared" si="160"/>
        <v>12.522749999999998</v>
      </c>
      <c r="AF199" s="134">
        <f t="shared" si="161"/>
        <v>12.543374999999999</v>
      </c>
    </row>
    <row r="200" spans="1:40" x14ac:dyDescent="0.25">
      <c r="A200" s="164" t="s">
        <v>80</v>
      </c>
      <c r="B200" s="9">
        <f t="shared" si="153"/>
        <v>2.63</v>
      </c>
      <c r="C200" s="2">
        <f t="shared" si="153"/>
        <v>5.1750000000000007</v>
      </c>
      <c r="D200" s="2">
        <f t="shared" si="153"/>
        <v>7.33</v>
      </c>
      <c r="E200" s="10">
        <f t="shared" si="153"/>
        <v>10.327500000000001</v>
      </c>
      <c r="F200" s="9">
        <f t="shared" si="153"/>
        <v>3.4174999999999995</v>
      </c>
      <c r="G200" s="2">
        <f t="shared" si="153"/>
        <v>5.1750000000000007</v>
      </c>
      <c r="H200" s="2">
        <f t="shared" si="153"/>
        <v>7.33</v>
      </c>
      <c r="I200" s="159">
        <f t="shared" si="153"/>
        <v>9.3149999999999995</v>
      </c>
      <c r="J200" s="9">
        <f t="shared" si="154"/>
        <v>2.11</v>
      </c>
      <c r="K200" s="2">
        <f t="shared" si="154"/>
        <v>4.9450000000000003</v>
      </c>
      <c r="L200" s="2">
        <f t="shared" si="154"/>
        <v>7.59</v>
      </c>
      <c r="M200" s="10">
        <f t="shared" si="154"/>
        <v>10.607500000000002</v>
      </c>
      <c r="N200" s="9">
        <f t="shared" si="154"/>
        <v>2.8374999999999995</v>
      </c>
      <c r="O200" s="2">
        <f t="shared" si="154"/>
        <v>4.9450000000000003</v>
      </c>
      <c r="P200" s="2">
        <f t="shared" si="154"/>
        <v>7.59</v>
      </c>
      <c r="Q200" s="159">
        <f t="shared" si="154"/>
        <v>9.6150000000000002</v>
      </c>
      <c r="R200" s="11">
        <f t="shared" si="162"/>
        <v>4.74</v>
      </c>
      <c r="S200" s="12">
        <f t="shared" si="152"/>
        <v>10.120000000000001</v>
      </c>
      <c r="T200" s="12">
        <f t="shared" si="152"/>
        <v>14.92</v>
      </c>
      <c r="U200" s="13">
        <f t="shared" si="152"/>
        <v>20.935000000000002</v>
      </c>
      <c r="V200" s="11">
        <f t="shared" si="152"/>
        <v>6.254999999999999</v>
      </c>
      <c r="W200" s="12">
        <f t="shared" si="152"/>
        <v>10.120000000000001</v>
      </c>
      <c r="X200" s="12">
        <f t="shared" si="152"/>
        <v>14.92</v>
      </c>
      <c r="Y200" s="13">
        <f t="shared" si="152"/>
        <v>18.93</v>
      </c>
      <c r="Z200" s="138">
        <f t="shared" si="155"/>
        <v>9.0440000000000023</v>
      </c>
      <c r="AA200" s="143">
        <f t="shared" si="156"/>
        <v>16.122999999999998</v>
      </c>
      <c r="AB200" s="138">
        <f t="shared" si="157"/>
        <v>9.3470000000000013</v>
      </c>
      <c r="AC200" s="139">
        <f t="shared" si="158"/>
        <v>15.722</v>
      </c>
      <c r="AD200" s="87">
        <f t="shared" si="159"/>
        <v>12.583500000000001</v>
      </c>
      <c r="AE200" s="88">
        <f t="shared" si="160"/>
        <v>12.534500000000001</v>
      </c>
      <c r="AF200" s="134">
        <f t="shared" si="161"/>
        <v>12.559000000000001</v>
      </c>
    </row>
    <row r="201" spans="1:40" x14ac:dyDescent="0.25">
      <c r="A201" s="164" t="s">
        <v>82</v>
      </c>
      <c r="B201" s="9">
        <f t="shared" si="153"/>
        <v>2.2250000000000001</v>
      </c>
      <c r="C201" s="2">
        <f t="shared" si="153"/>
        <v>4.1625000000000005</v>
      </c>
      <c r="D201" s="2">
        <f t="shared" si="153"/>
        <v>6.6974999999999998</v>
      </c>
      <c r="E201" s="10">
        <f t="shared" si="153"/>
        <v>10.155000000000001</v>
      </c>
      <c r="F201" s="9">
        <f t="shared" si="153"/>
        <v>2.8325000000000005</v>
      </c>
      <c r="G201" s="2">
        <f t="shared" si="153"/>
        <v>4.1625000000000005</v>
      </c>
      <c r="H201" s="2">
        <f t="shared" si="153"/>
        <v>6.6974999999999998</v>
      </c>
      <c r="I201" s="159">
        <f t="shared" si="153"/>
        <v>8.98</v>
      </c>
      <c r="J201" s="9">
        <f t="shared" si="154"/>
        <v>2.5225000000000004</v>
      </c>
      <c r="K201" s="2">
        <f t="shared" si="154"/>
        <v>5.5075000000000003</v>
      </c>
      <c r="L201" s="2">
        <f t="shared" si="154"/>
        <v>7.8774999999999995</v>
      </c>
      <c r="M201" s="10">
        <f t="shared" si="154"/>
        <v>10.6075</v>
      </c>
      <c r="N201" s="9">
        <f t="shared" si="154"/>
        <v>3.2874999999999996</v>
      </c>
      <c r="O201" s="2">
        <f t="shared" si="154"/>
        <v>5.5075000000000003</v>
      </c>
      <c r="P201" s="2">
        <f t="shared" si="154"/>
        <v>7.8774999999999995</v>
      </c>
      <c r="Q201" s="159">
        <f t="shared" si="154"/>
        <v>9.7150000000000016</v>
      </c>
      <c r="R201" s="11">
        <f t="shared" si="162"/>
        <v>4.7475000000000005</v>
      </c>
      <c r="S201" s="12">
        <f t="shared" si="152"/>
        <v>9.6700000000000017</v>
      </c>
      <c r="T201" s="12">
        <f t="shared" si="152"/>
        <v>14.574999999999999</v>
      </c>
      <c r="U201" s="13">
        <f t="shared" si="152"/>
        <v>20.762500000000003</v>
      </c>
      <c r="V201" s="11">
        <f t="shared" si="152"/>
        <v>6.12</v>
      </c>
      <c r="W201" s="12">
        <f t="shared" si="152"/>
        <v>9.6700000000000017</v>
      </c>
      <c r="X201" s="12">
        <f t="shared" si="152"/>
        <v>14.574999999999999</v>
      </c>
      <c r="Y201" s="13">
        <f t="shared" si="152"/>
        <v>18.695</v>
      </c>
      <c r="Z201" s="138">
        <f t="shared" si="155"/>
        <v>8.6855000000000011</v>
      </c>
      <c r="AA201" s="143">
        <f t="shared" si="156"/>
        <v>15.8125</v>
      </c>
      <c r="AB201" s="138">
        <f t="shared" si="157"/>
        <v>8.9600000000000009</v>
      </c>
      <c r="AC201" s="139">
        <f t="shared" si="158"/>
        <v>15.398999999999999</v>
      </c>
      <c r="AD201" s="87">
        <f t="shared" si="159"/>
        <v>12.249000000000001</v>
      </c>
      <c r="AE201" s="88">
        <f t="shared" si="160"/>
        <v>12.179500000000001</v>
      </c>
      <c r="AF201" s="134">
        <f t="shared" si="161"/>
        <v>12.21425</v>
      </c>
    </row>
    <row r="202" spans="1:40" ht="15.75" thickBot="1" x14ac:dyDescent="0.3">
      <c r="A202" s="165" t="s">
        <v>83</v>
      </c>
      <c r="B202" s="160">
        <f t="shared" si="153"/>
        <v>1.0975000000000001</v>
      </c>
      <c r="C202" s="120">
        <f t="shared" si="153"/>
        <v>3.0075000000000003</v>
      </c>
      <c r="D202" s="120">
        <f t="shared" si="153"/>
        <v>5.3774999999999995</v>
      </c>
      <c r="E202" s="124">
        <f t="shared" si="153"/>
        <v>8.1074999999999999</v>
      </c>
      <c r="F202" s="160">
        <f t="shared" si="153"/>
        <v>1.5625000000000004</v>
      </c>
      <c r="G202" s="120">
        <f t="shared" si="153"/>
        <v>3.0075000000000003</v>
      </c>
      <c r="H202" s="120">
        <f t="shared" si="153"/>
        <v>5.3774999999999995</v>
      </c>
      <c r="I202" s="167">
        <f t="shared" si="153"/>
        <v>7.2150000000000016</v>
      </c>
      <c r="J202" s="160">
        <f t="shared" si="154"/>
        <v>2.5225000000000004</v>
      </c>
      <c r="K202" s="120">
        <f t="shared" si="154"/>
        <v>5.5075000000000003</v>
      </c>
      <c r="L202" s="120">
        <f t="shared" si="154"/>
        <v>7.8774999999999995</v>
      </c>
      <c r="M202" s="124">
        <f t="shared" si="154"/>
        <v>10.6075</v>
      </c>
      <c r="N202" s="160">
        <f t="shared" si="154"/>
        <v>3.2874999999999996</v>
      </c>
      <c r="O202" s="120">
        <f t="shared" si="154"/>
        <v>5.5075000000000003</v>
      </c>
      <c r="P202" s="120">
        <f t="shared" si="154"/>
        <v>7.8774999999999995</v>
      </c>
      <c r="Q202" s="167">
        <f t="shared" si="154"/>
        <v>9.7150000000000016</v>
      </c>
      <c r="R202" s="175">
        <f t="shared" si="162"/>
        <v>3.6200000000000006</v>
      </c>
      <c r="S202" s="176">
        <f t="shared" si="152"/>
        <v>8.5150000000000006</v>
      </c>
      <c r="T202" s="176">
        <f t="shared" si="152"/>
        <v>13.254999999999999</v>
      </c>
      <c r="U202" s="177">
        <f t="shared" si="152"/>
        <v>18.715</v>
      </c>
      <c r="V202" s="175">
        <f t="shared" si="152"/>
        <v>4.8499999999999996</v>
      </c>
      <c r="W202" s="176">
        <f t="shared" si="152"/>
        <v>8.5150000000000006</v>
      </c>
      <c r="X202" s="176">
        <f t="shared" si="152"/>
        <v>13.254999999999999</v>
      </c>
      <c r="Y202" s="177">
        <f t="shared" si="152"/>
        <v>16.930000000000003</v>
      </c>
      <c r="Z202" s="140">
        <f t="shared" si="155"/>
        <v>7.5360000000000014</v>
      </c>
      <c r="AA202" s="144">
        <f t="shared" si="156"/>
        <v>14.346999999999998</v>
      </c>
      <c r="AB202" s="140">
        <f t="shared" si="157"/>
        <v>7.7820000000000009</v>
      </c>
      <c r="AC202" s="141">
        <f t="shared" si="158"/>
        <v>13.989999999999998</v>
      </c>
      <c r="AD202" s="91">
        <f t="shared" si="159"/>
        <v>10.9415</v>
      </c>
      <c r="AE202" s="94">
        <f t="shared" si="160"/>
        <v>10.885999999999999</v>
      </c>
      <c r="AF202" s="135">
        <f t="shared" si="161"/>
        <v>10.91375</v>
      </c>
    </row>
    <row r="204" spans="1:40" ht="15.75" thickBot="1" x14ac:dyDescent="0.3">
      <c r="A204" t="s">
        <v>217</v>
      </c>
      <c r="AH204">
        <v>0.8</v>
      </c>
    </row>
    <row r="205" spans="1:40" ht="15.75" thickBot="1" x14ac:dyDescent="0.3">
      <c r="A205" s="304" t="s">
        <v>86</v>
      </c>
      <c r="B205" s="303" t="s">
        <v>214</v>
      </c>
      <c r="C205" s="306"/>
      <c r="D205" s="306"/>
      <c r="E205" s="306"/>
      <c r="F205" s="306"/>
      <c r="G205" s="306"/>
      <c r="H205" s="306"/>
      <c r="I205" s="307"/>
      <c r="J205" s="303" t="s">
        <v>215</v>
      </c>
      <c r="K205" s="306"/>
      <c r="L205" s="306"/>
      <c r="M205" s="306"/>
      <c r="N205" s="306"/>
      <c r="O205" s="306"/>
      <c r="P205" s="306"/>
      <c r="Q205" s="307"/>
      <c r="R205" s="303" t="s">
        <v>218</v>
      </c>
      <c r="S205" s="306"/>
      <c r="T205" s="306"/>
      <c r="U205" s="306"/>
      <c r="V205" s="306"/>
      <c r="W205" s="306"/>
      <c r="X205" s="306"/>
      <c r="Y205" s="307"/>
      <c r="Z205" s="280" t="s">
        <v>216</v>
      </c>
      <c r="AA205" s="281"/>
      <c r="AB205" s="281"/>
      <c r="AC205" s="281"/>
      <c r="AD205" s="281"/>
      <c r="AE205" s="281"/>
      <c r="AF205" s="281"/>
      <c r="AG205" s="282"/>
      <c r="AH205" s="292" t="s">
        <v>151</v>
      </c>
      <c r="AI205" s="293"/>
      <c r="AJ205" s="293"/>
      <c r="AK205" s="294"/>
      <c r="AL205" s="288" t="s">
        <v>153</v>
      </c>
      <c r="AM205" s="289"/>
      <c r="AN205" s="290" t="s">
        <v>156</v>
      </c>
    </row>
    <row r="206" spans="1:40" ht="31.5" customHeight="1" thickBot="1" x14ac:dyDescent="0.3">
      <c r="A206" s="305"/>
      <c r="B206" s="300" t="s">
        <v>17</v>
      </c>
      <c r="C206" s="301"/>
      <c r="D206" s="301"/>
      <c r="E206" s="302"/>
      <c r="F206" s="303" t="s">
        <v>18</v>
      </c>
      <c r="G206" s="301"/>
      <c r="H206" s="301"/>
      <c r="I206" s="302"/>
      <c r="J206" s="300" t="s">
        <v>17</v>
      </c>
      <c r="K206" s="301"/>
      <c r="L206" s="301"/>
      <c r="M206" s="302"/>
      <c r="N206" s="303" t="s">
        <v>18</v>
      </c>
      <c r="O206" s="301"/>
      <c r="P206" s="301"/>
      <c r="Q206" s="302"/>
      <c r="R206" s="300" t="s">
        <v>17</v>
      </c>
      <c r="S206" s="301"/>
      <c r="T206" s="301"/>
      <c r="U206" s="302"/>
      <c r="V206" s="303" t="s">
        <v>18</v>
      </c>
      <c r="W206" s="301"/>
      <c r="X206" s="301"/>
      <c r="Y206" s="302"/>
      <c r="Z206" s="280" t="s">
        <v>17</v>
      </c>
      <c r="AA206" s="281"/>
      <c r="AB206" s="281"/>
      <c r="AC206" s="282"/>
      <c r="AD206" s="280" t="s">
        <v>18</v>
      </c>
      <c r="AE206" s="281"/>
      <c r="AF206" s="281"/>
      <c r="AG206" s="282"/>
      <c r="AH206" s="295" t="s">
        <v>152</v>
      </c>
      <c r="AI206" s="296"/>
      <c r="AJ206" s="295" t="s">
        <v>26</v>
      </c>
      <c r="AK206" s="297"/>
      <c r="AL206" s="145" t="s">
        <v>154</v>
      </c>
      <c r="AM206" s="145" t="s">
        <v>155</v>
      </c>
      <c r="AN206" s="291"/>
    </row>
    <row r="207" spans="1:40" x14ac:dyDescent="0.25">
      <c r="A207" s="169" t="s">
        <v>84</v>
      </c>
      <c r="B207" s="11">
        <f>B179*$C$171</f>
        <v>1.9380000000000002</v>
      </c>
      <c r="C207" s="12">
        <f t="shared" ref="C207:I207" si="163">C179*$C$171</f>
        <v>3.78</v>
      </c>
      <c r="D207" s="12">
        <f t="shared" si="163"/>
        <v>4.7430000000000003</v>
      </c>
      <c r="E207" s="13">
        <f t="shared" si="163"/>
        <v>6.1965000000000003</v>
      </c>
      <c r="F207" s="11">
        <f t="shared" si="163"/>
        <v>2.4959999999999996</v>
      </c>
      <c r="G207" s="12">
        <f t="shared" si="163"/>
        <v>3.78</v>
      </c>
      <c r="H207" s="12">
        <f t="shared" si="163"/>
        <v>4.7430000000000003</v>
      </c>
      <c r="I207" s="166">
        <f t="shared" si="163"/>
        <v>5.7090000000000005</v>
      </c>
      <c r="J207" s="11">
        <f>J179*$C$172</f>
        <v>1.2659999999999998</v>
      </c>
      <c r="K207" s="12">
        <f t="shared" ref="K207:Q207" si="164">K179*$C$172</f>
        <v>2.9670000000000001</v>
      </c>
      <c r="L207" s="12">
        <f t="shared" si="164"/>
        <v>4.5539999999999994</v>
      </c>
      <c r="M207" s="13">
        <f t="shared" si="164"/>
        <v>6.3645000000000005</v>
      </c>
      <c r="N207" s="11">
        <f t="shared" si="164"/>
        <v>1.7024999999999997</v>
      </c>
      <c r="O207" s="12">
        <f t="shared" si="164"/>
        <v>2.9670000000000001</v>
      </c>
      <c r="P207" s="12">
        <f t="shared" si="164"/>
        <v>4.5539999999999994</v>
      </c>
      <c r="Q207" s="166">
        <f t="shared" si="164"/>
        <v>5.7690000000000001</v>
      </c>
      <c r="R207" s="173">
        <f>R179*$C$173</f>
        <v>2.0180000000000002</v>
      </c>
      <c r="S207" s="173">
        <f t="shared" ref="S207:Y207" si="165">S179*$C$173</f>
        <v>3.9659999999999997</v>
      </c>
      <c r="T207" s="173">
        <f t="shared" si="165"/>
        <v>5.4220000000000006</v>
      </c>
      <c r="U207" s="173">
        <f t="shared" si="165"/>
        <v>7.3860000000000001</v>
      </c>
      <c r="V207" s="173">
        <f t="shared" si="165"/>
        <v>2.5716000000000001</v>
      </c>
      <c r="W207" s="173">
        <f t="shared" si="165"/>
        <v>3.9659999999999997</v>
      </c>
      <c r="X207" s="173">
        <f t="shared" si="165"/>
        <v>5.4220000000000006</v>
      </c>
      <c r="Y207" s="199">
        <f t="shared" si="165"/>
        <v>6.7320000000000011</v>
      </c>
      <c r="Z207" s="11">
        <f>B207+J207+R207</f>
        <v>5.2219999999999995</v>
      </c>
      <c r="AA207" s="12">
        <f t="shared" ref="AA207:AG216" si="166">C207+K207+S207</f>
        <v>10.712999999999999</v>
      </c>
      <c r="AB207" s="12">
        <f t="shared" si="166"/>
        <v>14.719000000000001</v>
      </c>
      <c r="AC207" s="13">
        <f t="shared" si="166"/>
        <v>19.946999999999999</v>
      </c>
      <c r="AD207" s="11">
        <f t="shared" si="166"/>
        <v>6.7700999999999993</v>
      </c>
      <c r="AE207" s="12">
        <f t="shared" si="166"/>
        <v>10.712999999999999</v>
      </c>
      <c r="AF207" s="12">
        <f t="shared" si="166"/>
        <v>14.719000000000001</v>
      </c>
      <c r="AG207" s="166">
        <f t="shared" si="166"/>
        <v>18.21</v>
      </c>
      <c r="AH207" s="81">
        <f>AH$204*AA207+(1-AH$204)*Z207</f>
        <v>9.6147999999999989</v>
      </c>
      <c r="AI207" s="84">
        <f>AH$204*AB207+(1-AH$204)*AC207</f>
        <v>15.764600000000002</v>
      </c>
      <c r="AJ207" s="81">
        <f>AH$204*AE207+(1-AH$204)*AD207</f>
        <v>9.9244199999999996</v>
      </c>
      <c r="AK207" s="84">
        <f>AH$204*AF207+(1-AH$204)*AG207</f>
        <v>15.417200000000001</v>
      </c>
      <c r="AL207" s="81">
        <f>(AH207+AI207)/2</f>
        <v>12.6897</v>
      </c>
      <c r="AM207" s="84">
        <f>(AJ207+AK207)/2</f>
        <v>12.670809999999999</v>
      </c>
      <c r="AN207" s="133">
        <f>(AL207+AM207)/2</f>
        <v>12.680254999999999</v>
      </c>
    </row>
    <row r="208" spans="1:40" x14ac:dyDescent="0.25">
      <c r="A208" s="164" t="s">
        <v>73</v>
      </c>
      <c r="B208" s="9">
        <f t="shared" ref="B208:I216" si="167">B180*$C$171</f>
        <v>0.34650000000000009</v>
      </c>
      <c r="C208" s="2">
        <f t="shared" si="167"/>
        <v>1.3365</v>
      </c>
      <c r="D208" s="2">
        <f t="shared" si="167"/>
        <v>2.7224999999999997</v>
      </c>
      <c r="E208" s="10">
        <f t="shared" si="167"/>
        <v>4.2074999999999996</v>
      </c>
      <c r="F208" s="9">
        <f t="shared" si="167"/>
        <v>0.54570000000000018</v>
      </c>
      <c r="G208" s="2">
        <f t="shared" si="167"/>
        <v>1.3365</v>
      </c>
      <c r="H208" s="2">
        <f t="shared" si="167"/>
        <v>2.7224999999999997</v>
      </c>
      <c r="I208" s="159">
        <f t="shared" si="167"/>
        <v>3.729000000000001</v>
      </c>
      <c r="J208" s="9">
        <f t="shared" ref="J208:Q216" si="168">J180*$C$172</f>
        <v>0.34650000000000009</v>
      </c>
      <c r="K208" s="2">
        <f t="shared" si="168"/>
        <v>1.6665000000000001</v>
      </c>
      <c r="L208" s="2">
        <f t="shared" si="168"/>
        <v>3.3824999999999998</v>
      </c>
      <c r="M208" s="10">
        <f t="shared" si="168"/>
        <v>5.0325000000000006</v>
      </c>
      <c r="N208" s="9">
        <f t="shared" si="168"/>
        <v>0.58950000000000025</v>
      </c>
      <c r="O208" s="2">
        <f t="shared" si="168"/>
        <v>1.6665000000000001</v>
      </c>
      <c r="P208" s="2">
        <f t="shared" si="168"/>
        <v>3.3824999999999998</v>
      </c>
      <c r="Q208" s="159">
        <f t="shared" si="168"/>
        <v>4.5090000000000012</v>
      </c>
      <c r="R208" s="184">
        <f t="shared" ref="R208:Y216" si="169">R180*$C$173</f>
        <v>0.24199999999999999</v>
      </c>
      <c r="S208" s="184">
        <f t="shared" si="169"/>
        <v>1.4520000000000004</v>
      </c>
      <c r="T208" s="184">
        <f t="shared" si="169"/>
        <v>3.3000000000000003</v>
      </c>
      <c r="U208" s="184">
        <f t="shared" si="169"/>
        <v>5.16</v>
      </c>
      <c r="V208" s="184">
        <f t="shared" si="169"/>
        <v>0.41</v>
      </c>
      <c r="W208" s="184">
        <f t="shared" si="169"/>
        <v>1.4520000000000004</v>
      </c>
      <c r="X208" s="184">
        <f t="shared" si="169"/>
        <v>3.3000000000000003</v>
      </c>
      <c r="Y208" s="183">
        <f t="shared" si="169"/>
        <v>4.572000000000001</v>
      </c>
      <c r="Z208" s="9">
        <f t="shared" ref="Z208:Z216" si="170">B208+J208+R208</f>
        <v>0.93500000000000016</v>
      </c>
      <c r="AA208" s="2">
        <f t="shared" si="166"/>
        <v>4.4550000000000001</v>
      </c>
      <c r="AB208" s="2">
        <f t="shared" si="166"/>
        <v>9.4049999999999994</v>
      </c>
      <c r="AC208" s="10">
        <f t="shared" si="166"/>
        <v>14.4</v>
      </c>
      <c r="AD208" s="9">
        <f t="shared" si="166"/>
        <v>1.5452000000000004</v>
      </c>
      <c r="AE208" s="2">
        <f t="shared" si="166"/>
        <v>4.4550000000000001</v>
      </c>
      <c r="AF208" s="2">
        <f t="shared" si="166"/>
        <v>9.4049999999999994</v>
      </c>
      <c r="AG208" s="159">
        <f t="shared" si="166"/>
        <v>12.810000000000004</v>
      </c>
      <c r="AH208" s="87">
        <f t="shared" ref="AH208:AH216" si="171">AH$204*AA208+(1-AH$204)*Z208</f>
        <v>3.7509999999999999</v>
      </c>
      <c r="AI208" s="88">
        <f t="shared" ref="AI208:AI216" si="172">AH$204*AB208+(1-AH$204)*AC208</f>
        <v>10.404</v>
      </c>
      <c r="AJ208" s="87">
        <f t="shared" ref="AJ208:AJ216" si="173">AH$204*AE208+(1-AH$204)*AD208</f>
        <v>3.87304</v>
      </c>
      <c r="AK208" s="88">
        <f t="shared" ref="AK208:AK216" si="174">AH$204*AF208+(1-AH$204)*AG208</f>
        <v>10.086</v>
      </c>
      <c r="AL208" s="87">
        <f t="shared" ref="AL208:AL216" si="175">(AH208+AI208)/2</f>
        <v>7.0774999999999997</v>
      </c>
      <c r="AM208" s="88">
        <f t="shared" ref="AM208:AM216" si="176">(AJ208+AK208)/2</f>
        <v>6.9795199999999999</v>
      </c>
      <c r="AN208" s="134">
        <f t="shared" ref="AN208:AN216" si="177">(AL208+AM208)/2</f>
        <v>7.0285099999999998</v>
      </c>
    </row>
    <row r="209" spans="1:40" x14ac:dyDescent="0.25">
      <c r="A209" s="164" t="s">
        <v>74</v>
      </c>
      <c r="B209" s="9">
        <f t="shared" si="167"/>
        <v>1.2045000000000001</v>
      </c>
      <c r="C209" s="2">
        <f t="shared" si="167"/>
        <v>2.2275</v>
      </c>
      <c r="D209" s="2">
        <f t="shared" si="167"/>
        <v>3.8115000000000006</v>
      </c>
      <c r="E209" s="10">
        <f t="shared" si="167"/>
        <v>5.9894999999999996</v>
      </c>
      <c r="F209" s="9">
        <f t="shared" si="167"/>
        <v>1.524</v>
      </c>
      <c r="G209" s="2">
        <f t="shared" si="167"/>
        <v>2.2275</v>
      </c>
      <c r="H209" s="2">
        <f t="shared" si="167"/>
        <v>3.8115000000000006</v>
      </c>
      <c r="I209" s="159">
        <f t="shared" si="167"/>
        <v>5.246999999999999</v>
      </c>
      <c r="J209" s="9">
        <f t="shared" si="168"/>
        <v>2.19</v>
      </c>
      <c r="K209" s="2">
        <f t="shared" si="168"/>
        <v>3.9975000000000001</v>
      </c>
      <c r="L209" s="2">
        <f t="shared" si="168"/>
        <v>5.5184999999999995</v>
      </c>
      <c r="M209" s="10">
        <f t="shared" si="168"/>
        <v>7.593</v>
      </c>
      <c r="N209" s="9">
        <f t="shared" si="168"/>
        <v>2.7344999999999993</v>
      </c>
      <c r="O209" s="2">
        <f t="shared" si="168"/>
        <v>3.9975000000000001</v>
      </c>
      <c r="P209" s="2">
        <f t="shared" si="168"/>
        <v>5.5184999999999995</v>
      </c>
      <c r="Q209" s="159">
        <f t="shared" si="168"/>
        <v>6.8879999999999999</v>
      </c>
      <c r="R209" s="11">
        <f t="shared" si="169"/>
        <v>1.9299999999999997</v>
      </c>
      <c r="S209" s="11">
        <f t="shared" si="169"/>
        <v>3.78</v>
      </c>
      <c r="T209" s="11">
        <f t="shared" si="169"/>
        <v>5.588000000000001</v>
      </c>
      <c r="U209" s="11">
        <f t="shared" si="169"/>
        <v>8.1240000000000006</v>
      </c>
      <c r="V209" s="11">
        <f t="shared" si="169"/>
        <v>2.4999999999999996</v>
      </c>
      <c r="W209" s="11">
        <f t="shared" si="169"/>
        <v>3.78</v>
      </c>
      <c r="X209" s="11">
        <f t="shared" si="169"/>
        <v>5.588000000000001</v>
      </c>
      <c r="Y209" s="168">
        <f t="shared" si="169"/>
        <v>7.2639999999999993</v>
      </c>
      <c r="Z209" s="9">
        <f t="shared" si="170"/>
        <v>5.3244999999999996</v>
      </c>
      <c r="AA209" s="2">
        <f t="shared" si="166"/>
        <v>10.004999999999999</v>
      </c>
      <c r="AB209" s="2">
        <f t="shared" si="166"/>
        <v>14.918000000000001</v>
      </c>
      <c r="AC209" s="10">
        <f t="shared" si="166"/>
        <v>21.706499999999998</v>
      </c>
      <c r="AD209" s="9">
        <f t="shared" si="166"/>
        <v>6.7584999999999997</v>
      </c>
      <c r="AE209" s="2">
        <f t="shared" si="166"/>
        <v>10.004999999999999</v>
      </c>
      <c r="AF209" s="2">
        <f t="shared" si="166"/>
        <v>14.918000000000001</v>
      </c>
      <c r="AG209" s="159">
        <f t="shared" si="166"/>
        <v>19.398999999999997</v>
      </c>
      <c r="AH209" s="87">
        <f t="shared" si="171"/>
        <v>9.0688999999999993</v>
      </c>
      <c r="AI209" s="88">
        <f t="shared" si="172"/>
        <v>16.275700000000001</v>
      </c>
      <c r="AJ209" s="87">
        <f t="shared" si="173"/>
        <v>9.3556999999999988</v>
      </c>
      <c r="AK209" s="88">
        <f t="shared" si="174"/>
        <v>15.8142</v>
      </c>
      <c r="AL209" s="87">
        <f t="shared" si="175"/>
        <v>12.6723</v>
      </c>
      <c r="AM209" s="88">
        <f t="shared" si="176"/>
        <v>12.584949999999999</v>
      </c>
      <c r="AN209" s="134">
        <f t="shared" si="177"/>
        <v>12.628625</v>
      </c>
    </row>
    <row r="210" spans="1:40" x14ac:dyDescent="0.25">
      <c r="A210" s="164" t="s">
        <v>75</v>
      </c>
      <c r="B210" s="9">
        <f t="shared" si="167"/>
        <v>1.6950000000000003</v>
      </c>
      <c r="C210" s="2">
        <f t="shared" si="167"/>
        <v>3.1724999999999999</v>
      </c>
      <c r="D210" s="2">
        <f t="shared" si="167"/>
        <v>4.3635000000000002</v>
      </c>
      <c r="E210" s="10">
        <f t="shared" si="167"/>
        <v>6.0929999999999991</v>
      </c>
      <c r="F210" s="9">
        <f t="shared" si="167"/>
        <v>2.145</v>
      </c>
      <c r="G210" s="2">
        <f t="shared" si="167"/>
        <v>3.1724999999999999</v>
      </c>
      <c r="H210" s="2">
        <f t="shared" si="167"/>
        <v>4.3635000000000002</v>
      </c>
      <c r="I210" s="159">
        <f t="shared" si="167"/>
        <v>5.508</v>
      </c>
      <c r="J210" s="9">
        <f t="shared" si="168"/>
        <v>1.8435000000000001</v>
      </c>
      <c r="K210" s="2">
        <f t="shared" si="168"/>
        <v>3.5520000000000005</v>
      </c>
      <c r="L210" s="2">
        <f t="shared" si="168"/>
        <v>4.9739999999999993</v>
      </c>
      <c r="M210" s="10">
        <f t="shared" si="168"/>
        <v>6.7020000000000008</v>
      </c>
      <c r="N210" s="9">
        <f t="shared" si="168"/>
        <v>2.2799999999999994</v>
      </c>
      <c r="O210" s="2">
        <f t="shared" si="168"/>
        <v>3.5520000000000005</v>
      </c>
      <c r="P210" s="2">
        <f t="shared" si="168"/>
        <v>4.9739999999999993</v>
      </c>
      <c r="Q210" s="159">
        <f t="shared" si="168"/>
        <v>6.1289999999999996</v>
      </c>
      <c r="R210" s="11">
        <f t="shared" si="169"/>
        <v>0.87800000000000011</v>
      </c>
      <c r="S210" s="11">
        <f t="shared" si="169"/>
        <v>2.4060000000000001</v>
      </c>
      <c r="T210" s="11">
        <f t="shared" si="169"/>
        <v>4.3020000000000005</v>
      </c>
      <c r="U210" s="11">
        <f t="shared" si="169"/>
        <v>6.4860000000000015</v>
      </c>
      <c r="V210" s="11">
        <f t="shared" si="169"/>
        <v>1.2500000000000004</v>
      </c>
      <c r="W210" s="11">
        <f t="shared" si="169"/>
        <v>2.4060000000000001</v>
      </c>
      <c r="X210" s="11">
        <f t="shared" si="169"/>
        <v>4.3020000000000005</v>
      </c>
      <c r="Y210" s="168">
        <f t="shared" si="169"/>
        <v>5.772000000000002</v>
      </c>
      <c r="Z210" s="9">
        <f t="shared" si="170"/>
        <v>4.416500000000001</v>
      </c>
      <c r="AA210" s="2">
        <f t="shared" si="166"/>
        <v>9.1305000000000014</v>
      </c>
      <c r="AB210" s="2">
        <f t="shared" si="166"/>
        <v>13.639499999999998</v>
      </c>
      <c r="AC210" s="10">
        <f t="shared" si="166"/>
        <v>19.281000000000002</v>
      </c>
      <c r="AD210" s="9">
        <f t="shared" si="166"/>
        <v>5.6749999999999989</v>
      </c>
      <c r="AE210" s="2">
        <f t="shared" si="166"/>
        <v>9.1305000000000014</v>
      </c>
      <c r="AF210" s="2">
        <f t="shared" si="166"/>
        <v>13.639499999999998</v>
      </c>
      <c r="AG210" s="159">
        <f t="shared" si="166"/>
        <v>17.409000000000002</v>
      </c>
      <c r="AH210" s="87">
        <f t="shared" si="171"/>
        <v>8.1877000000000013</v>
      </c>
      <c r="AI210" s="88">
        <f t="shared" si="172"/>
        <v>14.767799999999999</v>
      </c>
      <c r="AJ210" s="87">
        <f t="shared" si="173"/>
        <v>8.4394000000000009</v>
      </c>
      <c r="AK210" s="88">
        <f t="shared" si="174"/>
        <v>14.3934</v>
      </c>
      <c r="AL210" s="87">
        <f t="shared" si="175"/>
        <v>11.47775</v>
      </c>
      <c r="AM210" s="88">
        <f t="shared" si="176"/>
        <v>11.416399999999999</v>
      </c>
      <c r="AN210" s="134">
        <f t="shared" si="177"/>
        <v>11.447075</v>
      </c>
    </row>
    <row r="211" spans="1:40" x14ac:dyDescent="0.25">
      <c r="A211" s="164" t="s">
        <v>77</v>
      </c>
      <c r="B211" s="9">
        <f t="shared" si="167"/>
        <v>1.335</v>
      </c>
      <c r="C211" s="2">
        <f t="shared" si="167"/>
        <v>2.4975000000000001</v>
      </c>
      <c r="D211" s="2">
        <f t="shared" si="167"/>
        <v>4.0184999999999995</v>
      </c>
      <c r="E211" s="10">
        <f t="shared" si="167"/>
        <v>6.0930000000000009</v>
      </c>
      <c r="F211" s="9">
        <f t="shared" si="167"/>
        <v>1.6995000000000002</v>
      </c>
      <c r="G211" s="2">
        <f t="shared" si="167"/>
        <v>2.4975000000000001</v>
      </c>
      <c r="H211" s="2">
        <f t="shared" si="167"/>
        <v>4.0184999999999995</v>
      </c>
      <c r="I211" s="159">
        <f t="shared" si="167"/>
        <v>5.3879999999999999</v>
      </c>
      <c r="J211" s="9">
        <f t="shared" si="168"/>
        <v>2.19</v>
      </c>
      <c r="K211" s="2">
        <f t="shared" si="168"/>
        <v>3.9975000000000001</v>
      </c>
      <c r="L211" s="2">
        <f t="shared" si="168"/>
        <v>5.5184999999999995</v>
      </c>
      <c r="M211" s="10">
        <f t="shared" si="168"/>
        <v>7.593</v>
      </c>
      <c r="N211" s="9">
        <f t="shared" si="168"/>
        <v>2.7344999999999993</v>
      </c>
      <c r="O211" s="2">
        <f t="shared" si="168"/>
        <v>3.9975000000000001</v>
      </c>
      <c r="P211" s="2">
        <f t="shared" si="168"/>
        <v>5.5184999999999995</v>
      </c>
      <c r="Q211" s="159">
        <f t="shared" si="168"/>
        <v>6.8879999999999999</v>
      </c>
      <c r="R211" s="11">
        <f t="shared" si="169"/>
        <v>1.028</v>
      </c>
      <c r="S211" s="11">
        <f t="shared" si="169"/>
        <v>2.8559999999999999</v>
      </c>
      <c r="T211" s="11">
        <f t="shared" si="169"/>
        <v>4.532</v>
      </c>
      <c r="U211" s="11">
        <f t="shared" si="169"/>
        <v>6.4860000000000007</v>
      </c>
      <c r="V211" s="11">
        <f t="shared" si="169"/>
        <v>1.4839999999999998</v>
      </c>
      <c r="W211" s="11">
        <f t="shared" si="169"/>
        <v>2.8559999999999999</v>
      </c>
      <c r="X211" s="11">
        <f t="shared" si="169"/>
        <v>4.532</v>
      </c>
      <c r="Y211" s="168">
        <f t="shared" si="169"/>
        <v>5.8520000000000003</v>
      </c>
      <c r="Z211" s="9">
        <f t="shared" si="170"/>
        <v>4.5529999999999999</v>
      </c>
      <c r="AA211" s="2">
        <f t="shared" si="166"/>
        <v>9.3509999999999991</v>
      </c>
      <c r="AB211" s="2">
        <f t="shared" si="166"/>
        <v>14.068999999999999</v>
      </c>
      <c r="AC211" s="10">
        <f t="shared" si="166"/>
        <v>20.172000000000001</v>
      </c>
      <c r="AD211" s="9">
        <f t="shared" si="166"/>
        <v>5.9179999999999993</v>
      </c>
      <c r="AE211" s="2">
        <f t="shared" si="166"/>
        <v>9.3509999999999991</v>
      </c>
      <c r="AF211" s="2">
        <f t="shared" si="166"/>
        <v>14.068999999999999</v>
      </c>
      <c r="AG211" s="159">
        <f t="shared" si="166"/>
        <v>18.128</v>
      </c>
      <c r="AH211" s="87">
        <f t="shared" si="171"/>
        <v>8.3913999999999991</v>
      </c>
      <c r="AI211" s="88">
        <f t="shared" si="172"/>
        <v>15.2896</v>
      </c>
      <c r="AJ211" s="87">
        <f t="shared" si="173"/>
        <v>8.6643999999999988</v>
      </c>
      <c r="AK211" s="88">
        <f t="shared" si="174"/>
        <v>14.880799999999999</v>
      </c>
      <c r="AL211" s="87">
        <f t="shared" si="175"/>
        <v>11.840499999999999</v>
      </c>
      <c r="AM211" s="88">
        <f t="shared" si="176"/>
        <v>11.772599999999999</v>
      </c>
      <c r="AN211" s="134">
        <f t="shared" si="177"/>
        <v>11.806549999999998</v>
      </c>
    </row>
    <row r="212" spans="1:40" x14ac:dyDescent="0.25">
      <c r="A212" s="164" t="s">
        <v>78</v>
      </c>
      <c r="B212" s="9">
        <f t="shared" si="167"/>
        <v>1.3485000000000003</v>
      </c>
      <c r="C212" s="2">
        <f t="shared" si="167"/>
        <v>2.7269999999999999</v>
      </c>
      <c r="D212" s="2">
        <f t="shared" si="167"/>
        <v>3.819</v>
      </c>
      <c r="E212" s="10">
        <f t="shared" si="167"/>
        <v>5.202</v>
      </c>
      <c r="F212" s="9">
        <f t="shared" si="167"/>
        <v>1.6904999999999997</v>
      </c>
      <c r="G212" s="2">
        <f t="shared" si="167"/>
        <v>2.7269999999999999</v>
      </c>
      <c r="H212" s="2">
        <f t="shared" si="167"/>
        <v>3.819</v>
      </c>
      <c r="I212" s="159">
        <f t="shared" si="167"/>
        <v>4.7489999999999997</v>
      </c>
      <c r="J212" s="9">
        <f t="shared" si="168"/>
        <v>1.8435000000000001</v>
      </c>
      <c r="K212" s="2">
        <f t="shared" si="168"/>
        <v>3.5520000000000005</v>
      </c>
      <c r="L212" s="2">
        <f t="shared" si="168"/>
        <v>4.9739999999999993</v>
      </c>
      <c r="M212" s="10">
        <f t="shared" si="168"/>
        <v>6.7020000000000008</v>
      </c>
      <c r="N212" s="9">
        <f t="shared" si="168"/>
        <v>2.2799999999999994</v>
      </c>
      <c r="O212" s="2">
        <f t="shared" si="168"/>
        <v>3.5520000000000005</v>
      </c>
      <c r="P212" s="2">
        <f t="shared" si="168"/>
        <v>4.9739999999999993</v>
      </c>
      <c r="Q212" s="159">
        <f t="shared" si="168"/>
        <v>6.1289999999999996</v>
      </c>
      <c r="R212" s="11">
        <f t="shared" si="169"/>
        <v>0.46200000000000013</v>
      </c>
      <c r="S212" s="11">
        <f t="shared" si="169"/>
        <v>1.782</v>
      </c>
      <c r="T212" s="11">
        <f t="shared" si="169"/>
        <v>3.6300000000000008</v>
      </c>
      <c r="U212" s="11">
        <f t="shared" si="169"/>
        <v>5.61</v>
      </c>
      <c r="V212" s="11">
        <f t="shared" si="169"/>
        <v>0.72760000000000036</v>
      </c>
      <c r="W212" s="11">
        <f t="shared" si="169"/>
        <v>1.782</v>
      </c>
      <c r="X212" s="11">
        <f t="shared" si="169"/>
        <v>3.6300000000000008</v>
      </c>
      <c r="Y212" s="168">
        <f t="shared" si="169"/>
        <v>4.9720000000000013</v>
      </c>
      <c r="Z212" s="9">
        <f t="shared" si="170"/>
        <v>3.6540000000000004</v>
      </c>
      <c r="AA212" s="2">
        <f t="shared" si="166"/>
        <v>8.0609999999999999</v>
      </c>
      <c r="AB212" s="2">
        <f t="shared" si="166"/>
        <v>12.423</v>
      </c>
      <c r="AC212" s="10">
        <f t="shared" si="166"/>
        <v>17.513999999999999</v>
      </c>
      <c r="AD212" s="9">
        <f t="shared" si="166"/>
        <v>4.6980999999999993</v>
      </c>
      <c r="AE212" s="2">
        <f t="shared" si="166"/>
        <v>8.0609999999999999</v>
      </c>
      <c r="AF212" s="2">
        <f t="shared" si="166"/>
        <v>12.423</v>
      </c>
      <c r="AG212" s="159">
        <f t="shared" si="166"/>
        <v>15.850000000000001</v>
      </c>
      <c r="AH212" s="87">
        <f t="shared" si="171"/>
        <v>7.1796000000000006</v>
      </c>
      <c r="AI212" s="88">
        <f t="shared" si="172"/>
        <v>13.4412</v>
      </c>
      <c r="AJ212" s="87">
        <f t="shared" si="173"/>
        <v>7.38842</v>
      </c>
      <c r="AK212" s="88">
        <f t="shared" si="174"/>
        <v>13.108400000000001</v>
      </c>
      <c r="AL212" s="87">
        <f t="shared" si="175"/>
        <v>10.310400000000001</v>
      </c>
      <c r="AM212" s="88">
        <f t="shared" si="176"/>
        <v>10.24841</v>
      </c>
      <c r="AN212" s="134">
        <f t="shared" si="177"/>
        <v>10.279405000000001</v>
      </c>
    </row>
    <row r="213" spans="1:40" x14ac:dyDescent="0.25">
      <c r="A213" s="164" t="s">
        <v>79</v>
      </c>
      <c r="B213" s="9">
        <f t="shared" si="167"/>
        <v>1.3485000000000003</v>
      </c>
      <c r="C213" s="2">
        <f t="shared" si="167"/>
        <v>2.7269999999999999</v>
      </c>
      <c r="D213" s="2">
        <f t="shared" si="167"/>
        <v>3.819</v>
      </c>
      <c r="E213" s="10">
        <f t="shared" si="167"/>
        <v>5.202</v>
      </c>
      <c r="F213" s="9">
        <f t="shared" si="167"/>
        <v>1.6904999999999997</v>
      </c>
      <c r="G213" s="2">
        <f t="shared" si="167"/>
        <v>2.7269999999999999</v>
      </c>
      <c r="H213" s="2">
        <f t="shared" si="167"/>
        <v>3.819</v>
      </c>
      <c r="I213" s="159">
        <f t="shared" si="167"/>
        <v>4.7489999999999997</v>
      </c>
      <c r="J213" s="9">
        <f t="shared" si="168"/>
        <v>1.8435000000000001</v>
      </c>
      <c r="K213" s="2">
        <f t="shared" si="168"/>
        <v>3.5520000000000005</v>
      </c>
      <c r="L213" s="2">
        <f t="shared" si="168"/>
        <v>4.9739999999999993</v>
      </c>
      <c r="M213" s="10">
        <f t="shared" si="168"/>
        <v>6.7020000000000008</v>
      </c>
      <c r="N213" s="9">
        <f t="shared" si="168"/>
        <v>2.2799999999999994</v>
      </c>
      <c r="O213" s="2">
        <f t="shared" si="168"/>
        <v>3.5520000000000005</v>
      </c>
      <c r="P213" s="2">
        <f t="shared" si="168"/>
        <v>4.9739999999999993</v>
      </c>
      <c r="Q213" s="159">
        <f t="shared" si="168"/>
        <v>6.1289999999999996</v>
      </c>
      <c r="R213" s="11">
        <f t="shared" si="169"/>
        <v>0.87800000000000011</v>
      </c>
      <c r="S213" s="11">
        <f t="shared" si="169"/>
        <v>2.4060000000000001</v>
      </c>
      <c r="T213" s="11">
        <f t="shared" si="169"/>
        <v>4.3020000000000005</v>
      </c>
      <c r="U213" s="11">
        <f t="shared" si="169"/>
        <v>6.4860000000000015</v>
      </c>
      <c r="V213" s="11">
        <f t="shared" si="169"/>
        <v>1.2500000000000004</v>
      </c>
      <c r="W213" s="11">
        <f t="shared" si="169"/>
        <v>2.4060000000000001</v>
      </c>
      <c r="X213" s="11">
        <f t="shared" si="169"/>
        <v>4.3020000000000005</v>
      </c>
      <c r="Y213" s="168">
        <f t="shared" si="169"/>
        <v>5.772000000000002</v>
      </c>
      <c r="Z213" s="9">
        <f t="shared" si="170"/>
        <v>4.07</v>
      </c>
      <c r="AA213" s="2">
        <f t="shared" si="166"/>
        <v>8.6850000000000005</v>
      </c>
      <c r="AB213" s="2">
        <f t="shared" si="166"/>
        <v>13.094999999999999</v>
      </c>
      <c r="AC213" s="10">
        <f t="shared" si="166"/>
        <v>18.39</v>
      </c>
      <c r="AD213" s="9">
        <f t="shared" si="166"/>
        <v>5.2204999999999995</v>
      </c>
      <c r="AE213" s="2">
        <f t="shared" si="166"/>
        <v>8.6850000000000005</v>
      </c>
      <c r="AF213" s="2">
        <f t="shared" si="166"/>
        <v>13.094999999999999</v>
      </c>
      <c r="AG213" s="159">
        <f t="shared" si="166"/>
        <v>16.650000000000002</v>
      </c>
      <c r="AH213" s="87">
        <f t="shared" si="171"/>
        <v>7.7620000000000005</v>
      </c>
      <c r="AI213" s="88">
        <f t="shared" si="172"/>
        <v>14.153999999999998</v>
      </c>
      <c r="AJ213" s="87">
        <f t="shared" si="173"/>
        <v>7.9920999999999998</v>
      </c>
      <c r="AK213" s="88">
        <f t="shared" si="174"/>
        <v>13.805999999999999</v>
      </c>
      <c r="AL213" s="87">
        <f t="shared" si="175"/>
        <v>10.957999999999998</v>
      </c>
      <c r="AM213" s="88">
        <f t="shared" si="176"/>
        <v>10.899049999999999</v>
      </c>
      <c r="AN213" s="134">
        <f t="shared" si="177"/>
        <v>10.928524999999999</v>
      </c>
    </row>
    <row r="214" spans="1:40" x14ac:dyDescent="0.25">
      <c r="A214" s="164" t="s">
        <v>80</v>
      </c>
      <c r="B214" s="9">
        <f t="shared" si="167"/>
        <v>1.5779999999999998</v>
      </c>
      <c r="C214" s="2">
        <f t="shared" si="167"/>
        <v>3.1050000000000004</v>
      </c>
      <c r="D214" s="2">
        <f t="shared" si="167"/>
        <v>4.3979999999999997</v>
      </c>
      <c r="E214" s="10">
        <f t="shared" si="167"/>
        <v>6.1965000000000003</v>
      </c>
      <c r="F214" s="9">
        <f t="shared" si="167"/>
        <v>2.0504999999999995</v>
      </c>
      <c r="G214" s="2">
        <f t="shared" si="167"/>
        <v>3.1050000000000004</v>
      </c>
      <c r="H214" s="2">
        <f t="shared" si="167"/>
        <v>4.3979999999999997</v>
      </c>
      <c r="I214" s="159">
        <f t="shared" si="167"/>
        <v>5.5889999999999995</v>
      </c>
      <c r="J214" s="9">
        <f t="shared" si="168"/>
        <v>1.2659999999999998</v>
      </c>
      <c r="K214" s="2">
        <f t="shared" si="168"/>
        <v>2.9670000000000001</v>
      </c>
      <c r="L214" s="2">
        <f t="shared" si="168"/>
        <v>4.5539999999999994</v>
      </c>
      <c r="M214" s="10">
        <f t="shared" si="168"/>
        <v>6.3645000000000005</v>
      </c>
      <c r="N214" s="9">
        <f t="shared" si="168"/>
        <v>1.7024999999999997</v>
      </c>
      <c r="O214" s="2">
        <f t="shared" si="168"/>
        <v>2.9670000000000001</v>
      </c>
      <c r="P214" s="2">
        <f t="shared" si="168"/>
        <v>4.5539999999999994</v>
      </c>
      <c r="Q214" s="159">
        <f t="shared" si="168"/>
        <v>5.7690000000000001</v>
      </c>
      <c r="R214" s="11">
        <f t="shared" si="169"/>
        <v>1.7980000000000005</v>
      </c>
      <c r="S214" s="11">
        <f t="shared" si="169"/>
        <v>3.6360000000000001</v>
      </c>
      <c r="T214" s="11">
        <f t="shared" si="169"/>
        <v>5.0920000000000005</v>
      </c>
      <c r="U214" s="11">
        <f t="shared" si="169"/>
        <v>6.9359999999999999</v>
      </c>
      <c r="V214" s="11">
        <f t="shared" si="169"/>
        <v>2.2539999999999996</v>
      </c>
      <c r="W214" s="11">
        <f t="shared" si="169"/>
        <v>3.6360000000000001</v>
      </c>
      <c r="X214" s="11">
        <f t="shared" si="169"/>
        <v>5.0920000000000005</v>
      </c>
      <c r="Y214" s="168">
        <f t="shared" si="169"/>
        <v>6.3320000000000007</v>
      </c>
      <c r="Z214" s="9">
        <f t="shared" si="170"/>
        <v>4.6419999999999995</v>
      </c>
      <c r="AA214" s="2">
        <f t="shared" si="166"/>
        <v>9.708000000000002</v>
      </c>
      <c r="AB214" s="2">
        <f t="shared" si="166"/>
        <v>14.043999999999999</v>
      </c>
      <c r="AC214" s="10">
        <f t="shared" si="166"/>
        <v>19.497</v>
      </c>
      <c r="AD214" s="9">
        <f t="shared" si="166"/>
        <v>6.0069999999999988</v>
      </c>
      <c r="AE214" s="2">
        <f t="shared" si="166"/>
        <v>9.708000000000002</v>
      </c>
      <c r="AF214" s="2">
        <f t="shared" si="166"/>
        <v>14.043999999999999</v>
      </c>
      <c r="AG214" s="159">
        <f t="shared" si="166"/>
        <v>17.690000000000001</v>
      </c>
      <c r="AH214" s="87">
        <f t="shared" si="171"/>
        <v>8.6948000000000008</v>
      </c>
      <c r="AI214" s="88">
        <f t="shared" si="172"/>
        <v>15.134599999999999</v>
      </c>
      <c r="AJ214" s="87">
        <f t="shared" si="173"/>
        <v>8.9678000000000004</v>
      </c>
      <c r="AK214" s="88">
        <f t="shared" si="174"/>
        <v>14.773199999999999</v>
      </c>
      <c r="AL214" s="87">
        <f t="shared" si="175"/>
        <v>11.9147</v>
      </c>
      <c r="AM214" s="88">
        <f t="shared" si="176"/>
        <v>11.8705</v>
      </c>
      <c r="AN214" s="134">
        <f t="shared" si="177"/>
        <v>11.8926</v>
      </c>
    </row>
    <row r="215" spans="1:40" x14ac:dyDescent="0.25">
      <c r="A215" s="164" t="s">
        <v>82</v>
      </c>
      <c r="B215" s="9">
        <f t="shared" si="167"/>
        <v>1.335</v>
      </c>
      <c r="C215" s="2">
        <f t="shared" si="167"/>
        <v>2.4975000000000001</v>
      </c>
      <c r="D215" s="2">
        <f t="shared" si="167"/>
        <v>4.0184999999999995</v>
      </c>
      <c r="E215" s="10">
        <f t="shared" si="167"/>
        <v>6.0930000000000009</v>
      </c>
      <c r="F215" s="9">
        <f t="shared" si="167"/>
        <v>1.6995000000000002</v>
      </c>
      <c r="G215" s="2">
        <f t="shared" si="167"/>
        <v>2.4975000000000001</v>
      </c>
      <c r="H215" s="2">
        <f t="shared" si="167"/>
        <v>4.0184999999999995</v>
      </c>
      <c r="I215" s="159">
        <f t="shared" si="167"/>
        <v>5.3879999999999999</v>
      </c>
      <c r="J215" s="9">
        <f t="shared" si="168"/>
        <v>1.5135000000000003</v>
      </c>
      <c r="K215" s="2">
        <f t="shared" si="168"/>
        <v>3.3045</v>
      </c>
      <c r="L215" s="2">
        <f t="shared" si="168"/>
        <v>4.7264999999999997</v>
      </c>
      <c r="M215" s="10">
        <f t="shared" si="168"/>
        <v>6.3644999999999996</v>
      </c>
      <c r="N215" s="9">
        <f t="shared" si="168"/>
        <v>1.9724999999999997</v>
      </c>
      <c r="O215" s="2">
        <f t="shared" si="168"/>
        <v>3.3045</v>
      </c>
      <c r="P215" s="2">
        <f t="shared" si="168"/>
        <v>4.7264999999999997</v>
      </c>
      <c r="Q215" s="159">
        <f t="shared" si="168"/>
        <v>5.8290000000000006</v>
      </c>
      <c r="R215" s="11">
        <f t="shared" si="169"/>
        <v>1.028</v>
      </c>
      <c r="S215" s="11">
        <f t="shared" si="169"/>
        <v>2.8559999999999999</v>
      </c>
      <c r="T215" s="11">
        <f t="shared" si="169"/>
        <v>4.532</v>
      </c>
      <c r="U215" s="11">
        <f t="shared" si="169"/>
        <v>6.4860000000000007</v>
      </c>
      <c r="V215" s="11">
        <f t="shared" si="169"/>
        <v>1.4839999999999998</v>
      </c>
      <c r="W215" s="11">
        <f t="shared" si="169"/>
        <v>2.8559999999999999</v>
      </c>
      <c r="X215" s="11">
        <f t="shared" si="169"/>
        <v>4.532</v>
      </c>
      <c r="Y215" s="168">
        <f t="shared" si="169"/>
        <v>5.8520000000000003</v>
      </c>
      <c r="Z215" s="9">
        <f t="shared" si="170"/>
        <v>3.8765000000000005</v>
      </c>
      <c r="AA215" s="2">
        <f t="shared" si="166"/>
        <v>8.6579999999999995</v>
      </c>
      <c r="AB215" s="2">
        <f t="shared" si="166"/>
        <v>13.276999999999999</v>
      </c>
      <c r="AC215" s="10">
        <f t="shared" si="166"/>
        <v>18.9435</v>
      </c>
      <c r="AD215" s="9">
        <f t="shared" si="166"/>
        <v>5.1559999999999997</v>
      </c>
      <c r="AE215" s="2">
        <f t="shared" si="166"/>
        <v>8.6579999999999995</v>
      </c>
      <c r="AF215" s="2">
        <f t="shared" si="166"/>
        <v>13.276999999999999</v>
      </c>
      <c r="AG215" s="159">
        <f t="shared" si="166"/>
        <v>17.069000000000003</v>
      </c>
      <c r="AH215" s="87">
        <f t="shared" si="171"/>
        <v>7.7016999999999998</v>
      </c>
      <c r="AI215" s="88">
        <f t="shared" si="172"/>
        <v>14.410299999999999</v>
      </c>
      <c r="AJ215" s="87">
        <f t="shared" si="173"/>
        <v>7.9575999999999993</v>
      </c>
      <c r="AK215" s="88">
        <f t="shared" si="174"/>
        <v>14.035400000000001</v>
      </c>
      <c r="AL215" s="87">
        <f t="shared" si="175"/>
        <v>11.055999999999999</v>
      </c>
      <c r="AM215" s="88">
        <f t="shared" si="176"/>
        <v>10.996500000000001</v>
      </c>
      <c r="AN215" s="134">
        <f t="shared" si="177"/>
        <v>11.026250000000001</v>
      </c>
    </row>
    <row r="216" spans="1:40" ht="15.75" thickBot="1" x14ac:dyDescent="0.3">
      <c r="A216" s="165" t="s">
        <v>83</v>
      </c>
      <c r="B216" s="160">
        <f t="shared" si="167"/>
        <v>0.65850000000000009</v>
      </c>
      <c r="C216" s="120">
        <f t="shared" si="167"/>
        <v>1.8045</v>
      </c>
      <c r="D216" s="120">
        <f t="shared" si="167"/>
        <v>3.2264999999999997</v>
      </c>
      <c r="E216" s="124">
        <f t="shared" si="167"/>
        <v>4.8644999999999996</v>
      </c>
      <c r="F216" s="160">
        <f t="shared" si="167"/>
        <v>0.93750000000000022</v>
      </c>
      <c r="G216" s="120">
        <f t="shared" si="167"/>
        <v>1.8045</v>
      </c>
      <c r="H216" s="120">
        <f t="shared" si="167"/>
        <v>3.2264999999999997</v>
      </c>
      <c r="I216" s="167">
        <f t="shared" si="167"/>
        <v>4.3290000000000006</v>
      </c>
      <c r="J216" s="160">
        <f t="shared" si="168"/>
        <v>1.5135000000000003</v>
      </c>
      <c r="K216" s="120">
        <f t="shared" si="168"/>
        <v>3.3045</v>
      </c>
      <c r="L216" s="120">
        <f t="shared" si="168"/>
        <v>4.7264999999999997</v>
      </c>
      <c r="M216" s="124">
        <f t="shared" si="168"/>
        <v>6.3644999999999996</v>
      </c>
      <c r="N216" s="160">
        <f t="shared" si="168"/>
        <v>1.9724999999999997</v>
      </c>
      <c r="O216" s="120">
        <f t="shared" si="168"/>
        <v>3.3045</v>
      </c>
      <c r="P216" s="120">
        <f t="shared" si="168"/>
        <v>4.7264999999999997</v>
      </c>
      <c r="Q216" s="167">
        <f t="shared" si="168"/>
        <v>5.8290000000000006</v>
      </c>
      <c r="R216" s="175">
        <f t="shared" si="169"/>
        <v>1.6879999999999999</v>
      </c>
      <c r="S216" s="175">
        <f t="shared" si="169"/>
        <v>3.5160000000000005</v>
      </c>
      <c r="T216" s="175">
        <f t="shared" si="169"/>
        <v>5.1920000000000002</v>
      </c>
      <c r="U216" s="175">
        <f t="shared" si="169"/>
        <v>7.3860000000000001</v>
      </c>
      <c r="V216" s="175">
        <f t="shared" si="169"/>
        <v>2.2115999999999993</v>
      </c>
      <c r="W216" s="175">
        <f t="shared" si="169"/>
        <v>3.5160000000000005</v>
      </c>
      <c r="X216" s="175">
        <f t="shared" si="169"/>
        <v>5.1920000000000002</v>
      </c>
      <c r="Y216" s="135">
        <f t="shared" si="169"/>
        <v>6.6520000000000001</v>
      </c>
      <c r="Z216" s="160">
        <f t="shared" si="170"/>
        <v>3.8600000000000003</v>
      </c>
      <c r="AA216" s="120">
        <f t="shared" si="166"/>
        <v>8.625</v>
      </c>
      <c r="AB216" s="120">
        <f t="shared" si="166"/>
        <v>13.145</v>
      </c>
      <c r="AC216" s="124">
        <f t="shared" si="166"/>
        <v>18.614999999999998</v>
      </c>
      <c r="AD216" s="160">
        <f t="shared" si="166"/>
        <v>5.121599999999999</v>
      </c>
      <c r="AE216" s="120">
        <f t="shared" si="166"/>
        <v>8.625</v>
      </c>
      <c r="AF216" s="120">
        <f t="shared" si="166"/>
        <v>13.145</v>
      </c>
      <c r="AG216" s="167">
        <f t="shared" si="166"/>
        <v>16.810000000000002</v>
      </c>
      <c r="AH216" s="91">
        <f t="shared" si="171"/>
        <v>7.6720000000000006</v>
      </c>
      <c r="AI216" s="94">
        <f t="shared" si="172"/>
        <v>14.238999999999999</v>
      </c>
      <c r="AJ216" s="91">
        <f t="shared" si="173"/>
        <v>7.9243199999999998</v>
      </c>
      <c r="AK216" s="94">
        <f t="shared" si="174"/>
        <v>13.878</v>
      </c>
      <c r="AL216" s="91">
        <f t="shared" si="175"/>
        <v>10.955500000000001</v>
      </c>
      <c r="AM216" s="94">
        <f t="shared" si="176"/>
        <v>10.901160000000001</v>
      </c>
      <c r="AN216" s="135">
        <f t="shared" si="177"/>
        <v>10.928330000000001</v>
      </c>
    </row>
  </sheetData>
  <mergeCells count="146">
    <mergeCell ref="AH206:AI206"/>
    <mergeCell ref="AJ206:AK206"/>
    <mergeCell ref="AH205:AK205"/>
    <mergeCell ref="AL205:AM205"/>
    <mergeCell ref="AN205:AN206"/>
    <mergeCell ref="B206:E206"/>
    <mergeCell ref="F206:I206"/>
    <mergeCell ref="J206:M206"/>
    <mergeCell ref="N206:Q206"/>
    <mergeCell ref="R206:U206"/>
    <mergeCell ref="V206:Y206"/>
    <mergeCell ref="Z206:AC206"/>
    <mergeCell ref="AB192:AC192"/>
    <mergeCell ref="A205:A206"/>
    <mergeCell ref="B205:I205"/>
    <mergeCell ref="J205:Q205"/>
    <mergeCell ref="R205:Y205"/>
    <mergeCell ref="Z205:AG205"/>
    <mergeCell ref="AD206:AG206"/>
    <mergeCell ref="Z191:AC191"/>
    <mergeCell ref="AD191:AE191"/>
    <mergeCell ref="AF191:AF192"/>
    <mergeCell ref="B192:E192"/>
    <mergeCell ref="F192:I192"/>
    <mergeCell ref="J192:M192"/>
    <mergeCell ref="N192:Q192"/>
    <mergeCell ref="R192:U192"/>
    <mergeCell ref="V192:Y192"/>
    <mergeCell ref="Z192:AA192"/>
    <mergeCell ref="N178:Q178"/>
    <mergeCell ref="R178:U178"/>
    <mergeCell ref="V178:Y178"/>
    <mergeCell ref="A191:A192"/>
    <mergeCell ref="B191:I191"/>
    <mergeCell ref="J191:Q191"/>
    <mergeCell ref="R191:Y191"/>
    <mergeCell ref="BQ114:BR114"/>
    <mergeCell ref="E141:L141"/>
    <mergeCell ref="E147:L147"/>
    <mergeCell ref="A177:A178"/>
    <mergeCell ref="B177:I177"/>
    <mergeCell ref="J177:Q177"/>
    <mergeCell ref="R177:Y177"/>
    <mergeCell ref="B178:E178"/>
    <mergeCell ref="F178:I178"/>
    <mergeCell ref="J178:M178"/>
    <mergeCell ref="AU114:AX114"/>
    <mergeCell ref="AY114:BB114"/>
    <mergeCell ref="BC114:BF114"/>
    <mergeCell ref="BG114:BJ114"/>
    <mergeCell ref="BK114:BN114"/>
    <mergeCell ref="BO114:BP114"/>
    <mergeCell ref="J113:J114"/>
    <mergeCell ref="AY113:BF113"/>
    <mergeCell ref="BG113:BN113"/>
    <mergeCell ref="BO113:BR113"/>
    <mergeCell ref="BS113:BT113"/>
    <mergeCell ref="BU113:BU114"/>
    <mergeCell ref="K114:N114"/>
    <mergeCell ref="O114:R114"/>
    <mergeCell ref="S114:V114"/>
    <mergeCell ref="W114:Z114"/>
    <mergeCell ref="AA114:AD114"/>
    <mergeCell ref="K113:R113"/>
    <mergeCell ref="S113:Z113"/>
    <mergeCell ref="AA113:AH113"/>
    <mergeCell ref="AI113:AP113"/>
    <mergeCell ref="AQ113:AX113"/>
    <mergeCell ref="AE114:AH114"/>
    <mergeCell ref="AI114:AL114"/>
    <mergeCell ref="AM114:AP114"/>
    <mergeCell ref="AQ114:AT114"/>
    <mergeCell ref="E89:L89"/>
    <mergeCell ref="E95:L95"/>
    <mergeCell ref="A113:A114"/>
    <mergeCell ref="B113:B114"/>
    <mergeCell ref="C113:C114"/>
    <mergeCell ref="D113:F113"/>
    <mergeCell ref="G113:I113"/>
    <mergeCell ref="AM62:AP62"/>
    <mergeCell ref="AQ62:AT62"/>
    <mergeCell ref="BO61:BR61"/>
    <mergeCell ref="BS61:BT61"/>
    <mergeCell ref="BU61:BU62"/>
    <mergeCell ref="K62:N62"/>
    <mergeCell ref="O62:R62"/>
    <mergeCell ref="S62:V62"/>
    <mergeCell ref="W62:Z62"/>
    <mergeCell ref="AA62:AD62"/>
    <mergeCell ref="AE62:AH62"/>
    <mergeCell ref="AI62:AL62"/>
    <mergeCell ref="S61:Z61"/>
    <mergeCell ref="AA61:AH61"/>
    <mergeCell ref="AI61:AP61"/>
    <mergeCell ref="AQ61:AX61"/>
    <mergeCell ref="AY61:BF61"/>
    <mergeCell ref="BG61:BN61"/>
    <mergeCell ref="BK62:BN62"/>
    <mergeCell ref="BO62:BP62"/>
    <mergeCell ref="BQ62:BR62"/>
    <mergeCell ref="AU62:AX62"/>
    <mergeCell ref="AY62:BB62"/>
    <mergeCell ref="BC62:BF62"/>
    <mergeCell ref="BG62:BJ62"/>
    <mergeCell ref="E37:L37"/>
    <mergeCell ref="E43:L43"/>
    <mergeCell ref="A61:A62"/>
    <mergeCell ref="B61:B62"/>
    <mergeCell ref="C61:C62"/>
    <mergeCell ref="D61:F61"/>
    <mergeCell ref="G61:I61"/>
    <mergeCell ref="J61:J62"/>
    <mergeCell ref="K61:R61"/>
    <mergeCell ref="BS9:BT9"/>
    <mergeCell ref="BU9:BU10"/>
    <mergeCell ref="K10:N10"/>
    <mergeCell ref="O10:R10"/>
    <mergeCell ref="S10:V10"/>
    <mergeCell ref="W10:Z10"/>
    <mergeCell ref="AA10:AD10"/>
    <mergeCell ref="K9:R9"/>
    <mergeCell ref="S9:Z9"/>
    <mergeCell ref="AA9:AH9"/>
    <mergeCell ref="AI9:AP9"/>
    <mergeCell ref="AQ9:AX9"/>
    <mergeCell ref="AE10:AH10"/>
    <mergeCell ref="AI10:AL10"/>
    <mergeCell ref="AM10:AP10"/>
    <mergeCell ref="AQ10:AT10"/>
    <mergeCell ref="BQ10:BR10"/>
    <mergeCell ref="AU10:AX10"/>
    <mergeCell ref="AY10:BB10"/>
    <mergeCell ref="BC10:BF10"/>
    <mergeCell ref="BG10:BJ10"/>
    <mergeCell ref="BK10:BN10"/>
    <mergeCell ref="BO10:BP10"/>
    <mergeCell ref="A3:E3"/>
    <mergeCell ref="A9:A10"/>
    <mergeCell ref="B9:B10"/>
    <mergeCell ref="C9:C10"/>
    <mergeCell ref="D9:F9"/>
    <mergeCell ref="G9:I9"/>
    <mergeCell ref="AY9:BF9"/>
    <mergeCell ref="BG9:BN9"/>
    <mergeCell ref="BO9:BR9"/>
    <mergeCell ref="J9:J10"/>
  </mergeCells>
  <hyperlinks>
    <hyperlink ref="B2" r:id="rId1" xr:uid="{4D2DACB5-3264-4F17-9B5E-44BA2F5A7FC5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C3671-F8D0-4FA5-8C64-C02C56E90130}">
  <dimension ref="A1:BU332"/>
  <sheetViews>
    <sheetView topLeftCell="X277" workbookViewId="0">
      <selection activeCell="Z284" sqref="Z284:AG284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95</v>
      </c>
      <c r="B1" s="98"/>
      <c r="C1" s="98"/>
    </row>
    <row r="2" spans="1:73" x14ac:dyDescent="0.25">
      <c r="A2" s="1" t="s">
        <v>266</v>
      </c>
      <c r="B2" s="101" t="s">
        <v>97</v>
      </c>
      <c r="C2" s="98"/>
    </row>
    <row r="3" spans="1:73" ht="30" customHeight="1" x14ac:dyDescent="0.25">
      <c r="A3" s="274" t="s">
        <v>98</v>
      </c>
      <c r="B3" s="275"/>
      <c r="C3" s="275"/>
      <c r="D3" s="276"/>
      <c r="E3" s="276"/>
    </row>
    <row r="4" spans="1:73" ht="31.5" x14ac:dyDescent="0.25">
      <c r="A4" s="232" t="s">
        <v>263</v>
      </c>
      <c r="B4" s="101" t="s">
        <v>265</v>
      </c>
      <c r="C4" s="99"/>
    </row>
    <row r="5" spans="1:73" x14ac:dyDescent="0.25">
      <c r="A5" s="274" t="s">
        <v>264</v>
      </c>
      <c r="B5" s="275"/>
      <c r="C5" s="275"/>
      <c r="D5" s="276"/>
      <c r="E5" s="276"/>
    </row>
    <row r="6" spans="1:73" ht="15.75" x14ac:dyDescent="0.25">
      <c r="A6" s="146"/>
      <c r="B6" s="99"/>
      <c r="C6" s="99"/>
    </row>
    <row r="7" spans="1:73" ht="18.75" x14ac:dyDescent="0.3">
      <c r="A7" s="149" t="s">
        <v>160</v>
      </c>
      <c r="B7" s="99"/>
      <c r="C7" s="99"/>
    </row>
    <row r="8" spans="1:73" x14ac:dyDescent="0.25">
      <c r="A8" s="1" t="s">
        <v>110</v>
      </c>
      <c r="B8" s="99"/>
      <c r="C8" s="99"/>
    </row>
    <row r="9" spans="1:73" ht="15.75" thickBot="1" x14ac:dyDescent="0.3">
      <c r="A9" s="100" t="s">
        <v>163</v>
      </c>
      <c r="B9" s="99"/>
      <c r="C9" s="99"/>
      <c r="BO9">
        <v>0.8</v>
      </c>
    </row>
    <row r="10" spans="1:73" ht="86.25" customHeight="1" thickBot="1" x14ac:dyDescent="0.3">
      <c r="A10" s="273" t="s">
        <v>85</v>
      </c>
      <c r="B10" s="273" t="s">
        <v>86</v>
      </c>
      <c r="C10" s="277" t="s">
        <v>87</v>
      </c>
      <c r="D10" s="278" t="s">
        <v>127</v>
      </c>
      <c r="E10" s="279"/>
      <c r="F10" s="279"/>
      <c r="G10" s="279" t="s">
        <v>128</v>
      </c>
      <c r="H10" s="279"/>
      <c r="I10" s="279"/>
      <c r="J10" s="286" t="s">
        <v>157</v>
      </c>
      <c r="K10" s="280" t="s">
        <v>150</v>
      </c>
      <c r="L10" s="281"/>
      <c r="M10" s="281"/>
      <c r="N10" s="281"/>
      <c r="O10" s="281"/>
      <c r="P10" s="281"/>
      <c r="Q10" s="281"/>
      <c r="R10" s="282"/>
      <c r="S10" s="280" t="s">
        <v>148</v>
      </c>
      <c r="T10" s="281"/>
      <c r="U10" s="281"/>
      <c r="V10" s="281"/>
      <c r="W10" s="281"/>
      <c r="X10" s="281"/>
      <c r="Y10" s="281"/>
      <c r="Z10" s="282"/>
      <c r="AA10" s="280" t="s">
        <v>149</v>
      </c>
      <c r="AB10" s="281"/>
      <c r="AC10" s="281"/>
      <c r="AD10" s="281"/>
      <c r="AE10" s="281"/>
      <c r="AF10" s="281"/>
      <c r="AG10" s="281"/>
      <c r="AH10" s="282"/>
      <c r="AI10" s="280" t="s">
        <v>147</v>
      </c>
      <c r="AJ10" s="281"/>
      <c r="AK10" s="281"/>
      <c r="AL10" s="281"/>
      <c r="AM10" s="281"/>
      <c r="AN10" s="281"/>
      <c r="AO10" s="281"/>
      <c r="AP10" s="282"/>
      <c r="AQ10" s="280" t="s">
        <v>158</v>
      </c>
      <c r="AR10" s="281"/>
      <c r="AS10" s="281"/>
      <c r="AT10" s="281"/>
      <c r="AU10" s="281"/>
      <c r="AV10" s="281"/>
      <c r="AW10" s="281"/>
      <c r="AX10" s="282"/>
      <c r="AY10" s="280" t="s">
        <v>159</v>
      </c>
      <c r="AZ10" s="281"/>
      <c r="BA10" s="281"/>
      <c r="BB10" s="281"/>
      <c r="BC10" s="281"/>
      <c r="BD10" s="281"/>
      <c r="BE10" s="281"/>
      <c r="BF10" s="282"/>
      <c r="BG10" s="280" t="s">
        <v>205</v>
      </c>
      <c r="BH10" s="281"/>
      <c r="BI10" s="281"/>
      <c r="BJ10" s="281"/>
      <c r="BK10" s="281"/>
      <c r="BL10" s="281"/>
      <c r="BM10" s="281"/>
      <c r="BN10" s="282"/>
      <c r="BO10" s="292" t="s">
        <v>151</v>
      </c>
      <c r="BP10" s="293"/>
      <c r="BQ10" s="293"/>
      <c r="BR10" s="294"/>
      <c r="BS10" s="288" t="s">
        <v>153</v>
      </c>
      <c r="BT10" s="289"/>
      <c r="BU10" s="290" t="s">
        <v>156</v>
      </c>
    </row>
    <row r="11" spans="1:73" s="97" customFormat="1" ht="23.25" customHeight="1" thickBot="1" x14ac:dyDescent="0.3">
      <c r="A11" s="273"/>
      <c r="B11" s="273"/>
      <c r="C11" s="277"/>
      <c r="D11" s="122" t="s">
        <v>114</v>
      </c>
      <c r="E11" s="107" t="s">
        <v>115</v>
      </c>
      <c r="F11" s="107" t="s">
        <v>116</v>
      </c>
      <c r="G11" s="107" t="s">
        <v>114</v>
      </c>
      <c r="H11" s="107" t="s">
        <v>115</v>
      </c>
      <c r="I11" s="107" t="s">
        <v>116</v>
      </c>
      <c r="J11" s="287"/>
      <c r="K11" s="280" t="s">
        <v>17</v>
      </c>
      <c r="L11" s="281"/>
      <c r="M11" s="281"/>
      <c r="N11" s="282"/>
      <c r="O11" s="280" t="s">
        <v>18</v>
      </c>
      <c r="P11" s="281"/>
      <c r="Q11" s="281"/>
      <c r="R11" s="282"/>
      <c r="S11" s="280" t="s">
        <v>17</v>
      </c>
      <c r="T11" s="281"/>
      <c r="U11" s="281"/>
      <c r="V11" s="282"/>
      <c r="W11" s="280" t="s">
        <v>18</v>
      </c>
      <c r="X11" s="281"/>
      <c r="Y11" s="281"/>
      <c r="Z11" s="282"/>
      <c r="AA11" s="280" t="s">
        <v>17</v>
      </c>
      <c r="AB11" s="281"/>
      <c r="AC11" s="281"/>
      <c r="AD11" s="282"/>
      <c r="AE11" s="280" t="s">
        <v>18</v>
      </c>
      <c r="AF11" s="281"/>
      <c r="AG11" s="281"/>
      <c r="AH11" s="282"/>
      <c r="AI11" s="280" t="s">
        <v>17</v>
      </c>
      <c r="AJ11" s="281"/>
      <c r="AK11" s="281"/>
      <c r="AL11" s="282"/>
      <c r="AM11" s="280" t="s">
        <v>18</v>
      </c>
      <c r="AN11" s="281"/>
      <c r="AO11" s="281"/>
      <c r="AP11" s="282"/>
      <c r="AQ11" s="280" t="s">
        <v>17</v>
      </c>
      <c r="AR11" s="281"/>
      <c r="AS11" s="281"/>
      <c r="AT11" s="282"/>
      <c r="AU11" s="280" t="s">
        <v>18</v>
      </c>
      <c r="AV11" s="281"/>
      <c r="AW11" s="281"/>
      <c r="AX11" s="282"/>
      <c r="AY11" s="280" t="s">
        <v>17</v>
      </c>
      <c r="AZ11" s="281"/>
      <c r="BA11" s="281"/>
      <c r="BB11" s="282"/>
      <c r="BC11" s="280" t="s">
        <v>18</v>
      </c>
      <c r="BD11" s="281"/>
      <c r="BE11" s="281"/>
      <c r="BF11" s="282"/>
      <c r="BG11" s="280" t="s">
        <v>17</v>
      </c>
      <c r="BH11" s="281"/>
      <c r="BI11" s="281"/>
      <c r="BJ11" s="282"/>
      <c r="BK11" s="280" t="s">
        <v>18</v>
      </c>
      <c r="BL11" s="281"/>
      <c r="BM11" s="281"/>
      <c r="BN11" s="282"/>
      <c r="BO11" s="295" t="s">
        <v>152</v>
      </c>
      <c r="BP11" s="296"/>
      <c r="BQ11" s="295" t="s">
        <v>26</v>
      </c>
      <c r="BR11" s="297"/>
      <c r="BS11" s="145" t="s">
        <v>154</v>
      </c>
      <c r="BT11" s="145" t="s">
        <v>155</v>
      </c>
      <c r="BU11" s="291"/>
    </row>
    <row r="12" spans="1:73" ht="30" x14ac:dyDescent="0.25">
      <c r="A12" s="102" t="s">
        <v>8</v>
      </c>
      <c r="B12" s="102" t="s">
        <v>84</v>
      </c>
      <c r="C12" s="121" t="s">
        <v>72</v>
      </c>
      <c r="D12" s="155" t="s">
        <v>104</v>
      </c>
      <c r="E12" s="156" t="s">
        <v>105</v>
      </c>
      <c r="F12" s="156" t="s">
        <v>104</v>
      </c>
      <c r="G12" s="110">
        <f>IF(D12=$A$25,$B$25,(IF(D12=$A$26,$B$26,IF(D12=$A$27,$B$27,$B$28))))</f>
        <v>1</v>
      </c>
      <c r="H12" s="110">
        <f t="shared" ref="G12:I21" si="0">IF(E12=$A$25,$B$25,(IF(E12=$A$26,$B$26,IF(E12=$A$27,$B$27,$B$28))))</f>
        <v>0.66</v>
      </c>
      <c r="I12" s="110">
        <f t="shared" si="0"/>
        <v>1</v>
      </c>
      <c r="J12" s="147">
        <f>G12*$D$39+H12*$D$40+I12*$D$41</f>
        <v>14.15</v>
      </c>
      <c r="K12" s="81">
        <v>0.77</v>
      </c>
      <c r="L12" s="83">
        <v>1</v>
      </c>
      <c r="M12" s="83">
        <v>1</v>
      </c>
      <c r="N12" s="84">
        <v>1</v>
      </c>
      <c r="O12" s="81">
        <v>0.83</v>
      </c>
      <c r="P12" s="83">
        <v>1</v>
      </c>
      <c r="Q12" s="83">
        <v>1</v>
      </c>
      <c r="R12" s="84">
        <v>1</v>
      </c>
      <c r="S12" s="81">
        <v>0.44000000000000006</v>
      </c>
      <c r="T12" s="83">
        <v>0.55000000000000004</v>
      </c>
      <c r="U12" s="83">
        <v>0.77</v>
      </c>
      <c r="V12" s="84">
        <v>1</v>
      </c>
      <c r="W12" s="81">
        <v>0.47000000000000003</v>
      </c>
      <c r="X12" s="83">
        <v>0.55000000000000004</v>
      </c>
      <c r="Y12" s="83">
        <v>0.77</v>
      </c>
      <c r="Z12" s="84">
        <v>0.92</v>
      </c>
      <c r="AA12" s="81">
        <v>0.77</v>
      </c>
      <c r="AB12" s="83">
        <v>1</v>
      </c>
      <c r="AC12" s="83">
        <v>1</v>
      </c>
      <c r="AD12" s="84">
        <v>1</v>
      </c>
      <c r="AE12" s="81">
        <v>0.83</v>
      </c>
      <c r="AF12" s="83">
        <v>1</v>
      </c>
      <c r="AG12" s="83">
        <v>1</v>
      </c>
      <c r="AH12" s="84">
        <v>1</v>
      </c>
      <c r="AI12" s="81">
        <v>3.8900000000000006</v>
      </c>
      <c r="AJ12" s="83">
        <v>7</v>
      </c>
      <c r="AK12" s="83">
        <v>8</v>
      </c>
      <c r="AL12" s="84">
        <v>9.5</v>
      </c>
      <c r="AM12" s="81">
        <v>4.8099999999999987</v>
      </c>
      <c r="AN12" s="83">
        <v>7</v>
      </c>
      <c r="AO12" s="83">
        <v>8</v>
      </c>
      <c r="AP12" s="84">
        <v>9</v>
      </c>
      <c r="AQ12" s="81">
        <v>0.60499999999999998</v>
      </c>
      <c r="AR12" s="83">
        <v>1.1000000000000001</v>
      </c>
      <c r="AS12" s="83">
        <v>2.31</v>
      </c>
      <c r="AT12" s="83">
        <v>4.1549999999999994</v>
      </c>
      <c r="AU12" s="81">
        <v>0.77499999999999991</v>
      </c>
      <c r="AV12" s="83">
        <v>1.1000000000000001</v>
      </c>
      <c r="AW12" s="83">
        <v>2.31</v>
      </c>
      <c r="AX12" s="84">
        <v>3.53</v>
      </c>
      <c r="AY12" s="81">
        <v>1.9649999999999999</v>
      </c>
      <c r="AZ12" s="83">
        <v>4.5</v>
      </c>
      <c r="BA12" s="83">
        <v>5.5</v>
      </c>
      <c r="BB12" s="83">
        <v>7</v>
      </c>
      <c r="BC12" s="81">
        <v>2.7349999999999994</v>
      </c>
      <c r="BD12" s="83">
        <v>4.5</v>
      </c>
      <c r="BE12" s="83">
        <v>5.5</v>
      </c>
      <c r="BF12" s="84">
        <v>6.5</v>
      </c>
      <c r="BG12" s="81">
        <f>AI12+AQ12+AY12</f>
        <v>6.4600000000000009</v>
      </c>
      <c r="BH12" s="83">
        <f t="shared" ref="BH12:BN21" si="1">AJ12+AR12+AZ12</f>
        <v>12.6</v>
      </c>
      <c r="BI12" s="83">
        <f t="shared" si="1"/>
        <v>15.81</v>
      </c>
      <c r="BJ12" s="83">
        <f t="shared" si="1"/>
        <v>20.655000000000001</v>
      </c>
      <c r="BK12" s="81">
        <f t="shared" si="1"/>
        <v>8.3199999999999985</v>
      </c>
      <c r="BL12" s="83">
        <f t="shared" si="1"/>
        <v>12.6</v>
      </c>
      <c r="BM12" s="83">
        <f t="shared" si="1"/>
        <v>15.81</v>
      </c>
      <c r="BN12" s="83">
        <f t="shared" si="1"/>
        <v>19.03</v>
      </c>
      <c r="BO12" s="136">
        <f>BO$9*BH12+(1-BO$9)*BG12</f>
        <v>11.372</v>
      </c>
      <c r="BP12" s="142">
        <f>BO$9*BI12+(1-BO$9)*BJ12</f>
        <v>16.779</v>
      </c>
      <c r="BQ12" s="136">
        <f>BO$9*BL12+(1-BO$9)*BK12</f>
        <v>11.744</v>
      </c>
      <c r="BR12" s="137">
        <f>BO$9*BM12+(1-BO$9)*BN12</f>
        <v>16.454000000000001</v>
      </c>
      <c r="BS12" s="81">
        <f>(BO12+BP12)/2</f>
        <v>14.0755</v>
      </c>
      <c r="BT12" s="84">
        <f>(BQ12+BR12)/2</f>
        <v>14.099</v>
      </c>
      <c r="BU12" s="133">
        <f>(BS12+BT12)/2</f>
        <v>14.087250000000001</v>
      </c>
    </row>
    <row r="13" spans="1:73" x14ac:dyDescent="0.25">
      <c r="A13" s="102" t="s">
        <v>9</v>
      </c>
      <c r="B13" s="102" t="s">
        <v>73</v>
      </c>
      <c r="C13" s="121" t="s">
        <v>88</v>
      </c>
      <c r="D13" s="155" t="s">
        <v>106</v>
      </c>
      <c r="E13" s="156" t="s">
        <v>106</v>
      </c>
      <c r="F13" s="156" t="s">
        <v>105</v>
      </c>
      <c r="G13" s="110">
        <f t="shared" si="0"/>
        <v>0.33</v>
      </c>
      <c r="H13" s="110">
        <f t="shared" si="0"/>
        <v>0.33</v>
      </c>
      <c r="I13" s="110">
        <f t="shared" si="0"/>
        <v>0.66</v>
      </c>
      <c r="J13" s="147">
        <f t="shared" ref="J13:J21" si="2">G13*$D$39+H13*$D$40+I13*$D$41</f>
        <v>6.6000000000000005</v>
      </c>
      <c r="K13" s="87">
        <v>0</v>
      </c>
      <c r="L13">
        <v>0.22000000000000003</v>
      </c>
      <c r="M13">
        <v>0.44</v>
      </c>
      <c r="N13" s="88">
        <v>0.55000000000000004</v>
      </c>
      <c r="O13" s="87">
        <v>0.06</v>
      </c>
      <c r="P13">
        <v>0.22000000000000003</v>
      </c>
      <c r="Q13">
        <v>0.44</v>
      </c>
      <c r="R13" s="88">
        <v>0.52</v>
      </c>
      <c r="S13" s="87">
        <v>0</v>
      </c>
      <c r="T13">
        <v>0.22000000000000003</v>
      </c>
      <c r="U13">
        <v>0.44</v>
      </c>
      <c r="V13" s="88">
        <v>0.55000000000000004</v>
      </c>
      <c r="W13" s="87">
        <v>0.06</v>
      </c>
      <c r="X13">
        <v>0.22000000000000003</v>
      </c>
      <c r="Y13">
        <v>0.44</v>
      </c>
      <c r="Z13" s="88">
        <v>0.52</v>
      </c>
      <c r="AA13" s="87">
        <v>0.44000000000000006</v>
      </c>
      <c r="AB13">
        <v>0.55000000000000004</v>
      </c>
      <c r="AC13">
        <v>0.77</v>
      </c>
      <c r="AD13" s="88">
        <v>1</v>
      </c>
      <c r="AE13" s="87">
        <v>0.47000000000000003</v>
      </c>
      <c r="AF13">
        <v>0.55000000000000004</v>
      </c>
      <c r="AG13">
        <v>0.77</v>
      </c>
      <c r="AH13" s="88">
        <v>0.92</v>
      </c>
      <c r="AI13" s="187">
        <v>0</v>
      </c>
      <c r="AJ13" s="179">
        <v>1.5400000000000003</v>
      </c>
      <c r="AK13" s="179">
        <v>3.52</v>
      </c>
      <c r="AL13" s="188">
        <v>5.0600000000000005</v>
      </c>
      <c r="AM13" s="187">
        <v>0.19999999999999996</v>
      </c>
      <c r="AN13" s="179">
        <v>1.5400000000000003</v>
      </c>
      <c r="AO13" s="179">
        <v>3.52</v>
      </c>
      <c r="AP13" s="188">
        <v>4.6000000000000014</v>
      </c>
      <c r="AQ13" s="187">
        <v>0</v>
      </c>
      <c r="AR13" s="179">
        <v>0.44000000000000006</v>
      </c>
      <c r="AS13" s="179">
        <v>1.32</v>
      </c>
      <c r="AT13" s="179">
        <v>2.3099999999999996</v>
      </c>
      <c r="AU13" s="187">
        <v>5.3999999999999992E-2</v>
      </c>
      <c r="AV13" s="179">
        <v>0.44000000000000006</v>
      </c>
      <c r="AW13" s="179">
        <v>1.32</v>
      </c>
      <c r="AX13" s="188">
        <v>2</v>
      </c>
      <c r="AY13" s="87">
        <v>1.1550000000000002</v>
      </c>
      <c r="AZ13">
        <v>2.4750000000000001</v>
      </c>
      <c r="BA13">
        <v>4.2350000000000003</v>
      </c>
      <c r="BB13">
        <v>6.6550000000000002</v>
      </c>
      <c r="BC13" s="87">
        <v>1.5650000000000008</v>
      </c>
      <c r="BD13">
        <v>2.4750000000000001</v>
      </c>
      <c r="BE13">
        <v>4.2350000000000003</v>
      </c>
      <c r="BF13" s="88">
        <v>5.830000000000001</v>
      </c>
      <c r="BG13" s="87">
        <f t="shared" ref="BG13:BG21" si="3">AI13+AQ13+AY13</f>
        <v>1.1550000000000002</v>
      </c>
      <c r="BH13">
        <f t="shared" si="1"/>
        <v>4.4550000000000001</v>
      </c>
      <c r="BI13">
        <f t="shared" si="1"/>
        <v>9.0749999999999993</v>
      </c>
      <c r="BJ13">
        <f t="shared" si="1"/>
        <v>14.025</v>
      </c>
      <c r="BK13" s="87">
        <f t="shared" si="1"/>
        <v>1.8190000000000008</v>
      </c>
      <c r="BL13">
        <f t="shared" si="1"/>
        <v>4.4550000000000001</v>
      </c>
      <c r="BM13">
        <f t="shared" si="1"/>
        <v>9.0749999999999993</v>
      </c>
      <c r="BN13">
        <f t="shared" si="1"/>
        <v>12.430000000000003</v>
      </c>
      <c r="BO13" s="138">
        <f t="shared" ref="BO13:BO21" si="4">BO$9*BH13+(1-BO$9)*BG13</f>
        <v>3.7949999999999999</v>
      </c>
      <c r="BP13" s="143">
        <f t="shared" ref="BP13:BP21" si="5">BO$9*BI13+(1-BO$9)*BJ13</f>
        <v>10.065</v>
      </c>
      <c r="BQ13" s="138">
        <f t="shared" ref="BQ13:BQ21" si="6">BO$9*BL13+(1-BO$9)*BK13</f>
        <v>3.9278</v>
      </c>
      <c r="BR13" s="139">
        <f t="shared" ref="BR13:BR21" si="7">BO$9*BM13+(1-BO$9)*BN13</f>
        <v>9.7460000000000004</v>
      </c>
      <c r="BS13" s="87">
        <f t="shared" ref="BS13:BS21" si="8">(BO13+BP13)/2</f>
        <v>6.93</v>
      </c>
      <c r="BT13" s="88">
        <f t="shared" ref="BT13:BT21" si="9">(BQ13+BR13)/2</f>
        <v>6.8369</v>
      </c>
      <c r="BU13" s="134">
        <f t="shared" ref="BU13:BU21" si="10">(BS13+BT13)/2</f>
        <v>6.8834499999999998</v>
      </c>
    </row>
    <row r="14" spans="1:73" x14ac:dyDescent="0.25">
      <c r="A14" s="102" t="s">
        <v>10</v>
      </c>
      <c r="B14" s="102" t="s">
        <v>74</v>
      </c>
      <c r="C14" s="121" t="s">
        <v>89</v>
      </c>
      <c r="D14" s="155" t="s">
        <v>105</v>
      </c>
      <c r="E14" s="156" t="s">
        <v>105</v>
      </c>
      <c r="F14" s="156" t="s">
        <v>105</v>
      </c>
      <c r="G14" s="110">
        <f t="shared" si="0"/>
        <v>0.66</v>
      </c>
      <c r="H14" s="110">
        <f t="shared" si="0"/>
        <v>0.66</v>
      </c>
      <c r="I14" s="110">
        <f t="shared" si="0"/>
        <v>0.66</v>
      </c>
      <c r="J14" s="147">
        <f t="shared" si="2"/>
        <v>9.9</v>
      </c>
      <c r="K14" s="87">
        <v>0.44000000000000006</v>
      </c>
      <c r="L14">
        <v>0.55000000000000004</v>
      </c>
      <c r="M14">
        <v>0.77</v>
      </c>
      <c r="N14" s="88">
        <v>1</v>
      </c>
      <c r="O14" s="87">
        <v>0.47000000000000003</v>
      </c>
      <c r="P14">
        <v>0.55000000000000004</v>
      </c>
      <c r="Q14">
        <v>0.77</v>
      </c>
      <c r="R14" s="88">
        <v>0.92</v>
      </c>
      <c r="S14" s="87">
        <v>0.44000000000000006</v>
      </c>
      <c r="T14">
        <v>0.55000000000000004</v>
      </c>
      <c r="U14">
        <v>0.77</v>
      </c>
      <c r="V14" s="88">
        <v>1</v>
      </c>
      <c r="W14" s="87">
        <v>0.47000000000000003</v>
      </c>
      <c r="X14">
        <v>0.55000000000000004</v>
      </c>
      <c r="Y14">
        <v>0.77</v>
      </c>
      <c r="Z14" s="88">
        <v>0.92</v>
      </c>
      <c r="AA14" s="87">
        <v>0.44000000000000006</v>
      </c>
      <c r="AB14">
        <v>0.55000000000000004</v>
      </c>
      <c r="AC14">
        <v>0.77</v>
      </c>
      <c r="AD14" s="88">
        <v>1</v>
      </c>
      <c r="AE14" s="87">
        <v>0.47000000000000003</v>
      </c>
      <c r="AF14">
        <v>0.55000000000000004</v>
      </c>
      <c r="AG14">
        <v>0.77</v>
      </c>
      <c r="AH14" s="88">
        <v>0.92</v>
      </c>
      <c r="AI14" s="87">
        <v>2.2549999999999999</v>
      </c>
      <c r="AJ14">
        <v>3.8500000000000005</v>
      </c>
      <c r="AK14">
        <v>6.16</v>
      </c>
      <c r="AL14" s="88">
        <v>9.1550000000000011</v>
      </c>
      <c r="AM14" s="87">
        <v>2.7399999999999993</v>
      </c>
      <c r="AN14">
        <v>3.8500000000000005</v>
      </c>
      <c r="AO14">
        <v>6.16</v>
      </c>
      <c r="AP14" s="88">
        <v>8.129999999999999</v>
      </c>
      <c r="AQ14" s="87">
        <v>0.60499999999999998</v>
      </c>
      <c r="AR14">
        <v>1.1000000000000001</v>
      </c>
      <c r="AS14">
        <v>2.31</v>
      </c>
      <c r="AT14">
        <v>4.1549999999999994</v>
      </c>
      <c r="AU14" s="87">
        <v>0.77499999999999991</v>
      </c>
      <c r="AV14">
        <v>1.1000000000000001</v>
      </c>
      <c r="AW14">
        <v>2.31</v>
      </c>
      <c r="AX14" s="88">
        <v>3.53</v>
      </c>
      <c r="AY14" s="87">
        <v>1.1550000000000002</v>
      </c>
      <c r="AZ14">
        <v>2.4750000000000001</v>
      </c>
      <c r="BA14">
        <v>4.2350000000000003</v>
      </c>
      <c r="BB14">
        <v>6.6550000000000002</v>
      </c>
      <c r="BC14" s="87">
        <v>1.5650000000000008</v>
      </c>
      <c r="BD14">
        <v>2.4750000000000001</v>
      </c>
      <c r="BE14">
        <v>4.2350000000000003</v>
      </c>
      <c r="BF14" s="88">
        <v>5.830000000000001</v>
      </c>
      <c r="BG14" s="87">
        <f t="shared" si="3"/>
        <v>4.0150000000000006</v>
      </c>
      <c r="BH14">
        <f t="shared" si="1"/>
        <v>7.4250000000000007</v>
      </c>
      <c r="BI14">
        <f t="shared" si="1"/>
        <v>12.705000000000002</v>
      </c>
      <c r="BJ14">
        <f t="shared" si="1"/>
        <v>19.965</v>
      </c>
      <c r="BK14" s="87">
        <f t="shared" si="1"/>
        <v>5.08</v>
      </c>
      <c r="BL14">
        <f t="shared" si="1"/>
        <v>7.4250000000000007</v>
      </c>
      <c r="BM14">
        <f t="shared" si="1"/>
        <v>12.705000000000002</v>
      </c>
      <c r="BN14">
        <f t="shared" si="1"/>
        <v>17.489999999999998</v>
      </c>
      <c r="BO14" s="138">
        <f t="shared" si="4"/>
        <v>6.7430000000000012</v>
      </c>
      <c r="BP14" s="143">
        <f t="shared" si="5"/>
        <v>14.157</v>
      </c>
      <c r="BQ14" s="138">
        <f t="shared" si="6"/>
        <v>6.9560000000000013</v>
      </c>
      <c r="BR14" s="139">
        <f t="shared" si="7"/>
        <v>13.662000000000001</v>
      </c>
      <c r="BS14" s="87">
        <f t="shared" si="8"/>
        <v>10.450000000000001</v>
      </c>
      <c r="BT14" s="88">
        <f t="shared" si="9"/>
        <v>10.309000000000001</v>
      </c>
      <c r="BU14" s="134">
        <f t="shared" si="10"/>
        <v>10.3795</v>
      </c>
    </row>
    <row r="15" spans="1:73" x14ac:dyDescent="0.25">
      <c r="A15" s="102" t="s">
        <v>65</v>
      </c>
      <c r="B15" s="102" t="s">
        <v>75</v>
      </c>
      <c r="C15" s="121" t="s">
        <v>76</v>
      </c>
      <c r="D15" s="155" t="s">
        <v>104</v>
      </c>
      <c r="E15" s="156" t="s">
        <v>105</v>
      </c>
      <c r="F15" s="156" t="s">
        <v>105</v>
      </c>
      <c r="G15" s="110">
        <f t="shared" si="0"/>
        <v>1</v>
      </c>
      <c r="H15" s="110">
        <f t="shared" si="0"/>
        <v>0.66</v>
      </c>
      <c r="I15" s="110">
        <f t="shared" si="0"/>
        <v>0.66</v>
      </c>
      <c r="J15" s="147">
        <f t="shared" si="2"/>
        <v>12.450000000000001</v>
      </c>
      <c r="K15" s="87">
        <v>0.77</v>
      </c>
      <c r="L15">
        <v>1</v>
      </c>
      <c r="M15">
        <v>1</v>
      </c>
      <c r="N15" s="88">
        <v>1</v>
      </c>
      <c r="O15" s="87">
        <v>0.83</v>
      </c>
      <c r="P15">
        <v>1</v>
      </c>
      <c r="Q15">
        <v>1</v>
      </c>
      <c r="R15" s="88">
        <v>1</v>
      </c>
      <c r="S15" s="87">
        <v>0.44000000000000006</v>
      </c>
      <c r="T15">
        <v>0.55000000000000004</v>
      </c>
      <c r="U15">
        <v>0.77</v>
      </c>
      <c r="V15" s="88">
        <v>1</v>
      </c>
      <c r="W15" s="87">
        <v>0.47000000000000003</v>
      </c>
      <c r="X15">
        <v>0.55000000000000004</v>
      </c>
      <c r="Y15">
        <v>0.77</v>
      </c>
      <c r="Z15" s="88">
        <v>0.92</v>
      </c>
      <c r="AA15" s="87">
        <v>0.44000000000000006</v>
      </c>
      <c r="AB15">
        <v>0.55000000000000004</v>
      </c>
      <c r="AC15">
        <v>0.77</v>
      </c>
      <c r="AD15" s="88">
        <v>1</v>
      </c>
      <c r="AE15" s="87">
        <v>0.47000000000000003</v>
      </c>
      <c r="AF15">
        <v>0.55000000000000004</v>
      </c>
      <c r="AG15">
        <v>0.77</v>
      </c>
      <c r="AH15" s="88">
        <v>0.92</v>
      </c>
      <c r="AI15" s="87">
        <v>3.8900000000000006</v>
      </c>
      <c r="AJ15">
        <v>7</v>
      </c>
      <c r="AK15">
        <v>8</v>
      </c>
      <c r="AL15" s="88">
        <v>9.5</v>
      </c>
      <c r="AM15" s="87">
        <v>4.8099999999999987</v>
      </c>
      <c r="AN15">
        <v>7</v>
      </c>
      <c r="AO15">
        <v>8</v>
      </c>
      <c r="AP15" s="88">
        <v>9</v>
      </c>
      <c r="AQ15" s="87">
        <v>0.60499999999999998</v>
      </c>
      <c r="AR15">
        <v>1.1000000000000001</v>
      </c>
      <c r="AS15">
        <v>2.31</v>
      </c>
      <c r="AT15">
        <v>4.1549999999999994</v>
      </c>
      <c r="AU15" s="87">
        <v>0.77499999999999991</v>
      </c>
      <c r="AV15">
        <v>1.1000000000000001</v>
      </c>
      <c r="AW15">
        <v>2.31</v>
      </c>
      <c r="AX15" s="88">
        <v>3.53</v>
      </c>
      <c r="AY15" s="87">
        <v>1.1550000000000002</v>
      </c>
      <c r="AZ15">
        <v>2.4750000000000001</v>
      </c>
      <c r="BA15">
        <v>4.2350000000000003</v>
      </c>
      <c r="BB15">
        <v>6.6550000000000002</v>
      </c>
      <c r="BC15" s="87">
        <v>1.5650000000000008</v>
      </c>
      <c r="BD15">
        <v>2.4750000000000001</v>
      </c>
      <c r="BE15">
        <v>4.2350000000000003</v>
      </c>
      <c r="BF15" s="88">
        <v>5.830000000000001</v>
      </c>
      <c r="BG15" s="87">
        <f t="shared" si="3"/>
        <v>5.6500000000000012</v>
      </c>
      <c r="BH15">
        <f t="shared" si="1"/>
        <v>10.574999999999999</v>
      </c>
      <c r="BI15">
        <f t="shared" si="1"/>
        <v>14.545000000000002</v>
      </c>
      <c r="BJ15">
        <f t="shared" si="1"/>
        <v>20.309999999999999</v>
      </c>
      <c r="BK15" s="87">
        <f t="shared" si="1"/>
        <v>7.15</v>
      </c>
      <c r="BL15">
        <f t="shared" si="1"/>
        <v>10.574999999999999</v>
      </c>
      <c r="BM15">
        <f t="shared" si="1"/>
        <v>14.545000000000002</v>
      </c>
      <c r="BN15">
        <f t="shared" si="1"/>
        <v>18.36</v>
      </c>
      <c r="BO15" s="138">
        <f t="shared" si="4"/>
        <v>9.59</v>
      </c>
      <c r="BP15" s="143">
        <f t="shared" si="5"/>
        <v>15.698</v>
      </c>
      <c r="BQ15" s="138">
        <f t="shared" si="6"/>
        <v>9.8899999999999988</v>
      </c>
      <c r="BR15" s="139">
        <f t="shared" si="7"/>
        <v>15.308000000000002</v>
      </c>
      <c r="BS15" s="87">
        <f t="shared" si="8"/>
        <v>12.644</v>
      </c>
      <c r="BT15" s="88">
        <f t="shared" si="9"/>
        <v>12.599</v>
      </c>
      <c r="BU15" s="134">
        <f t="shared" si="10"/>
        <v>12.621500000000001</v>
      </c>
    </row>
    <row r="16" spans="1:73" ht="30" x14ac:dyDescent="0.25">
      <c r="A16" s="102" t="s">
        <v>66</v>
      </c>
      <c r="B16" s="102" t="s">
        <v>77</v>
      </c>
      <c r="C16" s="121" t="s">
        <v>90</v>
      </c>
      <c r="D16" s="155" t="s">
        <v>105</v>
      </c>
      <c r="E16" s="156" t="s">
        <v>104</v>
      </c>
      <c r="F16" s="156" t="s">
        <v>105</v>
      </c>
      <c r="G16" s="110">
        <f t="shared" si="0"/>
        <v>0.66</v>
      </c>
      <c r="H16" s="110">
        <f t="shared" si="0"/>
        <v>1</v>
      </c>
      <c r="I16" s="110">
        <f t="shared" si="0"/>
        <v>0.66</v>
      </c>
      <c r="J16" s="147">
        <f t="shared" si="2"/>
        <v>10.75</v>
      </c>
      <c r="K16" s="87">
        <v>0.44000000000000006</v>
      </c>
      <c r="L16">
        <v>0.55000000000000004</v>
      </c>
      <c r="M16">
        <v>0.77</v>
      </c>
      <c r="N16" s="88">
        <v>1</v>
      </c>
      <c r="O16" s="87">
        <v>0.47000000000000003</v>
      </c>
      <c r="P16">
        <v>0.55000000000000004</v>
      </c>
      <c r="Q16">
        <v>0.77</v>
      </c>
      <c r="R16" s="88">
        <v>0.92</v>
      </c>
      <c r="S16" s="87">
        <v>0.77</v>
      </c>
      <c r="T16">
        <v>1</v>
      </c>
      <c r="U16">
        <v>1</v>
      </c>
      <c r="V16" s="88">
        <v>1</v>
      </c>
      <c r="W16" s="87">
        <v>0.83</v>
      </c>
      <c r="X16">
        <v>1</v>
      </c>
      <c r="Y16">
        <v>1</v>
      </c>
      <c r="Z16" s="88">
        <v>1</v>
      </c>
      <c r="AA16" s="87">
        <v>0.44000000000000006</v>
      </c>
      <c r="AB16">
        <v>0.55000000000000004</v>
      </c>
      <c r="AC16">
        <v>0.77</v>
      </c>
      <c r="AD16" s="88">
        <v>1</v>
      </c>
      <c r="AE16" s="87">
        <v>0.47000000000000003</v>
      </c>
      <c r="AF16">
        <v>0.55000000000000004</v>
      </c>
      <c r="AG16">
        <v>0.77</v>
      </c>
      <c r="AH16" s="88">
        <v>0.92</v>
      </c>
      <c r="AI16" s="87">
        <v>2.2549999999999999</v>
      </c>
      <c r="AJ16">
        <v>3.8500000000000005</v>
      </c>
      <c r="AK16">
        <v>6.16</v>
      </c>
      <c r="AL16" s="88">
        <v>9.1550000000000011</v>
      </c>
      <c r="AM16" s="87">
        <v>2.7399999999999993</v>
      </c>
      <c r="AN16">
        <v>3.8500000000000005</v>
      </c>
      <c r="AO16">
        <v>6.16</v>
      </c>
      <c r="AP16" s="88">
        <v>8.129999999999999</v>
      </c>
      <c r="AQ16" s="87">
        <v>1.04</v>
      </c>
      <c r="AR16">
        <v>2</v>
      </c>
      <c r="AS16">
        <v>3</v>
      </c>
      <c r="AT16">
        <v>4.5</v>
      </c>
      <c r="AU16" s="87">
        <v>1.3599999999999999</v>
      </c>
      <c r="AV16">
        <v>2</v>
      </c>
      <c r="AW16">
        <v>3</v>
      </c>
      <c r="AX16" s="88">
        <v>4</v>
      </c>
      <c r="AY16" s="87">
        <v>1.1550000000000002</v>
      </c>
      <c r="AZ16">
        <v>2.4750000000000001</v>
      </c>
      <c r="BA16">
        <v>4.2350000000000003</v>
      </c>
      <c r="BB16">
        <v>6.6550000000000002</v>
      </c>
      <c r="BC16" s="87">
        <v>1.5650000000000008</v>
      </c>
      <c r="BD16">
        <v>2.4750000000000001</v>
      </c>
      <c r="BE16">
        <v>4.2350000000000003</v>
      </c>
      <c r="BF16" s="88">
        <v>5.830000000000001</v>
      </c>
      <c r="BG16" s="87">
        <f t="shared" si="3"/>
        <v>4.45</v>
      </c>
      <c r="BH16">
        <f t="shared" si="1"/>
        <v>8.3250000000000011</v>
      </c>
      <c r="BI16">
        <f t="shared" si="1"/>
        <v>13.395</v>
      </c>
      <c r="BJ16">
        <f t="shared" si="1"/>
        <v>20.310000000000002</v>
      </c>
      <c r="BK16" s="87">
        <f t="shared" si="1"/>
        <v>5.6650000000000009</v>
      </c>
      <c r="BL16">
        <f t="shared" si="1"/>
        <v>8.3250000000000011</v>
      </c>
      <c r="BM16">
        <f t="shared" si="1"/>
        <v>13.395</v>
      </c>
      <c r="BN16">
        <f t="shared" si="1"/>
        <v>17.96</v>
      </c>
      <c r="BO16" s="138">
        <f t="shared" si="4"/>
        <v>7.5500000000000007</v>
      </c>
      <c r="BP16" s="143">
        <f t="shared" si="5"/>
        <v>14.778</v>
      </c>
      <c r="BQ16" s="138">
        <f t="shared" si="6"/>
        <v>7.793000000000001</v>
      </c>
      <c r="BR16" s="139">
        <f t="shared" si="7"/>
        <v>14.308</v>
      </c>
      <c r="BS16" s="87">
        <f t="shared" si="8"/>
        <v>11.164000000000001</v>
      </c>
      <c r="BT16" s="88">
        <f t="shared" si="9"/>
        <v>11.0505</v>
      </c>
      <c r="BU16" s="134">
        <f t="shared" si="10"/>
        <v>11.107250000000001</v>
      </c>
    </row>
    <row r="17" spans="1:73" x14ac:dyDescent="0.25">
      <c r="A17" s="102" t="s">
        <v>67</v>
      </c>
      <c r="B17" s="102" t="s">
        <v>78</v>
      </c>
      <c r="C17" s="121" t="s">
        <v>91</v>
      </c>
      <c r="D17" s="155" t="s">
        <v>104</v>
      </c>
      <c r="E17" s="156" t="s">
        <v>105</v>
      </c>
      <c r="F17" s="156" t="s">
        <v>106</v>
      </c>
      <c r="G17" s="110">
        <f t="shared" si="0"/>
        <v>1</v>
      </c>
      <c r="H17" s="110">
        <f t="shared" si="0"/>
        <v>0.66</v>
      </c>
      <c r="I17" s="110">
        <f t="shared" si="0"/>
        <v>0.33</v>
      </c>
      <c r="J17" s="147">
        <f t="shared" si="2"/>
        <v>10.8</v>
      </c>
      <c r="K17" s="87">
        <v>0.77</v>
      </c>
      <c r="L17">
        <v>1</v>
      </c>
      <c r="M17">
        <v>1</v>
      </c>
      <c r="N17" s="88">
        <v>1</v>
      </c>
      <c r="O17" s="87">
        <v>0.83</v>
      </c>
      <c r="P17">
        <v>1</v>
      </c>
      <c r="Q17">
        <v>1</v>
      </c>
      <c r="R17" s="88">
        <v>1</v>
      </c>
      <c r="S17" s="87">
        <v>0.44000000000000006</v>
      </c>
      <c r="T17">
        <v>0.55000000000000004</v>
      </c>
      <c r="U17">
        <v>0.77</v>
      </c>
      <c r="V17" s="88">
        <v>1</v>
      </c>
      <c r="W17" s="87">
        <v>0.47000000000000003</v>
      </c>
      <c r="X17">
        <v>0.55000000000000004</v>
      </c>
      <c r="Y17">
        <v>0.77</v>
      </c>
      <c r="Z17" s="88">
        <v>0.92</v>
      </c>
      <c r="AA17" s="87">
        <v>0</v>
      </c>
      <c r="AB17">
        <v>0.22000000000000003</v>
      </c>
      <c r="AC17">
        <v>0.44</v>
      </c>
      <c r="AD17" s="88">
        <v>0.55000000000000004</v>
      </c>
      <c r="AE17" s="87">
        <v>0.06</v>
      </c>
      <c r="AF17">
        <v>0.22000000000000003</v>
      </c>
      <c r="AG17">
        <v>0.44</v>
      </c>
      <c r="AH17" s="88">
        <v>0.52</v>
      </c>
      <c r="AI17" s="87">
        <v>3.8900000000000006</v>
      </c>
      <c r="AJ17">
        <v>7</v>
      </c>
      <c r="AK17">
        <v>8</v>
      </c>
      <c r="AL17" s="88">
        <v>9.5</v>
      </c>
      <c r="AM17" s="87">
        <v>4.8099999999999987</v>
      </c>
      <c r="AN17">
        <v>7</v>
      </c>
      <c r="AO17">
        <v>8</v>
      </c>
      <c r="AP17" s="88">
        <v>9</v>
      </c>
      <c r="AQ17" s="87">
        <v>0.60499999999999998</v>
      </c>
      <c r="AR17">
        <v>1.1000000000000001</v>
      </c>
      <c r="AS17">
        <v>2.31</v>
      </c>
      <c r="AT17">
        <v>4.1549999999999994</v>
      </c>
      <c r="AU17" s="87">
        <v>0.77499999999999991</v>
      </c>
      <c r="AV17">
        <v>1.1000000000000001</v>
      </c>
      <c r="AW17">
        <v>2.31</v>
      </c>
      <c r="AX17" s="88">
        <v>3.53</v>
      </c>
      <c r="AY17" s="187">
        <v>0</v>
      </c>
      <c r="AZ17" s="179">
        <v>0.9900000000000001</v>
      </c>
      <c r="BA17" s="179">
        <v>2.42</v>
      </c>
      <c r="BB17" s="179">
        <v>3.6850000000000005</v>
      </c>
      <c r="BC17" s="187">
        <v>4.9999999999999933E-2</v>
      </c>
      <c r="BD17" s="179">
        <v>0.9900000000000001</v>
      </c>
      <c r="BE17" s="179">
        <v>2.42</v>
      </c>
      <c r="BF17" s="188">
        <v>3.3000000000000007</v>
      </c>
      <c r="BG17" s="87">
        <f t="shared" si="3"/>
        <v>4.495000000000001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87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138">
        <f t="shared" si="4"/>
        <v>8.1709999999999994</v>
      </c>
      <c r="BP17" s="143">
        <f t="shared" si="5"/>
        <v>13.652000000000001</v>
      </c>
      <c r="BQ17" s="138">
        <f t="shared" si="6"/>
        <v>8.3989999999999991</v>
      </c>
      <c r="BR17" s="139">
        <f t="shared" si="7"/>
        <v>13.350000000000001</v>
      </c>
      <c r="BS17" s="87">
        <f t="shared" si="8"/>
        <v>10.9115</v>
      </c>
      <c r="BT17" s="88">
        <f t="shared" si="9"/>
        <v>10.874500000000001</v>
      </c>
      <c r="BU17" s="134">
        <f t="shared" si="10"/>
        <v>10.893000000000001</v>
      </c>
    </row>
    <row r="18" spans="1:73" ht="30" x14ac:dyDescent="0.25">
      <c r="A18" s="102" t="s">
        <v>68</v>
      </c>
      <c r="B18" s="102" t="s">
        <v>79</v>
      </c>
      <c r="C18" s="121" t="s">
        <v>92</v>
      </c>
      <c r="D18" s="155" t="s">
        <v>104</v>
      </c>
      <c r="E18" s="156" t="s">
        <v>105</v>
      </c>
      <c r="F18" s="156" t="s">
        <v>106</v>
      </c>
      <c r="G18" s="110">
        <f t="shared" si="0"/>
        <v>1</v>
      </c>
      <c r="H18" s="110">
        <f t="shared" si="0"/>
        <v>0.66</v>
      </c>
      <c r="I18" s="110">
        <f t="shared" si="0"/>
        <v>0.33</v>
      </c>
      <c r="J18" s="147">
        <f t="shared" si="2"/>
        <v>10.8</v>
      </c>
      <c r="K18" s="87">
        <v>0.77</v>
      </c>
      <c r="L18">
        <v>1</v>
      </c>
      <c r="M18">
        <v>1</v>
      </c>
      <c r="N18" s="88">
        <v>1</v>
      </c>
      <c r="O18" s="87">
        <v>0.83</v>
      </c>
      <c r="P18">
        <v>1</v>
      </c>
      <c r="Q18">
        <v>1</v>
      </c>
      <c r="R18" s="88">
        <v>1</v>
      </c>
      <c r="S18" s="87">
        <v>0.44000000000000006</v>
      </c>
      <c r="T18">
        <v>0.55000000000000004</v>
      </c>
      <c r="U18">
        <v>0.77</v>
      </c>
      <c r="V18" s="88">
        <v>1</v>
      </c>
      <c r="W18" s="87">
        <v>0.47000000000000003</v>
      </c>
      <c r="X18">
        <v>0.55000000000000004</v>
      </c>
      <c r="Y18">
        <v>0.77</v>
      </c>
      <c r="Z18" s="88">
        <v>0.92</v>
      </c>
      <c r="AA18" s="87">
        <v>0</v>
      </c>
      <c r="AB18">
        <v>0.22000000000000003</v>
      </c>
      <c r="AC18">
        <v>0.44</v>
      </c>
      <c r="AD18" s="88">
        <v>0.55000000000000004</v>
      </c>
      <c r="AE18" s="87">
        <v>0.06</v>
      </c>
      <c r="AF18">
        <v>0.22000000000000003</v>
      </c>
      <c r="AG18">
        <v>0.44</v>
      </c>
      <c r="AH18" s="88">
        <v>0.52</v>
      </c>
      <c r="AI18" s="87">
        <v>3.8900000000000006</v>
      </c>
      <c r="AJ18">
        <v>7</v>
      </c>
      <c r="AK18">
        <v>8</v>
      </c>
      <c r="AL18" s="88">
        <v>9.5</v>
      </c>
      <c r="AM18" s="87">
        <v>4.8099999999999987</v>
      </c>
      <c r="AN18">
        <v>7</v>
      </c>
      <c r="AO18">
        <v>8</v>
      </c>
      <c r="AP18" s="88">
        <v>9</v>
      </c>
      <c r="AQ18" s="87">
        <v>0.60499999999999998</v>
      </c>
      <c r="AR18">
        <v>1.1000000000000001</v>
      </c>
      <c r="AS18">
        <v>2.31</v>
      </c>
      <c r="AT18">
        <v>4.1549999999999994</v>
      </c>
      <c r="AU18" s="87">
        <v>0.77499999999999991</v>
      </c>
      <c r="AV18">
        <v>1.1000000000000001</v>
      </c>
      <c r="AW18">
        <v>2.31</v>
      </c>
      <c r="AX18" s="88">
        <v>3.53</v>
      </c>
      <c r="AY18" s="187">
        <v>0</v>
      </c>
      <c r="AZ18" s="179">
        <v>0.9900000000000001</v>
      </c>
      <c r="BA18" s="179">
        <v>2.42</v>
      </c>
      <c r="BB18" s="179">
        <v>3.6850000000000005</v>
      </c>
      <c r="BC18" s="187">
        <v>4.9999999999999933E-2</v>
      </c>
      <c r="BD18" s="179">
        <v>0.9900000000000001</v>
      </c>
      <c r="BE18" s="179">
        <v>2.42</v>
      </c>
      <c r="BF18" s="188">
        <v>3.3000000000000007</v>
      </c>
      <c r="BG18" s="87">
        <f t="shared" si="3"/>
        <v>4.495000000000001</v>
      </c>
      <c r="BH18">
        <f t="shared" si="1"/>
        <v>9.09</v>
      </c>
      <c r="BI18">
        <f t="shared" si="1"/>
        <v>12.73</v>
      </c>
      <c r="BJ18">
        <f t="shared" si="1"/>
        <v>17.34</v>
      </c>
      <c r="BK18" s="87">
        <f t="shared" si="1"/>
        <v>5.6349999999999989</v>
      </c>
      <c r="BL18">
        <f t="shared" si="1"/>
        <v>9.09</v>
      </c>
      <c r="BM18">
        <f t="shared" si="1"/>
        <v>12.73</v>
      </c>
      <c r="BN18">
        <f t="shared" si="1"/>
        <v>15.83</v>
      </c>
      <c r="BO18" s="138">
        <f t="shared" si="4"/>
        <v>8.1709999999999994</v>
      </c>
      <c r="BP18" s="143">
        <f t="shared" si="5"/>
        <v>13.652000000000001</v>
      </c>
      <c r="BQ18" s="138">
        <f t="shared" si="6"/>
        <v>8.3989999999999991</v>
      </c>
      <c r="BR18" s="139">
        <f t="shared" si="7"/>
        <v>13.350000000000001</v>
      </c>
      <c r="BS18" s="87">
        <f t="shared" si="8"/>
        <v>10.9115</v>
      </c>
      <c r="BT18" s="88">
        <f t="shared" si="9"/>
        <v>10.874500000000001</v>
      </c>
      <c r="BU18" s="134">
        <f t="shared" si="10"/>
        <v>10.893000000000001</v>
      </c>
    </row>
    <row r="19" spans="1:73" ht="30" x14ac:dyDescent="0.25">
      <c r="A19" s="102" t="s">
        <v>69</v>
      </c>
      <c r="B19" s="102" t="s">
        <v>80</v>
      </c>
      <c r="C19" s="121" t="s">
        <v>81</v>
      </c>
      <c r="D19" s="155" t="s">
        <v>105</v>
      </c>
      <c r="E19" s="156" t="s">
        <v>104</v>
      </c>
      <c r="F19" s="156" t="s">
        <v>104</v>
      </c>
      <c r="G19" s="110">
        <f t="shared" si="0"/>
        <v>0.66</v>
      </c>
      <c r="H19" s="110">
        <f t="shared" si="0"/>
        <v>1</v>
      </c>
      <c r="I19" s="110">
        <f t="shared" si="0"/>
        <v>1</v>
      </c>
      <c r="J19" s="147">
        <f t="shared" si="2"/>
        <v>12.45</v>
      </c>
      <c r="K19" s="87">
        <v>0.44000000000000006</v>
      </c>
      <c r="L19">
        <v>0.55000000000000004</v>
      </c>
      <c r="M19">
        <v>0.77</v>
      </c>
      <c r="N19" s="88">
        <v>1</v>
      </c>
      <c r="O19" s="87">
        <v>0.47000000000000003</v>
      </c>
      <c r="P19">
        <v>0.55000000000000004</v>
      </c>
      <c r="Q19">
        <v>0.77</v>
      </c>
      <c r="R19" s="88">
        <v>0.92</v>
      </c>
      <c r="S19" s="87">
        <v>0.77</v>
      </c>
      <c r="T19">
        <v>1</v>
      </c>
      <c r="U19">
        <v>1</v>
      </c>
      <c r="V19" s="88">
        <v>1</v>
      </c>
      <c r="W19" s="87">
        <v>0.83</v>
      </c>
      <c r="X19">
        <v>1</v>
      </c>
      <c r="Y19">
        <v>1</v>
      </c>
      <c r="Z19" s="88">
        <v>1</v>
      </c>
      <c r="AA19" s="87">
        <v>0.77</v>
      </c>
      <c r="AB19">
        <v>1</v>
      </c>
      <c r="AC19">
        <v>1</v>
      </c>
      <c r="AD19" s="88">
        <v>1</v>
      </c>
      <c r="AE19" s="87">
        <v>0.83</v>
      </c>
      <c r="AF19">
        <v>1</v>
      </c>
      <c r="AG19">
        <v>1</v>
      </c>
      <c r="AH19" s="88">
        <v>1</v>
      </c>
      <c r="AI19" s="87">
        <v>2.2549999999999999</v>
      </c>
      <c r="AJ19">
        <v>3.8500000000000005</v>
      </c>
      <c r="AK19">
        <v>6.16</v>
      </c>
      <c r="AL19" s="88">
        <v>9.1550000000000011</v>
      </c>
      <c r="AM19" s="87">
        <v>2.7399999999999993</v>
      </c>
      <c r="AN19">
        <v>3.8500000000000005</v>
      </c>
      <c r="AO19">
        <v>6.16</v>
      </c>
      <c r="AP19" s="88">
        <v>8.129999999999999</v>
      </c>
      <c r="AQ19" s="87">
        <v>1.04</v>
      </c>
      <c r="AR19">
        <v>2</v>
      </c>
      <c r="AS19">
        <v>3</v>
      </c>
      <c r="AT19">
        <v>4.5</v>
      </c>
      <c r="AU19" s="87">
        <v>1.3599999999999999</v>
      </c>
      <c r="AV19">
        <v>2</v>
      </c>
      <c r="AW19">
        <v>3</v>
      </c>
      <c r="AX19" s="88">
        <v>4</v>
      </c>
      <c r="AY19" s="87">
        <v>1.9649999999999999</v>
      </c>
      <c r="AZ19">
        <v>4.5</v>
      </c>
      <c r="BA19">
        <v>5.5</v>
      </c>
      <c r="BB19">
        <v>7</v>
      </c>
      <c r="BC19" s="87">
        <v>2.7349999999999994</v>
      </c>
      <c r="BD19">
        <v>4.5</v>
      </c>
      <c r="BE19">
        <v>5.5</v>
      </c>
      <c r="BF19" s="88">
        <v>6.5</v>
      </c>
      <c r="BG19" s="87">
        <f t="shared" si="3"/>
        <v>5.26</v>
      </c>
      <c r="BH19">
        <f t="shared" si="1"/>
        <v>10.350000000000001</v>
      </c>
      <c r="BI19">
        <f t="shared" si="1"/>
        <v>14.66</v>
      </c>
      <c r="BJ19">
        <f t="shared" si="1"/>
        <v>20.655000000000001</v>
      </c>
      <c r="BK19" s="87">
        <f t="shared" si="1"/>
        <v>6.8349999999999991</v>
      </c>
      <c r="BL19">
        <f t="shared" si="1"/>
        <v>10.350000000000001</v>
      </c>
      <c r="BM19">
        <f t="shared" si="1"/>
        <v>14.66</v>
      </c>
      <c r="BN19">
        <f t="shared" si="1"/>
        <v>18.63</v>
      </c>
      <c r="BO19" s="138">
        <f t="shared" si="4"/>
        <v>9.3320000000000007</v>
      </c>
      <c r="BP19" s="143">
        <f t="shared" si="5"/>
        <v>15.859000000000002</v>
      </c>
      <c r="BQ19" s="138">
        <f t="shared" si="6"/>
        <v>9.6470000000000002</v>
      </c>
      <c r="BR19" s="139">
        <f t="shared" si="7"/>
        <v>15.454000000000001</v>
      </c>
      <c r="BS19" s="87">
        <f t="shared" si="8"/>
        <v>12.595500000000001</v>
      </c>
      <c r="BT19" s="88">
        <f t="shared" si="9"/>
        <v>12.5505</v>
      </c>
      <c r="BU19" s="134">
        <f t="shared" si="10"/>
        <v>12.573</v>
      </c>
    </row>
    <row r="20" spans="1:73" ht="36.75" customHeight="1" x14ac:dyDescent="0.25">
      <c r="A20" s="102" t="s">
        <v>70</v>
      </c>
      <c r="B20" s="102" t="s">
        <v>82</v>
      </c>
      <c r="C20" s="121" t="s">
        <v>93</v>
      </c>
      <c r="D20" s="155" t="s">
        <v>105</v>
      </c>
      <c r="E20" s="156" t="s">
        <v>104</v>
      </c>
      <c r="F20" s="156" t="s">
        <v>105</v>
      </c>
      <c r="G20" s="110">
        <f t="shared" si="0"/>
        <v>0.66</v>
      </c>
      <c r="H20" s="110">
        <f t="shared" si="0"/>
        <v>1</v>
      </c>
      <c r="I20" s="110">
        <f t="shared" si="0"/>
        <v>0.66</v>
      </c>
      <c r="J20" s="147">
        <f t="shared" si="2"/>
        <v>10.75</v>
      </c>
      <c r="K20" s="87">
        <v>0.44000000000000006</v>
      </c>
      <c r="L20">
        <v>0.55000000000000004</v>
      </c>
      <c r="M20">
        <v>0.77</v>
      </c>
      <c r="N20" s="88">
        <v>1</v>
      </c>
      <c r="O20" s="87">
        <v>0.47000000000000003</v>
      </c>
      <c r="P20">
        <v>0.55000000000000004</v>
      </c>
      <c r="Q20">
        <v>0.77</v>
      </c>
      <c r="R20" s="88">
        <v>0.92</v>
      </c>
      <c r="S20" s="87">
        <v>0.77</v>
      </c>
      <c r="T20">
        <v>1</v>
      </c>
      <c r="U20">
        <v>1</v>
      </c>
      <c r="V20" s="88">
        <v>1</v>
      </c>
      <c r="W20" s="87">
        <v>0.83</v>
      </c>
      <c r="X20">
        <v>1</v>
      </c>
      <c r="Y20">
        <v>1</v>
      </c>
      <c r="Z20" s="88">
        <v>1</v>
      </c>
      <c r="AA20" s="87">
        <v>0.44000000000000006</v>
      </c>
      <c r="AB20">
        <v>0.55000000000000004</v>
      </c>
      <c r="AC20">
        <v>0.77</v>
      </c>
      <c r="AD20" s="88">
        <v>1</v>
      </c>
      <c r="AE20" s="87">
        <v>0.47000000000000003</v>
      </c>
      <c r="AF20">
        <v>0.55000000000000004</v>
      </c>
      <c r="AG20">
        <v>0.77</v>
      </c>
      <c r="AH20" s="88">
        <v>0.92</v>
      </c>
      <c r="AI20" s="87">
        <v>2.2549999999999999</v>
      </c>
      <c r="AJ20">
        <v>3.8500000000000005</v>
      </c>
      <c r="AK20">
        <v>6.16</v>
      </c>
      <c r="AL20" s="88">
        <v>9.1550000000000011</v>
      </c>
      <c r="AM20" s="87">
        <v>2.7399999999999993</v>
      </c>
      <c r="AN20">
        <v>3.8500000000000005</v>
      </c>
      <c r="AO20">
        <v>6.16</v>
      </c>
      <c r="AP20" s="88">
        <v>8.129999999999999</v>
      </c>
      <c r="AQ20" s="87">
        <v>1.04</v>
      </c>
      <c r="AR20">
        <v>2</v>
      </c>
      <c r="AS20">
        <v>3</v>
      </c>
      <c r="AT20">
        <v>4.5</v>
      </c>
      <c r="AU20" s="87">
        <v>1.3599999999999999</v>
      </c>
      <c r="AV20">
        <v>2</v>
      </c>
      <c r="AW20">
        <v>3</v>
      </c>
      <c r="AX20" s="88">
        <v>4</v>
      </c>
      <c r="AY20" s="87">
        <v>1.1550000000000002</v>
      </c>
      <c r="AZ20">
        <v>2.4750000000000001</v>
      </c>
      <c r="BA20">
        <v>4.2350000000000003</v>
      </c>
      <c r="BB20">
        <v>6.6550000000000002</v>
      </c>
      <c r="BC20" s="87">
        <v>1.5650000000000008</v>
      </c>
      <c r="BD20">
        <v>2.4750000000000001</v>
      </c>
      <c r="BE20">
        <v>4.2350000000000003</v>
      </c>
      <c r="BF20" s="88">
        <v>5.830000000000001</v>
      </c>
      <c r="BG20" s="87">
        <f t="shared" si="3"/>
        <v>4.45</v>
      </c>
      <c r="BH20">
        <f t="shared" si="1"/>
        <v>8.3250000000000011</v>
      </c>
      <c r="BI20">
        <f t="shared" si="1"/>
        <v>13.395</v>
      </c>
      <c r="BJ20">
        <f t="shared" si="1"/>
        <v>20.310000000000002</v>
      </c>
      <c r="BK20" s="87">
        <f t="shared" si="1"/>
        <v>5.6650000000000009</v>
      </c>
      <c r="BL20">
        <f t="shared" si="1"/>
        <v>8.3250000000000011</v>
      </c>
      <c r="BM20">
        <f t="shared" si="1"/>
        <v>13.395</v>
      </c>
      <c r="BN20">
        <f t="shared" si="1"/>
        <v>17.96</v>
      </c>
      <c r="BO20" s="138">
        <f t="shared" si="4"/>
        <v>7.5500000000000007</v>
      </c>
      <c r="BP20" s="143">
        <f t="shared" si="5"/>
        <v>14.778</v>
      </c>
      <c r="BQ20" s="138">
        <f t="shared" si="6"/>
        <v>7.793000000000001</v>
      </c>
      <c r="BR20" s="139">
        <f t="shared" si="7"/>
        <v>14.308</v>
      </c>
      <c r="BS20" s="87">
        <f t="shared" si="8"/>
        <v>11.164000000000001</v>
      </c>
      <c r="BT20" s="88">
        <f t="shared" si="9"/>
        <v>11.0505</v>
      </c>
      <c r="BU20" s="134">
        <f t="shared" si="10"/>
        <v>11.107250000000001</v>
      </c>
    </row>
    <row r="21" spans="1:73" ht="30.75" thickBot="1" x14ac:dyDescent="0.3">
      <c r="A21" s="102" t="s">
        <v>71</v>
      </c>
      <c r="B21" s="102" t="s">
        <v>83</v>
      </c>
      <c r="C21" s="121" t="s">
        <v>94</v>
      </c>
      <c r="D21" s="157" t="s">
        <v>106</v>
      </c>
      <c r="E21" s="158" t="s">
        <v>104</v>
      </c>
      <c r="F21" s="158" t="s">
        <v>105</v>
      </c>
      <c r="G21" s="123">
        <f t="shared" si="0"/>
        <v>0.33</v>
      </c>
      <c r="H21" s="123">
        <f t="shared" si="0"/>
        <v>1</v>
      </c>
      <c r="I21" s="123">
        <f t="shared" si="0"/>
        <v>0.66</v>
      </c>
      <c r="J21" s="148">
        <f t="shared" si="2"/>
        <v>8.2750000000000004</v>
      </c>
      <c r="K21" s="91">
        <v>0</v>
      </c>
      <c r="L21" s="93">
        <v>0.22000000000000003</v>
      </c>
      <c r="M21" s="93">
        <v>0.44</v>
      </c>
      <c r="N21" s="94">
        <v>0.55000000000000004</v>
      </c>
      <c r="O21" s="91">
        <v>0.06</v>
      </c>
      <c r="P21" s="93">
        <v>0.22000000000000003</v>
      </c>
      <c r="Q21" s="93">
        <v>0.44</v>
      </c>
      <c r="R21" s="94">
        <v>0.52</v>
      </c>
      <c r="S21" s="91">
        <v>0.77</v>
      </c>
      <c r="T21" s="93">
        <v>1</v>
      </c>
      <c r="U21" s="93">
        <v>1</v>
      </c>
      <c r="V21" s="94">
        <v>1</v>
      </c>
      <c r="W21" s="91">
        <v>0.83</v>
      </c>
      <c r="X21" s="93">
        <v>1</v>
      </c>
      <c r="Y21" s="93">
        <v>1</v>
      </c>
      <c r="Z21" s="94">
        <v>1</v>
      </c>
      <c r="AA21" s="91">
        <v>0.44000000000000006</v>
      </c>
      <c r="AB21" s="93">
        <v>0.55000000000000004</v>
      </c>
      <c r="AC21" s="93">
        <v>0.77</v>
      </c>
      <c r="AD21" s="94">
        <v>1</v>
      </c>
      <c r="AE21" s="91">
        <v>0.47000000000000003</v>
      </c>
      <c r="AF21" s="93">
        <v>0.55000000000000004</v>
      </c>
      <c r="AG21" s="93">
        <v>0.77</v>
      </c>
      <c r="AH21" s="94">
        <v>0.92</v>
      </c>
      <c r="AI21" s="189">
        <v>0</v>
      </c>
      <c r="AJ21" s="201">
        <v>1.5400000000000003</v>
      </c>
      <c r="AK21" s="201">
        <v>3.52</v>
      </c>
      <c r="AL21" s="190">
        <v>5.0600000000000005</v>
      </c>
      <c r="AM21" s="189">
        <v>0.19999999999999996</v>
      </c>
      <c r="AN21" s="201">
        <v>1.5400000000000003</v>
      </c>
      <c r="AO21" s="201">
        <v>3.52</v>
      </c>
      <c r="AP21" s="190">
        <v>4.6000000000000014</v>
      </c>
      <c r="AQ21" s="91">
        <v>1.04</v>
      </c>
      <c r="AR21" s="93">
        <v>2</v>
      </c>
      <c r="AS21" s="93">
        <v>3</v>
      </c>
      <c r="AT21" s="93">
        <v>4.5</v>
      </c>
      <c r="AU21" s="91">
        <v>1.3599999999999999</v>
      </c>
      <c r="AV21" s="93">
        <v>2</v>
      </c>
      <c r="AW21" s="93">
        <v>3</v>
      </c>
      <c r="AX21" s="94">
        <v>4</v>
      </c>
      <c r="AY21" s="91">
        <v>1.1550000000000002</v>
      </c>
      <c r="AZ21" s="93">
        <v>2.4750000000000001</v>
      </c>
      <c r="BA21" s="93">
        <v>4.2350000000000003</v>
      </c>
      <c r="BB21" s="93">
        <v>6.6550000000000002</v>
      </c>
      <c r="BC21" s="91">
        <v>1.5650000000000008</v>
      </c>
      <c r="BD21" s="93">
        <v>2.4750000000000001</v>
      </c>
      <c r="BE21" s="93">
        <v>4.2350000000000003</v>
      </c>
      <c r="BF21" s="94">
        <v>5.830000000000001</v>
      </c>
      <c r="BG21" s="91">
        <f t="shared" si="3"/>
        <v>2.1950000000000003</v>
      </c>
      <c r="BH21" s="93">
        <f t="shared" si="1"/>
        <v>6.0150000000000006</v>
      </c>
      <c r="BI21" s="93">
        <f t="shared" si="1"/>
        <v>10.754999999999999</v>
      </c>
      <c r="BJ21" s="93">
        <f t="shared" si="1"/>
        <v>16.215</v>
      </c>
      <c r="BK21" s="91">
        <f t="shared" si="1"/>
        <v>3.1250000000000009</v>
      </c>
      <c r="BL21" s="93">
        <f t="shared" si="1"/>
        <v>6.0150000000000006</v>
      </c>
      <c r="BM21" s="93">
        <f t="shared" si="1"/>
        <v>10.754999999999999</v>
      </c>
      <c r="BN21" s="93">
        <f t="shared" si="1"/>
        <v>14.430000000000003</v>
      </c>
      <c r="BO21" s="140">
        <f t="shared" si="4"/>
        <v>5.2510000000000012</v>
      </c>
      <c r="BP21" s="144">
        <f t="shared" si="5"/>
        <v>11.846999999999998</v>
      </c>
      <c r="BQ21" s="140">
        <f t="shared" si="6"/>
        <v>5.4370000000000012</v>
      </c>
      <c r="BR21" s="141">
        <f t="shared" si="7"/>
        <v>11.489999999999998</v>
      </c>
      <c r="BS21" s="91">
        <f t="shared" si="8"/>
        <v>8.5489999999999995</v>
      </c>
      <c r="BT21" s="94">
        <f t="shared" si="9"/>
        <v>8.4634999999999998</v>
      </c>
      <c r="BU21" s="135">
        <f t="shared" si="10"/>
        <v>8.5062499999999996</v>
      </c>
    </row>
    <row r="22" spans="1:73" x14ac:dyDescent="0.25">
      <c r="BF22" s="60"/>
      <c r="BG22" s="59"/>
      <c r="BH22" s="59"/>
      <c r="BI22" s="59"/>
      <c r="BJ22" s="59"/>
      <c r="BK22" s="59"/>
    </row>
    <row r="23" spans="1:73" x14ac:dyDescent="0.25">
      <c r="A23" s="1" t="s">
        <v>188</v>
      </c>
      <c r="B23" s="1"/>
    </row>
    <row r="24" spans="1:73" ht="15.75" thickBot="1" x14ac:dyDescent="0.3">
      <c r="A24" s="107" t="s">
        <v>103</v>
      </c>
      <c r="B24" s="108" t="s">
        <v>122</v>
      </c>
      <c r="E24" s="112" t="s">
        <v>17</v>
      </c>
      <c r="I24" t="s">
        <v>18</v>
      </c>
    </row>
    <row r="25" spans="1:73" x14ac:dyDescent="0.25">
      <c r="A25" s="106" t="s">
        <v>107</v>
      </c>
      <c r="B25" s="2">
        <v>0</v>
      </c>
      <c r="C25" s="79">
        <v>0</v>
      </c>
      <c r="D25" s="80" t="s">
        <v>107</v>
      </c>
      <c r="E25" s="81">
        <v>0</v>
      </c>
      <c r="F25" s="82">
        <f>C25</f>
        <v>0</v>
      </c>
      <c r="G25" s="83">
        <v>0</v>
      </c>
      <c r="H25" s="84">
        <v>0.22</v>
      </c>
      <c r="I25" s="85">
        <v>0</v>
      </c>
      <c r="J25" s="83">
        <f>F25</f>
        <v>0</v>
      </c>
      <c r="K25" s="83">
        <f>G25</f>
        <v>0</v>
      </c>
      <c r="L25" s="86">
        <v>0.15</v>
      </c>
    </row>
    <row r="26" spans="1:73" x14ac:dyDescent="0.25">
      <c r="A26" s="106" t="s">
        <v>106</v>
      </c>
      <c r="B26" s="2">
        <v>0.33</v>
      </c>
      <c r="C26" s="79">
        <v>0.33</v>
      </c>
      <c r="D26" s="80" t="s">
        <v>106</v>
      </c>
      <c r="E26" s="87">
        <v>0</v>
      </c>
      <c r="F26" s="111">
        <f>C26-0.11</f>
        <v>0.22000000000000003</v>
      </c>
      <c r="G26">
        <f>C26+0.11</f>
        <v>0.44</v>
      </c>
      <c r="H26" s="88">
        <f t="shared" ref="H26" si="11">G26+0.11</f>
        <v>0.55000000000000004</v>
      </c>
      <c r="I26" s="89">
        <v>0.06</v>
      </c>
      <c r="J26">
        <f t="shared" ref="J26:K28" si="12">F26</f>
        <v>0.22000000000000003</v>
      </c>
      <c r="K26">
        <f t="shared" si="12"/>
        <v>0.44</v>
      </c>
      <c r="L26" s="90">
        <f t="shared" ref="L26" si="13">K26+0.08</f>
        <v>0.52</v>
      </c>
    </row>
    <row r="27" spans="1:73" x14ac:dyDescent="0.25">
      <c r="A27" s="106" t="s">
        <v>105</v>
      </c>
      <c r="B27" s="2">
        <v>0.66</v>
      </c>
      <c r="C27" s="79">
        <v>0.66</v>
      </c>
      <c r="D27" s="80" t="s">
        <v>105</v>
      </c>
      <c r="E27" s="87">
        <f t="shared" ref="E27" si="14">F27-0.11</f>
        <v>0.44000000000000006</v>
      </c>
      <c r="F27" s="111">
        <f t="shared" ref="F27" si="15">C27-0.11</f>
        <v>0.55000000000000004</v>
      </c>
      <c r="G27">
        <f t="shared" ref="G27" si="16">C27+0.11</f>
        <v>0.77</v>
      </c>
      <c r="H27" s="88">
        <v>1</v>
      </c>
      <c r="I27" s="89">
        <f t="shared" ref="I27" si="17">J27-0.08</f>
        <v>0.47000000000000003</v>
      </c>
      <c r="J27">
        <f t="shared" si="12"/>
        <v>0.55000000000000004</v>
      </c>
      <c r="K27">
        <f t="shared" si="12"/>
        <v>0.77</v>
      </c>
      <c r="L27" s="90">
        <v>0.92</v>
      </c>
    </row>
    <row r="28" spans="1:73" ht="15.75" thickBot="1" x14ac:dyDescent="0.3">
      <c r="A28" s="106" t="s">
        <v>104</v>
      </c>
      <c r="B28" s="2">
        <v>1</v>
      </c>
      <c r="C28" s="79">
        <v>1</v>
      </c>
      <c r="D28" s="80" t="s">
        <v>104</v>
      </c>
      <c r="E28" s="91">
        <v>0.77</v>
      </c>
      <c r="F28" s="92">
        <v>1</v>
      </c>
      <c r="G28" s="93">
        <v>1</v>
      </c>
      <c r="H28" s="94">
        <v>1</v>
      </c>
      <c r="I28" s="95">
        <v>0.83</v>
      </c>
      <c r="J28" s="93">
        <f t="shared" si="12"/>
        <v>1</v>
      </c>
      <c r="K28" s="93">
        <f t="shared" si="12"/>
        <v>1</v>
      </c>
      <c r="L28" s="96">
        <v>1</v>
      </c>
    </row>
    <row r="29" spans="1:73" x14ac:dyDescent="0.25">
      <c r="A29" s="99"/>
    </row>
    <row r="30" spans="1:73" x14ac:dyDescent="0.25">
      <c r="A30" s="1" t="s">
        <v>190</v>
      </c>
    </row>
    <row r="31" spans="1:73" ht="15.75" thickBot="1" x14ac:dyDescent="0.3">
      <c r="A31" s="107" t="s">
        <v>103</v>
      </c>
      <c r="B31" s="108" t="s">
        <v>123</v>
      </c>
      <c r="E31" s="112" t="s">
        <v>17</v>
      </c>
      <c r="I31" t="s">
        <v>18</v>
      </c>
    </row>
    <row r="32" spans="1:73" x14ac:dyDescent="0.25">
      <c r="A32" s="106" t="s">
        <v>107</v>
      </c>
      <c r="B32" s="2">
        <v>1</v>
      </c>
      <c r="C32" s="79">
        <v>1</v>
      </c>
      <c r="D32" s="80" t="s">
        <v>107</v>
      </c>
      <c r="E32" s="81">
        <v>0</v>
      </c>
      <c r="F32" s="82">
        <v>0.5</v>
      </c>
      <c r="G32" s="83">
        <v>1.5</v>
      </c>
      <c r="H32" s="84">
        <v>2</v>
      </c>
      <c r="I32" s="85">
        <v>0</v>
      </c>
      <c r="J32" s="83">
        <f>F32</f>
        <v>0.5</v>
      </c>
      <c r="K32" s="83">
        <f>G32</f>
        <v>1.5</v>
      </c>
      <c r="L32" s="86">
        <v>1.8</v>
      </c>
    </row>
    <row r="33" spans="1:12" x14ac:dyDescent="0.25">
      <c r="A33" s="106" t="s">
        <v>106</v>
      </c>
      <c r="B33" s="2">
        <v>2.5</v>
      </c>
      <c r="C33" s="79">
        <v>2.5</v>
      </c>
      <c r="D33" s="80" t="s">
        <v>106</v>
      </c>
      <c r="E33" s="87">
        <v>1.5</v>
      </c>
      <c r="F33" s="111">
        <f>C33-0.5</f>
        <v>2</v>
      </c>
      <c r="G33">
        <f>C33+0.5</f>
        <v>3</v>
      </c>
      <c r="H33" s="88">
        <f t="shared" ref="H33:H35" si="18">G33+1.5</f>
        <v>4.5</v>
      </c>
      <c r="I33" s="89">
        <v>1.7</v>
      </c>
      <c r="J33">
        <f t="shared" ref="J33:K35" si="19">F33</f>
        <v>2</v>
      </c>
      <c r="K33">
        <f t="shared" si="19"/>
        <v>3</v>
      </c>
      <c r="L33" s="90">
        <f t="shared" ref="L33:L35" si="20">K33+1</f>
        <v>4</v>
      </c>
    </row>
    <row r="34" spans="1:12" x14ac:dyDescent="0.25">
      <c r="A34" s="106" t="s">
        <v>105</v>
      </c>
      <c r="B34" s="2">
        <v>5</v>
      </c>
      <c r="C34" s="79">
        <v>5</v>
      </c>
      <c r="D34" s="80" t="s">
        <v>105</v>
      </c>
      <c r="E34" s="87">
        <f t="shared" ref="E34:E35" si="21">F34-1.5</f>
        <v>3</v>
      </c>
      <c r="F34" s="111">
        <f>C34-0.5</f>
        <v>4.5</v>
      </c>
      <c r="G34">
        <f>C34+0.5</f>
        <v>5.5</v>
      </c>
      <c r="H34" s="88">
        <f t="shared" si="18"/>
        <v>7</v>
      </c>
      <c r="I34" s="89">
        <f t="shared" ref="I34:I35" si="22">J34-1</f>
        <v>3.5</v>
      </c>
      <c r="J34">
        <f t="shared" si="19"/>
        <v>4.5</v>
      </c>
      <c r="K34">
        <f t="shared" si="19"/>
        <v>5.5</v>
      </c>
      <c r="L34" s="90">
        <f t="shared" si="20"/>
        <v>6.5</v>
      </c>
    </row>
    <row r="35" spans="1:12" ht="15.75" thickBot="1" x14ac:dyDescent="0.3">
      <c r="A35" s="106" t="s">
        <v>104</v>
      </c>
      <c r="B35" s="2">
        <v>7.5</v>
      </c>
      <c r="C35" s="79">
        <v>7.5</v>
      </c>
      <c r="D35" s="80" t="s">
        <v>104</v>
      </c>
      <c r="E35" s="91">
        <f t="shared" si="21"/>
        <v>5.5</v>
      </c>
      <c r="F35" s="92">
        <f>C35-0.5</f>
        <v>7</v>
      </c>
      <c r="G35" s="93">
        <f>C35+0.5</f>
        <v>8</v>
      </c>
      <c r="H35" s="94">
        <f t="shared" si="18"/>
        <v>9.5</v>
      </c>
      <c r="I35" s="95">
        <f t="shared" si="22"/>
        <v>6</v>
      </c>
      <c r="J35" s="93">
        <f t="shared" si="19"/>
        <v>7</v>
      </c>
      <c r="K35" s="93">
        <f t="shared" si="19"/>
        <v>8</v>
      </c>
      <c r="L35" s="96">
        <f t="shared" si="20"/>
        <v>9</v>
      </c>
    </row>
    <row r="37" spans="1:12" ht="15.75" thickBot="1" x14ac:dyDescent="0.3">
      <c r="A37" s="1" t="s">
        <v>193</v>
      </c>
    </row>
    <row r="38" spans="1:12" ht="67.5" customHeight="1" thickBot="1" x14ac:dyDescent="0.3">
      <c r="A38" s="114" t="s">
        <v>117</v>
      </c>
      <c r="B38" s="113" t="s">
        <v>99</v>
      </c>
      <c r="C38" s="115" t="s">
        <v>108</v>
      </c>
      <c r="D38" s="116" t="s">
        <v>189</v>
      </c>
      <c r="E38" s="283" t="s">
        <v>126</v>
      </c>
      <c r="F38" s="284"/>
      <c r="G38" s="284"/>
      <c r="H38" s="284"/>
      <c r="I38" s="284"/>
      <c r="J38" s="284"/>
      <c r="K38" s="284"/>
      <c r="L38" s="285"/>
    </row>
    <row r="39" spans="1:12" x14ac:dyDescent="0.25">
      <c r="A39" s="125" t="s">
        <v>114</v>
      </c>
      <c r="B39" s="117" t="s">
        <v>100</v>
      </c>
      <c r="C39" s="118" t="s">
        <v>104</v>
      </c>
      <c r="D39" s="152">
        <v>7.5</v>
      </c>
      <c r="E39" s="87">
        <v>5.5</v>
      </c>
      <c r="F39" s="111">
        <v>7</v>
      </c>
      <c r="G39">
        <v>8</v>
      </c>
      <c r="H39" s="88">
        <v>9.5</v>
      </c>
      <c r="I39" s="89">
        <v>6</v>
      </c>
      <c r="J39">
        <v>7</v>
      </c>
      <c r="K39">
        <v>8</v>
      </c>
      <c r="L39" s="90">
        <v>9</v>
      </c>
    </row>
    <row r="40" spans="1:12" x14ac:dyDescent="0.25">
      <c r="A40" s="126" t="s">
        <v>115</v>
      </c>
      <c r="B40" s="104" t="s">
        <v>101</v>
      </c>
      <c r="C40" s="2" t="s">
        <v>106</v>
      </c>
      <c r="D40" s="153">
        <v>2.5</v>
      </c>
      <c r="E40" s="87">
        <v>1.5</v>
      </c>
      <c r="F40" s="111">
        <v>2</v>
      </c>
      <c r="G40">
        <v>3</v>
      </c>
      <c r="H40" s="88">
        <v>4.5</v>
      </c>
      <c r="I40" s="89">
        <v>1.7</v>
      </c>
      <c r="J40">
        <v>2</v>
      </c>
      <c r="K40">
        <v>3</v>
      </c>
      <c r="L40" s="90">
        <v>4</v>
      </c>
    </row>
    <row r="41" spans="1:12" ht="15.75" thickBot="1" x14ac:dyDescent="0.3">
      <c r="A41" s="127" t="s">
        <v>116</v>
      </c>
      <c r="B41" s="119" t="s">
        <v>102</v>
      </c>
      <c r="C41" s="120" t="s">
        <v>105</v>
      </c>
      <c r="D41" s="154">
        <v>5</v>
      </c>
      <c r="E41" s="91">
        <v>3</v>
      </c>
      <c r="F41" s="92">
        <v>4.5</v>
      </c>
      <c r="G41" s="93">
        <v>5.5</v>
      </c>
      <c r="H41" s="94">
        <v>7</v>
      </c>
      <c r="I41" s="95">
        <v>3.5</v>
      </c>
      <c r="J41" s="93">
        <v>4.5</v>
      </c>
      <c r="K41" s="93">
        <v>5.5</v>
      </c>
      <c r="L41" s="96">
        <v>6.5</v>
      </c>
    </row>
    <row r="43" spans="1:12" ht="15.75" thickBot="1" x14ac:dyDescent="0.3">
      <c r="A43" s="1" t="s">
        <v>194</v>
      </c>
    </row>
    <row r="44" spans="1:12" ht="30.75" thickBot="1" x14ac:dyDescent="0.3">
      <c r="A44" s="128" t="s">
        <v>132</v>
      </c>
      <c r="B44" s="129" t="s">
        <v>133</v>
      </c>
      <c r="E44" s="283" t="s">
        <v>134</v>
      </c>
      <c r="F44" s="284"/>
      <c r="G44" s="284"/>
      <c r="H44" s="284"/>
      <c r="I44" s="284"/>
      <c r="J44" s="284"/>
      <c r="K44" s="284"/>
      <c r="L44" s="285"/>
    </row>
    <row r="45" spans="1:12" x14ac:dyDescent="0.25">
      <c r="A45" s="125" t="s">
        <v>129</v>
      </c>
      <c r="B45" s="130" t="s">
        <v>107</v>
      </c>
      <c r="D45" s="133" t="s">
        <v>138</v>
      </c>
      <c r="E45" s="81">
        <f>E25*F$39+E$39*F25-F25*F$39</f>
        <v>0</v>
      </c>
      <c r="F45" s="83">
        <f>F25*F$39</f>
        <v>0</v>
      </c>
      <c r="G45" s="83">
        <f>G25*G$39</f>
        <v>0</v>
      </c>
      <c r="H45" s="84">
        <f>G25*H$39+G$39*H25-G25*G$39</f>
        <v>1.76</v>
      </c>
      <c r="I45" s="81">
        <f>I25*J$39+I$39*J25-J25*J$39</f>
        <v>0</v>
      </c>
      <c r="J45" s="83">
        <f>J25*J$39</f>
        <v>0</v>
      </c>
      <c r="K45" s="83">
        <f>K25*K$39</f>
        <v>0</v>
      </c>
      <c r="L45" s="84">
        <f>K25*L$39+K$39*L25-K25*K$39</f>
        <v>1.2</v>
      </c>
    </row>
    <row r="46" spans="1:12" x14ac:dyDescent="0.25">
      <c r="A46" s="126" t="s">
        <v>129</v>
      </c>
      <c r="B46" s="131" t="s">
        <v>106</v>
      </c>
      <c r="D46" s="134" t="s">
        <v>137</v>
      </c>
      <c r="E46" s="202">
        <f>IF(E26*F$39+E$39*F26-F26*F$39&lt;0,0,E26*F$39+E$39*F26-F26*F$39)</f>
        <v>0</v>
      </c>
      <c r="F46" s="179">
        <f t="shared" ref="F46:G48" si="23">F26*F$39</f>
        <v>1.5400000000000003</v>
      </c>
      <c r="G46" s="179">
        <f t="shared" si="23"/>
        <v>3.52</v>
      </c>
      <c r="H46" s="188">
        <f t="shared" ref="H46:H48" si="24">G26*H$39+G$39*H26-G26*G$39</f>
        <v>5.0600000000000005</v>
      </c>
      <c r="I46" s="187">
        <f t="shared" ref="I46:I48" si="25">I26*J$39+I$39*J26-J26*J$39</f>
        <v>0.19999999999999996</v>
      </c>
      <c r="J46" s="179">
        <f t="shared" ref="J46:K48" si="26">J26*J$39</f>
        <v>1.5400000000000003</v>
      </c>
      <c r="K46" s="179">
        <f t="shared" si="26"/>
        <v>3.52</v>
      </c>
      <c r="L46" s="188">
        <f t="shared" ref="L46:L48" si="27">K26*L$39+K$39*L26-K26*K$39</f>
        <v>4.6000000000000014</v>
      </c>
    </row>
    <row r="47" spans="1:12" x14ac:dyDescent="0.25">
      <c r="A47" s="126" t="s">
        <v>129</v>
      </c>
      <c r="B47" s="131" t="s">
        <v>105</v>
      </c>
      <c r="D47" s="134" t="s">
        <v>136</v>
      </c>
      <c r="E47" s="87">
        <f t="shared" ref="E47:E48" si="28">E27*F$39+E$39*F27-F27*F$39</f>
        <v>2.2549999999999999</v>
      </c>
      <c r="F47">
        <f t="shared" si="23"/>
        <v>3.8500000000000005</v>
      </c>
      <c r="G47">
        <f t="shared" si="23"/>
        <v>6.16</v>
      </c>
      <c r="H47" s="88">
        <f t="shared" si="24"/>
        <v>9.1550000000000011</v>
      </c>
      <c r="I47" s="87">
        <f t="shared" si="25"/>
        <v>2.7399999999999993</v>
      </c>
      <c r="J47">
        <f t="shared" si="26"/>
        <v>3.8500000000000005</v>
      </c>
      <c r="K47">
        <f t="shared" si="26"/>
        <v>6.16</v>
      </c>
      <c r="L47" s="88">
        <f t="shared" si="27"/>
        <v>8.129999999999999</v>
      </c>
    </row>
    <row r="48" spans="1:12" ht="15.75" thickBot="1" x14ac:dyDescent="0.3">
      <c r="A48" s="127" t="s">
        <v>129</v>
      </c>
      <c r="B48" s="132" t="s">
        <v>104</v>
      </c>
      <c r="D48" s="135" t="s">
        <v>135</v>
      </c>
      <c r="E48" s="91">
        <f t="shared" si="28"/>
        <v>3.8900000000000006</v>
      </c>
      <c r="F48" s="93">
        <f t="shared" si="23"/>
        <v>7</v>
      </c>
      <c r="G48" s="93">
        <f t="shared" si="23"/>
        <v>8</v>
      </c>
      <c r="H48" s="94">
        <f t="shared" si="24"/>
        <v>9.5</v>
      </c>
      <c r="I48" s="91">
        <f t="shared" si="25"/>
        <v>4.8099999999999987</v>
      </c>
      <c r="J48" s="93">
        <f t="shared" si="26"/>
        <v>7</v>
      </c>
      <c r="K48" s="93">
        <f t="shared" si="26"/>
        <v>8</v>
      </c>
      <c r="L48" s="94">
        <f t="shared" si="27"/>
        <v>9</v>
      </c>
    </row>
    <row r="49" spans="1:73" x14ac:dyDescent="0.25">
      <c r="A49" s="125" t="s">
        <v>130</v>
      </c>
      <c r="B49" s="130" t="s">
        <v>107</v>
      </c>
      <c r="D49" s="133" t="s">
        <v>139</v>
      </c>
      <c r="E49" s="81">
        <f>E25*F$40+E$40*F25-F25*F$40</f>
        <v>0</v>
      </c>
      <c r="F49" s="83">
        <f>F25*F$40</f>
        <v>0</v>
      </c>
      <c r="G49" s="83">
        <f>G25*G$40</f>
        <v>0</v>
      </c>
      <c r="H49" s="84">
        <f>G25*H$40+G$40*H25-G25*G$40</f>
        <v>0.66</v>
      </c>
      <c r="I49" s="81">
        <f>I25*J$40+I$40*J25-J25*J$40</f>
        <v>0</v>
      </c>
      <c r="J49" s="83">
        <f>J25*J$40</f>
        <v>0</v>
      </c>
      <c r="K49" s="83">
        <f>K25*K$40</f>
        <v>0</v>
      </c>
      <c r="L49" s="84">
        <f>K25*L$40+K$40*L25-K25*K$40</f>
        <v>0.44999999999999996</v>
      </c>
    </row>
    <row r="50" spans="1:73" x14ac:dyDescent="0.25">
      <c r="A50" s="126" t="s">
        <v>130</v>
      </c>
      <c r="B50" s="131" t="s">
        <v>106</v>
      </c>
      <c r="D50" s="134" t="s">
        <v>144</v>
      </c>
      <c r="E50" s="202">
        <f>IF(E26*F$40+E$40*F26-F26*F$40&lt;0,0,E26*F$40+E$40*F26-F26*F$40)</f>
        <v>0</v>
      </c>
      <c r="F50" s="179">
        <f t="shared" ref="F50:G52" si="29">F26*F$40</f>
        <v>0.44000000000000006</v>
      </c>
      <c r="G50" s="179">
        <f t="shared" si="29"/>
        <v>1.32</v>
      </c>
      <c r="H50" s="188">
        <f t="shared" ref="H50:H52" si="30">G26*H$40+G$40*H26-G26*G$40</f>
        <v>2.3099999999999996</v>
      </c>
      <c r="I50" s="187">
        <f t="shared" ref="I50:I52" si="31">I26*J$40+I$40*J26-J26*J$40</f>
        <v>5.3999999999999992E-2</v>
      </c>
      <c r="J50" s="179">
        <f t="shared" ref="J50:K52" si="32">J26*J$40</f>
        <v>0.44000000000000006</v>
      </c>
      <c r="K50" s="179">
        <f t="shared" si="32"/>
        <v>1.32</v>
      </c>
      <c r="L50" s="188">
        <f t="shared" ref="L50:L52" si="33">K26*L$40+K$40*L26-K26*K$40</f>
        <v>2</v>
      </c>
    </row>
    <row r="51" spans="1:73" x14ac:dyDescent="0.25">
      <c r="A51" s="126" t="s">
        <v>130</v>
      </c>
      <c r="B51" s="131" t="s">
        <v>105</v>
      </c>
      <c r="D51" s="134" t="s">
        <v>145</v>
      </c>
      <c r="E51" s="87">
        <f t="shared" ref="E51:E52" si="34">E27*F$40+E$40*F27-F27*F$40</f>
        <v>0.60499999999999998</v>
      </c>
      <c r="F51">
        <f t="shared" si="29"/>
        <v>1.1000000000000001</v>
      </c>
      <c r="G51">
        <f t="shared" si="29"/>
        <v>2.31</v>
      </c>
      <c r="H51" s="88">
        <f t="shared" si="30"/>
        <v>4.1549999999999994</v>
      </c>
      <c r="I51" s="87">
        <f t="shared" si="31"/>
        <v>0.77499999999999991</v>
      </c>
      <c r="J51">
        <f t="shared" si="32"/>
        <v>1.1000000000000001</v>
      </c>
      <c r="K51">
        <f t="shared" si="32"/>
        <v>2.31</v>
      </c>
      <c r="L51" s="88">
        <f t="shared" si="33"/>
        <v>3.53</v>
      </c>
    </row>
    <row r="52" spans="1:73" ht="15.75" thickBot="1" x14ac:dyDescent="0.3">
      <c r="A52" s="127" t="s">
        <v>130</v>
      </c>
      <c r="B52" s="132" t="s">
        <v>104</v>
      </c>
      <c r="D52" s="135" t="s">
        <v>146</v>
      </c>
      <c r="E52" s="91">
        <f t="shared" si="34"/>
        <v>1.04</v>
      </c>
      <c r="F52" s="93">
        <f t="shared" si="29"/>
        <v>2</v>
      </c>
      <c r="G52" s="93">
        <f t="shared" si="29"/>
        <v>3</v>
      </c>
      <c r="H52" s="94">
        <f t="shared" si="30"/>
        <v>4.5</v>
      </c>
      <c r="I52" s="91">
        <f t="shared" si="31"/>
        <v>1.3599999999999999</v>
      </c>
      <c r="J52" s="93">
        <f t="shared" si="32"/>
        <v>2</v>
      </c>
      <c r="K52" s="93">
        <f t="shared" si="32"/>
        <v>3</v>
      </c>
      <c r="L52" s="94">
        <f t="shared" si="33"/>
        <v>4</v>
      </c>
    </row>
    <row r="53" spans="1:73" x14ac:dyDescent="0.25">
      <c r="A53" s="125" t="s">
        <v>131</v>
      </c>
      <c r="B53" s="130" t="s">
        <v>107</v>
      </c>
      <c r="D53" s="133" t="s">
        <v>141</v>
      </c>
      <c r="E53" s="87">
        <f>E25*F$41+E$41*F25-F25*F$41</f>
        <v>0</v>
      </c>
      <c r="F53">
        <f>F25*F$41</f>
        <v>0</v>
      </c>
      <c r="G53">
        <f>G25*G$41</f>
        <v>0</v>
      </c>
      <c r="H53" s="88">
        <f>G25*H$41+G$41*H25-G25*G$41</f>
        <v>1.21</v>
      </c>
      <c r="I53" s="87">
        <f>I25*J$41+I$41*J25-J25*J$41</f>
        <v>0</v>
      </c>
      <c r="J53">
        <f>J25*J$41</f>
        <v>0</v>
      </c>
      <c r="K53">
        <f>K25*K$41</f>
        <v>0</v>
      </c>
      <c r="L53" s="88">
        <f>K25*L$41+K$41*L25-K25*K$41</f>
        <v>0.82499999999999996</v>
      </c>
    </row>
    <row r="54" spans="1:73" x14ac:dyDescent="0.25">
      <c r="A54" s="126" t="s">
        <v>131</v>
      </c>
      <c r="B54" s="131" t="s">
        <v>106</v>
      </c>
      <c r="D54" s="134" t="s">
        <v>140</v>
      </c>
      <c r="E54" s="202">
        <f>IF(E26*F$41+E$41*F26-F26*F$41&lt;0,0,E26*F$41+E$41*F26-F26*F$41)</f>
        <v>0</v>
      </c>
      <c r="F54" s="179">
        <f t="shared" ref="F54:G56" si="35">F26*F$41</f>
        <v>0.9900000000000001</v>
      </c>
      <c r="G54" s="179">
        <f t="shared" si="35"/>
        <v>2.42</v>
      </c>
      <c r="H54" s="188">
        <f t="shared" ref="H54:H56" si="36">G26*H$41+G$41*H26-G26*G$41</f>
        <v>3.6850000000000005</v>
      </c>
      <c r="I54" s="187">
        <f t="shared" ref="I54:I56" si="37">I26*J$41+I$41*J26-J26*J$41</f>
        <v>4.9999999999999933E-2</v>
      </c>
      <c r="J54" s="179">
        <f t="shared" ref="J54:K56" si="38">J26*J$41</f>
        <v>0.9900000000000001</v>
      </c>
      <c r="K54" s="179">
        <f t="shared" si="38"/>
        <v>2.42</v>
      </c>
      <c r="L54" s="188">
        <f t="shared" ref="L54:L56" si="39">K26*L$41+K$41*L26-K26*K$41</f>
        <v>3.3000000000000007</v>
      </c>
    </row>
    <row r="55" spans="1:73" x14ac:dyDescent="0.25">
      <c r="A55" s="126" t="s">
        <v>131</v>
      </c>
      <c r="B55" s="131" t="s">
        <v>105</v>
      </c>
      <c r="D55" s="134" t="s">
        <v>142</v>
      </c>
      <c r="E55" s="87">
        <f t="shared" ref="E55:E56" si="40">E27*F$41+E$41*F27-F27*F$41</f>
        <v>1.1550000000000002</v>
      </c>
      <c r="F55">
        <f t="shared" si="35"/>
        <v>2.4750000000000001</v>
      </c>
      <c r="G55">
        <f t="shared" si="35"/>
        <v>4.2350000000000003</v>
      </c>
      <c r="H55" s="88">
        <f t="shared" si="36"/>
        <v>6.6550000000000002</v>
      </c>
      <c r="I55" s="87">
        <f t="shared" si="37"/>
        <v>1.5650000000000008</v>
      </c>
      <c r="J55">
        <f t="shared" si="38"/>
        <v>2.4750000000000001</v>
      </c>
      <c r="K55">
        <f t="shared" si="38"/>
        <v>4.2350000000000003</v>
      </c>
      <c r="L55" s="88">
        <f t="shared" si="39"/>
        <v>5.830000000000001</v>
      </c>
    </row>
    <row r="56" spans="1:73" ht="15.75" thickBot="1" x14ac:dyDescent="0.3">
      <c r="A56" s="127" t="s">
        <v>131</v>
      </c>
      <c r="B56" s="132" t="s">
        <v>104</v>
      </c>
      <c r="D56" s="135" t="s">
        <v>143</v>
      </c>
      <c r="E56" s="91">
        <f t="shared" si="40"/>
        <v>1.9649999999999999</v>
      </c>
      <c r="F56" s="93">
        <f t="shared" si="35"/>
        <v>4.5</v>
      </c>
      <c r="G56" s="93">
        <f t="shared" si="35"/>
        <v>5.5</v>
      </c>
      <c r="H56" s="94">
        <f t="shared" si="36"/>
        <v>7</v>
      </c>
      <c r="I56" s="91">
        <f t="shared" si="37"/>
        <v>2.7349999999999994</v>
      </c>
      <c r="J56" s="93">
        <f t="shared" si="38"/>
        <v>4.5</v>
      </c>
      <c r="K56" s="93">
        <f t="shared" si="38"/>
        <v>5.5</v>
      </c>
      <c r="L56" s="94">
        <f t="shared" si="39"/>
        <v>6.5</v>
      </c>
    </row>
    <row r="59" spans="1:73" ht="18.75" x14ac:dyDescent="0.3">
      <c r="A59" s="149" t="s">
        <v>161</v>
      </c>
      <c r="B59" s="99"/>
      <c r="C59" s="99"/>
    </row>
    <row r="60" spans="1:73" x14ac:dyDescent="0.25">
      <c r="A60" s="1" t="s">
        <v>110</v>
      </c>
      <c r="B60" s="99"/>
      <c r="C60" s="99"/>
    </row>
    <row r="61" spans="1:73" ht="15.75" thickBot="1" x14ac:dyDescent="0.3">
      <c r="A61" s="100" t="s">
        <v>166</v>
      </c>
      <c r="B61" s="99"/>
      <c r="C61" s="99"/>
      <c r="BO61">
        <v>0.8</v>
      </c>
    </row>
    <row r="62" spans="1:73" ht="86.25" customHeight="1" thickBot="1" x14ac:dyDescent="0.3">
      <c r="A62" s="273" t="s">
        <v>85</v>
      </c>
      <c r="B62" s="273" t="s">
        <v>86</v>
      </c>
      <c r="C62" s="277" t="s">
        <v>87</v>
      </c>
      <c r="D62" s="278" t="s">
        <v>127</v>
      </c>
      <c r="E62" s="279"/>
      <c r="F62" s="279"/>
      <c r="G62" s="279" t="s">
        <v>128</v>
      </c>
      <c r="H62" s="279"/>
      <c r="I62" s="279"/>
      <c r="J62" s="286" t="s">
        <v>157</v>
      </c>
      <c r="K62" s="280" t="s">
        <v>150</v>
      </c>
      <c r="L62" s="281"/>
      <c r="M62" s="281"/>
      <c r="N62" s="281"/>
      <c r="O62" s="281"/>
      <c r="P62" s="281"/>
      <c r="Q62" s="281"/>
      <c r="R62" s="282"/>
      <c r="S62" s="280" t="s">
        <v>148</v>
      </c>
      <c r="T62" s="281"/>
      <c r="U62" s="281"/>
      <c r="V62" s="281"/>
      <c r="W62" s="281"/>
      <c r="X62" s="281"/>
      <c r="Y62" s="281"/>
      <c r="Z62" s="282"/>
      <c r="AA62" s="280" t="s">
        <v>149</v>
      </c>
      <c r="AB62" s="281"/>
      <c r="AC62" s="281"/>
      <c r="AD62" s="281"/>
      <c r="AE62" s="281"/>
      <c r="AF62" s="281"/>
      <c r="AG62" s="281"/>
      <c r="AH62" s="282"/>
      <c r="AI62" s="280" t="s">
        <v>147</v>
      </c>
      <c r="AJ62" s="281"/>
      <c r="AK62" s="281"/>
      <c r="AL62" s="281"/>
      <c r="AM62" s="281"/>
      <c r="AN62" s="281"/>
      <c r="AO62" s="281"/>
      <c r="AP62" s="282"/>
      <c r="AQ62" s="280" t="s">
        <v>158</v>
      </c>
      <c r="AR62" s="281"/>
      <c r="AS62" s="281"/>
      <c r="AT62" s="281"/>
      <c r="AU62" s="281"/>
      <c r="AV62" s="281"/>
      <c r="AW62" s="281"/>
      <c r="AX62" s="282"/>
      <c r="AY62" s="280" t="s">
        <v>159</v>
      </c>
      <c r="AZ62" s="281"/>
      <c r="BA62" s="281"/>
      <c r="BB62" s="281"/>
      <c r="BC62" s="281"/>
      <c r="BD62" s="281"/>
      <c r="BE62" s="281"/>
      <c r="BF62" s="282"/>
      <c r="BG62" s="280" t="s">
        <v>205</v>
      </c>
      <c r="BH62" s="281"/>
      <c r="BI62" s="281"/>
      <c r="BJ62" s="281"/>
      <c r="BK62" s="281"/>
      <c r="BL62" s="281"/>
      <c r="BM62" s="281"/>
      <c r="BN62" s="282"/>
      <c r="BO62" s="292" t="s">
        <v>151</v>
      </c>
      <c r="BP62" s="293"/>
      <c r="BQ62" s="293"/>
      <c r="BR62" s="294"/>
      <c r="BS62" s="288" t="s">
        <v>153</v>
      </c>
      <c r="BT62" s="289"/>
      <c r="BU62" s="290" t="s">
        <v>156</v>
      </c>
    </row>
    <row r="63" spans="1:73" s="97" customFormat="1" ht="23.25" customHeight="1" thickBot="1" x14ac:dyDescent="0.3">
      <c r="A63" s="273"/>
      <c r="B63" s="273"/>
      <c r="C63" s="277"/>
      <c r="D63" s="122" t="s">
        <v>114</v>
      </c>
      <c r="E63" s="107" t="s">
        <v>115</v>
      </c>
      <c r="F63" s="107" t="s">
        <v>116</v>
      </c>
      <c r="G63" s="107" t="s">
        <v>114</v>
      </c>
      <c r="H63" s="107" t="s">
        <v>115</v>
      </c>
      <c r="I63" s="107" t="s">
        <v>116</v>
      </c>
      <c r="J63" s="287"/>
      <c r="K63" s="280" t="s">
        <v>17</v>
      </c>
      <c r="L63" s="281"/>
      <c r="M63" s="281"/>
      <c r="N63" s="282"/>
      <c r="O63" s="280" t="s">
        <v>18</v>
      </c>
      <c r="P63" s="281"/>
      <c r="Q63" s="281"/>
      <c r="R63" s="282"/>
      <c r="S63" s="280" t="s">
        <v>17</v>
      </c>
      <c r="T63" s="281"/>
      <c r="U63" s="281"/>
      <c r="V63" s="282"/>
      <c r="W63" s="280" t="s">
        <v>18</v>
      </c>
      <c r="X63" s="281"/>
      <c r="Y63" s="281"/>
      <c r="Z63" s="282"/>
      <c r="AA63" s="280" t="s">
        <v>17</v>
      </c>
      <c r="AB63" s="281"/>
      <c r="AC63" s="281"/>
      <c r="AD63" s="282"/>
      <c r="AE63" s="280" t="s">
        <v>18</v>
      </c>
      <c r="AF63" s="281"/>
      <c r="AG63" s="281"/>
      <c r="AH63" s="282"/>
      <c r="AI63" s="280" t="s">
        <v>17</v>
      </c>
      <c r="AJ63" s="281"/>
      <c r="AK63" s="281"/>
      <c r="AL63" s="282"/>
      <c r="AM63" s="280" t="s">
        <v>18</v>
      </c>
      <c r="AN63" s="281"/>
      <c r="AO63" s="281"/>
      <c r="AP63" s="282"/>
      <c r="AQ63" s="280" t="s">
        <v>17</v>
      </c>
      <c r="AR63" s="281"/>
      <c r="AS63" s="281"/>
      <c r="AT63" s="282"/>
      <c r="AU63" s="280" t="s">
        <v>18</v>
      </c>
      <c r="AV63" s="281"/>
      <c r="AW63" s="281"/>
      <c r="AX63" s="282"/>
      <c r="AY63" s="280" t="s">
        <v>17</v>
      </c>
      <c r="AZ63" s="281"/>
      <c r="BA63" s="281"/>
      <c r="BB63" s="282"/>
      <c r="BC63" s="280" t="s">
        <v>18</v>
      </c>
      <c r="BD63" s="281"/>
      <c r="BE63" s="281"/>
      <c r="BF63" s="282"/>
      <c r="BG63" s="280" t="s">
        <v>17</v>
      </c>
      <c r="BH63" s="281"/>
      <c r="BI63" s="281"/>
      <c r="BJ63" s="282"/>
      <c r="BK63" s="280" t="s">
        <v>18</v>
      </c>
      <c r="BL63" s="281"/>
      <c r="BM63" s="281"/>
      <c r="BN63" s="282"/>
      <c r="BO63" s="295" t="s">
        <v>152</v>
      </c>
      <c r="BP63" s="296"/>
      <c r="BQ63" s="295" t="s">
        <v>26</v>
      </c>
      <c r="BR63" s="297"/>
      <c r="BS63" s="145" t="s">
        <v>154</v>
      </c>
      <c r="BT63" s="145" t="s">
        <v>155</v>
      </c>
      <c r="BU63" s="291"/>
    </row>
    <row r="64" spans="1:73" ht="30" x14ac:dyDescent="0.25">
      <c r="A64" s="102" t="s">
        <v>8</v>
      </c>
      <c r="B64" s="102" t="s">
        <v>84</v>
      </c>
      <c r="C64" s="121" t="s">
        <v>72</v>
      </c>
      <c r="D64" s="156" t="s">
        <v>106</v>
      </c>
      <c r="E64" s="156" t="s">
        <v>105</v>
      </c>
      <c r="F64" s="156" t="s">
        <v>104</v>
      </c>
      <c r="G64" s="110">
        <f>IF(D64=$A$77,$B$77,(IF(D64=$A$78,$B$78,IF(D64=$A$79,$B$79,$B$80))))</f>
        <v>0.33</v>
      </c>
      <c r="H64" s="110">
        <f t="shared" ref="H64:I73" si="41">IF(E64=$A$77,$B$77,(IF(E64=$A$78,$B$78,IF(E64=$A$79,$B$79,$B$80))))</f>
        <v>0.66</v>
      </c>
      <c r="I64" s="110">
        <f t="shared" si="41"/>
        <v>1</v>
      </c>
      <c r="J64" s="147">
        <f>G64*$D$91+H64*$D$92+I64*$D$93</f>
        <v>12.425000000000001</v>
      </c>
      <c r="K64" s="81">
        <v>0</v>
      </c>
      <c r="L64" s="83">
        <v>0.22000000000000003</v>
      </c>
      <c r="M64" s="83">
        <v>0.44</v>
      </c>
      <c r="N64" s="84">
        <v>0.55000000000000004</v>
      </c>
      <c r="O64" s="81">
        <v>0.06</v>
      </c>
      <c r="P64" s="83">
        <v>0.22000000000000003</v>
      </c>
      <c r="Q64" s="83">
        <v>0.44</v>
      </c>
      <c r="R64" s="84">
        <v>0.52</v>
      </c>
      <c r="S64" s="81">
        <v>0.44000000000000006</v>
      </c>
      <c r="T64" s="83">
        <v>0.55000000000000004</v>
      </c>
      <c r="U64" s="83">
        <v>0.77</v>
      </c>
      <c r="V64" s="84">
        <v>1</v>
      </c>
      <c r="W64" s="81">
        <v>0.47000000000000003</v>
      </c>
      <c r="X64" s="83">
        <v>0.55000000000000004</v>
      </c>
      <c r="Y64" s="83">
        <v>0.77</v>
      </c>
      <c r="Z64" s="84">
        <v>0.92</v>
      </c>
      <c r="AA64" s="81">
        <v>0.77</v>
      </c>
      <c r="AB64" s="83">
        <v>1</v>
      </c>
      <c r="AC64" s="83">
        <v>1</v>
      </c>
      <c r="AD64" s="84">
        <v>1</v>
      </c>
      <c r="AE64" s="81">
        <v>0.83</v>
      </c>
      <c r="AF64" s="83">
        <v>1</v>
      </c>
      <c r="AG64" s="83">
        <v>1</v>
      </c>
      <c r="AH64" s="84">
        <v>1</v>
      </c>
      <c r="AI64" s="185">
        <v>0</v>
      </c>
      <c r="AJ64" s="200">
        <v>1.5400000000000003</v>
      </c>
      <c r="AK64" s="200">
        <v>3.52</v>
      </c>
      <c r="AL64" s="186">
        <v>5.0600000000000005</v>
      </c>
      <c r="AM64" s="185">
        <v>0.19999999999999996</v>
      </c>
      <c r="AN64" s="200">
        <v>1.5400000000000003</v>
      </c>
      <c r="AO64" s="200">
        <v>3.52</v>
      </c>
      <c r="AP64" s="186">
        <v>4.6000000000000014</v>
      </c>
      <c r="AQ64" s="81">
        <v>2.2549999999999999</v>
      </c>
      <c r="AR64" s="83">
        <v>3.8500000000000005</v>
      </c>
      <c r="AS64" s="83">
        <v>6.16</v>
      </c>
      <c r="AT64" s="83">
        <v>9.1550000000000011</v>
      </c>
      <c r="AU64" s="81">
        <v>2.7399999999999993</v>
      </c>
      <c r="AV64" s="83">
        <v>3.8500000000000005</v>
      </c>
      <c r="AW64" s="83">
        <v>6.16</v>
      </c>
      <c r="AX64" s="84">
        <v>8.129999999999999</v>
      </c>
      <c r="AY64" s="81">
        <v>1.9649999999999999</v>
      </c>
      <c r="AZ64" s="83">
        <v>4.5</v>
      </c>
      <c r="BA64" s="83">
        <v>5.5</v>
      </c>
      <c r="BB64" s="83">
        <v>7</v>
      </c>
      <c r="BC64" s="81">
        <v>2.7349999999999994</v>
      </c>
      <c r="BD64" s="83">
        <v>4.5</v>
      </c>
      <c r="BE64" s="83">
        <v>5.5</v>
      </c>
      <c r="BF64" s="84">
        <v>6.5</v>
      </c>
      <c r="BG64" s="81">
        <f>AI64+AQ64+AY64</f>
        <v>4.22</v>
      </c>
      <c r="BH64" s="83">
        <f t="shared" ref="BH64:BN73" si="42">AJ64+AR64+AZ64</f>
        <v>9.89</v>
      </c>
      <c r="BI64" s="83">
        <f t="shared" si="42"/>
        <v>15.18</v>
      </c>
      <c r="BJ64" s="83">
        <f t="shared" si="42"/>
        <v>21.215000000000003</v>
      </c>
      <c r="BK64" s="81">
        <f t="shared" si="42"/>
        <v>5.6749999999999989</v>
      </c>
      <c r="BL64" s="83">
        <f t="shared" si="42"/>
        <v>9.89</v>
      </c>
      <c r="BM64" s="83">
        <f t="shared" si="42"/>
        <v>15.18</v>
      </c>
      <c r="BN64" s="83">
        <f t="shared" si="42"/>
        <v>19.23</v>
      </c>
      <c r="BO64" s="136">
        <f>BO$9*BH64+(1-BO$9)*BG64</f>
        <v>8.7560000000000002</v>
      </c>
      <c r="BP64" s="142">
        <f>BO$9*BI64+(1-BO$9)*BJ64</f>
        <v>16.387</v>
      </c>
      <c r="BQ64" s="136">
        <f>BO$9*BL64+(1-BO$9)*BK64</f>
        <v>9.0470000000000006</v>
      </c>
      <c r="BR64" s="137">
        <f>BO$9*BM64+(1-BO$9)*BN64</f>
        <v>15.989999999999998</v>
      </c>
      <c r="BS64" s="81">
        <f>(BO64+BP64)/2</f>
        <v>12.5715</v>
      </c>
      <c r="BT64" s="84">
        <f>(BQ64+BR64)/2</f>
        <v>12.5185</v>
      </c>
      <c r="BU64" s="133">
        <f>(BS64+BT64)/2</f>
        <v>12.545</v>
      </c>
    </row>
    <row r="65" spans="1:73" x14ac:dyDescent="0.25">
      <c r="A65" s="102" t="s">
        <v>9</v>
      </c>
      <c r="B65" s="102" t="s">
        <v>73</v>
      </c>
      <c r="C65" s="121" t="s">
        <v>88</v>
      </c>
      <c r="D65" s="156" t="s">
        <v>106</v>
      </c>
      <c r="E65" s="156" t="s">
        <v>106</v>
      </c>
      <c r="F65" s="156" t="s">
        <v>105</v>
      </c>
      <c r="G65" s="110">
        <f t="shared" ref="G65:G73" si="43">IF(D65=$A$77,$B$77,(IF(D65=$A$78,$B$78,IF(D65=$A$79,$B$79,$B$80))))</f>
        <v>0.33</v>
      </c>
      <c r="H65" s="110">
        <f t="shared" si="41"/>
        <v>0.33</v>
      </c>
      <c r="I65" s="110">
        <f t="shared" si="41"/>
        <v>0.66</v>
      </c>
      <c r="J65" s="147">
        <f t="shared" ref="J65:J73" si="44">G65*$D$91+H65*$D$92+I65*$D$93</f>
        <v>8.25</v>
      </c>
      <c r="K65" s="87">
        <v>0</v>
      </c>
      <c r="L65">
        <v>0.22000000000000003</v>
      </c>
      <c r="M65">
        <v>0.44</v>
      </c>
      <c r="N65" s="88">
        <v>0.55000000000000004</v>
      </c>
      <c r="O65" s="87">
        <v>0.06</v>
      </c>
      <c r="P65">
        <v>0.22000000000000003</v>
      </c>
      <c r="Q65">
        <v>0.44</v>
      </c>
      <c r="R65" s="88">
        <v>0.52</v>
      </c>
      <c r="S65" s="87">
        <v>0</v>
      </c>
      <c r="T65">
        <v>0.22000000000000003</v>
      </c>
      <c r="U65">
        <v>0.44</v>
      </c>
      <c r="V65" s="88">
        <v>0.55000000000000004</v>
      </c>
      <c r="W65" s="87">
        <v>0.06</v>
      </c>
      <c r="X65">
        <v>0.22000000000000003</v>
      </c>
      <c r="Y65">
        <v>0.44</v>
      </c>
      <c r="Z65" s="88">
        <v>0.52</v>
      </c>
      <c r="AA65" s="87">
        <v>0.44000000000000006</v>
      </c>
      <c r="AB65">
        <v>0.55000000000000004</v>
      </c>
      <c r="AC65">
        <v>0.77</v>
      </c>
      <c r="AD65" s="88">
        <v>1</v>
      </c>
      <c r="AE65" s="87">
        <v>0.47000000000000003</v>
      </c>
      <c r="AF65">
        <v>0.55000000000000004</v>
      </c>
      <c r="AG65">
        <v>0.77</v>
      </c>
      <c r="AH65" s="88">
        <v>0.92</v>
      </c>
      <c r="AI65" s="187">
        <v>0</v>
      </c>
      <c r="AJ65" s="179">
        <v>1.5400000000000003</v>
      </c>
      <c r="AK65" s="179">
        <v>3.52</v>
      </c>
      <c r="AL65" s="188">
        <v>5.0600000000000005</v>
      </c>
      <c r="AM65" s="187">
        <v>0.19999999999999996</v>
      </c>
      <c r="AN65" s="179">
        <v>1.5400000000000003</v>
      </c>
      <c r="AO65" s="179">
        <v>3.52</v>
      </c>
      <c r="AP65" s="188">
        <v>4.6000000000000014</v>
      </c>
      <c r="AQ65" s="187">
        <v>0</v>
      </c>
      <c r="AR65" s="179">
        <v>1.5400000000000003</v>
      </c>
      <c r="AS65" s="179">
        <v>3.52</v>
      </c>
      <c r="AT65" s="179">
        <v>5.0600000000000005</v>
      </c>
      <c r="AU65" s="187">
        <v>0.19999999999999996</v>
      </c>
      <c r="AV65" s="179">
        <v>1.5400000000000003</v>
      </c>
      <c r="AW65" s="179">
        <v>3.52</v>
      </c>
      <c r="AX65" s="188">
        <v>4.6000000000000014</v>
      </c>
      <c r="AY65" s="87">
        <v>1.1550000000000002</v>
      </c>
      <c r="AZ65">
        <v>2.4750000000000001</v>
      </c>
      <c r="BA65">
        <v>4.2350000000000003</v>
      </c>
      <c r="BB65">
        <v>6.6550000000000002</v>
      </c>
      <c r="BC65" s="87">
        <v>1.5650000000000008</v>
      </c>
      <c r="BD65">
        <v>2.4750000000000001</v>
      </c>
      <c r="BE65">
        <v>4.2350000000000003</v>
      </c>
      <c r="BF65" s="88">
        <v>5.830000000000001</v>
      </c>
      <c r="BG65" s="87">
        <f t="shared" ref="BG65:BG73" si="45">AI65+AQ65+AY65</f>
        <v>1.1550000000000002</v>
      </c>
      <c r="BH65">
        <f t="shared" si="42"/>
        <v>5.5550000000000006</v>
      </c>
      <c r="BI65">
        <f t="shared" si="42"/>
        <v>11.275</v>
      </c>
      <c r="BJ65">
        <f t="shared" si="42"/>
        <v>16.775000000000002</v>
      </c>
      <c r="BK65" s="87">
        <f t="shared" si="42"/>
        <v>1.9650000000000007</v>
      </c>
      <c r="BL65">
        <f t="shared" si="42"/>
        <v>5.5550000000000006</v>
      </c>
      <c r="BM65">
        <f t="shared" si="42"/>
        <v>11.275</v>
      </c>
      <c r="BN65">
        <f t="shared" si="42"/>
        <v>15.030000000000005</v>
      </c>
      <c r="BO65" s="138">
        <f t="shared" ref="BO65:BO73" si="46">BO$9*BH65+(1-BO$9)*BG65</f>
        <v>4.6750000000000007</v>
      </c>
      <c r="BP65" s="143">
        <f t="shared" ref="BP65:BP73" si="47">BO$9*BI65+(1-BO$9)*BJ65</f>
        <v>12.375</v>
      </c>
      <c r="BQ65" s="138">
        <f t="shared" ref="BQ65:BQ73" si="48">BO$9*BL65+(1-BO$9)*BK65</f>
        <v>4.8370000000000006</v>
      </c>
      <c r="BR65" s="139">
        <f t="shared" ref="BR65:BR73" si="49">BO$9*BM65+(1-BO$9)*BN65</f>
        <v>12.026000000000002</v>
      </c>
      <c r="BS65" s="87">
        <f t="shared" ref="BS65:BS73" si="50">(BO65+BP65)/2</f>
        <v>8.5250000000000004</v>
      </c>
      <c r="BT65" s="88">
        <f t="shared" ref="BT65:BT73" si="51">(BQ65+BR65)/2</f>
        <v>8.4315000000000015</v>
      </c>
      <c r="BU65" s="134">
        <f t="shared" ref="BU65:BU73" si="52">(BS65+BT65)/2</f>
        <v>8.478250000000001</v>
      </c>
    </row>
    <row r="66" spans="1:73" x14ac:dyDescent="0.25">
      <c r="A66" s="102" t="s">
        <v>10</v>
      </c>
      <c r="B66" s="102" t="s">
        <v>74</v>
      </c>
      <c r="C66" s="121" t="s">
        <v>89</v>
      </c>
      <c r="D66" s="156" t="s">
        <v>105</v>
      </c>
      <c r="E66" s="156" t="s">
        <v>104</v>
      </c>
      <c r="F66" s="156" t="s">
        <v>105</v>
      </c>
      <c r="G66" s="110">
        <f t="shared" si="43"/>
        <v>0.66</v>
      </c>
      <c r="H66" s="110">
        <f t="shared" si="41"/>
        <v>1</v>
      </c>
      <c r="I66" s="110">
        <f t="shared" si="41"/>
        <v>0.66</v>
      </c>
      <c r="J66" s="147">
        <f t="shared" si="44"/>
        <v>15.75</v>
      </c>
      <c r="K66" s="87">
        <v>0.44000000000000006</v>
      </c>
      <c r="L66">
        <v>0.55000000000000004</v>
      </c>
      <c r="M66">
        <v>0.77</v>
      </c>
      <c r="N66" s="88">
        <v>1</v>
      </c>
      <c r="O66" s="87">
        <v>0.47000000000000003</v>
      </c>
      <c r="P66">
        <v>0.55000000000000004</v>
      </c>
      <c r="Q66">
        <v>0.77</v>
      </c>
      <c r="R66" s="88">
        <v>0.92</v>
      </c>
      <c r="S66" s="87">
        <v>0.77</v>
      </c>
      <c r="T66">
        <v>1</v>
      </c>
      <c r="U66">
        <v>1</v>
      </c>
      <c r="V66" s="88">
        <v>1</v>
      </c>
      <c r="W66" s="87">
        <v>0.83</v>
      </c>
      <c r="X66">
        <v>1</v>
      </c>
      <c r="Y66">
        <v>1</v>
      </c>
      <c r="Z66" s="88">
        <v>1</v>
      </c>
      <c r="AA66" s="87">
        <v>0.44000000000000006</v>
      </c>
      <c r="AB66">
        <v>0.55000000000000004</v>
      </c>
      <c r="AC66">
        <v>0.77</v>
      </c>
      <c r="AD66" s="88">
        <v>1</v>
      </c>
      <c r="AE66" s="87">
        <v>0.47000000000000003</v>
      </c>
      <c r="AF66">
        <v>0.55000000000000004</v>
      </c>
      <c r="AG66">
        <v>0.77</v>
      </c>
      <c r="AH66" s="88">
        <v>0.92</v>
      </c>
      <c r="AI66" s="87">
        <v>2.2549999999999999</v>
      </c>
      <c r="AJ66">
        <v>3.8500000000000005</v>
      </c>
      <c r="AK66">
        <v>6.16</v>
      </c>
      <c r="AL66" s="88">
        <v>9.1550000000000011</v>
      </c>
      <c r="AM66" s="87">
        <v>2.7399999999999993</v>
      </c>
      <c r="AN66">
        <v>3.8500000000000005</v>
      </c>
      <c r="AO66">
        <v>6.16</v>
      </c>
      <c r="AP66" s="88">
        <v>8.129999999999999</v>
      </c>
      <c r="AQ66" s="87">
        <v>3.8900000000000006</v>
      </c>
      <c r="AR66">
        <v>7</v>
      </c>
      <c r="AS66">
        <v>8</v>
      </c>
      <c r="AT66">
        <v>9.5</v>
      </c>
      <c r="AU66" s="87">
        <v>4.8099999999999987</v>
      </c>
      <c r="AV66">
        <v>7</v>
      </c>
      <c r="AW66">
        <v>8</v>
      </c>
      <c r="AX66" s="88">
        <v>9</v>
      </c>
      <c r="AY66" s="87">
        <v>1.1550000000000002</v>
      </c>
      <c r="AZ66">
        <v>2.4750000000000001</v>
      </c>
      <c r="BA66">
        <v>4.2350000000000003</v>
      </c>
      <c r="BB66">
        <v>6.6550000000000002</v>
      </c>
      <c r="BC66" s="87">
        <v>1.5650000000000008</v>
      </c>
      <c r="BD66">
        <v>2.4750000000000001</v>
      </c>
      <c r="BE66">
        <v>4.2350000000000003</v>
      </c>
      <c r="BF66" s="88">
        <v>5.830000000000001</v>
      </c>
      <c r="BG66" s="87">
        <f t="shared" si="45"/>
        <v>7.3000000000000007</v>
      </c>
      <c r="BH66">
        <f t="shared" si="42"/>
        <v>13.325000000000001</v>
      </c>
      <c r="BI66">
        <f t="shared" si="42"/>
        <v>18.395</v>
      </c>
      <c r="BJ66">
        <f t="shared" si="42"/>
        <v>25.310000000000002</v>
      </c>
      <c r="BK66" s="87">
        <f t="shared" si="42"/>
        <v>9.1149999999999984</v>
      </c>
      <c r="BL66">
        <f t="shared" si="42"/>
        <v>13.325000000000001</v>
      </c>
      <c r="BM66">
        <f t="shared" si="42"/>
        <v>18.395</v>
      </c>
      <c r="BN66">
        <f t="shared" si="42"/>
        <v>22.96</v>
      </c>
      <c r="BO66" s="138">
        <f t="shared" si="46"/>
        <v>12.120000000000001</v>
      </c>
      <c r="BP66" s="143">
        <f t="shared" si="47"/>
        <v>19.777999999999999</v>
      </c>
      <c r="BQ66" s="138">
        <f t="shared" si="48"/>
        <v>12.483000000000001</v>
      </c>
      <c r="BR66" s="139">
        <f t="shared" si="49"/>
        <v>19.308</v>
      </c>
      <c r="BS66" s="87">
        <f t="shared" si="50"/>
        <v>15.949</v>
      </c>
      <c r="BT66" s="88">
        <f t="shared" si="51"/>
        <v>15.8955</v>
      </c>
      <c r="BU66" s="134">
        <f t="shared" si="52"/>
        <v>15.92225</v>
      </c>
    </row>
    <row r="67" spans="1:73" x14ac:dyDescent="0.25">
      <c r="A67" s="102" t="s">
        <v>65</v>
      </c>
      <c r="B67" s="102" t="s">
        <v>75</v>
      </c>
      <c r="C67" s="121" t="s">
        <v>76</v>
      </c>
      <c r="D67" s="156" t="s">
        <v>104</v>
      </c>
      <c r="E67" s="156" t="s">
        <v>105</v>
      </c>
      <c r="F67" s="156" t="s">
        <v>106</v>
      </c>
      <c r="G67" s="110">
        <f t="shared" si="43"/>
        <v>1</v>
      </c>
      <c r="H67" s="110">
        <f t="shared" si="41"/>
        <v>0.66</v>
      </c>
      <c r="I67" s="110">
        <f t="shared" si="41"/>
        <v>0.33</v>
      </c>
      <c r="J67" s="147">
        <f t="shared" si="44"/>
        <v>14.1</v>
      </c>
      <c r="K67" s="87">
        <v>0.77</v>
      </c>
      <c r="L67">
        <v>1</v>
      </c>
      <c r="M67">
        <v>1</v>
      </c>
      <c r="N67" s="88">
        <v>1</v>
      </c>
      <c r="O67" s="87">
        <v>0.83</v>
      </c>
      <c r="P67">
        <v>1</v>
      </c>
      <c r="Q67">
        <v>1</v>
      </c>
      <c r="R67" s="88">
        <v>1</v>
      </c>
      <c r="S67" s="87">
        <v>0.44000000000000006</v>
      </c>
      <c r="T67">
        <v>0.55000000000000004</v>
      </c>
      <c r="U67">
        <v>0.77</v>
      </c>
      <c r="V67" s="88">
        <v>1</v>
      </c>
      <c r="W67" s="87">
        <v>0.47000000000000003</v>
      </c>
      <c r="X67">
        <v>0.55000000000000004</v>
      </c>
      <c r="Y67">
        <v>0.77</v>
      </c>
      <c r="Z67" s="88">
        <v>0.92</v>
      </c>
      <c r="AA67" s="87">
        <v>0</v>
      </c>
      <c r="AB67">
        <v>0.22000000000000003</v>
      </c>
      <c r="AC67">
        <v>0.44</v>
      </c>
      <c r="AD67" s="88">
        <v>0.55000000000000004</v>
      </c>
      <c r="AE67" s="87">
        <v>0.06</v>
      </c>
      <c r="AF67">
        <v>0.22000000000000003</v>
      </c>
      <c r="AG67">
        <v>0.44</v>
      </c>
      <c r="AH67" s="88">
        <v>0.52</v>
      </c>
      <c r="AI67" s="87">
        <v>3.8900000000000006</v>
      </c>
      <c r="AJ67">
        <v>7</v>
      </c>
      <c r="AK67">
        <v>8</v>
      </c>
      <c r="AL67" s="88">
        <v>9.5</v>
      </c>
      <c r="AM67" s="87">
        <v>4.8099999999999987</v>
      </c>
      <c r="AN67">
        <v>7</v>
      </c>
      <c r="AO67">
        <v>8</v>
      </c>
      <c r="AP67" s="88">
        <v>9</v>
      </c>
      <c r="AQ67" s="87">
        <v>2.2549999999999999</v>
      </c>
      <c r="AR67">
        <v>3.8500000000000005</v>
      </c>
      <c r="AS67">
        <v>6.16</v>
      </c>
      <c r="AT67">
        <v>9.1550000000000011</v>
      </c>
      <c r="AU67" s="87">
        <v>2.7399999999999993</v>
      </c>
      <c r="AV67">
        <v>3.8500000000000005</v>
      </c>
      <c r="AW67">
        <v>6.16</v>
      </c>
      <c r="AX67" s="88">
        <v>8.129999999999999</v>
      </c>
      <c r="AY67" s="187">
        <v>0</v>
      </c>
      <c r="AZ67" s="179">
        <v>0.9900000000000001</v>
      </c>
      <c r="BA67" s="179">
        <v>2.42</v>
      </c>
      <c r="BB67" s="179">
        <v>3.6850000000000005</v>
      </c>
      <c r="BC67" s="187">
        <v>4.9999999999999933E-2</v>
      </c>
      <c r="BD67" s="179">
        <v>0.9900000000000001</v>
      </c>
      <c r="BE67" s="179">
        <v>2.42</v>
      </c>
      <c r="BF67" s="188">
        <v>3.3000000000000007</v>
      </c>
      <c r="BG67" s="87">
        <f t="shared" si="45"/>
        <v>6.1450000000000005</v>
      </c>
      <c r="BH67">
        <f t="shared" si="42"/>
        <v>11.840000000000002</v>
      </c>
      <c r="BI67">
        <f t="shared" si="42"/>
        <v>16.579999999999998</v>
      </c>
      <c r="BJ67">
        <f t="shared" si="42"/>
        <v>22.340000000000003</v>
      </c>
      <c r="BK67" s="87">
        <f t="shared" si="42"/>
        <v>7.5999999999999979</v>
      </c>
      <c r="BL67">
        <f t="shared" si="42"/>
        <v>11.840000000000002</v>
      </c>
      <c r="BM67">
        <f t="shared" si="42"/>
        <v>16.579999999999998</v>
      </c>
      <c r="BN67">
        <f t="shared" si="42"/>
        <v>20.43</v>
      </c>
      <c r="BO67" s="138">
        <f t="shared" si="46"/>
        <v>10.701000000000001</v>
      </c>
      <c r="BP67" s="143">
        <f t="shared" si="47"/>
        <v>17.731999999999999</v>
      </c>
      <c r="BQ67" s="138">
        <f t="shared" si="48"/>
        <v>10.992000000000001</v>
      </c>
      <c r="BR67" s="139">
        <f t="shared" si="49"/>
        <v>17.349999999999998</v>
      </c>
      <c r="BS67" s="87">
        <f t="shared" si="50"/>
        <v>14.2165</v>
      </c>
      <c r="BT67" s="88">
        <f t="shared" si="51"/>
        <v>14.170999999999999</v>
      </c>
      <c r="BU67" s="134">
        <f t="shared" si="52"/>
        <v>14.19375</v>
      </c>
    </row>
    <row r="68" spans="1:73" ht="30" x14ac:dyDescent="0.25">
      <c r="A68" s="102" t="s">
        <v>66</v>
      </c>
      <c r="B68" s="102" t="s">
        <v>77</v>
      </c>
      <c r="C68" s="121" t="s">
        <v>90</v>
      </c>
      <c r="D68" s="156" t="s">
        <v>105</v>
      </c>
      <c r="E68" s="156" t="s">
        <v>104</v>
      </c>
      <c r="F68" s="156" t="s">
        <v>105</v>
      </c>
      <c r="G68" s="110">
        <f t="shared" si="43"/>
        <v>0.66</v>
      </c>
      <c r="H68" s="110">
        <f t="shared" si="41"/>
        <v>1</v>
      </c>
      <c r="I68" s="110">
        <f t="shared" si="41"/>
        <v>0.66</v>
      </c>
      <c r="J68" s="147">
        <f t="shared" si="44"/>
        <v>15.75</v>
      </c>
      <c r="K68" s="87">
        <v>0.44000000000000006</v>
      </c>
      <c r="L68">
        <v>0.55000000000000004</v>
      </c>
      <c r="M68">
        <v>0.77</v>
      </c>
      <c r="N68" s="88">
        <v>1</v>
      </c>
      <c r="O68" s="87">
        <v>0.47000000000000003</v>
      </c>
      <c r="P68">
        <v>0.55000000000000004</v>
      </c>
      <c r="Q68">
        <v>0.77</v>
      </c>
      <c r="R68" s="88">
        <v>0.92</v>
      </c>
      <c r="S68" s="87">
        <v>0.77</v>
      </c>
      <c r="T68">
        <v>1</v>
      </c>
      <c r="U68">
        <v>1</v>
      </c>
      <c r="V68" s="88">
        <v>1</v>
      </c>
      <c r="W68" s="87">
        <v>0.83</v>
      </c>
      <c r="X68">
        <v>1</v>
      </c>
      <c r="Y68">
        <v>1</v>
      </c>
      <c r="Z68" s="88">
        <v>1</v>
      </c>
      <c r="AA68" s="87">
        <v>0.44000000000000006</v>
      </c>
      <c r="AB68">
        <v>0.55000000000000004</v>
      </c>
      <c r="AC68">
        <v>0.77</v>
      </c>
      <c r="AD68" s="88">
        <v>1</v>
      </c>
      <c r="AE68" s="87">
        <v>0.47000000000000003</v>
      </c>
      <c r="AF68">
        <v>0.55000000000000004</v>
      </c>
      <c r="AG68">
        <v>0.77</v>
      </c>
      <c r="AH68" s="88">
        <v>0.92</v>
      </c>
      <c r="AI68" s="87">
        <v>2.2549999999999999</v>
      </c>
      <c r="AJ68">
        <v>3.8500000000000005</v>
      </c>
      <c r="AK68">
        <v>6.16</v>
      </c>
      <c r="AL68" s="88">
        <v>9.1550000000000011</v>
      </c>
      <c r="AM68" s="87">
        <v>2.7399999999999993</v>
      </c>
      <c r="AN68">
        <v>3.8500000000000005</v>
      </c>
      <c r="AO68">
        <v>6.16</v>
      </c>
      <c r="AP68" s="88">
        <v>8.129999999999999</v>
      </c>
      <c r="AQ68" s="87">
        <v>3.8900000000000006</v>
      </c>
      <c r="AR68">
        <v>7</v>
      </c>
      <c r="AS68">
        <v>8</v>
      </c>
      <c r="AT68">
        <v>9.5</v>
      </c>
      <c r="AU68" s="87">
        <v>4.8099999999999987</v>
      </c>
      <c r="AV68">
        <v>7</v>
      </c>
      <c r="AW68">
        <v>8</v>
      </c>
      <c r="AX68" s="88">
        <v>9</v>
      </c>
      <c r="AY68" s="87">
        <v>1.1550000000000002</v>
      </c>
      <c r="AZ68">
        <v>2.4750000000000001</v>
      </c>
      <c r="BA68">
        <v>4.2350000000000003</v>
      </c>
      <c r="BB68">
        <v>6.6550000000000002</v>
      </c>
      <c r="BC68" s="87">
        <v>1.5650000000000008</v>
      </c>
      <c r="BD68">
        <v>2.4750000000000001</v>
      </c>
      <c r="BE68">
        <v>4.2350000000000003</v>
      </c>
      <c r="BF68" s="88">
        <v>5.830000000000001</v>
      </c>
      <c r="BG68" s="87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87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138">
        <f t="shared" si="46"/>
        <v>12.120000000000001</v>
      </c>
      <c r="BP68" s="143">
        <f t="shared" si="47"/>
        <v>19.777999999999999</v>
      </c>
      <c r="BQ68" s="138">
        <f t="shared" si="48"/>
        <v>12.483000000000001</v>
      </c>
      <c r="BR68" s="139">
        <f t="shared" si="49"/>
        <v>19.308</v>
      </c>
      <c r="BS68" s="87">
        <f t="shared" si="50"/>
        <v>15.949</v>
      </c>
      <c r="BT68" s="88">
        <f t="shared" si="51"/>
        <v>15.8955</v>
      </c>
      <c r="BU68" s="134">
        <f t="shared" si="52"/>
        <v>15.92225</v>
      </c>
    </row>
    <row r="69" spans="1:73" x14ac:dyDescent="0.25">
      <c r="A69" s="102" t="s">
        <v>67</v>
      </c>
      <c r="B69" s="102" t="s">
        <v>78</v>
      </c>
      <c r="C69" s="121" t="s">
        <v>91</v>
      </c>
      <c r="D69" s="156" t="s">
        <v>104</v>
      </c>
      <c r="E69" s="156" t="s">
        <v>105</v>
      </c>
      <c r="F69" s="156" t="s">
        <v>106</v>
      </c>
      <c r="G69" s="110">
        <f t="shared" si="43"/>
        <v>1</v>
      </c>
      <c r="H69" s="110">
        <f t="shared" si="41"/>
        <v>0.66</v>
      </c>
      <c r="I69" s="110">
        <f t="shared" si="41"/>
        <v>0.33</v>
      </c>
      <c r="J69" s="147">
        <f t="shared" si="44"/>
        <v>14.1</v>
      </c>
      <c r="K69" s="87">
        <v>0.77</v>
      </c>
      <c r="L69">
        <v>1</v>
      </c>
      <c r="M69">
        <v>1</v>
      </c>
      <c r="N69" s="88">
        <v>1</v>
      </c>
      <c r="O69" s="87">
        <v>0.83</v>
      </c>
      <c r="P69">
        <v>1</v>
      </c>
      <c r="Q69">
        <v>1</v>
      </c>
      <c r="R69" s="88">
        <v>1</v>
      </c>
      <c r="S69" s="87">
        <v>0.44000000000000006</v>
      </c>
      <c r="T69">
        <v>0.55000000000000004</v>
      </c>
      <c r="U69">
        <v>0.77</v>
      </c>
      <c r="V69" s="88">
        <v>1</v>
      </c>
      <c r="W69" s="87">
        <v>0.47000000000000003</v>
      </c>
      <c r="X69">
        <v>0.55000000000000004</v>
      </c>
      <c r="Y69">
        <v>0.77</v>
      </c>
      <c r="Z69" s="88">
        <v>0.92</v>
      </c>
      <c r="AA69" s="87">
        <v>0</v>
      </c>
      <c r="AB69">
        <v>0.22000000000000003</v>
      </c>
      <c r="AC69">
        <v>0.44</v>
      </c>
      <c r="AD69" s="88">
        <v>0.55000000000000004</v>
      </c>
      <c r="AE69" s="87">
        <v>0.06</v>
      </c>
      <c r="AF69">
        <v>0.22000000000000003</v>
      </c>
      <c r="AG69">
        <v>0.44</v>
      </c>
      <c r="AH69" s="88">
        <v>0.52</v>
      </c>
      <c r="AI69" s="87">
        <v>3.8900000000000006</v>
      </c>
      <c r="AJ69">
        <v>7</v>
      </c>
      <c r="AK69">
        <v>8</v>
      </c>
      <c r="AL69" s="88">
        <v>9.5</v>
      </c>
      <c r="AM69" s="87">
        <v>4.8099999999999987</v>
      </c>
      <c r="AN69">
        <v>7</v>
      </c>
      <c r="AO69">
        <v>8</v>
      </c>
      <c r="AP69" s="88">
        <v>9</v>
      </c>
      <c r="AQ69" s="87">
        <v>2.2549999999999999</v>
      </c>
      <c r="AR69">
        <v>3.8500000000000005</v>
      </c>
      <c r="AS69">
        <v>6.16</v>
      </c>
      <c r="AT69">
        <v>9.1550000000000011</v>
      </c>
      <c r="AU69" s="87">
        <v>2.7399999999999993</v>
      </c>
      <c r="AV69">
        <v>3.8500000000000005</v>
      </c>
      <c r="AW69">
        <v>6.16</v>
      </c>
      <c r="AX69" s="88">
        <v>8.129999999999999</v>
      </c>
      <c r="AY69" s="187">
        <v>0</v>
      </c>
      <c r="AZ69" s="179">
        <v>0.9900000000000001</v>
      </c>
      <c r="BA69" s="179">
        <v>2.42</v>
      </c>
      <c r="BB69" s="179">
        <v>3.6850000000000005</v>
      </c>
      <c r="BC69" s="187">
        <v>4.9999999999999933E-2</v>
      </c>
      <c r="BD69" s="179">
        <v>0.9900000000000001</v>
      </c>
      <c r="BE69" s="179">
        <v>2.42</v>
      </c>
      <c r="BF69" s="188">
        <v>3.3000000000000007</v>
      </c>
      <c r="BG69" s="87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87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138">
        <f t="shared" si="46"/>
        <v>10.701000000000001</v>
      </c>
      <c r="BP69" s="143">
        <f t="shared" si="47"/>
        <v>17.731999999999999</v>
      </c>
      <c r="BQ69" s="138">
        <f t="shared" si="48"/>
        <v>10.992000000000001</v>
      </c>
      <c r="BR69" s="139">
        <f t="shared" si="49"/>
        <v>17.349999999999998</v>
      </c>
      <c r="BS69" s="87">
        <f t="shared" si="50"/>
        <v>14.2165</v>
      </c>
      <c r="BT69" s="88">
        <f t="shared" si="51"/>
        <v>14.170999999999999</v>
      </c>
      <c r="BU69" s="134">
        <f t="shared" si="52"/>
        <v>14.19375</v>
      </c>
    </row>
    <row r="70" spans="1:73" ht="30" x14ac:dyDescent="0.25">
      <c r="A70" s="102" t="s">
        <v>68</v>
      </c>
      <c r="B70" s="102" t="s">
        <v>79</v>
      </c>
      <c r="C70" s="121" t="s">
        <v>92</v>
      </c>
      <c r="D70" s="156" t="s">
        <v>104</v>
      </c>
      <c r="E70" s="156" t="s">
        <v>105</v>
      </c>
      <c r="F70" s="156" t="s">
        <v>106</v>
      </c>
      <c r="G70" s="110">
        <f t="shared" si="43"/>
        <v>1</v>
      </c>
      <c r="H70" s="110">
        <f t="shared" si="41"/>
        <v>0.66</v>
      </c>
      <c r="I70" s="110">
        <f t="shared" si="41"/>
        <v>0.33</v>
      </c>
      <c r="J70" s="147">
        <f t="shared" si="44"/>
        <v>14.1</v>
      </c>
      <c r="K70" s="87">
        <v>0.77</v>
      </c>
      <c r="L70">
        <v>1</v>
      </c>
      <c r="M70">
        <v>1</v>
      </c>
      <c r="N70" s="88">
        <v>1</v>
      </c>
      <c r="O70" s="87">
        <v>0.83</v>
      </c>
      <c r="P70">
        <v>1</v>
      </c>
      <c r="Q70">
        <v>1</v>
      </c>
      <c r="R70" s="88">
        <v>1</v>
      </c>
      <c r="S70" s="87">
        <v>0.44000000000000006</v>
      </c>
      <c r="T70">
        <v>0.55000000000000004</v>
      </c>
      <c r="U70">
        <v>0.77</v>
      </c>
      <c r="V70" s="88">
        <v>1</v>
      </c>
      <c r="W70" s="87">
        <v>0.47000000000000003</v>
      </c>
      <c r="X70">
        <v>0.55000000000000004</v>
      </c>
      <c r="Y70">
        <v>0.77</v>
      </c>
      <c r="Z70" s="88">
        <v>0.92</v>
      </c>
      <c r="AA70" s="87">
        <v>0</v>
      </c>
      <c r="AB70">
        <v>0.22000000000000003</v>
      </c>
      <c r="AC70">
        <v>0.44</v>
      </c>
      <c r="AD70" s="88">
        <v>0.55000000000000004</v>
      </c>
      <c r="AE70" s="87">
        <v>0.06</v>
      </c>
      <c r="AF70">
        <v>0.22000000000000003</v>
      </c>
      <c r="AG70">
        <v>0.44</v>
      </c>
      <c r="AH70" s="88">
        <v>0.52</v>
      </c>
      <c r="AI70" s="87">
        <v>3.8900000000000006</v>
      </c>
      <c r="AJ70">
        <v>7</v>
      </c>
      <c r="AK70">
        <v>8</v>
      </c>
      <c r="AL70" s="88">
        <v>9.5</v>
      </c>
      <c r="AM70" s="87">
        <v>4.8099999999999987</v>
      </c>
      <c r="AN70">
        <v>7</v>
      </c>
      <c r="AO70">
        <v>8</v>
      </c>
      <c r="AP70" s="88">
        <v>9</v>
      </c>
      <c r="AQ70" s="87">
        <v>2.2549999999999999</v>
      </c>
      <c r="AR70">
        <v>3.8500000000000005</v>
      </c>
      <c r="AS70">
        <v>6.16</v>
      </c>
      <c r="AT70">
        <v>9.1550000000000011</v>
      </c>
      <c r="AU70" s="87">
        <v>2.7399999999999993</v>
      </c>
      <c r="AV70">
        <v>3.8500000000000005</v>
      </c>
      <c r="AW70">
        <v>6.16</v>
      </c>
      <c r="AX70" s="88">
        <v>8.129999999999999</v>
      </c>
      <c r="AY70" s="187">
        <v>0</v>
      </c>
      <c r="AZ70" s="179">
        <v>0.9900000000000001</v>
      </c>
      <c r="BA70" s="179">
        <v>2.42</v>
      </c>
      <c r="BB70" s="179">
        <v>3.6850000000000005</v>
      </c>
      <c r="BC70" s="187">
        <v>4.9999999999999933E-2</v>
      </c>
      <c r="BD70" s="179">
        <v>0.9900000000000001</v>
      </c>
      <c r="BE70" s="179">
        <v>2.42</v>
      </c>
      <c r="BF70" s="188">
        <v>3.3000000000000007</v>
      </c>
      <c r="BG70" s="87">
        <f t="shared" si="45"/>
        <v>6.1450000000000005</v>
      </c>
      <c r="BH70">
        <f t="shared" si="42"/>
        <v>11.840000000000002</v>
      </c>
      <c r="BI70">
        <f t="shared" si="42"/>
        <v>16.579999999999998</v>
      </c>
      <c r="BJ70">
        <f t="shared" si="42"/>
        <v>22.340000000000003</v>
      </c>
      <c r="BK70" s="87">
        <f t="shared" si="42"/>
        <v>7.5999999999999979</v>
      </c>
      <c r="BL70">
        <f t="shared" si="42"/>
        <v>11.840000000000002</v>
      </c>
      <c r="BM70">
        <f t="shared" si="42"/>
        <v>16.579999999999998</v>
      </c>
      <c r="BN70">
        <f t="shared" si="42"/>
        <v>20.43</v>
      </c>
      <c r="BO70" s="138">
        <f t="shared" si="46"/>
        <v>10.701000000000001</v>
      </c>
      <c r="BP70" s="143">
        <f t="shared" si="47"/>
        <v>17.731999999999999</v>
      </c>
      <c r="BQ70" s="138">
        <f t="shared" si="48"/>
        <v>10.992000000000001</v>
      </c>
      <c r="BR70" s="139">
        <f t="shared" si="49"/>
        <v>17.349999999999998</v>
      </c>
      <c r="BS70" s="87">
        <f t="shared" si="50"/>
        <v>14.2165</v>
      </c>
      <c r="BT70" s="88">
        <f t="shared" si="51"/>
        <v>14.170999999999999</v>
      </c>
      <c r="BU70" s="134">
        <f t="shared" si="52"/>
        <v>14.19375</v>
      </c>
    </row>
    <row r="71" spans="1:73" ht="30" x14ac:dyDescent="0.25">
      <c r="A71" s="102" t="s">
        <v>69</v>
      </c>
      <c r="B71" s="102" t="s">
        <v>80</v>
      </c>
      <c r="C71" s="121" t="s">
        <v>81</v>
      </c>
      <c r="D71" s="156" t="s">
        <v>105</v>
      </c>
      <c r="E71" s="156" t="s">
        <v>106</v>
      </c>
      <c r="F71" s="156" t="s">
        <v>104</v>
      </c>
      <c r="G71" s="110">
        <f t="shared" si="43"/>
        <v>0.66</v>
      </c>
      <c r="H71" s="110">
        <f t="shared" si="41"/>
        <v>0.33</v>
      </c>
      <c r="I71" s="110">
        <f t="shared" si="41"/>
        <v>1</v>
      </c>
      <c r="J71" s="147">
        <f t="shared" si="44"/>
        <v>12.425000000000001</v>
      </c>
      <c r="K71" s="87">
        <v>0.44000000000000006</v>
      </c>
      <c r="L71">
        <v>0.55000000000000004</v>
      </c>
      <c r="M71">
        <v>0.77</v>
      </c>
      <c r="N71" s="88">
        <v>1</v>
      </c>
      <c r="O71" s="87">
        <v>0.47000000000000003</v>
      </c>
      <c r="P71">
        <v>0.55000000000000004</v>
      </c>
      <c r="Q71">
        <v>0.77</v>
      </c>
      <c r="R71" s="88">
        <v>0.92</v>
      </c>
      <c r="S71" s="87">
        <v>0</v>
      </c>
      <c r="T71">
        <v>0.22000000000000003</v>
      </c>
      <c r="U71">
        <v>0.44</v>
      </c>
      <c r="V71" s="88">
        <v>0.55000000000000004</v>
      </c>
      <c r="W71" s="87">
        <v>0.06</v>
      </c>
      <c r="X71">
        <v>0.22000000000000003</v>
      </c>
      <c r="Y71">
        <v>0.44</v>
      </c>
      <c r="Z71" s="88">
        <v>0.52</v>
      </c>
      <c r="AA71" s="87">
        <v>0.77</v>
      </c>
      <c r="AB71">
        <v>1</v>
      </c>
      <c r="AC71">
        <v>1</v>
      </c>
      <c r="AD71" s="88">
        <v>1</v>
      </c>
      <c r="AE71" s="87">
        <v>0.83</v>
      </c>
      <c r="AF71">
        <v>1</v>
      </c>
      <c r="AG71">
        <v>1</v>
      </c>
      <c r="AH71" s="88">
        <v>1</v>
      </c>
      <c r="AI71" s="87">
        <v>2.2549999999999999</v>
      </c>
      <c r="AJ71">
        <v>3.8500000000000005</v>
      </c>
      <c r="AK71">
        <v>6.16</v>
      </c>
      <c r="AL71" s="88">
        <v>9.1550000000000011</v>
      </c>
      <c r="AM71" s="87">
        <v>2.7399999999999993</v>
      </c>
      <c r="AN71">
        <v>3.8500000000000005</v>
      </c>
      <c r="AO71">
        <v>6.16</v>
      </c>
      <c r="AP71" s="88">
        <v>8.129999999999999</v>
      </c>
      <c r="AQ71" s="187">
        <v>0</v>
      </c>
      <c r="AR71" s="179">
        <v>1.5400000000000003</v>
      </c>
      <c r="AS71" s="179">
        <v>3.52</v>
      </c>
      <c r="AT71" s="179">
        <v>5.0600000000000005</v>
      </c>
      <c r="AU71" s="187">
        <v>0.19999999999999996</v>
      </c>
      <c r="AV71" s="179">
        <v>1.5400000000000003</v>
      </c>
      <c r="AW71" s="179">
        <v>3.52</v>
      </c>
      <c r="AX71" s="188">
        <v>4.6000000000000014</v>
      </c>
      <c r="AY71" s="87">
        <v>1.9649999999999999</v>
      </c>
      <c r="AZ71">
        <v>4.5</v>
      </c>
      <c r="BA71">
        <v>5.5</v>
      </c>
      <c r="BB71">
        <v>7</v>
      </c>
      <c r="BC71" s="87">
        <v>2.7349999999999994</v>
      </c>
      <c r="BD71">
        <v>4.5</v>
      </c>
      <c r="BE71">
        <v>5.5</v>
      </c>
      <c r="BF71" s="88">
        <v>6.5</v>
      </c>
      <c r="BG71" s="87">
        <f t="shared" si="45"/>
        <v>4.22</v>
      </c>
      <c r="BH71">
        <f t="shared" si="42"/>
        <v>9.89</v>
      </c>
      <c r="BI71">
        <f t="shared" si="42"/>
        <v>15.18</v>
      </c>
      <c r="BJ71">
        <f t="shared" si="42"/>
        <v>21.215000000000003</v>
      </c>
      <c r="BK71" s="87">
        <f t="shared" si="42"/>
        <v>5.6749999999999989</v>
      </c>
      <c r="BL71">
        <f t="shared" si="42"/>
        <v>9.89</v>
      </c>
      <c r="BM71">
        <f t="shared" si="42"/>
        <v>15.18</v>
      </c>
      <c r="BN71">
        <f t="shared" si="42"/>
        <v>19.23</v>
      </c>
      <c r="BO71" s="138">
        <f t="shared" si="46"/>
        <v>8.7560000000000002</v>
      </c>
      <c r="BP71" s="143">
        <f t="shared" si="47"/>
        <v>16.387</v>
      </c>
      <c r="BQ71" s="138">
        <f t="shared" si="48"/>
        <v>9.0470000000000006</v>
      </c>
      <c r="BR71" s="139">
        <f t="shared" si="49"/>
        <v>15.989999999999998</v>
      </c>
      <c r="BS71" s="87">
        <f t="shared" si="50"/>
        <v>12.5715</v>
      </c>
      <c r="BT71" s="88">
        <f t="shared" si="51"/>
        <v>12.5185</v>
      </c>
      <c r="BU71" s="134">
        <f t="shared" si="52"/>
        <v>12.545</v>
      </c>
    </row>
    <row r="72" spans="1:73" ht="36.75" customHeight="1" x14ac:dyDescent="0.25">
      <c r="A72" s="102" t="s">
        <v>70</v>
      </c>
      <c r="B72" s="102" t="s">
        <v>82</v>
      </c>
      <c r="C72" s="121" t="s">
        <v>93</v>
      </c>
      <c r="D72" s="156" t="s">
        <v>106</v>
      </c>
      <c r="E72" s="156" t="s">
        <v>104</v>
      </c>
      <c r="F72" s="156" t="s">
        <v>105</v>
      </c>
      <c r="G72" s="110">
        <f t="shared" si="43"/>
        <v>0.33</v>
      </c>
      <c r="H72" s="110">
        <f t="shared" si="41"/>
        <v>1</v>
      </c>
      <c r="I72" s="110">
        <f t="shared" si="41"/>
        <v>0.66</v>
      </c>
      <c r="J72" s="147">
        <f t="shared" si="44"/>
        <v>13.275</v>
      </c>
      <c r="K72" s="87">
        <v>0</v>
      </c>
      <c r="L72">
        <v>0.22000000000000003</v>
      </c>
      <c r="M72">
        <v>0.44</v>
      </c>
      <c r="N72" s="88">
        <v>0.55000000000000004</v>
      </c>
      <c r="O72" s="87">
        <v>0.06</v>
      </c>
      <c r="P72">
        <v>0.22000000000000003</v>
      </c>
      <c r="Q72">
        <v>0.44</v>
      </c>
      <c r="R72" s="88">
        <v>0.52</v>
      </c>
      <c r="S72" s="87">
        <v>0.77</v>
      </c>
      <c r="T72">
        <v>1</v>
      </c>
      <c r="U72">
        <v>1</v>
      </c>
      <c r="V72" s="88">
        <v>1</v>
      </c>
      <c r="W72" s="87">
        <v>0.83</v>
      </c>
      <c r="X72">
        <v>1</v>
      </c>
      <c r="Y72">
        <v>1</v>
      </c>
      <c r="Z72" s="88">
        <v>1</v>
      </c>
      <c r="AA72" s="87">
        <v>0.44000000000000006</v>
      </c>
      <c r="AB72">
        <v>0.55000000000000004</v>
      </c>
      <c r="AC72">
        <v>0.77</v>
      </c>
      <c r="AD72" s="88">
        <v>1</v>
      </c>
      <c r="AE72" s="87">
        <v>0.47000000000000003</v>
      </c>
      <c r="AF72">
        <v>0.55000000000000004</v>
      </c>
      <c r="AG72">
        <v>0.77</v>
      </c>
      <c r="AH72" s="88">
        <v>0.92</v>
      </c>
      <c r="AI72" s="187">
        <v>0</v>
      </c>
      <c r="AJ72" s="179">
        <v>1.5400000000000003</v>
      </c>
      <c r="AK72" s="179">
        <v>3.52</v>
      </c>
      <c r="AL72" s="188">
        <v>5.0600000000000005</v>
      </c>
      <c r="AM72" s="187">
        <v>0.19999999999999996</v>
      </c>
      <c r="AN72" s="179">
        <v>1.5400000000000003</v>
      </c>
      <c r="AO72" s="179">
        <v>3.52</v>
      </c>
      <c r="AP72" s="188">
        <v>4.6000000000000014</v>
      </c>
      <c r="AQ72" s="87">
        <v>3.8900000000000006</v>
      </c>
      <c r="AR72">
        <v>7</v>
      </c>
      <c r="AS72">
        <v>8</v>
      </c>
      <c r="AT72">
        <v>9.5</v>
      </c>
      <c r="AU72" s="87">
        <v>4.8099999999999987</v>
      </c>
      <c r="AV72">
        <v>7</v>
      </c>
      <c r="AW72">
        <v>8</v>
      </c>
      <c r="AX72" s="88">
        <v>9</v>
      </c>
      <c r="AY72" s="87">
        <v>1.1550000000000002</v>
      </c>
      <c r="AZ72">
        <v>2.4750000000000001</v>
      </c>
      <c r="BA72">
        <v>4.2350000000000003</v>
      </c>
      <c r="BB72">
        <v>6.6550000000000002</v>
      </c>
      <c r="BC72" s="87">
        <v>1.5650000000000008</v>
      </c>
      <c r="BD72">
        <v>2.4750000000000001</v>
      </c>
      <c r="BE72">
        <v>4.2350000000000003</v>
      </c>
      <c r="BF72" s="88">
        <v>5.830000000000001</v>
      </c>
      <c r="BG72" s="87">
        <f t="shared" si="45"/>
        <v>5.0450000000000008</v>
      </c>
      <c r="BH72">
        <f t="shared" si="42"/>
        <v>11.015000000000001</v>
      </c>
      <c r="BI72">
        <f t="shared" si="42"/>
        <v>15.754999999999999</v>
      </c>
      <c r="BJ72">
        <f t="shared" si="42"/>
        <v>21.215</v>
      </c>
      <c r="BK72" s="87">
        <f t="shared" si="42"/>
        <v>6.5749999999999993</v>
      </c>
      <c r="BL72">
        <f t="shared" si="42"/>
        <v>11.015000000000001</v>
      </c>
      <c r="BM72">
        <f t="shared" si="42"/>
        <v>15.754999999999999</v>
      </c>
      <c r="BN72">
        <f t="shared" si="42"/>
        <v>19.430000000000003</v>
      </c>
      <c r="BO72" s="138">
        <f t="shared" si="46"/>
        <v>9.8210000000000015</v>
      </c>
      <c r="BP72" s="143">
        <f t="shared" si="47"/>
        <v>16.846999999999998</v>
      </c>
      <c r="BQ72" s="138">
        <f t="shared" si="48"/>
        <v>10.127000000000001</v>
      </c>
      <c r="BR72" s="139">
        <f t="shared" si="49"/>
        <v>16.489999999999998</v>
      </c>
      <c r="BS72" s="87">
        <f t="shared" si="50"/>
        <v>13.334</v>
      </c>
      <c r="BT72" s="88">
        <f t="shared" si="51"/>
        <v>13.308499999999999</v>
      </c>
      <c r="BU72" s="134">
        <f t="shared" si="52"/>
        <v>13.321249999999999</v>
      </c>
    </row>
    <row r="73" spans="1:73" ht="30.75" thickBot="1" x14ac:dyDescent="0.3">
      <c r="A73" s="102" t="s">
        <v>71</v>
      </c>
      <c r="B73" s="102" t="s">
        <v>83</v>
      </c>
      <c r="C73" s="121" t="s">
        <v>94</v>
      </c>
      <c r="D73" s="156" t="s">
        <v>106</v>
      </c>
      <c r="E73" s="156" t="s">
        <v>104</v>
      </c>
      <c r="F73" s="156" t="s">
        <v>105</v>
      </c>
      <c r="G73" s="110">
        <f t="shared" si="43"/>
        <v>0.33</v>
      </c>
      <c r="H73" s="110">
        <f t="shared" si="41"/>
        <v>1</v>
      </c>
      <c r="I73" s="110">
        <f t="shared" si="41"/>
        <v>0.66</v>
      </c>
      <c r="J73" s="147">
        <f t="shared" si="44"/>
        <v>13.275</v>
      </c>
      <c r="K73" s="91">
        <v>0</v>
      </c>
      <c r="L73" s="93">
        <v>0.22000000000000003</v>
      </c>
      <c r="M73" s="93">
        <v>0.44</v>
      </c>
      <c r="N73" s="94">
        <v>0.55000000000000004</v>
      </c>
      <c r="O73" s="91">
        <v>0.06</v>
      </c>
      <c r="P73" s="93">
        <v>0.22000000000000003</v>
      </c>
      <c r="Q73" s="93">
        <v>0.44</v>
      </c>
      <c r="R73" s="94">
        <v>0.52</v>
      </c>
      <c r="S73" s="91">
        <v>0.77</v>
      </c>
      <c r="T73" s="93">
        <v>1</v>
      </c>
      <c r="U73" s="93">
        <v>1</v>
      </c>
      <c r="V73" s="94">
        <v>1</v>
      </c>
      <c r="W73" s="91">
        <v>0.83</v>
      </c>
      <c r="X73" s="93">
        <v>1</v>
      </c>
      <c r="Y73" s="93">
        <v>1</v>
      </c>
      <c r="Z73" s="94">
        <v>1</v>
      </c>
      <c r="AA73" s="91">
        <v>0.44000000000000006</v>
      </c>
      <c r="AB73" s="93">
        <v>0.55000000000000004</v>
      </c>
      <c r="AC73" s="93">
        <v>0.77</v>
      </c>
      <c r="AD73" s="94">
        <v>1</v>
      </c>
      <c r="AE73" s="91">
        <v>0.47000000000000003</v>
      </c>
      <c r="AF73" s="93">
        <v>0.55000000000000004</v>
      </c>
      <c r="AG73" s="93">
        <v>0.77</v>
      </c>
      <c r="AH73" s="94">
        <v>0.92</v>
      </c>
      <c r="AI73" s="189">
        <v>0</v>
      </c>
      <c r="AJ73" s="201">
        <v>1.5400000000000003</v>
      </c>
      <c r="AK73" s="201">
        <v>3.52</v>
      </c>
      <c r="AL73" s="190">
        <v>5.0600000000000005</v>
      </c>
      <c r="AM73" s="189">
        <v>0.19999999999999996</v>
      </c>
      <c r="AN73" s="201">
        <v>1.5400000000000003</v>
      </c>
      <c r="AO73" s="201">
        <v>3.52</v>
      </c>
      <c r="AP73" s="190">
        <v>4.6000000000000014</v>
      </c>
      <c r="AQ73" s="91">
        <v>3.8900000000000006</v>
      </c>
      <c r="AR73" s="93">
        <v>7</v>
      </c>
      <c r="AS73" s="93">
        <v>8</v>
      </c>
      <c r="AT73" s="93">
        <v>9.5</v>
      </c>
      <c r="AU73" s="91">
        <v>4.8099999999999987</v>
      </c>
      <c r="AV73" s="93">
        <v>7</v>
      </c>
      <c r="AW73" s="93">
        <v>8</v>
      </c>
      <c r="AX73" s="94">
        <v>9</v>
      </c>
      <c r="AY73" s="91">
        <v>1.1550000000000002</v>
      </c>
      <c r="AZ73" s="93">
        <v>2.4750000000000001</v>
      </c>
      <c r="BA73" s="93">
        <v>4.2350000000000003</v>
      </c>
      <c r="BB73" s="93">
        <v>6.6550000000000002</v>
      </c>
      <c r="BC73" s="91">
        <v>1.5650000000000008</v>
      </c>
      <c r="BD73" s="93">
        <v>2.4750000000000001</v>
      </c>
      <c r="BE73" s="93">
        <v>4.2350000000000003</v>
      </c>
      <c r="BF73" s="94">
        <v>5.830000000000001</v>
      </c>
      <c r="BG73" s="91">
        <f t="shared" si="45"/>
        <v>5.0450000000000008</v>
      </c>
      <c r="BH73" s="93">
        <f t="shared" si="42"/>
        <v>11.015000000000001</v>
      </c>
      <c r="BI73" s="93">
        <f t="shared" si="42"/>
        <v>15.754999999999999</v>
      </c>
      <c r="BJ73" s="93">
        <f t="shared" si="42"/>
        <v>21.215</v>
      </c>
      <c r="BK73" s="91">
        <f t="shared" si="42"/>
        <v>6.5749999999999993</v>
      </c>
      <c r="BL73" s="93">
        <f t="shared" si="42"/>
        <v>11.015000000000001</v>
      </c>
      <c r="BM73" s="93">
        <f t="shared" si="42"/>
        <v>15.754999999999999</v>
      </c>
      <c r="BN73" s="93">
        <f t="shared" si="42"/>
        <v>19.430000000000003</v>
      </c>
      <c r="BO73" s="140">
        <f t="shared" si="46"/>
        <v>9.8210000000000015</v>
      </c>
      <c r="BP73" s="144">
        <f t="shared" si="47"/>
        <v>16.846999999999998</v>
      </c>
      <c r="BQ73" s="140">
        <f t="shared" si="48"/>
        <v>10.127000000000001</v>
      </c>
      <c r="BR73" s="141">
        <f t="shared" si="49"/>
        <v>16.489999999999998</v>
      </c>
      <c r="BS73" s="91">
        <f t="shared" si="50"/>
        <v>13.334</v>
      </c>
      <c r="BT73" s="94">
        <f t="shared" si="51"/>
        <v>13.308499999999999</v>
      </c>
      <c r="BU73" s="135">
        <f t="shared" si="52"/>
        <v>13.321249999999999</v>
      </c>
    </row>
    <row r="74" spans="1:73" x14ac:dyDescent="0.25">
      <c r="BF74" s="60"/>
      <c r="BG74" s="59"/>
      <c r="BH74" s="59"/>
      <c r="BI74" s="59"/>
      <c r="BJ74" s="59"/>
      <c r="BK74" s="59"/>
    </row>
    <row r="75" spans="1:73" x14ac:dyDescent="0.25">
      <c r="A75" s="1" t="s">
        <v>195</v>
      </c>
      <c r="B75" s="1"/>
    </row>
    <row r="76" spans="1:73" ht="15.75" thickBot="1" x14ac:dyDescent="0.3">
      <c r="A76" s="107" t="s">
        <v>103</v>
      </c>
      <c r="B76" s="108" t="s">
        <v>122</v>
      </c>
      <c r="E76" s="112" t="s">
        <v>17</v>
      </c>
      <c r="I76" t="s">
        <v>18</v>
      </c>
    </row>
    <row r="77" spans="1:73" x14ac:dyDescent="0.25">
      <c r="A77" s="106" t="s">
        <v>107</v>
      </c>
      <c r="B77" s="2">
        <v>0</v>
      </c>
      <c r="C77" s="79">
        <v>0</v>
      </c>
      <c r="D77" s="80" t="s">
        <v>107</v>
      </c>
      <c r="E77" s="81">
        <v>0</v>
      </c>
      <c r="F77" s="82">
        <f>C77</f>
        <v>0</v>
      </c>
      <c r="G77" s="83">
        <v>0</v>
      </c>
      <c r="H77" s="84">
        <v>0.22</v>
      </c>
      <c r="I77" s="85">
        <v>0</v>
      </c>
      <c r="J77" s="83">
        <f>F77</f>
        <v>0</v>
      </c>
      <c r="K77" s="83">
        <f>G77</f>
        <v>0</v>
      </c>
      <c r="L77" s="86">
        <v>0.15</v>
      </c>
    </row>
    <row r="78" spans="1:73" x14ac:dyDescent="0.25">
      <c r="A78" s="106" t="s">
        <v>106</v>
      </c>
      <c r="B78" s="2">
        <v>0.33</v>
      </c>
      <c r="C78" s="79">
        <v>0.33</v>
      </c>
      <c r="D78" s="80" t="s">
        <v>106</v>
      </c>
      <c r="E78" s="87">
        <v>0</v>
      </c>
      <c r="F78" s="111">
        <f>C78-0.11</f>
        <v>0.22000000000000003</v>
      </c>
      <c r="G78">
        <f>C78+0.11</f>
        <v>0.44</v>
      </c>
      <c r="H78" s="88">
        <f t="shared" ref="H78" si="53">G78+0.11</f>
        <v>0.55000000000000004</v>
      </c>
      <c r="I78" s="89">
        <v>0.06</v>
      </c>
      <c r="J78">
        <f t="shared" ref="J78:K80" si="54">F78</f>
        <v>0.22000000000000003</v>
      </c>
      <c r="K78">
        <f t="shared" si="54"/>
        <v>0.44</v>
      </c>
      <c r="L78" s="90">
        <f t="shared" ref="L78" si="55">K78+0.08</f>
        <v>0.52</v>
      </c>
    </row>
    <row r="79" spans="1:73" x14ac:dyDescent="0.25">
      <c r="A79" s="106" t="s">
        <v>105</v>
      </c>
      <c r="B79" s="2">
        <v>0.66</v>
      </c>
      <c r="C79" s="79">
        <v>0.66</v>
      </c>
      <c r="D79" s="80" t="s">
        <v>105</v>
      </c>
      <c r="E79" s="87">
        <f t="shared" ref="E79" si="56">F79-0.11</f>
        <v>0.44000000000000006</v>
      </c>
      <c r="F79" s="111">
        <f t="shared" ref="F79" si="57">C79-0.11</f>
        <v>0.55000000000000004</v>
      </c>
      <c r="G79">
        <f t="shared" ref="G79" si="58">C79+0.11</f>
        <v>0.77</v>
      </c>
      <c r="H79" s="88">
        <v>1</v>
      </c>
      <c r="I79" s="89">
        <f t="shared" ref="I79" si="59">J79-0.08</f>
        <v>0.47000000000000003</v>
      </c>
      <c r="J79">
        <f t="shared" si="54"/>
        <v>0.55000000000000004</v>
      </c>
      <c r="K79">
        <f t="shared" si="54"/>
        <v>0.77</v>
      </c>
      <c r="L79" s="90">
        <v>0.92</v>
      </c>
    </row>
    <row r="80" spans="1:73" ht="15.75" thickBot="1" x14ac:dyDescent="0.3">
      <c r="A80" s="106" t="s">
        <v>104</v>
      </c>
      <c r="B80" s="2">
        <v>1</v>
      </c>
      <c r="C80" s="79">
        <v>1</v>
      </c>
      <c r="D80" s="80" t="s">
        <v>104</v>
      </c>
      <c r="E80" s="91">
        <v>0.77</v>
      </c>
      <c r="F80" s="92">
        <v>1</v>
      </c>
      <c r="G80" s="93">
        <v>1</v>
      </c>
      <c r="H80" s="94">
        <v>1</v>
      </c>
      <c r="I80" s="95">
        <v>0.83</v>
      </c>
      <c r="J80" s="93">
        <f t="shared" si="54"/>
        <v>1</v>
      </c>
      <c r="K80" s="93">
        <f t="shared" si="54"/>
        <v>1</v>
      </c>
      <c r="L80" s="96">
        <v>1</v>
      </c>
    </row>
    <row r="81" spans="1:12" x14ac:dyDescent="0.25">
      <c r="A81" s="99"/>
    </row>
    <row r="82" spans="1:12" x14ac:dyDescent="0.25">
      <c r="A82" s="1" t="s">
        <v>196</v>
      </c>
    </row>
    <row r="83" spans="1:12" ht="15.75" thickBot="1" x14ac:dyDescent="0.3">
      <c r="A83" s="107" t="s">
        <v>103</v>
      </c>
      <c r="B83" s="108" t="s">
        <v>123</v>
      </c>
      <c r="E83" s="112" t="s">
        <v>17</v>
      </c>
      <c r="I83" t="s">
        <v>18</v>
      </c>
    </row>
    <row r="84" spans="1:12" x14ac:dyDescent="0.25">
      <c r="A84" s="106" t="s">
        <v>107</v>
      </c>
      <c r="B84" s="2">
        <v>1</v>
      </c>
      <c r="C84" s="79">
        <v>1</v>
      </c>
      <c r="D84" s="80" t="s">
        <v>107</v>
      </c>
      <c r="E84" s="81">
        <v>0</v>
      </c>
      <c r="F84" s="82">
        <v>0.5</v>
      </c>
      <c r="G84" s="83">
        <v>1.5</v>
      </c>
      <c r="H84" s="84">
        <v>2</v>
      </c>
      <c r="I84" s="85">
        <v>0</v>
      </c>
      <c r="J84" s="83">
        <f>F84</f>
        <v>0.5</v>
      </c>
      <c r="K84" s="83">
        <f>G84</f>
        <v>1.5</v>
      </c>
      <c r="L84" s="86">
        <v>1.8</v>
      </c>
    </row>
    <row r="85" spans="1:12" x14ac:dyDescent="0.25">
      <c r="A85" s="106" t="s">
        <v>106</v>
      </c>
      <c r="B85" s="2">
        <v>2.5</v>
      </c>
      <c r="C85" s="79">
        <v>2.5</v>
      </c>
      <c r="D85" s="80" t="s">
        <v>106</v>
      </c>
      <c r="E85" s="87">
        <v>1.5</v>
      </c>
      <c r="F85" s="111">
        <f>C85-0.5</f>
        <v>2</v>
      </c>
      <c r="G85">
        <f>C85+0.5</f>
        <v>3</v>
      </c>
      <c r="H85" s="88">
        <f t="shared" ref="H85:H87" si="60">G85+1.5</f>
        <v>4.5</v>
      </c>
      <c r="I85" s="89">
        <v>1.7</v>
      </c>
      <c r="J85">
        <f t="shared" ref="J85:K87" si="61">F85</f>
        <v>2</v>
      </c>
      <c r="K85">
        <f t="shared" si="61"/>
        <v>3</v>
      </c>
      <c r="L85" s="90">
        <f t="shared" ref="L85:L87" si="62">K85+1</f>
        <v>4</v>
      </c>
    </row>
    <row r="86" spans="1:12" x14ac:dyDescent="0.25">
      <c r="A86" s="106" t="s">
        <v>105</v>
      </c>
      <c r="B86" s="2">
        <v>5</v>
      </c>
      <c r="C86" s="79">
        <v>5</v>
      </c>
      <c r="D86" s="80" t="s">
        <v>105</v>
      </c>
      <c r="E86" s="87">
        <f t="shared" ref="E86:E87" si="63">F86-1.5</f>
        <v>3</v>
      </c>
      <c r="F86" s="111">
        <f>C86-0.5</f>
        <v>4.5</v>
      </c>
      <c r="G86">
        <f>C86+0.5</f>
        <v>5.5</v>
      </c>
      <c r="H86" s="88">
        <f t="shared" si="60"/>
        <v>7</v>
      </c>
      <c r="I86" s="89">
        <f t="shared" ref="I86:I87" si="64">J86-1</f>
        <v>3.5</v>
      </c>
      <c r="J86">
        <f t="shared" si="61"/>
        <v>4.5</v>
      </c>
      <c r="K86">
        <f t="shared" si="61"/>
        <v>5.5</v>
      </c>
      <c r="L86" s="90">
        <f t="shared" si="62"/>
        <v>6.5</v>
      </c>
    </row>
    <row r="87" spans="1:12" ht="15.75" thickBot="1" x14ac:dyDescent="0.3">
      <c r="A87" s="106" t="s">
        <v>104</v>
      </c>
      <c r="B87" s="2">
        <v>7.5</v>
      </c>
      <c r="C87" s="79">
        <v>7.5</v>
      </c>
      <c r="D87" s="80" t="s">
        <v>104</v>
      </c>
      <c r="E87" s="91">
        <f t="shared" si="63"/>
        <v>5.5</v>
      </c>
      <c r="F87" s="92">
        <f>C87-0.5</f>
        <v>7</v>
      </c>
      <c r="G87" s="93">
        <f>C87+0.5</f>
        <v>8</v>
      </c>
      <c r="H87" s="94">
        <f t="shared" si="60"/>
        <v>9.5</v>
      </c>
      <c r="I87" s="95">
        <f t="shared" si="64"/>
        <v>6</v>
      </c>
      <c r="J87" s="93">
        <f t="shared" si="61"/>
        <v>7</v>
      </c>
      <c r="K87" s="93">
        <f t="shared" si="61"/>
        <v>8</v>
      </c>
      <c r="L87" s="96">
        <f t="shared" si="62"/>
        <v>9</v>
      </c>
    </row>
    <row r="89" spans="1:12" ht="15.75" thickBot="1" x14ac:dyDescent="0.3">
      <c r="A89" s="1" t="s">
        <v>197</v>
      </c>
    </row>
    <row r="90" spans="1:12" ht="67.5" customHeight="1" thickBot="1" x14ac:dyDescent="0.3">
      <c r="A90" s="114" t="s">
        <v>117</v>
      </c>
      <c r="B90" s="113" t="s">
        <v>99</v>
      </c>
      <c r="C90" s="115" t="s">
        <v>108</v>
      </c>
      <c r="D90" s="116" t="s">
        <v>198</v>
      </c>
      <c r="E90" s="283" t="s">
        <v>126</v>
      </c>
      <c r="F90" s="284"/>
      <c r="G90" s="284"/>
      <c r="H90" s="284"/>
      <c r="I90" s="284"/>
      <c r="J90" s="284"/>
      <c r="K90" s="284"/>
      <c r="L90" s="285"/>
    </row>
    <row r="91" spans="1:12" x14ac:dyDescent="0.25">
      <c r="A91" s="125" t="s">
        <v>114</v>
      </c>
      <c r="B91" s="117" t="s">
        <v>100</v>
      </c>
      <c r="C91" s="118" t="s">
        <v>104</v>
      </c>
      <c r="D91" s="150">
        <v>7.5</v>
      </c>
      <c r="E91" s="87">
        <v>5.5</v>
      </c>
      <c r="F91" s="111">
        <v>7</v>
      </c>
      <c r="G91">
        <v>8</v>
      </c>
      <c r="H91" s="88">
        <v>9.5</v>
      </c>
      <c r="I91" s="89">
        <v>6</v>
      </c>
      <c r="J91">
        <v>7</v>
      </c>
      <c r="K91">
        <v>8</v>
      </c>
      <c r="L91" s="90">
        <v>9</v>
      </c>
    </row>
    <row r="92" spans="1:12" x14ac:dyDescent="0.25">
      <c r="A92" s="126" t="s">
        <v>115</v>
      </c>
      <c r="B92" s="104" t="s">
        <v>101</v>
      </c>
      <c r="C92" s="2" t="s">
        <v>104</v>
      </c>
      <c r="D92" s="150">
        <v>7.5</v>
      </c>
      <c r="E92" s="87">
        <v>5.5</v>
      </c>
      <c r="F92" s="111">
        <v>7</v>
      </c>
      <c r="G92">
        <v>8</v>
      </c>
      <c r="H92" s="88">
        <v>9.5</v>
      </c>
      <c r="I92" s="89">
        <v>6</v>
      </c>
      <c r="J92">
        <v>7</v>
      </c>
      <c r="K92">
        <v>8</v>
      </c>
      <c r="L92" s="90">
        <v>9</v>
      </c>
    </row>
    <row r="93" spans="1:12" ht="15.75" thickBot="1" x14ac:dyDescent="0.3">
      <c r="A93" s="127" t="s">
        <v>116</v>
      </c>
      <c r="B93" s="119" t="s">
        <v>102</v>
      </c>
      <c r="C93" s="120" t="s">
        <v>105</v>
      </c>
      <c r="D93" s="150">
        <v>5</v>
      </c>
      <c r="E93" s="91">
        <v>3</v>
      </c>
      <c r="F93" s="92">
        <v>4.5</v>
      </c>
      <c r="G93" s="93">
        <v>5.5</v>
      </c>
      <c r="H93" s="94">
        <v>7</v>
      </c>
      <c r="I93" s="95">
        <v>3.5</v>
      </c>
      <c r="J93" s="93">
        <v>4.5</v>
      </c>
      <c r="K93" s="93">
        <v>5.5</v>
      </c>
      <c r="L93" s="96">
        <v>6.5</v>
      </c>
    </row>
    <row r="95" spans="1:12" ht="15.75" thickBot="1" x14ac:dyDescent="0.3">
      <c r="A95" s="1" t="s">
        <v>199</v>
      </c>
    </row>
    <row r="96" spans="1:12" ht="30.75" thickBot="1" x14ac:dyDescent="0.3">
      <c r="A96" s="128" t="s">
        <v>132</v>
      </c>
      <c r="B96" s="129" t="s">
        <v>133</v>
      </c>
      <c r="E96" s="283" t="s">
        <v>134</v>
      </c>
      <c r="F96" s="284"/>
      <c r="G96" s="284"/>
      <c r="H96" s="284"/>
      <c r="I96" s="284"/>
      <c r="J96" s="284"/>
      <c r="K96" s="284"/>
      <c r="L96" s="285"/>
    </row>
    <row r="97" spans="1:12" x14ac:dyDescent="0.25">
      <c r="A97" s="125" t="s">
        <v>129</v>
      </c>
      <c r="B97" s="130" t="s">
        <v>107</v>
      </c>
      <c r="D97" s="133" t="s">
        <v>138</v>
      </c>
      <c r="E97" s="81">
        <f>E77*F$91+E$91*F77-F77*F$91</f>
        <v>0</v>
      </c>
      <c r="F97" s="83">
        <f>F77*F$91</f>
        <v>0</v>
      </c>
      <c r="G97" s="83">
        <f>G77*G$91</f>
        <v>0</v>
      </c>
      <c r="H97" s="84">
        <f>G77*H$91+G$91*H77-G77*G$91</f>
        <v>1.76</v>
      </c>
      <c r="I97" s="81">
        <f>I77*J$91+I$91*J77-J77*J$91</f>
        <v>0</v>
      </c>
      <c r="J97" s="83">
        <f>J77*J$91</f>
        <v>0</v>
      </c>
      <c r="K97" s="83">
        <f>K77*K$91</f>
        <v>0</v>
      </c>
      <c r="L97" s="84">
        <f>K77*L$91+K$91*L77-K77*K$91</f>
        <v>1.2</v>
      </c>
    </row>
    <row r="98" spans="1:12" x14ac:dyDescent="0.25">
      <c r="A98" s="126" t="s">
        <v>129</v>
      </c>
      <c r="B98" s="131" t="s">
        <v>106</v>
      </c>
      <c r="D98" s="134" t="s">
        <v>137</v>
      </c>
      <c r="E98" s="202">
        <f>IF(E78*F$91+E$91*F78-F78*F$91&lt;0,0,E78*F$91+E$91*F78-F78*F$91)</f>
        <v>0</v>
      </c>
      <c r="F98" s="179">
        <f t="shared" ref="F98:G100" si="65">F78*F$91</f>
        <v>1.5400000000000003</v>
      </c>
      <c r="G98" s="179">
        <f t="shared" si="65"/>
        <v>3.52</v>
      </c>
      <c r="H98" s="188">
        <f t="shared" ref="H98:H100" si="66">G78*H$91+G$91*H78-G78*G$91</f>
        <v>5.0600000000000005</v>
      </c>
      <c r="I98" s="187">
        <f t="shared" ref="I98:I100" si="67">I78*J$91+I$91*J78-J78*J$91</f>
        <v>0.19999999999999996</v>
      </c>
      <c r="J98" s="179">
        <f t="shared" ref="J98:K100" si="68">J78*J$91</f>
        <v>1.5400000000000003</v>
      </c>
      <c r="K98" s="179">
        <f t="shared" si="68"/>
        <v>3.52</v>
      </c>
      <c r="L98" s="188">
        <f t="shared" ref="L98:L100" si="69">K78*L$91+K$91*L78-K78*K$91</f>
        <v>4.6000000000000014</v>
      </c>
    </row>
    <row r="99" spans="1:12" x14ac:dyDescent="0.25">
      <c r="A99" s="126" t="s">
        <v>129</v>
      </c>
      <c r="B99" s="131" t="s">
        <v>105</v>
      </c>
      <c r="D99" s="134" t="s">
        <v>136</v>
      </c>
      <c r="E99" s="87">
        <f t="shared" ref="E99:E100" si="70">E79*F$91+E$91*F79-F79*F$91</f>
        <v>2.2549999999999999</v>
      </c>
      <c r="F99">
        <f t="shared" si="65"/>
        <v>3.8500000000000005</v>
      </c>
      <c r="G99">
        <f t="shared" si="65"/>
        <v>6.16</v>
      </c>
      <c r="H99" s="88">
        <f t="shared" si="66"/>
        <v>9.1550000000000011</v>
      </c>
      <c r="I99" s="87">
        <f t="shared" si="67"/>
        <v>2.7399999999999993</v>
      </c>
      <c r="J99">
        <f t="shared" si="68"/>
        <v>3.8500000000000005</v>
      </c>
      <c r="K99">
        <f t="shared" si="68"/>
        <v>6.16</v>
      </c>
      <c r="L99" s="88">
        <f t="shared" si="69"/>
        <v>8.129999999999999</v>
      </c>
    </row>
    <row r="100" spans="1:12" ht="15.75" thickBot="1" x14ac:dyDescent="0.3">
      <c r="A100" s="127" t="s">
        <v>129</v>
      </c>
      <c r="B100" s="132" t="s">
        <v>104</v>
      </c>
      <c r="D100" s="135" t="s">
        <v>135</v>
      </c>
      <c r="E100" s="91">
        <f t="shared" si="70"/>
        <v>3.8900000000000006</v>
      </c>
      <c r="F100" s="93">
        <f t="shared" si="65"/>
        <v>7</v>
      </c>
      <c r="G100" s="93">
        <f t="shared" si="65"/>
        <v>8</v>
      </c>
      <c r="H100" s="94">
        <f t="shared" si="66"/>
        <v>9.5</v>
      </c>
      <c r="I100" s="91">
        <f t="shared" si="67"/>
        <v>4.8099999999999987</v>
      </c>
      <c r="J100" s="93">
        <f t="shared" si="68"/>
        <v>7</v>
      </c>
      <c r="K100" s="93">
        <f t="shared" si="68"/>
        <v>8</v>
      </c>
      <c r="L100" s="94">
        <f t="shared" si="69"/>
        <v>9</v>
      </c>
    </row>
    <row r="101" spans="1:12" x14ac:dyDescent="0.25">
      <c r="A101" s="125" t="s">
        <v>130</v>
      </c>
      <c r="B101" s="130" t="s">
        <v>107</v>
      </c>
      <c r="D101" s="133" t="s">
        <v>139</v>
      </c>
      <c r="E101" s="81">
        <f>E77*F$92+E$92*F77-F77*F$92</f>
        <v>0</v>
      </c>
      <c r="F101" s="83">
        <f>F77*F$92</f>
        <v>0</v>
      </c>
      <c r="G101" s="83">
        <f>G77*G$92</f>
        <v>0</v>
      </c>
      <c r="H101" s="84">
        <f>G77*H$92+G$92*H77-G77*G$92</f>
        <v>1.76</v>
      </c>
      <c r="I101" s="81">
        <f>I77*J$92+I$92*J77-J77*J$92</f>
        <v>0</v>
      </c>
      <c r="J101" s="83">
        <f>J77*J$92</f>
        <v>0</v>
      </c>
      <c r="K101" s="83">
        <f>K77*K$92</f>
        <v>0</v>
      </c>
      <c r="L101" s="84">
        <f>K77*L$92+K$92*L77-K77*K$92</f>
        <v>1.2</v>
      </c>
    </row>
    <row r="102" spans="1:12" x14ac:dyDescent="0.25">
      <c r="A102" s="126" t="s">
        <v>130</v>
      </c>
      <c r="B102" s="131" t="s">
        <v>106</v>
      </c>
      <c r="D102" s="134" t="s">
        <v>144</v>
      </c>
      <c r="E102" s="202">
        <f>IF(E78*F$92+E$92*F78-F78*F$92&lt;0,0,E78*F$92+E$92*F78-F78*F$92)</f>
        <v>0</v>
      </c>
      <c r="F102" s="179">
        <f t="shared" ref="F102:G104" si="71">F78*F$92</f>
        <v>1.5400000000000003</v>
      </c>
      <c r="G102" s="179">
        <f t="shared" si="71"/>
        <v>3.52</v>
      </c>
      <c r="H102" s="188">
        <f t="shared" ref="H102:H104" si="72">G78*H$92+G$92*H78-G78*G$92</f>
        <v>5.0600000000000005</v>
      </c>
      <c r="I102" s="187">
        <f t="shared" ref="I102:I104" si="73">I78*J$92+I$92*J78-J78*J$92</f>
        <v>0.19999999999999996</v>
      </c>
      <c r="J102" s="179">
        <f t="shared" ref="J102:K104" si="74">J78*J$92</f>
        <v>1.5400000000000003</v>
      </c>
      <c r="K102" s="179">
        <f t="shared" si="74"/>
        <v>3.52</v>
      </c>
      <c r="L102" s="188">
        <f t="shared" ref="L102:L104" si="75">K78*L$92+K$92*L78-K78*K$92</f>
        <v>4.6000000000000014</v>
      </c>
    </row>
    <row r="103" spans="1:12" x14ac:dyDescent="0.25">
      <c r="A103" s="126" t="s">
        <v>130</v>
      </c>
      <c r="B103" s="131" t="s">
        <v>105</v>
      </c>
      <c r="D103" s="134" t="s">
        <v>145</v>
      </c>
      <c r="E103" s="87">
        <f t="shared" ref="E103:E104" si="76">E79*F$92+E$92*F79-F79*F$92</f>
        <v>2.2549999999999999</v>
      </c>
      <c r="F103">
        <f t="shared" si="71"/>
        <v>3.8500000000000005</v>
      </c>
      <c r="G103">
        <f t="shared" si="71"/>
        <v>6.16</v>
      </c>
      <c r="H103" s="88">
        <f t="shared" si="72"/>
        <v>9.1550000000000011</v>
      </c>
      <c r="I103" s="87">
        <f t="shared" si="73"/>
        <v>2.7399999999999993</v>
      </c>
      <c r="J103">
        <f t="shared" si="74"/>
        <v>3.8500000000000005</v>
      </c>
      <c r="K103">
        <f t="shared" si="74"/>
        <v>6.16</v>
      </c>
      <c r="L103" s="88">
        <f t="shared" si="75"/>
        <v>8.129999999999999</v>
      </c>
    </row>
    <row r="104" spans="1:12" ht="15.75" thickBot="1" x14ac:dyDescent="0.3">
      <c r="A104" s="127" t="s">
        <v>130</v>
      </c>
      <c r="B104" s="132" t="s">
        <v>104</v>
      </c>
      <c r="D104" s="135" t="s">
        <v>146</v>
      </c>
      <c r="E104" s="91">
        <f t="shared" si="76"/>
        <v>3.8900000000000006</v>
      </c>
      <c r="F104" s="93">
        <f t="shared" si="71"/>
        <v>7</v>
      </c>
      <c r="G104" s="93">
        <f t="shared" si="71"/>
        <v>8</v>
      </c>
      <c r="H104" s="94">
        <f t="shared" si="72"/>
        <v>9.5</v>
      </c>
      <c r="I104" s="91">
        <f t="shared" si="73"/>
        <v>4.8099999999999987</v>
      </c>
      <c r="J104" s="93">
        <f t="shared" si="74"/>
        <v>7</v>
      </c>
      <c r="K104" s="93">
        <f t="shared" si="74"/>
        <v>8</v>
      </c>
      <c r="L104" s="94">
        <f t="shared" si="75"/>
        <v>9</v>
      </c>
    </row>
    <row r="105" spans="1:12" x14ac:dyDescent="0.25">
      <c r="A105" s="125" t="s">
        <v>131</v>
      </c>
      <c r="B105" s="130" t="s">
        <v>107</v>
      </c>
      <c r="D105" s="133" t="s">
        <v>141</v>
      </c>
      <c r="E105" s="81">
        <f>E77*F$93+E$93*F77-F77*F$93</f>
        <v>0</v>
      </c>
      <c r="F105" s="83">
        <f>F77*F$93</f>
        <v>0</v>
      </c>
      <c r="G105" s="83">
        <f>G77*G$93</f>
        <v>0</v>
      </c>
      <c r="H105" s="84">
        <f>G77*H$93+G$93*H77-G77*G$93</f>
        <v>1.21</v>
      </c>
      <c r="I105" s="81">
        <f>I77*J$93+I$93*J77-J77*J$93</f>
        <v>0</v>
      </c>
      <c r="J105" s="83">
        <f>J77*J$93</f>
        <v>0</v>
      </c>
      <c r="K105" s="83">
        <f>K77*K$93</f>
        <v>0</v>
      </c>
      <c r="L105" s="84">
        <f>K77*L$93+K$93*L77-K77*K$93</f>
        <v>0.82499999999999996</v>
      </c>
    </row>
    <row r="106" spans="1:12" x14ac:dyDescent="0.25">
      <c r="A106" s="126" t="s">
        <v>131</v>
      </c>
      <c r="B106" s="131" t="s">
        <v>106</v>
      </c>
      <c r="D106" s="134" t="s">
        <v>140</v>
      </c>
      <c r="E106" s="202">
        <f>IF(E78*F$93+E$93*F78-F78*F$93&lt;0,0,E78*F$93+E$93*F78-F78*F$93)</f>
        <v>0</v>
      </c>
      <c r="F106" s="179">
        <f t="shared" ref="F106:G108" si="77">F78*F$93</f>
        <v>0.9900000000000001</v>
      </c>
      <c r="G106" s="179">
        <f t="shared" si="77"/>
        <v>2.42</v>
      </c>
      <c r="H106" s="188">
        <f t="shared" ref="H106:H108" si="78">G78*H$93+G$93*H78-G78*G$93</f>
        <v>3.6850000000000005</v>
      </c>
      <c r="I106" s="187">
        <f t="shared" ref="I106:I108" si="79">I78*J$93+I$93*J78-J78*J$93</f>
        <v>4.9999999999999933E-2</v>
      </c>
      <c r="J106" s="179">
        <f t="shared" ref="J106:K108" si="80">J78*J$93</f>
        <v>0.9900000000000001</v>
      </c>
      <c r="K106" s="179">
        <f t="shared" si="80"/>
        <v>2.42</v>
      </c>
      <c r="L106" s="188">
        <f t="shared" ref="L106:L108" si="81">K78*L$93+K$93*L78-K78*K$93</f>
        <v>3.3000000000000007</v>
      </c>
    </row>
    <row r="107" spans="1:12" x14ac:dyDescent="0.25">
      <c r="A107" s="126" t="s">
        <v>131</v>
      </c>
      <c r="B107" s="131" t="s">
        <v>105</v>
      </c>
      <c r="D107" s="134" t="s">
        <v>142</v>
      </c>
      <c r="E107" s="87">
        <f t="shared" ref="E107:E108" si="82">E79*F$93+E$93*F79-F79*F$93</f>
        <v>1.1550000000000002</v>
      </c>
      <c r="F107">
        <f t="shared" si="77"/>
        <v>2.4750000000000001</v>
      </c>
      <c r="G107">
        <f t="shared" si="77"/>
        <v>4.2350000000000003</v>
      </c>
      <c r="H107" s="88">
        <f t="shared" si="78"/>
        <v>6.6550000000000002</v>
      </c>
      <c r="I107" s="87">
        <f t="shared" si="79"/>
        <v>1.5650000000000008</v>
      </c>
      <c r="J107">
        <f t="shared" si="80"/>
        <v>2.4750000000000001</v>
      </c>
      <c r="K107">
        <f t="shared" si="80"/>
        <v>4.2350000000000003</v>
      </c>
      <c r="L107" s="88">
        <f t="shared" si="81"/>
        <v>5.830000000000001</v>
      </c>
    </row>
    <row r="108" spans="1:12" ht="15.75" thickBot="1" x14ac:dyDescent="0.3">
      <c r="A108" s="127" t="s">
        <v>131</v>
      </c>
      <c r="B108" s="132" t="s">
        <v>104</v>
      </c>
      <c r="D108" s="135" t="s">
        <v>143</v>
      </c>
      <c r="E108" s="91">
        <f t="shared" si="82"/>
        <v>1.9649999999999999</v>
      </c>
      <c r="F108" s="93">
        <f t="shared" si="77"/>
        <v>4.5</v>
      </c>
      <c r="G108" s="93">
        <f t="shared" si="77"/>
        <v>5.5</v>
      </c>
      <c r="H108" s="94">
        <f t="shared" si="78"/>
        <v>7</v>
      </c>
      <c r="I108" s="91">
        <f t="shared" si="79"/>
        <v>2.7349999999999994</v>
      </c>
      <c r="J108" s="93">
        <f t="shared" si="80"/>
        <v>4.5</v>
      </c>
      <c r="K108" s="93">
        <f t="shared" si="80"/>
        <v>5.5</v>
      </c>
      <c r="L108" s="94">
        <f t="shared" si="81"/>
        <v>6.5</v>
      </c>
    </row>
    <row r="111" spans="1:12" ht="18.75" x14ac:dyDescent="0.3">
      <c r="A111" s="149" t="s">
        <v>162</v>
      </c>
      <c r="B111" s="99"/>
      <c r="C111" s="99"/>
    </row>
    <row r="112" spans="1:12" x14ac:dyDescent="0.25">
      <c r="A112" s="1" t="s">
        <v>110</v>
      </c>
      <c r="B112" s="99"/>
      <c r="C112" s="99"/>
    </row>
    <row r="113" spans="1:73" ht="15.75" thickBot="1" x14ac:dyDescent="0.3">
      <c r="A113" s="100" t="s">
        <v>169</v>
      </c>
      <c r="B113" s="99"/>
      <c r="C113" s="99"/>
      <c r="BO113">
        <v>0.8</v>
      </c>
    </row>
    <row r="114" spans="1:73" ht="86.25" customHeight="1" thickBot="1" x14ac:dyDescent="0.3">
      <c r="A114" s="273" t="s">
        <v>85</v>
      </c>
      <c r="B114" s="273" t="s">
        <v>86</v>
      </c>
      <c r="C114" s="277" t="s">
        <v>87</v>
      </c>
      <c r="D114" s="278" t="s">
        <v>127</v>
      </c>
      <c r="E114" s="279"/>
      <c r="F114" s="279"/>
      <c r="G114" s="279" t="s">
        <v>128</v>
      </c>
      <c r="H114" s="279"/>
      <c r="I114" s="279"/>
      <c r="J114" s="286" t="s">
        <v>157</v>
      </c>
      <c r="K114" s="280" t="s">
        <v>150</v>
      </c>
      <c r="L114" s="281"/>
      <c r="M114" s="281"/>
      <c r="N114" s="281"/>
      <c r="O114" s="281"/>
      <c r="P114" s="281"/>
      <c r="Q114" s="281"/>
      <c r="R114" s="282"/>
      <c r="S114" s="280" t="s">
        <v>148</v>
      </c>
      <c r="T114" s="281"/>
      <c r="U114" s="281"/>
      <c r="V114" s="281"/>
      <c r="W114" s="281"/>
      <c r="X114" s="281"/>
      <c r="Y114" s="281"/>
      <c r="Z114" s="282"/>
      <c r="AA114" s="280" t="s">
        <v>149</v>
      </c>
      <c r="AB114" s="281"/>
      <c r="AC114" s="281"/>
      <c r="AD114" s="281"/>
      <c r="AE114" s="281"/>
      <c r="AF114" s="281"/>
      <c r="AG114" s="281"/>
      <c r="AH114" s="282"/>
      <c r="AI114" s="280" t="s">
        <v>147</v>
      </c>
      <c r="AJ114" s="281"/>
      <c r="AK114" s="281"/>
      <c r="AL114" s="281"/>
      <c r="AM114" s="281"/>
      <c r="AN114" s="281"/>
      <c r="AO114" s="281"/>
      <c r="AP114" s="282"/>
      <c r="AQ114" s="280" t="s">
        <v>158</v>
      </c>
      <c r="AR114" s="281"/>
      <c r="AS114" s="281"/>
      <c r="AT114" s="281"/>
      <c r="AU114" s="281"/>
      <c r="AV114" s="281"/>
      <c r="AW114" s="281"/>
      <c r="AX114" s="282"/>
      <c r="AY114" s="280" t="s">
        <v>159</v>
      </c>
      <c r="AZ114" s="281"/>
      <c r="BA114" s="281"/>
      <c r="BB114" s="281"/>
      <c r="BC114" s="281"/>
      <c r="BD114" s="281"/>
      <c r="BE114" s="281"/>
      <c r="BF114" s="282"/>
      <c r="BG114" s="280" t="s">
        <v>205</v>
      </c>
      <c r="BH114" s="281"/>
      <c r="BI114" s="281"/>
      <c r="BJ114" s="281"/>
      <c r="BK114" s="281"/>
      <c r="BL114" s="281"/>
      <c r="BM114" s="281"/>
      <c r="BN114" s="282"/>
      <c r="BO114" s="292" t="s">
        <v>151</v>
      </c>
      <c r="BP114" s="293"/>
      <c r="BQ114" s="293"/>
      <c r="BR114" s="294"/>
      <c r="BS114" s="288" t="s">
        <v>153</v>
      </c>
      <c r="BT114" s="289"/>
      <c r="BU114" s="290" t="s">
        <v>156</v>
      </c>
    </row>
    <row r="115" spans="1:73" s="97" customFormat="1" ht="23.25" customHeight="1" thickBot="1" x14ac:dyDescent="0.3">
      <c r="A115" s="273"/>
      <c r="B115" s="273"/>
      <c r="C115" s="277"/>
      <c r="D115" s="122" t="s">
        <v>114</v>
      </c>
      <c r="E115" s="107" t="s">
        <v>115</v>
      </c>
      <c r="F115" s="107" t="s">
        <v>116</v>
      </c>
      <c r="G115" s="107" t="s">
        <v>114</v>
      </c>
      <c r="H115" s="107" t="s">
        <v>115</v>
      </c>
      <c r="I115" s="107" t="s">
        <v>116</v>
      </c>
      <c r="J115" s="287"/>
      <c r="K115" s="280" t="s">
        <v>17</v>
      </c>
      <c r="L115" s="281"/>
      <c r="M115" s="281"/>
      <c r="N115" s="282"/>
      <c r="O115" s="280" t="s">
        <v>18</v>
      </c>
      <c r="P115" s="281"/>
      <c r="Q115" s="281"/>
      <c r="R115" s="282"/>
      <c r="S115" s="280" t="s">
        <v>17</v>
      </c>
      <c r="T115" s="281"/>
      <c r="U115" s="281"/>
      <c r="V115" s="282"/>
      <c r="W115" s="280" t="s">
        <v>18</v>
      </c>
      <c r="X115" s="281"/>
      <c r="Y115" s="281"/>
      <c r="Z115" s="282"/>
      <c r="AA115" s="280" t="s">
        <v>17</v>
      </c>
      <c r="AB115" s="281"/>
      <c r="AC115" s="281"/>
      <c r="AD115" s="282"/>
      <c r="AE115" s="280" t="s">
        <v>18</v>
      </c>
      <c r="AF115" s="281"/>
      <c r="AG115" s="281"/>
      <c r="AH115" s="282"/>
      <c r="AI115" s="280" t="s">
        <v>17</v>
      </c>
      <c r="AJ115" s="281"/>
      <c r="AK115" s="281"/>
      <c r="AL115" s="282"/>
      <c r="AM115" s="280" t="s">
        <v>18</v>
      </c>
      <c r="AN115" s="281"/>
      <c r="AO115" s="281"/>
      <c r="AP115" s="282"/>
      <c r="AQ115" s="280" t="s">
        <v>17</v>
      </c>
      <c r="AR115" s="281"/>
      <c r="AS115" s="281"/>
      <c r="AT115" s="282"/>
      <c r="AU115" s="280" t="s">
        <v>18</v>
      </c>
      <c r="AV115" s="281"/>
      <c r="AW115" s="281"/>
      <c r="AX115" s="282"/>
      <c r="AY115" s="280" t="s">
        <v>17</v>
      </c>
      <c r="AZ115" s="281"/>
      <c r="BA115" s="281"/>
      <c r="BB115" s="282"/>
      <c r="BC115" s="280" t="s">
        <v>18</v>
      </c>
      <c r="BD115" s="281"/>
      <c r="BE115" s="281"/>
      <c r="BF115" s="282"/>
      <c r="BG115" s="280" t="s">
        <v>17</v>
      </c>
      <c r="BH115" s="281"/>
      <c r="BI115" s="281"/>
      <c r="BJ115" s="282"/>
      <c r="BK115" s="280" t="s">
        <v>18</v>
      </c>
      <c r="BL115" s="281"/>
      <c r="BM115" s="281"/>
      <c r="BN115" s="282"/>
      <c r="BO115" s="295" t="s">
        <v>152</v>
      </c>
      <c r="BP115" s="296"/>
      <c r="BQ115" s="295" t="s">
        <v>26</v>
      </c>
      <c r="BR115" s="297"/>
      <c r="BS115" s="145" t="s">
        <v>154</v>
      </c>
      <c r="BT115" s="145" t="s">
        <v>155</v>
      </c>
      <c r="BU115" s="291"/>
    </row>
    <row r="116" spans="1:73" ht="30" x14ac:dyDescent="0.25">
      <c r="A116" s="102" t="s">
        <v>8</v>
      </c>
      <c r="B116" s="102" t="s">
        <v>84</v>
      </c>
      <c r="C116" s="121" t="s">
        <v>72</v>
      </c>
      <c r="D116" s="156" t="s">
        <v>106</v>
      </c>
      <c r="E116" s="156" t="s">
        <v>105</v>
      </c>
      <c r="F116" s="156" t="s">
        <v>104</v>
      </c>
      <c r="G116" s="110">
        <f>IF(D116=$A$129,$B$129,(IF(D116=$A$130,$B$130,IF(D116=$A$131,$B$131,$B$132))))</f>
        <v>0.33</v>
      </c>
      <c r="H116" s="110">
        <f t="shared" ref="H116:I125" si="83">IF(E116=$A$129,$B$129,(IF(E116=$A$130,$B$130,IF(E116=$A$131,$B$131,$B$132))))</f>
        <v>0.66</v>
      </c>
      <c r="I116" s="110">
        <f t="shared" si="83"/>
        <v>1</v>
      </c>
      <c r="J116" s="147">
        <f>G116*$D$143+H116*$D$144+I116*$D$145</f>
        <v>11.625</v>
      </c>
      <c r="K116" s="81">
        <v>0</v>
      </c>
      <c r="L116" s="83">
        <v>0.22000000000000003</v>
      </c>
      <c r="M116" s="83">
        <v>0.44</v>
      </c>
      <c r="N116" s="84">
        <v>0.55000000000000004</v>
      </c>
      <c r="O116" s="81">
        <v>0.06</v>
      </c>
      <c r="P116" s="83">
        <v>0.22000000000000003</v>
      </c>
      <c r="Q116" s="83">
        <v>0.44</v>
      </c>
      <c r="R116" s="84">
        <v>0.52</v>
      </c>
      <c r="S116" s="81">
        <v>0.44000000000000006</v>
      </c>
      <c r="T116" s="83">
        <v>0.55000000000000004</v>
      </c>
      <c r="U116" s="83">
        <v>0.77</v>
      </c>
      <c r="V116" s="84">
        <v>1</v>
      </c>
      <c r="W116" s="81">
        <v>0.47000000000000003</v>
      </c>
      <c r="X116" s="83">
        <v>0.55000000000000004</v>
      </c>
      <c r="Y116" s="83">
        <v>0.77</v>
      </c>
      <c r="Z116" s="84">
        <v>0.92</v>
      </c>
      <c r="AA116" s="81">
        <v>0.77</v>
      </c>
      <c r="AB116" s="83">
        <v>1</v>
      </c>
      <c r="AC116" s="83">
        <v>1</v>
      </c>
      <c r="AD116" s="84">
        <v>1</v>
      </c>
      <c r="AE116" s="81">
        <v>0.83</v>
      </c>
      <c r="AF116" s="83">
        <v>1</v>
      </c>
      <c r="AG116" s="83">
        <v>1</v>
      </c>
      <c r="AH116" s="84">
        <v>1</v>
      </c>
      <c r="AI116" s="185">
        <v>0</v>
      </c>
      <c r="AJ116" s="200">
        <v>0.44000000000000006</v>
      </c>
      <c r="AK116" s="200">
        <v>1.32</v>
      </c>
      <c r="AL116" s="186">
        <v>2.3099999999999996</v>
      </c>
      <c r="AM116" s="185">
        <v>5.3999999999999992E-2</v>
      </c>
      <c r="AN116" s="200">
        <v>0.44000000000000006</v>
      </c>
      <c r="AO116" s="200">
        <v>1.32</v>
      </c>
      <c r="AP116" s="186">
        <v>2</v>
      </c>
      <c r="AQ116" s="81">
        <v>1.1550000000000002</v>
      </c>
      <c r="AR116" s="83">
        <v>2.4750000000000001</v>
      </c>
      <c r="AS116" s="83">
        <v>4.2350000000000003</v>
      </c>
      <c r="AT116" s="83">
        <v>6.6550000000000002</v>
      </c>
      <c r="AU116" s="81">
        <v>1.5650000000000008</v>
      </c>
      <c r="AV116" s="83">
        <v>2.4750000000000001</v>
      </c>
      <c r="AW116" s="83">
        <v>4.2350000000000003</v>
      </c>
      <c r="AX116" s="84">
        <v>5.830000000000001</v>
      </c>
      <c r="AY116" s="81">
        <v>3.8900000000000006</v>
      </c>
      <c r="AZ116" s="83">
        <v>7</v>
      </c>
      <c r="BA116" s="83">
        <v>8</v>
      </c>
      <c r="BB116" s="83">
        <v>9.5</v>
      </c>
      <c r="BC116" s="81">
        <v>4.8099999999999987</v>
      </c>
      <c r="BD116" s="83">
        <v>7</v>
      </c>
      <c r="BE116" s="83">
        <v>8</v>
      </c>
      <c r="BF116" s="84">
        <v>9</v>
      </c>
      <c r="BG116" s="81">
        <f>AI116+AQ116+AY116</f>
        <v>5.0450000000000008</v>
      </c>
      <c r="BH116" s="83">
        <f t="shared" ref="BH116:BN125" si="84">AJ116+AR116+AZ116</f>
        <v>9.9149999999999991</v>
      </c>
      <c r="BI116" s="83">
        <f t="shared" si="84"/>
        <v>13.555</v>
      </c>
      <c r="BJ116" s="83">
        <f t="shared" si="84"/>
        <v>18.465</v>
      </c>
      <c r="BK116" s="81">
        <f t="shared" si="84"/>
        <v>6.4289999999999994</v>
      </c>
      <c r="BL116" s="83">
        <f t="shared" si="84"/>
        <v>9.9149999999999991</v>
      </c>
      <c r="BM116" s="83">
        <f t="shared" si="84"/>
        <v>13.555</v>
      </c>
      <c r="BN116" s="83">
        <f t="shared" si="84"/>
        <v>16.830000000000002</v>
      </c>
      <c r="BO116" s="136">
        <f>BO$9*BH116+(1-BO$9)*BG116</f>
        <v>8.9409999999999989</v>
      </c>
      <c r="BP116" s="142">
        <f>BO$9*BI116+(1-BO$9)*BJ116</f>
        <v>14.537000000000001</v>
      </c>
      <c r="BQ116" s="136">
        <f>BO$9*BL116+(1-BO$9)*BK116</f>
        <v>9.2177999999999987</v>
      </c>
      <c r="BR116" s="137">
        <f>BO$9*BM116+(1-BO$9)*BN116</f>
        <v>14.21</v>
      </c>
      <c r="BS116" s="81">
        <f>(BO116+BP116)/2</f>
        <v>11.739000000000001</v>
      </c>
      <c r="BT116" s="84">
        <f>(BQ116+BR116)/2</f>
        <v>11.713899999999999</v>
      </c>
      <c r="BU116" s="133">
        <f>(BS116+BT116)/2</f>
        <v>11.72645</v>
      </c>
    </row>
    <row r="117" spans="1:73" x14ac:dyDescent="0.25">
      <c r="A117" s="102" t="s">
        <v>9</v>
      </c>
      <c r="B117" s="102" t="s">
        <v>73</v>
      </c>
      <c r="C117" s="121" t="s">
        <v>88</v>
      </c>
      <c r="D117" s="156" t="s">
        <v>105</v>
      </c>
      <c r="E117" s="156" t="s">
        <v>106</v>
      </c>
      <c r="F117" s="156" t="s">
        <v>106</v>
      </c>
      <c r="G117" s="110">
        <f t="shared" ref="G117:G125" si="85">IF(D117=$A$129,$B$129,(IF(D117=$A$130,$B$130,IF(D117=$A$131,$B$131,$B$132))))</f>
        <v>0.66</v>
      </c>
      <c r="H117" s="110">
        <f t="shared" si="83"/>
        <v>0.33</v>
      </c>
      <c r="I117" s="110">
        <f t="shared" si="83"/>
        <v>0.33</v>
      </c>
      <c r="J117" s="147">
        <f t="shared" ref="J117:J125" si="86">G117*$D$143+H117*$D$144+I117*$D$145</f>
        <v>5.7750000000000004</v>
      </c>
      <c r="K117" s="87">
        <v>0.44000000000000006</v>
      </c>
      <c r="L117">
        <v>0.55000000000000004</v>
      </c>
      <c r="M117">
        <v>0.77</v>
      </c>
      <c r="N117" s="88">
        <v>1</v>
      </c>
      <c r="O117" s="87">
        <v>0.47000000000000003</v>
      </c>
      <c r="P117">
        <v>0.55000000000000004</v>
      </c>
      <c r="Q117">
        <v>0.77</v>
      </c>
      <c r="R117" s="88">
        <v>0.92</v>
      </c>
      <c r="S117" s="87">
        <v>0</v>
      </c>
      <c r="T117">
        <v>0.22000000000000003</v>
      </c>
      <c r="U117">
        <v>0.44</v>
      </c>
      <c r="V117" s="88">
        <v>0.55000000000000004</v>
      </c>
      <c r="W117" s="87">
        <v>0.06</v>
      </c>
      <c r="X117">
        <v>0.22000000000000003</v>
      </c>
      <c r="Y117">
        <v>0.44</v>
      </c>
      <c r="Z117" s="88">
        <v>0.52</v>
      </c>
      <c r="AA117" s="87">
        <v>0</v>
      </c>
      <c r="AB117">
        <v>0.22000000000000003</v>
      </c>
      <c r="AC117">
        <v>0.44</v>
      </c>
      <c r="AD117" s="88">
        <v>0.55000000000000004</v>
      </c>
      <c r="AE117" s="87">
        <v>0.06</v>
      </c>
      <c r="AF117">
        <v>0.22000000000000003</v>
      </c>
      <c r="AG117">
        <v>0.44</v>
      </c>
      <c r="AH117" s="88">
        <v>0.52</v>
      </c>
      <c r="AI117" s="87">
        <v>0.60499999999999998</v>
      </c>
      <c r="AJ117">
        <v>1.1000000000000001</v>
      </c>
      <c r="AK117">
        <v>2.31</v>
      </c>
      <c r="AL117" s="88">
        <v>4.1549999999999994</v>
      </c>
      <c r="AM117" s="87">
        <v>0.77499999999999991</v>
      </c>
      <c r="AN117">
        <v>1.1000000000000001</v>
      </c>
      <c r="AO117">
        <v>2.31</v>
      </c>
      <c r="AP117" s="88">
        <v>3.53</v>
      </c>
      <c r="AQ117" s="187">
        <v>0</v>
      </c>
      <c r="AR117" s="179">
        <v>0.9900000000000001</v>
      </c>
      <c r="AS117" s="179">
        <v>2.42</v>
      </c>
      <c r="AT117" s="179">
        <v>3.6850000000000005</v>
      </c>
      <c r="AU117" s="187">
        <v>4.9999999999999933E-2</v>
      </c>
      <c r="AV117" s="179">
        <v>0.9900000000000001</v>
      </c>
      <c r="AW117" s="179">
        <v>2.42</v>
      </c>
      <c r="AX117" s="188">
        <v>3.3000000000000007</v>
      </c>
      <c r="AY117" s="187">
        <v>0</v>
      </c>
      <c r="AZ117" s="179">
        <v>1.5400000000000003</v>
      </c>
      <c r="BA117" s="179">
        <v>3.52</v>
      </c>
      <c r="BB117" s="179">
        <v>5.0600000000000005</v>
      </c>
      <c r="BC117" s="187">
        <v>0.19999999999999996</v>
      </c>
      <c r="BD117" s="179">
        <v>1.5400000000000003</v>
      </c>
      <c r="BE117" s="179">
        <v>3.52</v>
      </c>
      <c r="BF117" s="188">
        <v>4.6000000000000014</v>
      </c>
      <c r="BG117" s="187">
        <f t="shared" ref="BG117:BG125" si="87">AI117+AQ117+AY117</f>
        <v>0.60499999999999998</v>
      </c>
      <c r="BH117" s="179">
        <f t="shared" si="84"/>
        <v>3.6300000000000008</v>
      </c>
      <c r="BI117" s="179">
        <f t="shared" si="84"/>
        <v>8.25</v>
      </c>
      <c r="BJ117" s="179">
        <f t="shared" si="84"/>
        <v>12.9</v>
      </c>
      <c r="BK117" s="187">
        <f t="shared" si="84"/>
        <v>1.0249999999999999</v>
      </c>
      <c r="BL117" s="179">
        <f t="shared" si="84"/>
        <v>3.6300000000000008</v>
      </c>
      <c r="BM117" s="179">
        <f t="shared" si="84"/>
        <v>8.25</v>
      </c>
      <c r="BN117" s="179">
        <f t="shared" si="84"/>
        <v>11.430000000000001</v>
      </c>
      <c r="BO117" s="138">
        <f t="shared" ref="BO117:BO125" si="88">BO$9*BH117+(1-BO$9)*BG117</f>
        <v>3.0250000000000008</v>
      </c>
      <c r="BP117" s="143">
        <f t="shared" ref="BP117:BP125" si="89">BO$9*BI117+(1-BO$9)*BJ117</f>
        <v>9.18</v>
      </c>
      <c r="BQ117" s="138">
        <f t="shared" ref="BQ117:BQ125" si="90">BO$9*BL117+(1-BO$9)*BK117</f>
        <v>3.1090000000000009</v>
      </c>
      <c r="BR117" s="139">
        <f t="shared" ref="BR117:BR125" si="91">BO$9*BM117+(1-BO$9)*BN117</f>
        <v>8.8859999999999992</v>
      </c>
      <c r="BS117" s="87">
        <f t="shared" ref="BS117:BS125" si="92">(BO117+BP117)/2</f>
        <v>6.1025</v>
      </c>
      <c r="BT117" s="88">
        <f t="shared" ref="BT117:BT125" si="93">(BQ117+BR117)/2</f>
        <v>5.9975000000000005</v>
      </c>
      <c r="BU117" s="134">
        <f t="shared" ref="BU117:BU125" si="94">(BS117+BT117)/2</f>
        <v>6.0500000000000007</v>
      </c>
    </row>
    <row r="118" spans="1:73" x14ac:dyDescent="0.25">
      <c r="A118" s="102" t="s">
        <v>10</v>
      </c>
      <c r="B118" s="102" t="s">
        <v>74</v>
      </c>
      <c r="C118" s="121" t="s">
        <v>89</v>
      </c>
      <c r="D118" s="156" t="s">
        <v>105</v>
      </c>
      <c r="E118" s="156" t="s">
        <v>104</v>
      </c>
      <c r="F118" s="156" t="s">
        <v>105</v>
      </c>
      <c r="G118" s="110">
        <f t="shared" si="85"/>
        <v>0.66</v>
      </c>
      <c r="H118" s="110">
        <f t="shared" si="83"/>
        <v>1</v>
      </c>
      <c r="I118" s="110">
        <f t="shared" si="83"/>
        <v>0.66</v>
      </c>
      <c r="J118" s="147">
        <f t="shared" si="86"/>
        <v>11.600000000000001</v>
      </c>
      <c r="K118" s="87">
        <v>0.44000000000000006</v>
      </c>
      <c r="L118">
        <v>0.55000000000000004</v>
      </c>
      <c r="M118">
        <v>0.77</v>
      </c>
      <c r="N118" s="88">
        <v>1</v>
      </c>
      <c r="O118" s="87">
        <v>0.47000000000000003</v>
      </c>
      <c r="P118">
        <v>0.55000000000000004</v>
      </c>
      <c r="Q118">
        <v>0.77</v>
      </c>
      <c r="R118" s="88">
        <v>0.92</v>
      </c>
      <c r="S118" s="87">
        <v>0.77</v>
      </c>
      <c r="T118">
        <v>1</v>
      </c>
      <c r="U118">
        <v>1</v>
      </c>
      <c r="V118" s="88">
        <v>1</v>
      </c>
      <c r="W118" s="87">
        <v>0.83</v>
      </c>
      <c r="X118">
        <v>1</v>
      </c>
      <c r="Y118">
        <v>1</v>
      </c>
      <c r="Z118" s="88">
        <v>1</v>
      </c>
      <c r="AA118" s="87">
        <v>0.44000000000000006</v>
      </c>
      <c r="AB118">
        <v>0.55000000000000004</v>
      </c>
      <c r="AC118">
        <v>0.77</v>
      </c>
      <c r="AD118" s="88">
        <v>1</v>
      </c>
      <c r="AE118" s="87">
        <v>0.47000000000000003</v>
      </c>
      <c r="AF118">
        <v>0.55000000000000004</v>
      </c>
      <c r="AG118">
        <v>0.77</v>
      </c>
      <c r="AH118" s="88">
        <v>0.92</v>
      </c>
      <c r="AI118" s="87">
        <v>0.60499999999999998</v>
      </c>
      <c r="AJ118">
        <v>1.1000000000000001</v>
      </c>
      <c r="AK118">
        <v>2.31</v>
      </c>
      <c r="AL118" s="88">
        <v>4.1549999999999994</v>
      </c>
      <c r="AM118" s="87">
        <v>0.77499999999999991</v>
      </c>
      <c r="AN118">
        <v>1.1000000000000001</v>
      </c>
      <c r="AO118">
        <v>2.31</v>
      </c>
      <c r="AP118" s="88">
        <v>3.53</v>
      </c>
      <c r="AQ118" s="87">
        <v>1.9649999999999999</v>
      </c>
      <c r="AR118">
        <v>4.5</v>
      </c>
      <c r="AS118">
        <v>5.5</v>
      </c>
      <c r="AT118">
        <v>7</v>
      </c>
      <c r="AU118" s="87">
        <v>2.7349999999999994</v>
      </c>
      <c r="AV118">
        <v>4.5</v>
      </c>
      <c r="AW118">
        <v>5.5</v>
      </c>
      <c r="AX118" s="88">
        <v>6.5</v>
      </c>
      <c r="AY118" s="87">
        <v>2.2549999999999999</v>
      </c>
      <c r="AZ118">
        <v>3.8500000000000005</v>
      </c>
      <c r="BA118">
        <v>6.16</v>
      </c>
      <c r="BB118">
        <v>9.1550000000000011</v>
      </c>
      <c r="BC118" s="87">
        <v>2.7399999999999993</v>
      </c>
      <c r="BD118">
        <v>3.8500000000000005</v>
      </c>
      <c r="BE118">
        <v>6.16</v>
      </c>
      <c r="BF118" s="88">
        <v>8.129999999999999</v>
      </c>
      <c r="BG118" s="87">
        <f t="shared" si="87"/>
        <v>4.8249999999999993</v>
      </c>
      <c r="BH118">
        <f t="shared" si="84"/>
        <v>9.4499999999999993</v>
      </c>
      <c r="BI118">
        <f t="shared" si="84"/>
        <v>13.97</v>
      </c>
      <c r="BJ118">
        <f t="shared" si="84"/>
        <v>20.310000000000002</v>
      </c>
      <c r="BK118" s="87">
        <f t="shared" si="84"/>
        <v>6.2499999999999982</v>
      </c>
      <c r="BL118">
        <f t="shared" si="84"/>
        <v>9.4499999999999993</v>
      </c>
      <c r="BM118">
        <f t="shared" si="84"/>
        <v>13.97</v>
      </c>
      <c r="BN118">
        <f t="shared" si="84"/>
        <v>18.159999999999997</v>
      </c>
      <c r="BO118" s="138">
        <f t="shared" si="88"/>
        <v>8.5249999999999986</v>
      </c>
      <c r="BP118" s="143">
        <f t="shared" si="89"/>
        <v>15.238000000000001</v>
      </c>
      <c r="BQ118" s="138">
        <f t="shared" si="90"/>
        <v>8.8099999999999987</v>
      </c>
      <c r="BR118" s="139">
        <f t="shared" si="91"/>
        <v>14.808</v>
      </c>
      <c r="BS118" s="87">
        <f t="shared" si="92"/>
        <v>11.881499999999999</v>
      </c>
      <c r="BT118" s="88">
        <f t="shared" si="93"/>
        <v>11.808999999999999</v>
      </c>
      <c r="BU118" s="134">
        <f t="shared" si="94"/>
        <v>11.84525</v>
      </c>
    </row>
    <row r="119" spans="1:73" x14ac:dyDescent="0.25">
      <c r="A119" s="102" t="s">
        <v>65</v>
      </c>
      <c r="B119" s="102" t="s">
        <v>75</v>
      </c>
      <c r="C119" s="121" t="s">
        <v>76</v>
      </c>
      <c r="D119" s="156" t="s">
        <v>104</v>
      </c>
      <c r="E119" s="156" t="s">
        <v>105</v>
      </c>
      <c r="F119" s="156" t="s">
        <v>106</v>
      </c>
      <c r="G119" s="110">
        <f t="shared" si="85"/>
        <v>1</v>
      </c>
      <c r="H119" s="110">
        <f t="shared" si="83"/>
        <v>0.66</v>
      </c>
      <c r="I119" s="110">
        <f t="shared" si="83"/>
        <v>0.33</v>
      </c>
      <c r="J119" s="147">
        <f t="shared" si="86"/>
        <v>8.2750000000000004</v>
      </c>
      <c r="K119" s="87">
        <v>0.77</v>
      </c>
      <c r="L119">
        <v>1</v>
      </c>
      <c r="M119">
        <v>1</v>
      </c>
      <c r="N119" s="88">
        <v>1</v>
      </c>
      <c r="O119" s="87">
        <v>0.83</v>
      </c>
      <c r="P119">
        <v>1</v>
      </c>
      <c r="Q119">
        <v>1</v>
      </c>
      <c r="R119" s="88">
        <v>1</v>
      </c>
      <c r="S119" s="87">
        <v>0.44000000000000006</v>
      </c>
      <c r="T119">
        <v>0.55000000000000004</v>
      </c>
      <c r="U119">
        <v>0.77</v>
      </c>
      <c r="V119" s="88">
        <v>1</v>
      </c>
      <c r="W119" s="87">
        <v>0.47000000000000003</v>
      </c>
      <c r="X119">
        <v>0.55000000000000004</v>
      </c>
      <c r="Y119">
        <v>0.77</v>
      </c>
      <c r="Z119" s="88">
        <v>0.92</v>
      </c>
      <c r="AA119" s="87">
        <v>0</v>
      </c>
      <c r="AB119">
        <v>0.22000000000000003</v>
      </c>
      <c r="AC119">
        <v>0.44</v>
      </c>
      <c r="AD119" s="88">
        <v>0.55000000000000004</v>
      </c>
      <c r="AE119" s="87">
        <v>0.06</v>
      </c>
      <c r="AF119">
        <v>0.22000000000000003</v>
      </c>
      <c r="AG119">
        <v>0.44</v>
      </c>
      <c r="AH119" s="88">
        <v>0.52</v>
      </c>
      <c r="AI119" s="87">
        <v>1.04</v>
      </c>
      <c r="AJ119">
        <v>2</v>
      </c>
      <c r="AK119">
        <v>3</v>
      </c>
      <c r="AL119" s="88">
        <v>4.5</v>
      </c>
      <c r="AM119" s="87">
        <v>1.3599999999999999</v>
      </c>
      <c r="AN119">
        <v>2</v>
      </c>
      <c r="AO119">
        <v>3</v>
      </c>
      <c r="AP119" s="88">
        <v>4</v>
      </c>
      <c r="AQ119" s="87">
        <v>1.1550000000000002</v>
      </c>
      <c r="AR119">
        <v>2.4750000000000001</v>
      </c>
      <c r="AS119">
        <v>4.2350000000000003</v>
      </c>
      <c r="AT119">
        <v>6.6550000000000002</v>
      </c>
      <c r="AU119" s="87">
        <v>1.5650000000000008</v>
      </c>
      <c r="AV119">
        <v>2.4750000000000001</v>
      </c>
      <c r="AW119">
        <v>4.2350000000000003</v>
      </c>
      <c r="AX119" s="88">
        <v>5.830000000000001</v>
      </c>
      <c r="AY119" s="187">
        <v>0</v>
      </c>
      <c r="AZ119" s="179">
        <v>1.5400000000000003</v>
      </c>
      <c r="BA119" s="179">
        <v>3.52</v>
      </c>
      <c r="BB119" s="179">
        <v>5.0600000000000005</v>
      </c>
      <c r="BC119" s="187">
        <v>0.19999999999999996</v>
      </c>
      <c r="BD119" s="179">
        <v>1.5400000000000003</v>
      </c>
      <c r="BE119" s="179">
        <v>3.52</v>
      </c>
      <c r="BF119" s="188">
        <v>4.6000000000000014</v>
      </c>
      <c r="BG119" s="87">
        <f t="shared" si="87"/>
        <v>2.1950000000000003</v>
      </c>
      <c r="BH119">
        <f t="shared" si="84"/>
        <v>6.0149999999999997</v>
      </c>
      <c r="BI119">
        <f t="shared" si="84"/>
        <v>10.755000000000001</v>
      </c>
      <c r="BJ119">
        <f t="shared" si="84"/>
        <v>16.215000000000003</v>
      </c>
      <c r="BK119" s="87">
        <f t="shared" si="84"/>
        <v>3.1250000000000009</v>
      </c>
      <c r="BL119">
        <f t="shared" si="84"/>
        <v>6.0149999999999997</v>
      </c>
      <c r="BM119">
        <f t="shared" si="84"/>
        <v>10.755000000000001</v>
      </c>
      <c r="BN119">
        <f t="shared" si="84"/>
        <v>14.430000000000003</v>
      </c>
      <c r="BO119" s="138">
        <f t="shared" si="88"/>
        <v>5.2510000000000003</v>
      </c>
      <c r="BP119" s="143">
        <f t="shared" si="89"/>
        <v>11.847000000000001</v>
      </c>
      <c r="BQ119" s="138">
        <f t="shared" si="90"/>
        <v>5.4370000000000003</v>
      </c>
      <c r="BR119" s="139">
        <f t="shared" si="91"/>
        <v>11.490000000000002</v>
      </c>
      <c r="BS119" s="87">
        <f t="shared" si="92"/>
        <v>8.5490000000000013</v>
      </c>
      <c r="BT119" s="88">
        <f t="shared" si="93"/>
        <v>8.4635000000000016</v>
      </c>
      <c r="BU119" s="134">
        <f t="shared" si="94"/>
        <v>8.5062500000000014</v>
      </c>
    </row>
    <row r="120" spans="1:73" ht="30" x14ac:dyDescent="0.25">
      <c r="A120" s="102" t="s">
        <v>66</v>
      </c>
      <c r="B120" s="102" t="s">
        <v>77</v>
      </c>
      <c r="C120" s="121" t="s">
        <v>90</v>
      </c>
      <c r="D120" s="156" t="s">
        <v>105</v>
      </c>
      <c r="E120" s="156" t="s">
        <v>104</v>
      </c>
      <c r="F120" s="156" t="s">
        <v>106</v>
      </c>
      <c r="G120" s="110">
        <f t="shared" si="85"/>
        <v>0.66</v>
      </c>
      <c r="H120" s="110">
        <f t="shared" si="83"/>
        <v>1</v>
      </c>
      <c r="I120" s="110">
        <f t="shared" si="83"/>
        <v>0.33</v>
      </c>
      <c r="J120" s="147">
        <f t="shared" si="86"/>
        <v>9.125</v>
      </c>
      <c r="K120" s="87">
        <v>0.44000000000000006</v>
      </c>
      <c r="L120">
        <v>0.55000000000000004</v>
      </c>
      <c r="M120">
        <v>0.77</v>
      </c>
      <c r="N120" s="88">
        <v>1</v>
      </c>
      <c r="O120" s="87">
        <v>0.47000000000000003</v>
      </c>
      <c r="P120">
        <v>0.55000000000000004</v>
      </c>
      <c r="Q120">
        <v>0.77</v>
      </c>
      <c r="R120" s="88">
        <v>0.92</v>
      </c>
      <c r="S120" s="87">
        <v>0.77</v>
      </c>
      <c r="T120">
        <v>1</v>
      </c>
      <c r="U120">
        <v>1</v>
      </c>
      <c r="V120" s="88">
        <v>1</v>
      </c>
      <c r="W120" s="87">
        <v>0.83</v>
      </c>
      <c r="X120">
        <v>1</v>
      </c>
      <c r="Y120">
        <v>1</v>
      </c>
      <c r="Z120" s="88">
        <v>1</v>
      </c>
      <c r="AA120" s="87">
        <v>0</v>
      </c>
      <c r="AB120">
        <v>0.22000000000000003</v>
      </c>
      <c r="AC120">
        <v>0.44</v>
      </c>
      <c r="AD120" s="88">
        <v>0.55000000000000004</v>
      </c>
      <c r="AE120" s="87">
        <v>0.06</v>
      </c>
      <c r="AF120">
        <v>0.22000000000000003</v>
      </c>
      <c r="AG120">
        <v>0.44</v>
      </c>
      <c r="AH120" s="88">
        <v>0.52</v>
      </c>
      <c r="AI120" s="87">
        <v>0.60499999999999998</v>
      </c>
      <c r="AJ120">
        <v>1.1000000000000001</v>
      </c>
      <c r="AK120">
        <v>2.31</v>
      </c>
      <c r="AL120" s="88">
        <v>4.1549999999999994</v>
      </c>
      <c r="AM120" s="87">
        <v>0.77499999999999991</v>
      </c>
      <c r="AN120">
        <v>1.1000000000000001</v>
      </c>
      <c r="AO120">
        <v>2.31</v>
      </c>
      <c r="AP120" s="88">
        <v>3.53</v>
      </c>
      <c r="AQ120" s="87">
        <v>1.9649999999999999</v>
      </c>
      <c r="AR120">
        <v>4.5</v>
      </c>
      <c r="AS120">
        <v>5.5</v>
      </c>
      <c r="AT120">
        <v>7</v>
      </c>
      <c r="AU120" s="87">
        <v>2.7349999999999994</v>
      </c>
      <c r="AV120">
        <v>4.5</v>
      </c>
      <c r="AW120">
        <v>5.5</v>
      </c>
      <c r="AX120" s="88">
        <v>6.5</v>
      </c>
      <c r="AY120" s="187">
        <v>0</v>
      </c>
      <c r="AZ120" s="179">
        <v>1.5400000000000003</v>
      </c>
      <c r="BA120" s="179">
        <v>3.52</v>
      </c>
      <c r="BB120" s="179">
        <v>5.0600000000000005</v>
      </c>
      <c r="BC120" s="187">
        <v>0.19999999999999996</v>
      </c>
      <c r="BD120" s="179">
        <v>1.5400000000000003</v>
      </c>
      <c r="BE120" s="179">
        <v>3.52</v>
      </c>
      <c r="BF120" s="188">
        <v>4.6000000000000014</v>
      </c>
      <c r="BG120" s="87">
        <f t="shared" si="87"/>
        <v>2.57</v>
      </c>
      <c r="BH120">
        <f t="shared" si="84"/>
        <v>7.14</v>
      </c>
      <c r="BI120">
        <f t="shared" si="84"/>
        <v>11.33</v>
      </c>
      <c r="BJ120">
        <f t="shared" si="84"/>
        <v>16.215</v>
      </c>
      <c r="BK120" s="87">
        <f t="shared" si="84"/>
        <v>3.7099999999999991</v>
      </c>
      <c r="BL120">
        <f t="shared" si="84"/>
        <v>7.14</v>
      </c>
      <c r="BM120">
        <f t="shared" si="84"/>
        <v>11.33</v>
      </c>
      <c r="BN120">
        <f t="shared" si="84"/>
        <v>14.63</v>
      </c>
      <c r="BO120" s="138">
        <f t="shared" si="88"/>
        <v>6.226</v>
      </c>
      <c r="BP120" s="143">
        <f t="shared" si="89"/>
        <v>12.306999999999999</v>
      </c>
      <c r="BQ120" s="138">
        <f t="shared" si="90"/>
        <v>6.4539999999999997</v>
      </c>
      <c r="BR120" s="139">
        <f t="shared" si="91"/>
        <v>11.99</v>
      </c>
      <c r="BS120" s="87">
        <f t="shared" si="92"/>
        <v>9.2664999999999988</v>
      </c>
      <c r="BT120" s="88">
        <f t="shared" si="93"/>
        <v>9.2219999999999995</v>
      </c>
      <c r="BU120" s="134">
        <f t="shared" si="94"/>
        <v>9.2442499999999992</v>
      </c>
    </row>
    <row r="121" spans="1:73" x14ac:dyDescent="0.25">
      <c r="A121" s="102" t="s">
        <v>67</v>
      </c>
      <c r="B121" s="102" t="s">
        <v>78</v>
      </c>
      <c r="C121" s="121" t="s">
        <v>91</v>
      </c>
      <c r="D121" s="156" t="s">
        <v>106</v>
      </c>
      <c r="E121" s="156" t="s">
        <v>105</v>
      </c>
      <c r="F121" s="156" t="s">
        <v>106</v>
      </c>
      <c r="G121" s="110">
        <f t="shared" si="85"/>
        <v>0.33</v>
      </c>
      <c r="H121" s="110">
        <f t="shared" si="83"/>
        <v>0.66</v>
      </c>
      <c r="I121" s="110">
        <f t="shared" si="83"/>
        <v>0.33</v>
      </c>
      <c r="J121" s="147">
        <f t="shared" si="86"/>
        <v>6.6</v>
      </c>
      <c r="K121" s="87">
        <v>0</v>
      </c>
      <c r="L121">
        <v>0.22000000000000003</v>
      </c>
      <c r="M121">
        <v>0.44</v>
      </c>
      <c r="N121" s="88">
        <v>0.55000000000000004</v>
      </c>
      <c r="O121" s="87">
        <v>0.06</v>
      </c>
      <c r="P121">
        <v>0.22000000000000003</v>
      </c>
      <c r="Q121">
        <v>0.44</v>
      </c>
      <c r="R121" s="88">
        <v>0.52</v>
      </c>
      <c r="S121" s="87">
        <v>0.44000000000000006</v>
      </c>
      <c r="T121">
        <v>0.55000000000000004</v>
      </c>
      <c r="U121">
        <v>0.77</v>
      </c>
      <c r="V121" s="88">
        <v>1</v>
      </c>
      <c r="W121" s="87">
        <v>0.47000000000000003</v>
      </c>
      <c r="X121">
        <v>0.55000000000000004</v>
      </c>
      <c r="Y121">
        <v>0.77</v>
      </c>
      <c r="Z121" s="88">
        <v>0.92</v>
      </c>
      <c r="AA121" s="87">
        <v>0</v>
      </c>
      <c r="AB121">
        <v>0.22000000000000003</v>
      </c>
      <c r="AC121">
        <v>0.44</v>
      </c>
      <c r="AD121" s="88">
        <v>0.55000000000000004</v>
      </c>
      <c r="AE121" s="87">
        <v>0.06</v>
      </c>
      <c r="AF121">
        <v>0.22000000000000003</v>
      </c>
      <c r="AG121">
        <v>0.44</v>
      </c>
      <c r="AH121" s="88">
        <v>0.52</v>
      </c>
      <c r="AI121" s="187">
        <v>0</v>
      </c>
      <c r="AJ121" s="179">
        <v>0.44000000000000006</v>
      </c>
      <c r="AK121" s="179">
        <v>1.32</v>
      </c>
      <c r="AL121" s="188">
        <v>2.3099999999999996</v>
      </c>
      <c r="AM121" s="187">
        <v>5.3999999999999992E-2</v>
      </c>
      <c r="AN121" s="179">
        <v>0.44000000000000006</v>
      </c>
      <c r="AO121" s="179">
        <v>1.32</v>
      </c>
      <c r="AP121" s="188">
        <v>2</v>
      </c>
      <c r="AQ121" s="87">
        <v>1.1550000000000002</v>
      </c>
      <c r="AR121">
        <v>2.4750000000000001</v>
      </c>
      <c r="AS121">
        <v>4.2350000000000003</v>
      </c>
      <c r="AT121">
        <v>6.6550000000000002</v>
      </c>
      <c r="AU121" s="87">
        <v>1.5650000000000008</v>
      </c>
      <c r="AV121">
        <v>2.4750000000000001</v>
      </c>
      <c r="AW121">
        <v>4.2350000000000003</v>
      </c>
      <c r="AX121" s="88">
        <v>5.830000000000001</v>
      </c>
      <c r="AY121" s="187">
        <v>0</v>
      </c>
      <c r="AZ121" s="179">
        <v>1.5400000000000003</v>
      </c>
      <c r="BA121" s="179">
        <v>3.52</v>
      </c>
      <c r="BB121" s="179">
        <v>5.0600000000000005</v>
      </c>
      <c r="BC121" s="187">
        <v>0.19999999999999996</v>
      </c>
      <c r="BD121" s="179">
        <v>1.5400000000000003</v>
      </c>
      <c r="BE121" s="179">
        <v>3.52</v>
      </c>
      <c r="BF121" s="188">
        <v>4.6000000000000014</v>
      </c>
      <c r="BG121" s="87">
        <f t="shared" si="87"/>
        <v>1.1550000000000002</v>
      </c>
      <c r="BH121">
        <f t="shared" si="84"/>
        <v>4.4550000000000001</v>
      </c>
      <c r="BI121">
        <f t="shared" si="84"/>
        <v>9.0750000000000011</v>
      </c>
      <c r="BJ121">
        <f t="shared" si="84"/>
        <v>14.025</v>
      </c>
      <c r="BK121" s="87">
        <f t="shared" si="84"/>
        <v>1.8190000000000008</v>
      </c>
      <c r="BL121">
        <f t="shared" si="84"/>
        <v>4.4550000000000001</v>
      </c>
      <c r="BM121">
        <f t="shared" si="84"/>
        <v>9.0750000000000011</v>
      </c>
      <c r="BN121">
        <f t="shared" si="84"/>
        <v>12.430000000000003</v>
      </c>
      <c r="BO121" s="138">
        <f t="shared" si="88"/>
        <v>3.7949999999999999</v>
      </c>
      <c r="BP121" s="143">
        <f t="shared" si="89"/>
        <v>10.065000000000001</v>
      </c>
      <c r="BQ121" s="138">
        <f t="shared" si="90"/>
        <v>3.9278</v>
      </c>
      <c r="BR121" s="139">
        <f t="shared" si="91"/>
        <v>9.7460000000000022</v>
      </c>
      <c r="BS121" s="87">
        <f t="shared" si="92"/>
        <v>6.9300000000000006</v>
      </c>
      <c r="BT121" s="88">
        <f t="shared" si="93"/>
        <v>6.8369000000000009</v>
      </c>
      <c r="BU121" s="134">
        <f t="shared" si="94"/>
        <v>6.8834500000000007</v>
      </c>
    </row>
    <row r="122" spans="1:73" ht="30" x14ac:dyDescent="0.25">
      <c r="A122" s="102" t="s">
        <v>68</v>
      </c>
      <c r="B122" s="102" t="s">
        <v>79</v>
      </c>
      <c r="C122" s="121" t="s">
        <v>92</v>
      </c>
      <c r="D122" s="156" t="s">
        <v>104</v>
      </c>
      <c r="E122" s="156" t="s">
        <v>105</v>
      </c>
      <c r="F122" s="156" t="s">
        <v>106</v>
      </c>
      <c r="G122" s="110">
        <f t="shared" si="85"/>
        <v>1</v>
      </c>
      <c r="H122" s="110">
        <f t="shared" si="83"/>
        <v>0.66</v>
      </c>
      <c r="I122" s="110">
        <f t="shared" si="83"/>
        <v>0.33</v>
      </c>
      <c r="J122" s="147">
        <f t="shared" si="86"/>
        <v>8.2750000000000004</v>
      </c>
      <c r="K122" s="87">
        <v>0.77</v>
      </c>
      <c r="L122">
        <v>1</v>
      </c>
      <c r="M122">
        <v>1</v>
      </c>
      <c r="N122" s="88">
        <v>1</v>
      </c>
      <c r="O122" s="87">
        <v>0.83</v>
      </c>
      <c r="P122">
        <v>1</v>
      </c>
      <c r="Q122">
        <v>1</v>
      </c>
      <c r="R122" s="88">
        <v>1</v>
      </c>
      <c r="S122" s="87">
        <v>0.44000000000000006</v>
      </c>
      <c r="T122">
        <v>0.55000000000000004</v>
      </c>
      <c r="U122">
        <v>0.77</v>
      </c>
      <c r="V122" s="88">
        <v>1</v>
      </c>
      <c r="W122" s="87">
        <v>0.47000000000000003</v>
      </c>
      <c r="X122">
        <v>0.55000000000000004</v>
      </c>
      <c r="Y122">
        <v>0.77</v>
      </c>
      <c r="Z122" s="88">
        <v>0.92</v>
      </c>
      <c r="AA122" s="87">
        <v>0</v>
      </c>
      <c r="AB122">
        <v>0.22000000000000003</v>
      </c>
      <c r="AC122">
        <v>0.44</v>
      </c>
      <c r="AD122" s="88">
        <v>0.55000000000000004</v>
      </c>
      <c r="AE122" s="87">
        <v>0.06</v>
      </c>
      <c r="AF122">
        <v>0.22000000000000003</v>
      </c>
      <c r="AG122">
        <v>0.44</v>
      </c>
      <c r="AH122" s="88">
        <v>0.52</v>
      </c>
      <c r="AI122" s="87">
        <v>1.04</v>
      </c>
      <c r="AJ122">
        <v>2</v>
      </c>
      <c r="AK122">
        <v>3</v>
      </c>
      <c r="AL122" s="88">
        <v>4.5</v>
      </c>
      <c r="AM122" s="87">
        <v>1.3599999999999999</v>
      </c>
      <c r="AN122">
        <v>2</v>
      </c>
      <c r="AO122">
        <v>3</v>
      </c>
      <c r="AP122" s="88">
        <v>4</v>
      </c>
      <c r="AQ122" s="87">
        <v>1.1550000000000002</v>
      </c>
      <c r="AR122">
        <v>2.4750000000000001</v>
      </c>
      <c r="AS122">
        <v>4.2350000000000003</v>
      </c>
      <c r="AT122">
        <v>6.6550000000000002</v>
      </c>
      <c r="AU122" s="87">
        <v>1.5650000000000008</v>
      </c>
      <c r="AV122">
        <v>2.4750000000000001</v>
      </c>
      <c r="AW122">
        <v>4.2350000000000003</v>
      </c>
      <c r="AX122" s="88">
        <v>5.830000000000001</v>
      </c>
      <c r="AY122" s="187">
        <v>0</v>
      </c>
      <c r="AZ122" s="179">
        <v>1.5400000000000003</v>
      </c>
      <c r="BA122" s="179">
        <v>3.52</v>
      </c>
      <c r="BB122" s="179">
        <v>5.0600000000000005</v>
      </c>
      <c r="BC122" s="187">
        <v>0.19999999999999996</v>
      </c>
      <c r="BD122" s="179">
        <v>1.5400000000000003</v>
      </c>
      <c r="BE122" s="179">
        <v>3.52</v>
      </c>
      <c r="BF122" s="188">
        <v>4.6000000000000014</v>
      </c>
      <c r="BG122" s="87">
        <f t="shared" si="87"/>
        <v>2.1950000000000003</v>
      </c>
      <c r="BH122">
        <f t="shared" si="84"/>
        <v>6.0149999999999997</v>
      </c>
      <c r="BI122">
        <f t="shared" si="84"/>
        <v>10.755000000000001</v>
      </c>
      <c r="BJ122">
        <f t="shared" si="84"/>
        <v>16.215000000000003</v>
      </c>
      <c r="BK122" s="87">
        <f t="shared" si="84"/>
        <v>3.1250000000000009</v>
      </c>
      <c r="BL122">
        <f t="shared" si="84"/>
        <v>6.0149999999999997</v>
      </c>
      <c r="BM122">
        <f t="shared" si="84"/>
        <v>10.755000000000001</v>
      </c>
      <c r="BN122">
        <f t="shared" si="84"/>
        <v>14.430000000000003</v>
      </c>
      <c r="BO122" s="138">
        <f t="shared" si="88"/>
        <v>5.2510000000000003</v>
      </c>
      <c r="BP122" s="143">
        <f t="shared" si="89"/>
        <v>11.847000000000001</v>
      </c>
      <c r="BQ122" s="138">
        <f t="shared" si="90"/>
        <v>5.4370000000000003</v>
      </c>
      <c r="BR122" s="139">
        <f t="shared" si="91"/>
        <v>11.490000000000002</v>
      </c>
      <c r="BS122" s="87">
        <f t="shared" si="92"/>
        <v>8.5490000000000013</v>
      </c>
      <c r="BT122" s="88">
        <f t="shared" si="93"/>
        <v>8.4635000000000016</v>
      </c>
      <c r="BU122" s="134">
        <f t="shared" si="94"/>
        <v>8.5062500000000014</v>
      </c>
    </row>
    <row r="123" spans="1:73" ht="30" x14ac:dyDescent="0.25">
      <c r="A123" s="102" t="s">
        <v>69</v>
      </c>
      <c r="B123" s="102" t="s">
        <v>80</v>
      </c>
      <c r="C123" s="121" t="s">
        <v>81</v>
      </c>
      <c r="D123" s="156" t="s">
        <v>105</v>
      </c>
      <c r="E123" s="156" t="s">
        <v>106</v>
      </c>
      <c r="F123" s="156" t="s">
        <v>104</v>
      </c>
      <c r="G123" s="110">
        <f t="shared" si="85"/>
        <v>0.66</v>
      </c>
      <c r="H123" s="110">
        <f t="shared" si="83"/>
        <v>0.33</v>
      </c>
      <c r="I123" s="110">
        <f t="shared" si="83"/>
        <v>1</v>
      </c>
      <c r="J123" s="147">
        <f t="shared" si="86"/>
        <v>10.8</v>
      </c>
      <c r="K123" s="87">
        <v>0.44000000000000006</v>
      </c>
      <c r="L123">
        <v>0.55000000000000004</v>
      </c>
      <c r="M123">
        <v>0.77</v>
      </c>
      <c r="N123" s="88">
        <v>1</v>
      </c>
      <c r="O123" s="87">
        <v>0.47000000000000003</v>
      </c>
      <c r="P123">
        <v>0.55000000000000004</v>
      </c>
      <c r="Q123">
        <v>0.77</v>
      </c>
      <c r="R123" s="88">
        <v>0.92</v>
      </c>
      <c r="S123" s="87">
        <v>0</v>
      </c>
      <c r="T123">
        <v>0.22000000000000003</v>
      </c>
      <c r="U123">
        <v>0.44</v>
      </c>
      <c r="V123" s="88">
        <v>0.55000000000000004</v>
      </c>
      <c r="W123" s="87">
        <v>0.06</v>
      </c>
      <c r="X123">
        <v>0.22000000000000003</v>
      </c>
      <c r="Y123">
        <v>0.44</v>
      </c>
      <c r="Z123" s="88">
        <v>0.52</v>
      </c>
      <c r="AA123" s="87">
        <v>0.77</v>
      </c>
      <c r="AB123">
        <v>1</v>
      </c>
      <c r="AC123">
        <v>1</v>
      </c>
      <c r="AD123" s="88">
        <v>1</v>
      </c>
      <c r="AE123" s="87">
        <v>0.83</v>
      </c>
      <c r="AF123">
        <v>1</v>
      </c>
      <c r="AG123">
        <v>1</v>
      </c>
      <c r="AH123" s="88">
        <v>1</v>
      </c>
      <c r="AI123" s="87">
        <v>0.60499999999999998</v>
      </c>
      <c r="AJ123">
        <v>1.1000000000000001</v>
      </c>
      <c r="AK123">
        <v>2.31</v>
      </c>
      <c r="AL123" s="88">
        <v>4.1549999999999994</v>
      </c>
      <c r="AM123" s="87">
        <v>0.77499999999999991</v>
      </c>
      <c r="AN123">
        <v>1.1000000000000001</v>
      </c>
      <c r="AO123">
        <v>2.31</v>
      </c>
      <c r="AP123" s="88">
        <v>3.53</v>
      </c>
      <c r="AQ123" s="187">
        <v>0</v>
      </c>
      <c r="AR123" s="179">
        <v>0.9900000000000001</v>
      </c>
      <c r="AS123" s="179">
        <v>2.42</v>
      </c>
      <c r="AT123" s="179">
        <v>3.6850000000000005</v>
      </c>
      <c r="AU123" s="187">
        <v>4.9999999999999933E-2</v>
      </c>
      <c r="AV123" s="179">
        <v>0.9900000000000001</v>
      </c>
      <c r="AW123" s="179">
        <v>2.42</v>
      </c>
      <c r="AX123" s="188">
        <v>3.3000000000000007</v>
      </c>
      <c r="AY123" s="87">
        <v>3.8900000000000006</v>
      </c>
      <c r="AZ123">
        <v>7</v>
      </c>
      <c r="BA123">
        <v>8</v>
      </c>
      <c r="BB123">
        <v>9.5</v>
      </c>
      <c r="BC123" s="87">
        <v>4.8099999999999987</v>
      </c>
      <c r="BD123">
        <v>7</v>
      </c>
      <c r="BE123">
        <v>8</v>
      </c>
      <c r="BF123" s="88">
        <v>9</v>
      </c>
      <c r="BG123" s="87">
        <f t="shared" si="87"/>
        <v>4.495000000000001</v>
      </c>
      <c r="BH123">
        <f t="shared" si="84"/>
        <v>9.09</v>
      </c>
      <c r="BI123">
        <f t="shared" si="84"/>
        <v>12.73</v>
      </c>
      <c r="BJ123">
        <f t="shared" si="84"/>
        <v>17.34</v>
      </c>
      <c r="BK123" s="87">
        <f t="shared" si="84"/>
        <v>5.6349999999999989</v>
      </c>
      <c r="BL123">
        <f t="shared" si="84"/>
        <v>9.09</v>
      </c>
      <c r="BM123">
        <f t="shared" si="84"/>
        <v>12.73</v>
      </c>
      <c r="BN123">
        <f t="shared" si="84"/>
        <v>15.83</v>
      </c>
      <c r="BO123" s="138">
        <f t="shared" si="88"/>
        <v>8.1709999999999994</v>
      </c>
      <c r="BP123" s="143">
        <f t="shared" si="89"/>
        <v>13.652000000000001</v>
      </c>
      <c r="BQ123" s="138">
        <f t="shared" si="90"/>
        <v>8.3989999999999991</v>
      </c>
      <c r="BR123" s="139">
        <f t="shared" si="91"/>
        <v>13.350000000000001</v>
      </c>
      <c r="BS123" s="87">
        <f t="shared" si="92"/>
        <v>10.9115</v>
      </c>
      <c r="BT123" s="88">
        <f t="shared" si="93"/>
        <v>10.874500000000001</v>
      </c>
      <c r="BU123" s="134">
        <f t="shared" si="94"/>
        <v>10.893000000000001</v>
      </c>
    </row>
    <row r="124" spans="1:73" ht="36.75" customHeight="1" x14ac:dyDescent="0.25">
      <c r="A124" s="102" t="s">
        <v>70</v>
      </c>
      <c r="B124" s="102" t="s">
        <v>82</v>
      </c>
      <c r="C124" s="121" t="s">
        <v>93</v>
      </c>
      <c r="D124" s="156" t="s">
        <v>105</v>
      </c>
      <c r="E124" s="156" t="s">
        <v>104</v>
      </c>
      <c r="F124" s="156" t="s">
        <v>106</v>
      </c>
      <c r="G124" s="110">
        <f t="shared" si="85"/>
        <v>0.66</v>
      </c>
      <c r="H124" s="110">
        <f t="shared" si="83"/>
        <v>1</v>
      </c>
      <c r="I124" s="110">
        <f t="shared" si="83"/>
        <v>0.33</v>
      </c>
      <c r="J124" s="147">
        <f t="shared" si="86"/>
        <v>9.125</v>
      </c>
      <c r="K124" s="87">
        <v>0.44000000000000006</v>
      </c>
      <c r="L124">
        <v>0.55000000000000004</v>
      </c>
      <c r="M124">
        <v>0.77</v>
      </c>
      <c r="N124" s="88">
        <v>1</v>
      </c>
      <c r="O124" s="87">
        <v>0.47000000000000003</v>
      </c>
      <c r="P124">
        <v>0.55000000000000004</v>
      </c>
      <c r="Q124">
        <v>0.77</v>
      </c>
      <c r="R124" s="88">
        <v>0.92</v>
      </c>
      <c r="S124" s="87">
        <v>0.77</v>
      </c>
      <c r="T124">
        <v>1</v>
      </c>
      <c r="U124">
        <v>1</v>
      </c>
      <c r="V124" s="88">
        <v>1</v>
      </c>
      <c r="W124" s="87">
        <v>0.83</v>
      </c>
      <c r="X124">
        <v>1</v>
      </c>
      <c r="Y124">
        <v>1</v>
      </c>
      <c r="Z124" s="88">
        <v>1</v>
      </c>
      <c r="AA124" s="87">
        <v>0</v>
      </c>
      <c r="AB124">
        <v>0.22000000000000003</v>
      </c>
      <c r="AC124">
        <v>0.44</v>
      </c>
      <c r="AD124" s="88">
        <v>0.55000000000000004</v>
      </c>
      <c r="AE124" s="87">
        <v>0.06</v>
      </c>
      <c r="AF124">
        <v>0.22000000000000003</v>
      </c>
      <c r="AG124">
        <v>0.44</v>
      </c>
      <c r="AH124" s="88">
        <v>0.52</v>
      </c>
      <c r="AI124" s="87">
        <v>0.60499999999999998</v>
      </c>
      <c r="AJ124">
        <v>1.1000000000000001</v>
      </c>
      <c r="AK124">
        <v>2.31</v>
      </c>
      <c r="AL124" s="88">
        <v>4.1549999999999994</v>
      </c>
      <c r="AM124" s="87">
        <v>0.77499999999999991</v>
      </c>
      <c r="AN124">
        <v>1.1000000000000001</v>
      </c>
      <c r="AO124">
        <v>2.31</v>
      </c>
      <c r="AP124" s="88">
        <v>3.53</v>
      </c>
      <c r="AQ124" s="87">
        <v>1.9649999999999999</v>
      </c>
      <c r="AR124">
        <v>4.5</v>
      </c>
      <c r="AS124">
        <v>5.5</v>
      </c>
      <c r="AT124">
        <v>7</v>
      </c>
      <c r="AU124" s="87">
        <v>2.7349999999999994</v>
      </c>
      <c r="AV124">
        <v>4.5</v>
      </c>
      <c r="AW124">
        <v>5.5</v>
      </c>
      <c r="AX124" s="88">
        <v>6.5</v>
      </c>
      <c r="AY124" s="187">
        <v>0</v>
      </c>
      <c r="AZ124" s="179">
        <v>1.5400000000000003</v>
      </c>
      <c r="BA124" s="179">
        <v>3.52</v>
      </c>
      <c r="BB124" s="179">
        <v>5.0600000000000005</v>
      </c>
      <c r="BC124" s="187">
        <v>0.19999999999999996</v>
      </c>
      <c r="BD124" s="179">
        <v>1.5400000000000003</v>
      </c>
      <c r="BE124" s="179">
        <v>3.52</v>
      </c>
      <c r="BF124" s="188">
        <v>4.6000000000000014</v>
      </c>
      <c r="BG124" s="87">
        <f t="shared" si="87"/>
        <v>2.57</v>
      </c>
      <c r="BH124">
        <f t="shared" si="84"/>
        <v>7.14</v>
      </c>
      <c r="BI124">
        <f t="shared" si="84"/>
        <v>11.33</v>
      </c>
      <c r="BJ124">
        <f t="shared" si="84"/>
        <v>16.215</v>
      </c>
      <c r="BK124" s="87">
        <f t="shared" si="84"/>
        <v>3.7099999999999991</v>
      </c>
      <c r="BL124">
        <f t="shared" si="84"/>
        <v>7.14</v>
      </c>
      <c r="BM124">
        <f t="shared" si="84"/>
        <v>11.33</v>
      </c>
      <c r="BN124">
        <f t="shared" si="84"/>
        <v>14.63</v>
      </c>
      <c r="BO124" s="138">
        <f t="shared" si="88"/>
        <v>6.226</v>
      </c>
      <c r="BP124" s="143">
        <f t="shared" si="89"/>
        <v>12.306999999999999</v>
      </c>
      <c r="BQ124" s="138">
        <f t="shared" si="90"/>
        <v>6.4539999999999997</v>
      </c>
      <c r="BR124" s="139">
        <f t="shared" si="91"/>
        <v>11.99</v>
      </c>
      <c r="BS124" s="87">
        <f t="shared" si="92"/>
        <v>9.2664999999999988</v>
      </c>
      <c r="BT124" s="88">
        <f t="shared" si="93"/>
        <v>9.2219999999999995</v>
      </c>
      <c r="BU124" s="134">
        <f t="shared" si="94"/>
        <v>9.2442499999999992</v>
      </c>
    </row>
    <row r="125" spans="1:73" ht="30.75" thickBot="1" x14ac:dyDescent="0.3">
      <c r="A125" s="102" t="s">
        <v>71</v>
      </c>
      <c r="B125" s="102" t="s">
        <v>83</v>
      </c>
      <c r="C125" s="121" t="s">
        <v>94</v>
      </c>
      <c r="D125" s="156" t="s">
        <v>106</v>
      </c>
      <c r="E125" s="156" t="s">
        <v>104</v>
      </c>
      <c r="F125" s="156" t="s">
        <v>105</v>
      </c>
      <c r="G125" s="110">
        <f t="shared" si="85"/>
        <v>0.33</v>
      </c>
      <c r="H125" s="110">
        <f t="shared" si="83"/>
        <v>1</v>
      </c>
      <c r="I125" s="110">
        <f t="shared" si="83"/>
        <v>0.66</v>
      </c>
      <c r="J125" s="147">
        <f t="shared" si="86"/>
        <v>10.775</v>
      </c>
      <c r="K125" s="91">
        <v>0</v>
      </c>
      <c r="L125" s="93">
        <v>0.22000000000000003</v>
      </c>
      <c r="M125" s="93">
        <v>0.44</v>
      </c>
      <c r="N125" s="94">
        <v>0.55000000000000004</v>
      </c>
      <c r="O125" s="91">
        <v>0.06</v>
      </c>
      <c r="P125" s="93">
        <v>0.22000000000000003</v>
      </c>
      <c r="Q125" s="93">
        <v>0.44</v>
      </c>
      <c r="R125" s="94">
        <v>0.52</v>
      </c>
      <c r="S125" s="91">
        <v>0.77</v>
      </c>
      <c r="T125" s="93">
        <v>1</v>
      </c>
      <c r="U125" s="93">
        <v>1</v>
      </c>
      <c r="V125" s="94">
        <v>1</v>
      </c>
      <c r="W125" s="91">
        <v>0.83</v>
      </c>
      <c r="X125" s="93">
        <v>1</v>
      </c>
      <c r="Y125" s="93">
        <v>1</v>
      </c>
      <c r="Z125" s="94">
        <v>1</v>
      </c>
      <c r="AA125" s="91">
        <v>0.44000000000000006</v>
      </c>
      <c r="AB125" s="93">
        <v>0.55000000000000004</v>
      </c>
      <c r="AC125" s="93">
        <v>0.77</v>
      </c>
      <c r="AD125" s="94">
        <v>1</v>
      </c>
      <c r="AE125" s="91">
        <v>0.47000000000000003</v>
      </c>
      <c r="AF125" s="93">
        <v>0.55000000000000004</v>
      </c>
      <c r="AG125" s="93">
        <v>0.77</v>
      </c>
      <c r="AH125" s="94">
        <v>0.92</v>
      </c>
      <c r="AI125" s="189">
        <v>0</v>
      </c>
      <c r="AJ125" s="201">
        <v>0.44000000000000006</v>
      </c>
      <c r="AK125" s="201">
        <v>1.32</v>
      </c>
      <c r="AL125" s="190">
        <v>2.3099999999999996</v>
      </c>
      <c r="AM125" s="189">
        <v>5.3999999999999992E-2</v>
      </c>
      <c r="AN125" s="201">
        <v>0.44000000000000006</v>
      </c>
      <c r="AO125" s="201">
        <v>1.32</v>
      </c>
      <c r="AP125" s="190">
        <v>2</v>
      </c>
      <c r="AQ125" s="91">
        <v>1.9649999999999999</v>
      </c>
      <c r="AR125" s="93">
        <v>4.5</v>
      </c>
      <c r="AS125" s="93">
        <v>5.5</v>
      </c>
      <c r="AT125" s="93">
        <v>7</v>
      </c>
      <c r="AU125" s="91">
        <v>2.7349999999999994</v>
      </c>
      <c r="AV125" s="93">
        <v>4.5</v>
      </c>
      <c r="AW125" s="93">
        <v>5.5</v>
      </c>
      <c r="AX125" s="94">
        <v>6.5</v>
      </c>
      <c r="AY125" s="91">
        <v>2.2549999999999999</v>
      </c>
      <c r="AZ125" s="93">
        <v>3.8500000000000005</v>
      </c>
      <c r="BA125" s="93">
        <v>6.16</v>
      </c>
      <c r="BB125" s="93">
        <v>9.1550000000000011</v>
      </c>
      <c r="BC125" s="91">
        <v>2.7399999999999993</v>
      </c>
      <c r="BD125" s="93">
        <v>3.8500000000000005</v>
      </c>
      <c r="BE125" s="93">
        <v>6.16</v>
      </c>
      <c r="BF125" s="94">
        <v>8.129999999999999</v>
      </c>
      <c r="BG125" s="91">
        <f t="shared" si="87"/>
        <v>4.22</v>
      </c>
      <c r="BH125" s="93">
        <f t="shared" si="84"/>
        <v>8.7900000000000009</v>
      </c>
      <c r="BI125" s="93">
        <f t="shared" si="84"/>
        <v>12.98</v>
      </c>
      <c r="BJ125" s="93">
        <f t="shared" si="84"/>
        <v>18.465</v>
      </c>
      <c r="BK125" s="91">
        <f t="shared" si="84"/>
        <v>5.5289999999999981</v>
      </c>
      <c r="BL125" s="93">
        <f t="shared" si="84"/>
        <v>8.7900000000000009</v>
      </c>
      <c r="BM125" s="93">
        <f t="shared" si="84"/>
        <v>12.98</v>
      </c>
      <c r="BN125" s="93">
        <f t="shared" si="84"/>
        <v>16.63</v>
      </c>
      <c r="BO125" s="140">
        <f t="shared" si="88"/>
        <v>7.8760000000000003</v>
      </c>
      <c r="BP125" s="144">
        <f t="shared" si="89"/>
        <v>14.077</v>
      </c>
      <c r="BQ125" s="140">
        <f t="shared" si="90"/>
        <v>8.1378000000000004</v>
      </c>
      <c r="BR125" s="141">
        <f t="shared" si="91"/>
        <v>13.709999999999999</v>
      </c>
      <c r="BS125" s="91">
        <f t="shared" si="92"/>
        <v>10.9765</v>
      </c>
      <c r="BT125" s="94">
        <f t="shared" si="93"/>
        <v>10.9239</v>
      </c>
      <c r="BU125" s="135">
        <f t="shared" si="94"/>
        <v>10.950199999999999</v>
      </c>
    </row>
    <row r="126" spans="1:73" x14ac:dyDescent="0.25">
      <c r="BF126" s="60"/>
      <c r="BG126" s="59"/>
      <c r="BH126" s="59"/>
      <c r="BI126" s="59"/>
      <c r="BJ126" s="59"/>
      <c r="BK126" s="59"/>
    </row>
    <row r="127" spans="1:73" x14ac:dyDescent="0.25">
      <c r="A127" s="1" t="s">
        <v>200</v>
      </c>
      <c r="B127" s="1"/>
    </row>
    <row r="128" spans="1:73" ht="15.75" thickBot="1" x14ac:dyDescent="0.3">
      <c r="A128" s="107" t="s">
        <v>103</v>
      </c>
      <c r="B128" s="108" t="s">
        <v>122</v>
      </c>
      <c r="E128" s="112" t="s">
        <v>17</v>
      </c>
      <c r="I128" t="s">
        <v>18</v>
      </c>
    </row>
    <row r="129" spans="1:12" x14ac:dyDescent="0.25">
      <c r="A129" s="106" t="s">
        <v>107</v>
      </c>
      <c r="B129" s="2">
        <v>0</v>
      </c>
      <c r="C129" s="79">
        <v>0</v>
      </c>
      <c r="D129" s="80" t="s">
        <v>107</v>
      </c>
      <c r="E129" s="81">
        <v>0</v>
      </c>
      <c r="F129" s="82">
        <f>C129</f>
        <v>0</v>
      </c>
      <c r="G129" s="83">
        <v>0</v>
      </c>
      <c r="H129" s="84">
        <v>0.22</v>
      </c>
      <c r="I129" s="85">
        <v>0</v>
      </c>
      <c r="J129" s="83">
        <f>F129</f>
        <v>0</v>
      </c>
      <c r="K129" s="83">
        <f>G129</f>
        <v>0</v>
      </c>
      <c r="L129" s="86">
        <v>0.15</v>
      </c>
    </row>
    <row r="130" spans="1:12" x14ac:dyDescent="0.25">
      <c r="A130" s="106" t="s">
        <v>106</v>
      </c>
      <c r="B130" s="2">
        <v>0.33</v>
      </c>
      <c r="C130" s="79">
        <v>0.33</v>
      </c>
      <c r="D130" s="80" t="s">
        <v>106</v>
      </c>
      <c r="E130" s="87">
        <v>0</v>
      </c>
      <c r="F130" s="111">
        <f>C130-0.11</f>
        <v>0.22000000000000003</v>
      </c>
      <c r="G130">
        <f>C130+0.11</f>
        <v>0.44</v>
      </c>
      <c r="H130" s="88">
        <f t="shared" ref="H130" si="95">G130+0.11</f>
        <v>0.55000000000000004</v>
      </c>
      <c r="I130" s="89">
        <v>0.06</v>
      </c>
      <c r="J130">
        <f t="shared" ref="J130:K132" si="96">F130</f>
        <v>0.22000000000000003</v>
      </c>
      <c r="K130">
        <f t="shared" si="96"/>
        <v>0.44</v>
      </c>
      <c r="L130" s="90">
        <f t="shared" ref="L130" si="97">K130+0.08</f>
        <v>0.52</v>
      </c>
    </row>
    <row r="131" spans="1:12" x14ac:dyDescent="0.25">
      <c r="A131" s="106" t="s">
        <v>105</v>
      </c>
      <c r="B131" s="2">
        <v>0.66</v>
      </c>
      <c r="C131" s="79">
        <v>0.66</v>
      </c>
      <c r="D131" s="80" t="s">
        <v>105</v>
      </c>
      <c r="E131" s="87">
        <f t="shared" ref="E131" si="98">F131-0.11</f>
        <v>0.44000000000000006</v>
      </c>
      <c r="F131" s="111">
        <f t="shared" ref="F131" si="99">C131-0.11</f>
        <v>0.55000000000000004</v>
      </c>
      <c r="G131">
        <f t="shared" ref="G131" si="100">C131+0.11</f>
        <v>0.77</v>
      </c>
      <c r="H131" s="88">
        <v>1</v>
      </c>
      <c r="I131" s="89">
        <f t="shared" ref="I131" si="101">J131-0.08</f>
        <v>0.47000000000000003</v>
      </c>
      <c r="J131">
        <f t="shared" si="96"/>
        <v>0.55000000000000004</v>
      </c>
      <c r="K131">
        <f t="shared" si="96"/>
        <v>0.77</v>
      </c>
      <c r="L131" s="90">
        <v>0.92</v>
      </c>
    </row>
    <row r="132" spans="1:12" ht="15.75" thickBot="1" x14ac:dyDescent="0.3">
      <c r="A132" s="106" t="s">
        <v>104</v>
      </c>
      <c r="B132" s="2">
        <v>1</v>
      </c>
      <c r="C132" s="79">
        <v>1</v>
      </c>
      <c r="D132" s="80" t="s">
        <v>104</v>
      </c>
      <c r="E132" s="91">
        <v>0.77</v>
      </c>
      <c r="F132" s="92">
        <v>1</v>
      </c>
      <c r="G132" s="93">
        <v>1</v>
      </c>
      <c r="H132" s="94">
        <v>1</v>
      </c>
      <c r="I132" s="95">
        <v>0.83</v>
      </c>
      <c r="J132" s="93">
        <f t="shared" si="96"/>
        <v>1</v>
      </c>
      <c r="K132" s="93">
        <f t="shared" si="96"/>
        <v>1</v>
      </c>
      <c r="L132" s="96">
        <v>1</v>
      </c>
    </row>
    <row r="133" spans="1:12" x14ac:dyDescent="0.25">
      <c r="A133" s="99"/>
    </row>
    <row r="134" spans="1:12" x14ac:dyDescent="0.25">
      <c r="A134" s="1" t="s">
        <v>201</v>
      </c>
    </row>
    <row r="135" spans="1:12" ht="15.75" thickBot="1" x14ac:dyDescent="0.3">
      <c r="A135" s="107" t="s">
        <v>103</v>
      </c>
      <c r="B135" s="108" t="s">
        <v>123</v>
      </c>
      <c r="E135" s="112" t="s">
        <v>17</v>
      </c>
      <c r="I135" t="s">
        <v>18</v>
      </c>
    </row>
    <row r="136" spans="1:12" x14ac:dyDescent="0.25">
      <c r="A136" s="106" t="s">
        <v>107</v>
      </c>
      <c r="B136" s="2">
        <v>1</v>
      </c>
      <c r="C136" s="79">
        <v>1</v>
      </c>
      <c r="D136" s="80" t="s">
        <v>107</v>
      </c>
      <c r="E136" s="81">
        <v>0</v>
      </c>
      <c r="F136" s="82">
        <v>0.5</v>
      </c>
      <c r="G136" s="83">
        <v>1.5</v>
      </c>
      <c r="H136" s="84">
        <v>2</v>
      </c>
      <c r="I136" s="85">
        <v>0</v>
      </c>
      <c r="J136" s="83">
        <f>F136</f>
        <v>0.5</v>
      </c>
      <c r="K136" s="83">
        <f>G136</f>
        <v>1.5</v>
      </c>
      <c r="L136" s="86">
        <v>1.8</v>
      </c>
    </row>
    <row r="137" spans="1:12" x14ac:dyDescent="0.25">
      <c r="A137" s="106" t="s">
        <v>106</v>
      </c>
      <c r="B137" s="2">
        <v>2.5</v>
      </c>
      <c r="C137" s="79">
        <v>2.5</v>
      </c>
      <c r="D137" s="80" t="s">
        <v>106</v>
      </c>
      <c r="E137" s="87">
        <v>1.5</v>
      </c>
      <c r="F137" s="111">
        <f>C137-0.5</f>
        <v>2</v>
      </c>
      <c r="G137">
        <f>C137+0.5</f>
        <v>3</v>
      </c>
      <c r="H137" s="88">
        <f t="shared" ref="H137:H139" si="102">G137+1.5</f>
        <v>4.5</v>
      </c>
      <c r="I137" s="89">
        <v>1.7</v>
      </c>
      <c r="J137">
        <f t="shared" ref="J137:K139" si="103">F137</f>
        <v>2</v>
      </c>
      <c r="K137">
        <f t="shared" si="103"/>
        <v>3</v>
      </c>
      <c r="L137" s="90">
        <f t="shared" ref="L137:L139" si="104">K137+1</f>
        <v>4</v>
      </c>
    </row>
    <row r="138" spans="1:12" x14ac:dyDescent="0.25">
      <c r="A138" s="106" t="s">
        <v>105</v>
      </c>
      <c r="B138" s="2">
        <v>5</v>
      </c>
      <c r="C138" s="79">
        <v>5</v>
      </c>
      <c r="D138" s="80" t="s">
        <v>105</v>
      </c>
      <c r="E138" s="87">
        <f t="shared" ref="E138:E139" si="105">F138-1.5</f>
        <v>3</v>
      </c>
      <c r="F138" s="111">
        <f>C138-0.5</f>
        <v>4.5</v>
      </c>
      <c r="G138">
        <f>C138+0.5</f>
        <v>5.5</v>
      </c>
      <c r="H138" s="88">
        <f t="shared" si="102"/>
        <v>7</v>
      </c>
      <c r="I138" s="89">
        <f t="shared" ref="I138:I139" si="106">J138-1</f>
        <v>3.5</v>
      </c>
      <c r="J138">
        <f t="shared" si="103"/>
        <v>4.5</v>
      </c>
      <c r="K138">
        <f t="shared" si="103"/>
        <v>5.5</v>
      </c>
      <c r="L138" s="90">
        <f t="shared" si="104"/>
        <v>6.5</v>
      </c>
    </row>
    <row r="139" spans="1:12" ht="15.75" thickBot="1" x14ac:dyDescent="0.3">
      <c r="A139" s="106" t="s">
        <v>104</v>
      </c>
      <c r="B139" s="2">
        <v>7.5</v>
      </c>
      <c r="C139" s="79">
        <v>7.5</v>
      </c>
      <c r="D139" s="80" t="s">
        <v>104</v>
      </c>
      <c r="E139" s="91">
        <f t="shared" si="105"/>
        <v>5.5</v>
      </c>
      <c r="F139" s="92">
        <f>C139-0.5</f>
        <v>7</v>
      </c>
      <c r="G139" s="93">
        <f>C139+0.5</f>
        <v>8</v>
      </c>
      <c r="H139" s="94">
        <f t="shared" si="102"/>
        <v>9.5</v>
      </c>
      <c r="I139" s="95">
        <f t="shared" si="106"/>
        <v>6</v>
      </c>
      <c r="J139" s="93">
        <f t="shared" si="103"/>
        <v>7</v>
      </c>
      <c r="K139" s="93">
        <f t="shared" si="103"/>
        <v>8</v>
      </c>
      <c r="L139" s="96">
        <f t="shared" si="104"/>
        <v>9</v>
      </c>
    </row>
    <row r="141" spans="1:12" ht="15.75" thickBot="1" x14ac:dyDescent="0.3">
      <c r="A141" s="1" t="s">
        <v>202</v>
      </c>
    </row>
    <row r="142" spans="1:12" ht="67.5" customHeight="1" thickBot="1" x14ac:dyDescent="0.3">
      <c r="A142" s="114" t="s">
        <v>117</v>
      </c>
      <c r="B142" s="113" t="s">
        <v>99</v>
      </c>
      <c r="C142" s="115" t="s">
        <v>108</v>
      </c>
      <c r="D142" s="116" t="s">
        <v>203</v>
      </c>
      <c r="E142" s="283" t="s">
        <v>126</v>
      </c>
      <c r="F142" s="284"/>
      <c r="G142" s="284"/>
      <c r="H142" s="284"/>
      <c r="I142" s="284"/>
      <c r="J142" s="284"/>
      <c r="K142" s="284"/>
      <c r="L142" s="285"/>
    </row>
    <row r="143" spans="1:12" x14ac:dyDescent="0.25">
      <c r="A143" s="125" t="s">
        <v>114</v>
      </c>
      <c r="B143" s="117" t="s">
        <v>100</v>
      </c>
      <c r="C143" s="118" t="s">
        <v>106</v>
      </c>
      <c r="D143" s="150">
        <v>2.5</v>
      </c>
      <c r="E143" s="87">
        <v>1.5</v>
      </c>
      <c r="F143" s="111">
        <v>2</v>
      </c>
      <c r="G143">
        <v>3</v>
      </c>
      <c r="H143" s="88">
        <v>4.5</v>
      </c>
      <c r="I143" s="89">
        <v>1.7</v>
      </c>
      <c r="J143">
        <v>2</v>
      </c>
      <c r="K143">
        <v>3</v>
      </c>
      <c r="L143" s="90">
        <v>4</v>
      </c>
    </row>
    <row r="144" spans="1:12" x14ac:dyDescent="0.25">
      <c r="A144" s="126" t="s">
        <v>115</v>
      </c>
      <c r="B144" s="104" t="s">
        <v>101</v>
      </c>
      <c r="C144" s="2" t="s">
        <v>105</v>
      </c>
      <c r="D144" s="150">
        <v>5</v>
      </c>
      <c r="E144" s="87">
        <v>3</v>
      </c>
      <c r="F144" s="111">
        <v>4.5</v>
      </c>
      <c r="G144">
        <v>5.5</v>
      </c>
      <c r="H144" s="88">
        <v>7</v>
      </c>
      <c r="I144" s="89">
        <v>3.5</v>
      </c>
      <c r="J144">
        <v>4.5</v>
      </c>
      <c r="K144">
        <v>5.5</v>
      </c>
      <c r="L144" s="90">
        <v>6.5</v>
      </c>
    </row>
    <row r="145" spans="1:12" ht="15.75" thickBot="1" x14ac:dyDescent="0.3">
      <c r="A145" s="127" t="s">
        <v>116</v>
      </c>
      <c r="B145" s="119" t="s">
        <v>102</v>
      </c>
      <c r="C145" s="120" t="s">
        <v>104</v>
      </c>
      <c r="D145" s="150">
        <v>7.5</v>
      </c>
      <c r="E145" s="91">
        <v>5.5</v>
      </c>
      <c r="F145" s="92">
        <v>7</v>
      </c>
      <c r="G145" s="93">
        <v>8</v>
      </c>
      <c r="H145" s="94">
        <v>9.5</v>
      </c>
      <c r="I145" s="95">
        <v>6</v>
      </c>
      <c r="J145" s="93">
        <v>7</v>
      </c>
      <c r="K145" s="93">
        <v>8</v>
      </c>
      <c r="L145" s="96">
        <v>9</v>
      </c>
    </row>
    <row r="147" spans="1:12" ht="15.75" thickBot="1" x14ac:dyDescent="0.3">
      <c r="A147" s="1" t="s">
        <v>204</v>
      </c>
    </row>
    <row r="148" spans="1:12" ht="30.75" thickBot="1" x14ac:dyDescent="0.3">
      <c r="A148" s="171" t="s">
        <v>132</v>
      </c>
      <c r="B148" s="172" t="s">
        <v>133</v>
      </c>
      <c r="E148" s="283" t="s">
        <v>134</v>
      </c>
      <c r="F148" s="284"/>
      <c r="G148" s="284"/>
      <c r="H148" s="284"/>
      <c r="I148" s="284"/>
      <c r="J148" s="284"/>
      <c r="K148" s="284"/>
      <c r="L148" s="285"/>
    </row>
    <row r="149" spans="1:12" x14ac:dyDescent="0.25">
      <c r="A149" s="125" t="s">
        <v>129</v>
      </c>
      <c r="B149" s="130" t="s">
        <v>107</v>
      </c>
      <c r="D149" s="133" t="s">
        <v>138</v>
      </c>
      <c r="E149" s="81">
        <f>E129*F$143+E$143*F129-F129*F$143</f>
        <v>0</v>
      </c>
      <c r="F149" s="83">
        <f>F129*F$143</f>
        <v>0</v>
      </c>
      <c r="G149" s="83">
        <f>G129*G$143</f>
        <v>0</v>
      </c>
      <c r="H149" s="84">
        <f>G129*H$143+G$143*H129-G129*G$143</f>
        <v>0.66</v>
      </c>
      <c r="I149" s="81">
        <f>I129*J$143+I$143*J129-J129*J$143</f>
        <v>0</v>
      </c>
      <c r="J149" s="83">
        <f>J129*J$143</f>
        <v>0</v>
      </c>
      <c r="K149" s="83">
        <f>K129*K$143</f>
        <v>0</v>
      </c>
      <c r="L149" s="84">
        <f>K129*L$143+K$143*L129-K129*K$143</f>
        <v>0.44999999999999996</v>
      </c>
    </row>
    <row r="150" spans="1:12" x14ac:dyDescent="0.25">
      <c r="A150" s="126" t="s">
        <v>129</v>
      </c>
      <c r="B150" s="131" t="s">
        <v>106</v>
      </c>
      <c r="D150" s="134" t="s">
        <v>137</v>
      </c>
      <c r="E150" s="202">
        <f>IF(E130*F$143+E$143*F130-F130*F$143&lt;0,0,E130*F$143+E$143*F130-F130*F$143)</f>
        <v>0</v>
      </c>
      <c r="F150" s="179">
        <f t="shared" ref="F150:G152" si="107">F130*F$143</f>
        <v>0.44000000000000006</v>
      </c>
      <c r="G150" s="179">
        <f t="shared" si="107"/>
        <v>1.32</v>
      </c>
      <c r="H150" s="188">
        <f t="shared" ref="H150:H152" si="108">G130*H$143+G$143*H130-G130*G$143</f>
        <v>2.3099999999999996</v>
      </c>
      <c r="I150" s="187">
        <f t="shared" ref="I150:I152" si="109">I130*J$143+I$143*J130-J130*J$143</f>
        <v>5.3999999999999992E-2</v>
      </c>
      <c r="J150" s="179">
        <f t="shared" ref="J150:K152" si="110">J130*J$143</f>
        <v>0.44000000000000006</v>
      </c>
      <c r="K150" s="179">
        <f t="shared" si="110"/>
        <v>1.32</v>
      </c>
      <c r="L150" s="188">
        <f t="shared" ref="L150:L152" si="111">K130*L$143+K$143*L130-K130*K$143</f>
        <v>2</v>
      </c>
    </row>
    <row r="151" spans="1:12" x14ac:dyDescent="0.25">
      <c r="A151" s="126" t="s">
        <v>129</v>
      </c>
      <c r="B151" s="131" t="s">
        <v>105</v>
      </c>
      <c r="D151" s="134" t="s">
        <v>136</v>
      </c>
      <c r="E151" s="87">
        <f t="shared" ref="E151:E152" si="112">E131*F$143+E$143*F131-F131*F$143</f>
        <v>0.60499999999999998</v>
      </c>
      <c r="F151">
        <f t="shared" si="107"/>
        <v>1.1000000000000001</v>
      </c>
      <c r="G151">
        <f t="shared" si="107"/>
        <v>2.31</v>
      </c>
      <c r="H151" s="88">
        <f t="shared" si="108"/>
        <v>4.1549999999999994</v>
      </c>
      <c r="I151" s="87">
        <f t="shared" si="109"/>
        <v>0.77499999999999991</v>
      </c>
      <c r="J151">
        <f t="shared" si="110"/>
        <v>1.1000000000000001</v>
      </c>
      <c r="K151">
        <f t="shared" si="110"/>
        <v>2.31</v>
      </c>
      <c r="L151" s="88">
        <f t="shared" si="111"/>
        <v>3.53</v>
      </c>
    </row>
    <row r="152" spans="1:12" ht="15.75" thickBot="1" x14ac:dyDescent="0.3">
      <c r="A152" s="127" t="s">
        <v>129</v>
      </c>
      <c r="B152" s="132" t="s">
        <v>104</v>
      </c>
      <c r="D152" s="135" t="s">
        <v>135</v>
      </c>
      <c r="E152" s="91">
        <f t="shared" si="112"/>
        <v>1.04</v>
      </c>
      <c r="F152" s="93">
        <f t="shared" si="107"/>
        <v>2</v>
      </c>
      <c r="G152" s="93">
        <f t="shared" si="107"/>
        <v>3</v>
      </c>
      <c r="H152" s="94">
        <f t="shared" si="108"/>
        <v>4.5</v>
      </c>
      <c r="I152" s="91">
        <f t="shared" si="109"/>
        <v>1.3599999999999999</v>
      </c>
      <c r="J152" s="93">
        <f t="shared" si="110"/>
        <v>2</v>
      </c>
      <c r="K152" s="93">
        <f t="shared" si="110"/>
        <v>3</v>
      </c>
      <c r="L152" s="94">
        <f t="shared" si="111"/>
        <v>4</v>
      </c>
    </row>
    <row r="153" spans="1:12" x14ac:dyDescent="0.25">
      <c r="A153" s="125" t="s">
        <v>130</v>
      </c>
      <c r="B153" s="130" t="s">
        <v>107</v>
      </c>
      <c r="D153" s="133" t="s">
        <v>139</v>
      </c>
      <c r="E153" s="81">
        <f>E129*F$144+E$144*F129-F129*F$144</f>
        <v>0</v>
      </c>
      <c r="F153" s="83">
        <f>F129*F$144</f>
        <v>0</v>
      </c>
      <c r="G153" s="83">
        <f>G129*G$144</f>
        <v>0</v>
      </c>
      <c r="H153" s="84">
        <f>G129*H$144+G$144*H129-G129*G$144</f>
        <v>1.21</v>
      </c>
      <c r="I153" s="81">
        <f>I129*J$144+I$144*J129-J129*J$144</f>
        <v>0</v>
      </c>
      <c r="J153" s="83">
        <f>J129*J$144</f>
        <v>0</v>
      </c>
      <c r="K153" s="83">
        <f>K129*K$144</f>
        <v>0</v>
      </c>
      <c r="L153" s="84">
        <f>K129*L$144+K$144*L129-K129*K$144</f>
        <v>0.82499999999999996</v>
      </c>
    </row>
    <row r="154" spans="1:12" x14ac:dyDescent="0.25">
      <c r="A154" s="126" t="s">
        <v>130</v>
      </c>
      <c r="B154" s="131" t="s">
        <v>106</v>
      </c>
      <c r="D154" s="134" t="s">
        <v>144</v>
      </c>
      <c r="E154" s="202">
        <f>IF(E130*F$144+E$144*F130-F130*F$144&lt;0,0,E130*F$144+E$144*F130-F130*F$144)</f>
        <v>0</v>
      </c>
      <c r="F154" s="179">
        <f t="shared" ref="F154:G156" si="113">F130*F$144</f>
        <v>0.9900000000000001</v>
      </c>
      <c r="G154" s="179">
        <f t="shared" si="113"/>
        <v>2.42</v>
      </c>
      <c r="H154" s="188">
        <f t="shared" ref="H154:H156" si="114">G130*H$144+G$144*H130-G130*G$144</f>
        <v>3.6850000000000005</v>
      </c>
      <c r="I154" s="187">
        <f t="shared" ref="I154:I156" si="115">I130*J$144+I$144*J130-J130*J$144</f>
        <v>4.9999999999999933E-2</v>
      </c>
      <c r="J154" s="179">
        <f t="shared" ref="J154:K156" si="116">J130*J$144</f>
        <v>0.9900000000000001</v>
      </c>
      <c r="K154" s="179">
        <f t="shared" si="116"/>
        <v>2.42</v>
      </c>
      <c r="L154" s="188">
        <f t="shared" ref="L154:L156" si="117">K130*L$144+K$144*L130-K130*K$144</f>
        <v>3.3000000000000007</v>
      </c>
    </row>
    <row r="155" spans="1:12" x14ac:dyDescent="0.25">
      <c r="A155" s="126" t="s">
        <v>130</v>
      </c>
      <c r="B155" s="131" t="s">
        <v>105</v>
      </c>
      <c r="D155" s="134" t="s">
        <v>145</v>
      </c>
      <c r="E155" s="87">
        <f t="shared" ref="E155:E156" si="118">E131*F$144+E$144*F131-F131*F$144</f>
        <v>1.1550000000000002</v>
      </c>
      <c r="F155">
        <f t="shared" si="113"/>
        <v>2.4750000000000001</v>
      </c>
      <c r="G155">
        <f t="shared" si="113"/>
        <v>4.2350000000000003</v>
      </c>
      <c r="H155" s="88">
        <f t="shared" si="114"/>
        <v>6.6550000000000002</v>
      </c>
      <c r="I155" s="87">
        <f t="shared" si="115"/>
        <v>1.5650000000000008</v>
      </c>
      <c r="J155">
        <f t="shared" si="116"/>
        <v>2.4750000000000001</v>
      </c>
      <c r="K155">
        <f t="shared" si="116"/>
        <v>4.2350000000000003</v>
      </c>
      <c r="L155" s="88">
        <f t="shared" si="117"/>
        <v>5.830000000000001</v>
      </c>
    </row>
    <row r="156" spans="1:12" ht="15.75" thickBot="1" x14ac:dyDescent="0.3">
      <c r="A156" s="127" t="s">
        <v>130</v>
      </c>
      <c r="B156" s="132" t="s">
        <v>104</v>
      </c>
      <c r="D156" s="135" t="s">
        <v>146</v>
      </c>
      <c r="E156" s="91">
        <f t="shared" si="118"/>
        <v>1.9649999999999999</v>
      </c>
      <c r="F156" s="93">
        <f t="shared" si="113"/>
        <v>4.5</v>
      </c>
      <c r="G156" s="93">
        <f t="shared" si="113"/>
        <v>5.5</v>
      </c>
      <c r="H156" s="94">
        <f t="shared" si="114"/>
        <v>7</v>
      </c>
      <c r="I156" s="91">
        <f t="shared" si="115"/>
        <v>2.7349999999999994</v>
      </c>
      <c r="J156" s="93">
        <f t="shared" si="116"/>
        <v>4.5</v>
      </c>
      <c r="K156" s="93">
        <f t="shared" si="116"/>
        <v>5.5</v>
      </c>
      <c r="L156" s="94">
        <f t="shared" si="117"/>
        <v>6.5</v>
      </c>
    </row>
    <row r="157" spans="1:12" x14ac:dyDescent="0.25">
      <c r="A157" s="125" t="s">
        <v>131</v>
      </c>
      <c r="B157" s="130" t="s">
        <v>107</v>
      </c>
      <c r="D157" s="133" t="s">
        <v>141</v>
      </c>
      <c r="E157" s="81">
        <f>E129*F$145+E$145*F129-F129*F$145</f>
        <v>0</v>
      </c>
      <c r="F157" s="83">
        <f>F129*F$145</f>
        <v>0</v>
      </c>
      <c r="G157" s="83">
        <f>G129*G$145</f>
        <v>0</v>
      </c>
      <c r="H157" s="84">
        <f>G129*H$145+G$145*H129-G129*G$145</f>
        <v>1.76</v>
      </c>
      <c r="I157" s="81">
        <f>I129*J$145+I$145*J129-J129*J$145</f>
        <v>0</v>
      </c>
      <c r="J157" s="83">
        <f>J129*J$145</f>
        <v>0</v>
      </c>
      <c r="K157" s="83">
        <f>K129*K$145</f>
        <v>0</v>
      </c>
      <c r="L157" s="84">
        <f>K129*L$145+K$145*L129-K129*K$145</f>
        <v>1.2</v>
      </c>
    </row>
    <row r="158" spans="1:12" x14ac:dyDescent="0.25">
      <c r="A158" s="126" t="s">
        <v>131</v>
      </c>
      <c r="B158" s="131" t="s">
        <v>106</v>
      </c>
      <c r="D158" s="134" t="s">
        <v>140</v>
      </c>
      <c r="E158" s="202">
        <f>IF(E130*F$145+E$145*F130-F130*F$145&lt;0,0,E130*F$145+E$145*F130-F130*F$145)</f>
        <v>0</v>
      </c>
      <c r="F158" s="179">
        <f t="shared" ref="F158:G160" si="119">F130*F$145</f>
        <v>1.5400000000000003</v>
      </c>
      <c r="G158" s="179">
        <f t="shared" si="119"/>
        <v>3.52</v>
      </c>
      <c r="H158" s="188">
        <f t="shared" ref="H158:H160" si="120">G130*H$145+G$145*H130-G130*G$145</f>
        <v>5.0600000000000005</v>
      </c>
      <c r="I158" s="187">
        <f t="shared" ref="I158:I160" si="121">I130*J$145+I$145*J130-J130*J$145</f>
        <v>0.19999999999999996</v>
      </c>
      <c r="J158" s="179">
        <f t="shared" ref="J158:K160" si="122">J130*J$145</f>
        <v>1.5400000000000003</v>
      </c>
      <c r="K158" s="179">
        <f t="shared" si="122"/>
        <v>3.52</v>
      </c>
      <c r="L158" s="188">
        <f t="shared" ref="L158:L160" si="123">K130*L$145+K$145*L130-K130*K$145</f>
        <v>4.6000000000000014</v>
      </c>
    </row>
    <row r="159" spans="1:12" x14ac:dyDescent="0.25">
      <c r="A159" s="126" t="s">
        <v>131</v>
      </c>
      <c r="B159" s="131" t="s">
        <v>105</v>
      </c>
      <c r="D159" s="134" t="s">
        <v>142</v>
      </c>
      <c r="E159" s="87">
        <f t="shared" ref="E159:E160" si="124">E131*F$145+E$145*F131-F131*F$145</f>
        <v>2.2549999999999999</v>
      </c>
      <c r="F159">
        <f t="shared" si="119"/>
        <v>3.8500000000000005</v>
      </c>
      <c r="G159">
        <f t="shared" si="119"/>
        <v>6.16</v>
      </c>
      <c r="H159" s="88">
        <f t="shared" si="120"/>
        <v>9.1550000000000011</v>
      </c>
      <c r="I159" s="87">
        <f t="shared" si="121"/>
        <v>2.7399999999999993</v>
      </c>
      <c r="J159">
        <f t="shared" si="122"/>
        <v>3.8500000000000005</v>
      </c>
      <c r="K159">
        <f t="shared" si="122"/>
        <v>6.16</v>
      </c>
      <c r="L159" s="88">
        <f t="shared" si="123"/>
        <v>8.129999999999999</v>
      </c>
    </row>
    <row r="160" spans="1:12" ht="15.75" thickBot="1" x14ac:dyDescent="0.3">
      <c r="A160" s="127" t="s">
        <v>131</v>
      </c>
      <c r="B160" s="132" t="s">
        <v>104</v>
      </c>
      <c r="D160" s="135" t="s">
        <v>143</v>
      </c>
      <c r="E160" s="91">
        <f t="shared" si="124"/>
        <v>3.8900000000000006</v>
      </c>
      <c r="F160" s="93">
        <f t="shared" si="119"/>
        <v>7</v>
      </c>
      <c r="G160" s="93">
        <f t="shared" si="119"/>
        <v>8</v>
      </c>
      <c r="H160" s="94">
        <f t="shared" si="120"/>
        <v>9.5</v>
      </c>
      <c r="I160" s="91">
        <f t="shared" si="121"/>
        <v>4.8099999999999987</v>
      </c>
      <c r="J160" s="93">
        <f t="shared" si="122"/>
        <v>7</v>
      </c>
      <c r="K160" s="93">
        <f t="shared" si="122"/>
        <v>8</v>
      </c>
      <c r="L160" s="94">
        <f t="shared" si="123"/>
        <v>9</v>
      </c>
    </row>
    <row r="162" spans="1:3" x14ac:dyDescent="0.25">
      <c r="A162" s="1" t="s">
        <v>221</v>
      </c>
    </row>
    <row r="163" spans="1:3" ht="15.75" thickBot="1" x14ac:dyDescent="0.3">
      <c r="A163" s="1" t="s">
        <v>206</v>
      </c>
    </row>
    <row r="164" spans="1:3" ht="15.75" thickBot="1" x14ac:dyDescent="0.3">
      <c r="A164" s="170" t="s">
        <v>175</v>
      </c>
      <c r="B164" s="192" t="s">
        <v>224</v>
      </c>
      <c r="C164" s="192" t="s">
        <v>225</v>
      </c>
    </row>
    <row r="165" spans="1:3" x14ac:dyDescent="0.25">
      <c r="A165" s="191" t="s">
        <v>176</v>
      </c>
      <c r="B165" s="173">
        <v>1</v>
      </c>
      <c r="C165" s="174">
        <f>B165/B$167</f>
        <v>0.5</v>
      </c>
    </row>
    <row r="166" spans="1:3" ht="15.75" thickBot="1" x14ac:dyDescent="0.3">
      <c r="A166" s="28" t="s">
        <v>177</v>
      </c>
      <c r="B166" s="18">
        <v>1</v>
      </c>
      <c r="C166" s="20">
        <f>B166/B$167</f>
        <v>0.5</v>
      </c>
    </row>
    <row r="167" spans="1:3" ht="15.75" thickBot="1" x14ac:dyDescent="0.3">
      <c r="A167" s="29" t="s">
        <v>223</v>
      </c>
      <c r="B167" s="193">
        <f>SUM(B165:B166)</f>
        <v>2</v>
      </c>
      <c r="C167" s="194">
        <f>SUM(C165:C166)</f>
        <v>1</v>
      </c>
    </row>
    <row r="169" spans="1:3" x14ac:dyDescent="0.25">
      <c r="A169" s="1" t="s">
        <v>222</v>
      </c>
    </row>
    <row r="170" spans="1:3" ht="15.75" thickBot="1" x14ac:dyDescent="0.3">
      <c r="A170" s="1" t="s">
        <v>208</v>
      </c>
    </row>
    <row r="171" spans="1:3" ht="15" customHeight="1" thickBot="1" x14ac:dyDescent="0.3">
      <c r="A171" s="178" t="s">
        <v>175</v>
      </c>
      <c r="B171" s="114" t="s">
        <v>224</v>
      </c>
      <c r="C171" s="198" t="s">
        <v>225</v>
      </c>
    </row>
    <row r="172" spans="1:3" x14ac:dyDescent="0.25">
      <c r="A172" s="191" t="s">
        <v>176</v>
      </c>
      <c r="B172" s="26">
        <v>0.75</v>
      </c>
      <c r="C172" s="199">
        <f>B172/B$175</f>
        <v>0.3</v>
      </c>
    </row>
    <row r="173" spans="1:3" x14ac:dyDescent="0.25">
      <c r="A173" s="27" t="s">
        <v>177</v>
      </c>
      <c r="B173" s="27">
        <v>0.75</v>
      </c>
      <c r="C173" s="161">
        <f t="shared" ref="C173:C174" si="125">B173/B$175</f>
        <v>0.3</v>
      </c>
    </row>
    <row r="174" spans="1:3" ht="15.75" thickBot="1" x14ac:dyDescent="0.3">
      <c r="A174" s="195" t="s">
        <v>207</v>
      </c>
      <c r="B174" s="195">
        <v>1</v>
      </c>
      <c r="C174" s="162">
        <f t="shared" si="125"/>
        <v>0.4</v>
      </c>
    </row>
    <row r="175" spans="1:3" ht="15.75" thickBot="1" x14ac:dyDescent="0.3">
      <c r="A175" s="29" t="s">
        <v>223</v>
      </c>
      <c r="B175" s="196">
        <f>SUM(B172:B174)</f>
        <v>2.5</v>
      </c>
      <c r="C175" s="197">
        <f>SUM(C172:C174)</f>
        <v>1</v>
      </c>
    </row>
    <row r="177" spans="1:9" ht="15.75" thickBot="1" x14ac:dyDescent="0.3">
      <c r="A177" s="1" t="s">
        <v>248</v>
      </c>
    </row>
    <row r="178" spans="1:9" ht="15.75" thickBot="1" x14ac:dyDescent="0.3">
      <c r="A178" s="193" t="s">
        <v>252</v>
      </c>
      <c r="B178" s="194" t="s">
        <v>249</v>
      </c>
    </row>
    <row r="179" spans="1:9" x14ac:dyDescent="0.25">
      <c r="A179" s="211" t="s">
        <v>250</v>
      </c>
      <c r="B179" s="174">
        <v>0.8</v>
      </c>
    </row>
    <row r="180" spans="1:9" ht="15.75" thickBot="1" x14ac:dyDescent="0.3">
      <c r="A180" s="212" t="s">
        <v>251</v>
      </c>
      <c r="B180" s="124">
        <v>0.4</v>
      </c>
    </row>
    <row r="182" spans="1:9" x14ac:dyDescent="0.25">
      <c r="A182" s="309" t="s">
        <v>230</v>
      </c>
      <c r="B182" s="276"/>
      <c r="C182" s="276"/>
      <c r="D182" s="276"/>
      <c r="E182" s="276"/>
      <c r="F182" s="276"/>
      <c r="G182" s="276"/>
      <c r="H182" s="276"/>
      <c r="I182" s="276"/>
    </row>
    <row r="183" spans="1:9" x14ac:dyDescent="0.25">
      <c r="A183" s="308" t="s">
        <v>231</v>
      </c>
      <c r="B183" s="276"/>
      <c r="C183" s="276"/>
      <c r="D183" s="276"/>
      <c r="F183" s="308" t="s">
        <v>232</v>
      </c>
      <c r="G183" s="276"/>
      <c r="H183" s="276"/>
      <c r="I183" s="276"/>
    </row>
    <row r="185" spans="1:9" x14ac:dyDescent="0.25">
      <c r="A185" s="203" t="s">
        <v>84</v>
      </c>
      <c r="B185">
        <v>1</v>
      </c>
      <c r="C185">
        <v>0.755</v>
      </c>
      <c r="D185">
        <v>0.60299999999999998</v>
      </c>
      <c r="F185" s="203" t="s">
        <v>84</v>
      </c>
      <c r="G185">
        <v>1</v>
      </c>
      <c r="H185">
        <v>0.69599999999999995</v>
      </c>
      <c r="I185">
        <v>0.51200000000000001</v>
      </c>
    </row>
    <row r="186" spans="1:9" x14ac:dyDescent="0.25">
      <c r="B186">
        <v>0.755</v>
      </c>
      <c r="C186">
        <v>1</v>
      </c>
      <c r="D186">
        <v>0.76600000000000001</v>
      </c>
      <c r="G186">
        <v>0.69599999999999995</v>
      </c>
      <c r="H186">
        <v>1</v>
      </c>
      <c r="I186">
        <v>0.745</v>
      </c>
    </row>
    <row r="187" spans="1:9" x14ac:dyDescent="0.25">
      <c r="B187">
        <v>0.60299999999999998</v>
      </c>
      <c r="C187">
        <v>0.76600000000000001</v>
      </c>
      <c r="D187">
        <v>1</v>
      </c>
      <c r="G187">
        <v>0.51200000000000001</v>
      </c>
      <c r="H187">
        <v>0.745</v>
      </c>
      <c r="I187">
        <v>1</v>
      </c>
    </row>
    <row r="189" spans="1:9" x14ac:dyDescent="0.25">
      <c r="A189" s="203" t="s">
        <v>73</v>
      </c>
      <c r="B189">
        <v>1</v>
      </c>
      <c r="C189">
        <v>0.73</v>
      </c>
      <c r="D189">
        <v>0.82399999999999995</v>
      </c>
      <c r="F189" s="203" t="s">
        <v>73</v>
      </c>
      <c r="G189">
        <v>1</v>
      </c>
      <c r="H189">
        <v>0.69799999999999995</v>
      </c>
      <c r="I189">
        <v>0.79600000000000004</v>
      </c>
    </row>
    <row r="190" spans="1:9" x14ac:dyDescent="0.25">
      <c r="B190">
        <v>0.73</v>
      </c>
      <c r="C190">
        <v>1</v>
      </c>
      <c r="D190">
        <v>0.60599999999999998</v>
      </c>
      <c r="G190">
        <v>0.69799999999999995</v>
      </c>
      <c r="H190">
        <v>1</v>
      </c>
      <c r="I190">
        <v>0.56200000000000006</v>
      </c>
    </row>
    <row r="191" spans="1:9" x14ac:dyDescent="0.25">
      <c r="B191">
        <v>0.82399999999999995</v>
      </c>
      <c r="C191">
        <v>0.60599999999999998</v>
      </c>
      <c r="D191">
        <v>1</v>
      </c>
      <c r="G191">
        <v>0.79600000000000004</v>
      </c>
      <c r="H191">
        <v>0.56200000000000006</v>
      </c>
      <c r="I191">
        <v>1</v>
      </c>
    </row>
    <row r="193" spans="1:9" x14ac:dyDescent="0.25">
      <c r="A193" s="203" t="s">
        <v>74</v>
      </c>
      <c r="B193">
        <v>1</v>
      </c>
      <c r="C193">
        <v>0.375</v>
      </c>
      <c r="D193">
        <v>0.80500000000000005</v>
      </c>
      <c r="F193" s="203" t="s">
        <v>74</v>
      </c>
      <c r="G193">
        <v>1</v>
      </c>
      <c r="H193">
        <v>0.27100000000000002</v>
      </c>
      <c r="I193">
        <v>0.73899999999999999</v>
      </c>
    </row>
    <row r="194" spans="1:9" x14ac:dyDescent="0.25">
      <c r="B194">
        <v>0.375</v>
      </c>
      <c r="C194">
        <v>1</v>
      </c>
      <c r="D194">
        <v>0.46400000000000002</v>
      </c>
      <c r="G194">
        <v>0.27100000000000002</v>
      </c>
      <c r="H194">
        <v>1</v>
      </c>
      <c r="I194">
        <v>0.378</v>
      </c>
    </row>
    <row r="195" spans="1:9" x14ac:dyDescent="0.25">
      <c r="B195">
        <v>0.80500000000000005</v>
      </c>
      <c r="C195">
        <v>0.46400000000000002</v>
      </c>
      <c r="D195">
        <v>1</v>
      </c>
      <c r="G195">
        <v>0.73899999999999999</v>
      </c>
      <c r="H195">
        <v>0.378</v>
      </c>
      <c r="I195">
        <v>1</v>
      </c>
    </row>
    <row r="197" spans="1:9" x14ac:dyDescent="0.25">
      <c r="A197" s="203" t="s">
        <v>75</v>
      </c>
      <c r="B197">
        <v>1</v>
      </c>
      <c r="C197">
        <v>0.74299999999999999</v>
      </c>
      <c r="D197">
        <v>0.40300000000000002</v>
      </c>
      <c r="F197" s="203" t="s">
        <v>75</v>
      </c>
      <c r="G197">
        <v>1</v>
      </c>
      <c r="H197">
        <v>0.69799999999999995</v>
      </c>
      <c r="I197">
        <v>0.314</v>
      </c>
    </row>
    <row r="198" spans="1:9" x14ac:dyDescent="0.25">
      <c r="B198">
        <v>0.74299999999999999</v>
      </c>
      <c r="C198">
        <v>1</v>
      </c>
      <c r="D198">
        <v>0.29699999999999999</v>
      </c>
      <c r="G198">
        <v>0.69799999999999995</v>
      </c>
      <c r="H198">
        <v>1</v>
      </c>
      <c r="I198">
        <v>0.21299999999999999</v>
      </c>
    </row>
    <row r="199" spans="1:9" x14ac:dyDescent="0.25">
      <c r="B199">
        <v>0.40300000000000002</v>
      </c>
      <c r="C199">
        <v>0.29699999999999999</v>
      </c>
      <c r="D199">
        <v>1</v>
      </c>
      <c r="G199">
        <v>0.314</v>
      </c>
      <c r="H199">
        <v>0.21299999999999999</v>
      </c>
      <c r="I199">
        <v>1</v>
      </c>
    </row>
    <row r="201" spans="1:9" x14ac:dyDescent="0.25">
      <c r="A201" s="203" t="s">
        <v>77</v>
      </c>
      <c r="B201">
        <v>1</v>
      </c>
      <c r="C201">
        <v>0.42299999999999999</v>
      </c>
      <c r="D201">
        <v>0.61599999999999999</v>
      </c>
      <c r="F201" s="203" t="s">
        <v>77</v>
      </c>
      <c r="G201">
        <v>1</v>
      </c>
      <c r="H201">
        <v>0.32600000000000001</v>
      </c>
      <c r="I201">
        <v>0.58399999999999996</v>
      </c>
    </row>
    <row r="202" spans="1:9" x14ac:dyDescent="0.25">
      <c r="B202">
        <v>0.42299999999999999</v>
      </c>
      <c r="C202">
        <v>1</v>
      </c>
      <c r="D202">
        <v>0.217</v>
      </c>
      <c r="G202">
        <v>0.32600000000000001</v>
      </c>
      <c r="H202">
        <v>1</v>
      </c>
      <c r="I202">
        <v>0.13500000000000001</v>
      </c>
    </row>
    <row r="203" spans="1:9" x14ac:dyDescent="0.25">
      <c r="B203">
        <v>0.61599999999999999</v>
      </c>
      <c r="C203">
        <v>0.217</v>
      </c>
      <c r="D203">
        <v>1</v>
      </c>
      <c r="G203">
        <v>0.58399999999999996</v>
      </c>
      <c r="H203">
        <v>0.13500000000000001</v>
      </c>
      <c r="I203">
        <v>1</v>
      </c>
    </row>
    <row r="205" spans="1:9" x14ac:dyDescent="0.25">
      <c r="A205" s="203" t="s">
        <v>78</v>
      </c>
      <c r="B205">
        <v>1</v>
      </c>
      <c r="C205">
        <v>0.47699999999999998</v>
      </c>
      <c r="D205">
        <v>0.38900000000000001</v>
      </c>
      <c r="F205" s="203" t="s">
        <v>78</v>
      </c>
      <c r="G205">
        <v>1</v>
      </c>
      <c r="H205">
        <v>0.40899999999999997</v>
      </c>
      <c r="I205">
        <v>0.30399999999999999</v>
      </c>
    </row>
    <row r="206" spans="1:9" x14ac:dyDescent="0.25">
      <c r="B206">
        <v>0.47699999999999998</v>
      </c>
      <c r="C206">
        <v>1</v>
      </c>
      <c r="D206">
        <v>0.17899999999999999</v>
      </c>
      <c r="G206">
        <v>0.40899999999999997</v>
      </c>
      <c r="H206">
        <v>1</v>
      </c>
      <c r="I206">
        <v>0.10299999999999999</v>
      </c>
    </row>
    <row r="207" spans="1:9" x14ac:dyDescent="0.25">
      <c r="B207">
        <v>0.38900000000000001</v>
      </c>
      <c r="C207">
        <v>0.17899999999999999</v>
      </c>
      <c r="D207">
        <v>1</v>
      </c>
      <c r="G207">
        <v>0.30399999999999999</v>
      </c>
      <c r="H207">
        <v>0.10299999999999999</v>
      </c>
      <c r="I207">
        <v>1</v>
      </c>
    </row>
    <row r="209" spans="1:9" x14ac:dyDescent="0.25">
      <c r="A209" s="203" t="s">
        <v>79</v>
      </c>
      <c r="B209">
        <v>1</v>
      </c>
      <c r="C209">
        <v>0.47699999999999998</v>
      </c>
      <c r="D209">
        <v>0.61199999999999999</v>
      </c>
      <c r="F209" s="203" t="s">
        <v>79</v>
      </c>
      <c r="G209">
        <v>1</v>
      </c>
      <c r="H209">
        <v>0.40899999999999997</v>
      </c>
      <c r="I209">
        <v>0.53900000000000003</v>
      </c>
    </row>
    <row r="210" spans="1:9" x14ac:dyDescent="0.25">
      <c r="B210">
        <v>0.47699999999999998</v>
      </c>
      <c r="C210">
        <v>1</v>
      </c>
      <c r="D210">
        <v>0.29699999999999999</v>
      </c>
      <c r="G210">
        <v>0.40899999999999997</v>
      </c>
      <c r="H210">
        <v>1</v>
      </c>
      <c r="I210">
        <v>0.21299999999999999</v>
      </c>
    </row>
    <row r="211" spans="1:9" x14ac:dyDescent="0.25">
      <c r="B211">
        <v>0.61199999999999999</v>
      </c>
      <c r="C211">
        <v>0.29699999999999999</v>
      </c>
      <c r="D211">
        <v>1</v>
      </c>
      <c r="G211">
        <v>0.53900000000000003</v>
      </c>
      <c r="H211">
        <v>0.21299999999999999</v>
      </c>
      <c r="I211">
        <v>1</v>
      </c>
    </row>
    <row r="213" spans="1:9" x14ac:dyDescent="0.25">
      <c r="A213" s="203" t="s">
        <v>80</v>
      </c>
      <c r="B213">
        <v>1</v>
      </c>
      <c r="C213">
        <v>0.88400000000000001</v>
      </c>
      <c r="D213">
        <v>0.66500000000000004</v>
      </c>
      <c r="F213" s="203" t="s">
        <v>80</v>
      </c>
      <c r="G213">
        <v>1</v>
      </c>
      <c r="H213">
        <v>0.85499999999999998</v>
      </c>
      <c r="I213">
        <v>0.61299999999999999</v>
      </c>
    </row>
    <row r="214" spans="1:9" x14ac:dyDescent="0.25">
      <c r="B214">
        <v>0.88400000000000001</v>
      </c>
      <c r="C214">
        <v>1</v>
      </c>
      <c r="D214">
        <v>0.69399999999999995</v>
      </c>
      <c r="G214">
        <v>0.85499999999999998</v>
      </c>
      <c r="H214">
        <v>1</v>
      </c>
      <c r="I214">
        <v>0.66</v>
      </c>
    </row>
    <row r="215" spans="1:9" x14ac:dyDescent="0.25">
      <c r="B215">
        <v>0.66500000000000004</v>
      </c>
      <c r="C215">
        <v>0.69399999999999995</v>
      </c>
      <c r="D215">
        <v>1</v>
      </c>
      <c r="G215">
        <v>0.61299999999999999</v>
      </c>
      <c r="H215">
        <v>0.66</v>
      </c>
      <c r="I215">
        <v>1</v>
      </c>
    </row>
    <row r="217" spans="1:9" x14ac:dyDescent="0.25">
      <c r="A217" s="203" t="s">
        <v>82</v>
      </c>
      <c r="B217">
        <v>1</v>
      </c>
      <c r="C217">
        <v>0.72899999999999998</v>
      </c>
      <c r="D217">
        <v>0.61599999999999999</v>
      </c>
      <c r="F217" s="203" t="s">
        <v>82</v>
      </c>
      <c r="G217">
        <v>1</v>
      </c>
      <c r="H217">
        <v>0.64900000000000002</v>
      </c>
      <c r="I217">
        <v>0.58399999999999996</v>
      </c>
    </row>
    <row r="218" spans="1:9" x14ac:dyDescent="0.25">
      <c r="B218">
        <v>0.72899999999999998</v>
      </c>
      <c r="C218">
        <v>1</v>
      </c>
      <c r="D218">
        <v>0.42099999999999999</v>
      </c>
      <c r="G218">
        <v>0.64900000000000002</v>
      </c>
      <c r="H218">
        <v>1</v>
      </c>
      <c r="I218">
        <v>0.34399999999999997</v>
      </c>
    </row>
    <row r="219" spans="1:9" x14ac:dyDescent="0.25">
      <c r="B219">
        <v>0.61599999999999999</v>
      </c>
      <c r="C219">
        <v>0.42099999999999999</v>
      </c>
      <c r="D219">
        <v>1</v>
      </c>
      <c r="G219">
        <v>0.58399999999999996</v>
      </c>
      <c r="H219">
        <v>0.34399999999999997</v>
      </c>
      <c r="I219">
        <v>1</v>
      </c>
    </row>
    <row r="221" spans="1:9" x14ac:dyDescent="0.25">
      <c r="A221" s="203" t="s">
        <v>83</v>
      </c>
      <c r="B221">
        <v>1</v>
      </c>
      <c r="C221">
        <v>0.38</v>
      </c>
      <c r="D221">
        <v>0.60099999999999998</v>
      </c>
      <c r="F221" s="203" t="s">
        <v>83</v>
      </c>
      <c r="G221">
        <v>1</v>
      </c>
      <c r="H221">
        <v>0.29199999999999998</v>
      </c>
      <c r="I221">
        <v>0.53100000000000003</v>
      </c>
    </row>
    <row r="222" spans="1:9" x14ac:dyDescent="0.25">
      <c r="B222">
        <v>0.38</v>
      </c>
      <c r="C222">
        <v>1</v>
      </c>
      <c r="D222">
        <v>0.64200000000000002</v>
      </c>
      <c r="G222">
        <v>0.29199999999999998</v>
      </c>
      <c r="H222">
        <v>1</v>
      </c>
      <c r="I222">
        <v>0.57599999999999996</v>
      </c>
    </row>
    <row r="223" spans="1:9" x14ac:dyDescent="0.25">
      <c r="B223">
        <v>0.60099999999999998</v>
      </c>
      <c r="C223">
        <v>0.64200000000000002</v>
      </c>
      <c r="D223">
        <v>1</v>
      </c>
      <c r="G223">
        <v>0.53100000000000003</v>
      </c>
      <c r="H223">
        <v>0.57599999999999996</v>
      </c>
      <c r="I223">
        <v>1</v>
      </c>
    </row>
    <row r="225" spans="1:9" x14ac:dyDescent="0.25">
      <c r="A225" s="309" t="s">
        <v>233</v>
      </c>
      <c r="B225" s="276"/>
      <c r="C225" s="276"/>
      <c r="D225" s="276"/>
      <c r="E225" s="276"/>
      <c r="F225" s="276"/>
      <c r="G225" s="276"/>
      <c r="H225" s="276"/>
      <c r="I225" s="276"/>
    </row>
    <row r="226" spans="1:9" x14ac:dyDescent="0.25">
      <c r="A226" s="308" t="s">
        <v>253</v>
      </c>
      <c r="B226" s="276"/>
      <c r="C226" s="276"/>
      <c r="D226" s="276"/>
      <c r="F226" s="308" t="s">
        <v>254</v>
      </c>
      <c r="G226" s="276"/>
      <c r="H226" s="276"/>
      <c r="I226" s="276"/>
    </row>
    <row r="227" spans="1:9" s="213" customFormat="1" ht="30" x14ac:dyDescent="0.25">
      <c r="A227" s="214" t="s">
        <v>182</v>
      </c>
      <c r="B227" s="214" t="s">
        <v>176</v>
      </c>
      <c r="C227" s="214" t="s">
        <v>177</v>
      </c>
      <c r="D227" s="214" t="s">
        <v>207</v>
      </c>
      <c r="F227" s="214" t="s">
        <v>182</v>
      </c>
      <c r="G227" s="214" t="s">
        <v>176</v>
      </c>
      <c r="H227" s="214" t="s">
        <v>177</v>
      </c>
      <c r="I227" s="214" t="s">
        <v>207</v>
      </c>
    </row>
    <row r="228" spans="1:9" x14ac:dyDescent="0.25">
      <c r="A228" s="2" t="s">
        <v>84</v>
      </c>
      <c r="B228" s="2">
        <f>(C185+D185)/2</f>
        <v>0.67900000000000005</v>
      </c>
      <c r="C228" s="2">
        <f>(B186+D186)/2</f>
        <v>0.76049999999999995</v>
      </c>
      <c r="D228" s="2">
        <f>(B187+C187)/2</f>
        <v>0.6845</v>
      </c>
      <c r="F228" s="2" t="s">
        <v>84</v>
      </c>
      <c r="G228" s="2">
        <f>(H185+I185)/2</f>
        <v>0.60399999999999998</v>
      </c>
      <c r="H228" s="2">
        <f>(G186+I186)/2</f>
        <v>0.72049999999999992</v>
      </c>
      <c r="I228" s="2">
        <f>(G187+H187)/2</f>
        <v>0.62850000000000006</v>
      </c>
    </row>
    <row r="229" spans="1:9" x14ac:dyDescent="0.25">
      <c r="A229" s="2" t="s">
        <v>73</v>
      </c>
      <c r="B229" s="2">
        <f>(C189+D189)/2</f>
        <v>0.77699999999999991</v>
      </c>
      <c r="C229" s="2">
        <f>(B190+D190)/2</f>
        <v>0.66799999999999993</v>
      </c>
      <c r="D229" s="2">
        <f>(B191+C191)/2</f>
        <v>0.71499999999999997</v>
      </c>
      <c r="F229" s="2" t="s">
        <v>73</v>
      </c>
      <c r="G229" s="2">
        <f>(H189+I189)/2</f>
        <v>0.747</v>
      </c>
      <c r="H229" s="2">
        <f>(G190+I190)/2</f>
        <v>0.63</v>
      </c>
      <c r="I229" s="2">
        <f>(G191+H191)/2</f>
        <v>0.67900000000000005</v>
      </c>
    </row>
    <row r="230" spans="1:9" x14ac:dyDescent="0.25">
      <c r="A230" s="2" t="s">
        <v>74</v>
      </c>
      <c r="B230" s="2">
        <f>(C193+D193)/2</f>
        <v>0.59000000000000008</v>
      </c>
      <c r="C230" s="2">
        <f>(B194+D194)/2</f>
        <v>0.41949999999999998</v>
      </c>
      <c r="D230" s="2">
        <f>(B195+C195)/2</f>
        <v>0.63450000000000006</v>
      </c>
      <c r="F230" s="2" t="s">
        <v>74</v>
      </c>
      <c r="G230" s="2">
        <f>(H193+I193)/2</f>
        <v>0.505</v>
      </c>
      <c r="H230" s="2">
        <f>(G194+I194)/2</f>
        <v>0.32450000000000001</v>
      </c>
      <c r="I230" s="2">
        <f>(G195+H195)/2</f>
        <v>0.5585</v>
      </c>
    </row>
    <row r="231" spans="1:9" x14ac:dyDescent="0.25">
      <c r="A231" s="2" t="s">
        <v>75</v>
      </c>
      <c r="B231" s="2">
        <f>(C197+D197)/2</f>
        <v>0.57299999999999995</v>
      </c>
      <c r="C231" s="2">
        <f>(B198+D198)/2</f>
        <v>0.52</v>
      </c>
      <c r="D231" s="2">
        <f>(B199+C199)/2</f>
        <v>0.35</v>
      </c>
      <c r="F231" s="2" t="s">
        <v>75</v>
      </c>
      <c r="G231" s="2">
        <f>(H197+I197)/2</f>
        <v>0.50600000000000001</v>
      </c>
      <c r="H231" s="2">
        <f>(G198+I198)/2</f>
        <v>0.45549999999999996</v>
      </c>
      <c r="I231" s="2">
        <f>(G199+H199)/2</f>
        <v>0.26350000000000001</v>
      </c>
    </row>
    <row r="232" spans="1:9" x14ac:dyDescent="0.25">
      <c r="A232" s="2" t="s">
        <v>77</v>
      </c>
      <c r="B232" s="2">
        <f>(C201+D201)/2</f>
        <v>0.51949999999999996</v>
      </c>
      <c r="C232" s="2">
        <f>(B202+D202)/2</f>
        <v>0.32</v>
      </c>
      <c r="D232" s="2">
        <f>(B203+C203)/2</f>
        <v>0.41649999999999998</v>
      </c>
      <c r="F232" s="2" t="s">
        <v>77</v>
      </c>
      <c r="G232" s="2">
        <f>(H201+I201)/2</f>
        <v>0.45499999999999996</v>
      </c>
      <c r="H232" s="2">
        <f>(G202+I202)/2</f>
        <v>0.23050000000000001</v>
      </c>
      <c r="I232" s="2">
        <f>(G203+H203)/2</f>
        <v>0.35949999999999999</v>
      </c>
    </row>
    <row r="233" spans="1:9" x14ac:dyDescent="0.25">
      <c r="A233" s="2" t="s">
        <v>78</v>
      </c>
      <c r="B233" s="2">
        <f>(C205+D205)/2</f>
        <v>0.433</v>
      </c>
      <c r="C233" s="2">
        <f>(B206+D206)/2</f>
        <v>0.32799999999999996</v>
      </c>
      <c r="D233" s="2">
        <f>(B207+C207)/2</f>
        <v>0.28400000000000003</v>
      </c>
      <c r="F233" s="2" t="s">
        <v>78</v>
      </c>
      <c r="G233" s="2">
        <f>(H205+I205)/2</f>
        <v>0.35649999999999998</v>
      </c>
      <c r="H233" s="2">
        <f>(G206+I206)/2</f>
        <v>0.25600000000000001</v>
      </c>
      <c r="I233" s="2">
        <f>(G207+H207)/2</f>
        <v>0.20349999999999999</v>
      </c>
    </row>
    <row r="234" spans="1:9" x14ac:dyDescent="0.25">
      <c r="A234" s="2" t="s">
        <v>79</v>
      </c>
      <c r="B234" s="2">
        <f>(C209+D209)/2</f>
        <v>0.54449999999999998</v>
      </c>
      <c r="C234" s="2">
        <f>(B210+D210)/2</f>
        <v>0.38700000000000001</v>
      </c>
      <c r="D234" s="2">
        <f>(B211+C211)/2</f>
        <v>0.45450000000000002</v>
      </c>
      <c r="F234" s="2" t="s">
        <v>79</v>
      </c>
      <c r="G234" s="2">
        <f>(H209+I209)/2</f>
        <v>0.47399999999999998</v>
      </c>
      <c r="H234" s="2">
        <f>(G210+I210)/2</f>
        <v>0.311</v>
      </c>
      <c r="I234" s="2">
        <f>(G211+H211)/2</f>
        <v>0.376</v>
      </c>
    </row>
    <row r="235" spans="1:9" x14ac:dyDescent="0.25">
      <c r="A235" s="2" t="s">
        <v>80</v>
      </c>
      <c r="B235" s="2">
        <f>(C213+D213)/2</f>
        <v>0.77449999999999997</v>
      </c>
      <c r="C235" s="2">
        <f>(B214+D214)/2</f>
        <v>0.78899999999999992</v>
      </c>
      <c r="D235" s="2">
        <f>(B215+C215)/2</f>
        <v>0.67949999999999999</v>
      </c>
      <c r="F235" s="2" t="s">
        <v>80</v>
      </c>
      <c r="G235" s="2">
        <f>(H213+I213)/2</f>
        <v>0.73399999999999999</v>
      </c>
      <c r="H235" s="2">
        <f>(G214+I214)/2</f>
        <v>0.75750000000000006</v>
      </c>
      <c r="I235" s="2">
        <f>(G215+H215)/2</f>
        <v>0.63650000000000007</v>
      </c>
    </row>
    <row r="236" spans="1:9" x14ac:dyDescent="0.25">
      <c r="A236" s="2" t="s">
        <v>82</v>
      </c>
      <c r="B236" s="2">
        <f>(C217+D217)/2</f>
        <v>0.67249999999999999</v>
      </c>
      <c r="C236" s="2">
        <f>(B218+D218)/2</f>
        <v>0.57499999999999996</v>
      </c>
      <c r="D236" s="2">
        <f>(B219+C219)/2</f>
        <v>0.51849999999999996</v>
      </c>
      <c r="F236" s="2" t="s">
        <v>82</v>
      </c>
      <c r="G236" s="2">
        <f>(H217+I217)/2</f>
        <v>0.61650000000000005</v>
      </c>
      <c r="H236" s="2">
        <f>(G218+I218)/2</f>
        <v>0.4965</v>
      </c>
      <c r="I236" s="2">
        <f>(G219+H219)/2</f>
        <v>0.46399999999999997</v>
      </c>
    </row>
    <row r="237" spans="1:9" x14ac:dyDescent="0.25">
      <c r="A237" s="2" t="s">
        <v>83</v>
      </c>
      <c r="B237" s="2">
        <f>(C221+D221)/2</f>
        <v>0.49049999999999999</v>
      </c>
      <c r="C237" s="2">
        <f>(B222+D222)/2</f>
        <v>0.51100000000000001</v>
      </c>
      <c r="D237" s="2">
        <f>(B223+C223)/2</f>
        <v>0.62149999999999994</v>
      </c>
      <c r="F237" s="2" t="s">
        <v>83</v>
      </c>
      <c r="G237" s="2">
        <f>(H221+I221)/2</f>
        <v>0.41149999999999998</v>
      </c>
      <c r="H237" s="2">
        <f>(G222+I222)/2</f>
        <v>0.43399999999999994</v>
      </c>
      <c r="I237" s="2">
        <f>(G223+H223)/2</f>
        <v>0.55349999999999999</v>
      </c>
    </row>
    <row r="239" spans="1:9" x14ac:dyDescent="0.25">
      <c r="A239" s="309" t="s">
        <v>255</v>
      </c>
      <c r="B239" s="276"/>
      <c r="C239" s="276"/>
      <c r="D239" s="276"/>
      <c r="E239" s="276"/>
      <c r="F239" s="276"/>
      <c r="G239" s="276"/>
      <c r="H239" s="276"/>
      <c r="I239" s="276"/>
    </row>
    <row r="240" spans="1:9" x14ac:dyDescent="0.25">
      <c r="A240" s="308" t="s">
        <v>256</v>
      </c>
      <c r="B240" s="276"/>
      <c r="C240" s="276"/>
      <c r="D240" s="276"/>
      <c r="F240" s="308" t="s">
        <v>257</v>
      </c>
      <c r="G240" s="276"/>
      <c r="H240" s="276"/>
      <c r="I240" s="276"/>
    </row>
    <row r="241" spans="1:10" ht="30" x14ac:dyDescent="0.25">
      <c r="A241" s="151" t="s">
        <v>182</v>
      </c>
      <c r="B241" s="3" t="s">
        <v>176</v>
      </c>
      <c r="C241" s="3" t="s">
        <v>177</v>
      </c>
      <c r="D241" s="3" t="s">
        <v>207</v>
      </c>
      <c r="E241" s="207" t="s">
        <v>234</v>
      </c>
      <c r="F241" s="151" t="s">
        <v>182</v>
      </c>
      <c r="G241" s="3" t="s">
        <v>176</v>
      </c>
      <c r="H241" s="3" t="s">
        <v>177</v>
      </c>
      <c r="I241" s="3" t="s">
        <v>207</v>
      </c>
      <c r="J241" s="207" t="s">
        <v>234</v>
      </c>
    </row>
    <row r="242" spans="1:10" x14ac:dyDescent="0.25">
      <c r="A242" s="102" t="s">
        <v>84</v>
      </c>
      <c r="B242" s="204">
        <f t="shared" ref="B242:B251" si="126">B228/SUM($B228:$D228)</f>
        <v>0.3196798493408663</v>
      </c>
      <c r="C242" s="204">
        <f t="shared" ref="C242:D242" si="127">C228/SUM($B228:$D228)</f>
        <v>0.35805084745762705</v>
      </c>
      <c r="D242" s="204">
        <f t="shared" si="127"/>
        <v>0.3222693032015066</v>
      </c>
      <c r="E242" s="206">
        <f>SUM(B242:D242)</f>
        <v>0.99999999999999989</v>
      </c>
      <c r="F242" s="102" t="s">
        <v>84</v>
      </c>
      <c r="G242" s="204">
        <f>G228/SUM($G228:$I228)</f>
        <v>0.30926779313876085</v>
      </c>
      <c r="H242" s="204">
        <f t="shared" ref="H242:I242" si="128">H228/SUM($G228:$I228)</f>
        <v>0.36891961085509467</v>
      </c>
      <c r="I242" s="204">
        <f t="shared" si="128"/>
        <v>0.32181259600614442</v>
      </c>
      <c r="J242" s="206">
        <f>SUM(G242:I242)</f>
        <v>1</v>
      </c>
    </row>
    <row r="243" spans="1:10" x14ac:dyDescent="0.25">
      <c r="A243" s="102" t="s">
        <v>73</v>
      </c>
      <c r="B243" s="204">
        <f t="shared" si="126"/>
        <v>0.35972222222222222</v>
      </c>
      <c r="C243" s="204">
        <f t="shared" ref="C243:D251" si="129">C229/SUM($B229:$D229)</f>
        <v>0.30925925925925929</v>
      </c>
      <c r="D243" s="204">
        <f t="shared" si="129"/>
        <v>0.33101851851851855</v>
      </c>
      <c r="E243" s="206">
        <f t="shared" ref="E243:E251" si="130">SUM(B243:D243)</f>
        <v>1</v>
      </c>
      <c r="F243" s="102" t="s">
        <v>73</v>
      </c>
      <c r="G243" s="204">
        <f t="shared" ref="G243:I243" si="131">G229/SUM($G229:$I229)</f>
        <v>0.36332684824902722</v>
      </c>
      <c r="H243" s="204">
        <f t="shared" si="131"/>
        <v>0.30642023346303504</v>
      </c>
      <c r="I243" s="204">
        <f t="shared" si="131"/>
        <v>0.33025291828793774</v>
      </c>
      <c r="J243" s="206">
        <f t="shared" ref="J243:J251" si="132">SUM(G243:I243)</f>
        <v>1</v>
      </c>
    </row>
    <row r="244" spans="1:10" x14ac:dyDescent="0.25">
      <c r="A244" s="102" t="s">
        <v>74</v>
      </c>
      <c r="B244" s="204">
        <f t="shared" si="126"/>
        <v>0.35888077858880779</v>
      </c>
      <c r="C244" s="204">
        <f t="shared" si="129"/>
        <v>0.25517031630170312</v>
      </c>
      <c r="D244" s="204">
        <f t="shared" si="129"/>
        <v>0.38594890510948904</v>
      </c>
      <c r="E244" s="206">
        <f t="shared" si="130"/>
        <v>1</v>
      </c>
      <c r="F244" s="102" t="s">
        <v>74</v>
      </c>
      <c r="G244" s="204">
        <f t="shared" ref="G244:I244" si="133">G230/SUM($G230:$I230)</f>
        <v>0.36383285302593665</v>
      </c>
      <c r="H244" s="204">
        <f t="shared" si="133"/>
        <v>0.23378962536023057</v>
      </c>
      <c r="I244" s="204">
        <f t="shared" si="133"/>
        <v>0.40237752161383289</v>
      </c>
      <c r="J244" s="206">
        <f t="shared" si="132"/>
        <v>1</v>
      </c>
    </row>
    <row r="245" spans="1:10" x14ac:dyDescent="0.25">
      <c r="A245" s="102" t="s">
        <v>75</v>
      </c>
      <c r="B245" s="204">
        <f t="shared" si="126"/>
        <v>0.39708939708939706</v>
      </c>
      <c r="C245" s="204">
        <f t="shared" si="129"/>
        <v>0.36036036036036034</v>
      </c>
      <c r="D245" s="204">
        <f t="shared" si="129"/>
        <v>0.24255024255024252</v>
      </c>
      <c r="E245" s="206">
        <f t="shared" si="130"/>
        <v>0.99999999999999989</v>
      </c>
      <c r="F245" s="102" t="s">
        <v>75</v>
      </c>
      <c r="G245" s="204">
        <f t="shared" ref="G245:I245" si="134">G231/SUM($G231:$I231)</f>
        <v>0.41306122448979588</v>
      </c>
      <c r="H245" s="204">
        <f t="shared" si="134"/>
        <v>0.37183673469387751</v>
      </c>
      <c r="I245" s="204">
        <f t="shared" si="134"/>
        <v>0.21510204081632653</v>
      </c>
      <c r="J245" s="206">
        <f t="shared" si="132"/>
        <v>0.99999999999999989</v>
      </c>
    </row>
    <row r="246" spans="1:10" x14ac:dyDescent="0.25">
      <c r="A246" s="102" t="s">
        <v>77</v>
      </c>
      <c r="B246" s="204">
        <f t="shared" si="126"/>
        <v>0.41361464968152872</v>
      </c>
      <c r="C246" s="204">
        <f t="shared" si="129"/>
        <v>0.25477707006369432</v>
      </c>
      <c r="D246" s="204">
        <f t="shared" si="129"/>
        <v>0.33160828025477712</v>
      </c>
      <c r="E246" s="206">
        <f t="shared" si="130"/>
        <v>1.0000000000000002</v>
      </c>
      <c r="F246" s="102" t="s">
        <v>77</v>
      </c>
      <c r="G246" s="204">
        <f t="shared" ref="G246:I246" si="135">G232/SUM($G232:$I232)</f>
        <v>0.4354066985645933</v>
      </c>
      <c r="H246" s="204">
        <f t="shared" si="135"/>
        <v>0.22057416267942587</v>
      </c>
      <c r="I246" s="204">
        <f t="shared" si="135"/>
        <v>0.34401913875598089</v>
      </c>
      <c r="J246" s="206">
        <f t="shared" si="132"/>
        <v>1</v>
      </c>
    </row>
    <row r="247" spans="1:10" x14ac:dyDescent="0.25">
      <c r="A247" s="102" t="s">
        <v>78</v>
      </c>
      <c r="B247" s="204">
        <f t="shared" si="126"/>
        <v>0.41435406698564597</v>
      </c>
      <c r="C247" s="204">
        <f t="shared" si="129"/>
        <v>0.31387559808612436</v>
      </c>
      <c r="D247" s="204">
        <f t="shared" si="129"/>
        <v>0.27177033492822972</v>
      </c>
      <c r="E247" s="206">
        <f t="shared" si="130"/>
        <v>1</v>
      </c>
      <c r="F247" s="102" t="s">
        <v>78</v>
      </c>
      <c r="G247" s="204">
        <f t="shared" ref="G247:I247" si="136">G233/SUM($G233:$I233)</f>
        <v>0.43688725490196073</v>
      </c>
      <c r="H247" s="204">
        <f t="shared" si="136"/>
        <v>0.31372549019607843</v>
      </c>
      <c r="I247" s="204">
        <f t="shared" si="136"/>
        <v>0.24938725490196076</v>
      </c>
      <c r="J247" s="206">
        <f t="shared" si="132"/>
        <v>0.99999999999999989</v>
      </c>
    </row>
    <row r="248" spans="1:10" x14ac:dyDescent="0.25">
      <c r="A248" s="102" t="s">
        <v>79</v>
      </c>
      <c r="B248" s="204">
        <f t="shared" si="126"/>
        <v>0.39285714285714279</v>
      </c>
      <c r="C248" s="204">
        <f t="shared" si="129"/>
        <v>0.2792207792207792</v>
      </c>
      <c r="D248" s="204">
        <f t="shared" si="129"/>
        <v>0.32792207792207789</v>
      </c>
      <c r="E248" s="206">
        <f t="shared" si="130"/>
        <v>1</v>
      </c>
      <c r="F248" s="102" t="s">
        <v>79</v>
      </c>
      <c r="G248" s="204">
        <f t="shared" ref="G248:I248" si="137">G234/SUM($G234:$I234)</f>
        <v>0.40826873385012918</v>
      </c>
      <c r="H248" s="204">
        <f t="shared" si="137"/>
        <v>0.26787252368647718</v>
      </c>
      <c r="I248" s="204">
        <f t="shared" si="137"/>
        <v>0.32385874246339363</v>
      </c>
      <c r="J248" s="206">
        <f t="shared" si="132"/>
        <v>1</v>
      </c>
    </row>
    <row r="249" spans="1:10" x14ac:dyDescent="0.25">
      <c r="A249" s="102" t="s">
        <v>80</v>
      </c>
      <c r="B249" s="204">
        <f t="shared" si="126"/>
        <v>0.34529647793134194</v>
      </c>
      <c r="C249" s="204">
        <f t="shared" si="129"/>
        <v>0.35176103432902361</v>
      </c>
      <c r="D249" s="204">
        <f t="shared" si="129"/>
        <v>0.30294248773963445</v>
      </c>
      <c r="E249" s="206">
        <f t="shared" si="130"/>
        <v>1</v>
      </c>
      <c r="F249" s="102" t="s">
        <v>80</v>
      </c>
      <c r="G249" s="204">
        <f t="shared" ref="G249:I249" si="138">G235/SUM($G235:$I235)</f>
        <v>0.34492481203007519</v>
      </c>
      <c r="H249" s="204">
        <f t="shared" si="138"/>
        <v>0.35596804511278196</v>
      </c>
      <c r="I249" s="204">
        <f t="shared" si="138"/>
        <v>0.29910714285714285</v>
      </c>
      <c r="J249" s="206">
        <f t="shared" si="132"/>
        <v>1</v>
      </c>
    </row>
    <row r="250" spans="1:10" x14ac:dyDescent="0.25">
      <c r="A250" s="102" t="s">
        <v>82</v>
      </c>
      <c r="B250" s="204">
        <f t="shared" si="126"/>
        <v>0.38080407701019253</v>
      </c>
      <c r="C250" s="204">
        <f t="shared" si="129"/>
        <v>0.32559456398640996</v>
      </c>
      <c r="D250" s="204">
        <f t="shared" si="129"/>
        <v>0.29360135900339751</v>
      </c>
      <c r="E250" s="206">
        <f t="shared" si="130"/>
        <v>1</v>
      </c>
      <c r="F250" s="102" t="s">
        <v>82</v>
      </c>
      <c r="G250" s="204">
        <f t="shared" ref="G250:I250" si="139">G236/SUM($G236:$I236)</f>
        <v>0.39093214965123657</v>
      </c>
      <c r="H250" s="204">
        <f t="shared" si="139"/>
        <v>0.31483830057070389</v>
      </c>
      <c r="I250" s="204">
        <f t="shared" si="139"/>
        <v>0.2942295497780596</v>
      </c>
      <c r="J250" s="206">
        <f t="shared" si="132"/>
        <v>1</v>
      </c>
    </row>
    <row r="251" spans="1:10" x14ac:dyDescent="0.25">
      <c r="A251" s="102" t="s">
        <v>83</v>
      </c>
      <c r="B251" s="204">
        <f t="shared" si="126"/>
        <v>0.3022181146025878</v>
      </c>
      <c r="C251" s="204">
        <f t="shared" si="129"/>
        <v>0.31484904497843502</v>
      </c>
      <c r="D251" s="204">
        <f t="shared" si="129"/>
        <v>0.38293284041897718</v>
      </c>
      <c r="E251" s="206">
        <f t="shared" si="130"/>
        <v>1</v>
      </c>
      <c r="F251" s="102" t="s">
        <v>83</v>
      </c>
      <c r="G251" s="204">
        <f t="shared" ref="G251:I251" si="140">G237/SUM($G237:$I237)</f>
        <v>0.29413867047891351</v>
      </c>
      <c r="H251" s="204">
        <f t="shared" si="140"/>
        <v>0.31022158684774837</v>
      </c>
      <c r="I251" s="204">
        <f t="shared" si="140"/>
        <v>0.39563974267333807</v>
      </c>
      <c r="J251" s="206">
        <f t="shared" si="132"/>
        <v>1</v>
      </c>
    </row>
    <row r="252" spans="1:10" x14ac:dyDescent="0.25">
      <c r="A252" s="203"/>
      <c r="F252" s="203"/>
    </row>
    <row r="253" spans="1:10" x14ac:dyDescent="0.25">
      <c r="A253" s="309" t="s">
        <v>236</v>
      </c>
      <c r="B253" s="276"/>
      <c r="C253" s="276"/>
      <c r="D253" s="276"/>
      <c r="E253" s="276"/>
      <c r="F253" s="276"/>
      <c r="G253" s="276"/>
      <c r="H253" s="276"/>
      <c r="I253" s="276"/>
    </row>
    <row r="254" spans="1:10" x14ac:dyDescent="0.25">
      <c r="A254" s="308" t="s">
        <v>258</v>
      </c>
      <c r="B254" s="276"/>
      <c r="C254" s="276"/>
      <c r="D254" s="276"/>
      <c r="F254" s="308" t="s">
        <v>259</v>
      </c>
      <c r="G254" s="276"/>
      <c r="H254" s="276"/>
      <c r="I254" s="276"/>
    </row>
    <row r="255" spans="1:10" ht="30" x14ac:dyDescent="0.25">
      <c r="A255" s="151" t="s">
        <v>182</v>
      </c>
      <c r="B255" s="3" t="s">
        <v>176</v>
      </c>
      <c r="C255" s="3" t="s">
        <v>177</v>
      </c>
      <c r="D255" s="3" t="s">
        <v>207</v>
      </c>
      <c r="E255" s="207" t="s">
        <v>234</v>
      </c>
      <c r="F255" s="151" t="s">
        <v>182</v>
      </c>
      <c r="G255" s="3" t="s">
        <v>176</v>
      </c>
      <c r="H255" s="3" t="s">
        <v>177</v>
      </c>
      <c r="I255" s="3" t="s">
        <v>207</v>
      </c>
      <c r="J255" s="207" t="s">
        <v>234</v>
      </c>
    </row>
    <row r="256" spans="1:10" x14ac:dyDescent="0.25">
      <c r="A256" s="102" t="s">
        <v>84</v>
      </c>
      <c r="B256" s="204">
        <f>$B$180*$C$172+(1-$B$180)*B242</f>
        <v>0.31180790960451976</v>
      </c>
      <c r="C256" s="204">
        <f>$B$180*$C$173+(1-$B$180)*C242</f>
        <v>0.33483050847457618</v>
      </c>
      <c r="D256" s="204">
        <f>$B$180*$C$174+(1-$B$180)*D242</f>
        <v>0.35336158192090394</v>
      </c>
      <c r="E256" s="206">
        <f>SUM(B256:D256)</f>
        <v>0.99999999999999989</v>
      </c>
      <c r="F256" s="102" t="s">
        <v>84</v>
      </c>
      <c r="G256" s="204">
        <f>$B$180*$C$172+(1-$B$180)*G242</f>
        <v>0.30556067588325653</v>
      </c>
      <c r="H256" s="204">
        <f>$B$180*$C$173+(1-$B$180)*H242</f>
        <v>0.34135176651305676</v>
      </c>
      <c r="I256" s="204">
        <f>$B$180*$C$174+(1-$B$180)*I242</f>
        <v>0.35308755760368671</v>
      </c>
      <c r="J256" s="206">
        <f>SUM(G256:I256)</f>
        <v>1</v>
      </c>
    </row>
    <row r="257" spans="1:25" x14ac:dyDescent="0.25">
      <c r="A257" s="102" t="s">
        <v>73</v>
      </c>
      <c r="B257" s="204">
        <f t="shared" ref="B257:B265" si="141">$B$180*$C$172+(1-$B$180)*B243</f>
        <v>0.33583333333333332</v>
      </c>
      <c r="C257" s="204">
        <f t="shared" ref="C257:C265" si="142">$B$180*$C$173+(1-$B$180)*C243</f>
        <v>0.30555555555555558</v>
      </c>
      <c r="D257" s="204">
        <f t="shared" ref="D257:D265" si="143">$B$180*$C$174+(1-$B$180)*D243</f>
        <v>0.35861111111111116</v>
      </c>
      <c r="E257" s="206">
        <f t="shared" ref="E257:E265" si="144">SUM(B257:D257)</f>
        <v>1</v>
      </c>
      <c r="F257" s="102" t="s">
        <v>73</v>
      </c>
      <c r="G257" s="204">
        <f t="shared" ref="G257:G265" si="145">$B$180*$C$172+(1-$B$180)*G243</f>
        <v>0.33799610894941634</v>
      </c>
      <c r="H257" s="204">
        <f t="shared" ref="H257:H265" si="146">$B$180*$C$173+(1-$B$180)*H243</f>
        <v>0.30385214007782102</v>
      </c>
      <c r="I257" s="204">
        <f t="shared" ref="I257:I265" si="147">$B$180*$C$174+(1-$B$180)*I243</f>
        <v>0.35815175097276264</v>
      </c>
      <c r="J257" s="206">
        <f t="shared" ref="J257:J265" si="148">SUM(G257:I257)</f>
        <v>1</v>
      </c>
    </row>
    <row r="258" spans="1:25" x14ac:dyDescent="0.25">
      <c r="A258" s="102" t="s">
        <v>74</v>
      </c>
      <c r="B258" s="204">
        <f t="shared" si="141"/>
        <v>0.33532846715328468</v>
      </c>
      <c r="C258" s="204">
        <f t="shared" si="142"/>
        <v>0.27310218978102185</v>
      </c>
      <c r="D258" s="204">
        <f t="shared" si="143"/>
        <v>0.39156934306569346</v>
      </c>
      <c r="E258" s="206">
        <f t="shared" si="144"/>
        <v>1</v>
      </c>
      <c r="F258" s="102" t="s">
        <v>74</v>
      </c>
      <c r="G258" s="204">
        <f t="shared" si="145"/>
        <v>0.33829971181556195</v>
      </c>
      <c r="H258" s="204">
        <f t="shared" si="146"/>
        <v>0.26027377521613837</v>
      </c>
      <c r="I258" s="204">
        <f t="shared" si="147"/>
        <v>0.40142651296829979</v>
      </c>
      <c r="J258" s="206">
        <f t="shared" si="148"/>
        <v>1</v>
      </c>
    </row>
    <row r="259" spans="1:25" x14ac:dyDescent="0.25">
      <c r="A259" s="102" t="s">
        <v>75</v>
      </c>
      <c r="B259" s="204">
        <f t="shared" si="141"/>
        <v>0.35825363825363821</v>
      </c>
      <c r="C259" s="204">
        <f t="shared" si="142"/>
        <v>0.33621621621621622</v>
      </c>
      <c r="D259" s="204">
        <f t="shared" si="143"/>
        <v>0.30553014553014557</v>
      </c>
      <c r="E259" s="206">
        <f t="shared" si="144"/>
        <v>1</v>
      </c>
      <c r="F259" s="102" t="s">
        <v>75</v>
      </c>
      <c r="G259" s="204">
        <f t="shared" si="145"/>
        <v>0.36783673469387751</v>
      </c>
      <c r="H259" s="204">
        <f t="shared" si="146"/>
        <v>0.3431020408163265</v>
      </c>
      <c r="I259" s="204">
        <f t="shared" si="147"/>
        <v>0.28906122448979593</v>
      </c>
      <c r="J259" s="206">
        <f t="shared" si="148"/>
        <v>1</v>
      </c>
    </row>
    <row r="260" spans="1:25" x14ac:dyDescent="0.25">
      <c r="A260" s="102" t="s">
        <v>77</v>
      </c>
      <c r="B260" s="204">
        <f t="shared" si="141"/>
        <v>0.36816878980891721</v>
      </c>
      <c r="C260" s="204">
        <f t="shared" si="142"/>
        <v>0.27286624203821658</v>
      </c>
      <c r="D260" s="204">
        <f t="shared" si="143"/>
        <v>0.35896496815286627</v>
      </c>
      <c r="E260" s="206">
        <f t="shared" si="144"/>
        <v>1</v>
      </c>
      <c r="F260" s="102" t="s">
        <v>77</v>
      </c>
      <c r="G260" s="204">
        <f t="shared" si="145"/>
        <v>0.38124401913875594</v>
      </c>
      <c r="H260" s="204">
        <f t="shared" si="146"/>
        <v>0.25234449760765554</v>
      </c>
      <c r="I260" s="204">
        <f t="shared" si="147"/>
        <v>0.36641148325358852</v>
      </c>
      <c r="J260" s="206">
        <f t="shared" si="148"/>
        <v>1</v>
      </c>
    </row>
    <row r="261" spans="1:25" x14ac:dyDescent="0.25">
      <c r="A261" s="102" t="s">
        <v>78</v>
      </c>
      <c r="B261" s="204">
        <f t="shared" si="141"/>
        <v>0.36861244019138756</v>
      </c>
      <c r="C261" s="204">
        <f t="shared" si="142"/>
        <v>0.30832535885167461</v>
      </c>
      <c r="D261" s="204">
        <f t="shared" si="143"/>
        <v>0.32306220095693783</v>
      </c>
      <c r="E261" s="206">
        <f t="shared" si="144"/>
        <v>1</v>
      </c>
      <c r="F261" s="102" t="s">
        <v>78</v>
      </c>
      <c r="G261" s="204">
        <f t="shared" si="145"/>
        <v>0.38213235294117642</v>
      </c>
      <c r="H261" s="204">
        <f t="shared" si="146"/>
        <v>0.30823529411764705</v>
      </c>
      <c r="I261" s="204">
        <f t="shared" si="147"/>
        <v>0.30963235294117647</v>
      </c>
      <c r="J261" s="206">
        <f t="shared" si="148"/>
        <v>1</v>
      </c>
    </row>
    <row r="262" spans="1:25" x14ac:dyDescent="0.25">
      <c r="A262" s="102" t="s">
        <v>79</v>
      </c>
      <c r="B262" s="204">
        <f t="shared" si="141"/>
        <v>0.35571428571428565</v>
      </c>
      <c r="C262" s="204">
        <f t="shared" si="142"/>
        <v>0.28753246753246753</v>
      </c>
      <c r="D262" s="204">
        <f t="shared" si="143"/>
        <v>0.35675324675324677</v>
      </c>
      <c r="E262" s="206">
        <f t="shared" si="144"/>
        <v>1</v>
      </c>
      <c r="F262" s="102" t="s">
        <v>79</v>
      </c>
      <c r="G262" s="204">
        <f t="shared" si="145"/>
        <v>0.36496124031007748</v>
      </c>
      <c r="H262" s="204">
        <f t="shared" si="146"/>
        <v>0.28072351421188629</v>
      </c>
      <c r="I262" s="204">
        <f t="shared" si="147"/>
        <v>0.35431524547803617</v>
      </c>
      <c r="J262" s="206">
        <f t="shared" si="148"/>
        <v>0.99999999999999989</v>
      </c>
    </row>
    <row r="263" spans="1:25" x14ac:dyDescent="0.25">
      <c r="A263" s="102" t="s">
        <v>80</v>
      </c>
      <c r="B263" s="204">
        <f t="shared" si="141"/>
        <v>0.32717788675880516</v>
      </c>
      <c r="C263" s="204">
        <f t="shared" si="142"/>
        <v>0.33105662059741414</v>
      </c>
      <c r="D263" s="204">
        <f t="shared" si="143"/>
        <v>0.3417654926437807</v>
      </c>
      <c r="E263" s="206">
        <f t="shared" si="144"/>
        <v>1</v>
      </c>
      <c r="F263" s="102" t="s">
        <v>80</v>
      </c>
      <c r="G263" s="204">
        <f t="shared" si="145"/>
        <v>0.32695488721804511</v>
      </c>
      <c r="H263" s="204">
        <f t="shared" si="146"/>
        <v>0.33358082706766917</v>
      </c>
      <c r="I263" s="204">
        <f t="shared" si="147"/>
        <v>0.33946428571428577</v>
      </c>
      <c r="J263" s="206">
        <f t="shared" si="148"/>
        <v>1</v>
      </c>
    </row>
    <row r="264" spans="1:25" x14ac:dyDescent="0.25">
      <c r="A264" s="102" t="s">
        <v>82</v>
      </c>
      <c r="B264" s="204">
        <f t="shared" si="141"/>
        <v>0.34848244620611551</v>
      </c>
      <c r="C264" s="204">
        <f t="shared" si="142"/>
        <v>0.31535673839184597</v>
      </c>
      <c r="D264" s="204">
        <f t="shared" si="143"/>
        <v>0.33616081540203857</v>
      </c>
      <c r="E264" s="206">
        <f t="shared" si="144"/>
        <v>1</v>
      </c>
      <c r="F264" s="102" t="s">
        <v>82</v>
      </c>
      <c r="G264" s="204">
        <f t="shared" si="145"/>
        <v>0.35455928979074192</v>
      </c>
      <c r="H264" s="204">
        <f t="shared" si="146"/>
        <v>0.30890298034242236</v>
      </c>
      <c r="I264" s="204">
        <f t="shared" si="147"/>
        <v>0.33653772986683578</v>
      </c>
      <c r="J264" s="206">
        <f t="shared" si="148"/>
        <v>1</v>
      </c>
    </row>
    <row r="265" spans="1:25" x14ac:dyDescent="0.25">
      <c r="A265" s="102" t="s">
        <v>83</v>
      </c>
      <c r="B265" s="204">
        <f t="shared" si="141"/>
        <v>0.30133086876155268</v>
      </c>
      <c r="C265" s="204">
        <f t="shared" si="142"/>
        <v>0.30890942698706103</v>
      </c>
      <c r="D265" s="204">
        <f t="shared" si="143"/>
        <v>0.38975970425138634</v>
      </c>
      <c r="E265" s="206">
        <f t="shared" si="144"/>
        <v>1</v>
      </c>
      <c r="F265" s="102" t="s">
        <v>83</v>
      </c>
      <c r="G265" s="204">
        <f t="shared" si="145"/>
        <v>0.29648320228734809</v>
      </c>
      <c r="H265" s="204">
        <f t="shared" si="146"/>
        <v>0.30613295210864899</v>
      </c>
      <c r="I265" s="204">
        <f t="shared" si="147"/>
        <v>0.39738384560400286</v>
      </c>
      <c r="J265" s="206">
        <f t="shared" si="148"/>
        <v>1</v>
      </c>
    </row>
    <row r="267" spans="1:25" ht="15.75" thickBot="1" x14ac:dyDescent="0.3">
      <c r="A267" s="1" t="s">
        <v>260</v>
      </c>
    </row>
    <row r="268" spans="1:25" ht="15.75" thickBot="1" x14ac:dyDescent="0.3">
      <c r="A268" s="304" t="s">
        <v>86</v>
      </c>
      <c r="B268" s="303" t="s">
        <v>284</v>
      </c>
      <c r="C268" s="306"/>
      <c r="D268" s="306"/>
      <c r="E268" s="306"/>
      <c r="F268" s="306"/>
      <c r="G268" s="306"/>
      <c r="H268" s="306"/>
      <c r="I268" s="307"/>
      <c r="J268" s="303" t="s">
        <v>285</v>
      </c>
      <c r="K268" s="306"/>
      <c r="L268" s="306"/>
      <c r="M268" s="306"/>
      <c r="N268" s="306"/>
      <c r="O268" s="306"/>
      <c r="P268" s="306"/>
      <c r="Q268" s="307"/>
      <c r="R268" s="303" t="s">
        <v>286</v>
      </c>
      <c r="S268" s="306"/>
      <c r="T268" s="306"/>
      <c r="U268" s="306"/>
      <c r="V268" s="306"/>
      <c r="W268" s="306"/>
      <c r="X268" s="306"/>
      <c r="Y268" s="307"/>
    </row>
    <row r="269" spans="1:25" ht="33.75" customHeight="1" thickBot="1" x14ac:dyDescent="0.3">
      <c r="A269" s="305"/>
      <c r="B269" s="300" t="s">
        <v>17</v>
      </c>
      <c r="C269" s="301"/>
      <c r="D269" s="301"/>
      <c r="E269" s="302"/>
      <c r="F269" s="303" t="s">
        <v>18</v>
      </c>
      <c r="G269" s="301"/>
      <c r="H269" s="301"/>
      <c r="I269" s="302"/>
      <c r="J269" s="300" t="s">
        <v>17</v>
      </c>
      <c r="K269" s="301"/>
      <c r="L269" s="301"/>
      <c r="M269" s="302"/>
      <c r="N269" s="303" t="s">
        <v>18</v>
      </c>
      <c r="O269" s="301"/>
      <c r="P269" s="301"/>
      <c r="Q269" s="302"/>
      <c r="R269" s="300" t="s">
        <v>17</v>
      </c>
      <c r="S269" s="301"/>
      <c r="T269" s="301"/>
      <c r="U269" s="302"/>
      <c r="V269" s="303" t="s">
        <v>18</v>
      </c>
      <c r="W269" s="301"/>
      <c r="X269" s="301"/>
      <c r="Y269" s="302"/>
    </row>
    <row r="270" spans="1:25" x14ac:dyDescent="0.25">
      <c r="A270" s="169" t="s">
        <v>84</v>
      </c>
      <c r="B270" s="11">
        <f t="shared" ref="B270:B279" si="149">BG12</f>
        <v>6.4600000000000009</v>
      </c>
      <c r="C270" s="12">
        <f t="shared" ref="C270:C279" si="150">BH12</f>
        <v>12.6</v>
      </c>
      <c r="D270" s="12">
        <f t="shared" ref="D270:D279" si="151">BI12</f>
        <v>15.81</v>
      </c>
      <c r="E270" s="13">
        <f t="shared" ref="E270:E279" si="152">BJ12</f>
        <v>20.655000000000001</v>
      </c>
      <c r="F270" s="11">
        <f t="shared" ref="F270:F279" si="153">BK12</f>
        <v>8.3199999999999985</v>
      </c>
      <c r="G270" s="12">
        <f t="shared" ref="G270:G279" si="154">BL12</f>
        <v>12.6</v>
      </c>
      <c r="H270" s="12">
        <f t="shared" ref="H270:H279" si="155">BM12</f>
        <v>15.81</v>
      </c>
      <c r="I270" s="166">
        <f t="shared" ref="I270:I279" si="156">BN12</f>
        <v>19.03</v>
      </c>
      <c r="J270" s="11">
        <f t="shared" ref="J270:J279" si="157">BG64</f>
        <v>4.22</v>
      </c>
      <c r="K270" s="12">
        <f t="shared" ref="K270:K279" si="158">BH64</f>
        <v>9.89</v>
      </c>
      <c r="L270" s="12">
        <f t="shared" ref="L270:L279" si="159">BI64</f>
        <v>15.18</v>
      </c>
      <c r="M270" s="13">
        <f t="shared" ref="M270:M279" si="160">BJ64</f>
        <v>21.215000000000003</v>
      </c>
      <c r="N270" s="11">
        <f t="shared" ref="N270:N279" si="161">BK64</f>
        <v>5.6749999999999989</v>
      </c>
      <c r="O270" s="12">
        <f t="shared" ref="O270:O279" si="162">BL64</f>
        <v>9.89</v>
      </c>
      <c r="P270" s="12">
        <f t="shared" ref="P270:P279" si="163">BM64</f>
        <v>15.18</v>
      </c>
      <c r="Q270" s="13">
        <f t="shared" ref="Q270:Q279" si="164">BN64</f>
        <v>19.23</v>
      </c>
      <c r="R270" s="11">
        <f t="shared" ref="R270:R279" si="165">BG116</f>
        <v>5.0450000000000008</v>
      </c>
      <c r="S270" s="12">
        <f t="shared" ref="S270:S279" si="166">BH116</f>
        <v>9.9149999999999991</v>
      </c>
      <c r="T270" s="12">
        <f t="shared" ref="T270:T279" si="167">BI116</f>
        <v>13.555</v>
      </c>
      <c r="U270" s="13">
        <f t="shared" ref="U270:U279" si="168">BJ116</f>
        <v>18.465</v>
      </c>
      <c r="V270" s="11">
        <f t="shared" ref="V270:V279" si="169">BK116</f>
        <v>6.4289999999999994</v>
      </c>
      <c r="W270" s="12">
        <f t="shared" ref="W270:W279" si="170">BL116</f>
        <v>9.9149999999999991</v>
      </c>
      <c r="X270" s="12">
        <f t="shared" ref="X270:X279" si="171">BM116</f>
        <v>13.555</v>
      </c>
      <c r="Y270" s="13">
        <f t="shared" ref="Y270:Y279" si="172">BN116</f>
        <v>16.830000000000002</v>
      </c>
    </row>
    <row r="271" spans="1:25" x14ac:dyDescent="0.25">
      <c r="A271" s="164" t="s">
        <v>73</v>
      </c>
      <c r="B271" s="9">
        <f t="shared" si="149"/>
        <v>1.1550000000000002</v>
      </c>
      <c r="C271" s="2">
        <f t="shared" si="150"/>
        <v>4.4550000000000001</v>
      </c>
      <c r="D271" s="2">
        <f t="shared" si="151"/>
        <v>9.0749999999999993</v>
      </c>
      <c r="E271" s="10">
        <f t="shared" si="152"/>
        <v>14.025</v>
      </c>
      <c r="F271" s="9">
        <f t="shared" si="153"/>
        <v>1.8190000000000008</v>
      </c>
      <c r="G271" s="2">
        <f t="shared" si="154"/>
        <v>4.4550000000000001</v>
      </c>
      <c r="H271" s="2">
        <f t="shared" si="155"/>
        <v>9.0749999999999993</v>
      </c>
      <c r="I271" s="159">
        <f t="shared" si="156"/>
        <v>12.430000000000003</v>
      </c>
      <c r="J271" s="9">
        <f t="shared" si="157"/>
        <v>1.1550000000000002</v>
      </c>
      <c r="K271" s="2">
        <f t="shared" si="158"/>
        <v>5.5550000000000006</v>
      </c>
      <c r="L271" s="2">
        <f t="shared" si="159"/>
        <v>11.275</v>
      </c>
      <c r="M271" s="10">
        <f t="shared" si="160"/>
        <v>16.775000000000002</v>
      </c>
      <c r="N271" s="9">
        <f t="shared" si="161"/>
        <v>1.9650000000000007</v>
      </c>
      <c r="O271" s="2">
        <f t="shared" si="162"/>
        <v>5.5550000000000006</v>
      </c>
      <c r="P271" s="2">
        <f t="shared" si="163"/>
        <v>11.275</v>
      </c>
      <c r="Q271" s="10">
        <f t="shared" si="164"/>
        <v>15.030000000000005</v>
      </c>
      <c r="R271" s="180">
        <f t="shared" si="165"/>
        <v>0.60499999999999998</v>
      </c>
      <c r="S271" s="181">
        <f t="shared" si="166"/>
        <v>3.6300000000000008</v>
      </c>
      <c r="T271" s="181">
        <f t="shared" si="167"/>
        <v>8.25</v>
      </c>
      <c r="U271" s="182">
        <f t="shared" si="168"/>
        <v>12.9</v>
      </c>
      <c r="V271" s="180">
        <f t="shared" si="169"/>
        <v>1.0249999999999999</v>
      </c>
      <c r="W271" s="181">
        <f t="shared" si="170"/>
        <v>3.6300000000000008</v>
      </c>
      <c r="X271" s="181">
        <f t="shared" si="171"/>
        <v>8.25</v>
      </c>
      <c r="Y271" s="182">
        <f t="shared" si="172"/>
        <v>11.430000000000001</v>
      </c>
    </row>
    <row r="272" spans="1:25" x14ac:dyDescent="0.25">
      <c r="A272" s="164" t="s">
        <v>74</v>
      </c>
      <c r="B272" s="9">
        <f t="shared" si="149"/>
        <v>4.0150000000000006</v>
      </c>
      <c r="C272" s="2">
        <f t="shared" si="150"/>
        <v>7.4250000000000007</v>
      </c>
      <c r="D272" s="2">
        <f t="shared" si="151"/>
        <v>12.705000000000002</v>
      </c>
      <c r="E272" s="10">
        <f t="shared" si="152"/>
        <v>19.965</v>
      </c>
      <c r="F272" s="9">
        <f t="shared" si="153"/>
        <v>5.08</v>
      </c>
      <c r="G272" s="2">
        <f t="shared" si="154"/>
        <v>7.4250000000000007</v>
      </c>
      <c r="H272" s="2">
        <f t="shared" si="155"/>
        <v>12.705000000000002</v>
      </c>
      <c r="I272" s="159">
        <f t="shared" si="156"/>
        <v>17.489999999999998</v>
      </c>
      <c r="J272" s="9">
        <f t="shared" si="157"/>
        <v>7.3000000000000007</v>
      </c>
      <c r="K272" s="2">
        <f t="shared" si="158"/>
        <v>13.325000000000001</v>
      </c>
      <c r="L272" s="2">
        <f t="shared" si="159"/>
        <v>18.395</v>
      </c>
      <c r="M272" s="10">
        <f t="shared" si="160"/>
        <v>25.310000000000002</v>
      </c>
      <c r="N272" s="9">
        <f t="shared" si="161"/>
        <v>9.1149999999999984</v>
      </c>
      <c r="O272" s="2">
        <f t="shared" si="162"/>
        <v>13.325000000000001</v>
      </c>
      <c r="P272" s="2">
        <f t="shared" si="163"/>
        <v>18.395</v>
      </c>
      <c r="Q272" s="10">
        <f t="shared" si="164"/>
        <v>22.96</v>
      </c>
      <c r="R272" s="9">
        <f t="shared" si="165"/>
        <v>4.8249999999999993</v>
      </c>
      <c r="S272" s="2">
        <f t="shared" si="166"/>
        <v>9.4499999999999993</v>
      </c>
      <c r="T272" s="2">
        <f t="shared" si="167"/>
        <v>13.97</v>
      </c>
      <c r="U272" s="10">
        <f t="shared" si="168"/>
        <v>20.310000000000002</v>
      </c>
      <c r="V272" s="9">
        <f t="shared" si="169"/>
        <v>6.2499999999999982</v>
      </c>
      <c r="W272" s="2">
        <f t="shared" si="170"/>
        <v>9.4499999999999993</v>
      </c>
      <c r="X272" s="2">
        <f t="shared" si="171"/>
        <v>13.97</v>
      </c>
      <c r="Y272" s="10">
        <f t="shared" si="172"/>
        <v>18.159999999999997</v>
      </c>
    </row>
    <row r="273" spans="1:40" x14ac:dyDescent="0.25">
      <c r="A273" s="164" t="s">
        <v>75</v>
      </c>
      <c r="B273" s="9">
        <f t="shared" si="149"/>
        <v>5.6500000000000012</v>
      </c>
      <c r="C273" s="2">
        <f t="shared" si="150"/>
        <v>10.574999999999999</v>
      </c>
      <c r="D273" s="2">
        <f t="shared" si="151"/>
        <v>14.545000000000002</v>
      </c>
      <c r="E273" s="10">
        <f t="shared" si="152"/>
        <v>20.309999999999999</v>
      </c>
      <c r="F273" s="9">
        <f t="shared" si="153"/>
        <v>7.15</v>
      </c>
      <c r="G273" s="2">
        <f t="shared" si="154"/>
        <v>10.574999999999999</v>
      </c>
      <c r="H273" s="2">
        <f t="shared" si="155"/>
        <v>14.545000000000002</v>
      </c>
      <c r="I273" s="159">
        <f t="shared" si="156"/>
        <v>18.36</v>
      </c>
      <c r="J273" s="9">
        <f t="shared" si="157"/>
        <v>6.1450000000000005</v>
      </c>
      <c r="K273" s="2">
        <f t="shared" si="158"/>
        <v>11.840000000000002</v>
      </c>
      <c r="L273" s="2">
        <f t="shared" si="159"/>
        <v>16.579999999999998</v>
      </c>
      <c r="M273" s="10">
        <f t="shared" si="160"/>
        <v>22.340000000000003</v>
      </c>
      <c r="N273" s="9">
        <f t="shared" si="161"/>
        <v>7.5999999999999979</v>
      </c>
      <c r="O273" s="2">
        <f t="shared" si="162"/>
        <v>11.840000000000002</v>
      </c>
      <c r="P273" s="2">
        <f t="shared" si="163"/>
        <v>16.579999999999998</v>
      </c>
      <c r="Q273" s="10">
        <f t="shared" si="164"/>
        <v>20.43</v>
      </c>
      <c r="R273" s="9">
        <f t="shared" si="165"/>
        <v>2.1950000000000003</v>
      </c>
      <c r="S273" s="2">
        <f t="shared" si="166"/>
        <v>6.0149999999999997</v>
      </c>
      <c r="T273" s="2">
        <f t="shared" si="167"/>
        <v>10.755000000000001</v>
      </c>
      <c r="U273" s="10">
        <f t="shared" si="168"/>
        <v>16.215000000000003</v>
      </c>
      <c r="V273" s="9">
        <f t="shared" si="169"/>
        <v>3.1250000000000009</v>
      </c>
      <c r="W273" s="2">
        <f t="shared" si="170"/>
        <v>6.0149999999999997</v>
      </c>
      <c r="X273" s="2">
        <f t="shared" si="171"/>
        <v>10.755000000000001</v>
      </c>
      <c r="Y273" s="10">
        <f t="shared" si="172"/>
        <v>14.430000000000003</v>
      </c>
    </row>
    <row r="274" spans="1:40" x14ac:dyDescent="0.25">
      <c r="A274" s="164" t="s">
        <v>77</v>
      </c>
      <c r="B274" s="9">
        <f t="shared" si="149"/>
        <v>4.45</v>
      </c>
      <c r="C274" s="2">
        <f t="shared" si="150"/>
        <v>8.3250000000000011</v>
      </c>
      <c r="D274" s="2">
        <f t="shared" si="151"/>
        <v>13.395</v>
      </c>
      <c r="E274" s="10">
        <f t="shared" si="152"/>
        <v>20.310000000000002</v>
      </c>
      <c r="F274" s="9">
        <f t="shared" si="153"/>
        <v>5.6650000000000009</v>
      </c>
      <c r="G274" s="2">
        <f t="shared" si="154"/>
        <v>8.3250000000000011</v>
      </c>
      <c r="H274" s="2">
        <f t="shared" si="155"/>
        <v>13.395</v>
      </c>
      <c r="I274" s="159">
        <f t="shared" si="156"/>
        <v>17.96</v>
      </c>
      <c r="J274" s="9">
        <f t="shared" si="157"/>
        <v>7.3000000000000007</v>
      </c>
      <c r="K274" s="2">
        <f t="shared" si="158"/>
        <v>13.325000000000001</v>
      </c>
      <c r="L274" s="2">
        <f t="shared" si="159"/>
        <v>18.395</v>
      </c>
      <c r="M274" s="10">
        <f t="shared" si="160"/>
        <v>25.310000000000002</v>
      </c>
      <c r="N274" s="9">
        <f t="shared" si="161"/>
        <v>9.1149999999999984</v>
      </c>
      <c r="O274" s="2">
        <f t="shared" si="162"/>
        <v>13.325000000000001</v>
      </c>
      <c r="P274" s="2">
        <f t="shared" si="163"/>
        <v>18.395</v>
      </c>
      <c r="Q274" s="10">
        <f t="shared" si="164"/>
        <v>22.96</v>
      </c>
      <c r="R274" s="9">
        <f t="shared" si="165"/>
        <v>2.57</v>
      </c>
      <c r="S274" s="2">
        <f t="shared" si="166"/>
        <v>7.14</v>
      </c>
      <c r="T274" s="2">
        <f t="shared" si="167"/>
        <v>11.33</v>
      </c>
      <c r="U274" s="10">
        <f t="shared" si="168"/>
        <v>16.215</v>
      </c>
      <c r="V274" s="9">
        <f t="shared" si="169"/>
        <v>3.7099999999999991</v>
      </c>
      <c r="W274" s="2">
        <f t="shared" si="170"/>
        <v>7.14</v>
      </c>
      <c r="X274" s="2">
        <f t="shared" si="171"/>
        <v>11.33</v>
      </c>
      <c r="Y274" s="10">
        <f t="shared" si="172"/>
        <v>14.63</v>
      </c>
    </row>
    <row r="275" spans="1:40" x14ac:dyDescent="0.25">
      <c r="A275" s="164" t="s">
        <v>78</v>
      </c>
      <c r="B275" s="9">
        <f t="shared" si="149"/>
        <v>4.495000000000001</v>
      </c>
      <c r="C275" s="2">
        <f t="shared" si="150"/>
        <v>9.09</v>
      </c>
      <c r="D275" s="2">
        <f t="shared" si="151"/>
        <v>12.73</v>
      </c>
      <c r="E275" s="10">
        <f t="shared" si="152"/>
        <v>17.34</v>
      </c>
      <c r="F275" s="9">
        <f t="shared" si="153"/>
        <v>5.6349999999999989</v>
      </c>
      <c r="G275" s="2">
        <f t="shared" si="154"/>
        <v>9.09</v>
      </c>
      <c r="H275" s="2">
        <f t="shared" si="155"/>
        <v>12.73</v>
      </c>
      <c r="I275" s="159">
        <f t="shared" si="156"/>
        <v>15.83</v>
      </c>
      <c r="J275" s="9">
        <f t="shared" si="157"/>
        <v>6.1450000000000005</v>
      </c>
      <c r="K275" s="2">
        <f t="shared" si="158"/>
        <v>11.840000000000002</v>
      </c>
      <c r="L275" s="2">
        <f t="shared" si="159"/>
        <v>16.579999999999998</v>
      </c>
      <c r="M275" s="10">
        <f t="shared" si="160"/>
        <v>22.340000000000003</v>
      </c>
      <c r="N275" s="9">
        <f t="shared" si="161"/>
        <v>7.5999999999999979</v>
      </c>
      <c r="O275" s="2">
        <f t="shared" si="162"/>
        <v>11.840000000000002</v>
      </c>
      <c r="P275" s="2">
        <f t="shared" si="163"/>
        <v>16.579999999999998</v>
      </c>
      <c r="Q275" s="10">
        <f t="shared" si="164"/>
        <v>20.43</v>
      </c>
      <c r="R275" s="9">
        <f t="shared" si="165"/>
        <v>1.1550000000000002</v>
      </c>
      <c r="S275" s="2">
        <f t="shared" si="166"/>
        <v>4.4550000000000001</v>
      </c>
      <c r="T275" s="2">
        <f t="shared" si="167"/>
        <v>9.0750000000000011</v>
      </c>
      <c r="U275" s="10">
        <f t="shared" si="168"/>
        <v>14.025</v>
      </c>
      <c r="V275" s="9">
        <f t="shared" si="169"/>
        <v>1.8190000000000008</v>
      </c>
      <c r="W275" s="2">
        <f t="shared" si="170"/>
        <v>4.4550000000000001</v>
      </c>
      <c r="X275" s="2">
        <f t="shared" si="171"/>
        <v>9.0750000000000011</v>
      </c>
      <c r="Y275" s="10">
        <f t="shared" si="172"/>
        <v>12.430000000000003</v>
      </c>
    </row>
    <row r="276" spans="1:40" x14ac:dyDescent="0.25">
      <c r="A276" s="164" t="s">
        <v>79</v>
      </c>
      <c r="B276" s="9">
        <f t="shared" si="149"/>
        <v>4.495000000000001</v>
      </c>
      <c r="C276" s="2">
        <f t="shared" si="150"/>
        <v>9.09</v>
      </c>
      <c r="D276" s="2">
        <f t="shared" si="151"/>
        <v>12.73</v>
      </c>
      <c r="E276" s="10">
        <f t="shared" si="152"/>
        <v>17.34</v>
      </c>
      <c r="F276" s="9">
        <f t="shared" si="153"/>
        <v>5.6349999999999989</v>
      </c>
      <c r="G276" s="2">
        <f t="shared" si="154"/>
        <v>9.09</v>
      </c>
      <c r="H276" s="2">
        <f t="shared" si="155"/>
        <v>12.73</v>
      </c>
      <c r="I276" s="159">
        <f t="shared" si="156"/>
        <v>15.83</v>
      </c>
      <c r="J276" s="9">
        <f t="shared" si="157"/>
        <v>6.1450000000000005</v>
      </c>
      <c r="K276" s="2">
        <f t="shared" si="158"/>
        <v>11.840000000000002</v>
      </c>
      <c r="L276" s="2">
        <f t="shared" si="159"/>
        <v>16.579999999999998</v>
      </c>
      <c r="M276" s="10">
        <f t="shared" si="160"/>
        <v>22.340000000000003</v>
      </c>
      <c r="N276" s="9">
        <f t="shared" si="161"/>
        <v>7.5999999999999979</v>
      </c>
      <c r="O276" s="2">
        <f t="shared" si="162"/>
        <v>11.840000000000002</v>
      </c>
      <c r="P276" s="2">
        <f t="shared" si="163"/>
        <v>16.579999999999998</v>
      </c>
      <c r="Q276" s="10">
        <f t="shared" si="164"/>
        <v>20.43</v>
      </c>
      <c r="R276" s="9">
        <f t="shared" si="165"/>
        <v>2.1950000000000003</v>
      </c>
      <c r="S276" s="2">
        <f t="shared" si="166"/>
        <v>6.0149999999999997</v>
      </c>
      <c r="T276" s="2">
        <f t="shared" si="167"/>
        <v>10.755000000000001</v>
      </c>
      <c r="U276" s="10">
        <f t="shared" si="168"/>
        <v>16.215000000000003</v>
      </c>
      <c r="V276" s="9">
        <f t="shared" si="169"/>
        <v>3.1250000000000009</v>
      </c>
      <c r="W276" s="2">
        <f t="shared" si="170"/>
        <v>6.0149999999999997</v>
      </c>
      <c r="X276" s="2">
        <f t="shared" si="171"/>
        <v>10.755000000000001</v>
      </c>
      <c r="Y276" s="10">
        <f t="shared" si="172"/>
        <v>14.430000000000003</v>
      </c>
    </row>
    <row r="277" spans="1:40" x14ac:dyDescent="0.25">
      <c r="A277" s="164" t="s">
        <v>80</v>
      </c>
      <c r="B277" s="9">
        <f t="shared" si="149"/>
        <v>5.26</v>
      </c>
      <c r="C277" s="2">
        <f t="shared" si="150"/>
        <v>10.350000000000001</v>
      </c>
      <c r="D277" s="2">
        <f t="shared" si="151"/>
        <v>14.66</v>
      </c>
      <c r="E277" s="10">
        <f t="shared" si="152"/>
        <v>20.655000000000001</v>
      </c>
      <c r="F277" s="9">
        <f t="shared" si="153"/>
        <v>6.8349999999999991</v>
      </c>
      <c r="G277" s="2">
        <f t="shared" si="154"/>
        <v>10.350000000000001</v>
      </c>
      <c r="H277" s="2">
        <f t="shared" si="155"/>
        <v>14.66</v>
      </c>
      <c r="I277" s="159">
        <f t="shared" si="156"/>
        <v>18.63</v>
      </c>
      <c r="J277" s="9">
        <f t="shared" si="157"/>
        <v>4.22</v>
      </c>
      <c r="K277" s="2">
        <f t="shared" si="158"/>
        <v>9.89</v>
      </c>
      <c r="L277" s="2">
        <f t="shared" si="159"/>
        <v>15.18</v>
      </c>
      <c r="M277" s="10">
        <f t="shared" si="160"/>
        <v>21.215000000000003</v>
      </c>
      <c r="N277" s="9">
        <f t="shared" si="161"/>
        <v>5.6749999999999989</v>
      </c>
      <c r="O277" s="2">
        <f t="shared" si="162"/>
        <v>9.89</v>
      </c>
      <c r="P277" s="2">
        <f t="shared" si="163"/>
        <v>15.18</v>
      </c>
      <c r="Q277" s="10">
        <f t="shared" si="164"/>
        <v>19.23</v>
      </c>
      <c r="R277" s="9">
        <f t="shared" si="165"/>
        <v>4.495000000000001</v>
      </c>
      <c r="S277" s="2">
        <f t="shared" si="166"/>
        <v>9.09</v>
      </c>
      <c r="T277" s="2">
        <f t="shared" si="167"/>
        <v>12.73</v>
      </c>
      <c r="U277" s="10">
        <f t="shared" si="168"/>
        <v>17.34</v>
      </c>
      <c r="V277" s="9">
        <f t="shared" si="169"/>
        <v>5.6349999999999989</v>
      </c>
      <c r="W277" s="2">
        <f t="shared" si="170"/>
        <v>9.09</v>
      </c>
      <c r="X277" s="2">
        <f t="shared" si="171"/>
        <v>12.73</v>
      </c>
      <c r="Y277" s="10">
        <f t="shared" si="172"/>
        <v>15.83</v>
      </c>
    </row>
    <row r="278" spans="1:40" x14ac:dyDescent="0.25">
      <c r="A278" s="164" t="s">
        <v>82</v>
      </c>
      <c r="B278" s="9">
        <f t="shared" si="149"/>
        <v>4.45</v>
      </c>
      <c r="C278" s="2">
        <f t="shared" si="150"/>
        <v>8.3250000000000011</v>
      </c>
      <c r="D278" s="2">
        <f t="shared" si="151"/>
        <v>13.395</v>
      </c>
      <c r="E278" s="10">
        <f t="shared" si="152"/>
        <v>20.310000000000002</v>
      </c>
      <c r="F278" s="9">
        <f t="shared" si="153"/>
        <v>5.6650000000000009</v>
      </c>
      <c r="G278" s="2">
        <f t="shared" si="154"/>
        <v>8.3250000000000011</v>
      </c>
      <c r="H278" s="2">
        <f t="shared" si="155"/>
        <v>13.395</v>
      </c>
      <c r="I278" s="159">
        <f t="shared" si="156"/>
        <v>17.96</v>
      </c>
      <c r="J278" s="9">
        <f t="shared" si="157"/>
        <v>5.0450000000000008</v>
      </c>
      <c r="K278" s="2">
        <f t="shared" si="158"/>
        <v>11.015000000000001</v>
      </c>
      <c r="L278" s="2">
        <f t="shared" si="159"/>
        <v>15.754999999999999</v>
      </c>
      <c r="M278" s="10">
        <f t="shared" si="160"/>
        <v>21.215</v>
      </c>
      <c r="N278" s="9">
        <f t="shared" si="161"/>
        <v>6.5749999999999993</v>
      </c>
      <c r="O278" s="2">
        <f t="shared" si="162"/>
        <v>11.015000000000001</v>
      </c>
      <c r="P278" s="2">
        <f t="shared" si="163"/>
        <v>15.754999999999999</v>
      </c>
      <c r="Q278" s="10">
        <f t="shared" si="164"/>
        <v>19.430000000000003</v>
      </c>
      <c r="R278" s="9">
        <f t="shared" si="165"/>
        <v>2.57</v>
      </c>
      <c r="S278" s="2">
        <f t="shared" si="166"/>
        <v>7.14</v>
      </c>
      <c r="T278" s="2">
        <f t="shared" si="167"/>
        <v>11.33</v>
      </c>
      <c r="U278" s="10">
        <f t="shared" si="168"/>
        <v>16.215</v>
      </c>
      <c r="V278" s="9">
        <f t="shared" si="169"/>
        <v>3.7099999999999991</v>
      </c>
      <c r="W278" s="2">
        <f t="shared" si="170"/>
        <v>7.14</v>
      </c>
      <c r="X278" s="2">
        <f t="shared" si="171"/>
        <v>11.33</v>
      </c>
      <c r="Y278" s="10">
        <f t="shared" si="172"/>
        <v>14.63</v>
      </c>
    </row>
    <row r="279" spans="1:40" ht="15.75" thickBot="1" x14ac:dyDescent="0.3">
      <c r="A279" s="165" t="s">
        <v>83</v>
      </c>
      <c r="B279" s="160">
        <f t="shared" si="149"/>
        <v>2.1950000000000003</v>
      </c>
      <c r="C279" s="120">
        <f t="shared" si="150"/>
        <v>6.0150000000000006</v>
      </c>
      <c r="D279" s="120">
        <f t="shared" si="151"/>
        <v>10.754999999999999</v>
      </c>
      <c r="E279" s="124">
        <f t="shared" si="152"/>
        <v>16.215</v>
      </c>
      <c r="F279" s="160">
        <f t="shared" si="153"/>
        <v>3.1250000000000009</v>
      </c>
      <c r="G279" s="120">
        <f t="shared" si="154"/>
        <v>6.0150000000000006</v>
      </c>
      <c r="H279" s="120">
        <f t="shared" si="155"/>
        <v>10.754999999999999</v>
      </c>
      <c r="I279" s="167">
        <f t="shared" si="156"/>
        <v>14.430000000000003</v>
      </c>
      <c r="J279" s="160">
        <f t="shared" si="157"/>
        <v>5.0450000000000008</v>
      </c>
      <c r="K279" s="120">
        <f t="shared" si="158"/>
        <v>11.015000000000001</v>
      </c>
      <c r="L279" s="120">
        <f t="shared" si="159"/>
        <v>15.754999999999999</v>
      </c>
      <c r="M279" s="124">
        <f t="shared" si="160"/>
        <v>21.215</v>
      </c>
      <c r="N279" s="160">
        <f t="shared" si="161"/>
        <v>6.5749999999999993</v>
      </c>
      <c r="O279" s="120">
        <f t="shared" si="162"/>
        <v>11.015000000000001</v>
      </c>
      <c r="P279" s="120">
        <f t="shared" si="163"/>
        <v>15.754999999999999</v>
      </c>
      <c r="Q279" s="124">
        <f t="shared" si="164"/>
        <v>19.430000000000003</v>
      </c>
      <c r="R279" s="160">
        <f t="shared" si="165"/>
        <v>4.22</v>
      </c>
      <c r="S279" s="120">
        <f t="shared" si="166"/>
        <v>8.7900000000000009</v>
      </c>
      <c r="T279" s="120">
        <f t="shared" si="167"/>
        <v>12.98</v>
      </c>
      <c r="U279" s="124">
        <f t="shared" si="168"/>
        <v>18.465</v>
      </c>
      <c r="V279" s="160">
        <f t="shared" si="169"/>
        <v>5.5289999999999981</v>
      </c>
      <c r="W279" s="120">
        <f t="shared" si="170"/>
        <v>8.7900000000000009</v>
      </c>
      <c r="X279" s="120">
        <f t="shared" si="171"/>
        <v>12.98</v>
      </c>
      <c r="Y279" s="124">
        <f t="shared" si="172"/>
        <v>16.63</v>
      </c>
    </row>
    <row r="281" spans="1:40" ht="15.75" thickBot="1" x14ac:dyDescent="0.3">
      <c r="A281" s="1" t="s">
        <v>217</v>
      </c>
      <c r="AH281">
        <v>0.8</v>
      </c>
    </row>
    <row r="282" spans="1:40" ht="15.75" thickBot="1" x14ac:dyDescent="0.3">
      <c r="A282" s="304" t="s">
        <v>86</v>
      </c>
      <c r="B282" s="303" t="s">
        <v>214</v>
      </c>
      <c r="C282" s="306"/>
      <c r="D282" s="306"/>
      <c r="E282" s="306"/>
      <c r="F282" s="306"/>
      <c r="G282" s="306"/>
      <c r="H282" s="306"/>
      <c r="I282" s="307"/>
      <c r="J282" s="303" t="s">
        <v>215</v>
      </c>
      <c r="K282" s="306"/>
      <c r="L282" s="306"/>
      <c r="M282" s="306"/>
      <c r="N282" s="306"/>
      <c r="O282" s="306"/>
      <c r="P282" s="306"/>
      <c r="Q282" s="307"/>
      <c r="R282" s="303" t="s">
        <v>218</v>
      </c>
      <c r="S282" s="306"/>
      <c r="T282" s="306"/>
      <c r="U282" s="306"/>
      <c r="V282" s="306"/>
      <c r="W282" s="306"/>
      <c r="X282" s="306"/>
      <c r="Y282" s="307"/>
      <c r="Z282" s="280" t="s">
        <v>216</v>
      </c>
      <c r="AA282" s="281"/>
      <c r="AB282" s="281"/>
      <c r="AC282" s="281"/>
      <c r="AD282" s="281"/>
      <c r="AE282" s="281"/>
      <c r="AF282" s="281"/>
      <c r="AG282" s="282"/>
      <c r="AH282" s="292" t="s">
        <v>151</v>
      </c>
      <c r="AI282" s="293"/>
      <c r="AJ282" s="293"/>
      <c r="AK282" s="294"/>
      <c r="AL282" s="288" t="s">
        <v>153</v>
      </c>
      <c r="AM282" s="289"/>
      <c r="AN282" s="290" t="s">
        <v>156</v>
      </c>
    </row>
    <row r="283" spans="1:40" ht="31.5" customHeight="1" thickBot="1" x14ac:dyDescent="0.3">
      <c r="A283" s="305"/>
      <c r="B283" s="300" t="s">
        <v>17</v>
      </c>
      <c r="C283" s="301"/>
      <c r="D283" s="301"/>
      <c r="E283" s="302"/>
      <c r="F283" s="303" t="s">
        <v>18</v>
      </c>
      <c r="G283" s="301"/>
      <c r="H283" s="301"/>
      <c r="I283" s="302"/>
      <c r="J283" s="300" t="s">
        <v>17</v>
      </c>
      <c r="K283" s="301"/>
      <c r="L283" s="301"/>
      <c r="M283" s="302"/>
      <c r="N283" s="303" t="s">
        <v>18</v>
      </c>
      <c r="O283" s="301"/>
      <c r="P283" s="301"/>
      <c r="Q283" s="302"/>
      <c r="R283" s="300" t="s">
        <v>17</v>
      </c>
      <c r="S283" s="301"/>
      <c r="T283" s="301"/>
      <c r="U283" s="302"/>
      <c r="V283" s="303" t="s">
        <v>18</v>
      </c>
      <c r="W283" s="301"/>
      <c r="X283" s="301"/>
      <c r="Y283" s="302"/>
      <c r="Z283" s="280" t="s">
        <v>17</v>
      </c>
      <c r="AA283" s="281"/>
      <c r="AB283" s="281"/>
      <c r="AC283" s="282"/>
      <c r="AD283" s="280" t="s">
        <v>18</v>
      </c>
      <c r="AE283" s="281"/>
      <c r="AF283" s="281"/>
      <c r="AG283" s="282"/>
      <c r="AH283" s="295" t="s">
        <v>152</v>
      </c>
      <c r="AI283" s="296"/>
      <c r="AJ283" s="295" t="s">
        <v>26</v>
      </c>
      <c r="AK283" s="297"/>
      <c r="AL283" s="145" t="s">
        <v>154</v>
      </c>
      <c r="AM283" s="145" t="s">
        <v>155</v>
      </c>
      <c r="AN283" s="291"/>
    </row>
    <row r="284" spans="1:40" x14ac:dyDescent="0.25">
      <c r="A284" s="169" t="s">
        <v>84</v>
      </c>
      <c r="B284" s="40">
        <f>B270*$B256</f>
        <v>2.0142790960451977</v>
      </c>
      <c r="C284" s="41">
        <f t="shared" ref="C284:E284" si="173">C270*$B256</f>
        <v>3.9287796610169488</v>
      </c>
      <c r="D284" s="41">
        <f t="shared" si="173"/>
        <v>4.9296830508474576</v>
      </c>
      <c r="E284" s="42">
        <f t="shared" si="173"/>
        <v>6.4403923728813561</v>
      </c>
      <c r="F284" s="40">
        <f>F270*$G256</f>
        <v>2.542264823348694</v>
      </c>
      <c r="G284" s="41">
        <f t="shared" ref="G284:I284" si="174">G270*$G256</f>
        <v>3.8500645161290321</v>
      </c>
      <c r="H284" s="41">
        <f t="shared" si="174"/>
        <v>4.8309142857142859</v>
      </c>
      <c r="I284" s="215">
        <f t="shared" si="174"/>
        <v>5.8148196620583716</v>
      </c>
      <c r="J284" s="40">
        <f>J270*$C256</f>
        <v>1.4129847457627114</v>
      </c>
      <c r="K284" s="41">
        <f t="shared" ref="K284:M284" si="175">K270*$C256</f>
        <v>3.3114737288135587</v>
      </c>
      <c r="L284" s="41">
        <f t="shared" si="175"/>
        <v>5.0827271186440663</v>
      </c>
      <c r="M284" s="42">
        <f t="shared" si="175"/>
        <v>7.1034292372881351</v>
      </c>
      <c r="N284" s="40">
        <f>N270*$H256</f>
        <v>1.9371712749615968</v>
      </c>
      <c r="O284" s="41">
        <f t="shared" ref="O284:Q284" si="176">O270*$H256</f>
        <v>3.3759689708141316</v>
      </c>
      <c r="P284" s="41">
        <f t="shared" si="176"/>
        <v>5.1817198156682016</v>
      </c>
      <c r="Q284" s="215">
        <f t="shared" si="176"/>
        <v>6.5641944700460817</v>
      </c>
      <c r="R284" s="40">
        <f>R270*$D256</f>
        <v>1.7827091807909607</v>
      </c>
      <c r="S284" s="41">
        <f t="shared" ref="S284:U284" si="177">S270*$D256</f>
        <v>3.5035800847457623</v>
      </c>
      <c r="T284" s="41">
        <f t="shared" si="177"/>
        <v>4.789816242937853</v>
      </c>
      <c r="U284" s="42">
        <f t="shared" si="177"/>
        <v>6.5248216101694911</v>
      </c>
      <c r="V284" s="40">
        <f>V270*$I256</f>
        <v>2.2699999078341015</v>
      </c>
      <c r="W284" s="41">
        <f t="shared" ref="W284:Y284" si="178">W270*$I256</f>
        <v>3.5008631336405536</v>
      </c>
      <c r="X284" s="41">
        <f t="shared" si="178"/>
        <v>4.7861018433179732</v>
      </c>
      <c r="Y284" s="215">
        <f t="shared" si="178"/>
        <v>5.9424635944700483</v>
      </c>
      <c r="Z284" s="40">
        <f>B284+J284+R284</f>
        <v>5.2099730225988701</v>
      </c>
      <c r="AA284" s="41">
        <f t="shared" ref="AA284:AG293" si="179">C284+K284+S284</f>
        <v>10.74383347457627</v>
      </c>
      <c r="AB284" s="41">
        <f t="shared" si="179"/>
        <v>14.802226412429377</v>
      </c>
      <c r="AC284" s="42">
        <f t="shared" si="179"/>
        <v>20.068643220338984</v>
      </c>
      <c r="AD284" s="40">
        <f t="shared" si="179"/>
        <v>6.7494360061443928</v>
      </c>
      <c r="AE284" s="41">
        <f t="shared" si="179"/>
        <v>10.726896620583718</v>
      </c>
      <c r="AF284" s="41">
        <f t="shared" si="179"/>
        <v>14.798735944700461</v>
      </c>
      <c r="AG284" s="215">
        <f t="shared" si="179"/>
        <v>18.3214777265745</v>
      </c>
      <c r="AH284" s="223">
        <f>AH$281*AA284+(1-AH$281)*Z284</f>
        <v>9.6370613841807895</v>
      </c>
      <c r="AI284" s="224">
        <f>AH$281*AB284+(1-AH$281)*AC284</f>
        <v>15.855509774011299</v>
      </c>
      <c r="AJ284" s="223">
        <f>AH$281*AE284+(1-AH$281)*AD284</f>
        <v>9.9314044976958531</v>
      </c>
      <c r="AK284" s="224">
        <f>AH$281*AF284+(1-AH$281)*AG284</f>
        <v>15.503284301075269</v>
      </c>
      <c r="AL284" s="223">
        <f>(AH284+AI284)/2</f>
        <v>12.746285579096044</v>
      </c>
      <c r="AM284" s="224">
        <f>(AJ284+AK284)/2</f>
        <v>12.71734439938556</v>
      </c>
      <c r="AN284" s="225">
        <f>(AL284+AM284)/2</f>
        <v>12.731814989240803</v>
      </c>
    </row>
    <row r="285" spans="1:40" x14ac:dyDescent="0.25">
      <c r="A285" s="164" t="s">
        <v>73</v>
      </c>
      <c r="B285" s="216">
        <f t="shared" ref="B285:E293" si="180">B271*$B257</f>
        <v>0.38788750000000005</v>
      </c>
      <c r="C285" s="210">
        <f t="shared" si="180"/>
        <v>1.4961374999999999</v>
      </c>
      <c r="D285" s="210">
        <f t="shared" si="180"/>
        <v>3.0476874999999994</v>
      </c>
      <c r="E285" s="217">
        <f t="shared" si="180"/>
        <v>4.7100625000000003</v>
      </c>
      <c r="F285" s="216">
        <f t="shared" ref="F285:I293" si="181">F271*$G257</f>
        <v>0.61481492217898859</v>
      </c>
      <c r="G285" s="210">
        <f t="shared" si="181"/>
        <v>1.5057726653696499</v>
      </c>
      <c r="H285" s="210">
        <f t="shared" si="181"/>
        <v>3.0673146887159533</v>
      </c>
      <c r="I285" s="218">
        <f t="shared" si="181"/>
        <v>4.2012916342412465</v>
      </c>
      <c r="J285" s="216">
        <f t="shared" ref="J285:M293" si="182">J271*$C257</f>
        <v>0.35291666666666677</v>
      </c>
      <c r="K285" s="210">
        <f t="shared" si="182"/>
        <v>1.6973611111111115</v>
      </c>
      <c r="L285" s="210">
        <f t="shared" si="182"/>
        <v>3.4451388888888892</v>
      </c>
      <c r="M285" s="217">
        <f t="shared" si="182"/>
        <v>5.1256944444444459</v>
      </c>
      <c r="N285" s="216">
        <f t="shared" ref="N285:Q293" si="183">N271*$H257</f>
        <v>0.59706945525291855</v>
      </c>
      <c r="O285" s="210">
        <f t="shared" si="183"/>
        <v>1.687898638132296</v>
      </c>
      <c r="P285" s="210">
        <f t="shared" si="183"/>
        <v>3.4259328793774322</v>
      </c>
      <c r="Q285" s="218">
        <f t="shared" si="183"/>
        <v>4.5668976653696509</v>
      </c>
      <c r="R285" s="216">
        <f t="shared" ref="R285:U293" si="184">R271*$D257</f>
        <v>0.21695972222222223</v>
      </c>
      <c r="S285" s="210">
        <f t="shared" si="184"/>
        <v>1.3017583333333338</v>
      </c>
      <c r="T285" s="210">
        <f t="shared" si="184"/>
        <v>2.9585416666666671</v>
      </c>
      <c r="U285" s="217">
        <f t="shared" si="184"/>
        <v>4.6260833333333338</v>
      </c>
      <c r="V285" s="216">
        <f t="shared" ref="V285:Y293" si="185">V271*$I257</f>
        <v>0.36710554474708168</v>
      </c>
      <c r="W285" s="210">
        <f t="shared" si="185"/>
        <v>1.3000908560311286</v>
      </c>
      <c r="X285" s="210">
        <f t="shared" si="185"/>
        <v>2.9547519455252917</v>
      </c>
      <c r="Y285" s="218">
        <f t="shared" si="185"/>
        <v>4.0936745136186774</v>
      </c>
      <c r="Z285" s="216">
        <f t="shared" ref="Z285:Z293" si="186">B285+J285+R285</f>
        <v>0.95776388888888908</v>
      </c>
      <c r="AA285" s="210">
        <f t="shared" si="179"/>
        <v>4.4952569444444457</v>
      </c>
      <c r="AB285" s="210">
        <f t="shared" si="179"/>
        <v>9.4513680555555553</v>
      </c>
      <c r="AC285" s="217">
        <f t="shared" si="179"/>
        <v>14.46184027777778</v>
      </c>
      <c r="AD285" s="216">
        <f t="shared" si="179"/>
        <v>1.5789899221789887</v>
      </c>
      <c r="AE285" s="210">
        <f t="shared" si="179"/>
        <v>4.493762159533075</v>
      </c>
      <c r="AF285" s="210">
        <f t="shared" si="179"/>
        <v>9.4479995136186776</v>
      </c>
      <c r="AG285" s="218">
        <f t="shared" si="179"/>
        <v>12.861863813229576</v>
      </c>
      <c r="AH285" s="226">
        <f t="shared" ref="AH285:AH293" si="187">AH$281*AA285+(1-AH$281)*Z285</f>
        <v>3.7877583333333344</v>
      </c>
      <c r="AI285" s="227">
        <f t="shared" ref="AI285:AI293" si="188">AH$281*AB285+(1-AH$281)*AC285</f>
        <v>10.453462500000001</v>
      </c>
      <c r="AJ285" s="226">
        <f t="shared" ref="AJ285:AJ293" si="189">AH$281*AE285+(1-AH$281)*AD285</f>
        <v>3.9108077120622577</v>
      </c>
      <c r="AK285" s="227">
        <f t="shared" ref="AK285:AK293" si="190">AH$281*AF285+(1-AH$281)*AG285</f>
        <v>10.130772373540857</v>
      </c>
      <c r="AL285" s="226">
        <f t="shared" ref="AL285:AL293" si="191">(AH285+AI285)/2</f>
        <v>7.1206104166666675</v>
      </c>
      <c r="AM285" s="227">
        <f t="shared" ref="AM285:AM293" si="192">(AJ285+AK285)/2</f>
        <v>7.0207900428015577</v>
      </c>
      <c r="AN285" s="228">
        <f t="shared" ref="AN285:AN293" si="193">(AL285+AM285)/2</f>
        <v>7.0707002297341131</v>
      </c>
    </row>
    <row r="286" spans="1:40" x14ac:dyDescent="0.25">
      <c r="A286" s="164" t="s">
        <v>74</v>
      </c>
      <c r="B286" s="216">
        <f t="shared" si="180"/>
        <v>1.3463437956204383</v>
      </c>
      <c r="C286" s="210">
        <f t="shared" si="180"/>
        <v>2.489813868613139</v>
      </c>
      <c r="D286" s="210">
        <f t="shared" si="180"/>
        <v>4.2603481751824823</v>
      </c>
      <c r="E286" s="217">
        <f t="shared" si="180"/>
        <v>6.6948328467153289</v>
      </c>
      <c r="F286" s="216">
        <f t="shared" si="181"/>
        <v>1.7185625360230548</v>
      </c>
      <c r="G286" s="210">
        <f t="shared" si="181"/>
        <v>2.5118753602305479</v>
      </c>
      <c r="H286" s="210">
        <f t="shared" si="181"/>
        <v>4.298097838616715</v>
      </c>
      <c r="I286" s="218">
        <f t="shared" si="181"/>
        <v>5.9168619596541783</v>
      </c>
      <c r="J286" s="216">
        <f t="shared" si="182"/>
        <v>1.9936459854014597</v>
      </c>
      <c r="K286" s="210">
        <f t="shared" si="182"/>
        <v>3.6390866788321166</v>
      </c>
      <c r="L286" s="210">
        <f t="shared" si="182"/>
        <v>5.0237147810218969</v>
      </c>
      <c r="M286" s="217">
        <f t="shared" si="182"/>
        <v>6.9122164233576635</v>
      </c>
      <c r="N286" s="216">
        <f t="shared" si="183"/>
        <v>2.3723954610951008</v>
      </c>
      <c r="O286" s="210">
        <f t="shared" si="183"/>
        <v>3.4681480547550438</v>
      </c>
      <c r="P286" s="210">
        <f t="shared" si="183"/>
        <v>4.7877360951008656</v>
      </c>
      <c r="Q286" s="218">
        <f t="shared" si="183"/>
        <v>5.9758858789625373</v>
      </c>
      <c r="R286" s="216">
        <f t="shared" si="184"/>
        <v>1.8893220802919708</v>
      </c>
      <c r="S286" s="210">
        <f t="shared" si="184"/>
        <v>3.7003302919708028</v>
      </c>
      <c r="T286" s="210">
        <f t="shared" si="184"/>
        <v>5.4702237226277379</v>
      </c>
      <c r="U286" s="217">
        <f t="shared" si="184"/>
        <v>7.9527733576642348</v>
      </c>
      <c r="V286" s="216">
        <f t="shared" si="185"/>
        <v>2.508915706051873</v>
      </c>
      <c r="W286" s="210">
        <f t="shared" si="185"/>
        <v>3.7934805475504327</v>
      </c>
      <c r="X286" s="210">
        <f t="shared" si="185"/>
        <v>5.6079283861671483</v>
      </c>
      <c r="Y286" s="218">
        <f t="shared" si="185"/>
        <v>7.2899054755043231</v>
      </c>
      <c r="Z286" s="216">
        <f t="shared" si="186"/>
        <v>5.2293118613138692</v>
      </c>
      <c r="AA286" s="210">
        <f t="shared" si="179"/>
        <v>9.8292308394160575</v>
      </c>
      <c r="AB286" s="210">
        <f t="shared" si="179"/>
        <v>14.754286678832118</v>
      </c>
      <c r="AC286" s="217">
        <f t="shared" si="179"/>
        <v>21.559822627737226</v>
      </c>
      <c r="AD286" s="216">
        <f t="shared" si="179"/>
        <v>6.5998737031700285</v>
      </c>
      <c r="AE286" s="210">
        <f t="shared" si="179"/>
        <v>9.773503962536024</v>
      </c>
      <c r="AF286" s="210">
        <f t="shared" si="179"/>
        <v>14.69376231988473</v>
      </c>
      <c r="AG286" s="218">
        <f t="shared" si="179"/>
        <v>19.18265331412104</v>
      </c>
      <c r="AH286" s="226">
        <f t="shared" si="187"/>
        <v>8.9092470437956202</v>
      </c>
      <c r="AI286" s="227">
        <f t="shared" si="188"/>
        <v>16.11539386861314</v>
      </c>
      <c r="AJ286" s="226">
        <f t="shared" si="189"/>
        <v>9.1387779106628244</v>
      </c>
      <c r="AK286" s="227">
        <f t="shared" si="190"/>
        <v>15.591540518731993</v>
      </c>
      <c r="AL286" s="226">
        <f t="shared" si="191"/>
        <v>12.51232045620438</v>
      </c>
      <c r="AM286" s="227">
        <f t="shared" si="192"/>
        <v>12.365159214697409</v>
      </c>
      <c r="AN286" s="228">
        <f t="shared" si="193"/>
        <v>12.438739835450894</v>
      </c>
    </row>
    <row r="287" spans="1:40" x14ac:dyDescent="0.25">
      <c r="A287" s="164" t="s">
        <v>75</v>
      </c>
      <c r="B287" s="216">
        <f t="shared" si="180"/>
        <v>2.0241330561330564</v>
      </c>
      <c r="C287" s="210">
        <f t="shared" si="180"/>
        <v>3.7885322245322239</v>
      </c>
      <c r="D287" s="210">
        <f t="shared" si="180"/>
        <v>5.2107991683991681</v>
      </c>
      <c r="E287" s="217">
        <f t="shared" si="180"/>
        <v>7.2761313929313918</v>
      </c>
      <c r="F287" s="216">
        <f t="shared" si="181"/>
        <v>2.6300326530612241</v>
      </c>
      <c r="G287" s="210">
        <f t="shared" si="181"/>
        <v>3.8898734693877546</v>
      </c>
      <c r="H287" s="210">
        <f t="shared" si="181"/>
        <v>5.3501853061224489</v>
      </c>
      <c r="I287" s="218">
        <f t="shared" si="181"/>
        <v>6.7534824489795913</v>
      </c>
      <c r="J287" s="216">
        <f t="shared" si="182"/>
        <v>2.0660486486486489</v>
      </c>
      <c r="K287" s="210">
        <f t="shared" si="182"/>
        <v>3.9808000000000008</v>
      </c>
      <c r="L287" s="210">
        <f t="shared" si="182"/>
        <v>5.574464864864864</v>
      </c>
      <c r="M287" s="217">
        <f t="shared" si="182"/>
        <v>7.5110702702702712</v>
      </c>
      <c r="N287" s="216">
        <f t="shared" si="183"/>
        <v>2.6075755102040805</v>
      </c>
      <c r="O287" s="210">
        <f t="shared" si="183"/>
        <v>4.0623281632653061</v>
      </c>
      <c r="P287" s="210">
        <f t="shared" si="183"/>
        <v>5.6886318367346931</v>
      </c>
      <c r="Q287" s="218">
        <f t="shared" si="183"/>
        <v>7.0095746938775507</v>
      </c>
      <c r="R287" s="216">
        <f t="shared" si="184"/>
        <v>0.67063866943866957</v>
      </c>
      <c r="S287" s="210">
        <f t="shared" si="184"/>
        <v>1.8377638253638255</v>
      </c>
      <c r="T287" s="210">
        <f t="shared" si="184"/>
        <v>3.2859767151767159</v>
      </c>
      <c r="U287" s="217">
        <f t="shared" si="184"/>
        <v>4.9541713097713114</v>
      </c>
      <c r="V287" s="216">
        <f t="shared" si="185"/>
        <v>0.90331632653061256</v>
      </c>
      <c r="W287" s="210">
        <f t="shared" si="185"/>
        <v>1.7387032653061225</v>
      </c>
      <c r="X287" s="210">
        <f t="shared" si="185"/>
        <v>3.1088534693877556</v>
      </c>
      <c r="Y287" s="218">
        <f t="shared" si="185"/>
        <v>4.1711534693877566</v>
      </c>
      <c r="Z287" s="216">
        <f t="shared" si="186"/>
        <v>4.7608203742203745</v>
      </c>
      <c r="AA287" s="210">
        <f t="shared" si="179"/>
        <v>9.6070960498960503</v>
      </c>
      <c r="AB287" s="210">
        <f t="shared" si="179"/>
        <v>14.071240748440747</v>
      </c>
      <c r="AC287" s="217">
        <f t="shared" si="179"/>
        <v>19.741372972972975</v>
      </c>
      <c r="AD287" s="216">
        <f t="shared" si="179"/>
        <v>6.1409244897959177</v>
      </c>
      <c r="AE287" s="210">
        <f t="shared" si="179"/>
        <v>9.6909048979591841</v>
      </c>
      <c r="AF287" s="210">
        <f t="shared" si="179"/>
        <v>14.147670612244896</v>
      </c>
      <c r="AG287" s="218">
        <f t="shared" si="179"/>
        <v>17.9342106122449</v>
      </c>
      <c r="AH287" s="226">
        <f t="shared" si="187"/>
        <v>8.6378409147609148</v>
      </c>
      <c r="AI287" s="227">
        <f t="shared" si="188"/>
        <v>15.205267193347192</v>
      </c>
      <c r="AJ287" s="226">
        <f t="shared" si="189"/>
        <v>8.9809088163265312</v>
      </c>
      <c r="AK287" s="227">
        <f t="shared" si="190"/>
        <v>14.904978612244898</v>
      </c>
      <c r="AL287" s="226">
        <f t="shared" si="191"/>
        <v>11.921554054054052</v>
      </c>
      <c r="AM287" s="227">
        <f t="shared" si="192"/>
        <v>11.942943714285715</v>
      </c>
      <c r="AN287" s="228">
        <f t="shared" si="193"/>
        <v>11.932248884169883</v>
      </c>
    </row>
    <row r="288" spans="1:40" x14ac:dyDescent="0.25">
      <c r="A288" s="164" t="s">
        <v>77</v>
      </c>
      <c r="B288" s="216">
        <f t="shared" si="180"/>
        <v>1.6383511146496816</v>
      </c>
      <c r="C288" s="210">
        <f t="shared" si="180"/>
        <v>3.0650051751592362</v>
      </c>
      <c r="D288" s="210">
        <f t="shared" si="180"/>
        <v>4.931620939490446</v>
      </c>
      <c r="E288" s="217">
        <f t="shared" si="180"/>
        <v>7.4775081210191097</v>
      </c>
      <c r="F288" s="216">
        <f t="shared" si="181"/>
        <v>2.1597473684210526</v>
      </c>
      <c r="G288" s="210">
        <f t="shared" si="181"/>
        <v>3.1738564593301435</v>
      </c>
      <c r="H288" s="210">
        <f t="shared" si="181"/>
        <v>5.1067636363636355</v>
      </c>
      <c r="I288" s="218">
        <f t="shared" si="181"/>
        <v>6.8471425837320572</v>
      </c>
      <c r="J288" s="216">
        <f t="shared" si="182"/>
        <v>1.9919235668789812</v>
      </c>
      <c r="K288" s="210">
        <f t="shared" si="182"/>
        <v>3.6359426751592361</v>
      </c>
      <c r="L288" s="210">
        <f t="shared" si="182"/>
        <v>5.0193745222929937</v>
      </c>
      <c r="M288" s="217">
        <f t="shared" si="182"/>
        <v>6.9062445859872623</v>
      </c>
      <c r="N288" s="216">
        <f t="shared" si="183"/>
        <v>2.3001200956937797</v>
      </c>
      <c r="O288" s="210">
        <f t="shared" si="183"/>
        <v>3.3624904306220103</v>
      </c>
      <c r="P288" s="210">
        <f t="shared" si="183"/>
        <v>4.6418770334928237</v>
      </c>
      <c r="Q288" s="218">
        <f t="shared" si="183"/>
        <v>5.7938296650717716</v>
      </c>
      <c r="R288" s="216">
        <f t="shared" si="184"/>
        <v>0.92253996815286621</v>
      </c>
      <c r="S288" s="210">
        <f t="shared" si="184"/>
        <v>2.563009872611465</v>
      </c>
      <c r="T288" s="210">
        <f t="shared" si="184"/>
        <v>4.0670730891719753</v>
      </c>
      <c r="U288" s="217">
        <f t="shared" si="184"/>
        <v>5.8206169585987269</v>
      </c>
      <c r="V288" s="216">
        <f t="shared" si="185"/>
        <v>1.359386602870813</v>
      </c>
      <c r="W288" s="210">
        <f t="shared" si="185"/>
        <v>2.6161779904306219</v>
      </c>
      <c r="X288" s="210">
        <f t="shared" si="185"/>
        <v>4.1514421052631576</v>
      </c>
      <c r="Y288" s="218">
        <f t="shared" si="185"/>
        <v>5.3606000000000007</v>
      </c>
      <c r="Z288" s="216">
        <f t="shared" si="186"/>
        <v>4.5528146496815287</v>
      </c>
      <c r="AA288" s="210">
        <f t="shared" si="179"/>
        <v>9.2639577229299377</v>
      </c>
      <c r="AB288" s="210">
        <f t="shared" si="179"/>
        <v>14.018068550955414</v>
      </c>
      <c r="AC288" s="217">
        <f t="shared" si="179"/>
        <v>20.2043696656051</v>
      </c>
      <c r="AD288" s="216">
        <f t="shared" si="179"/>
        <v>5.8192540669856463</v>
      </c>
      <c r="AE288" s="210">
        <f t="shared" si="179"/>
        <v>9.1525248803827761</v>
      </c>
      <c r="AF288" s="210">
        <f t="shared" si="179"/>
        <v>13.900082775119618</v>
      </c>
      <c r="AG288" s="218">
        <f t="shared" si="179"/>
        <v>18.001572248803829</v>
      </c>
      <c r="AH288" s="226">
        <f t="shared" si="187"/>
        <v>8.3217291082802571</v>
      </c>
      <c r="AI288" s="227">
        <f t="shared" si="188"/>
        <v>15.255328773885353</v>
      </c>
      <c r="AJ288" s="226">
        <f t="shared" si="189"/>
        <v>8.4858707177033494</v>
      </c>
      <c r="AK288" s="227">
        <f t="shared" si="190"/>
        <v>14.720380669856459</v>
      </c>
      <c r="AL288" s="226">
        <f t="shared" si="191"/>
        <v>11.788528941082806</v>
      </c>
      <c r="AM288" s="227">
        <f t="shared" si="192"/>
        <v>11.603125693779905</v>
      </c>
      <c r="AN288" s="228">
        <f t="shared" si="193"/>
        <v>11.695827317431355</v>
      </c>
    </row>
    <row r="289" spans="1:40" x14ac:dyDescent="0.25">
      <c r="A289" s="164" t="s">
        <v>78</v>
      </c>
      <c r="B289" s="216">
        <f t="shared" si="180"/>
        <v>1.6569129186602873</v>
      </c>
      <c r="C289" s="210">
        <f t="shared" si="180"/>
        <v>3.3506870813397129</v>
      </c>
      <c r="D289" s="210">
        <f t="shared" si="180"/>
        <v>4.6924363636363635</v>
      </c>
      <c r="E289" s="217">
        <f t="shared" si="180"/>
        <v>6.3917397129186604</v>
      </c>
      <c r="F289" s="216">
        <f t="shared" si="181"/>
        <v>2.1533158088235287</v>
      </c>
      <c r="G289" s="210">
        <f t="shared" si="181"/>
        <v>3.4735830882352938</v>
      </c>
      <c r="H289" s="210">
        <f t="shared" si="181"/>
        <v>4.8645448529411759</v>
      </c>
      <c r="I289" s="218">
        <f t="shared" si="181"/>
        <v>6.0491551470588227</v>
      </c>
      <c r="J289" s="216">
        <f t="shared" si="182"/>
        <v>1.8946593301435406</v>
      </c>
      <c r="K289" s="210">
        <f t="shared" si="182"/>
        <v>3.6505722488038281</v>
      </c>
      <c r="L289" s="210">
        <f t="shared" si="182"/>
        <v>5.1120344497607642</v>
      </c>
      <c r="M289" s="217">
        <f t="shared" si="182"/>
        <v>6.8879885167464119</v>
      </c>
      <c r="N289" s="216">
        <f t="shared" si="183"/>
        <v>2.3425882352941167</v>
      </c>
      <c r="O289" s="210">
        <f t="shared" si="183"/>
        <v>3.6495058823529414</v>
      </c>
      <c r="P289" s="210">
        <f t="shared" si="183"/>
        <v>5.1105411764705879</v>
      </c>
      <c r="Q289" s="218">
        <f t="shared" si="183"/>
        <v>6.2972470588235288</v>
      </c>
      <c r="R289" s="216">
        <f t="shared" si="184"/>
        <v>0.37313684210526327</v>
      </c>
      <c r="S289" s="210">
        <f t="shared" si="184"/>
        <v>1.4392421052631581</v>
      </c>
      <c r="T289" s="210">
        <f t="shared" si="184"/>
        <v>2.9317894736842112</v>
      </c>
      <c r="U289" s="217">
        <f t="shared" si="184"/>
        <v>4.5309473684210531</v>
      </c>
      <c r="V289" s="216">
        <f t="shared" si="185"/>
        <v>0.56322125000000023</v>
      </c>
      <c r="W289" s="210">
        <f t="shared" si="185"/>
        <v>1.3794121323529411</v>
      </c>
      <c r="X289" s="210">
        <f t="shared" si="185"/>
        <v>2.8099136029411769</v>
      </c>
      <c r="Y289" s="218">
        <f t="shared" si="185"/>
        <v>3.8487301470588244</v>
      </c>
      <c r="Z289" s="216">
        <f t="shared" si="186"/>
        <v>3.9247090909090914</v>
      </c>
      <c r="AA289" s="210">
        <f t="shared" si="179"/>
        <v>8.4405014354066985</v>
      </c>
      <c r="AB289" s="210">
        <f t="shared" si="179"/>
        <v>12.73626028708134</v>
      </c>
      <c r="AC289" s="217">
        <f t="shared" si="179"/>
        <v>17.810675598086124</v>
      </c>
      <c r="AD289" s="216">
        <f t="shared" si="179"/>
        <v>5.0591252941176457</v>
      </c>
      <c r="AE289" s="210">
        <f t="shared" si="179"/>
        <v>8.5025011029411761</v>
      </c>
      <c r="AF289" s="210">
        <f t="shared" si="179"/>
        <v>12.784999632352939</v>
      </c>
      <c r="AG289" s="218">
        <f t="shared" si="179"/>
        <v>16.195132352941176</v>
      </c>
      <c r="AH289" s="226">
        <f t="shared" si="187"/>
        <v>7.5373429665071772</v>
      </c>
      <c r="AI289" s="227">
        <f t="shared" si="188"/>
        <v>13.751143349282296</v>
      </c>
      <c r="AJ289" s="226">
        <f t="shared" si="189"/>
        <v>7.8138259411764706</v>
      </c>
      <c r="AK289" s="227">
        <f t="shared" si="190"/>
        <v>13.467026176470586</v>
      </c>
      <c r="AL289" s="226">
        <f t="shared" si="191"/>
        <v>10.644243157894737</v>
      </c>
      <c r="AM289" s="227">
        <f t="shared" si="192"/>
        <v>10.640426058823529</v>
      </c>
      <c r="AN289" s="228">
        <f t="shared" si="193"/>
        <v>10.642334608359132</v>
      </c>
    </row>
    <row r="290" spans="1:40" x14ac:dyDescent="0.25">
      <c r="A290" s="164" t="s">
        <v>79</v>
      </c>
      <c r="B290" s="216">
        <f t="shared" si="180"/>
        <v>1.5989357142857143</v>
      </c>
      <c r="C290" s="210">
        <f t="shared" si="180"/>
        <v>3.2334428571428564</v>
      </c>
      <c r="D290" s="210">
        <f t="shared" si="180"/>
        <v>4.5282428571428568</v>
      </c>
      <c r="E290" s="217">
        <f t="shared" si="180"/>
        <v>6.1680857142857128</v>
      </c>
      <c r="F290" s="216">
        <f t="shared" si="181"/>
        <v>2.0565565891472861</v>
      </c>
      <c r="G290" s="210">
        <f t="shared" si="181"/>
        <v>3.3174976744186044</v>
      </c>
      <c r="H290" s="210">
        <f t="shared" si="181"/>
        <v>4.6459565891472865</v>
      </c>
      <c r="I290" s="218">
        <f t="shared" si="181"/>
        <v>5.7773364341085269</v>
      </c>
      <c r="J290" s="216">
        <f t="shared" si="182"/>
        <v>1.7668870129870131</v>
      </c>
      <c r="K290" s="210">
        <f t="shared" si="182"/>
        <v>3.4043844155844161</v>
      </c>
      <c r="L290" s="210">
        <f t="shared" si="182"/>
        <v>4.7672883116883114</v>
      </c>
      <c r="M290" s="217">
        <f t="shared" si="182"/>
        <v>6.4234753246753256</v>
      </c>
      <c r="N290" s="216">
        <f t="shared" si="183"/>
        <v>2.1334987080103351</v>
      </c>
      <c r="O290" s="210">
        <f t="shared" si="183"/>
        <v>3.3237664082687344</v>
      </c>
      <c r="P290" s="210">
        <f t="shared" si="183"/>
        <v>4.6543958656330746</v>
      </c>
      <c r="Q290" s="218">
        <f t="shared" si="183"/>
        <v>5.7351813953488371</v>
      </c>
      <c r="R290" s="216">
        <f t="shared" si="184"/>
        <v>0.78307337662337673</v>
      </c>
      <c r="S290" s="210">
        <f t="shared" si="184"/>
        <v>2.1458707792207794</v>
      </c>
      <c r="T290" s="210">
        <f t="shared" si="184"/>
        <v>3.8368811688311695</v>
      </c>
      <c r="U290" s="217">
        <f t="shared" si="184"/>
        <v>5.7847538961038971</v>
      </c>
      <c r="V290" s="216">
        <f t="shared" si="185"/>
        <v>1.1072351421188633</v>
      </c>
      <c r="W290" s="210">
        <f t="shared" si="185"/>
        <v>2.1312062015503876</v>
      </c>
      <c r="X290" s="210">
        <f t="shared" si="185"/>
        <v>3.8106604651162792</v>
      </c>
      <c r="Y290" s="218">
        <f t="shared" si="185"/>
        <v>5.1127689922480632</v>
      </c>
      <c r="Z290" s="216">
        <f t="shared" si="186"/>
        <v>4.1488961038961039</v>
      </c>
      <c r="AA290" s="210">
        <f t="shared" si="179"/>
        <v>8.7836980519480523</v>
      </c>
      <c r="AB290" s="210">
        <f t="shared" si="179"/>
        <v>13.132412337662338</v>
      </c>
      <c r="AC290" s="217">
        <f t="shared" si="179"/>
        <v>18.376314935064936</v>
      </c>
      <c r="AD290" s="216">
        <f t="shared" si="179"/>
        <v>5.2972904392764848</v>
      </c>
      <c r="AE290" s="210">
        <f t="shared" si="179"/>
        <v>8.7724702842377269</v>
      </c>
      <c r="AF290" s="210">
        <f t="shared" si="179"/>
        <v>13.111012919896641</v>
      </c>
      <c r="AG290" s="218">
        <f t="shared" si="179"/>
        <v>16.625286821705426</v>
      </c>
      <c r="AH290" s="226">
        <f>AH$281*AA290+(1-AH$281)*Z290</f>
        <v>7.8567376623376628</v>
      </c>
      <c r="AI290" s="227">
        <f t="shared" si="188"/>
        <v>14.181192857142857</v>
      </c>
      <c r="AJ290" s="226">
        <f t="shared" si="189"/>
        <v>8.0774343152454797</v>
      </c>
      <c r="AK290" s="227">
        <f t="shared" si="190"/>
        <v>13.813867700258399</v>
      </c>
      <c r="AL290" s="226">
        <f t="shared" si="191"/>
        <v>11.018965259740259</v>
      </c>
      <c r="AM290" s="227">
        <f t="shared" si="192"/>
        <v>10.945651007751939</v>
      </c>
      <c r="AN290" s="228">
        <f t="shared" si="193"/>
        <v>10.982308133746098</v>
      </c>
    </row>
    <row r="291" spans="1:40" x14ac:dyDescent="0.25">
      <c r="A291" s="164" t="s">
        <v>80</v>
      </c>
      <c r="B291" s="216">
        <f t="shared" si="180"/>
        <v>1.720955684351315</v>
      </c>
      <c r="C291" s="210">
        <f t="shared" si="180"/>
        <v>3.3862911279536339</v>
      </c>
      <c r="D291" s="210">
        <f t="shared" si="180"/>
        <v>4.7964278198840837</v>
      </c>
      <c r="E291" s="217">
        <f t="shared" si="180"/>
        <v>6.7578592510031212</v>
      </c>
      <c r="F291" s="216">
        <f t="shared" si="181"/>
        <v>2.2347366541353382</v>
      </c>
      <c r="G291" s="210">
        <f t="shared" si="181"/>
        <v>3.3839830827067674</v>
      </c>
      <c r="H291" s="210">
        <f t="shared" si="181"/>
        <v>4.7931586466165417</v>
      </c>
      <c r="I291" s="218">
        <f t="shared" si="181"/>
        <v>6.0911695488721804</v>
      </c>
      <c r="J291" s="216">
        <f t="shared" si="182"/>
        <v>1.3970589389210877</v>
      </c>
      <c r="K291" s="210">
        <f t="shared" si="182"/>
        <v>3.2741499777084262</v>
      </c>
      <c r="L291" s="210">
        <f t="shared" si="182"/>
        <v>5.0254395006687469</v>
      </c>
      <c r="M291" s="217">
        <f t="shared" si="182"/>
        <v>7.023366205974142</v>
      </c>
      <c r="N291" s="216">
        <f t="shared" si="183"/>
        <v>1.8930711936090221</v>
      </c>
      <c r="O291" s="210">
        <f t="shared" si="183"/>
        <v>3.2991143796992484</v>
      </c>
      <c r="P291" s="210">
        <f t="shared" si="183"/>
        <v>5.0637569548872179</v>
      </c>
      <c r="Q291" s="218">
        <f t="shared" si="183"/>
        <v>6.4147593045112785</v>
      </c>
      <c r="R291" s="216">
        <f t="shared" si="184"/>
        <v>1.5362358894337946</v>
      </c>
      <c r="S291" s="210">
        <f t="shared" si="184"/>
        <v>3.1066483281319663</v>
      </c>
      <c r="T291" s="210">
        <f t="shared" si="184"/>
        <v>4.3506747213553281</v>
      </c>
      <c r="U291" s="217">
        <f t="shared" si="184"/>
        <v>5.9262136424431571</v>
      </c>
      <c r="V291" s="216">
        <f t="shared" si="185"/>
        <v>1.9128812499999999</v>
      </c>
      <c r="W291" s="210">
        <f t="shared" si="185"/>
        <v>3.0857303571428578</v>
      </c>
      <c r="X291" s="210">
        <f t="shared" si="185"/>
        <v>4.321380357142858</v>
      </c>
      <c r="Y291" s="218">
        <f t="shared" si="185"/>
        <v>5.3737196428571439</v>
      </c>
      <c r="Z291" s="216">
        <f t="shared" si="186"/>
        <v>4.6542505127061968</v>
      </c>
      <c r="AA291" s="210">
        <f t="shared" si="179"/>
        <v>9.7670894337940268</v>
      </c>
      <c r="AB291" s="210">
        <f t="shared" si="179"/>
        <v>14.172542041908159</v>
      </c>
      <c r="AC291" s="217">
        <f t="shared" si="179"/>
        <v>19.707439099420419</v>
      </c>
      <c r="AD291" s="216">
        <f t="shared" si="179"/>
        <v>6.0406890977443606</v>
      </c>
      <c r="AE291" s="210">
        <f t="shared" si="179"/>
        <v>9.7688278195488731</v>
      </c>
      <c r="AF291" s="210">
        <f t="shared" si="179"/>
        <v>14.178295958646618</v>
      </c>
      <c r="AG291" s="218">
        <f t="shared" si="179"/>
        <v>17.879648496240602</v>
      </c>
      <c r="AH291" s="226">
        <f t="shared" si="187"/>
        <v>8.7445216495764608</v>
      </c>
      <c r="AI291" s="227">
        <f t="shared" si="188"/>
        <v>15.279521453410611</v>
      </c>
      <c r="AJ291" s="226">
        <f t="shared" si="189"/>
        <v>9.0232000751879706</v>
      </c>
      <c r="AK291" s="227">
        <f t="shared" si="190"/>
        <v>14.918566466165414</v>
      </c>
      <c r="AL291" s="226">
        <f t="shared" si="191"/>
        <v>12.012021551493536</v>
      </c>
      <c r="AM291" s="227">
        <f t="shared" si="192"/>
        <v>11.970883270676692</v>
      </c>
      <c r="AN291" s="228">
        <f t="shared" si="193"/>
        <v>11.991452411085113</v>
      </c>
    </row>
    <row r="292" spans="1:40" x14ac:dyDescent="0.25">
      <c r="A292" s="164" t="s">
        <v>82</v>
      </c>
      <c r="B292" s="216">
        <f t="shared" si="180"/>
        <v>1.5507468856172142</v>
      </c>
      <c r="C292" s="210">
        <f t="shared" si="180"/>
        <v>2.9011163646659122</v>
      </c>
      <c r="D292" s="210">
        <f t="shared" si="180"/>
        <v>4.6679223669309176</v>
      </c>
      <c r="E292" s="217">
        <f t="shared" si="180"/>
        <v>7.0776784824462071</v>
      </c>
      <c r="F292" s="216">
        <f t="shared" si="181"/>
        <v>2.0085783766645533</v>
      </c>
      <c r="G292" s="210">
        <f t="shared" si="181"/>
        <v>2.9517060875079268</v>
      </c>
      <c r="H292" s="210">
        <f t="shared" si="181"/>
        <v>4.7493216867469874</v>
      </c>
      <c r="I292" s="218">
        <f t="shared" si="181"/>
        <v>6.3678848446417256</v>
      </c>
      <c r="J292" s="216">
        <f t="shared" si="182"/>
        <v>1.5909747451868632</v>
      </c>
      <c r="K292" s="210">
        <f t="shared" si="182"/>
        <v>3.4736544733861834</v>
      </c>
      <c r="L292" s="210">
        <f t="shared" si="182"/>
        <v>4.9684454133635327</v>
      </c>
      <c r="M292" s="217">
        <f t="shared" si="182"/>
        <v>6.6902932049830124</v>
      </c>
      <c r="N292" s="216">
        <f t="shared" si="183"/>
        <v>2.0310370957514268</v>
      </c>
      <c r="O292" s="210">
        <f t="shared" si="183"/>
        <v>3.4025663284717824</v>
      </c>
      <c r="P292" s="210">
        <f t="shared" si="183"/>
        <v>4.8667664552948642</v>
      </c>
      <c r="Q292" s="218">
        <f t="shared" si="183"/>
        <v>6.0019849080532675</v>
      </c>
      <c r="R292" s="216">
        <f t="shared" si="184"/>
        <v>0.86393329558323906</v>
      </c>
      <c r="S292" s="210">
        <f t="shared" si="184"/>
        <v>2.4001882219705553</v>
      </c>
      <c r="T292" s="210">
        <f t="shared" si="184"/>
        <v>3.8087020385050971</v>
      </c>
      <c r="U292" s="217">
        <f t="shared" si="184"/>
        <v>5.4508476217440558</v>
      </c>
      <c r="V292" s="216">
        <f t="shared" si="185"/>
        <v>1.2485549778059604</v>
      </c>
      <c r="W292" s="210">
        <f t="shared" si="185"/>
        <v>2.4028793912492072</v>
      </c>
      <c r="X292" s="210">
        <f t="shared" si="185"/>
        <v>3.8129724793912492</v>
      </c>
      <c r="Y292" s="218">
        <f t="shared" si="185"/>
        <v>4.9235469879518075</v>
      </c>
      <c r="Z292" s="216">
        <f t="shared" si="186"/>
        <v>4.0056549263873169</v>
      </c>
      <c r="AA292" s="210">
        <f t="shared" si="179"/>
        <v>8.7749590600226508</v>
      </c>
      <c r="AB292" s="210">
        <f t="shared" si="179"/>
        <v>13.445069818799546</v>
      </c>
      <c r="AC292" s="217">
        <f t="shared" si="179"/>
        <v>19.218819309173277</v>
      </c>
      <c r="AD292" s="216">
        <f t="shared" si="179"/>
        <v>5.2881704502219398</v>
      </c>
      <c r="AE292" s="210">
        <f t="shared" si="179"/>
        <v>8.757151807228917</v>
      </c>
      <c r="AF292" s="210">
        <f t="shared" si="179"/>
        <v>13.4290606214331</v>
      </c>
      <c r="AG292" s="218">
        <f t="shared" si="179"/>
        <v>17.293416740646798</v>
      </c>
      <c r="AH292" s="226">
        <f t="shared" si="187"/>
        <v>7.8210982332955838</v>
      </c>
      <c r="AI292" s="227">
        <f t="shared" si="188"/>
        <v>14.599819716874292</v>
      </c>
      <c r="AJ292" s="226">
        <f t="shared" si="189"/>
        <v>8.0633555358275224</v>
      </c>
      <c r="AK292" s="227">
        <f t="shared" si="190"/>
        <v>14.201931845275841</v>
      </c>
      <c r="AL292" s="226">
        <f t="shared" si="191"/>
        <v>11.210458975084938</v>
      </c>
      <c r="AM292" s="227">
        <f t="shared" si="192"/>
        <v>11.132643690551681</v>
      </c>
      <c r="AN292" s="228">
        <f t="shared" si="193"/>
        <v>11.171551332818311</v>
      </c>
    </row>
    <row r="293" spans="1:40" ht="15.75" thickBot="1" x14ac:dyDescent="0.3">
      <c r="A293" s="165" t="s">
        <v>83</v>
      </c>
      <c r="B293" s="219">
        <f t="shared" si="180"/>
        <v>0.66142125693160825</v>
      </c>
      <c r="C293" s="220">
        <f t="shared" si="180"/>
        <v>1.8125051756007395</v>
      </c>
      <c r="D293" s="220">
        <f t="shared" si="180"/>
        <v>3.2408134935304989</v>
      </c>
      <c r="E293" s="221">
        <f t="shared" si="180"/>
        <v>4.8860800369685764</v>
      </c>
      <c r="F293" s="219">
        <f t="shared" si="181"/>
        <v>0.92651000714796306</v>
      </c>
      <c r="G293" s="220">
        <f t="shared" si="181"/>
        <v>1.7833464617583989</v>
      </c>
      <c r="H293" s="220">
        <f t="shared" si="181"/>
        <v>3.1886768406004284</v>
      </c>
      <c r="I293" s="222">
        <f t="shared" si="181"/>
        <v>4.2782526090064339</v>
      </c>
      <c r="J293" s="219">
        <f t="shared" si="182"/>
        <v>1.5584480591497232</v>
      </c>
      <c r="K293" s="220">
        <f t="shared" si="182"/>
        <v>3.4026373382624775</v>
      </c>
      <c r="L293" s="220">
        <f t="shared" si="182"/>
        <v>4.866868022181146</v>
      </c>
      <c r="M293" s="221">
        <f t="shared" si="182"/>
        <v>6.5535134935304997</v>
      </c>
      <c r="N293" s="219">
        <f t="shared" si="183"/>
        <v>2.0128241601143668</v>
      </c>
      <c r="O293" s="220">
        <f t="shared" si="183"/>
        <v>3.3720544674767687</v>
      </c>
      <c r="P293" s="220">
        <f t="shared" si="183"/>
        <v>4.8231246604717644</v>
      </c>
      <c r="Q293" s="222">
        <f t="shared" si="183"/>
        <v>5.948163259471051</v>
      </c>
      <c r="R293" s="219">
        <f t="shared" si="184"/>
        <v>1.6447859519408503</v>
      </c>
      <c r="S293" s="220">
        <f t="shared" si="184"/>
        <v>3.4259878003696862</v>
      </c>
      <c r="T293" s="220">
        <f t="shared" si="184"/>
        <v>5.0590809611829952</v>
      </c>
      <c r="U293" s="221">
        <f t="shared" si="184"/>
        <v>7.1969129390018489</v>
      </c>
      <c r="V293" s="219">
        <f t="shared" si="185"/>
        <v>2.1971352823445311</v>
      </c>
      <c r="W293" s="220">
        <f t="shared" si="185"/>
        <v>3.4930040028591853</v>
      </c>
      <c r="X293" s="220">
        <f t="shared" si="185"/>
        <v>5.1580423159399569</v>
      </c>
      <c r="Y293" s="222">
        <f t="shared" si="185"/>
        <v>6.608493352394567</v>
      </c>
      <c r="Z293" s="219">
        <f t="shared" si="186"/>
        <v>3.8646552680221817</v>
      </c>
      <c r="AA293" s="220">
        <f t="shared" si="179"/>
        <v>8.6411303142329032</v>
      </c>
      <c r="AB293" s="220">
        <f t="shared" si="179"/>
        <v>13.16676247689464</v>
      </c>
      <c r="AC293" s="221">
        <f t="shared" si="179"/>
        <v>18.636506469500926</v>
      </c>
      <c r="AD293" s="219">
        <f t="shared" si="179"/>
        <v>5.136469449606861</v>
      </c>
      <c r="AE293" s="220">
        <f t="shared" si="179"/>
        <v>8.648404932094353</v>
      </c>
      <c r="AF293" s="220">
        <f t="shared" si="179"/>
        <v>13.169843817012149</v>
      </c>
      <c r="AG293" s="222">
        <f t="shared" si="179"/>
        <v>16.834909220872053</v>
      </c>
      <c r="AH293" s="229">
        <f t="shared" si="187"/>
        <v>7.6858353049907588</v>
      </c>
      <c r="AI293" s="230">
        <f t="shared" si="188"/>
        <v>14.260711275415897</v>
      </c>
      <c r="AJ293" s="229">
        <f t="shared" si="189"/>
        <v>7.9460178355968552</v>
      </c>
      <c r="AK293" s="230">
        <f t="shared" si="190"/>
        <v>13.90285689778413</v>
      </c>
      <c r="AL293" s="229">
        <f t="shared" si="191"/>
        <v>10.973273290203327</v>
      </c>
      <c r="AM293" s="230">
        <f t="shared" si="192"/>
        <v>10.924437366690492</v>
      </c>
      <c r="AN293" s="231">
        <f t="shared" si="193"/>
        <v>10.948855328446911</v>
      </c>
    </row>
    <row r="295" spans="1:40" ht="15.75" thickBot="1" x14ac:dyDescent="0.3">
      <c r="A295" s="1" t="s">
        <v>261</v>
      </c>
    </row>
    <row r="296" spans="1:40" x14ac:dyDescent="0.25">
      <c r="A296" s="304" t="s">
        <v>86</v>
      </c>
      <c r="B296" s="304" t="s">
        <v>245</v>
      </c>
    </row>
    <row r="297" spans="1:40" x14ac:dyDescent="0.25">
      <c r="A297" s="310"/>
      <c r="B297" s="310"/>
      <c r="C297" t="s">
        <v>262</v>
      </c>
    </row>
    <row r="298" spans="1:40" x14ac:dyDescent="0.25">
      <c r="A298" s="2" t="s">
        <v>84</v>
      </c>
      <c r="B298" s="210">
        <v>12.731814989240803</v>
      </c>
      <c r="C298" s="209">
        <v>12.731999999999999</v>
      </c>
    </row>
    <row r="299" spans="1:40" x14ac:dyDescent="0.25">
      <c r="A299" s="2" t="s">
        <v>74</v>
      </c>
      <c r="B299" s="210">
        <v>12.438739835450894</v>
      </c>
      <c r="C299" s="209">
        <v>12.439</v>
      </c>
    </row>
    <row r="300" spans="1:40" x14ac:dyDescent="0.25">
      <c r="A300" s="2" t="s">
        <v>80</v>
      </c>
      <c r="B300" s="210">
        <v>11.991452411085113</v>
      </c>
      <c r="C300" s="209">
        <v>11.991</v>
      </c>
    </row>
    <row r="301" spans="1:40" x14ac:dyDescent="0.25">
      <c r="A301" s="2" t="s">
        <v>75</v>
      </c>
      <c r="B301" s="210">
        <v>11.932248884169883</v>
      </c>
      <c r="C301" s="209">
        <v>11.932</v>
      </c>
    </row>
    <row r="302" spans="1:40" x14ac:dyDescent="0.25">
      <c r="A302" s="2" t="s">
        <v>77</v>
      </c>
      <c r="B302" s="210">
        <v>11.695827317431355</v>
      </c>
      <c r="C302" s="209">
        <v>11.695</v>
      </c>
    </row>
    <row r="303" spans="1:40" x14ac:dyDescent="0.25">
      <c r="A303" s="2" t="s">
        <v>82</v>
      </c>
      <c r="B303" s="210">
        <v>11.171551332818311</v>
      </c>
      <c r="C303" s="209">
        <v>11.170999999999999</v>
      </c>
    </row>
    <row r="304" spans="1:40" x14ac:dyDescent="0.25">
      <c r="A304" s="2" t="s">
        <v>79</v>
      </c>
      <c r="B304" s="210">
        <v>10.982308133746098</v>
      </c>
      <c r="C304" s="209">
        <v>10.981999999999999</v>
      </c>
    </row>
    <row r="305" spans="1:3" x14ac:dyDescent="0.25">
      <c r="A305" s="2" t="s">
        <v>83</v>
      </c>
      <c r="B305" s="210">
        <v>10.948855328446911</v>
      </c>
      <c r="C305" s="209">
        <v>10.949</v>
      </c>
    </row>
    <row r="306" spans="1:3" x14ac:dyDescent="0.25">
      <c r="A306" s="2" t="s">
        <v>78</v>
      </c>
      <c r="B306" s="210">
        <v>10.642334608359132</v>
      </c>
      <c r="C306" s="209">
        <v>10.643000000000001</v>
      </c>
    </row>
    <row r="307" spans="1:3" x14ac:dyDescent="0.25">
      <c r="A307" s="2" t="s">
        <v>73</v>
      </c>
      <c r="B307" s="210">
        <v>7.0707002297341131</v>
      </c>
      <c r="C307" s="209">
        <v>7.0709999999999997</v>
      </c>
    </row>
    <row r="308" spans="1:3" x14ac:dyDescent="0.25">
      <c r="B308" s="209"/>
      <c r="C308" s="209"/>
    </row>
    <row r="309" spans="1:3" x14ac:dyDescent="0.25">
      <c r="B309" s="209"/>
      <c r="C309" s="209"/>
    </row>
    <row r="310" spans="1:3" ht="30" x14ac:dyDescent="0.25">
      <c r="A310" s="105" t="s">
        <v>282</v>
      </c>
      <c r="B310" s="2" t="s">
        <v>154</v>
      </c>
      <c r="C310" s="2" t="s">
        <v>155</v>
      </c>
    </row>
    <row r="311" spans="1:3" x14ac:dyDescent="0.25">
      <c r="A311" s="102" t="s">
        <v>84</v>
      </c>
      <c r="B311" s="204">
        <f>((AB284-AA284)+(AC284-Z284))/2</f>
        <v>9.4585315677966104</v>
      </c>
      <c r="C311" s="204">
        <f>((AF284-AE284)+(AG284-AD284))/2</f>
        <v>7.8219405222734251</v>
      </c>
    </row>
    <row r="312" spans="1:3" x14ac:dyDescent="0.25">
      <c r="A312" s="102" t="s">
        <v>73</v>
      </c>
      <c r="B312" s="204">
        <f t="shared" ref="B312:B320" si="194">((AB285-AA285)+(AC285-Z285))/2</f>
        <v>9.23009375</v>
      </c>
      <c r="C312" s="204">
        <f t="shared" ref="C312:C320" si="195">((AF285-AE285)+(AG285-AD285))/2</f>
        <v>8.1185556225680955</v>
      </c>
    </row>
    <row r="313" spans="1:3" x14ac:dyDescent="0.25">
      <c r="A313" s="102" t="s">
        <v>74</v>
      </c>
      <c r="B313" s="204">
        <f t="shared" si="194"/>
        <v>10.62778330291971</v>
      </c>
      <c r="C313" s="204">
        <f t="shared" si="195"/>
        <v>8.7515189841498575</v>
      </c>
    </row>
    <row r="314" spans="1:3" x14ac:dyDescent="0.25">
      <c r="A314" s="102" t="s">
        <v>75</v>
      </c>
      <c r="B314" s="204">
        <f t="shared" si="194"/>
        <v>9.7223486486486479</v>
      </c>
      <c r="C314" s="204">
        <f t="shared" si="195"/>
        <v>8.1250259183673474</v>
      </c>
    </row>
    <row r="315" spans="1:3" x14ac:dyDescent="0.25">
      <c r="A315" s="102" t="s">
        <v>77</v>
      </c>
      <c r="B315" s="204">
        <f t="shared" si="194"/>
        <v>10.202832921974522</v>
      </c>
      <c r="C315" s="204">
        <f t="shared" si="195"/>
        <v>8.4649380382775128</v>
      </c>
    </row>
    <row r="316" spans="1:3" x14ac:dyDescent="0.25">
      <c r="A316" s="102" t="s">
        <v>78</v>
      </c>
      <c r="B316" s="204">
        <f t="shared" si="194"/>
        <v>9.090862679425836</v>
      </c>
      <c r="C316" s="204">
        <f t="shared" si="195"/>
        <v>7.7092527941176465</v>
      </c>
    </row>
    <row r="317" spans="1:3" x14ac:dyDescent="0.25">
      <c r="A317" s="102" t="s">
        <v>79</v>
      </c>
      <c r="B317" s="204">
        <f t="shared" si="194"/>
        <v>9.2880665584415603</v>
      </c>
      <c r="C317" s="204">
        <f t="shared" si="195"/>
        <v>7.8332695090439284</v>
      </c>
    </row>
    <row r="318" spans="1:3" x14ac:dyDescent="0.25">
      <c r="A318" s="102" t="s">
        <v>80</v>
      </c>
      <c r="B318" s="204">
        <f t="shared" si="194"/>
        <v>9.7293205974141763</v>
      </c>
      <c r="C318" s="204">
        <f t="shared" si="195"/>
        <v>8.1242137687969933</v>
      </c>
    </row>
    <row r="319" spans="1:3" x14ac:dyDescent="0.25">
      <c r="A319" s="102" t="s">
        <v>82</v>
      </c>
      <c r="B319" s="204">
        <f t="shared" si="194"/>
        <v>9.9416375707814275</v>
      </c>
      <c r="C319" s="204">
        <f t="shared" si="195"/>
        <v>8.3385775523145202</v>
      </c>
    </row>
    <row r="320" spans="1:3" x14ac:dyDescent="0.25">
      <c r="A320" s="102" t="s">
        <v>83</v>
      </c>
      <c r="B320" s="204">
        <f t="shared" si="194"/>
        <v>9.6487416820702414</v>
      </c>
      <c r="C320" s="204">
        <f t="shared" si="195"/>
        <v>8.1099393280914942</v>
      </c>
    </row>
    <row r="322" spans="1:3" x14ac:dyDescent="0.25">
      <c r="A322" s="105" t="s">
        <v>283</v>
      </c>
      <c r="B322" s="2" t="s">
        <v>154</v>
      </c>
      <c r="C322" s="2" t="s">
        <v>155</v>
      </c>
    </row>
    <row r="323" spans="1:3" x14ac:dyDescent="0.25">
      <c r="A323" s="102" t="s">
        <v>84</v>
      </c>
      <c r="B323" s="210">
        <f>AC284-Z284</f>
        <v>14.858670197740114</v>
      </c>
      <c r="C323" s="210">
        <f>AG284-AD284</f>
        <v>11.572041720430107</v>
      </c>
    </row>
    <row r="324" spans="1:3" x14ac:dyDescent="0.25">
      <c r="A324" s="102" t="s">
        <v>73</v>
      </c>
      <c r="B324" s="210">
        <f t="shared" ref="B324:B332" si="196">AC285-Z285</f>
        <v>13.50407638888889</v>
      </c>
      <c r="C324" s="210">
        <f t="shared" ref="C324:C332" si="197">AG285-AD285</f>
        <v>11.282873891050587</v>
      </c>
    </row>
    <row r="325" spans="1:3" x14ac:dyDescent="0.25">
      <c r="A325" s="102" t="s">
        <v>74</v>
      </c>
      <c r="B325" s="210">
        <f t="shared" si="196"/>
        <v>16.330510766423359</v>
      </c>
      <c r="C325" s="210">
        <f t="shared" si="197"/>
        <v>12.582779610951011</v>
      </c>
    </row>
    <row r="326" spans="1:3" x14ac:dyDescent="0.25">
      <c r="A326" s="102" t="s">
        <v>75</v>
      </c>
      <c r="B326" s="210">
        <f t="shared" si="196"/>
        <v>14.980552598752601</v>
      </c>
      <c r="C326" s="210">
        <f t="shared" si="197"/>
        <v>11.793286122448983</v>
      </c>
    </row>
    <row r="327" spans="1:3" x14ac:dyDescent="0.25">
      <c r="A327" s="102" t="s">
        <v>77</v>
      </c>
      <c r="B327" s="210">
        <f t="shared" si="196"/>
        <v>15.65155501592357</v>
      </c>
      <c r="C327" s="210">
        <f t="shared" si="197"/>
        <v>12.182318181818182</v>
      </c>
    </row>
    <row r="328" spans="1:3" x14ac:dyDescent="0.25">
      <c r="A328" s="102" t="s">
        <v>78</v>
      </c>
      <c r="B328" s="210">
        <f t="shared" si="196"/>
        <v>13.885966507177033</v>
      </c>
      <c r="C328" s="210">
        <f t="shared" si="197"/>
        <v>11.13600705882353</v>
      </c>
    </row>
    <row r="329" spans="1:3" x14ac:dyDescent="0.25">
      <c r="A329" s="102" t="s">
        <v>79</v>
      </c>
      <c r="B329" s="210">
        <f t="shared" si="196"/>
        <v>14.227418831168833</v>
      </c>
      <c r="C329" s="210">
        <f t="shared" si="197"/>
        <v>11.327996382428942</v>
      </c>
    </row>
    <row r="330" spans="1:3" x14ac:dyDescent="0.25">
      <c r="A330" s="102" t="s">
        <v>80</v>
      </c>
      <c r="B330" s="210">
        <f t="shared" si="196"/>
        <v>15.053188586714223</v>
      </c>
      <c r="C330" s="210">
        <f t="shared" si="197"/>
        <v>11.838959398496241</v>
      </c>
    </row>
    <row r="331" spans="1:3" x14ac:dyDescent="0.25">
      <c r="A331" s="102" t="s">
        <v>82</v>
      </c>
      <c r="B331" s="210">
        <f t="shared" si="196"/>
        <v>15.21316438278596</v>
      </c>
      <c r="C331" s="210">
        <f t="shared" si="197"/>
        <v>12.005246290424857</v>
      </c>
    </row>
    <row r="332" spans="1:3" x14ac:dyDescent="0.25">
      <c r="A332" s="102" t="s">
        <v>83</v>
      </c>
      <c r="B332" s="210">
        <f t="shared" si="196"/>
        <v>14.771851201478745</v>
      </c>
      <c r="C332" s="210">
        <f t="shared" si="197"/>
        <v>11.698439771265193</v>
      </c>
    </row>
  </sheetData>
  <sortState xmlns:xlrd2="http://schemas.microsoft.com/office/spreadsheetml/2017/richdata2" ref="A298:BU307">
    <sortCondition descending="1" ref="B298:B307"/>
  </sortState>
  <mergeCells count="146">
    <mergeCell ref="A296:A297"/>
    <mergeCell ref="B296:B297"/>
    <mergeCell ref="AH283:AI283"/>
    <mergeCell ref="AJ283:AK283"/>
    <mergeCell ref="A182:I182"/>
    <mergeCell ref="A183:D183"/>
    <mergeCell ref="F183:I183"/>
    <mergeCell ref="A225:I225"/>
    <mergeCell ref="A226:D226"/>
    <mergeCell ref="F226:I226"/>
    <mergeCell ref="A239:I239"/>
    <mergeCell ref="A240:D240"/>
    <mergeCell ref="AH282:AK282"/>
    <mergeCell ref="A282:A283"/>
    <mergeCell ref="N269:Q269"/>
    <mergeCell ref="R269:U269"/>
    <mergeCell ref="V269:Y269"/>
    <mergeCell ref="B268:I268"/>
    <mergeCell ref="J268:Q268"/>
    <mergeCell ref="R268:Y268"/>
    <mergeCell ref="B269:E269"/>
    <mergeCell ref="F269:I269"/>
    <mergeCell ref="J269:M269"/>
    <mergeCell ref="BK115:BN115"/>
    <mergeCell ref="BO115:BP115"/>
    <mergeCell ref="J114:J115"/>
    <mergeCell ref="AL282:AM282"/>
    <mergeCell ref="AN282:AN283"/>
    <mergeCell ref="B283:E283"/>
    <mergeCell ref="F283:I283"/>
    <mergeCell ref="J283:M283"/>
    <mergeCell ref="N283:Q283"/>
    <mergeCell ref="R283:U283"/>
    <mergeCell ref="V283:Y283"/>
    <mergeCell ref="Z283:AC283"/>
    <mergeCell ref="B282:I282"/>
    <mergeCell ref="J282:Q282"/>
    <mergeCell ref="R282:Y282"/>
    <mergeCell ref="Z282:AG282"/>
    <mergeCell ref="AD283:AG283"/>
    <mergeCell ref="F240:I240"/>
    <mergeCell ref="A253:I253"/>
    <mergeCell ref="A254:D254"/>
    <mergeCell ref="F254:I254"/>
    <mergeCell ref="E142:L142"/>
    <mergeCell ref="E148:L148"/>
    <mergeCell ref="A268:A269"/>
    <mergeCell ref="AY114:BF114"/>
    <mergeCell ref="BG114:BN114"/>
    <mergeCell ref="BO114:BR114"/>
    <mergeCell ref="BS114:BT114"/>
    <mergeCell ref="BU114:BU115"/>
    <mergeCell ref="K115:N115"/>
    <mergeCell ref="O115:R115"/>
    <mergeCell ref="S115:V115"/>
    <mergeCell ref="W115:Z115"/>
    <mergeCell ref="AA115:AD115"/>
    <mergeCell ref="K114:R114"/>
    <mergeCell ref="S114:Z114"/>
    <mergeCell ref="AA114:AH114"/>
    <mergeCell ref="AI114:AP114"/>
    <mergeCell ref="AQ114:AX114"/>
    <mergeCell ref="AE115:AH115"/>
    <mergeCell ref="AI115:AL115"/>
    <mergeCell ref="AM115:AP115"/>
    <mergeCell ref="AQ115:AT115"/>
    <mergeCell ref="BQ115:BR115"/>
    <mergeCell ref="AU115:AX115"/>
    <mergeCell ref="AY115:BB115"/>
    <mergeCell ref="BC115:BF115"/>
    <mergeCell ref="BG115:BJ115"/>
    <mergeCell ref="E90:L90"/>
    <mergeCell ref="E96:L96"/>
    <mergeCell ref="A114:A115"/>
    <mergeCell ref="B114:B115"/>
    <mergeCell ref="C114:C115"/>
    <mergeCell ref="D114:F114"/>
    <mergeCell ref="G114:I114"/>
    <mergeCell ref="AM63:AP63"/>
    <mergeCell ref="AQ63:AT63"/>
    <mergeCell ref="BO62:BR62"/>
    <mergeCell ref="BS62:BT62"/>
    <mergeCell ref="BU62:BU63"/>
    <mergeCell ref="K63:N63"/>
    <mergeCell ref="O63:R63"/>
    <mergeCell ref="S63:V63"/>
    <mergeCell ref="W63:Z63"/>
    <mergeCell ref="AA63:AD63"/>
    <mergeCell ref="AE63:AH63"/>
    <mergeCell ref="AI63:AL63"/>
    <mergeCell ref="S62:Z62"/>
    <mergeCell ref="AA62:AH62"/>
    <mergeCell ref="AI62:AP62"/>
    <mergeCell ref="AQ62:AX62"/>
    <mergeCell ref="AY62:BF62"/>
    <mergeCell ref="BG62:BN62"/>
    <mergeCell ref="BK63:BN63"/>
    <mergeCell ref="BO63:BP63"/>
    <mergeCell ref="BQ63:BR63"/>
    <mergeCell ref="AU63:AX63"/>
    <mergeCell ref="AY63:BB63"/>
    <mergeCell ref="BC63:BF63"/>
    <mergeCell ref="BG63:BJ63"/>
    <mergeCell ref="E38:L38"/>
    <mergeCell ref="E44:L44"/>
    <mergeCell ref="A62:A63"/>
    <mergeCell ref="B62:B63"/>
    <mergeCell ref="C62:C63"/>
    <mergeCell ref="D62:F62"/>
    <mergeCell ref="G62:I62"/>
    <mergeCell ref="J62:J63"/>
    <mergeCell ref="K62:R62"/>
    <mergeCell ref="BS10:BT10"/>
    <mergeCell ref="BU10:BU11"/>
    <mergeCell ref="K11:N11"/>
    <mergeCell ref="O11:R11"/>
    <mergeCell ref="S11:V11"/>
    <mergeCell ref="W11:Z11"/>
    <mergeCell ref="AA11:AD11"/>
    <mergeCell ref="K10:R10"/>
    <mergeCell ref="S10:Z10"/>
    <mergeCell ref="AA10:AH10"/>
    <mergeCell ref="AI10:AP10"/>
    <mergeCell ref="AQ10:AX10"/>
    <mergeCell ref="AE11:AH11"/>
    <mergeCell ref="AI11:AL11"/>
    <mergeCell ref="AM11:AP11"/>
    <mergeCell ref="AQ11:AT11"/>
    <mergeCell ref="BQ11:BR11"/>
    <mergeCell ref="AU11:AX11"/>
    <mergeCell ref="AY11:BB11"/>
    <mergeCell ref="BC11:BF11"/>
    <mergeCell ref="BG11:BJ11"/>
    <mergeCell ref="BK11:BN11"/>
    <mergeCell ref="BO11:BP11"/>
    <mergeCell ref="A3:E3"/>
    <mergeCell ref="A10:A11"/>
    <mergeCell ref="B10:B11"/>
    <mergeCell ref="C10:C11"/>
    <mergeCell ref="D10:F10"/>
    <mergeCell ref="G10:I10"/>
    <mergeCell ref="AY10:BF10"/>
    <mergeCell ref="BG10:BN10"/>
    <mergeCell ref="BO10:BR10"/>
    <mergeCell ref="J10:J11"/>
    <mergeCell ref="A5:E5"/>
  </mergeCells>
  <hyperlinks>
    <hyperlink ref="B2" r:id="rId1" xr:uid="{D1547D79-15D5-4891-BB32-66D5ED79B323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6362-297E-4080-BCC7-B2C58A311043}">
  <dimension ref="A1:Q54"/>
  <sheetViews>
    <sheetView topLeftCell="A44" workbookViewId="0">
      <selection activeCell="N51" sqref="N51:Q51"/>
    </sheetView>
  </sheetViews>
  <sheetFormatPr defaultRowHeight="15" x14ac:dyDescent="0.25"/>
  <cols>
    <col min="1" max="1" width="34.5703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8" customWidth="1"/>
    <col min="7" max="9" width="9.140625" customWidth="1"/>
    <col min="10" max="10" width="13.28515625" customWidth="1"/>
    <col min="11" max="11" width="11" customWidth="1"/>
    <col min="12" max="12" width="11.5703125" customWidth="1"/>
    <col min="13" max="13" width="11" customWidth="1"/>
    <col min="14" max="14" width="11.28515625" customWidth="1"/>
    <col min="15" max="15" width="11.7109375" customWidth="1"/>
    <col min="16" max="16" width="9.140625" customWidth="1"/>
    <col min="17" max="17" width="12.5703125" customWidth="1"/>
    <col min="18" max="19" width="9.140625" customWidth="1"/>
    <col min="20" max="20" width="15.7109375" customWidth="1"/>
    <col min="21" max="27" width="9.140625" customWidth="1"/>
    <col min="28" max="28" width="15.7109375" customWidth="1"/>
    <col min="29" max="55" width="9.140625" customWidth="1"/>
    <col min="56" max="56" width="13.140625" customWidth="1"/>
    <col min="57" max="57" width="9.140625" customWidth="1"/>
    <col min="58" max="58" width="12.42578125" customWidth="1"/>
    <col min="59" max="59" width="12" customWidth="1"/>
    <col min="60" max="60" width="15.5703125" customWidth="1"/>
    <col min="61" max="61" width="15" customWidth="1"/>
  </cols>
  <sheetData>
    <row r="1" spans="1:5" ht="31.5" x14ac:dyDescent="0.25">
      <c r="A1" s="232" t="s">
        <v>263</v>
      </c>
      <c r="B1" s="233" t="s">
        <v>268</v>
      </c>
      <c r="C1" s="99"/>
    </row>
    <row r="2" spans="1:5" x14ac:dyDescent="0.25">
      <c r="A2" s="274" t="s">
        <v>267</v>
      </c>
      <c r="B2" s="275"/>
      <c r="C2" s="275"/>
      <c r="D2" s="276"/>
      <c r="E2" s="276"/>
    </row>
    <row r="3" spans="1:5" ht="15.75" x14ac:dyDescent="0.25">
      <c r="A3" s="146"/>
      <c r="B3" s="99"/>
      <c r="C3" s="99"/>
    </row>
    <row r="4" spans="1:5" x14ac:dyDescent="0.25">
      <c r="A4" s="1" t="s">
        <v>271</v>
      </c>
      <c r="B4" s="99"/>
      <c r="C4" s="99"/>
    </row>
    <row r="5" spans="1:5" ht="15.75" x14ac:dyDescent="0.25">
      <c r="A5" s="234">
        <v>1</v>
      </c>
      <c r="B5" s="102">
        <v>2</v>
      </c>
      <c r="C5" s="102">
        <v>3</v>
      </c>
      <c r="D5" s="2">
        <v>4</v>
      </c>
    </row>
    <row r="6" spans="1:5" ht="15.75" x14ac:dyDescent="0.25">
      <c r="A6" s="234">
        <v>4</v>
      </c>
      <c r="B6" s="102">
        <v>5</v>
      </c>
      <c r="C6" s="102">
        <v>6</v>
      </c>
      <c r="D6" s="2">
        <v>7</v>
      </c>
    </row>
    <row r="7" spans="1:5" ht="15.75" x14ac:dyDescent="0.25">
      <c r="A7" s="234">
        <v>7</v>
      </c>
      <c r="B7" s="102">
        <v>8</v>
      </c>
      <c r="C7" s="102">
        <v>9</v>
      </c>
      <c r="D7" s="2">
        <v>10</v>
      </c>
    </row>
    <row r="8" spans="1:5" ht="15.75" x14ac:dyDescent="0.25">
      <c r="A8" s="146"/>
      <c r="B8" s="99"/>
      <c r="C8" s="99"/>
    </row>
    <row r="10" spans="1:5" x14ac:dyDescent="0.25">
      <c r="A10" s="1" t="s">
        <v>272</v>
      </c>
    </row>
    <row r="11" spans="1:5" ht="15.75" thickBot="1" x14ac:dyDescent="0.3">
      <c r="A11" s="1" t="s">
        <v>208</v>
      </c>
    </row>
    <row r="12" spans="1:5" ht="15" customHeight="1" thickBot="1" x14ac:dyDescent="0.3">
      <c r="A12" s="178" t="s">
        <v>175</v>
      </c>
      <c r="B12" s="114" t="s">
        <v>224</v>
      </c>
      <c r="C12" s="198" t="s">
        <v>225</v>
      </c>
    </row>
    <row r="13" spans="1:5" x14ac:dyDescent="0.25">
      <c r="A13" s="191" t="s">
        <v>176</v>
      </c>
      <c r="B13" s="26">
        <v>0.4</v>
      </c>
      <c r="C13" s="199">
        <f>B13/B$16</f>
        <v>0.4</v>
      </c>
    </row>
    <row r="14" spans="1:5" x14ac:dyDescent="0.25">
      <c r="A14" s="27" t="s">
        <v>177</v>
      </c>
      <c r="B14" s="27">
        <v>0.4</v>
      </c>
      <c r="C14" s="161">
        <f t="shared" ref="C14:C15" si="0">B14/B$16</f>
        <v>0.4</v>
      </c>
    </row>
    <row r="15" spans="1:5" ht="15.75" thickBot="1" x14ac:dyDescent="0.3">
      <c r="A15" s="195" t="s">
        <v>207</v>
      </c>
      <c r="B15" s="195">
        <v>0.2</v>
      </c>
      <c r="C15" s="162">
        <f t="shared" si="0"/>
        <v>0.2</v>
      </c>
    </row>
    <row r="16" spans="1:5" ht="15.75" thickBot="1" x14ac:dyDescent="0.3">
      <c r="A16" s="29" t="s">
        <v>223</v>
      </c>
      <c r="B16" s="196">
        <f>SUM(B13:B15)</f>
        <v>1</v>
      </c>
      <c r="C16" s="197">
        <f>SUM(C13:C15)</f>
        <v>1</v>
      </c>
    </row>
    <row r="18" spans="1:5" ht="15.75" thickBot="1" x14ac:dyDescent="0.3">
      <c r="A18" s="1" t="s">
        <v>273</v>
      </c>
    </row>
    <row r="19" spans="1:5" ht="15.75" thickBot="1" x14ac:dyDescent="0.3">
      <c r="A19" s="237" t="s">
        <v>252</v>
      </c>
      <c r="B19" s="238" t="s">
        <v>249</v>
      </c>
      <c r="C19" s="238" t="s">
        <v>301</v>
      </c>
    </row>
    <row r="20" spans="1:5" ht="30" x14ac:dyDescent="0.25">
      <c r="A20" s="235" t="s">
        <v>274</v>
      </c>
      <c r="B20" s="174">
        <v>0.9</v>
      </c>
      <c r="C20" s="174">
        <f>B20/(B20+B21)</f>
        <v>0.6</v>
      </c>
    </row>
    <row r="21" spans="1:5" ht="30" x14ac:dyDescent="0.25">
      <c r="A21" s="239" t="s">
        <v>275</v>
      </c>
      <c r="B21" s="10">
        <v>0.6</v>
      </c>
      <c r="C21" s="10">
        <f>B21/(B20+B21)</f>
        <v>0.39999999999999997</v>
      </c>
    </row>
    <row r="22" spans="1:5" ht="30.75" thickBot="1" x14ac:dyDescent="0.3">
      <c r="A22" s="236" t="s">
        <v>276</v>
      </c>
      <c r="B22" s="124">
        <f>D7</f>
        <v>10</v>
      </c>
      <c r="C22" s="124"/>
    </row>
    <row r="24" spans="1:5" x14ac:dyDescent="0.25">
      <c r="A24" s="1" t="s">
        <v>277</v>
      </c>
    </row>
    <row r="25" spans="1:5" x14ac:dyDescent="0.25">
      <c r="A25" s="2">
        <f>A5/$B$22</f>
        <v>0.1</v>
      </c>
      <c r="B25" s="2">
        <f t="shared" ref="B25:C25" si="1">B5/$B$22</f>
        <v>0.2</v>
      </c>
      <c r="C25" s="2">
        <f t="shared" si="1"/>
        <v>0.3</v>
      </c>
      <c r="D25" s="2">
        <f t="shared" ref="D25" si="2">D5/$B$22</f>
        <v>0.4</v>
      </c>
    </row>
    <row r="26" spans="1:5" x14ac:dyDescent="0.25">
      <c r="A26" s="2">
        <f t="shared" ref="A26:C26" si="3">A6/$B$22</f>
        <v>0.4</v>
      </c>
      <c r="B26" s="2">
        <f t="shared" si="3"/>
        <v>0.5</v>
      </c>
      <c r="C26" s="2">
        <f t="shared" si="3"/>
        <v>0.6</v>
      </c>
      <c r="D26" s="2">
        <f t="shared" ref="D26" si="4">D6/$B$22</f>
        <v>0.7</v>
      </c>
    </row>
    <row r="27" spans="1:5" x14ac:dyDescent="0.25">
      <c r="A27" s="2">
        <f t="shared" ref="A27:C27" si="5">A7/$B$22</f>
        <v>0.7</v>
      </c>
      <c r="B27" s="2">
        <f t="shared" si="5"/>
        <v>0.8</v>
      </c>
      <c r="C27" s="2">
        <f t="shared" si="5"/>
        <v>0.9</v>
      </c>
      <c r="D27" s="2">
        <f t="shared" ref="D27" si="6">D7/$B$22</f>
        <v>1</v>
      </c>
    </row>
    <row r="30" spans="1:5" x14ac:dyDescent="0.25">
      <c r="A30" s="311" t="s">
        <v>230</v>
      </c>
      <c r="B30" s="312"/>
      <c r="C30" s="312"/>
      <c r="D30" s="312"/>
      <c r="E30" s="312"/>
    </row>
    <row r="31" spans="1:5" x14ac:dyDescent="0.25">
      <c r="A31" s="203" t="s">
        <v>84</v>
      </c>
      <c r="B31" s="2">
        <f>1-(ABS(A25-A25)+ABS(B25-B25)+ABS(C25-C25)+ABS(D25-D25))/4</f>
        <v>1</v>
      </c>
      <c r="C31" s="2">
        <f>1-(ABS(A25-A26)+ABS(B25-B26)+ABS(C25-C26)+ABS(D25-D26))/4</f>
        <v>0.7</v>
      </c>
      <c r="D31" s="2">
        <f>1-(ABS(A25-A27)+ABS(B25-B27)+ABS(C25-C27)+ABS(D25-D27))/4</f>
        <v>0.39999999999999991</v>
      </c>
    </row>
    <row r="32" spans="1:5" x14ac:dyDescent="0.25">
      <c r="B32" s="2">
        <f>1-(ABS(A26-A25)+ABS(B26-B25)+ABS(C26-C25)+ABS(D26-D25))/4</f>
        <v>0.7</v>
      </c>
      <c r="C32" s="2">
        <f>1-(ABS(A26-A26)+ABS(B26-B26)+ABS(C26-C26)+ABS(D26-D26))/4</f>
        <v>1</v>
      </c>
      <c r="D32" s="2">
        <f>1-(ABS(A26-A27)+ABS(B26-B27)+ABS(C26-C27)+ABS(D26-D27))/4</f>
        <v>0.7</v>
      </c>
    </row>
    <row r="33" spans="1:5" x14ac:dyDescent="0.25">
      <c r="B33" s="2">
        <f>1-(ABS(A27-A25)+ABS(B27-B25)+ABS(C27-C25)+ABS(D27-D25))/4</f>
        <v>0.39999999999999991</v>
      </c>
      <c r="C33" s="2">
        <f>1-(ABS(A27-A26)+ABS(B27-B26)+ABS(C27-C26)+ABS(D27-D26))/4</f>
        <v>0.7</v>
      </c>
      <c r="D33" s="2">
        <f>1-(ABS(A27-A27)+ABS(B27-B27)+ABS(C27-C27)+ABS(D27-D27))/4</f>
        <v>1</v>
      </c>
    </row>
    <row r="36" spans="1:5" x14ac:dyDescent="0.25">
      <c r="A36" s="311" t="s">
        <v>233</v>
      </c>
      <c r="B36" s="312"/>
      <c r="C36" s="312"/>
      <c r="D36" s="312"/>
      <c r="E36" s="312"/>
    </row>
    <row r="37" spans="1:5" x14ac:dyDescent="0.25">
      <c r="A37" s="308"/>
      <c r="B37" s="276"/>
      <c r="C37" s="276"/>
      <c r="D37" s="276"/>
    </row>
    <row r="38" spans="1:5" s="213" customFormat="1" x14ac:dyDescent="0.25">
      <c r="A38" s="214" t="s">
        <v>182</v>
      </c>
      <c r="B38" s="214" t="s">
        <v>176</v>
      </c>
      <c r="C38" s="214" t="s">
        <v>177</v>
      </c>
      <c r="D38" s="214" t="s">
        <v>207</v>
      </c>
    </row>
    <row r="39" spans="1:5" x14ac:dyDescent="0.25">
      <c r="A39" s="2" t="s">
        <v>84</v>
      </c>
      <c r="B39" s="2">
        <f>(C31+D31)/2</f>
        <v>0.54999999999999993</v>
      </c>
      <c r="C39" s="2">
        <f>(B32+D32)/2</f>
        <v>0.7</v>
      </c>
      <c r="D39" s="2">
        <f>(B33+C33)/2</f>
        <v>0.54999999999999993</v>
      </c>
    </row>
    <row r="41" spans="1:5" x14ac:dyDescent="0.25">
      <c r="A41" s="311" t="s">
        <v>278</v>
      </c>
      <c r="B41" s="311"/>
      <c r="C41" s="311"/>
      <c r="D41" s="311"/>
      <c r="E41" s="311"/>
    </row>
    <row r="42" spans="1:5" x14ac:dyDescent="0.25">
      <c r="A42" s="214" t="s">
        <v>182</v>
      </c>
      <c r="B42" s="3" t="s">
        <v>176</v>
      </c>
      <c r="C42" s="3" t="s">
        <v>177</v>
      </c>
      <c r="D42" s="3" t="s">
        <v>207</v>
      </c>
    </row>
    <row r="43" spans="1:5" x14ac:dyDescent="0.25">
      <c r="A43" s="2" t="s">
        <v>84</v>
      </c>
      <c r="B43" s="255">
        <f>B39/SUM($B39:$D39)</f>
        <v>0.30555555555555552</v>
      </c>
      <c r="C43" s="255">
        <f>C39/SUM($B39:$D39)</f>
        <v>0.3888888888888889</v>
      </c>
      <c r="D43" s="255">
        <f>D39/SUM($B39:$D39)</f>
        <v>0.30555555555555552</v>
      </c>
    </row>
    <row r="44" spans="1:5" x14ac:dyDescent="0.25">
      <c r="A44" s="203"/>
    </row>
    <row r="45" spans="1:5" x14ac:dyDescent="0.25">
      <c r="A45" s="311" t="s">
        <v>279</v>
      </c>
      <c r="B45" s="312"/>
      <c r="C45" s="312"/>
      <c r="D45" s="312"/>
      <c r="E45" s="312"/>
    </row>
    <row r="46" spans="1:5" x14ac:dyDescent="0.25">
      <c r="A46" s="214" t="s">
        <v>182</v>
      </c>
      <c r="B46" s="3" t="s">
        <v>176</v>
      </c>
      <c r="C46" s="3" t="s">
        <v>177</v>
      </c>
      <c r="D46" s="3" t="s">
        <v>207</v>
      </c>
    </row>
    <row r="47" spans="1:5" x14ac:dyDescent="0.25">
      <c r="A47" s="2" t="s">
        <v>84</v>
      </c>
      <c r="B47" s="255">
        <f>$C$20*C13+$C$21*B43</f>
        <v>0.36222222222222222</v>
      </c>
      <c r="C47" s="255">
        <f>$C$20*C14+$C$21*C43</f>
        <v>0.39555555555555555</v>
      </c>
      <c r="D47" s="255">
        <f>$C$20*C15+$C$21*D43</f>
        <v>0.2422222222222222</v>
      </c>
    </row>
    <row r="49" spans="1:17" ht="15.75" thickBot="1" x14ac:dyDescent="0.3">
      <c r="A49" s="1" t="s">
        <v>280</v>
      </c>
    </row>
    <row r="50" spans="1:17" ht="30.75" customHeight="1" thickBot="1" x14ac:dyDescent="0.3">
      <c r="A50" s="170" t="s">
        <v>86</v>
      </c>
      <c r="B50" s="315" t="s">
        <v>284</v>
      </c>
      <c r="C50" s="316"/>
      <c r="D50" s="316"/>
      <c r="E50" s="316"/>
      <c r="F50" s="303" t="s">
        <v>285</v>
      </c>
      <c r="G50" s="306"/>
      <c r="H50" s="306"/>
      <c r="I50" s="306"/>
      <c r="J50" s="303" t="s">
        <v>286</v>
      </c>
      <c r="K50" s="306"/>
      <c r="L50" s="306"/>
      <c r="M50" s="307"/>
      <c r="N50" s="300" t="s">
        <v>281</v>
      </c>
      <c r="O50" s="313"/>
      <c r="P50" s="313"/>
      <c r="Q50" s="314"/>
    </row>
    <row r="51" spans="1:17" ht="15.75" thickBot="1" x14ac:dyDescent="0.3">
      <c r="A51" s="240" t="s">
        <v>84</v>
      </c>
      <c r="B51" s="241">
        <f>$B47*A5</f>
        <v>0.36222222222222222</v>
      </c>
      <c r="C51" s="242">
        <f t="shared" ref="C51:E51" si="7">$B47*B5</f>
        <v>0.72444444444444445</v>
      </c>
      <c r="D51" s="242">
        <f t="shared" si="7"/>
        <v>1.0866666666666667</v>
      </c>
      <c r="E51" s="243">
        <f t="shared" si="7"/>
        <v>1.4488888888888889</v>
      </c>
      <c r="F51" s="244">
        <f>$C47*A6</f>
        <v>1.5822222222222222</v>
      </c>
      <c r="G51" s="244">
        <f t="shared" ref="G51:I51" si="8">$C47*B6</f>
        <v>1.9777777777777779</v>
      </c>
      <c r="H51" s="244">
        <f t="shared" si="8"/>
        <v>2.3733333333333331</v>
      </c>
      <c r="I51" s="244">
        <f t="shared" si="8"/>
        <v>2.7688888888888887</v>
      </c>
      <c r="J51" s="244">
        <f>$D47*A7</f>
        <v>1.6955555555555555</v>
      </c>
      <c r="K51" s="244">
        <f t="shared" ref="K51:M51" si="9">$D47*B7</f>
        <v>1.9377777777777776</v>
      </c>
      <c r="L51" s="244">
        <f t="shared" si="9"/>
        <v>2.1799999999999997</v>
      </c>
      <c r="M51" s="244">
        <f t="shared" si="9"/>
        <v>2.4222222222222221</v>
      </c>
      <c r="N51" s="241">
        <f>B51+F51+J51</f>
        <v>3.6399999999999997</v>
      </c>
      <c r="O51" s="244">
        <f t="shared" ref="O51:Q51" si="10">C51+G51+K51</f>
        <v>4.6399999999999997</v>
      </c>
      <c r="P51" s="244">
        <f t="shared" si="10"/>
        <v>5.64</v>
      </c>
      <c r="Q51" s="245">
        <f t="shared" si="10"/>
        <v>6.6400000000000006</v>
      </c>
    </row>
    <row r="53" spans="1:17" ht="30" x14ac:dyDescent="0.25">
      <c r="A53" s="105" t="s">
        <v>282</v>
      </c>
      <c r="B53" s="246">
        <f>((P51-O51)+(Q51-N51))/2</f>
        <v>2.0000000000000004</v>
      </c>
    </row>
    <row r="54" spans="1:17" x14ac:dyDescent="0.25">
      <c r="A54" s="105" t="s">
        <v>283</v>
      </c>
      <c r="B54" s="246">
        <f>Q51-N51</f>
        <v>3.0000000000000009</v>
      </c>
    </row>
  </sheetData>
  <mergeCells count="10">
    <mergeCell ref="A30:E30"/>
    <mergeCell ref="A36:E36"/>
    <mergeCell ref="A37:D37"/>
    <mergeCell ref="A2:E2"/>
    <mergeCell ref="N50:Q50"/>
    <mergeCell ref="B50:E50"/>
    <mergeCell ref="F50:I50"/>
    <mergeCell ref="J50:M50"/>
    <mergeCell ref="A41:E41"/>
    <mergeCell ref="A45:E45"/>
  </mergeCells>
  <hyperlinks>
    <hyperlink ref="B1" r:id="rId1" xr:uid="{295BD4BD-BCA7-4424-A554-858C8F5A909A}"/>
  </hyperlinks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7ECC-129A-4141-BD51-E7450FF1E685}">
  <dimension ref="A1:BU355"/>
  <sheetViews>
    <sheetView topLeftCell="A313" workbookViewId="0">
      <selection activeCell="D325" sqref="D325"/>
    </sheetView>
  </sheetViews>
  <sheetFormatPr defaultRowHeight="15" x14ac:dyDescent="0.25"/>
  <cols>
    <col min="1" max="1" width="33.42578125" customWidth="1"/>
    <col min="2" max="2" width="41.7109375" customWidth="1"/>
    <col min="3" max="3" width="44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95</v>
      </c>
      <c r="B1" s="98"/>
      <c r="C1" s="98"/>
    </row>
    <row r="2" spans="1:73" x14ac:dyDescent="0.25">
      <c r="A2" s="1" t="s">
        <v>266</v>
      </c>
      <c r="B2" s="101" t="s">
        <v>97</v>
      </c>
      <c r="C2" s="98"/>
    </row>
    <row r="3" spans="1:73" ht="30" customHeight="1" x14ac:dyDescent="0.25">
      <c r="A3" s="274" t="s">
        <v>98</v>
      </c>
      <c r="B3" s="275"/>
      <c r="C3" s="275"/>
      <c r="D3" s="276"/>
      <c r="E3" s="276"/>
    </row>
    <row r="4" spans="1:73" ht="31.5" x14ac:dyDescent="0.25">
      <c r="A4" s="232" t="s">
        <v>263</v>
      </c>
      <c r="B4" s="233" t="s">
        <v>268</v>
      </c>
      <c r="C4" s="99"/>
    </row>
    <row r="5" spans="1:73" x14ac:dyDescent="0.25">
      <c r="A5" s="274" t="s">
        <v>267</v>
      </c>
      <c r="B5" s="275"/>
      <c r="C5" s="275"/>
      <c r="D5" s="276"/>
      <c r="E5" s="276"/>
    </row>
    <row r="6" spans="1:73" ht="15.75" x14ac:dyDescent="0.25">
      <c r="A6" s="146"/>
      <c r="B6" s="99"/>
      <c r="C6" s="99"/>
    </row>
    <row r="7" spans="1:73" ht="18.75" x14ac:dyDescent="0.3">
      <c r="A7" s="149" t="s">
        <v>160</v>
      </c>
      <c r="B7" s="99"/>
      <c r="C7" s="99"/>
    </row>
    <row r="8" spans="1:73" x14ac:dyDescent="0.25">
      <c r="A8" s="1" t="s">
        <v>110</v>
      </c>
      <c r="B8" s="99"/>
      <c r="C8" s="99"/>
    </row>
    <row r="9" spans="1:73" ht="15.75" thickBot="1" x14ac:dyDescent="0.3">
      <c r="A9" s="100" t="s">
        <v>163</v>
      </c>
      <c r="B9" s="99"/>
      <c r="C9" s="99"/>
      <c r="BO9">
        <v>0.8</v>
      </c>
    </row>
    <row r="10" spans="1:73" ht="86.25" customHeight="1" thickBot="1" x14ac:dyDescent="0.3">
      <c r="A10" s="273" t="s">
        <v>85</v>
      </c>
      <c r="B10" s="273" t="s">
        <v>86</v>
      </c>
      <c r="C10" s="277" t="s">
        <v>87</v>
      </c>
      <c r="D10" s="278" t="s">
        <v>127</v>
      </c>
      <c r="E10" s="279"/>
      <c r="F10" s="279"/>
      <c r="G10" s="279" t="s">
        <v>128</v>
      </c>
      <c r="H10" s="279"/>
      <c r="I10" s="279"/>
      <c r="J10" s="286" t="s">
        <v>157</v>
      </c>
      <c r="K10" s="280" t="s">
        <v>150</v>
      </c>
      <c r="L10" s="281"/>
      <c r="M10" s="281"/>
      <c r="N10" s="281"/>
      <c r="O10" s="281"/>
      <c r="P10" s="281"/>
      <c r="Q10" s="281"/>
      <c r="R10" s="282"/>
      <c r="S10" s="280" t="s">
        <v>148</v>
      </c>
      <c r="T10" s="281"/>
      <c r="U10" s="281"/>
      <c r="V10" s="281"/>
      <c r="W10" s="281"/>
      <c r="X10" s="281"/>
      <c r="Y10" s="281"/>
      <c r="Z10" s="282"/>
      <c r="AA10" s="280" t="s">
        <v>149</v>
      </c>
      <c r="AB10" s="281"/>
      <c r="AC10" s="281"/>
      <c r="AD10" s="281"/>
      <c r="AE10" s="281"/>
      <c r="AF10" s="281"/>
      <c r="AG10" s="281"/>
      <c r="AH10" s="282"/>
      <c r="AI10" s="280" t="s">
        <v>147</v>
      </c>
      <c r="AJ10" s="281"/>
      <c r="AK10" s="281"/>
      <c r="AL10" s="281"/>
      <c r="AM10" s="281"/>
      <c r="AN10" s="281"/>
      <c r="AO10" s="281"/>
      <c r="AP10" s="282"/>
      <c r="AQ10" s="280" t="s">
        <v>158</v>
      </c>
      <c r="AR10" s="281"/>
      <c r="AS10" s="281"/>
      <c r="AT10" s="281"/>
      <c r="AU10" s="281"/>
      <c r="AV10" s="281"/>
      <c r="AW10" s="281"/>
      <c r="AX10" s="282"/>
      <c r="AY10" s="280" t="s">
        <v>159</v>
      </c>
      <c r="AZ10" s="281"/>
      <c r="BA10" s="281"/>
      <c r="BB10" s="281"/>
      <c r="BC10" s="281"/>
      <c r="BD10" s="281"/>
      <c r="BE10" s="281"/>
      <c r="BF10" s="282"/>
      <c r="BG10" s="280" t="s">
        <v>205</v>
      </c>
      <c r="BH10" s="281"/>
      <c r="BI10" s="281"/>
      <c r="BJ10" s="281"/>
      <c r="BK10" s="281"/>
      <c r="BL10" s="281"/>
      <c r="BM10" s="281"/>
      <c r="BN10" s="282"/>
      <c r="BO10" s="292" t="s">
        <v>151</v>
      </c>
      <c r="BP10" s="293"/>
      <c r="BQ10" s="293"/>
      <c r="BR10" s="294"/>
      <c r="BS10" s="288" t="s">
        <v>153</v>
      </c>
      <c r="BT10" s="289"/>
      <c r="BU10" s="290" t="s">
        <v>156</v>
      </c>
    </row>
    <row r="11" spans="1:73" s="97" customFormat="1" ht="23.25" customHeight="1" thickBot="1" x14ac:dyDescent="0.3">
      <c r="A11" s="273"/>
      <c r="B11" s="273"/>
      <c r="C11" s="277"/>
      <c r="D11" s="122" t="s">
        <v>114</v>
      </c>
      <c r="E11" s="107" t="s">
        <v>115</v>
      </c>
      <c r="F11" s="107" t="s">
        <v>116</v>
      </c>
      <c r="G11" s="107" t="s">
        <v>114</v>
      </c>
      <c r="H11" s="107" t="s">
        <v>115</v>
      </c>
      <c r="I11" s="107" t="s">
        <v>116</v>
      </c>
      <c r="J11" s="287"/>
      <c r="K11" s="280" t="s">
        <v>17</v>
      </c>
      <c r="L11" s="281"/>
      <c r="M11" s="281"/>
      <c r="N11" s="282"/>
      <c r="O11" s="280" t="s">
        <v>18</v>
      </c>
      <c r="P11" s="281"/>
      <c r="Q11" s="281"/>
      <c r="R11" s="282"/>
      <c r="S11" s="280" t="s">
        <v>17</v>
      </c>
      <c r="T11" s="281"/>
      <c r="U11" s="281"/>
      <c r="V11" s="282"/>
      <c r="W11" s="280" t="s">
        <v>18</v>
      </c>
      <c r="X11" s="281"/>
      <c r="Y11" s="281"/>
      <c r="Z11" s="282"/>
      <c r="AA11" s="280" t="s">
        <v>17</v>
      </c>
      <c r="AB11" s="281"/>
      <c r="AC11" s="281"/>
      <c r="AD11" s="282"/>
      <c r="AE11" s="280" t="s">
        <v>18</v>
      </c>
      <c r="AF11" s="281"/>
      <c r="AG11" s="281"/>
      <c r="AH11" s="282"/>
      <c r="AI11" s="280" t="s">
        <v>17</v>
      </c>
      <c r="AJ11" s="281"/>
      <c r="AK11" s="281"/>
      <c r="AL11" s="282"/>
      <c r="AM11" s="280" t="s">
        <v>18</v>
      </c>
      <c r="AN11" s="281"/>
      <c r="AO11" s="281"/>
      <c r="AP11" s="282"/>
      <c r="AQ11" s="280" t="s">
        <v>17</v>
      </c>
      <c r="AR11" s="281"/>
      <c r="AS11" s="281"/>
      <c r="AT11" s="282"/>
      <c r="AU11" s="280" t="s">
        <v>18</v>
      </c>
      <c r="AV11" s="281"/>
      <c r="AW11" s="281"/>
      <c r="AX11" s="282"/>
      <c r="AY11" s="280" t="s">
        <v>17</v>
      </c>
      <c r="AZ11" s="281"/>
      <c r="BA11" s="281"/>
      <c r="BB11" s="282"/>
      <c r="BC11" s="280" t="s">
        <v>18</v>
      </c>
      <c r="BD11" s="281"/>
      <c r="BE11" s="281"/>
      <c r="BF11" s="282"/>
      <c r="BG11" s="280" t="s">
        <v>17</v>
      </c>
      <c r="BH11" s="281"/>
      <c r="BI11" s="281"/>
      <c r="BJ11" s="282"/>
      <c r="BK11" s="280" t="s">
        <v>18</v>
      </c>
      <c r="BL11" s="281"/>
      <c r="BM11" s="281"/>
      <c r="BN11" s="282"/>
      <c r="BO11" s="295" t="s">
        <v>152</v>
      </c>
      <c r="BP11" s="296"/>
      <c r="BQ11" s="295" t="s">
        <v>26</v>
      </c>
      <c r="BR11" s="297"/>
      <c r="BS11" s="145" t="s">
        <v>154</v>
      </c>
      <c r="BT11" s="145" t="s">
        <v>155</v>
      </c>
      <c r="BU11" s="291"/>
    </row>
    <row r="12" spans="1:73" ht="30" x14ac:dyDescent="0.25">
      <c r="A12" s="102" t="s">
        <v>8</v>
      </c>
      <c r="B12" s="102" t="s">
        <v>84</v>
      </c>
      <c r="C12" s="121" t="s">
        <v>72</v>
      </c>
      <c r="D12" s="155" t="s">
        <v>104</v>
      </c>
      <c r="E12" s="156" t="s">
        <v>105</v>
      </c>
      <c r="F12" s="156" t="s">
        <v>104</v>
      </c>
      <c r="G12" s="110">
        <f>IF(D12=$A$25,$B$25,(IF(D12=$A$26,$B$26,IF(D12=$A$27,$B$27,$B$28))))</f>
        <v>1</v>
      </c>
      <c r="H12" s="110">
        <f t="shared" ref="G12:I21" si="0">IF(E12=$A$25,$B$25,(IF(E12=$A$26,$B$26,IF(E12=$A$27,$B$27,$B$28))))</f>
        <v>0.66</v>
      </c>
      <c r="I12" s="110">
        <f t="shared" si="0"/>
        <v>1</v>
      </c>
      <c r="J12" s="147">
        <f>G12*$D$39+H12*$D$40+I12*$D$41</f>
        <v>14.15</v>
      </c>
      <c r="K12" s="81">
        <v>0.77</v>
      </c>
      <c r="L12" s="83">
        <v>1</v>
      </c>
      <c r="M12" s="83">
        <v>1</v>
      </c>
      <c r="N12" s="84">
        <v>1</v>
      </c>
      <c r="O12" s="81">
        <v>0.83</v>
      </c>
      <c r="P12" s="83">
        <v>1</v>
      </c>
      <c r="Q12" s="83">
        <v>1</v>
      </c>
      <c r="R12" s="84">
        <v>1</v>
      </c>
      <c r="S12" s="81">
        <v>0.44000000000000006</v>
      </c>
      <c r="T12" s="83">
        <v>0.55000000000000004</v>
      </c>
      <c r="U12" s="83">
        <v>0.77</v>
      </c>
      <c r="V12" s="84">
        <v>1</v>
      </c>
      <c r="W12" s="81">
        <v>0.47000000000000003</v>
      </c>
      <c r="X12" s="83">
        <v>0.55000000000000004</v>
      </c>
      <c r="Y12" s="83">
        <v>0.77</v>
      </c>
      <c r="Z12" s="84">
        <v>0.92</v>
      </c>
      <c r="AA12" s="81">
        <v>0.77</v>
      </c>
      <c r="AB12" s="83">
        <v>1</v>
      </c>
      <c r="AC12" s="83">
        <v>1</v>
      </c>
      <c r="AD12" s="84">
        <v>1</v>
      </c>
      <c r="AE12" s="81">
        <v>0.83</v>
      </c>
      <c r="AF12" s="83">
        <v>1</v>
      </c>
      <c r="AG12" s="83">
        <v>1</v>
      </c>
      <c r="AH12" s="84">
        <v>1</v>
      </c>
      <c r="AI12" s="81">
        <v>3.8900000000000006</v>
      </c>
      <c r="AJ12" s="83">
        <v>7</v>
      </c>
      <c r="AK12" s="83">
        <v>8</v>
      </c>
      <c r="AL12" s="84">
        <v>9.5</v>
      </c>
      <c r="AM12" s="81">
        <v>4.8099999999999987</v>
      </c>
      <c r="AN12" s="83">
        <v>7</v>
      </c>
      <c r="AO12" s="83">
        <v>8</v>
      </c>
      <c r="AP12" s="84">
        <v>9</v>
      </c>
      <c r="AQ12" s="81">
        <v>0.60499999999999998</v>
      </c>
      <c r="AR12" s="83">
        <v>1.1000000000000001</v>
      </c>
      <c r="AS12" s="83">
        <v>2.31</v>
      </c>
      <c r="AT12" s="83">
        <v>4.1549999999999994</v>
      </c>
      <c r="AU12" s="81">
        <v>0.77499999999999991</v>
      </c>
      <c r="AV12" s="83">
        <v>1.1000000000000001</v>
      </c>
      <c r="AW12" s="83">
        <v>2.31</v>
      </c>
      <c r="AX12" s="84">
        <v>3.53</v>
      </c>
      <c r="AY12" s="81">
        <v>1.9649999999999999</v>
      </c>
      <c r="AZ12" s="83">
        <v>4.5</v>
      </c>
      <c r="BA12" s="83">
        <v>5.5</v>
      </c>
      <c r="BB12" s="83">
        <v>7</v>
      </c>
      <c r="BC12" s="81">
        <v>2.7349999999999994</v>
      </c>
      <c r="BD12" s="83">
        <v>4.5</v>
      </c>
      <c r="BE12" s="83">
        <v>5.5</v>
      </c>
      <c r="BF12" s="84">
        <v>6.5</v>
      </c>
      <c r="BG12" s="81">
        <f>AI12+AQ12+AY12</f>
        <v>6.4600000000000009</v>
      </c>
      <c r="BH12" s="83">
        <f t="shared" ref="BH12:BN21" si="1">AJ12+AR12+AZ12</f>
        <v>12.6</v>
      </c>
      <c r="BI12" s="83">
        <f t="shared" si="1"/>
        <v>15.81</v>
      </c>
      <c r="BJ12" s="83">
        <f t="shared" si="1"/>
        <v>20.655000000000001</v>
      </c>
      <c r="BK12" s="81">
        <f t="shared" si="1"/>
        <v>8.3199999999999985</v>
      </c>
      <c r="BL12" s="83">
        <f t="shared" si="1"/>
        <v>12.6</v>
      </c>
      <c r="BM12" s="83">
        <f t="shared" si="1"/>
        <v>15.81</v>
      </c>
      <c r="BN12" s="83">
        <f t="shared" si="1"/>
        <v>19.03</v>
      </c>
      <c r="BO12" s="136">
        <f>BO$9*BH12+(1-BO$9)*BG12</f>
        <v>11.372</v>
      </c>
      <c r="BP12" s="142">
        <f>BO$9*BI12+(1-BO$9)*BJ12</f>
        <v>16.779</v>
      </c>
      <c r="BQ12" s="136">
        <f>BO$9*BL12+(1-BO$9)*BK12</f>
        <v>11.744</v>
      </c>
      <c r="BR12" s="137">
        <f>BO$9*BM12+(1-BO$9)*BN12</f>
        <v>16.454000000000001</v>
      </c>
      <c r="BS12" s="81">
        <f>(BO12+BP12)/2</f>
        <v>14.0755</v>
      </c>
      <c r="BT12" s="84">
        <f>(BQ12+BR12)/2</f>
        <v>14.099</v>
      </c>
      <c r="BU12" s="133">
        <f>(BS12+BT12)/2</f>
        <v>14.087250000000001</v>
      </c>
    </row>
    <row r="13" spans="1:73" x14ac:dyDescent="0.25">
      <c r="A13" s="102" t="s">
        <v>9</v>
      </c>
      <c r="B13" s="102" t="s">
        <v>73</v>
      </c>
      <c r="C13" s="121" t="s">
        <v>88</v>
      </c>
      <c r="D13" s="155" t="s">
        <v>106</v>
      </c>
      <c r="E13" s="156" t="s">
        <v>106</v>
      </c>
      <c r="F13" s="156" t="s">
        <v>105</v>
      </c>
      <c r="G13" s="110">
        <f t="shared" si="0"/>
        <v>0.33</v>
      </c>
      <c r="H13" s="110">
        <f t="shared" si="0"/>
        <v>0.33</v>
      </c>
      <c r="I13" s="110">
        <f t="shared" si="0"/>
        <v>0.66</v>
      </c>
      <c r="J13" s="147">
        <f t="shared" ref="J13:J21" si="2">G13*$D$39+H13*$D$40+I13*$D$41</f>
        <v>6.6000000000000005</v>
      </c>
      <c r="K13" s="87">
        <v>0</v>
      </c>
      <c r="L13">
        <v>0.22000000000000003</v>
      </c>
      <c r="M13">
        <v>0.44</v>
      </c>
      <c r="N13" s="88">
        <v>0.55000000000000004</v>
      </c>
      <c r="O13" s="87">
        <v>0.06</v>
      </c>
      <c r="P13">
        <v>0.22000000000000003</v>
      </c>
      <c r="Q13">
        <v>0.44</v>
      </c>
      <c r="R13" s="88">
        <v>0.52</v>
      </c>
      <c r="S13" s="87">
        <v>0</v>
      </c>
      <c r="T13">
        <v>0.22000000000000003</v>
      </c>
      <c r="U13">
        <v>0.44</v>
      </c>
      <c r="V13" s="88">
        <v>0.55000000000000004</v>
      </c>
      <c r="W13" s="87">
        <v>0.06</v>
      </c>
      <c r="X13">
        <v>0.22000000000000003</v>
      </c>
      <c r="Y13">
        <v>0.44</v>
      </c>
      <c r="Z13" s="88">
        <v>0.52</v>
      </c>
      <c r="AA13" s="87">
        <v>0.44000000000000006</v>
      </c>
      <c r="AB13">
        <v>0.55000000000000004</v>
      </c>
      <c r="AC13">
        <v>0.77</v>
      </c>
      <c r="AD13" s="88">
        <v>1</v>
      </c>
      <c r="AE13" s="87">
        <v>0.47000000000000003</v>
      </c>
      <c r="AF13">
        <v>0.55000000000000004</v>
      </c>
      <c r="AG13">
        <v>0.77</v>
      </c>
      <c r="AH13" s="88">
        <v>0.92</v>
      </c>
      <c r="AI13" s="187">
        <v>0</v>
      </c>
      <c r="AJ13" s="179">
        <v>1.5400000000000003</v>
      </c>
      <c r="AK13" s="179">
        <v>3.52</v>
      </c>
      <c r="AL13" s="188">
        <v>5.0600000000000005</v>
      </c>
      <c r="AM13" s="187">
        <v>0.19999999999999996</v>
      </c>
      <c r="AN13" s="179">
        <v>1.5400000000000003</v>
      </c>
      <c r="AO13" s="179">
        <v>3.52</v>
      </c>
      <c r="AP13" s="188">
        <v>4.6000000000000014</v>
      </c>
      <c r="AQ13" s="187">
        <v>0</v>
      </c>
      <c r="AR13" s="179">
        <v>0.44000000000000006</v>
      </c>
      <c r="AS13" s="179">
        <v>1.32</v>
      </c>
      <c r="AT13" s="179">
        <v>2.3099999999999996</v>
      </c>
      <c r="AU13" s="187">
        <v>5.3999999999999992E-2</v>
      </c>
      <c r="AV13" s="179">
        <v>0.44000000000000006</v>
      </c>
      <c r="AW13" s="179">
        <v>1.32</v>
      </c>
      <c r="AX13" s="188">
        <v>2</v>
      </c>
      <c r="AY13" s="87">
        <v>1.1550000000000002</v>
      </c>
      <c r="AZ13">
        <v>2.4750000000000001</v>
      </c>
      <c r="BA13">
        <v>4.2350000000000003</v>
      </c>
      <c r="BB13">
        <v>6.6550000000000002</v>
      </c>
      <c r="BC13" s="87">
        <v>1.5650000000000008</v>
      </c>
      <c r="BD13">
        <v>2.4750000000000001</v>
      </c>
      <c r="BE13">
        <v>4.2350000000000003</v>
      </c>
      <c r="BF13" s="88">
        <v>5.830000000000001</v>
      </c>
      <c r="BG13" s="87">
        <f t="shared" ref="BG13:BG21" si="3">AI13+AQ13+AY13</f>
        <v>1.1550000000000002</v>
      </c>
      <c r="BH13">
        <f t="shared" si="1"/>
        <v>4.4550000000000001</v>
      </c>
      <c r="BI13">
        <f t="shared" si="1"/>
        <v>9.0749999999999993</v>
      </c>
      <c r="BJ13">
        <f t="shared" si="1"/>
        <v>14.025</v>
      </c>
      <c r="BK13" s="87">
        <f t="shared" si="1"/>
        <v>1.8190000000000008</v>
      </c>
      <c r="BL13">
        <f t="shared" si="1"/>
        <v>4.4550000000000001</v>
      </c>
      <c r="BM13">
        <f t="shared" si="1"/>
        <v>9.0749999999999993</v>
      </c>
      <c r="BN13">
        <f t="shared" si="1"/>
        <v>12.430000000000003</v>
      </c>
      <c r="BO13" s="138">
        <f t="shared" ref="BO13:BO21" si="4">BO$9*BH13+(1-BO$9)*BG13</f>
        <v>3.7949999999999999</v>
      </c>
      <c r="BP13" s="143">
        <f t="shared" ref="BP13:BP21" si="5">BO$9*BI13+(1-BO$9)*BJ13</f>
        <v>10.065</v>
      </c>
      <c r="BQ13" s="138">
        <f t="shared" ref="BQ13:BQ21" si="6">BO$9*BL13+(1-BO$9)*BK13</f>
        <v>3.9278</v>
      </c>
      <c r="BR13" s="139">
        <f t="shared" ref="BR13:BR21" si="7">BO$9*BM13+(1-BO$9)*BN13</f>
        <v>9.7460000000000004</v>
      </c>
      <c r="BS13" s="87">
        <f t="shared" ref="BS13:BS21" si="8">(BO13+BP13)/2</f>
        <v>6.93</v>
      </c>
      <c r="BT13" s="88">
        <f t="shared" ref="BT13:BT21" si="9">(BQ13+BR13)/2</f>
        <v>6.8369</v>
      </c>
      <c r="BU13" s="134">
        <f t="shared" ref="BU13:BU21" si="10">(BS13+BT13)/2</f>
        <v>6.8834499999999998</v>
      </c>
    </row>
    <row r="14" spans="1:73" x14ac:dyDescent="0.25">
      <c r="A14" s="102" t="s">
        <v>10</v>
      </c>
      <c r="B14" s="102" t="s">
        <v>74</v>
      </c>
      <c r="C14" s="121" t="s">
        <v>89</v>
      </c>
      <c r="D14" s="155" t="s">
        <v>105</v>
      </c>
      <c r="E14" s="156" t="s">
        <v>105</v>
      </c>
      <c r="F14" s="156" t="s">
        <v>105</v>
      </c>
      <c r="G14" s="110">
        <f t="shared" si="0"/>
        <v>0.66</v>
      </c>
      <c r="H14" s="110">
        <f t="shared" si="0"/>
        <v>0.66</v>
      </c>
      <c r="I14" s="110">
        <f t="shared" si="0"/>
        <v>0.66</v>
      </c>
      <c r="J14" s="147">
        <f t="shared" si="2"/>
        <v>9.9</v>
      </c>
      <c r="K14" s="87">
        <v>0.44000000000000006</v>
      </c>
      <c r="L14">
        <v>0.55000000000000004</v>
      </c>
      <c r="M14">
        <v>0.77</v>
      </c>
      <c r="N14" s="88">
        <v>1</v>
      </c>
      <c r="O14" s="87">
        <v>0.47000000000000003</v>
      </c>
      <c r="P14">
        <v>0.55000000000000004</v>
      </c>
      <c r="Q14">
        <v>0.77</v>
      </c>
      <c r="R14" s="88">
        <v>0.92</v>
      </c>
      <c r="S14" s="87">
        <v>0.44000000000000006</v>
      </c>
      <c r="T14">
        <v>0.55000000000000004</v>
      </c>
      <c r="U14">
        <v>0.77</v>
      </c>
      <c r="V14" s="88">
        <v>1</v>
      </c>
      <c r="W14" s="87">
        <v>0.47000000000000003</v>
      </c>
      <c r="X14">
        <v>0.55000000000000004</v>
      </c>
      <c r="Y14">
        <v>0.77</v>
      </c>
      <c r="Z14" s="88">
        <v>0.92</v>
      </c>
      <c r="AA14" s="87">
        <v>0.44000000000000006</v>
      </c>
      <c r="AB14">
        <v>0.55000000000000004</v>
      </c>
      <c r="AC14">
        <v>0.77</v>
      </c>
      <c r="AD14" s="88">
        <v>1</v>
      </c>
      <c r="AE14" s="87">
        <v>0.47000000000000003</v>
      </c>
      <c r="AF14">
        <v>0.55000000000000004</v>
      </c>
      <c r="AG14">
        <v>0.77</v>
      </c>
      <c r="AH14" s="88">
        <v>0.92</v>
      </c>
      <c r="AI14" s="87">
        <v>2.2549999999999999</v>
      </c>
      <c r="AJ14">
        <v>3.8500000000000005</v>
      </c>
      <c r="AK14">
        <v>6.16</v>
      </c>
      <c r="AL14" s="88">
        <v>9.1550000000000011</v>
      </c>
      <c r="AM14" s="87">
        <v>2.7399999999999993</v>
      </c>
      <c r="AN14">
        <v>3.8500000000000005</v>
      </c>
      <c r="AO14">
        <v>6.16</v>
      </c>
      <c r="AP14" s="88">
        <v>8.129999999999999</v>
      </c>
      <c r="AQ14" s="87">
        <v>0.60499999999999998</v>
      </c>
      <c r="AR14">
        <v>1.1000000000000001</v>
      </c>
      <c r="AS14">
        <v>2.31</v>
      </c>
      <c r="AT14">
        <v>4.1549999999999994</v>
      </c>
      <c r="AU14" s="87">
        <v>0.77499999999999991</v>
      </c>
      <c r="AV14">
        <v>1.1000000000000001</v>
      </c>
      <c r="AW14">
        <v>2.31</v>
      </c>
      <c r="AX14" s="88">
        <v>3.53</v>
      </c>
      <c r="AY14" s="87">
        <v>1.1550000000000002</v>
      </c>
      <c r="AZ14">
        <v>2.4750000000000001</v>
      </c>
      <c r="BA14">
        <v>4.2350000000000003</v>
      </c>
      <c r="BB14">
        <v>6.6550000000000002</v>
      </c>
      <c r="BC14" s="87">
        <v>1.5650000000000008</v>
      </c>
      <c r="BD14">
        <v>2.4750000000000001</v>
      </c>
      <c r="BE14">
        <v>4.2350000000000003</v>
      </c>
      <c r="BF14" s="88">
        <v>5.830000000000001</v>
      </c>
      <c r="BG14" s="87">
        <f t="shared" si="3"/>
        <v>4.0150000000000006</v>
      </c>
      <c r="BH14">
        <f t="shared" si="1"/>
        <v>7.4250000000000007</v>
      </c>
      <c r="BI14">
        <f t="shared" si="1"/>
        <v>12.705000000000002</v>
      </c>
      <c r="BJ14">
        <f t="shared" si="1"/>
        <v>19.965</v>
      </c>
      <c r="BK14" s="87">
        <f t="shared" si="1"/>
        <v>5.08</v>
      </c>
      <c r="BL14">
        <f t="shared" si="1"/>
        <v>7.4250000000000007</v>
      </c>
      <c r="BM14">
        <f t="shared" si="1"/>
        <v>12.705000000000002</v>
      </c>
      <c r="BN14">
        <f t="shared" si="1"/>
        <v>17.489999999999998</v>
      </c>
      <c r="BO14" s="138">
        <f t="shared" si="4"/>
        <v>6.7430000000000012</v>
      </c>
      <c r="BP14" s="143">
        <f t="shared" si="5"/>
        <v>14.157</v>
      </c>
      <c r="BQ14" s="138">
        <f t="shared" si="6"/>
        <v>6.9560000000000013</v>
      </c>
      <c r="BR14" s="139">
        <f t="shared" si="7"/>
        <v>13.662000000000001</v>
      </c>
      <c r="BS14" s="87">
        <f t="shared" si="8"/>
        <v>10.450000000000001</v>
      </c>
      <c r="BT14" s="88">
        <f t="shared" si="9"/>
        <v>10.309000000000001</v>
      </c>
      <c r="BU14" s="134">
        <f t="shared" si="10"/>
        <v>10.3795</v>
      </c>
    </row>
    <row r="15" spans="1:73" x14ac:dyDescent="0.25">
      <c r="A15" s="102" t="s">
        <v>65</v>
      </c>
      <c r="B15" s="102" t="s">
        <v>75</v>
      </c>
      <c r="C15" s="121" t="s">
        <v>76</v>
      </c>
      <c r="D15" s="155" t="s">
        <v>104</v>
      </c>
      <c r="E15" s="156" t="s">
        <v>105</v>
      </c>
      <c r="F15" s="156" t="s">
        <v>105</v>
      </c>
      <c r="G15" s="110">
        <f t="shared" si="0"/>
        <v>1</v>
      </c>
      <c r="H15" s="110">
        <f t="shared" si="0"/>
        <v>0.66</v>
      </c>
      <c r="I15" s="110">
        <f t="shared" si="0"/>
        <v>0.66</v>
      </c>
      <c r="J15" s="147">
        <f t="shared" si="2"/>
        <v>12.450000000000001</v>
      </c>
      <c r="K15" s="87">
        <v>0.77</v>
      </c>
      <c r="L15">
        <v>1</v>
      </c>
      <c r="M15">
        <v>1</v>
      </c>
      <c r="N15" s="88">
        <v>1</v>
      </c>
      <c r="O15" s="87">
        <v>0.83</v>
      </c>
      <c r="P15">
        <v>1</v>
      </c>
      <c r="Q15">
        <v>1</v>
      </c>
      <c r="R15" s="88">
        <v>1</v>
      </c>
      <c r="S15" s="87">
        <v>0.44000000000000006</v>
      </c>
      <c r="T15">
        <v>0.55000000000000004</v>
      </c>
      <c r="U15">
        <v>0.77</v>
      </c>
      <c r="V15" s="88">
        <v>1</v>
      </c>
      <c r="W15" s="87">
        <v>0.47000000000000003</v>
      </c>
      <c r="X15">
        <v>0.55000000000000004</v>
      </c>
      <c r="Y15">
        <v>0.77</v>
      </c>
      <c r="Z15" s="88">
        <v>0.92</v>
      </c>
      <c r="AA15" s="87">
        <v>0.44000000000000006</v>
      </c>
      <c r="AB15">
        <v>0.55000000000000004</v>
      </c>
      <c r="AC15">
        <v>0.77</v>
      </c>
      <c r="AD15" s="88">
        <v>1</v>
      </c>
      <c r="AE15" s="87">
        <v>0.47000000000000003</v>
      </c>
      <c r="AF15">
        <v>0.55000000000000004</v>
      </c>
      <c r="AG15">
        <v>0.77</v>
      </c>
      <c r="AH15" s="88">
        <v>0.92</v>
      </c>
      <c r="AI15" s="87">
        <v>3.8900000000000006</v>
      </c>
      <c r="AJ15">
        <v>7</v>
      </c>
      <c r="AK15">
        <v>8</v>
      </c>
      <c r="AL15" s="88">
        <v>9.5</v>
      </c>
      <c r="AM15" s="87">
        <v>4.8099999999999987</v>
      </c>
      <c r="AN15">
        <v>7</v>
      </c>
      <c r="AO15">
        <v>8</v>
      </c>
      <c r="AP15" s="88">
        <v>9</v>
      </c>
      <c r="AQ15" s="87">
        <v>0.60499999999999998</v>
      </c>
      <c r="AR15">
        <v>1.1000000000000001</v>
      </c>
      <c r="AS15">
        <v>2.31</v>
      </c>
      <c r="AT15">
        <v>4.1549999999999994</v>
      </c>
      <c r="AU15" s="87">
        <v>0.77499999999999991</v>
      </c>
      <c r="AV15">
        <v>1.1000000000000001</v>
      </c>
      <c r="AW15">
        <v>2.31</v>
      </c>
      <c r="AX15" s="88">
        <v>3.53</v>
      </c>
      <c r="AY15" s="87">
        <v>1.1550000000000002</v>
      </c>
      <c r="AZ15">
        <v>2.4750000000000001</v>
      </c>
      <c r="BA15">
        <v>4.2350000000000003</v>
      </c>
      <c r="BB15">
        <v>6.6550000000000002</v>
      </c>
      <c r="BC15" s="87">
        <v>1.5650000000000008</v>
      </c>
      <c r="BD15">
        <v>2.4750000000000001</v>
      </c>
      <c r="BE15">
        <v>4.2350000000000003</v>
      </c>
      <c r="BF15" s="88">
        <v>5.830000000000001</v>
      </c>
      <c r="BG15" s="87">
        <f t="shared" si="3"/>
        <v>5.6500000000000012</v>
      </c>
      <c r="BH15">
        <f t="shared" si="1"/>
        <v>10.574999999999999</v>
      </c>
      <c r="BI15">
        <f t="shared" si="1"/>
        <v>14.545000000000002</v>
      </c>
      <c r="BJ15">
        <f t="shared" si="1"/>
        <v>20.309999999999999</v>
      </c>
      <c r="BK15" s="87">
        <f t="shared" si="1"/>
        <v>7.15</v>
      </c>
      <c r="BL15">
        <f t="shared" si="1"/>
        <v>10.574999999999999</v>
      </c>
      <c r="BM15">
        <f t="shared" si="1"/>
        <v>14.545000000000002</v>
      </c>
      <c r="BN15">
        <f t="shared" si="1"/>
        <v>18.36</v>
      </c>
      <c r="BO15" s="138">
        <f t="shared" si="4"/>
        <v>9.59</v>
      </c>
      <c r="BP15" s="143">
        <f t="shared" si="5"/>
        <v>15.698</v>
      </c>
      <c r="BQ15" s="138">
        <f t="shared" si="6"/>
        <v>9.8899999999999988</v>
      </c>
      <c r="BR15" s="139">
        <f t="shared" si="7"/>
        <v>15.308000000000002</v>
      </c>
      <c r="BS15" s="87">
        <f t="shared" si="8"/>
        <v>12.644</v>
      </c>
      <c r="BT15" s="88">
        <f t="shared" si="9"/>
        <v>12.599</v>
      </c>
      <c r="BU15" s="134">
        <f t="shared" si="10"/>
        <v>12.621500000000001</v>
      </c>
    </row>
    <row r="16" spans="1:73" ht="30" x14ac:dyDescent="0.25">
      <c r="A16" s="102" t="s">
        <v>66</v>
      </c>
      <c r="B16" s="102" t="s">
        <v>77</v>
      </c>
      <c r="C16" s="121" t="s">
        <v>90</v>
      </c>
      <c r="D16" s="155" t="s">
        <v>105</v>
      </c>
      <c r="E16" s="156" t="s">
        <v>104</v>
      </c>
      <c r="F16" s="156" t="s">
        <v>105</v>
      </c>
      <c r="G16" s="110">
        <f t="shared" si="0"/>
        <v>0.66</v>
      </c>
      <c r="H16" s="110">
        <f t="shared" si="0"/>
        <v>1</v>
      </c>
      <c r="I16" s="110">
        <f t="shared" si="0"/>
        <v>0.66</v>
      </c>
      <c r="J16" s="147">
        <f t="shared" si="2"/>
        <v>10.75</v>
      </c>
      <c r="K16" s="87">
        <v>0.44000000000000006</v>
      </c>
      <c r="L16">
        <v>0.55000000000000004</v>
      </c>
      <c r="M16">
        <v>0.77</v>
      </c>
      <c r="N16" s="88">
        <v>1</v>
      </c>
      <c r="O16" s="87">
        <v>0.47000000000000003</v>
      </c>
      <c r="P16">
        <v>0.55000000000000004</v>
      </c>
      <c r="Q16">
        <v>0.77</v>
      </c>
      <c r="R16" s="88">
        <v>0.92</v>
      </c>
      <c r="S16" s="87">
        <v>0.77</v>
      </c>
      <c r="T16">
        <v>1</v>
      </c>
      <c r="U16">
        <v>1</v>
      </c>
      <c r="V16" s="88">
        <v>1</v>
      </c>
      <c r="W16" s="87">
        <v>0.83</v>
      </c>
      <c r="X16">
        <v>1</v>
      </c>
      <c r="Y16">
        <v>1</v>
      </c>
      <c r="Z16" s="88">
        <v>1</v>
      </c>
      <c r="AA16" s="87">
        <v>0.44000000000000006</v>
      </c>
      <c r="AB16">
        <v>0.55000000000000004</v>
      </c>
      <c r="AC16">
        <v>0.77</v>
      </c>
      <c r="AD16" s="88">
        <v>1</v>
      </c>
      <c r="AE16" s="87">
        <v>0.47000000000000003</v>
      </c>
      <c r="AF16">
        <v>0.55000000000000004</v>
      </c>
      <c r="AG16">
        <v>0.77</v>
      </c>
      <c r="AH16" s="88">
        <v>0.92</v>
      </c>
      <c r="AI16" s="87">
        <v>2.2549999999999999</v>
      </c>
      <c r="AJ16">
        <v>3.8500000000000005</v>
      </c>
      <c r="AK16">
        <v>6.16</v>
      </c>
      <c r="AL16" s="88">
        <v>9.1550000000000011</v>
      </c>
      <c r="AM16" s="87">
        <v>2.7399999999999993</v>
      </c>
      <c r="AN16">
        <v>3.8500000000000005</v>
      </c>
      <c r="AO16">
        <v>6.16</v>
      </c>
      <c r="AP16" s="88">
        <v>8.129999999999999</v>
      </c>
      <c r="AQ16" s="87">
        <v>1.04</v>
      </c>
      <c r="AR16">
        <v>2</v>
      </c>
      <c r="AS16">
        <v>3</v>
      </c>
      <c r="AT16">
        <v>4.5</v>
      </c>
      <c r="AU16" s="87">
        <v>1.3599999999999999</v>
      </c>
      <c r="AV16">
        <v>2</v>
      </c>
      <c r="AW16">
        <v>3</v>
      </c>
      <c r="AX16" s="88">
        <v>4</v>
      </c>
      <c r="AY16" s="87">
        <v>1.1550000000000002</v>
      </c>
      <c r="AZ16">
        <v>2.4750000000000001</v>
      </c>
      <c r="BA16">
        <v>4.2350000000000003</v>
      </c>
      <c r="BB16">
        <v>6.6550000000000002</v>
      </c>
      <c r="BC16" s="87">
        <v>1.5650000000000008</v>
      </c>
      <c r="BD16">
        <v>2.4750000000000001</v>
      </c>
      <c r="BE16">
        <v>4.2350000000000003</v>
      </c>
      <c r="BF16" s="88">
        <v>5.830000000000001</v>
      </c>
      <c r="BG16" s="87">
        <f t="shared" si="3"/>
        <v>4.45</v>
      </c>
      <c r="BH16">
        <f t="shared" si="1"/>
        <v>8.3250000000000011</v>
      </c>
      <c r="BI16">
        <f t="shared" si="1"/>
        <v>13.395</v>
      </c>
      <c r="BJ16">
        <f t="shared" si="1"/>
        <v>20.310000000000002</v>
      </c>
      <c r="BK16" s="87">
        <f t="shared" si="1"/>
        <v>5.6650000000000009</v>
      </c>
      <c r="BL16">
        <f t="shared" si="1"/>
        <v>8.3250000000000011</v>
      </c>
      <c r="BM16">
        <f t="shared" si="1"/>
        <v>13.395</v>
      </c>
      <c r="BN16">
        <f t="shared" si="1"/>
        <v>17.96</v>
      </c>
      <c r="BO16" s="138">
        <f t="shared" si="4"/>
        <v>7.5500000000000007</v>
      </c>
      <c r="BP16" s="143">
        <f t="shared" si="5"/>
        <v>14.778</v>
      </c>
      <c r="BQ16" s="138">
        <f t="shared" si="6"/>
        <v>7.793000000000001</v>
      </c>
      <c r="BR16" s="139">
        <f t="shared" si="7"/>
        <v>14.308</v>
      </c>
      <c r="BS16" s="87">
        <f t="shared" si="8"/>
        <v>11.164000000000001</v>
      </c>
      <c r="BT16" s="88">
        <f t="shared" si="9"/>
        <v>11.0505</v>
      </c>
      <c r="BU16" s="134">
        <f t="shared" si="10"/>
        <v>11.107250000000001</v>
      </c>
    </row>
    <row r="17" spans="1:73" x14ac:dyDescent="0.25">
      <c r="A17" s="102" t="s">
        <v>67</v>
      </c>
      <c r="B17" s="102" t="s">
        <v>78</v>
      </c>
      <c r="C17" s="121" t="s">
        <v>91</v>
      </c>
      <c r="D17" s="155" t="s">
        <v>104</v>
      </c>
      <c r="E17" s="156" t="s">
        <v>105</v>
      </c>
      <c r="F17" s="156" t="s">
        <v>106</v>
      </c>
      <c r="G17" s="110">
        <f t="shared" si="0"/>
        <v>1</v>
      </c>
      <c r="H17" s="110">
        <f t="shared" si="0"/>
        <v>0.66</v>
      </c>
      <c r="I17" s="110">
        <f t="shared" si="0"/>
        <v>0.33</v>
      </c>
      <c r="J17" s="147">
        <f t="shared" si="2"/>
        <v>10.8</v>
      </c>
      <c r="K17" s="87">
        <v>0.77</v>
      </c>
      <c r="L17">
        <v>1</v>
      </c>
      <c r="M17">
        <v>1</v>
      </c>
      <c r="N17" s="88">
        <v>1</v>
      </c>
      <c r="O17" s="87">
        <v>0.83</v>
      </c>
      <c r="P17">
        <v>1</v>
      </c>
      <c r="Q17">
        <v>1</v>
      </c>
      <c r="R17" s="88">
        <v>1</v>
      </c>
      <c r="S17" s="87">
        <v>0.44000000000000006</v>
      </c>
      <c r="T17">
        <v>0.55000000000000004</v>
      </c>
      <c r="U17">
        <v>0.77</v>
      </c>
      <c r="V17" s="88">
        <v>1</v>
      </c>
      <c r="W17" s="87">
        <v>0.47000000000000003</v>
      </c>
      <c r="X17">
        <v>0.55000000000000004</v>
      </c>
      <c r="Y17">
        <v>0.77</v>
      </c>
      <c r="Z17" s="88">
        <v>0.92</v>
      </c>
      <c r="AA17" s="87">
        <v>0</v>
      </c>
      <c r="AB17">
        <v>0.22000000000000003</v>
      </c>
      <c r="AC17">
        <v>0.44</v>
      </c>
      <c r="AD17" s="88">
        <v>0.55000000000000004</v>
      </c>
      <c r="AE17" s="87">
        <v>0.06</v>
      </c>
      <c r="AF17">
        <v>0.22000000000000003</v>
      </c>
      <c r="AG17">
        <v>0.44</v>
      </c>
      <c r="AH17" s="88">
        <v>0.52</v>
      </c>
      <c r="AI17" s="87">
        <v>3.8900000000000006</v>
      </c>
      <c r="AJ17">
        <v>7</v>
      </c>
      <c r="AK17">
        <v>8</v>
      </c>
      <c r="AL17" s="88">
        <v>9.5</v>
      </c>
      <c r="AM17" s="87">
        <v>4.8099999999999987</v>
      </c>
      <c r="AN17">
        <v>7</v>
      </c>
      <c r="AO17">
        <v>8</v>
      </c>
      <c r="AP17" s="88">
        <v>9</v>
      </c>
      <c r="AQ17" s="87">
        <v>0.60499999999999998</v>
      </c>
      <c r="AR17">
        <v>1.1000000000000001</v>
      </c>
      <c r="AS17">
        <v>2.31</v>
      </c>
      <c r="AT17">
        <v>4.1549999999999994</v>
      </c>
      <c r="AU17" s="87">
        <v>0.77499999999999991</v>
      </c>
      <c r="AV17">
        <v>1.1000000000000001</v>
      </c>
      <c r="AW17">
        <v>2.31</v>
      </c>
      <c r="AX17" s="88">
        <v>3.53</v>
      </c>
      <c r="AY17" s="187">
        <v>0</v>
      </c>
      <c r="AZ17" s="179">
        <v>0.9900000000000001</v>
      </c>
      <c r="BA17" s="179">
        <v>2.42</v>
      </c>
      <c r="BB17" s="179">
        <v>3.6850000000000005</v>
      </c>
      <c r="BC17" s="187">
        <v>4.9999999999999933E-2</v>
      </c>
      <c r="BD17" s="179">
        <v>0.9900000000000001</v>
      </c>
      <c r="BE17" s="179">
        <v>2.42</v>
      </c>
      <c r="BF17" s="188">
        <v>3.3000000000000007</v>
      </c>
      <c r="BG17" s="87">
        <f t="shared" si="3"/>
        <v>4.495000000000001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87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138">
        <f t="shared" si="4"/>
        <v>8.1709999999999994</v>
      </c>
      <c r="BP17" s="143">
        <f t="shared" si="5"/>
        <v>13.652000000000001</v>
      </c>
      <c r="BQ17" s="138">
        <f t="shared" si="6"/>
        <v>8.3989999999999991</v>
      </c>
      <c r="BR17" s="139">
        <f t="shared" si="7"/>
        <v>13.350000000000001</v>
      </c>
      <c r="BS17" s="87">
        <f t="shared" si="8"/>
        <v>10.9115</v>
      </c>
      <c r="BT17" s="88">
        <f t="shared" si="9"/>
        <v>10.874500000000001</v>
      </c>
      <c r="BU17" s="134">
        <f t="shared" si="10"/>
        <v>10.893000000000001</v>
      </c>
    </row>
    <row r="18" spans="1:73" ht="30" x14ac:dyDescent="0.25">
      <c r="A18" s="102" t="s">
        <v>68</v>
      </c>
      <c r="B18" s="102" t="s">
        <v>79</v>
      </c>
      <c r="C18" s="121" t="s">
        <v>92</v>
      </c>
      <c r="D18" s="155" t="s">
        <v>104</v>
      </c>
      <c r="E18" s="156" t="s">
        <v>105</v>
      </c>
      <c r="F18" s="156" t="s">
        <v>106</v>
      </c>
      <c r="G18" s="110">
        <f t="shared" si="0"/>
        <v>1</v>
      </c>
      <c r="H18" s="110">
        <f t="shared" si="0"/>
        <v>0.66</v>
      </c>
      <c r="I18" s="110">
        <f t="shared" si="0"/>
        <v>0.33</v>
      </c>
      <c r="J18" s="147">
        <f t="shared" si="2"/>
        <v>10.8</v>
      </c>
      <c r="K18" s="87">
        <v>0.77</v>
      </c>
      <c r="L18">
        <v>1</v>
      </c>
      <c r="M18">
        <v>1</v>
      </c>
      <c r="N18" s="88">
        <v>1</v>
      </c>
      <c r="O18" s="87">
        <v>0.83</v>
      </c>
      <c r="P18">
        <v>1</v>
      </c>
      <c r="Q18">
        <v>1</v>
      </c>
      <c r="R18" s="88">
        <v>1</v>
      </c>
      <c r="S18" s="87">
        <v>0.44000000000000006</v>
      </c>
      <c r="T18">
        <v>0.55000000000000004</v>
      </c>
      <c r="U18">
        <v>0.77</v>
      </c>
      <c r="V18" s="88">
        <v>1</v>
      </c>
      <c r="W18" s="87">
        <v>0.47000000000000003</v>
      </c>
      <c r="X18">
        <v>0.55000000000000004</v>
      </c>
      <c r="Y18">
        <v>0.77</v>
      </c>
      <c r="Z18" s="88">
        <v>0.92</v>
      </c>
      <c r="AA18" s="87">
        <v>0</v>
      </c>
      <c r="AB18">
        <v>0.22000000000000003</v>
      </c>
      <c r="AC18">
        <v>0.44</v>
      </c>
      <c r="AD18" s="88">
        <v>0.55000000000000004</v>
      </c>
      <c r="AE18" s="87">
        <v>0.06</v>
      </c>
      <c r="AF18">
        <v>0.22000000000000003</v>
      </c>
      <c r="AG18">
        <v>0.44</v>
      </c>
      <c r="AH18" s="88">
        <v>0.52</v>
      </c>
      <c r="AI18" s="87">
        <v>3.8900000000000006</v>
      </c>
      <c r="AJ18">
        <v>7</v>
      </c>
      <c r="AK18">
        <v>8</v>
      </c>
      <c r="AL18" s="88">
        <v>9.5</v>
      </c>
      <c r="AM18" s="87">
        <v>4.8099999999999987</v>
      </c>
      <c r="AN18">
        <v>7</v>
      </c>
      <c r="AO18">
        <v>8</v>
      </c>
      <c r="AP18" s="88">
        <v>9</v>
      </c>
      <c r="AQ18" s="87">
        <v>0.60499999999999998</v>
      </c>
      <c r="AR18">
        <v>1.1000000000000001</v>
      </c>
      <c r="AS18">
        <v>2.31</v>
      </c>
      <c r="AT18">
        <v>4.1549999999999994</v>
      </c>
      <c r="AU18" s="87">
        <v>0.77499999999999991</v>
      </c>
      <c r="AV18">
        <v>1.1000000000000001</v>
      </c>
      <c r="AW18">
        <v>2.31</v>
      </c>
      <c r="AX18" s="88">
        <v>3.53</v>
      </c>
      <c r="AY18" s="187">
        <v>0</v>
      </c>
      <c r="AZ18" s="179">
        <v>0.9900000000000001</v>
      </c>
      <c r="BA18" s="179">
        <v>2.42</v>
      </c>
      <c r="BB18" s="179">
        <v>3.6850000000000005</v>
      </c>
      <c r="BC18" s="187">
        <v>4.9999999999999933E-2</v>
      </c>
      <c r="BD18" s="179">
        <v>0.9900000000000001</v>
      </c>
      <c r="BE18" s="179">
        <v>2.42</v>
      </c>
      <c r="BF18" s="188">
        <v>3.3000000000000007</v>
      </c>
      <c r="BG18" s="87">
        <f t="shared" si="3"/>
        <v>4.495000000000001</v>
      </c>
      <c r="BH18">
        <f t="shared" si="1"/>
        <v>9.09</v>
      </c>
      <c r="BI18">
        <f t="shared" si="1"/>
        <v>12.73</v>
      </c>
      <c r="BJ18">
        <f t="shared" si="1"/>
        <v>17.34</v>
      </c>
      <c r="BK18" s="87">
        <f t="shared" si="1"/>
        <v>5.6349999999999989</v>
      </c>
      <c r="BL18">
        <f t="shared" si="1"/>
        <v>9.09</v>
      </c>
      <c r="BM18">
        <f t="shared" si="1"/>
        <v>12.73</v>
      </c>
      <c r="BN18">
        <f t="shared" si="1"/>
        <v>15.83</v>
      </c>
      <c r="BO18" s="138">
        <f t="shared" si="4"/>
        <v>8.1709999999999994</v>
      </c>
      <c r="BP18" s="143">
        <f t="shared" si="5"/>
        <v>13.652000000000001</v>
      </c>
      <c r="BQ18" s="138">
        <f t="shared" si="6"/>
        <v>8.3989999999999991</v>
      </c>
      <c r="BR18" s="139">
        <f t="shared" si="7"/>
        <v>13.350000000000001</v>
      </c>
      <c r="BS18" s="87">
        <f t="shared" si="8"/>
        <v>10.9115</v>
      </c>
      <c r="BT18" s="88">
        <f t="shared" si="9"/>
        <v>10.874500000000001</v>
      </c>
      <c r="BU18" s="134">
        <f t="shared" si="10"/>
        <v>10.893000000000001</v>
      </c>
    </row>
    <row r="19" spans="1:73" ht="30" x14ac:dyDescent="0.25">
      <c r="A19" s="102" t="s">
        <v>69</v>
      </c>
      <c r="B19" s="102" t="s">
        <v>80</v>
      </c>
      <c r="C19" s="121" t="s">
        <v>81</v>
      </c>
      <c r="D19" s="155" t="s">
        <v>105</v>
      </c>
      <c r="E19" s="156" t="s">
        <v>104</v>
      </c>
      <c r="F19" s="156" t="s">
        <v>104</v>
      </c>
      <c r="G19" s="110">
        <f t="shared" si="0"/>
        <v>0.66</v>
      </c>
      <c r="H19" s="110">
        <f t="shared" si="0"/>
        <v>1</v>
      </c>
      <c r="I19" s="110">
        <f t="shared" si="0"/>
        <v>1</v>
      </c>
      <c r="J19" s="147">
        <f t="shared" si="2"/>
        <v>12.45</v>
      </c>
      <c r="K19" s="87">
        <v>0.44000000000000006</v>
      </c>
      <c r="L19">
        <v>0.55000000000000004</v>
      </c>
      <c r="M19">
        <v>0.77</v>
      </c>
      <c r="N19" s="88">
        <v>1</v>
      </c>
      <c r="O19" s="87">
        <v>0.47000000000000003</v>
      </c>
      <c r="P19">
        <v>0.55000000000000004</v>
      </c>
      <c r="Q19">
        <v>0.77</v>
      </c>
      <c r="R19" s="88">
        <v>0.92</v>
      </c>
      <c r="S19" s="87">
        <v>0.77</v>
      </c>
      <c r="T19">
        <v>1</v>
      </c>
      <c r="U19">
        <v>1</v>
      </c>
      <c r="V19" s="88">
        <v>1</v>
      </c>
      <c r="W19" s="87">
        <v>0.83</v>
      </c>
      <c r="X19">
        <v>1</v>
      </c>
      <c r="Y19">
        <v>1</v>
      </c>
      <c r="Z19" s="88">
        <v>1</v>
      </c>
      <c r="AA19" s="87">
        <v>0.77</v>
      </c>
      <c r="AB19">
        <v>1</v>
      </c>
      <c r="AC19">
        <v>1</v>
      </c>
      <c r="AD19" s="88">
        <v>1</v>
      </c>
      <c r="AE19" s="87">
        <v>0.83</v>
      </c>
      <c r="AF19">
        <v>1</v>
      </c>
      <c r="AG19">
        <v>1</v>
      </c>
      <c r="AH19" s="88">
        <v>1</v>
      </c>
      <c r="AI19" s="87">
        <v>2.2549999999999999</v>
      </c>
      <c r="AJ19">
        <v>3.8500000000000005</v>
      </c>
      <c r="AK19">
        <v>6.16</v>
      </c>
      <c r="AL19" s="88">
        <v>9.1550000000000011</v>
      </c>
      <c r="AM19" s="87">
        <v>2.7399999999999993</v>
      </c>
      <c r="AN19">
        <v>3.8500000000000005</v>
      </c>
      <c r="AO19">
        <v>6.16</v>
      </c>
      <c r="AP19" s="88">
        <v>8.129999999999999</v>
      </c>
      <c r="AQ19" s="87">
        <v>1.04</v>
      </c>
      <c r="AR19">
        <v>2</v>
      </c>
      <c r="AS19">
        <v>3</v>
      </c>
      <c r="AT19">
        <v>4.5</v>
      </c>
      <c r="AU19" s="87">
        <v>1.3599999999999999</v>
      </c>
      <c r="AV19">
        <v>2</v>
      </c>
      <c r="AW19">
        <v>3</v>
      </c>
      <c r="AX19" s="88">
        <v>4</v>
      </c>
      <c r="AY19" s="87">
        <v>1.9649999999999999</v>
      </c>
      <c r="AZ19">
        <v>4.5</v>
      </c>
      <c r="BA19">
        <v>5.5</v>
      </c>
      <c r="BB19">
        <v>7</v>
      </c>
      <c r="BC19" s="87">
        <v>2.7349999999999994</v>
      </c>
      <c r="BD19">
        <v>4.5</v>
      </c>
      <c r="BE19">
        <v>5.5</v>
      </c>
      <c r="BF19" s="88">
        <v>6.5</v>
      </c>
      <c r="BG19" s="87">
        <f t="shared" si="3"/>
        <v>5.26</v>
      </c>
      <c r="BH19">
        <f t="shared" si="1"/>
        <v>10.350000000000001</v>
      </c>
      <c r="BI19">
        <f t="shared" si="1"/>
        <v>14.66</v>
      </c>
      <c r="BJ19">
        <f t="shared" si="1"/>
        <v>20.655000000000001</v>
      </c>
      <c r="BK19" s="87">
        <f t="shared" si="1"/>
        <v>6.8349999999999991</v>
      </c>
      <c r="BL19">
        <f t="shared" si="1"/>
        <v>10.350000000000001</v>
      </c>
      <c r="BM19">
        <f t="shared" si="1"/>
        <v>14.66</v>
      </c>
      <c r="BN19">
        <f t="shared" si="1"/>
        <v>18.63</v>
      </c>
      <c r="BO19" s="138">
        <f t="shared" si="4"/>
        <v>9.3320000000000007</v>
      </c>
      <c r="BP19" s="143">
        <f t="shared" si="5"/>
        <v>15.859000000000002</v>
      </c>
      <c r="BQ19" s="138">
        <f t="shared" si="6"/>
        <v>9.6470000000000002</v>
      </c>
      <c r="BR19" s="139">
        <f t="shared" si="7"/>
        <v>15.454000000000001</v>
      </c>
      <c r="BS19" s="87">
        <f t="shared" si="8"/>
        <v>12.595500000000001</v>
      </c>
      <c r="BT19" s="88">
        <f t="shared" si="9"/>
        <v>12.5505</v>
      </c>
      <c r="BU19" s="134">
        <f t="shared" si="10"/>
        <v>12.573</v>
      </c>
    </row>
    <row r="20" spans="1:73" ht="36.75" customHeight="1" x14ac:dyDescent="0.25">
      <c r="A20" s="102" t="s">
        <v>70</v>
      </c>
      <c r="B20" s="102" t="s">
        <v>82</v>
      </c>
      <c r="C20" s="121" t="s">
        <v>93</v>
      </c>
      <c r="D20" s="155" t="s">
        <v>105</v>
      </c>
      <c r="E20" s="156" t="s">
        <v>104</v>
      </c>
      <c r="F20" s="156" t="s">
        <v>105</v>
      </c>
      <c r="G20" s="110">
        <f t="shared" si="0"/>
        <v>0.66</v>
      </c>
      <c r="H20" s="110">
        <f t="shared" si="0"/>
        <v>1</v>
      </c>
      <c r="I20" s="110">
        <f t="shared" si="0"/>
        <v>0.66</v>
      </c>
      <c r="J20" s="147">
        <f t="shared" si="2"/>
        <v>10.75</v>
      </c>
      <c r="K20" s="87">
        <v>0.44000000000000006</v>
      </c>
      <c r="L20">
        <v>0.55000000000000004</v>
      </c>
      <c r="M20">
        <v>0.77</v>
      </c>
      <c r="N20" s="88">
        <v>1</v>
      </c>
      <c r="O20" s="87">
        <v>0.47000000000000003</v>
      </c>
      <c r="P20">
        <v>0.55000000000000004</v>
      </c>
      <c r="Q20">
        <v>0.77</v>
      </c>
      <c r="R20" s="88">
        <v>0.92</v>
      </c>
      <c r="S20" s="87">
        <v>0.77</v>
      </c>
      <c r="T20">
        <v>1</v>
      </c>
      <c r="U20">
        <v>1</v>
      </c>
      <c r="V20" s="88">
        <v>1</v>
      </c>
      <c r="W20" s="87">
        <v>0.83</v>
      </c>
      <c r="X20">
        <v>1</v>
      </c>
      <c r="Y20">
        <v>1</v>
      </c>
      <c r="Z20" s="88">
        <v>1</v>
      </c>
      <c r="AA20" s="87">
        <v>0.44000000000000006</v>
      </c>
      <c r="AB20">
        <v>0.55000000000000004</v>
      </c>
      <c r="AC20">
        <v>0.77</v>
      </c>
      <c r="AD20" s="88">
        <v>1</v>
      </c>
      <c r="AE20" s="87">
        <v>0.47000000000000003</v>
      </c>
      <c r="AF20">
        <v>0.55000000000000004</v>
      </c>
      <c r="AG20">
        <v>0.77</v>
      </c>
      <c r="AH20" s="88">
        <v>0.92</v>
      </c>
      <c r="AI20" s="87">
        <v>2.2549999999999999</v>
      </c>
      <c r="AJ20">
        <v>3.8500000000000005</v>
      </c>
      <c r="AK20">
        <v>6.16</v>
      </c>
      <c r="AL20" s="88">
        <v>9.1550000000000011</v>
      </c>
      <c r="AM20" s="87">
        <v>2.7399999999999993</v>
      </c>
      <c r="AN20">
        <v>3.8500000000000005</v>
      </c>
      <c r="AO20">
        <v>6.16</v>
      </c>
      <c r="AP20" s="88">
        <v>8.129999999999999</v>
      </c>
      <c r="AQ20" s="87">
        <v>1.04</v>
      </c>
      <c r="AR20">
        <v>2</v>
      </c>
      <c r="AS20">
        <v>3</v>
      </c>
      <c r="AT20">
        <v>4.5</v>
      </c>
      <c r="AU20" s="87">
        <v>1.3599999999999999</v>
      </c>
      <c r="AV20">
        <v>2</v>
      </c>
      <c r="AW20">
        <v>3</v>
      </c>
      <c r="AX20" s="88">
        <v>4</v>
      </c>
      <c r="AY20" s="87">
        <v>1.1550000000000002</v>
      </c>
      <c r="AZ20">
        <v>2.4750000000000001</v>
      </c>
      <c r="BA20">
        <v>4.2350000000000003</v>
      </c>
      <c r="BB20">
        <v>6.6550000000000002</v>
      </c>
      <c r="BC20" s="87">
        <v>1.5650000000000008</v>
      </c>
      <c r="BD20">
        <v>2.4750000000000001</v>
      </c>
      <c r="BE20">
        <v>4.2350000000000003</v>
      </c>
      <c r="BF20" s="88">
        <v>5.830000000000001</v>
      </c>
      <c r="BG20" s="87">
        <f t="shared" si="3"/>
        <v>4.45</v>
      </c>
      <c r="BH20">
        <f t="shared" si="1"/>
        <v>8.3250000000000011</v>
      </c>
      <c r="BI20">
        <f t="shared" si="1"/>
        <v>13.395</v>
      </c>
      <c r="BJ20">
        <f t="shared" si="1"/>
        <v>20.310000000000002</v>
      </c>
      <c r="BK20" s="87">
        <f t="shared" si="1"/>
        <v>5.6650000000000009</v>
      </c>
      <c r="BL20">
        <f t="shared" si="1"/>
        <v>8.3250000000000011</v>
      </c>
      <c r="BM20">
        <f t="shared" si="1"/>
        <v>13.395</v>
      </c>
      <c r="BN20">
        <f t="shared" si="1"/>
        <v>17.96</v>
      </c>
      <c r="BO20" s="138">
        <f t="shared" si="4"/>
        <v>7.5500000000000007</v>
      </c>
      <c r="BP20" s="143">
        <f t="shared" si="5"/>
        <v>14.778</v>
      </c>
      <c r="BQ20" s="138">
        <f t="shared" si="6"/>
        <v>7.793000000000001</v>
      </c>
      <c r="BR20" s="139">
        <f t="shared" si="7"/>
        <v>14.308</v>
      </c>
      <c r="BS20" s="87">
        <f t="shared" si="8"/>
        <v>11.164000000000001</v>
      </c>
      <c r="BT20" s="88">
        <f t="shared" si="9"/>
        <v>11.0505</v>
      </c>
      <c r="BU20" s="134">
        <f t="shared" si="10"/>
        <v>11.107250000000001</v>
      </c>
    </row>
    <row r="21" spans="1:73" ht="30.75" thickBot="1" x14ac:dyDescent="0.3">
      <c r="A21" s="102" t="s">
        <v>71</v>
      </c>
      <c r="B21" s="102" t="s">
        <v>83</v>
      </c>
      <c r="C21" s="121" t="s">
        <v>94</v>
      </c>
      <c r="D21" s="157" t="s">
        <v>106</v>
      </c>
      <c r="E21" s="158" t="s">
        <v>104</v>
      </c>
      <c r="F21" s="158" t="s">
        <v>105</v>
      </c>
      <c r="G21" s="123">
        <f t="shared" si="0"/>
        <v>0.33</v>
      </c>
      <c r="H21" s="123">
        <f t="shared" si="0"/>
        <v>1</v>
      </c>
      <c r="I21" s="123">
        <f t="shared" si="0"/>
        <v>0.66</v>
      </c>
      <c r="J21" s="148">
        <f t="shared" si="2"/>
        <v>8.2750000000000004</v>
      </c>
      <c r="K21" s="91">
        <v>0</v>
      </c>
      <c r="L21" s="93">
        <v>0.22000000000000003</v>
      </c>
      <c r="M21" s="93">
        <v>0.44</v>
      </c>
      <c r="N21" s="94">
        <v>0.55000000000000004</v>
      </c>
      <c r="O21" s="91">
        <v>0.06</v>
      </c>
      <c r="P21" s="93">
        <v>0.22000000000000003</v>
      </c>
      <c r="Q21" s="93">
        <v>0.44</v>
      </c>
      <c r="R21" s="94">
        <v>0.52</v>
      </c>
      <c r="S21" s="91">
        <v>0.77</v>
      </c>
      <c r="T21" s="93">
        <v>1</v>
      </c>
      <c r="U21" s="93">
        <v>1</v>
      </c>
      <c r="V21" s="94">
        <v>1</v>
      </c>
      <c r="W21" s="91">
        <v>0.83</v>
      </c>
      <c r="X21" s="93">
        <v>1</v>
      </c>
      <c r="Y21" s="93">
        <v>1</v>
      </c>
      <c r="Z21" s="94">
        <v>1</v>
      </c>
      <c r="AA21" s="91">
        <v>0.44000000000000006</v>
      </c>
      <c r="AB21" s="93">
        <v>0.55000000000000004</v>
      </c>
      <c r="AC21" s="93">
        <v>0.77</v>
      </c>
      <c r="AD21" s="94">
        <v>1</v>
      </c>
      <c r="AE21" s="91">
        <v>0.47000000000000003</v>
      </c>
      <c r="AF21" s="93">
        <v>0.55000000000000004</v>
      </c>
      <c r="AG21" s="93">
        <v>0.77</v>
      </c>
      <c r="AH21" s="94">
        <v>0.92</v>
      </c>
      <c r="AI21" s="189">
        <v>0</v>
      </c>
      <c r="AJ21" s="201">
        <v>1.5400000000000003</v>
      </c>
      <c r="AK21" s="201">
        <v>3.52</v>
      </c>
      <c r="AL21" s="190">
        <v>5.0600000000000005</v>
      </c>
      <c r="AM21" s="189">
        <v>0.19999999999999996</v>
      </c>
      <c r="AN21" s="201">
        <v>1.5400000000000003</v>
      </c>
      <c r="AO21" s="201">
        <v>3.52</v>
      </c>
      <c r="AP21" s="190">
        <v>4.6000000000000014</v>
      </c>
      <c r="AQ21" s="91">
        <v>1.04</v>
      </c>
      <c r="AR21" s="93">
        <v>2</v>
      </c>
      <c r="AS21" s="93">
        <v>3</v>
      </c>
      <c r="AT21" s="93">
        <v>4.5</v>
      </c>
      <c r="AU21" s="91">
        <v>1.3599999999999999</v>
      </c>
      <c r="AV21" s="93">
        <v>2</v>
      </c>
      <c r="AW21" s="93">
        <v>3</v>
      </c>
      <c r="AX21" s="94">
        <v>4</v>
      </c>
      <c r="AY21" s="91">
        <v>1.1550000000000002</v>
      </c>
      <c r="AZ21" s="93">
        <v>2.4750000000000001</v>
      </c>
      <c r="BA21" s="93">
        <v>4.2350000000000003</v>
      </c>
      <c r="BB21" s="93">
        <v>6.6550000000000002</v>
      </c>
      <c r="BC21" s="91">
        <v>1.5650000000000008</v>
      </c>
      <c r="BD21" s="93">
        <v>2.4750000000000001</v>
      </c>
      <c r="BE21" s="93">
        <v>4.2350000000000003</v>
      </c>
      <c r="BF21" s="94">
        <v>5.830000000000001</v>
      </c>
      <c r="BG21" s="91">
        <f t="shared" si="3"/>
        <v>2.1950000000000003</v>
      </c>
      <c r="BH21" s="93">
        <f t="shared" si="1"/>
        <v>6.0150000000000006</v>
      </c>
      <c r="BI21" s="93">
        <f t="shared" si="1"/>
        <v>10.754999999999999</v>
      </c>
      <c r="BJ21" s="93">
        <f t="shared" si="1"/>
        <v>16.215</v>
      </c>
      <c r="BK21" s="91">
        <f t="shared" si="1"/>
        <v>3.1250000000000009</v>
      </c>
      <c r="BL21" s="93">
        <f t="shared" si="1"/>
        <v>6.0150000000000006</v>
      </c>
      <c r="BM21" s="93">
        <f t="shared" si="1"/>
        <v>10.754999999999999</v>
      </c>
      <c r="BN21" s="93">
        <f t="shared" si="1"/>
        <v>14.430000000000003</v>
      </c>
      <c r="BO21" s="140">
        <f t="shared" si="4"/>
        <v>5.2510000000000012</v>
      </c>
      <c r="BP21" s="144">
        <f t="shared" si="5"/>
        <v>11.846999999999998</v>
      </c>
      <c r="BQ21" s="140">
        <f t="shared" si="6"/>
        <v>5.4370000000000012</v>
      </c>
      <c r="BR21" s="141">
        <f t="shared" si="7"/>
        <v>11.489999999999998</v>
      </c>
      <c r="BS21" s="91">
        <f t="shared" si="8"/>
        <v>8.5489999999999995</v>
      </c>
      <c r="BT21" s="94">
        <f t="shared" si="9"/>
        <v>8.4634999999999998</v>
      </c>
      <c r="BU21" s="135">
        <f t="shared" si="10"/>
        <v>8.5062499999999996</v>
      </c>
    </row>
    <row r="22" spans="1:73" x14ac:dyDescent="0.25">
      <c r="BF22" s="60"/>
      <c r="BG22" s="59"/>
      <c r="BH22" s="59"/>
      <c r="BI22" s="59"/>
      <c r="BJ22" s="59"/>
      <c r="BK22" s="59"/>
    </row>
    <row r="23" spans="1:73" x14ac:dyDescent="0.25">
      <c r="A23" s="1" t="s">
        <v>188</v>
      </c>
      <c r="B23" s="1"/>
    </row>
    <row r="24" spans="1:73" ht="15.75" thickBot="1" x14ac:dyDescent="0.3">
      <c r="A24" s="107" t="s">
        <v>103</v>
      </c>
      <c r="B24" s="108" t="s">
        <v>122</v>
      </c>
      <c r="E24" s="112" t="s">
        <v>17</v>
      </c>
      <c r="I24" t="s">
        <v>18</v>
      </c>
    </row>
    <row r="25" spans="1:73" x14ac:dyDescent="0.25">
      <c r="A25" s="106" t="s">
        <v>107</v>
      </c>
      <c r="B25" s="2">
        <v>0</v>
      </c>
      <c r="C25" s="79">
        <v>0</v>
      </c>
      <c r="D25" s="80" t="s">
        <v>107</v>
      </c>
      <c r="E25" s="81">
        <v>0</v>
      </c>
      <c r="F25" s="82">
        <f>C25</f>
        <v>0</v>
      </c>
      <c r="G25" s="83">
        <v>0</v>
      </c>
      <c r="H25" s="84">
        <v>0.22</v>
      </c>
      <c r="I25" s="85">
        <v>0</v>
      </c>
      <c r="J25" s="83">
        <f>F25</f>
        <v>0</v>
      </c>
      <c r="K25" s="83">
        <f>G25</f>
        <v>0</v>
      </c>
      <c r="L25" s="86">
        <v>0.15</v>
      </c>
    </row>
    <row r="26" spans="1:73" x14ac:dyDescent="0.25">
      <c r="A26" s="106" t="s">
        <v>106</v>
      </c>
      <c r="B26" s="2">
        <v>0.33</v>
      </c>
      <c r="C26" s="79">
        <v>0.33</v>
      </c>
      <c r="D26" s="80" t="s">
        <v>106</v>
      </c>
      <c r="E26" s="87">
        <v>0</v>
      </c>
      <c r="F26" s="111">
        <f>C26-0.11</f>
        <v>0.22000000000000003</v>
      </c>
      <c r="G26">
        <f>C26+0.11</f>
        <v>0.44</v>
      </c>
      <c r="H26" s="88">
        <f t="shared" ref="H26" si="11">G26+0.11</f>
        <v>0.55000000000000004</v>
      </c>
      <c r="I26" s="89">
        <v>0.06</v>
      </c>
      <c r="J26">
        <f t="shared" ref="J26:K28" si="12">F26</f>
        <v>0.22000000000000003</v>
      </c>
      <c r="K26">
        <f t="shared" si="12"/>
        <v>0.44</v>
      </c>
      <c r="L26" s="90">
        <f t="shared" ref="L26" si="13">K26+0.08</f>
        <v>0.52</v>
      </c>
    </row>
    <row r="27" spans="1:73" x14ac:dyDescent="0.25">
      <c r="A27" s="106" t="s">
        <v>105</v>
      </c>
      <c r="B27" s="2">
        <v>0.66</v>
      </c>
      <c r="C27" s="79">
        <v>0.66</v>
      </c>
      <c r="D27" s="80" t="s">
        <v>105</v>
      </c>
      <c r="E27" s="87">
        <f t="shared" ref="E27" si="14">F27-0.11</f>
        <v>0.44000000000000006</v>
      </c>
      <c r="F27" s="111">
        <f t="shared" ref="F27" si="15">C27-0.11</f>
        <v>0.55000000000000004</v>
      </c>
      <c r="G27">
        <f t="shared" ref="G27" si="16">C27+0.11</f>
        <v>0.77</v>
      </c>
      <c r="H27" s="88">
        <v>1</v>
      </c>
      <c r="I27" s="89">
        <f t="shared" ref="I27" si="17">J27-0.08</f>
        <v>0.47000000000000003</v>
      </c>
      <c r="J27">
        <f t="shared" si="12"/>
        <v>0.55000000000000004</v>
      </c>
      <c r="K27">
        <f t="shared" si="12"/>
        <v>0.77</v>
      </c>
      <c r="L27" s="90">
        <v>0.92</v>
      </c>
    </row>
    <row r="28" spans="1:73" ht="15.75" thickBot="1" x14ac:dyDescent="0.3">
      <c r="A28" s="106" t="s">
        <v>104</v>
      </c>
      <c r="B28" s="2">
        <v>1</v>
      </c>
      <c r="C28" s="79">
        <v>1</v>
      </c>
      <c r="D28" s="80" t="s">
        <v>104</v>
      </c>
      <c r="E28" s="91">
        <v>0.77</v>
      </c>
      <c r="F28" s="92">
        <v>1</v>
      </c>
      <c r="G28" s="93">
        <v>1</v>
      </c>
      <c r="H28" s="94">
        <v>1</v>
      </c>
      <c r="I28" s="95">
        <v>0.83</v>
      </c>
      <c r="J28" s="93">
        <f t="shared" si="12"/>
        <v>1</v>
      </c>
      <c r="K28" s="93">
        <f t="shared" si="12"/>
        <v>1</v>
      </c>
      <c r="L28" s="96">
        <v>1</v>
      </c>
    </row>
    <row r="29" spans="1:73" x14ac:dyDescent="0.25">
      <c r="A29" s="99"/>
    </row>
    <row r="30" spans="1:73" x14ac:dyDescent="0.25">
      <c r="A30" s="1" t="s">
        <v>190</v>
      </c>
    </row>
    <row r="31" spans="1:73" ht="15.75" thickBot="1" x14ac:dyDescent="0.3">
      <c r="A31" s="107" t="s">
        <v>103</v>
      </c>
      <c r="B31" s="108" t="s">
        <v>123</v>
      </c>
      <c r="E31" s="112" t="s">
        <v>17</v>
      </c>
      <c r="I31" t="s">
        <v>18</v>
      </c>
    </row>
    <row r="32" spans="1:73" x14ac:dyDescent="0.25">
      <c r="A32" s="106" t="s">
        <v>107</v>
      </c>
      <c r="B32" s="2">
        <v>1</v>
      </c>
      <c r="C32" s="79">
        <v>1</v>
      </c>
      <c r="D32" s="80" t="s">
        <v>107</v>
      </c>
      <c r="E32" s="81">
        <v>0</v>
      </c>
      <c r="F32" s="82">
        <v>0.5</v>
      </c>
      <c r="G32" s="83">
        <v>1.5</v>
      </c>
      <c r="H32" s="84">
        <v>2</v>
      </c>
      <c r="I32" s="85">
        <v>0</v>
      </c>
      <c r="J32" s="83">
        <f>F32</f>
        <v>0.5</v>
      </c>
      <c r="K32" s="83">
        <f>G32</f>
        <v>1.5</v>
      </c>
      <c r="L32" s="86">
        <v>1.8</v>
      </c>
    </row>
    <row r="33" spans="1:12" x14ac:dyDescent="0.25">
      <c r="A33" s="106" t="s">
        <v>106</v>
      </c>
      <c r="B33" s="2">
        <v>2.5</v>
      </c>
      <c r="C33" s="79">
        <v>2.5</v>
      </c>
      <c r="D33" s="80" t="s">
        <v>106</v>
      </c>
      <c r="E33" s="87">
        <v>1.5</v>
      </c>
      <c r="F33" s="111">
        <f>C33-0.5</f>
        <v>2</v>
      </c>
      <c r="G33">
        <f>C33+0.5</f>
        <v>3</v>
      </c>
      <c r="H33" s="88">
        <f t="shared" ref="H33:H35" si="18">G33+1.5</f>
        <v>4.5</v>
      </c>
      <c r="I33" s="89">
        <v>1.7</v>
      </c>
      <c r="J33">
        <f t="shared" ref="J33:K35" si="19">F33</f>
        <v>2</v>
      </c>
      <c r="K33">
        <f t="shared" si="19"/>
        <v>3</v>
      </c>
      <c r="L33" s="90">
        <f t="shared" ref="L33:L35" si="20">K33+1</f>
        <v>4</v>
      </c>
    </row>
    <row r="34" spans="1:12" x14ac:dyDescent="0.25">
      <c r="A34" s="106" t="s">
        <v>105</v>
      </c>
      <c r="B34" s="2">
        <v>5</v>
      </c>
      <c r="C34" s="79">
        <v>5</v>
      </c>
      <c r="D34" s="80" t="s">
        <v>105</v>
      </c>
      <c r="E34" s="87">
        <f t="shared" ref="E34:E35" si="21">F34-1.5</f>
        <v>3</v>
      </c>
      <c r="F34" s="111">
        <f>C34-0.5</f>
        <v>4.5</v>
      </c>
      <c r="G34">
        <f>C34+0.5</f>
        <v>5.5</v>
      </c>
      <c r="H34" s="88">
        <f t="shared" si="18"/>
        <v>7</v>
      </c>
      <c r="I34" s="89">
        <f t="shared" ref="I34:I35" si="22">J34-1</f>
        <v>3.5</v>
      </c>
      <c r="J34">
        <f t="shared" si="19"/>
        <v>4.5</v>
      </c>
      <c r="K34">
        <f t="shared" si="19"/>
        <v>5.5</v>
      </c>
      <c r="L34" s="90">
        <f t="shared" si="20"/>
        <v>6.5</v>
      </c>
    </row>
    <row r="35" spans="1:12" ht="15.75" thickBot="1" x14ac:dyDescent="0.3">
      <c r="A35" s="106" t="s">
        <v>104</v>
      </c>
      <c r="B35" s="2">
        <v>7.5</v>
      </c>
      <c r="C35" s="79">
        <v>7.5</v>
      </c>
      <c r="D35" s="80" t="s">
        <v>104</v>
      </c>
      <c r="E35" s="91">
        <f t="shared" si="21"/>
        <v>5.5</v>
      </c>
      <c r="F35" s="92">
        <f>C35-0.5</f>
        <v>7</v>
      </c>
      <c r="G35" s="93">
        <f>C35+0.5</f>
        <v>8</v>
      </c>
      <c r="H35" s="94">
        <f t="shared" si="18"/>
        <v>9.5</v>
      </c>
      <c r="I35" s="95">
        <f t="shared" si="22"/>
        <v>6</v>
      </c>
      <c r="J35" s="93">
        <f t="shared" si="19"/>
        <v>7</v>
      </c>
      <c r="K35" s="93">
        <f t="shared" si="19"/>
        <v>8</v>
      </c>
      <c r="L35" s="96">
        <f t="shared" si="20"/>
        <v>9</v>
      </c>
    </row>
    <row r="37" spans="1:12" ht="15.75" thickBot="1" x14ac:dyDescent="0.3">
      <c r="A37" s="1" t="s">
        <v>193</v>
      </c>
    </row>
    <row r="38" spans="1:12" ht="67.5" customHeight="1" thickBot="1" x14ac:dyDescent="0.3">
      <c r="A38" s="114" t="s">
        <v>117</v>
      </c>
      <c r="B38" s="113" t="s">
        <v>99</v>
      </c>
      <c r="C38" s="115" t="s">
        <v>108</v>
      </c>
      <c r="D38" s="116" t="s">
        <v>189</v>
      </c>
      <c r="E38" s="283" t="s">
        <v>126</v>
      </c>
      <c r="F38" s="284"/>
      <c r="G38" s="284"/>
      <c r="H38" s="284"/>
      <c r="I38" s="284"/>
      <c r="J38" s="284"/>
      <c r="K38" s="284"/>
      <c r="L38" s="285"/>
    </row>
    <row r="39" spans="1:12" x14ac:dyDescent="0.25">
      <c r="A39" s="125" t="s">
        <v>114</v>
      </c>
      <c r="B39" s="117" t="s">
        <v>100</v>
      </c>
      <c r="C39" s="118" t="s">
        <v>104</v>
      </c>
      <c r="D39" s="152">
        <v>7.5</v>
      </c>
      <c r="E39" s="87">
        <v>5.5</v>
      </c>
      <c r="F39" s="111">
        <v>7</v>
      </c>
      <c r="G39">
        <v>8</v>
      </c>
      <c r="H39" s="88">
        <v>9.5</v>
      </c>
      <c r="I39" s="89">
        <v>6</v>
      </c>
      <c r="J39">
        <v>7</v>
      </c>
      <c r="K39">
        <v>8</v>
      </c>
      <c r="L39" s="90">
        <v>9</v>
      </c>
    </row>
    <row r="40" spans="1:12" x14ac:dyDescent="0.25">
      <c r="A40" s="126" t="s">
        <v>115</v>
      </c>
      <c r="B40" s="104" t="s">
        <v>101</v>
      </c>
      <c r="C40" s="2" t="s">
        <v>106</v>
      </c>
      <c r="D40" s="153">
        <v>2.5</v>
      </c>
      <c r="E40" s="87">
        <v>1.5</v>
      </c>
      <c r="F40" s="111">
        <v>2</v>
      </c>
      <c r="G40">
        <v>3</v>
      </c>
      <c r="H40" s="88">
        <v>4.5</v>
      </c>
      <c r="I40" s="89">
        <v>1.7</v>
      </c>
      <c r="J40">
        <v>2</v>
      </c>
      <c r="K40">
        <v>3</v>
      </c>
      <c r="L40" s="90">
        <v>4</v>
      </c>
    </row>
    <row r="41" spans="1:12" ht="15.75" thickBot="1" x14ac:dyDescent="0.3">
      <c r="A41" s="127" t="s">
        <v>116</v>
      </c>
      <c r="B41" s="119" t="s">
        <v>102</v>
      </c>
      <c r="C41" s="120" t="s">
        <v>105</v>
      </c>
      <c r="D41" s="154">
        <v>5</v>
      </c>
      <c r="E41" s="91">
        <v>3</v>
      </c>
      <c r="F41" s="92">
        <v>4.5</v>
      </c>
      <c r="G41" s="93">
        <v>5.5</v>
      </c>
      <c r="H41" s="94">
        <v>7</v>
      </c>
      <c r="I41" s="95">
        <v>3.5</v>
      </c>
      <c r="J41" s="93">
        <v>4.5</v>
      </c>
      <c r="K41" s="93">
        <v>5.5</v>
      </c>
      <c r="L41" s="96">
        <v>6.5</v>
      </c>
    </row>
    <row r="43" spans="1:12" ht="15.75" thickBot="1" x14ac:dyDescent="0.3">
      <c r="A43" s="1" t="s">
        <v>194</v>
      </c>
    </row>
    <row r="44" spans="1:12" ht="30.75" thickBot="1" x14ac:dyDescent="0.3">
      <c r="A44" s="128" t="s">
        <v>132</v>
      </c>
      <c r="B44" s="129" t="s">
        <v>133</v>
      </c>
      <c r="E44" s="283" t="s">
        <v>134</v>
      </c>
      <c r="F44" s="284"/>
      <c r="G44" s="284"/>
      <c r="H44" s="284"/>
      <c r="I44" s="284"/>
      <c r="J44" s="284"/>
      <c r="K44" s="284"/>
      <c r="L44" s="285"/>
    </row>
    <row r="45" spans="1:12" x14ac:dyDescent="0.25">
      <c r="A45" s="125" t="s">
        <v>129</v>
      </c>
      <c r="B45" s="130" t="s">
        <v>107</v>
      </c>
      <c r="D45" s="133" t="s">
        <v>138</v>
      </c>
      <c r="E45" s="81">
        <f>E25*F$39+E$39*F25-F25*F$39</f>
        <v>0</v>
      </c>
      <c r="F45" s="83">
        <f>F25*F$39</f>
        <v>0</v>
      </c>
      <c r="G45" s="83">
        <f>G25*G$39</f>
        <v>0</v>
      </c>
      <c r="H45" s="84">
        <f>G25*H$39+G$39*H25-G25*G$39</f>
        <v>1.76</v>
      </c>
      <c r="I45" s="81">
        <f>I25*J$39+I$39*J25-J25*J$39</f>
        <v>0</v>
      </c>
      <c r="J45" s="83">
        <f>J25*J$39</f>
        <v>0</v>
      </c>
      <c r="K45" s="83">
        <f>K25*K$39</f>
        <v>0</v>
      </c>
      <c r="L45" s="84">
        <f>K25*L$39+K$39*L25-K25*K$39</f>
        <v>1.2</v>
      </c>
    </row>
    <row r="46" spans="1:12" x14ac:dyDescent="0.25">
      <c r="A46" s="126" t="s">
        <v>129</v>
      </c>
      <c r="B46" s="131" t="s">
        <v>106</v>
      </c>
      <c r="D46" s="134" t="s">
        <v>137</v>
      </c>
      <c r="E46" s="202">
        <f>IF(E26*F$39+E$39*F26-F26*F$39&lt;0,0,E26*F$39+E$39*F26-F26*F$39)</f>
        <v>0</v>
      </c>
      <c r="F46" s="179">
        <f t="shared" ref="F46:G48" si="23">F26*F$39</f>
        <v>1.5400000000000003</v>
      </c>
      <c r="G46" s="179">
        <f t="shared" si="23"/>
        <v>3.52</v>
      </c>
      <c r="H46" s="188">
        <f t="shared" ref="H46:H48" si="24">G26*H$39+G$39*H26-G26*G$39</f>
        <v>5.0600000000000005</v>
      </c>
      <c r="I46" s="187">
        <f t="shared" ref="I46:I48" si="25">I26*J$39+I$39*J26-J26*J$39</f>
        <v>0.19999999999999996</v>
      </c>
      <c r="J46" s="179">
        <f t="shared" ref="J46:K48" si="26">J26*J$39</f>
        <v>1.5400000000000003</v>
      </c>
      <c r="K46" s="179">
        <f t="shared" si="26"/>
        <v>3.52</v>
      </c>
      <c r="L46" s="188">
        <f t="shared" ref="L46:L48" si="27">K26*L$39+K$39*L26-K26*K$39</f>
        <v>4.6000000000000014</v>
      </c>
    </row>
    <row r="47" spans="1:12" x14ac:dyDescent="0.25">
      <c r="A47" s="126" t="s">
        <v>129</v>
      </c>
      <c r="B47" s="131" t="s">
        <v>105</v>
      </c>
      <c r="D47" s="134" t="s">
        <v>136</v>
      </c>
      <c r="E47" s="87">
        <f t="shared" ref="E47:E48" si="28">E27*F$39+E$39*F27-F27*F$39</f>
        <v>2.2549999999999999</v>
      </c>
      <c r="F47">
        <f t="shared" si="23"/>
        <v>3.8500000000000005</v>
      </c>
      <c r="G47">
        <f t="shared" si="23"/>
        <v>6.16</v>
      </c>
      <c r="H47" s="88">
        <f t="shared" si="24"/>
        <v>9.1550000000000011</v>
      </c>
      <c r="I47" s="87">
        <f t="shared" si="25"/>
        <v>2.7399999999999993</v>
      </c>
      <c r="J47">
        <f t="shared" si="26"/>
        <v>3.8500000000000005</v>
      </c>
      <c r="K47">
        <f t="shared" si="26"/>
        <v>6.16</v>
      </c>
      <c r="L47" s="88">
        <f t="shared" si="27"/>
        <v>8.129999999999999</v>
      </c>
    </row>
    <row r="48" spans="1:12" ht="15.75" thickBot="1" x14ac:dyDescent="0.3">
      <c r="A48" s="127" t="s">
        <v>129</v>
      </c>
      <c r="B48" s="132" t="s">
        <v>104</v>
      </c>
      <c r="D48" s="135" t="s">
        <v>135</v>
      </c>
      <c r="E48" s="91">
        <f t="shared" si="28"/>
        <v>3.8900000000000006</v>
      </c>
      <c r="F48" s="93">
        <f t="shared" si="23"/>
        <v>7</v>
      </c>
      <c r="G48" s="93">
        <f t="shared" si="23"/>
        <v>8</v>
      </c>
      <c r="H48" s="94">
        <f t="shared" si="24"/>
        <v>9.5</v>
      </c>
      <c r="I48" s="91">
        <f t="shared" si="25"/>
        <v>4.8099999999999987</v>
      </c>
      <c r="J48" s="93">
        <f t="shared" si="26"/>
        <v>7</v>
      </c>
      <c r="K48" s="93">
        <f t="shared" si="26"/>
        <v>8</v>
      </c>
      <c r="L48" s="94">
        <f t="shared" si="27"/>
        <v>9</v>
      </c>
    </row>
    <row r="49" spans="1:73" x14ac:dyDescent="0.25">
      <c r="A49" s="125" t="s">
        <v>130</v>
      </c>
      <c r="B49" s="130" t="s">
        <v>107</v>
      </c>
      <c r="D49" s="133" t="s">
        <v>139</v>
      </c>
      <c r="E49" s="81">
        <f>E25*F$40+E$40*F25-F25*F$40</f>
        <v>0</v>
      </c>
      <c r="F49" s="83">
        <f>F25*F$40</f>
        <v>0</v>
      </c>
      <c r="G49" s="83">
        <f>G25*G$40</f>
        <v>0</v>
      </c>
      <c r="H49" s="84">
        <f>G25*H$40+G$40*H25-G25*G$40</f>
        <v>0.66</v>
      </c>
      <c r="I49" s="81">
        <f>I25*J$40+I$40*J25-J25*J$40</f>
        <v>0</v>
      </c>
      <c r="J49" s="83">
        <f>J25*J$40</f>
        <v>0</v>
      </c>
      <c r="K49" s="83">
        <f>K25*K$40</f>
        <v>0</v>
      </c>
      <c r="L49" s="84">
        <f>K25*L$40+K$40*L25-K25*K$40</f>
        <v>0.44999999999999996</v>
      </c>
    </row>
    <row r="50" spans="1:73" x14ac:dyDescent="0.25">
      <c r="A50" s="126" t="s">
        <v>130</v>
      </c>
      <c r="B50" s="131" t="s">
        <v>106</v>
      </c>
      <c r="D50" s="134" t="s">
        <v>144</v>
      </c>
      <c r="E50" s="202">
        <f>IF(E26*F$40+E$40*F26-F26*F$40&lt;0,0,E26*F$40+E$40*F26-F26*F$40)</f>
        <v>0</v>
      </c>
      <c r="F50" s="179">
        <f t="shared" ref="F50:G52" si="29">F26*F$40</f>
        <v>0.44000000000000006</v>
      </c>
      <c r="G50" s="179">
        <f t="shared" si="29"/>
        <v>1.32</v>
      </c>
      <c r="H50" s="188">
        <f t="shared" ref="H50:H52" si="30">G26*H$40+G$40*H26-G26*G$40</f>
        <v>2.3099999999999996</v>
      </c>
      <c r="I50" s="187">
        <f t="shared" ref="I50:I52" si="31">I26*J$40+I$40*J26-J26*J$40</f>
        <v>5.3999999999999992E-2</v>
      </c>
      <c r="J50" s="179">
        <f t="shared" ref="J50:K52" si="32">J26*J$40</f>
        <v>0.44000000000000006</v>
      </c>
      <c r="K50" s="179">
        <f t="shared" si="32"/>
        <v>1.32</v>
      </c>
      <c r="L50" s="188">
        <f t="shared" ref="L50:L52" si="33">K26*L$40+K$40*L26-K26*K$40</f>
        <v>2</v>
      </c>
    </row>
    <row r="51" spans="1:73" x14ac:dyDescent="0.25">
      <c r="A51" s="126" t="s">
        <v>130</v>
      </c>
      <c r="B51" s="131" t="s">
        <v>105</v>
      </c>
      <c r="D51" s="134" t="s">
        <v>145</v>
      </c>
      <c r="E51" s="87">
        <f t="shared" ref="E51:E52" si="34">E27*F$40+E$40*F27-F27*F$40</f>
        <v>0.60499999999999998</v>
      </c>
      <c r="F51">
        <f t="shared" si="29"/>
        <v>1.1000000000000001</v>
      </c>
      <c r="G51">
        <f t="shared" si="29"/>
        <v>2.31</v>
      </c>
      <c r="H51" s="88">
        <f t="shared" si="30"/>
        <v>4.1549999999999994</v>
      </c>
      <c r="I51" s="87">
        <f t="shared" si="31"/>
        <v>0.77499999999999991</v>
      </c>
      <c r="J51">
        <f t="shared" si="32"/>
        <v>1.1000000000000001</v>
      </c>
      <c r="K51">
        <f t="shared" si="32"/>
        <v>2.31</v>
      </c>
      <c r="L51" s="88">
        <f t="shared" si="33"/>
        <v>3.53</v>
      </c>
    </row>
    <row r="52" spans="1:73" ht="15.75" thickBot="1" x14ac:dyDescent="0.3">
      <c r="A52" s="127" t="s">
        <v>130</v>
      </c>
      <c r="B52" s="132" t="s">
        <v>104</v>
      </c>
      <c r="D52" s="135" t="s">
        <v>146</v>
      </c>
      <c r="E52" s="91">
        <f t="shared" si="34"/>
        <v>1.04</v>
      </c>
      <c r="F52" s="93">
        <f t="shared" si="29"/>
        <v>2</v>
      </c>
      <c r="G52" s="93">
        <f t="shared" si="29"/>
        <v>3</v>
      </c>
      <c r="H52" s="94">
        <f t="shared" si="30"/>
        <v>4.5</v>
      </c>
      <c r="I52" s="91">
        <f t="shared" si="31"/>
        <v>1.3599999999999999</v>
      </c>
      <c r="J52" s="93">
        <f t="shared" si="32"/>
        <v>2</v>
      </c>
      <c r="K52" s="93">
        <f t="shared" si="32"/>
        <v>3</v>
      </c>
      <c r="L52" s="94">
        <f t="shared" si="33"/>
        <v>4</v>
      </c>
    </row>
    <row r="53" spans="1:73" x14ac:dyDescent="0.25">
      <c r="A53" s="125" t="s">
        <v>131</v>
      </c>
      <c r="B53" s="130" t="s">
        <v>107</v>
      </c>
      <c r="D53" s="133" t="s">
        <v>141</v>
      </c>
      <c r="E53" s="87">
        <f>E25*F$41+E$41*F25-F25*F$41</f>
        <v>0</v>
      </c>
      <c r="F53">
        <f>F25*F$41</f>
        <v>0</v>
      </c>
      <c r="G53">
        <f>G25*G$41</f>
        <v>0</v>
      </c>
      <c r="H53" s="88">
        <f>G25*H$41+G$41*H25-G25*G$41</f>
        <v>1.21</v>
      </c>
      <c r="I53" s="87">
        <f>I25*J$41+I$41*J25-J25*J$41</f>
        <v>0</v>
      </c>
      <c r="J53">
        <f>J25*J$41</f>
        <v>0</v>
      </c>
      <c r="K53">
        <f>K25*K$41</f>
        <v>0</v>
      </c>
      <c r="L53" s="88">
        <f>K25*L$41+K$41*L25-K25*K$41</f>
        <v>0.82499999999999996</v>
      </c>
    </row>
    <row r="54" spans="1:73" x14ac:dyDescent="0.25">
      <c r="A54" s="126" t="s">
        <v>131</v>
      </c>
      <c r="B54" s="131" t="s">
        <v>106</v>
      </c>
      <c r="D54" s="134" t="s">
        <v>140</v>
      </c>
      <c r="E54" s="202">
        <f>IF(E26*F$41+E$41*F26-F26*F$41&lt;0,0,E26*F$41+E$41*F26-F26*F$41)</f>
        <v>0</v>
      </c>
      <c r="F54" s="179">
        <f t="shared" ref="F54:G56" si="35">F26*F$41</f>
        <v>0.9900000000000001</v>
      </c>
      <c r="G54" s="179">
        <f t="shared" si="35"/>
        <v>2.42</v>
      </c>
      <c r="H54" s="188">
        <f t="shared" ref="H54:H56" si="36">G26*H$41+G$41*H26-G26*G$41</f>
        <v>3.6850000000000005</v>
      </c>
      <c r="I54" s="187">
        <f t="shared" ref="I54:I56" si="37">I26*J$41+I$41*J26-J26*J$41</f>
        <v>4.9999999999999933E-2</v>
      </c>
      <c r="J54" s="179">
        <f t="shared" ref="J54:K56" si="38">J26*J$41</f>
        <v>0.9900000000000001</v>
      </c>
      <c r="K54" s="179">
        <f t="shared" si="38"/>
        <v>2.42</v>
      </c>
      <c r="L54" s="188">
        <f t="shared" ref="L54:L56" si="39">K26*L$41+K$41*L26-K26*K$41</f>
        <v>3.3000000000000007</v>
      </c>
    </row>
    <row r="55" spans="1:73" x14ac:dyDescent="0.25">
      <c r="A55" s="126" t="s">
        <v>131</v>
      </c>
      <c r="B55" s="131" t="s">
        <v>105</v>
      </c>
      <c r="D55" s="134" t="s">
        <v>142</v>
      </c>
      <c r="E55" s="87">
        <f t="shared" ref="E55:E56" si="40">E27*F$41+E$41*F27-F27*F$41</f>
        <v>1.1550000000000002</v>
      </c>
      <c r="F55">
        <f t="shared" si="35"/>
        <v>2.4750000000000001</v>
      </c>
      <c r="G55">
        <f t="shared" si="35"/>
        <v>4.2350000000000003</v>
      </c>
      <c r="H55" s="88">
        <f t="shared" si="36"/>
        <v>6.6550000000000002</v>
      </c>
      <c r="I55" s="87">
        <f t="shared" si="37"/>
        <v>1.5650000000000008</v>
      </c>
      <c r="J55">
        <f t="shared" si="38"/>
        <v>2.4750000000000001</v>
      </c>
      <c r="K55">
        <f t="shared" si="38"/>
        <v>4.2350000000000003</v>
      </c>
      <c r="L55" s="88">
        <f t="shared" si="39"/>
        <v>5.830000000000001</v>
      </c>
    </row>
    <row r="56" spans="1:73" ht="15.75" thickBot="1" x14ac:dyDescent="0.3">
      <c r="A56" s="127" t="s">
        <v>131</v>
      </c>
      <c r="B56" s="132" t="s">
        <v>104</v>
      </c>
      <c r="D56" s="135" t="s">
        <v>143</v>
      </c>
      <c r="E56" s="91">
        <f t="shared" si="40"/>
        <v>1.9649999999999999</v>
      </c>
      <c r="F56" s="93">
        <f t="shared" si="35"/>
        <v>4.5</v>
      </c>
      <c r="G56" s="93">
        <f t="shared" si="35"/>
        <v>5.5</v>
      </c>
      <c r="H56" s="94">
        <f t="shared" si="36"/>
        <v>7</v>
      </c>
      <c r="I56" s="91">
        <f t="shared" si="37"/>
        <v>2.7349999999999994</v>
      </c>
      <c r="J56" s="93">
        <f t="shared" si="38"/>
        <v>4.5</v>
      </c>
      <c r="K56" s="93">
        <f t="shared" si="38"/>
        <v>5.5</v>
      </c>
      <c r="L56" s="94">
        <f t="shared" si="39"/>
        <v>6.5</v>
      </c>
    </row>
    <row r="59" spans="1:73" ht="18.75" x14ac:dyDescent="0.3">
      <c r="A59" s="149" t="s">
        <v>161</v>
      </c>
      <c r="B59" s="99"/>
      <c r="C59" s="99"/>
    </row>
    <row r="60" spans="1:73" x14ac:dyDescent="0.25">
      <c r="A60" s="1" t="s">
        <v>110</v>
      </c>
      <c r="B60" s="99"/>
      <c r="C60" s="99"/>
    </row>
    <row r="61" spans="1:73" ht="15.75" thickBot="1" x14ac:dyDescent="0.3">
      <c r="A61" s="100" t="s">
        <v>166</v>
      </c>
      <c r="B61" s="99"/>
      <c r="C61" s="99"/>
      <c r="BO61">
        <v>0.8</v>
      </c>
    </row>
    <row r="62" spans="1:73" ht="86.25" customHeight="1" thickBot="1" x14ac:dyDescent="0.3">
      <c r="A62" s="273" t="s">
        <v>85</v>
      </c>
      <c r="B62" s="273" t="s">
        <v>86</v>
      </c>
      <c r="C62" s="277" t="s">
        <v>87</v>
      </c>
      <c r="D62" s="278" t="s">
        <v>127</v>
      </c>
      <c r="E62" s="279"/>
      <c r="F62" s="279"/>
      <c r="G62" s="279" t="s">
        <v>128</v>
      </c>
      <c r="H62" s="279"/>
      <c r="I62" s="279"/>
      <c r="J62" s="286" t="s">
        <v>157</v>
      </c>
      <c r="K62" s="280" t="s">
        <v>150</v>
      </c>
      <c r="L62" s="281"/>
      <c r="M62" s="281"/>
      <c r="N62" s="281"/>
      <c r="O62" s="281"/>
      <c r="P62" s="281"/>
      <c r="Q62" s="281"/>
      <c r="R62" s="282"/>
      <c r="S62" s="280" t="s">
        <v>148</v>
      </c>
      <c r="T62" s="281"/>
      <c r="U62" s="281"/>
      <c r="V62" s="281"/>
      <c r="W62" s="281"/>
      <c r="X62" s="281"/>
      <c r="Y62" s="281"/>
      <c r="Z62" s="282"/>
      <c r="AA62" s="280" t="s">
        <v>149</v>
      </c>
      <c r="AB62" s="281"/>
      <c r="AC62" s="281"/>
      <c r="AD62" s="281"/>
      <c r="AE62" s="281"/>
      <c r="AF62" s="281"/>
      <c r="AG62" s="281"/>
      <c r="AH62" s="282"/>
      <c r="AI62" s="280" t="s">
        <v>147</v>
      </c>
      <c r="AJ62" s="281"/>
      <c r="AK62" s="281"/>
      <c r="AL62" s="281"/>
      <c r="AM62" s="281"/>
      <c r="AN62" s="281"/>
      <c r="AO62" s="281"/>
      <c r="AP62" s="282"/>
      <c r="AQ62" s="280" t="s">
        <v>158</v>
      </c>
      <c r="AR62" s="281"/>
      <c r="AS62" s="281"/>
      <c r="AT62" s="281"/>
      <c r="AU62" s="281"/>
      <c r="AV62" s="281"/>
      <c r="AW62" s="281"/>
      <c r="AX62" s="282"/>
      <c r="AY62" s="280" t="s">
        <v>159</v>
      </c>
      <c r="AZ62" s="281"/>
      <c r="BA62" s="281"/>
      <c r="BB62" s="281"/>
      <c r="BC62" s="281"/>
      <c r="BD62" s="281"/>
      <c r="BE62" s="281"/>
      <c r="BF62" s="282"/>
      <c r="BG62" s="280" t="s">
        <v>205</v>
      </c>
      <c r="BH62" s="281"/>
      <c r="BI62" s="281"/>
      <c r="BJ62" s="281"/>
      <c r="BK62" s="281"/>
      <c r="BL62" s="281"/>
      <c r="BM62" s="281"/>
      <c r="BN62" s="282"/>
      <c r="BO62" s="292" t="s">
        <v>151</v>
      </c>
      <c r="BP62" s="293"/>
      <c r="BQ62" s="293"/>
      <c r="BR62" s="294"/>
      <c r="BS62" s="288" t="s">
        <v>153</v>
      </c>
      <c r="BT62" s="289"/>
      <c r="BU62" s="290" t="s">
        <v>156</v>
      </c>
    </row>
    <row r="63" spans="1:73" s="97" customFormat="1" ht="23.25" customHeight="1" thickBot="1" x14ac:dyDescent="0.3">
      <c r="A63" s="273"/>
      <c r="B63" s="273"/>
      <c r="C63" s="277"/>
      <c r="D63" s="122" t="s">
        <v>114</v>
      </c>
      <c r="E63" s="107" t="s">
        <v>115</v>
      </c>
      <c r="F63" s="107" t="s">
        <v>116</v>
      </c>
      <c r="G63" s="107" t="s">
        <v>114</v>
      </c>
      <c r="H63" s="107" t="s">
        <v>115</v>
      </c>
      <c r="I63" s="107" t="s">
        <v>116</v>
      </c>
      <c r="J63" s="287"/>
      <c r="K63" s="280" t="s">
        <v>17</v>
      </c>
      <c r="L63" s="281"/>
      <c r="M63" s="281"/>
      <c r="N63" s="282"/>
      <c r="O63" s="280" t="s">
        <v>18</v>
      </c>
      <c r="P63" s="281"/>
      <c r="Q63" s="281"/>
      <c r="R63" s="282"/>
      <c r="S63" s="280" t="s">
        <v>17</v>
      </c>
      <c r="T63" s="281"/>
      <c r="U63" s="281"/>
      <c r="V63" s="282"/>
      <c r="W63" s="280" t="s">
        <v>18</v>
      </c>
      <c r="X63" s="281"/>
      <c r="Y63" s="281"/>
      <c r="Z63" s="282"/>
      <c r="AA63" s="280" t="s">
        <v>17</v>
      </c>
      <c r="AB63" s="281"/>
      <c r="AC63" s="281"/>
      <c r="AD63" s="282"/>
      <c r="AE63" s="280" t="s">
        <v>18</v>
      </c>
      <c r="AF63" s="281"/>
      <c r="AG63" s="281"/>
      <c r="AH63" s="282"/>
      <c r="AI63" s="280" t="s">
        <v>17</v>
      </c>
      <c r="AJ63" s="281"/>
      <c r="AK63" s="281"/>
      <c r="AL63" s="282"/>
      <c r="AM63" s="280" t="s">
        <v>18</v>
      </c>
      <c r="AN63" s="281"/>
      <c r="AO63" s="281"/>
      <c r="AP63" s="282"/>
      <c r="AQ63" s="280" t="s">
        <v>17</v>
      </c>
      <c r="AR63" s="281"/>
      <c r="AS63" s="281"/>
      <c r="AT63" s="282"/>
      <c r="AU63" s="280" t="s">
        <v>18</v>
      </c>
      <c r="AV63" s="281"/>
      <c r="AW63" s="281"/>
      <c r="AX63" s="282"/>
      <c r="AY63" s="280" t="s">
        <v>17</v>
      </c>
      <c r="AZ63" s="281"/>
      <c r="BA63" s="281"/>
      <c r="BB63" s="282"/>
      <c r="BC63" s="280" t="s">
        <v>18</v>
      </c>
      <c r="BD63" s="281"/>
      <c r="BE63" s="281"/>
      <c r="BF63" s="282"/>
      <c r="BG63" s="280" t="s">
        <v>17</v>
      </c>
      <c r="BH63" s="281"/>
      <c r="BI63" s="281"/>
      <c r="BJ63" s="282"/>
      <c r="BK63" s="280" t="s">
        <v>18</v>
      </c>
      <c r="BL63" s="281"/>
      <c r="BM63" s="281"/>
      <c r="BN63" s="282"/>
      <c r="BO63" s="295" t="s">
        <v>152</v>
      </c>
      <c r="BP63" s="296"/>
      <c r="BQ63" s="295" t="s">
        <v>26</v>
      </c>
      <c r="BR63" s="297"/>
      <c r="BS63" s="145" t="s">
        <v>154</v>
      </c>
      <c r="BT63" s="145" t="s">
        <v>155</v>
      </c>
      <c r="BU63" s="291"/>
    </row>
    <row r="64" spans="1:73" ht="30" x14ac:dyDescent="0.25">
      <c r="A64" s="102" t="s">
        <v>8</v>
      </c>
      <c r="B64" s="102" t="s">
        <v>84</v>
      </c>
      <c r="C64" s="121" t="s">
        <v>72</v>
      </c>
      <c r="D64" s="156" t="s">
        <v>106</v>
      </c>
      <c r="E64" s="156" t="s">
        <v>105</v>
      </c>
      <c r="F64" s="156" t="s">
        <v>104</v>
      </c>
      <c r="G64" s="110">
        <f>IF(D64=$A$77,$B$77,(IF(D64=$A$78,$B$78,IF(D64=$A$79,$B$79,$B$80))))</f>
        <v>0.33</v>
      </c>
      <c r="H64" s="110">
        <f t="shared" ref="H64:I73" si="41">IF(E64=$A$77,$B$77,(IF(E64=$A$78,$B$78,IF(E64=$A$79,$B$79,$B$80))))</f>
        <v>0.66</v>
      </c>
      <c r="I64" s="110">
        <f t="shared" si="41"/>
        <v>1</v>
      </c>
      <c r="J64" s="147">
        <f>G64*$D$91+H64*$D$92+I64*$D$93</f>
        <v>12.425000000000001</v>
      </c>
      <c r="K64" s="81">
        <v>0</v>
      </c>
      <c r="L64" s="83">
        <v>0.22000000000000003</v>
      </c>
      <c r="M64" s="83">
        <v>0.44</v>
      </c>
      <c r="N64" s="84">
        <v>0.55000000000000004</v>
      </c>
      <c r="O64" s="81">
        <v>0.06</v>
      </c>
      <c r="P64" s="83">
        <v>0.22000000000000003</v>
      </c>
      <c r="Q64" s="83">
        <v>0.44</v>
      </c>
      <c r="R64" s="84">
        <v>0.52</v>
      </c>
      <c r="S64" s="81">
        <v>0.44000000000000006</v>
      </c>
      <c r="T64" s="83">
        <v>0.55000000000000004</v>
      </c>
      <c r="U64" s="83">
        <v>0.77</v>
      </c>
      <c r="V64" s="84">
        <v>1</v>
      </c>
      <c r="W64" s="81">
        <v>0.47000000000000003</v>
      </c>
      <c r="X64" s="83">
        <v>0.55000000000000004</v>
      </c>
      <c r="Y64" s="83">
        <v>0.77</v>
      </c>
      <c r="Z64" s="84">
        <v>0.92</v>
      </c>
      <c r="AA64" s="81">
        <v>0.77</v>
      </c>
      <c r="AB64" s="83">
        <v>1</v>
      </c>
      <c r="AC64" s="83">
        <v>1</v>
      </c>
      <c r="AD64" s="84">
        <v>1</v>
      </c>
      <c r="AE64" s="81">
        <v>0.83</v>
      </c>
      <c r="AF64" s="83">
        <v>1</v>
      </c>
      <c r="AG64" s="83">
        <v>1</v>
      </c>
      <c r="AH64" s="84">
        <v>1</v>
      </c>
      <c r="AI64" s="185">
        <v>0</v>
      </c>
      <c r="AJ64" s="200">
        <v>1.5400000000000003</v>
      </c>
      <c r="AK64" s="200">
        <v>3.52</v>
      </c>
      <c r="AL64" s="186">
        <v>5.0600000000000005</v>
      </c>
      <c r="AM64" s="185">
        <v>0.19999999999999996</v>
      </c>
      <c r="AN64" s="200">
        <v>1.5400000000000003</v>
      </c>
      <c r="AO64" s="200">
        <v>3.52</v>
      </c>
      <c r="AP64" s="186">
        <v>4.6000000000000014</v>
      </c>
      <c r="AQ64" s="81">
        <v>2.2549999999999999</v>
      </c>
      <c r="AR64" s="83">
        <v>3.8500000000000005</v>
      </c>
      <c r="AS64" s="83">
        <v>6.16</v>
      </c>
      <c r="AT64" s="83">
        <v>9.1550000000000011</v>
      </c>
      <c r="AU64" s="81">
        <v>2.7399999999999993</v>
      </c>
      <c r="AV64" s="83">
        <v>3.8500000000000005</v>
      </c>
      <c r="AW64" s="83">
        <v>6.16</v>
      </c>
      <c r="AX64" s="84">
        <v>8.129999999999999</v>
      </c>
      <c r="AY64" s="81">
        <v>1.9649999999999999</v>
      </c>
      <c r="AZ64" s="83">
        <v>4.5</v>
      </c>
      <c r="BA64" s="83">
        <v>5.5</v>
      </c>
      <c r="BB64" s="83">
        <v>7</v>
      </c>
      <c r="BC64" s="81">
        <v>2.7349999999999994</v>
      </c>
      <c r="BD64" s="83">
        <v>4.5</v>
      </c>
      <c r="BE64" s="83">
        <v>5.5</v>
      </c>
      <c r="BF64" s="84">
        <v>6.5</v>
      </c>
      <c r="BG64" s="81">
        <f>AI64+AQ64+AY64</f>
        <v>4.22</v>
      </c>
      <c r="BH64" s="83">
        <f t="shared" ref="BH64:BN73" si="42">AJ64+AR64+AZ64</f>
        <v>9.89</v>
      </c>
      <c r="BI64" s="83">
        <f t="shared" si="42"/>
        <v>15.18</v>
      </c>
      <c r="BJ64" s="83">
        <f t="shared" si="42"/>
        <v>21.215000000000003</v>
      </c>
      <c r="BK64" s="81">
        <f t="shared" si="42"/>
        <v>5.6749999999999989</v>
      </c>
      <c r="BL64" s="83">
        <f t="shared" si="42"/>
        <v>9.89</v>
      </c>
      <c r="BM64" s="83">
        <f t="shared" si="42"/>
        <v>15.18</v>
      </c>
      <c r="BN64" s="83">
        <f t="shared" si="42"/>
        <v>19.23</v>
      </c>
      <c r="BO64" s="136">
        <f>BO$9*BH64+(1-BO$9)*BG64</f>
        <v>8.7560000000000002</v>
      </c>
      <c r="BP64" s="142">
        <f>BO$9*BI64+(1-BO$9)*BJ64</f>
        <v>16.387</v>
      </c>
      <c r="BQ64" s="136">
        <f>BO$9*BL64+(1-BO$9)*BK64</f>
        <v>9.0470000000000006</v>
      </c>
      <c r="BR64" s="137">
        <f>BO$9*BM64+(1-BO$9)*BN64</f>
        <v>15.989999999999998</v>
      </c>
      <c r="BS64" s="81">
        <f>(BO64+BP64)/2</f>
        <v>12.5715</v>
      </c>
      <c r="BT64" s="84">
        <f>(BQ64+BR64)/2</f>
        <v>12.5185</v>
      </c>
      <c r="BU64" s="133">
        <f>(BS64+BT64)/2</f>
        <v>12.545</v>
      </c>
    </row>
    <row r="65" spans="1:73" x14ac:dyDescent="0.25">
      <c r="A65" s="102" t="s">
        <v>9</v>
      </c>
      <c r="B65" s="102" t="s">
        <v>73</v>
      </c>
      <c r="C65" s="121" t="s">
        <v>88</v>
      </c>
      <c r="D65" s="156" t="s">
        <v>106</v>
      </c>
      <c r="E65" s="156" t="s">
        <v>106</v>
      </c>
      <c r="F65" s="156" t="s">
        <v>105</v>
      </c>
      <c r="G65" s="110">
        <f t="shared" ref="G65:G73" si="43">IF(D65=$A$77,$B$77,(IF(D65=$A$78,$B$78,IF(D65=$A$79,$B$79,$B$80))))</f>
        <v>0.33</v>
      </c>
      <c r="H65" s="110">
        <f t="shared" si="41"/>
        <v>0.33</v>
      </c>
      <c r="I65" s="110">
        <f t="shared" si="41"/>
        <v>0.66</v>
      </c>
      <c r="J65" s="147">
        <f t="shared" ref="J65:J73" si="44">G65*$D$91+H65*$D$92+I65*$D$93</f>
        <v>8.25</v>
      </c>
      <c r="K65" s="87">
        <v>0</v>
      </c>
      <c r="L65">
        <v>0.22000000000000003</v>
      </c>
      <c r="M65">
        <v>0.44</v>
      </c>
      <c r="N65" s="88">
        <v>0.55000000000000004</v>
      </c>
      <c r="O65" s="87">
        <v>0.06</v>
      </c>
      <c r="P65">
        <v>0.22000000000000003</v>
      </c>
      <c r="Q65">
        <v>0.44</v>
      </c>
      <c r="R65" s="88">
        <v>0.52</v>
      </c>
      <c r="S65" s="87">
        <v>0</v>
      </c>
      <c r="T65">
        <v>0.22000000000000003</v>
      </c>
      <c r="U65">
        <v>0.44</v>
      </c>
      <c r="V65" s="88">
        <v>0.55000000000000004</v>
      </c>
      <c r="W65" s="87">
        <v>0.06</v>
      </c>
      <c r="X65">
        <v>0.22000000000000003</v>
      </c>
      <c r="Y65">
        <v>0.44</v>
      </c>
      <c r="Z65" s="88">
        <v>0.52</v>
      </c>
      <c r="AA65" s="87">
        <v>0.44000000000000006</v>
      </c>
      <c r="AB65">
        <v>0.55000000000000004</v>
      </c>
      <c r="AC65">
        <v>0.77</v>
      </c>
      <c r="AD65" s="88">
        <v>1</v>
      </c>
      <c r="AE65" s="87">
        <v>0.47000000000000003</v>
      </c>
      <c r="AF65">
        <v>0.55000000000000004</v>
      </c>
      <c r="AG65">
        <v>0.77</v>
      </c>
      <c r="AH65" s="88">
        <v>0.92</v>
      </c>
      <c r="AI65" s="187">
        <v>0</v>
      </c>
      <c r="AJ65" s="179">
        <v>1.5400000000000003</v>
      </c>
      <c r="AK65" s="179">
        <v>3.52</v>
      </c>
      <c r="AL65" s="188">
        <v>5.0600000000000005</v>
      </c>
      <c r="AM65" s="187">
        <v>0.19999999999999996</v>
      </c>
      <c r="AN65" s="179">
        <v>1.5400000000000003</v>
      </c>
      <c r="AO65" s="179">
        <v>3.52</v>
      </c>
      <c r="AP65" s="188">
        <v>4.6000000000000014</v>
      </c>
      <c r="AQ65" s="187">
        <v>0</v>
      </c>
      <c r="AR65" s="179">
        <v>1.5400000000000003</v>
      </c>
      <c r="AS65" s="179">
        <v>3.52</v>
      </c>
      <c r="AT65" s="179">
        <v>5.0600000000000005</v>
      </c>
      <c r="AU65" s="187">
        <v>0.19999999999999996</v>
      </c>
      <c r="AV65" s="179">
        <v>1.5400000000000003</v>
      </c>
      <c r="AW65" s="179">
        <v>3.52</v>
      </c>
      <c r="AX65" s="188">
        <v>4.6000000000000014</v>
      </c>
      <c r="AY65" s="87">
        <v>1.1550000000000002</v>
      </c>
      <c r="AZ65">
        <v>2.4750000000000001</v>
      </c>
      <c r="BA65">
        <v>4.2350000000000003</v>
      </c>
      <c r="BB65">
        <v>6.6550000000000002</v>
      </c>
      <c r="BC65" s="87">
        <v>1.5650000000000008</v>
      </c>
      <c r="BD65">
        <v>2.4750000000000001</v>
      </c>
      <c r="BE65">
        <v>4.2350000000000003</v>
      </c>
      <c r="BF65" s="88">
        <v>5.830000000000001</v>
      </c>
      <c r="BG65" s="87">
        <f t="shared" ref="BG65:BG73" si="45">AI65+AQ65+AY65</f>
        <v>1.1550000000000002</v>
      </c>
      <c r="BH65">
        <f t="shared" si="42"/>
        <v>5.5550000000000006</v>
      </c>
      <c r="BI65">
        <f t="shared" si="42"/>
        <v>11.275</v>
      </c>
      <c r="BJ65">
        <f t="shared" si="42"/>
        <v>16.775000000000002</v>
      </c>
      <c r="BK65" s="87">
        <f t="shared" si="42"/>
        <v>1.9650000000000007</v>
      </c>
      <c r="BL65">
        <f t="shared" si="42"/>
        <v>5.5550000000000006</v>
      </c>
      <c r="BM65">
        <f t="shared" si="42"/>
        <v>11.275</v>
      </c>
      <c r="BN65">
        <f t="shared" si="42"/>
        <v>15.030000000000005</v>
      </c>
      <c r="BO65" s="138">
        <f t="shared" ref="BO65:BO73" si="46">BO$9*BH65+(1-BO$9)*BG65</f>
        <v>4.6750000000000007</v>
      </c>
      <c r="BP65" s="143">
        <f t="shared" ref="BP65:BP73" si="47">BO$9*BI65+(1-BO$9)*BJ65</f>
        <v>12.375</v>
      </c>
      <c r="BQ65" s="138">
        <f t="shared" ref="BQ65:BQ73" si="48">BO$9*BL65+(1-BO$9)*BK65</f>
        <v>4.8370000000000006</v>
      </c>
      <c r="BR65" s="139">
        <f t="shared" ref="BR65:BR73" si="49">BO$9*BM65+(1-BO$9)*BN65</f>
        <v>12.026000000000002</v>
      </c>
      <c r="BS65" s="87">
        <f t="shared" ref="BS65:BS73" si="50">(BO65+BP65)/2</f>
        <v>8.5250000000000004</v>
      </c>
      <c r="BT65" s="88">
        <f t="shared" ref="BT65:BT73" si="51">(BQ65+BR65)/2</f>
        <v>8.4315000000000015</v>
      </c>
      <c r="BU65" s="134">
        <f t="shared" ref="BU65:BU73" si="52">(BS65+BT65)/2</f>
        <v>8.478250000000001</v>
      </c>
    </row>
    <row r="66" spans="1:73" x14ac:dyDescent="0.25">
      <c r="A66" s="102" t="s">
        <v>10</v>
      </c>
      <c r="B66" s="102" t="s">
        <v>74</v>
      </c>
      <c r="C66" s="121" t="s">
        <v>89</v>
      </c>
      <c r="D66" s="156" t="s">
        <v>105</v>
      </c>
      <c r="E66" s="156" t="s">
        <v>104</v>
      </c>
      <c r="F66" s="156" t="s">
        <v>105</v>
      </c>
      <c r="G66" s="110">
        <f t="shared" si="43"/>
        <v>0.66</v>
      </c>
      <c r="H66" s="110">
        <f t="shared" si="41"/>
        <v>1</v>
      </c>
      <c r="I66" s="110">
        <f t="shared" si="41"/>
        <v>0.66</v>
      </c>
      <c r="J66" s="147">
        <f t="shared" si="44"/>
        <v>15.75</v>
      </c>
      <c r="K66" s="87">
        <v>0.44000000000000006</v>
      </c>
      <c r="L66">
        <v>0.55000000000000004</v>
      </c>
      <c r="M66">
        <v>0.77</v>
      </c>
      <c r="N66" s="88">
        <v>1</v>
      </c>
      <c r="O66" s="87">
        <v>0.47000000000000003</v>
      </c>
      <c r="P66">
        <v>0.55000000000000004</v>
      </c>
      <c r="Q66">
        <v>0.77</v>
      </c>
      <c r="R66" s="88">
        <v>0.92</v>
      </c>
      <c r="S66" s="87">
        <v>0.77</v>
      </c>
      <c r="T66">
        <v>1</v>
      </c>
      <c r="U66">
        <v>1</v>
      </c>
      <c r="V66" s="88">
        <v>1</v>
      </c>
      <c r="W66" s="87">
        <v>0.83</v>
      </c>
      <c r="X66">
        <v>1</v>
      </c>
      <c r="Y66">
        <v>1</v>
      </c>
      <c r="Z66" s="88">
        <v>1</v>
      </c>
      <c r="AA66" s="87">
        <v>0.44000000000000006</v>
      </c>
      <c r="AB66">
        <v>0.55000000000000004</v>
      </c>
      <c r="AC66">
        <v>0.77</v>
      </c>
      <c r="AD66" s="88">
        <v>1</v>
      </c>
      <c r="AE66" s="87">
        <v>0.47000000000000003</v>
      </c>
      <c r="AF66">
        <v>0.55000000000000004</v>
      </c>
      <c r="AG66">
        <v>0.77</v>
      </c>
      <c r="AH66" s="88">
        <v>0.92</v>
      </c>
      <c r="AI66" s="87">
        <v>2.2549999999999999</v>
      </c>
      <c r="AJ66">
        <v>3.8500000000000005</v>
      </c>
      <c r="AK66">
        <v>6.16</v>
      </c>
      <c r="AL66" s="88">
        <v>9.1550000000000011</v>
      </c>
      <c r="AM66" s="87">
        <v>2.7399999999999993</v>
      </c>
      <c r="AN66">
        <v>3.8500000000000005</v>
      </c>
      <c r="AO66">
        <v>6.16</v>
      </c>
      <c r="AP66" s="88">
        <v>8.129999999999999</v>
      </c>
      <c r="AQ66" s="87">
        <v>3.8900000000000006</v>
      </c>
      <c r="AR66">
        <v>7</v>
      </c>
      <c r="AS66">
        <v>8</v>
      </c>
      <c r="AT66">
        <v>9.5</v>
      </c>
      <c r="AU66" s="87">
        <v>4.8099999999999987</v>
      </c>
      <c r="AV66">
        <v>7</v>
      </c>
      <c r="AW66">
        <v>8</v>
      </c>
      <c r="AX66" s="88">
        <v>9</v>
      </c>
      <c r="AY66" s="87">
        <v>1.1550000000000002</v>
      </c>
      <c r="AZ66">
        <v>2.4750000000000001</v>
      </c>
      <c r="BA66">
        <v>4.2350000000000003</v>
      </c>
      <c r="BB66">
        <v>6.6550000000000002</v>
      </c>
      <c r="BC66" s="87">
        <v>1.5650000000000008</v>
      </c>
      <c r="BD66">
        <v>2.4750000000000001</v>
      </c>
      <c r="BE66">
        <v>4.2350000000000003</v>
      </c>
      <c r="BF66" s="88">
        <v>5.830000000000001</v>
      </c>
      <c r="BG66" s="87">
        <f t="shared" si="45"/>
        <v>7.3000000000000007</v>
      </c>
      <c r="BH66">
        <f t="shared" si="42"/>
        <v>13.325000000000001</v>
      </c>
      <c r="BI66">
        <f t="shared" si="42"/>
        <v>18.395</v>
      </c>
      <c r="BJ66">
        <f t="shared" si="42"/>
        <v>25.310000000000002</v>
      </c>
      <c r="BK66" s="87">
        <f t="shared" si="42"/>
        <v>9.1149999999999984</v>
      </c>
      <c r="BL66">
        <f t="shared" si="42"/>
        <v>13.325000000000001</v>
      </c>
      <c r="BM66">
        <f t="shared" si="42"/>
        <v>18.395</v>
      </c>
      <c r="BN66">
        <f t="shared" si="42"/>
        <v>22.96</v>
      </c>
      <c r="BO66" s="138">
        <f t="shared" si="46"/>
        <v>12.120000000000001</v>
      </c>
      <c r="BP66" s="143">
        <f t="shared" si="47"/>
        <v>19.777999999999999</v>
      </c>
      <c r="BQ66" s="138">
        <f t="shared" si="48"/>
        <v>12.483000000000001</v>
      </c>
      <c r="BR66" s="139">
        <f t="shared" si="49"/>
        <v>19.308</v>
      </c>
      <c r="BS66" s="87">
        <f t="shared" si="50"/>
        <v>15.949</v>
      </c>
      <c r="BT66" s="88">
        <f t="shared" si="51"/>
        <v>15.8955</v>
      </c>
      <c r="BU66" s="134">
        <f t="shared" si="52"/>
        <v>15.92225</v>
      </c>
    </row>
    <row r="67" spans="1:73" x14ac:dyDescent="0.25">
      <c r="A67" s="102" t="s">
        <v>65</v>
      </c>
      <c r="B67" s="102" t="s">
        <v>75</v>
      </c>
      <c r="C67" s="121" t="s">
        <v>76</v>
      </c>
      <c r="D67" s="156" t="s">
        <v>104</v>
      </c>
      <c r="E67" s="156" t="s">
        <v>105</v>
      </c>
      <c r="F67" s="156" t="s">
        <v>106</v>
      </c>
      <c r="G67" s="110">
        <f t="shared" si="43"/>
        <v>1</v>
      </c>
      <c r="H67" s="110">
        <f t="shared" si="41"/>
        <v>0.66</v>
      </c>
      <c r="I67" s="110">
        <f t="shared" si="41"/>
        <v>0.33</v>
      </c>
      <c r="J67" s="147">
        <f t="shared" si="44"/>
        <v>14.1</v>
      </c>
      <c r="K67" s="87">
        <v>0.77</v>
      </c>
      <c r="L67">
        <v>1</v>
      </c>
      <c r="M67">
        <v>1</v>
      </c>
      <c r="N67" s="88">
        <v>1</v>
      </c>
      <c r="O67" s="87">
        <v>0.83</v>
      </c>
      <c r="P67">
        <v>1</v>
      </c>
      <c r="Q67">
        <v>1</v>
      </c>
      <c r="R67" s="88">
        <v>1</v>
      </c>
      <c r="S67" s="87">
        <v>0.44000000000000006</v>
      </c>
      <c r="T67">
        <v>0.55000000000000004</v>
      </c>
      <c r="U67">
        <v>0.77</v>
      </c>
      <c r="V67" s="88">
        <v>1</v>
      </c>
      <c r="W67" s="87">
        <v>0.47000000000000003</v>
      </c>
      <c r="X67">
        <v>0.55000000000000004</v>
      </c>
      <c r="Y67">
        <v>0.77</v>
      </c>
      <c r="Z67" s="88">
        <v>0.92</v>
      </c>
      <c r="AA67" s="87">
        <v>0</v>
      </c>
      <c r="AB67">
        <v>0.22000000000000003</v>
      </c>
      <c r="AC67">
        <v>0.44</v>
      </c>
      <c r="AD67" s="88">
        <v>0.55000000000000004</v>
      </c>
      <c r="AE67" s="87">
        <v>0.06</v>
      </c>
      <c r="AF67">
        <v>0.22000000000000003</v>
      </c>
      <c r="AG67">
        <v>0.44</v>
      </c>
      <c r="AH67" s="88">
        <v>0.52</v>
      </c>
      <c r="AI67" s="87">
        <v>3.8900000000000006</v>
      </c>
      <c r="AJ67">
        <v>7</v>
      </c>
      <c r="AK67">
        <v>8</v>
      </c>
      <c r="AL67" s="88">
        <v>9.5</v>
      </c>
      <c r="AM67" s="87">
        <v>4.8099999999999987</v>
      </c>
      <c r="AN67">
        <v>7</v>
      </c>
      <c r="AO67">
        <v>8</v>
      </c>
      <c r="AP67" s="88">
        <v>9</v>
      </c>
      <c r="AQ67" s="87">
        <v>2.2549999999999999</v>
      </c>
      <c r="AR67">
        <v>3.8500000000000005</v>
      </c>
      <c r="AS67">
        <v>6.16</v>
      </c>
      <c r="AT67">
        <v>9.1550000000000011</v>
      </c>
      <c r="AU67" s="87">
        <v>2.7399999999999993</v>
      </c>
      <c r="AV67">
        <v>3.8500000000000005</v>
      </c>
      <c r="AW67">
        <v>6.16</v>
      </c>
      <c r="AX67" s="88">
        <v>8.129999999999999</v>
      </c>
      <c r="AY67" s="187">
        <v>0</v>
      </c>
      <c r="AZ67" s="179">
        <v>0.9900000000000001</v>
      </c>
      <c r="BA67" s="179">
        <v>2.42</v>
      </c>
      <c r="BB67" s="179">
        <v>3.6850000000000005</v>
      </c>
      <c r="BC67" s="187">
        <v>4.9999999999999933E-2</v>
      </c>
      <c r="BD67" s="179">
        <v>0.9900000000000001</v>
      </c>
      <c r="BE67" s="179">
        <v>2.42</v>
      </c>
      <c r="BF67" s="188">
        <v>3.3000000000000007</v>
      </c>
      <c r="BG67" s="87">
        <f t="shared" si="45"/>
        <v>6.1450000000000005</v>
      </c>
      <c r="BH67">
        <f t="shared" si="42"/>
        <v>11.840000000000002</v>
      </c>
      <c r="BI67">
        <f t="shared" si="42"/>
        <v>16.579999999999998</v>
      </c>
      <c r="BJ67">
        <f t="shared" si="42"/>
        <v>22.340000000000003</v>
      </c>
      <c r="BK67" s="87">
        <f t="shared" si="42"/>
        <v>7.5999999999999979</v>
      </c>
      <c r="BL67">
        <f t="shared" si="42"/>
        <v>11.840000000000002</v>
      </c>
      <c r="BM67">
        <f t="shared" si="42"/>
        <v>16.579999999999998</v>
      </c>
      <c r="BN67">
        <f t="shared" si="42"/>
        <v>20.43</v>
      </c>
      <c r="BO67" s="138">
        <f t="shared" si="46"/>
        <v>10.701000000000001</v>
      </c>
      <c r="BP67" s="143">
        <f t="shared" si="47"/>
        <v>17.731999999999999</v>
      </c>
      <c r="BQ67" s="138">
        <f t="shared" si="48"/>
        <v>10.992000000000001</v>
      </c>
      <c r="BR67" s="139">
        <f t="shared" si="49"/>
        <v>17.349999999999998</v>
      </c>
      <c r="BS67" s="87">
        <f t="shared" si="50"/>
        <v>14.2165</v>
      </c>
      <c r="BT67" s="88">
        <f t="shared" si="51"/>
        <v>14.170999999999999</v>
      </c>
      <c r="BU67" s="134">
        <f t="shared" si="52"/>
        <v>14.19375</v>
      </c>
    </row>
    <row r="68" spans="1:73" ht="30" x14ac:dyDescent="0.25">
      <c r="A68" s="102" t="s">
        <v>66</v>
      </c>
      <c r="B68" s="102" t="s">
        <v>77</v>
      </c>
      <c r="C68" s="121" t="s">
        <v>90</v>
      </c>
      <c r="D68" s="156" t="s">
        <v>105</v>
      </c>
      <c r="E68" s="156" t="s">
        <v>104</v>
      </c>
      <c r="F68" s="156" t="s">
        <v>105</v>
      </c>
      <c r="G68" s="110">
        <f t="shared" si="43"/>
        <v>0.66</v>
      </c>
      <c r="H68" s="110">
        <f t="shared" si="41"/>
        <v>1</v>
      </c>
      <c r="I68" s="110">
        <f t="shared" si="41"/>
        <v>0.66</v>
      </c>
      <c r="J68" s="147">
        <f t="shared" si="44"/>
        <v>15.75</v>
      </c>
      <c r="K68" s="87">
        <v>0.44000000000000006</v>
      </c>
      <c r="L68">
        <v>0.55000000000000004</v>
      </c>
      <c r="M68">
        <v>0.77</v>
      </c>
      <c r="N68" s="88">
        <v>1</v>
      </c>
      <c r="O68" s="87">
        <v>0.47000000000000003</v>
      </c>
      <c r="P68">
        <v>0.55000000000000004</v>
      </c>
      <c r="Q68">
        <v>0.77</v>
      </c>
      <c r="R68" s="88">
        <v>0.92</v>
      </c>
      <c r="S68" s="87">
        <v>0.77</v>
      </c>
      <c r="T68">
        <v>1</v>
      </c>
      <c r="U68">
        <v>1</v>
      </c>
      <c r="V68" s="88">
        <v>1</v>
      </c>
      <c r="W68" s="87">
        <v>0.83</v>
      </c>
      <c r="X68">
        <v>1</v>
      </c>
      <c r="Y68">
        <v>1</v>
      </c>
      <c r="Z68" s="88">
        <v>1</v>
      </c>
      <c r="AA68" s="87">
        <v>0.44000000000000006</v>
      </c>
      <c r="AB68">
        <v>0.55000000000000004</v>
      </c>
      <c r="AC68">
        <v>0.77</v>
      </c>
      <c r="AD68" s="88">
        <v>1</v>
      </c>
      <c r="AE68" s="87">
        <v>0.47000000000000003</v>
      </c>
      <c r="AF68">
        <v>0.55000000000000004</v>
      </c>
      <c r="AG68">
        <v>0.77</v>
      </c>
      <c r="AH68" s="88">
        <v>0.92</v>
      </c>
      <c r="AI68" s="87">
        <v>2.2549999999999999</v>
      </c>
      <c r="AJ68">
        <v>3.8500000000000005</v>
      </c>
      <c r="AK68">
        <v>6.16</v>
      </c>
      <c r="AL68" s="88">
        <v>9.1550000000000011</v>
      </c>
      <c r="AM68" s="87">
        <v>2.7399999999999993</v>
      </c>
      <c r="AN68">
        <v>3.8500000000000005</v>
      </c>
      <c r="AO68">
        <v>6.16</v>
      </c>
      <c r="AP68" s="88">
        <v>8.129999999999999</v>
      </c>
      <c r="AQ68" s="87">
        <v>3.8900000000000006</v>
      </c>
      <c r="AR68">
        <v>7</v>
      </c>
      <c r="AS68">
        <v>8</v>
      </c>
      <c r="AT68">
        <v>9.5</v>
      </c>
      <c r="AU68" s="87">
        <v>4.8099999999999987</v>
      </c>
      <c r="AV68">
        <v>7</v>
      </c>
      <c r="AW68">
        <v>8</v>
      </c>
      <c r="AX68" s="88">
        <v>9</v>
      </c>
      <c r="AY68" s="87">
        <v>1.1550000000000002</v>
      </c>
      <c r="AZ68">
        <v>2.4750000000000001</v>
      </c>
      <c r="BA68">
        <v>4.2350000000000003</v>
      </c>
      <c r="BB68">
        <v>6.6550000000000002</v>
      </c>
      <c r="BC68" s="87">
        <v>1.5650000000000008</v>
      </c>
      <c r="BD68">
        <v>2.4750000000000001</v>
      </c>
      <c r="BE68">
        <v>4.2350000000000003</v>
      </c>
      <c r="BF68" s="88">
        <v>5.830000000000001</v>
      </c>
      <c r="BG68" s="87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87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138">
        <f t="shared" si="46"/>
        <v>12.120000000000001</v>
      </c>
      <c r="BP68" s="143">
        <f t="shared" si="47"/>
        <v>19.777999999999999</v>
      </c>
      <c r="BQ68" s="138">
        <f t="shared" si="48"/>
        <v>12.483000000000001</v>
      </c>
      <c r="BR68" s="139">
        <f t="shared" si="49"/>
        <v>19.308</v>
      </c>
      <c r="BS68" s="87">
        <f t="shared" si="50"/>
        <v>15.949</v>
      </c>
      <c r="BT68" s="88">
        <f t="shared" si="51"/>
        <v>15.8955</v>
      </c>
      <c r="BU68" s="134">
        <f t="shared" si="52"/>
        <v>15.92225</v>
      </c>
    </row>
    <row r="69" spans="1:73" x14ac:dyDescent="0.25">
      <c r="A69" s="102" t="s">
        <v>67</v>
      </c>
      <c r="B69" s="102" t="s">
        <v>78</v>
      </c>
      <c r="C69" s="121" t="s">
        <v>91</v>
      </c>
      <c r="D69" s="156" t="s">
        <v>104</v>
      </c>
      <c r="E69" s="156" t="s">
        <v>105</v>
      </c>
      <c r="F69" s="156" t="s">
        <v>106</v>
      </c>
      <c r="G69" s="110">
        <f t="shared" si="43"/>
        <v>1</v>
      </c>
      <c r="H69" s="110">
        <f t="shared" si="41"/>
        <v>0.66</v>
      </c>
      <c r="I69" s="110">
        <f t="shared" si="41"/>
        <v>0.33</v>
      </c>
      <c r="J69" s="147">
        <f t="shared" si="44"/>
        <v>14.1</v>
      </c>
      <c r="K69" s="87">
        <v>0.77</v>
      </c>
      <c r="L69">
        <v>1</v>
      </c>
      <c r="M69">
        <v>1</v>
      </c>
      <c r="N69" s="88">
        <v>1</v>
      </c>
      <c r="O69" s="87">
        <v>0.83</v>
      </c>
      <c r="P69">
        <v>1</v>
      </c>
      <c r="Q69">
        <v>1</v>
      </c>
      <c r="R69" s="88">
        <v>1</v>
      </c>
      <c r="S69" s="87">
        <v>0.44000000000000006</v>
      </c>
      <c r="T69">
        <v>0.55000000000000004</v>
      </c>
      <c r="U69">
        <v>0.77</v>
      </c>
      <c r="V69" s="88">
        <v>1</v>
      </c>
      <c r="W69" s="87">
        <v>0.47000000000000003</v>
      </c>
      <c r="X69">
        <v>0.55000000000000004</v>
      </c>
      <c r="Y69">
        <v>0.77</v>
      </c>
      <c r="Z69" s="88">
        <v>0.92</v>
      </c>
      <c r="AA69" s="87">
        <v>0</v>
      </c>
      <c r="AB69">
        <v>0.22000000000000003</v>
      </c>
      <c r="AC69">
        <v>0.44</v>
      </c>
      <c r="AD69" s="88">
        <v>0.55000000000000004</v>
      </c>
      <c r="AE69" s="87">
        <v>0.06</v>
      </c>
      <c r="AF69">
        <v>0.22000000000000003</v>
      </c>
      <c r="AG69">
        <v>0.44</v>
      </c>
      <c r="AH69" s="88">
        <v>0.52</v>
      </c>
      <c r="AI69" s="87">
        <v>3.8900000000000006</v>
      </c>
      <c r="AJ69">
        <v>7</v>
      </c>
      <c r="AK69">
        <v>8</v>
      </c>
      <c r="AL69" s="88">
        <v>9.5</v>
      </c>
      <c r="AM69" s="87">
        <v>4.8099999999999987</v>
      </c>
      <c r="AN69">
        <v>7</v>
      </c>
      <c r="AO69">
        <v>8</v>
      </c>
      <c r="AP69" s="88">
        <v>9</v>
      </c>
      <c r="AQ69" s="87">
        <v>2.2549999999999999</v>
      </c>
      <c r="AR69">
        <v>3.8500000000000005</v>
      </c>
      <c r="AS69">
        <v>6.16</v>
      </c>
      <c r="AT69">
        <v>9.1550000000000011</v>
      </c>
      <c r="AU69" s="87">
        <v>2.7399999999999993</v>
      </c>
      <c r="AV69">
        <v>3.8500000000000005</v>
      </c>
      <c r="AW69">
        <v>6.16</v>
      </c>
      <c r="AX69" s="88">
        <v>8.129999999999999</v>
      </c>
      <c r="AY69" s="187">
        <v>0</v>
      </c>
      <c r="AZ69" s="179">
        <v>0.9900000000000001</v>
      </c>
      <c r="BA69" s="179">
        <v>2.42</v>
      </c>
      <c r="BB69" s="179">
        <v>3.6850000000000005</v>
      </c>
      <c r="BC69" s="187">
        <v>4.9999999999999933E-2</v>
      </c>
      <c r="BD69" s="179">
        <v>0.9900000000000001</v>
      </c>
      <c r="BE69" s="179">
        <v>2.42</v>
      </c>
      <c r="BF69" s="188">
        <v>3.3000000000000007</v>
      </c>
      <c r="BG69" s="87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87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138">
        <f t="shared" si="46"/>
        <v>10.701000000000001</v>
      </c>
      <c r="BP69" s="143">
        <f t="shared" si="47"/>
        <v>17.731999999999999</v>
      </c>
      <c r="BQ69" s="138">
        <f t="shared" si="48"/>
        <v>10.992000000000001</v>
      </c>
      <c r="BR69" s="139">
        <f t="shared" si="49"/>
        <v>17.349999999999998</v>
      </c>
      <c r="BS69" s="87">
        <f t="shared" si="50"/>
        <v>14.2165</v>
      </c>
      <c r="BT69" s="88">
        <f t="shared" si="51"/>
        <v>14.170999999999999</v>
      </c>
      <c r="BU69" s="134">
        <f t="shared" si="52"/>
        <v>14.19375</v>
      </c>
    </row>
    <row r="70" spans="1:73" ht="30" x14ac:dyDescent="0.25">
      <c r="A70" s="102" t="s">
        <v>68</v>
      </c>
      <c r="B70" s="102" t="s">
        <v>79</v>
      </c>
      <c r="C70" s="121" t="s">
        <v>92</v>
      </c>
      <c r="D70" s="156" t="s">
        <v>104</v>
      </c>
      <c r="E70" s="156" t="s">
        <v>105</v>
      </c>
      <c r="F70" s="156" t="s">
        <v>106</v>
      </c>
      <c r="G70" s="110">
        <f t="shared" si="43"/>
        <v>1</v>
      </c>
      <c r="H70" s="110">
        <f t="shared" si="41"/>
        <v>0.66</v>
      </c>
      <c r="I70" s="110">
        <f t="shared" si="41"/>
        <v>0.33</v>
      </c>
      <c r="J70" s="147">
        <f t="shared" si="44"/>
        <v>14.1</v>
      </c>
      <c r="K70" s="87">
        <v>0.77</v>
      </c>
      <c r="L70">
        <v>1</v>
      </c>
      <c r="M70">
        <v>1</v>
      </c>
      <c r="N70" s="88">
        <v>1</v>
      </c>
      <c r="O70" s="87">
        <v>0.83</v>
      </c>
      <c r="P70">
        <v>1</v>
      </c>
      <c r="Q70">
        <v>1</v>
      </c>
      <c r="R70" s="88">
        <v>1</v>
      </c>
      <c r="S70" s="87">
        <v>0.44000000000000006</v>
      </c>
      <c r="T70">
        <v>0.55000000000000004</v>
      </c>
      <c r="U70">
        <v>0.77</v>
      </c>
      <c r="V70" s="88">
        <v>1</v>
      </c>
      <c r="W70" s="87">
        <v>0.47000000000000003</v>
      </c>
      <c r="X70">
        <v>0.55000000000000004</v>
      </c>
      <c r="Y70">
        <v>0.77</v>
      </c>
      <c r="Z70" s="88">
        <v>0.92</v>
      </c>
      <c r="AA70" s="87">
        <v>0</v>
      </c>
      <c r="AB70">
        <v>0.22000000000000003</v>
      </c>
      <c r="AC70">
        <v>0.44</v>
      </c>
      <c r="AD70" s="88">
        <v>0.55000000000000004</v>
      </c>
      <c r="AE70" s="87">
        <v>0.06</v>
      </c>
      <c r="AF70">
        <v>0.22000000000000003</v>
      </c>
      <c r="AG70">
        <v>0.44</v>
      </c>
      <c r="AH70" s="88">
        <v>0.52</v>
      </c>
      <c r="AI70" s="87">
        <v>3.8900000000000006</v>
      </c>
      <c r="AJ70">
        <v>7</v>
      </c>
      <c r="AK70">
        <v>8</v>
      </c>
      <c r="AL70" s="88">
        <v>9.5</v>
      </c>
      <c r="AM70" s="87">
        <v>4.8099999999999987</v>
      </c>
      <c r="AN70">
        <v>7</v>
      </c>
      <c r="AO70">
        <v>8</v>
      </c>
      <c r="AP70" s="88">
        <v>9</v>
      </c>
      <c r="AQ70" s="87">
        <v>2.2549999999999999</v>
      </c>
      <c r="AR70">
        <v>3.8500000000000005</v>
      </c>
      <c r="AS70">
        <v>6.16</v>
      </c>
      <c r="AT70">
        <v>9.1550000000000011</v>
      </c>
      <c r="AU70" s="87">
        <v>2.7399999999999993</v>
      </c>
      <c r="AV70">
        <v>3.8500000000000005</v>
      </c>
      <c r="AW70">
        <v>6.16</v>
      </c>
      <c r="AX70" s="88">
        <v>8.129999999999999</v>
      </c>
      <c r="AY70" s="187">
        <v>0</v>
      </c>
      <c r="AZ70" s="179">
        <v>0.9900000000000001</v>
      </c>
      <c r="BA70" s="179">
        <v>2.42</v>
      </c>
      <c r="BB70" s="179">
        <v>3.6850000000000005</v>
      </c>
      <c r="BC70" s="187">
        <v>4.9999999999999933E-2</v>
      </c>
      <c r="BD70" s="179">
        <v>0.9900000000000001</v>
      </c>
      <c r="BE70" s="179">
        <v>2.42</v>
      </c>
      <c r="BF70" s="188">
        <v>3.3000000000000007</v>
      </c>
      <c r="BG70" s="87">
        <f t="shared" si="45"/>
        <v>6.1450000000000005</v>
      </c>
      <c r="BH70">
        <f t="shared" si="42"/>
        <v>11.840000000000002</v>
      </c>
      <c r="BI70">
        <f t="shared" si="42"/>
        <v>16.579999999999998</v>
      </c>
      <c r="BJ70">
        <f t="shared" si="42"/>
        <v>22.340000000000003</v>
      </c>
      <c r="BK70" s="87">
        <f t="shared" si="42"/>
        <v>7.5999999999999979</v>
      </c>
      <c r="BL70">
        <f t="shared" si="42"/>
        <v>11.840000000000002</v>
      </c>
      <c r="BM70">
        <f t="shared" si="42"/>
        <v>16.579999999999998</v>
      </c>
      <c r="BN70">
        <f t="shared" si="42"/>
        <v>20.43</v>
      </c>
      <c r="BO70" s="138">
        <f t="shared" si="46"/>
        <v>10.701000000000001</v>
      </c>
      <c r="BP70" s="143">
        <f t="shared" si="47"/>
        <v>17.731999999999999</v>
      </c>
      <c r="BQ70" s="138">
        <f t="shared" si="48"/>
        <v>10.992000000000001</v>
      </c>
      <c r="BR70" s="139">
        <f t="shared" si="49"/>
        <v>17.349999999999998</v>
      </c>
      <c r="BS70" s="87">
        <f t="shared" si="50"/>
        <v>14.2165</v>
      </c>
      <c r="BT70" s="88">
        <f t="shared" si="51"/>
        <v>14.170999999999999</v>
      </c>
      <c r="BU70" s="134">
        <f t="shared" si="52"/>
        <v>14.19375</v>
      </c>
    </row>
    <row r="71" spans="1:73" ht="30" x14ac:dyDescent="0.25">
      <c r="A71" s="102" t="s">
        <v>69</v>
      </c>
      <c r="B71" s="102" t="s">
        <v>80</v>
      </c>
      <c r="C71" s="121" t="s">
        <v>81</v>
      </c>
      <c r="D71" s="156" t="s">
        <v>105</v>
      </c>
      <c r="E71" s="156" t="s">
        <v>106</v>
      </c>
      <c r="F71" s="156" t="s">
        <v>104</v>
      </c>
      <c r="G71" s="110">
        <f t="shared" si="43"/>
        <v>0.66</v>
      </c>
      <c r="H71" s="110">
        <f t="shared" si="41"/>
        <v>0.33</v>
      </c>
      <c r="I71" s="110">
        <f t="shared" si="41"/>
        <v>1</v>
      </c>
      <c r="J71" s="147">
        <f t="shared" si="44"/>
        <v>12.425000000000001</v>
      </c>
      <c r="K71" s="87">
        <v>0.44000000000000006</v>
      </c>
      <c r="L71">
        <v>0.55000000000000004</v>
      </c>
      <c r="M71">
        <v>0.77</v>
      </c>
      <c r="N71" s="88">
        <v>1</v>
      </c>
      <c r="O71" s="87">
        <v>0.47000000000000003</v>
      </c>
      <c r="P71">
        <v>0.55000000000000004</v>
      </c>
      <c r="Q71">
        <v>0.77</v>
      </c>
      <c r="R71" s="88">
        <v>0.92</v>
      </c>
      <c r="S71" s="87">
        <v>0</v>
      </c>
      <c r="T71">
        <v>0.22000000000000003</v>
      </c>
      <c r="U71">
        <v>0.44</v>
      </c>
      <c r="V71" s="88">
        <v>0.55000000000000004</v>
      </c>
      <c r="W71" s="87">
        <v>0.06</v>
      </c>
      <c r="X71">
        <v>0.22000000000000003</v>
      </c>
      <c r="Y71">
        <v>0.44</v>
      </c>
      <c r="Z71" s="88">
        <v>0.52</v>
      </c>
      <c r="AA71" s="87">
        <v>0.77</v>
      </c>
      <c r="AB71">
        <v>1</v>
      </c>
      <c r="AC71">
        <v>1</v>
      </c>
      <c r="AD71" s="88">
        <v>1</v>
      </c>
      <c r="AE71" s="87">
        <v>0.83</v>
      </c>
      <c r="AF71">
        <v>1</v>
      </c>
      <c r="AG71">
        <v>1</v>
      </c>
      <c r="AH71" s="88">
        <v>1</v>
      </c>
      <c r="AI71" s="87">
        <v>2.2549999999999999</v>
      </c>
      <c r="AJ71">
        <v>3.8500000000000005</v>
      </c>
      <c r="AK71">
        <v>6.16</v>
      </c>
      <c r="AL71" s="88">
        <v>9.1550000000000011</v>
      </c>
      <c r="AM71" s="87">
        <v>2.7399999999999993</v>
      </c>
      <c r="AN71">
        <v>3.8500000000000005</v>
      </c>
      <c r="AO71">
        <v>6.16</v>
      </c>
      <c r="AP71" s="88">
        <v>8.129999999999999</v>
      </c>
      <c r="AQ71" s="187">
        <v>0</v>
      </c>
      <c r="AR71" s="179">
        <v>1.5400000000000003</v>
      </c>
      <c r="AS71" s="179">
        <v>3.52</v>
      </c>
      <c r="AT71" s="179">
        <v>5.0600000000000005</v>
      </c>
      <c r="AU71" s="187">
        <v>0.19999999999999996</v>
      </c>
      <c r="AV71" s="179">
        <v>1.5400000000000003</v>
      </c>
      <c r="AW71" s="179">
        <v>3.52</v>
      </c>
      <c r="AX71" s="188">
        <v>4.6000000000000014</v>
      </c>
      <c r="AY71" s="87">
        <v>1.9649999999999999</v>
      </c>
      <c r="AZ71">
        <v>4.5</v>
      </c>
      <c r="BA71">
        <v>5.5</v>
      </c>
      <c r="BB71">
        <v>7</v>
      </c>
      <c r="BC71" s="87">
        <v>2.7349999999999994</v>
      </c>
      <c r="BD71">
        <v>4.5</v>
      </c>
      <c r="BE71">
        <v>5.5</v>
      </c>
      <c r="BF71" s="88">
        <v>6.5</v>
      </c>
      <c r="BG71" s="87">
        <f t="shared" si="45"/>
        <v>4.22</v>
      </c>
      <c r="BH71">
        <f t="shared" si="42"/>
        <v>9.89</v>
      </c>
      <c r="BI71">
        <f t="shared" si="42"/>
        <v>15.18</v>
      </c>
      <c r="BJ71">
        <f t="shared" si="42"/>
        <v>21.215000000000003</v>
      </c>
      <c r="BK71" s="87">
        <f t="shared" si="42"/>
        <v>5.6749999999999989</v>
      </c>
      <c r="BL71">
        <f t="shared" si="42"/>
        <v>9.89</v>
      </c>
      <c r="BM71">
        <f t="shared" si="42"/>
        <v>15.18</v>
      </c>
      <c r="BN71">
        <f t="shared" si="42"/>
        <v>19.23</v>
      </c>
      <c r="BO71" s="138">
        <f t="shared" si="46"/>
        <v>8.7560000000000002</v>
      </c>
      <c r="BP71" s="143">
        <f t="shared" si="47"/>
        <v>16.387</v>
      </c>
      <c r="BQ71" s="138">
        <f t="shared" si="48"/>
        <v>9.0470000000000006</v>
      </c>
      <c r="BR71" s="139">
        <f t="shared" si="49"/>
        <v>15.989999999999998</v>
      </c>
      <c r="BS71" s="87">
        <f t="shared" si="50"/>
        <v>12.5715</v>
      </c>
      <c r="BT71" s="88">
        <f t="shared" si="51"/>
        <v>12.5185</v>
      </c>
      <c r="BU71" s="134">
        <f t="shared" si="52"/>
        <v>12.545</v>
      </c>
    </row>
    <row r="72" spans="1:73" ht="36.75" customHeight="1" x14ac:dyDescent="0.25">
      <c r="A72" s="102" t="s">
        <v>70</v>
      </c>
      <c r="B72" s="102" t="s">
        <v>82</v>
      </c>
      <c r="C72" s="121" t="s">
        <v>93</v>
      </c>
      <c r="D72" s="156" t="s">
        <v>106</v>
      </c>
      <c r="E72" s="156" t="s">
        <v>104</v>
      </c>
      <c r="F72" s="156" t="s">
        <v>105</v>
      </c>
      <c r="G72" s="110">
        <f t="shared" si="43"/>
        <v>0.33</v>
      </c>
      <c r="H72" s="110">
        <f t="shared" si="41"/>
        <v>1</v>
      </c>
      <c r="I72" s="110">
        <f t="shared" si="41"/>
        <v>0.66</v>
      </c>
      <c r="J72" s="147">
        <f t="shared" si="44"/>
        <v>13.275</v>
      </c>
      <c r="K72" s="87">
        <v>0</v>
      </c>
      <c r="L72">
        <v>0.22000000000000003</v>
      </c>
      <c r="M72">
        <v>0.44</v>
      </c>
      <c r="N72" s="88">
        <v>0.55000000000000004</v>
      </c>
      <c r="O72" s="87">
        <v>0.06</v>
      </c>
      <c r="P72">
        <v>0.22000000000000003</v>
      </c>
      <c r="Q72">
        <v>0.44</v>
      </c>
      <c r="R72" s="88">
        <v>0.52</v>
      </c>
      <c r="S72" s="87">
        <v>0.77</v>
      </c>
      <c r="T72">
        <v>1</v>
      </c>
      <c r="U72">
        <v>1</v>
      </c>
      <c r="V72" s="88">
        <v>1</v>
      </c>
      <c r="W72" s="87">
        <v>0.83</v>
      </c>
      <c r="X72">
        <v>1</v>
      </c>
      <c r="Y72">
        <v>1</v>
      </c>
      <c r="Z72" s="88">
        <v>1</v>
      </c>
      <c r="AA72" s="87">
        <v>0.44000000000000006</v>
      </c>
      <c r="AB72">
        <v>0.55000000000000004</v>
      </c>
      <c r="AC72">
        <v>0.77</v>
      </c>
      <c r="AD72" s="88">
        <v>1</v>
      </c>
      <c r="AE72" s="87">
        <v>0.47000000000000003</v>
      </c>
      <c r="AF72">
        <v>0.55000000000000004</v>
      </c>
      <c r="AG72">
        <v>0.77</v>
      </c>
      <c r="AH72" s="88">
        <v>0.92</v>
      </c>
      <c r="AI72" s="187">
        <v>0</v>
      </c>
      <c r="AJ72" s="179">
        <v>1.5400000000000003</v>
      </c>
      <c r="AK72" s="179">
        <v>3.52</v>
      </c>
      <c r="AL72" s="188">
        <v>5.0600000000000005</v>
      </c>
      <c r="AM72" s="187">
        <v>0.19999999999999996</v>
      </c>
      <c r="AN72" s="179">
        <v>1.5400000000000003</v>
      </c>
      <c r="AO72" s="179">
        <v>3.52</v>
      </c>
      <c r="AP72" s="188">
        <v>4.6000000000000014</v>
      </c>
      <c r="AQ72" s="87">
        <v>3.8900000000000006</v>
      </c>
      <c r="AR72">
        <v>7</v>
      </c>
      <c r="AS72">
        <v>8</v>
      </c>
      <c r="AT72">
        <v>9.5</v>
      </c>
      <c r="AU72" s="87">
        <v>4.8099999999999987</v>
      </c>
      <c r="AV72">
        <v>7</v>
      </c>
      <c r="AW72">
        <v>8</v>
      </c>
      <c r="AX72" s="88">
        <v>9</v>
      </c>
      <c r="AY72" s="87">
        <v>1.1550000000000002</v>
      </c>
      <c r="AZ72">
        <v>2.4750000000000001</v>
      </c>
      <c r="BA72">
        <v>4.2350000000000003</v>
      </c>
      <c r="BB72">
        <v>6.6550000000000002</v>
      </c>
      <c r="BC72" s="87">
        <v>1.5650000000000008</v>
      </c>
      <c r="BD72">
        <v>2.4750000000000001</v>
      </c>
      <c r="BE72">
        <v>4.2350000000000003</v>
      </c>
      <c r="BF72" s="88">
        <v>5.830000000000001</v>
      </c>
      <c r="BG72" s="87">
        <f t="shared" si="45"/>
        <v>5.0450000000000008</v>
      </c>
      <c r="BH72">
        <f t="shared" si="42"/>
        <v>11.015000000000001</v>
      </c>
      <c r="BI72">
        <f t="shared" si="42"/>
        <v>15.754999999999999</v>
      </c>
      <c r="BJ72">
        <f t="shared" si="42"/>
        <v>21.215</v>
      </c>
      <c r="BK72" s="87">
        <f t="shared" si="42"/>
        <v>6.5749999999999993</v>
      </c>
      <c r="BL72">
        <f t="shared" si="42"/>
        <v>11.015000000000001</v>
      </c>
      <c r="BM72">
        <f t="shared" si="42"/>
        <v>15.754999999999999</v>
      </c>
      <c r="BN72">
        <f t="shared" si="42"/>
        <v>19.430000000000003</v>
      </c>
      <c r="BO72" s="138">
        <f t="shared" si="46"/>
        <v>9.8210000000000015</v>
      </c>
      <c r="BP72" s="143">
        <f t="shared" si="47"/>
        <v>16.846999999999998</v>
      </c>
      <c r="BQ72" s="138">
        <f t="shared" si="48"/>
        <v>10.127000000000001</v>
      </c>
      <c r="BR72" s="139">
        <f t="shared" si="49"/>
        <v>16.489999999999998</v>
      </c>
      <c r="BS72" s="87">
        <f t="shared" si="50"/>
        <v>13.334</v>
      </c>
      <c r="BT72" s="88">
        <f t="shared" si="51"/>
        <v>13.308499999999999</v>
      </c>
      <c r="BU72" s="134">
        <f t="shared" si="52"/>
        <v>13.321249999999999</v>
      </c>
    </row>
    <row r="73" spans="1:73" ht="30.75" thickBot="1" x14ac:dyDescent="0.3">
      <c r="A73" s="102" t="s">
        <v>71</v>
      </c>
      <c r="B73" s="102" t="s">
        <v>83</v>
      </c>
      <c r="C73" s="121" t="s">
        <v>94</v>
      </c>
      <c r="D73" s="156" t="s">
        <v>106</v>
      </c>
      <c r="E73" s="156" t="s">
        <v>104</v>
      </c>
      <c r="F73" s="156" t="s">
        <v>105</v>
      </c>
      <c r="G73" s="110">
        <f t="shared" si="43"/>
        <v>0.33</v>
      </c>
      <c r="H73" s="110">
        <f t="shared" si="41"/>
        <v>1</v>
      </c>
      <c r="I73" s="110">
        <f t="shared" si="41"/>
        <v>0.66</v>
      </c>
      <c r="J73" s="147">
        <f t="shared" si="44"/>
        <v>13.275</v>
      </c>
      <c r="K73" s="91">
        <v>0</v>
      </c>
      <c r="L73" s="93">
        <v>0.22000000000000003</v>
      </c>
      <c r="M73" s="93">
        <v>0.44</v>
      </c>
      <c r="N73" s="94">
        <v>0.55000000000000004</v>
      </c>
      <c r="O73" s="91">
        <v>0.06</v>
      </c>
      <c r="P73" s="93">
        <v>0.22000000000000003</v>
      </c>
      <c r="Q73" s="93">
        <v>0.44</v>
      </c>
      <c r="R73" s="94">
        <v>0.52</v>
      </c>
      <c r="S73" s="91">
        <v>0.77</v>
      </c>
      <c r="T73" s="93">
        <v>1</v>
      </c>
      <c r="U73" s="93">
        <v>1</v>
      </c>
      <c r="V73" s="94">
        <v>1</v>
      </c>
      <c r="W73" s="91">
        <v>0.83</v>
      </c>
      <c r="X73" s="93">
        <v>1</v>
      </c>
      <c r="Y73" s="93">
        <v>1</v>
      </c>
      <c r="Z73" s="94">
        <v>1</v>
      </c>
      <c r="AA73" s="91">
        <v>0.44000000000000006</v>
      </c>
      <c r="AB73" s="93">
        <v>0.55000000000000004</v>
      </c>
      <c r="AC73" s="93">
        <v>0.77</v>
      </c>
      <c r="AD73" s="94">
        <v>1</v>
      </c>
      <c r="AE73" s="91">
        <v>0.47000000000000003</v>
      </c>
      <c r="AF73" s="93">
        <v>0.55000000000000004</v>
      </c>
      <c r="AG73" s="93">
        <v>0.77</v>
      </c>
      <c r="AH73" s="94">
        <v>0.92</v>
      </c>
      <c r="AI73" s="189">
        <v>0</v>
      </c>
      <c r="AJ73" s="201">
        <v>1.5400000000000003</v>
      </c>
      <c r="AK73" s="201">
        <v>3.52</v>
      </c>
      <c r="AL73" s="190">
        <v>5.0600000000000005</v>
      </c>
      <c r="AM73" s="189">
        <v>0.19999999999999996</v>
      </c>
      <c r="AN73" s="201">
        <v>1.5400000000000003</v>
      </c>
      <c r="AO73" s="201">
        <v>3.52</v>
      </c>
      <c r="AP73" s="190">
        <v>4.6000000000000014</v>
      </c>
      <c r="AQ73" s="91">
        <v>3.8900000000000006</v>
      </c>
      <c r="AR73" s="93">
        <v>7</v>
      </c>
      <c r="AS73" s="93">
        <v>8</v>
      </c>
      <c r="AT73" s="93">
        <v>9.5</v>
      </c>
      <c r="AU73" s="91">
        <v>4.8099999999999987</v>
      </c>
      <c r="AV73" s="93">
        <v>7</v>
      </c>
      <c r="AW73" s="93">
        <v>8</v>
      </c>
      <c r="AX73" s="94">
        <v>9</v>
      </c>
      <c r="AY73" s="91">
        <v>1.1550000000000002</v>
      </c>
      <c r="AZ73" s="93">
        <v>2.4750000000000001</v>
      </c>
      <c r="BA73" s="93">
        <v>4.2350000000000003</v>
      </c>
      <c r="BB73" s="93">
        <v>6.6550000000000002</v>
      </c>
      <c r="BC73" s="91">
        <v>1.5650000000000008</v>
      </c>
      <c r="BD73" s="93">
        <v>2.4750000000000001</v>
      </c>
      <c r="BE73" s="93">
        <v>4.2350000000000003</v>
      </c>
      <c r="BF73" s="94">
        <v>5.830000000000001</v>
      </c>
      <c r="BG73" s="91">
        <f t="shared" si="45"/>
        <v>5.0450000000000008</v>
      </c>
      <c r="BH73" s="93">
        <f t="shared" si="42"/>
        <v>11.015000000000001</v>
      </c>
      <c r="BI73" s="93">
        <f t="shared" si="42"/>
        <v>15.754999999999999</v>
      </c>
      <c r="BJ73" s="93">
        <f t="shared" si="42"/>
        <v>21.215</v>
      </c>
      <c r="BK73" s="91">
        <f t="shared" si="42"/>
        <v>6.5749999999999993</v>
      </c>
      <c r="BL73" s="93">
        <f t="shared" si="42"/>
        <v>11.015000000000001</v>
      </c>
      <c r="BM73" s="93">
        <f t="shared" si="42"/>
        <v>15.754999999999999</v>
      </c>
      <c r="BN73" s="93">
        <f t="shared" si="42"/>
        <v>19.430000000000003</v>
      </c>
      <c r="BO73" s="140">
        <f t="shared" si="46"/>
        <v>9.8210000000000015</v>
      </c>
      <c r="BP73" s="144">
        <f t="shared" si="47"/>
        <v>16.846999999999998</v>
      </c>
      <c r="BQ73" s="140">
        <f t="shared" si="48"/>
        <v>10.127000000000001</v>
      </c>
      <c r="BR73" s="141">
        <f t="shared" si="49"/>
        <v>16.489999999999998</v>
      </c>
      <c r="BS73" s="91">
        <f t="shared" si="50"/>
        <v>13.334</v>
      </c>
      <c r="BT73" s="94">
        <f t="shared" si="51"/>
        <v>13.308499999999999</v>
      </c>
      <c r="BU73" s="135">
        <f t="shared" si="52"/>
        <v>13.321249999999999</v>
      </c>
    </row>
    <row r="74" spans="1:73" x14ac:dyDescent="0.25">
      <c r="BF74" s="60"/>
      <c r="BG74" s="59"/>
      <c r="BH74" s="59"/>
      <c r="BI74" s="59"/>
      <c r="BJ74" s="59"/>
      <c r="BK74" s="59"/>
    </row>
    <row r="75" spans="1:73" x14ac:dyDescent="0.25">
      <c r="A75" s="1" t="s">
        <v>195</v>
      </c>
      <c r="B75" s="1"/>
    </row>
    <row r="76" spans="1:73" ht="15.75" thickBot="1" x14ac:dyDescent="0.3">
      <c r="A76" s="107" t="s">
        <v>103</v>
      </c>
      <c r="B76" s="108" t="s">
        <v>122</v>
      </c>
      <c r="E76" s="112" t="s">
        <v>17</v>
      </c>
      <c r="I76" t="s">
        <v>18</v>
      </c>
    </row>
    <row r="77" spans="1:73" x14ac:dyDescent="0.25">
      <c r="A77" s="106" t="s">
        <v>107</v>
      </c>
      <c r="B77" s="2">
        <v>0</v>
      </c>
      <c r="C77" s="79">
        <v>0</v>
      </c>
      <c r="D77" s="80" t="s">
        <v>107</v>
      </c>
      <c r="E77" s="81">
        <v>0</v>
      </c>
      <c r="F77" s="82">
        <f>C77</f>
        <v>0</v>
      </c>
      <c r="G77" s="83">
        <v>0</v>
      </c>
      <c r="H77" s="84">
        <v>0.22</v>
      </c>
      <c r="I77" s="85">
        <v>0</v>
      </c>
      <c r="J77" s="83">
        <f>F77</f>
        <v>0</v>
      </c>
      <c r="K77" s="83">
        <f>G77</f>
        <v>0</v>
      </c>
      <c r="L77" s="86">
        <v>0.15</v>
      </c>
    </row>
    <row r="78" spans="1:73" x14ac:dyDescent="0.25">
      <c r="A78" s="106" t="s">
        <v>106</v>
      </c>
      <c r="B78" s="2">
        <v>0.33</v>
      </c>
      <c r="C78" s="79">
        <v>0.33</v>
      </c>
      <c r="D78" s="80" t="s">
        <v>106</v>
      </c>
      <c r="E78" s="87">
        <v>0</v>
      </c>
      <c r="F78" s="111">
        <f>C78-0.11</f>
        <v>0.22000000000000003</v>
      </c>
      <c r="G78">
        <f>C78+0.11</f>
        <v>0.44</v>
      </c>
      <c r="H78" s="88">
        <f t="shared" ref="H78" si="53">G78+0.11</f>
        <v>0.55000000000000004</v>
      </c>
      <c r="I78" s="89">
        <v>0.06</v>
      </c>
      <c r="J78">
        <f t="shared" ref="J78:K80" si="54">F78</f>
        <v>0.22000000000000003</v>
      </c>
      <c r="K78">
        <f t="shared" si="54"/>
        <v>0.44</v>
      </c>
      <c r="L78" s="90">
        <f t="shared" ref="L78" si="55">K78+0.08</f>
        <v>0.52</v>
      </c>
    </row>
    <row r="79" spans="1:73" x14ac:dyDescent="0.25">
      <c r="A79" s="106" t="s">
        <v>105</v>
      </c>
      <c r="B79" s="2">
        <v>0.66</v>
      </c>
      <c r="C79" s="79">
        <v>0.66</v>
      </c>
      <c r="D79" s="80" t="s">
        <v>105</v>
      </c>
      <c r="E79" s="87">
        <f t="shared" ref="E79" si="56">F79-0.11</f>
        <v>0.44000000000000006</v>
      </c>
      <c r="F79" s="111">
        <f t="shared" ref="F79" si="57">C79-0.11</f>
        <v>0.55000000000000004</v>
      </c>
      <c r="G79">
        <f t="shared" ref="G79" si="58">C79+0.11</f>
        <v>0.77</v>
      </c>
      <c r="H79" s="88">
        <v>1</v>
      </c>
      <c r="I79" s="89">
        <f t="shared" ref="I79" si="59">J79-0.08</f>
        <v>0.47000000000000003</v>
      </c>
      <c r="J79">
        <f t="shared" si="54"/>
        <v>0.55000000000000004</v>
      </c>
      <c r="K79">
        <f t="shared" si="54"/>
        <v>0.77</v>
      </c>
      <c r="L79" s="90">
        <v>0.92</v>
      </c>
    </row>
    <row r="80" spans="1:73" ht="15.75" thickBot="1" x14ac:dyDescent="0.3">
      <c r="A80" s="106" t="s">
        <v>104</v>
      </c>
      <c r="B80" s="2">
        <v>1</v>
      </c>
      <c r="C80" s="79">
        <v>1</v>
      </c>
      <c r="D80" s="80" t="s">
        <v>104</v>
      </c>
      <c r="E80" s="91">
        <v>0.77</v>
      </c>
      <c r="F80" s="92">
        <v>1</v>
      </c>
      <c r="G80" s="93">
        <v>1</v>
      </c>
      <c r="H80" s="94">
        <v>1</v>
      </c>
      <c r="I80" s="95">
        <v>0.83</v>
      </c>
      <c r="J80" s="93">
        <f t="shared" si="54"/>
        <v>1</v>
      </c>
      <c r="K80" s="93">
        <f t="shared" si="54"/>
        <v>1</v>
      </c>
      <c r="L80" s="96">
        <v>1</v>
      </c>
    </row>
    <row r="81" spans="1:12" x14ac:dyDescent="0.25">
      <c r="A81" s="99"/>
    </row>
    <row r="82" spans="1:12" x14ac:dyDescent="0.25">
      <c r="A82" s="1" t="s">
        <v>196</v>
      </c>
    </row>
    <row r="83" spans="1:12" ht="15.75" thickBot="1" x14ac:dyDescent="0.3">
      <c r="A83" s="107" t="s">
        <v>103</v>
      </c>
      <c r="B83" s="108" t="s">
        <v>123</v>
      </c>
      <c r="E83" s="112" t="s">
        <v>17</v>
      </c>
      <c r="I83" t="s">
        <v>18</v>
      </c>
    </row>
    <row r="84" spans="1:12" x14ac:dyDescent="0.25">
      <c r="A84" s="106" t="s">
        <v>107</v>
      </c>
      <c r="B84" s="2">
        <v>1</v>
      </c>
      <c r="C84" s="79">
        <v>1</v>
      </c>
      <c r="D84" s="80" t="s">
        <v>107</v>
      </c>
      <c r="E84" s="81">
        <v>0</v>
      </c>
      <c r="F84" s="82">
        <v>0.5</v>
      </c>
      <c r="G84" s="83">
        <v>1.5</v>
      </c>
      <c r="H84" s="84">
        <v>2</v>
      </c>
      <c r="I84" s="85">
        <v>0</v>
      </c>
      <c r="J84" s="83">
        <f>F84</f>
        <v>0.5</v>
      </c>
      <c r="K84" s="83">
        <f>G84</f>
        <v>1.5</v>
      </c>
      <c r="L84" s="86">
        <v>1.8</v>
      </c>
    </row>
    <row r="85" spans="1:12" x14ac:dyDescent="0.25">
      <c r="A85" s="106" t="s">
        <v>106</v>
      </c>
      <c r="B85" s="2">
        <v>2.5</v>
      </c>
      <c r="C85" s="79">
        <v>2.5</v>
      </c>
      <c r="D85" s="80" t="s">
        <v>106</v>
      </c>
      <c r="E85" s="87">
        <v>1.5</v>
      </c>
      <c r="F85" s="111">
        <f>C85-0.5</f>
        <v>2</v>
      </c>
      <c r="G85">
        <f>C85+0.5</f>
        <v>3</v>
      </c>
      <c r="H85" s="88">
        <f t="shared" ref="H85:H87" si="60">G85+1.5</f>
        <v>4.5</v>
      </c>
      <c r="I85" s="89">
        <v>1.7</v>
      </c>
      <c r="J85">
        <f t="shared" ref="J85:K87" si="61">F85</f>
        <v>2</v>
      </c>
      <c r="K85">
        <f t="shared" si="61"/>
        <v>3</v>
      </c>
      <c r="L85" s="90">
        <f t="shared" ref="L85:L87" si="62">K85+1</f>
        <v>4</v>
      </c>
    </row>
    <row r="86" spans="1:12" x14ac:dyDescent="0.25">
      <c r="A86" s="106" t="s">
        <v>105</v>
      </c>
      <c r="B86" s="2">
        <v>5</v>
      </c>
      <c r="C86" s="79">
        <v>5</v>
      </c>
      <c r="D86" s="80" t="s">
        <v>105</v>
      </c>
      <c r="E86" s="87">
        <f t="shared" ref="E86:E87" si="63">F86-1.5</f>
        <v>3</v>
      </c>
      <c r="F86" s="111">
        <f>C86-0.5</f>
        <v>4.5</v>
      </c>
      <c r="G86">
        <f>C86+0.5</f>
        <v>5.5</v>
      </c>
      <c r="H86" s="88">
        <f t="shared" si="60"/>
        <v>7</v>
      </c>
      <c r="I86" s="89">
        <f t="shared" ref="I86:I87" si="64">J86-1</f>
        <v>3.5</v>
      </c>
      <c r="J86">
        <f t="shared" si="61"/>
        <v>4.5</v>
      </c>
      <c r="K86">
        <f t="shared" si="61"/>
        <v>5.5</v>
      </c>
      <c r="L86" s="90">
        <f t="shared" si="62"/>
        <v>6.5</v>
      </c>
    </row>
    <row r="87" spans="1:12" ht="15.75" thickBot="1" x14ac:dyDescent="0.3">
      <c r="A87" s="106" t="s">
        <v>104</v>
      </c>
      <c r="B87" s="2">
        <v>7.5</v>
      </c>
      <c r="C87" s="79">
        <v>7.5</v>
      </c>
      <c r="D87" s="80" t="s">
        <v>104</v>
      </c>
      <c r="E87" s="91">
        <f t="shared" si="63"/>
        <v>5.5</v>
      </c>
      <c r="F87" s="92">
        <f>C87-0.5</f>
        <v>7</v>
      </c>
      <c r="G87" s="93">
        <f>C87+0.5</f>
        <v>8</v>
      </c>
      <c r="H87" s="94">
        <f t="shared" si="60"/>
        <v>9.5</v>
      </c>
      <c r="I87" s="95">
        <f t="shared" si="64"/>
        <v>6</v>
      </c>
      <c r="J87" s="93">
        <f t="shared" si="61"/>
        <v>7</v>
      </c>
      <c r="K87" s="93">
        <f t="shared" si="61"/>
        <v>8</v>
      </c>
      <c r="L87" s="96">
        <f t="shared" si="62"/>
        <v>9</v>
      </c>
    </row>
    <row r="89" spans="1:12" ht="15.75" thickBot="1" x14ac:dyDescent="0.3">
      <c r="A89" s="1" t="s">
        <v>197</v>
      </c>
    </row>
    <row r="90" spans="1:12" ht="67.5" customHeight="1" thickBot="1" x14ac:dyDescent="0.3">
      <c r="A90" s="114" t="s">
        <v>117</v>
      </c>
      <c r="B90" s="113" t="s">
        <v>99</v>
      </c>
      <c r="C90" s="115" t="s">
        <v>108</v>
      </c>
      <c r="D90" s="116" t="s">
        <v>198</v>
      </c>
      <c r="E90" s="283" t="s">
        <v>126</v>
      </c>
      <c r="F90" s="284"/>
      <c r="G90" s="284"/>
      <c r="H90" s="284"/>
      <c r="I90" s="284"/>
      <c r="J90" s="284"/>
      <c r="K90" s="284"/>
      <c r="L90" s="285"/>
    </row>
    <row r="91" spans="1:12" x14ac:dyDescent="0.25">
      <c r="A91" s="125" t="s">
        <v>114</v>
      </c>
      <c r="B91" s="117" t="s">
        <v>100</v>
      </c>
      <c r="C91" s="118" t="s">
        <v>104</v>
      </c>
      <c r="D91" s="150">
        <v>7.5</v>
      </c>
      <c r="E91" s="87">
        <v>5.5</v>
      </c>
      <c r="F91" s="111">
        <v>7</v>
      </c>
      <c r="G91">
        <v>8</v>
      </c>
      <c r="H91" s="88">
        <v>9.5</v>
      </c>
      <c r="I91" s="89">
        <v>6</v>
      </c>
      <c r="J91">
        <v>7</v>
      </c>
      <c r="K91">
        <v>8</v>
      </c>
      <c r="L91" s="90">
        <v>9</v>
      </c>
    </row>
    <row r="92" spans="1:12" x14ac:dyDescent="0.25">
      <c r="A92" s="126" t="s">
        <v>115</v>
      </c>
      <c r="B92" s="104" t="s">
        <v>101</v>
      </c>
      <c r="C92" s="2" t="s">
        <v>104</v>
      </c>
      <c r="D92" s="150">
        <v>7.5</v>
      </c>
      <c r="E92" s="87">
        <v>5.5</v>
      </c>
      <c r="F92" s="111">
        <v>7</v>
      </c>
      <c r="G92">
        <v>8</v>
      </c>
      <c r="H92" s="88">
        <v>9.5</v>
      </c>
      <c r="I92" s="89">
        <v>6</v>
      </c>
      <c r="J92">
        <v>7</v>
      </c>
      <c r="K92">
        <v>8</v>
      </c>
      <c r="L92" s="90">
        <v>9</v>
      </c>
    </row>
    <row r="93" spans="1:12" ht="15.75" thickBot="1" x14ac:dyDescent="0.3">
      <c r="A93" s="127" t="s">
        <v>116</v>
      </c>
      <c r="B93" s="119" t="s">
        <v>102</v>
      </c>
      <c r="C93" s="120" t="s">
        <v>105</v>
      </c>
      <c r="D93" s="150">
        <v>5</v>
      </c>
      <c r="E93" s="91">
        <v>3</v>
      </c>
      <c r="F93" s="92">
        <v>4.5</v>
      </c>
      <c r="G93" s="93">
        <v>5.5</v>
      </c>
      <c r="H93" s="94">
        <v>7</v>
      </c>
      <c r="I93" s="95">
        <v>3.5</v>
      </c>
      <c r="J93" s="93">
        <v>4.5</v>
      </c>
      <c r="K93" s="93">
        <v>5.5</v>
      </c>
      <c r="L93" s="96">
        <v>6.5</v>
      </c>
    </row>
    <row r="95" spans="1:12" ht="15.75" thickBot="1" x14ac:dyDescent="0.3">
      <c r="A95" s="1" t="s">
        <v>199</v>
      </c>
    </row>
    <row r="96" spans="1:12" ht="30.75" thickBot="1" x14ac:dyDescent="0.3">
      <c r="A96" s="128" t="s">
        <v>132</v>
      </c>
      <c r="B96" s="129" t="s">
        <v>133</v>
      </c>
      <c r="E96" s="283" t="s">
        <v>134</v>
      </c>
      <c r="F96" s="284"/>
      <c r="G96" s="284"/>
      <c r="H96" s="284"/>
      <c r="I96" s="284"/>
      <c r="J96" s="284"/>
      <c r="K96" s="284"/>
      <c r="L96" s="285"/>
    </row>
    <row r="97" spans="1:12" x14ac:dyDescent="0.25">
      <c r="A97" s="125" t="s">
        <v>129</v>
      </c>
      <c r="B97" s="130" t="s">
        <v>107</v>
      </c>
      <c r="D97" s="133" t="s">
        <v>138</v>
      </c>
      <c r="E97" s="81">
        <f>E77*F$91+E$91*F77-F77*F$91</f>
        <v>0</v>
      </c>
      <c r="F97" s="83">
        <f>F77*F$91</f>
        <v>0</v>
      </c>
      <c r="G97" s="83">
        <f>G77*G$91</f>
        <v>0</v>
      </c>
      <c r="H97" s="84">
        <f>G77*H$91+G$91*H77-G77*G$91</f>
        <v>1.76</v>
      </c>
      <c r="I97" s="81">
        <f>I77*J$91+I$91*J77-J77*J$91</f>
        <v>0</v>
      </c>
      <c r="J97" s="83">
        <f>J77*J$91</f>
        <v>0</v>
      </c>
      <c r="K97" s="83">
        <f>K77*K$91</f>
        <v>0</v>
      </c>
      <c r="L97" s="84">
        <f>K77*L$91+K$91*L77-K77*K$91</f>
        <v>1.2</v>
      </c>
    </row>
    <row r="98" spans="1:12" x14ac:dyDescent="0.25">
      <c r="A98" s="126" t="s">
        <v>129</v>
      </c>
      <c r="B98" s="131" t="s">
        <v>106</v>
      </c>
      <c r="D98" s="134" t="s">
        <v>137</v>
      </c>
      <c r="E98" s="202">
        <f>IF(E78*F$91+E$91*F78-F78*F$91&lt;0,0,E78*F$91+E$91*F78-F78*F$91)</f>
        <v>0</v>
      </c>
      <c r="F98" s="179">
        <f t="shared" ref="F98:G100" si="65">F78*F$91</f>
        <v>1.5400000000000003</v>
      </c>
      <c r="G98" s="179">
        <f t="shared" si="65"/>
        <v>3.52</v>
      </c>
      <c r="H98" s="188">
        <f t="shared" ref="H98:H100" si="66">G78*H$91+G$91*H78-G78*G$91</f>
        <v>5.0600000000000005</v>
      </c>
      <c r="I98" s="187">
        <f t="shared" ref="I98:I100" si="67">I78*J$91+I$91*J78-J78*J$91</f>
        <v>0.19999999999999996</v>
      </c>
      <c r="J98" s="179">
        <f t="shared" ref="J98:K100" si="68">J78*J$91</f>
        <v>1.5400000000000003</v>
      </c>
      <c r="K98" s="179">
        <f t="shared" si="68"/>
        <v>3.52</v>
      </c>
      <c r="L98" s="188">
        <f t="shared" ref="L98:L100" si="69">K78*L$91+K$91*L78-K78*K$91</f>
        <v>4.6000000000000014</v>
      </c>
    </row>
    <row r="99" spans="1:12" x14ac:dyDescent="0.25">
      <c r="A99" s="126" t="s">
        <v>129</v>
      </c>
      <c r="B99" s="131" t="s">
        <v>105</v>
      </c>
      <c r="D99" s="134" t="s">
        <v>136</v>
      </c>
      <c r="E99" s="87">
        <f t="shared" ref="E99:E100" si="70">E79*F$91+E$91*F79-F79*F$91</f>
        <v>2.2549999999999999</v>
      </c>
      <c r="F99">
        <f t="shared" si="65"/>
        <v>3.8500000000000005</v>
      </c>
      <c r="G99">
        <f t="shared" si="65"/>
        <v>6.16</v>
      </c>
      <c r="H99" s="88">
        <f t="shared" si="66"/>
        <v>9.1550000000000011</v>
      </c>
      <c r="I99" s="87">
        <f t="shared" si="67"/>
        <v>2.7399999999999993</v>
      </c>
      <c r="J99">
        <f t="shared" si="68"/>
        <v>3.8500000000000005</v>
      </c>
      <c r="K99">
        <f t="shared" si="68"/>
        <v>6.16</v>
      </c>
      <c r="L99" s="88">
        <f t="shared" si="69"/>
        <v>8.129999999999999</v>
      </c>
    </row>
    <row r="100" spans="1:12" ht="15.75" thickBot="1" x14ac:dyDescent="0.3">
      <c r="A100" s="127" t="s">
        <v>129</v>
      </c>
      <c r="B100" s="132" t="s">
        <v>104</v>
      </c>
      <c r="D100" s="135" t="s">
        <v>135</v>
      </c>
      <c r="E100" s="91">
        <f t="shared" si="70"/>
        <v>3.8900000000000006</v>
      </c>
      <c r="F100" s="93">
        <f t="shared" si="65"/>
        <v>7</v>
      </c>
      <c r="G100" s="93">
        <f t="shared" si="65"/>
        <v>8</v>
      </c>
      <c r="H100" s="94">
        <f t="shared" si="66"/>
        <v>9.5</v>
      </c>
      <c r="I100" s="91">
        <f t="shared" si="67"/>
        <v>4.8099999999999987</v>
      </c>
      <c r="J100" s="93">
        <f t="shared" si="68"/>
        <v>7</v>
      </c>
      <c r="K100" s="93">
        <f t="shared" si="68"/>
        <v>8</v>
      </c>
      <c r="L100" s="94">
        <f t="shared" si="69"/>
        <v>9</v>
      </c>
    </row>
    <row r="101" spans="1:12" x14ac:dyDescent="0.25">
      <c r="A101" s="125" t="s">
        <v>130</v>
      </c>
      <c r="B101" s="130" t="s">
        <v>107</v>
      </c>
      <c r="D101" s="133" t="s">
        <v>139</v>
      </c>
      <c r="E101" s="81">
        <f>E77*F$92+E$92*F77-F77*F$92</f>
        <v>0</v>
      </c>
      <c r="F101" s="83">
        <f>F77*F$92</f>
        <v>0</v>
      </c>
      <c r="G101" s="83">
        <f>G77*G$92</f>
        <v>0</v>
      </c>
      <c r="H101" s="84">
        <f>G77*H$92+G$92*H77-G77*G$92</f>
        <v>1.76</v>
      </c>
      <c r="I101" s="81">
        <f>I77*J$92+I$92*J77-J77*J$92</f>
        <v>0</v>
      </c>
      <c r="J101" s="83">
        <f>J77*J$92</f>
        <v>0</v>
      </c>
      <c r="K101" s="83">
        <f>K77*K$92</f>
        <v>0</v>
      </c>
      <c r="L101" s="84">
        <f>K77*L$92+K$92*L77-K77*K$92</f>
        <v>1.2</v>
      </c>
    </row>
    <row r="102" spans="1:12" x14ac:dyDescent="0.25">
      <c r="A102" s="126" t="s">
        <v>130</v>
      </c>
      <c r="B102" s="131" t="s">
        <v>106</v>
      </c>
      <c r="D102" s="134" t="s">
        <v>144</v>
      </c>
      <c r="E102" s="202">
        <f>IF(E78*F$92+E$92*F78-F78*F$92&lt;0,0,E78*F$92+E$92*F78-F78*F$92)</f>
        <v>0</v>
      </c>
      <c r="F102" s="179">
        <f t="shared" ref="F102:G104" si="71">F78*F$92</f>
        <v>1.5400000000000003</v>
      </c>
      <c r="G102" s="179">
        <f t="shared" si="71"/>
        <v>3.52</v>
      </c>
      <c r="H102" s="188">
        <f t="shared" ref="H102:H104" si="72">G78*H$92+G$92*H78-G78*G$92</f>
        <v>5.0600000000000005</v>
      </c>
      <c r="I102" s="187">
        <f t="shared" ref="I102:I104" si="73">I78*J$92+I$92*J78-J78*J$92</f>
        <v>0.19999999999999996</v>
      </c>
      <c r="J102" s="179">
        <f t="shared" ref="J102:K104" si="74">J78*J$92</f>
        <v>1.5400000000000003</v>
      </c>
      <c r="K102" s="179">
        <f t="shared" si="74"/>
        <v>3.52</v>
      </c>
      <c r="L102" s="188">
        <f t="shared" ref="L102:L104" si="75">K78*L$92+K$92*L78-K78*K$92</f>
        <v>4.6000000000000014</v>
      </c>
    </row>
    <row r="103" spans="1:12" x14ac:dyDescent="0.25">
      <c r="A103" s="126" t="s">
        <v>130</v>
      </c>
      <c r="B103" s="131" t="s">
        <v>105</v>
      </c>
      <c r="D103" s="134" t="s">
        <v>145</v>
      </c>
      <c r="E103" s="87">
        <f t="shared" ref="E103:E104" si="76">E79*F$92+E$92*F79-F79*F$92</f>
        <v>2.2549999999999999</v>
      </c>
      <c r="F103">
        <f t="shared" si="71"/>
        <v>3.8500000000000005</v>
      </c>
      <c r="G103">
        <f t="shared" si="71"/>
        <v>6.16</v>
      </c>
      <c r="H103" s="88">
        <f t="shared" si="72"/>
        <v>9.1550000000000011</v>
      </c>
      <c r="I103" s="87">
        <f t="shared" si="73"/>
        <v>2.7399999999999993</v>
      </c>
      <c r="J103">
        <f t="shared" si="74"/>
        <v>3.8500000000000005</v>
      </c>
      <c r="K103">
        <f t="shared" si="74"/>
        <v>6.16</v>
      </c>
      <c r="L103" s="88">
        <f t="shared" si="75"/>
        <v>8.129999999999999</v>
      </c>
    </row>
    <row r="104" spans="1:12" ht="15.75" thickBot="1" x14ac:dyDescent="0.3">
      <c r="A104" s="127" t="s">
        <v>130</v>
      </c>
      <c r="B104" s="132" t="s">
        <v>104</v>
      </c>
      <c r="D104" s="135" t="s">
        <v>146</v>
      </c>
      <c r="E104" s="91">
        <f t="shared" si="76"/>
        <v>3.8900000000000006</v>
      </c>
      <c r="F104" s="93">
        <f t="shared" si="71"/>
        <v>7</v>
      </c>
      <c r="G104" s="93">
        <f t="shared" si="71"/>
        <v>8</v>
      </c>
      <c r="H104" s="94">
        <f t="shared" si="72"/>
        <v>9.5</v>
      </c>
      <c r="I104" s="91">
        <f t="shared" si="73"/>
        <v>4.8099999999999987</v>
      </c>
      <c r="J104" s="93">
        <f t="shared" si="74"/>
        <v>7</v>
      </c>
      <c r="K104" s="93">
        <f t="shared" si="74"/>
        <v>8</v>
      </c>
      <c r="L104" s="94">
        <f t="shared" si="75"/>
        <v>9</v>
      </c>
    </row>
    <row r="105" spans="1:12" x14ac:dyDescent="0.25">
      <c r="A105" s="125" t="s">
        <v>131</v>
      </c>
      <c r="B105" s="130" t="s">
        <v>107</v>
      </c>
      <c r="D105" s="133" t="s">
        <v>141</v>
      </c>
      <c r="E105" s="81">
        <f>E77*F$93+E$93*F77-F77*F$93</f>
        <v>0</v>
      </c>
      <c r="F105" s="83">
        <f>F77*F$93</f>
        <v>0</v>
      </c>
      <c r="G105" s="83">
        <f>G77*G$93</f>
        <v>0</v>
      </c>
      <c r="H105" s="84">
        <f>G77*H$93+G$93*H77-G77*G$93</f>
        <v>1.21</v>
      </c>
      <c r="I105" s="81">
        <f>I77*J$93+I$93*J77-J77*J$93</f>
        <v>0</v>
      </c>
      <c r="J105" s="83">
        <f>J77*J$93</f>
        <v>0</v>
      </c>
      <c r="K105" s="83">
        <f>K77*K$93</f>
        <v>0</v>
      </c>
      <c r="L105" s="84">
        <f>K77*L$93+K$93*L77-K77*K$93</f>
        <v>0.82499999999999996</v>
      </c>
    </row>
    <row r="106" spans="1:12" x14ac:dyDescent="0.25">
      <c r="A106" s="126" t="s">
        <v>131</v>
      </c>
      <c r="B106" s="131" t="s">
        <v>106</v>
      </c>
      <c r="D106" s="134" t="s">
        <v>140</v>
      </c>
      <c r="E106" s="202">
        <f>IF(E78*F$93+E$93*F78-F78*F$93&lt;0,0,E78*F$93+E$93*F78-F78*F$93)</f>
        <v>0</v>
      </c>
      <c r="F106" s="179">
        <f t="shared" ref="F106:G108" si="77">F78*F$93</f>
        <v>0.9900000000000001</v>
      </c>
      <c r="G106" s="179">
        <f t="shared" si="77"/>
        <v>2.42</v>
      </c>
      <c r="H106" s="188">
        <f t="shared" ref="H106:H108" si="78">G78*H$93+G$93*H78-G78*G$93</f>
        <v>3.6850000000000005</v>
      </c>
      <c r="I106" s="187">
        <f t="shared" ref="I106:I108" si="79">I78*J$93+I$93*J78-J78*J$93</f>
        <v>4.9999999999999933E-2</v>
      </c>
      <c r="J106" s="179">
        <f t="shared" ref="J106:K108" si="80">J78*J$93</f>
        <v>0.9900000000000001</v>
      </c>
      <c r="K106" s="179">
        <f t="shared" si="80"/>
        <v>2.42</v>
      </c>
      <c r="L106" s="188">
        <f t="shared" ref="L106:L108" si="81">K78*L$93+K$93*L78-K78*K$93</f>
        <v>3.3000000000000007</v>
      </c>
    </row>
    <row r="107" spans="1:12" x14ac:dyDescent="0.25">
      <c r="A107" s="126" t="s">
        <v>131</v>
      </c>
      <c r="B107" s="131" t="s">
        <v>105</v>
      </c>
      <c r="D107" s="134" t="s">
        <v>142</v>
      </c>
      <c r="E107" s="87">
        <f t="shared" ref="E107:E108" si="82">E79*F$93+E$93*F79-F79*F$93</f>
        <v>1.1550000000000002</v>
      </c>
      <c r="F107">
        <f t="shared" si="77"/>
        <v>2.4750000000000001</v>
      </c>
      <c r="G107">
        <f t="shared" si="77"/>
        <v>4.2350000000000003</v>
      </c>
      <c r="H107" s="88">
        <f t="shared" si="78"/>
        <v>6.6550000000000002</v>
      </c>
      <c r="I107" s="87">
        <f t="shared" si="79"/>
        <v>1.5650000000000008</v>
      </c>
      <c r="J107">
        <f t="shared" si="80"/>
        <v>2.4750000000000001</v>
      </c>
      <c r="K107">
        <f t="shared" si="80"/>
        <v>4.2350000000000003</v>
      </c>
      <c r="L107" s="88">
        <f t="shared" si="81"/>
        <v>5.830000000000001</v>
      </c>
    </row>
    <row r="108" spans="1:12" ht="15.75" thickBot="1" x14ac:dyDescent="0.3">
      <c r="A108" s="127" t="s">
        <v>131</v>
      </c>
      <c r="B108" s="132" t="s">
        <v>104</v>
      </c>
      <c r="D108" s="135" t="s">
        <v>143</v>
      </c>
      <c r="E108" s="91">
        <f t="shared" si="82"/>
        <v>1.9649999999999999</v>
      </c>
      <c r="F108" s="93">
        <f t="shared" si="77"/>
        <v>4.5</v>
      </c>
      <c r="G108" s="93">
        <f t="shared" si="77"/>
        <v>5.5</v>
      </c>
      <c r="H108" s="94">
        <f t="shared" si="78"/>
        <v>7</v>
      </c>
      <c r="I108" s="91">
        <f t="shared" si="79"/>
        <v>2.7349999999999994</v>
      </c>
      <c r="J108" s="93">
        <f t="shared" si="80"/>
        <v>4.5</v>
      </c>
      <c r="K108" s="93">
        <f t="shared" si="80"/>
        <v>5.5</v>
      </c>
      <c r="L108" s="94">
        <f t="shared" si="81"/>
        <v>6.5</v>
      </c>
    </row>
    <row r="111" spans="1:12" ht="18.75" x14ac:dyDescent="0.3">
      <c r="A111" s="149" t="s">
        <v>162</v>
      </c>
      <c r="B111" s="99"/>
      <c r="C111" s="99"/>
    </row>
    <row r="112" spans="1:12" x14ac:dyDescent="0.25">
      <c r="A112" s="1" t="s">
        <v>110</v>
      </c>
      <c r="B112" s="99"/>
      <c r="C112" s="99"/>
    </row>
    <row r="113" spans="1:73" ht="15.75" thickBot="1" x14ac:dyDescent="0.3">
      <c r="A113" s="100" t="s">
        <v>169</v>
      </c>
      <c r="B113" s="99"/>
      <c r="C113" s="99"/>
      <c r="BO113">
        <v>0.8</v>
      </c>
    </row>
    <row r="114" spans="1:73" ht="86.25" customHeight="1" thickBot="1" x14ac:dyDescent="0.3">
      <c r="A114" s="273" t="s">
        <v>85</v>
      </c>
      <c r="B114" s="273" t="s">
        <v>86</v>
      </c>
      <c r="C114" s="277" t="s">
        <v>87</v>
      </c>
      <c r="D114" s="278" t="s">
        <v>127</v>
      </c>
      <c r="E114" s="279"/>
      <c r="F114" s="279"/>
      <c r="G114" s="279" t="s">
        <v>128</v>
      </c>
      <c r="H114" s="279"/>
      <c r="I114" s="279"/>
      <c r="J114" s="286" t="s">
        <v>157</v>
      </c>
      <c r="K114" s="280" t="s">
        <v>150</v>
      </c>
      <c r="L114" s="281"/>
      <c r="M114" s="281"/>
      <c r="N114" s="281"/>
      <c r="O114" s="281"/>
      <c r="P114" s="281"/>
      <c r="Q114" s="281"/>
      <c r="R114" s="282"/>
      <c r="S114" s="280" t="s">
        <v>148</v>
      </c>
      <c r="T114" s="281"/>
      <c r="U114" s="281"/>
      <c r="V114" s="281"/>
      <c r="W114" s="281"/>
      <c r="X114" s="281"/>
      <c r="Y114" s="281"/>
      <c r="Z114" s="282"/>
      <c r="AA114" s="280" t="s">
        <v>149</v>
      </c>
      <c r="AB114" s="281"/>
      <c r="AC114" s="281"/>
      <c r="AD114" s="281"/>
      <c r="AE114" s="281"/>
      <c r="AF114" s="281"/>
      <c r="AG114" s="281"/>
      <c r="AH114" s="282"/>
      <c r="AI114" s="280" t="s">
        <v>147</v>
      </c>
      <c r="AJ114" s="281"/>
      <c r="AK114" s="281"/>
      <c r="AL114" s="281"/>
      <c r="AM114" s="281"/>
      <c r="AN114" s="281"/>
      <c r="AO114" s="281"/>
      <c r="AP114" s="282"/>
      <c r="AQ114" s="280" t="s">
        <v>158</v>
      </c>
      <c r="AR114" s="281"/>
      <c r="AS114" s="281"/>
      <c r="AT114" s="281"/>
      <c r="AU114" s="281"/>
      <c r="AV114" s="281"/>
      <c r="AW114" s="281"/>
      <c r="AX114" s="282"/>
      <c r="AY114" s="280" t="s">
        <v>159</v>
      </c>
      <c r="AZ114" s="281"/>
      <c r="BA114" s="281"/>
      <c r="BB114" s="281"/>
      <c r="BC114" s="281"/>
      <c r="BD114" s="281"/>
      <c r="BE114" s="281"/>
      <c r="BF114" s="282"/>
      <c r="BG114" s="280" t="s">
        <v>205</v>
      </c>
      <c r="BH114" s="281"/>
      <c r="BI114" s="281"/>
      <c r="BJ114" s="281"/>
      <c r="BK114" s="281"/>
      <c r="BL114" s="281"/>
      <c r="BM114" s="281"/>
      <c r="BN114" s="282"/>
      <c r="BO114" s="292" t="s">
        <v>151</v>
      </c>
      <c r="BP114" s="293"/>
      <c r="BQ114" s="293"/>
      <c r="BR114" s="294"/>
      <c r="BS114" s="288" t="s">
        <v>153</v>
      </c>
      <c r="BT114" s="289"/>
      <c r="BU114" s="290" t="s">
        <v>156</v>
      </c>
    </row>
    <row r="115" spans="1:73" s="97" customFormat="1" ht="23.25" customHeight="1" thickBot="1" x14ac:dyDescent="0.3">
      <c r="A115" s="273"/>
      <c r="B115" s="273"/>
      <c r="C115" s="277"/>
      <c r="D115" s="122" t="s">
        <v>114</v>
      </c>
      <c r="E115" s="107" t="s">
        <v>115</v>
      </c>
      <c r="F115" s="107" t="s">
        <v>116</v>
      </c>
      <c r="G115" s="107" t="s">
        <v>114</v>
      </c>
      <c r="H115" s="107" t="s">
        <v>115</v>
      </c>
      <c r="I115" s="107" t="s">
        <v>116</v>
      </c>
      <c r="J115" s="287"/>
      <c r="K115" s="280" t="s">
        <v>17</v>
      </c>
      <c r="L115" s="281"/>
      <c r="M115" s="281"/>
      <c r="N115" s="282"/>
      <c r="O115" s="280" t="s">
        <v>18</v>
      </c>
      <c r="P115" s="281"/>
      <c r="Q115" s="281"/>
      <c r="R115" s="282"/>
      <c r="S115" s="280" t="s">
        <v>17</v>
      </c>
      <c r="T115" s="281"/>
      <c r="U115" s="281"/>
      <c r="V115" s="282"/>
      <c r="W115" s="280" t="s">
        <v>18</v>
      </c>
      <c r="X115" s="281"/>
      <c r="Y115" s="281"/>
      <c r="Z115" s="282"/>
      <c r="AA115" s="280" t="s">
        <v>17</v>
      </c>
      <c r="AB115" s="281"/>
      <c r="AC115" s="281"/>
      <c r="AD115" s="282"/>
      <c r="AE115" s="280" t="s">
        <v>18</v>
      </c>
      <c r="AF115" s="281"/>
      <c r="AG115" s="281"/>
      <c r="AH115" s="282"/>
      <c r="AI115" s="280" t="s">
        <v>17</v>
      </c>
      <c r="AJ115" s="281"/>
      <c r="AK115" s="281"/>
      <c r="AL115" s="282"/>
      <c r="AM115" s="280" t="s">
        <v>18</v>
      </c>
      <c r="AN115" s="281"/>
      <c r="AO115" s="281"/>
      <c r="AP115" s="282"/>
      <c r="AQ115" s="280" t="s">
        <v>17</v>
      </c>
      <c r="AR115" s="281"/>
      <c r="AS115" s="281"/>
      <c r="AT115" s="282"/>
      <c r="AU115" s="280" t="s">
        <v>18</v>
      </c>
      <c r="AV115" s="281"/>
      <c r="AW115" s="281"/>
      <c r="AX115" s="282"/>
      <c r="AY115" s="280" t="s">
        <v>17</v>
      </c>
      <c r="AZ115" s="281"/>
      <c r="BA115" s="281"/>
      <c r="BB115" s="282"/>
      <c r="BC115" s="280" t="s">
        <v>18</v>
      </c>
      <c r="BD115" s="281"/>
      <c r="BE115" s="281"/>
      <c r="BF115" s="282"/>
      <c r="BG115" s="280" t="s">
        <v>17</v>
      </c>
      <c r="BH115" s="281"/>
      <c r="BI115" s="281"/>
      <c r="BJ115" s="282"/>
      <c r="BK115" s="280" t="s">
        <v>18</v>
      </c>
      <c r="BL115" s="281"/>
      <c r="BM115" s="281"/>
      <c r="BN115" s="282"/>
      <c r="BO115" s="295" t="s">
        <v>152</v>
      </c>
      <c r="BP115" s="296"/>
      <c r="BQ115" s="295" t="s">
        <v>26</v>
      </c>
      <c r="BR115" s="297"/>
      <c r="BS115" s="145" t="s">
        <v>154</v>
      </c>
      <c r="BT115" s="145" t="s">
        <v>155</v>
      </c>
      <c r="BU115" s="291"/>
    </row>
    <row r="116" spans="1:73" ht="30" x14ac:dyDescent="0.25">
      <c r="A116" s="102" t="s">
        <v>8</v>
      </c>
      <c r="B116" s="102" t="s">
        <v>84</v>
      </c>
      <c r="C116" s="121" t="s">
        <v>72</v>
      </c>
      <c r="D116" s="156" t="s">
        <v>106</v>
      </c>
      <c r="E116" s="156" t="s">
        <v>105</v>
      </c>
      <c r="F116" s="156" t="s">
        <v>104</v>
      </c>
      <c r="G116" s="110">
        <f>IF(D116=$A$129,$B$129,(IF(D116=$A$130,$B$130,IF(D116=$A$131,$B$131,$B$132))))</f>
        <v>0.33</v>
      </c>
      <c r="H116" s="110">
        <f t="shared" ref="H116:I125" si="83">IF(E116=$A$129,$B$129,(IF(E116=$A$130,$B$130,IF(E116=$A$131,$B$131,$B$132))))</f>
        <v>0.66</v>
      </c>
      <c r="I116" s="110">
        <f t="shared" si="83"/>
        <v>1</v>
      </c>
      <c r="J116" s="147">
        <f>G116*$D$143+H116*$D$144+I116*$D$145</f>
        <v>11.625</v>
      </c>
      <c r="K116" s="81">
        <v>0</v>
      </c>
      <c r="L116" s="83">
        <v>0.22000000000000003</v>
      </c>
      <c r="M116" s="83">
        <v>0.44</v>
      </c>
      <c r="N116" s="84">
        <v>0.55000000000000004</v>
      </c>
      <c r="O116" s="81">
        <v>0.06</v>
      </c>
      <c r="P116" s="83">
        <v>0.22000000000000003</v>
      </c>
      <c r="Q116" s="83">
        <v>0.44</v>
      </c>
      <c r="R116" s="84">
        <v>0.52</v>
      </c>
      <c r="S116" s="81">
        <v>0.44000000000000006</v>
      </c>
      <c r="T116" s="83">
        <v>0.55000000000000004</v>
      </c>
      <c r="U116" s="83">
        <v>0.77</v>
      </c>
      <c r="V116" s="84">
        <v>1</v>
      </c>
      <c r="W116" s="81">
        <v>0.47000000000000003</v>
      </c>
      <c r="X116" s="83">
        <v>0.55000000000000004</v>
      </c>
      <c r="Y116" s="83">
        <v>0.77</v>
      </c>
      <c r="Z116" s="84">
        <v>0.92</v>
      </c>
      <c r="AA116" s="81">
        <v>0.77</v>
      </c>
      <c r="AB116" s="83">
        <v>1</v>
      </c>
      <c r="AC116" s="83">
        <v>1</v>
      </c>
      <c r="AD116" s="84">
        <v>1</v>
      </c>
      <c r="AE116" s="81">
        <v>0.83</v>
      </c>
      <c r="AF116" s="83">
        <v>1</v>
      </c>
      <c r="AG116" s="83">
        <v>1</v>
      </c>
      <c r="AH116" s="84">
        <v>1</v>
      </c>
      <c r="AI116" s="185">
        <v>0</v>
      </c>
      <c r="AJ116" s="200">
        <v>0.44000000000000006</v>
      </c>
      <c r="AK116" s="200">
        <v>1.32</v>
      </c>
      <c r="AL116" s="186">
        <v>2.3099999999999996</v>
      </c>
      <c r="AM116" s="185">
        <v>5.3999999999999992E-2</v>
      </c>
      <c r="AN116" s="200">
        <v>0.44000000000000006</v>
      </c>
      <c r="AO116" s="200">
        <v>1.32</v>
      </c>
      <c r="AP116" s="186">
        <v>2</v>
      </c>
      <c r="AQ116" s="81">
        <v>1.1550000000000002</v>
      </c>
      <c r="AR116" s="83">
        <v>2.4750000000000001</v>
      </c>
      <c r="AS116" s="83">
        <v>4.2350000000000003</v>
      </c>
      <c r="AT116" s="83">
        <v>6.6550000000000002</v>
      </c>
      <c r="AU116" s="81">
        <v>1.5650000000000008</v>
      </c>
      <c r="AV116" s="83">
        <v>2.4750000000000001</v>
      </c>
      <c r="AW116" s="83">
        <v>4.2350000000000003</v>
      </c>
      <c r="AX116" s="84">
        <v>5.830000000000001</v>
      </c>
      <c r="AY116" s="81">
        <v>3.8900000000000006</v>
      </c>
      <c r="AZ116" s="83">
        <v>7</v>
      </c>
      <c r="BA116" s="83">
        <v>8</v>
      </c>
      <c r="BB116" s="83">
        <v>9.5</v>
      </c>
      <c r="BC116" s="81">
        <v>4.8099999999999987</v>
      </c>
      <c r="BD116" s="83">
        <v>7</v>
      </c>
      <c r="BE116" s="83">
        <v>8</v>
      </c>
      <c r="BF116" s="84">
        <v>9</v>
      </c>
      <c r="BG116" s="81">
        <f>AI116+AQ116+AY116</f>
        <v>5.0450000000000008</v>
      </c>
      <c r="BH116" s="83">
        <f t="shared" ref="BH116:BN125" si="84">AJ116+AR116+AZ116</f>
        <v>9.9149999999999991</v>
      </c>
      <c r="BI116" s="83">
        <f t="shared" si="84"/>
        <v>13.555</v>
      </c>
      <c r="BJ116" s="83">
        <f t="shared" si="84"/>
        <v>18.465</v>
      </c>
      <c r="BK116" s="81">
        <f t="shared" si="84"/>
        <v>6.4289999999999994</v>
      </c>
      <c r="BL116" s="83">
        <f t="shared" si="84"/>
        <v>9.9149999999999991</v>
      </c>
      <c r="BM116" s="83">
        <f t="shared" si="84"/>
        <v>13.555</v>
      </c>
      <c r="BN116" s="83">
        <f t="shared" si="84"/>
        <v>16.830000000000002</v>
      </c>
      <c r="BO116" s="136">
        <f>BO$9*BH116+(1-BO$9)*BG116</f>
        <v>8.9409999999999989</v>
      </c>
      <c r="BP116" s="142">
        <f>BO$9*BI116+(1-BO$9)*BJ116</f>
        <v>14.537000000000001</v>
      </c>
      <c r="BQ116" s="136">
        <f>BO$9*BL116+(1-BO$9)*BK116</f>
        <v>9.2177999999999987</v>
      </c>
      <c r="BR116" s="137">
        <f>BO$9*BM116+(1-BO$9)*BN116</f>
        <v>14.21</v>
      </c>
      <c r="BS116" s="81">
        <f>(BO116+BP116)/2</f>
        <v>11.739000000000001</v>
      </c>
      <c r="BT116" s="84">
        <f>(BQ116+BR116)/2</f>
        <v>11.713899999999999</v>
      </c>
      <c r="BU116" s="133">
        <f>(BS116+BT116)/2</f>
        <v>11.72645</v>
      </c>
    </row>
    <row r="117" spans="1:73" x14ac:dyDescent="0.25">
      <c r="A117" s="102" t="s">
        <v>9</v>
      </c>
      <c r="B117" s="102" t="s">
        <v>73</v>
      </c>
      <c r="C117" s="121" t="s">
        <v>88</v>
      </c>
      <c r="D117" s="156" t="s">
        <v>105</v>
      </c>
      <c r="E117" s="156" t="s">
        <v>106</v>
      </c>
      <c r="F117" s="156" t="s">
        <v>106</v>
      </c>
      <c r="G117" s="110">
        <f t="shared" ref="G117:G125" si="85">IF(D117=$A$129,$B$129,(IF(D117=$A$130,$B$130,IF(D117=$A$131,$B$131,$B$132))))</f>
        <v>0.66</v>
      </c>
      <c r="H117" s="110">
        <f t="shared" si="83"/>
        <v>0.33</v>
      </c>
      <c r="I117" s="110">
        <f t="shared" si="83"/>
        <v>0.33</v>
      </c>
      <c r="J117" s="147">
        <f t="shared" ref="J117:J125" si="86">G117*$D$143+H117*$D$144+I117*$D$145</f>
        <v>5.7750000000000004</v>
      </c>
      <c r="K117" s="87">
        <v>0.44000000000000006</v>
      </c>
      <c r="L117">
        <v>0.55000000000000004</v>
      </c>
      <c r="M117">
        <v>0.77</v>
      </c>
      <c r="N117" s="88">
        <v>1</v>
      </c>
      <c r="O117" s="87">
        <v>0.47000000000000003</v>
      </c>
      <c r="P117">
        <v>0.55000000000000004</v>
      </c>
      <c r="Q117">
        <v>0.77</v>
      </c>
      <c r="R117" s="88">
        <v>0.92</v>
      </c>
      <c r="S117" s="87">
        <v>0</v>
      </c>
      <c r="T117">
        <v>0.22000000000000003</v>
      </c>
      <c r="U117">
        <v>0.44</v>
      </c>
      <c r="V117" s="88">
        <v>0.55000000000000004</v>
      </c>
      <c r="W117" s="87">
        <v>0.06</v>
      </c>
      <c r="X117">
        <v>0.22000000000000003</v>
      </c>
      <c r="Y117">
        <v>0.44</v>
      </c>
      <c r="Z117" s="88">
        <v>0.52</v>
      </c>
      <c r="AA117" s="87">
        <v>0</v>
      </c>
      <c r="AB117">
        <v>0.22000000000000003</v>
      </c>
      <c r="AC117">
        <v>0.44</v>
      </c>
      <c r="AD117" s="88">
        <v>0.55000000000000004</v>
      </c>
      <c r="AE117" s="87">
        <v>0.06</v>
      </c>
      <c r="AF117">
        <v>0.22000000000000003</v>
      </c>
      <c r="AG117">
        <v>0.44</v>
      </c>
      <c r="AH117" s="88">
        <v>0.52</v>
      </c>
      <c r="AI117" s="87">
        <v>0.60499999999999998</v>
      </c>
      <c r="AJ117">
        <v>1.1000000000000001</v>
      </c>
      <c r="AK117">
        <v>2.31</v>
      </c>
      <c r="AL117" s="88">
        <v>4.1549999999999994</v>
      </c>
      <c r="AM117" s="87">
        <v>0.77499999999999991</v>
      </c>
      <c r="AN117">
        <v>1.1000000000000001</v>
      </c>
      <c r="AO117">
        <v>2.31</v>
      </c>
      <c r="AP117" s="88">
        <v>3.53</v>
      </c>
      <c r="AQ117" s="187">
        <v>0</v>
      </c>
      <c r="AR117" s="179">
        <v>0.9900000000000001</v>
      </c>
      <c r="AS117" s="179">
        <v>2.42</v>
      </c>
      <c r="AT117" s="179">
        <v>3.6850000000000005</v>
      </c>
      <c r="AU117" s="187">
        <v>4.9999999999999933E-2</v>
      </c>
      <c r="AV117" s="179">
        <v>0.9900000000000001</v>
      </c>
      <c r="AW117" s="179">
        <v>2.42</v>
      </c>
      <c r="AX117" s="188">
        <v>3.3000000000000007</v>
      </c>
      <c r="AY117" s="187">
        <v>0</v>
      </c>
      <c r="AZ117" s="179">
        <v>1.5400000000000003</v>
      </c>
      <c r="BA117" s="179">
        <v>3.52</v>
      </c>
      <c r="BB117" s="179">
        <v>5.0600000000000005</v>
      </c>
      <c r="BC117" s="187">
        <v>0.19999999999999996</v>
      </c>
      <c r="BD117" s="179">
        <v>1.5400000000000003</v>
      </c>
      <c r="BE117" s="179">
        <v>3.52</v>
      </c>
      <c r="BF117" s="188">
        <v>4.6000000000000014</v>
      </c>
      <c r="BG117" s="187">
        <f t="shared" ref="BG117:BG125" si="87">AI117+AQ117+AY117</f>
        <v>0.60499999999999998</v>
      </c>
      <c r="BH117" s="179">
        <f t="shared" si="84"/>
        <v>3.6300000000000008</v>
      </c>
      <c r="BI117" s="179">
        <f t="shared" si="84"/>
        <v>8.25</v>
      </c>
      <c r="BJ117" s="179">
        <f t="shared" si="84"/>
        <v>12.9</v>
      </c>
      <c r="BK117" s="187">
        <f t="shared" si="84"/>
        <v>1.0249999999999999</v>
      </c>
      <c r="BL117" s="179">
        <f t="shared" si="84"/>
        <v>3.6300000000000008</v>
      </c>
      <c r="BM117" s="179">
        <f t="shared" si="84"/>
        <v>8.25</v>
      </c>
      <c r="BN117" s="179">
        <f t="shared" si="84"/>
        <v>11.430000000000001</v>
      </c>
      <c r="BO117" s="138">
        <f t="shared" ref="BO117:BO125" si="88">BO$9*BH117+(1-BO$9)*BG117</f>
        <v>3.0250000000000008</v>
      </c>
      <c r="BP117" s="143">
        <f t="shared" ref="BP117:BP125" si="89">BO$9*BI117+(1-BO$9)*BJ117</f>
        <v>9.18</v>
      </c>
      <c r="BQ117" s="138">
        <f t="shared" ref="BQ117:BQ125" si="90">BO$9*BL117+(1-BO$9)*BK117</f>
        <v>3.1090000000000009</v>
      </c>
      <c r="BR117" s="139">
        <f t="shared" ref="BR117:BR125" si="91">BO$9*BM117+(1-BO$9)*BN117</f>
        <v>8.8859999999999992</v>
      </c>
      <c r="BS117" s="87">
        <f t="shared" ref="BS117:BS125" si="92">(BO117+BP117)/2</f>
        <v>6.1025</v>
      </c>
      <c r="BT117" s="88">
        <f t="shared" ref="BT117:BT125" si="93">(BQ117+BR117)/2</f>
        <v>5.9975000000000005</v>
      </c>
      <c r="BU117" s="134">
        <f t="shared" ref="BU117:BU125" si="94">(BS117+BT117)/2</f>
        <v>6.0500000000000007</v>
      </c>
    </row>
    <row r="118" spans="1:73" x14ac:dyDescent="0.25">
      <c r="A118" s="102" t="s">
        <v>10</v>
      </c>
      <c r="B118" s="102" t="s">
        <v>74</v>
      </c>
      <c r="C118" s="121" t="s">
        <v>89</v>
      </c>
      <c r="D118" s="156" t="s">
        <v>105</v>
      </c>
      <c r="E118" s="156" t="s">
        <v>104</v>
      </c>
      <c r="F118" s="156" t="s">
        <v>105</v>
      </c>
      <c r="G118" s="110">
        <f t="shared" si="85"/>
        <v>0.66</v>
      </c>
      <c r="H118" s="110">
        <f t="shared" si="83"/>
        <v>1</v>
      </c>
      <c r="I118" s="110">
        <f t="shared" si="83"/>
        <v>0.66</v>
      </c>
      <c r="J118" s="147">
        <f t="shared" si="86"/>
        <v>11.600000000000001</v>
      </c>
      <c r="K118" s="87">
        <v>0.44000000000000006</v>
      </c>
      <c r="L118">
        <v>0.55000000000000004</v>
      </c>
      <c r="M118">
        <v>0.77</v>
      </c>
      <c r="N118" s="88">
        <v>1</v>
      </c>
      <c r="O118" s="87">
        <v>0.47000000000000003</v>
      </c>
      <c r="P118">
        <v>0.55000000000000004</v>
      </c>
      <c r="Q118">
        <v>0.77</v>
      </c>
      <c r="R118" s="88">
        <v>0.92</v>
      </c>
      <c r="S118" s="87">
        <v>0.77</v>
      </c>
      <c r="T118">
        <v>1</v>
      </c>
      <c r="U118">
        <v>1</v>
      </c>
      <c r="V118" s="88">
        <v>1</v>
      </c>
      <c r="W118" s="87">
        <v>0.83</v>
      </c>
      <c r="X118">
        <v>1</v>
      </c>
      <c r="Y118">
        <v>1</v>
      </c>
      <c r="Z118" s="88">
        <v>1</v>
      </c>
      <c r="AA118" s="87">
        <v>0.44000000000000006</v>
      </c>
      <c r="AB118">
        <v>0.55000000000000004</v>
      </c>
      <c r="AC118">
        <v>0.77</v>
      </c>
      <c r="AD118" s="88">
        <v>1</v>
      </c>
      <c r="AE118" s="87">
        <v>0.47000000000000003</v>
      </c>
      <c r="AF118">
        <v>0.55000000000000004</v>
      </c>
      <c r="AG118">
        <v>0.77</v>
      </c>
      <c r="AH118" s="88">
        <v>0.92</v>
      </c>
      <c r="AI118" s="87">
        <v>0.60499999999999998</v>
      </c>
      <c r="AJ118">
        <v>1.1000000000000001</v>
      </c>
      <c r="AK118">
        <v>2.31</v>
      </c>
      <c r="AL118" s="88">
        <v>4.1549999999999994</v>
      </c>
      <c r="AM118" s="87">
        <v>0.77499999999999991</v>
      </c>
      <c r="AN118">
        <v>1.1000000000000001</v>
      </c>
      <c r="AO118">
        <v>2.31</v>
      </c>
      <c r="AP118" s="88">
        <v>3.53</v>
      </c>
      <c r="AQ118" s="87">
        <v>1.9649999999999999</v>
      </c>
      <c r="AR118">
        <v>4.5</v>
      </c>
      <c r="AS118">
        <v>5.5</v>
      </c>
      <c r="AT118">
        <v>7</v>
      </c>
      <c r="AU118" s="87">
        <v>2.7349999999999994</v>
      </c>
      <c r="AV118">
        <v>4.5</v>
      </c>
      <c r="AW118">
        <v>5.5</v>
      </c>
      <c r="AX118" s="88">
        <v>6.5</v>
      </c>
      <c r="AY118" s="87">
        <v>2.2549999999999999</v>
      </c>
      <c r="AZ118">
        <v>3.8500000000000005</v>
      </c>
      <c r="BA118">
        <v>6.16</v>
      </c>
      <c r="BB118">
        <v>9.1550000000000011</v>
      </c>
      <c r="BC118" s="87">
        <v>2.7399999999999993</v>
      </c>
      <c r="BD118">
        <v>3.8500000000000005</v>
      </c>
      <c r="BE118">
        <v>6.16</v>
      </c>
      <c r="BF118" s="88">
        <v>8.129999999999999</v>
      </c>
      <c r="BG118" s="87">
        <f t="shared" si="87"/>
        <v>4.8249999999999993</v>
      </c>
      <c r="BH118">
        <f t="shared" si="84"/>
        <v>9.4499999999999993</v>
      </c>
      <c r="BI118">
        <f t="shared" si="84"/>
        <v>13.97</v>
      </c>
      <c r="BJ118">
        <f t="shared" si="84"/>
        <v>20.310000000000002</v>
      </c>
      <c r="BK118" s="87">
        <f t="shared" si="84"/>
        <v>6.2499999999999982</v>
      </c>
      <c r="BL118">
        <f t="shared" si="84"/>
        <v>9.4499999999999993</v>
      </c>
      <c r="BM118">
        <f t="shared" si="84"/>
        <v>13.97</v>
      </c>
      <c r="BN118">
        <f t="shared" si="84"/>
        <v>18.159999999999997</v>
      </c>
      <c r="BO118" s="138">
        <f t="shared" si="88"/>
        <v>8.5249999999999986</v>
      </c>
      <c r="BP118" s="143">
        <f t="shared" si="89"/>
        <v>15.238000000000001</v>
      </c>
      <c r="BQ118" s="138">
        <f t="shared" si="90"/>
        <v>8.8099999999999987</v>
      </c>
      <c r="BR118" s="139">
        <f t="shared" si="91"/>
        <v>14.808</v>
      </c>
      <c r="BS118" s="87">
        <f t="shared" si="92"/>
        <v>11.881499999999999</v>
      </c>
      <c r="BT118" s="88">
        <f t="shared" si="93"/>
        <v>11.808999999999999</v>
      </c>
      <c r="BU118" s="134">
        <f t="shared" si="94"/>
        <v>11.84525</v>
      </c>
    </row>
    <row r="119" spans="1:73" x14ac:dyDescent="0.25">
      <c r="A119" s="102" t="s">
        <v>65</v>
      </c>
      <c r="B119" s="102" t="s">
        <v>75</v>
      </c>
      <c r="C119" s="121" t="s">
        <v>76</v>
      </c>
      <c r="D119" s="156" t="s">
        <v>104</v>
      </c>
      <c r="E119" s="156" t="s">
        <v>105</v>
      </c>
      <c r="F119" s="156" t="s">
        <v>106</v>
      </c>
      <c r="G119" s="110">
        <f t="shared" si="85"/>
        <v>1</v>
      </c>
      <c r="H119" s="110">
        <f t="shared" si="83"/>
        <v>0.66</v>
      </c>
      <c r="I119" s="110">
        <f t="shared" si="83"/>
        <v>0.33</v>
      </c>
      <c r="J119" s="147">
        <f t="shared" si="86"/>
        <v>8.2750000000000004</v>
      </c>
      <c r="K119" s="87">
        <v>0.77</v>
      </c>
      <c r="L119">
        <v>1</v>
      </c>
      <c r="M119">
        <v>1</v>
      </c>
      <c r="N119" s="88">
        <v>1</v>
      </c>
      <c r="O119" s="87">
        <v>0.83</v>
      </c>
      <c r="P119">
        <v>1</v>
      </c>
      <c r="Q119">
        <v>1</v>
      </c>
      <c r="R119" s="88">
        <v>1</v>
      </c>
      <c r="S119" s="87">
        <v>0.44000000000000006</v>
      </c>
      <c r="T119">
        <v>0.55000000000000004</v>
      </c>
      <c r="U119">
        <v>0.77</v>
      </c>
      <c r="V119" s="88">
        <v>1</v>
      </c>
      <c r="W119" s="87">
        <v>0.47000000000000003</v>
      </c>
      <c r="X119">
        <v>0.55000000000000004</v>
      </c>
      <c r="Y119">
        <v>0.77</v>
      </c>
      <c r="Z119" s="88">
        <v>0.92</v>
      </c>
      <c r="AA119" s="87">
        <v>0</v>
      </c>
      <c r="AB119">
        <v>0.22000000000000003</v>
      </c>
      <c r="AC119">
        <v>0.44</v>
      </c>
      <c r="AD119" s="88">
        <v>0.55000000000000004</v>
      </c>
      <c r="AE119" s="87">
        <v>0.06</v>
      </c>
      <c r="AF119">
        <v>0.22000000000000003</v>
      </c>
      <c r="AG119">
        <v>0.44</v>
      </c>
      <c r="AH119" s="88">
        <v>0.52</v>
      </c>
      <c r="AI119" s="87">
        <v>1.04</v>
      </c>
      <c r="AJ119">
        <v>2</v>
      </c>
      <c r="AK119">
        <v>3</v>
      </c>
      <c r="AL119" s="88">
        <v>4.5</v>
      </c>
      <c r="AM119" s="87">
        <v>1.3599999999999999</v>
      </c>
      <c r="AN119">
        <v>2</v>
      </c>
      <c r="AO119">
        <v>3</v>
      </c>
      <c r="AP119" s="88">
        <v>4</v>
      </c>
      <c r="AQ119" s="87">
        <v>1.1550000000000002</v>
      </c>
      <c r="AR119">
        <v>2.4750000000000001</v>
      </c>
      <c r="AS119">
        <v>4.2350000000000003</v>
      </c>
      <c r="AT119">
        <v>6.6550000000000002</v>
      </c>
      <c r="AU119" s="87">
        <v>1.5650000000000008</v>
      </c>
      <c r="AV119">
        <v>2.4750000000000001</v>
      </c>
      <c r="AW119">
        <v>4.2350000000000003</v>
      </c>
      <c r="AX119" s="88">
        <v>5.830000000000001</v>
      </c>
      <c r="AY119" s="187">
        <v>0</v>
      </c>
      <c r="AZ119" s="179">
        <v>1.5400000000000003</v>
      </c>
      <c r="BA119" s="179">
        <v>3.52</v>
      </c>
      <c r="BB119" s="179">
        <v>5.0600000000000005</v>
      </c>
      <c r="BC119" s="187">
        <v>0.19999999999999996</v>
      </c>
      <c r="BD119" s="179">
        <v>1.5400000000000003</v>
      </c>
      <c r="BE119" s="179">
        <v>3.52</v>
      </c>
      <c r="BF119" s="188">
        <v>4.6000000000000014</v>
      </c>
      <c r="BG119" s="87">
        <f t="shared" si="87"/>
        <v>2.1950000000000003</v>
      </c>
      <c r="BH119">
        <f t="shared" si="84"/>
        <v>6.0149999999999997</v>
      </c>
      <c r="BI119">
        <f t="shared" si="84"/>
        <v>10.755000000000001</v>
      </c>
      <c r="BJ119">
        <f t="shared" si="84"/>
        <v>16.215000000000003</v>
      </c>
      <c r="BK119" s="87">
        <f t="shared" si="84"/>
        <v>3.1250000000000009</v>
      </c>
      <c r="BL119">
        <f t="shared" si="84"/>
        <v>6.0149999999999997</v>
      </c>
      <c r="BM119">
        <f t="shared" si="84"/>
        <v>10.755000000000001</v>
      </c>
      <c r="BN119">
        <f t="shared" si="84"/>
        <v>14.430000000000003</v>
      </c>
      <c r="BO119" s="138">
        <f t="shared" si="88"/>
        <v>5.2510000000000003</v>
      </c>
      <c r="BP119" s="143">
        <f t="shared" si="89"/>
        <v>11.847000000000001</v>
      </c>
      <c r="BQ119" s="138">
        <f t="shared" si="90"/>
        <v>5.4370000000000003</v>
      </c>
      <c r="BR119" s="139">
        <f t="shared" si="91"/>
        <v>11.490000000000002</v>
      </c>
      <c r="BS119" s="87">
        <f t="shared" si="92"/>
        <v>8.5490000000000013</v>
      </c>
      <c r="BT119" s="88">
        <f t="shared" si="93"/>
        <v>8.4635000000000016</v>
      </c>
      <c r="BU119" s="134">
        <f t="shared" si="94"/>
        <v>8.5062500000000014</v>
      </c>
    </row>
    <row r="120" spans="1:73" ht="30" x14ac:dyDescent="0.25">
      <c r="A120" s="102" t="s">
        <v>66</v>
      </c>
      <c r="B120" s="102" t="s">
        <v>77</v>
      </c>
      <c r="C120" s="121" t="s">
        <v>90</v>
      </c>
      <c r="D120" s="156" t="s">
        <v>105</v>
      </c>
      <c r="E120" s="156" t="s">
        <v>104</v>
      </c>
      <c r="F120" s="156" t="s">
        <v>106</v>
      </c>
      <c r="G120" s="110">
        <f t="shared" si="85"/>
        <v>0.66</v>
      </c>
      <c r="H120" s="110">
        <f t="shared" si="83"/>
        <v>1</v>
      </c>
      <c r="I120" s="110">
        <f t="shared" si="83"/>
        <v>0.33</v>
      </c>
      <c r="J120" s="147">
        <f t="shared" si="86"/>
        <v>9.125</v>
      </c>
      <c r="K120" s="87">
        <v>0.44000000000000006</v>
      </c>
      <c r="L120">
        <v>0.55000000000000004</v>
      </c>
      <c r="M120">
        <v>0.77</v>
      </c>
      <c r="N120" s="88">
        <v>1</v>
      </c>
      <c r="O120" s="87">
        <v>0.47000000000000003</v>
      </c>
      <c r="P120">
        <v>0.55000000000000004</v>
      </c>
      <c r="Q120">
        <v>0.77</v>
      </c>
      <c r="R120" s="88">
        <v>0.92</v>
      </c>
      <c r="S120" s="87">
        <v>0.77</v>
      </c>
      <c r="T120">
        <v>1</v>
      </c>
      <c r="U120">
        <v>1</v>
      </c>
      <c r="V120" s="88">
        <v>1</v>
      </c>
      <c r="W120" s="87">
        <v>0.83</v>
      </c>
      <c r="X120">
        <v>1</v>
      </c>
      <c r="Y120">
        <v>1</v>
      </c>
      <c r="Z120" s="88">
        <v>1</v>
      </c>
      <c r="AA120" s="87">
        <v>0</v>
      </c>
      <c r="AB120">
        <v>0.22000000000000003</v>
      </c>
      <c r="AC120">
        <v>0.44</v>
      </c>
      <c r="AD120" s="88">
        <v>0.55000000000000004</v>
      </c>
      <c r="AE120" s="87">
        <v>0.06</v>
      </c>
      <c r="AF120">
        <v>0.22000000000000003</v>
      </c>
      <c r="AG120">
        <v>0.44</v>
      </c>
      <c r="AH120" s="88">
        <v>0.52</v>
      </c>
      <c r="AI120" s="87">
        <v>0.60499999999999998</v>
      </c>
      <c r="AJ120">
        <v>1.1000000000000001</v>
      </c>
      <c r="AK120">
        <v>2.31</v>
      </c>
      <c r="AL120" s="88">
        <v>4.1549999999999994</v>
      </c>
      <c r="AM120" s="87">
        <v>0.77499999999999991</v>
      </c>
      <c r="AN120">
        <v>1.1000000000000001</v>
      </c>
      <c r="AO120">
        <v>2.31</v>
      </c>
      <c r="AP120" s="88">
        <v>3.53</v>
      </c>
      <c r="AQ120" s="87">
        <v>1.9649999999999999</v>
      </c>
      <c r="AR120">
        <v>4.5</v>
      </c>
      <c r="AS120">
        <v>5.5</v>
      </c>
      <c r="AT120">
        <v>7</v>
      </c>
      <c r="AU120" s="87">
        <v>2.7349999999999994</v>
      </c>
      <c r="AV120">
        <v>4.5</v>
      </c>
      <c r="AW120">
        <v>5.5</v>
      </c>
      <c r="AX120" s="88">
        <v>6.5</v>
      </c>
      <c r="AY120" s="187">
        <v>0</v>
      </c>
      <c r="AZ120" s="179">
        <v>1.5400000000000003</v>
      </c>
      <c r="BA120" s="179">
        <v>3.52</v>
      </c>
      <c r="BB120" s="179">
        <v>5.0600000000000005</v>
      </c>
      <c r="BC120" s="187">
        <v>0.19999999999999996</v>
      </c>
      <c r="BD120" s="179">
        <v>1.5400000000000003</v>
      </c>
      <c r="BE120" s="179">
        <v>3.52</v>
      </c>
      <c r="BF120" s="188">
        <v>4.6000000000000014</v>
      </c>
      <c r="BG120" s="87">
        <f t="shared" si="87"/>
        <v>2.57</v>
      </c>
      <c r="BH120">
        <f t="shared" si="84"/>
        <v>7.14</v>
      </c>
      <c r="BI120">
        <f t="shared" si="84"/>
        <v>11.33</v>
      </c>
      <c r="BJ120">
        <f t="shared" si="84"/>
        <v>16.215</v>
      </c>
      <c r="BK120" s="87">
        <f t="shared" si="84"/>
        <v>3.7099999999999991</v>
      </c>
      <c r="BL120">
        <f t="shared" si="84"/>
        <v>7.14</v>
      </c>
      <c r="BM120">
        <f t="shared" si="84"/>
        <v>11.33</v>
      </c>
      <c r="BN120">
        <f t="shared" si="84"/>
        <v>14.63</v>
      </c>
      <c r="BO120" s="138">
        <f t="shared" si="88"/>
        <v>6.226</v>
      </c>
      <c r="BP120" s="143">
        <f t="shared" si="89"/>
        <v>12.306999999999999</v>
      </c>
      <c r="BQ120" s="138">
        <f t="shared" si="90"/>
        <v>6.4539999999999997</v>
      </c>
      <c r="BR120" s="139">
        <f t="shared" si="91"/>
        <v>11.99</v>
      </c>
      <c r="BS120" s="87">
        <f t="shared" si="92"/>
        <v>9.2664999999999988</v>
      </c>
      <c r="BT120" s="88">
        <f t="shared" si="93"/>
        <v>9.2219999999999995</v>
      </c>
      <c r="BU120" s="134">
        <f t="shared" si="94"/>
        <v>9.2442499999999992</v>
      </c>
    </row>
    <row r="121" spans="1:73" x14ac:dyDescent="0.25">
      <c r="A121" s="102" t="s">
        <v>67</v>
      </c>
      <c r="B121" s="102" t="s">
        <v>78</v>
      </c>
      <c r="C121" s="121" t="s">
        <v>91</v>
      </c>
      <c r="D121" s="156" t="s">
        <v>106</v>
      </c>
      <c r="E121" s="156" t="s">
        <v>105</v>
      </c>
      <c r="F121" s="156" t="s">
        <v>106</v>
      </c>
      <c r="G121" s="110">
        <f t="shared" si="85"/>
        <v>0.33</v>
      </c>
      <c r="H121" s="110">
        <f t="shared" si="83"/>
        <v>0.66</v>
      </c>
      <c r="I121" s="110">
        <f t="shared" si="83"/>
        <v>0.33</v>
      </c>
      <c r="J121" s="147">
        <f t="shared" si="86"/>
        <v>6.6</v>
      </c>
      <c r="K121" s="87">
        <v>0</v>
      </c>
      <c r="L121">
        <v>0.22000000000000003</v>
      </c>
      <c r="M121">
        <v>0.44</v>
      </c>
      <c r="N121" s="88">
        <v>0.55000000000000004</v>
      </c>
      <c r="O121" s="87">
        <v>0.06</v>
      </c>
      <c r="P121">
        <v>0.22000000000000003</v>
      </c>
      <c r="Q121">
        <v>0.44</v>
      </c>
      <c r="R121" s="88">
        <v>0.52</v>
      </c>
      <c r="S121" s="87">
        <v>0.44000000000000006</v>
      </c>
      <c r="T121">
        <v>0.55000000000000004</v>
      </c>
      <c r="U121">
        <v>0.77</v>
      </c>
      <c r="V121" s="88">
        <v>1</v>
      </c>
      <c r="W121" s="87">
        <v>0.47000000000000003</v>
      </c>
      <c r="X121">
        <v>0.55000000000000004</v>
      </c>
      <c r="Y121">
        <v>0.77</v>
      </c>
      <c r="Z121" s="88">
        <v>0.92</v>
      </c>
      <c r="AA121" s="87">
        <v>0</v>
      </c>
      <c r="AB121">
        <v>0.22000000000000003</v>
      </c>
      <c r="AC121">
        <v>0.44</v>
      </c>
      <c r="AD121" s="88">
        <v>0.55000000000000004</v>
      </c>
      <c r="AE121" s="87">
        <v>0.06</v>
      </c>
      <c r="AF121">
        <v>0.22000000000000003</v>
      </c>
      <c r="AG121">
        <v>0.44</v>
      </c>
      <c r="AH121" s="88">
        <v>0.52</v>
      </c>
      <c r="AI121" s="187">
        <v>0</v>
      </c>
      <c r="AJ121" s="179">
        <v>0.44000000000000006</v>
      </c>
      <c r="AK121" s="179">
        <v>1.32</v>
      </c>
      <c r="AL121" s="188">
        <v>2.3099999999999996</v>
      </c>
      <c r="AM121" s="187">
        <v>5.3999999999999992E-2</v>
      </c>
      <c r="AN121" s="179">
        <v>0.44000000000000006</v>
      </c>
      <c r="AO121" s="179">
        <v>1.32</v>
      </c>
      <c r="AP121" s="188">
        <v>2</v>
      </c>
      <c r="AQ121" s="87">
        <v>1.1550000000000002</v>
      </c>
      <c r="AR121">
        <v>2.4750000000000001</v>
      </c>
      <c r="AS121">
        <v>4.2350000000000003</v>
      </c>
      <c r="AT121">
        <v>6.6550000000000002</v>
      </c>
      <c r="AU121" s="87">
        <v>1.5650000000000008</v>
      </c>
      <c r="AV121">
        <v>2.4750000000000001</v>
      </c>
      <c r="AW121">
        <v>4.2350000000000003</v>
      </c>
      <c r="AX121" s="88">
        <v>5.830000000000001</v>
      </c>
      <c r="AY121" s="187">
        <v>0</v>
      </c>
      <c r="AZ121" s="179">
        <v>1.5400000000000003</v>
      </c>
      <c r="BA121" s="179">
        <v>3.52</v>
      </c>
      <c r="BB121" s="179">
        <v>5.0600000000000005</v>
      </c>
      <c r="BC121" s="187">
        <v>0.19999999999999996</v>
      </c>
      <c r="BD121" s="179">
        <v>1.5400000000000003</v>
      </c>
      <c r="BE121" s="179">
        <v>3.52</v>
      </c>
      <c r="BF121" s="188">
        <v>4.6000000000000014</v>
      </c>
      <c r="BG121" s="87">
        <f t="shared" si="87"/>
        <v>1.1550000000000002</v>
      </c>
      <c r="BH121">
        <f t="shared" si="84"/>
        <v>4.4550000000000001</v>
      </c>
      <c r="BI121">
        <f t="shared" si="84"/>
        <v>9.0750000000000011</v>
      </c>
      <c r="BJ121">
        <f t="shared" si="84"/>
        <v>14.025</v>
      </c>
      <c r="BK121" s="87">
        <f t="shared" si="84"/>
        <v>1.8190000000000008</v>
      </c>
      <c r="BL121">
        <f t="shared" si="84"/>
        <v>4.4550000000000001</v>
      </c>
      <c r="BM121">
        <f t="shared" si="84"/>
        <v>9.0750000000000011</v>
      </c>
      <c r="BN121">
        <f t="shared" si="84"/>
        <v>12.430000000000003</v>
      </c>
      <c r="BO121" s="138">
        <f t="shared" si="88"/>
        <v>3.7949999999999999</v>
      </c>
      <c r="BP121" s="143">
        <f t="shared" si="89"/>
        <v>10.065000000000001</v>
      </c>
      <c r="BQ121" s="138">
        <f t="shared" si="90"/>
        <v>3.9278</v>
      </c>
      <c r="BR121" s="139">
        <f t="shared" si="91"/>
        <v>9.7460000000000022</v>
      </c>
      <c r="BS121" s="87">
        <f t="shared" si="92"/>
        <v>6.9300000000000006</v>
      </c>
      <c r="BT121" s="88">
        <f t="shared" si="93"/>
        <v>6.8369000000000009</v>
      </c>
      <c r="BU121" s="134">
        <f t="shared" si="94"/>
        <v>6.8834500000000007</v>
      </c>
    </row>
    <row r="122" spans="1:73" ht="30" x14ac:dyDescent="0.25">
      <c r="A122" s="102" t="s">
        <v>68</v>
      </c>
      <c r="B122" s="102" t="s">
        <v>79</v>
      </c>
      <c r="C122" s="121" t="s">
        <v>92</v>
      </c>
      <c r="D122" s="156" t="s">
        <v>104</v>
      </c>
      <c r="E122" s="156" t="s">
        <v>105</v>
      </c>
      <c r="F122" s="156" t="s">
        <v>106</v>
      </c>
      <c r="G122" s="110">
        <f t="shared" si="85"/>
        <v>1</v>
      </c>
      <c r="H122" s="110">
        <f t="shared" si="83"/>
        <v>0.66</v>
      </c>
      <c r="I122" s="110">
        <f t="shared" si="83"/>
        <v>0.33</v>
      </c>
      <c r="J122" s="147">
        <f t="shared" si="86"/>
        <v>8.2750000000000004</v>
      </c>
      <c r="K122" s="87">
        <v>0.77</v>
      </c>
      <c r="L122">
        <v>1</v>
      </c>
      <c r="M122">
        <v>1</v>
      </c>
      <c r="N122" s="88">
        <v>1</v>
      </c>
      <c r="O122" s="87">
        <v>0.83</v>
      </c>
      <c r="P122">
        <v>1</v>
      </c>
      <c r="Q122">
        <v>1</v>
      </c>
      <c r="R122" s="88">
        <v>1</v>
      </c>
      <c r="S122" s="87">
        <v>0.44000000000000006</v>
      </c>
      <c r="T122">
        <v>0.55000000000000004</v>
      </c>
      <c r="U122">
        <v>0.77</v>
      </c>
      <c r="V122" s="88">
        <v>1</v>
      </c>
      <c r="W122" s="87">
        <v>0.47000000000000003</v>
      </c>
      <c r="X122">
        <v>0.55000000000000004</v>
      </c>
      <c r="Y122">
        <v>0.77</v>
      </c>
      <c r="Z122" s="88">
        <v>0.92</v>
      </c>
      <c r="AA122" s="87">
        <v>0</v>
      </c>
      <c r="AB122">
        <v>0.22000000000000003</v>
      </c>
      <c r="AC122">
        <v>0.44</v>
      </c>
      <c r="AD122" s="88">
        <v>0.55000000000000004</v>
      </c>
      <c r="AE122" s="87">
        <v>0.06</v>
      </c>
      <c r="AF122">
        <v>0.22000000000000003</v>
      </c>
      <c r="AG122">
        <v>0.44</v>
      </c>
      <c r="AH122" s="88">
        <v>0.52</v>
      </c>
      <c r="AI122" s="87">
        <v>1.04</v>
      </c>
      <c r="AJ122">
        <v>2</v>
      </c>
      <c r="AK122">
        <v>3</v>
      </c>
      <c r="AL122" s="88">
        <v>4.5</v>
      </c>
      <c r="AM122" s="87">
        <v>1.3599999999999999</v>
      </c>
      <c r="AN122">
        <v>2</v>
      </c>
      <c r="AO122">
        <v>3</v>
      </c>
      <c r="AP122" s="88">
        <v>4</v>
      </c>
      <c r="AQ122" s="87">
        <v>1.1550000000000002</v>
      </c>
      <c r="AR122">
        <v>2.4750000000000001</v>
      </c>
      <c r="AS122">
        <v>4.2350000000000003</v>
      </c>
      <c r="AT122">
        <v>6.6550000000000002</v>
      </c>
      <c r="AU122" s="87">
        <v>1.5650000000000008</v>
      </c>
      <c r="AV122">
        <v>2.4750000000000001</v>
      </c>
      <c r="AW122">
        <v>4.2350000000000003</v>
      </c>
      <c r="AX122" s="88">
        <v>5.830000000000001</v>
      </c>
      <c r="AY122" s="187">
        <v>0</v>
      </c>
      <c r="AZ122" s="179">
        <v>1.5400000000000003</v>
      </c>
      <c r="BA122" s="179">
        <v>3.52</v>
      </c>
      <c r="BB122" s="179">
        <v>5.0600000000000005</v>
      </c>
      <c r="BC122" s="187">
        <v>0.19999999999999996</v>
      </c>
      <c r="BD122" s="179">
        <v>1.5400000000000003</v>
      </c>
      <c r="BE122" s="179">
        <v>3.52</v>
      </c>
      <c r="BF122" s="188">
        <v>4.6000000000000014</v>
      </c>
      <c r="BG122" s="87">
        <f t="shared" si="87"/>
        <v>2.1950000000000003</v>
      </c>
      <c r="BH122">
        <f t="shared" si="84"/>
        <v>6.0149999999999997</v>
      </c>
      <c r="BI122">
        <f t="shared" si="84"/>
        <v>10.755000000000001</v>
      </c>
      <c r="BJ122">
        <f t="shared" si="84"/>
        <v>16.215000000000003</v>
      </c>
      <c r="BK122" s="87">
        <f t="shared" si="84"/>
        <v>3.1250000000000009</v>
      </c>
      <c r="BL122">
        <f t="shared" si="84"/>
        <v>6.0149999999999997</v>
      </c>
      <c r="BM122">
        <f t="shared" si="84"/>
        <v>10.755000000000001</v>
      </c>
      <c r="BN122">
        <f t="shared" si="84"/>
        <v>14.430000000000003</v>
      </c>
      <c r="BO122" s="138">
        <f t="shared" si="88"/>
        <v>5.2510000000000003</v>
      </c>
      <c r="BP122" s="143">
        <f t="shared" si="89"/>
        <v>11.847000000000001</v>
      </c>
      <c r="BQ122" s="138">
        <f t="shared" si="90"/>
        <v>5.4370000000000003</v>
      </c>
      <c r="BR122" s="139">
        <f t="shared" si="91"/>
        <v>11.490000000000002</v>
      </c>
      <c r="BS122" s="87">
        <f t="shared" si="92"/>
        <v>8.5490000000000013</v>
      </c>
      <c r="BT122" s="88">
        <f t="shared" si="93"/>
        <v>8.4635000000000016</v>
      </c>
      <c r="BU122" s="134">
        <f t="shared" si="94"/>
        <v>8.5062500000000014</v>
      </c>
    </row>
    <row r="123" spans="1:73" ht="30" x14ac:dyDescent="0.25">
      <c r="A123" s="102" t="s">
        <v>69</v>
      </c>
      <c r="B123" s="102" t="s">
        <v>80</v>
      </c>
      <c r="C123" s="121" t="s">
        <v>81</v>
      </c>
      <c r="D123" s="156" t="s">
        <v>105</v>
      </c>
      <c r="E123" s="156" t="s">
        <v>106</v>
      </c>
      <c r="F123" s="156" t="s">
        <v>104</v>
      </c>
      <c r="G123" s="110">
        <f t="shared" si="85"/>
        <v>0.66</v>
      </c>
      <c r="H123" s="110">
        <f t="shared" si="83"/>
        <v>0.33</v>
      </c>
      <c r="I123" s="110">
        <f t="shared" si="83"/>
        <v>1</v>
      </c>
      <c r="J123" s="147">
        <f t="shared" si="86"/>
        <v>10.8</v>
      </c>
      <c r="K123" s="87">
        <v>0.44000000000000006</v>
      </c>
      <c r="L123">
        <v>0.55000000000000004</v>
      </c>
      <c r="M123">
        <v>0.77</v>
      </c>
      <c r="N123" s="88">
        <v>1</v>
      </c>
      <c r="O123" s="87">
        <v>0.47000000000000003</v>
      </c>
      <c r="P123">
        <v>0.55000000000000004</v>
      </c>
      <c r="Q123">
        <v>0.77</v>
      </c>
      <c r="R123" s="88">
        <v>0.92</v>
      </c>
      <c r="S123" s="87">
        <v>0</v>
      </c>
      <c r="T123">
        <v>0.22000000000000003</v>
      </c>
      <c r="U123">
        <v>0.44</v>
      </c>
      <c r="V123" s="88">
        <v>0.55000000000000004</v>
      </c>
      <c r="W123" s="87">
        <v>0.06</v>
      </c>
      <c r="X123">
        <v>0.22000000000000003</v>
      </c>
      <c r="Y123">
        <v>0.44</v>
      </c>
      <c r="Z123" s="88">
        <v>0.52</v>
      </c>
      <c r="AA123" s="87">
        <v>0.77</v>
      </c>
      <c r="AB123">
        <v>1</v>
      </c>
      <c r="AC123">
        <v>1</v>
      </c>
      <c r="AD123" s="88">
        <v>1</v>
      </c>
      <c r="AE123" s="87">
        <v>0.83</v>
      </c>
      <c r="AF123">
        <v>1</v>
      </c>
      <c r="AG123">
        <v>1</v>
      </c>
      <c r="AH123" s="88">
        <v>1</v>
      </c>
      <c r="AI123" s="87">
        <v>0.60499999999999998</v>
      </c>
      <c r="AJ123">
        <v>1.1000000000000001</v>
      </c>
      <c r="AK123">
        <v>2.31</v>
      </c>
      <c r="AL123" s="88">
        <v>4.1549999999999994</v>
      </c>
      <c r="AM123" s="87">
        <v>0.77499999999999991</v>
      </c>
      <c r="AN123">
        <v>1.1000000000000001</v>
      </c>
      <c r="AO123">
        <v>2.31</v>
      </c>
      <c r="AP123" s="88">
        <v>3.53</v>
      </c>
      <c r="AQ123" s="187">
        <v>0</v>
      </c>
      <c r="AR123" s="179">
        <v>0.9900000000000001</v>
      </c>
      <c r="AS123" s="179">
        <v>2.42</v>
      </c>
      <c r="AT123" s="179">
        <v>3.6850000000000005</v>
      </c>
      <c r="AU123" s="187">
        <v>4.9999999999999933E-2</v>
      </c>
      <c r="AV123" s="179">
        <v>0.9900000000000001</v>
      </c>
      <c r="AW123" s="179">
        <v>2.42</v>
      </c>
      <c r="AX123" s="188">
        <v>3.3000000000000007</v>
      </c>
      <c r="AY123" s="87">
        <v>3.8900000000000006</v>
      </c>
      <c r="AZ123">
        <v>7</v>
      </c>
      <c r="BA123">
        <v>8</v>
      </c>
      <c r="BB123">
        <v>9.5</v>
      </c>
      <c r="BC123" s="87">
        <v>4.8099999999999987</v>
      </c>
      <c r="BD123">
        <v>7</v>
      </c>
      <c r="BE123">
        <v>8</v>
      </c>
      <c r="BF123" s="88">
        <v>9</v>
      </c>
      <c r="BG123" s="87">
        <f t="shared" si="87"/>
        <v>4.495000000000001</v>
      </c>
      <c r="BH123">
        <f t="shared" si="84"/>
        <v>9.09</v>
      </c>
      <c r="BI123">
        <f t="shared" si="84"/>
        <v>12.73</v>
      </c>
      <c r="BJ123">
        <f t="shared" si="84"/>
        <v>17.34</v>
      </c>
      <c r="BK123" s="87">
        <f t="shared" si="84"/>
        <v>5.6349999999999989</v>
      </c>
      <c r="BL123">
        <f t="shared" si="84"/>
        <v>9.09</v>
      </c>
      <c r="BM123">
        <f t="shared" si="84"/>
        <v>12.73</v>
      </c>
      <c r="BN123">
        <f t="shared" si="84"/>
        <v>15.83</v>
      </c>
      <c r="BO123" s="138">
        <f t="shared" si="88"/>
        <v>8.1709999999999994</v>
      </c>
      <c r="BP123" s="143">
        <f t="shared" si="89"/>
        <v>13.652000000000001</v>
      </c>
      <c r="BQ123" s="138">
        <f t="shared" si="90"/>
        <v>8.3989999999999991</v>
      </c>
      <c r="BR123" s="139">
        <f t="shared" si="91"/>
        <v>13.350000000000001</v>
      </c>
      <c r="BS123" s="87">
        <f t="shared" si="92"/>
        <v>10.9115</v>
      </c>
      <c r="BT123" s="88">
        <f t="shared" si="93"/>
        <v>10.874500000000001</v>
      </c>
      <c r="BU123" s="134">
        <f t="shared" si="94"/>
        <v>10.893000000000001</v>
      </c>
    </row>
    <row r="124" spans="1:73" ht="36.75" customHeight="1" x14ac:dyDescent="0.25">
      <c r="A124" s="102" t="s">
        <v>70</v>
      </c>
      <c r="B124" s="102" t="s">
        <v>82</v>
      </c>
      <c r="C124" s="121" t="s">
        <v>93</v>
      </c>
      <c r="D124" s="156" t="s">
        <v>105</v>
      </c>
      <c r="E124" s="156" t="s">
        <v>104</v>
      </c>
      <c r="F124" s="156" t="s">
        <v>106</v>
      </c>
      <c r="G124" s="110">
        <f t="shared" si="85"/>
        <v>0.66</v>
      </c>
      <c r="H124" s="110">
        <f t="shared" si="83"/>
        <v>1</v>
      </c>
      <c r="I124" s="110">
        <f t="shared" si="83"/>
        <v>0.33</v>
      </c>
      <c r="J124" s="147">
        <f t="shared" si="86"/>
        <v>9.125</v>
      </c>
      <c r="K124" s="87">
        <v>0.44000000000000006</v>
      </c>
      <c r="L124">
        <v>0.55000000000000004</v>
      </c>
      <c r="M124">
        <v>0.77</v>
      </c>
      <c r="N124" s="88">
        <v>1</v>
      </c>
      <c r="O124" s="87">
        <v>0.47000000000000003</v>
      </c>
      <c r="P124">
        <v>0.55000000000000004</v>
      </c>
      <c r="Q124">
        <v>0.77</v>
      </c>
      <c r="R124" s="88">
        <v>0.92</v>
      </c>
      <c r="S124" s="87">
        <v>0.77</v>
      </c>
      <c r="T124">
        <v>1</v>
      </c>
      <c r="U124">
        <v>1</v>
      </c>
      <c r="V124" s="88">
        <v>1</v>
      </c>
      <c r="W124" s="87">
        <v>0.83</v>
      </c>
      <c r="X124">
        <v>1</v>
      </c>
      <c r="Y124">
        <v>1</v>
      </c>
      <c r="Z124" s="88">
        <v>1</v>
      </c>
      <c r="AA124" s="87">
        <v>0</v>
      </c>
      <c r="AB124">
        <v>0.22000000000000003</v>
      </c>
      <c r="AC124">
        <v>0.44</v>
      </c>
      <c r="AD124" s="88">
        <v>0.55000000000000004</v>
      </c>
      <c r="AE124" s="87">
        <v>0.06</v>
      </c>
      <c r="AF124">
        <v>0.22000000000000003</v>
      </c>
      <c r="AG124">
        <v>0.44</v>
      </c>
      <c r="AH124" s="88">
        <v>0.52</v>
      </c>
      <c r="AI124" s="87">
        <v>0.60499999999999998</v>
      </c>
      <c r="AJ124">
        <v>1.1000000000000001</v>
      </c>
      <c r="AK124">
        <v>2.31</v>
      </c>
      <c r="AL124" s="88">
        <v>4.1549999999999994</v>
      </c>
      <c r="AM124" s="87">
        <v>0.77499999999999991</v>
      </c>
      <c r="AN124">
        <v>1.1000000000000001</v>
      </c>
      <c r="AO124">
        <v>2.31</v>
      </c>
      <c r="AP124" s="88">
        <v>3.53</v>
      </c>
      <c r="AQ124" s="87">
        <v>1.9649999999999999</v>
      </c>
      <c r="AR124">
        <v>4.5</v>
      </c>
      <c r="AS124">
        <v>5.5</v>
      </c>
      <c r="AT124">
        <v>7</v>
      </c>
      <c r="AU124" s="87">
        <v>2.7349999999999994</v>
      </c>
      <c r="AV124">
        <v>4.5</v>
      </c>
      <c r="AW124">
        <v>5.5</v>
      </c>
      <c r="AX124" s="88">
        <v>6.5</v>
      </c>
      <c r="AY124" s="187">
        <v>0</v>
      </c>
      <c r="AZ124" s="179">
        <v>1.5400000000000003</v>
      </c>
      <c r="BA124" s="179">
        <v>3.52</v>
      </c>
      <c r="BB124" s="179">
        <v>5.0600000000000005</v>
      </c>
      <c r="BC124" s="187">
        <v>0.19999999999999996</v>
      </c>
      <c r="BD124" s="179">
        <v>1.5400000000000003</v>
      </c>
      <c r="BE124" s="179">
        <v>3.52</v>
      </c>
      <c r="BF124" s="188">
        <v>4.6000000000000014</v>
      </c>
      <c r="BG124" s="87">
        <f t="shared" si="87"/>
        <v>2.57</v>
      </c>
      <c r="BH124">
        <f t="shared" si="84"/>
        <v>7.14</v>
      </c>
      <c r="BI124">
        <f t="shared" si="84"/>
        <v>11.33</v>
      </c>
      <c r="BJ124">
        <f t="shared" si="84"/>
        <v>16.215</v>
      </c>
      <c r="BK124" s="87">
        <f t="shared" si="84"/>
        <v>3.7099999999999991</v>
      </c>
      <c r="BL124">
        <f t="shared" si="84"/>
        <v>7.14</v>
      </c>
      <c r="BM124">
        <f t="shared" si="84"/>
        <v>11.33</v>
      </c>
      <c r="BN124">
        <f t="shared" si="84"/>
        <v>14.63</v>
      </c>
      <c r="BO124" s="138">
        <f t="shared" si="88"/>
        <v>6.226</v>
      </c>
      <c r="BP124" s="143">
        <f t="shared" si="89"/>
        <v>12.306999999999999</v>
      </c>
      <c r="BQ124" s="138">
        <f t="shared" si="90"/>
        <v>6.4539999999999997</v>
      </c>
      <c r="BR124" s="139">
        <f t="shared" si="91"/>
        <v>11.99</v>
      </c>
      <c r="BS124" s="87">
        <f t="shared" si="92"/>
        <v>9.2664999999999988</v>
      </c>
      <c r="BT124" s="88">
        <f t="shared" si="93"/>
        <v>9.2219999999999995</v>
      </c>
      <c r="BU124" s="134">
        <f t="shared" si="94"/>
        <v>9.2442499999999992</v>
      </c>
    </row>
    <row r="125" spans="1:73" ht="30.75" thickBot="1" x14ac:dyDescent="0.3">
      <c r="A125" s="102" t="s">
        <v>71</v>
      </c>
      <c r="B125" s="102" t="s">
        <v>83</v>
      </c>
      <c r="C125" s="121" t="s">
        <v>94</v>
      </c>
      <c r="D125" s="156" t="s">
        <v>106</v>
      </c>
      <c r="E125" s="156" t="s">
        <v>104</v>
      </c>
      <c r="F125" s="156" t="s">
        <v>105</v>
      </c>
      <c r="G125" s="110">
        <f t="shared" si="85"/>
        <v>0.33</v>
      </c>
      <c r="H125" s="110">
        <f t="shared" si="83"/>
        <v>1</v>
      </c>
      <c r="I125" s="110">
        <f t="shared" si="83"/>
        <v>0.66</v>
      </c>
      <c r="J125" s="147">
        <f t="shared" si="86"/>
        <v>10.775</v>
      </c>
      <c r="K125" s="91">
        <v>0</v>
      </c>
      <c r="L125" s="93">
        <v>0.22000000000000003</v>
      </c>
      <c r="M125" s="93">
        <v>0.44</v>
      </c>
      <c r="N125" s="94">
        <v>0.55000000000000004</v>
      </c>
      <c r="O125" s="91">
        <v>0.06</v>
      </c>
      <c r="P125" s="93">
        <v>0.22000000000000003</v>
      </c>
      <c r="Q125" s="93">
        <v>0.44</v>
      </c>
      <c r="R125" s="94">
        <v>0.52</v>
      </c>
      <c r="S125" s="91">
        <v>0.77</v>
      </c>
      <c r="T125" s="93">
        <v>1</v>
      </c>
      <c r="U125" s="93">
        <v>1</v>
      </c>
      <c r="V125" s="94">
        <v>1</v>
      </c>
      <c r="W125" s="91">
        <v>0.83</v>
      </c>
      <c r="X125" s="93">
        <v>1</v>
      </c>
      <c r="Y125" s="93">
        <v>1</v>
      </c>
      <c r="Z125" s="94">
        <v>1</v>
      </c>
      <c r="AA125" s="91">
        <v>0.44000000000000006</v>
      </c>
      <c r="AB125" s="93">
        <v>0.55000000000000004</v>
      </c>
      <c r="AC125" s="93">
        <v>0.77</v>
      </c>
      <c r="AD125" s="94">
        <v>1</v>
      </c>
      <c r="AE125" s="91">
        <v>0.47000000000000003</v>
      </c>
      <c r="AF125" s="93">
        <v>0.55000000000000004</v>
      </c>
      <c r="AG125" s="93">
        <v>0.77</v>
      </c>
      <c r="AH125" s="94">
        <v>0.92</v>
      </c>
      <c r="AI125" s="189">
        <v>0</v>
      </c>
      <c r="AJ125" s="201">
        <v>0.44000000000000006</v>
      </c>
      <c r="AK125" s="201">
        <v>1.32</v>
      </c>
      <c r="AL125" s="190">
        <v>2.3099999999999996</v>
      </c>
      <c r="AM125" s="189">
        <v>5.3999999999999992E-2</v>
      </c>
      <c r="AN125" s="201">
        <v>0.44000000000000006</v>
      </c>
      <c r="AO125" s="201">
        <v>1.32</v>
      </c>
      <c r="AP125" s="190">
        <v>2</v>
      </c>
      <c r="AQ125" s="91">
        <v>1.9649999999999999</v>
      </c>
      <c r="AR125" s="93">
        <v>4.5</v>
      </c>
      <c r="AS125" s="93">
        <v>5.5</v>
      </c>
      <c r="AT125" s="93">
        <v>7</v>
      </c>
      <c r="AU125" s="91">
        <v>2.7349999999999994</v>
      </c>
      <c r="AV125" s="93">
        <v>4.5</v>
      </c>
      <c r="AW125" s="93">
        <v>5.5</v>
      </c>
      <c r="AX125" s="94">
        <v>6.5</v>
      </c>
      <c r="AY125" s="91">
        <v>2.2549999999999999</v>
      </c>
      <c r="AZ125" s="93">
        <v>3.8500000000000005</v>
      </c>
      <c r="BA125" s="93">
        <v>6.16</v>
      </c>
      <c r="BB125" s="93">
        <v>9.1550000000000011</v>
      </c>
      <c r="BC125" s="91">
        <v>2.7399999999999993</v>
      </c>
      <c r="BD125" s="93">
        <v>3.8500000000000005</v>
      </c>
      <c r="BE125" s="93">
        <v>6.16</v>
      </c>
      <c r="BF125" s="94">
        <v>8.129999999999999</v>
      </c>
      <c r="BG125" s="91">
        <f t="shared" si="87"/>
        <v>4.22</v>
      </c>
      <c r="BH125" s="93">
        <f t="shared" si="84"/>
        <v>8.7900000000000009</v>
      </c>
      <c r="BI125" s="93">
        <f t="shared" si="84"/>
        <v>12.98</v>
      </c>
      <c r="BJ125" s="93">
        <f t="shared" si="84"/>
        <v>18.465</v>
      </c>
      <c r="BK125" s="91">
        <f t="shared" si="84"/>
        <v>5.5289999999999981</v>
      </c>
      <c r="BL125" s="93">
        <f t="shared" si="84"/>
        <v>8.7900000000000009</v>
      </c>
      <c r="BM125" s="93">
        <f t="shared" si="84"/>
        <v>12.98</v>
      </c>
      <c r="BN125" s="93">
        <f t="shared" si="84"/>
        <v>16.63</v>
      </c>
      <c r="BO125" s="140">
        <f t="shared" si="88"/>
        <v>7.8760000000000003</v>
      </c>
      <c r="BP125" s="144">
        <f t="shared" si="89"/>
        <v>14.077</v>
      </c>
      <c r="BQ125" s="140">
        <f t="shared" si="90"/>
        <v>8.1378000000000004</v>
      </c>
      <c r="BR125" s="141">
        <f t="shared" si="91"/>
        <v>13.709999999999999</v>
      </c>
      <c r="BS125" s="91">
        <f t="shared" si="92"/>
        <v>10.9765</v>
      </c>
      <c r="BT125" s="94">
        <f t="shared" si="93"/>
        <v>10.9239</v>
      </c>
      <c r="BU125" s="135">
        <f t="shared" si="94"/>
        <v>10.950199999999999</v>
      </c>
    </row>
    <row r="126" spans="1:73" x14ac:dyDescent="0.25">
      <c r="BF126" s="60"/>
      <c r="BG126" s="59"/>
      <c r="BH126" s="59"/>
      <c r="BI126" s="59"/>
      <c r="BJ126" s="59"/>
      <c r="BK126" s="59"/>
    </row>
    <row r="127" spans="1:73" x14ac:dyDescent="0.25">
      <c r="A127" s="1" t="s">
        <v>200</v>
      </c>
      <c r="B127" s="1"/>
    </row>
    <row r="128" spans="1:73" ht="15.75" thickBot="1" x14ac:dyDescent="0.3">
      <c r="A128" s="107" t="s">
        <v>103</v>
      </c>
      <c r="B128" s="108" t="s">
        <v>122</v>
      </c>
      <c r="E128" s="112" t="s">
        <v>17</v>
      </c>
      <c r="I128" t="s">
        <v>18</v>
      </c>
    </row>
    <row r="129" spans="1:12" x14ac:dyDescent="0.25">
      <c r="A129" s="106" t="s">
        <v>107</v>
      </c>
      <c r="B129" s="2">
        <v>0</v>
      </c>
      <c r="C129" s="79">
        <v>0</v>
      </c>
      <c r="D129" s="80" t="s">
        <v>107</v>
      </c>
      <c r="E129" s="81">
        <v>0</v>
      </c>
      <c r="F129" s="82">
        <f>C129</f>
        <v>0</v>
      </c>
      <c r="G129" s="83">
        <v>0</v>
      </c>
      <c r="H129" s="84">
        <v>0.22</v>
      </c>
      <c r="I129" s="85">
        <v>0</v>
      </c>
      <c r="J129" s="83">
        <f>F129</f>
        <v>0</v>
      </c>
      <c r="K129" s="83">
        <f>G129</f>
        <v>0</v>
      </c>
      <c r="L129" s="86">
        <v>0.15</v>
      </c>
    </row>
    <row r="130" spans="1:12" x14ac:dyDescent="0.25">
      <c r="A130" s="106" t="s">
        <v>106</v>
      </c>
      <c r="B130" s="2">
        <v>0.33</v>
      </c>
      <c r="C130" s="79">
        <v>0.33</v>
      </c>
      <c r="D130" s="80" t="s">
        <v>106</v>
      </c>
      <c r="E130" s="87">
        <v>0</v>
      </c>
      <c r="F130" s="111">
        <f>C130-0.11</f>
        <v>0.22000000000000003</v>
      </c>
      <c r="G130">
        <f>C130+0.11</f>
        <v>0.44</v>
      </c>
      <c r="H130" s="88">
        <f t="shared" ref="H130" si="95">G130+0.11</f>
        <v>0.55000000000000004</v>
      </c>
      <c r="I130" s="89">
        <v>0.06</v>
      </c>
      <c r="J130">
        <f t="shared" ref="J130:K132" si="96">F130</f>
        <v>0.22000000000000003</v>
      </c>
      <c r="K130">
        <f t="shared" si="96"/>
        <v>0.44</v>
      </c>
      <c r="L130" s="90">
        <f t="shared" ref="L130" si="97">K130+0.08</f>
        <v>0.52</v>
      </c>
    </row>
    <row r="131" spans="1:12" x14ac:dyDescent="0.25">
      <c r="A131" s="106" t="s">
        <v>105</v>
      </c>
      <c r="B131" s="2">
        <v>0.66</v>
      </c>
      <c r="C131" s="79">
        <v>0.66</v>
      </c>
      <c r="D131" s="80" t="s">
        <v>105</v>
      </c>
      <c r="E131" s="87">
        <f t="shared" ref="E131" si="98">F131-0.11</f>
        <v>0.44000000000000006</v>
      </c>
      <c r="F131" s="111">
        <f t="shared" ref="F131" si="99">C131-0.11</f>
        <v>0.55000000000000004</v>
      </c>
      <c r="G131">
        <f t="shared" ref="G131" si="100">C131+0.11</f>
        <v>0.77</v>
      </c>
      <c r="H131" s="88">
        <v>1</v>
      </c>
      <c r="I131" s="89">
        <f t="shared" ref="I131" si="101">J131-0.08</f>
        <v>0.47000000000000003</v>
      </c>
      <c r="J131">
        <f t="shared" si="96"/>
        <v>0.55000000000000004</v>
      </c>
      <c r="K131">
        <f t="shared" si="96"/>
        <v>0.77</v>
      </c>
      <c r="L131" s="90">
        <v>0.92</v>
      </c>
    </row>
    <row r="132" spans="1:12" ht="15.75" thickBot="1" x14ac:dyDescent="0.3">
      <c r="A132" s="106" t="s">
        <v>104</v>
      </c>
      <c r="B132" s="2">
        <v>1</v>
      </c>
      <c r="C132" s="79">
        <v>1</v>
      </c>
      <c r="D132" s="80" t="s">
        <v>104</v>
      </c>
      <c r="E132" s="91">
        <v>0.77</v>
      </c>
      <c r="F132" s="92">
        <v>1</v>
      </c>
      <c r="G132" s="93">
        <v>1</v>
      </c>
      <c r="H132" s="94">
        <v>1</v>
      </c>
      <c r="I132" s="95">
        <v>0.83</v>
      </c>
      <c r="J132" s="93">
        <f t="shared" si="96"/>
        <v>1</v>
      </c>
      <c r="K132" s="93">
        <f t="shared" si="96"/>
        <v>1</v>
      </c>
      <c r="L132" s="96">
        <v>1</v>
      </c>
    </row>
    <row r="133" spans="1:12" x14ac:dyDescent="0.25">
      <c r="A133" s="99"/>
    </row>
    <row r="134" spans="1:12" x14ac:dyDescent="0.25">
      <c r="A134" s="1" t="s">
        <v>201</v>
      </c>
    </row>
    <row r="135" spans="1:12" ht="15.75" thickBot="1" x14ac:dyDescent="0.3">
      <c r="A135" s="107" t="s">
        <v>103</v>
      </c>
      <c r="B135" s="108" t="s">
        <v>123</v>
      </c>
      <c r="E135" s="112" t="s">
        <v>17</v>
      </c>
      <c r="I135" t="s">
        <v>18</v>
      </c>
    </row>
    <row r="136" spans="1:12" x14ac:dyDescent="0.25">
      <c r="A136" s="106" t="s">
        <v>107</v>
      </c>
      <c r="B136" s="2">
        <v>1</v>
      </c>
      <c r="C136" s="79">
        <v>1</v>
      </c>
      <c r="D136" s="80" t="s">
        <v>107</v>
      </c>
      <c r="E136" s="81">
        <v>0</v>
      </c>
      <c r="F136" s="82">
        <v>0.5</v>
      </c>
      <c r="G136" s="83">
        <v>1.5</v>
      </c>
      <c r="H136" s="84">
        <v>2</v>
      </c>
      <c r="I136" s="85">
        <v>0</v>
      </c>
      <c r="J136" s="83">
        <f>F136</f>
        <v>0.5</v>
      </c>
      <c r="K136" s="83">
        <f>G136</f>
        <v>1.5</v>
      </c>
      <c r="L136" s="86">
        <v>1.8</v>
      </c>
    </row>
    <row r="137" spans="1:12" x14ac:dyDescent="0.25">
      <c r="A137" s="106" t="s">
        <v>106</v>
      </c>
      <c r="B137" s="2">
        <v>2.5</v>
      </c>
      <c r="C137" s="79">
        <v>2.5</v>
      </c>
      <c r="D137" s="80" t="s">
        <v>106</v>
      </c>
      <c r="E137" s="87">
        <v>1.5</v>
      </c>
      <c r="F137" s="111">
        <f>C137-0.5</f>
        <v>2</v>
      </c>
      <c r="G137">
        <f>C137+0.5</f>
        <v>3</v>
      </c>
      <c r="H137" s="88">
        <f t="shared" ref="H137:H139" si="102">G137+1.5</f>
        <v>4.5</v>
      </c>
      <c r="I137" s="89">
        <v>1.7</v>
      </c>
      <c r="J137">
        <f t="shared" ref="J137:K139" si="103">F137</f>
        <v>2</v>
      </c>
      <c r="K137">
        <f t="shared" si="103"/>
        <v>3</v>
      </c>
      <c r="L137" s="90">
        <f t="shared" ref="L137:L139" si="104">K137+1</f>
        <v>4</v>
      </c>
    </row>
    <row r="138" spans="1:12" x14ac:dyDescent="0.25">
      <c r="A138" s="106" t="s">
        <v>105</v>
      </c>
      <c r="B138" s="2">
        <v>5</v>
      </c>
      <c r="C138" s="79">
        <v>5</v>
      </c>
      <c r="D138" s="80" t="s">
        <v>105</v>
      </c>
      <c r="E138" s="87">
        <f t="shared" ref="E138:E139" si="105">F138-1.5</f>
        <v>3</v>
      </c>
      <c r="F138" s="111">
        <f>C138-0.5</f>
        <v>4.5</v>
      </c>
      <c r="G138">
        <f>C138+0.5</f>
        <v>5.5</v>
      </c>
      <c r="H138" s="88">
        <f t="shared" si="102"/>
        <v>7</v>
      </c>
      <c r="I138" s="89">
        <f t="shared" ref="I138:I139" si="106">J138-1</f>
        <v>3.5</v>
      </c>
      <c r="J138">
        <f t="shared" si="103"/>
        <v>4.5</v>
      </c>
      <c r="K138">
        <f t="shared" si="103"/>
        <v>5.5</v>
      </c>
      <c r="L138" s="90">
        <f t="shared" si="104"/>
        <v>6.5</v>
      </c>
    </row>
    <row r="139" spans="1:12" ht="15.75" thickBot="1" x14ac:dyDescent="0.3">
      <c r="A139" s="106" t="s">
        <v>104</v>
      </c>
      <c r="B139" s="2">
        <v>7.5</v>
      </c>
      <c r="C139" s="79">
        <v>7.5</v>
      </c>
      <c r="D139" s="80" t="s">
        <v>104</v>
      </c>
      <c r="E139" s="91">
        <f t="shared" si="105"/>
        <v>5.5</v>
      </c>
      <c r="F139" s="92">
        <f>C139-0.5</f>
        <v>7</v>
      </c>
      <c r="G139" s="93">
        <f>C139+0.5</f>
        <v>8</v>
      </c>
      <c r="H139" s="94">
        <f t="shared" si="102"/>
        <v>9.5</v>
      </c>
      <c r="I139" s="95">
        <f t="shared" si="106"/>
        <v>6</v>
      </c>
      <c r="J139" s="93">
        <f t="shared" si="103"/>
        <v>7</v>
      </c>
      <c r="K139" s="93">
        <f t="shared" si="103"/>
        <v>8</v>
      </c>
      <c r="L139" s="96">
        <f t="shared" si="104"/>
        <v>9</v>
      </c>
    </row>
    <row r="141" spans="1:12" ht="15.75" thickBot="1" x14ac:dyDescent="0.3">
      <c r="A141" s="1" t="s">
        <v>202</v>
      </c>
    </row>
    <row r="142" spans="1:12" ht="67.5" customHeight="1" thickBot="1" x14ac:dyDescent="0.3">
      <c r="A142" s="114" t="s">
        <v>117</v>
      </c>
      <c r="B142" s="113" t="s">
        <v>99</v>
      </c>
      <c r="C142" s="115" t="s">
        <v>108</v>
      </c>
      <c r="D142" s="116" t="s">
        <v>203</v>
      </c>
      <c r="E142" s="283" t="s">
        <v>126</v>
      </c>
      <c r="F142" s="284"/>
      <c r="G142" s="284"/>
      <c r="H142" s="284"/>
      <c r="I142" s="284"/>
      <c r="J142" s="284"/>
      <c r="K142" s="284"/>
      <c r="L142" s="285"/>
    </row>
    <row r="143" spans="1:12" x14ac:dyDescent="0.25">
      <c r="A143" s="125" t="s">
        <v>114</v>
      </c>
      <c r="B143" s="117" t="s">
        <v>100</v>
      </c>
      <c r="C143" s="118" t="s">
        <v>106</v>
      </c>
      <c r="D143" s="150">
        <v>2.5</v>
      </c>
      <c r="E143" s="87">
        <v>1.5</v>
      </c>
      <c r="F143" s="111">
        <v>2</v>
      </c>
      <c r="G143">
        <v>3</v>
      </c>
      <c r="H143" s="88">
        <v>4.5</v>
      </c>
      <c r="I143" s="89">
        <v>1.7</v>
      </c>
      <c r="J143">
        <v>2</v>
      </c>
      <c r="K143">
        <v>3</v>
      </c>
      <c r="L143" s="90">
        <v>4</v>
      </c>
    </row>
    <row r="144" spans="1:12" x14ac:dyDescent="0.25">
      <c r="A144" s="126" t="s">
        <v>115</v>
      </c>
      <c r="B144" s="104" t="s">
        <v>101</v>
      </c>
      <c r="C144" s="2" t="s">
        <v>105</v>
      </c>
      <c r="D144" s="150">
        <v>5</v>
      </c>
      <c r="E144" s="87">
        <v>3</v>
      </c>
      <c r="F144" s="111">
        <v>4.5</v>
      </c>
      <c r="G144">
        <v>5.5</v>
      </c>
      <c r="H144" s="88">
        <v>7</v>
      </c>
      <c r="I144" s="89">
        <v>3.5</v>
      </c>
      <c r="J144">
        <v>4.5</v>
      </c>
      <c r="K144">
        <v>5.5</v>
      </c>
      <c r="L144" s="90">
        <v>6.5</v>
      </c>
    </row>
    <row r="145" spans="1:12" ht="15.75" thickBot="1" x14ac:dyDescent="0.3">
      <c r="A145" s="127" t="s">
        <v>116</v>
      </c>
      <c r="B145" s="119" t="s">
        <v>102</v>
      </c>
      <c r="C145" s="120" t="s">
        <v>104</v>
      </c>
      <c r="D145" s="150">
        <v>7.5</v>
      </c>
      <c r="E145" s="91">
        <v>5.5</v>
      </c>
      <c r="F145" s="92">
        <v>7</v>
      </c>
      <c r="G145" s="93">
        <v>8</v>
      </c>
      <c r="H145" s="94">
        <v>9.5</v>
      </c>
      <c r="I145" s="95">
        <v>6</v>
      </c>
      <c r="J145" s="93">
        <v>7</v>
      </c>
      <c r="K145" s="93">
        <v>8</v>
      </c>
      <c r="L145" s="96">
        <v>9</v>
      </c>
    </row>
    <row r="147" spans="1:12" ht="15.75" thickBot="1" x14ac:dyDescent="0.3">
      <c r="A147" s="1" t="s">
        <v>204</v>
      </c>
    </row>
    <row r="148" spans="1:12" ht="30.75" thickBot="1" x14ac:dyDescent="0.3">
      <c r="A148" s="171" t="s">
        <v>132</v>
      </c>
      <c r="B148" s="172" t="s">
        <v>133</v>
      </c>
      <c r="E148" s="283" t="s">
        <v>134</v>
      </c>
      <c r="F148" s="284"/>
      <c r="G148" s="284"/>
      <c r="H148" s="284"/>
      <c r="I148" s="284"/>
      <c r="J148" s="284"/>
      <c r="K148" s="284"/>
      <c r="L148" s="285"/>
    </row>
    <row r="149" spans="1:12" x14ac:dyDescent="0.25">
      <c r="A149" s="125" t="s">
        <v>129</v>
      </c>
      <c r="B149" s="130" t="s">
        <v>107</v>
      </c>
      <c r="D149" s="133" t="s">
        <v>138</v>
      </c>
      <c r="E149" s="81">
        <f>E129*F$143+E$143*F129-F129*F$143</f>
        <v>0</v>
      </c>
      <c r="F149" s="83">
        <f>F129*F$143</f>
        <v>0</v>
      </c>
      <c r="G149" s="83">
        <f>G129*G$143</f>
        <v>0</v>
      </c>
      <c r="H149" s="84">
        <f>G129*H$143+G$143*H129-G129*G$143</f>
        <v>0.66</v>
      </c>
      <c r="I149" s="81">
        <f>I129*J$143+I$143*J129-J129*J$143</f>
        <v>0</v>
      </c>
      <c r="J149" s="83">
        <f>J129*J$143</f>
        <v>0</v>
      </c>
      <c r="K149" s="83">
        <f>K129*K$143</f>
        <v>0</v>
      </c>
      <c r="L149" s="84">
        <f>K129*L$143+K$143*L129-K129*K$143</f>
        <v>0.44999999999999996</v>
      </c>
    </row>
    <row r="150" spans="1:12" x14ac:dyDescent="0.25">
      <c r="A150" s="126" t="s">
        <v>129</v>
      </c>
      <c r="B150" s="131" t="s">
        <v>106</v>
      </c>
      <c r="D150" s="134" t="s">
        <v>137</v>
      </c>
      <c r="E150" s="202">
        <f>IF(E130*F$143+E$143*F130-F130*F$143&lt;0,0,E130*F$143+E$143*F130-F130*F$143)</f>
        <v>0</v>
      </c>
      <c r="F150" s="179">
        <f t="shared" ref="F150:G152" si="107">F130*F$143</f>
        <v>0.44000000000000006</v>
      </c>
      <c r="G150" s="179">
        <f t="shared" si="107"/>
        <v>1.32</v>
      </c>
      <c r="H150" s="188">
        <f t="shared" ref="H150:H152" si="108">G130*H$143+G$143*H130-G130*G$143</f>
        <v>2.3099999999999996</v>
      </c>
      <c r="I150" s="187">
        <f t="shared" ref="I150:I152" si="109">I130*J$143+I$143*J130-J130*J$143</f>
        <v>5.3999999999999992E-2</v>
      </c>
      <c r="J150" s="179">
        <f t="shared" ref="J150:K152" si="110">J130*J$143</f>
        <v>0.44000000000000006</v>
      </c>
      <c r="K150" s="179">
        <f t="shared" si="110"/>
        <v>1.32</v>
      </c>
      <c r="L150" s="188">
        <f t="shared" ref="L150:L152" si="111">K130*L$143+K$143*L130-K130*K$143</f>
        <v>2</v>
      </c>
    </row>
    <row r="151" spans="1:12" x14ac:dyDescent="0.25">
      <c r="A151" s="126" t="s">
        <v>129</v>
      </c>
      <c r="B151" s="131" t="s">
        <v>105</v>
      </c>
      <c r="D151" s="134" t="s">
        <v>136</v>
      </c>
      <c r="E151" s="87">
        <f t="shared" ref="E151:E152" si="112">E131*F$143+E$143*F131-F131*F$143</f>
        <v>0.60499999999999998</v>
      </c>
      <c r="F151">
        <f t="shared" si="107"/>
        <v>1.1000000000000001</v>
      </c>
      <c r="G151">
        <f t="shared" si="107"/>
        <v>2.31</v>
      </c>
      <c r="H151" s="88">
        <f t="shared" si="108"/>
        <v>4.1549999999999994</v>
      </c>
      <c r="I151" s="87">
        <f t="shared" si="109"/>
        <v>0.77499999999999991</v>
      </c>
      <c r="J151">
        <f t="shared" si="110"/>
        <v>1.1000000000000001</v>
      </c>
      <c r="K151">
        <f t="shared" si="110"/>
        <v>2.31</v>
      </c>
      <c r="L151" s="88">
        <f t="shared" si="111"/>
        <v>3.53</v>
      </c>
    </row>
    <row r="152" spans="1:12" ht="15.75" thickBot="1" x14ac:dyDescent="0.3">
      <c r="A152" s="127" t="s">
        <v>129</v>
      </c>
      <c r="B152" s="132" t="s">
        <v>104</v>
      </c>
      <c r="D152" s="135" t="s">
        <v>135</v>
      </c>
      <c r="E152" s="91">
        <f t="shared" si="112"/>
        <v>1.04</v>
      </c>
      <c r="F152" s="93">
        <f t="shared" si="107"/>
        <v>2</v>
      </c>
      <c r="G152" s="93">
        <f t="shared" si="107"/>
        <v>3</v>
      </c>
      <c r="H152" s="94">
        <f t="shared" si="108"/>
        <v>4.5</v>
      </c>
      <c r="I152" s="91">
        <f t="shared" si="109"/>
        <v>1.3599999999999999</v>
      </c>
      <c r="J152" s="93">
        <f t="shared" si="110"/>
        <v>2</v>
      </c>
      <c r="K152" s="93">
        <f t="shared" si="110"/>
        <v>3</v>
      </c>
      <c r="L152" s="94">
        <f t="shared" si="111"/>
        <v>4</v>
      </c>
    </row>
    <row r="153" spans="1:12" x14ac:dyDescent="0.25">
      <c r="A153" s="125" t="s">
        <v>130</v>
      </c>
      <c r="B153" s="130" t="s">
        <v>107</v>
      </c>
      <c r="D153" s="133" t="s">
        <v>139</v>
      </c>
      <c r="E153" s="81">
        <f>E129*F$144+E$144*F129-F129*F$144</f>
        <v>0</v>
      </c>
      <c r="F153" s="83">
        <f>F129*F$144</f>
        <v>0</v>
      </c>
      <c r="G153" s="83">
        <f>G129*G$144</f>
        <v>0</v>
      </c>
      <c r="H153" s="84">
        <f>G129*H$144+G$144*H129-G129*G$144</f>
        <v>1.21</v>
      </c>
      <c r="I153" s="81">
        <f>I129*J$144+I$144*J129-J129*J$144</f>
        <v>0</v>
      </c>
      <c r="J153" s="83">
        <f>J129*J$144</f>
        <v>0</v>
      </c>
      <c r="K153" s="83">
        <f>K129*K$144</f>
        <v>0</v>
      </c>
      <c r="L153" s="84">
        <f>K129*L$144+K$144*L129-K129*K$144</f>
        <v>0.82499999999999996</v>
      </c>
    </row>
    <row r="154" spans="1:12" x14ac:dyDescent="0.25">
      <c r="A154" s="126" t="s">
        <v>130</v>
      </c>
      <c r="B154" s="131" t="s">
        <v>106</v>
      </c>
      <c r="D154" s="134" t="s">
        <v>144</v>
      </c>
      <c r="E154" s="202">
        <f>IF(E130*F$144+E$144*F130-F130*F$144&lt;0,0,E130*F$144+E$144*F130-F130*F$144)</f>
        <v>0</v>
      </c>
      <c r="F154" s="179">
        <f t="shared" ref="F154:G156" si="113">F130*F$144</f>
        <v>0.9900000000000001</v>
      </c>
      <c r="G154" s="179">
        <f t="shared" si="113"/>
        <v>2.42</v>
      </c>
      <c r="H154" s="188">
        <f t="shared" ref="H154:H156" si="114">G130*H$144+G$144*H130-G130*G$144</f>
        <v>3.6850000000000005</v>
      </c>
      <c r="I154" s="187">
        <f t="shared" ref="I154:I156" si="115">I130*J$144+I$144*J130-J130*J$144</f>
        <v>4.9999999999999933E-2</v>
      </c>
      <c r="J154" s="179">
        <f t="shared" ref="J154:K156" si="116">J130*J$144</f>
        <v>0.9900000000000001</v>
      </c>
      <c r="K154" s="179">
        <f t="shared" si="116"/>
        <v>2.42</v>
      </c>
      <c r="L154" s="188">
        <f t="shared" ref="L154:L156" si="117">K130*L$144+K$144*L130-K130*K$144</f>
        <v>3.3000000000000007</v>
      </c>
    </row>
    <row r="155" spans="1:12" x14ac:dyDescent="0.25">
      <c r="A155" s="126" t="s">
        <v>130</v>
      </c>
      <c r="B155" s="131" t="s">
        <v>105</v>
      </c>
      <c r="D155" s="134" t="s">
        <v>145</v>
      </c>
      <c r="E155" s="87">
        <f t="shared" ref="E155:E156" si="118">E131*F$144+E$144*F131-F131*F$144</f>
        <v>1.1550000000000002</v>
      </c>
      <c r="F155">
        <f t="shared" si="113"/>
        <v>2.4750000000000001</v>
      </c>
      <c r="G155">
        <f t="shared" si="113"/>
        <v>4.2350000000000003</v>
      </c>
      <c r="H155" s="88">
        <f t="shared" si="114"/>
        <v>6.6550000000000002</v>
      </c>
      <c r="I155" s="87">
        <f t="shared" si="115"/>
        <v>1.5650000000000008</v>
      </c>
      <c r="J155">
        <f t="shared" si="116"/>
        <v>2.4750000000000001</v>
      </c>
      <c r="K155">
        <f t="shared" si="116"/>
        <v>4.2350000000000003</v>
      </c>
      <c r="L155" s="88">
        <f t="shared" si="117"/>
        <v>5.830000000000001</v>
      </c>
    </row>
    <row r="156" spans="1:12" ht="15.75" thickBot="1" x14ac:dyDescent="0.3">
      <c r="A156" s="127" t="s">
        <v>130</v>
      </c>
      <c r="B156" s="132" t="s">
        <v>104</v>
      </c>
      <c r="D156" s="135" t="s">
        <v>146</v>
      </c>
      <c r="E156" s="91">
        <f t="shared" si="118"/>
        <v>1.9649999999999999</v>
      </c>
      <c r="F156" s="93">
        <f t="shared" si="113"/>
        <v>4.5</v>
      </c>
      <c r="G156" s="93">
        <f t="shared" si="113"/>
        <v>5.5</v>
      </c>
      <c r="H156" s="94">
        <f t="shared" si="114"/>
        <v>7</v>
      </c>
      <c r="I156" s="91">
        <f t="shared" si="115"/>
        <v>2.7349999999999994</v>
      </c>
      <c r="J156" s="93">
        <f t="shared" si="116"/>
        <v>4.5</v>
      </c>
      <c r="K156" s="93">
        <f t="shared" si="116"/>
        <v>5.5</v>
      </c>
      <c r="L156" s="94">
        <f t="shared" si="117"/>
        <v>6.5</v>
      </c>
    </row>
    <row r="157" spans="1:12" x14ac:dyDescent="0.25">
      <c r="A157" s="125" t="s">
        <v>131</v>
      </c>
      <c r="B157" s="130" t="s">
        <v>107</v>
      </c>
      <c r="D157" s="133" t="s">
        <v>141</v>
      </c>
      <c r="E157" s="81">
        <f>E129*F$145+E$145*F129-F129*F$145</f>
        <v>0</v>
      </c>
      <c r="F157" s="83">
        <f>F129*F$145</f>
        <v>0</v>
      </c>
      <c r="G157" s="83">
        <f>G129*G$145</f>
        <v>0</v>
      </c>
      <c r="H157" s="84">
        <f>G129*H$145+G$145*H129-G129*G$145</f>
        <v>1.76</v>
      </c>
      <c r="I157" s="81">
        <f>I129*J$145+I$145*J129-J129*J$145</f>
        <v>0</v>
      </c>
      <c r="J157" s="83">
        <f>J129*J$145</f>
        <v>0</v>
      </c>
      <c r="K157" s="83">
        <f>K129*K$145</f>
        <v>0</v>
      </c>
      <c r="L157" s="84">
        <f>K129*L$145+K$145*L129-K129*K$145</f>
        <v>1.2</v>
      </c>
    </row>
    <row r="158" spans="1:12" x14ac:dyDescent="0.25">
      <c r="A158" s="126" t="s">
        <v>131</v>
      </c>
      <c r="B158" s="131" t="s">
        <v>106</v>
      </c>
      <c r="D158" s="134" t="s">
        <v>140</v>
      </c>
      <c r="E158" s="202">
        <f>IF(E130*F$145+E$145*F130-F130*F$145&lt;0,0,E130*F$145+E$145*F130-F130*F$145)</f>
        <v>0</v>
      </c>
      <c r="F158" s="179">
        <f t="shared" ref="F158:G160" si="119">F130*F$145</f>
        <v>1.5400000000000003</v>
      </c>
      <c r="G158" s="179">
        <f t="shared" si="119"/>
        <v>3.52</v>
      </c>
      <c r="H158" s="188">
        <f t="shared" ref="H158:H160" si="120">G130*H$145+G$145*H130-G130*G$145</f>
        <v>5.0600000000000005</v>
      </c>
      <c r="I158" s="187">
        <f t="shared" ref="I158:I160" si="121">I130*J$145+I$145*J130-J130*J$145</f>
        <v>0.19999999999999996</v>
      </c>
      <c r="J158" s="179">
        <f t="shared" ref="J158:K160" si="122">J130*J$145</f>
        <v>1.5400000000000003</v>
      </c>
      <c r="K158" s="179">
        <f t="shared" si="122"/>
        <v>3.52</v>
      </c>
      <c r="L158" s="188">
        <f t="shared" ref="L158:L160" si="123">K130*L$145+K$145*L130-K130*K$145</f>
        <v>4.6000000000000014</v>
      </c>
    </row>
    <row r="159" spans="1:12" x14ac:dyDescent="0.25">
      <c r="A159" s="126" t="s">
        <v>131</v>
      </c>
      <c r="B159" s="131" t="s">
        <v>105</v>
      </c>
      <c r="D159" s="134" t="s">
        <v>142</v>
      </c>
      <c r="E159" s="87">
        <f t="shared" ref="E159:E160" si="124">E131*F$145+E$145*F131-F131*F$145</f>
        <v>2.2549999999999999</v>
      </c>
      <c r="F159">
        <f t="shared" si="119"/>
        <v>3.8500000000000005</v>
      </c>
      <c r="G159">
        <f t="shared" si="119"/>
        <v>6.16</v>
      </c>
      <c r="H159" s="88">
        <f t="shared" si="120"/>
        <v>9.1550000000000011</v>
      </c>
      <c r="I159" s="87">
        <f t="shared" si="121"/>
        <v>2.7399999999999993</v>
      </c>
      <c r="J159">
        <f t="shared" si="122"/>
        <v>3.8500000000000005</v>
      </c>
      <c r="K159">
        <f t="shared" si="122"/>
        <v>6.16</v>
      </c>
      <c r="L159" s="88">
        <f t="shared" si="123"/>
        <v>8.129999999999999</v>
      </c>
    </row>
    <row r="160" spans="1:12" ht="15.75" thickBot="1" x14ac:dyDescent="0.3">
      <c r="A160" s="127" t="s">
        <v>131</v>
      </c>
      <c r="B160" s="132" t="s">
        <v>104</v>
      </c>
      <c r="D160" s="135" t="s">
        <v>143</v>
      </c>
      <c r="E160" s="91">
        <f t="shared" si="124"/>
        <v>3.8900000000000006</v>
      </c>
      <c r="F160" s="93">
        <f t="shared" si="119"/>
        <v>7</v>
      </c>
      <c r="G160" s="93">
        <f t="shared" si="119"/>
        <v>8</v>
      </c>
      <c r="H160" s="94">
        <f t="shared" si="120"/>
        <v>9.5</v>
      </c>
      <c r="I160" s="91">
        <f t="shared" si="121"/>
        <v>4.8099999999999987</v>
      </c>
      <c r="J160" s="93">
        <f t="shared" si="122"/>
        <v>7</v>
      </c>
      <c r="K160" s="93">
        <f t="shared" si="122"/>
        <v>8</v>
      </c>
      <c r="L160" s="94">
        <f t="shared" si="123"/>
        <v>9</v>
      </c>
    </row>
    <row r="162" spans="1:25" ht="15.75" thickBot="1" x14ac:dyDescent="0.3">
      <c r="A162" s="1" t="s">
        <v>296</v>
      </c>
    </row>
    <row r="163" spans="1:25" ht="15.75" thickBot="1" x14ac:dyDescent="0.3">
      <c r="A163" s="304" t="s">
        <v>86</v>
      </c>
      <c r="B163" s="303" t="s">
        <v>209</v>
      </c>
      <c r="C163" s="306"/>
      <c r="D163" s="306"/>
      <c r="E163" s="306"/>
      <c r="F163" s="306"/>
      <c r="G163" s="306"/>
      <c r="H163" s="306"/>
      <c r="I163" s="307"/>
      <c r="J163" s="303" t="s">
        <v>210</v>
      </c>
      <c r="K163" s="306"/>
      <c r="L163" s="306"/>
      <c r="M163" s="306"/>
      <c r="N163" s="306"/>
      <c r="O163" s="306"/>
      <c r="P163" s="306"/>
      <c r="Q163" s="307"/>
      <c r="R163" s="303" t="s">
        <v>211</v>
      </c>
      <c r="S163" s="306"/>
      <c r="T163" s="306"/>
      <c r="U163" s="306"/>
      <c r="V163" s="306"/>
      <c r="W163" s="306"/>
      <c r="X163" s="306"/>
      <c r="Y163" s="307"/>
    </row>
    <row r="164" spans="1:25" ht="33.75" customHeight="1" thickBot="1" x14ac:dyDescent="0.3">
      <c r="A164" s="305"/>
      <c r="B164" s="300" t="s">
        <v>17</v>
      </c>
      <c r="C164" s="301"/>
      <c r="D164" s="301"/>
      <c r="E164" s="302"/>
      <c r="F164" s="303" t="s">
        <v>18</v>
      </c>
      <c r="G164" s="301"/>
      <c r="H164" s="301"/>
      <c r="I164" s="302"/>
      <c r="J164" s="300" t="s">
        <v>17</v>
      </c>
      <c r="K164" s="301"/>
      <c r="L164" s="301"/>
      <c r="M164" s="302"/>
      <c r="N164" s="303" t="s">
        <v>18</v>
      </c>
      <c r="O164" s="301"/>
      <c r="P164" s="301"/>
      <c r="Q164" s="302"/>
      <c r="R164" s="300" t="s">
        <v>17</v>
      </c>
      <c r="S164" s="301"/>
      <c r="T164" s="301"/>
      <c r="U164" s="302"/>
      <c r="V164" s="303" t="s">
        <v>18</v>
      </c>
      <c r="W164" s="301"/>
      <c r="X164" s="301"/>
      <c r="Y164" s="302"/>
    </row>
    <row r="165" spans="1:25" x14ac:dyDescent="0.25">
      <c r="A165" s="169" t="s">
        <v>84</v>
      </c>
      <c r="B165" s="11">
        <f>BG12</f>
        <v>6.4600000000000009</v>
      </c>
      <c r="C165" s="12">
        <f t="shared" ref="C165:I174" si="125">BH12</f>
        <v>12.6</v>
      </c>
      <c r="D165" s="12">
        <f t="shared" si="125"/>
        <v>15.81</v>
      </c>
      <c r="E165" s="13">
        <f t="shared" si="125"/>
        <v>20.655000000000001</v>
      </c>
      <c r="F165" s="11">
        <f t="shared" si="125"/>
        <v>8.3199999999999985</v>
      </c>
      <c r="G165" s="12">
        <f t="shared" si="125"/>
        <v>12.6</v>
      </c>
      <c r="H165" s="12">
        <f t="shared" si="125"/>
        <v>15.81</v>
      </c>
      <c r="I165" s="13">
        <f t="shared" si="125"/>
        <v>19.03</v>
      </c>
      <c r="J165" s="11">
        <f>BG64</f>
        <v>4.22</v>
      </c>
      <c r="K165" s="12">
        <f t="shared" ref="K165:Q174" si="126">BH64</f>
        <v>9.89</v>
      </c>
      <c r="L165" s="12">
        <f t="shared" si="126"/>
        <v>15.18</v>
      </c>
      <c r="M165" s="13">
        <f t="shared" si="126"/>
        <v>21.215000000000003</v>
      </c>
      <c r="N165" s="11">
        <f t="shared" si="126"/>
        <v>5.6749999999999989</v>
      </c>
      <c r="O165" s="12">
        <f t="shared" si="126"/>
        <v>9.89</v>
      </c>
      <c r="P165" s="12">
        <f t="shared" si="126"/>
        <v>15.18</v>
      </c>
      <c r="Q165" s="13">
        <f t="shared" si="126"/>
        <v>19.23</v>
      </c>
      <c r="R165" s="11">
        <f>BG116</f>
        <v>5.0450000000000008</v>
      </c>
      <c r="S165" s="12">
        <f t="shared" ref="S165:Y174" si="127">BH116</f>
        <v>9.9149999999999991</v>
      </c>
      <c r="T165" s="12">
        <f t="shared" si="127"/>
        <v>13.555</v>
      </c>
      <c r="U165" s="13">
        <f t="shared" si="127"/>
        <v>18.465</v>
      </c>
      <c r="V165" s="11">
        <f t="shared" si="127"/>
        <v>6.4289999999999994</v>
      </c>
      <c r="W165" s="12">
        <f t="shared" si="127"/>
        <v>9.9149999999999991</v>
      </c>
      <c r="X165" s="12">
        <f t="shared" si="127"/>
        <v>13.555</v>
      </c>
      <c r="Y165" s="13">
        <f t="shared" si="127"/>
        <v>16.830000000000002</v>
      </c>
    </row>
    <row r="166" spans="1:25" x14ac:dyDescent="0.25">
      <c r="A166" s="164" t="s">
        <v>73</v>
      </c>
      <c r="B166" s="9">
        <f t="shared" ref="B166:B174" si="128">BG13</f>
        <v>1.1550000000000002</v>
      </c>
      <c r="C166" s="2">
        <f t="shared" si="125"/>
        <v>4.4550000000000001</v>
      </c>
      <c r="D166" s="2">
        <f t="shared" si="125"/>
        <v>9.0749999999999993</v>
      </c>
      <c r="E166" s="10">
        <f t="shared" si="125"/>
        <v>14.025</v>
      </c>
      <c r="F166" s="9">
        <f t="shared" si="125"/>
        <v>1.8190000000000008</v>
      </c>
      <c r="G166" s="2">
        <f t="shared" si="125"/>
        <v>4.4550000000000001</v>
      </c>
      <c r="H166" s="2">
        <f t="shared" si="125"/>
        <v>9.0749999999999993</v>
      </c>
      <c r="I166" s="10">
        <f t="shared" si="125"/>
        <v>12.430000000000003</v>
      </c>
      <c r="J166" s="9">
        <f t="shared" ref="J166:J174" si="129">BG65</f>
        <v>1.1550000000000002</v>
      </c>
      <c r="K166" s="2">
        <f t="shared" si="126"/>
        <v>5.5550000000000006</v>
      </c>
      <c r="L166" s="2">
        <f t="shared" si="126"/>
        <v>11.275</v>
      </c>
      <c r="M166" s="10">
        <f t="shared" si="126"/>
        <v>16.775000000000002</v>
      </c>
      <c r="N166" s="9">
        <f t="shared" si="126"/>
        <v>1.9650000000000007</v>
      </c>
      <c r="O166" s="2">
        <f t="shared" si="126"/>
        <v>5.5550000000000006</v>
      </c>
      <c r="P166" s="2">
        <f t="shared" si="126"/>
        <v>11.275</v>
      </c>
      <c r="Q166" s="10">
        <f t="shared" si="126"/>
        <v>15.030000000000005</v>
      </c>
      <c r="R166" s="9">
        <f t="shared" ref="R166:R174" si="130">BG117</f>
        <v>0.60499999999999998</v>
      </c>
      <c r="S166" s="2">
        <f t="shared" si="127"/>
        <v>3.6300000000000008</v>
      </c>
      <c r="T166" s="2">
        <f t="shared" si="127"/>
        <v>8.25</v>
      </c>
      <c r="U166" s="10">
        <f t="shared" si="127"/>
        <v>12.9</v>
      </c>
      <c r="V166" s="9">
        <f t="shared" si="127"/>
        <v>1.0249999999999999</v>
      </c>
      <c r="W166" s="2">
        <f t="shared" si="127"/>
        <v>3.6300000000000008</v>
      </c>
      <c r="X166" s="2">
        <f t="shared" si="127"/>
        <v>8.25</v>
      </c>
      <c r="Y166" s="10">
        <f t="shared" si="127"/>
        <v>11.430000000000001</v>
      </c>
    </row>
    <row r="167" spans="1:25" x14ac:dyDescent="0.25">
      <c r="A167" s="164" t="s">
        <v>74</v>
      </c>
      <c r="B167" s="9">
        <f t="shared" si="128"/>
        <v>4.0150000000000006</v>
      </c>
      <c r="C167" s="2">
        <f t="shared" si="125"/>
        <v>7.4250000000000007</v>
      </c>
      <c r="D167" s="2">
        <f t="shared" si="125"/>
        <v>12.705000000000002</v>
      </c>
      <c r="E167" s="10">
        <f t="shared" si="125"/>
        <v>19.965</v>
      </c>
      <c r="F167" s="9">
        <f t="shared" si="125"/>
        <v>5.08</v>
      </c>
      <c r="G167" s="2">
        <f t="shared" si="125"/>
        <v>7.4250000000000007</v>
      </c>
      <c r="H167" s="2">
        <f t="shared" si="125"/>
        <v>12.705000000000002</v>
      </c>
      <c r="I167" s="10">
        <f t="shared" si="125"/>
        <v>17.489999999999998</v>
      </c>
      <c r="J167" s="9">
        <f t="shared" si="129"/>
        <v>7.3000000000000007</v>
      </c>
      <c r="K167" s="2">
        <f t="shared" si="126"/>
        <v>13.325000000000001</v>
      </c>
      <c r="L167" s="2">
        <f t="shared" si="126"/>
        <v>18.395</v>
      </c>
      <c r="M167" s="10">
        <f t="shared" si="126"/>
        <v>25.310000000000002</v>
      </c>
      <c r="N167" s="9">
        <f t="shared" si="126"/>
        <v>9.1149999999999984</v>
      </c>
      <c r="O167" s="2">
        <f t="shared" si="126"/>
        <v>13.325000000000001</v>
      </c>
      <c r="P167" s="2">
        <f t="shared" si="126"/>
        <v>18.395</v>
      </c>
      <c r="Q167" s="10">
        <f t="shared" si="126"/>
        <v>22.96</v>
      </c>
      <c r="R167" s="9">
        <f t="shared" si="130"/>
        <v>4.8249999999999993</v>
      </c>
      <c r="S167" s="2">
        <f t="shared" si="127"/>
        <v>9.4499999999999993</v>
      </c>
      <c r="T167" s="2">
        <f t="shared" si="127"/>
        <v>13.97</v>
      </c>
      <c r="U167" s="10">
        <f t="shared" si="127"/>
        <v>20.310000000000002</v>
      </c>
      <c r="V167" s="9">
        <f t="shared" si="127"/>
        <v>6.2499999999999982</v>
      </c>
      <c r="W167" s="2">
        <f t="shared" si="127"/>
        <v>9.4499999999999993</v>
      </c>
      <c r="X167" s="2">
        <f t="shared" si="127"/>
        <v>13.97</v>
      </c>
      <c r="Y167" s="10">
        <f t="shared" si="127"/>
        <v>18.159999999999997</v>
      </c>
    </row>
    <row r="168" spans="1:25" x14ac:dyDescent="0.25">
      <c r="A168" s="164" t="s">
        <v>75</v>
      </c>
      <c r="B168" s="9">
        <f t="shared" si="128"/>
        <v>5.6500000000000012</v>
      </c>
      <c r="C168" s="2">
        <f t="shared" si="125"/>
        <v>10.574999999999999</v>
      </c>
      <c r="D168" s="2">
        <f t="shared" si="125"/>
        <v>14.545000000000002</v>
      </c>
      <c r="E168" s="10">
        <f t="shared" si="125"/>
        <v>20.309999999999999</v>
      </c>
      <c r="F168" s="9">
        <f t="shared" si="125"/>
        <v>7.15</v>
      </c>
      <c r="G168" s="2">
        <f t="shared" si="125"/>
        <v>10.574999999999999</v>
      </c>
      <c r="H168" s="2">
        <f t="shared" si="125"/>
        <v>14.545000000000002</v>
      </c>
      <c r="I168" s="10">
        <f t="shared" si="125"/>
        <v>18.36</v>
      </c>
      <c r="J168" s="9">
        <f t="shared" si="129"/>
        <v>6.1450000000000005</v>
      </c>
      <c r="K168" s="2">
        <f t="shared" si="126"/>
        <v>11.840000000000002</v>
      </c>
      <c r="L168" s="2">
        <f t="shared" si="126"/>
        <v>16.579999999999998</v>
      </c>
      <c r="M168" s="10">
        <f t="shared" si="126"/>
        <v>22.340000000000003</v>
      </c>
      <c r="N168" s="9">
        <f t="shared" si="126"/>
        <v>7.5999999999999979</v>
      </c>
      <c r="O168" s="2">
        <f t="shared" si="126"/>
        <v>11.840000000000002</v>
      </c>
      <c r="P168" s="2">
        <f t="shared" si="126"/>
        <v>16.579999999999998</v>
      </c>
      <c r="Q168" s="10">
        <f t="shared" si="126"/>
        <v>20.43</v>
      </c>
      <c r="R168" s="9">
        <f t="shared" si="130"/>
        <v>2.1950000000000003</v>
      </c>
      <c r="S168" s="2">
        <f t="shared" si="127"/>
        <v>6.0149999999999997</v>
      </c>
      <c r="T168" s="2">
        <f t="shared" si="127"/>
        <v>10.755000000000001</v>
      </c>
      <c r="U168" s="10">
        <f t="shared" si="127"/>
        <v>16.215000000000003</v>
      </c>
      <c r="V168" s="9">
        <f t="shared" si="127"/>
        <v>3.1250000000000009</v>
      </c>
      <c r="W168" s="2">
        <f t="shared" si="127"/>
        <v>6.0149999999999997</v>
      </c>
      <c r="X168" s="2">
        <f t="shared" si="127"/>
        <v>10.755000000000001</v>
      </c>
      <c r="Y168" s="10">
        <f t="shared" si="127"/>
        <v>14.430000000000003</v>
      </c>
    </row>
    <row r="169" spans="1:25" x14ac:dyDescent="0.25">
      <c r="A169" s="164" t="s">
        <v>77</v>
      </c>
      <c r="B169" s="9">
        <f t="shared" si="128"/>
        <v>4.45</v>
      </c>
      <c r="C169" s="2">
        <f t="shared" si="125"/>
        <v>8.3250000000000011</v>
      </c>
      <c r="D169" s="2">
        <f t="shared" si="125"/>
        <v>13.395</v>
      </c>
      <c r="E169" s="10">
        <f t="shared" si="125"/>
        <v>20.310000000000002</v>
      </c>
      <c r="F169" s="9">
        <f t="shared" si="125"/>
        <v>5.6650000000000009</v>
      </c>
      <c r="G169" s="2">
        <f t="shared" si="125"/>
        <v>8.3250000000000011</v>
      </c>
      <c r="H169" s="2">
        <f t="shared" si="125"/>
        <v>13.395</v>
      </c>
      <c r="I169" s="10">
        <f t="shared" si="125"/>
        <v>17.96</v>
      </c>
      <c r="J169" s="9">
        <f t="shared" si="129"/>
        <v>7.3000000000000007</v>
      </c>
      <c r="K169" s="2">
        <f t="shared" si="126"/>
        <v>13.325000000000001</v>
      </c>
      <c r="L169" s="2">
        <f t="shared" si="126"/>
        <v>18.395</v>
      </c>
      <c r="M169" s="10">
        <f t="shared" si="126"/>
        <v>25.310000000000002</v>
      </c>
      <c r="N169" s="9">
        <f t="shared" si="126"/>
        <v>9.1149999999999984</v>
      </c>
      <c r="O169" s="2">
        <f t="shared" si="126"/>
        <v>13.325000000000001</v>
      </c>
      <c r="P169" s="2">
        <f t="shared" si="126"/>
        <v>18.395</v>
      </c>
      <c r="Q169" s="10">
        <f t="shared" si="126"/>
        <v>22.96</v>
      </c>
      <c r="R169" s="9">
        <f t="shared" si="130"/>
        <v>2.57</v>
      </c>
      <c r="S169" s="2">
        <f t="shared" si="127"/>
        <v>7.14</v>
      </c>
      <c r="T169" s="2">
        <f t="shared" si="127"/>
        <v>11.33</v>
      </c>
      <c r="U169" s="10">
        <f t="shared" si="127"/>
        <v>16.215</v>
      </c>
      <c r="V169" s="9">
        <f t="shared" si="127"/>
        <v>3.7099999999999991</v>
      </c>
      <c r="W169" s="2">
        <f t="shared" si="127"/>
        <v>7.14</v>
      </c>
      <c r="X169" s="2">
        <f t="shared" si="127"/>
        <v>11.33</v>
      </c>
      <c r="Y169" s="10">
        <f t="shared" si="127"/>
        <v>14.63</v>
      </c>
    </row>
    <row r="170" spans="1:25" x14ac:dyDescent="0.25">
      <c r="A170" s="164" t="s">
        <v>78</v>
      </c>
      <c r="B170" s="9">
        <f t="shared" si="128"/>
        <v>4.495000000000001</v>
      </c>
      <c r="C170" s="2">
        <f t="shared" si="125"/>
        <v>9.09</v>
      </c>
      <c r="D170" s="2">
        <f t="shared" si="125"/>
        <v>12.73</v>
      </c>
      <c r="E170" s="10">
        <f t="shared" si="125"/>
        <v>17.34</v>
      </c>
      <c r="F170" s="9">
        <f t="shared" si="125"/>
        <v>5.6349999999999989</v>
      </c>
      <c r="G170" s="2">
        <f t="shared" si="125"/>
        <v>9.09</v>
      </c>
      <c r="H170" s="2">
        <f t="shared" si="125"/>
        <v>12.73</v>
      </c>
      <c r="I170" s="10">
        <f t="shared" si="125"/>
        <v>15.83</v>
      </c>
      <c r="J170" s="9">
        <f t="shared" si="129"/>
        <v>6.1450000000000005</v>
      </c>
      <c r="K170" s="2">
        <f t="shared" si="126"/>
        <v>11.840000000000002</v>
      </c>
      <c r="L170" s="2">
        <f t="shared" si="126"/>
        <v>16.579999999999998</v>
      </c>
      <c r="M170" s="10">
        <f t="shared" si="126"/>
        <v>22.340000000000003</v>
      </c>
      <c r="N170" s="9">
        <f t="shared" si="126"/>
        <v>7.5999999999999979</v>
      </c>
      <c r="O170" s="2">
        <f t="shared" si="126"/>
        <v>11.840000000000002</v>
      </c>
      <c r="P170" s="2">
        <f t="shared" si="126"/>
        <v>16.579999999999998</v>
      </c>
      <c r="Q170" s="10">
        <f t="shared" si="126"/>
        <v>20.43</v>
      </c>
      <c r="R170" s="9">
        <f t="shared" si="130"/>
        <v>1.1550000000000002</v>
      </c>
      <c r="S170" s="2">
        <f t="shared" si="127"/>
        <v>4.4550000000000001</v>
      </c>
      <c r="T170" s="2">
        <f t="shared" si="127"/>
        <v>9.0750000000000011</v>
      </c>
      <c r="U170" s="10">
        <f t="shared" si="127"/>
        <v>14.025</v>
      </c>
      <c r="V170" s="9">
        <f t="shared" si="127"/>
        <v>1.8190000000000008</v>
      </c>
      <c r="W170" s="2">
        <f t="shared" si="127"/>
        <v>4.4550000000000001</v>
      </c>
      <c r="X170" s="2">
        <f t="shared" si="127"/>
        <v>9.0750000000000011</v>
      </c>
      <c r="Y170" s="10">
        <f t="shared" si="127"/>
        <v>12.430000000000003</v>
      </c>
    </row>
    <row r="171" spans="1:25" x14ac:dyDescent="0.25">
      <c r="A171" s="164" t="s">
        <v>79</v>
      </c>
      <c r="B171" s="9">
        <f t="shared" si="128"/>
        <v>4.495000000000001</v>
      </c>
      <c r="C171" s="2">
        <f t="shared" si="125"/>
        <v>9.09</v>
      </c>
      <c r="D171" s="2">
        <f t="shared" si="125"/>
        <v>12.73</v>
      </c>
      <c r="E171" s="10">
        <f t="shared" si="125"/>
        <v>17.34</v>
      </c>
      <c r="F171" s="9">
        <f t="shared" si="125"/>
        <v>5.6349999999999989</v>
      </c>
      <c r="G171" s="2">
        <f t="shared" si="125"/>
        <v>9.09</v>
      </c>
      <c r="H171" s="2">
        <f t="shared" si="125"/>
        <v>12.73</v>
      </c>
      <c r="I171" s="10">
        <f t="shared" si="125"/>
        <v>15.83</v>
      </c>
      <c r="J171" s="9">
        <f t="shared" si="129"/>
        <v>6.1450000000000005</v>
      </c>
      <c r="K171" s="2">
        <f t="shared" si="126"/>
        <v>11.840000000000002</v>
      </c>
      <c r="L171" s="2">
        <f t="shared" si="126"/>
        <v>16.579999999999998</v>
      </c>
      <c r="M171" s="10">
        <f t="shared" si="126"/>
        <v>22.340000000000003</v>
      </c>
      <c r="N171" s="9">
        <f t="shared" si="126"/>
        <v>7.5999999999999979</v>
      </c>
      <c r="O171" s="2">
        <f t="shared" si="126"/>
        <v>11.840000000000002</v>
      </c>
      <c r="P171" s="2">
        <f t="shared" si="126"/>
        <v>16.579999999999998</v>
      </c>
      <c r="Q171" s="10">
        <f t="shared" si="126"/>
        <v>20.43</v>
      </c>
      <c r="R171" s="9">
        <f t="shared" si="130"/>
        <v>2.1950000000000003</v>
      </c>
      <c r="S171" s="2">
        <f t="shared" si="127"/>
        <v>6.0149999999999997</v>
      </c>
      <c r="T171" s="2">
        <f t="shared" si="127"/>
        <v>10.755000000000001</v>
      </c>
      <c r="U171" s="10">
        <f t="shared" si="127"/>
        <v>16.215000000000003</v>
      </c>
      <c r="V171" s="9">
        <f t="shared" si="127"/>
        <v>3.1250000000000009</v>
      </c>
      <c r="W171" s="2">
        <f t="shared" si="127"/>
        <v>6.0149999999999997</v>
      </c>
      <c r="X171" s="2">
        <f t="shared" si="127"/>
        <v>10.755000000000001</v>
      </c>
      <c r="Y171" s="10">
        <f t="shared" si="127"/>
        <v>14.430000000000003</v>
      </c>
    </row>
    <row r="172" spans="1:25" x14ac:dyDescent="0.25">
      <c r="A172" s="164" t="s">
        <v>80</v>
      </c>
      <c r="B172" s="9">
        <f t="shared" si="128"/>
        <v>5.26</v>
      </c>
      <c r="C172" s="2">
        <f t="shared" si="125"/>
        <v>10.350000000000001</v>
      </c>
      <c r="D172" s="2">
        <f t="shared" si="125"/>
        <v>14.66</v>
      </c>
      <c r="E172" s="10">
        <f t="shared" si="125"/>
        <v>20.655000000000001</v>
      </c>
      <c r="F172" s="9">
        <f t="shared" si="125"/>
        <v>6.8349999999999991</v>
      </c>
      <c r="G172" s="2">
        <f t="shared" si="125"/>
        <v>10.350000000000001</v>
      </c>
      <c r="H172" s="2">
        <f t="shared" si="125"/>
        <v>14.66</v>
      </c>
      <c r="I172" s="10">
        <f t="shared" si="125"/>
        <v>18.63</v>
      </c>
      <c r="J172" s="9">
        <f t="shared" si="129"/>
        <v>4.22</v>
      </c>
      <c r="K172" s="2">
        <f t="shared" si="126"/>
        <v>9.89</v>
      </c>
      <c r="L172" s="2">
        <f t="shared" si="126"/>
        <v>15.18</v>
      </c>
      <c r="M172" s="10">
        <f t="shared" si="126"/>
        <v>21.215000000000003</v>
      </c>
      <c r="N172" s="9">
        <f t="shared" si="126"/>
        <v>5.6749999999999989</v>
      </c>
      <c r="O172" s="2">
        <f t="shared" si="126"/>
        <v>9.89</v>
      </c>
      <c r="P172" s="2">
        <f t="shared" si="126"/>
        <v>15.18</v>
      </c>
      <c r="Q172" s="10">
        <f t="shared" si="126"/>
        <v>19.23</v>
      </c>
      <c r="R172" s="9">
        <f t="shared" si="130"/>
        <v>4.495000000000001</v>
      </c>
      <c r="S172" s="2">
        <f t="shared" si="127"/>
        <v>9.09</v>
      </c>
      <c r="T172" s="2">
        <f t="shared" si="127"/>
        <v>12.73</v>
      </c>
      <c r="U172" s="10">
        <f t="shared" si="127"/>
        <v>17.34</v>
      </c>
      <c r="V172" s="9">
        <f t="shared" si="127"/>
        <v>5.6349999999999989</v>
      </c>
      <c r="W172" s="2">
        <f t="shared" si="127"/>
        <v>9.09</v>
      </c>
      <c r="X172" s="2">
        <f t="shared" si="127"/>
        <v>12.73</v>
      </c>
      <c r="Y172" s="10">
        <f t="shared" si="127"/>
        <v>15.83</v>
      </c>
    </row>
    <row r="173" spans="1:25" x14ac:dyDescent="0.25">
      <c r="A173" s="164" t="s">
        <v>82</v>
      </c>
      <c r="B173" s="9">
        <f t="shared" si="128"/>
        <v>4.45</v>
      </c>
      <c r="C173" s="2">
        <f t="shared" si="125"/>
        <v>8.3250000000000011</v>
      </c>
      <c r="D173" s="2">
        <f t="shared" si="125"/>
        <v>13.395</v>
      </c>
      <c r="E173" s="10">
        <f t="shared" si="125"/>
        <v>20.310000000000002</v>
      </c>
      <c r="F173" s="9">
        <f t="shared" si="125"/>
        <v>5.6650000000000009</v>
      </c>
      <c r="G173" s="2">
        <f t="shared" si="125"/>
        <v>8.3250000000000011</v>
      </c>
      <c r="H173" s="2">
        <f t="shared" si="125"/>
        <v>13.395</v>
      </c>
      <c r="I173" s="10">
        <f t="shared" si="125"/>
        <v>17.96</v>
      </c>
      <c r="J173" s="9">
        <f t="shared" si="129"/>
        <v>5.0450000000000008</v>
      </c>
      <c r="K173" s="2">
        <f t="shared" si="126"/>
        <v>11.015000000000001</v>
      </c>
      <c r="L173" s="2">
        <f t="shared" si="126"/>
        <v>15.754999999999999</v>
      </c>
      <c r="M173" s="10">
        <f t="shared" si="126"/>
        <v>21.215</v>
      </c>
      <c r="N173" s="9">
        <f t="shared" si="126"/>
        <v>6.5749999999999993</v>
      </c>
      <c r="O173" s="2">
        <f t="shared" si="126"/>
        <v>11.015000000000001</v>
      </c>
      <c r="P173" s="2">
        <f t="shared" si="126"/>
        <v>15.754999999999999</v>
      </c>
      <c r="Q173" s="10">
        <f t="shared" si="126"/>
        <v>19.430000000000003</v>
      </c>
      <c r="R173" s="9">
        <f t="shared" si="130"/>
        <v>2.57</v>
      </c>
      <c r="S173" s="2">
        <f t="shared" si="127"/>
        <v>7.14</v>
      </c>
      <c r="T173" s="2">
        <f t="shared" si="127"/>
        <v>11.33</v>
      </c>
      <c r="U173" s="10">
        <f t="shared" si="127"/>
        <v>16.215</v>
      </c>
      <c r="V173" s="9">
        <f t="shared" si="127"/>
        <v>3.7099999999999991</v>
      </c>
      <c r="W173" s="2">
        <f t="shared" si="127"/>
        <v>7.14</v>
      </c>
      <c r="X173" s="2">
        <f t="shared" si="127"/>
        <v>11.33</v>
      </c>
      <c r="Y173" s="10">
        <f t="shared" si="127"/>
        <v>14.63</v>
      </c>
    </row>
    <row r="174" spans="1:25" ht="15.75" thickBot="1" x14ac:dyDescent="0.3">
      <c r="A174" s="165" t="s">
        <v>83</v>
      </c>
      <c r="B174" s="160">
        <f t="shared" si="128"/>
        <v>2.1950000000000003</v>
      </c>
      <c r="C174" s="120">
        <f t="shared" si="125"/>
        <v>6.0150000000000006</v>
      </c>
      <c r="D174" s="120">
        <f t="shared" si="125"/>
        <v>10.754999999999999</v>
      </c>
      <c r="E174" s="124">
        <f t="shared" si="125"/>
        <v>16.215</v>
      </c>
      <c r="F174" s="160">
        <f t="shared" si="125"/>
        <v>3.1250000000000009</v>
      </c>
      <c r="G174" s="120">
        <f t="shared" si="125"/>
        <v>6.0150000000000006</v>
      </c>
      <c r="H174" s="120">
        <f t="shared" si="125"/>
        <v>10.754999999999999</v>
      </c>
      <c r="I174" s="124">
        <f t="shared" si="125"/>
        <v>14.430000000000003</v>
      </c>
      <c r="J174" s="160">
        <f t="shared" si="129"/>
        <v>5.0450000000000008</v>
      </c>
      <c r="K174" s="120">
        <f t="shared" si="126"/>
        <v>11.015000000000001</v>
      </c>
      <c r="L174" s="120">
        <f t="shared" si="126"/>
        <v>15.754999999999999</v>
      </c>
      <c r="M174" s="124">
        <f t="shared" si="126"/>
        <v>21.215</v>
      </c>
      <c r="N174" s="160">
        <f t="shared" si="126"/>
        <v>6.5749999999999993</v>
      </c>
      <c r="O174" s="120">
        <f t="shared" si="126"/>
        <v>11.015000000000001</v>
      </c>
      <c r="P174" s="120">
        <f t="shared" si="126"/>
        <v>15.754999999999999</v>
      </c>
      <c r="Q174" s="124">
        <f t="shared" si="126"/>
        <v>19.430000000000003</v>
      </c>
      <c r="R174" s="160">
        <f t="shared" si="130"/>
        <v>4.22</v>
      </c>
      <c r="S174" s="120">
        <f t="shared" si="127"/>
        <v>8.7900000000000009</v>
      </c>
      <c r="T174" s="120">
        <f t="shared" si="127"/>
        <v>12.98</v>
      </c>
      <c r="U174" s="124">
        <f t="shared" si="127"/>
        <v>18.465</v>
      </c>
      <c r="V174" s="160">
        <f t="shared" si="127"/>
        <v>5.5289999999999981</v>
      </c>
      <c r="W174" s="120">
        <f t="shared" si="127"/>
        <v>8.7900000000000009</v>
      </c>
      <c r="X174" s="120">
        <f t="shared" si="127"/>
        <v>12.98</v>
      </c>
      <c r="Y174" s="124">
        <f t="shared" si="127"/>
        <v>16.63</v>
      </c>
    </row>
    <row r="176" spans="1:25" x14ac:dyDescent="0.25">
      <c r="A176" s="1" t="s">
        <v>222</v>
      </c>
    </row>
    <row r="177" spans="1:25" ht="15.75" thickBot="1" x14ac:dyDescent="0.3">
      <c r="A177" s="1" t="s">
        <v>208</v>
      </c>
    </row>
    <row r="178" spans="1:25" ht="15" customHeight="1" thickBot="1" x14ac:dyDescent="0.3">
      <c r="A178" s="178" t="s">
        <v>175</v>
      </c>
      <c r="B178" s="114" t="s">
        <v>224</v>
      </c>
      <c r="C178" s="198" t="s">
        <v>225</v>
      </c>
    </row>
    <row r="179" spans="1:25" x14ac:dyDescent="0.25">
      <c r="A179" s="191" t="s">
        <v>176</v>
      </c>
      <c r="B179" s="26">
        <v>0.75</v>
      </c>
      <c r="C179" s="199">
        <f>B179/B$182</f>
        <v>0.3</v>
      </c>
    </row>
    <row r="180" spans="1:25" x14ac:dyDescent="0.25">
      <c r="A180" s="27" t="s">
        <v>177</v>
      </c>
      <c r="B180" s="27">
        <v>0.75</v>
      </c>
      <c r="C180" s="161">
        <f t="shared" ref="C180:C181" si="131">B180/B$182</f>
        <v>0.3</v>
      </c>
    </row>
    <row r="181" spans="1:25" ht="15.75" thickBot="1" x14ac:dyDescent="0.3">
      <c r="A181" s="195" t="s">
        <v>207</v>
      </c>
      <c r="B181" s="195">
        <v>1</v>
      </c>
      <c r="C181" s="162">
        <f t="shared" si="131"/>
        <v>0.4</v>
      </c>
    </row>
    <row r="182" spans="1:25" ht="15.75" thickBot="1" x14ac:dyDescent="0.3">
      <c r="A182" s="29" t="s">
        <v>223</v>
      </c>
      <c r="B182" s="196">
        <f>SUM(B179:B181)</f>
        <v>2.5</v>
      </c>
      <c r="C182" s="197">
        <f>SUM(C179:C181)</f>
        <v>1</v>
      </c>
    </row>
    <row r="184" spans="1:25" ht="15.75" thickBot="1" x14ac:dyDescent="0.3">
      <c r="A184" s="1" t="s">
        <v>248</v>
      </c>
    </row>
    <row r="185" spans="1:25" ht="15.75" thickBot="1" x14ac:dyDescent="0.3">
      <c r="A185" s="237" t="s">
        <v>252</v>
      </c>
      <c r="B185" s="238" t="s">
        <v>249</v>
      </c>
      <c r="C185" s="238" t="s">
        <v>293</v>
      </c>
    </row>
    <row r="186" spans="1:25" ht="30" x14ac:dyDescent="0.25">
      <c r="A186" s="235" t="s">
        <v>274</v>
      </c>
      <c r="B186" s="118">
        <v>0.9</v>
      </c>
      <c r="C186" s="247">
        <f>B186/(B186+B187)</f>
        <v>0.6</v>
      </c>
    </row>
    <row r="187" spans="1:25" ht="30.75" thickBot="1" x14ac:dyDescent="0.3">
      <c r="A187" s="236" t="s">
        <v>275</v>
      </c>
      <c r="B187" s="120">
        <v>0.6</v>
      </c>
      <c r="C187" s="251">
        <f>B187/(B186+B187)</f>
        <v>0.39999999999999997</v>
      </c>
    </row>
    <row r="188" spans="1:25" ht="30" x14ac:dyDescent="0.25">
      <c r="A188" s="249" t="s">
        <v>276</v>
      </c>
      <c r="B188" s="250">
        <f>MAX(B165:Y174)</f>
        <v>25.310000000000002</v>
      </c>
      <c r="C188" s="13"/>
    </row>
    <row r="189" spans="1:25" ht="15.75" thickBot="1" x14ac:dyDescent="0.3">
      <c r="A189" s="212" t="s">
        <v>250</v>
      </c>
      <c r="B189" s="120">
        <v>0.8</v>
      </c>
      <c r="C189" s="124"/>
    </row>
    <row r="190" spans="1:25" x14ac:dyDescent="0.25">
      <c r="A190" s="1"/>
    </row>
    <row r="191" spans="1:25" ht="15.75" thickBot="1" x14ac:dyDescent="0.3">
      <c r="A191" s="1" t="s">
        <v>260</v>
      </c>
    </row>
    <row r="192" spans="1:25" ht="15.75" thickBot="1" x14ac:dyDescent="0.3">
      <c r="A192" s="304" t="s">
        <v>86</v>
      </c>
      <c r="B192" s="303" t="s">
        <v>209</v>
      </c>
      <c r="C192" s="306"/>
      <c r="D192" s="306"/>
      <c r="E192" s="306"/>
      <c r="F192" s="306"/>
      <c r="G192" s="306"/>
      <c r="H192" s="306"/>
      <c r="I192" s="307"/>
      <c r="J192" s="303" t="s">
        <v>210</v>
      </c>
      <c r="K192" s="306"/>
      <c r="L192" s="306"/>
      <c r="M192" s="306"/>
      <c r="N192" s="306"/>
      <c r="O192" s="306"/>
      <c r="P192" s="306"/>
      <c r="Q192" s="307"/>
      <c r="R192" s="303" t="s">
        <v>211</v>
      </c>
      <c r="S192" s="306"/>
      <c r="T192" s="306"/>
      <c r="U192" s="306"/>
      <c r="V192" s="306"/>
      <c r="W192" s="306"/>
      <c r="X192" s="306"/>
      <c r="Y192" s="307"/>
    </row>
    <row r="193" spans="1:25" ht="33.75" customHeight="1" thickBot="1" x14ac:dyDescent="0.3">
      <c r="A193" s="305"/>
      <c r="B193" s="300" t="s">
        <v>17</v>
      </c>
      <c r="C193" s="301"/>
      <c r="D193" s="301"/>
      <c r="E193" s="302"/>
      <c r="F193" s="303" t="s">
        <v>18</v>
      </c>
      <c r="G193" s="301"/>
      <c r="H193" s="301"/>
      <c r="I193" s="302"/>
      <c r="J193" s="300" t="s">
        <v>17</v>
      </c>
      <c r="K193" s="301"/>
      <c r="L193" s="301"/>
      <c r="M193" s="302"/>
      <c r="N193" s="303" t="s">
        <v>18</v>
      </c>
      <c r="O193" s="301"/>
      <c r="P193" s="301"/>
      <c r="Q193" s="302"/>
      <c r="R193" s="300" t="s">
        <v>17</v>
      </c>
      <c r="S193" s="301"/>
      <c r="T193" s="301"/>
      <c r="U193" s="302"/>
      <c r="V193" s="303" t="s">
        <v>18</v>
      </c>
      <c r="W193" s="301"/>
      <c r="X193" s="301"/>
      <c r="Y193" s="302"/>
    </row>
    <row r="194" spans="1:25" x14ac:dyDescent="0.25">
      <c r="A194" s="169" t="s">
        <v>84</v>
      </c>
      <c r="B194" s="40">
        <f>B165/$B$188</f>
        <v>0.25523508494666142</v>
      </c>
      <c r="C194" s="41">
        <f t="shared" ref="C194:Y203" si="132">C165/$B$188</f>
        <v>0.49782694587119708</v>
      </c>
      <c r="D194" s="41">
        <f t="shared" si="132"/>
        <v>0.62465428684314495</v>
      </c>
      <c r="E194" s="42">
        <f t="shared" si="132"/>
        <v>0.81608060055314102</v>
      </c>
      <c r="F194" s="40">
        <f t="shared" si="132"/>
        <v>0.32872382457526661</v>
      </c>
      <c r="G194" s="41">
        <f t="shared" si="132"/>
        <v>0.49782694587119708</v>
      </c>
      <c r="H194" s="41">
        <f t="shared" si="132"/>
        <v>0.62465428684314495</v>
      </c>
      <c r="I194" s="42">
        <f t="shared" si="132"/>
        <v>0.75187672856578425</v>
      </c>
      <c r="J194" s="40">
        <f t="shared" si="132"/>
        <v>0.16673251679178189</v>
      </c>
      <c r="K194" s="41">
        <f t="shared" si="132"/>
        <v>0.39075464243382063</v>
      </c>
      <c r="L194" s="41">
        <f t="shared" si="132"/>
        <v>0.59976293954958504</v>
      </c>
      <c r="M194" s="42">
        <f t="shared" si="132"/>
        <v>0.83820624259186094</v>
      </c>
      <c r="N194" s="40">
        <f t="shared" si="132"/>
        <v>0.22421967601738438</v>
      </c>
      <c r="O194" s="41">
        <f t="shared" si="132"/>
        <v>0.39075464243382063</v>
      </c>
      <c r="P194" s="41">
        <f t="shared" si="132"/>
        <v>0.59976293954958504</v>
      </c>
      <c r="Q194" s="42">
        <f t="shared" si="132"/>
        <v>0.75977874357961273</v>
      </c>
      <c r="R194" s="40">
        <f t="shared" si="132"/>
        <v>0.19932832872382458</v>
      </c>
      <c r="S194" s="41">
        <f t="shared" si="132"/>
        <v>0.39174239431054914</v>
      </c>
      <c r="T194" s="41">
        <f t="shared" si="132"/>
        <v>0.53555906756222826</v>
      </c>
      <c r="U194" s="42">
        <f t="shared" si="132"/>
        <v>0.72955353615171858</v>
      </c>
      <c r="V194" s="40">
        <f t="shared" si="132"/>
        <v>0.25401027261951792</v>
      </c>
      <c r="W194" s="41">
        <f t="shared" si="132"/>
        <v>0.39174239431054914</v>
      </c>
      <c r="X194" s="41">
        <f t="shared" si="132"/>
        <v>0.53555906756222826</v>
      </c>
      <c r="Y194" s="42">
        <f t="shared" si="132"/>
        <v>0.66495456341367054</v>
      </c>
    </row>
    <row r="195" spans="1:25" x14ac:dyDescent="0.25">
      <c r="A195" s="164" t="s">
        <v>73</v>
      </c>
      <c r="B195" s="216">
        <f t="shared" ref="B195:Q203" si="133">B166/$B$188</f>
        <v>4.5634136704859746E-2</v>
      </c>
      <c r="C195" s="210">
        <f t="shared" si="133"/>
        <v>0.17601738443303042</v>
      </c>
      <c r="D195" s="210">
        <f t="shared" si="133"/>
        <v>0.35855393125246932</v>
      </c>
      <c r="E195" s="217">
        <f t="shared" si="133"/>
        <v>0.55412880284472532</v>
      </c>
      <c r="F195" s="216">
        <f t="shared" si="133"/>
        <v>7.1868826550770468E-2</v>
      </c>
      <c r="G195" s="210">
        <f t="shared" si="133"/>
        <v>0.17601738443303042</v>
      </c>
      <c r="H195" s="210">
        <f t="shared" si="133"/>
        <v>0.35855393125246932</v>
      </c>
      <c r="I195" s="217">
        <f t="shared" si="133"/>
        <v>0.49111023310944302</v>
      </c>
      <c r="J195" s="216">
        <f t="shared" si="133"/>
        <v>4.5634136704859746E-2</v>
      </c>
      <c r="K195" s="210">
        <f t="shared" si="133"/>
        <v>0.21947846700908732</v>
      </c>
      <c r="L195" s="210">
        <f t="shared" si="133"/>
        <v>0.44547609640458313</v>
      </c>
      <c r="M195" s="217">
        <f t="shared" si="133"/>
        <v>0.66278150928486768</v>
      </c>
      <c r="N195" s="216">
        <f t="shared" si="133"/>
        <v>7.7637297510865289E-2</v>
      </c>
      <c r="O195" s="210">
        <f t="shared" si="133"/>
        <v>0.21947846700908732</v>
      </c>
      <c r="P195" s="210">
        <f t="shared" si="133"/>
        <v>0.44547609640458313</v>
      </c>
      <c r="Q195" s="217">
        <f t="shared" si="133"/>
        <v>0.5938364282892139</v>
      </c>
      <c r="R195" s="216">
        <f t="shared" si="132"/>
        <v>2.3903595416831288E-2</v>
      </c>
      <c r="S195" s="210">
        <f t="shared" si="132"/>
        <v>0.14342157250098778</v>
      </c>
      <c r="T195" s="210">
        <f t="shared" si="132"/>
        <v>0.32595811932042668</v>
      </c>
      <c r="U195" s="217">
        <f t="shared" si="132"/>
        <v>0.50967996839193996</v>
      </c>
      <c r="V195" s="216">
        <f t="shared" si="132"/>
        <v>4.0497826945871188E-2</v>
      </c>
      <c r="W195" s="210">
        <f t="shared" si="132"/>
        <v>0.14342157250098778</v>
      </c>
      <c r="X195" s="210">
        <f t="shared" si="132"/>
        <v>0.32595811932042668</v>
      </c>
      <c r="Y195" s="217">
        <f t="shared" si="132"/>
        <v>0.45160015804030029</v>
      </c>
    </row>
    <row r="196" spans="1:25" x14ac:dyDescent="0.25">
      <c r="A196" s="164" t="s">
        <v>74</v>
      </c>
      <c r="B196" s="216">
        <f t="shared" si="133"/>
        <v>0.15863295140260766</v>
      </c>
      <c r="C196" s="210">
        <f t="shared" si="132"/>
        <v>0.29336230738838404</v>
      </c>
      <c r="D196" s="210">
        <f t="shared" si="132"/>
        <v>0.50197550375345712</v>
      </c>
      <c r="E196" s="217">
        <f t="shared" si="132"/>
        <v>0.78881864875543251</v>
      </c>
      <c r="F196" s="216">
        <f t="shared" si="132"/>
        <v>0.20071118135124455</v>
      </c>
      <c r="G196" s="210">
        <f t="shared" si="132"/>
        <v>0.29336230738838404</v>
      </c>
      <c r="H196" s="210">
        <f t="shared" si="132"/>
        <v>0.50197550375345712</v>
      </c>
      <c r="I196" s="217">
        <f t="shared" si="132"/>
        <v>0.69103121295930447</v>
      </c>
      <c r="J196" s="216">
        <f t="shared" si="132"/>
        <v>0.28842354800474124</v>
      </c>
      <c r="K196" s="210">
        <f t="shared" si="132"/>
        <v>0.52647175029632554</v>
      </c>
      <c r="L196" s="210">
        <f t="shared" si="132"/>
        <v>0.72678783089687859</v>
      </c>
      <c r="M196" s="217">
        <f t="shared" si="132"/>
        <v>1</v>
      </c>
      <c r="N196" s="216">
        <f t="shared" si="132"/>
        <v>0.360134334255235</v>
      </c>
      <c r="O196" s="210">
        <f t="shared" si="132"/>
        <v>0.52647175029632554</v>
      </c>
      <c r="P196" s="210">
        <f t="shared" si="132"/>
        <v>0.72678783089687859</v>
      </c>
      <c r="Q196" s="217">
        <f t="shared" si="132"/>
        <v>0.90715132358751482</v>
      </c>
      <c r="R196" s="216">
        <f t="shared" si="132"/>
        <v>0.19063611220861315</v>
      </c>
      <c r="S196" s="210">
        <f t="shared" si="132"/>
        <v>0.37337020940339782</v>
      </c>
      <c r="T196" s="210">
        <f t="shared" si="132"/>
        <v>0.55195574871592257</v>
      </c>
      <c r="U196" s="217">
        <f t="shared" si="132"/>
        <v>0.80244962465428682</v>
      </c>
      <c r="V196" s="216">
        <f t="shared" si="132"/>
        <v>0.24693796918214136</v>
      </c>
      <c r="W196" s="210">
        <f t="shared" si="132"/>
        <v>0.37337020940339782</v>
      </c>
      <c r="X196" s="210">
        <f t="shared" si="132"/>
        <v>0.55195574871592257</v>
      </c>
      <c r="Y196" s="217">
        <f t="shared" si="132"/>
        <v>0.71750296325563001</v>
      </c>
    </row>
    <row r="197" spans="1:25" x14ac:dyDescent="0.25">
      <c r="A197" s="164" t="s">
        <v>75</v>
      </c>
      <c r="B197" s="216">
        <f t="shared" si="133"/>
        <v>0.2232319241406559</v>
      </c>
      <c r="C197" s="210">
        <f t="shared" si="132"/>
        <v>0.41781904385618324</v>
      </c>
      <c r="D197" s="210">
        <f t="shared" si="132"/>
        <v>0.57467404188067961</v>
      </c>
      <c r="E197" s="217">
        <f t="shared" si="132"/>
        <v>0.80244962465428671</v>
      </c>
      <c r="F197" s="216">
        <f t="shared" si="132"/>
        <v>0.28249703674436982</v>
      </c>
      <c r="G197" s="210">
        <f t="shared" si="132"/>
        <v>0.41781904385618324</v>
      </c>
      <c r="H197" s="210">
        <f t="shared" si="132"/>
        <v>0.57467404188067961</v>
      </c>
      <c r="I197" s="217">
        <f t="shared" si="132"/>
        <v>0.7254049782694586</v>
      </c>
      <c r="J197" s="216">
        <f t="shared" si="132"/>
        <v>0.24278941129988146</v>
      </c>
      <c r="K197" s="210">
        <f t="shared" si="132"/>
        <v>0.4677992888186488</v>
      </c>
      <c r="L197" s="210">
        <f t="shared" si="132"/>
        <v>0.65507704464638472</v>
      </c>
      <c r="M197" s="217">
        <f t="shared" si="132"/>
        <v>0.88265507704464641</v>
      </c>
      <c r="N197" s="216">
        <f t="shared" si="132"/>
        <v>0.3002765705254839</v>
      </c>
      <c r="O197" s="210">
        <f t="shared" si="132"/>
        <v>0.4677992888186488</v>
      </c>
      <c r="P197" s="210">
        <f t="shared" si="132"/>
        <v>0.65507704464638472</v>
      </c>
      <c r="Q197" s="217">
        <f t="shared" si="132"/>
        <v>0.80719083366258393</v>
      </c>
      <c r="R197" s="216">
        <f t="shared" si="132"/>
        <v>8.6724614776768086E-2</v>
      </c>
      <c r="S197" s="210">
        <f t="shared" si="132"/>
        <v>0.23765310154089289</v>
      </c>
      <c r="T197" s="210">
        <f t="shared" si="132"/>
        <v>0.42493085736862901</v>
      </c>
      <c r="U197" s="217">
        <f t="shared" si="132"/>
        <v>0.64065586724614787</v>
      </c>
      <c r="V197" s="216">
        <f t="shared" si="132"/>
        <v>0.12346898459107075</v>
      </c>
      <c r="W197" s="210">
        <f t="shared" si="132"/>
        <v>0.23765310154089289</v>
      </c>
      <c r="X197" s="210">
        <f t="shared" si="132"/>
        <v>0.42493085736862901</v>
      </c>
      <c r="Y197" s="217">
        <f t="shared" si="132"/>
        <v>0.57013038324772825</v>
      </c>
    </row>
    <row r="198" spans="1:25" x14ac:dyDescent="0.25">
      <c r="A198" s="164" t="s">
        <v>77</v>
      </c>
      <c r="B198" s="216">
        <f t="shared" si="133"/>
        <v>0.1758198340576847</v>
      </c>
      <c r="C198" s="210">
        <f t="shared" si="132"/>
        <v>0.32892137495061241</v>
      </c>
      <c r="D198" s="210">
        <f t="shared" si="132"/>
        <v>0.52923745555116553</v>
      </c>
      <c r="E198" s="217">
        <f t="shared" si="132"/>
        <v>0.80244962465428682</v>
      </c>
      <c r="F198" s="216">
        <f t="shared" si="132"/>
        <v>0.22382457526669303</v>
      </c>
      <c r="G198" s="210">
        <f t="shared" si="132"/>
        <v>0.32892137495061241</v>
      </c>
      <c r="H198" s="210">
        <f t="shared" si="132"/>
        <v>0.52923745555116553</v>
      </c>
      <c r="I198" s="217">
        <f t="shared" si="132"/>
        <v>0.70960094824180164</v>
      </c>
      <c r="J198" s="216">
        <f t="shared" si="132"/>
        <v>0.28842354800474124</v>
      </c>
      <c r="K198" s="210">
        <f t="shared" si="132"/>
        <v>0.52647175029632554</v>
      </c>
      <c r="L198" s="210">
        <f t="shared" si="132"/>
        <v>0.72678783089687859</v>
      </c>
      <c r="M198" s="217">
        <f t="shared" si="132"/>
        <v>1</v>
      </c>
      <c r="N198" s="216">
        <f t="shared" si="132"/>
        <v>0.360134334255235</v>
      </c>
      <c r="O198" s="210">
        <f t="shared" si="132"/>
        <v>0.52647175029632554</v>
      </c>
      <c r="P198" s="210">
        <f t="shared" si="132"/>
        <v>0.72678783089687859</v>
      </c>
      <c r="Q198" s="217">
        <f t="shared" si="132"/>
        <v>0.90715132358751482</v>
      </c>
      <c r="R198" s="216">
        <f t="shared" si="132"/>
        <v>0.10154089292769655</v>
      </c>
      <c r="S198" s="210">
        <f t="shared" si="132"/>
        <v>0.28210193599367833</v>
      </c>
      <c r="T198" s="210">
        <f t="shared" si="132"/>
        <v>0.447649150533386</v>
      </c>
      <c r="U198" s="217">
        <f t="shared" si="132"/>
        <v>0.64065586724614776</v>
      </c>
      <c r="V198" s="216">
        <f t="shared" si="132"/>
        <v>0.14658237850651912</v>
      </c>
      <c r="W198" s="210">
        <f t="shared" si="132"/>
        <v>0.28210193599367833</v>
      </c>
      <c r="X198" s="210">
        <f t="shared" si="132"/>
        <v>0.447649150533386</v>
      </c>
      <c r="Y198" s="217">
        <f t="shared" si="132"/>
        <v>0.57803239826155672</v>
      </c>
    </row>
    <row r="199" spans="1:25" x14ac:dyDescent="0.25">
      <c r="A199" s="164" t="s">
        <v>78</v>
      </c>
      <c r="B199" s="216">
        <f t="shared" si="133"/>
        <v>0.17759778743579616</v>
      </c>
      <c r="C199" s="210">
        <f t="shared" si="132"/>
        <v>0.3591465823785065</v>
      </c>
      <c r="D199" s="210">
        <f t="shared" si="132"/>
        <v>0.50296325563018562</v>
      </c>
      <c r="E199" s="217">
        <f t="shared" si="132"/>
        <v>0.68510470169893312</v>
      </c>
      <c r="F199" s="216">
        <f t="shared" si="132"/>
        <v>0.22263927301461867</v>
      </c>
      <c r="G199" s="210">
        <f t="shared" si="132"/>
        <v>0.3591465823785065</v>
      </c>
      <c r="H199" s="210">
        <f t="shared" si="132"/>
        <v>0.50296325563018562</v>
      </c>
      <c r="I199" s="217">
        <f t="shared" si="132"/>
        <v>0.62544448834452782</v>
      </c>
      <c r="J199" s="216">
        <f t="shared" si="132"/>
        <v>0.24278941129988146</v>
      </c>
      <c r="K199" s="210">
        <f t="shared" si="132"/>
        <v>0.4677992888186488</v>
      </c>
      <c r="L199" s="210">
        <f t="shared" si="132"/>
        <v>0.65507704464638472</v>
      </c>
      <c r="M199" s="217">
        <f t="shared" si="132"/>
        <v>0.88265507704464641</v>
      </c>
      <c r="N199" s="216">
        <f t="shared" si="132"/>
        <v>0.3002765705254839</v>
      </c>
      <c r="O199" s="210">
        <f t="shared" si="132"/>
        <v>0.4677992888186488</v>
      </c>
      <c r="P199" s="210">
        <f t="shared" si="132"/>
        <v>0.65507704464638472</v>
      </c>
      <c r="Q199" s="217">
        <f t="shared" si="132"/>
        <v>0.80719083366258393</v>
      </c>
      <c r="R199" s="216">
        <f t="shared" si="132"/>
        <v>4.5634136704859746E-2</v>
      </c>
      <c r="S199" s="210">
        <f t="shared" si="132"/>
        <v>0.17601738443303042</v>
      </c>
      <c r="T199" s="210">
        <f t="shared" si="132"/>
        <v>0.35855393125246937</v>
      </c>
      <c r="U199" s="217">
        <f t="shared" si="132"/>
        <v>0.55412880284472532</v>
      </c>
      <c r="V199" s="216">
        <f t="shared" si="132"/>
        <v>7.1868826550770468E-2</v>
      </c>
      <c r="W199" s="210">
        <f t="shared" si="132"/>
        <v>0.17601738443303042</v>
      </c>
      <c r="X199" s="210">
        <f t="shared" si="132"/>
        <v>0.35855393125246937</v>
      </c>
      <c r="Y199" s="217">
        <f t="shared" si="132"/>
        <v>0.49111023310944302</v>
      </c>
    </row>
    <row r="200" spans="1:25" x14ac:dyDescent="0.25">
      <c r="A200" s="164" t="s">
        <v>79</v>
      </c>
      <c r="B200" s="216">
        <f t="shared" si="133"/>
        <v>0.17759778743579616</v>
      </c>
      <c r="C200" s="210">
        <f t="shared" si="132"/>
        <v>0.3591465823785065</v>
      </c>
      <c r="D200" s="210">
        <f t="shared" si="132"/>
        <v>0.50296325563018562</v>
      </c>
      <c r="E200" s="217">
        <f t="shared" si="132"/>
        <v>0.68510470169893312</v>
      </c>
      <c r="F200" s="216">
        <f t="shared" si="132"/>
        <v>0.22263927301461867</v>
      </c>
      <c r="G200" s="210">
        <f t="shared" si="132"/>
        <v>0.3591465823785065</v>
      </c>
      <c r="H200" s="210">
        <f t="shared" si="132"/>
        <v>0.50296325563018562</v>
      </c>
      <c r="I200" s="217">
        <f t="shared" si="132"/>
        <v>0.62544448834452782</v>
      </c>
      <c r="J200" s="216">
        <f t="shared" si="132"/>
        <v>0.24278941129988146</v>
      </c>
      <c r="K200" s="210">
        <f t="shared" si="132"/>
        <v>0.4677992888186488</v>
      </c>
      <c r="L200" s="210">
        <f t="shared" si="132"/>
        <v>0.65507704464638472</v>
      </c>
      <c r="M200" s="217">
        <f t="shared" si="132"/>
        <v>0.88265507704464641</v>
      </c>
      <c r="N200" s="216">
        <f t="shared" si="132"/>
        <v>0.3002765705254839</v>
      </c>
      <c r="O200" s="210">
        <f t="shared" si="132"/>
        <v>0.4677992888186488</v>
      </c>
      <c r="P200" s="210">
        <f t="shared" si="132"/>
        <v>0.65507704464638472</v>
      </c>
      <c r="Q200" s="217">
        <f t="shared" si="132"/>
        <v>0.80719083366258393</v>
      </c>
      <c r="R200" s="216">
        <f t="shared" si="132"/>
        <v>8.6724614776768086E-2</v>
      </c>
      <c r="S200" s="210">
        <f t="shared" si="132"/>
        <v>0.23765310154089289</v>
      </c>
      <c r="T200" s="210">
        <f t="shared" si="132"/>
        <v>0.42493085736862901</v>
      </c>
      <c r="U200" s="217">
        <f t="shared" si="132"/>
        <v>0.64065586724614787</v>
      </c>
      <c r="V200" s="216">
        <f t="shared" si="132"/>
        <v>0.12346898459107075</v>
      </c>
      <c r="W200" s="210">
        <f t="shared" si="132"/>
        <v>0.23765310154089289</v>
      </c>
      <c r="X200" s="210">
        <f t="shared" si="132"/>
        <v>0.42493085736862901</v>
      </c>
      <c r="Y200" s="217">
        <f t="shared" si="132"/>
        <v>0.57013038324772825</v>
      </c>
    </row>
    <row r="201" spans="1:25" x14ac:dyDescent="0.25">
      <c r="A201" s="164" t="s">
        <v>80</v>
      </c>
      <c r="B201" s="216">
        <f t="shared" si="133"/>
        <v>0.20782299486369021</v>
      </c>
      <c r="C201" s="210">
        <f t="shared" si="132"/>
        <v>0.40892927696562625</v>
      </c>
      <c r="D201" s="210">
        <f t="shared" si="132"/>
        <v>0.57921770051363097</v>
      </c>
      <c r="E201" s="217">
        <f t="shared" si="132"/>
        <v>0.81608060055314102</v>
      </c>
      <c r="F201" s="216">
        <f t="shared" si="132"/>
        <v>0.27005136309758981</v>
      </c>
      <c r="G201" s="210">
        <f t="shared" si="132"/>
        <v>0.40892927696562625</v>
      </c>
      <c r="H201" s="210">
        <f t="shared" si="132"/>
        <v>0.57921770051363097</v>
      </c>
      <c r="I201" s="217">
        <f t="shared" si="132"/>
        <v>0.73607269853812707</v>
      </c>
      <c r="J201" s="216">
        <f t="shared" si="132"/>
        <v>0.16673251679178189</v>
      </c>
      <c r="K201" s="210">
        <f t="shared" si="132"/>
        <v>0.39075464243382063</v>
      </c>
      <c r="L201" s="210">
        <f t="shared" si="132"/>
        <v>0.59976293954958504</v>
      </c>
      <c r="M201" s="217">
        <f t="shared" si="132"/>
        <v>0.83820624259186094</v>
      </c>
      <c r="N201" s="216">
        <f t="shared" si="132"/>
        <v>0.22421967601738438</v>
      </c>
      <c r="O201" s="210">
        <f t="shared" si="132"/>
        <v>0.39075464243382063</v>
      </c>
      <c r="P201" s="210">
        <f t="shared" si="132"/>
        <v>0.59976293954958504</v>
      </c>
      <c r="Q201" s="217">
        <f t="shared" si="132"/>
        <v>0.75977874357961273</v>
      </c>
      <c r="R201" s="216">
        <f t="shared" si="132"/>
        <v>0.17759778743579616</v>
      </c>
      <c r="S201" s="210">
        <f t="shared" si="132"/>
        <v>0.3591465823785065</v>
      </c>
      <c r="T201" s="210">
        <f t="shared" si="132"/>
        <v>0.50296325563018562</v>
      </c>
      <c r="U201" s="217">
        <f t="shared" si="132"/>
        <v>0.68510470169893312</v>
      </c>
      <c r="V201" s="216">
        <f t="shared" si="132"/>
        <v>0.22263927301461867</v>
      </c>
      <c r="W201" s="210">
        <f t="shared" si="132"/>
        <v>0.3591465823785065</v>
      </c>
      <c r="X201" s="210">
        <f t="shared" si="132"/>
        <v>0.50296325563018562</v>
      </c>
      <c r="Y201" s="217">
        <f t="shared" si="132"/>
        <v>0.62544448834452782</v>
      </c>
    </row>
    <row r="202" spans="1:25" x14ac:dyDescent="0.25">
      <c r="A202" s="164" t="s">
        <v>82</v>
      </c>
      <c r="B202" s="216">
        <f t="shared" si="133"/>
        <v>0.1758198340576847</v>
      </c>
      <c r="C202" s="210">
        <f t="shared" si="132"/>
        <v>0.32892137495061241</v>
      </c>
      <c r="D202" s="210">
        <f t="shared" si="132"/>
        <v>0.52923745555116553</v>
      </c>
      <c r="E202" s="217">
        <f t="shared" si="132"/>
        <v>0.80244962465428682</v>
      </c>
      <c r="F202" s="216">
        <f t="shared" si="132"/>
        <v>0.22382457526669303</v>
      </c>
      <c r="G202" s="210">
        <f t="shared" si="132"/>
        <v>0.32892137495061241</v>
      </c>
      <c r="H202" s="210">
        <f t="shared" si="132"/>
        <v>0.52923745555116553</v>
      </c>
      <c r="I202" s="217">
        <f t="shared" si="132"/>
        <v>0.70960094824180164</v>
      </c>
      <c r="J202" s="216">
        <f t="shared" si="132"/>
        <v>0.19932832872382458</v>
      </c>
      <c r="K202" s="210">
        <f t="shared" si="132"/>
        <v>0.43520347688660604</v>
      </c>
      <c r="L202" s="210">
        <f t="shared" si="132"/>
        <v>0.62248123271434208</v>
      </c>
      <c r="M202" s="217">
        <f t="shared" si="132"/>
        <v>0.83820624259186083</v>
      </c>
      <c r="N202" s="216">
        <f t="shared" si="132"/>
        <v>0.25977874357961273</v>
      </c>
      <c r="O202" s="210">
        <f t="shared" si="132"/>
        <v>0.43520347688660604</v>
      </c>
      <c r="P202" s="210">
        <f t="shared" si="132"/>
        <v>0.62248123271434208</v>
      </c>
      <c r="Q202" s="217">
        <f t="shared" si="132"/>
        <v>0.76768075859344143</v>
      </c>
      <c r="R202" s="216">
        <f t="shared" si="132"/>
        <v>0.10154089292769655</v>
      </c>
      <c r="S202" s="210">
        <f t="shared" si="132"/>
        <v>0.28210193599367833</v>
      </c>
      <c r="T202" s="210">
        <f t="shared" si="132"/>
        <v>0.447649150533386</v>
      </c>
      <c r="U202" s="217">
        <f t="shared" si="132"/>
        <v>0.64065586724614776</v>
      </c>
      <c r="V202" s="216">
        <f t="shared" si="132"/>
        <v>0.14658237850651912</v>
      </c>
      <c r="W202" s="210">
        <f t="shared" si="132"/>
        <v>0.28210193599367833</v>
      </c>
      <c r="X202" s="210">
        <f t="shared" si="132"/>
        <v>0.447649150533386</v>
      </c>
      <c r="Y202" s="217">
        <f t="shared" si="132"/>
        <v>0.57803239826155672</v>
      </c>
    </row>
    <row r="203" spans="1:25" ht="15.75" thickBot="1" x14ac:dyDescent="0.3">
      <c r="A203" s="165" t="s">
        <v>83</v>
      </c>
      <c r="B203" s="219">
        <f t="shared" si="133"/>
        <v>8.6724614776768086E-2</v>
      </c>
      <c r="C203" s="220">
        <f t="shared" si="132"/>
        <v>0.23765310154089292</v>
      </c>
      <c r="D203" s="220">
        <f t="shared" si="132"/>
        <v>0.4249308573686289</v>
      </c>
      <c r="E203" s="221">
        <f t="shared" si="132"/>
        <v>0.64065586724614776</v>
      </c>
      <c r="F203" s="219">
        <f t="shared" si="132"/>
        <v>0.12346898459107075</v>
      </c>
      <c r="G203" s="220">
        <f t="shared" si="132"/>
        <v>0.23765310154089292</v>
      </c>
      <c r="H203" s="220">
        <f t="shared" si="132"/>
        <v>0.4249308573686289</v>
      </c>
      <c r="I203" s="221">
        <f t="shared" si="132"/>
        <v>0.57013038324772825</v>
      </c>
      <c r="J203" s="219">
        <f t="shared" si="132"/>
        <v>0.19932832872382458</v>
      </c>
      <c r="K203" s="220">
        <f t="shared" si="132"/>
        <v>0.43520347688660604</v>
      </c>
      <c r="L203" s="220">
        <f t="shared" si="132"/>
        <v>0.62248123271434208</v>
      </c>
      <c r="M203" s="221">
        <f t="shared" si="132"/>
        <v>0.83820624259186083</v>
      </c>
      <c r="N203" s="219">
        <f t="shared" si="132"/>
        <v>0.25977874357961273</v>
      </c>
      <c r="O203" s="220">
        <f t="shared" si="132"/>
        <v>0.43520347688660604</v>
      </c>
      <c r="P203" s="220">
        <f t="shared" si="132"/>
        <v>0.62248123271434208</v>
      </c>
      <c r="Q203" s="221">
        <f t="shared" si="132"/>
        <v>0.76768075859344143</v>
      </c>
      <c r="R203" s="219">
        <f t="shared" si="132"/>
        <v>0.16673251679178189</v>
      </c>
      <c r="S203" s="220">
        <f t="shared" si="132"/>
        <v>0.34729355985776372</v>
      </c>
      <c r="T203" s="220">
        <f t="shared" si="132"/>
        <v>0.51284077439747133</v>
      </c>
      <c r="U203" s="221">
        <f t="shared" si="132"/>
        <v>0.72955353615171858</v>
      </c>
      <c r="V203" s="219">
        <f t="shared" si="132"/>
        <v>0.21845120505728952</v>
      </c>
      <c r="W203" s="220">
        <f t="shared" si="132"/>
        <v>0.34729355985776372</v>
      </c>
      <c r="X203" s="220">
        <f t="shared" si="132"/>
        <v>0.51284077439747133</v>
      </c>
      <c r="Y203" s="221">
        <f t="shared" si="132"/>
        <v>0.65705254839984184</v>
      </c>
    </row>
    <row r="204" spans="1:25" x14ac:dyDescent="0.25">
      <c r="A204" s="1"/>
    </row>
    <row r="206" spans="1:25" x14ac:dyDescent="0.25">
      <c r="A206" s="309" t="s">
        <v>230</v>
      </c>
      <c r="B206" s="276"/>
      <c r="C206" s="276"/>
      <c r="D206" s="276"/>
      <c r="E206" s="276"/>
      <c r="F206" s="276"/>
      <c r="G206" s="276"/>
      <c r="H206" s="276"/>
      <c r="I206" s="276"/>
    </row>
    <row r="207" spans="1:25" x14ac:dyDescent="0.25">
      <c r="A207" s="308" t="s">
        <v>231</v>
      </c>
      <c r="B207" s="276"/>
      <c r="C207" s="276"/>
      <c r="D207" s="276"/>
      <c r="F207" s="308" t="s">
        <v>232</v>
      </c>
      <c r="G207" s="308"/>
      <c r="H207" s="308"/>
      <c r="I207" s="308"/>
      <c r="J207" s="276"/>
    </row>
    <row r="209" spans="1:9" x14ac:dyDescent="0.25">
      <c r="A209" s="203" t="s">
        <v>84</v>
      </c>
      <c r="B209" s="209">
        <f>1-(ABS(B194-B194)+ABS(C194-C194)+ABS(D194-D194)+ABS(E194-E194))/4</f>
        <v>1</v>
      </c>
      <c r="C209" s="209">
        <f>1-(ABS(B194-J194)+ABS(C194-K194)+ABS(D194-L194)+ABS(E194-M194))/4</f>
        <v>0.93935203476886608</v>
      </c>
      <c r="D209" s="209">
        <f>1-(ABS(B194-R194)+ABS(C194-S194)+ABS(D194-T194)+ABS(E194-U194))/4</f>
        <v>0.91559660213354399</v>
      </c>
      <c r="F209" s="203" t="s">
        <v>84</v>
      </c>
      <c r="G209" s="209">
        <f>1-(ABS(F194-F194)+ABS(G194-G194)+ABS(H194-H194)+ABS(I194-I194))/4</f>
        <v>1</v>
      </c>
      <c r="H209" s="209">
        <f>1-(ABS(F194-N194)+ABS(G194-O194)+ABS(H194-P194)+ABS(I194-Q194))/4</f>
        <v>0.93890754642433827</v>
      </c>
      <c r="I209" s="209">
        <f>1-(ABS(F194-V194)+ABS(G194-W194)+ABS(H194-X194)+ABS(I194-Y194))/4</f>
        <v>0.9107961280126432</v>
      </c>
    </row>
    <row r="210" spans="1:9" x14ac:dyDescent="0.25">
      <c r="B210" s="209">
        <f>1-(ABS(J194-B194)+ABS(K194-C194)+ABS(L194-D194)+ABS(M194-E194))/4</f>
        <v>0.93935203476886608</v>
      </c>
      <c r="C210" s="209">
        <f>1-(ABS(J194-J194)+ABS(K194-K194)+ABS(L194-L194)+ABS(M194-M194))/4</f>
        <v>1</v>
      </c>
      <c r="D210" s="209">
        <f>1-(ABS(J194-R194)+ABS(K194-S194)+ABS(L194-T194)+ABS(M194-U194))/4</f>
        <v>0.94838996444093238</v>
      </c>
      <c r="G210" s="209">
        <f>1-(ABS(N194-F194)+ABS(O194-G194)+ABS(P194-H194)+ABS(Q194-I194))/4</f>
        <v>0.93890754642433827</v>
      </c>
      <c r="H210" s="209">
        <f>1-(ABS(N194-N194)+ABS(O194-O194)+ABS(P194-P194)+ABS(Q194-Q194))/4</f>
        <v>1</v>
      </c>
      <c r="I210" s="209">
        <f>1-(ABS(N194-V194)+ABS(O194-W194)+ABS(P194-X194)+ABS(Q194-Y194))/4</f>
        <v>0.95254839984195971</v>
      </c>
    </row>
    <row r="211" spans="1:9" x14ac:dyDescent="0.25">
      <c r="B211" s="209">
        <f>1-(ABS(R194-B194)+ABS(S194-C194)+ABS(T194-D194)+ABS(U194-E194))/4</f>
        <v>0.91559660213354399</v>
      </c>
      <c r="C211" s="209">
        <f>1-(ABS(R194-J194)+ABS(S194-K194)+ABS(T194-L194)+ABS(U194-M194))/4</f>
        <v>0.94838996444093238</v>
      </c>
      <c r="D211" s="209">
        <f>1-(ABS(R194-R194)+ABS(S194-S194)+ABS(T194-T194)+ABS(U194-U194))/4</f>
        <v>1</v>
      </c>
      <c r="G211" s="209">
        <f>1-(ABS(V194-F194)+ABS(W194-G194)+ABS(X194-H194)+ABS(Y194-I194))/4</f>
        <v>0.9107961280126432</v>
      </c>
      <c r="H211" s="209">
        <f>1-(ABS(V194-N194)+ABS(W194-O194)+ABS(X194-P194)+ABS(Y194-Q194))/4</f>
        <v>0.95254839984195971</v>
      </c>
      <c r="I211" s="209">
        <f>1-(ABS(V194-V194)+ABS(W194-W194)+ABS(X194-X194)+ABS(Y194-Y194))/4</f>
        <v>1</v>
      </c>
    </row>
    <row r="212" spans="1:9" x14ac:dyDescent="0.25">
      <c r="B212" s="209"/>
      <c r="C212" s="209"/>
      <c r="D212" s="209"/>
      <c r="G212" s="209"/>
      <c r="H212" s="209"/>
      <c r="I212" s="209"/>
    </row>
    <row r="213" spans="1:9" x14ac:dyDescent="0.25">
      <c r="A213" s="203" t="s">
        <v>73</v>
      </c>
      <c r="B213" s="209">
        <f>1-(ABS(B195-B195)+ABS(C195-C195)+ABS(D195-D195)+ABS(E195-E195))/4</f>
        <v>1</v>
      </c>
      <c r="C213" s="209">
        <f>1-(ABS(B195-J195)+ABS(C195-K195)+ABS(D195-L195)+ABS(E195-M195))/4</f>
        <v>0.94024101145792172</v>
      </c>
      <c r="D213" s="209">
        <f>1-(ABS(B195-R195)+ABS(C195-S195)+ABS(D195-T195)+ABS(E195-U195))/4</f>
        <v>0.96715725009877518</v>
      </c>
      <c r="F213" s="203" t="s">
        <v>73</v>
      </c>
      <c r="G213" s="209">
        <f>1-(ABS(F195-F195)+ABS(G195-G195)+ABS(H195-H195)+ABS(I195-I195))/4</f>
        <v>1</v>
      </c>
      <c r="H213" s="209">
        <f>1-(ABS(F195-N195)+ABS(G195-O195)+ABS(H195-P195)+ABS(I195-Q195))/4</f>
        <v>0.94028052153299091</v>
      </c>
      <c r="I213" s="209">
        <f>1-(ABS(F195-V195)+ABS(G195-W195)+ABS(H195-X195)+ABS(I195-Y195))/4</f>
        <v>0.96598182536546817</v>
      </c>
    </row>
    <row r="214" spans="1:9" x14ac:dyDescent="0.25">
      <c r="B214" s="209">
        <f>1-(ABS(J195-B195)+ABS(K195-C195)+ABS(L195-D195)+ABS(M195-E195))/4</f>
        <v>0.94024101145792172</v>
      </c>
      <c r="C214" s="209">
        <f>1-(ABS(J195-J195)+ABS(K195-K195)+ABS(L195-L195)+ABS(M195-M195))/4</f>
        <v>1</v>
      </c>
      <c r="D214" s="209">
        <f>1-(ABS(J195-R195)+ABS(K195-S195)+ABS(L195-T195)+ABS(M195-U195))/4</f>
        <v>0.90739826155669689</v>
      </c>
      <c r="G214" s="209">
        <f>1-(ABS(N195-F195)+ABS(O195-G195)+ABS(P195-H195)+ABS(Q195-I195))/4</f>
        <v>0.94028052153299091</v>
      </c>
      <c r="H214" s="209">
        <f>1-(ABS(N195-N195)+ABS(O195-O195)+ABS(P195-P195)+ABS(Q195-Q195))/4</f>
        <v>1</v>
      </c>
      <c r="I214" s="209">
        <f>1-(ABS(N195-V195)+ABS(O195-W195)+ABS(P195-X195)+ABS(Q195-Y195))/4</f>
        <v>0.90626234689845908</v>
      </c>
    </row>
    <row r="215" spans="1:9" x14ac:dyDescent="0.25">
      <c r="B215" s="209">
        <f>1-(ABS(R195-B195)+ABS(S195-C195)+ABS(T195-D195)+ABS(U195-E195))/4</f>
        <v>0.96715725009877518</v>
      </c>
      <c r="C215" s="209">
        <f>1-(ABS(R195-J195)+ABS(S195-K195)+ABS(T195-L195)+ABS(U195-M195))/4</f>
        <v>0.90739826155669689</v>
      </c>
      <c r="D215" s="209">
        <f>1-(ABS(R195-R195)+ABS(S195-S195)+ABS(T195-T195)+ABS(U195-U195))/4</f>
        <v>1</v>
      </c>
      <c r="G215" s="209">
        <f>1-(ABS(V195-F195)+ABS(W195-G195)+ABS(X195-H195)+ABS(Y195-I195))/4</f>
        <v>0.96598182536546817</v>
      </c>
      <c r="H215" s="209">
        <f>1-(ABS(V195-N195)+ABS(W195-O195)+ABS(X195-P195)+ABS(Y195-Q195))/4</f>
        <v>0.90626234689845908</v>
      </c>
      <c r="I215" s="209">
        <f>1-(ABS(V195-V195)+ABS(W195-W195)+ABS(X195-X195)+ABS(Y195-Y195))/4</f>
        <v>1</v>
      </c>
    </row>
    <row r="216" spans="1:9" x14ac:dyDescent="0.25">
      <c r="B216" s="209"/>
      <c r="C216" s="209"/>
      <c r="D216" s="209"/>
      <c r="G216" s="209"/>
      <c r="H216" s="209"/>
      <c r="I216" s="209"/>
    </row>
    <row r="217" spans="1:9" x14ac:dyDescent="0.25">
      <c r="A217" s="203" t="s">
        <v>74</v>
      </c>
      <c r="B217" s="209">
        <f>1-(ABS(B196-B196)+ABS(C196-C196)+ABS(D196-D196)+ABS(E196-E196))/4</f>
        <v>1</v>
      </c>
      <c r="C217" s="209">
        <f>1-(ABS(B196-J196)+ABS(C196-K196)+ABS(D196-L196)+ABS(E196-M196))/4</f>
        <v>0.80027657052548395</v>
      </c>
      <c r="D217" s="209">
        <f>1-(ABS(B196-R196)+ABS(C196-S196)+ABS(D196-T196)+ABS(E196-U196))/4</f>
        <v>0.95609442907941522</v>
      </c>
      <c r="F217" s="203" t="s">
        <v>74</v>
      </c>
      <c r="G217" s="209">
        <f>1-(ABS(F196-F196)+ABS(G196-G196)+ABS(H196-H196)+ABS(I196-I196))/4</f>
        <v>1</v>
      </c>
      <c r="H217" s="209">
        <f>1-(ABS(F196-N196)+ABS(G196-O196)+ABS(H196-P196)+ABS(I196-Q196))/4</f>
        <v>0.79163374160410904</v>
      </c>
      <c r="I217" s="209">
        <f>1-(ABS(F196-V196)+ABS(G196-W196)+ABS(H196-X196)+ABS(I196-Y196))/4</f>
        <v>0.94932832872382455</v>
      </c>
    </row>
    <row r="218" spans="1:9" x14ac:dyDescent="0.25">
      <c r="B218" s="209">
        <f>1-(ABS(J196-B196)+ABS(K196-C196)+ABS(L196-D196)+ABS(M196-E196))/4</f>
        <v>0.80027657052548395</v>
      </c>
      <c r="C218" s="209">
        <f>1-(ABS(J196-J196)+ABS(K196-K196)+ABS(L196-L196)+ABS(M196-M196))/4</f>
        <v>1</v>
      </c>
      <c r="D218" s="209">
        <f>1-(ABS(J196-R196)+ABS(K196-S196)+ABS(L196-T196)+ABS(M196-U196))/4</f>
        <v>0.84418214144606873</v>
      </c>
      <c r="G218" s="209">
        <f>1-(ABS(N196-F196)+ABS(O196-G196)+ABS(P196-H196)+ABS(Q196-I196))/4</f>
        <v>0.79163374160410904</v>
      </c>
      <c r="H218" s="209">
        <f>1-(ABS(N196-N196)+ABS(O196-O196)+ABS(P196-P196)+ABS(Q196-Q196))/4</f>
        <v>1</v>
      </c>
      <c r="I218" s="209">
        <f>1-(ABS(N196-V196)+ABS(O196-W196)+ABS(P196-X196)+ABS(Q196-Y196))/4</f>
        <v>0.84230541288028449</v>
      </c>
    </row>
    <row r="219" spans="1:9" x14ac:dyDescent="0.25">
      <c r="B219" s="209">
        <f>1-(ABS(R196-B196)+ABS(S196-C196)+ABS(T196-D196)+ABS(U196-E196))/4</f>
        <v>0.95609442907941522</v>
      </c>
      <c r="C219" s="209">
        <f>1-(ABS(R196-J196)+ABS(S196-K196)+ABS(T196-L196)+ABS(U196-M196))/4</f>
        <v>0.84418214144606873</v>
      </c>
      <c r="D219" s="209">
        <f>1-(ABS(R196-R196)+ABS(S196-S196)+ABS(T196-T196)+ABS(U196-U196))/4</f>
        <v>1</v>
      </c>
      <c r="G219" s="209">
        <f>1-(ABS(V196-F196)+ABS(W196-G196)+ABS(X196-H196)+ABS(Y196-I196))/4</f>
        <v>0.94932832872382455</v>
      </c>
      <c r="H219" s="209">
        <f>1-(ABS(V196-N196)+ABS(W196-O196)+ABS(X196-P196)+ABS(Y196-Q196))/4</f>
        <v>0.84230541288028449</v>
      </c>
      <c r="I219" s="209">
        <f>1-(ABS(V196-V196)+ABS(W196-W196)+ABS(X196-X196)+ABS(Y196-Y196))/4</f>
        <v>1</v>
      </c>
    </row>
    <row r="220" spans="1:9" x14ac:dyDescent="0.25">
      <c r="B220" s="209"/>
      <c r="C220" s="209"/>
      <c r="D220" s="209"/>
      <c r="G220" s="209"/>
      <c r="H220" s="209"/>
      <c r="I220" s="209"/>
    </row>
    <row r="221" spans="1:9" x14ac:dyDescent="0.25">
      <c r="A221" s="203" t="s">
        <v>75</v>
      </c>
      <c r="B221" s="209">
        <f>1-(ABS(B197-B197)+ABS(C197-C197)+ABS(D197-D197)+ABS(E197-E197))/4</f>
        <v>1</v>
      </c>
      <c r="C221" s="209">
        <f>1-(ABS(B197-J197)+ABS(C197-K197)+ABS(D197-L197)+ABS(E197-M197))/4</f>
        <v>0.94246345318056102</v>
      </c>
      <c r="D221" s="209">
        <f>1-(ABS(B197-R197)+ABS(C197-S197)+ABS(D197-T197)+ABS(E197-U197))/4</f>
        <v>0.84294745160015805</v>
      </c>
      <c r="F221" s="203" t="s">
        <v>75</v>
      </c>
      <c r="G221" s="209">
        <f>1-(ABS(F197-F197)+ABS(G197-G197)+ABS(H197-H197)+ABS(I197-I197))/4</f>
        <v>1</v>
      </c>
      <c r="H221" s="209">
        <f>1-(ABS(F197-N197)+ABS(G197-O197)+ABS(H197-P197)+ABS(I197-Q197))/4</f>
        <v>0.94251284077439745</v>
      </c>
      <c r="I221" s="209">
        <f>1-(ABS(F197-V197)+ABS(G197-W197)+ABS(H197-X197)+ABS(I197-Y197))/4</f>
        <v>0.83894705649940737</v>
      </c>
    </row>
    <row r="222" spans="1:9" x14ac:dyDescent="0.25">
      <c r="B222" s="209">
        <f>1-(ABS(J197-B197)+ABS(K197-C197)+ABS(L197-D197)+ABS(M197-E197))/4</f>
        <v>0.94246345318056102</v>
      </c>
      <c r="C222" s="209">
        <f>1-(ABS(J197-J197)+ABS(K197-K197)+ABS(L197-L197)+ABS(M197-M197))/4</f>
        <v>1</v>
      </c>
      <c r="D222" s="209">
        <f>1-(ABS(J197-R197)+ABS(K197-S197)+ABS(L197-T197)+ABS(M197-U197))/4</f>
        <v>0.78541090478071918</v>
      </c>
      <c r="G222" s="209">
        <f>1-(ABS(N197-F197)+ABS(O197-G197)+ABS(P197-H197)+ABS(Q197-I197))/4</f>
        <v>0.94251284077439745</v>
      </c>
      <c r="H222" s="209">
        <f>1-(ABS(N197-N197)+ABS(O197-O197)+ABS(P197-P197)+ABS(Q197-Q197))/4</f>
        <v>1</v>
      </c>
      <c r="I222" s="209">
        <f>1-(ABS(N197-V197)+ABS(O197-W197)+ABS(P197-X197)+ABS(Q197-Y197))/4</f>
        <v>0.78145989727380494</v>
      </c>
    </row>
    <row r="223" spans="1:9" x14ac:dyDescent="0.25">
      <c r="B223" s="209">
        <f>1-(ABS(R197-B197)+ABS(S197-C197)+ABS(T197-D197)+ABS(U197-E197))/4</f>
        <v>0.84294745160015805</v>
      </c>
      <c r="C223" s="209">
        <f>1-(ABS(R197-J197)+ABS(S197-K197)+ABS(T197-L197)+ABS(U197-M197))/4</f>
        <v>0.78541090478071918</v>
      </c>
      <c r="D223" s="209">
        <f>1-(ABS(R197-R197)+ABS(S197-S197)+ABS(T197-T197)+ABS(U197-U197))/4</f>
        <v>1</v>
      </c>
      <c r="G223" s="209">
        <f>1-(ABS(V197-F197)+ABS(W197-G197)+ABS(X197-H197)+ABS(Y197-I197))/4</f>
        <v>0.83894705649940737</v>
      </c>
      <c r="H223" s="209">
        <f>1-(ABS(V197-N197)+ABS(W197-O197)+ABS(X197-P197)+ABS(Y197-Q197))/4</f>
        <v>0.78145989727380494</v>
      </c>
      <c r="I223" s="209">
        <f>1-(ABS(V197-V197)+ABS(W197-W197)+ABS(X197-X197)+ABS(Y197-Y197))/4</f>
        <v>1</v>
      </c>
    </row>
    <row r="224" spans="1:9" x14ac:dyDescent="0.25">
      <c r="B224" s="209"/>
      <c r="C224" s="209"/>
      <c r="D224" s="209"/>
      <c r="G224" s="209"/>
      <c r="H224" s="209"/>
      <c r="I224" s="209"/>
    </row>
    <row r="225" spans="1:9" x14ac:dyDescent="0.25">
      <c r="A225" s="203" t="s">
        <v>77</v>
      </c>
      <c r="B225" s="209">
        <f>1-(ABS(B198-B198)+ABS(C198-C198)+ABS(D198-D198)+ABS(E198-E198))/4</f>
        <v>1</v>
      </c>
      <c r="C225" s="209">
        <f>1-(ABS(B198-J198)+ABS(C198-K198)+ABS(D198-L198)+ABS(E198-M198))/4</f>
        <v>0.82368629000395099</v>
      </c>
      <c r="D225" s="209">
        <f>1-(ABS(B198-R198)+ABS(C198-S198)+ABS(D198-T198)+ABS(E198-U198))/4</f>
        <v>0.90887988937178976</v>
      </c>
      <c r="F225" s="203" t="s">
        <v>77</v>
      </c>
      <c r="G225" s="209">
        <f>1-(ABS(F198-F198)+ABS(G198-G198)+ABS(H198-H198)+ABS(I198-I198))/4</f>
        <v>1</v>
      </c>
      <c r="H225" s="209">
        <f>1-(ABS(F198-N198)+ABS(G198-O198)+ABS(H198-P198)+ABS(I198-Q198))/4</f>
        <v>0.81775977874357964</v>
      </c>
      <c r="I225" s="209">
        <f>1-(ABS(F198-V198)+ABS(G198-W198)+ABS(H198-X198)+ABS(I198-Y198))/4</f>
        <v>0.91569537732121686</v>
      </c>
    </row>
    <row r="226" spans="1:9" x14ac:dyDescent="0.25">
      <c r="B226" s="209">
        <f>1-(ABS(J198-B198)+ABS(K198-C198)+ABS(L198-D198)+ABS(M198-E198))/4</f>
        <v>0.82368629000395099</v>
      </c>
      <c r="C226" s="209">
        <f>1-(ABS(J198-J198)+ABS(K198-K198)+ABS(L198-L198)+ABS(M198-M198))/4</f>
        <v>1</v>
      </c>
      <c r="D226" s="209">
        <f>1-(ABS(J198-R198)+ABS(K198-S198)+ABS(L198-T198)+ABS(M198-U198))/4</f>
        <v>0.73256617937574076</v>
      </c>
      <c r="G226" s="209">
        <f>1-(ABS(N198-F198)+ABS(O198-G198)+ABS(P198-H198)+ABS(Q198-I198))/4</f>
        <v>0.81775977874357964</v>
      </c>
      <c r="H226" s="209">
        <f>1-(ABS(N198-N198)+ABS(O198-O198)+ABS(P198-P198)+ABS(Q198-Q198))/4</f>
        <v>1</v>
      </c>
      <c r="I226" s="209">
        <f>1-(ABS(N198-V198)+ABS(O198-W198)+ABS(P198-X198)+ABS(Q198-Y198))/4</f>
        <v>0.73345515606479661</v>
      </c>
    </row>
    <row r="227" spans="1:9" x14ac:dyDescent="0.25">
      <c r="B227" s="209">
        <f>1-(ABS(R198-B198)+ABS(S198-C198)+ABS(T198-D198)+ABS(U198-E198))/4</f>
        <v>0.90887988937178976</v>
      </c>
      <c r="C227" s="209">
        <f>1-(ABS(R198-J198)+ABS(S198-K198)+ABS(T198-L198)+ABS(U198-M198))/4</f>
        <v>0.73256617937574076</v>
      </c>
      <c r="D227" s="209">
        <f>1-(ABS(R198-R198)+ABS(S198-S198)+ABS(T198-T198)+ABS(U198-U198))/4</f>
        <v>1</v>
      </c>
      <c r="G227" s="209">
        <f>1-(ABS(V198-F198)+ABS(W198-G198)+ABS(X198-H198)+ABS(Y198-I198))/4</f>
        <v>0.91569537732121686</v>
      </c>
      <c r="H227" s="209">
        <f>1-(ABS(V198-N198)+ABS(W198-O198)+ABS(X198-P198)+ABS(Y198-Q198))/4</f>
        <v>0.73345515606479661</v>
      </c>
      <c r="I227" s="209">
        <f>1-(ABS(V198-V198)+ABS(W198-W198)+ABS(X198-X198)+ABS(Y198-Y198))/4</f>
        <v>1</v>
      </c>
    </row>
    <row r="228" spans="1:9" x14ac:dyDescent="0.25">
      <c r="B228" s="209"/>
      <c r="C228" s="209"/>
      <c r="D228" s="209"/>
      <c r="G228" s="209"/>
      <c r="H228" s="209"/>
      <c r="I228" s="209"/>
    </row>
    <row r="229" spans="1:9" x14ac:dyDescent="0.25">
      <c r="A229" s="203" t="s">
        <v>78</v>
      </c>
      <c r="B229" s="209">
        <f>1-(ABS(B199-B199)+ABS(C199-C199)+ABS(D199-D199)+ABS(E199-E199))/4</f>
        <v>1</v>
      </c>
      <c r="C229" s="209">
        <f>1-(ABS(B199-J199)+ABS(C199-K199)+ABS(D199-L199)+ABS(E199-M199))/4</f>
        <v>0.86912287633346497</v>
      </c>
      <c r="D229" s="209">
        <f>1-(ABS(B199-R199)+ABS(C199-S199)+ABS(D199-T199)+ABS(E199-U199))/4</f>
        <v>0.85238048202291583</v>
      </c>
      <c r="F229" s="203" t="s">
        <v>78</v>
      </c>
      <c r="G229" s="209">
        <f>1-(ABS(F199-F199)+ABS(G199-G199)+ABS(H199-H199)+ABS(I199-I199))/4</f>
        <v>1</v>
      </c>
      <c r="H229" s="209">
        <f>1-(ABS(F199-N199)+ABS(G199-O199)+ABS(H199-P199)+ABS(I199-Q199))/4</f>
        <v>0.86996246542868438</v>
      </c>
      <c r="I229" s="209">
        <f>1-(ABS(F199-V199)+ABS(G199-W199)+ABS(H199-X199)+ABS(I199-Y199))/4</f>
        <v>0.84683919399446861</v>
      </c>
    </row>
    <row r="230" spans="1:9" x14ac:dyDescent="0.25">
      <c r="B230" s="209">
        <f>1-(ABS(J199-B199)+ABS(K199-C199)+ABS(L199-D199)+ABS(M199-E199))/4</f>
        <v>0.86912287633346497</v>
      </c>
      <c r="C230" s="209">
        <f>1-(ABS(J199-J199)+ABS(K199-K199)+ABS(L199-L199)+ABS(M199-M199))/4</f>
        <v>1</v>
      </c>
      <c r="D230" s="209">
        <f>1-(ABS(J199-R199)+ABS(K199-S199)+ABS(L199-T199)+ABS(M199-U199))/4</f>
        <v>0.72150335835638091</v>
      </c>
      <c r="G230" s="209">
        <f>1-(ABS(N199-F199)+ABS(O199-G199)+ABS(P199-H199)+ABS(Q199-I199))/4</f>
        <v>0.86996246542868438</v>
      </c>
      <c r="H230" s="209">
        <f>1-(ABS(N199-N199)+ABS(O199-O199)+ABS(P199-P199)+ABS(Q199-Q199))/4</f>
        <v>1</v>
      </c>
      <c r="I230" s="209">
        <f>1-(ABS(N199-V199)+ABS(O199-W199)+ABS(P199-X199)+ABS(Q199-Y199))/4</f>
        <v>0.71680165942315299</v>
      </c>
    </row>
    <row r="231" spans="1:9" x14ac:dyDescent="0.25">
      <c r="B231" s="209">
        <f>1-(ABS(R199-B199)+ABS(S199-C199)+ABS(T199-D199)+ABS(U199-E199))/4</f>
        <v>0.85238048202291583</v>
      </c>
      <c r="C231" s="209">
        <f>1-(ABS(R199-J199)+ABS(S199-K199)+ABS(T199-L199)+ABS(U199-M199))/4</f>
        <v>0.72150335835638091</v>
      </c>
      <c r="D231" s="209">
        <f>1-(ABS(R199-R199)+ABS(S199-S199)+ABS(T199-T199)+ABS(U199-U199))/4</f>
        <v>1</v>
      </c>
      <c r="G231" s="209">
        <f>1-(ABS(V199-F199)+ABS(W199-G199)+ABS(X199-H199)+ABS(Y199-I199))/4</f>
        <v>0.84683919399446861</v>
      </c>
      <c r="H231" s="209">
        <f>1-(ABS(V199-N199)+ABS(W199-O199)+ABS(X199-P199)+ABS(Y199-Q199))/4</f>
        <v>0.71680165942315299</v>
      </c>
      <c r="I231" s="209">
        <f>1-(ABS(V199-V199)+ABS(W199-W199)+ABS(X199-X199)+ABS(Y199-Y199))/4</f>
        <v>1</v>
      </c>
    </row>
    <row r="232" spans="1:9" x14ac:dyDescent="0.25">
      <c r="B232" s="209"/>
      <c r="C232" s="209"/>
      <c r="D232" s="209"/>
      <c r="G232" s="209"/>
      <c r="H232" s="209"/>
      <c r="I232" s="209"/>
    </row>
    <row r="233" spans="1:9" x14ac:dyDescent="0.25">
      <c r="A233" s="203" t="s">
        <v>79</v>
      </c>
      <c r="B233" s="209">
        <f>1-(ABS(B200-B200)+ABS(C200-C200)+ABS(D200-D200)+ABS(E200-E200))/4</f>
        <v>1</v>
      </c>
      <c r="C233" s="209">
        <f>1-(ABS(B200-J200)+ABS(C200-K200)+ABS(D200-L200)+ABS(E200-M200))/4</f>
        <v>0.86912287633346497</v>
      </c>
      <c r="D233" s="209">
        <f>1-(ABS(B200-R200)+ABS(C200-S200)+ABS(D200-T200)+ABS(E200-U200))/4</f>
        <v>0.9162880284472541</v>
      </c>
      <c r="F233" s="203" t="s">
        <v>79</v>
      </c>
      <c r="G233" s="209">
        <f>1-(ABS(F200-F200)+ABS(G200-G200)+ABS(H200-H200)+ABS(I200-I200))/4</f>
        <v>1</v>
      </c>
      <c r="H233" s="209">
        <f>1-(ABS(F200-N200)+ABS(G200-O200)+ABS(H200-P200)+ABS(I200-Q200))/4</f>
        <v>0.86996246542868438</v>
      </c>
      <c r="I233" s="209">
        <f>1-(ABS(F200-V200)+ABS(G200-W200)+ABS(H200-X200)+ABS(I200-Y200))/4</f>
        <v>0.91149743184512055</v>
      </c>
    </row>
    <row r="234" spans="1:9" x14ac:dyDescent="0.25">
      <c r="B234" s="209">
        <f>1-(ABS(J200-B200)+ABS(K200-C200)+ABS(L200-D200)+ABS(M200-E200))/4</f>
        <v>0.86912287633346497</v>
      </c>
      <c r="C234" s="209">
        <f>1-(ABS(J200-J200)+ABS(K200-K200)+ABS(L200-L200)+ABS(M200-M200))/4</f>
        <v>1</v>
      </c>
      <c r="D234" s="209">
        <f>1-(ABS(J200-R200)+ABS(K200-S200)+ABS(L200-T200)+ABS(M200-U200))/4</f>
        <v>0.78541090478071918</v>
      </c>
      <c r="G234" s="209">
        <f>1-(ABS(N200-F200)+ABS(O200-G200)+ABS(P200-H200)+ABS(Q200-I200))/4</f>
        <v>0.86996246542868438</v>
      </c>
      <c r="H234" s="209">
        <f>1-(ABS(N200-N200)+ABS(O200-O200)+ABS(P200-P200)+ABS(Q200-Q200))/4</f>
        <v>1</v>
      </c>
      <c r="I234" s="209">
        <f>1-(ABS(N200-V200)+ABS(O200-W200)+ABS(P200-X200)+ABS(Q200-Y200))/4</f>
        <v>0.78145989727380494</v>
      </c>
    </row>
    <row r="235" spans="1:9" x14ac:dyDescent="0.25">
      <c r="B235" s="209">
        <f>1-(ABS(R200-B200)+ABS(S200-C200)+ABS(T200-D200)+ABS(U200-E200))/4</f>
        <v>0.9162880284472541</v>
      </c>
      <c r="C235" s="209">
        <f>1-(ABS(R200-J200)+ABS(S200-K200)+ABS(T200-L200)+ABS(U200-M200))/4</f>
        <v>0.78541090478071918</v>
      </c>
      <c r="D235" s="209">
        <f>1-(ABS(R200-R200)+ABS(S200-S200)+ABS(T200-T200)+ABS(U200-U200))/4</f>
        <v>1</v>
      </c>
      <c r="G235" s="209">
        <f>1-(ABS(V200-F200)+ABS(W200-G200)+ABS(X200-H200)+ABS(Y200-I200))/4</f>
        <v>0.91149743184512055</v>
      </c>
      <c r="H235" s="209">
        <f>1-(ABS(V200-N200)+ABS(W200-O200)+ABS(X200-P200)+ABS(Y200-Q200))/4</f>
        <v>0.78145989727380494</v>
      </c>
      <c r="I235" s="209">
        <f>1-(ABS(V200-V200)+ABS(W200-W200)+ABS(X200-X200)+ABS(Y200-Y200))/4</f>
        <v>1</v>
      </c>
    </row>
    <row r="236" spans="1:9" x14ac:dyDescent="0.25">
      <c r="B236" s="209"/>
      <c r="C236" s="209"/>
      <c r="D236" s="209"/>
      <c r="G236" s="209"/>
      <c r="H236" s="209"/>
      <c r="I236" s="209"/>
    </row>
    <row r="237" spans="1:9" x14ac:dyDescent="0.25">
      <c r="A237" s="203" t="s">
        <v>80</v>
      </c>
      <c r="B237" s="209">
        <f>1-(ABS(B201-B201)+ABS(C201-C201)+ABS(D201-D201)+ABS(E201-E201))/4</f>
        <v>1</v>
      </c>
      <c r="C237" s="209">
        <f>1-(ABS(B201-J201)+ABS(C201-K201)+ABS(D201-L201)+ABS(E201-M201))/4</f>
        <v>0.97451600158040297</v>
      </c>
      <c r="D237" s="209">
        <f>1-(ABS(B201-R201)+ABS(C201-S201)+ABS(D201-T201)+ABS(E201-U201))/4</f>
        <v>0.92819043856183325</v>
      </c>
      <c r="F237" s="203" t="s">
        <v>80</v>
      </c>
      <c r="G237" s="209">
        <f>1-(ABS(F201-F201)+ABS(G201-G201)+ABS(H201-H201)+ABS(I201-I201))/4</f>
        <v>1</v>
      </c>
      <c r="H237" s="209">
        <f>1-(ABS(F201-N201)+ABS(G201-O201)+ABS(H201-P201)+ABS(I201-Q201))/4</f>
        <v>0.97293559857763734</v>
      </c>
      <c r="I237" s="209">
        <f>1-(ABS(F201-V201)+ABS(G201-W201)+ABS(H201-X201)+ABS(I201-Y201))/4</f>
        <v>0.92898064006321612</v>
      </c>
    </row>
    <row r="238" spans="1:9" x14ac:dyDescent="0.25">
      <c r="B238" s="209">
        <f>1-(ABS(J201-B201)+ABS(K201-C201)+ABS(L201-D201)+ABS(M201-E201))/4</f>
        <v>0.97451600158040297</v>
      </c>
      <c r="C238" s="209">
        <f>1-(ABS(J201-J201)+ABS(K201-K201)+ABS(L201-L201)+ABS(M201-M201))/4</f>
        <v>1</v>
      </c>
      <c r="D238" s="209">
        <f>1-(ABS(J201-R201)+ABS(K201-S201)+ABS(L201-T201)+ABS(M201-U201))/4</f>
        <v>0.92690636112208613</v>
      </c>
      <c r="G238" s="209">
        <f>1-(ABS(N201-F201)+ABS(O201-G201)+ABS(P201-H201)+ABS(Q201-I201))/4</f>
        <v>0.97293559857763734</v>
      </c>
      <c r="H238" s="209">
        <f>1-(ABS(N201-N201)+ABS(O201-O201)+ABS(P201-P201)+ABS(Q201-Q201))/4</f>
        <v>1</v>
      </c>
      <c r="I238" s="209">
        <f>1-(ABS(N201-V201)+ABS(O201-W201)+ABS(P201-X201)+ABS(Q201-Y201))/4</f>
        <v>0.93391939944685898</v>
      </c>
    </row>
    <row r="239" spans="1:9" x14ac:dyDescent="0.25">
      <c r="B239" s="209">
        <f>1-(ABS(R201-B201)+ABS(S201-C201)+ABS(T201-D201)+ABS(U201-E201))/4</f>
        <v>0.92819043856183325</v>
      </c>
      <c r="C239" s="209">
        <f>1-(ABS(R201-J201)+ABS(S201-K201)+ABS(T201-L201)+ABS(U201-M201))/4</f>
        <v>0.92690636112208613</v>
      </c>
      <c r="D239" s="209">
        <f>1-(ABS(R201-R201)+ABS(S201-S201)+ABS(T201-T201)+ABS(U201-U201))/4</f>
        <v>1</v>
      </c>
      <c r="G239" s="209">
        <f>1-(ABS(V201-F201)+ABS(W201-G201)+ABS(X201-H201)+ABS(Y201-I201))/4</f>
        <v>0.92898064006321612</v>
      </c>
      <c r="H239" s="209">
        <f>1-(ABS(V201-N201)+ABS(W201-O201)+ABS(X201-P201)+ABS(Y201-Q201))/4</f>
        <v>0.93391939944685898</v>
      </c>
      <c r="I239" s="209">
        <f>1-(ABS(V201-V201)+ABS(W201-W201)+ABS(X201-X201)+ABS(Y201-Y201))/4</f>
        <v>1</v>
      </c>
    </row>
    <row r="240" spans="1:9" x14ac:dyDescent="0.25">
      <c r="B240" s="209"/>
      <c r="C240" s="209"/>
      <c r="D240" s="209"/>
      <c r="G240" s="209"/>
      <c r="H240" s="209"/>
      <c r="I240" s="209"/>
    </row>
    <row r="241" spans="1:9" x14ac:dyDescent="0.25">
      <c r="A241" s="203" t="s">
        <v>82</v>
      </c>
      <c r="B241" s="209">
        <f>1-(ABS(B202-B202)+ABS(C202-C202)+ABS(D202-D202)+ABS(E202-E202))/4</f>
        <v>1</v>
      </c>
      <c r="C241" s="209">
        <f>1-(ABS(B202-J202)+ABS(C202-K202)+ABS(D202-L202)+ABS(E202-M202))/4</f>
        <v>0.93530225207427897</v>
      </c>
      <c r="D241" s="209">
        <f>1-(ABS(B202-R202)+ABS(C202-S202)+ABS(D202-T202)+ABS(E202-U202))/4</f>
        <v>0.90887988937178976</v>
      </c>
      <c r="F241" s="203" t="s">
        <v>82</v>
      </c>
      <c r="G241" s="209">
        <f>1-(ABS(F202-F202)+ABS(G202-G202)+ABS(H202-H202)+ABS(I202-I202))/4</f>
        <v>1</v>
      </c>
      <c r="H241" s="209">
        <f>1-(ABS(F202-N202)+ABS(G202-O202)+ABS(H202-P202)+ABS(I202-Q202))/4</f>
        <v>0.92661003555906762</v>
      </c>
      <c r="I241" s="209">
        <f>1-(ABS(F202-V202)+ABS(G202-W202)+ABS(H202-X202)+ABS(I202-Y202))/4</f>
        <v>0.91569537732121686</v>
      </c>
    </row>
    <row r="242" spans="1:9" x14ac:dyDescent="0.25">
      <c r="B242" s="209">
        <f>1-(ABS(J202-B202)+ABS(K202-C202)+ABS(L202-D202)+ABS(M202-E202))/4</f>
        <v>0.93530225207427897</v>
      </c>
      <c r="C242" s="209">
        <f>1-(ABS(J202-J202)+ABS(K202-K202)+ABS(L202-L202)+ABS(M202-M202))/4</f>
        <v>1</v>
      </c>
      <c r="D242" s="209">
        <f>1-(ABS(J202-R202)+ABS(K202-S202)+ABS(L202-T202)+ABS(M202-U202))/4</f>
        <v>0.84418214144606885</v>
      </c>
      <c r="G242" s="209">
        <f>1-(ABS(N202-F202)+ABS(O202-G202)+ABS(P202-H202)+ABS(Q202-I202))/4</f>
        <v>0.92661003555906762</v>
      </c>
      <c r="H242" s="209">
        <f>1-(ABS(N202-N202)+ABS(O202-O202)+ABS(P202-P202)+ABS(Q202-Q202))/4</f>
        <v>1</v>
      </c>
      <c r="I242" s="209">
        <f>1-(ABS(N202-V202)+ABS(O202-W202)+ABS(P202-X202)+ABS(Q202-Y202))/4</f>
        <v>0.84230541288028449</v>
      </c>
    </row>
    <row r="243" spans="1:9" x14ac:dyDescent="0.25">
      <c r="B243" s="209">
        <f>1-(ABS(R202-B202)+ABS(S202-C202)+ABS(T202-D202)+ABS(U202-E202))/4</f>
        <v>0.90887988937178976</v>
      </c>
      <c r="C243" s="209">
        <f>1-(ABS(R202-J202)+ABS(S202-K202)+ABS(T202-L202)+ABS(U202-M202))/4</f>
        <v>0.84418214144606885</v>
      </c>
      <c r="D243" s="209">
        <f>1-(ABS(R205-R205)+ABS(S205-S205)+ABS(T205-T205)+ABS(U205-U205))/4</f>
        <v>1</v>
      </c>
      <c r="G243" s="209">
        <f>1-(ABS(V202-F202)+ABS(W202-G202)+ABS(X202-H202)+ABS(Y202-I202))/4</f>
        <v>0.91569537732121686</v>
      </c>
      <c r="H243" s="209">
        <f>1-(ABS(V202-N202)+ABS(W202-O202)+ABS(X202-P202)+ABS(Y202-Q202))/4</f>
        <v>0.84230541288028449</v>
      </c>
      <c r="I243" s="209">
        <f>1-(ABS(V205-V205)+ABS(W205-W205)+ABS(X205-X205)+ABS(Y205-Y205))/4</f>
        <v>1</v>
      </c>
    </row>
    <row r="244" spans="1:9" x14ac:dyDescent="0.25">
      <c r="B244" s="209"/>
      <c r="C244" s="209"/>
      <c r="D244" s="209"/>
      <c r="G244" s="209"/>
      <c r="H244" s="209"/>
      <c r="I244" s="209"/>
    </row>
    <row r="245" spans="1:9" x14ac:dyDescent="0.25">
      <c r="A245" s="203" t="s">
        <v>83</v>
      </c>
      <c r="B245" s="209">
        <f>1-(ABS(B203-B203)+ABS(C203-C203)+ABS(D203-D203)+ABS(E203-E203))/4</f>
        <v>1</v>
      </c>
      <c r="C245" s="209">
        <f>1-(ABS(B203-J203)+ABS(C203-K203)+ABS(D203-L203)+ABS(E203-M203))/4</f>
        <v>0.82368629000395099</v>
      </c>
      <c r="D245" s="209">
        <f>1-(ABS(B203-R203)+ABS(C203-S203)+ABS(D203-T203)+ABS(E203-U203))/4</f>
        <v>0.90838601343342551</v>
      </c>
      <c r="F245" s="203" t="s">
        <v>83</v>
      </c>
      <c r="G245" s="209">
        <f>1-(ABS(F203-F203)+ABS(G203-G203)+ABS(H203-H203)+ABS(I203-I203))/4</f>
        <v>1</v>
      </c>
      <c r="H245" s="209">
        <f>1-(ABS(F203-N203)+ABS(G203-O203)+ABS(H203-P203)+ABS(I203-Q203))/4</f>
        <v>0.81775977874357964</v>
      </c>
      <c r="I245" s="209">
        <f>1-(ABS(F203-V203)+ABS(G203-W203)+ABS(H203-X203)+ABS(I203-Y203))/4</f>
        <v>0.90513630975898862</v>
      </c>
    </row>
    <row r="246" spans="1:9" x14ac:dyDescent="0.25">
      <c r="B246" s="209">
        <f>1-(ABS(J203-B203)+ABS(K203-C203)+ABS(L203-D203)+ABS(M203-E203))/4</f>
        <v>0.82368629000395099</v>
      </c>
      <c r="C246" s="209">
        <f>1-(ABS(J203-J203)+ABS(K203-K203)+ABS(L203-L203)+ABS(M203-M203))/4</f>
        <v>1</v>
      </c>
      <c r="D246" s="209">
        <f>1-(ABS(J203-R203)+ABS(K203-S203)+ABS(L203-T203)+ABS(M203-U203))/4</f>
        <v>0.91530027657052548</v>
      </c>
      <c r="G246" s="209">
        <f>1-(ABS(N203-F203)+ABS(O203-G203)+ABS(P203-H203)+ABS(Q203-I203))/4</f>
        <v>0.81775977874357964</v>
      </c>
      <c r="H246" s="209">
        <f>1-(ABS(N203-N203)+ABS(O203-O203)+ABS(P203-P203)+ABS(Q203-Q203))/4</f>
        <v>1</v>
      </c>
      <c r="I246" s="209">
        <f>1-(ABS(N203-V203)+ABS(O203-W203)+ABS(P203-X203)+ABS(Q203-Y203))/4</f>
        <v>0.91262346898459101</v>
      </c>
    </row>
    <row r="247" spans="1:9" x14ac:dyDescent="0.25">
      <c r="B247" s="209">
        <f>1-(ABS(R203-B203)+ABS(S203-C203)+ABS(T203-D203)+ABS(U203-E203))/4</f>
        <v>0.90838601343342551</v>
      </c>
      <c r="C247" s="209">
        <f>1-(ABS(R203-J203)+ABS(S203-K203)+ABS(T203-L203)+ABS(U203-M203))/4</f>
        <v>0.91530027657052548</v>
      </c>
      <c r="D247" s="209">
        <f>1-(ABS(R203-R203)+ABS(S203-S203)+ABS(T203-T203)+ABS(U203-U203))/4</f>
        <v>1</v>
      </c>
      <c r="G247" s="209">
        <f>1-(ABS(V203-F203)+ABS(W203-G203)+ABS(X203-H203)+ABS(Y203-I203))/4</f>
        <v>0.90513630975898862</v>
      </c>
      <c r="H247" s="209">
        <f>1-(ABS(V203-N203)+ABS(W203-O203)+ABS(X203-P203)+ABS(Y203-Q203))/4</f>
        <v>0.91262346898459101</v>
      </c>
      <c r="I247" s="209">
        <f>1-(ABS(V203-V203)+ABS(W203-W203)+ABS(X203-X203)+ABS(Y203-Y203))/4</f>
        <v>1</v>
      </c>
    </row>
    <row r="249" spans="1:9" x14ac:dyDescent="0.25">
      <c r="A249" s="309" t="s">
        <v>233</v>
      </c>
      <c r="B249" s="276"/>
      <c r="C249" s="276"/>
      <c r="D249" s="276"/>
      <c r="E249" s="276"/>
      <c r="F249" s="276"/>
      <c r="G249" s="276"/>
      <c r="H249" s="276"/>
      <c r="I249" s="276"/>
    </row>
    <row r="250" spans="1:9" x14ac:dyDescent="0.25">
      <c r="A250" s="308" t="s">
        <v>253</v>
      </c>
      <c r="B250" s="276"/>
      <c r="C250" s="276"/>
      <c r="D250" s="276"/>
      <c r="F250" s="308" t="s">
        <v>254</v>
      </c>
      <c r="G250" s="276"/>
      <c r="H250" s="276"/>
      <c r="I250" s="276"/>
    </row>
    <row r="251" spans="1:9" s="213" customFormat="1" ht="30" x14ac:dyDescent="0.25">
      <c r="A251" s="214" t="s">
        <v>182</v>
      </c>
      <c r="B251" s="214" t="s">
        <v>176</v>
      </c>
      <c r="C251" s="214" t="s">
        <v>177</v>
      </c>
      <c r="D251" s="214" t="s">
        <v>207</v>
      </c>
      <c r="F251" s="214" t="s">
        <v>182</v>
      </c>
      <c r="G251" s="214" t="s">
        <v>176</v>
      </c>
      <c r="H251" s="214" t="s">
        <v>177</v>
      </c>
      <c r="I251" s="214" t="s">
        <v>207</v>
      </c>
    </row>
    <row r="252" spans="1:9" x14ac:dyDescent="0.25">
      <c r="A252" s="2" t="s">
        <v>84</v>
      </c>
      <c r="B252" s="2">
        <f>(C209+D209)/2</f>
        <v>0.92747431845120509</v>
      </c>
      <c r="C252" s="2">
        <f>(B210+D210)/2</f>
        <v>0.94387099960489929</v>
      </c>
      <c r="D252" s="2">
        <f>(B211+C211)/2</f>
        <v>0.93199328328723818</v>
      </c>
      <c r="F252" s="2" t="s">
        <v>84</v>
      </c>
      <c r="G252" s="2">
        <f>(H209+I209)/2</f>
        <v>0.92485183721849074</v>
      </c>
      <c r="H252" s="2">
        <f>(G210+I210)/2</f>
        <v>0.94572797313314894</v>
      </c>
      <c r="I252" s="2">
        <f>(G211+H211)/2</f>
        <v>0.9316722639273014</v>
      </c>
    </row>
    <row r="253" spans="1:9" x14ac:dyDescent="0.25">
      <c r="A253" s="2" t="s">
        <v>73</v>
      </c>
      <c r="B253" s="2">
        <f>(C213+D213)/2</f>
        <v>0.95369913077834845</v>
      </c>
      <c r="C253" s="2">
        <f>(B214+D214)/2</f>
        <v>0.92381963650730925</v>
      </c>
      <c r="D253" s="2">
        <f>(B215+C215)/2</f>
        <v>0.93727775582773609</v>
      </c>
      <c r="F253" s="2" t="s">
        <v>73</v>
      </c>
      <c r="G253" s="2">
        <f>(H213+I213)/2</f>
        <v>0.9531311734492296</v>
      </c>
      <c r="H253" s="2">
        <f>(G214+I214)/2</f>
        <v>0.923271434215725</v>
      </c>
      <c r="I253" s="2">
        <f>(G215+H215)/2</f>
        <v>0.93612208613196368</v>
      </c>
    </row>
    <row r="254" spans="1:9" x14ac:dyDescent="0.25">
      <c r="A254" s="2" t="s">
        <v>74</v>
      </c>
      <c r="B254" s="2">
        <f>(C217+D217)/2</f>
        <v>0.87818549980244964</v>
      </c>
      <c r="C254" s="2">
        <f>(B218+D218)/2</f>
        <v>0.82222935598577629</v>
      </c>
      <c r="D254" s="2">
        <f>(B219+C219)/2</f>
        <v>0.90013828526274198</v>
      </c>
      <c r="F254" s="2" t="s">
        <v>74</v>
      </c>
      <c r="G254" s="2">
        <f>(H217+I217)/2</f>
        <v>0.8704810351639668</v>
      </c>
      <c r="H254" s="2">
        <f>(G218+I218)/2</f>
        <v>0.81696957724219676</v>
      </c>
      <c r="I254" s="2">
        <f>(G219+H219)/2</f>
        <v>0.89581687080205452</v>
      </c>
    </row>
    <row r="255" spans="1:9" x14ac:dyDescent="0.25">
      <c r="A255" s="2" t="s">
        <v>75</v>
      </c>
      <c r="B255" s="2">
        <f>(C221+D221)/2</f>
        <v>0.89270545239035948</v>
      </c>
      <c r="C255" s="2">
        <f>(B222+D222)/2</f>
        <v>0.86393717898064004</v>
      </c>
      <c r="D255" s="2">
        <f>(B223+C223)/2</f>
        <v>0.81417917819043861</v>
      </c>
      <c r="F255" s="2" t="s">
        <v>75</v>
      </c>
      <c r="G255" s="2">
        <f>(H221+I221)/2</f>
        <v>0.89072994863690247</v>
      </c>
      <c r="H255" s="2">
        <f>(G222+I222)/2</f>
        <v>0.8619863690241012</v>
      </c>
      <c r="I255" s="2">
        <f>(G223+H223)/2</f>
        <v>0.81020347688660621</v>
      </c>
    </row>
    <row r="256" spans="1:9" x14ac:dyDescent="0.25">
      <c r="A256" s="2" t="s">
        <v>77</v>
      </c>
      <c r="B256" s="2">
        <f>(C225+D225)/2</f>
        <v>0.86628308968787038</v>
      </c>
      <c r="C256" s="2">
        <f>(B226+D226)/2</f>
        <v>0.77812623468984587</v>
      </c>
      <c r="D256" s="2">
        <f>(B227+C227)/2</f>
        <v>0.82072303437376526</v>
      </c>
      <c r="F256" s="2" t="s">
        <v>77</v>
      </c>
      <c r="G256" s="2">
        <f>(H225+I225)/2</f>
        <v>0.86672757803239819</v>
      </c>
      <c r="H256" s="2">
        <f>(G226+I226)/2</f>
        <v>0.77560746740418818</v>
      </c>
      <c r="I256" s="2">
        <f>(G227+H227)/2</f>
        <v>0.82457526669300674</v>
      </c>
    </row>
    <row r="257" spans="1:10" x14ac:dyDescent="0.25">
      <c r="A257" s="2" t="s">
        <v>78</v>
      </c>
      <c r="B257" s="2">
        <f>(C229+D229)/2</f>
        <v>0.8607516791781904</v>
      </c>
      <c r="C257" s="2">
        <f>(B230+D230)/2</f>
        <v>0.79531311734492294</v>
      </c>
      <c r="D257" s="2">
        <f>(B231+C231)/2</f>
        <v>0.78694192018964837</v>
      </c>
      <c r="F257" s="2" t="s">
        <v>78</v>
      </c>
      <c r="G257" s="2">
        <f>(H229+I229)/2</f>
        <v>0.8584008297115765</v>
      </c>
      <c r="H257" s="2">
        <f>(G230+I230)/2</f>
        <v>0.79338206242591869</v>
      </c>
      <c r="I257" s="2">
        <f>(G231+H231)/2</f>
        <v>0.7818204267088108</v>
      </c>
    </row>
    <row r="258" spans="1:10" x14ac:dyDescent="0.25">
      <c r="A258" s="2" t="s">
        <v>79</v>
      </c>
      <c r="B258" s="2">
        <f>(C233+D233)/2</f>
        <v>0.89270545239035948</v>
      </c>
      <c r="C258" s="2">
        <f>(B234+D234)/2</f>
        <v>0.82726689055709213</v>
      </c>
      <c r="D258" s="2">
        <f>(B235+C235)/2</f>
        <v>0.85084946661398664</v>
      </c>
      <c r="F258" s="2" t="s">
        <v>79</v>
      </c>
      <c r="G258" s="2">
        <f>(H233+I233)/2</f>
        <v>0.89072994863690247</v>
      </c>
      <c r="H258" s="2">
        <f>(G234+I234)/2</f>
        <v>0.82571118135124466</v>
      </c>
      <c r="I258" s="2">
        <f>(G235+H235)/2</f>
        <v>0.84647866455946275</v>
      </c>
    </row>
    <row r="259" spans="1:10" x14ac:dyDescent="0.25">
      <c r="A259" s="2" t="s">
        <v>80</v>
      </c>
      <c r="B259" s="2">
        <f>(C237+D237)/2</f>
        <v>0.95135322007111811</v>
      </c>
      <c r="C259" s="2">
        <f>(B238+D238)/2</f>
        <v>0.95071118135124455</v>
      </c>
      <c r="D259" s="2">
        <f>(B239+C239)/2</f>
        <v>0.92754839984195969</v>
      </c>
      <c r="F259" s="2" t="s">
        <v>80</v>
      </c>
      <c r="G259" s="2">
        <f>(H237+I237)/2</f>
        <v>0.95095811932042673</v>
      </c>
      <c r="H259" s="2">
        <f>(G238+I238)/2</f>
        <v>0.95342749901224821</v>
      </c>
      <c r="I259" s="2">
        <f>(G239+H239)/2</f>
        <v>0.93145001975503749</v>
      </c>
    </row>
    <row r="260" spans="1:10" x14ac:dyDescent="0.25">
      <c r="A260" s="2" t="s">
        <v>82</v>
      </c>
      <c r="B260" s="2">
        <f>(C241+D241)/2</f>
        <v>0.92209107072303431</v>
      </c>
      <c r="C260" s="2">
        <f>(B242+D242)/2</f>
        <v>0.88974219676017396</v>
      </c>
      <c r="D260" s="2">
        <f>(B243+C243)/2</f>
        <v>0.8765310154089293</v>
      </c>
      <c r="F260" s="2" t="s">
        <v>82</v>
      </c>
      <c r="G260" s="2">
        <f>(H241+I241)/2</f>
        <v>0.92115270644014224</v>
      </c>
      <c r="H260" s="2">
        <f>(G242+I242)/2</f>
        <v>0.88445772421967606</v>
      </c>
      <c r="I260" s="2">
        <f>(G243+H243)/2</f>
        <v>0.87900039510075068</v>
      </c>
    </row>
    <row r="261" spans="1:10" x14ac:dyDescent="0.25">
      <c r="A261" s="2" t="s">
        <v>83</v>
      </c>
      <c r="B261" s="2">
        <f>(C245+D245)/2</f>
        <v>0.86603615171868831</v>
      </c>
      <c r="C261" s="2">
        <f>(B246+D246)/2</f>
        <v>0.86949328328723818</v>
      </c>
      <c r="D261" s="2">
        <f>(B247+C247)/2</f>
        <v>0.9118431450019755</v>
      </c>
      <c r="F261" s="2" t="s">
        <v>83</v>
      </c>
      <c r="G261" s="2">
        <f>(H245+I245)/2</f>
        <v>0.86144804425128418</v>
      </c>
      <c r="H261" s="2">
        <f>(G246+I246)/2</f>
        <v>0.86519162386408532</v>
      </c>
      <c r="I261" s="2">
        <f>(G247+H247)/2</f>
        <v>0.90887988937178976</v>
      </c>
    </row>
    <row r="263" spans="1:10" x14ac:dyDescent="0.25">
      <c r="A263" s="309" t="s">
        <v>255</v>
      </c>
      <c r="B263" s="276"/>
      <c r="C263" s="276"/>
      <c r="D263" s="276"/>
      <c r="E263" s="276"/>
      <c r="F263" s="276"/>
      <c r="G263" s="276"/>
      <c r="H263" s="276"/>
      <c r="I263" s="276"/>
    </row>
    <row r="264" spans="1:10" x14ac:dyDescent="0.25">
      <c r="A264" s="308" t="s">
        <v>297</v>
      </c>
      <c r="B264" s="276"/>
      <c r="C264" s="276"/>
      <c r="D264" s="276"/>
      <c r="F264" s="308" t="s">
        <v>300</v>
      </c>
      <c r="G264" s="276"/>
      <c r="H264" s="276"/>
      <c r="I264" s="276"/>
    </row>
    <row r="265" spans="1:10" ht="30" x14ac:dyDescent="0.25">
      <c r="A265" s="151" t="s">
        <v>182</v>
      </c>
      <c r="B265" s="3" t="s">
        <v>176</v>
      </c>
      <c r="C265" s="3" t="s">
        <v>177</v>
      </c>
      <c r="D265" s="3" t="s">
        <v>207</v>
      </c>
      <c r="E265" s="207" t="s">
        <v>234</v>
      </c>
      <c r="F265" s="151" t="s">
        <v>182</v>
      </c>
      <c r="G265" s="3" t="s">
        <v>176</v>
      </c>
      <c r="H265" s="3" t="s">
        <v>177</v>
      </c>
      <c r="I265" s="3" t="s">
        <v>207</v>
      </c>
      <c r="J265" s="207" t="s">
        <v>234</v>
      </c>
    </row>
    <row r="266" spans="1:10" x14ac:dyDescent="0.25">
      <c r="A266" s="102" t="s">
        <v>84</v>
      </c>
      <c r="B266" s="204">
        <f t="shared" ref="B266:B275" si="134">B252/SUM($B252:$D252)</f>
        <v>0.33084634086184422</v>
      </c>
      <c r="C266" s="204">
        <f t="shared" ref="C266" si="135">C252/SUM($B252:$D252)</f>
        <v>0.33669532433670418</v>
      </c>
      <c r="D266" s="204">
        <f>D252/SUM($B252:$D252)</f>
        <v>0.3324583348014517</v>
      </c>
      <c r="E266" s="206">
        <f>SUM(B266:D266)</f>
        <v>1</v>
      </c>
      <c r="F266" s="102" t="s">
        <v>84</v>
      </c>
      <c r="G266" s="204">
        <f>G252/SUM($G252:$I252)</f>
        <v>0.3300387733521325</v>
      </c>
      <c r="H266" s="204">
        <f t="shared" ref="H266:I266" si="136">H252/SUM($G252:$I252)</f>
        <v>0.33748854423686991</v>
      </c>
      <c r="I266" s="204">
        <f t="shared" si="136"/>
        <v>0.33247268241099748</v>
      </c>
      <c r="J266" s="206">
        <f>SUM(G266:I266)</f>
        <v>0.99999999999999989</v>
      </c>
    </row>
    <row r="267" spans="1:10" x14ac:dyDescent="0.25">
      <c r="A267" s="102" t="s">
        <v>73</v>
      </c>
      <c r="B267" s="204">
        <f t="shared" si="134"/>
        <v>0.33881636663508441</v>
      </c>
      <c r="C267" s="204">
        <f t="shared" ref="C267:D275" si="137">C253/SUM($B253:$D253)</f>
        <v>0.32820121416289433</v>
      </c>
      <c r="D267" s="204">
        <f t="shared" si="137"/>
        <v>0.33298241920202126</v>
      </c>
      <c r="E267" s="206">
        <f t="shared" ref="E267:E275" si="138">SUM(B267:D267)</f>
        <v>1</v>
      </c>
      <c r="F267" s="102" t="s">
        <v>73</v>
      </c>
      <c r="G267" s="204">
        <f t="shared" ref="G267:I275" si="139">G253/SUM($G253:$I253)</f>
        <v>0.33888810844981387</v>
      </c>
      <c r="H267" s="204">
        <f t="shared" si="139"/>
        <v>0.32827140549273021</v>
      </c>
      <c r="I267" s="204">
        <f t="shared" si="139"/>
        <v>0.33284048605745592</v>
      </c>
      <c r="J267" s="206">
        <f t="shared" ref="J267:J275" si="140">SUM(G267:I267)</f>
        <v>1</v>
      </c>
    </row>
    <row r="268" spans="1:10" x14ac:dyDescent="0.25">
      <c r="A268" s="102" t="s">
        <v>74</v>
      </c>
      <c r="B268" s="204">
        <f t="shared" si="134"/>
        <v>0.33769181099969614</v>
      </c>
      <c r="C268" s="204">
        <f t="shared" si="137"/>
        <v>0.31617479489516864</v>
      </c>
      <c r="D268" s="204">
        <f t="shared" si="137"/>
        <v>0.34613339410513522</v>
      </c>
      <c r="E268" s="206">
        <f t="shared" si="138"/>
        <v>1</v>
      </c>
      <c r="F268" s="102" t="s">
        <v>74</v>
      </c>
      <c r="G268" s="204">
        <f t="shared" si="139"/>
        <v>0.33696899017321147</v>
      </c>
      <c r="H268" s="204">
        <f t="shared" si="139"/>
        <v>0.31625434940542196</v>
      </c>
      <c r="I268" s="204">
        <f t="shared" si="139"/>
        <v>0.34677666042136657</v>
      </c>
      <c r="J268" s="206">
        <f t="shared" si="140"/>
        <v>1</v>
      </c>
    </row>
    <row r="269" spans="1:10" x14ac:dyDescent="0.25">
      <c r="A269" s="102" t="s">
        <v>75</v>
      </c>
      <c r="B269" s="204">
        <f t="shared" si="134"/>
        <v>0.34724516847888731</v>
      </c>
      <c r="C269" s="204">
        <f t="shared" si="137"/>
        <v>0.33605486610058788</v>
      </c>
      <c r="D269" s="204">
        <f t="shared" si="137"/>
        <v>0.31669996542052486</v>
      </c>
      <c r="E269" s="206">
        <f t="shared" si="138"/>
        <v>1</v>
      </c>
      <c r="F269" s="102" t="s">
        <v>75</v>
      </c>
      <c r="G269" s="204">
        <f t="shared" si="139"/>
        <v>0.34754499556788837</v>
      </c>
      <c r="H269" s="204">
        <f t="shared" si="139"/>
        <v>0.33632982618414459</v>
      </c>
      <c r="I269" s="204">
        <f t="shared" si="139"/>
        <v>0.31612517824796704</v>
      </c>
      <c r="J269" s="206">
        <f t="shared" si="140"/>
        <v>1</v>
      </c>
    </row>
    <row r="270" spans="1:10" x14ac:dyDescent="0.25">
      <c r="A270" s="102" t="s">
        <v>77</v>
      </c>
      <c r="B270" s="204">
        <f t="shared" si="134"/>
        <v>0.35141443282445806</v>
      </c>
      <c r="C270" s="204">
        <f t="shared" si="137"/>
        <v>0.3156529230276075</v>
      </c>
      <c r="D270" s="204">
        <f t="shared" si="137"/>
        <v>0.33293264414793444</v>
      </c>
      <c r="E270" s="206">
        <f t="shared" si="138"/>
        <v>1</v>
      </c>
      <c r="F270" s="102" t="s">
        <v>77</v>
      </c>
      <c r="G270" s="204">
        <f t="shared" si="139"/>
        <v>0.35134134134134126</v>
      </c>
      <c r="H270" s="204">
        <f t="shared" si="139"/>
        <v>0.31440440440440443</v>
      </c>
      <c r="I270" s="204">
        <f t="shared" si="139"/>
        <v>0.33425425425425426</v>
      </c>
      <c r="J270" s="206">
        <f t="shared" si="140"/>
        <v>0.99999999999999989</v>
      </c>
    </row>
    <row r="271" spans="1:10" x14ac:dyDescent="0.25">
      <c r="A271" s="102" t="s">
        <v>78</v>
      </c>
      <c r="B271" s="204">
        <f t="shared" si="134"/>
        <v>0.35233291553794527</v>
      </c>
      <c r="C271" s="204">
        <f t="shared" si="137"/>
        <v>0.32554684025391178</v>
      </c>
      <c r="D271" s="204">
        <f t="shared" si="137"/>
        <v>0.322120244208143</v>
      </c>
      <c r="E271" s="206">
        <f t="shared" si="138"/>
        <v>1</v>
      </c>
      <c r="F271" s="102" t="s">
        <v>78</v>
      </c>
      <c r="G271" s="204">
        <f t="shared" si="139"/>
        <v>0.35272832801630016</v>
      </c>
      <c r="H271" s="204">
        <f t="shared" si="139"/>
        <v>0.32601125100455397</v>
      </c>
      <c r="I271" s="204">
        <f t="shared" si="139"/>
        <v>0.32126042097914587</v>
      </c>
      <c r="J271" s="206">
        <f t="shared" si="140"/>
        <v>1</v>
      </c>
    </row>
    <row r="272" spans="1:10" x14ac:dyDescent="0.25">
      <c r="A272" s="102" t="s">
        <v>79</v>
      </c>
      <c r="B272" s="204">
        <f t="shared" si="134"/>
        <v>0.34724516847888726</v>
      </c>
      <c r="C272" s="204">
        <f t="shared" si="137"/>
        <v>0.3217908325969186</v>
      </c>
      <c r="D272" s="204">
        <f t="shared" si="137"/>
        <v>0.33096399892419409</v>
      </c>
      <c r="E272" s="206">
        <f t="shared" si="138"/>
        <v>1</v>
      </c>
      <c r="F272" s="102" t="s">
        <v>79</v>
      </c>
      <c r="G272" s="204">
        <f t="shared" si="139"/>
        <v>0.34754499556788837</v>
      </c>
      <c r="H272" s="204">
        <f t="shared" si="139"/>
        <v>0.32217597410105214</v>
      </c>
      <c r="I272" s="204">
        <f t="shared" si="139"/>
        <v>0.33027903033105949</v>
      </c>
      <c r="J272" s="206">
        <f t="shared" si="140"/>
        <v>1</v>
      </c>
    </row>
    <row r="273" spans="1:10" x14ac:dyDescent="0.25">
      <c r="A273" s="102" t="s">
        <v>80</v>
      </c>
      <c r="B273" s="204">
        <f t="shared" si="134"/>
        <v>0.33621321604356474</v>
      </c>
      <c r="C273" s="204">
        <f t="shared" si="137"/>
        <v>0.33598631619366776</v>
      </c>
      <c r="D273" s="204">
        <f t="shared" si="137"/>
        <v>0.32780046776276744</v>
      </c>
      <c r="E273" s="206">
        <f t="shared" si="138"/>
        <v>1</v>
      </c>
      <c r="F273" s="102" t="s">
        <v>80</v>
      </c>
      <c r="G273" s="204">
        <f t="shared" si="139"/>
        <v>0.33533611981887845</v>
      </c>
      <c r="H273" s="204">
        <f t="shared" si="139"/>
        <v>0.3362068965517242</v>
      </c>
      <c r="I273" s="204">
        <f t="shared" si="139"/>
        <v>0.3284569836293974</v>
      </c>
      <c r="J273" s="206">
        <f t="shared" si="140"/>
        <v>1</v>
      </c>
    </row>
    <row r="274" spans="1:10" x14ac:dyDescent="0.25">
      <c r="A274" s="102" t="s">
        <v>82</v>
      </c>
      <c r="B274" s="204">
        <f t="shared" si="134"/>
        <v>0.34299334974464485</v>
      </c>
      <c r="C274" s="204">
        <f t="shared" si="137"/>
        <v>0.33096042914355001</v>
      </c>
      <c r="D274" s="204">
        <f t="shared" si="137"/>
        <v>0.32604622111180509</v>
      </c>
      <c r="E274" s="206">
        <f t="shared" si="138"/>
        <v>1</v>
      </c>
      <c r="F274" s="102" t="s">
        <v>82</v>
      </c>
      <c r="G274" s="204">
        <f t="shared" si="139"/>
        <v>0.34312336730564036</v>
      </c>
      <c r="H274" s="204">
        <f t="shared" si="139"/>
        <v>0.3294547260752787</v>
      </c>
      <c r="I274" s="204">
        <f t="shared" si="139"/>
        <v>0.32742190661908088</v>
      </c>
      <c r="J274" s="206">
        <f t="shared" si="140"/>
        <v>1</v>
      </c>
    </row>
    <row r="275" spans="1:10" x14ac:dyDescent="0.25">
      <c r="A275" s="102" t="s">
        <v>83</v>
      </c>
      <c r="B275" s="204">
        <f t="shared" si="134"/>
        <v>0.32713043802701292</v>
      </c>
      <c r="C275" s="204">
        <f t="shared" si="137"/>
        <v>0.32843631072308033</v>
      </c>
      <c r="D275" s="204">
        <f t="shared" si="137"/>
        <v>0.3444332512499067</v>
      </c>
      <c r="E275" s="206">
        <f t="shared" si="138"/>
        <v>1</v>
      </c>
      <c r="F275" s="102" t="s">
        <v>83</v>
      </c>
      <c r="G275" s="204">
        <f t="shared" si="139"/>
        <v>0.32686080503710374</v>
      </c>
      <c r="H275" s="204">
        <f t="shared" si="139"/>
        <v>0.32828123828798444</v>
      </c>
      <c r="I275" s="204">
        <f t="shared" si="139"/>
        <v>0.34485795667491193</v>
      </c>
      <c r="J275" s="206">
        <f t="shared" si="140"/>
        <v>1</v>
      </c>
    </row>
    <row r="276" spans="1:10" x14ac:dyDescent="0.25">
      <c r="A276" s="203"/>
      <c r="F276" s="203"/>
    </row>
    <row r="277" spans="1:10" x14ac:dyDescent="0.25">
      <c r="A277" s="309" t="s">
        <v>279</v>
      </c>
      <c r="B277" s="276"/>
      <c r="C277" s="276"/>
      <c r="D277" s="276"/>
      <c r="E277" s="276"/>
      <c r="F277" s="276"/>
      <c r="G277" s="276"/>
      <c r="H277" s="276"/>
      <c r="I277" s="276"/>
    </row>
    <row r="278" spans="1:10" x14ac:dyDescent="0.25">
      <c r="A278" s="308" t="s">
        <v>298</v>
      </c>
      <c r="B278" s="276"/>
      <c r="C278" s="276"/>
      <c r="D278" s="276"/>
      <c r="F278" s="308" t="s">
        <v>299</v>
      </c>
      <c r="G278" s="276"/>
      <c r="H278" s="276"/>
      <c r="I278" s="276"/>
    </row>
    <row r="279" spans="1:10" ht="30" x14ac:dyDescent="0.25">
      <c r="A279" s="151" t="s">
        <v>182</v>
      </c>
      <c r="B279" s="3" t="s">
        <v>176</v>
      </c>
      <c r="C279" s="3" t="s">
        <v>177</v>
      </c>
      <c r="D279" s="3" t="s">
        <v>207</v>
      </c>
      <c r="E279" s="207" t="s">
        <v>234</v>
      </c>
      <c r="F279" s="151" t="s">
        <v>182</v>
      </c>
      <c r="G279" s="3" t="s">
        <v>176</v>
      </c>
      <c r="H279" s="3" t="s">
        <v>177</v>
      </c>
      <c r="I279" s="3" t="s">
        <v>207</v>
      </c>
      <c r="J279" s="207" t="s">
        <v>234</v>
      </c>
    </row>
    <row r="280" spans="1:10" x14ac:dyDescent="0.25">
      <c r="A280" s="102" t="s">
        <v>84</v>
      </c>
      <c r="B280" s="204">
        <f>$C$186*$C$179+$C$187*B266</f>
        <v>0.31233853634473768</v>
      </c>
      <c r="C280" s="204">
        <f>$C$186*$C$180+$C$187*C266</f>
        <v>0.31467812973468168</v>
      </c>
      <c r="D280" s="204">
        <f>$C$186*$C$181+$C$187*D266</f>
        <v>0.3729833339205807</v>
      </c>
      <c r="E280" s="206">
        <f>SUM(B280:D280)</f>
        <v>1</v>
      </c>
      <c r="F280" s="102" t="s">
        <v>84</v>
      </c>
      <c r="G280" s="204">
        <f>$C$186*$C$179+$C$187*G266</f>
        <v>0.31201550934085298</v>
      </c>
      <c r="H280" s="204">
        <f>$C$186*$C$180+$C$187*H266</f>
        <v>0.31499541769474793</v>
      </c>
      <c r="I280" s="204">
        <f>$C$186*$C$181+$C$187*I266</f>
        <v>0.37298907296439898</v>
      </c>
      <c r="J280" s="206">
        <f>SUM(G280:I280)</f>
        <v>0.99999999999999989</v>
      </c>
    </row>
    <row r="281" spans="1:10" x14ac:dyDescent="0.25">
      <c r="A281" s="102" t="s">
        <v>73</v>
      </c>
      <c r="B281" s="204">
        <f t="shared" ref="B281:B289" si="141">$C$186*$C$179+$C$187*B267</f>
        <v>0.31552654665403373</v>
      </c>
      <c r="C281" s="204">
        <f t="shared" ref="C281:C289" si="142">$C$186*$C$180+$C$187*C267</f>
        <v>0.3112804856651577</v>
      </c>
      <c r="D281" s="204">
        <f t="shared" ref="D281:D289" si="143">$C$186*$C$181+$C$187*D267</f>
        <v>0.37319296768080845</v>
      </c>
      <c r="E281" s="206">
        <f t="shared" ref="E281:E289" si="144">SUM(B281:D281)</f>
        <v>0.99999999999999989</v>
      </c>
      <c r="F281" s="102" t="s">
        <v>73</v>
      </c>
      <c r="G281" s="204">
        <f t="shared" ref="G281:G289" si="145">$C$186*$C$179+$C$187*G267</f>
        <v>0.31555524337992552</v>
      </c>
      <c r="H281" s="204">
        <f t="shared" ref="H281:H289" si="146">$C$186*$C$180+$C$187*H267</f>
        <v>0.31130856219709208</v>
      </c>
      <c r="I281" s="204">
        <f t="shared" ref="I281:I288" si="147">$C$186*$C$181+$C$187*I267</f>
        <v>0.37313619442298235</v>
      </c>
      <c r="J281" s="206">
        <f t="shared" ref="J281:J289" si="148">SUM(G281:I281)</f>
        <v>1</v>
      </c>
    </row>
    <row r="282" spans="1:10" x14ac:dyDescent="0.25">
      <c r="A282" s="102" t="s">
        <v>74</v>
      </c>
      <c r="B282" s="204">
        <f t="shared" si="141"/>
        <v>0.31507672439987844</v>
      </c>
      <c r="C282" s="204">
        <f t="shared" si="142"/>
        <v>0.30646991795806744</v>
      </c>
      <c r="D282" s="204">
        <f t="shared" si="143"/>
        <v>0.37845335764205407</v>
      </c>
      <c r="E282" s="206">
        <f t="shared" si="144"/>
        <v>1</v>
      </c>
      <c r="F282" s="102" t="s">
        <v>74</v>
      </c>
      <c r="G282" s="204">
        <f t="shared" si="145"/>
        <v>0.31478759606928458</v>
      </c>
      <c r="H282" s="204">
        <f t="shared" si="146"/>
        <v>0.30650173976216877</v>
      </c>
      <c r="I282" s="204">
        <f t="shared" si="147"/>
        <v>0.3787106641685466</v>
      </c>
      <c r="J282" s="206">
        <f t="shared" si="148"/>
        <v>0.99999999999999989</v>
      </c>
    </row>
    <row r="283" spans="1:10" x14ac:dyDescent="0.25">
      <c r="A283" s="102" t="s">
        <v>75</v>
      </c>
      <c r="B283" s="204">
        <f t="shared" si="141"/>
        <v>0.31889806739155491</v>
      </c>
      <c r="C283" s="204">
        <f t="shared" si="142"/>
        <v>0.31442194644023513</v>
      </c>
      <c r="D283" s="204">
        <f t="shared" si="143"/>
        <v>0.36667998616820996</v>
      </c>
      <c r="E283" s="206">
        <f t="shared" si="144"/>
        <v>1</v>
      </c>
      <c r="F283" s="102" t="s">
        <v>75</v>
      </c>
      <c r="G283" s="204">
        <f t="shared" si="145"/>
        <v>0.31901799822715532</v>
      </c>
      <c r="H283" s="204">
        <f t="shared" si="146"/>
        <v>0.31453193047365779</v>
      </c>
      <c r="I283" s="204">
        <f t="shared" si="147"/>
        <v>0.36645007129918683</v>
      </c>
      <c r="J283" s="206">
        <f t="shared" si="148"/>
        <v>0.99999999999999989</v>
      </c>
    </row>
    <row r="284" spans="1:10" x14ac:dyDescent="0.25">
      <c r="A284" s="102" t="s">
        <v>77</v>
      </c>
      <c r="B284" s="204">
        <f t="shared" si="141"/>
        <v>0.32056577312978318</v>
      </c>
      <c r="C284" s="204">
        <f t="shared" si="142"/>
        <v>0.30626116921104296</v>
      </c>
      <c r="D284" s="204">
        <f t="shared" si="143"/>
        <v>0.37317305765917375</v>
      </c>
      <c r="E284" s="206">
        <f t="shared" si="144"/>
        <v>0.99999999999999989</v>
      </c>
      <c r="F284" s="102" t="s">
        <v>77</v>
      </c>
      <c r="G284" s="204">
        <f t="shared" si="145"/>
        <v>0.32053653653653646</v>
      </c>
      <c r="H284" s="204">
        <f t="shared" si="146"/>
        <v>0.30576176176176173</v>
      </c>
      <c r="I284" s="204">
        <f t="shared" si="147"/>
        <v>0.37370170170170169</v>
      </c>
      <c r="J284" s="206">
        <f t="shared" si="148"/>
        <v>0.99999999999999989</v>
      </c>
    </row>
    <row r="285" spans="1:10" x14ac:dyDescent="0.25">
      <c r="A285" s="102" t="s">
        <v>78</v>
      </c>
      <c r="B285" s="204">
        <f t="shared" si="141"/>
        <v>0.32093316621517809</v>
      </c>
      <c r="C285" s="204">
        <f t="shared" si="142"/>
        <v>0.3102187361015647</v>
      </c>
      <c r="D285" s="204">
        <f t="shared" si="143"/>
        <v>0.36884809768325721</v>
      </c>
      <c r="E285" s="206">
        <f t="shared" si="144"/>
        <v>1</v>
      </c>
      <c r="F285" s="102" t="s">
        <v>78</v>
      </c>
      <c r="G285" s="204">
        <f t="shared" si="145"/>
        <v>0.32109133120652006</v>
      </c>
      <c r="H285" s="204">
        <f t="shared" si="146"/>
        <v>0.31040450040182155</v>
      </c>
      <c r="I285" s="204">
        <f t="shared" si="147"/>
        <v>0.36850416839165834</v>
      </c>
      <c r="J285" s="206">
        <f t="shared" si="148"/>
        <v>1</v>
      </c>
    </row>
    <row r="286" spans="1:10" x14ac:dyDescent="0.25">
      <c r="A286" s="102" t="s">
        <v>79</v>
      </c>
      <c r="B286" s="204">
        <f t="shared" si="141"/>
        <v>0.31889806739155491</v>
      </c>
      <c r="C286" s="204">
        <f t="shared" si="142"/>
        <v>0.30871633303876744</v>
      </c>
      <c r="D286" s="204">
        <f t="shared" si="143"/>
        <v>0.37238559956967765</v>
      </c>
      <c r="E286" s="206">
        <f t="shared" si="144"/>
        <v>1</v>
      </c>
      <c r="F286" s="102" t="s">
        <v>79</v>
      </c>
      <c r="G286" s="204">
        <f t="shared" si="145"/>
        <v>0.31901799822715532</v>
      </c>
      <c r="H286" s="204">
        <f t="shared" si="146"/>
        <v>0.30887038964042085</v>
      </c>
      <c r="I286" s="204">
        <f t="shared" si="147"/>
        <v>0.37211161213242377</v>
      </c>
      <c r="J286" s="206">
        <f t="shared" si="148"/>
        <v>1</v>
      </c>
    </row>
    <row r="287" spans="1:10" x14ac:dyDescent="0.25">
      <c r="A287" s="102" t="s">
        <v>80</v>
      </c>
      <c r="B287" s="204">
        <f t="shared" si="141"/>
        <v>0.3144852864174259</v>
      </c>
      <c r="C287" s="204">
        <f>$C$186*$C$180+$C$187*C273</f>
        <v>0.31439452647746707</v>
      </c>
      <c r="D287" s="204">
        <f t="shared" si="143"/>
        <v>0.37112018710510697</v>
      </c>
      <c r="E287" s="206">
        <f t="shared" si="144"/>
        <v>0.99999999999999989</v>
      </c>
      <c r="F287" s="102" t="s">
        <v>80</v>
      </c>
      <c r="G287" s="204">
        <f t="shared" si="145"/>
        <v>0.31413444792755135</v>
      </c>
      <c r="H287" s="204">
        <f>$C$186*$C$180+$C$187*H273</f>
        <v>0.31448275862068964</v>
      </c>
      <c r="I287" s="204">
        <f t="shared" si="147"/>
        <v>0.37138279345175895</v>
      </c>
      <c r="J287" s="206">
        <f t="shared" si="148"/>
        <v>0.99999999999999989</v>
      </c>
    </row>
    <row r="288" spans="1:10" x14ac:dyDescent="0.25">
      <c r="A288" s="102" t="s">
        <v>82</v>
      </c>
      <c r="B288" s="204">
        <f t="shared" si="141"/>
        <v>0.31719733989785792</v>
      </c>
      <c r="C288" s="204">
        <f t="shared" si="142"/>
        <v>0.31238417165742</v>
      </c>
      <c r="D288" s="204">
        <f t="shared" si="143"/>
        <v>0.37041848844472203</v>
      </c>
      <c r="E288" s="206">
        <f t="shared" si="144"/>
        <v>0.99999999999999989</v>
      </c>
      <c r="F288" s="102" t="s">
        <v>82</v>
      </c>
      <c r="G288" s="204">
        <f t="shared" si="145"/>
        <v>0.31724934692225615</v>
      </c>
      <c r="H288" s="204">
        <f t="shared" si="146"/>
        <v>0.31178189043011145</v>
      </c>
      <c r="I288" s="204">
        <f t="shared" si="147"/>
        <v>0.37096876264763234</v>
      </c>
      <c r="J288" s="206">
        <f t="shared" si="148"/>
        <v>1</v>
      </c>
    </row>
    <row r="289" spans="1:25" x14ac:dyDescent="0.25">
      <c r="A289" s="102" t="s">
        <v>83</v>
      </c>
      <c r="B289" s="204">
        <f t="shared" si="141"/>
        <v>0.31085217521080516</v>
      </c>
      <c r="C289" s="204">
        <f t="shared" si="142"/>
        <v>0.31137452428923212</v>
      </c>
      <c r="D289" s="204">
        <f t="shared" si="143"/>
        <v>0.37777330049996266</v>
      </c>
      <c r="E289" s="206">
        <f t="shared" si="144"/>
        <v>1</v>
      </c>
      <c r="F289" s="102" t="s">
        <v>83</v>
      </c>
      <c r="G289" s="204">
        <f t="shared" si="145"/>
        <v>0.31074432201484148</v>
      </c>
      <c r="H289" s="204">
        <f t="shared" si="146"/>
        <v>0.31131249531519378</v>
      </c>
      <c r="I289" s="204">
        <f>$C$186*$C$181+$C$187*I275</f>
        <v>0.37794318266996474</v>
      </c>
      <c r="J289" s="206">
        <f t="shared" si="148"/>
        <v>1</v>
      </c>
    </row>
    <row r="291" spans="1:25" ht="15.75" thickBot="1" x14ac:dyDescent="0.3">
      <c r="A291" s="1" t="s">
        <v>260</v>
      </c>
    </row>
    <row r="292" spans="1:25" ht="15.75" thickBot="1" x14ac:dyDescent="0.3">
      <c r="A292" s="304" t="s">
        <v>86</v>
      </c>
      <c r="B292" s="303" t="s">
        <v>209</v>
      </c>
      <c r="C292" s="306"/>
      <c r="D292" s="306"/>
      <c r="E292" s="306"/>
      <c r="F292" s="306"/>
      <c r="G292" s="306"/>
      <c r="H292" s="306"/>
      <c r="I292" s="307"/>
      <c r="J292" s="303" t="s">
        <v>210</v>
      </c>
      <c r="K292" s="306"/>
      <c r="L292" s="306"/>
      <c r="M292" s="306"/>
      <c r="N292" s="306"/>
      <c r="O292" s="306"/>
      <c r="P292" s="306"/>
      <c r="Q292" s="307"/>
      <c r="R292" s="303" t="s">
        <v>211</v>
      </c>
      <c r="S292" s="306"/>
      <c r="T292" s="306"/>
      <c r="U292" s="306"/>
      <c r="V292" s="306"/>
      <c r="W292" s="306"/>
      <c r="X292" s="306"/>
      <c r="Y292" s="307"/>
    </row>
    <row r="293" spans="1:25" ht="33.75" customHeight="1" thickBot="1" x14ac:dyDescent="0.3">
      <c r="A293" s="305"/>
      <c r="B293" s="300" t="s">
        <v>17</v>
      </c>
      <c r="C293" s="301"/>
      <c r="D293" s="301"/>
      <c r="E293" s="302"/>
      <c r="F293" s="303" t="s">
        <v>18</v>
      </c>
      <c r="G293" s="301"/>
      <c r="H293" s="301"/>
      <c r="I293" s="302"/>
      <c r="J293" s="300" t="s">
        <v>17</v>
      </c>
      <c r="K293" s="301"/>
      <c r="L293" s="301"/>
      <c r="M293" s="302"/>
      <c r="N293" s="303" t="s">
        <v>18</v>
      </c>
      <c r="O293" s="301"/>
      <c r="P293" s="301"/>
      <c r="Q293" s="302"/>
      <c r="R293" s="300" t="s">
        <v>17</v>
      </c>
      <c r="S293" s="301"/>
      <c r="T293" s="301"/>
      <c r="U293" s="302"/>
      <c r="V293" s="303" t="s">
        <v>18</v>
      </c>
      <c r="W293" s="301"/>
      <c r="X293" s="301"/>
      <c r="Y293" s="302"/>
    </row>
    <row r="294" spans="1:25" x14ac:dyDescent="0.25">
      <c r="A294" s="169" t="s">
        <v>84</v>
      </c>
      <c r="B294" s="11">
        <f t="shared" ref="B294:B303" si="149">BG12</f>
        <v>6.4600000000000009</v>
      </c>
      <c r="C294" s="12">
        <f t="shared" ref="C294:C303" si="150">BH12</f>
        <v>12.6</v>
      </c>
      <c r="D294" s="12">
        <f t="shared" ref="D294:D303" si="151">BI12</f>
        <v>15.81</v>
      </c>
      <c r="E294" s="13">
        <f t="shared" ref="E294:E303" si="152">BJ12</f>
        <v>20.655000000000001</v>
      </c>
      <c r="F294" s="11">
        <f t="shared" ref="F294:F303" si="153">BK12</f>
        <v>8.3199999999999985</v>
      </c>
      <c r="G294" s="12">
        <f t="shared" ref="G294:G303" si="154">BL12</f>
        <v>12.6</v>
      </c>
      <c r="H294" s="12">
        <f t="shared" ref="H294:H303" si="155">BM12</f>
        <v>15.81</v>
      </c>
      <c r="I294" s="166">
        <f t="shared" ref="I294:I303" si="156">BN12</f>
        <v>19.03</v>
      </c>
      <c r="J294" s="11">
        <f t="shared" ref="J294:J303" si="157">BG64</f>
        <v>4.22</v>
      </c>
      <c r="K294" s="12">
        <f t="shared" ref="K294:K303" si="158">BH64</f>
        <v>9.89</v>
      </c>
      <c r="L294" s="12">
        <f t="shared" ref="L294:L303" si="159">BI64</f>
        <v>15.18</v>
      </c>
      <c r="M294" s="13">
        <f t="shared" ref="M294:M303" si="160">BJ64</f>
        <v>21.215000000000003</v>
      </c>
      <c r="N294" s="11">
        <f t="shared" ref="N294:N303" si="161">BK64</f>
        <v>5.6749999999999989</v>
      </c>
      <c r="O294" s="12">
        <f t="shared" ref="O294:O303" si="162">BL64</f>
        <v>9.89</v>
      </c>
      <c r="P294" s="12">
        <f t="shared" ref="P294:P303" si="163">BM64</f>
        <v>15.18</v>
      </c>
      <c r="Q294" s="13">
        <f t="shared" ref="Q294:Q303" si="164">BN64</f>
        <v>19.23</v>
      </c>
      <c r="R294" s="11">
        <f t="shared" ref="R294:R303" si="165">BG116</f>
        <v>5.0450000000000008</v>
      </c>
      <c r="S294" s="12">
        <f t="shared" ref="S294:S303" si="166">BH116</f>
        <v>9.9149999999999991</v>
      </c>
      <c r="T294" s="12">
        <f t="shared" ref="T294:T303" si="167">BI116</f>
        <v>13.555</v>
      </c>
      <c r="U294" s="13">
        <f t="shared" ref="U294:U303" si="168">BJ116</f>
        <v>18.465</v>
      </c>
      <c r="V294" s="11">
        <f t="shared" ref="V294:V303" si="169">BK116</f>
        <v>6.4289999999999994</v>
      </c>
      <c r="W294" s="12">
        <f t="shared" ref="W294:W303" si="170">BL116</f>
        <v>9.9149999999999991</v>
      </c>
      <c r="X294" s="12">
        <f t="shared" ref="X294:X303" si="171">BM116</f>
        <v>13.555</v>
      </c>
      <c r="Y294" s="13">
        <f t="shared" ref="Y294:Y303" si="172">BN116</f>
        <v>16.830000000000002</v>
      </c>
    </row>
    <row r="295" spans="1:25" x14ac:dyDescent="0.25">
      <c r="A295" s="164" t="s">
        <v>73</v>
      </c>
      <c r="B295" s="9">
        <f t="shared" si="149"/>
        <v>1.1550000000000002</v>
      </c>
      <c r="C295" s="2">
        <f t="shared" si="150"/>
        <v>4.4550000000000001</v>
      </c>
      <c r="D295" s="2">
        <f t="shared" si="151"/>
        <v>9.0749999999999993</v>
      </c>
      <c r="E295" s="10">
        <f t="shared" si="152"/>
        <v>14.025</v>
      </c>
      <c r="F295" s="9">
        <f t="shared" si="153"/>
        <v>1.8190000000000008</v>
      </c>
      <c r="G295" s="2">
        <f t="shared" si="154"/>
        <v>4.4550000000000001</v>
      </c>
      <c r="H295" s="2">
        <f t="shared" si="155"/>
        <v>9.0749999999999993</v>
      </c>
      <c r="I295" s="159">
        <f t="shared" si="156"/>
        <v>12.430000000000003</v>
      </c>
      <c r="J295" s="9">
        <f t="shared" si="157"/>
        <v>1.1550000000000002</v>
      </c>
      <c r="K295" s="2">
        <f t="shared" si="158"/>
        <v>5.5550000000000006</v>
      </c>
      <c r="L295" s="2">
        <f t="shared" si="159"/>
        <v>11.275</v>
      </c>
      <c r="M295" s="10">
        <f t="shared" si="160"/>
        <v>16.775000000000002</v>
      </c>
      <c r="N295" s="9">
        <f t="shared" si="161"/>
        <v>1.9650000000000007</v>
      </c>
      <c r="O295" s="2">
        <f t="shared" si="162"/>
        <v>5.5550000000000006</v>
      </c>
      <c r="P295" s="2">
        <f t="shared" si="163"/>
        <v>11.275</v>
      </c>
      <c r="Q295" s="10">
        <f t="shared" si="164"/>
        <v>15.030000000000005</v>
      </c>
      <c r="R295" s="180">
        <f t="shared" si="165"/>
        <v>0.60499999999999998</v>
      </c>
      <c r="S295" s="181">
        <f t="shared" si="166"/>
        <v>3.6300000000000008</v>
      </c>
      <c r="T295" s="181">
        <f t="shared" si="167"/>
        <v>8.25</v>
      </c>
      <c r="U295" s="182">
        <f t="shared" si="168"/>
        <v>12.9</v>
      </c>
      <c r="V295" s="180">
        <f t="shared" si="169"/>
        <v>1.0249999999999999</v>
      </c>
      <c r="W295" s="181">
        <f t="shared" si="170"/>
        <v>3.6300000000000008</v>
      </c>
      <c r="X295" s="181">
        <f t="shared" si="171"/>
        <v>8.25</v>
      </c>
      <c r="Y295" s="182">
        <f t="shared" si="172"/>
        <v>11.430000000000001</v>
      </c>
    </row>
    <row r="296" spans="1:25" x14ac:dyDescent="0.25">
      <c r="A296" s="164" t="s">
        <v>74</v>
      </c>
      <c r="B296" s="9">
        <f t="shared" si="149"/>
        <v>4.0150000000000006</v>
      </c>
      <c r="C296" s="2">
        <f t="shared" si="150"/>
        <v>7.4250000000000007</v>
      </c>
      <c r="D296" s="2">
        <f t="shared" si="151"/>
        <v>12.705000000000002</v>
      </c>
      <c r="E296" s="10">
        <f t="shared" si="152"/>
        <v>19.965</v>
      </c>
      <c r="F296" s="9">
        <f t="shared" si="153"/>
        <v>5.08</v>
      </c>
      <c r="G296" s="2">
        <f t="shared" si="154"/>
        <v>7.4250000000000007</v>
      </c>
      <c r="H296" s="2">
        <f t="shared" si="155"/>
        <v>12.705000000000002</v>
      </c>
      <c r="I296" s="159">
        <f t="shared" si="156"/>
        <v>17.489999999999998</v>
      </c>
      <c r="J296" s="9">
        <f t="shared" si="157"/>
        <v>7.3000000000000007</v>
      </c>
      <c r="K296" s="2">
        <f t="shared" si="158"/>
        <v>13.325000000000001</v>
      </c>
      <c r="L296" s="2">
        <f t="shared" si="159"/>
        <v>18.395</v>
      </c>
      <c r="M296" s="10">
        <f t="shared" si="160"/>
        <v>25.310000000000002</v>
      </c>
      <c r="N296" s="9">
        <f t="shared" si="161"/>
        <v>9.1149999999999984</v>
      </c>
      <c r="O296" s="2">
        <f t="shared" si="162"/>
        <v>13.325000000000001</v>
      </c>
      <c r="P296" s="2">
        <f t="shared" si="163"/>
        <v>18.395</v>
      </c>
      <c r="Q296" s="10">
        <f t="shared" si="164"/>
        <v>22.96</v>
      </c>
      <c r="R296" s="9">
        <f t="shared" si="165"/>
        <v>4.8249999999999993</v>
      </c>
      <c r="S296" s="2">
        <f t="shared" si="166"/>
        <v>9.4499999999999993</v>
      </c>
      <c r="T296" s="2">
        <f t="shared" si="167"/>
        <v>13.97</v>
      </c>
      <c r="U296" s="10">
        <f t="shared" si="168"/>
        <v>20.310000000000002</v>
      </c>
      <c r="V296" s="9">
        <f t="shared" si="169"/>
        <v>6.2499999999999982</v>
      </c>
      <c r="W296" s="2">
        <f t="shared" si="170"/>
        <v>9.4499999999999993</v>
      </c>
      <c r="X296" s="2">
        <f t="shared" si="171"/>
        <v>13.97</v>
      </c>
      <c r="Y296" s="10">
        <f t="shared" si="172"/>
        <v>18.159999999999997</v>
      </c>
    </row>
    <row r="297" spans="1:25" x14ac:dyDescent="0.25">
      <c r="A297" s="164" t="s">
        <v>75</v>
      </c>
      <c r="B297" s="9">
        <f t="shared" si="149"/>
        <v>5.6500000000000012</v>
      </c>
      <c r="C297" s="2">
        <f t="shared" si="150"/>
        <v>10.574999999999999</v>
      </c>
      <c r="D297" s="2">
        <f t="shared" si="151"/>
        <v>14.545000000000002</v>
      </c>
      <c r="E297" s="10">
        <f t="shared" si="152"/>
        <v>20.309999999999999</v>
      </c>
      <c r="F297" s="9">
        <f t="shared" si="153"/>
        <v>7.15</v>
      </c>
      <c r="G297" s="2">
        <f t="shared" si="154"/>
        <v>10.574999999999999</v>
      </c>
      <c r="H297" s="2">
        <f t="shared" si="155"/>
        <v>14.545000000000002</v>
      </c>
      <c r="I297" s="159">
        <f t="shared" si="156"/>
        <v>18.36</v>
      </c>
      <c r="J297" s="9">
        <f t="shared" si="157"/>
        <v>6.1450000000000005</v>
      </c>
      <c r="K297" s="2">
        <f t="shared" si="158"/>
        <v>11.840000000000002</v>
      </c>
      <c r="L297" s="2">
        <f t="shared" si="159"/>
        <v>16.579999999999998</v>
      </c>
      <c r="M297" s="10">
        <f t="shared" si="160"/>
        <v>22.340000000000003</v>
      </c>
      <c r="N297" s="9">
        <f t="shared" si="161"/>
        <v>7.5999999999999979</v>
      </c>
      <c r="O297" s="2">
        <f t="shared" si="162"/>
        <v>11.840000000000002</v>
      </c>
      <c r="P297" s="2">
        <f t="shared" si="163"/>
        <v>16.579999999999998</v>
      </c>
      <c r="Q297" s="10">
        <f t="shared" si="164"/>
        <v>20.43</v>
      </c>
      <c r="R297" s="9">
        <f t="shared" si="165"/>
        <v>2.1950000000000003</v>
      </c>
      <c r="S297" s="2">
        <f t="shared" si="166"/>
        <v>6.0149999999999997</v>
      </c>
      <c r="T297" s="2">
        <f t="shared" si="167"/>
        <v>10.755000000000001</v>
      </c>
      <c r="U297" s="10">
        <f t="shared" si="168"/>
        <v>16.215000000000003</v>
      </c>
      <c r="V297" s="9">
        <f t="shared" si="169"/>
        <v>3.1250000000000009</v>
      </c>
      <c r="W297" s="2">
        <f t="shared" si="170"/>
        <v>6.0149999999999997</v>
      </c>
      <c r="X297" s="2">
        <f t="shared" si="171"/>
        <v>10.755000000000001</v>
      </c>
      <c r="Y297" s="10">
        <f t="shared" si="172"/>
        <v>14.430000000000003</v>
      </c>
    </row>
    <row r="298" spans="1:25" x14ac:dyDescent="0.25">
      <c r="A298" s="164" t="s">
        <v>77</v>
      </c>
      <c r="B298" s="9">
        <f t="shared" si="149"/>
        <v>4.45</v>
      </c>
      <c r="C298" s="2">
        <f t="shared" si="150"/>
        <v>8.3250000000000011</v>
      </c>
      <c r="D298" s="2">
        <f t="shared" si="151"/>
        <v>13.395</v>
      </c>
      <c r="E298" s="10">
        <f t="shared" si="152"/>
        <v>20.310000000000002</v>
      </c>
      <c r="F298" s="9">
        <f t="shared" si="153"/>
        <v>5.6650000000000009</v>
      </c>
      <c r="G298" s="2">
        <f t="shared" si="154"/>
        <v>8.3250000000000011</v>
      </c>
      <c r="H298" s="2">
        <f t="shared" si="155"/>
        <v>13.395</v>
      </c>
      <c r="I298" s="159">
        <f t="shared" si="156"/>
        <v>17.96</v>
      </c>
      <c r="J298" s="9">
        <f t="shared" si="157"/>
        <v>7.3000000000000007</v>
      </c>
      <c r="K298" s="2">
        <f t="shared" si="158"/>
        <v>13.325000000000001</v>
      </c>
      <c r="L298" s="2">
        <f t="shared" si="159"/>
        <v>18.395</v>
      </c>
      <c r="M298" s="10">
        <f t="shared" si="160"/>
        <v>25.310000000000002</v>
      </c>
      <c r="N298" s="9">
        <f t="shared" si="161"/>
        <v>9.1149999999999984</v>
      </c>
      <c r="O298" s="2">
        <f t="shared" si="162"/>
        <v>13.325000000000001</v>
      </c>
      <c r="P298" s="2">
        <f t="shared" si="163"/>
        <v>18.395</v>
      </c>
      <c r="Q298" s="10">
        <f t="shared" si="164"/>
        <v>22.96</v>
      </c>
      <c r="R298" s="9">
        <f t="shared" si="165"/>
        <v>2.57</v>
      </c>
      <c r="S298" s="2">
        <f t="shared" si="166"/>
        <v>7.14</v>
      </c>
      <c r="T298" s="2">
        <f t="shared" si="167"/>
        <v>11.33</v>
      </c>
      <c r="U298" s="10">
        <f t="shared" si="168"/>
        <v>16.215</v>
      </c>
      <c r="V298" s="9">
        <f t="shared" si="169"/>
        <v>3.7099999999999991</v>
      </c>
      <c r="W298" s="2">
        <f t="shared" si="170"/>
        <v>7.14</v>
      </c>
      <c r="X298" s="2">
        <f t="shared" si="171"/>
        <v>11.33</v>
      </c>
      <c r="Y298" s="10">
        <f t="shared" si="172"/>
        <v>14.63</v>
      </c>
    </row>
    <row r="299" spans="1:25" x14ac:dyDescent="0.25">
      <c r="A299" s="164" t="s">
        <v>78</v>
      </c>
      <c r="B299" s="9">
        <f t="shared" si="149"/>
        <v>4.495000000000001</v>
      </c>
      <c r="C299" s="2">
        <f t="shared" si="150"/>
        <v>9.09</v>
      </c>
      <c r="D299" s="2">
        <f t="shared" si="151"/>
        <v>12.73</v>
      </c>
      <c r="E299" s="10">
        <f t="shared" si="152"/>
        <v>17.34</v>
      </c>
      <c r="F299" s="9">
        <f t="shared" si="153"/>
        <v>5.6349999999999989</v>
      </c>
      <c r="G299" s="2">
        <f t="shared" si="154"/>
        <v>9.09</v>
      </c>
      <c r="H299" s="2">
        <f t="shared" si="155"/>
        <v>12.73</v>
      </c>
      <c r="I299" s="159">
        <f t="shared" si="156"/>
        <v>15.83</v>
      </c>
      <c r="J299" s="9">
        <f t="shared" si="157"/>
        <v>6.1450000000000005</v>
      </c>
      <c r="K299" s="2">
        <f t="shared" si="158"/>
        <v>11.840000000000002</v>
      </c>
      <c r="L299" s="2">
        <f t="shared" si="159"/>
        <v>16.579999999999998</v>
      </c>
      <c r="M299" s="10">
        <f t="shared" si="160"/>
        <v>22.340000000000003</v>
      </c>
      <c r="N299" s="9">
        <f t="shared" si="161"/>
        <v>7.5999999999999979</v>
      </c>
      <c r="O299" s="2">
        <f t="shared" si="162"/>
        <v>11.840000000000002</v>
      </c>
      <c r="P299" s="2">
        <f t="shared" si="163"/>
        <v>16.579999999999998</v>
      </c>
      <c r="Q299" s="10">
        <f t="shared" si="164"/>
        <v>20.43</v>
      </c>
      <c r="R299" s="9">
        <f t="shared" si="165"/>
        <v>1.1550000000000002</v>
      </c>
      <c r="S299" s="2">
        <f t="shared" si="166"/>
        <v>4.4550000000000001</v>
      </c>
      <c r="T299" s="2">
        <f t="shared" si="167"/>
        <v>9.0750000000000011</v>
      </c>
      <c r="U299" s="10">
        <f t="shared" si="168"/>
        <v>14.025</v>
      </c>
      <c r="V299" s="9">
        <f t="shared" si="169"/>
        <v>1.8190000000000008</v>
      </c>
      <c r="W299" s="2">
        <f t="shared" si="170"/>
        <v>4.4550000000000001</v>
      </c>
      <c r="X299" s="2">
        <f t="shared" si="171"/>
        <v>9.0750000000000011</v>
      </c>
      <c r="Y299" s="10">
        <f t="shared" si="172"/>
        <v>12.430000000000003</v>
      </c>
    </row>
    <row r="300" spans="1:25" x14ac:dyDescent="0.25">
      <c r="A300" s="164" t="s">
        <v>79</v>
      </c>
      <c r="B300" s="9">
        <f t="shared" si="149"/>
        <v>4.495000000000001</v>
      </c>
      <c r="C300" s="2">
        <f t="shared" si="150"/>
        <v>9.09</v>
      </c>
      <c r="D300" s="2">
        <f t="shared" si="151"/>
        <v>12.73</v>
      </c>
      <c r="E300" s="10">
        <f t="shared" si="152"/>
        <v>17.34</v>
      </c>
      <c r="F300" s="9">
        <f t="shared" si="153"/>
        <v>5.6349999999999989</v>
      </c>
      <c r="G300" s="2">
        <f t="shared" si="154"/>
        <v>9.09</v>
      </c>
      <c r="H300" s="2">
        <f t="shared" si="155"/>
        <v>12.73</v>
      </c>
      <c r="I300" s="159">
        <f t="shared" si="156"/>
        <v>15.83</v>
      </c>
      <c r="J300" s="9">
        <f t="shared" si="157"/>
        <v>6.1450000000000005</v>
      </c>
      <c r="K300" s="2">
        <f t="shared" si="158"/>
        <v>11.840000000000002</v>
      </c>
      <c r="L300" s="2">
        <f t="shared" si="159"/>
        <v>16.579999999999998</v>
      </c>
      <c r="M300" s="10">
        <f t="shared" si="160"/>
        <v>22.340000000000003</v>
      </c>
      <c r="N300" s="9">
        <f t="shared" si="161"/>
        <v>7.5999999999999979</v>
      </c>
      <c r="O300" s="2">
        <f t="shared" si="162"/>
        <v>11.840000000000002</v>
      </c>
      <c r="P300" s="2">
        <f t="shared" si="163"/>
        <v>16.579999999999998</v>
      </c>
      <c r="Q300" s="10">
        <f t="shared" si="164"/>
        <v>20.43</v>
      </c>
      <c r="R300" s="9">
        <f t="shared" si="165"/>
        <v>2.1950000000000003</v>
      </c>
      <c r="S300" s="2">
        <f t="shared" si="166"/>
        <v>6.0149999999999997</v>
      </c>
      <c r="T300" s="2">
        <f t="shared" si="167"/>
        <v>10.755000000000001</v>
      </c>
      <c r="U300" s="10">
        <f t="shared" si="168"/>
        <v>16.215000000000003</v>
      </c>
      <c r="V300" s="9">
        <f t="shared" si="169"/>
        <v>3.1250000000000009</v>
      </c>
      <c r="W300" s="2">
        <f t="shared" si="170"/>
        <v>6.0149999999999997</v>
      </c>
      <c r="X300" s="2">
        <f t="shared" si="171"/>
        <v>10.755000000000001</v>
      </c>
      <c r="Y300" s="10">
        <f t="shared" si="172"/>
        <v>14.430000000000003</v>
      </c>
    </row>
    <row r="301" spans="1:25" x14ac:dyDescent="0.25">
      <c r="A301" s="164" t="s">
        <v>80</v>
      </c>
      <c r="B301" s="9">
        <f t="shared" si="149"/>
        <v>5.26</v>
      </c>
      <c r="C301" s="2">
        <f t="shared" si="150"/>
        <v>10.350000000000001</v>
      </c>
      <c r="D301" s="2">
        <f t="shared" si="151"/>
        <v>14.66</v>
      </c>
      <c r="E301" s="10">
        <f t="shared" si="152"/>
        <v>20.655000000000001</v>
      </c>
      <c r="F301" s="9">
        <f t="shared" si="153"/>
        <v>6.8349999999999991</v>
      </c>
      <c r="G301" s="2">
        <f t="shared" si="154"/>
        <v>10.350000000000001</v>
      </c>
      <c r="H301" s="2">
        <f t="shared" si="155"/>
        <v>14.66</v>
      </c>
      <c r="I301" s="159">
        <f t="shared" si="156"/>
        <v>18.63</v>
      </c>
      <c r="J301" s="9">
        <f t="shared" si="157"/>
        <v>4.22</v>
      </c>
      <c r="K301" s="2">
        <f t="shared" si="158"/>
        <v>9.89</v>
      </c>
      <c r="L301" s="2">
        <f t="shared" si="159"/>
        <v>15.18</v>
      </c>
      <c r="M301" s="10">
        <f t="shared" si="160"/>
        <v>21.215000000000003</v>
      </c>
      <c r="N301" s="9">
        <f t="shared" si="161"/>
        <v>5.6749999999999989</v>
      </c>
      <c r="O301" s="2">
        <f t="shared" si="162"/>
        <v>9.89</v>
      </c>
      <c r="P301" s="2">
        <f t="shared" si="163"/>
        <v>15.18</v>
      </c>
      <c r="Q301" s="10">
        <f t="shared" si="164"/>
        <v>19.23</v>
      </c>
      <c r="R301" s="9">
        <f t="shared" si="165"/>
        <v>4.495000000000001</v>
      </c>
      <c r="S301" s="2">
        <f t="shared" si="166"/>
        <v>9.09</v>
      </c>
      <c r="T301" s="2">
        <f t="shared" si="167"/>
        <v>12.73</v>
      </c>
      <c r="U301" s="10">
        <f t="shared" si="168"/>
        <v>17.34</v>
      </c>
      <c r="V301" s="9">
        <f t="shared" si="169"/>
        <v>5.6349999999999989</v>
      </c>
      <c r="W301" s="2">
        <f t="shared" si="170"/>
        <v>9.09</v>
      </c>
      <c r="X301" s="2">
        <f t="shared" si="171"/>
        <v>12.73</v>
      </c>
      <c r="Y301" s="10">
        <f t="shared" si="172"/>
        <v>15.83</v>
      </c>
    </row>
    <row r="302" spans="1:25" x14ac:dyDescent="0.25">
      <c r="A302" s="164" t="s">
        <v>82</v>
      </c>
      <c r="B302" s="9">
        <f t="shared" si="149"/>
        <v>4.45</v>
      </c>
      <c r="C302" s="2">
        <f t="shared" si="150"/>
        <v>8.3250000000000011</v>
      </c>
      <c r="D302" s="2">
        <f t="shared" si="151"/>
        <v>13.395</v>
      </c>
      <c r="E302" s="10">
        <f t="shared" si="152"/>
        <v>20.310000000000002</v>
      </c>
      <c r="F302" s="9">
        <f t="shared" si="153"/>
        <v>5.6650000000000009</v>
      </c>
      <c r="G302" s="2">
        <f t="shared" si="154"/>
        <v>8.3250000000000011</v>
      </c>
      <c r="H302" s="2">
        <f t="shared" si="155"/>
        <v>13.395</v>
      </c>
      <c r="I302" s="159">
        <f t="shared" si="156"/>
        <v>17.96</v>
      </c>
      <c r="J302" s="9">
        <f t="shared" si="157"/>
        <v>5.0450000000000008</v>
      </c>
      <c r="K302" s="2">
        <f t="shared" si="158"/>
        <v>11.015000000000001</v>
      </c>
      <c r="L302" s="2">
        <f t="shared" si="159"/>
        <v>15.754999999999999</v>
      </c>
      <c r="M302" s="10">
        <f t="shared" si="160"/>
        <v>21.215</v>
      </c>
      <c r="N302" s="9">
        <f t="shared" si="161"/>
        <v>6.5749999999999993</v>
      </c>
      <c r="O302" s="2">
        <f t="shared" si="162"/>
        <v>11.015000000000001</v>
      </c>
      <c r="P302" s="2">
        <f t="shared" si="163"/>
        <v>15.754999999999999</v>
      </c>
      <c r="Q302" s="10">
        <f t="shared" si="164"/>
        <v>19.430000000000003</v>
      </c>
      <c r="R302" s="9">
        <f t="shared" si="165"/>
        <v>2.57</v>
      </c>
      <c r="S302" s="2">
        <f t="shared" si="166"/>
        <v>7.14</v>
      </c>
      <c r="T302" s="2">
        <f t="shared" si="167"/>
        <v>11.33</v>
      </c>
      <c r="U302" s="10">
        <f t="shared" si="168"/>
        <v>16.215</v>
      </c>
      <c r="V302" s="9">
        <f t="shared" si="169"/>
        <v>3.7099999999999991</v>
      </c>
      <c r="W302" s="2">
        <f t="shared" si="170"/>
        <v>7.14</v>
      </c>
      <c r="X302" s="2">
        <f t="shared" si="171"/>
        <v>11.33</v>
      </c>
      <c r="Y302" s="10">
        <f t="shared" si="172"/>
        <v>14.63</v>
      </c>
    </row>
    <row r="303" spans="1:25" ht="15.75" thickBot="1" x14ac:dyDescent="0.3">
      <c r="A303" s="165" t="s">
        <v>83</v>
      </c>
      <c r="B303" s="160">
        <f t="shared" si="149"/>
        <v>2.1950000000000003</v>
      </c>
      <c r="C303" s="120">
        <f t="shared" si="150"/>
        <v>6.0150000000000006</v>
      </c>
      <c r="D303" s="120">
        <f t="shared" si="151"/>
        <v>10.754999999999999</v>
      </c>
      <c r="E303" s="124">
        <f t="shared" si="152"/>
        <v>16.215</v>
      </c>
      <c r="F303" s="160">
        <f t="shared" si="153"/>
        <v>3.1250000000000009</v>
      </c>
      <c r="G303" s="120">
        <f t="shared" si="154"/>
        <v>6.0150000000000006</v>
      </c>
      <c r="H303" s="120">
        <f t="shared" si="155"/>
        <v>10.754999999999999</v>
      </c>
      <c r="I303" s="167">
        <f t="shared" si="156"/>
        <v>14.430000000000003</v>
      </c>
      <c r="J303" s="160">
        <f t="shared" si="157"/>
        <v>5.0450000000000008</v>
      </c>
      <c r="K303" s="120">
        <f t="shared" si="158"/>
        <v>11.015000000000001</v>
      </c>
      <c r="L303" s="120">
        <f t="shared" si="159"/>
        <v>15.754999999999999</v>
      </c>
      <c r="M303" s="124">
        <f t="shared" si="160"/>
        <v>21.215</v>
      </c>
      <c r="N303" s="160">
        <f t="shared" si="161"/>
        <v>6.5749999999999993</v>
      </c>
      <c r="O303" s="120">
        <f t="shared" si="162"/>
        <v>11.015000000000001</v>
      </c>
      <c r="P303" s="120">
        <f t="shared" si="163"/>
        <v>15.754999999999999</v>
      </c>
      <c r="Q303" s="124">
        <f t="shared" si="164"/>
        <v>19.430000000000003</v>
      </c>
      <c r="R303" s="160">
        <f t="shared" si="165"/>
        <v>4.22</v>
      </c>
      <c r="S303" s="120">
        <f t="shared" si="166"/>
        <v>8.7900000000000009</v>
      </c>
      <c r="T303" s="120">
        <f t="shared" si="167"/>
        <v>12.98</v>
      </c>
      <c r="U303" s="124">
        <f t="shared" si="168"/>
        <v>18.465</v>
      </c>
      <c r="V303" s="160">
        <f t="shared" si="169"/>
        <v>5.5289999999999981</v>
      </c>
      <c r="W303" s="120">
        <f t="shared" si="170"/>
        <v>8.7900000000000009</v>
      </c>
      <c r="X303" s="120">
        <f t="shared" si="171"/>
        <v>12.98</v>
      </c>
      <c r="Y303" s="124">
        <f t="shared" si="172"/>
        <v>16.63</v>
      </c>
    </row>
    <row r="305" spans="1:40" ht="15.75" thickBot="1" x14ac:dyDescent="0.3">
      <c r="A305" s="1" t="s">
        <v>217</v>
      </c>
      <c r="AH305">
        <v>0.8</v>
      </c>
    </row>
    <row r="306" spans="1:40" ht="15.75" thickBot="1" x14ac:dyDescent="0.3">
      <c r="A306" s="304" t="s">
        <v>86</v>
      </c>
      <c r="B306" s="303" t="s">
        <v>214</v>
      </c>
      <c r="C306" s="306"/>
      <c r="D306" s="306"/>
      <c r="E306" s="306"/>
      <c r="F306" s="306"/>
      <c r="G306" s="306"/>
      <c r="H306" s="306"/>
      <c r="I306" s="307"/>
      <c r="J306" s="303" t="s">
        <v>215</v>
      </c>
      <c r="K306" s="306"/>
      <c r="L306" s="306"/>
      <c r="M306" s="306"/>
      <c r="N306" s="306"/>
      <c r="O306" s="306"/>
      <c r="P306" s="306"/>
      <c r="Q306" s="307"/>
      <c r="R306" s="303" t="s">
        <v>218</v>
      </c>
      <c r="S306" s="306"/>
      <c r="T306" s="306"/>
      <c r="U306" s="306"/>
      <c r="V306" s="306"/>
      <c r="W306" s="306"/>
      <c r="X306" s="306"/>
      <c r="Y306" s="307"/>
      <c r="Z306" s="280" t="s">
        <v>216</v>
      </c>
      <c r="AA306" s="281"/>
      <c r="AB306" s="281"/>
      <c r="AC306" s="281"/>
      <c r="AD306" s="281"/>
      <c r="AE306" s="281"/>
      <c r="AF306" s="281"/>
      <c r="AG306" s="282"/>
      <c r="AH306" s="292" t="s">
        <v>151</v>
      </c>
      <c r="AI306" s="293"/>
      <c r="AJ306" s="293"/>
      <c r="AK306" s="294"/>
      <c r="AL306" s="288" t="s">
        <v>153</v>
      </c>
      <c r="AM306" s="289"/>
      <c r="AN306" s="290" t="s">
        <v>156</v>
      </c>
    </row>
    <row r="307" spans="1:40" ht="31.5" customHeight="1" thickBot="1" x14ac:dyDescent="0.3">
      <c r="A307" s="305"/>
      <c r="B307" s="300" t="s">
        <v>17</v>
      </c>
      <c r="C307" s="301"/>
      <c r="D307" s="301"/>
      <c r="E307" s="302"/>
      <c r="F307" s="303" t="s">
        <v>18</v>
      </c>
      <c r="G307" s="301"/>
      <c r="H307" s="301"/>
      <c r="I307" s="302"/>
      <c r="J307" s="300" t="s">
        <v>17</v>
      </c>
      <c r="K307" s="301"/>
      <c r="L307" s="301"/>
      <c r="M307" s="302"/>
      <c r="N307" s="303" t="s">
        <v>18</v>
      </c>
      <c r="O307" s="301"/>
      <c r="P307" s="301"/>
      <c r="Q307" s="302"/>
      <c r="R307" s="300" t="s">
        <v>17</v>
      </c>
      <c r="S307" s="301"/>
      <c r="T307" s="301"/>
      <c r="U307" s="302"/>
      <c r="V307" s="303" t="s">
        <v>18</v>
      </c>
      <c r="W307" s="301"/>
      <c r="X307" s="301"/>
      <c r="Y307" s="302"/>
      <c r="Z307" s="280" t="s">
        <v>17</v>
      </c>
      <c r="AA307" s="281"/>
      <c r="AB307" s="281"/>
      <c r="AC307" s="282"/>
      <c r="AD307" s="280" t="s">
        <v>18</v>
      </c>
      <c r="AE307" s="281"/>
      <c r="AF307" s="281"/>
      <c r="AG307" s="282"/>
      <c r="AH307" s="295" t="s">
        <v>152</v>
      </c>
      <c r="AI307" s="296"/>
      <c r="AJ307" s="295" t="s">
        <v>26</v>
      </c>
      <c r="AK307" s="297"/>
      <c r="AL307" s="145" t="s">
        <v>154</v>
      </c>
      <c r="AM307" s="145" t="s">
        <v>155</v>
      </c>
      <c r="AN307" s="291"/>
    </row>
    <row r="308" spans="1:40" x14ac:dyDescent="0.25">
      <c r="A308" s="169" t="s">
        <v>84</v>
      </c>
      <c r="B308" s="40">
        <f>B294*$B280</f>
        <v>2.0177069447870055</v>
      </c>
      <c r="C308" s="41">
        <f t="shared" ref="C308:E308" si="173">C294*$B280</f>
        <v>3.9354655579436946</v>
      </c>
      <c r="D308" s="41">
        <f t="shared" si="173"/>
        <v>4.938072259610303</v>
      </c>
      <c r="E308" s="42">
        <f t="shared" si="173"/>
        <v>6.4513524682005574</v>
      </c>
      <c r="F308" s="40">
        <f>F294*$G280</f>
        <v>2.5959690377158964</v>
      </c>
      <c r="G308" s="41">
        <f t="shared" ref="G308:I308" si="174">G294*$G280</f>
        <v>3.9313954176947474</v>
      </c>
      <c r="H308" s="41">
        <f t="shared" si="174"/>
        <v>4.9329652026788855</v>
      </c>
      <c r="I308" s="215">
        <f t="shared" si="174"/>
        <v>5.9376551427564328</v>
      </c>
      <c r="J308" s="40">
        <f>J294*$C280</f>
        <v>1.3279417074803566</v>
      </c>
      <c r="K308" s="41">
        <f t="shared" ref="K308:M308" si="175">K294*$C280</f>
        <v>3.1121667030760021</v>
      </c>
      <c r="L308" s="41">
        <f t="shared" si="175"/>
        <v>4.776814009372468</v>
      </c>
      <c r="M308" s="42">
        <f t="shared" si="175"/>
        <v>6.6758965223212732</v>
      </c>
      <c r="N308" s="40">
        <f>N294*$H280</f>
        <v>1.7875989954176941</v>
      </c>
      <c r="O308" s="41">
        <f t="shared" ref="O308:Q308" si="176">O294*$H280</f>
        <v>3.115304681001057</v>
      </c>
      <c r="P308" s="41">
        <f t="shared" si="176"/>
        <v>4.7816304406062731</v>
      </c>
      <c r="Q308" s="215">
        <f t="shared" si="176"/>
        <v>6.0573618822700031</v>
      </c>
      <c r="R308" s="40">
        <f>R294*$D280</f>
        <v>1.8817009196293299</v>
      </c>
      <c r="S308" s="41">
        <f t="shared" ref="S308:U308" si="177">S294*$D280</f>
        <v>3.6981297558225572</v>
      </c>
      <c r="T308" s="41">
        <f t="shared" si="177"/>
        <v>5.0557890912934713</v>
      </c>
      <c r="U308" s="42">
        <f t="shared" si="177"/>
        <v>6.8871372608435228</v>
      </c>
      <c r="V308" s="40">
        <f>V294*$I280</f>
        <v>2.3979467500881206</v>
      </c>
      <c r="W308" s="41">
        <f t="shared" ref="W308:Y308" si="178">W294*$I280</f>
        <v>3.6981866584420158</v>
      </c>
      <c r="X308" s="41">
        <f t="shared" si="178"/>
        <v>5.0558668840324277</v>
      </c>
      <c r="Y308" s="215">
        <f t="shared" si="178"/>
        <v>6.2774060979908359</v>
      </c>
      <c r="Z308" s="256">
        <f>B308+J308+R308</f>
        <v>5.227349571896692</v>
      </c>
      <c r="AA308" s="257">
        <f t="shared" ref="AA308:AG317" si="179">C308+K308+S308</f>
        <v>10.745762016842253</v>
      </c>
      <c r="AB308" s="257">
        <f t="shared" si="179"/>
        <v>14.770675360276242</v>
      </c>
      <c r="AC308" s="258">
        <f t="shared" si="179"/>
        <v>20.014386251365355</v>
      </c>
      <c r="AD308" s="256">
        <f t="shared" si="179"/>
        <v>6.7815147832217111</v>
      </c>
      <c r="AE308" s="257">
        <f t="shared" si="179"/>
        <v>10.74488675713782</v>
      </c>
      <c r="AF308" s="257">
        <f t="shared" si="179"/>
        <v>14.770462527317585</v>
      </c>
      <c r="AG308" s="259">
        <f t="shared" si="179"/>
        <v>18.272423123017269</v>
      </c>
      <c r="AH308" s="223">
        <f>AH$305*AA308+(1-AH$305)*Z308</f>
        <v>9.6420795278531415</v>
      </c>
      <c r="AI308" s="224">
        <f>AH$305*AB308+(1-AH$305)*AC308</f>
        <v>15.819417538494065</v>
      </c>
      <c r="AJ308" s="223">
        <f>AH$305*AE308+(1-AH$305)*AD308</f>
        <v>9.9522123623545991</v>
      </c>
      <c r="AK308" s="224">
        <f>AH$305*AF308+(1-AH$305)*AG308</f>
        <v>15.470854646457523</v>
      </c>
      <c r="AL308" s="223">
        <f>(AH308+AI308)/2</f>
        <v>12.730748533173603</v>
      </c>
      <c r="AM308" s="224">
        <f>(AJ308+AK308)/2</f>
        <v>12.711533504406061</v>
      </c>
      <c r="AN308" s="225">
        <f>(AL308+AM308)/2</f>
        <v>12.721141018789833</v>
      </c>
    </row>
    <row r="309" spans="1:40" x14ac:dyDescent="0.25">
      <c r="A309" s="164" t="s">
        <v>73</v>
      </c>
      <c r="B309" s="216">
        <f t="shared" ref="B309:E317" si="180">B295*$B281</f>
        <v>0.36443316138540904</v>
      </c>
      <c r="C309" s="210">
        <f t="shared" si="180"/>
        <v>1.4056707653437204</v>
      </c>
      <c r="D309" s="210">
        <f t="shared" si="180"/>
        <v>2.8634034108853559</v>
      </c>
      <c r="E309" s="217">
        <f t="shared" si="180"/>
        <v>4.4252598168228232</v>
      </c>
      <c r="F309" s="216">
        <f t="shared" ref="F309:I317" si="181">F295*$G281</f>
        <v>0.57399498770808477</v>
      </c>
      <c r="G309" s="210">
        <f t="shared" si="181"/>
        <v>1.4057986092575683</v>
      </c>
      <c r="H309" s="210">
        <f t="shared" si="181"/>
        <v>2.863663833672824</v>
      </c>
      <c r="I309" s="218">
        <f t="shared" si="181"/>
        <v>3.9223516752124752</v>
      </c>
      <c r="J309" s="216">
        <f t="shared" ref="J309:M317" si="182">J295*$C281</f>
        <v>0.3595289609432572</v>
      </c>
      <c r="K309" s="210">
        <f t="shared" si="182"/>
        <v>1.7291630978699513</v>
      </c>
      <c r="L309" s="210">
        <f t="shared" si="182"/>
        <v>3.509687475874653</v>
      </c>
      <c r="M309" s="217">
        <f t="shared" si="182"/>
        <v>5.2217301470330213</v>
      </c>
      <c r="N309" s="216">
        <f t="shared" ref="N309:Q317" si="183">N295*$H281</f>
        <v>0.61172132471728613</v>
      </c>
      <c r="O309" s="210">
        <f t="shared" si="183"/>
        <v>1.7293190630048467</v>
      </c>
      <c r="P309" s="210">
        <f t="shared" si="183"/>
        <v>3.5100040387722133</v>
      </c>
      <c r="Q309" s="218">
        <f t="shared" si="183"/>
        <v>4.6789676898222954</v>
      </c>
      <c r="R309" s="216">
        <f t="shared" ref="R309:U317" si="184">R295*$D281</f>
        <v>0.22578174544688911</v>
      </c>
      <c r="S309" s="210">
        <f t="shared" si="184"/>
        <v>1.3546904726813349</v>
      </c>
      <c r="T309" s="210">
        <f t="shared" si="184"/>
        <v>3.0788419833666696</v>
      </c>
      <c r="U309" s="217">
        <f t="shared" si="184"/>
        <v>4.8141892830824293</v>
      </c>
      <c r="V309" s="216">
        <f t="shared" ref="V309:Y317" si="185">V295*$I281</f>
        <v>0.38246459928355686</v>
      </c>
      <c r="W309" s="210">
        <f t="shared" si="185"/>
        <v>1.3544843857554263</v>
      </c>
      <c r="X309" s="210">
        <f t="shared" si="185"/>
        <v>3.0783736039896046</v>
      </c>
      <c r="Y309" s="218">
        <f t="shared" si="185"/>
        <v>4.2649467022546892</v>
      </c>
      <c r="Z309" s="216">
        <f t="shared" ref="Z309:Z317" si="186">B309+J309+R309</f>
        <v>0.94974386777555542</v>
      </c>
      <c r="AA309" s="210">
        <f t="shared" si="179"/>
        <v>4.4895243358950063</v>
      </c>
      <c r="AB309" s="210">
        <f t="shared" si="179"/>
        <v>9.4519328701266794</v>
      </c>
      <c r="AC309" s="217">
        <f t="shared" si="179"/>
        <v>14.461179246938274</v>
      </c>
      <c r="AD309" s="216">
        <f t="shared" si="179"/>
        <v>1.5681809117089278</v>
      </c>
      <c r="AE309" s="210">
        <f t="shared" si="179"/>
        <v>4.4896020580178408</v>
      </c>
      <c r="AF309" s="210">
        <f t="shared" si="179"/>
        <v>9.4520414764346423</v>
      </c>
      <c r="AG309" s="218">
        <f t="shared" si="179"/>
        <v>12.866266067289459</v>
      </c>
      <c r="AH309" s="226">
        <f t="shared" ref="AH309:AH317" si="187">AH$305*AA309+(1-AH$305)*Z309</f>
        <v>3.7815682422711161</v>
      </c>
      <c r="AI309" s="227">
        <f t="shared" ref="AI309:AI317" si="188">AH$305*AB309+(1-AH$305)*AC309</f>
        <v>10.453782145488999</v>
      </c>
      <c r="AJ309" s="226">
        <f t="shared" ref="AJ309:AJ317" si="189">AH$305*AE309+(1-AH$305)*AD309</f>
        <v>3.9053178287560582</v>
      </c>
      <c r="AK309" s="227">
        <f t="shared" ref="AK309:AK317" si="190">AH$305*AF309+(1-AH$305)*AG309</f>
        <v>10.134886394605605</v>
      </c>
      <c r="AL309" s="226">
        <f t="shared" ref="AL309:AL317" si="191">(AH309+AI309)/2</f>
        <v>7.1176751938800571</v>
      </c>
      <c r="AM309" s="227">
        <f t="shared" ref="AM309:AM317" si="192">(AJ309+AK309)/2</f>
        <v>7.0201021116808313</v>
      </c>
      <c r="AN309" s="228">
        <f t="shared" ref="AN309:AN317" si="193">(AL309+AM309)/2</f>
        <v>7.0688886527804442</v>
      </c>
    </row>
    <row r="310" spans="1:40" x14ac:dyDescent="0.25">
      <c r="A310" s="164" t="s">
        <v>74</v>
      </c>
      <c r="B310" s="216">
        <f t="shared" si="180"/>
        <v>1.2650330484655121</v>
      </c>
      <c r="C310" s="210">
        <f t="shared" si="180"/>
        <v>2.3394446786690977</v>
      </c>
      <c r="D310" s="210">
        <f t="shared" si="180"/>
        <v>4.0030497835004564</v>
      </c>
      <c r="E310" s="217">
        <f t="shared" si="180"/>
        <v>6.2905068026435726</v>
      </c>
      <c r="F310" s="216">
        <f t="shared" si="181"/>
        <v>1.5991209880319657</v>
      </c>
      <c r="G310" s="210">
        <f t="shared" si="181"/>
        <v>2.3372979008144381</v>
      </c>
      <c r="H310" s="210">
        <f t="shared" si="181"/>
        <v>3.9993764080602614</v>
      </c>
      <c r="I310" s="218">
        <f t="shared" si="181"/>
        <v>5.505635055251787</v>
      </c>
      <c r="J310" s="216">
        <f t="shared" si="182"/>
        <v>2.2372304010938926</v>
      </c>
      <c r="K310" s="210">
        <f t="shared" si="182"/>
        <v>4.083711656791249</v>
      </c>
      <c r="L310" s="210">
        <f t="shared" si="182"/>
        <v>5.6375141408386504</v>
      </c>
      <c r="M310" s="217">
        <f t="shared" si="182"/>
        <v>7.756753623518688</v>
      </c>
      <c r="N310" s="216">
        <f t="shared" si="183"/>
        <v>2.7937633579321677</v>
      </c>
      <c r="O310" s="210">
        <f t="shared" si="183"/>
        <v>4.0841356823308992</v>
      </c>
      <c r="P310" s="210">
        <f t="shared" si="183"/>
        <v>5.638099502925094</v>
      </c>
      <c r="Q310" s="218">
        <f t="shared" si="183"/>
        <v>7.037279944939395</v>
      </c>
      <c r="R310" s="216">
        <f t="shared" si="184"/>
        <v>1.8260374506229107</v>
      </c>
      <c r="S310" s="210">
        <f t="shared" si="184"/>
        <v>3.5763842297174109</v>
      </c>
      <c r="T310" s="210">
        <f t="shared" si="184"/>
        <v>5.2869934062594952</v>
      </c>
      <c r="U310" s="217">
        <f t="shared" si="184"/>
        <v>7.6863876937101185</v>
      </c>
      <c r="V310" s="216">
        <f t="shared" si="185"/>
        <v>2.3669416510534154</v>
      </c>
      <c r="W310" s="210">
        <f t="shared" si="185"/>
        <v>3.5788157763927653</v>
      </c>
      <c r="X310" s="210">
        <f t="shared" si="185"/>
        <v>5.2905879784345959</v>
      </c>
      <c r="Y310" s="218">
        <f t="shared" si="185"/>
        <v>6.8773856613008046</v>
      </c>
      <c r="Z310" s="216">
        <f t="shared" si="186"/>
        <v>5.3283009001823158</v>
      </c>
      <c r="AA310" s="210">
        <f t="shared" si="179"/>
        <v>9.9995405651777567</v>
      </c>
      <c r="AB310" s="210">
        <f t="shared" si="179"/>
        <v>14.927557330598603</v>
      </c>
      <c r="AC310" s="217">
        <f t="shared" si="179"/>
        <v>21.733648119872377</v>
      </c>
      <c r="AD310" s="216">
        <f t="shared" si="179"/>
        <v>6.7598259970175487</v>
      </c>
      <c r="AE310" s="210">
        <f t="shared" si="179"/>
        <v>10.000249359538103</v>
      </c>
      <c r="AF310" s="210">
        <f t="shared" si="179"/>
        <v>14.928063889419951</v>
      </c>
      <c r="AG310" s="218">
        <f t="shared" si="179"/>
        <v>19.420300661491986</v>
      </c>
      <c r="AH310" s="226">
        <f t="shared" si="187"/>
        <v>9.065292632178668</v>
      </c>
      <c r="AI310" s="227">
        <f t="shared" si="188"/>
        <v>16.288775488453357</v>
      </c>
      <c r="AJ310" s="226">
        <f t="shared" si="189"/>
        <v>9.3521646870339907</v>
      </c>
      <c r="AK310" s="227">
        <f t="shared" si="190"/>
        <v>15.826511243834357</v>
      </c>
      <c r="AL310" s="226">
        <f t="shared" si="191"/>
        <v>12.677034060316013</v>
      </c>
      <c r="AM310" s="227">
        <f t="shared" si="192"/>
        <v>12.589337965434174</v>
      </c>
      <c r="AN310" s="228">
        <f t="shared" si="193"/>
        <v>12.633186012875093</v>
      </c>
    </row>
    <row r="311" spans="1:40" x14ac:dyDescent="0.25">
      <c r="A311" s="164" t="s">
        <v>75</v>
      </c>
      <c r="B311" s="216">
        <f t="shared" si="180"/>
        <v>1.8017740807622855</v>
      </c>
      <c r="C311" s="210">
        <f t="shared" si="180"/>
        <v>3.3723470626656931</v>
      </c>
      <c r="D311" s="210">
        <f t="shared" si="180"/>
        <v>4.6383723902101668</v>
      </c>
      <c r="E311" s="217">
        <f t="shared" si="180"/>
        <v>6.4768197487224795</v>
      </c>
      <c r="F311" s="216">
        <f t="shared" si="181"/>
        <v>2.2809786873241604</v>
      </c>
      <c r="G311" s="210">
        <f t="shared" si="181"/>
        <v>3.3736153312521671</v>
      </c>
      <c r="H311" s="210">
        <f t="shared" si="181"/>
        <v>4.6401167842139746</v>
      </c>
      <c r="I311" s="218">
        <f t="shared" si="181"/>
        <v>5.8571704474505717</v>
      </c>
      <c r="J311" s="216">
        <f t="shared" si="182"/>
        <v>1.932122860875245</v>
      </c>
      <c r="K311" s="210">
        <f t="shared" si="182"/>
        <v>3.7227558458523844</v>
      </c>
      <c r="L311" s="210">
        <f t="shared" si="182"/>
        <v>5.213115871979098</v>
      </c>
      <c r="M311" s="217">
        <f t="shared" si="182"/>
        <v>7.0241862834748536</v>
      </c>
      <c r="N311" s="216">
        <f t="shared" si="183"/>
        <v>2.3904426715997986</v>
      </c>
      <c r="O311" s="210">
        <f t="shared" si="183"/>
        <v>3.7240580568081088</v>
      </c>
      <c r="P311" s="210">
        <f t="shared" si="183"/>
        <v>5.2149394072532456</v>
      </c>
      <c r="Q311" s="218">
        <f t="shared" si="183"/>
        <v>6.4258873395768283</v>
      </c>
      <c r="R311" s="216">
        <f t="shared" si="184"/>
        <v>0.80486256963922098</v>
      </c>
      <c r="S311" s="210">
        <f t="shared" si="184"/>
        <v>2.2055801168017828</v>
      </c>
      <c r="T311" s="210">
        <f t="shared" si="184"/>
        <v>3.9436432512390982</v>
      </c>
      <c r="U311" s="217">
        <f t="shared" si="184"/>
        <v>5.9457159757175253</v>
      </c>
      <c r="V311" s="216">
        <f t="shared" si="185"/>
        <v>1.1451564728099592</v>
      </c>
      <c r="W311" s="210">
        <f t="shared" si="185"/>
        <v>2.2041971788646086</v>
      </c>
      <c r="X311" s="210">
        <f t="shared" si="185"/>
        <v>3.9411705168227544</v>
      </c>
      <c r="Y311" s="218">
        <f t="shared" si="185"/>
        <v>5.2878745288472668</v>
      </c>
      <c r="Z311" s="216">
        <f t="shared" si="186"/>
        <v>4.5387595112767514</v>
      </c>
      <c r="AA311" s="210">
        <f t="shared" si="179"/>
        <v>9.3006830253198594</v>
      </c>
      <c r="AB311" s="210">
        <f t="shared" si="179"/>
        <v>13.795131513428363</v>
      </c>
      <c r="AC311" s="217">
        <f t="shared" si="179"/>
        <v>19.446722007914857</v>
      </c>
      <c r="AD311" s="216">
        <f t="shared" si="179"/>
        <v>5.8165778317339187</v>
      </c>
      <c r="AE311" s="210">
        <f t="shared" si="179"/>
        <v>9.3018705669248849</v>
      </c>
      <c r="AF311" s="210">
        <f t="shared" si="179"/>
        <v>13.796226708289975</v>
      </c>
      <c r="AG311" s="218">
        <f t="shared" si="179"/>
        <v>17.570932315874664</v>
      </c>
      <c r="AH311" s="226">
        <f t="shared" si="187"/>
        <v>8.3482983225112388</v>
      </c>
      <c r="AI311" s="227">
        <f t="shared" si="188"/>
        <v>14.925449612325661</v>
      </c>
      <c r="AJ311" s="226">
        <f t="shared" si="189"/>
        <v>8.6048120198866922</v>
      </c>
      <c r="AK311" s="227">
        <f t="shared" si="190"/>
        <v>14.551167829806912</v>
      </c>
      <c r="AL311" s="226">
        <f t="shared" si="191"/>
        <v>11.636873967418449</v>
      </c>
      <c r="AM311" s="227">
        <f t="shared" si="192"/>
        <v>11.577989924846802</v>
      </c>
      <c r="AN311" s="228">
        <f t="shared" si="193"/>
        <v>11.607431946132625</v>
      </c>
    </row>
    <row r="312" spans="1:40" x14ac:dyDescent="0.25">
      <c r="A312" s="164" t="s">
        <v>77</v>
      </c>
      <c r="B312" s="216">
        <f t="shared" si="180"/>
        <v>1.4265176904275352</v>
      </c>
      <c r="C312" s="210">
        <f t="shared" si="180"/>
        <v>2.6687100613054455</v>
      </c>
      <c r="D312" s="210">
        <f t="shared" si="180"/>
        <v>4.2939785310734457</v>
      </c>
      <c r="E312" s="217">
        <f t="shared" si="180"/>
        <v>6.5106908522658973</v>
      </c>
      <c r="F312" s="216">
        <f t="shared" si="181"/>
        <v>1.8158394794794794</v>
      </c>
      <c r="G312" s="210">
        <f t="shared" si="181"/>
        <v>2.6684666666666663</v>
      </c>
      <c r="H312" s="210">
        <f t="shared" si="181"/>
        <v>4.2935869069069055</v>
      </c>
      <c r="I312" s="218">
        <f t="shared" si="181"/>
        <v>5.7568361961961951</v>
      </c>
      <c r="J312" s="216">
        <f t="shared" si="182"/>
        <v>2.235706535240614</v>
      </c>
      <c r="K312" s="210">
        <f t="shared" si="182"/>
        <v>4.0809300797371479</v>
      </c>
      <c r="L312" s="210">
        <f t="shared" si="182"/>
        <v>5.6336742076371351</v>
      </c>
      <c r="M312" s="217">
        <f t="shared" si="182"/>
        <v>7.7514701927314977</v>
      </c>
      <c r="N312" s="216">
        <f t="shared" si="183"/>
        <v>2.7870184584584576</v>
      </c>
      <c r="O312" s="210">
        <f t="shared" si="183"/>
        <v>4.0742754754754751</v>
      </c>
      <c r="P312" s="210">
        <f t="shared" si="183"/>
        <v>5.6244876076076071</v>
      </c>
      <c r="Q312" s="218">
        <f t="shared" si="183"/>
        <v>7.0202900500500496</v>
      </c>
      <c r="R312" s="216">
        <f t="shared" si="184"/>
        <v>0.95905475818407648</v>
      </c>
      <c r="S312" s="210">
        <f t="shared" si="184"/>
        <v>2.6644556316865002</v>
      </c>
      <c r="T312" s="210">
        <f t="shared" si="184"/>
        <v>4.2280507432784384</v>
      </c>
      <c r="U312" s="217">
        <f t="shared" si="184"/>
        <v>6.0510011299435025</v>
      </c>
      <c r="V312" s="216">
        <f t="shared" si="185"/>
        <v>1.3864333133133129</v>
      </c>
      <c r="W312" s="210">
        <f t="shared" si="185"/>
        <v>2.66823015015015</v>
      </c>
      <c r="X312" s="210">
        <f t="shared" si="185"/>
        <v>4.2340402802802801</v>
      </c>
      <c r="Y312" s="218">
        <f t="shared" si="185"/>
        <v>5.4672558958958959</v>
      </c>
      <c r="Z312" s="216">
        <f t="shared" si="186"/>
        <v>4.6212789838522257</v>
      </c>
      <c r="AA312" s="210">
        <f t="shared" si="179"/>
        <v>9.4140957727290946</v>
      </c>
      <c r="AB312" s="210">
        <f t="shared" si="179"/>
        <v>14.155703481989018</v>
      </c>
      <c r="AC312" s="217">
        <f t="shared" si="179"/>
        <v>20.313162174940899</v>
      </c>
      <c r="AD312" s="216">
        <f t="shared" si="179"/>
        <v>5.9892912512512506</v>
      </c>
      <c r="AE312" s="210">
        <f t="shared" si="179"/>
        <v>9.4109722922922909</v>
      </c>
      <c r="AF312" s="210">
        <f t="shared" si="179"/>
        <v>14.152114794794791</v>
      </c>
      <c r="AG312" s="218">
        <f t="shared" si="179"/>
        <v>18.24438214214214</v>
      </c>
      <c r="AH312" s="226">
        <f t="shared" si="187"/>
        <v>8.455532414953721</v>
      </c>
      <c r="AI312" s="227">
        <f t="shared" si="188"/>
        <v>15.387195220579393</v>
      </c>
      <c r="AJ312" s="226">
        <f t="shared" si="189"/>
        <v>8.7266360840840829</v>
      </c>
      <c r="AK312" s="227">
        <f t="shared" si="190"/>
        <v>14.97056826426426</v>
      </c>
      <c r="AL312" s="226">
        <f t="shared" si="191"/>
        <v>11.921363817766558</v>
      </c>
      <c r="AM312" s="227">
        <f t="shared" si="192"/>
        <v>11.848602174174172</v>
      </c>
      <c r="AN312" s="228">
        <f t="shared" si="193"/>
        <v>11.884982995970365</v>
      </c>
    </row>
    <row r="313" spans="1:40" x14ac:dyDescent="0.25">
      <c r="A313" s="164" t="s">
        <v>78</v>
      </c>
      <c r="B313" s="216">
        <f t="shared" si="180"/>
        <v>1.4425945821372259</v>
      </c>
      <c r="C313" s="210">
        <f t="shared" si="180"/>
        <v>2.917282480895969</v>
      </c>
      <c r="D313" s="210">
        <f t="shared" si="180"/>
        <v>4.0854792059192171</v>
      </c>
      <c r="E313" s="217">
        <f t="shared" si="180"/>
        <v>5.5649811021711884</v>
      </c>
      <c r="F313" s="216">
        <f t="shared" si="181"/>
        <v>1.8093496513487402</v>
      </c>
      <c r="G313" s="210">
        <f t="shared" si="181"/>
        <v>2.9187202006672672</v>
      </c>
      <c r="H313" s="210">
        <f t="shared" si="181"/>
        <v>4.0874926462590002</v>
      </c>
      <c r="I313" s="218">
        <f t="shared" si="181"/>
        <v>5.0828757729992127</v>
      </c>
      <c r="J313" s="216">
        <f t="shared" si="182"/>
        <v>1.9062941333441152</v>
      </c>
      <c r="K313" s="210">
        <f t="shared" si="182"/>
        <v>3.6729898354425266</v>
      </c>
      <c r="L313" s="210">
        <f t="shared" si="182"/>
        <v>5.1434266445639425</v>
      </c>
      <c r="M313" s="217">
        <f t="shared" si="182"/>
        <v>6.9302865645089566</v>
      </c>
      <c r="N313" s="216">
        <f t="shared" si="183"/>
        <v>2.3590742030538432</v>
      </c>
      <c r="O313" s="210">
        <f t="shared" si="183"/>
        <v>3.6751892847575678</v>
      </c>
      <c r="P313" s="210">
        <f t="shared" si="183"/>
        <v>5.1465066166622009</v>
      </c>
      <c r="Q313" s="218">
        <f t="shared" si="183"/>
        <v>6.3415639432092146</v>
      </c>
      <c r="R313" s="216">
        <f t="shared" si="184"/>
        <v>0.42601955282416215</v>
      </c>
      <c r="S313" s="210">
        <f t="shared" si="184"/>
        <v>1.6432182751789108</v>
      </c>
      <c r="T313" s="210">
        <f t="shared" si="184"/>
        <v>3.3472964864755594</v>
      </c>
      <c r="U313" s="217">
        <f t="shared" si="184"/>
        <v>5.1730945700076827</v>
      </c>
      <c r="V313" s="216">
        <f t="shared" si="185"/>
        <v>0.67030908230442687</v>
      </c>
      <c r="W313" s="210">
        <f t="shared" si="185"/>
        <v>1.6416860701848379</v>
      </c>
      <c r="X313" s="210">
        <f t="shared" si="185"/>
        <v>3.3441753281542996</v>
      </c>
      <c r="Y313" s="218">
        <f t="shared" si="185"/>
        <v>4.5805068131083146</v>
      </c>
      <c r="Z313" s="216">
        <f t="shared" si="186"/>
        <v>3.7749082683055035</v>
      </c>
      <c r="AA313" s="210">
        <f t="shared" si="179"/>
        <v>8.2334905915174055</v>
      </c>
      <c r="AB313" s="210">
        <f t="shared" si="179"/>
        <v>12.576202336958719</v>
      </c>
      <c r="AC313" s="217">
        <f t="shared" si="179"/>
        <v>17.668362236687827</v>
      </c>
      <c r="AD313" s="216">
        <f t="shared" si="179"/>
        <v>4.83873293670701</v>
      </c>
      <c r="AE313" s="210">
        <f t="shared" si="179"/>
        <v>8.235595555609672</v>
      </c>
      <c r="AF313" s="210">
        <f t="shared" si="179"/>
        <v>12.578174591075502</v>
      </c>
      <c r="AG313" s="218">
        <f t="shared" si="179"/>
        <v>16.00494652931674</v>
      </c>
      <c r="AH313" s="226">
        <f t="shared" si="187"/>
        <v>7.3417741268750252</v>
      </c>
      <c r="AI313" s="227">
        <f t="shared" si="188"/>
        <v>13.594634316904539</v>
      </c>
      <c r="AJ313" s="226">
        <f t="shared" si="189"/>
        <v>7.5562230318291395</v>
      </c>
      <c r="AK313" s="227">
        <f t="shared" si="190"/>
        <v>13.26352897872375</v>
      </c>
      <c r="AL313" s="226">
        <f t="shared" si="191"/>
        <v>10.468204221889781</v>
      </c>
      <c r="AM313" s="227">
        <f t="shared" si="192"/>
        <v>10.409876005276445</v>
      </c>
      <c r="AN313" s="228">
        <f t="shared" si="193"/>
        <v>10.439040113583113</v>
      </c>
    </row>
    <row r="314" spans="1:40" x14ac:dyDescent="0.25">
      <c r="A314" s="164" t="s">
        <v>79</v>
      </c>
      <c r="B314" s="216">
        <f t="shared" si="180"/>
        <v>1.4334468129250397</v>
      </c>
      <c r="C314" s="210">
        <f t="shared" si="180"/>
        <v>2.8987834325892341</v>
      </c>
      <c r="D314" s="210">
        <f t="shared" si="180"/>
        <v>4.0595723978944944</v>
      </c>
      <c r="E314" s="217">
        <f t="shared" si="180"/>
        <v>5.5296924885695624</v>
      </c>
      <c r="F314" s="216">
        <f t="shared" si="181"/>
        <v>1.7976664200100199</v>
      </c>
      <c r="G314" s="210">
        <f t="shared" si="181"/>
        <v>2.8998736038848416</v>
      </c>
      <c r="H314" s="210">
        <f t="shared" si="181"/>
        <v>4.0610991174316871</v>
      </c>
      <c r="I314" s="218">
        <f t="shared" si="181"/>
        <v>5.0500549119358684</v>
      </c>
      <c r="J314" s="216">
        <f t="shared" si="182"/>
        <v>1.8970618665232262</v>
      </c>
      <c r="K314" s="210">
        <f t="shared" si="182"/>
        <v>3.6552013831790071</v>
      </c>
      <c r="L314" s="210">
        <f t="shared" si="182"/>
        <v>5.1185168017827634</v>
      </c>
      <c r="M314" s="217">
        <f t="shared" si="182"/>
        <v>6.8967228800860658</v>
      </c>
      <c r="N314" s="216">
        <f t="shared" si="183"/>
        <v>2.347414961267198</v>
      </c>
      <c r="O314" s="210">
        <f t="shared" si="183"/>
        <v>3.6570254133425832</v>
      </c>
      <c r="P314" s="210">
        <f t="shared" si="183"/>
        <v>5.1210710602381768</v>
      </c>
      <c r="Q314" s="218">
        <f t="shared" si="183"/>
        <v>6.310222060353798</v>
      </c>
      <c r="R314" s="216">
        <f t="shared" si="184"/>
        <v>0.81738639105544253</v>
      </c>
      <c r="S314" s="210">
        <f t="shared" si="184"/>
        <v>2.239899381411611</v>
      </c>
      <c r="T314" s="210">
        <f t="shared" si="184"/>
        <v>4.0050071233718834</v>
      </c>
      <c r="U314" s="217">
        <f t="shared" si="184"/>
        <v>6.0382324970223245</v>
      </c>
      <c r="V314" s="216">
        <f t="shared" si="185"/>
        <v>1.1628487879138247</v>
      </c>
      <c r="W314" s="210">
        <f t="shared" si="185"/>
        <v>2.2382513469765288</v>
      </c>
      <c r="X314" s="210">
        <f t="shared" si="185"/>
        <v>4.0020603884842183</v>
      </c>
      <c r="Y314" s="218">
        <f t="shared" si="185"/>
        <v>5.3695705630708765</v>
      </c>
      <c r="Z314" s="216">
        <f t="shared" si="186"/>
        <v>4.1478950705037079</v>
      </c>
      <c r="AA314" s="210">
        <f t="shared" si="179"/>
        <v>8.7938841971798531</v>
      </c>
      <c r="AB314" s="210">
        <f t="shared" si="179"/>
        <v>13.183096323049142</v>
      </c>
      <c r="AC314" s="217">
        <f t="shared" si="179"/>
        <v>18.464647865677954</v>
      </c>
      <c r="AD314" s="216">
        <f t="shared" si="179"/>
        <v>5.3079301691910423</v>
      </c>
      <c r="AE314" s="210">
        <f t="shared" si="179"/>
        <v>8.7951503642039537</v>
      </c>
      <c r="AF314" s="210">
        <f t="shared" si="179"/>
        <v>13.184230566154081</v>
      </c>
      <c r="AG314" s="218">
        <f t="shared" si="179"/>
        <v>16.729847535360541</v>
      </c>
      <c r="AH314" s="226">
        <f>AH$305*AA314+(1-AH$305)*Z314</f>
        <v>7.8646863718446243</v>
      </c>
      <c r="AI314" s="227">
        <f t="shared" si="188"/>
        <v>14.239406631574905</v>
      </c>
      <c r="AJ314" s="226">
        <f t="shared" si="189"/>
        <v>8.0977063252013721</v>
      </c>
      <c r="AK314" s="227">
        <f t="shared" si="190"/>
        <v>13.893353959995373</v>
      </c>
      <c r="AL314" s="226">
        <f t="shared" si="191"/>
        <v>11.052046501709764</v>
      </c>
      <c r="AM314" s="227">
        <f t="shared" si="192"/>
        <v>10.995530142598373</v>
      </c>
      <c r="AN314" s="228">
        <f t="shared" si="193"/>
        <v>11.023788322154068</v>
      </c>
    </row>
    <row r="315" spans="1:40" x14ac:dyDescent="0.25">
      <c r="A315" s="164" t="s">
        <v>80</v>
      </c>
      <c r="B315" s="216">
        <f t="shared" si="180"/>
        <v>1.6541926065556602</v>
      </c>
      <c r="C315" s="210">
        <f t="shared" si="180"/>
        <v>3.2549227144203585</v>
      </c>
      <c r="D315" s="210">
        <f t="shared" si="180"/>
        <v>4.6103542988794635</v>
      </c>
      <c r="E315" s="217">
        <f t="shared" si="180"/>
        <v>6.495693590951932</v>
      </c>
      <c r="F315" s="216">
        <f t="shared" si="181"/>
        <v>2.1471089515848134</v>
      </c>
      <c r="G315" s="210">
        <f t="shared" si="181"/>
        <v>3.2512915360501569</v>
      </c>
      <c r="H315" s="210">
        <f t="shared" si="181"/>
        <v>4.6052110066179033</v>
      </c>
      <c r="I315" s="218">
        <f t="shared" si="181"/>
        <v>5.8523247648902812</v>
      </c>
      <c r="J315" s="216">
        <f t="shared" si="182"/>
        <v>1.3267449017349109</v>
      </c>
      <c r="K315" s="210">
        <f t="shared" si="182"/>
        <v>3.1093618668621494</v>
      </c>
      <c r="L315" s="210">
        <f t="shared" si="182"/>
        <v>4.7725089119279502</v>
      </c>
      <c r="M315" s="217">
        <f t="shared" si="182"/>
        <v>6.6698798792194651</v>
      </c>
      <c r="N315" s="216">
        <f t="shared" si="183"/>
        <v>1.7846896551724134</v>
      </c>
      <c r="O315" s="210">
        <f t="shared" si="183"/>
        <v>3.1102344827586208</v>
      </c>
      <c r="P315" s="210">
        <f t="shared" si="183"/>
        <v>4.7738482758620684</v>
      </c>
      <c r="Q315" s="218">
        <f t="shared" si="183"/>
        <v>6.0475034482758616</v>
      </c>
      <c r="R315" s="216">
        <f t="shared" si="184"/>
        <v>1.6681852410374562</v>
      </c>
      <c r="S315" s="210">
        <f t="shared" si="184"/>
        <v>3.3734825007854221</v>
      </c>
      <c r="T315" s="210">
        <f t="shared" si="184"/>
        <v>4.7243599818480115</v>
      </c>
      <c r="U315" s="217">
        <f t="shared" si="184"/>
        <v>6.4352240444025544</v>
      </c>
      <c r="V315" s="216">
        <f t="shared" si="185"/>
        <v>2.0927420411006614</v>
      </c>
      <c r="W315" s="210">
        <f t="shared" si="185"/>
        <v>3.375869592476489</v>
      </c>
      <c r="X315" s="210">
        <f t="shared" si="185"/>
        <v>4.727702960640892</v>
      </c>
      <c r="Y315" s="218">
        <f t="shared" si="185"/>
        <v>5.8789896203413443</v>
      </c>
      <c r="Z315" s="216">
        <f t="shared" si="186"/>
        <v>4.6491227493280274</v>
      </c>
      <c r="AA315" s="210">
        <f t="shared" si="179"/>
        <v>9.7377670820679292</v>
      </c>
      <c r="AB315" s="210">
        <f t="shared" si="179"/>
        <v>14.107223192655425</v>
      </c>
      <c r="AC315" s="217">
        <f t="shared" si="179"/>
        <v>19.600797514573951</v>
      </c>
      <c r="AD315" s="216">
        <f t="shared" si="179"/>
        <v>6.0245406478578882</v>
      </c>
      <c r="AE315" s="210">
        <f t="shared" si="179"/>
        <v>9.7373956112852671</v>
      </c>
      <c r="AF315" s="210">
        <f t="shared" si="179"/>
        <v>14.106762243120864</v>
      </c>
      <c r="AG315" s="218">
        <f t="shared" si="179"/>
        <v>17.778817833507485</v>
      </c>
      <c r="AH315" s="226">
        <f t="shared" si="187"/>
        <v>8.7200382155199492</v>
      </c>
      <c r="AI315" s="227">
        <f t="shared" si="188"/>
        <v>15.20593805703913</v>
      </c>
      <c r="AJ315" s="226">
        <f t="shared" si="189"/>
        <v>8.9948246185997913</v>
      </c>
      <c r="AK315" s="227">
        <f t="shared" si="190"/>
        <v>14.841173361198187</v>
      </c>
      <c r="AL315" s="226">
        <f t="shared" si="191"/>
        <v>11.96298813627954</v>
      </c>
      <c r="AM315" s="227">
        <f t="shared" si="192"/>
        <v>11.91799898989899</v>
      </c>
      <c r="AN315" s="228">
        <f t="shared" si="193"/>
        <v>11.940493563089266</v>
      </c>
    </row>
    <row r="316" spans="1:40" x14ac:dyDescent="0.25">
      <c r="A316" s="164" t="s">
        <v>82</v>
      </c>
      <c r="B316" s="216">
        <f t="shared" si="180"/>
        <v>1.4115281625454679</v>
      </c>
      <c r="C316" s="210">
        <f t="shared" si="180"/>
        <v>2.6406678546496676</v>
      </c>
      <c r="D316" s="210">
        <f t="shared" si="180"/>
        <v>4.248858367931807</v>
      </c>
      <c r="E316" s="217">
        <f t="shared" si="180"/>
        <v>6.4422779733254947</v>
      </c>
      <c r="F316" s="216">
        <f t="shared" si="181"/>
        <v>1.7972175503145813</v>
      </c>
      <c r="G316" s="210">
        <f t="shared" si="181"/>
        <v>2.6411008131277827</v>
      </c>
      <c r="H316" s="210">
        <f t="shared" si="181"/>
        <v>4.2495550020236212</v>
      </c>
      <c r="I316" s="218">
        <f t="shared" si="181"/>
        <v>5.6977982707237205</v>
      </c>
      <c r="J316" s="216">
        <f t="shared" si="182"/>
        <v>1.5759781460116842</v>
      </c>
      <c r="K316" s="210">
        <f t="shared" si="182"/>
        <v>3.4409116508064814</v>
      </c>
      <c r="L316" s="210">
        <f t="shared" si="182"/>
        <v>4.9216126244626519</v>
      </c>
      <c r="M316" s="217">
        <f t="shared" si="182"/>
        <v>6.6272302017121651</v>
      </c>
      <c r="N316" s="216">
        <f t="shared" si="183"/>
        <v>2.0499659295779824</v>
      </c>
      <c r="O316" s="210">
        <f t="shared" si="183"/>
        <v>3.4342775230876779</v>
      </c>
      <c r="P316" s="210">
        <f t="shared" si="183"/>
        <v>4.9121236837264055</v>
      </c>
      <c r="Q316" s="218">
        <f t="shared" si="183"/>
        <v>6.0579221310570661</v>
      </c>
      <c r="R316" s="216">
        <f t="shared" si="184"/>
        <v>0.95197551530293556</v>
      </c>
      <c r="S316" s="210">
        <f t="shared" si="184"/>
        <v>2.6447880074953152</v>
      </c>
      <c r="T316" s="210">
        <f t="shared" si="184"/>
        <v>4.1968414740787008</v>
      </c>
      <c r="U316" s="217">
        <f t="shared" si="184"/>
        <v>6.0063357901311676</v>
      </c>
      <c r="V316" s="216">
        <f t="shared" si="185"/>
        <v>1.3762941094227157</v>
      </c>
      <c r="W316" s="210">
        <f t="shared" si="185"/>
        <v>2.6487169653040947</v>
      </c>
      <c r="X316" s="210">
        <f t="shared" si="185"/>
        <v>4.2030760807976746</v>
      </c>
      <c r="Y316" s="218">
        <f t="shared" si="185"/>
        <v>5.4272729975348613</v>
      </c>
      <c r="Z316" s="216">
        <f t="shared" si="186"/>
        <v>3.9394818238600875</v>
      </c>
      <c r="AA316" s="210">
        <f t="shared" si="179"/>
        <v>8.7263675129514642</v>
      </c>
      <c r="AB316" s="210">
        <f t="shared" si="179"/>
        <v>13.367312466473161</v>
      </c>
      <c r="AC316" s="217">
        <f t="shared" si="179"/>
        <v>19.075843965168829</v>
      </c>
      <c r="AD316" s="216">
        <f t="shared" si="179"/>
        <v>5.2234775893152792</v>
      </c>
      <c r="AE316" s="210">
        <f t="shared" si="179"/>
        <v>8.7240953015195544</v>
      </c>
      <c r="AF316" s="210">
        <f t="shared" si="179"/>
        <v>13.364754766547701</v>
      </c>
      <c r="AG316" s="218">
        <f t="shared" si="179"/>
        <v>17.182993399315649</v>
      </c>
      <c r="AH316" s="226">
        <f t="shared" si="187"/>
        <v>7.768990375133189</v>
      </c>
      <c r="AI316" s="227">
        <f t="shared" si="188"/>
        <v>14.509018766212295</v>
      </c>
      <c r="AJ316" s="226">
        <f t="shared" si="189"/>
        <v>8.0239717590786999</v>
      </c>
      <c r="AK316" s="227">
        <f t="shared" si="190"/>
        <v>14.128402493101291</v>
      </c>
      <c r="AL316" s="226">
        <f t="shared" si="191"/>
        <v>11.139004570672743</v>
      </c>
      <c r="AM316" s="227">
        <f t="shared" si="192"/>
        <v>11.076187126089994</v>
      </c>
      <c r="AN316" s="228">
        <f t="shared" si="193"/>
        <v>11.107595848381369</v>
      </c>
    </row>
    <row r="317" spans="1:40" ht="15.75" thickBot="1" x14ac:dyDescent="0.3">
      <c r="A317" s="165" t="s">
        <v>83</v>
      </c>
      <c r="B317" s="219">
        <f t="shared" si="180"/>
        <v>0.68232052458771741</v>
      </c>
      <c r="C317" s="220">
        <f t="shared" si="180"/>
        <v>1.8697758338929933</v>
      </c>
      <c r="D317" s="220">
        <f t="shared" si="180"/>
        <v>3.3432151443922091</v>
      </c>
      <c r="E317" s="221">
        <f t="shared" si="180"/>
        <v>5.040468021043206</v>
      </c>
      <c r="F317" s="219">
        <f t="shared" si="181"/>
        <v>0.97107600629637991</v>
      </c>
      <c r="G317" s="220">
        <f t="shared" si="181"/>
        <v>1.8691270969192717</v>
      </c>
      <c r="H317" s="220">
        <f t="shared" si="181"/>
        <v>3.3420551832696197</v>
      </c>
      <c r="I317" s="222">
        <f t="shared" si="181"/>
        <v>4.4840405666741638</v>
      </c>
      <c r="J317" s="219">
        <f t="shared" si="182"/>
        <v>1.5708844750391764</v>
      </c>
      <c r="K317" s="220">
        <f t="shared" si="182"/>
        <v>3.4297903850458922</v>
      </c>
      <c r="L317" s="220">
        <f t="shared" si="182"/>
        <v>4.9057056301768522</v>
      </c>
      <c r="M317" s="221">
        <f t="shared" si="182"/>
        <v>6.6058105327960597</v>
      </c>
      <c r="N317" s="219">
        <f t="shared" si="183"/>
        <v>2.0468796566973988</v>
      </c>
      <c r="O317" s="220">
        <f t="shared" si="183"/>
        <v>3.4291071358968597</v>
      </c>
      <c r="P317" s="220">
        <f t="shared" si="183"/>
        <v>4.9047283636908778</v>
      </c>
      <c r="Q317" s="222">
        <f t="shared" si="183"/>
        <v>6.0488017839742163</v>
      </c>
      <c r="R317" s="219">
        <f t="shared" si="184"/>
        <v>1.5942033281098424</v>
      </c>
      <c r="S317" s="220">
        <f t="shared" si="184"/>
        <v>3.3206273113946723</v>
      </c>
      <c r="T317" s="220">
        <f t="shared" si="184"/>
        <v>4.9034974404895157</v>
      </c>
      <c r="U317" s="221">
        <f t="shared" si="184"/>
        <v>6.97558399373181</v>
      </c>
      <c r="V317" s="219">
        <f t="shared" si="185"/>
        <v>2.0896478569822343</v>
      </c>
      <c r="W317" s="220">
        <f t="shared" si="185"/>
        <v>3.3221205756689902</v>
      </c>
      <c r="X317" s="220">
        <f t="shared" si="185"/>
        <v>4.9057025110561421</v>
      </c>
      <c r="Y317" s="222">
        <f t="shared" si="185"/>
        <v>6.2851951278015132</v>
      </c>
      <c r="Z317" s="219">
        <f t="shared" si="186"/>
        <v>3.8474083277367361</v>
      </c>
      <c r="AA317" s="220">
        <f t="shared" si="179"/>
        <v>8.6201935303335571</v>
      </c>
      <c r="AB317" s="220">
        <f t="shared" si="179"/>
        <v>13.152418215058578</v>
      </c>
      <c r="AC317" s="221">
        <f t="shared" si="179"/>
        <v>18.621862547571077</v>
      </c>
      <c r="AD317" s="219">
        <f t="shared" si="179"/>
        <v>5.1076035199760135</v>
      </c>
      <c r="AE317" s="220">
        <f t="shared" si="179"/>
        <v>8.6203548084851214</v>
      </c>
      <c r="AF317" s="220">
        <f t="shared" si="179"/>
        <v>13.152486058016638</v>
      </c>
      <c r="AG317" s="222">
        <f t="shared" si="179"/>
        <v>16.818037478449895</v>
      </c>
      <c r="AH317" s="229">
        <f t="shared" si="187"/>
        <v>7.6656364898141929</v>
      </c>
      <c r="AI317" s="230">
        <f t="shared" si="188"/>
        <v>14.246307081561078</v>
      </c>
      <c r="AJ317" s="229">
        <f t="shared" si="189"/>
        <v>7.9178045507833001</v>
      </c>
      <c r="AK317" s="230">
        <f t="shared" si="190"/>
        <v>13.885596342103289</v>
      </c>
      <c r="AL317" s="229">
        <f t="shared" si="191"/>
        <v>10.955971785687636</v>
      </c>
      <c r="AM317" s="230">
        <f t="shared" si="192"/>
        <v>10.901700446443295</v>
      </c>
      <c r="AN317" s="231">
        <f t="shared" si="193"/>
        <v>10.928836116065465</v>
      </c>
    </row>
    <row r="319" spans="1:40" ht="15.75" thickBot="1" x14ac:dyDescent="0.3">
      <c r="A319" s="1" t="s">
        <v>261</v>
      </c>
    </row>
    <row r="320" spans="1:40" x14ac:dyDescent="0.25">
      <c r="A320" s="304" t="s">
        <v>86</v>
      </c>
      <c r="B320" s="304" t="s">
        <v>245</v>
      </c>
    </row>
    <row r="321" spans="1:4" ht="15.75" thickBot="1" x14ac:dyDescent="0.3">
      <c r="A321" s="310"/>
      <c r="B321" s="310"/>
      <c r="C321" t="s">
        <v>294</v>
      </c>
      <c r="D321" t="s">
        <v>295</v>
      </c>
    </row>
    <row r="322" spans="1:4" x14ac:dyDescent="0.25">
      <c r="A322" s="252" t="s">
        <v>84</v>
      </c>
      <c r="B322" s="260">
        <v>12.721141018789833</v>
      </c>
      <c r="C322" s="210">
        <v>12.731814989240803</v>
      </c>
      <c r="D322" s="322">
        <v>12.721</v>
      </c>
    </row>
    <row r="323" spans="1:4" x14ac:dyDescent="0.25">
      <c r="A323" s="253" t="s">
        <v>74</v>
      </c>
      <c r="B323" s="147">
        <v>12.633186012875093</v>
      </c>
      <c r="C323" s="210">
        <v>12.438739835450894</v>
      </c>
      <c r="D323" s="322">
        <v>12.632999999999999</v>
      </c>
    </row>
    <row r="324" spans="1:4" x14ac:dyDescent="0.25">
      <c r="A324" s="253" t="s">
        <v>80</v>
      </c>
      <c r="B324" s="147">
        <v>11.940493563089266</v>
      </c>
      <c r="C324" s="210">
        <v>11.991452411085113</v>
      </c>
      <c r="D324" s="322">
        <v>11.94</v>
      </c>
    </row>
    <row r="325" spans="1:4" x14ac:dyDescent="0.25">
      <c r="A325" s="253" t="s">
        <v>77</v>
      </c>
      <c r="B325" s="147">
        <v>11.884982995970365</v>
      </c>
      <c r="C325" s="210">
        <v>11.932248884169883</v>
      </c>
      <c r="D325" s="322">
        <v>11.884</v>
      </c>
    </row>
    <row r="326" spans="1:4" x14ac:dyDescent="0.25">
      <c r="A326" s="253" t="s">
        <v>75</v>
      </c>
      <c r="B326" s="147">
        <v>11.607431946132625</v>
      </c>
      <c r="C326" s="210">
        <v>11.695827317431355</v>
      </c>
      <c r="D326" s="322">
        <v>11.606999999999999</v>
      </c>
    </row>
    <row r="327" spans="1:4" x14ac:dyDescent="0.25">
      <c r="A327" s="253" t="s">
        <v>82</v>
      </c>
      <c r="B327" s="147">
        <v>11.107595848381369</v>
      </c>
      <c r="C327" s="210">
        <v>11.171551332818311</v>
      </c>
      <c r="D327" s="322">
        <v>11.106999999999999</v>
      </c>
    </row>
    <row r="328" spans="1:4" x14ac:dyDescent="0.25">
      <c r="A328" s="253" t="s">
        <v>79</v>
      </c>
      <c r="B328" s="147">
        <v>11.023788322154068</v>
      </c>
      <c r="C328" s="210">
        <v>10.982308133746098</v>
      </c>
      <c r="D328" s="322">
        <v>11.023999999999999</v>
      </c>
    </row>
    <row r="329" spans="1:4" x14ac:dyDescent="0.25">
      <c r="A329" s="253" t="s">
        <v>83</v>
      </c>
      <c r="B329" s="147">
        <v>10.928836116065465</v>
      </c>
      <c r="C329" s="210">
        <v>10.948855328446911</v>
      </c>
      <c r="D329" s="322">
        <v>10.929</v>
      </c>
    </row>
    <row r="330" spans="1:4" x14ac:dyDescent="0.25">
      <c r="A330" s="253" t="s">
        <v>78</v>
      </c>
      <c r="B330" s="147">
        <v>10.439040113583113</v>
      </c>
      <c r="C330" s="210">
        <v>10.642334608359132</v>
      </c>
      <c r="D330" s="322">
        <v>10.439</v>
      </c>
    </row>
    <row r="331" spans="1:4" ht="15.75" thickBot="1" x14ac:dyDescent="0.3">
      <c r="A331" s="254" t="s">
        <v>73</v>
      </c>
      <c r="B331" s="148">
        <v>7.0688886527804442</v>
      </c>
      <c r="C331" s="210">
        <v>7.0707002297341131</v>
      </c>
      <c r="D331" s="322">
        <v>7.069</v>
      </c>
    </row>
    <row r="333" spans="1:4" ht="30" x14ac:dyDescent="0.25">
      <c r="A333" s="105" t="s">
        <v>282</v>
      </c>
      <c r="B333" s="2" t="s">
        <v>154</v>
      </c>
      <c r="C333" s="2" t="s">
        <v>155</v>
      </c>
    </row>
    <row r="334" spans="1:4" x14ac:dyDescent="0.25">
      <c r="A334" s="102" t="s">
        <v>84</v>
      </c>
      <c r="B334" s="204">
        <f>((AB308-AA308)+(AC308-Z308))/2</f>
        <v>9.405975011451325</v>
      </c>
      <c r="C334" s="204">
        <f>((AF308-AE308)+(AG308-AD308))/2</f>
        <v>7.7582420549876616</v>
      </c>
    </row>
    <row r="335" spans="1:4" x14ac:dyDescent="0.25">
      <c r="A335" s="102" t="s">
        <v>73</v>
      </c>
      <c r="B335" s="204">
        <f t="shared" ref="B335:B343" si="194">((AB309-AA309)+(AC309-Z309))/2</f>
        <v>9.236921956697195</v>
      </c>
      <c r="C335" s="204">
        <f t="shared" ref="C335:C343" si="195">((AF309-AE309)+(AG309-AD309))/2</f>
        <v>8.1302622869986649</v>
      </c>
    </row>
    <row r="336" spans="1:4" x14ac:dyDescent="0.25">
      <c r="A336" s="102" t="s">
        <v>74</v>
      </c>
      <c r="B336" s="204">
        <f t="shared" si="194"/>
        <v>10.666681992555453</v>
      </c>
      <c r="C336" s="204">
        <f t="shared" si="195"/>
        <v>8.7941445971781427</v>
      </c>
    </row>
    <row r="337" spans="1:3" x14ac:dyDescent="0.25">
      <c r="A337" s="102" t="s">
        <v>75</v>
      </c>
      <c r="B337" s="204">
        <f t="shared" si="194"/>
        <v>9.7012054923733047</v>
      </c>
      <c r="C337" s="204">
        <f t="shared" si="195"/>
        <v>8.1243553127529182</v>
      </c>
    </row>
    <row r="338" spans="1:3" x14ac:dyDescent="0.25">
      <c r="A338" s="102" t="s">
        <v>77</v>
      </c>
      <c r="B338" s="204">
        <f t="shared" si="194"/>
        <v>10.216745450174299</v>
      </c>
      <c r="C338" s="204">
        <f t="shared" si="195"/>
        <v>8.4981166966966946</v>
      </c>
    </row>
    <row r="339" spans="1:3" x14ac:dyDescent="0.25">
      <c r="A339" s="102" t="s">
        <v>78</v>
      </c>
      <c r="B339" s="204">
        <f t="shared" si="194"/>
        <v>9.1180828569118191</v>
      </c>
      <c r="C339" s="204">
        <f t="shared" si="195"/>
        <v>7.7543963140377796</v>
      </c>
    </row>
    <row r="340" spans="1:3" x14ac:dyDescent="0.25">
      <c r="A340" s="102" t="s">
        <v>79</v>
      </c>
      <c r="B340" s="204">
        <f t="shared" si="194"/>
        <v>9.3529824605217673</v>
      </c>
      <c r="C340" s="204">
        <f t="shared" si="195"/>
        <v>7.9054987840598132</v>
      </c>
    </row>
    <row r="341" spans="1:3" x14ac:dyDescent="0.25">
      <c r="A341" s="102" t="s">
        <v>80</v>
      </c>
      <c r="B341" s="204">
        <f t="shared" si="194"/>
        <v>9.6605654379167092</v>
      </c>
      <c r="C341" s="204">
        <f t="shared" si="195"/>
        <v>8.0618219087425977</v>
      </c>
    </row>
    <row r="342" spans="1:3" x14ac:dyDescent="0.25">
      <c r="A342" s="102" t="s">
        <v>82</v>
      </c>
      <c r="B342" s="204">
        <f t="shared" si="194"/>
        <v>9.8886535474152186</v>
      </c>
      <c r="C342" s="204">
        <f t="shared" si="195"/>
        <v>8.3000876375142578</v>
      </c>
    </row>
    <row r="343" spans="1:3" x14ac:dyDescent="0.25">
      <c r="A343" s="102" t="s">
        <v>83</v>
      </c>
      <c r="B343" s="204">
        <f t="shared" si="194"/>
        <v>9.6533394522796812</v>
      </c>
      <c r="C343" s="204">
        <f t="shared" si="195"/>
        <v>8.1212826040026993</v>
      </c>
    </row>
    <row r="345" spans="1:3" x14ac:dyDescent="0.25">
      <c r="A345" s="105" t="s">
        <v>283</v>
      </c>
      <c r="B345" s="2" t="s">
        <v>154</v>
      </c>
      <c r="C345" s="2" t="s">
        <v>155</v>
      </c>
    </row>
    <row r="346" spans="1:3" x14ac:dyDescent="0.25">
      <c r="A346" s="102" t="s">
        <v>84</v>
      </c>
      <c r="B346" s="210">
        <f>AC308-Z308</f>
        <v>14.787036679468663</v>
      </c>
      <c r="C346" s="210">
        <f>AG308-AD308</f>
        <v>11.490908339795558</v>
      </c>
    </row>
    <row r="347" spans="1:3" x14ac:dyDescent="0.25">
      <c r="A347" s="102" t="s">
        <v>73</v>
      </c>
      <c r="B347" s="210">
        <f t="shared" ref="B347:B355" si="196">AC309-Z309</f>
        <v>13.511435379162718</v>
      </c>
      <c r="C347" s="210">
        <f t="shared" ref="C347:C355" si="197">AG309-AD309</f>
        <v>11.29808515558053</v>
      </c>
    </row>
    <row r="348" spans="1:3" x14ac:dyDescent="0.25">
      <c r="A348" s="102" t="s">
        <v>74</v>
      </c>
      <c r="B348" s="210">
        <f t="shared" si="196"/>
        <v>16.405347219690061</v>
      </c>
      <c r="C348" s="210">
        <f t="shared" si="197"/>
        <v>12.660474664474437</v>
      </c>
    </row>
    <row r="349" spans="1:3" x14ac:dyDescent="0.25">
      <c r="A349" s="102" t="s">
        <v>75</v>
      </c>
      <c r="B349" s="210">
        <f t="shared" si="196"/>
        <v>14.907962496638106</v>
      </c>
      <c r="C349" s="210">
        <f t="shared" si="197"/>
        <v>11.754354484140745</v>
      </c>
    </row>
    <row r="350" spans="1:3" x14ac:dyDescent="0.25">
      <c r="A350" s="102" t="s">
        <v>77</v>
      </c>
      <c r="B350" s="210">
        <f t="shared" si="196"/>
        <v>15.691883191088674</v>
      </c>
      <c r="C350" s="210">
        <f t="shared" si="197"/>
        <v>12.255090890890889</v>
      </c>
    </row>
    <row r="351" spans="1:3" x14ac:dyDescent="0.25">
      <c r="A351" s="102" t="s">
        <v>78</v>
      </c>
      <c r="B351" s="210">
        <f t="shared" si="196"/>
        <v>13.893453968382323</v>
      </c>
      <c r="C351" s="210">
        <f t="shared" si="197"/>
        <v>11.166213592609729</v>
      </c>
    </row>
    <row r="352" spans="1:3" x14ac:dyDescent="0.25">
      <c r="A352" s="102" t="s">
        <v>79</v>
      </c>
      <c r="B352" s="210">
        <f t="shared" si="196"/>
        <v>14.316752795174246</v>
      </c>
      <c r="C352" s="210">
        <f t="shared" si="197"/>
        <v>11.421917366169499</v>
      </c>
    </row>
    <row r="353" spans="1:3" x14ac:dyDescent="0.25">
      <c r="A353" s="102" t="s">
        <v>80</v>
      </c>
      <c r="B353" s="210">
        <f t="shared" si="196"/>
        <v>14.951674765245924</v>
      </c>
      <c r="C353" s="210">
        <f t="shared" si="197"/>
        <v>11.754277185649597</v>
      </c>
    </row>
    <row r="354" spans="1:3" x14ac:dyDescent="0.25">
      <c r="A354" s="102" t="s">
        <v>82</v>
      </c>
      <c r="B354" s="210">
        <f t="shared" si="196"/>
        <v>15.136362141308741</v>
      </c>
      <c r="C354" s="210">
        <f t="shared" si="197"/>
        <v>11.959515810000369</v>
      </c>
    </row>
    <row r="355" spans="1:3" x14ac:dyDescent="0.25">
      <c r="A355" s="102" t="s">
        <v>83</v>
      </c>
      <c r="B355" s="210">
        <f t="shared" si="196"/>
        <v>14.77445421983434</v>
      </c>
      <c r="C355" s="210">
        <f t="shared" si="197"/>
        <v>11.710433958473882</v>
      </c>
    </row>
  </sheetData>
  <sortState xmlns:xlrd2="http://schemas.microsoft.com/office/spreadsheetml/2017/richdata2" ref="A323:BU331">
    <sortCondition descending="1" ref="B322:B331"/>
  </sortState>
  <mergeCells count="166">
    <mergeCell ref="F193:I193"/>
    <mergeCell ref="J193:M193"/>
    <mergeCell ref="N193:Q193"/>
    <mergeCell ref="A320:A321"/>
    <mergeCell ref="B320:B321"/>
    <mergeCell ref="A163:A164"/>
    <mergeCell ref="B163:I163"/>
    <mergeCell ref="J163:Q163"/>
    <mergeCell ref="R163:Y163"/>
    <mergeCell ref="B164:E164"/>
    <mergeCell ref="F164:I164"/>
    <mergeCell ref="J164:M164"/>
    <mergeCell ref="N164:Q164"/>
    <mergeCell ref="A306:A307"/>
    <mergeCell ref="A292:A293"/>
    <mergeCell ref="B292:I292"/>
    <mergeCell ref="J292:Q292"/>
    <mergeCell ref="R292:Y292"/>
    <mergeCell ref="B293:E293"/>
    <mergeCell ref="F293:I293"/>
    <mergeCell ref="J293:M293"/>
    <mergeCell ref="N293:Q293"/>
    <mergeCell ref="R293:U293"/>
    <mergeCell ref="V293:Y293"/>
    <mergeCell ref="A263:I263"/>
    <mergeCell ref="A264:D264"/>
    <mergeCell ref="F264:I264"/>
    <mergeCell ref="AL306:AM306"/>
    <mergeCell ref="AN306:AN307"/>
    <mergeCell ref="B307:E307"/>
    <mergeCell ref="F307:I307"/>
    <mergeCell ref="J307:M307"/>
    <mergeCell ref="N307:Q307"/>
    <mergeCell ref="R307:U307"/>
    <mergeCell ref="V307:Y307"/>
    <mergeCell ref="Z307:AC307"/>
    <mergeCell ref="AD307:AG307"/>
    <mergeCell ref="B306:I306"/>
    <mergeCell ref="J306:Q306"/>
    <mergeCell ref="R306:Y306"/>
    <mergeCell ref="Z306:AG306"/>
    <mergeCell ref="AH306:AK306"/>
    <mergeCell ref="AH307:AI307"/>
    <mergeCell ref="AJ307:AK307"/>
    <mergeCell ref="A277:I277"/>
    <mergeCell ref="A278:D278"/>
    <mergeCell ref="F278:I278"/>
    <mergeCell ref="A206:I206"/>
    <mergeCell ref="A207:D207"/>
    <mergeCell ref="A249:I249"/>
    <mergeCell ref="A250:D250"/>
    <mergeCell ref="F250:I250"/>
    <mergeCell ref="BG115:BJ115"/>
    <mergeCell ref="A114:A115"/>
    <mergeCell ref="B114:B115"/>
    <mergeCell ref="C114:C115"/>
    <mergeCell ref="D114:F114"/>
    <mergeCell ref="G114:I114"/>
    <mergeCell ref="R193:U193"/>
    <mergeCell ref="V193:Y193"/>
    <mergeCell ref="F207:J207"/>
    <mergeCell ref="R164:U164"/>
    <mergeCell ref="V164:Y164"/>
    <mergeCell ref="A192:A193"/>
    <mergeCell ref="B192:I192"/>
    <mergeCell ref="J192:Q192"/>
    <mergeCell ref="R192:Y192"/>
    <mergeCell ref="B193:E193"/>
    <mergeCell ref="E142:L142"/>
    <mergeCell ref="E148:L148"/>
    <mergeCell ref="AI115:AL115"/>
    <mergeCell ref="AM115:AP115"/>
    <mergeCell ref="AQ115:AT115"/>
    <mergeCell ref="AU115:AX115"/>
    <mergeCell ref="AY115:BB115"/>
    <mergeCell ref="BC115:BF115"/>
    <mergeCell ref="J114:J115"/>
    <mergeCell ref="BO114:BR114"/>
    <mergeCell ref="BS114:BT114"/>
    <mergeCell ref="BU114:BU115"/>
    <mergeCell ref="K115:N115"/>
    <mergeCell ref="O115:R115"/>
    <mergeCell ref="S115:V115"/>
    <mergeCell ref="W115:Z115"/>
    <mergeCell ref="AA115:AD115"/>
    <mergeCell ref="AE115:AH115"/>
    <mergeCell ref="K114:R114"/>
    <mergeCell ref="S114:Z114"/>
    <mergeCell ref="AA114:AH114"/>
    <mergeCell ref="AI114:AP114"/>
    <mergeCell ref="AQ114:AX114"/>
    <mergeCell ref="AY114:BF114"/>
    <mergeCell ref="BK115:BN115"/>
    <mergeCell ref="BO115:BP115"/>
    <mergeCell ref="BQ115:BR115"/>
    <mergeCell ref="E90:L90"/>
    <mergeCell ref="E96:L96"/>
    <mergeCell ref="AI63:AL63"/>
    <mergeCell ref="AM63:AP63"/>
    <mergeCell ref="AQ63:AT63"/>
    <mergeCell ref="AU63:AX63"/>
    <mergeCell ref="AY63:BB63"/>
    <mergeCell ref="BC63:BF63"/>
    <mergeCell ref="BG114:BN114"/>
    <mergeCell ref="BG62:BN62"/>
    <mergeCell ref="BO62:BR62"/>
    <mergeCell ref="BS62:BT62"/>
    <mergeCell ref="BU62:BU63"/>
    <mergeCell ref="K63:N63"/>
    <mergeCell ref="O63:R63"/>
    <mergeCell ref="S63:V63"/>
    <mergeCell ref="W63:Z63"/>
    <mergeCell ref="AA63:AD63"/>
    <mergeCell ref="AE63:AH63"/>
    <mergeCell ref="K62:R62"/>
    <mergeCell ref="S62:Z62"/>
    <mergeCell ref="AA62:AH62"/>
    <mergeCell ref="AI62:AP62"/>
    <mergeCell ref="AQ62:AX62"/>
    <mergeCell ref="AY62:BF62"/>
    <mergeCell ref="BG63:BJ63"/>
    <mergeCell ref="BK63:BN63"/>
    <mergeCell ref="BO63:BP63"/>
    <mergeCell ref="BQ63:BR63"/>
    <mergeCell ref="E38:L38"/>
    <mergeCell ref="E44:L44"/>
    <mergeCell ref="A62:A63"/>
    <mergeCell ref="B62:B63"/>
    <mergeCell ref="C62:C63"/>
    <mergeCell ref="D62:F62"/>
    <mergeCell ref="G62:I62"/>
    <mergeCell ref="J62:J63"/>
    <mergeCell ref="AA11:AD11"/>
    <mergeCell ref="BG10:BN10"/>
    <mergeCell ref="BO10:BR10"/>
    <mergeCell ref="BS10:BT10"/>
    <mergeCell ref="BU10:BU11"/>
    <mergeCell ref="AY11:BB11"/>
    <mergeCell ref="BC11:BF11"/>
    <mergeCell ref="BG11:BJ11"/>
    <mergeCell ref="BK11:BN11"/>
    <mergeCell ref="BO11:BP11"/>
    <mergeCell ref="BQ11:BR11"/>
    <mergeCell ref="S10:Z10"/>
    <mergeCell ref="AA10:AH10"/>
    <mergeCell ref="AI10:AP10"/>
    <mergeCell ref="K11:N11"/>
    <mergeCell ref="O11:R11"/>
    <mergeCell ref="S11:V11"/>
    <mergeCell ref="W11:Z11"/>
    <mergeCell ref="AQ10:AX10"/>
    <mergeCell ref="AY10:BF10"/>
    <mergeCell ref="AE11:AH11"/>
    <mergeCell ref="AI11:AL11"/>
    <mergeCell ref="AM11:AP11"/>
    <mergeCell ref="AQ11:AT11"/>
    <mergeCell ref="AU11:AX11"/>
    <mergeCell ref="A3:E3"/>
    <mergeCell ref="A5:E5"/>
    <mergeCell ref="A10:A11"/>
    <mergeCell ref="B10:B11"/>
    <mergeCell ref="C10:C11"/>
    <mergeCell ref="D10:F10"/>
    <mergeCell ref="G10:I10"/>
    <mergeCell ref="J10:J11"/>
    <mergeCell ref="K10:R10"/>
  </mergeCells>
  <hyperlinks>
    <hyperlink ref="B2" r:id="rId1" xr:uid="{5A66944B-1852-4582-80BF-8A0BC560D443}"/>
    <hyperlink ref="B4" r:id="rId2" xr:uid="{6E9BFF94-2AA7-46B4-974B-029C34EAE600}"/>
  </hyperlinks>
  <pageMargins left="0.7" right="0.7" top="0.75" bottom="0.75" header="0.3" footer="0.3"/>
  <pageSetup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FBC5-888E-4FA7-BE82-AB028319D9F4}">
  <dimension ref="A1:BU307"/>
  <sheetViews>
    <sheetView tabSelected="1" topLeftCell="A292" workbookViewId="0">
      <selection activeCell="C298" sqref="C298:C307"/>
    </sheetView>
  </sheetViews>
  <sheetFormatPr defaultRowHeight="15" x14ac:dyDescent="0.25"/>
  <cols>
    <col min="1" max="1" width="33.42578125" customWidth="1"/>
    <col min="2" max="2" width="41.7109375" customWidth="1"/>
    <col min="3" max="3" width="40.42578125" customWidth="1"/>
    <col min="4" max="4" width="15.5703125" customWidth="1"/>
    <col min="5" max="5" width="12.140625" customWidth="1"/>
    <col min="6" max="6" width="17.7109375" customWidth="1"/>
    <col min="7" max="7" width="10.5703125" customWidth="1"/>
    <col min="8" max="8" width="10.7109375" customWidth="1"/>
    <col min="9" max="9" width="10.140625" customWidth="1"/>
    <col min="10" max="10" width="18" customWidth="1"/>
    <col min="11" max="31" width="9.140625" customWidth="1"/>
    <col min="32" max="32" width="15.7109375" customWidth="1"/>
    <col min="33" max="39" width="9.140625" customWidth="1"/>
    <col min="40" max="40" width="15.7109375" customWidth="1"/>
    <col min="41" max="67" width="9.140625" customWidth="1"/>
    <col min="68" max="68" width="13.140625" customWidth="1"/>
    <col min="69" max="69" width="9.140625" customWidth="1"/>
    <col min="70" max="70" width="12.42578125" customWidth="1"/>
    <col min="71" max="71" width="12" customWidth="1"/>
    <col min="72" max="72" width="15.5703125" customWidth="1"/>
    <col min="73" max="73" width="15" customWidth="1"/>
  </cols>
  <sheetData>
    <row r="1" spans="1:73" x14ac:dyDescent="0.25">
      <c r="A1" s="1" t="s">
        <v>95</v>
      </c>
      <c r="B1" s="98"/>
      <c r="C1" s="98"/>
    </row>
    <row r="2" spans="1:73" x14ac:dyDescent="0.25">
      <c r="A2" s="1" t="s">
        <v>266</v>
      </c>
      <c r="B2" s="101" t="s">
        <v>97</v>
      </c>
      <c r="C2" s="98"/>
    </row>
    <row r="3" spans="1:73" ht="30" customHeight="1" x14ac:dyDescent="0.25">
      <c r="A3" s="274" t="s">
        <v>98</v>
      </c>
      <c r="B3" s="275"/>
      <c r="C3" s="275"/>
      <c r="D3" s="276"/>
      <c r="E3" s="276"/>
    </row>
    <row r="4" spans="1:73" ht="31.5" x14ac:dyDescent="0.25">
      <c r="A4" s="232" t="s">
        <v>263</v>
      </c>
      <c r="B4" s="233" t="s">
        <v>270</v>
      </c>
      <c r="C4" s="99"/>
    </row>
    <row r="5" spans="1:73" x14ac:dyDescent="0.25">
      <c r="A5" s="274" t="s">
        <v>269</v>
      </c>
      <c r="B5" s="275"/>
      <c r="C5" s="275"/>
      <c r="D5" s="276"/>
      <c r="E5" s="276"/>
    </row>
    <row r="6" spans="1:73" ht="15.75" x14ac:dyDescent="0.25">
      <c r="A6" s="146"/>
      <c r="B6" s="99"/>
      <c r="C6" s="99"/>
    </row>
    <row r="7" spans="1:73" ht="18.75" x14ac:dyDescent="0.3">
      <c r="A7" s="149" t="s">
        <v>160</v>
      </c>
      <c r="B7" s="99"/>
      <c r="C7" s="99"/>
    </row>
    <row r="8" spans="1:73" x14ac:dyDescent="0.25">
      <c r="A8" s="1" t="s">
        <v>110</v>
      </c>
      <c r="B8" s="99"/>
      <c r="C8" s="99"/>
    </row>
    <row r="9" spans="1:73" ht="15.75" thickBot="1" x14ac:dyDescent="0.3">
      <c r="A9" s="100" t="s">
        <v>163</v>
      </c>
      <c r="B9" s="99"/>
      <c r="C9" s="99"/>
      <c r="BO9">
        <v>0.8</v>
      </c>
    </row>
    <row r="10" spans="1:73" ht="86.25" customHeight="1" thickBot="1" x14ac:dyDescent="0.3">
      <c r="A10" s="273" t="s">
        <v>85</v>
      </c>
      <c r="B10" s="273" t="s">
        <v>86</v>
      </c>
      <c r="C10" s="277" t="s">
        <v>87</v>
      </c>
      <c r="D10" s="278" t="s">
        <v>127</v>
      </c>
      <c r="E10" s="279"/>
      <c r="F10" s="279"/>
      <c r="G10" s="279" t="s">
        <v>128</v>
      </c>
      <c r="H10" s="279"/>
      <c r="I10" s="279"/>
      <c r="J10" s="286" t="s">
        <v>157</v>
      </c>
      <c r="K10" s="280" t="s">
        <v>150</v>
      </c>
      <c r="L10" s="281"/>
      <c r="M10" s="281"/>
      <c r="N10" s="281"/>
      <c r="O10" s="281"/>
      <c r="P10" s="281"/>
      <c r="Q10" s="281"/>
      <c r="R10" s="282"/>
      <c r="S10" s="280" t="s">
        <v>148</v>
      </c>
      <c r="T10" s="281"/>
      <c r="U10" s="281"/>
      <c r="V10" s="281"/>
      <c r="W10" s="281"/>
      <c r="X10" s="281"/>
      <c r="Y10" s="281"/>
      <c r="Z10" s="282"/>
      <c r="AA10" s="280" t="s">
        <v>149</v>
      </c>
      <c r="AB10" s="281"/>
      <c r="AC10" s="281"/>
      <c r="AD10" s="281"/>
      <c r="AE10" s="281"/>
      <c r="AF10" s="281"/>
      <c r="AG10" s="281"/>
      <c r="AH10" s="282"/>
      <c r="AI10" s="280" t="s">
        <v>147</v>
      </c>
      <c r="AJ10" s="281"/>
      <c r="AK10" s="281"/>
      <c r="AL10" s="281"/>
      <c r="AM10" s="281"/>
      <c r="AN10" s="281"/>
      <c r="AO10" s="281"/>
      <c r="AP10" s="282"/>
      <c r="AQ10" s="280" t="s">
        <v>158</v>
      </c>
      <c r="AR10" s="281"/>
      <c r="AS10" s="281"/>
      <c r="AT10" s="281"/>
      <c r="AU10" s="281"/>
      <c r="AV10" s="281"/>
      <c r="AW10" s="281"/>
      <c r="AX10" s="282"/>
      <c r="AY10" s="280" t="s">
        <v>159</v>
      </c>
      <c r="AZ10" s="281"/>
      <c r="BA10" s="281"/>
      <c r="BB10" s="281"/>
      <c r="BC10" s="281"/>
      <c r="BD10" s="281"/>
      <c r="BE10" s="281"/>
      <c r="BF10" s="282"/>
      <c r="BG10" s="280" t="s">
        <v>205</v>
      </c>
      <c r="BH10" s="281"/>
      <c r="BI10" s="281"/>
      <c r="BJ10" s="281"/>
      <c r="BK10" s="281"/>
      <c r="BL10" s="281"/>
      <c r="BM10" s="281"/>
      <c r="BN10" s="282"/>
      <c r="BO10" s="292" t="s">
        <v>151</v>
      </c>
      <c r="BP10" s="293"/>
      <c r="BQ10" s="293"/>
      <c r="BR10" s="294"/>
      <c r="BS10" s="288" t="s">
        <v>153</v>
      </c>
      <c r="BT10" s="289"/>
      <c r="BU10" s="290" t="s">
        <v>156</v>
      </c>
    </row>
    <row r="11" spans="1:73" s="97" customFormat="1" ht="23.25" customHeight="1" thickBot="1" x14ac:dyDescent="0.3">
      <c r="A11" s="273"/>
      <c r="B11" s="273"/>
      <c r="C11" s="277"/>
      <c r="D11" s="122" t="s">
        <v>114</v>
      </c>
      <c r="E11" s="107" t="s">
        <v>115</v>
      </c>
      <c r="F11" s="107" t="s">
        <v>116</v>
      </c>
      <c r="G11" s="107" t="s">
        <v>114</v>
      </c>
      <c r="H11" s="107" t="s">
        <v>115</v>
      </c>
      <c r="I11" s="107" t="s">
        <v>116</v>
      </c>
      <c r="J11" s="287"/>
      <c r="K11" s="280" t="s">
        <v>17</v>
      </c>
      <c r="L11" s="281"/>
      <c r="M11" s="281"/>
      <c r="N11" s="282"/>
      <c r="O11" s="280" t="s">
        <v>18</v>
      </c>
      <c r="P11" s="281"/>
      <c r="Q11" s="281"/>
      <c r="R11" s="282"/>
      <c r="S11" s="280" t="s">
        <v>17</v>
      </c>
      <c r="T11" s="281"/>
      <c r="U11" s="281"/>
      <c r="V11" s="282"/>
      <c r="W11" s="280" t="s">
        <v>18</v>
      </c>
      <c r="X11" s="281"/>
      <c r="Y11" s="281"/>
      <c r="Z11" s="282"/>
      <c r="AA11" s="280" t="s">
        <v>17</v>
      </c>
      <c r="AB11" s="281"/>
      <c r="AC11" s="281"/>
      <c r="AD11" s="282"/>
      <c r="AE11" s="280" t="s">
        <v>18</v>
      </c>
      <c r="AF11" s="281"/>
      <c r="AG11" s="281"/>
      <c r="AH11" s="282"/>
      <c r="AI11" s="280" t="s">
        <v>17</v>
      </c>
      <c r="AJ11" s="281"/>
      <c r="AK11" s="281"/>
      <c r="AL11" s="282"/>
      <c r="AM11" s="280" t="s">
        <v>18</v>
      </c>
      <c r="AN11" s="281"/>
      <c r="AO11" s="281"/>
      <c r="AP11" s="282"/>
      <c r="AQ11" s="280" t="s">
        <v>17</v>
      </c>
      <c r="AR11" s="281"/>
      <c r="AS11" s="281"/>
      <c r="AT11" s="282"/>
      <c r="AU11" s="280" t="s">
        <v>18</v>
      </c>
      <c r="AV11" s="281"/>
      <c r="AW11" s="281"/>
      <c r="AX11" s="282"/>
      <c r="AY11" s="280" t="s">
        <v>17</v>
      </c>
      <c r="AZ11" s="281"/>
      <c r="BA11" s="281"/>
      <c r="BB11" s="282"/>
      <c r="BC11" s="280" t="s">
        <v>18</v>
      </c>
      <c r="BD11" s="281"/>
      <c r="BE11" s="281"/>
      <c r="BF11" s="282"/>
      <c r="BG11" s="280" t="s">
        <v>17</v>
      </c>
      <c r="BH11" s="281"/>
      <c r="BI11" s="281"/>
      <c r="BJ11" s="282"/>
      <c r="BK11" s="280" t="s">
        <v>18</v>
      </c>
      <c r="BL11" s="281"/>
      <c r="BM11" s="281"/>
      <c r="BN11" s="282"/>
      <c r="BO11" s="295" t="s">
        <v>152</v>
      </c>
      <c r="BP11" s="296"/>
      <c r="BQ11" s="295" t="s">
        <v>26</v>
      </c>
      <c r="BR11" s="297"/>
      <c r="BS11" s="145" t="s">
        <v>154</v>
      </c>
      <c r="BT11" s="145" t="s">
        <v>155</v>
      </c>
      <c r="BU11" s="291"/>
    </row>
    <row r="12" spans="1:73" ht="30" x14ac:dyDescent="0.25">
      <c r="A12" s="102" t="s">
        <v>8</v>
      </c>
      <c r="B12" s="102" t="s">
        <v>84</v>
      </c>
      <c r="C12" s="121" t="s">
        <v>72</v>
      </c>
      <c r="D12" s="155" t="s">
        <v>104</v>
      </c>
      <c r="E12" s="156" t="s">
        <v>105</v>
      </c>
      <c r="F12" s="156" t="s">
        <v>104</v>
      </c>
      <c r="G12" s="110">
        <f>IF(D12=$A$25,$B$25,(IF(D12=$A$26,$B$26,IF(D12=$A$27,$B$27,$B$28))))</f>
        <v>1</v>
      </c>
      <c r="H12" s="110">
        <f t="shared" ref="G12:I21" si="0">IF(E12=$A$25,$B$25,(IF(E12=$A$26,$B$26,IF(E12=$A$27,$B$27,$B$28))))</f>
        <v>0.66</v>
      </c>
      <c r="I12" s="110">
        <f t="shared" si="0"/>
        <v>1</v>
      </c>
      <c r="J12" s="147">
        <f>G12*$D$39+H12*$D$40+I12*$D$41</f>
        <v>14.15</v>
      </c>
      <c r="K12" s="81">
        <v>0.77</v>
      </c>
      <c r="L12" s="83">
        <v>1</v>
      </c>
      <c r="M12" s="83">
        <v>1</v>
      </c>
      <c r="N12" s="84">
        <v>1</v>
      </c>
      <c r="O12" s="81">
        <v>0.83</v>
      </c>
      <c r="P12" s="83">
        <v>1</v>
      </c>
      <c r="Q12" s="83">
        <v>1</v>
      </c>
      <c r="R12" s="84">
        <v>1</v>
      </c>
      <c r="S12" s="81">
        <v>0.44000000000000006</v>
      </c>
      <c r="T12" s="83">
        <v>0.55000000000000004</v>
      </c>
      <c r="U12" s="83">
        <v>0.77</v>
      </c>
      <c r="V12" s="84">
        <v>1</v>
      </c>
      <c r="W12" s="81">
        <v>0.47000000000000003</v>
      </c>
      <c r="X12" s="83">
        <v>0.55000000000000004</v>
      </c>
      <c r="Y12" s="83">
        <v>0.77</v>
      </c>
      <c r="Z12" s="84">
        <v>0.92</v>
      </c>
      <c r="AA12" s="81">
        <v>0.77</v>
      </c>
      <c r="AB12" s="83">
        <v>1</v>
      </c>
      <c r="AC12" s="83">
        <v>1</v>
      </c>
      <c r="AD12" s="84">
        <v>1</v>
      </c>
      <c r="AE12" s="81">
        <v>0.83</v>
      </c>
      <c r="AF12" s="83">
        <v>1</v>
      </c>
      <c r="AG12" s="83">
        <v>1</v>
      </c>
      <c r="AH12" s="84">
        <v>1</v>
      </c>
      <c r="AI12" s="81">
        <v>3.8900000000000006</v>
      </c>
      <c r="AJ12" s="83">
        <v>7</v>
      </c>
      <c r="AK12" s="83">
        <v>8</v>
      </c>
      <c r="AL12" s="84">
        <v>9.5</v>
      </c>
      <c r="AM12" s="81">
        <v>4.8099999999999987</v>
      </c>
      <c r="AN12" s="83">
        <v>7</v>
      </c>
      <c r="AO12" s="83">
        <v>8</v>
      </c>
      <c r="AP12" s="84">
        <v>9</v>
      </c>
      <c r="AQ12" s="81">
        <v>0.60499999999999998</v>
      </c>
      <c r="AR12" s="83">
        <v>1.1000000000000001</v>
      </c>
      <c r="AS12" s="83">
        <v>2.31</v>
      </c>
      <c r="AT12" s="83">
        <v>4.1549999999999994</v>
      </c>
      <c r="AU12" s="81">
        <v>0.77499999999999991</v>
      </c>
      <c r="AV12" s="83">
        <v>1.1000000000000001</v>
      </c>
      <c r="AW12" s="83">
        <v>2.31</v>
      </c>
      <c r="AX12" s="84">
        <v>3.53</v>
      </c>
      <c r="AY12" s="81">
        <v>1.9649999999999999</v>
      </c>
      <c r="AZ12" s="83">
        <v>4.5</v>
      </c>
      <c r="BA12" s="83">
        <v>5.5</v>
      </c>
      <c r="BB12" s="83">
        <v>7</v>
      </c>
      <c r="BC12" s="81">
        <v>2.7349999999999994</v>
      </c>
      <c r="BD12" s="83">
        <v>4.5</v>
      </c>
      <c r="BE12" s="83">
        <v>5.5</v>
      </c>
      <c r="BF12" s="84">
        <v>6.5</v>
      </c>
      <c r="BG12" s="81">
        <f>AI12+AQ12+AY12</f>
        <v>6.4600000000000009</v>
      </c>
      <c r="BH12" s="83">
        <f t="shared" ref="BH12:BN21" si="1">AJ12+AR12+AZ12</f>
        <v>12.6</v>
      </c>
      <c r="BI12" s="83">
        <f t="shared" si="1"/>
        <v>15.81</v>
      </c>
      <c r="BJ12" s="83">
        <f t="shared" si="1"/>
        <v>20.655000000000001</v>
      </c>
      <c r="BK12" s="81">
        <f t="shared" si="1"/>
        <v>8.3199999999999985</v>
      </c>
      <c r="BL12" s="83">
        <f t="shared" si="1"/>
        <v>12.6</v>
      </c>
      <c r="BM12" s="83">
        <f t="shared" si="1"/>
        <v>15.81</v>
      </c>
      <c r="BN12" s="83">
        <f t="shared" si="1"/>
        <v>19.03</v>
      </c>
      <c r="BO12" s="136">
        <f>BO$9*BH12+(1-BO$9)*BG12</f>
        <v>11.372</v>
      </c>
      <c r="BP12" s="142">
        <f>BO$9*BI12+(1-BO$9)*BJ12</f>
        <v>16.779</v>
      </c>
      <c r="BQ12" s="136">
        <f>BO$9*BL12+(1-BO$9)*BK12</f>
        <v>11.744</v>
      </c>
      <c r="BR12" s="137">
        <f>BO$9*BM12+(1-BO$9)*BN12</f>
        <v>16.454000000000001</v>
      </c>
      <c r="BS12" s="81">
        <f>(BO12+BP12)/2</f>
        <v>14.0755</v>
      </c>
      <c r="BT12" s="84">
        <f>(BQ12+BR12)/2</f>
        <v>14.099</v>
      </c>
      <c r="BU12" s="133">
        <f>(BS12+BT12)/2</f>
        <v>14.087250000000001</v>
      </c>
    </row>
    <row r="13" spans="1:73" x14ac:dyDescent="0.25">
      <c r="A13" s="102" t="s">
        <v>9</v>
      </c>
      <c r="B13" s="102" t="s">
        <v>73</v>
      </c>
      <c r="C13" s="121" t="s">
        <v>88</v>
      </c>
      <c r="D13" s="155" t="s">
        <v>106</v>
      </c>
      <c r="E13" s="156" t="s">
        <v>106</v>
      </c>
      <c r="F13" s="156" t="s">
        <v>105</v>
      </c>
      <c r="G13" s="110">
        <f t="shared" si="0"/>
        <v>0.33</v>
      </c>
      <c r="H13" s="110">
        <f t="shared" si="0"/>
        <v>0.33</v>
      </c>
      <c r="I13" s="110">
        <f t="shared" si="0"/>
        <v>0.66</v>
      </c>
      <c r="J13" s="147">
        <f t="shared" ref="J13:J21" si="2">G13*$D$39+H13*$D$40+I13*$D$41</f>
        <v>6.6000000000000005</v>
      </c>
      <c r="K13" s="87">
        <v>0</v>
      </c>
      <c r="L13">
        <v>0.22000000000000003</v>
      </c>
      <c r="M13">
        <v>0.44</v>
      </c>
      <c r="N13" s="88">
        <v>0.55000000000000004</v>
      </c>
      <c r="O13" s="87">
        <v>0.06</v>
      </c>
      <c r="P13">
        <v>0.22000000000000003</v>
      </c>
      <c r="Q13">
        <v>0.44</v>
      </c>
      <c r="R13" s="88">
        <v>0.52</v>
      </c>
      <c r="S13" s="87">
        <v>0</v>
      </c>
      <c r="T13">
        <v>0.22000000000000003</v>
      </c>
      <c r="U13">
        <v>0.44</v>
      </c>
      <c r="V13" s="88">
        <v>0.55000000000000004</v>
      </c>
      <c r="W13" s="87">
        <v>0.06</v>
      </c>
      <c r="X13">
        <v>0.22000000000000003</v>
      </c>
      <c r="Y13">
        <v>0.44</v>
      </c>
      <c r="Z13" s="88">
        <v>0.52</v>
      </c>
      <c r="AA13" s="87">
        <v>0.44000000000000006</v>
      </c>
      <c r="AB13">
        <v>0.55000000000000004</v>
      </c>
      <c r="AC13">
        <v>0.77</v>
      </c>
      <c r="AD13" s="88">
        <v>1</v>
      </c>
      <c r="AE13" s="87">
        <v>0.47000000000000003</v>
      </c>
      <c r="AF13">
        <v>0.55000000000000004</v>
      </c>
      <c r="AG13">
        <v>0.77</v>
      </c>
      <c r="AH13" s="88">
        <v>0.92</v>
      </c>
      <c r="AI13" s="187">
        <v>0</v>
      </c>
      <c r="AJ13" s="179">
        <v>1.5400000000000003</v>
      </c>
      <c r="AK13" s="179">
        <v>3.52</v>
      </c>
      <c r="AL13" s="188">
        <v>5.0600000000000005</v>
      </c>
      <c r="AM13" s="187">
        <v>0.19999999999999996</v>
      </c>
      <c r="AN13" s="179">
        <v>1.5400000000000003</v>
      </c>
      <c r="AO13" s="179">
        <v>3.52</v>
      </c>
      <c r="AP13" s="188">
        <v>4.6000000000000014</v>
      </c>
      <c r="AQ13" s="187">
        <v>0</v>
      </c>
      <c r="AR13" s="179">
        <v>0.44000000000000006</v>
      </c>
      <c r="AS13" s="179">
        <v>1.32</v>
      </c>
      <c r="AT13" s="179">
        <v>2.3099999999999996</v>
      </c>
      <c r="AU13" s="187">
        <v>5.3999999999999992E-2</v>
      </c>
      <c r="AV13" s="179">
        <v>0.44000000000000006</v>
      </c>
      <c r="AW13" s="179">
        <v>1.32</v>
      </c>
      <c r="AX13" s="188">
        <v>2</v>
      </c>
      <c r="AY13" s="87">
        <v>1.1550000000000002</v>
      </c>
      <c r="AZ13">
        <v>2.4750000000000001</v>
      </c>
      <c r="BA13">
        <v>4.2350000000000003</v>
      </c>
      <c r="BB13">
        <v>6.6550000000000002</v>
      </c>
      <c r="BC13" s="87">
        <v>1.5650000000000008</v>
      </c>
      <c r="BD13">
        <v>2.4750000000000001</v>
      </c>
      <c r="BE13">
        <v>4.2350000000000003</v>
      </c>
      <c r="BF13" s="88">
        <v>5.830000000000001</v>
      </c>
      <c r="BG13" s="87">
        <f t="shared" ref="BG13:BG21" si="3">AI13+AQ13+AY13</f>
        <v>1.1550000000000002</v>
      </c>
      <c r="BH13">
        <f t="shared" si="1"/>
        <v>4.4550000000000001</v>
      </c>
      <c r="BI13">
        <f t="shared" si="1"/>
        <v>9.0749999999999993</v>
      </c>
      <c r="BJ13">
        <f t="shared" si="1"/>
        <v>14.025</v>
      </c>
      <c r="BK13" s="87">
        <f t="shared" si="1"/>
        <v>1.8190000000000008</v>
      </c>
      <c r="BL13">
        <f t="shared" si="1"/>
        <v>4.4550000000000001</v>
      </c>
      <c r="BM13">
        <f t="shared" si="1"/>
        <v>9.0749999999999993</v>
      </c>
      <c r="BN13">
        <f t="shared" si="1"/>
        <v>12.430000000000003</v>
      </c>
      <c r="BO13" s="138">
        <f t="shared" ref="BO13:BO21" si="4">BO$9*BH13+(1-BO$9)*BG13</f>
        <v>3.7949999999999999</v>
      </c>
      <c r="BP13" s="143">
        <f t="shared" ref="BP13:BP21" si="5">BO$9*BI13+(1-BO$9)*BJ13</f>
        <v>10.065</v>
      </c>
      <c r="BQ13" s="138">
        <f t="shared" ref="BQ13:BQ21" si="6">BO$9*BL13+(1-BO$9)*BK13</f>
        <v>3.9278</v>
      </c>
      <c r="BR13" s="139">
        <f t="shared" ref="BR13:BR21" si="7">BO$9*BM13+(1-BO$9)*BN13</f>
        <v>9.7460000000000004</v>
      </c>
      <c r="BS13" s="87">
        <f t="shared" ref="BS13:BS21" si="8">(BO13+BP13)/2</f>
        <v>6.93</v>
      </c>
      <c r="BT13" s="88">
        <f t="shared" ref="BT13:BT21" si="9">(BQ13+BR13)/2</f>
        <v>6.8369</v>
      </c>
      <c r="BU13" s="134">
        <f t="shared" ref="BU13:BU21" si="10">(BS13+BT13)/2</f>
        <v>6.8834499999999998</v>
      </c>
    </row>
    <row r="14" spans="1:73" x14ac:dyDescent="0.25">
      <c r="A14" s="102" t="s">
        <v>10</v>
      </c>
      <c r="B14" s="102" t="s">
        <v>74</v>
      </c>
      <c r="C14" s="121" t="s">
        <v>89</v>
      </c>
      <c r="D14" s="155" t="s">
        <v>105</v>
      </c>
      <c r="E14" s="156" t="s">
        <v>105</v>
      </c>
      <c r="F14" s="156" t="s">
        <v>105</v>
      </c>
      <c r="G14" s="110">
        <f t="shared" si="0"/>
        <v>0.66</v>
      </c>
      <c r="H14" s="110">
        <f t="shared" si="0"/>
        <v>0.66</v>
      </c>
      <c r="I14" s="110">
        <f t="shared" si="0"/>
        <v>0.66</v>
      </c>
      <c r="J14" s="147">
        <f t="shared" si="2"/>
        <v>9.9</v>
      </c>
      <c r="K14" s="87">
        <v>0.44000000000000006</v>
      </c>
      <c r="L14">
        <v>0.55000000000000004</v>
      </c>
      <c r="M14">
        <v>0.77</v>
      </c>
      <c r="N14" s="88">
        <v>1</v>
      </c>
      <c r="O14" s="87">
        <v>0.47000000000000003</v>
      </c>
      <c r="P14">
        <v>0.55000000000000004</v>
      </c>
      <c r="Q14">
        <v>0.77</v>
      </c>
      <c r="R14" s="88">
        <v>0.92</v>
      </c>
      <c r="S14" s="87">
        <v>0.44000000000000006</v>
      </c>
      <c r="T14">
        <v>0.55000000000000004</v>
      </c>
      <c r="U14">
        <v>0.77</v>
      </c>
      <c r="V14" s="88">
        <v>1</v>
      </c>
      <c r="W14" s="87">
        <v>0.47000000000000003</v>
      </c>
      <c r="X14">
        <v>0.55000000000000004</v>
      </c>
      <c r="Y14">
        <v>0.77</v>
      </c>
      <c r="Z14" s="88">
        <v>0.92</v>
      </c>
      <c r="AA14" s="87">
        <v>0.44000000000000006</v>
      </c>
      <c r="AB14">
        <v>0.55000000000000004</v>
      </c>
      <c r="AC14">
        <v>0.77</v>
      </c>
      <c r="AD14" s="88">
        <v>1</v>
      </c>
      <c r="AE14" s="87">
        <v>0.47000000000000003</v>
      </c>
      <c r="AF14">
        <v>0.55000000000000004</v>
      </c>
      <c r="AG14">
        <v>0.77</v>
      </c>
      <c r="AH14" s="88">
        <v>0.92</v>
      </c>
      <c r="AI14" s="87">
        <v>2.2549999999999999</v>
      </c>
      <c r="AJ14">
        <v>3.8500000000000005</v>
      </c>
      <c r="AK14">
        <v>6.16</v>
      </c>
      <c r="AL14" s="88">
        <v>9.1550000000000011</v>
      </c>
      <c r="AM14" s="87">
        <v>2.7399999999999993</v>
      </c>
      <c r="AN14">
        <v>3.8500000000000005</v>
      </c>
      <c r="AO14">
        <v>6.16</v>
      </c>
      <c r="AP14" s="88">
        <v>8.129999999999999</v>
      </c>
      <c r="AQ14" s="87">
        <v>0.60499999999999998</v>
      </c>
      <c r="AR14">
        <v>1.1000000000000001</v>
      </c>
      <c r="AS14">
        <v>2.31</v>
      </c>
      <c r="AT14">
        <v>4.1549999999999994</v>
      </c>
      <c r="AU14" s="87">
        <v>0.77499999999999991</v>
      </c>
      <c r="AV14">
        <v>1.1000000000000001</v>
      </c>
      <c r="AW14">
        <v>2.31</v>
      </c>
      <c r="AX14" s="88">
        <v>3.53</v>
      </c>
      <c r="AY14" s="87">
        <v>1.1550000000000002</v>
      </c>
      <c r="AZ14">
        <v>2.4750000000000001</v>
      </c>
      <c r="BA14">
        <v>4.2350000000000003</v>
      </c>
      <c r="BB14">
        <v>6.6550000000000002</v>
      </c>
      <c r="BC14" s="87">
        <v>1.5650000000000008</v>
      </c>
      <c r="BD14">
        <v>2.4750000000000001</v>
      </c>
      <c r="BE14">
        <v>4.2350000000000003</v>
      </c>
      <c r="BF14" s="88">
        <v>5.830000000000001</v>
      </c>
      <c r="BG14" s="87">
        <f t="shared" si="3"/>
        <v>4.0150000000000006</v>
      </c>
      <c r="BH14">
        <f t="shared" si="1"/>
        <v>7.4250000000000007</v>
      </c>
      <c r="BI14">
        <f t="shared" si="1"/>
        <v>12.705000000000002</v>
      </c>
      <c r="BJ14">
        <f t="shared" si="1"/>
        <v>19.965</v>
      </c>
      <c r="BK14" s="87">
        <f t="shared" si="1"/>
        <v>5.08</v>
      </c>
      <c r="BL14">
        <f t="shared" si="1"/>
        <v>7.4250000000000007</v>
      </c>
      <c r="BM14">
        <f t="shared" si="1"/>
        <v>12.705000000000002</v>
      </c>
      <c r="BN14">
        <f t="shared" si="1"/>
        <v>17.489999999999998</v>
      </c>
      <c r="BO14" s="138">
        <f t="shared" si="4"/>
        <v>6.7430000000000012</v>
      </c>
      <c r="BP14" s="143">
        <f t="shared" si="5"/>
        <v>14.157</v>
      </c>
      <c r="BQ14" s="138">
        <f t="shared" si="6"/>
        <v>6.9560000000000013</v>
      </c>
      <c r="BR14" s="139">
        <f t="shared" si="7"/>
        <v>13.662000000000001</v>
      </c>
      <c r="BS14" s="87">
        <f t="shared" si="8"/>
        <v>10.450000000000001</v>
      </c>
      <c r="BT14" s="88">
        <f t="shared" si="9"/>
        <v>10.309000000000001</v>
      </c>
      <c r="BU14" s="134">
        <f t="shared" si="10"/>
        <v>10.3795</v>
      </c>
    </row>
    <row r="15" spans="1:73" x14ac:dyDescent="0.25">
      <c r="A15" s="102" t="s">
        <v>65</v>
      </c>
      <c r="B15" s="102" t="s">
        <v>75</v>
      </c>
      <c r="C15" s="121" t="s">
        <v>76</v>
      </c>
      <c r="D15" s="155" t="s">
        <v>104</v>
      </c>
      <c r="E15" s="156" t="s">
        <v>105</v>
      </c>
      <c r="F15" s="156" t="s">
        <v>105</v>
      </c>
      <c r="G15" s="110">
        <f t="shared" si="0"/>
        <v>1</v>
      </c>
      <c r="H15" s="110">
        <f t="shared" si="0"/>
        <v>0.66</v>
      </c>
      <c r="I15" s="110">
        <f t="shared" si="0"/>
        <v>0.66</v>
      </c>
      <c r="J15" s="147">
        <f t="shared" si="2"/>
        <v>12.450000000000001</v>
      </c>
      <c r="K15" s="87">
        <v>0.77</v>
      </c>
      <c r="L15">
        <v>1</v>
      </c>
      <c r="M15">
        <v>1</v>
      </c>
      <c r="N15" s="88">
        <v>1</v>
      </c>
      <c r="O15" s="87">
        <v>0.83</v>
      </c>
      <c r="P15">
        <v>1</v>
      </c>
      <c r="Q15">
        <v>1</v>
      </c>
      <c r="R15" s="88">
        <v>1</v>
      </c>
      <c r="S15" s="87">
        <v>0.44000000000000006</v>
      </c>
      <c r="T15">
        <v>0.55000000000000004</v>
      </c>
      <c r="U15">
        <v>0.77</v>
      </c>
      <c r="V15" s="88">
        <v>1</v>
      </c>
      <c r="W15" s="87">
        <v>0.47000000000000003</v>
      </c>
      <c r="X15">
        <v>0.55000000000000004</v>
      </c>
      <c r="Y15">
        <v>0.77</v>
      </c>
      <c r="Z15" s="88">
        <v>0.92</v>
      </c>
      <c r="AA15" s="87">
        <v>0.44000000000000006</v>
      </c>
      <c r="AB15">
        <v>0.55000000000000004</v>
      </c>
      <c r="AC15">
        <v>0.77</v>
      </c>
      <c r="AD15" s="88">
        <v>1</v>
      </c>
      <c r="AE15" s="87">
        <v>0.47000000000000003</v>
      </c>
      <c r="AF15">
        <v>0.55000000000000004</v>
      </c>
      <c r="AG15">
        <v>0.77</v>
      </c>
      <c r="AH15" s="88">
        <v>0.92</v>
      </c>
      <c r="AI15" s="87">
        <v>3.8900000000000006</v>
      </c>
      <c r="AJ15">
        <v>7</v>
      </c>
      <c r="AK15">
        <v>8</v>
      </c>
      <c r="AL15" s="88">
        <v>9.5</v>
      </c>
      <c r="AM15" s="87">
        <v>4.8099999999999987</v>
      </c>
      <c r="AN15">
        <v>7</v>
      </c>
      <c r="AO15">
        <v>8</v>
      </c>
      <c r="AP15" s="88">
        <v>9</v>
      </c>
      <c r="AQ15" s="87">
        <v>0.60499999999999998</v>
      </c>
      <c r="AR15">
        <v>1.1000000000000001</v>
      </c>
      <c r="AS15">
        <v>2.31</v>
      </c>
      <c r="AT15">
        <v>4.1549999999999994</v>
      </c>
      <c r="AU15" s="87">
        <v>0.77499999999999991</v>
      </c>
      <c r="AV15">
        <v>1.1000000000000001</v>
      </c>
      <c r="AW15">
        <v>2.31</v>
      </c>
      <c r="AX15" s="88">
        <v>3.53</v>
      </c>
      <c r="AY15" s="87">
        <v>1.1550000000000002</v>
      </c>
      <c r="AZ15">
        <v>2.4750000000000001</v>
      </c>
      <c r="BA15">
        <v>4.2350000000000003</v>
      </c>
      <c r="BB15">
        <v>6.6550000000000002</v>
      </c>
      <c r="BC15" s="87">
        <v>1.5650000000000008</v>
      </c>
      <c r="BD15">
        <v>2.4750000000000001</v>
      </c>
      <c r="BE15">
        <v>4.2350000000000003</v>
      </c>
      <c r="BF15" s="88">
        <v>5.830000000000001</v>
      </c>
      <c r="BG15" s="87">
        <f t="shared" si="3"/>
        <v>5.6500000000000012</v>
      </c>
      <c r="BH15">
        <f t="shared" si="1"/>
        <v>10.574999999999999</v>
      </c>
      <c r="BI15">
        <f t="shared" si="1"/>
        <v>14.545000000000002</v>
      </c>
      <c r="BJ15">
        <f t="shared" si="1"/>
        <v>20.309999999999999</v>
      </c>
      <c r="BK15" s="87">
        <f t="shared" si="1"/>
        <v>7.15</v>
      </c>
      <c r="BL15">
        <f t="shared" si="1"/>
        <v>10.574999999999999</v>
      </c>
      <c r="BM15">
        <f t="shared" si="1"/>
        <v>14.545000000000002</v>
      </c>
      <c r="BN15">
        <f t="shared" si="1"/>
        <v>18.36</v>
      </c>
      <c r="BO15" s="138">
        <f t="shared" si="4"/>
        <v>9.59</v>
      </c>
      <c r="BP15" s="143">
        <f t="shared" si="5"/>
        <v>15.698</v>
      </c>
      <c r="BQ15" s="138">
        <f t="shared" si="6"/>
        <v>9.8899999999999988</v>
      </c>
      <c r="BR15" s="139">
        <f t="shared" si="7"/>
        <v>15.308000000000002</v>
      </c>
      <c r="BS15" s="87">
        <f t="shared" si="8"/>
        <v>12.644</v>
      </c>
      <c r="BT15" s="88">
        <f t="shared" si="9"/>
        <v>12.599</v>
      </c>
      <c r="BU15" s="134">
        <f t="shared" si="10"/>
        <v>12.621500000000001</v>
      </c>
    </row>
    <row r="16" spans="1:73" ht="30" x14ac:dyDescent="0.25">
      <c r="A16" s="102" t="s">
        <v>66</v>
      </c>
      <c r="B16" s="102" t="s">
        <v>77</v>
      </c>
      <c r="C16" s="121" t="s">
        <v>90</v>
      </c>
      <c r="D16" s="155" t="s">
        <v>105</v>
      </c>
      <c r="E16" s="156" t="s">
        <v>104</v>
      </c>
      <c r="F16" s="156" t="s">
        <v>105</v>
      </c>
      <c r="G16" s="110">
        <f t="shared" si="0"/>
        <v>0.66</v>
      </c>
      <c r="H16" s="110">
        <f t="shared" si="0"/>
        <v>1</v>
      </c>
      <c r="I16" s="110">
        <f t="shared" si="0"/>
        <v>0.66</v>
      </c>
      <c r="J16" s="147">
        <f t="shared" si="2"/>
        <v>10.75</v>
      </c>
      <c r="K16" s="87">
        <v>0.44000000000000006</v>
      </c>
      <c r="L16">
        <v>0.55000000000000004</v>
      </c>
      <c r="M16">
        <v>0.77</v>
      </c>
      <c r="N16" s="88">
        <v>1</v>
      </c>
      <c r="O16" s="87">
        <v>0.47000000000000003</v>
      </c>
      <c r="P16">
        <v>0.55000000000000004</v>
      </c>
      <c r="Q16">
        <v>0.77</v>
      </c>
      <c r="R16" s="88">
        <v>0.92</v>
      </c>
      <c r="S16" s="87">
        <v>0.77</v>
      </c>
      <c r="T16">
        <v>1</v>
      </c>
      <c r="U16">
        <v>1</v>
      </c>
      <c r="V16" s="88">
        <v>1</v>
      </c>
      <c r="W16" s="87">
        <v>0.83</v>
      </c>
      <c r="X16">
        <v>1</v>
      </c>
      <c r="Y16">
        <v>1</v>
      </c>
      <c r="Z16" s="88">
        <v>1</v>
      </c>
      <c r="AA16" s="87">
        <v>0.44000000000000006</v>
      </c>
      <c r="AB16">
        <v>0.55000000000000004</v>
      </c>
      <c r="AC16">
        <v>0.77</v>
      </c>
      <c r="AD16" s="88">
        <v>1</v>
      </c>
      <c r="AE16" s="87">
        <v>0.47000000000000003</v>
      </c>
      <c r="AF16">
        <v>0.55000000000000004</v>
      </c>
      <c r="AG16">
        <v>0.77</v>
      </c>
      <c r="AH16" s="88">
        <v>0.92</v>
      </c>
      <c r="AI16" s="87">
        <v>2.2549999999999999</v>
      </c>
      <c r="AJ16">
        <v>3.8500000000000005</v>
      </c>
      <c r="AK16">
        <v>6.16</v>
      </c>
      <c r="AL16" s="88">
        <v>9.1550000000000011</v>
      </c>
      <c r="AM16" s="87">
        <v>2.7399999999999993</v>
      </c>
      <c r="AN16">
        <v>3.8500000000000005</v>
      </c>
      <c r="AO16">
        <v>6.16</v>
      </c>
      <c r="AP16" s="88">
        <v>8.129999999999999</v>
      </c>
      <c r="AQ16" s="87">
        <v>1.04</v>
      </c>
      <c r="AR16">
        <v>2</v>
      </c>
      <c r="AS16">
        <v>3</v>
      </c>
      <c r="AT16">
        <v>4.5</v>
      </c>
      <c r="AU16" s="87">
        <v>1.3599999999999999</v>
      </c>
      <c r="AV16">
        <v>2</v>
      </c>
      <c r="AW16">
        <v>3</v>
      </c>
      <c r="AX16" s="88">
        <v>4</v>
      </c>
      <c r="AY16" s="87">
        <v>1.1550000000000002</v>
      </c>
      <c r="AZ16">
        <v>2.4750000000000001</v>
      </c>
      <c r="BA16">
        <v>4.2350000000000003</v>
      </c>
      <c r="BB16">
        <v>6.6550000000000002</v>
      </c>
      <c r="BC16" s="87">
        <v>1.5650000000000008</v>
      </c>
      <c r="BD16">
        <v>2.4750000000000001</v>
      </c>
      <c r="BE16">
        <v>4.2350000000000003</v>
      </c>
      <c r="BF16" s="88">
        <v>5.830000000000001</v>
      </c>
      <c r="BG16" s="87">
        <f t="shared" si="3"/>
        <v>4.45</v>
      </c>
      <c r="BH16">
        <f t="shared" si="1"/>
        <v>8.3250000000000011</v>
      </c>
      <c r="BI16">
        <f t="shared" si="1"/>
        <v>13.395</v>
      </c>
      <c r="BJ16">
        <f t="shared" si="1"/>
        <v>20.310000000000002</v>
      </c>
      <c r="BK16" s="87">
        <f t="shared" si="1"/>
        <v>5.6650000000000009</v>
      </c>
      <c r="BL16">
        <f t="shared" si="1"/>
        <v>8.3250000000000011</v>
      </c>
      <c r="BM16">
        <f t="shared" si="1"/>
        <v>13.395</v>
      </c>
      <c r="BN16">
        <f t="shared" si="1"/>
        <v>17.96</v>
      </c>
      <c r="BO16" s="138">
        <f t="shared" si="4"/>
        <v>7.5500000000000007</v>
      </c>
      <c r="BP16" s="143">
        <f t="shared" si="5"/>
        <v>14.778</v>
      </c>
      <c r="BQ16" s="138">
        <f t="shared" si="6"/>
        <v>7.793000000000001</v>
      </c>
      <c r="BR16" s="139">
        <f t="shared" si="7"/>
        <v>14.308</v>
      </c>
      <c r="BS16" s="87">
        <f t="shared" si="8"/>
        <v>11.164000000000001</v>
      </c>
      <c r="BT16" s="88">
        <f t="shared" si="9"/>
        <v>11.0505</v>
      </c>
      <c r="BU16" s="134">
        <f t="shared" si="10"/>
        <v>11.107250000000001</v>
      </c>
    </row>
    <row r="17" spans="1:73" x14ac:dyDescent="0.25">
      <c r="A17" s="102" t="s">
        <v>67</v>
      </c>
      <c r="B17" s="102" t="s">
        <v>78</v>
      </c>
      <c r="C17" s="121" t="s">
        <v>91</v>
      </c>
      <c r="D17" s="155" t="s">
        <v>104</v>
      </c>
      <c r="E17" s="156" t="s">
        <v>105</v>
      </c>
      <c r="F17" s="156" t="s">
        <v>106</v>
      </c>
      <c r="G17" s="110">
        <f t="shared" si="0"/>
        <v>1</v>
      </c>
      <c r="H17" s="110">
        <f t="shared" si="0"/>
        <v>0.66</v>
      </c>
      <c r="I17" s="110">
        <f t="shared" si="0"/>
        <v>0.33</v>
      </c>
      <c r="J17" s="147">
        <f t="shared" si="2"/>
        <v>10.8</v>
      </c>
      <c r="K17" s="87">
        <v>0.77</v>
      </c>
      <c r="L17">
        <v>1</v>
      </c>
      <c r="M17">
        <v>1</v>
      </c>
      <c r="N17" s="88">
        <v>1</v>
      </c>
      <c r="O17" s="87">
        <v>0.83</v>
      </c>
      <c r="P17">
        <v>1</v>
      </c>
      <c r="Q17">
        <v>1</v>
      </c>
      <c r="R17" s="88">
        <v>1</v>
      </c>
      <c r="S17" s="87">
        <v>0.44000000000000006</v>
      </c>
      <c r="T17">
        <v>0.55000000000000004</v>
      </c>
      <c r="U17">
        <v>0.77</v>
      </c>
      <c r="V17" s="88">
        <v>1</v>
      </c>
      <c r="W17" s="87">
        <v>0.47000000000000003</v>
      </c>
      <c r="X17">
        <v>0.55000000000000004</v>
      </c>
      <c r="Y17">
        <v>0.77</v>
      </c>
      <c r="Z17" s="88">
        <v>0.92</v>
      </c>
      <c r="AA17" s="87">
        <v>0</v>
      </c>
      <c r="AB17">
        <v>0.22000000000000003</v>
      </c>
      <c r="AC17">
        <v>0.44</v>
      </c>
      <c r="AD17" s="88">
        <v>0.55000000000000004</v>
      </c>
      <c r="AE17" s="87">
        <v>0.06</v>
      </c>
      <c r="AF17">
        <v>0.22000000000000003</v>
      </c>
      <c r="AG17">
        <v>0.44</v>
      </c>
      <c r="AH17" s="88">
        <v>0.52</v>
      </c>
      <c r="AI17" s="87">
        <v>3.8900000000000006</v>
      </c>
      <c r="AJ17">
        <v>7</v>
      </c>
      <c r="AK17">
        <v>8</v>
      </c>
      <c r="AL17" s="88">
        <v>9.5</v>
      </c>
      <c r="AM17" s="87">
        <v>4.8099999999999987</v>
      </c>
      <c r="AN17">
        <v>7</v>
      </c>
      <c r="AO17">
        <v>8</v>
      </c>
      <c r="AP17" s="88">
        <v>9</v>
      </c>
      <c r="AQ17" s="87">
        <v>0.60499999999999998</v>
      </c>
      <c r="AR17">
        <v>1.1000000000000001</v>
      </c>
      <c r="AS17">
        <v>2.31</v>
      </c>
      <c r="AT17">
        <v>4.1549999999999994</v>
      </c>
      <c r="AU17" s="87">
        <v>0.77499999999999991</v>
      </c>
      <c r="AV17">
        <v>1.1000000000000001</v>
      </c>
      <c r="AW17">
        <v>2.31</v>
      </c>
      <c r="AX17" s="88">
        <v>3.53</v>
      </c>
      <c r="AY17" s="187">
        <v>0</v>
      </c>
      <c r="AZ17" s="179">
        <v>0.9900000000000001</v>
      </c>
      <c r="BA17" s="179">
        <v>2.42</v>
      </c>
      <c r="BB17" s="179">
        <v>3.6850000000000005</v>
      </c>
      <c r="BC17" s="187">
        <v>4.9999999999999933E-2</v>
      </c>
      <c r="BD17" s="179">
        <v>0.9900000000000001</v>
      </c>
      <c r="BE17" s="179">
        <v>2.42</v>
      </c>
      <c r="BF17" s="188">
        <v>3.3000000000000007</v>
      </c>
      <c r="BG17" s="87">
        <f t="shared" si="3"/>
        <v>4.495000000000001</v>
      </c>
      <c r="BH17">
        <f t="shared" si="1"/>
        <v>9.09</v>
      </c>
      <c r="BI17">
        <f t="shared" si="1"/>
        <v>12.73</v>
      </c>
      <c r="BJ17">
        <f t="shared" si="1"/>
        <v>17.34</v>
      </c>
      <c r="BK17" s="87">
        <f t="shared" si="1"/>
        <v>5.6349999999999989</v>
      </c>
      <c r="BL17">
        <f t="shared" si="1"/>
        <v>9.09</v>
      </c>
      <c r="BM17">
        <f t="shared" si="1"/>
        <v>12.73</v>
      </c>
      <c r="BN17">
        <f t="shared" si="1"/>
        <v>15.83</v>
      </c>
      <c r="BO17" s="138">
        <f t="shared" si="4"/>
        <v>8.1709999999999994</v>
      </c>
      <c r="BP17" s="143">
        <f t="shared" si="5"/>
        <v>13.652000000000001</v>
      </c>
      <c r="BQ17" s="138">
        <f t="shared" si="6"/>
        <v>8.3989999999999991</v>
      </c>
      <c r="BR17" s="139">
        <f t="shared" si="7"/>
        <v>13.350000000000001</v>
      </c>
      <c r="BS17" s="87">
        <f t="shared" si="8"/>
        <v>10.9115</v>
      </c>
      <c r="BT17" s="88">
        <f t="shared" si="9"/>
        <v>10.874500000000001</v>
      </c>
      <c r="BU17" s="134">
        <f t="shared" si="10"/>
        <v>10.893000000000001</v>
      </c>
    </row>
    <row r="18" spans="1:73" ht="30" x14ac:dyDescent="0.25">
      <c r="A18" s="102" t="s">
        <v>68</v>
      </c>
      <c r="B18" s="102" t="s">
        <v>79</v>
      </c>
      <c r="C18" s="121" t="s">
        <v>92</v>
      </c>
      <c r="D18" s="155" t="s">
        <v>104</v>
      </c>
      <c r="E18" s="156" t="s">
        <v>105</v>
      </c>
      <c r="F18" s="156" t="s">
        <v>106</v>
      </c>
      <c r="G18" s="110">
        <f t="shared" si="0"/>
        <v>1</v>
      </c>
      <c r="H18" s="110">
        <f t="shared" si="0"/>
        <v>0.66</v>
      </c>
      <c r="I18" s="110">
        <f t="shared" si="0"/>
        <v>0.33</v>
      </c>
      <c r="J18" s="147">
        <f t="shared" si="2"/>
        <v>10.8</v>
      </c>
      <c r="K18" s="87">
        <v>0.77</v>
      </c>
      <c r="L18">
        <v>1</v>
      </c>
      <c r="M18">
        <v>1</v>
      </c>
      <c r="N18" s="88">
        <v>1</v>
      </c>
      <c r="O18" s="87">
        <v>0.83</v>
      </c>
      <c r="P18">
        <v>1</v>
      </c>
      <c r="Q18">
        <v>1</v>
      </c>
      <c r="R18" s="88">
        <v>1</v>
      </c>
      <c r="S18" s="87">
        <v>0.44000000000000006</v>
      </c>
      <c r="T18">
        <v>0.55000000000000004</v>
      </c>
      <c r="U18">
        <v>0.77</v>
      </c>
      <c r="V18" s="88">
        <v>1</v>
      </c>
      <c r="W18" s="87">
        <v>0.47000000000000003</v>
      </c>
      <c r="X18">
        <v>0.55000000000000004</v>
      </c>
      <c r="Y18">
        <v>0.77</v>
      </c>
      <c r="Z18" s="88">
        <v>0.92</v>
      </c>
      <c r="AA18" s="87">
        <v>0</v>
      </c>
      <c r="AB18">
        <v>0.22000000000000003</v>
      </c>
      <c r="AC18">
        <v>0.44</v>
      </c>
      <c r="AD18" s="88">
        <v>0.55000000000000004</v>
      </c>
      <c r="AE18" s="87">
        <v>0.06</v>
      </c>
      <c r="AF18">
        <v>0.22000000000000003</v>
      </c>
      <c r="AG18">
        <v>0.44</v>
      </c>
      <c r="AH18" s="88">
        <v>0.52</v>
      </c>
      <c r="AI18" s="87">
        <v>3.8900000000000006</v>
      </c>
      <c r="AJ18">
        <v>7</v>
      </c>
      <c r="AK18">
        <v>8</v>
      </c>
      <c r="AL18" s="88">
        <v>9.5</v>
      </c>
      <c r="AM18" s="87">
        <v>4.8099999999999987</v>
      </c>
      <c r="AN18">
        <v>7</v>
      </c>
      <c r="AO18">
        <v>8</v>
      </c>
      <c r="AP18" s="88">
        <v>9</v>
      </c>
      <c r="AQ18" s="87">
        <v>0.60499999999999998</v>
      </c>
      <c r="AR18">
        <v>1.1000000000000001</v>
      </c>
      <c r="AS18">
        <v>2.31</v>
      </c>
      <c r="AT18">
        <v>4.1549999999999994</v>
      </c>
      <c r="AU18" s="87">
        <v>0.77499999999999991</v>
      </c>
      <c r="AV18">
        <v>1.1000000000000001</v>
      </c>
      <c r="AW18">
        <v>2.31</v>
      </c>
      <c r="AX18" s="88">
        <v>3.53</v>
      </c>
      <c r="AY18" s="187">
        <v>0</v>
      </c>
      <c r="AZ18" s="179">
        <v>0.9900000000000001</v>
      </c>
      <c r="BA18" s="179">
        <v>2.42</v>
      </c>
      <c r="BB18" s="179">
        <v>3.6850000000000005</v>
      </c>
      <c r="BC18" s="187">
        <v>4.9999999999999933E-2</v>
      </c>
      <c r="BD18" s="179">
        <v>0.9900000000000001</v>
      </c>
      <c r="BE18" s="179">
        <v>2.42</v>
      </c>
      <c r="BF18" s="188">
        <v>3.3000000000000007</v>
      </c>
      <c r="BG18" s="87">
        <f t="shared" si="3"/>
        <v>4.495000000000001</v>
      </c>
      <c r="BH18">
        <f t="shared" si="1"/>
        <v>9.09</v>
      </c>
      <c r="BI18">
        <f t="shared" si="1"/>
        <v>12.73</v>
      </c>
      <c r="BJ18">
        <f t="shared" si="1"/>
        <v>17.34</v>
      </c>
      <c r="BK18" s="87">
        <f t="shared" si="1"/>
        <v>5.6349999999999989</v>
      </c>
      <c r="BL18">
        <f t="shared" si="1"/>
        <v>9.09</v>
      </c>
      <c r="BM18">
        <f t="shared" si="1"/>
        <v>12.73</v>
      </c>
      <c r="BN18">
        <f t="shared" si="1"/>
        <v>15.83</v>
      </c>
      <c r="BO18" s="138">
        <f t="shared" si="4"/>
        <v>8.1709999999999994</v>
      </c>
      <c r="BP18" s="143">
        <f t="shared" si="5"/>
        <v>13.652000000000001</v>
      </c>
      <c r="BQ18" s="138">
        <f t="shared" si="6"/>
        <v>8.3989999999999991</v>
      </c>
      <c r="BR18" s="139">
        <f t="shared" si="7"/>
        <v>13.350000000000001</v>
      </c>
      <c r="BS18" s="87">
        <f t="shared" si="8"/>
        <v>10.9115</v>
      </c>
      <c r="BT18" s="88">
        <f t="shared" si="9"/>
        <v>10.874500000000001</v>
      </c>
      <c r="BU18" s="134">
        <f t="shared" si="10"/>
        <v>10.893000000000001</v>
      </c>
    </row>
    <row r="19" spans="1:73" ht="30" x14ac:dyDescent="0.25">
      <c r="A19" s="102" t="s">
        <v>69</v>
      </c>
      <c r="B19" s="102" t="s">
        <v>80</v>
      </c>
      <c r="C19" s="121" t="s">
        <v>81</v>
      </c>
      <c r="D19" s="155" t="s">
        <v>105</v>
      </c>
      <c r="E19" s="156" t="s">
        <v>104</v>
      </c>
      <c r="F19" s="156" t="s">
        <v>104</v>
      </c>
      <c r="G19" s="110">
        <f t="shared" si="0"/>
        <v>0.66</v>
      </c>
      <c r="H19" s="110">
        <f t="shared" si="0"/>
        <v>1</v>
      </c>
      <c r="I19" s="110">
        <f t="shared" si="0"/>
        <v>1</v>
      </c>
      <c r="J19" s="147">
        <f t="shared" si="2"/>
        <v>12.45</v>
      </c>
      <c r="K19" s="87">
        <v>0.44000000000000006</v>
      </c>
      <c r="L19">
        <v>0.55000000000000004</v>
      </c>
      <c r="M19">
        <v>0.77</v>
      </c>
      <c r="N19" s="88">
        <v>1</v>
      </c>
      <c r="O19" s="87">
        <v>0.47000000000000003</v>
      </c>
      <c r="P19">
        <v>0.55000000000000004</v>
      </c>
      <c r="Q19">
        <v>0.77</v>
      </c>
      <c r="R19" s="88">
        <v>0.92</v>
      </c>
      <c r="S19" s="87">
        <v>0.77</v>
      </c>
      <c r="T19">
        <v>1</v>
      </c>
      <c r="U19">
        <v>1</v>
      </c>
      <c r="V19" s="88">
        <v>1</v>
      </c>
      <c r="W19" s="87">
        <v>0.83</v>
      </c>
      <c r="X19">
        <v>1</v>
      </c>
      <c r="Y19">
        <v>1</v>
      </c>
      <c r="Z19" s="88">
        <v>1</v>
      </c>
      <c r="AA19" s="87">
        <v>0.77</v>
      </c>
      <c r="AB19">
        <v>1</v>
      </c>
      <c r="AC19">
        <v>1</v>
      </c>
      <c r="AD19" s="88">
        <v>1</v>
      </c>
      <c r="AE19" s="87">
        <v>0.83</v>
      </c>
      <c r="AF19">
        <v>1</v>
      </c>
      <c r="AG19">
        <v>1</v>
      </c>
      <c r="AH19" s="88">
        <v>1</v>
      </c>
      <c r="AI19" s="87">
        <v>2.2549999999999999</v>
      </c>
      <c r="AJ19">
        <v>3.8500000000000005</v>
      </c>
      <c r="AK19">
        <v>6.16</v>
      </c>
      <c r="AL19" s="88">
        <v>9.1550000000000011</v>
      </c>
      <c r="AM19" s="87">
        <v>2.7399999999999993</v>
      </c>
      <c r="AN19">
        <v>3.8500000000000005</v>
      </c>
      <c r="AO19">
        <v>6.16</v>
      </c>
      <c r="AP19" s="88">
        <v>8.129999999999999</v>
      </c>
      <c r="AQ19" s="87">
        <v>1.04</v>
      </c>
      <c r="AR19">
        <v>2</v>
      </c>
      <c r="AS19">
        <v>3</v>
      </c>
      <c r="AT19">
        <v>4.5</v>
      </c>
      <c r="AU19" s="87">
        <v>1.3599999999999999</v>
      </c>
      <c r="AV19">
        <v>2</v>
      </c>
      <c r="AW19">
        <v>3</v>
      </c>
      <c r="AX19" s="88">
        <v>4</v>
      </c>
      <c r="AY19" s="87">
        <v>1.9649999999999999</v>
      </c>
      <c r="AZ19">
        <v>4.5</v>
      </c>
      <c r="BA19">
        <v>5.5</v>
      </c>
      <c r="BB19">
        <v>7</v>
      </c>
      <c r="BC19" s="87">
        <v>2.7349999999999994</v>
      </c>
      <c r="BD19">
        <v>4.5</v>
      </c>
      <c r="BE19">
        <v>5.5</v>
      </c>
      <c r="BF19" s="88">
        <v>6.5</v>
      </c>
      <c r="BG19" s="87">
        <f t="shared" si="3"/>
        <v>5.26</v>
      </c>
      <c r="BH19">
        <f t="shared" si="1"/>
        <v>10.350000000000001</v>
      </c>
      <c r="BI19">
        <f t="shared" si="1"/>
        <v>14.66</v>
      </c>
      <c r="BJ19">
        <f t="shared" si="1"/>
        <v>20.655000000000001</v>
      </c>
      <c r="BK19" s="87">
        <f t="shared" si="1"/>
        <v>6.8349999999999991</v>
      </c>
      <c r="BL19">
        <f t="shared" si="1"/>
        <v>10.350000000000001</v>
      </c>
      <c r="BM19">
        <f t="shared" si="1"/>
        <v>14.66</v>
      </c>
      <c r="BN19">
        <f t="shared" si="1"/>
        <v>18.63</v>
      </c>
      <c r="BO19" s="138">
        <f t="shared" si="4"/>
        <v>9.3320000000000007</v>
      </c>
      <c r="BP19" s="143">
        <f t="shared" si="5"/>
        <v>15.859000000000002</v>
      </c>
      <c r="BQ19" s="138">
        <f t="shared" si="6"/>
        <v>9.6470000000000002</v>
      </c>
      <c r="BR19" s="139">
        <f t="shared" si="7"/>
        <v>15.454000000000001</v>
      </c>
      <c r="BS19" s="87">
        <f t="shared" si="8"/>
        <v>12.595500000000001</v>
      </c>
      <c r="BT19" s="88">
        <f t="shared" si="9"/>
        <v>12.5505</v>
      </c>
      <c r="BU19" s="134">
        <f t="shared" si="10"/>
        <v>12.573</v>
      </c>
    </row>
    <row r="20" spans="1:73" ht="36.75" customHeight="1" x14ac:dyDescent="0.25">
      <c r="A20" s="102" t="s">
        <v>70</v>
      </c>
      <c r="B20" s="102" t="s">
        <v>82</v>
      </c>
      <c r="C20" s="121" t="s">
        <v>93</v>
      </c>
      <c r="D20" s="155" t="s">
        <v>105</v>
      </c>
      <c r="E20" s="156" t="s">
        <v>104</v>
      </c>
      <c r="F20" s="156" t="s">
        <v>105</v>
      </c>
      <c r="G20" s="110">
        <f t="shared" si="0"/>
        <v>0.66</v>
      </c>
      <c r="H20" s="110">
        <f t="shared" si="0"/>
        <v>1</v>
      </c>
      <c r="I20" s="110">
        <f t="shared" si="0"/>
        <v>0.66</v>
      </c>
      <c r="J20" s="147">
        <f t="shared" si="2"/>
        <v>10.75</v>
      </c>
      <c r="K20" s="87">
        <v>0.44000000000000006</v>
      </c>
      <c r="L20">
        <v>0.55000000000000004</v>
      </c>
      <c r="M20">
        <v>0.77</v>
      </c>
      <c r="N20" s="88">
        <v>1</v>
      </c>
      <c r="O20" s="87">
        <v>0.47000000000000003</v>
      </c>
      <c r="P20">
        <v>0.55000000000000004</v>
      </c>
      <c r="Q20">
        <v>0.77</v>
      </c>
      <c r="R20" s="88">
        <v>0.92</v>
      </c>
      <c r="S20" s="87">
        <v>0.77</v>
      </c>
      <c r="T20">
        <v>1</v>
      </c>
      <c r="U20">
        <v>1</v>
      </c>
      <c r="V20" s="88">
        <v>1</v>
      </c>
      <c r="W20" s="87">
        <v>0.83</v>
      </c>
      <c r="X20">
        <v>1</v>
      </c>
      <c r="Y20">
        <v>1</v>
      </c>
      <c r="Z20" s="88">
        <v>1</v>
      </c>
      <c r="AA20" s="87">
        <v>0.44000000000000006</v>
      </c>
      <c r="AB20">
        <v>0.55000000000000004</v>
      </c>
      <c r="AC20">
        <v>0.77</v>
      </c>
      <c r="AD20" s="88">
        <v>1</v>
      </c>
      <c r="AE20" s="87">
        <v>0.47000000000000003</v>
      </c>
      <c r="AF20">
        <v>0.55000000000000004</v>
      </c>
      <c r="AG20">
        <v>0.77</v>
      </c>
      <c r="AH20" s="88">
        <v>0.92</v>
      </c>
      <c r="AI20" s="87">
        <v>2.2549999999999999</v>
      </c>
      <c r="AJ20">
        <v>3.8500000000000005</v>
      </c>
      <c r="AK20">
        <v>6.16</v>
      </c>
      <c r="AL20" s="88">
        <v>9.1550000000000011</v>
      </c>
      <c r="AM20" s="87">
        <v>2.7399999999999993</v>
      </c>
      <c r="AN20">
        <v>3.8500000000000005</v>
      </c>
      <c r="AO20">
        <v>6.16</v>
      </c>
      <c r="AP20" s="88">
        <v>8.129999999999999</v>
      </c>
      <c r="AQ20" s="87">
        <v>1.04</v>
      </c>
      <c r="AR20">
        <v>2</v>
      </c>
      <c r="AS20">
        <v>3</v>
      </c>
      <c r="AT20">
        <v>4.5</v>
      </c>
      <c r="AU20" s="87">
        <v>1.3599999999999999</v>
      </c>
      <c r="AV20">
        <v>2</v>
      </c>
      <c r="AW20">
        <v>3</v>
      </c>
      <c r="AX20" s="88">
        <v>4</v>
      </c>
      <c r="AY20" s="87">
        <v>1.1550000000000002</v>
      </c>
      <c r="AZ20">
        <v>2.4750000000000001</v>
      </c>
      <c r="BA20">
        <v>4.2350000000000003</v>
      </c>
      <c r="BB20">
        <v>6.6550000000000002</v>
      </c>
      <c r="BC20" s="87">
        <v>1.5650000000000008</v>
      </c>
      <c r="BD20">
        <v>2.4750000000000001</v>
      </c>
      <c r="BE20">
        <v>4.2350000000000003</v>
      </c>
      <c r="BF20" s="88">
        <v>5.830000000000001</v>
      </c>
      <c r="BG20" s="87">
        <f t="shared" si="3"/>
        <v>4.45</v>
      </c>
      <c r="BH20">
        <f t="shared" si="1"/>
        <v>8.3250000000000011</v>
      </c>
      <c r="BI20">
        <f t="shared" si="1"/>
        <v>13.395</v>
      </c>
      <c r="BJ20">
        <f t="shared" si="1"/>
        <v>20.310000000000002</v>
      </c>
      <c r="BK20" s="87">
        <f t="shared" si="1"/>
        <v>5.6650000000000009</v>
      </c>
      <c r="BL20">
        <f t="shared" si="1"/>
        <v>8.3250000000000011</v>
      </c>
      <c r="BM20">
        <f t="shared" si="1"/>
        <v>13.395</v>
      </c>
      <c r="BN20">
        <f t="shared" si="1"/>
        <v>17.96</v>
      </c>
      <c r="BO20" s="138">
        <f t="shared" si="4"/>
        <v>7.5500000000000007</v>
      </c>
      <c r="BP20" s="143">
        <f t="shared" si="5"/>
        <v>14.778</v>
      </c>
      <c r="BQ20" s="138">
        <f t="shared" si="6"/>
        <v>7.793000000000001</v>
      </c>
      <c r="BR20" s="139">
        <f t="shared" si="7"/>
        <v>14.308</v>
      </c>
      <c r="BS20" s="87">
        <f t="shared" si="8"/>
        <v>11.164000000000001</v>
      </c>
      <c r="BT20" s="88">
        <f t="shared" si="9"/>
        <v>11.0505</v>
      </c>
      <c r="BU20" s="134">
        <f t="shared" si="10"/>
        <v>11.107250000000001</v>
      </c>
    </row>
    <row r="21" spans="1:73" ht="30.75" thickBot="1" x14ac:dyDescent="0.3">
      <c r="A21" s="102" t="s">
        <v>71</v>
      </c>
      <c r="B21" s="102" t="s">
        <v>83</v>
      </c>
      <c r="C21" s="121" t="s">
        <v>94</v>
      </c>
      <c r="D21" s="157" t="s">
        <v>106</v>
      </c>
      <c r="E21" s="158" t="s">
        <v>104</v>
      </c>
      <c r="F21" s="158" t="s">
        <v>105</v>
      </c>
      <c r="G21" s="123">
        <f t="shared" si="0"/>
        <v>0.33</v>
      </c>
      <c r="H21" s="123">
        <f t="shared" si="0"/>
        <v>1</v>
      </c>
      <c r="I21" s="123">
        <f t="shared" si="0"/>
        <v>0.66</v>
      </c>
      <c r="J21" s="148">
        <f t="shared" si="2"/>
        <v>8.2750000000000004</v>
      </c>
      <c r="K21" s="91">
        <v>0</v>
      </c>
      <c r="L21" s="93">
        <v>0.22000000000000003</v>
      </c>
      <c r="M21" s="93">
        <v>0.44</v>
      </c>
      <c r="N21" s="94">
        <v>0.55000000000000004</v>
      </c>
      <c r="O21" s="91">
        <v>0.06</v>
      </c>
      <c r="P21" s="93">
        <v>0.22000000000000003</v>
      </c>
      <c r="Q21" s="93">
        <v>0.44</v>
      </c>
      <c r="R21" s="94">
        <v>0.52</v>
      </c>
      <c r="S21" s="91">
        <v>0.77</v>
      </c>
      <c r="T21" s="93">
        <v>1</v>
      </c>
      <c r="U21" s="93">
        <v>1</v>
      </c>
      <c r="V21" s="94">
        <v>1</v>
      </c>
      <c r="W21" s="91">
        <v>0.83</v>
      </c>
      <c r="X21" s="93">
        <v>1</v>
      </c>
      <c r="Y21" s="93">
        <v>1</v>
      </c>
      <c r="Z21" s="94">
        <v>1</v>
      </c>
      <c r="AA21" s="91">
        <v>0.44000000000000006</v>
      </c>
      <c r="AB21" s="93">
        <v>0.55000000000000004</v>
      </c>
      <c r="AC21" s="93">
        <v>0.77</v>
      </c>
      <c r="AD21" s="94">
        <v>1</v>
      </c>
      <c r="AE21" s="91">
        <v>0.47000000000000003</v>
      </c>
      <c r="AF21" s="93">
        <v>0.55000000000000004</v>
      </c>
      <c r="AG21" s="93">
        <v>0.77</v>
      </c>
      <c r="AH21" s="94">
        <v>0.92</v>
      </c>
      <c r="AI21" s="189">
        <v>0</v>
      </c>
      <c r="AJ21" s="201">
        <v>1.5400000000000003</v>
      </c>
      <c r="AK21" s="201">
        <v>3.52</v>
      </c>
      <c r="AL21" s="190">
        <v>5.0600000000000005</v>
      </c>
      <c r="AM21" s="189">
        <v>0.19999999999999996</v>
      </c>
      <c r="AN21" s="201">
        <v>1.5400000000000003</v>
      </c>
      <c r="AO21" s="201">
        <v>3.52</v>
      </c>
      <c r="AP21" s="190">
        <v>4.6000000000000014</v>
      </c>
      <c r="AQ21" s="91">
        <v>1.04</v>
      </c>
      <c r="AR21" s="93">
        <v>2</v>
      </c>
      <c r="AS21" s="93">
        <v>3</v>
      </c>
      <c r="AT21" s="93">
        <v>4.5</v>
      </c>
      <c r="AU21" s="91">
        <v>1.3599999999999999</v>
      </c>
      <c r="AV21" s="93">
        <v>2</v>
      </c>
      <c r="AW21" s="93">
        <v>3</v>
      </c>
      <c r="AX21" s="94">
        <v>4</v>
      </c>
      <c r="AY21" s="91">
        <v>1.1550000000000002</v>
      </c>
      <c r="AZ21" s="93">
        <v>2.4750000000000001</v>
      </c>
      <c r="BA21" s="93">
        <v>4.2350000000000003</v>
      </c>
      <c r="BB21" s="93">
        <v>6.6550000000000002</v>
      </c>
      <c r="BC21" s="91">
        <v>1.5650000000000008</v>
      </c>
      <c r="BD21" s="93">
        <v>2.4750000000000001</v>
      </c>
      <c r="BE21" s="93">
        <v>4.2350000000000003</v>
      </c>
      <c r="BF21" s="94">
        <v>5.830000000000001</v>
      </c>
      <c r="BG21" s="91">
        <f t="shared" si="3"/>
        <v>2.1950000000000003</v>
      </c>
      <c r="BH21" s="93">
        <f t="shared" si="1"/>
        <v>6.0150000000000006</v>
      </c>
      <c r="BI21" s="93">
        <f t="shared" si="1"/>
        <v>10.754999999999999</v>
      </c>
      <c r="BJ21" s="93">
        <f t="shared" si="1"/>
        <v>16.215</v>
      </c>
      <c r="BK21" s="91">
        <f t="shared" si="1"/>
        <v>3.1250000000000009</v>
      </c>
      <c r="BL21" s="93">
        <f t="shared" si="1"/>
        <v>6.0150000000000006</v>
      </c>
      <c r="BM21" s="93">
        <f t="shared" si="1"/>
        <v>10.754999999999999</v>
      </c>
      <c r="BN21" s="93">
        <f t="shared" si="1"/>
        <v>14.430000000000003</v>
      </c>
      <c r="BO21" s="140">
        <f t="shared" si="4"/>
        <v>5.2510000000000012</v>
      </c>
      <c r="BP21" s="144">
        <f t="shared" si="5"/>
        <v>11.846999999999998</v>
      </c>
      <c r="BQ21" s="140">
        <f t="shared" si="6"/>
        <v>5.4370000000000012</v>
      </c>
      <c r="BR21" s="141">
        <f t="shared" si="7"/>
        <v>11.489999999999998</v>
      </c>
      <c r="BS21" s="91">
        <f t="shared" si="8"/>
        <v>8.5489999999999995</v>
      </c>
      <c r="BT21" s="94">
        <f t="shared" si="9"/>
        <v>8.4634999999999998</v>
      </c>
      <c r="BU21" s="135">
        <f t="shared" si="10"/>
        <v>8.5062499999999996</v>
      </c>
    </row>
    <row r="22" spans="1:73" x14ac:dyDescent="0.25">
      <c r="BF22" s="60"/>
      <c r="BG22" s="59"/>
      <c r="BH22" s="59"/>
      <c r="BI22" s="59"/>
      <c r="BJ22" s="59"/>
      <c r="BK22" s="59"/>
    </row>
    <row r="23" spans="1:73" x14ac:dyDescent="0.25">
      <c r="A23" s="1" t="s">
        <v>188</v>
      </c>
      <c r="B23" s="1"/>
    </row>
    <row r="24" spans="1:73" ht="15.75" thickBot="1" x14ac:dyDescent="0.3">
      <c r="A24" s="107" t="s">
        <v>103</v>
      </c>
      <c r="B24" s="108" t="s">
        <v>122</v>
      </c>
      <c r="E24" s="112" t="s">
        <v>17</v>
      </c>
      <c r="I24" t="s">
        <v>18</v>
      </c>
    </row>
    <row r="25" spans="1:73" x14ac:dyDescent="0.25">
      <c r="A25" s="106" t="s">
        <v>107</v>
      </c>
      <c r="B25" s="2">
        <v>0</v>
      </c>
      <c r="C25" s="79">
        <v>0</v>
      </c>
      <c r="D25" s="80" t="s">
        <v>107</v>
      </c>
      <c r="E25" s="81">
        <v>0</v>
      </c>
      <c r="F25" s="82">
        <f>C25</f>
        <v>0</v>
      </c>
      <c r="G25" s="83">
        <v>0</v>
      </c>
      <c r="H25" s="84">
        <v>0.22</v>
      </c>
      <c r="I25" s="85">
        <v>0</v>
      </c>
      <c r="J25" s="83">
        <f>F25</f>
        <v>0</v>
      </c>
      <c r="K25" s="83">
        <f>G25</f>
        <v>0</v>
      </c>
      <c r="L25" s="86">
        <v>0.15</v>
      </c>
    </row>
    <row r="26" spans="1:73" x14ac:dyDescent="0.25">
      <c r="A26" s="106" t="s">
        <v>106</v>
      </c>
      <c r="B26" s="2">
        <v>0.33</v>
      </c>
      <c r="C26" s="79">
        <v>0.33</v>
      </c>
      <c r="D26" s="80" t="s">
        <v>106</v>
      </c>
      <c r="E26" s="87">
        <v>0</v>
      </c>
      <c r="F26" s="111">
        <f>C26-0.11</f>
        <v>0.22000000000000003</v>
      </c>
      <c r="G26">
        <f>C26+0.11</f>
        <v>0.44</v>
      </c>
      <c r="H26" s="88">
        <f t="shared" ref="H26" si="11">G26+0.11</f>
        <v>0.55000000000000004</v>
      </c>
      <c r="I26" s="89">
        <v>0.06</v>
      </c>
      <c r="J26">
        <f t="shared" ref="J26:K28" si="12">F26</f>
        <v>0.22000000000000003</v>
      </c>
      <c r="K26">
        <f t="shared" si="12"/>
        <v>0.44</v>
      </c>
      <c r="L26" s="90">
        <f t="shared" ref="L26" si="13">K26+0.08</f>
        <v>0.52</v>
      </c>
    </row>
    <row r="27" spans="1:73" x14ac:dyDescent="0.25">
      <c r="A27" s="106" t="s">
        <v>105</v>
      </c>
      <c r="B27" s="2">
        <v>0.66</v>
      </c>
      <c r="C27" s="79">
        <v>0.66</v>
      </c>
      <c r="D27" s="80" t="s">
        <v>105</v>
      </c>
      <c r="E27" s="87">
        <f t="shared" ref="E27" si="14">F27-0.11</f>
        <v>0.44000000000000006</v>
      </c>
      <c r="F27" s="111">
        <f t="shared" ref="F27" si="15">C27-0.11</f>
        <v>0.55000000000000004</v>
      </c>
      <c r="G27">
        <f t="shared" ref="G27" si="16">C27+0.11</f>
        <v>0.77</v>
      </c>
      <c r="H27" s="88">
        <v>1</v>
      </c>
      <c r="I27" s="89">
        <f t="shared" ref="I27" si="17">J27-0.08</f>
        <v>0.47000000000000003</v>
      </c>
      <c r="J27">
        <f t="shared" si="12"/>
        <v>0.55000000000000004</v>
      </c>
      <c r="K27">
        <f t="shared" si="12"/>
        <v>0.77</v>
      </c>
      <c r="L27" s="90">
        <v>0.92</v>
      </c>
    </row>
    <row r="28" spans="1:73" ht="15.75" thickBot="1" x14ac:dyDescent="0.3">
      <c r="A28" s="106" t="s">
        <v>104</v>
      </c>
      <c r="B28" s="2">
        <v>1</v>
      </c>
      <c r="C28" s="79">
        <v>1</v>
      </c>
      <c r="D28" s="80" t="s">
        <v>104</v>
      </c>
      <c r="E28" s="91">
        <v>0.77</v>
      </c>
      <c r="F28" s="92">
        <v>1</v>
      </c>
      <c r="G28" s="93">
        <v>1</v>
      </c>
      <c r="H28" s="94">
        <v>1</v>
      </c>
      <c r="I28" s="95">
        <v>0.83</v>
      </c>
      <c r="J28" s="93">
        <f t="shared" si="12"/>
        <v>1</v>
      </c>
      <c r="K28" s="93">
        <f t="shared" si="12"/>
        <v>1</v>
      </c>
      <c r="L28" s="96">
        <v>1</v>
      </c>
    </row>
    <row r="29" spans="1:73" x14ac:dyDescent="0.25">
      <c r="A29" s="99"/>
    </row>
    <row r="30" spans="1:73" x14ac:dyDescent="0.25">
      <c r="A30" s="1" t="s">
        <v>190</v>
      </c>
    </row>
    <row r="31" spans="1:73" ht="15.75" thickBot="1" x14ac:dyDescent="0.3">
      <c r="A31" s="107" t="s">
        <v>103</v>
      </c>
      <c r="B31" s="108" t="s">
        <v>123</v>
      </c>
      <c r="E31" s="112" t="s">
        <v>17</v>
      </c>
      <c r="I31" t="s">
        <v>18</v>
      </c>
    </row>
    <row r="32" spans="1:73" x14ac:dyDescent="0.25">
      <c r="A32" s="106" t="s">
        <v>107</v>
      </c>
      <c r="B32" s="2">
        <v>1</v>
      </c>
      <c r="C32" s="79">
        <v>1</v>
      </c>
      <c r="D32" s="80" t="s">
        <v>107</v>
      </c>
      <c r="E32" s="81">
        <v>0</v>
      </c>
      <c r="F32" s="82">
        <v>0.5</v>
      </c>
      <c r="G32" s="83">
        <v>1.5</v>
      </c>
      <c r="H32" s="84">
        <v>2</v>
      </c>
      <c r="I32" s="85">
        <v>0</v>
      </c>
      <c r="J32" s="83">
        <f>F32</f>
        <v>0.5</v>
      </c>
      <c r="K32" s="83">
        <f>G32</f>
        <v>1.5</v>
      </c>
      <c r="L32" s="86">
        <v>1.8</v>
      </c>
    </row>
    <row r="33" spans="1:12" x14ac:dyDescent="0.25">
      <c r="A33" s="106" t="s">
        <v>106</v>
      </c>
      <c r="B33" s="2">
        <v>2.5</v>
      </c>
      <c r="C33" s="79">
        <v>2.5</v>
      </c>
      <c r="D33" s="80" t="s">
        <v>106</v>
      </c>
      <c r="E33" s="87">
        <v>1.5</v>
      </c>
      <c r="F33" s="111">
        <f>C33-0.5</f>
        <v>2</v>
      </c>
      <c r="G33">
        <f>C33+0.5</f>
        <v>3</v>
      </c>
      <c r="H33" s="88">
        <f t="shared" ref="H33:H35" si="18">G33+1.5</f>
        <v>4.5</v>
      </c>
      <c r="I33" s="89">
        <v>1.7</v>
      </c>
      <c r="J33">
        <f t="shared" ref="J33:K35" si="19">F33</f>
        <v>2</v>
      </c>
      <c r="K33">
        <f t="shared" si="19"/>
        <v>3</v>
      </c>
      <c r="L33" s="90">
        <f t="shared" ref="L33:L35" si="20">K33+1</f>
        <v>4</v>
      </c>
    </row>
    <row r="34" spans="1:12" x14ac:dyDescent="0.25">
      <c r="A34" s="106" t="s">
        <v>105</v>
      </c>
      <c r="B34" s="2">
        <v>5</v>
      </c>
      <c r="C34" s="79">
        <v>5</v>
      </c>
      <c r="D34" s="80" t="s">
        <v>105</v>
      </c>
      <c r="E34" s="87">
        <f t="shared" ref="E34:E35" si="21">F34-1.5</f>
        <v>3</v>
      </c>
      <c r="F34" s="111">
        <f>C34-0.5</f>
        <v>4.5</v>
      </c>
      <c r="G34">
        <f>C34+0.5</f>
        <v>5.5</v>
      </c>
      <c r="H34" s="88">
        <f t="shared" si="18"/>
        <v>7</v>
      </c>
      <c r="I34" s="89">
        <f t="shared" ref="I34:I35" si="22">J34-1</f>
        <v>3.5</v>
      </c>
      <c r="J34">
        <f t="shared" si="19"/>
        <v>4.5</v>
      </c>
      <c r="K34">
        <f t="shared" si="19"/>
        <v>5.5</v>
      </c>
      <c r="L34" s="90">
        <f t="shared" si="20"/>
        <v>6.5</v>
      </c>
    </row>
    <row r="35" spans="1:12" ht="15.75" thickBot="1" x14ac:dyDescent="0.3">
      <c r="A35" s="106" t="s">
        <v>104</v>
      </c>
      <c r="B35" s="2">
        <v>7.5</v>
      </c>
      <c r="C35" s="79">
        <v>7.5</v>
      </c>
      <c r="D35" s="80" t="s">
        <v>104</v>
      </c>
      <c r="E35" s="91">
        <f t="shared" si="21"/>
        <v>5.5</v>
      </c>
      <c r="F35" s="92">
        <f>C35-0.5</f>
        <v>7</v>
      </c>
      <c r="G35" s="93">
        <f>C35+0.5</f>
        <v>8</v>
      </c>
      <c r="H35" s="94">
        <f t="shared" si="18"/>
        <v>9.5</v>
      </c>
      <c r="I35" s="95">
        <f t="shared" si="22"/>
        <v>6</v>
      </c>
      <c r="J35" s="93">
        <f t="shared" si="19"/>
        <v>7</v>
      </c>
      <c r="K35" s="93">
        <f t="shared" si="19"/>
        <v>8</v>
      </c>
      <c r="L35" s="96">
        <f t="shared" si="20"/>
        <v>9</v>
      </c>
    </row>
    <row r="37" spans="1:12" ht="15.75" thickBot="1" x14ac:dyDescent="0.3">
      <c r="A37" s="1" t="s">
        <v>193</v>
      </c>
    </row>
    <row r="38" spans="1:12" ht="67.5" customHeight="1" thickBot="1" x14ac:dyDescent="0.3">
      <c r="A38" s="114" t="s">
        <v>117</v>
      </c>
      <c r="B38" s="113" t="s">
        <v>99</v>
      </c>
      <c r="C38" s="115" t="s">
        <v>108</v>
      </c>
      <c r="D38" s="116" t="s">
        <v>189</v>
      </c>
      <c r="E38" s="283" t="s">
        <v>126</v>
      </c>
      <c r="F38" s="284"/>
      <c r="G38" s="284"/>
      <c r="H38" s="284"/>
      <c r="I38" s="284"/>
      <c r="J38" s="284"/>
      <c r="K38" s="284"/>
      <c r="L38" s="285"/>
    </row>
    <row r="39" spans="1:12" x14ac:dyDescent="0.25">
      <c r="A39" s="125" t="s">
        <v>114</v>
      </c>
      <c r="B39" s="117" t="s">
        <v>100</v>
      </c>
      <c r="C39" s="118" t="s">
        <v>104</v>
      </c>
      <c r="D39" s="152">
        <v>7.5</v>
      </c>
      <c r="E39" s="87">
        <v>5.5</v>
      </c>
      <c r="F39" s="111">
        <v>7</v>
      </c>
      <c r="G39">
        <v>8</v>
      </c>
      <c r="H39" s="88">
        <v>9.5</v>
      </c>
      <c r="I39" s="89">
        <v>6</v>
      </c>
      <c r="J39">
        <v>7</v>
      </c>
      <c r="K39">
        <v>8</v>
      </c>
      <c r="L39" s="90">
        <v>9</v>
      </c>
    </row>
    <row r="40" spans="1:12" x14ac:dyDescent="0.25">
      <c r="A40" s="126" t="s">
        <v>115</v>
      </c>
      <c r="B40" s="104" t="s">
        <v>101</v>
      </c>
      <c r="C40" s="2" t="s">
        <v>106</v>
      </c>
      <c r="D40" s="153">
        <v>2.5</v>
      </c>
      <c r="E40" s="87">
        <v>1.5</v>
      </c>
      <c r="F40" s="111">
        <v>2</v>
      </c>
      <c r="G40">
        <v>3</v>
      </c>
      <c r="H40" s="88">
        <v>4.5</v>
      </c>
      <c r="I40" s="89">
        <v>1.7</v>
      </c>
      <c r="J40">
        <v>2</v>
      </c>
      <c r="K40">
        <v>3</v>
      </c>
      <c r="L40" s="90">
        <v>4</v>
      </c>
    </row>
    <row r="41" spans="1:12" ht="15.75" thickBot="1" x14ac:dyDescent="0.3">
      <c r="A41" s="127" t="s">
        <v>116</v>
      </c>
      <c r="B41" s="119" t="s">
        <v>102</v>
      </c>
      <c r="C41" s="120" t="s">
        <v>105</v>
      </c>
      <c r="D41" s="154">
        <v>5</v>
      </c>
      <c r="E41" s="91">
        <v>3</v>
      </c>
      <c r="F41" s="92">
        <v>4.5</v>
      </c>
      <c r="G41" s="93">
        <v>5.5</v>
      </c>
      <c r="H41" s="94">
        <v>7</v>
      </c>
      <c r="I41" s="95">
        <v>3.5</v>
      </c>
      <c r="J41" s="93">
        <v>4.5</v>
      </c>
      <c r="K41" s="93">
        <v>5.5</v>
      </c>
      <c r="L41" s="96">
        <v>6.5</v>
      </c>
    </row>
    <row r="43" spans="1:12" ht="15.75" thickBot="1" x14ac:dyDescent="0.3">
      <c r="A43" s="1" t="s">
        <v>194</v>
      </c>
    </row>
    <row r="44" spans="1:12" ht="30.75" thickBot="1" x14ac:dyDescent="0.3">
      <c r="A44" s="128" t="s">
        <v>132</v>
      </c>
      <c r="B44" s="129" t="s">
        <v>133</v>
      </c>
      <c r="E44" s="283" t="s">
        <v>134</v>
      </c>
      <c r="F44" s="284"/>
      <c r="G44" s="284"/>
      <c r="H44" s="284"/>
      <c r="I44" s="284"/>
      <c r="J44" s="284"/>
      <c r="K44" s="284"/>
      <c r="L44" s="285"/>
    </row>
    <row r="45" spans="1:12" x14ac:dyDescent="0.25">
      <c r="A45" s="125" t="s">
        <v>129</v>
      </c>
      <c r="B45" s="130" t="s">
        <v>107</v>
      </c>
      <c r="D45" s="133" t="s">
        <v>138</v>
      </c>
      <c r="E45" s="81">
        <f>E25*F$39+E$39*F25-F25*F$39</f>
        <v>0</v>
      </c>
      <c r="F45" s="83">
        <f>F25*F$39</f>
        <v>0</v>
      </c>
      <c r="G45" s="83">
        <f>G25*G$39</f>
        <v>0</v>
      </c>
      <c r="H45" s="84">
        <f>G25*H$39+G$39*H25-G25*G$39</f>
        <v>1.76</v>
      </c>
      <c r="I45" s="81">
        <f>I25*J$39+I$39*J25-J25*J$39</f>
        <v>0</v>
      </c>
      <c r="J45" s="83">
        <f>J25*J$39</f>
        <v>0</v>
      </c>
      <c r="K45" s="83">
        <f>K25*K$39</f>
        <v>0</v>
      </c>
      <c r="L45" s="84">
        <f>K25*L$39+K$39*L25-K25*K$39</f>
        <v>1.2</v>
      </c>
    </row>
    <row r="46" spans="1:12" x14ac:dyDescent="0.25">
      <c r="A46" s="126" t="s">
        <v>129</v>
      </c>
      <c r="B46" s="131" t="s">
        <v>106</v>
      </c>
      <c r="D46" s="134" t="s">
        <v>137</v>
      </c>
      <c r="E46" s="202">
        <f>IF(E26*F$39+E$39*F26-F26*F$39&lt;0,0,E26*F$39+E$39*F26-F26*F$39)</f>
        <v>0</v>
      </c>
      <c r="F46" s="179">
        <f t="shared" ref="F46:G48" si="23">F26*F$39</f>
        <v>1.5400000000000003</v>
      </c>
      <c r="G46" s="179">
        <f t="shared" si="23"/>
        <v>3.52</v>
      </c>
      <c r="H46" s="188">
        <f t="shared" ref="H46:H48" si="24">G26*H$39+G$39*H26-G26*G$39</f>
        <v>5.0600000000000005</v>
      </c>
      <c r="I46" s="187">
        <f t="shared" ref="I46:I48" si="25">I26*J$39+I$39*J26-J26*J$39</f>
        <v>0.19999999999999996</v>
      </c>
      <c r="J46" s="179">
        <f t="shared" ref="J46:K48" si="26">J26*J$39</f>
        <v>1.5400000000000003</v>
      </c>
      <c r="K46" s="179">
        <f t="shared" si="26"/>
        <v>3.52</v>
      </c>
      <c r="L46" s="188">
        <f t="shared" ref="L46:L48" si="27">K26*L$39+K$39*L26-K26*K$39</f>
        <v>4.6000000000000014</v>
      </c>
    </row>
    <row r="47" spans="1:12" x14ac:dyDescent="0.25">
      <c r="A47" s="126" t="s">
        <v>129</v>
      </c>
      <c r="B47" s="131" t="s">
        <v>105</v>
      </c>
      <c r="D47" s="134" t="s">
        <v>136</v>
      </c>
      <c r="E47" s="87">
        <f t="shared" ref="E47:E48" si="28">E27*F$39+E$39*F27-F27*F$39</f>
        <v>2.2549999999999999</v>
      </c>
      <c r="F47">
        <f t="shared" si="23"/>
        <v>3.8500000000000005</v>
      </c>
      <c r="G47">
        <f t="shared" si="23"/>
        <v>6.16</v>
      </c>
      <c r="H47" s="88">
        <f t="shared" si="24"/>
        <v>9.1550000000000011</v>
      </c>
      <c r="I47" s="87">
        <f t="shared" si="25"/>
        <v>2.7399999999999993</v>
      </c>
      <c r="J47">
        <f t="shared" si="26"/>
        <v>3.8500000000000005</v>
      </c>
      <c r="K47">
        <f t="shared" si="26"/>
        <v>6.16</v>
      </c>
      <c r="L47" s="88">
        <f t="shared" si="27"/>
        <v>8.129999999999999</v>
      </c>
    </row>
    <row r="48" spans="1:12" ht="15.75" thickBot="1" x14ac:dyDescent="0.3">
      <c r="A48" s="127" t="s">
        <v>129</v>
      </c>
      <c r="B48" s="132" t="s">
        <v>104</v>
      </c>
      <c r="D48" s="135" t="s">
        <v>135</v>
      </c>
      <c r="E48" s="91">
        <f t="shared" si="28"/>
        <v>3.8900000000000006</v>
      </c>
      <c r="F48" s="93">
        <f t="shared" si="23"/>
        <v>7</v>
      </c>
      <c r="G48" s="93">
        <f t="shared" si="23"/>
        <v>8</v>
      </c>
      <c r="H48" s="94">
        <f t="shared" si="24"/>
        <v>9.5</v>
      </c>
      <c r="I48" s="91">
        <f t="shared" si="25"/>
        <v>4.8099999999999987</v>
      </c>
      <c r="J48" s="93">
        <f t="shared" si="26"/>
        <v>7</v>
      </c>
      <c r="K48" s="93">
        <f t="shared" si="26"/>
        <v>8</v>
      </c>
      <c r="L48" s="94">
        <f t="shared" si="27"/>
        <v>9</v>
      </c>
    </row>
    <row r="49" spans="1:73" x14ac:dyDescent="0.25">
      <c r="A49" s="125" t="s">
        <v>130</v>
      </c>
      <c r="B49" s="130" t="s">
        <v>107</v>
      </c>
      <c r="D49" s="133" t="s">
        <v>139</v>
      </c>
      <c r="E49" s="81">
        <f>E25*F$40+E$40*F25-F25*F$40</f>
        <v>0</v>
      </c>
      <c r="F49" s="83">
        <f>F25*F$40</f>
        <v>0</v>
      </c>
      <c r="G49" s="83">
        <f>G25*G$40</f>
        <v>0</v>
      </c>
      <c r="H49" s="84">
        <f>G25*H$40+G$40*H25-G25*G$40</f>
        <v>0.66</v>
      </c>
      <c r="I49" s="81">
        <f>I25*J$40+I$40*J25-J25*J$40</f>
        <v>0</v>
      </c>
      <c r="J49" s="83">
        <f>J25*J$40</f>
        <v>0</v>
      </c>
      <c r="K49" s="83">
        <f>K25*K$40</f>
        <v>0</v>
      </c>
      <c r="L49" s="84">
        <f>K25*L$40+K$40*L25-K25*K$40</f>
        <v>0.44999999999999996</v>
      </c>
    </row>
    <row r="50" spans="1:73" x14ac:dyDescent="0.25">
      <c r="A50" s="126" t="s">
        <v>130</v>
      </c>
      <c r="B50" s="131" t="s">
        <v>106</v>
      </c>
      <c r="D50" s="134" t="s">
        <v>144</v>
      </c>
      <c r="E50" s="202">
        <f>IF(E26*F$40+E$40*F26-F26*F$40&lt;0,0,E26*F$40+E$40*F26-F26*F$40)</f>
        <v>0</v>
      </c>
      <c r="F50" s="179">
        <f t="shared" ref="F50:G52" si="29">F26*F$40</f>
        <v>0.44000000000000006</v>
      </c>
      <c r="G50" s="179">
        <f t="shared" si="29"/>
        <v>1.32</v>
      </c>
      <c r="H50" s="188">
        <f t="shared" ref="H50:H52" si="30">G26*H$40+G$40*H26-G26*G$40</f>
        <v>2.3099999999999996</v>
      </c>
      <c r="I50" s="187">
        <f t="shared" ref="I50:I52" si="31">I26*J$40+I$40*J26-J26*J$40</f>
        <v>5.3999999999999992E-2</v>
      </c>
      <c r="J50" s="179">
        <f t="shared" ref="J50:K52" si="32">J26*J$40</f>
        <v>0.44000000000000006</v>
      </c>
      <c r="K50" s="179">
        <f t="shared" si="32"/>
        <v>1.32</v>
      </c>
      <c r="L50" s="188">
        <f t="shared" ref="L50:L52" si="33">K26*L$40+K$40*L26-K26*K$40</f>
        <v>2</v>
      </c>
    </row>
    <row r="51" spans="1:73" x14ac:dyDescent="0.25">
      <c r="A51" s="126" t="s">
        <v>130</v>
      </c>
      <c r="B51" s="131" t="s">
        <v>105</v>
      </c>
      <c r="D51" s="134" t="s">
        <v>145</v>
      </c>
      <c r="E51" s="87">
        <f t="shared" ref="E51:E52" si="34">E27*F$40+E$40*F27-F27*F$40</f>
        <v>0.60499999999999998</v>
      </c>
      <c r="F51">
        <f t="shared" si="29"/>
        <v>1.1000000000000001</v>
      </c>
      <c r="G51">
        <f t="shared" si="29"/>
        <v>2.31</v>
      </c>
      <c r="H51" s="88">
        <f t="shared" si="30"/>
        <v>4.1549999999999994</v>
      </c>
      <c r="I51" s="87">
        <f t="shared" si="31"/>
        <v>0.77499999999999991</v>
      </c>
      <c r="J51">
        <f t="shared" si="32"/>
        <v>1.1000000000000001</v>
      </c>
      <c r="K51">
        <f t="shared" si="32"/>
        <v>2.31</v>
      </c>
      <c r="L51" s="88">
        <f t="shared" si="33"/>
        <v>3.53</v>
      </c>
    </row>
    <row r="52" spans="1:73" ht="15.75" thickBot="1" x14ac:dyDescent="0.3">
      <c r="A52" s="127" t="s">
        <v>130</v>
      </c>
      <c r="B52" s="132" t="s">
        <v>104</v>
      </c>
      <c r="D52" s="135" t="s">
        <v>146</v>
      </c>
      <c r="E52" s="91">
        <f t="shared" si="34"/>
        <v>1.04</v>
      </c>
      <c r="F52" s="93">
        <f t="shared" si="29"/>
        <v>2</v>
      </c>
      <c r="G52" s="93">
        <f t="shared" si="29"/>
        <v>3</v>
      </c>
      <c r="H52" s="94">
        <f t="shared" si="30"/>
        <v>4.5</v>
      </c>
      <c r="I52" s="91">
        <f t="shared" si="31"/>
        <v>1.3599999999999999</v>
      </c>
      <c r="J52" s="93">
        <f t="shared" si="32"/>
        <v>2</v>
      </c>
      <c r="K52" s="93">
        <f t="shared" si="32"/>
        <v>3</v>
      </c>
      <c r="L52" s="94">
        <f t="shared" si="33"/>
        <v>4</v>
      </c>
    </row>
    <row r="53" spans="1:73" x14ac:dyDescent="0.25">
      <c r="A53" s="125" t="s">
        <v>131</v>
      </c>
      <c r="B53" s="130" t="s">
        <v>107</v>
      </c>
      <c r="D53" s="133" t="s">
        <v>141</v>
      </c>
      <c r="E53" s="87">
        <f>E25*F$41+E$41*F25-F25*F$41</f>
        <v>0</v>
      </c>
      <c r="F53">
        <f>F25*F$41</f>
        <v>0</v>
      </c>
      <c r="G53">
        <f>G25*G$41</f>
        <v>0</v>
      </c>
      <c r="H53" s="88">
        <f>G25*H$41+G$41*H25-G25*G$41</f>
        <v>1.21</v>
      </c>
      <c r="I53" s="87">
        <f>I25*J$41+I$41*J25-J25*J$41</f>
        <v>0</v>
      </c>
      <c r="J53">
        <f>J25*J$41</f>
        <v>0</v>
      </c>
      <c r="K53">
        <f>K25*K$41</f>
        <v>0</v>
      </c>
      <c r="L53" s="88">
        <f>K25*L$41+K$41*L25-K25*K$41</f>
        <v>0.82499999999999996</v>
      </c>
    </row>
    <row r="54" spans="1:73" x14ac:dyDescent="0.25">
      <c r="A54" s="126" t="s">
        <v>131</v>
      </c>
      <c r="B54" s="131" t="s">
        <v>106</v>
      </c>
      <c r="D54" s="134" t="s">
        <v>140</v>
      </c>
      <c r="E54" s="202">
        <f>IF(E26*F$41+E$41*F26-F26*F$41&lt;0,0,E26*F$41+E$41*F26-F26*F$41)</f>
        <v>0</v>
      </c>
      <c r="F54" s="179">
        <f t="shared" ref="F54:G56" si="35">F26*F$41</f>
        <v>0.9900000000000001</v>
      </c>
      <c r="G54" s="179">
        <f t="shared" si="35"/>
        <v>2.42</v>
      </c>
      <c r="H54" s="188">
        <f t="shared" ref="H54:H56" si="36">G26*H$41+G$41*H26-G26*G$41</f>
        <v>3.6850000000000005</v>
      </c>
      <c r="I54" s="187">
        <f t="shared" ref="I54:I56" si="37">I26*J$41+I$41*J26-J26*J$41</f>
        <v>4.9999999999999933E-2</v>
      </c>
      <c r="J54" s="179">
        <f t="shared" ref="J54:K56" si="38">J26*J$41</f>
        <v>0.9900000000000001</v>
      </c>
      <c r="K54" s="179">
        <f t="shared" si="38"/>
        <v>2.42</v>
      </c>
      <c r="L54" s="188">
        <f t="shared" ref="L54:L56" si="39">K26*L$41+K$41*L26-K26*K$41</f>
        <v>3.3000000000000007</v>
      </c>
    </row>
    <row r="55" spans="1:73" x14ac:dyDescent="0.25">
      <c r="A55" s="126" t="s">
        <v>131</v>
      </c>
      <c r="B55" s="131" t="s">
        <v>105</v>
      </c>
      <c r="D55" s="134" t="s">
        <v>142</v>
      </c>
      <c r="E55" s="87">
        <f t="shared" ref="E55:E56" si="40">E27*F$41+E$41*F27-F27*F$41</f>
        <v>1.1550000000000002</v>
      </c>
      <c r="F55">
        <f t="shared" si="35"/>
        <v>2.4750000000000001</v>
      </c>
      <c r="G55">
        <f t="shared" si="35"/>
        <v>4.2350000000000003</v>
      </c>
      <c r="H55" s="88">
        <f t="shared" si="36"/>
        <v>6.6550000000000002</v>
      </c>
      <c r="I55" s="87">
        <f t="shared" si="37"/>
        <v>1.5650000000000008</v>
      </c>
      <c r="J55">
        <f t="shared" si="38"/>
        <v>2.4750000000000001</v>
      </c>
      <c r="K55">
        <f t="shared" si="38"/>
        <v>4.2350000000000003</v>
      </c>
      <c r="L55" s="88">
        <f t="shared" si="39"/>
        <v>5.830000000000001</v>
      </c>
    </row>
    <row r="56" spans="1:73" ht="15.75" thickBot="1" x14ac:dyDescent="0.3">
      <c r="A56" s="127" t="s">
        <v>131</v>
      </c>
      <c r="B56" s="132" t="s">
        <v>104</v>
      </c>
      <c r="D56" s="135" t="s">
        <v>143</v>
      </c>
      <c r="E56" s="91">
        <f t="shared" si="40"/>
        <v>1.9649999999999999</v>
      </c>
      <c r="F56" s="93">
        <f t="shared" si="35"/>
        <v>4.5</v>
      </c>
      <c r="G56" s="93">
        <f t="shared" si="35"/>
        <v>5.5</v>
      </c>
      <c r="H56" s="94">
        <f t="shared" si="36"/>
        <v>7</v>
      </c>
      <c r="I56" s="91">
        <f t="shared" si="37"/>
        <v>2.7349999999999994</v>
      </c>
      <c r="J56" s="93">
        <f t="shared" si="38"/>
        <v>4.5</v>
      </c>
      <c r="K56" s="93">
        <f t="shared" si="38"/>
        <v>5.5</v>
      </c>
      <c r="L56" s="94">
        <f t="shared" si="39"/>
        <v>6.5</v>
      </c>
    </row>
    <row r="59" spans="1:73" ht="18.75" x14ac:dyDescent="0.3">
      <c r="A59" s="149" t="s">
        <v>161</v>
      </c>
      <c r="B59" s="99"/>
      <c r="C59" s="99"/>
    </row>
    <row r="60" spans="1:73" x14ac:dyDescent="0.25">
      <c r="A60" s="1" t="s">
        <v>110</v>
      </c>
      <c r="B60" s="99"/>
      <c r="C60" s="99"/>
    </row>
    <row r="61" spans="1:73" ht="15.75" thickBot="1" x14ac:dyDescent="0.3">
      <c r="A61" s="100" t="s">
        <v>166</v>
      </c>
      <c r="B61" s="99"/>
      <c r="C61" s="99"/>
      <c r="BO61">
        <v>0.8</v>
      </c>
    </row>
    <row r="62" spans="1:73" ht="86.25" customHeight="1" thickBot="1" x14ac:dyDescent="0.3">
      <c r="A62" s="273" t="s">
        <v>85</v>
      </c>
      <c r="B62" s="273" t="s">
        <v>86</v>
      </c>
      <c r="C62" s="277" t="s">
        <v>87</v>
      </c>
      <c r="D62" s="278" t="s">
        <v>127</v>
      </c>
      <c r="E62" s="279"/>
      <c r="F62" s="279"/>
      <c r="G62" s="279" t="s">
        <v>128</v>
      </c>
      <c r="H62" s="279"/>
      <c r="I62" s="279"/>
      <c r="J62" s="286" t="s">
        <v>157</v>
      </c>
      <c r="K62" s="280" t="s">
        <v>150</v>
      </c>
      <c r="L62" s="281"/>
      <c r="M62" s="281"/>
      <c r="N62" s="281"/>
      <c r="O62" s="281"/>
      <c r="P62" s="281"/>
      <c r="Q62" s="281"/>
      <c r="R62" s="282"/>
      <c r="S62" s="280" t="s">
        <v>148</v>
      </c>
      <c r="T62" s="281"/>
      <c r="U62" s="281"/>
      <c r="V62" s="281"/>
      <c r="W62" s="281"/>
      <c r="X62" s="281"/>
      <c r="Y62" s="281"/>
      <c r="Z62" s="282"/>
      <c r="AA62" s="280" t="s">
        <v>149</v>
      </c>
      <c r="AB62" s="281"/>
      <c r="AC62" s="281"/>
      <c r="AD62" s="281"/>
      <c r="AE62" s="281"/>
      <c r="AF62" s="281"/>
      <c r="AG62" s="281"/>
      <c r="AH62" s="282"/>
      <c r="AI62" s="280" t="s">
        <v>147</v>
      </c>
      <c r="AJ62" s="281"/>
      <c r="AK62" s="281"/>
      <c r="AL62" s="281"/>
      <c r="AM62" s="281"/>
      <c r="AN62" s="281"/>
      <c r="AO62" s="281"/>
      <c r="AP62" s="282"/>
      <c r="AQ62" s="280" t="s">
        <v>158</v>
      </c>
      <c r="AR62" s="281"/>
      <c r="AS62" s="281"/>
      <c r="AT62" s="281"/>
      <c r="AU62" s="281"/>
      <c r="AV62" s="281"/>
      <c r="AW62" s="281"/>
      <c r="AX62" s="282"/>
      <c r="AY62" s="280" t="s">
        <v>159</v>
      </c>
      <c r="AZ62" s="281"/>
      <c r="BA62" s="281"/>
      <c r="BB62" s="281"/>
      <c r="BC62" s="281"/>
      <c r="BD62" s="281"/>
      <c r="BE62" s="281"/>
      <c r="BF62" s="282"/>
      <c r="BG62" s="280" t="s">
        <v>205</v>
      </c>
      <c r="BH62" s="281"/>
      <c r="BI62" s="281"/>
      <c r="BJ62" s="281"/>
      <c r="BK62" s="281"/>
      <c r="BL62" s="281"/>
      <c r="BM62" s="281"/>
      <c r="BN62" s="282"/>
      <c r="BO62" s="292" t="s">
        <v>151</v>
      </c>
      <c r="BP62" s="293"/>
      <c r="BQ62" s="293"/>
      <c r="BR62" s="294"/>
      <c r="BS62" s="288" t="s">
        <v>153</v>
      </c>
      <c r="BT62" s="289"/>
      <c r="BU62" s="290" t="s">
        <v>156</v>
      </c>
    </row>
    <row r="63" spans="1:73" s="97" customFormat="1" ht="23.25" customHeight="1" thickBot="1" x14ac:dyDescent="0.3">
      <c r="A63" s="273"/>
      <c r="B63" s="273"/>
      <c r="C63" s="277"/>
      <c r="D63" s="122" t="s">
        <v>114</v>
      </c>
      <c r="E63" s="107" t="s">
        <v>115</v>
      </c>
      <c r="F63" s="107" t="s">
        <v>116</v>
      </c>
      <c r="G63" s="107" t="s">
        <v>114</v>
      </c>
      <c r="H63" s="107" t="s">
        <v>115</v>
      </c>
      <c r="I63" s="107" t="s">
        <v>116</v>
      </c>
      <c r="J63" s="287"/>
      <c r="K63" s="280" t="s">
        <v>17</v>
      </c>
      <c r="L63" s="281"/>
      <c r="M63" s="281"/>
      <c r="N63" s="282"/>
      <c r="O63" s="280" t="s">
        <v>18</v>
      </c>
      <c r="P63" s="281"/>
      <c r="Q63" s="281"/>
      <c r="R63" s="282"/>
      <c r="S63" s="280" t="s">
        <v>17</v>
      </c>
      <c r="T63" s="281"/>
      <c r="U63" s="281"/>
      <c r="V63" s="282"/>
      <c r="W63" s="280" t="s">
        <v>18</v>
      </c>
      <c r="X63" s="281"/>
      <c r="Y63" s="281"/>
      <c r="Z63" s="282"/>
      <c r="AA63" s="280" t="s">
        <v>17</v>
      </c>
      <c r="AB63" s="281"/>
      <c r="AC63" s="281"/>
      <c r="AD63" s="282"/>
      <c r="AE63" s="280" t="s">
        <v>18</v>
      </c>
      <c r="AF63" s="281"/>
      <c r="AG63" s="281"/>
      <c r="AH63" s="282"/>
      <c r="AI63" s="280" t="s">
        <v>17</v>
      </c>
      <c r="AJ63" s="281"/>
      <c r="AK63" s="281"/>
      <c r="AL63" s="282"/>
      <c r="AM63" s="280" t="s">
        <v>18</v>
      </c>
      <c r="AN63" s="281"/>
      <c r="AO63" s="281"/>
      <c r="AP63" s="282"/>
      <c r="AQ63" s="280" t="s">
        <v>17</v>
      </c>
      <c r="AR63" s="281"/>
      <c r="AS63" s="281"/>
      <c r="AT63" s="282"/>
      <c r="AU63" s="280" t="s">
        <v>18</v>
      </c>
      <c r="AV63" s="281"/>
      <c r="AW63" s="281"/>
      <c r="AX63" s="282"/>
      <c r="AY63" s="280" t="s">
        <v>17</v>
      </c>
      <c r="AZ63" s="281"/>
      <c r="BA63" s="281"/>
      <c r="BB63" s="282"/>
      <c r="BC63" s="280" t="s">
        <v>18</v>
      </c>
      <c r="BD63" s="281"/>
      <c r="BE63" s="281"/>
      <c r="BF63" s="282"/>
      <c r="BG63" s="280" t="s">
        <v>17</v>
      </c>
      <c r="BH63" s="281"/>
      <c r="BI63" s="281"/>
      <c r="BJ63" s="282"/>
      <c r="BK63" s="280" t="s">
        <v>18</v>
      </c>
      <c r="BL63" s="281"/>
      <c r="BM63" s="281"/>
      <c r="BN63" s="282"/>
      <c r="BO63" s="295" t="s">
        <v>152</v>
      </c>
      <c r="BP63" s="296"/>
      <c r="BQ63" s="295" t="s">
        <v>26</v>
      </c>
      <c r="BR63" s="297"/>
      <c r="BS63" s="145" t="s">
        <v>154</v>
      </c>
      <c r="BT63" s="145" t="s">
        <v>155</v>
      </c>
      <c r="BU63" s="291"/>
    </row>
    <row r="64" spans="1:73" ht="30" x14ac:dyDescent="0.25">
      <c r="A64" s="102" t="s">
        <v>8</v>
      </c>
      <c r="B64" s="102" t="s">
        <v>84</v>
      </c>
      <c r="C64" s="121" t="s">
        <v>72</v>
      </c>
      <c r="D64" s="156" t="s">
        <v>106</v>
      </c>
      <c r="E64" s="156" t="s">
        <v>105</v>
      </c>
      <c r="F64" s="156" t="s">
        <v>104</v>
      </c>
      <c r="G64" s="110">
        <f>IF(D64=$A$77,$B$77,(IF(D64=$A$78,$B$78,IF(D64=$A$79,$B$79,$B$80))))</f>
        <v>0.33</v>
      </c>
      <c r="H64" s="110">
        <f t="shared" ref="H64:I73" si="41">IF(E64=$A$77,$B$77,(IF(E64=$A$78,$B$78,IF(E64=$A$79,$B$79,$B$80))))</f>
        <v>0.66</v>
      </c>
      <c r="I64" s="110">
        <f t="shared" si="41"/>
        <v>1</v>
      </c>
      <c r="J64" s="147">
        <f>G64*$D$91+H64*$D$92+I64*$D$93</f>
        <v>12.425000000000001</v>
      </c>
      <c r="K64" s="81">
        <v>0</v>
      </c>
      <c r="L64" s="83">
        <v>0.22000000000000003</v>
      </c>
      <c r="M64" s="83">
        <v>0.44</v>
      </c>
      <c r="N64" s="84">
        <v>0.55000000000000004</v>
      </c>
      <c r="O64" s="81">
        <v>0.06</v>
      </c>
      <c r="P64" s="83">
        <v>0.22000000000000003</v>
      </c>
      <c r="Q64" s="83">
        <v>0.44</v>
      </c>
      <c r="R64" s="84">
        <v>0.52</v>
      </c>
      <c r="S64" s="81">
        <v>0.44000000000000006</v>
      </c>
      <c r="T64" s="83">
        <v>0.55000000000000004</v>
      </c>
      <c r="U64" s="83">
        <v>0.77</v>
      </c>
      <c r="V64" s="84">
        <v>1</v>
      </c>
      <c r="W64" s="81">
        <v>0.47000000000000003</v>
      </c>
      <c r="X64" s="83">
        <v>0.55000000000000004</v>
      </c>
      <c r="Y64" s="83">
        <v>0.77</v>
      </c>
      <c r="Z64" s="84">
        <v>0.92</v>
      </c>
      <c r="AA64" s="81">
        <v>0.77</v>
      </c>
      <c r="AB64" s="83">
        <v>1</v>
      </c>
      <c r="AC64" s="83">
        <v>1</v>
      </c>
      <c r="AD64" s="84">
        <v>1</v>
      </c>
      <c r="AE64" s="81">
        <v>0.83</v>
      </c>
      <c r="AF64" s="83">
        <v>1</v>
      </c>
      <c r="AG64" s="83">
        <v>1</v>
      </c>
      <c r="AH64" s="84">
        <v>1</v>
      </c>
      <c r="AI64" s="185">
        <v>0</v>
      </c>
      <c r="AJ64" s="200">
        <v>1.5400000000000003</v>
      </c>
      <c r="AK64" s="200">
        <v>3.52</v>
      </c>
      <c r="AL64" s="186">
        <v>5.0600000000000005</v>
      </c>
      <c r="AM64" s="185">
        <v>0.19999999999999996</v>
      </c>
      <c r="AN64" s="200">
        <v>1.5400000000000003</v>
      </c>
      <c r="AO64" s="200">
        <v>3.52</v>
      </c>
      <c r="AP64" s="186">
        <v>4.6000000000000014</v>
      </c>
      <c r="AQ64" s="81">
        <v>2.2549999999999999</v>
      </c>
      <c r="AR64" s="83">
        <v>3.8500000000000005</v>
      </c>
      <c r="AS64" s="83">
        <v>6.16</v>
      </c>
      <c r="AT64" s="83">
        <v>9.1550000000000011</v>
      </c>
      <c r="AU64" s="81">
        <v>2.7399999999999993</v>
      </c>
      <c r="AV64" s="83">
        <v>3.8500000000000005</v>
      </c>
      <c r="AW64" s="83">
        <v>6.16</v>
      </c>
      <c r="AX64" s="84">
        <v>8.129999999999999</v>
      </c>
      <c r="AY64" s="81">
        <v>1.9649999999999999</v>
      </c>
      <c r="AZ64" s="83">
        <v>4.5</v>
      </c>
      <c r="BA64" s="83">
        <v>5.5</v>
      </c>
      <c r="BB64" s="83">
        <v>7</v>
      </c>
      <c r="BC64" s="81">
        <v>2.7349999999999994</v>
      </c>
      <c r="BD64" s="83">
        <v>4.5</v>
      </c>
      <c r="BE64" s="83">
        <v>5.5</v>
      </c>
      <c r="BF64" s="84">
        <v>6.5</v>
      </c>
      <c r="BG64" s="81">
        <f>AI64+AQ64+AY64</f>
        <v>4.22</v>
      </c>
      <c r="BH64" s="83">
        <f t="shared" ref="BH64:BN73" si="42">AJ64+AR64+AZ64</f>
        <v>9.89</v>
      </c>
      <c r="BI64" s="83">
        <f t="shared" si="42"/>
        <v>15.18</v>
      </c>
      <c r="BJ64" s="83">
        <f t="shared" si="42"/>
        <v>21.215000000000003</v>
      </c>
      <c r="BK64" s="81">
        <f t="shared" si="42"/>
        <v>5.6749999999999989</v>
      </c>
      <c r="BL64" s="83">
        <f t="shared" si="42"/>
        <v>9.89</v>
      </c>
      <c r="BM64" s="83">
        <f t="shared" si="42"/>
        <v>15.18</v>
      </c>
      <c r="BN64" s="83">
        <f t="shared" si="42"/>
        <v>19.23</v>
      </c>
      <c r="BO64" s="136">
        <f>BO$9*BH64+(1-BO$9)*BG64</f>
        <v>8.7560000000000002</v>
      </c>
      <c r="BP64" s="142">
        <f>BO$9*BI64+(1-BO$9)*BJ64</f>
        <v>16.387</v>
      </c>
      <c r="BQ64" s="136">
        <f>BO$9*BL64+(1-BO$9)*BK64</f>
        <v>9.0470000000000006</v>
      </c>
      <c r="BR64" s="137">
        <f>BO$9*BM64+(1-BO$9)*BN64</f>
        <v>15.989999999999998</v>
      </c>
      <c r="BS64" s="81">
        <f>(BO64+BP64)/2</f>
        <v>12.5715</v>
      </c>
      <c r="BT64" s="84">
        <f>(BQ64+BR64)/2</f>
        <v>12.5185</v>
      </c>
      <c r="BU64" s="133">
        <f>(BS64+BT64)/2</f>
        <v>12.545</v>
      </c>
    </row>
    <row r="65" spans="1:73" x14ac:dyDescent="0.25">
      <c r="A65" s="102" t="s">
        <v>9</v>
      </c>
      <c r="B65" s="102" t="s">
        <v>73</v>
      </c>
      <c r="C65" s="121" t="s">
        <v>88</v>
      </c>
      <c r="D65" s="156" t="s">
        <v>106</v>
      </c>
      <c r="E65" s="156" t="s">
        <v>106</v>
      </c>
      <c r="F65" s="156" t="s">
        <v>105</v>
      </c>
      <c r="G65" s="110">
        <f t="shared" ref="G65:G73" si="43">IF(D65=$A$77,$B$77,(IF(D65=$A$78,$B$78,IF(D65=$A$79,$B$79,$B$80))))</f>
        <v>0.33</v>
      </c>
      <c r="H65" s="110">
        <f t="shared" si="41"/>
        <v>0.33</v>
      </c>
      <c r="I65" s="110">
        <f t="shared" si="41"/>
        <v>0.66</v>
      </c>
      <c r="J65" s="147">
        <f t="shared" ref="J65:J73" si="44">G65*$D$91+H65*$D$92+I65*$D$93</f>
        <v>8.25</v>
      </c>
      <c r="K65" s="87">
        <v>0</v>
      </c>
      <c r="L65">
        <v>0.22000000000000003</v>
      </c>
      <c r="M65">
        <v>0.44</v>
      </c>
      <c r="N65" s="88">
        <v>0.55000000000000004</v>
      </c>
      <c r="O65" s="87">
        <v>0.06</v>
      </c>
      <c r="P65">
        <v>0.22000000000000003</v>
      </c>
      <c r="Q65">
        <v>0.44</v>
      </c>
      <c r="R65" s="88">
        <v>0.52</v>
      </c>
      <c r="S65" s="87">
        <v>0</v>
      </c>
      <c r="T65">
        <v>0.22000000000000003</v>
      </c>
      <c r="U65">
        <v>0.44</v>
      </c>
      <c r="V65" s="88">
        <v>0.55000000000000004</v>
      </c>
      <c r="W65" s="87">
        <v>0.06</v>
      </c>
      <c r="X65">
        <v>0.22000000000000003</v>
      </c>
      <c r="Y65">
        <v>0.44</v>
      </c>
      <c r="Z65" s="88">
        <v>0.52</v>
      </c>
      <c r="AA65" s="87">
        <v>0.44000000000000006</v>
      </c>
      <c r="AB65">
        <v>0.55000000000000004</v>
      </c>
      <c r="AC65">
        <v>0.77</v>
      </c>
      <c r="AD65" s="88">
        <v>1</v>
      </c>
      <c r="AE65" s="87">
        <v>0.47000000000000003</v>
      </c>
      <c r="AF65">
        <v>0.55000000000000004</v>
      </c>
      <c r="AG65">
        <v>0.77</v>
      </c>
      <c r="AH65" s="88">
        <v>0.92</v>
      </c>
      <c r="AI65" s="187">
        <v>0</v>
      </c>
      <c r="AJ65" s="179">
        <v>1.5400000000000003</v>
      </c>
      <c r="AK65" s="179">
        <v>3.52</v>
      </c>
      <c r="AL65" s="188">
        <v>5.0600000000000005</v>
      </c>
      <c r="AM65" s="187">
        <v>0.19999999999999996</v>
      </c>
      <c r="AN65" s="179">
        <v>1.5400000000000003</v>
      </c>
      <c r="AO65" s="179">
        <v>3.52</v>
      </c>
      <c r="AP65" s="188">
        <v>4.6000000000000014</v>
      </c>
      <c r="AQ65" s="187">
        <v>0</v>
      </c>
      <c r="AR65" s="179">
        <v>1.5400000000000003</v>
      </c>
      <c r="AS65" s="179">
        <v>3.52</v>
      </c>
      <c r="AT65" s="179">
        <v>5.0600000000000005</v>
      </c>
      <c r="AU65" s="187">
        <v>0.19999999999999996</v>
      </c>
      <c r="AV65" s="179">
        <v>1.5400000000000003</v>
      </c>
      <c r="AW65" s="179">
        <v>3.52</v>
      </c>
      <c r="AX65" s="188">
        <v>4.6000000000000014</v>
      </c>
      <c r="AY65" s="87">
        <v>1.1550000000000002</v>
      </c>
      <c r="AZ65">
        <v>2.4750000000000001</v>
      </c>
      <c r="BA65">
        <v>4.2350000000000003</v>
      </c>
      <c r="BB65">
        <v>6.6550000000000002</v>
      </c>
      <c r="BC65" s="87">
        <v>1.5650000000000008</v>
      </c>
      <c r="BD65">
        <v>2.4750000000000001</v>
      </c>
      <c r="BE65">
        <v>4.2350000000000003</v>
      </c>
      <c r="BF65" s="88">
        <v>5.830000000000001</v>
      </c>
      <c r="BG65" s="87">
        <f t="shared" ref="BG65:BG73" si="45">AI65+AQ65+AY65</f>
        <v>1.1550000000000002</v>
      </c>
      <c r="BH65">
        <f t="shared" si="42"/>
        <v>5.5550000000000006</v>
      </c>
      <c r="BI65">
        <f t="shared" si="42"/>
        <v>11.275</v>
      </c>
      <c r="BJ65">
        <f t="shared" si="42"/>
        <v>16.775000000000002</v>
      </c>
      <c r="BK65" s="87">
        <f t="shared" si="42"/>
        <v>1.9650000000000007</v>
      </c>
      <c r="BL65">
        <f t="shared" si="42"/>
        <v>5.5550000000000006</v>
      </c>
      <c r="BM65">
        <f t="shared" si="42"/>
        <v>11.275</v>
      </c>
      <c r="BN65">
        <f t="shared" si="42"/>
        <v>15.030000000000005</v>
      </c>
      <c r="BO65" s="138">
        <f t="shared" ref="BO65:BO73" si="46">BO$9*BH65+(1-BO$9)*BG65</f>
        <v>4.6750000000000007</v>
      </c>
      <c r="BP65" s="143">
        <f t="shared" ref="BP65:BP73" si="47">BO$9*BI65+(1-BO$9)*BJ65</f>
        <v>12.375</v>
      </c>
      <c r="BQ65" s="138">
        <f t="shared" ref="BQ65:BQ73" si="48">BO$9*BL65+(1-BO$9)*BK65</f>
        <v>4.8370000000000006</v>
      </c>
      <c r="BR65" s="139">
        <f t="shared" ref="BR65:BR73" si="49">BO$9*BM65+(1-BO$9)*BN65</f>
        <v>12.026000000000002</v>
      </c>
      <c r="BS65" s="87">
        <f t="shared" ref="BS65:BS73" si="50">(BO65+BP65)/2</f>
        <v>8.5250000000000004</v>
      </c>
      <c r="BT65" s="88">
        <f t="shared" ref="BT65:BT73" si="51">(BQ65+BR65)/2</f>
        <v>8.4315000000000015</v>
      </c>
      <c r="BU65" s="134">
        <f t="shared" ref="BU65:BU73" si="52">(BS65+BT65)/2</f>
        <v>8.478250000000001</v>
      </c>
    </row>
    <row r="66" spans="1:73" x14ac:dyDescent="0.25">
      <c r="A66" s="102" t="s">
        <v>10</v>
      </c>
      <c r="B66" s="102" t="s">
        <v>74</v>
      </c>
      <c r="C66" s="121" t="s">
        <v>89</v>
      </c>
      <c r="D66" s="156" t="s">
        <v>105</v>
      </c>
      <c r="E66" s="156" t="s">
        <v>104</v>
      </c>
      <c r="F66" s="156" t="s">
        <v>105</v>
      </c>
      <c r="G66" s="110">
        <f t="shared" si="43"/>
        <v>0.66</v>
      </c>
      <c r="H66" s="110">
        <f t="shared" si="41"/>
        <v>1</v>
      </c>
      <c r="I66" s="110">
        <f t="shared" si="41"/>
        <v>0.66</v>
      </c>
      <c r="J66" s="147">
        <f t="shared" si="44"/>
        <v>15.75</v>
      </c>
      <c r="K66" s="87">
        <v>0.44000000000000006</v>
      </c>
      <c r="L66">
        <v>0.55000000000000004</v>
      </c>
      <c r="M66">
        <v>0.77</v>
      </c>
      <c r="N66" s="88">
        <v>1</v>
      </c>
      <c r="O66" s="87">
        <v>0.47000000000000003</v>
      </c>
      <c r="P66">
        <v>0.55000000000000004</v>
      </c>
      <c r="Q66">
        <v>0.77</v>
      </c>
      <c r="R66" s="88">
        <v>0.92</v>
      </c>
      <c r="S66" s="87">
        <v>0.77</v>
      </c>
      <c r="T66">
        <v>1</v>
      </c>
      <c r="U66">
        <v>1</v>
      </c>
      <c r="V66" s="88">
        <v>1</v>
      </c>
      <c r="W66" s="87">
        <v>0.83</v>
      </c>
      <c r="X66">
        <v>1</v>
      </c>
      <c r="Y66">
        <v>1</v>
      </c>
      <c r="Z66" s="88">
        <v>1</v>
      </c>
      <c r="AA66" s="87">
        <v>0.44000000000000006</v>
      </c>
      <c r="AB66">
        <v>0.55000000000000004</v>
      </c>
      <c r="AC66">
        <v>0.77</v>
      </c>
      <c r="AD66" s="88">
        <v>1</v>
      </c>
      <c r="AE66" s="87">
        <v>0.47000000000000003</v>
      </c>
      <c r="AF66">
        <v>0.55000000000000004</v>
      </c>
      <c r="AG66">
        <v>0.77</v>
      </c>
      <c r="AH66" s="88">
        <v>0.92</v>
      </c>
      <c r="AI66" s="87">
        <v>2.2549999999999999</v>
      </c>
      <c r="AJ66">
        <v>3.8500000000000005</v>
      </c>
      <c r="AK66">
        <v>6.16</v>
      </c>
      <c r="AL66" s="88">
        <v>9.1550000000000011</v>
      </c>
      <c r="AM66" s="87">
        <v>2.7399999999999993</v>
      </c>
      <c r="AN66">
        <v>3.8500000000000005</v>
      </c>
      <c r="AO66">
        <v>6.16</v>
      </c>
      <c r="AP66" s="88">
        <v>8.129999999999999</v>
      </c>
      <c r="AQ66" s="87">
        <v>3.8900000000000006</v>
      </c>
      <c r="AR66">
        <v>7</v>
      </c>
      <c r="AS66">
        <v>8</v>
      </c>
      <c r="AT66">
        <v>9.5</v>
      </c>
      <c r="AU66" s="87">
        <v>4.8099999999999987</v>
      </c>
      <c r="AV66">
        <v>7</v>
      </c>
      <c r="AW66">
        <v>8</v>
      </c>
      <c r="AX66" s="88">
        <v>9</v>
      </c>
      <c r="AY66" s="87">
        <v>1.1550000000000002</v>
      </c>
      <c r="AZ66">
        <v>2.4750000000000001</v>
      </c>
      <c r="BA66">
        <v>4.2350000000000003</v>
      </c>
      <c r="BB66">
        <v>6.6550000000000002</v>
      </c>
      <c r="BC66" s="87">
        <v>1.5650000000000008</v>
      </c>
      <c r="BD66">
        <v>2.4750000000000001</v>
      </c>
      <c r="BE66">
        <v>4.2350000000000003</v>
      </c>
      <c r="BF66" s="88">
        <v>5.830000000000001</v>
      </c>
      <c r="BG66" s="87">
        <f t="shared" si="45"/>
        <v>7.3000000000000007</v>
      </c>
      <c r="BH66">
        <f t="shared" si="42"/>
        <v>13.325000000000001</v>
      </c>
      <c r="BI66">
        <f t="shared" si="42"/>
        <v>18.395</v>
      </c>
      <c r="BJ66">
        <f t="shared" si="42"/>
        <v>25.310000000000002</v>
      </c>
      <c r="BK66" s="87">
        <f t="shared" si="42"/>
        <v>9.1149999999999984</v>
      </c>
      <c r="BL66">
        <f t="shared" si="42"/>
        <v>13.325000000000001</v>
      </c>
      <c r="BM66">
        <f t="shared" si="42"/>
        <v>18.395</v>
      </c>
      <c r="BN66">
        <f t="shared" si="42"/>
        <v>22.96</v>
      </c>
      <c r="BO66" s="138">
        <f t="shared" si="46"/>
        <v>12.120000000000001</v>
      </c>
      <c r="BP66" s="143">
        <f t="shared" si="47"/>
        <v>19.777999999999999</v>
      </c>
      <c r="BQ66" s="138">
        <f t="shared" si="48"/>
        <v>12.483000000000001</v>
      </c>
      <c r="BR66" s="139">
        <f t="shared" si="49"/>
        <v>19.308</v>
      </c>
      <c r="BS66" s="87">
        <f t="shared" si="50"/>
        <v>15.949</v>
      </c>
      <c r="BT66" s="88">
        <f t="shared" si="51"/>
        <v>15.8955</v>
      </c>
      <c r="BU66" s="134">
        <f t="shared" si="52"/>
        <v>15.92225</v>
      </c>
    </row>
    <row r="67" spans="1:73" x14ac:dyDescent="0.25">
      <c r="A67" s="102" t="s">
        <v>65</v>
      </c>
      <c r="B67" s="102" t="s">
        <v>75</v>
      </c>
      <c r="C67" s="121" t="s">
        <v>76</v>
      </c>
      <c r="D67" s="156" t="s">
        <v>104</v>
      </c>
      <c r="E67" s="156" t="s">
        <v>105</v>
      </c>
      <c r="F67" s="156" t="s">
        <v>106</v>
      </c>
      <c r="G67" s="110">
        <f t="shared" si="43"/>
        <v>1</v>
      </c>
      <c r="H67" s="110">
        <f t="shared" si="41"/>
        <v>0.66</v>
      </c>
      <c r="I67" s="110">
        <f t="shared" si="41"/>
        <v>0.33</v>
      </c>
      <c r="J67" s="147">
        <f t="shared" si="44"/>
        <v>14.1</v>
      </c>
      <c r="K67" s="87">
        <v>0.77</v>
      </c>
      <c r="L67">
        <v>1</v>
      </c>
      <c r="M67">
        <v>1</v>
      </c>
      <c r="N67" s="88">
        <v>1</v>
      </c>
      <c r="O67" s="87">
        <v>0.83</v>
      </c>
      <c r="P67">
        <v>1</v>
      </c>
      <c r="Q67">
        <v>1</v>
      </c>
      <c r="R67" s="88">
        <v>1</v>
      </c>
      <c r="S67" s="87">
        <v>0.44000000000000006</v>
      </c>
      <c r="T67">
        <v>0.55000000000000004</v>
      </c>
      <c r="U67">
        <v>0.77</v>
      </c>
      <c r="V67" s="88">
        <v>1</v>
      </c>
      <c r="W67" s="87">
        <v>0.47000000000000003</v>
      </c>
      <c r="X67">
        <v>0.55000000000000004</v>
      </c>
      <c r="Y67">
        <v>0.77</v>
      </c>
      <c r="Z67" s="88">
        <v>0.92</v>
      </c>
      <c r="AA67" s="87">
        <v>0</v>
      </c>
      <c r="AB67">
        <v>0.22000000000000003</v>
      </c>
      <c r="AC67">
        <v>0.44</v>
      </c>
      <c r="AD67" s="88">
        <v>0.55000000000000004</v>
      </c>
      <c r="AE67" s="87">
        <v>0.06</v>
      </c>
      <c r="AF67">
        <v>0.22000000000000003</v>
      </c>
      <c r="AG67">
        <v>0.44</v>
      </c>
      <c r="AH67" s="88">
        <v>0.52</v>
      </c>
      <c r="AI67" s="87">
        <v>3.8900000000000006</v>
      </c>
      <c r="AJ67">
        <v>7</v>
      </c>
      <c r="AK67">
        <v>8</v>
      </c>
      <c r="AL67" s="88">
        <v>9.5</v>
      </c>
      <c r="AM67" s="87">
        <v>4.8099999999999987</v>
      </c>
      <c r="AN67">
        <v>7</v>
      </c>
      <c r="AO67">
        <v>8</v>
      </c>
      <c r="AP67" s="88">
        <v>9</v>
      </c>
      <c r="AQ67" s="87">
        <v>2.2549999999999999</v>
      </c>
      <c r="AR67">
        <v>3.8500000000000005</v>
      </c>
      <c r="AS67">
        <v>6.16</v>
      </c>
      <c r="AT67">
        <v>9.1550000000000011</v>
      </c>
      <c r="AU67" s="87">
        <v>2.7399999999999993</v>
      </c>
      <c r="AV67">
        <v>3.8500000000000005</v>
      </c>
      <c r="AW67">
        <v>6.16</v>
      </c>
      <c r="AX67" s="88">
        <v>8.129999999999999</v>
      </c>
      <c r="AY67" s="187">
        <v>0</v>
      </c>
      <c r="AZ67" s="179">
        <v>0.9900000000000001</v>
      </c>
      <c r="BA67" s="179">
        <v>2.42</v>
      </c>
      <c r="BB67" s="179">
        <v>3.6850000000000005</v>
      </c>
      <c r="BC67" s="187">
        <v>4.9999999999999933E-2</v>
      </c>
      <c r="BD67" s="179">
        <v>0.9900000000000001</v>
      </c>
      <c r="BE67" s="179">
        <v>2.42</v>
      </c>
      <c r="BF67" s="188">
        <v>3.3000000000000007</v>
      </c>
      <c r="BG67" s="87">
        <f t="shared" si="45"/>
        <v>6.1450000000000005</v>
      </c>
      <c r="BH67">
        <f t="shared" si="42"/>
        <v>11.840000000000002</v>
      </c>
      <c r="BI67">
        <f t="shared" si="42"/>
        <v>16.579999999999998</v>
      </c>
      <c r="BJ67">
        <f t="shared" si="42"/>
        <v>22.340000000000003</v>
      </c>
      <c r="BK67" s="87">
        <f t="shared" si="42"/>
        <v>7.5999999999999979</v>
      </c>
      <c r="BL67">
        <f t="shared" si="42"/>
        <v>11.840000000000002</v>
      </c>
      <c r="BM67">
        <f t="shared" si="42"/>
        <v>16.579999999999998</v>
      </c>
      <c r="BN67">
        <f t="shared" si="42"/>
        <v>20.43</v>
      </c>
      <c r="BO67" s="138">
        <f t="shared" si="46"/>
        <v>10.701000000000001</v>
      </c>
      <c r="BP67" s="143">
        <f t="shared" si="47"/>
        <v>17.731999999999999</v>
      </c>
      <c r="BQ67" s="138">
        <f t="shared" si="48"/>
        <v>10.992000000000001</v>
      </c>
      <c r="BR67" s="139">
        <f t="shared" si="49"/>
        <v>17.349999999999998</v>
      </c>
      <c r="BS67" s="87">
        <f t="shared" si="50"/>
        <v>14.2165</v>
      </c>
      <c r="BT67" s="88">
        <f t="shared" si="51"/>
        <v>14.170999999999999</v>
      </c>
      <c r="BU67" s="134">
        <f t="shared" si="52"/>
        <v>14.19375</v>
      </c>
    </row>
    <row r="68" spans="1:73" ht="30" x14ac:dyDescent="0.25">
      <c r="A68" s="102" t="s">
        <v>66</v>
      </c>
      <c r="B68" s="102" t="s">
        <v>77</v>
      </c>
      <c r="C68" s="121" t="s">
        <v>90</v>
      </c>
      <c r="D68" s="156" t="s">
        <v>105</v>
      </c>
      <c r="E68" s="156" t="s">
        <v>104</v>
      </c>
      <c r="F68" s="156" t="s">
        <v>105</v>
      </c>
      <c r="G68" s="110">
        <f t="shared" si="43"/>
        <v>0.66</v>
      </c>
      <c r="H68" s="110">
        <f t="shared" si="41"/>
        <v>1</v>
      </c>
      <c r="I68" s="110">
        <f t="shared" si="41"/>
        <v>0.66</v>
      </c>
      <c r="J68" s="147">
        <f t="shared" si="44"/>
        <v>15.75</v>
      </c>
      <c r="K68" s="87">
        <v>0.44000000000000006</v>
      </c>
      <c r="L68">
        <v>0.55000000000000004</v>
      </c>
      <c r="M68">
        <v>0.77</v>
      </c>
      <c r="N68" s="88">
        <v>1</v>
      </c>
      <c r="O68" s="87">
        <v>0.47000000000000003</v>
      </c>
      <c r="P68">
        <v>0.55000000000000004</v>
      </c>
      <c r="Q68">
        <v>0.77</v>
      </c>
      <c r="R68" s="88">
        <v>0.92</v>
      </c>
      <c r="S68" s="87">
        <v>0.77</v>
      </c>
      <c r="T68">
        <v>1</v>
      </c>
      <c r="U68">
        <v>1</v>
      </c>
      <c r="V68" s="88">
        <v>1</v>
      </c>
      <c r="W68" s="87">
        <v>0.83</v>
      </c>
      <c r="X68">
        <v>1</v>
      </c>
      <c r="Y68">
        <v>1</v>
      </c>
      <c r="Z68" s="88">
        <v>1</v>
      </c>
      <c r="AA68" s="87">
        <v>0.44000000000000006</v>
      </c>
      <c r="AB68">
        <v>0.55000000000000004</v>
      </c>
      <c r="AC68">
        <v>0.77</v>
      </c>
      <c r="AD68" s="88">
        <v>1</v>
      </c>
      <c r="AE68" s="87">
        <v>0.47000000000000003</v>
      </c>
      <c r="AF68">
        <v>0.55000000000000004</v>
      </c>
      <c r="AG68">
        <v>0.77</v>
      </c>
      <c r="AH68" s="88">
        <v>0.92</v>
      </c>
      <c r="AI68" s="87">
        <v>2.2549999999999999</v>
      </c>
      <c r="AJ68">
        <v>3.8500000000000005</v>
      </c>
      <c r="AK68">
        <v>6.16</v>
      </c>
      <c r="AL68" s="88">
        <v>9.1550000000000011</v>
      </c>
      <c r="AM68" s="87">
        <v>2.7399999999999993</v>
      </c>
      <c r="AN68">
        <v>3.8500000000000005</v>
      </c>
      <c r="AO68">
        <v>6.16</v>
      </c>
      <c r="AP68" s="88">
        <v>8.129999999999999</v>
      </c>
      <c r="AQ68" s="87">
        <v>3.8900000000000006</v>
      </c>
      <c r="AR68">
        <v>7</v>
      </c>
      <c r="AS68">
        <v>8</v>
      </c>
      <c r="AT68">
        <v>9.5</v>
      </c>
      <c r="AU68" s="87">
        <v>4.8099999999999987</v>
      </c>
      <c r="AV68">
        <v>7</v>
      </c>
      <c r="AW68">
        <v>8</v>
      </c>
      <c r="AX68" s="88">
        <v>9</v>
      </c>
      <c r="AY68" s="87">
        <v>1.1550000000000002</v>
      </c>
      <c r="AZ68">
        <v>2.4750000000000001</v>
      </c>
      <c r="BA68">
        <v>4.2350000000000003</v>
      </c>
      <c r="BB68">
        <v>6.6550000000000002</v>
      </c>
      <c r="BC68" s="87">
        <v>1.5650000000000008</v>
      </c>
      <c r="BD68">
        <v>2.4750000000000001</v>
      </c>
      <c r="BE68">
        <v>4.2350000000000003</v>
      </c>
      <c r="BF68" s="88">
        <v>5.830000000000001</v>
      </c>
      <c r="BG68" s="87">
        <f t="shared" si="45"/>
        <v>7.3000000000000007</v>
      </c>
      <c r="BH68">
        <f t="shared" si="42"/>
        <v>13.325000000000001</v>
      </c>
      <c r="BI68">
        <f t="shared" si="42"/>
        <v>18.395</v>
      </c>
      <c r="BJ68">
        <f t="shared" si="42"/>
        <v>25.310000000000002</v>
      </c>
      <c r="BK68" s="87">
        <f t="shared" si="42"/>
        <v>9.1149999999999984</v>
      </c>
      <c r="BL68">
        <f t="shared" si="42"/>
        <v>13.325000000000001</v>
      </c>
      <c r="BM68">
        <f t="shared" si="42"/>
        <v>18.395</v>
      </c>
      <c r="BN68">
        <f t="shared" si="42"/>
        <v>22.96</v>
      </c>
      <c r="BO68" s="138">
        <f t="shared" si="46"/>
        <v>12.120000000000001</v>
      </c>
      <c r="BP68" s="143">
        <f t="shared" si="47"/>
        <v>19.777999999999999</v>
      </c>
      <c r="BQ68" s="138">
        <f t="shared" si="48"/>
        <v>12.483000000000001</v>
      </c>
      <c r="BR68" s="139">
        <f t="shared" si="49"/>
        <v>19.308</v>
      </c>
      <c r="BS68" s="87">
        <f t="shared" si="50"/>
        <v>15.949</v>
      </c>
      <c r="BT68" s="88">
        <f t="shared" si="51"/>
        <v>15.8955</v>
      </c>
      <c r="BU68" s="134">
        <f t="shared" si="52"/>
        <v>15.92225</v>
      </c>
    </row>
    <row r="69" spans="1:73" x14ac:dyDescent="0.25">
      <c r="A69" s="102" t="s">
        <v>67</v>
      </c>
      <c r="B69" s="102" t="s">
        <v>78</v>
      </c>
      <c r="C69" s="121" t="s">
        <v>91</v>
      </c>
      <c r="D69" s="156" t="s">
        <v>104</v>
      </c>
      <c r="E69" s="156" t="s">
        <v>105</v>
      </c>
      <c r="F69" s="156" t="s">
        <v>106</v>
      </c>
      <c r="G69" s="110">
        <f t="shared" si="43"/>
        <v>1</v>
      </c>
      <c r="H69" s="110">
        <f t="shared" si="41"/>
        <v>0.66</v>
      </c>
      <c r="I69" s="110">
        <f t="shared" si="41"/>
        <v>0.33</v>
      </c>
      <c r="J69" s="147">
        <f t="shared" si="44"/>
        <v>14.1</v>
      </c>
      <c r="K69" s="87">
        <v>0.77</v>
      </c>
      <c r="L69">
        <v>1</v>
      </c>
      <c r="M69">
        <v>1</v>
      </c>
      <c r="N69" s="88">
        <v>1</v>
      </c>
      <c r="O69" s="87">
        <v>0.83</v>
      </c>
      <c r="P69">
        <v>1</v>
      </c>
      <c r="Q69">
        <v>1</v>
      </c>
      <c r="R69" s="88">
        <v>1</v>
      </c>
      <c r="S69" s="87">
        <v>0.44000000000000006</v>
      </c>
      <c r="T69">
        <v>0.55000000000000004</v>
      </c>
      <c r="U69">
        <v>0.77</v>
      </c>
      <c r="V69" s="88">
        <v>1</v>
      </c>
      <c r="W69" s="87">
        <v>0.47000000000000003</v>
      </c>
      <c r="X69">
        <v>0.55000000000000004</v>
      </c>
      <c r="Y69">
        <v>0.77</v>
      </c>
      <c r="Z69" s="88">
        <v>0.92</v>
      </c>
      <c r="AA69" s="87">
        <v>0</v>
      </c>
      <c r="AB69">
        <v>0.22000000000000003</v>
      </c>
      <c r="AC69">
        <v>0.44</v>
      </c>
      <c r="AD69" s="88">
        <v>0.55000000000000004</v>
      </c>
      <c r="AE69" s="87">
        <v>0.06</v>
      </c>
      <c r="AF69">
        <v>0.22000000000000003</v>
      </c>
      <c r="AG69">
        <v>0.44</v>
      </c>
      <c r="AH69" s="88">
        <v>0.52</v>
      </c>
      <c r="AI69" s="87">
        <v>3.8900000000000006</v>
      </c>
      <c r="AJ69">
        <v>7</v>
      </c>
      <c r="AK69">
        <v>8</v>
      </c>
      <c r="AL69" s="88">
        <v>9.5</v>
      </c>
      <c r="AM69" s="87">
        <v>4.8099999999999987</v>
      </c>
      <c r="AN69">
        <v>7</v>
      </c>
      <c r="AO69">
        <v>8</v>
      </c>
      <c r="AP69" s="88">
        <v>9</v>
      </c>
      <c r="AQ69" s="87">
        <v>2.2549999999999999</v>
      </c>
      <c r="AR69">
        <v>3.8500000000000005</v>
      </c>
      <c r="AS69">
        <v>6.16</v>
      </c>
      <c r="AT69">
        <v>9.1550000000000011</v>
      </c>
      <c r="AU69" s="87">
        <v>2.7399999999999993</v>
      </c>
      <c r="AV69">
        <v>3.8500000000000005</v>
      </c>
      <c r="AW69">
        <v>6.16</v>
      </c>
      <c r="AX69" s="88">
        <v>8.129999999999999</v>
      </c>
      <c r="AY69" s="187">
        <v>0</v>
      </c>
      <c r="AZ69" s="179">
        <v>0.9900000000000001</v>
      </c>
      <c r="BA69" s="179">
        <v>2.42</v>
      </c>
      <c r="BB69" s="179">
        <v>3.6850000000000005</v>
      </c>
      <c r="BC69" s="187">
        <v>4.9999999999999933E-2</v>
      </c>
      <c r="BD69" s="179">
        <v>0.9900000000000001</v>
      </c>
      <c r="BE69" s="179">
        <v>2.42</v>
      </c>
      <c r="BF69" s="188">
        <v>3.3000000000000007</v>
      </c>
      <c r="BG69" s="87">
        <f t="shared" si="45"/>
        <v>6.1450000000000005</v>
      </c>
      <c r="BH69">
        <f t="shared" si="42"/>
        <v>11.840000000000002</v>
      </c>
      <c r="BI69">
        <f t="shared" si="42"/>
        <v>16.579999999999998</v>
      </c>
      <c r="BJ69">
        <f t="shared" si="42"/>
        <v>22.340000000000003</v>
      </c>
      <c r="BK69" s="87">
        <f t="shared" si="42"/>
        <v>7.5999999999999979</v>
      </c>
      <c r="BL69">
        <f t="shared" si="42"/>
        <v>11.840000000000002</v>
      </c>
      <c r="BM69">
        <f t="shared" si="42"/>
        <v>16.579999999999998</v>
      </c>
      <c r="BN69">
        <f t="shared" si="42"/>
        <v>20.43</v>
      </c>
      <c r="BO69" s="138">
        <f t="shared" si="46"/>
        <v>10.701000000000001</v>
      </c>
      <c r="BP69" s="143">
        <f t="shared" si="47"/>
        <v>17.731999999999999</v>
      </c>
      <c r="BQ69" s="138">
        <f t="shared" si="48"/>
        <v>10.992000000000001</v>
      </c>
      <c r="BR69" s="139">
        <f t="shared" si="49"/>
        <v>17.349999999999998</v>
      </c>
      <c r="BS69" s="87">
        <f t="shared" si="50"/>
        <v>14.2165</v>
      </c>
      <c r="BT69" s="88">
        <f t="shared" si="51"/>
        <v>14.170999999999999</v>
      </c>
      <c r="BU69" s="134">
        <f t="shared" si="52"/>
        <v>14.19375</v>
      </c>
    </row>
    <row r="70" spans="1:73" ht="30" x14ac:dyDescent="0.25">
      <c r="A70" s="102" t="s">
        <v>68</v>
      </c>
      <c r="B70" s="102" t="s">
        <v>79</v>
      </c>
      <c r="C70" s="121" t="s">
        <v>92</v>
      </c>
      <c r="D70" s="156" t="s">
        <v>104</v>
      </c>
      <c r="E70" s="156" t="s">
        <v>105</v>
      </c>
      <c r="F70" s="156" t="s">
        <v>106</v>
      </c>
      <c r="G70" s="110">
        <f t="shared" si="43"/>
        <v>1</v>
      </c>
      <c r="H70" s="110">
        <f t="shared" si="41"/>
        <v>0.66</v>
      </c>
      <c r="I70" s="110">
        <f t="shared" si="41"/>
        <v>0.33</v>
      </c>
      <c r="J70" s="147">
        <f t="shared" si="44"/>
        <v>14.1</v>
      </c>
      <c r="K70" s="87">
        <v>0.77</v>
      </c>
      <c r="L70">
        <v>1</v>
      </c>
      <c r="M70">
        <v>1</v>
      </c>
      <c r="N70" s="88">
        <v>1</v>
      </c>
      <c r="O70" s="87">
        <v>0.83</v>
      </c>
      <c r="P70">
        <v>1</v>
      </c>
      <c r="Q70">
        <v>1</v>
      </c>
      <c r="R70" s="88">
        <v>1</v>
      </c>
      <c r="S70" s="87">
        <v>0.44000000000000006</v>
      </c>
      <c r="T70">
        <v>0.55000000000000004</v>
      </c>
      <c r="U70">
        <v>0.77</v>
      </c>
      <c r="V70" s="88">
        <v>1</v>
      </c>
      <c r="W70" s="87">
        <v>0.47000000000000003</v>
      </c>
      <c r="X70">
        <v>0.55000000000000004</v>
      </c>
      <c r="Y70">
        <v>0.77</v>
      </c>
      <c r="Z70" s="88">
        <v>0.92</v>
      </c>
      <c r="AA70" s="87">
        <v>0</v>
      </c>
      <c r="AB70">
        <v>0.22000000000000003</v>
      </c>
      <c r="AC70">
        <v>0.44</v>
      </c>
      <c r="AD70" s="88">
        <v>0.55000000000000004</v>
      </c>
      <c r="AE70" s="87">
        <v>0.06</v>
      </c>
      <c r="AF70">
        <v>0.22000000000000003</v>
      </c>
      <c r="AG70">
        <v>0.44</v>
      </c>
      <c r="AH70" s="88">
        <v>0.52</v>
      </c>
      <c r="AI70" s="87">
        <v>3.8900000000000006</v>
      </c>
      <c r="AJ70">
        <v>7</v>
      </c>
      <c r="AK70">
        <v>8</v>
      </c>
      <c r="AL70" s="88">
        <v>9.5</v>
      </c>
      <c r="AM70" s="87">
        <v>4.8099999999999987</v>
      </c>
      <c r="AN70">
        <v>7</v>
      </c>
      <c r="AO70">
        <v>8</v>
      </c>
      <c r="AP70" s="88">
        <v>9</v>
      </c>
      <c r="AQ70" s="87">
        <v>2.2549999999999999</v>
      </c>
      <c r="AR70">
        <v>3.8500000000000005</v>
      </c>
      <c r="AS70">
        <v>6.16</v>
      </c>
      <c r="AT70">
        <v>9.1550000000000011</v>
      </c>
      <c r="AU70" s="87">
        <v>2.7399999999999993</v>
      </c>
      <c r="AV70">
        <v>3.8500000000000005</v>
      </c>
      <c r="AW70">
        <v>6.16</v>
      </c>
      <c r="AX70" s="88">
        <v>8.129999999999999</v>
      </c>
      <c r="AY70" s="187">
        <v>0</v>
      </c>
      <c r="AZ70" s="179">
        <v>0.9900000000000001</v>
      </c>
      <c r="BA70" s="179">
        <v>2.42</v>
      </c>
      <c r="BB70" s="179">
        <v>3.6850000000000005</v>
      </c>
      <c r="BC70" s="187">
        <v>4.9999999999999933E-2</v>
      </c>
      <c r="BD70" s="179">
        <v>0.9900000000000001</v>
      </c>
      <c r="BE70" s="179">
        <v>2.42</v>
      </c>
      <c r="BF70" s="188">
        <v>3.3000000000000007</v>
      </c>
      <c r="BG70" s="87">
        <f t="shared" si="45"/>
        <v>6.1450000000000005</v>
      </c>
      <c r="BH70">
        <f t="shared" si="42"/>
        <v>11.840000000000002</v>
      </c>
      <c r="BI70">
        <f t="shared" si="42"/>
        <v>16.579999999999998</v>
      </c>
      <c r="BJ70">
        <f t="shared" si="42"/>
        <v>22.340000000000003</v>
      </c>
      <c r="BK70" s="87">
        <f t="shared" si="42"/>
        <v>7.5999999999999979</v>
      </c>
      <c r="BL70">
        <f t="shared" si="42"/>
        <v>11.840000000000002</v>
      </c>
      <c r="BM70">
        <f t="shared" si="42"/>
        <v>16.579999999999998</v>
      </c>
      <c r="BN70">
        <f t="shared" si="42"/>
        <v>20.43</v>
      </c>
      <c r="BO70" s="138">
        <f t="shared" si="46"/>
        <v>10.701000000000001</v>
      </c>
      <c r="BP70" s="143">
        <f t="shared" si="47"/>
        <v>17.731999999999999</v>
      </c>
      <c r="BQ70" s="138">
        <f t="shared" si="48"/>
        <v>10.992000000000001</v>
      </c>
      <c r="BR70" s="139">
        <f t="shared" si="49"/>
        <v>17.349999999999998</v>
      </c>
      <c r="BS70" s="87">
        <f t="shared" si="50"/>
        <v>14.2165</v>
      </c>
      <c r="BT70" s="88">
        <f t="shared" si="51"/>
        <v>14.170999999999999</v>
      </c>
      <c r="BU70" s="134">
        <f t="shared" si="52"/>
        <v>14.19375</v>
      </c>
    </row>
    <row r="71" spans="1:73" ht="30" x14ac:dyDescent="0.25">
      <c r="A71" s="102" t="s">
        <v>69</v>
      </c>
      <c r="B71" s="102" t="s">
        <v>80</v>
      </c>
      <c r="C71" s="121" t="s">
        <v>81</v>
      </c>
      <c r="D71" s="156" t="s">
        <v>105</v>
      </c>
      <c r="E71" s="156" t="s">
        <v>106</v>
      </c>
      <c r="F71" s="156" t="s">
        <v>104</v>
      </c>
      <c r="G71" s="110">
        <f t="shared" si="43"/>
        <v>0.66</v>
      </c>
      <c r="H71" s="110">
        <f t="shared" si="41"/>
        <v>0.33</v>
      </c>
      <c r="I71" s="110">
        <f t="shared" si="41"/>
        <v>1</v>
      </c>
      <c r="J71" s="147">
        <f t="shared" si="44"/>
        <v>12.425000000000001</v>
      </c>
      <c r="K71" s="87">
        <v>0.44000000000000006</v>
      </c>
      <c r="L71">
        <v>0.55000000000000004</v>
      </c>
      <c r="M71">
        <v>0.77</v>
      </c>
      <c r="N71" s="88">
        <v>1</v>
      </c>
      <c r="O71" s="87">
        <v>0.47000000000000003</v>
      </c>
      <c r="P71">
        <v>0.55000000000000004</v>
      </c>
      <c r="Q71">
        <v>0.77</v>
      </c>
      <c r="R71" s="88">
        <v>0.92</v>
      </c>
      <c r="S71" s="87">
        <v>0</v>
      </c>
      <c r="T71">
        <v>0.22000000000000003</v>
      </c>
      <c r="U71">
        <v>0.44</v>
      </c>
      <c r="V71" s="88">
        <v>0.55000000000000004</v>
      </c>
      <c r="W71" s="87">
        <v>0.06</v>
      </c>
      <c r="X71">
        <v>0.22000000000000003</v>
      </c>
      <c r="Y71">
        <v>0.44</v>
      </c>
      <c r="Z71" s="88">
        <v>0.52</v>
      </c>
      <c r="AA71" s="87">
        <v>0.77</v>
      </c>
      <c r="AB71">
        <v>1</v>
      </c>
      <c r="AC71">
        <v>1</v>
      </c>
      <c r="AD71" s="88">
        <v>1</v>
      </c>
      <c r="AE71" s="87">
        <v>0.83</v>
      </c>
      <c r="AF71">
        <v>1</v>
      </c>
      <c r="AG71">
        <v>1</v>
      </c>
      <c r="AH71" s="88">
        <v>1</v>
      </c>
      <c r="AI71" s="87">
        <v>2.2549999999999999</v>
      </c>
      <c r="AJ71">
        <v>3.8500000000000005</v>
      </c>
      <c r="AK71">
        <v>6.16</v>
      </c>
      <c r="AL71" s="88">
        <v>9.1550000000000011</v>
      </c>
      <c r="AM71" s="87">
        <v>2.7399999999999993</v>
      </c>
      <c r="AN71">
        <v>3.8500000000000005</v>
      </c>
      <c r="AO71">
        <v>6.16</v>
      </c>
      <c r="AP71" s="88">
        <v>8.129999999999999</v>
      </c>
      <c r="AQ71" s="187">
        <v>0</v>
      </c>
      <c r="AR71" s="179">
        <v>1.5400000000000003</v>
      </c>
      <c r="AS71" s="179">
        <v>3.52</v>
      </c>
      <c r="AT71" s="179">
        <v>5.0600000000000005</v>
      </c>
      <c r="AU71" s="187">
        <v>0.19999999999999996</v>
      </c>
      <c r="AV71" s="179">
        <v>1.5400000000000003</v>
      </c>
      <c r="AW71" s="179">
        <v>3.52</v>
      </c>
      <c r="AX71" s="188">
        <v>4.6000000000000014</v>
      </c>
      <c r="AY71" s="87">
        <v>1.9649999999999999</v>
      </c>
      <c r="AZ71">
        <v>4.5</v>
      </c>
      <c r="BA71">
        <v>5.5</v>
      </c>
      <c r="BB71">
        <v>7</v>
      </c>
      <c r="BC71" s="87">
        <v>2.7349999999999994</v>
      </c>
      <c r="BD71">
        <v>4.5</v>
      </c>
      <c r="BE71">
        <v>5.5</v>
      </c>
      <c r="BF71" s="88">
        <v>6.5</v>
      </c>
      <c r="BG71" s="87">
        <f t="shared" si="45"/>
        <v>4.22</v>
      </c>
      <c r="BH71">
        <f t="shared" si="42"/>
        <v>9.89</v>
      </c>
      <c r="BI71">
        <f t="shared" si="42"/>
        <v>15.18</v>
      </c>
      <c r="BJ71">
        <f t="shared" si="42"/>
        <v>21.215000000000003</v>
      </c>
      <c r="BK71" s="87">
        <f t="shared" si="42"/>
        <v>5.6749999999999989</v>
      </c>
      <c r="BL71">
        <f t="shared" si="42"/>
        <v>9.89</v>
      </c>
      <c r="BM71">
        <f t="shared" si="42"/>
        <v>15.18</v>
      </c>
      <c r="BN71">
        <f t="shared" si="42"/>
        <v>19.23</v>
      </c>
      <c r="BO71" s="138">
        <f t="shared" si="46"/>
        <v>8.7560000000000002</v>
      </c>
      <c r="BP71" s="143">
        <f t="shared" si="47"/>
        <v>16.387</v>
      </c>
      <c r="BQ71" s="138">
        <f t="shared" si="48"/>
        <v>9.0470000000000006</v>
      </c>
      <c r="BR71" s="139">
        <f t="shared" si="49"/>
        <v>15.989999999999998</v>
      </c>
      <c r="BS71" s="87">
        <f t="shared" si="50"/>
        <v>12.5715</v>
      </c>
      <c r="BT71" s="88">
        <f t="shared" si="51"/>
        <v>12.5185</v>
      </c>
      <c r="BU71" s="134">
        <f t="shared" si="52"/>
        <v>12.545</v>
      </c>
    </row>
    <row r="72" spans="1:73" ht="36.75" customHeight="1" x14ac:dyDescent="0.25">
      <c r="A72" s="102" t="s">
        <v>70</v>
      </c>
      <c r="B72" s="102" t="s">
        <v>82</v>
      </c>
      <c r="C72" s="121" t="s">
        <v>93</v>
      </c>
      <c r="D72" s="156" t="s">
        <v>106</v>
      </c>
      <c r="E72" s="156" t="s">
        <v>104</v>
      </c>
      <c r="F72" s="156" t="s">
        <v>105</v>
      </c>
      <c r="G72" s="110">
        <f t="shared" si="43"/>
        <v>0.33</v>
      </c>
      <c r="H72" s="110">
        <f t="shared" si="41"/>
        <v>1</v>
      </c>
      <c r="I72" s="110">
        <f t="shared" si="41"/>
        <v>0.66</v>
      </c>
      <c r="J72" s="147">
        <f t="shared" si="44"/>
        <v>13.275</v>
      </c>
      <c r="K72" s="87">
        <v>0</v>
      </c>
      <c r="L72">
        <v>0.22000000000000003</v>
      </c>
      <c r="M72">
        <v>0.44</v>
      </c>
      <c r="N72" s="88">
        <v>0.55000000000000004</v>
      </c>
      <c r="O72" s="87">
        <v>0.06</v>
      </c>
      <c r="P72">
        <v>0.22000000000000003</v>
      </c>
      <c r="Q72">
        <v>0.44</v>
      </c>
      <c r="R72" s="88">
        <v>0.52</v>
      </c>
      <c r="S72" s="87">
        <v>0.77</v>
      </c>
      <c r="T72">
        <v>1</v>
      </c>
      <c r="U72">
        <v>1</v>
      </c>
      <c r="V72" s="88">
        <v>1</v>
      </c>
      <c r="W72" s="87">
        <v>0.83</v>
      </c>
      <c r="X72">
        <v>1</v>
      </c>
      <c r="Y72">
        <v>1</v>
      </c>
      <c r="Z72" s="88">
        <v>1</v>
      </c>
      <c r="AA72" s="87">
        <v>0.44000000000000006</v>
      </c>
      <c r="AB72">
        <v>0.55000000000000004</v>
      </c>
      <c r="AC72">
        <v>0.77</v>
      </c>
      <c r="AD72" s="88">
        <v>1</v>
      </c>
      <c r="AE72" s="87">
        <v>0.47000000000000003</v>
      </c>
      <c r="AF72">
        <v>0.55000000000000004</v>
      </c>
      <c r="AG72">
        <v>0.77</v>
      </c>
      <c r="AH72" s="88">
        <v>0.92</v>
      </c>
      <c r="AI72" s="187">
        <v>0</v>
      </c>
      <c r="AJ72" s="179">
        <v>1.5400000000000003</v>
      </c>
      <c r="AK72" s="179">
        <v>3.52</v>
      </c>
      <c r="AL72" s="188">
        <v>5.0600000000000005</v>
      </c>
      <c r="AM72" s="187">
        <v>0.19999999999999996</v>
      </c>
      <c r="AN72" s="179">
        <v>1.5400000000000003</v>
      </c>
      <c r="AO72" s="179">
        <v>3.52</v>
      </c>
      <c r="AP72" s="188">
        <v>4.6000000000000014</v>
      </c>
      <c r="AQ72" s="87">
        <v>3.8900000000000006</v>
      </c>
      <c r="AR72">
        <v>7</v>
      </c>
      <c r="AS72">
        <v>8</v>
      </c>
      <c r="AT72">
        <v>9.5</v>
      </c>
      <c r="AU72" s="87">
        <v>4.8099999999999987</v>
      </c>
      <c r="AV72">
        <v>7</v>
      </c>
      <c r="AW72">
        <v>8</v>
      </c>
      <c r="AX72" s="88">
        <v>9</v>
      </c>
      <c r="AY72" s="87">
        <v>1.1550000000000002</v>
      </c>
      <c r="AZ72">
        <v>2.4750000000000001</v>
      </c>
      <c r="BA72">
        <v>4.2350000000000003</v>
      </c>
      <c r="BB72">
        <v>6.6550000000000002</v>
      </c>
      <c r="BC72" s="87">
        <v>1.5650000000000008</v>
      </c>
      <c r="BD72">
        <v>2.4750000000000001</v>
      </c>
      <c r="BE72">
        <v>4.2350000000000003</v>
      </c>
      <c r="BF72" s="88">
        <v>5.830000000000001</v>
      </c>
      <c r="BG72" s="87">
        <f t="shared" si="45"/>
        <v>5.0450000000000008</v>
      </c>
      <c r="BH72">
        <f t="shared" si="42"/>
        <v>11.015000000000001</v>
      </c>
      <c r="BI72">
        <f t="shared" si="42"/>
        <v>15.754999999999999</v>
      </c>
      <c r="BJ72">
        <f t="shared" si="42"/>
        <v>21.215</v>
      </c>
      <c r="BK72" s="87">
        <f t="shared" si="42"/>
        <v>6.5749999999999993</v>
      </c>
      <c r="BL72">
        <f t="shared" si="42"/>
        <v>11.015000000000001</v>
      </c>
      <c r="BM72">
        <f t="shared" si="42"/>
        <v>15.754999999999999</v>
      </c>
      <c r="BN72">
        <f t="shared" si="42"/>
        <v>19.430000000000003</v>
      </c>
      <c r="BO72" s="138">
        <f t="shared" si="46"/>
        <v>9.8210000000000015</v>
      </c>
      <c r="BP72" s="143">
        <f t="shared" si="47"/>
        <v>16.846999999999998</v>
      </c>
      <c r="BQ72" s="138">
        <f t="shared" si="48"/>
        <v>10.127000000000001</v>
      </c>
      <c r="BR72" s="139">
        <f t="shared" si="49"/>
        <v>16.489999999999998</v>
      </c>
      <c r="BS72" s="87">
        <f t="shared" si="50"/>
        <v>13.334</v>
      </c>
      <c r="BT72" s="88">
        <f t="shared" si="51"/>
        <v>13.308499999999999</v>
      </c>
      <c r="BU72" s="134">
        <f t="shared" si="52"/>
        <v>13.321249999999999</v>
      </c>
    </row>
    <row r="73" spans="1:73" ht="30.75" thickBot="1" x14ac:dyDescent="0.3">
      <c r="A73" s="102" t="s">
        <v>71</v>
      </c>
      <c r="B73" s="102" t="s">
        <v>83</v>
      </c>
      <c r="C73" s="121" t="s">
        <v>94</v>
      </c>
      <c r="D73" s="156" t="s">
        <v>106</v>
      </c>
      <c r="E73" s="156" t="s">
        <v>104</v>
      </c>
      <c r="F73" s="156" t="s">
        <v>105</v>
      </c>
      <c r="G73" s="110">
        <f t="shared" si="43"/>
        <v>0.33</v>
      </c>
      <c r="H73" s="110">
        <f t="shared" si="41"/>
        <v>1</v>
      </c>
      <c r="I73" s="110">
        <f t="shared" si="41"/>
        <v>0.66</v>
      </c>
      <c r="J73" s="147">
        <f t="shared" si="44"/>
        <v>13.275</v>
      </c>
      <c r="K73" s="91">
        <v>0</v>
      </c>
      <c r="L73" s="93">
        <v>0.22000000000000003</v>
      </c>
      <c r="M73" s="93">
        <v>0.44</v>
      </c>
      <c r="N73" s="94">
        <v>0.55000000000000004</v>
      </c>
      <c r="O73" s="91">
        <v>0.06</v>
      </c>
      <c r="P73" s="93">
        <v>0.22000000000000003</v>
      </c>
      <c r="Q73" s="93">
        <v>0.44</v>
      </c>
      <c r="R73" s="94">
        <v>0.52</v>
      </c>
      <c r="S73" s="91">
        <v>0.77</v>
      </c>
      <c r="T73" s="93">
        <v>1</v>
      </c>
      <c r="U73" s="93">
        <v>1</v>
      </c>
      <c r="V73" s="94">
        <v>1</v>
      </c>
      <c r="W73" s="91">
        <v>0.83</v>
      </c>
      <c r="X73" s="93">
        <v>1</v>
      </c>
      <c r="Y73" s="93">
        <v>1</v>
      </c>
      <c r="Z73" s="94">
        <v>1</v>
      </c>
      <c r="AA73" s="91">
        <v>0.44000000000000006</v>
      </c>
      <c r="AB73" s="93">
        <v>0.55000000000000004</v>
      </c>
      <c r="AC73" s="93">
        <v>0.77</v>
      </c>
      <c r="AD73" s="94">
        <v>1</v>
      </c>
      <c r="AE73" s="91">
        <v>0.47000000000000003</v>
      </c>
      <c r="AF73" s="93">
        <v>0.55000000000000004</v>
      </c>
      <c r="AG73" s="93">
        <v>0.77</v>
      </c>
      <c r="AH73" s="94">
        <v>0.92</v>
      </c>
      <c r="AI73" s="189">
        <v>0</v>
      </c>
      <c r="AJ73" s="201">
        <v>1.5400000000000003</v>
      </c>
      <c r="AK73" s="201">
        <v>3.52</v>
      </c>
      <c r="AL73" s="190">
        <v>5.0600000000000005</v>
      </c>
      <c r="AM73" s="189">
        <v>0.19999999999999996</v>
      </c>
      <c r="AN73" s="201">
        <v>1.5400000000000003</v>
      </c>
      <c r="AO73" s="201">
        <v>3.52</v>
      </c>
      <c r="AP73" s="190">
        <v>4.6000000000000014</v>
      </c>
      <c r="AQ73" s="91">
        <v>3.8900000000000006</v>
      </c>
      <c r="AR73" s="93">
        <v>7</v>
      </c>
      <c r="AS73" s="93">
        <v>8</v>
      </c>
      <c r="AT73" s="93">
        <v>9.5</v>
      </c>
      <c r="AU73" s="91">
        <v>4.8099999999999987</v>
      </c>
      <c r="AV73" s="93">
        <v>7</v>
      </c>
      <c r="AW73" s="93">
        <v>8</v>
      </c>
      <c r="AX73" s="94">
        <v>9</v>
      </c>
      <c r="AY73" s="91">
        <v>1.1550000000000002</v>
      </c>
      <c r="AZ73" s="93">
        <v>2.4750000000000001</v>
      </c>
      <c r="BA73" s="93">
        <v>4.2350000000000003</v>
      </c>
      <c r="BB73" s="93">
        <v>6.6550000000000002</v>
      </c>
      <c r="BC73" s="91">
        <v>1.5650000000000008</v>
      </c>
      <c r="BD73" s="93">
        <v>2.4750000000000001</v>
      </c>
      <c r="BE73" s="93">
        <v>4.2350000000000003</v>
      </c>
      <c r="BF73" s="94">
        <v>5.830000000000001</v>
      </c>
      <c r="BG73" s="91">
        <f t="shared" si="45"/>
        <v>5.0450000000000008</v>
      </c>
      <c r="BH73" s="93">
        <f t="shared" si="42"/>
        <v>11.015000000000001</v>
      </c>
      <c r="BI73" s="93">
        <f t="shared" si="42"/>
        <v>15.754999999999999</v>
      </c>
      <c r="BJ73" s="93">
        <f t="shared" si="42"/>
        <v>21.215</v>
      </c>
      <c r="BK73" s="91">
        <f t="shared" si="42"/>
        <v>6.5749999999999993</v>
      </c>
      <c r="BL73" s="93">
        <f t="shared" si="42"/>
        <v>11.015000000000001</v>
      </c>
      <c r="BM73" s="93">
        <f t="shared" si="42"/>
        <v>15.754999999999999</v>
      </c>
      <c r="BN73" s="93">
        <f t="shared" si="42"/>
        <v>19.430000000000003</v>
      </c>
      <c r="BO73" s="140">
        <f t="shared" si="46"/>
        <v>9.8210000000000015</v>
      </c>
      <c r="BP73" s="144">
        <f t="shared" si="47"/>
        <v>16.846999999999998</v>
      </c>
      <c r="BQ73" s="140">
        <f t="shared" si="48"/>
        <v>10.127000000000001</v>
      </c>
      <c r="BR73" s="141">
        <f t="shared" si="49"/>
        <v>16.489999999999998</v>
      </c>
      <c r="BS73" s="91">
        <f t="shared" si="50"/>
        <v>13.334</v>
      </c>
      <c r="BT73" s="94">
        <f t="shared" si="51"/>
        <v>13.308499999999999</v>
      </c>
      <c r="BU73" s="135">
        <f t="shared" si="52"/>
        <v>13.321249999999999</v>
      </c>
    </row>
    <row r="74" spans="1:73" x14ac:dyDescent="0.25">
      <c r="BF74" s="60"/>
      <c r="BG74" s="59"/>
      <c r="BH74" s="59"/>
      <c r="BI74" s="59"/>
      <c r="BJ74" s="59"/>
      <c r="BK74" s="59"/>
    </row>
    <row r="75" spans="1:73" x14ac:dyDescent="0.25">
      <c r="A75" s="1" t="s">
        <v>195</v>
      </c>
      <c r="B75" s="1"/>
    </row>
    <row r="76" spans="1:73" ht="15.75" thickBot="1" x14ac:dyDescent="0.3">
      <c r="A76" s="107" t="s">
        <v>103</v>
      </c>
      <c r="B76" s="108" t="s">
        <v>122</v>
      </c>
      <c r="E76" s="112" t="s">
        <v>17</v>
      </c>
      <c r="I76" t="s">
        <v>18</v>
      </c>
    </row>
    <row r="77" spans="1:73" x14ac:dyDescent="0.25">
      <c r="A77" s="106" t="s">
        <v>107</v>
      </c>
      <c r="B77" s="2">
        <v>0</v>
      </c>
      <c r="C77" s="79">
        <v>0</v>
      </c>
      <c r="D77" s="80" t="s">
        <v>107</v>
      </c>
      <c r="E77" s="81">
        <v>0</v>
      </c>
      <c r="F77" s="82">
        <f>C77</f>
        <v>0</v>
      </c>
      <c r="G77" s="83">
        <v>0</v>
      </c>
      <c r="H77" s="84">
        <v>0.22</v>
      </c>
      <c r="I77" s="85">
        <v>0</v>
      </c>
      <c r="J77" s="83">
        <f>F77</f>
        <v>0</v>
      </c>
      <c r="K77" s="83">
        <f>G77</f>
        <v>0</v>
      </c>
      <c r="L77" s="86">
        <v>0.15</v>
      </c>
    </row>
    <row r="78" spans="1:73" x14ac:dyDescent="0.25">
      <c r="A78" s="106" t="s">
        <v>106</v>
      </c>
      <c r="B78" s="2">
        <v>0.33</v>
      </c>
      <c r="C78" s="79">
        <v>0.33</v>
      </c>
      <c r="D78" s="80" t="s">
        <v>106</v>
      </c>
      <c r="E78" s="87">
        <v>0</v>
      </c>
      <c r="F78" s="111">
        <f>C78-0.11</f>
        <v>0.22000000000000003</v>
      </c>
      <c r="G78">
        <f>C78+0.11</f>
        <v>0.44</v>
      </c>
      <c r="H78" s="88">
        <f t="shared" ref="H78" si="53">G78+0.11</f>
        <v>0.55000000000000004</v>
      </c>
      <c r="I78" s="89">
        <v>0.06</v>
      </c>
      <c r="J78">
        <f t="shared" ref="J78:K80" si="54">F78</f>
        <v>0.22000000000000003</v>
      </c>
      <c r="K78">
        <f t="shared" si="54"/>
        <v>0.44</v>
      </c>
      <c r="L78" s="90">
        <f t="shared" ref="L78" si="55">K78+0.08</f>
        <v>0.52</v>
      </c>
    </row>
    <row r="79" spans="1:73" x14ac:dyDescent="0.25">
      <c r="A79" s="106" t="s">
        <v>105</v>
      </c>
      <c r="B79" s="2">
        <v>0.66</v>
      </c>
      <c r="C79" s="79">
        <v>0.66</v>
      </c>
      <c r="D79" s="80" t="s">
        <v>105</v>
      </c>
      <c r="E79" s="87">
        <f t="shared" ref="E79" si="56">F79-0.11</f>
        <v>0.44000000000000006</v>
      </c>
      <c r="F79" s="111">
        <f t="shared" ref="F79" si="57">C79-0.11</f>
        <v>0.55000000000000004</v>
      </c>
      <c r="G79">
        <f t="shared" ref="G79" si="58">C79+0.11</f>
        <v>0.77</v>
      </c>
      <c r="H79" s="88">
        <v>1</v>
      </c>
      <c r="I79" s="89">
        <f t="shared" ref="I79" si="59">J79-0.08</f>
        <v>0.47000000000000003</v>
      </c>
      <c r="J79">
        <f t="shared" si="54"/>
        <v>0.55000000000000004</v>
      </c>
      <c r="K79">
        <f t="shared" si="54"/>
        <v>0.77</v>
      </c>
      <c r="L79" s="90">
        <v>0.92</v>
      </c>
    </row>
    <row r="80" spans="1:73" ht="15.75" thickBot="1" x14ac:dyDescent="0.3">
      <c r="A80" s="106" t="s">
        <v>104</v>
      </c>
      <c r="B80" s="2">
        <v>1</v>
      </c>
      <c r="C80" s="79">
        <v>1</v>
      </c>
      <c r="D80" s="80" t="s">
        <v>104</v>
      </c>
      <c r="E80" s="91">
        <v>0.77</v>
      </c>
      <c r="F80" s="92">
        <v>1</v>
      </c>
      <c r="G80" s="93">
        <v>1</v>
      </c>
      <c r="H80" s="94">
        <v>1</v>
      </c>
      <c r="I80" s="95">
        <v>0.83</v>
      </c>
      <c r="J80" s="93">
        <f t="shared" si="54"/>
        <v>1</v>
      </c>
      <c r="K80" s="93">
        <f t="shared" si="54"/>
        <v>1</v>
      </c>
      <c r="L80" s="96">
        <v>1</v>
      </c>
    </row>
    <row r="81" spans="1:12" x14ac:dyDescent="0.25">
      <c r="A81" s="99"/>
    </row>
    <row r="82" spans="1:12" x14ac:dyDescent="0.25">
      <c r="A82" s="1" t="s">
        <v>196</v>
      </c>
    </row>
    <row r="83" spans="1:12" ht="15.75" thickBot="1" x14ac:dyDescent="0.3">
      <c r="A83" s="107" t="s">
        <v>103</v>
      </c>
      <c r="B83" s="108" t="s">
        <v>123</v>
      </c>
      <c r="E83" s="112" t="s">
        <v>17</v>
      </c>
      <c r="I83" t="s">
        <v>18</v>
      </c>
    </row>
    <row r="84" spans="1:12" x14ac:dyDescent="0.25">
      <c r="A84" s="106" t="s">
        <v>107</v>
      </c>
      <c r="B84" s="2">
        <v>1</v>
      </c>
      <c r="C84" s="79">
        <v>1</v>
      </c>
      <c r="D84" s="80" t="s">
        <v>107</v>
      </c>
      <c r="E84" s="81">
        <v>0</v>
      </c>
      <c r="F84" s="82">
        <v>0.5</v>
      </c>
      <c r="G84" s="83">
        <v>1.5</v>
      </c>
      <c r="H84" s="84">
        <v>2</v>
      </c>
      <c r="I84" s="85">
        <v>0</v>
      </c>
      <c r="J84" s="83">
        <f>F84</f>
        <v>0.5</v>
      </c>
      <c r="K84" s="83">
        <f>G84</f>
        <v>1.5</v>
      </c>
      <c r="L84" s="86">
        <v>1.8</v>
      </c>
    </row>
    <row r="85" spans="1:12" x14ac:dyDescent="0.25">
      <c r="A85" s="106" t="s">
        <v>106</v>
      </c>
      <c r="B85" s="2">
        <v>2.5</v>
      </c>
      <c r="C85" s="79">
        <v>2.5</v>
      </c>
      <c r="D85" s="80" t="s">
        <v>106</v>
      </c>
      <c r="E85" s="87">
        <v>1.5</v>
      </c>
      <c r="F85" s="111">
        <f>C85-0.5</f>
        <v>2</v>
      </c>
      <c r="G85">
        <f>C85+0.5</f>
        <v>3</v>
      </c>
      <c r="H85" s="88">
        <f t="shared" ref="H85:H87" si="60">G85+1.5</f>
        <v>4.5</v>
      </c>
      <c r="I85" s="89">
        <v>1.7</v>
      </c>
      <c r="J85">
        <f t="shared" ref="J85:K87" si="61">F85</f>
        <v>2</v>
      </c>
      <c r="K85">
        <f t="shared" si="61"/>
        <v>3</v>
      </c>
      <c r="L85" s="90">
        <f t="shared" ref="L85:L87" si="62">K85+1</f>
        <v>4</v>
      </c>
    </row>
    <row r="86" spans="1:12" x14ac:dyDescent="0.25">
      <c r="A86" s="106" t="s">
        <v>105</v>
      </c>
      <c r="B86" s="2">
        <v>5</v>
      </c>
      <c r="C86" s="79">
        <v>5</v>
      </c>
      <c r="D86" s="80" t="s">
        <v>105</v>
      </c>
      <c r="E86" s="87">
        <f t="shared" ref="E86:E87" si="63">F86-1.5</f>
        <v>3</v>
      </c>
      <c r="F86" s="111">
        <f>C86-0.5</f>
        <v>4.5</v>
      </c>
      <c r="G86">
        <f>C86+0.5</f>
        <v>5.5</v>
      </c>
      <c r="H86" s="88">
        <f t="shared" si="60"/>
        <v>7</v>
      </c>
      <c r="I86" s="89">
        <f t="shared" ref="I86:I87" si="64">J86-1</f>
        <v>3.5</v>
      </c>
      <c r="J86">
        <f t="shared" si="61"/>
        <v>4.5</v>
      </c>
      <c r="K86">
        <f t="shared" si="61"/>
        <v>5.5</v>
      </c>
      <c r="L86" s="90">
        <f t="shared" si="62"/>
        <v>6.5</v>
      </c>
    </row>
    <row r="87" spans="1:12" ht="15.75" thickBot="1" x14ac:dyDescent="0.3">
      <c r="A87" s="106" t="s">
        <v>104</v>
      </c>
      <c r="B87" s="2">
        <v>7.5</v>
      </c>
      <c r="C87" s="79">
        <v>7.5</v>
      </c>
      <c r="D87" s="80" t="s">
        <v>104</v>
      </c>
      <c r="E87" s="91">
        <f t="shared" si="63"/>
        <v>5.5</v>
      </c>
      <c r="F87" s="92">
        <f>C87-0.5</f>
        <v>7</v>
      </c>
      <c r="G87" s="93">
        <f>C87+0.5</f>
        <v>8</v>
      </c>
      <c r="H87" s="94">
        <f t="shared" si="60"/>
        <v>9.5</v>
      </c>
      <c r="I87" s="95">
        <f t="shared" si="64"/>
        <v>6</v>
      </c>
      <c r="J87" s="93">
        <f t="shared" si="61"/>
        <v>7</v>
      </c>
      <c r="K87" s="93">
        <f t="shared" si="61"/>
        <v>8</v>
      </c>
      <c r="L87" s="96">
        <f t="shared" si="62"/>
        <v>9</v>
      </c>
    </row>
    <row r="89" spans="1:12" ht="15.75" thickBot="1" x14ac:dyDescent="0.3">
      <c r="A89" s="1" t="s">
        <v>197</v>
      </c>
    </row>
    <row r="90" spans="1:12" ht="67.5" customHeight="1" thickBot="1" x14ac:dyDescent="0.3">
      <c r="A90" s="114" t="s">
        <v>117</v>
      </c>
      <c r="B90" s="113" t="s">
        <v>99</v>
      </c>
      <c r="C90" s="115" t="s">
        <v>108</v>
      </c>
      <c r="D90" s="116" t="s">
        <v>198</v>
      </c>
      <c r="E90" s="283" t="s">
        <v>126</v>
      </c>
      <c r="F90" s="284"/>
      <c r="G90" s="284"/>
      <c r="H90" s="284"/>
      <c r="I90" s="284"/>
      <c r="J90" s="284"/>
      <c r="K90" s="284"/>
      <c r="L90" s="285"/>
    </row>
    <row r="91" spans="1:12" x14ac:dyDescent="0.25">
      <c r="A91" s="125" t="s">
        <v>114</v>
      </c>
      <c r="B91" s="117" t="s">
        <v>100</v>
      </c>
      <c r="C91" s="118" t="s">
        <v>104</v>
      </c>
      <c r="D91" s="150">
        <v>7.5</v>
      </c>
      <c r="E91" s="87">
        <v>5.5</v>
      </c>
      <c r="F91" s="111">
        <v>7</v>
      </c>
      <c r="G91">
        <v>8</v>
      </c>
      <c r="H91" s="88">
        <v>9.5</v>
      </c>
      <c r="I91" s="89">
        <v>6</v>
      </c>
      <c r="J91">
        <v>7</v>
      </c>
      <c r="K91">
        <v>8</v>
      </c>
      <c r="L91" s="90">
        <v>9</v>
      </c>
    </row>
    <row r="92" spans="1:12" x14ac:dyDescent="0.25">
      <c r="A92" s="126" t="s">
        <v>115</v>
      </c>
      <c r="B92" s="104" t="s">
        <v>101</v>
      </c>
      <c r="C92" s="2" t="s">
        <v>104</v>
      </c>
      <c r="D92" s="150">
        <v>7.5</v>
      </c>
      <c r="E92" s="87">
        <v>5.5</v>
      </c>
      <c r="F92" s="111">
        <v>7</v>
      </c>
      <c r="G92">
        <v>8</v>
      </c>
      <c r="H92" s="88">
        <v>9.5</v>
      </c>
      <c r="I92" s="89">
        <v>6</v>
      </c>
      <c r="J92">
        <v>7</v>
      </c>
      <c r="K92">
        <v>8</v>
      </c>
      <c r="L92" s="90">
        <v>9</v>
      </c>
    </row>
    <row r="93" spans="1:12" ht="15.75" thickBot="1" x14ac:dyDescent="0.3">
      <c r="A93" s="127" t="s">
        <v>116</v>
      </c>
      <c r="B93" s="119" t="s">
        <v>102</v>
      </c>
      <c r="C93" s="120" t="s">
        <v>105</v>
      </c>
      <c r="D93" s="150">
        <v>5</v>
      </c>
      <c r="E93" s="91">
        <v>3</v>
      </c>
      <c r="F93" s="92">
        <v>4.5</v>
      </c>
      <c r="G93" s="93">
        <v>5.5</v>
      </c>
      <c r="H93" s="94">
        <v>7</v>
      </c>
      <c r="I93" s="95">
        <v>3.5</v>
      </c>
      <c r="J93" s="93">
        <v>4.5</v>
      </c>
      <c r="K93" s="93">
        <v>5.5</v>
      </c>
      <c r="L93" s="96">
        <v>6.5</v>
      </c>
    </row>
    <row r="95" spans="1:12" ht="15.75" thickBot="1" x14ac:dyDescent="0.3">
      <c r="A95" s="1" t="s">
        <v>199</v>
      </c>
    </row>
    <row r="96" spans="1:12" ht="30.75" thickBot="1" x14ac:dyDescent="0.3">
      <c r="A96" s="128" t="s">
        <v>132</v>
      </c>
      <c r="B96" s="129" t="s">
        <v>133</v>
      </c>
      <c r="E96" s="283" t="s">
        <v>134</v>
      </c>
      <c r="F96" s="284"/>
      <c r="G96" s="284"/>
      <c r="H96" s="284"/>
      <c r="I96" s="284"/>
      <c r="J96" s="284"/>
      <c r="K96" s="284"/>
      <c r="L96" s="285"/>
    </row>
    <row r="97" spans="1:12" x14ac:dyDescent="0.25">
      <c r="A97" s="125" t="s">
        <v>129</v>
      </c>
      <c r="B97" s="130" t="s">
        <v>107</v>
      </c>
      <c r="D97" s="133" t="s">
        <v>138</v>
      </c>
      <c r="E97" s="81">
        <f>E77*F$91+E$91*F77-F77*F$91</f>
        <v>0</v>
      </c>
      <c r="F97" s="83">
        <f>F77*F$91</f>
        <v>0</v>
      </c>
      <c r="G97" s="83">
        <f>G77*G$91</f>
        <v>0</v>
      </c>
      <c r="H97" s="84">
        <f>G77*H$91+G$91*H77-G77*G$91</f>
        <v>1.76</v>
      </c>
      <c r="I97" s="81">
        <f>I77*J$91+I$91*J77-J77*J$91</f>
        <v>0</v>
      </c>
      <c r="J97" s="83">
        <f>J77*J$91</f>
        <v>0</v>
      </c>
      <c r="K97" s="83">
        <f>K77*K$91</f>
        <v>0</v>
      </c>
      <c r="L97" s="84">
        <f>K77*L$91+K$91*L77-K77*K$91</f>
        <v>1.2</v>
      </c>
    </row>
    <row r="98" spans="1:12" x14ac:dyDescent="0.25">
      <c r="A98" s="126" t="s">
        <v>129</v>
      </c>
      <c r="B98" s="131" t="s">
        <v>106</v>
      </c>
      <c r="D98" s="134" t="s">
        <v>137</v>
      </c>
      <c r="E98" s="202">
        <f>IF(E78*F$91+E$91*F78-F78*F$91&lt;0,0,E78*F$91+E$91*F78-F78*F$91)</f>
        <v>0</v>
      </c>
      <c r="F98" s="179">
        <f t="shared" ref="F98:G100" si="65">F78*F$91</f>
        <v>1.5400000000000003</v>
      </c>
      <c r="G98" s="179">
        <f t="shared" si="65"/>
        <v>3.52</v>
      </c>
      <c r="H98" s="188">
        <f t="shared" ref="H98:H100" si="66">G78*H$91+G$91*H78-G78*G$91</f>
        <v>5.0600000000000005</v>
      </c>
      <c r="I98" s="187">
        <f t="shared" ref="I98:I100" si="67">I78*J$91+I$91*J78-J78*J$91</f>
        <v>0.19999999999999996</v>
      </c>
      <c r="J98" s="179">
        <f t="shared" ref="J98:K100" si="68">J78*J$91</f>
        <v>1.5400000000000003</v>
      </c>
      <c r="K98" s="179">
        <f t="shared" si="68"/>
        <v>3.52</v>
      </c>
      <c r="L98" s="188">
        <f t="shared" ref="L98:L100" si="69">K78*L$91+K$91*L78-K78*K$91</f>
        <v>4.6000000000000014</v>
      </c>
    </row>
    <row r="99" spans="1:12" x14ac:dyDescent="0.25">
      <c r="A99" s="126" t="s">
        <v>129</v>
      </c>
      <c r="B99" s="131" t="s">
        <v>105</v>
      </c>
      <c r="D99" s="134" t="s">
        <v>136</v>
      </c>
      <c r="E99" s="87">
        <f t="shared" ref="E99:E100" si="70">E79*F$91+E$91*F79-F79*F$91</f>
        <v>2.2549999999999999</v>
      </c>
      <c r="F99">
        <f t="shared" si="65"/>
        <v>3.8500000000000005</v>
      </c>
      <c r="G99">
        <f t="shared" si="65"/>
        <v>6.16</v>
      </c>
      <c r="H99" s="88">
        <f t="shared" si="66"/>
        <v>9.1550000000000011</v>
      </c>
      <c r="I99" s="87">
        <f t="shared" si="67"/>
        <v>2.7399999999999993</v>
      </c>
      <c r="J99">
        <f t="shared" si="68"/>
        <v>3.8500000000000005</v>
      </c>
      <c r="K99">
        <f t="shared" si="68"/>
        <v>6.16</v>
      </c>
      <c r="L99" s="88">
        <f t="shared" si="69"/>
        <v>8.129999999999999</v>
      </c>
    </row>
    <row r="100" spans="1:12" ht="15.75" thickBot="1" x14ac:dyDescent="0.3">
      <c r="A100" s="127" t="s">
        <v>129</v>
      </c>
      <c r="B100" s="132" t="s">
        <v>104</v>
      </c>
      <c r="D100" s="135" t="s">
        <v>135</v>
      </c>
      <c r="E100" s="91">
        <f t="shared" si="70"/>
        <v>3.8900000000000006</v>
      </c>
      <c r="F100" s="93">
        <f t="shared" si="65"/>
        <v>7</v>
      </c>
      <c r="G100" s="93">
        <f t="shared" si="65"/>
        <v>8</v>
      </c>
      <c r="H100" s="94">
        <f t="shared" si="66"/>
        <v>9.5</v>
      </c>
      <c r="I100" s="91">
        <f t="shared" si="67"/>
        <v>4.8099999999999987</v>
      </c>
      <c r="J100" s="93">
        <f t="shared" si="68"/>
        <v>7</v>
      </c>
      <c r="K100" s="93">
        <f t="shared" si="68"/>
        <v>8</v>
      </c>
      <c r="L100" s="94">
        <f t="shared" si="69"/>
        <v>9</v>
      </c>
    </row>
    <row r="101" spans="1:12" x14ac:dyDescent="0.25">
      <c r="A101" s="125" t="s">
        <v>130</v>
      </c>
      <c r="B101" s="130" t="s">
        <v>107</v>
      </c>
      <c r="D101" s="133" t="s">
        <v>139</v>
      </c>
      <c r="E101" s="81">
        <f>E77*F$92+E$92*F77-F77*F$92</f>
        <v>0</v>
      </c>
      <c r="F101" s="83">
        <f>F77*F$92</f>
        <v>0</v>
      </c>
      <c r="G101" s="83">
        <f>G77*G$92</f>
        <v>0</v>
      </c>
      <c r="H101" s="84">
        <f>G77*H$92+G$92*H77-G77*G$92</f>
        <v>1.76</v>
      </c>
      <c r="I101" s="81">
        <f>I77*J$92+I$92*J77-J77*J$92</f>
        <v>0</v>
      </c>
      <c r="J101" s="83">
        <f>J77*J$92</f>
        <v>0</v>
      </c>
      <c r="K101" s="83">
        <f>K77*K$92</f>
        <v>0</v>
      </c>
      <c r="L101" s="84">
        <f>K77*L$92+K$92*L77-K77*K$92</f>
        <v>1.2</v>
      </c>
    </row>
    <row r="102" spans="1:12" x14ac:dyDescent="0.25">
      <c r="A102" s="126" t="s">
        <v>130</v>
      </c>
      <c r="B102" s="131" t="s">
        <v>106</v>
      </c>
      <c r="D102" s="134" t="s">
        <v>144</v>
      </c>
      <c r="E102" s="202">
        <f>IF(E78*F$92+E$92*F78-F78*F$92&lt;0,0,E78*F$92+E$92*F78-F78*F$92)</f>
        <v>0</v>
      </c>
      <c r="F102" s="179">
        <f t="shared" ref="F102:G104" si="71">F78*F$92</f>
        <v>1.5400000000000003</v>
      </c>
      <c r="G102" s="179">
        <f t="shared" si="71"/>
        <v>3.52</v>
      </c>
      <c r="H102" s="188">
        <f t="shared" ref="H102:H104" si="72">G78*H$92+G$92*H78-G78*G$92</f>
        <v>5.0600000000000005</v>
      </c>
      <c r="I102" s="187">
        <f t="shared" ref="I102:I104" si="73">I78*J$92+I$92*J78-J78*J$92</f>
        <v>0.19999999999999996</v>
      </c>
      <c r="J102" s="179">
        <f t="shared" ref="J102:K104" si="74">J78*J$92</f>
        <v>1.5400000000000003</v>
      </c>
      <c r="K102" s="179">
        <f t="shared" si="74"/>
        <v>3.52</v>
      </c>
      <c r="L102" s="188">
        <f t="shared" ref="L102:L104" si="75">K78*L$92+K$92*L78-K78*K$92</f>
        <v>4.6000000000000014</v>
      </c>
    </row>
    <row r="103" spans="1:12" x14ac:dyDescent="0.25">
      <c r="A103" s="126" t="s">
        <v>130</v>
      </c>
      <c r="B103" s="131" t="s">
        <v>105</v>
      </c>
      <c r="D103" s="134" t="s">
        <v>145</v>
      </c>
      <c r="E103" s="87">
        <f t="shared" ref="E103:E104" si="76">E79*F$92+E$92*F79-F79*F$92</f>
        <v>2.2549999999999999</v>
      </c>
      <c r="F103">
        <f t="shared" si="71"/>
        <v>3.8500000000000005</v>
      </c>
      <c r="G103">
        <f t="shared" si="71"/>
        <v>6.16</v>
      </c>
      <c r="H103" s="88">
        <f t="shared" si="72"/>
        <v>9.1550000000000011</v>
      </c>
      <c r="I103" s="87">
        <f t="shared" si="73"/>
        <v>2.7399999999999993</v>
      </c>
      <c r="J103">
        <f t="shared" si="74"/>
        <v>3.8500000000000005</v>
      </c>
      <c r="K103">
        <f t="shared" si="74"/>
        <v>6.16</v>
      </c>
      <c r="L103" s="88">
        <f t="shared" si="75"/>
        <v>8.129999999999999</v>
      </c>
    </row>
    <row r="104" spans="1:12" ht="15.75" thickBot="1" x14ac:dyDescent="0.3">
      <c r="A104" s="127" t="s">
        <v>130</v>
      </c>
      <c r="B104" s="132" t="s">
        <v>104</v>
      </c>
      <c r="D104" s="135" t="s">
        <v>146</v>
      </c>
      <c r="E104" s="91">
        <f t="shared" si="76"/>
        <v>3.8900000000000006</v>
      </c>
      <c r="F104" s="93">
        <f t="shared" si="71"/>
        <v>7</v>
      </c>
      <c r="G104" s="93">
        <f t="shared" si="71"/>
        <v>8</v>
      </c>
      <c r="H104" s="94">
        <f t="shared" si="72"/>
        <v>9.5</v>
      </c>
      <c r="I104" s="91">
        <f t="shared" si="73"/>
        <v>4.8099999999999987</v>
      </c>
      <c r="J104" s="93">
        <f t="shared" si="74"/>
        <v>7</v>
      </c>
      <c r="K104" s="93">
        <f t="shared" si="74"/>
        <v>8</v>
      </c>
      <c r="L104" s="94">
        <f t="shared" si="75"/>
        <v>9</v>
      </c>
    </row>
    <row r="105" spans="1:12" x14ac:dyDescent="0.25">
      <c r="A105" s="125" t="s">
        <v>131</v>
      </c>
      <c r="B105" s="130" t="s">
        <v>107</v>
      </c>
      <c r="D105" s="133" t="s">
        <v>141</v>
      </c>
      <c r="E105" s="81">
        <f>E77*F$93+E$93*F77-F77*F$93</f>
        <v>0</v>
      </c>
      <c r="F105" s="83">
        <f>F77*F$93</f>
        <v>0</v>
      </c>
      <c r="G105" s="83">
        <f>G77*G$93</f>
        <v>0</v>
      </c>
      <c r="H105" s="84">
        <f>G77*H$93+G$93*H77-G77*G$93</f>
        <v>1.21</v>
      </c>
      <c r="I105" s="81">
        <f>I77*J$93+I$93*J77-J77*J$93</f>
        <v>0</v>
      </c>
      <c r="J105" s="83">
        <f>J77*J$93</f>
        <v>0</v>
      </c>
      <c r="K105" s="83">
        <f>K77*K$93</f>
        <v>0</v>
      </c>
      <c r="L105" s="84">
        <f>K77*L$93+K$93*L77-K77*K$93</f>
        <v>0.82499999999999996</v>
      </c>
    </row>
    <row r="106" spans="1:12" x14ac:dyDescent="0.25">
      <c r="A106" s="126" t="s">
        <v>131</v>
      </c>
      <c r="B106" s="131" t="s">
        <v>106</v>
      </c>
      <c r="D106" s="134" t="s">
        <v>140</v>
      </c>
      <c r="E106" s="202">
        <f>IF(E78*F$93+E$93*F78-F78*F$93&lt;0,0,E78*F$93+E$93*F78-F78*F$93)</f>
        <v>0</v>
      </c>
      <c r="F106" s="179">
        <f t="shared" ref="F106:G108" si="77">F78*F$93</f>
        <v>0.9900000000000001</v>
      </c>
      <c r="G106" s="179">
        <f t="shared" si="77"/>
        <v>2.42</v>
      </c>
      <c r="H106" s="188">
        <f t="shared" ref="H106:H108" si="78">G78*H$93+G$93*H78-G78*G$93</f>
        <v>3.6850000000000005</v>
      </c>
      <c r="I106" s="187">
        <f t="shared" ref="I106:I108" si="79">I78*J$93+I$93*J78-J78*J$93</f>
        <v>4.9999999999999933E-2</v>
      </c>
      <c r="J106" s="179">
        <f t="shared" ref="J106:K108" si="80">J78*J$93</f>
        <v>0.9900000000000001</v>
      </c>
      <c r="K106" s="179">
        <f t="shared" si="80"/>
        <v>2.42</v>
      </c>
      <c r="L106" s="188">
        <f t="shared" ref="L106:L108" si="81">K78*L$93+K$93*L78-K78*K$93</f>
        <v>3.3000000000000007</v>
      </c>
    </row>
    <row r="107" spans="1:12" x14ac:dyDescent="0.25">
      <c r="A107" s="126" t="s">
        <v>131</v>
      </c>
      <c r="B107" s="131" t="s">
        <v>105</v>
      </c>
      <c r="D107" s="134" t="s">
        <v>142</v>
      </c>
      <c r="E107" s="87">
        <f t="shared" ref="E107:E108" si="82">E79*F$93+E$93*F79-F79*F$93</f>
        <v>1.1550000000000002</v>
      </c>
      <c r="F107">
        <f t="shared" si="77"/>
        <v>2.4750000000000001</v>
      </c>
      <c r="G107">
        <f t="shared" si="77"/>
        <v>4.2350000000000003</v>
      </c>
      <c r="H107" s="88">
        <f t="shared" si="78"/>
        <v>6.6550000000000002</v>
      </c>
      <c r="I107" s="87">
        <f t="shared" si="79"/>
        <v>1.5650000000000008</v>
      </c>
      <c r="J107">
        <f t="shared" si="80"/>
        <v>2.4750000000000001</v>
      </c>
      <c r="K107">
        <f t="shared" si="80"/>
        <v>4.2350000000000003</v>
      </c>
      <c r="L107" s="88">
        <f t="shared" si="81"/>
        <v>5.830000000000001</v>
      </c>
    </row>
    <row r="108" spans="1:12" ht="15.75" thickBot="1" x14ac:dyDescent="0.3">
      <c r="A108" s="127" t="s">
        <v>131</v>
      </c>
      <c r="B108" s="132" t="s">
        <v>104</v>
      </c>
      <c r="D108" s="135" t="s">
        <v>143</v>
      </c>
      <c r="E108" s="91">
        <f t="shared" si="82"/>
        <v>1.9649999999999999</v>
      </c>
      <c r="F108" s="93">
        <f t="shared" si="77"/>
        <v>4.5</v>
      </c>
      <c r="G108" s="93">
        <f t="shared" si="77"/>
        <v>5.5</v>
      </c>
      <c r="H108" s="94">
        <f t="shared" si="78"/>
        <v>7</v>
      </c>
      <c r="I108" s="91">
        <f t="shared" si="79"/>
        <v>2.7349999999999994</v>
      </c>
      <c r="J108" s="93">
        <f t="shared" si="80"/>
        <v>4.5</v>
      </c>
      <c r="K108" s="93">
        <f t="shared" si="80"/>
        <v>5.5</v>
      </c>
      <c r="L108" s="94">
        <f t="shared" si="81"/>
        <v>6.5</v>
      </c>
    </row>
    <row r="111" spans="1:12" ht="18.75" x14ac:dyDescent="0.3">
      <c r="A111" s="149" t="s">
        <v>162</v>
      </c>
      <c r="B111" s="99"/>
      <c r="C111" s="99"/>
    </row>
    <row r="112" spans="1:12" x14ac:dyDescent="0.25">
      <c r="A112" s="1" t="s">
        <v>110</v>
      </c>
      <c r="B112" s="99"/>
      <c r="C112" s="99"/>
    </row>
    <row r="113" spans="1:73" ht="15.75" thickBot="1" x14ac:dyDescent="0.3">
      <c r="A113" s="100" t="s">
        <v>169</v>
      </c>
      <c r="B113" s="99"/>
      <c r="C113" s="99"/>
      <c r="BO113">
        <v>0.8</v>
      </c>
    </row>
    <row r="114" spans="1:73" ht="86.25" customHeight="1" thickBot="1" x14ac:dyDescent="0.3">
      <c r="A114" s="273" t="s">
        <v>85</v>
      </c>
      <c r="B114" s="273" t="s">
        <v>86</v>
      </c>
      <c r="C114" s="277" t="s">
        <v>87</v>
      </c>
      <c r="D114" s="278" t="s">
        <v>127</v>
      </c>
      <c r="E114" s="279"/>
      <c r="F114" s="279"/>
      <c r="G114" s="279" t="s">
        <v>128</v>
      </c>
      <c r="H114" s="279"/>
      <c r="I114" s="279"/>
      <c r="J114" s="286" t="s">
        <v>157</v>
      </c>
      <c r="K114" s="280" t="s">
        <v>150</v>
      </c>
      <c r="L114" s="281"/>
      <c r="M114" s="281"/>
      <c r="N114" s="281"/>
      <c r="O114" s="281"/>
      <c r="P114" s="281"/>
      <c r="Q114" s="281"/>
      <c r="R114" s="282"/>
      <c r="S114" s="280" t="s">
        <v>148</v>
      </c>
      <c r="T114" s="281"/>
      <c r="U114" s="281"/>
      <c r="V114" s="281"/>
      <c r="W114" s="281"/>
      <c r="X114" s="281"/>
      <c r="Y114" s="281"/>
      <c r="Z114" s="282"/>
      <c r="AA114" s="280" t="s">
        <v>149</v>
      </c>
      <c r="AB114" s="281"/>
      <c r="AC114" s="281"/>
      <c r="AD114" s="281"/>
      <c r="AE114" s="281"/>
      <c r="AF114" s="281"/>
      <c r="AG114" s="281"/>
      <c r="AH114" s="282"/>
      <c r="AI114" s="280" t="s">
        <v>147</v>
      </c>
      <c r="AJ114" s="281"/>
      <c r="AK114" s="281"/>
      <c r="AL114" s="281"/>
      <c r="AM114" s="281"/>
      <c r="AN114" s="281"/>
      <c r="AO114" s="281"/>
      <c r="AP114" s="282"/>
      <c r="AQ114" s="280" t="s">
        <v>158</v>
      </c>
      <c r="AR114" s="281"/>
      <c r="AS114" s="281"/>
      <c r="AT114" s="281"/>
      <c r="AU114" s="281"/>
      <c r="AV114" s="281"/>
      <c r="AW114" s="281"/>
      <c r="AX114" s="282"/>
      <c r="AY114" s="280" t="s">
        <v>159</v>
      </c>
      <c r="AZ114" s="281"/>
      <c r="BA114" s="281"/>
      <c r="BB114" s="281"/>
      <c r="BC114" s="281"/>
      <c r="BD114" s="281"/>
      <c r="BE114" s="281"/>
      <c r="BF114" s="282"/>
      <c r="BG114" s="280" t="s">
        <v>205</v>
      </c>
      <c r="BH114" s="281"/>
      <c r="BI114" s="281"/>
      <c r="BJ114" s="281"/>
      <c r="BK114" s="281"/>
      <c r="BL114" s="281"/>
      <c r="BM114" s="281"/>
      <c r="BN114" s="282"/>
      <c r="BO114" s="292" t="s">
        <v>151</v>
      </c>
      <c r="BP114" s="293"/>
      <c r="BQ114" s="293"/>
      <c r="BR114" s="294"/>
      <c r="BS114" s="288" t="s">
        <v>153</v>
      </c>
      <c r="BT114" s="289"/>
      <c r="BU114" s="290" t="s">
        <v>156</v>
      </c>
    </row>
    <row r="115" spans="1:73" s="97" customFormat="1" ht="23.25" customHeight="1" thickBot="1" x14ac:dyDescent="0.3">
      <c r="A115" s="273"/>
      <c r="B115" s="273"/>
      <c r="C115" s="277"/>
      <c r="D115" s="122" t="s">
        <v>114</v>
      </c>
      <c r="E115" s="107" t="s">
        <v>115</v>
      </c>
      <c r="F115" s="107" t="s">
        <v>116</v>
      </c>
      <c r="G115" s="107" t="s">
        <v>114</v>
      </c>
      <c r="H115" s="107" t="s">
        <v>115</v>
      </c>
      <c r="I115" s="107" t="s">
        <v>116</v>
      </c>
      <c r="J115" s="287"/>
      <c r="K115" s="280" t="s">
        <v>17</v>
      </c>
      <c r="L115" s="281"/>
      <c r="M115" s="281"/>
      <c r="N115" s="282"/>
      <c r="O115" s="280" t="s">
        <v>18</v>
      </c>
      <c r="P115" s="281"/>
      <c r="Q115" s="281"/>
      <c r="R115" s="282"/>
      <c r="S115" s="280" t="s">
        <v>17</v>
      </c>
      <c r="T115" s="281"/>
      <c r="U115" s="281"/>
      <c r="V115" s="282"/>
      <c r="W115" s="280" t="s">
        <v>18</v>
      </c>
      <c r="X115" s="281"/>
      <c r="Y115" s="281"/>
      <c r="Z115" s="282"/>
      <c r="AA115" s="280" t="s">
        <v>17</v>
      </c>
      <c r="AB115" s="281"/>
      <c r="AC115" s="281"/>
      <c r="AD115" s="282"/>
      <c r="AE115" s="280" t="s">
        <v>18</v>
      </c>
      <c r="AF115" s="281"/>
      <c r="AG115" s="281"/>
      <c r="AH115" s="282"/>
      <c r="AI115" s="280" t="s">
        <v>17</v>
      </c>
      <c r="AJ115" s="281"/>
      <c r="AK115" s="281"/>
      <c r="AL115" s="282"/>
      <c r="AM115" s="280" t="s">
        <v>18</v>
      </c>
      <c r="AN115" s="281"/>
      <c r="AO115" s="281"/>
      <c r="AP115" s="282"/>
      <c r="AQ115" s="280" t="s">
        <v>17</v>
      </c>
      <c r="AR115" s="281"/>
      <c r="AS115" s="281"/>
      <c r="AT115" s="282"/>
      <c r="AU115" s="280" t="s">
        <v>18</v>
      </c>
      <c r="AV115" s="281"/>
      <c r="AW115" s="281"/>
      <c r="AX115" s="282"/>
      <c r="AY115" s="280" t="s">
        <v>17</v>
      </c>
      <c r="AZ115" s="281"/>
      <c r="BA115" s="281"/>
      <c r="BB115" s="282"/>
      <c r="BC115" s="280" t="s">
        <v>18</v>
      </c>
      <c r="BD115" s="281"/>
      <c r="BE115" s="281"/>
      <c r="BF115" s="282"/>
      <c r="BG115" s="280" t="s">
        <v>17</v>
      </c>
      <c r="BH115" s="281"/>
      <c r="BI115" s="281"/>
      <c r="BJ115" s="282"/>
      <c r="BK115" s="280" t="s">
        <v>18</v>
      </c>
      <c r="BL115" s="281"/>
      <c r="BM115" s="281"/>
      <c r="BN115" s="282"/>
      <c r="BO115" s="295" t="s">
        <v>152</v>
      </c>
      <c r="BP115" s="296"/>
      <c r="BQ115" s="295" t="s">
        <v>26</v>
      </c>
      <c r="BR115" s="297"/>
      <c r="BS115" s="145" t="s">
        <v>154</v>
      </c>
      <c r="BT115" s="145" t="s">
        <v>155</v>
      </c>
      <c r="BU115" s="291"/>
    </row>
    <row r="116" spans="1:73" ht="30" x14ac:dyDescent="0.25">
      <c r="A116" s="102" t="s">
        <v>8</v>
      </c>
      <c r="B116" s="102" t="s">
        <v>84</v>
      </c>
      <c r="C116" s="121" t="s">
        <v>72</v>
      </c>
      <c r="D116" s="156" t="s">
        <v>106</v>
      </c>
      <c r="E116" s="156" t="s">
        <v>105</v>
      </c>
      <c r="F116" s="156" t="s">
        <v>104</v>
      </c>
      <c r="G116" s="110">
        <f>IF(D116=$A$129,$B$129,(IF(D116=$A$130,$B$130,IF(D116=$A$131,$B$131,$B$132))))</f>
        <v>0.33</v>
      </c>
      <c r="H116" s="110">
        <f t="shared" ref="H116:I125" si="83">IF(E116=$A$129,$B$129,(IF(E116=$A$130,$B$130,IF(E116=$A$131,$B$131,$B$132))))</f>
        <v>0.66</v>
      </c>
      <c r="I116" s="110">
        <f t="shared" si="83"/>
        <v>1</v>
      </c>
      <c r="J116" s="147">
        <f>G116*$D$143+H116*$D$144+I116*$D$145</f>
        <v>11.625</v>
      </c>
      <c r="K116" s="81">
        <v>0</v>
      </c>
      <c r="L116" s="83">
        <v>0.22000000000000003</v>
      </c>
      <c r="M116" s="83">
        <v>0.44</v>
      </c>
      <c r="N116" s="84">
        <v>0.55000000000000004</v>
      </c>
      <c r="O116" s="81">
        <v>0.06</v>
      </c>
      <c r="P116" s="83">
        <v>0.22000000000000003</v>
      </c>
      <c r="Q116" s="83">
        <v>0.44</v>
      </c>
      <c r="R116" s="84">
        <v>0.52</v>
      </c>
      <c r="S116" s="81">
        <v>0.44000000000000006</v>
      </c>
      <c r="T116" s="83">
        <v>0.55000000000000004</v>
      </c>
      <c r="U116" s="83">
        <v>0.77</v>
      </c>
      <c r="V116" s="84">
        <v>1</v>
      </c>
      <c r="W116" s="81">
        <v>0.47000000000000003</v>
      </c>
      <c r="X116" s="83">
        <v>0.55000000000000004</v>
      </c>
      <c r="Y116" s="83">
        <v>0.77</v>
      </c>
      <c r="Z116" s="84">
        <v>0.92</v>
      </c>
      <c r="AA116" s="81">
        <v>0.77</v>
      </c>
      <c r="AB116" s="83">
        <v>1</v>
      </c>
      <c r="AC116" s="83">
        <v>1</v>
      </c>
      <c r="AD116" s="84">
        <v>1</v>
      </c>
      <c r="AE116" s="81">
        <v>0.83</v>
      </c>
      <c r="AF116" s="83">
        <v>1</v>
      </c>
      <c r="AG116" s="83">
        <v>1</v>
      </c>
      <c r="AH116" s="84">
        <v>1</v>
      </c>
      <c r="AI116" s="185">
        <v>0</v>
      </c>
      <c r="AJ116" s="200">
        <v>0.44000000000000006</v>
      </c>
      <c r="AK116" s="200">
        <v>1.32</v>
      </c>
      <c r="AL116" s="186">
        <v>2.3099999999999996</v>
      </c>
      <c r="AM116" s="185">
        <v>5.3999999999999992E-2</v>
      </c>
      <c r="AN116" s="200">
        <v>0.44000000000000006</v>
      </c>
      <c r="AO116" s="200">
        <v>1.32</v>
      </c>
      <c r="AP116" s="186">
        <v>2</v>
      </c>
      <c r="AQ116" s="81">
        <v>1.1550000000000002</v>
      </c>
      <c r="AR116" s="83">
        <v>2.4750000000000001</v>
      </c>
      <c r="AS116" s="83">
        <v>4.2350000000000003</v>
      </c>
      <c r="AT116" s="83">
        <v>6.6550000000000002</v>
      </c>
      <c r="AU116" s="81">
        <v>1.5650000000000008</v>
      </c>
      <c r="AV116" s="83">
        <v>2.4750000000000001</v>
      </c>
      <c r="AW116" s="83">
        <v>4.2350000000000003</v>
      </c>
      <c r="AX116" s="84">
        <v>5.830000000000001</v>
      </c>
      <c r="AY116" s="81">
        <v>3.8900000000000006</v>
      </c>
      <c r="AZ116" s="83">
        <v>7</v>
      </c>
      <c r="BA116" s="83">
        <v>8</v>
      </c>
      <c r="BB116" s="83">
        <v>9.5</v>
      </c>
      <c r="BC116" s="81">
        <v>4.8099999999999987</v>
      </c>
      <c r="BD116" s="83">
        <v>7</v>
      </c>
      <c r="BE116" s="83">
        <v>8</v>
      </c>
      <c r="BF116" s="84">
        <v>9</v>
      </c>
      <c r="BG116" s="81">
        <f>AI116+AQ116+AY116</f>
        <v>5.0450000000000008</v>
      </c>
      <c r="BH116" s="83">
        <f t="shared" ref="BH116:BN125" si="84">AJ116+AR116+AZ116</f>
        <v>9.9149999999999991</v>
      </c>
      <c r="BI116" s="83">
        <f t="shared" si="84"/>
        <v>13.555</v>
      </c>
      <c r="BJ116" s="83">
        <f t="shared" si="84"/>
        <v>18.465</v>
      </c>
      <c r="BK116" s="81">
        <f t="shared" si="84"/>
        <v>6.4289999999999994</v>
      </c>
      <c r="BL116" s="83">
        <f t="shared" si="84"/>
        <v>9.9149999999999991</v>
      </c>
      <c r="BM116" s="83">
        <f t="shared" si="84"/>
        <v>13.555</v>
      </c>
      <c r="BN116" s="83">
        <f t="shared" si="84"/>
        <v>16.830000000000002</v>
      </c>
      <c r="BO116" s="136">
        <f>BO$9*BH116+(1-BO$9)*BG116</f>
        <v>8.9409999999999989</v>
      </c>
      <c r="BP116" s="142">
        <f>BO$9*BI116+(1-BO$9)*BJ116</f>
        <v>14.537000000000001</v>
      </c>
      <c r="BQ116" s="136">
        <f>BO$9*BL116+(1-BO$9)*BK116</f>
        <v>9.2177999999999987</v>
      </c>
      <c r="BR116" s="137">
        <f>BO$9*BM116+(1-BO$9)*BN116</f>
        <v>14.21</v>
      </c>
      <c r="BS116" s="81">
        <f>(BO116+BP116)/2</f>
        <v>11.739000000000001</v>
      </c>
      <c r="BT116" s="84">
        <f>(BQ116+BR116)/2</f>
        <v>11.713899999999999</v>
      </c>
      <c r="BU116" s="133">
        <f>(BS116+BT116)/2</f>
        <v>11.72645</v>
      </c>
    </row>
    <row r="117" spans="1:73" x14ac:dyDescent="0.25">
      <c r="A117" s="102" t="s">
        <v>9</v>
      </c>
      <c r="B117" s="102" t="s">
        <v>73</v>
      </c>
      <c r="C117" s="121" t="s">
        <v>88</v>
      </c>
      <c r="D117" s="156" t="s">
        <v>105</v>
      </c>
      <c r="E117" s="156" t="s">
        <v>106</v>
      </c>
      <c r="F117" s="156" t="s">
        <v>106</v>
      </c>
      <c r="G117" s="110">
        <f t="shared" ref="G117:G125" si="85">IF(D117=$A$129,$B$129,(IF(D117=$A$130,$B$130,IF(D117=$A$131,$B$131,$B$132))))</f>
        <v>0.66</v>
      </c>
      <c r="H117" s="110">
        <f t="shared" si="83"/>
        <v>0.33</v>
      </c>
      <c r="I117" s="110">
        <f t="shared" si="83"/>
        <v>0.33</v>
      </c>
      <c r="J117" s="147">
        <f t="shared" ref="J117:J125" si="86">G117*$D$143+H117*$D$144+I117*$D$145</f>
        <v>5.7750000000000004</v>
      </c>
      <c r="K117" s="87">
        <v>0.44000000000000006</v>
      </c>
      <c r="L117">
        <v>0.55000000000000004</v>
      </c>
      <c r="M117">
        <v>0.77</v>
      </c>
      <c r="N117" s="88">
        <v>1</v>
      </c>
      <c r="O117" s="87">
        <v>0.47000000000000003</v>
      </c>
      <c r="P117">
        <v>0.55000000000000004</v>
      </c>
      <c r="Q117">
        <v>0.77</v>
      </c>
      <c r="R117" s="88">
        <v>0.92</v>
      </c>
      <c r="S117" s="87">
        <v>0</v>
      </c>
      <c r="T117">
        <v>0.22000000000000003</v>
      </c>
      <c r="U117">
        <v>0.44</v>
      </c>
      <c r="V117" s="88">
        <v>0.55000000000000004</v>
      </c>
      <c r="W117" s="87">
        <v>0.06</v>
      </c>
      <c r="X117">
        <v>0.22000000000000003</v>
      </c>
      <c r="Y117">
        <v>0.44</v>
      </c>
      <c r="Z117" s="88">
        <v>0.52</v>
      </c>
      <c r="AA117" s="87">
        <v>0</v>
      </c>
      <c r="AB117">
        <v>0.22000000000000003</v>
      </c>
      <c r="AC117">
        <v>0.44</v>
      </c>
      <c r="AD117" s="88">
        <v>0.55000000000000004</v>
      </c>
      <c r="AE117" s="87">
        <v>0.06</v>
      </c>
      <c r="AF117">
        <v>0.22000000000000003</v>
      </c>
      <c r="AG117">
        <v>0.44</v>
      </c>
      <c r="AH117" s="88">
        <v>0.52</v>
      </c>
      <c r="AI117" s="87">
        <v>0.60499999999999998</v>
      </c>
      <c r="AJ117">
        <v>1.1000000000000001</v>
      </c>
      <c r="AK117">
        <v>2.31</v>
      </c>
      <c r="AL117" s="88">
        <v>4.1549999999999994</v>
      </c>
      <c r="AM117" s="87">
        <v>0.77499999999999991</v>
      </c>
      <c r="AN117">
        <v>1.1000000000000001</v>
      </c>
      <c r="AO117">
        <v>2.31</v>
      </c>
      <c r="AP117" s="88">
        <v>3.53</v>
      </c>
      <c r="AQ117" s="187">
        <v>0</v>
      </c>
      <c r="AR117" s="179">
        <v>0.9900000000000001</v>
      </c>
      <c r="AS117" s="179">
        <v>2.42</v>
      </c>
      <c r="AT117" s="179">
        <v>3.6850000000000005</v>
      </c>
      <c r="AU117" s="187">
        <v>4.9999999999999933E-2</v>
      </c>
      <c r="AV117" s="179">
        <v>0.9900000000000001</v>
      </c>
      <c r="AW117" s="179">
        <v>2.42</v>
      </c>
      <c r="AX117" s="188">
        <v>3.3000000000000007</v>
      </c>
      <c r="AY117" s="187">
        <v>0</v>
      </c>
      <c r="AZ117" s="179">
        <v>1.5400000000000003</v>
      </c>
      <c r="BA117" s="179">
        <v>3.52</v>
      </c>
      <c r="BB117" s="179">
        <v>5.0600000000000005</v>
      </c>
      <c r="BC117" s="187">
        <v>0.19999999999999996</v>
      </c>
      <c r="BD117" s="179">
        <v>1.5400000000000003</v>
      </c>
      <c r="BE117" s="179">
        <v>3.52</v>
      </c>
      <c r="BF117" s="188">
        <v>4.6000000000000014</v>
      </c>
      <c r="BG117" s="187">
        <f t="shared" ref="BG117:BG125" si="87">AI117+AQ117+AY117</f>
        <v>0.60499999999999998</v>
      </c>
      <c r="BH117" s="179">
        <f t="shared" si="84"/>
        <v>3.6300000000000008</v>
      </c>
      <c r="BI117" s="179">
        <f t="shared" si="84"/>
        <v>8.25</v>
      </c>
      <c r="BJ117" s="179">
        <f t="shared" si="84"/>
        <v>12.9</v>
      </c>
      <c r="BK117" s="187">
        <f t="shared" si="84"/>
        <v>1.0249999999999999</v>
      </c>
      <c r="BL117" s="179">
        <f t="shared" si="84"/>
        <v>3.6300000000000008</v>
      </c>
      <c r="BM117" s="179">
        <f t="shared" si="84"/>
        <v>8.25</v>
      </c>
      <c r="BN117" s="179">
        <f t="shared" si="84"/>
        <v>11.430000000000001</v>
      </c>
      <c r="BO117" s="138">
        <f t="shared" ref="BO117:BO125" si="88">BO$9*BH117+(1-BO$9)*BG117</f>
        <v>3.0250000000000008</v>
      </c>
      <c r="BP117" s="143">
        <f t="shared" ref="BP117:BP125" si="89">BO$9*BI117+(1-BO$9)*BJ117</f>
        <v>9.18</v>
      </c>
      <c r="BQ117" s="138">
        <f t="shared" ref="BQ117:BQ125" si="90">BO$9*BL117+(1-BO$9)*BK117</f>
        <v>3.1090000000000009</v>
      </c>
      <c r="BR117" s="139">
        <f t="shared" ref="BR117:BR125" si="91">BO$9*BM117+(1-BO$9)*BN117</f>
        <v>8.8859999999999992</v>
      </c>
      <c r="BS117" s="87">
        <f t="shared" ref="BS117:BS125" si="92">(BO117+BP117)/2</f>
        <v>6.1025</v>
      </c>
      <c r="BT117" s="88">
        <f t="shared" ref="BT117:BT125" si="93">(BQ117+BR117)/2</f>
        <v>5.9975000000000005</v>
      </c>
      <c r="BU117" s="134">
        <f t="shared" ref="BU117:BU125" si="94">(BS117+BT117)/2</f>
        <v>6.0500000000000007</v>
      </c>
    </row>
    <row r="118" spans="1:73" x14ac:dyDescent="0.25">
      <c r="A118" s="102" t="s">
        <v>10</v>
      </c>
      <c r="B118" s="102" t="s">
        <v>74</v>
      </c>
      <c r="C118" s="121" t="s">
        <v>89</v>
      </c>
      <c r="D118" s="156" t="s">
        <v>105</v>
      </c>
      <c r="E118" s="156" t="s">
        <v>104</v>
      </c>
      <c r="F118" s="156" t="s">
        <v>105</v>
      </c>
      <c r="G118" s="110">
        <f t="shared" si="85"/>
        <v>0.66</v>
      </c>
      <c r="H118" s="110">
        <f t="shared" si="83"/>
        <v>1</v>
      </c>
      <c r="I118" s="110">
        <f t="shared" si="83"/>
        <v>0.66</v>
      </c>
      <c r="J118" s="147">
        <f t="shared" si="86"/>
        <v>11.600000000000001</v>
      </c>
      <c r="K118" s="87">
        <v>0.44000000000000006</v>
      </c>
      <c r="L118">
        <v>0.55000000000000004</v>
      </c>
      <c r="M118">
        <v>0.77</v>
      </c>
      <c r="N118" s="88">
        <v>1</v>
      </c>
      <c r="O118" s="87">
        <v>0.47000000000000003</v>
      </c>
      <c r="P118">
        <v>0.55000000000000004</v>
      </c>
      <c r="Q118">
        <v>0.77</v>
      </c>
      <c r="R118" s="88">
        <v>0.92</v>
      </c>
      <c r="S118" s="87">
        <v>0.77</v>
      </c>
      <c r="T118">
        <v>1</v>
      </c>
      <c r="U118">
        <v>1</v>
      </c>
      <c r="V118" s="88">
        <v>1</v>
      </c>
      <c r="W118" s="87">
        <v>0.83</v>
      </c>
      <c r="X118">
        <v>1</v>
      </c>
      <c r="Y118">
        <v>1</v>
      </c>
      <c r="Z118" s="88">
        <v>1</v>
      </c>
      <c r="AA118" s="87">
        <v>0.44000000000000006</v>
      </c>
      <c r="AB118">
        <v>0.55000000000000004</v>
      </c>
      <c r="AC118">
        <v>0.77</v>
      </c>
      <c r="AD118" s="88">
        <v>1</v>
      </c>
      <c r="AE118" s="87">
        <v>0.47000000000000003</v>
      </c>
      <c r="AF118">
        <v>0.55000000000000004</v>
      </c>
      <c r="AG118">
        <v>0.77</v>
      </c>
      <c r="AH118" s="88">
        <v>0.92</v>
      </c>
      <c r="AI118" s="87">
        <v>0.60499999999999998</v>
      </c>
      <c r="AJ118">
        <v>1.1000000000000001</v>
      </c>
      <c r="AK118">
        <v>2.31</v>
      </c>
      <c r="AL118" s="88">
        <v>4.1549999999999994</v>
      </c>
      <c r="AM118" s="87">
        <v>0.77499999999999991</v>
      </c>
      <c r="AN118">
        <v>1.1000000000000001</v>
      </c>
      <c r="AO118">
        <v>2.31</v>
      </c>
      <c r="AP118" s="88">
        <v>3.53</v>
      </c>
      <c r="AQ118" s="87">
        <v>1.9649999999999999</v>
      </c>
      <c r="AR118">
        <v>4.5</v>
      </c>
      <c r="AS118">
        <v>5.5</v>
      </c>
      <c r="AT118">
        <v>7</v>
      </c>
      <c r="AU118" s="87">
        <v>2.7349999999999994</v>
      </c>
      <c r="AV118">
        <v>4.5</v>
      </c>
      <c r="AW118">
        <v>5.5</v>
      </c>
      <c r="AX118" s="88">
        <v>6.5</v>
      </c>
      <c r="AY118" s="87">
        <v>2.2549999999999999</v>
      </c>
      <c r="AZ118">
        <v>3.8500000000000005</v>
      </c>
      <c r="BA118">
        <v>6.16</v>
      </c>
      <c r="BB118">
        <v>9.1550000000000011</v>
      </c>
      <c r="BC118" s="87">
        <v>2.7399999999999993</v>
      </c>
      <c r="BD118">
        <v>3.8500000000000005</v>
      </c>
      <c r="BE118">
        <v>6.16</v>
      </c>
      <c r="BF118" s="88">
        <v>8.129999999999999</v>
      </c>
      <c r="BG118" s="87">
        <f t="shared" si="87"/>
        <v>4.8249999999999993</v>
      </c>
      <c r="BH118">
        <f t="shared" si="84"/>
        <v>9.4499999999999993</v>
      </c>
      <c r="BI118">
        <f t="shared" si="84"/>
        <v>13.97</v>
      </c>
      <c r="BJ118">
        <f t="shared" si="84"/>
        <v>20.310000000000002</v>
      </c>
      <c r="BK118" s="87">
        <f t="shared" si="84"/>
        <v>6.2499999999999982</v>
      </c>
      <c r="BL118">
        <f t="shared" si="84"/>
        <v>9.4499999999999993</v>
      </c>
      <c r="BM118">
        <f t="shared" si="84"/>
        <v>13.97</v>
      </c>
      <c r="BN118">
        <f t="shared" si="84"/>
        <v>18.159999999999997</v>
      </c>
      <c r="BO118" s="138">
        <f t="shared" si="88"/>
        <v>8.5249999999999986</v>
      </c>
      <c r="BP118" s="143">
        <f t="shared" si="89"/>
        <v>15.238000000000001</v>
      </c>
      <c r="BQ118" s="138">
        <f t="shared" si="90"/>
        <v>8.8099999999999987</v>
      </c>
      <c r="BR118" s="139">
        <f t="shared" si="91"/>
        <v>14.808</v>
      </c>
      <c r="BS118" s="87">
        <f t="shared" si="92"/>
        <v>11.881499999999999</v>
      </c>
      <c r="BT118" s="88">
        <f t="shared" si="93"/>
        <v>11.808999999999999</v>
      </c>
      <c r="BU118" s="134">
        <f t="shared" si="94"/>
        <v>11.84525</v>
      </c>
    </row>
    <row r="119" spans="1:73" x14ac:dyDescent="0.25">
      <c r="A119" s="102" t="s">
        <v>65</v>
      </c>
      <c r="B119" s="102" t="s">
        <v>75</v>
      </c>
      <c r="C119" s="121" t="s">
        <v>76</v>
      </c>
      <c r="D119" s="156" t="s">
        <v>104</v>
      </c>
      <c r="E119" s="156" t="s">
        <v>105</v>
      </c>
      <c r="F119" s="156" t="s">
        <v>106</v>
      </c>
      <c r="G119" s="110">
        <f t="shared" si="85"/>
        <v>1</v>
      </c>
      <c r="H119" s="110">
        <f t="shared" si="83"/>
        <v>0.66</v>
      </c>
      <c r="I119" s="110">
        <f t="shared" si="83"/>
        <v>0.33</v>
      </c>
      <c r="J119" s="147">
        <f t="shared" si="86"/>
        <v>8.2750000000000004</v>
      </c>
      <c r="K119" s="87">
        <v>0.77</v>
      </c>
      <c r="L119">
        <v>1</v>
      </c>
      <c r="M119">
        <v>1</v>
      </c>
      <c r="N119" s="88">
        <v>1</v>
      </c>
      <c r="O119" s="87">
        <v>0.83</v>
      </c>
      <c r="P119">
        <v>1</v>
      </c>
      <c r="Q119">
        <v>1</v>
      </c>
      <c r="R119" s="88">
        <v>1</v>
      </c>
      <c r="S119" s="87">
        <v>0.44000000000000006</v>
      </c>
      <c r="T119">
        <v>0.55000000000000004</v>
      </c>
      <c r="U119">
        <v>0.77</v>
      </c>
      <c r="V119" s="88">
        <v>1</v>
      </c>
      <c r="W119" s="87">
        <v>0.47000000000000003</v>
      </c>
      <c r="X119">
        <v>0.55000000000000004</v>
      </c>
      <c r="Y119">
        <v>0.77</v>
      </c>
      <c r="Z119" s="88">
        <v>0.92</v>
      </c>
      <c r="AA119" s="87">
        <v>0</v>
      </c>
      <c r="AB119">
        <v>0.22000000000000003</v>
      </c>
      <c r="AC119">
        <v>0.44</v>
      </c>
      <c r="AD119" s="88">
        <v>0.55000000000000004</v>
      </c>
      <c r="AE119" s="87">
        <v>0.06</v>
      </c>
      <c r="AF119">
        <v>0.22000000000000003</v>
      </c>
      <c r="AG119">
        <v>0.44</v>
      </c>
      <c r="AH119" s="88">
        <v>0.52</v>
      </c>
      <c r="AI119" s="87">
        <v>1.04</v>
      </c>
      <c r="AJ119">
        <v>2</v>
      </c>
      <c r="AK119">
        <v>3</v>
      </c>
      <c r="AL119" s="88">
        <v>4.5</v>
      </c>
      <c r="AM119" s="87">
        <v>1.3599999999999999</v>
      </c>
      <c r="AN119">
        <v>2</v>
      </c>
      <c r="AO119">
        <v>3</v>
      </c>
      <c r="AP119" s="88">
        <v>4</v>
      </c>
      <c r="AQ119" s="87">
        <v>1.1550000000000002</v>
      </c>
      <c r="AR119">
        <v>2.4750000000000001</v>
      </c>
      <c r="AS119">
        <v>4.2350000000000003</v>
      </c>
      <c r="AT119">
        <v>6.6550000000000002</v>
      </c>
      <c r="AU119" s="87">
        <v>1.5650000000000008</v>
      </c>
      <c r="AV119">
        <v>2.4750000000000001</v>
      </c>
      <c r="AW119">
        <v>4.2350000000000003</v>
      </c>
      <c r="AX119" s="88">
        <v>5.830000000000001</v>
      </c>
      <c r="AY119" s="187">
        <v>0</v>
      </c>
      <c r="AZ119" s="179">
        <v>1.5400000000000003</v>
      </c>
      <c r="BA119" s="179">
        <v>3.52</v>
      </c>
      <c r="BB119" s="179">
        <v>5.0600000000000005</v>
      </c>
      <c r="BC119" s="187">
        <v>0.19999999999999996</v>
      </c>
      <c r="BD119" s="179">
        <v>1.5400000000000003</v>
      </c>
      <c r="BE119" s="179">
        <v>3.52</v>
      </c>
      <c r="BF119" s="188">
        <v>4.6000000000000014</v>
      </c>
      <c r="BG119" s="87">
        <f t="shared" si="87"/>
        <v>2.1950000000000003</v>
      </c>
      <c r="BH119">
        <f t="shared" si="84"/>
        <v>6.0149999999999997</v>
      </c>
      <c r="BI119">
        <f t="shared" si="84"/>
        <v>10.755000000000001</v>
      </c>
      <c r="BJ119">
        <f t="shared" si="84"/>
        <v>16.215000000000003</v>
      </c>
      <c r="BK119" s="87">
        <f t="shared" si="84"/>
        <v>3.1250000000000009</v>
      </c>
      <c r="BL119">
        <f t="shared" si="84"/>
        <v>6.0149999999999997</v>
      </c>
      <c r="BM119">
        <f t="shared" si="84"/>
        <v>10.755000000000001</v>
      </c>
      <c r="BN119">
        <f t="shared" si="84"/>
        <v>14.430000000000003</v>
      </c>
      <c r="BO119" s="138">
        <f t="shared" si="88"/>
        <v>5.2510000000000003</v>
      </c>
      <c r="BP119" s="143">
        <f t="shared" si="89"/>
        <v>11.847000000000001</v>
      </c>
      <c r="BQ119" s="138">
        <f t="shared" si="90"/>
        <v>5.4370000000000003</v>
      </c>
      <c r="BR119" s="139">
        <f t="shared" si="91"/>
        <v>11.490000000000002</v>
      </c>
      <c r="BS119" s="87">
        <f t="shared" si="92"/>
        <v>8.5490000000000013</v>
      </c>
      <c r="BT119" s="88">
        <f t="shared" si="93"/>
        <v>8.4635000000000016</v>
      </c>
      <c r="BU119" s="134">
        <f t="shared" si="94"/>
        <v>8.5062500000000014</v>
      </c>
    </row>
    <row r="120" spans="1:73" ht="30" x14ac:dyDescent="0.25">
      <c r="A120" s="102" t="s">
        <v>66</v>
      </c>
      <c r="B120" s="102" t="s">
        <v>77</v>
      </c>
      <c r="C120" s="121" t="s">
        <v>90</v>
      </c>
      <c r="D120" s="156" t="s">
        <v>105</v>
      </c>
      <c r="E120" s="156" t="s">
        <v>104</v>
      </c>
      <c r="F120" s="156" t="s">
        <v>106</v>
      </c>
      <c r="G120" s="110">
        <f t="shared" si="85"/>
        <v>0.66</v>
      </c>
      <c r="H120" s="110">
        <f t="shared" si="83"/>
        <v>1</v>
      </c>
      <c r="I120" s="110">
        <f t="shared" si="83"/>
        <v>0.33</v>
      </c>
      <c r="J120" s="147">
        <f t="shared" si="86"/>
        <v>9.125</v>
      </c>
      <c r="K120" s="87">
        <v>0.44000000000000006</v>
      </c>
      <c r="L120">
        <v>0.55000000000000004</v>
      </c>
      <c r="M120">
        <v>0.77</v>
      </c>
      <c r="N120" s="88">
        <v>1</v>
      </c>
      <c r="O120" s="87">
        <v>0.47000000000000003</v>
      </c>
      <c r="P120">
        <v>0.55000000000000004</v>
      </c>
      <c r="Q120">
        <v>0.77</v>
      </c>
      <c r="R120" s="88">
        <v>0.92</v>
      </c>
      <c r="S120" s="87">
        <v>0.77</v>
      </c>
      <c r="T120">
        <v>1</v>
      </c>
      <c r="U120">
        <v>1</v>
      </c>
      <c r="V120" s="88">
        <v>1</v>
      </c>
      <c r="W120" s="87">
        <v>0.83</v>
      </c>
      <c r="X120">
        <v>1</v>
      </c>
      <c r="Y120">
        <v>1</v>
      </c>
      <c r="Z120" s="88">
        <v>1</v>
      </c>
      <c r="AA120" s="87">
        <v>0</v>
      </c>
      <c r="AB120">
        <v>0.22000000000000003</v>
      </c>
      <c r="AC120">
        <v>0.44</v>
      </c>
      <c r="AD120" s="88">
        <v>0.55000000000000004</v>
      </c>
      <c r="AE120" s="87">
        <v>0.06</v>
      </c>
      <c r="AF120">
        <v>0.22000000000000003</v>
      </c>
      <c r="AG120">
        <v>0.44</v>
      </c>
      <c r="AH120" s="88">
        <v>0.52</v>
      </c>
      <c r="AI120" s="87">
        <v>0.60499999999999998</v>
      </c>
      <c r="AJ120">
        <v>1.1000000000000001</v>
      </c>
      <c r="AK120">
        <v>2.31</v>
      </c>
      <c r="AL120" s="88">
        <v>4.1549999999999994</v>
      </c>
      <c r="AM120" s="87">
        <v>0.77499999999999991</v>
      </c>
      <c r="AN120">
        <v>1.1000000000000001</v>
      </c>
      <c r="AO120">
        <v>2.31</v>
      </c>
      <c r="AP120" s="88">
        <v>3.53</v>
      </c>
      <c r="AQ120" s="87">
        <v>1.9649999999999999</v>
      </c>
      <c r="AR120">
        <v>4.5</v>
      </c>
      <c r="AS120">
        <v>5.5</v>
      </c>
      <c r="AT120">
        <v>7</v>
      </c>
      <c r="AU120" s="87">
        <v>2.7349999999999994</v>
      </c>
      <c r="AV120">
        <v>4.5</v>
      </c>
      <c r="AW120">
        <v>5.5</v>
      </c>
      <c r="AX120" s="88">
        <v>6.5</v>
      </c>
      <c r="AY120" s="187">
        <v>0</v>
      </c>
      <c r="AZ120" s="179">
        <v>1.5400000000000003</v>
      </c>
      <c r="BA120" s="179">
        <v>3.52</v>
      </c>
      <c r="BB120" s="179">
        <v>5.0600000000000005</v>
      </c>
      <c r="BC120" s="187">
        <v>0.19999999999999996</v>
      </c>
      <c r="BD120" s="179">
        <v>1.5400000000000003</v>
      </c>
      <c r="BE120" s="179">
        <v>3.52</v>
      </c>
      <c r="BF120" s="188">
        <v>4.6000000000000014</v>
      </c>
      <c r="BG120" s="87">
        <f t="shared" si="87"/>
        <v>2.57</v>
      </c>
      <c r="BH120">
        <f t="shared" si="84"/>
        <v>7.14</v>
      </c>
      <c r="BI120">
        <f t="shared" si="84"/>
        <v>11.33</v>
      </c>
      <c r="BJ120">
        <f t="shared" si="84"/>
        <v>16.215</v>
      </c>
      <c r="BK120" s="87">
        <f t="shared" si="84"/>
        <v>3.7099999999999991</v>
      </c>
      <c r="BL120">
        <f t="shared" si="84"/>
        <v>7.14</v>
      </c>
      <c r="BM120">
        <f t="shared" si="84"/>
        <v>11.33</v>
      </c>
      <c r="BN120">
        <f t="shared" si="84"/>
        <v>14.63</v>
      </c>
      <c r="BO120" s="138">
        <f t="shared" si="88"/>
        <v>6.226</v>
      </c>
      <c r="BP120" s="143">
        <f t="shared" si="89"/>
        <v>12.306999999999999</v>
      </c>
      <c r="BQ120" s="138">
        <f t="shared" si="90"/>
        <v>6.4539999999999997</v>
      </c>
      <c r="BR120" s="139">
        <f t="shared" si="91"/>
        <v>11.99</v>
      </c>
      <c r="BS120" s="87">
        <f t="shared" si="92"/>
        <v>9.2664999999999988</v>
      </c>
      <c r="BT120" s="88">
        <f t="shared" si="93"/>
        <v>9.2219999999999995</v>
      </c>
      <c r="BU120" s="134">
        <f t="shared" si="94"/>
        <v>9.2442499999999992</v>
      </c>
    </row>
    <row r="121" spans="1:73" x14ac:dyDescent="0.25">
      <c r="A121" s="102" t="s">
        <v>67</v>
      </c>
      <c r="B121" s="102" t="s">
        <v>78</v>
      </c>
      <c r="C121" s="121" t="s">
        <v>91</v>
      </c>
      <c r="D121" s="156" t="s">
        <v>106</v>
      </c>
      <c r="E121" s="156" t="s">
        <v>105</v>
      </c>
      <c r="F121" s="156" t="s">
        <v>106</v>
      </c>
      <c r="G121" s="110">
        <f t="shared" si="85"/>
        <v>0.33</v>
      </c>
      <c r="H121" s="110">
        <f t="shared" si="83"/>
        <v>0.66</v>
      </c>
      <c r="I121" s="110">
        <f t="shared" si="83"/>
        <v>0.33</v>
      </c>
      <c r="J121" s="147">
        <f t="shared" si="86"/>
        <v>6.6</v>
      </c>
      <c r="K121" s="87">
        <v>0</v>
      </c>
      <c r="L121">
        <v>0.22000000000000003</v>
      </c>
      <c r="M121">
        <v>0.44</v>
      </c>
      <c r="N121" s="88">
        <v>0.55000000000000004</v>
      </c>
      <c r="O121" s="87">
        <v>0.06</v>
      </c>
      <c r="P121">
        <v>0.22000000000000003</v>
      </c>
      <c r="Q121">
        <v>0.44</v>
      </c>
      <c r="R121" s="88">
        <v>0.52</v>
      </c>
      <c r="S121" s="87">
        <v>0.44000000000000006</v>
      </c>
      <c r="T121">
        <v>0.55000000000000004</v>
      </c>
      <c r="U121">
        <v>0.77</v>
      </c>
      <c r="V121" s="88">
        <v>1</v>
      </c>
      <c r="W121" s="87">
        <v>0.47000000000000003</v>
      </c>
      <c r="X121">
        <v>0.55000000000000004</v>
      </c>
      <c r="Y121">
        <v>0.77</v>
      </c>
      <c r="Z121" s="88">
        <v>0.92</v>
      </c>
      <c r="AA121" s="87">
        <v>0</v>
      </c>
      <c r="AB121">
        <v>0.22000000000000003</v>
      </c>
      <c r="AC121">
        <v>0.44</v>
      </c>
      <c r="AD121" s="88">
        <v>0.55000000000000004</v>
      </c>
      <c r="AE121" s="87">
        <v>0.06</v>
      </c>
      <c r="AF121">
        <v>0.22000000000000003</v>
      </c>
      <c r="AG121">
        <v>0.44</v>
      </c>
      <c r="AH121" s="88">
        <v>0.52</v>
      </c>
      <c r="AI121" s="187">
        <v>0</v>
      </c>
      <c r="AJ121" s="179">
        <v>0.44000000000000006</v>
      </c>
      <c r="AK121" s="179">
        <v>1.32</v>
      </c>
      <c r="AL121" s="188">
        <v>2.3099999999999996</v>
      </c>
      <c r="AM121" s="187">
        <v>5.3999999999999992E-2</v>
      </c>
      <c r="AN121" s="179">
        <v>0.44000000000000006</v>
      </c>
      <c r="AO121" s="179">
        <v>1.32</v>
      </c>
      <c r="AP121" s="188">
        <v>2</v>
      </c>
      <c r="AQ121" s="87">
        <v>1.1550000000000002</v>
      </c>
      <c r="AR121">
        <v>2.4750000000000001</v>
      </c>
      <c r="AS121">
        <v>4.2350000000000003</v>
      </c>
      <c r="AT121">
        <v>6.6550000000000002</v>
      </c>
      <c r="AU121" s="87">
        <v>1.5650000000000008</v>
      </c>
      <c r="AV121">
        <v>2.4750000000000001</v>
      </c>
      <c r="AW121">
        <v>4.2350000000000003</v>
      </c>
      <c r="AX121" s="88">
        <v>5.830000000000001</v>
      </c>
      <c r="AY121" s="187">
        <v>0</v>
      </c>
      <c r="AZ121" s="179">
        <v>1.5400000000000003</v>
      </c>
      <c r="BA121" s="179">
        <v>3.52</v>
      </c>
      <c r="BB121" s="179">
        <v>5.0600000000000005</v>
      </c>
      <c r="BC121" s="187">
        <v>0.19999999999999996</v>
      </c>
      <c r="BD121" s="179">
        <v>1.5400000000000003</v>
      </c>
      <c r="BE121" s="179">
        <v>3.52</v>
      </c>
      <c r="BF121" s="188">
        <v>4.6000000000000014</v>
      </c>
      <c r="BG121" s="87">
        <f t="shared" si="87"/>
        <v>1.1550000000000002</v>
      </c>
      <c r="BH121">
        <f t="shared" si="84"/>
        <v>4.4550000000000001</v>
      </c>
      <c r="BI121">
        <f t="shared" si="84"/>
        <v>9.0750000000000011</v>
      </c>
      <c r="BJ121">
        <f t="shared" si="84"/>
        <v>14.025</v>
      </c>
      <c r="BK121" s="87">
        <f t="shared" si="84"/>
        <v>1.8190000000000008</v>
      </c>
      <c r="BL121">
        <f t="shared" si="84"/>
        <v>4.4550000000000001</v>
      </c>
      <c r="BM121">
        <f t="shared" si="84"/>
        <v>9.0750000000000011</v>
      </c>
      <c r="BN121">
        <f t="shared" si="84"/>
        <v>12.430000000000003</v>
      </c>
      <c r="BO121" s="138">
        <f t="shared" si="88"/>
        <v>3.7949999999999999</v>
      </c>
      <c r="BP121" s="143">
        <f t="shared" si="89"/>
        <v>10.065000000000001</v>
      </c>
      <c r="BQ121" s="138">
        <f t="shared" si="90"/>
        <v>3.9278</v>
      </c>
      <c r="BR121" s="139">
        <f t="shared" si="91"/>
        <v>9.7460000000000022</v>
      </c>
      <c r="BS121" s="87">
        <f t="shared" si="92"/>
        <v>6.9300000000000006</v>
      </c>
      <c r="BT121" s="88">
        <f t="shared" si="93"/>
        <v>6.8369000000000009</v>
      </c>
      <c r="BU121" s="134">
        <f t="shared" si="94"/>
        <v>6.8834500000000007</v>
      </c>
    </row>
    <row r="122" spans="1:73" ht="30" x14ac:dyDescent="0.25">
      <c r="A122" s="102" t="s">
        <v>68</v>
      </c>
      <c r="B122" s="102" t="s">
        <v>79</v>
      </c>
      <c r="C122" s="121" t="s">
        <v>92</v>
      </c>
      <c r="D122" s="156" t="s">
        <v>104</v>
      </c>
      <c r="E122" s="156" t="s">
        <v>105</v>
      </c>
      <c r="F122" s="156" t="s">
        <v>106</v>
      </c>
      <c r="G122" s="110">
        <f t="shared" si="85"/>
        <v>1</v>
      </c>
      <c r="H122" s="110">
        <f t="shared" si="83"/>
        <v>0.66</v>
      </c>
      <c r="I122" s="110">
        <f t="shared" si="83"/>
        <v>0.33</v>
      </c>
      <c r="J122" s="147">
        <f t="shared" si="86"/>
        <v>8.2750000000000004</v>
      </c>
      <c r="K122" s="87">
        <v>0.77</v>
      </c>
      <c r="L122">
        <v>1</v>
      </c>
      <c r="M122">
        <v>1</v>
      </c>
      <c r="N122" s="88">
        <v>1</v>
      </c>
      <c r="O122" s="87">
        <v>0.83</v>
      </c>
      <c r="P122">
        <v>1</v>
      </c>
      <c r="Q122">
        <v>1</v>
      </c>
      <c r="R122" s="88">
        <v>1</v>
      </c>
      <c r="S122" s="87">
        <v>0.44000000000000006</v>
      </c>
      <c r="T122">
        <v>0.55000000000000004</v>
      </c>
      <c r="U122">
        <v>0.77</v>
      </c>
      <c r="V122" s="88">
        <v>1</v>
      </c>
      <c r="W122" s="87">
        <v>0.47000000000000003</v>
      </c>
      <c r="X122">
        <v>0.55000000000000004</v>
      </c>
      <c r="Y122">
        <v>0.77</v>
      </c>
      <c r="Z122" s="88">
        <v>0.92</v>
      </c>
      <c r="AA122" s="87">
        <v>0</v>
      </c>
      <c r="AB122">
        <v>0.22000000000000003</v>
      </c>
      <c r="AC122">
        <v>0.44</v>
      </c>
      <c r="AD122" s="88">
        <v>0.55000000000000004</v>
      </c>
      <c r="AE122" s="87">
        <v>0.06</v>
      </c>
      <c r="AF122">
        <v>0.22000000000000003</v>
      </c>
      <c r="AG122">
        <v>0.44</v>
      </c>
      <c r="AH122" s="88">
        <v>0.52</v>
      </c>
      <c r="AI122" s="87">
        <v>1.04</v>
      </c>
      <c r="AJ122">
        <v>2</v>
      </c>
      <c r="AK122">
        <v>3</v>
      </c>
      <c r="AL122" s="88">
        <v>4.5</v>
      </c>
      <c r="AM122" s="87">
        <v>1.3599999999999999</v>
      </c>
      <c r="AN122">
        <v>2</v>
      </c>
      <c r="AO122">
        <v>3</v>
      </c>
      <c r="AP122" s="88">
        <v>4</v>
      </c>
      <c r="AQ122" s="87">
        <v>1.1550000000000002</v>
      </c>
      <c r="AR122">
        <v>2.4750000000000001</v>
      </c>
      <c r="AS122">
        <v>4.2350000000000003</v>
      </c>
      <c r="AT122">
        <v>6.6550000000000002</v>
      </c>
      <c r="AU122" s="87">
        <v>1.5650000000000008</v>
      </c>
      <c r="AV122">
        <v>2.4750000000000001</v>
      </c>
      <c r="AW122">
        <v>4.2350000000000003</v>
      </c>
      <c r="AX122" s="88">
        <v>5.830000000000001</v>
      </c>
      <c r="AY122" s="187">
        <v>0</v>
      </c>
      <c r="AZ122" s="179">
        <v>1.5400000000000003</v>
      </c>
      <c r="BA122" s="179">
        <v>3.52</v>
      </c>
      <c r="BB122" s="179">
        <v>5.0600000000000005</v>
      </c>
      <c r="BC122" s="187">
        <v>0.19999999999999996</v>
      </c>
      <c r="BD122" s="179">
        <v>1.5400000000000003</v>
      </c>
      <c r="BE122" s="179">
        <v>3.52</v>
      </c>
      <c r="BF122" s="188">
        <v>4.6000000000000014</v>
      </c>
      <c r="BG122" s="87">
        <f t="shared" si="87"/>
        <v>2.1950000000000003</v>
      </c>
      <c r="BH122">
        <f t="shared" si="84"/>
        <v>6.0149999999999997</v>
      </c>
      <c r="BI122">
        <f t="shared" si="84"/>
        <v>10.755000000000001</v>
      </c>
      <c r="BJ122">
        <f t="shared" si="84"/>
        <v>16.215000000000003</v>
      </c>
      <c r="BK122" s="87">
        <f t="shared" si="84"/>
        <v>3.1250000000000009</v>
      </c>
      <c r="BL122">
        <f t="shared" si="84"/>
        <v>6.0149999999999997</v>
      </c>
      <c r="BM122">
        <f t="shared" si="84"/>
        <v>10.755000000000001</v>
      </c>
      <c r="BN122">
        <f t="shared" si="84"/>
        <v>14.430000000000003</v>
      </c>
      <c r="BO122" s="138">
        <f t="shared" si="88"/>
        <v>5.2510000000000003</v>
      </c>
      <c r="BP122" s="143">
        <f t="shared" si="89"/>
        <v>11.847000000000001</v>
      </c>
      <c r="BQ122" s="138">
        <f t="shared" si="90"/>
        <v>5.4370000000000003</v>
      </c>
      <c r="BR122" s="139">
        <f t="shared" si="91"/>
        <v>11.490000000000002</v>
      </c>
      <c r="BS122" s="87">
        <f t="shared" si="92"/>
        <v>8.5490000000000013</v>
      </c>
      <c r="BT122" s="88">
        <f t="shared" si="93"/>
        <v>8.4635000000000016</v>
      </c>
      <c r="BU122" s="134">
        <f t="shared" si="94"/>
        <v>8.5062500000000014</v>
      </c>
    </row>
    <row r="123" spans="1:73" ht="30" x14ac:dyDescent="0.25">
      <c r="A123" s="102" t="s">
        <v>69</v>
      </c>
      <c r="B123" s="102" t="s">
        <v>80</v>
      </c>
      <c r="C123" s="121" t="s">
        <v>81</v>
      </c>
      <c r="D123" s="156" t="s">
        <v>105</v>
      </c>
      <c r="E123" s="156" t="s">
        <v>106</v>
      </c>
      <c r="F123" s="156" t="s">
        <v>104</v>
      </c>
      <c r="G123" s="110">
        <f t="shared" si="85"/>
        <v>0.66</v>
      </c>
      <c r="H123" s="110">
        <f t="shared" si="83"/>
        <v>0.33</v>
      </c>
      <c r="I123" s="110">
        <f t="shared" si="83"/>
        <v>1</v>
      </c>
      <c r="J123" s="147">
        <f t="shared" si="86"/>
        <v>10.8</v>
      </c>
      <c r="K123" s="87">
        <v>0.44000000000000006</v>
      </c>
      <c r="L123">
        <v>0.55000000000000004</v>
      </c>
      <c r="M123">
        <v>0.77</v>
      </c>
      <c r="N123" s="88">
        <v>1</v>
      </c>
      <c r="O123" s="87">
        <v>0.47000000000000003</v>
      </c>
      <c r="P123">
        <v>0.55000000000000004</v>
      </c>
      <c r="Q123">
        <v>0.77</v>
      </c>
      <c r="R123" s="88">
        <v>0.92</v>
      </c>
      <c r="S123" s="87">
        <v>0</v>
      </c>
      <c r="T123">
        <v>0.22000000000000003</v>
      </c>
      <c r="U123">
        <v>0.44</v>
      </c>
      <c r="V123" s="88">
        <v>0.55000000000000004</v>
      </c>
      <c r="W123" s="87">
        <v>0.06</v>
      </c>
      <c r="X123">
        <v>0.22000000000000003</v>
      </c>
      <c r="Y123">
        <v>0.44</v>
      </c>
      <c r="Z123" s="88">
        <v>0.52</v>
      </c>
      <c r="AA123" s="87">
        <v>0.77</v>
      </c>
      <c r="AB123">
        <v>1</v>
      </c>
      <c r="AC123">
        <v>1</v>
      </c>
      <c r="AD123" s="88">
        <v>1</v>
      </c>
      <c r="AE123" s="87">
        <v>0.83</v>
      </c>
      <c r="AF123">
        <v>1</v>
      </c>
      <c r="AG123">
        <v>1</v>
      </c>
      <c r="AH123" s="88">
        <v>1</v>
      </c>
      <c r="AI123" s="87">
        <v>0.60499999999999998</v>
      </c>
      <c r="AJ123">
        <v>1.1000000000000001</v>
      </c>
      <c r="AK123">
        <v>2.31</v>
      </c>
      <c r="AL123" s="88">
        <v>4.1549999999999994</v>
      </c>
      <c r="AM123" s="87">
        <v>0.77499999999999991</v>
      </c>
      <c r="AN123">
        <v>1.1000000000000001</v>
      </c>
      <c r="AO123">
        <v>2.31</v>
      </c>
      <c r="AP123" s="88">
        <v>3.53</v>
      </c>
      <c r="AQ123" s="187">
        <v>0</v>
      </c>
      <c r="AR123" s="179">
        <v>0.9900000000000001</v>
      </c>
      <c r="AS123" s="179">
        <v>2.42</v>
      </c>
      <c r="AT123" s="179">
        <v>3.6850000000000005</v>
      </c>
      <c r="AU123" s="187">
        <v>4.9999999999999933E-2</v>
      </c>
      <c r="AV123" s="179">
        <v>0.9900000000000001</v>
      </c>
      <c r="AW123" s="179">
        <v>2.42</v>
      </c>
      <c r="AX123" s="188">
        <v>3.3000000000000007</v>
      </c>
      <c r="AY123" s="87">
        <v>3.8900000000000006</v>
      </c>
      <c r="AZ123">
        <v>7</v>
      </c>
      <c r="BA123">
        <v>8</v>
      </c>
      <c r="BB123">
        <v>9.5</v>
      </c>
      <c r="BC123" s="87">
        <v>4.8099999999999987</v>
      </c>
      <c r="BD123">
        <v>7</v>
      </c>
      <c r="BE123">
        <v>8</v>
      </c>
      <c r="BF123" s="88">
        <v>9</v>
      </c>
      <c r="BG123" s="87">
        <f t="shared" si="87"/>
        <v>4.495000000000001</v>
      </c>
      <c r="BH123">
        <f t="shared" si="84"/>
        <v>9.09</v>
      </c>
      <c r="BI123">
        <f t="shared" si="84"/>
        <v>12.73</v>
      </c>
      <c r="BJ123">
        <f t="shared" si="84"/>
        <v>17.34</v>
      </c>
      <c r="BK123" s="87">
        <f t="shared" si="84"/>
        <v>5.6349999999999989</v>
      </c>
      <c r="BL123">
        <f t="shared" si="84"/>
        <v>9.09</v>
      </c>
      <c r="BM123">
        <f t="shared" si="84"/>
        <v>12.73</v>
      </c>
      <c r="BN123">
        <f t="shared" si="84"/>
        <v>15.83</v>
      </c>
      <c r="BO123" s="138">
        <f t="shared" si="88"/>
        <v>8.1709999999999994</v>
      </c>
      <c r="BP123" s="143">
        <f t="shared" si="89"/>
        <v>13.652000000000001</v>
      </c>
      <c r="BQ123" s="138">
        <f t="shared" si="90"/>
        <v>8.3989999999999991</v>
      </c>
      <c r="BR123" s="139">
        <f t="shared" si="91"/>
        <v>13.350000000000001</v>
      </c>
      <c r="BS123" s="87">
        <f t="shared" si="92"/>
        <v>10.9115</v>
      </c>
      <c r="BT123" s="88">
        <f t="shared" si="93"/>
        <v>10.874500000000001</v>
      </c>
      <c r="BU123" s="134">
        <f t="shared" si="94"/>
        <v>10.893000000000001</v>
      </c>
    </row>
    <row r="124" spans="1:73" ht="36.75" customHeight="1" x14ac:dyDescent="0.25">
      <c r="A124" s="102" t="s">
        <v>70</v>
      </c>
      <c r="B124" s="102" t="s">
        <v>82</v>
      </c>
      <c r="C124" s="121" t="s">
        <v>93</v>
      </c>
      <c r="D124" s="156" t="s">
        <v>105</v>
      </c>
      <c r="E124" s="156" t="s">
        <v>104</v>
      </c>
      <c r="F124" s="156" t="s">
        <v>106</v>
      </c>
      <c r="G124" s="110">
        <f t="shared" si="85"/>
        <v>0.66</v>
      </c>
      <c r="H124" s="110">
        <f t="shared" si="83"/>
        <v>1</v>
      </c>
      <c r="I124" s="110">
        <f t="shared" si="83"/>
        <v>0.33</v>
      </c>
      <c r="J124" s="147">
        <f t="shared" si="86"/>
        <v>9.125</v>
      </c>
      <c r="K124" s="87">
        <v>0.44000000000000006</v>
      </c>
      <c r="L124">
        <v>0.55000000000000004</v>
      </c>
      <c r="M124">
        <v>0.77</v>
      </c>
      <c r="N124" s="88">
        <v>1</v>
      </c>
      <c r="O124" s="87">
        <v>0.47000000000000003</v>
      </c>
      <c r="P124">
        <v>0.55000000000000004</v>
      </c>
      <c r="Q124">
        <v>0.77</v>
      </c>
      <c r="R124" s="88">
        <v>0.92</v>
      </c>
      <c r="S124" s="87">
        <v>0.77</v>
      </c>
      <c r="T124">
        <v>1</v>
      </c>
      <c r="U124">
        <v>1</v>
      </c>
      <c r="V124" s="88">
        <v>1</v>
      </c>
      <c r="W124" s="87">
        <v>0.83</v>
      </c>
      <c r="X124">
        <v>1</v>
      </c>
      <c r="Y124">
        <v>1</v>
      </c>
      <c r="Z124" s="88">
        <v>1</v>
      </c>
      <c r="AA124" s="87">
        <v>0</v>
      </c>
      <c r="AB124">
        <v>0.22000000000000003</v>
      </c>
      <c r="AC124">
        <v>0.44</v>
      </c>
      <c r="AD124" s="88">
        <v>0.55000000000000004</v>
      </c>
      <c r="AE124" s="87">
        <v>0.06</v>
      </c>
      <c r="AF124">
        <v>0.22000000000000003</v>
      </c>
      <c r="AG124">
        <v>0.44</v>
      </c>
      <c r="AH124" s="88">
        <v>0.52</v>
      </c>
      <c r="AI124" s="87">
        <v>0.60499999999999998</v>
      </c>
      <c r="AJ124">
        <v>1.1000000000000001</v>
      </c>
      <c r="AK124">
        <v>2.31</v>
      </c>
      <c r="AL124" s="88">
        <v>4.1549999999999994</v>
      </c>
      <c r="AM124" s="87">
        <v>0.77499999999999991</v>
      </c>
      <c r="AN124">
        <v>1.1000000000000001</v>
      </c>
      <c r="AO124">
        <v>2.31</v>
      </c>
      <c r="AP124" s="88">
        <v>3.53</v>
      </c>
      <c r="AQ124" s="87">
        <v>1.9649999999999999</v>
      </c>
      <c r="AR124">
        <v>4.5</v>
      </c>
      <c r="AS124">
        <v>5.5</v>
      </c>
      <c r="AT124">
        <v>7</v>
      </c>
      <c r="AU124" s="87">
        <v>2.7349999999999994</v>
      </c>
      <c r="AV124">
        <v>4.5</v>
      </c>
      <c r="AW124">
        <v>5.5</v>
      </c>
      <c r="AX124" s="88">
        <v>6.5</v>
      </c>
      <c r="AY124" s="187">
        <v>0</v>
      </c>
      <c r="AZ124" s="179">
        <v>1.5400000000000003</v>
      </c>
      <c r="BA124" s="179">
        <v>3.52</v>
      </c>
      <c r="BB124" s="179">
        <v>5.0600000000000005</v>
      </c>
      <c r="BC124" s="187">
        <v>0.19999999999999996</v>
      </c>
      <c r="BD124" s="179">
        <v>1.5400000000000003</v>
      </c>
      <c r="BE124" s="179">
        <v>3.52</v>
      </c>
      <c r="BF124" s="188">
        <v>4.6000000000000014</v>
      </c>
      <c r="BG124" s="87">
        <f t="shared" si="87"/>
        <v>2.57</v>
      </c>
      <c r="BH124">
        <f t="shared" si="84"/>
        <v>7.14</v>
      </c>
      <c r="BI124">
        <f t="shared" si="84"/>
        <v>11.33</v>
      </c>
      <c r="BJ124">
        <f t="shared" si="84"/>
        <v>16.215</v>
      </c>
      <c r="BK124" s="87">
        <f t="shared" si="84"/>
        <v>3.7099999999999991</v>
      </c>
      <c r="BL124">
        <f t="shared" si="84"/>
        <v>7.14</v>
      </c>
      <c r="BM124">
        <f t="shared" si="84"/>
        <v>11.33</v>
      </c>
      <c r="BN124">
        <f t="shared" si="84"/>
        <v>14.63</v>
      </c>
      <c r="BO124" s="138">
        <f t="shared" si="88"/>
        <v>6.226</v>
      </c>
      <c r="BP124" s="143">
        <f t="shared" si="89"/>
        <v>12.306999999999999</v>
      </c>
      <c r="BQ124" s="138">
        <f t="shared" si="90"/>
        <v>6.4539999999999997</v>
      </c>
      <c r="BR124" s="139">
        <f t="shared" si="91"/>
        <v>11.99</v>
      </c>
      <c r="BS124" s="87">
        <f t="shared" si="92"/>
        <v>9.2664999999999988</v>
      </c>
      <c r="BT124" s="88">
        <f t="shared" si="93"/>
        <v>9.2219999999999995</v>
      </c>
      <c r="BU124" s="134">
        <f t="shared" si="94"/>
        <v>9.2442499999999992</v>
      </c>
    </row>
    <row r="125" spans="1:73" ht="30.75" thickBot="1" x14ac:dyDescent="0.3">
      <c r="A125" s="102" t="s">
        <v>71</v>
      </c>
      <c r="B125" s="102" t="s">
        <v>83</v>
      </c>
      <c r="C125" s="121" t="s">
        <v>94</v>
      </c>
      <c r="D125" s="156" t="s">
        <v>106</v>
      </c>
      <c r="E125" s="156" t="s">
        <v>104</v>
      </c>
      <c r="F125" s="156" t="s">
        <v>105</v>
      </c>
      <c r="G125" s="110">
        <f t="shared" si="85"/>
        <v>0.33</v>
      </c>
      <c r="H125" s="110">
        <f t="shared" si="83"/>
        <v>1</v>
      </c>
      <c r="I125" s="110">
        <f t="shared" si="83"/>
        <v>0.66</v>
      </c>
      <c r="J125" s="147">
        <f t="shared" si="86"/>
        <v>10.775</v>
      </c>
      <c r="K125" s="91">
        <v>0</v>
      </c>
      <c r="L125" s="93">
        <v>0.22000000000000003</v>
      </c>
      <c r="M125" s="93">
        <v>0.44</v>
      </c>
      <c r="N125" s="94">
        <v>0.55000000000000004</v>
      </c>
      <c r="O125" s="91">
        <v>0.06</v>
      </c>
      <c r="P125" s="93">
        <v>0.22000000000000003</v>
      </c>
      <c r="Q125" s="93">
        <v>0.44</v>
      </c>
      <c r="R125" s="94">
        <v>0.52</v>
      </c>
      <c r="S125" s="91">
        <v>0.77</v>
      </c>
      <c r="T125" s="93">
        <v>1</v>
      </c>
      <c r="U125" s="93">
        <v>1</v>
      </c>
      <c r="V125" s="94">
        <v>1</v>
      </c>
      <c r="W125" s="91">
        <v>0.83</v>
      </c>
      <c r="X125" s="93">
        <v>1</v>
      </c>
      <c r="Y125" s="93">
        <v>1</v>
      </c>
      <c r="Z125" s="94">
        <v>1</v>
      </c>
      <c r="AA125" s="91">
        <v>0.44000000000000006</v>
      </c>
      <c r="AB125" s="93">
        <v>0.55000000000000004</v>
      </c>
      <c r="AC125" s="93">
        <v>0.77</v>
      </c>
      <c r="AD125" s="94">
        <v>1</v>
      </c>
      <c r="AE125" s="91">
        <v>0.47000000000000003</v>
      </c>
      <c r="AF125" s="93">
        <v>0.55000000000000004</v>
      </c>
      <c r="AG125" s="93">
        <v>0.77</v>
      </c>
      <c r="AH125" s="94">
        <v>0.92</v>
      </c>
      <c r="AI125" s="189">
        <v>0</v>
      </c>
      <c r="AJ125" s="201">
        <v>0.44000000000000006</v>
      </c>
      <c r="AK125" s="201">
        <v>1.32</v>
      </c>
      <c r="AL125" s="190">
        <v>2.3099999999999996</v>
      </c>
      <c r="AM125" s="189">
        <v>5.3999999999999992E-2</v>
      </c>
      <c r="AN125" s="201">
        <v>0.44000000000000006</v>
      </c>
      <c r="AO125" s="201">
        <v>1.32</v>
      </c>
      <c r="AP125" s="190">
        <v>2</v>
      </c>
      <c r="AQ125" s="91">
        <v>1.9649999999999999</v>
      </c>
      <c r="AR125" s="93">
        <v>4.5</v>
      </c>
      <c r="AS125" s="93">
        <v>5.5</v>
      </c>
      <c r="AT125" s="93">
        <v>7</v>
      </c>
      <c r="AU125" s="91">
        <v>2.7349999999999994</v>
      </c>
      <c r="AV125" s="93">
        <v>4.5</v>
      </c>
      <c r="AW125" s="93">
        <v>5.5</v>
      </c>
      <c r="AX125" s="94">
        <v>6.5</v>
      </c>
      <c r="AY125" s="91">
        <v>2.2549999999999999</v>
      </c>
      <c r="AZ125" s="93">
        <v>3.8500000000000005</v>
      </c>
      <c r="BA125" s="93">
        <v>6.16</v>
      </c>
      <c r="BB125" s="93">
        <v>9.1550000000000011</v>
      </c>
      <c r="BC125" s="91">
        <v>2.7399999999999993</v>
      </c>
      <c r="BD125" s="93">
        <v>3.8500000000000005</v>
      </c>
      <c r="BE125" s="93">
        <v>6.16</v>
      </c>
      <c r="BF125" s="94">
        <v>8.129999999999999</v>
      </c>
      <c r="BG125" s="91">
        <f t="shared" si="87"/>
        <v>4.22</v>
      </c>
      <c r="BH125" s="93">
        <f t="shared" si="84"/>
        <v>8.7900000000000009</v>
      </c>
      <c r="BI125" s="93">
        <f t="shared" si="84"/>
        <v>12.98</v>
      </c>
      <c r="BJ125" s="93">
        <f t="shared" si="84"/>
        <v>18.465</v>
      </c>
      <c r="BK125" s="91">
        <f t="shared" si="84"/>
        <v>5.5289999999999981</v>
      </c>
      <c r="BL125" s="93">
        <f t="shared" si="84"/>
        <v>8.7900000000000009</v>
      </c>
      <c r="BM125" s="93">
        <f t="shared" si="84"/>
        <v>12.98</v>
      </c>
      <c r="BN125" s="93">
        <f t="shared" si="84"/>
        <v>16.63</v>
      </c>
      <c r="BO125" s="140">
        <f t="shared" si="88"/>
        <v>7.8760000000000003</v>
      </c>
      <c r="BP125" s="144">
        <f t="shared" si="89"/>
        <v>14.077</v>
      </c>
      <c r="BQ125" s="140">
        <f t="shared" si="90"/>
        <v>8.1378000000000004</v>
      </c>
      <c r="BR125" s="141">
        <f t="shared" si="91"/>
        <v>13.709999999999999</v>
      </c>
      <c r="BS125" s="91">
        <f t="shared" si="92"/>
        <v>10.9765</v>
      </c>
      <c r="BT125" s="94">
        <f t="shared" si="93"/>
        <v>10.9239</v>
      </c>
      <c r="BU125" s="135">
        <f t="shared" si="94"/>
        <v>10.950199999999999</v>
      </c>
    </row>
    <row r="126" spans="1:73" x14ac:dyDescent="0.25">
      <c r="BF126" s="60"/>
      <c r="BG126" s="59"/>
      <c r="BH126" s="59"/>
      <c r="BI126" s="59"/>
      <c r="BJ126" s="59"/>
      <c r="BK126" s="59"/>
    </row>
    <row r="127" spans="1:73" x14ac:dyDescent="0.25">
      <c r="A127" s="1" t="s">
        <v>200</v>
      </c>
      <c r="B127" s="1"/>
    </row>
    <row r="128" spans="1:73" ht="15.75" thickBot="1" x14ac:dyDescent="0.3">
      <c r="A128" s="107" t="s">
        <v>103</v>
      </c>
      <c r="B128" s="108" t="s">
        <v>122</v>
      </c>
      <c r="E128" s="112" t="s">
        <v>17</v>
      </c>
      <c r="I128" t="s">
        <v>18</v>
      </c>
    </row>
    <row r="129" spans="1:12" x14ac:dyDescent="0.25">
      <c r="A129" s="106" t="s">
        <v>107</v>
      </c>
      <c r="B129" s="2">
        <v>0</v>
      </c>
      <c r="C129" s="79">
        <v>0</v>
      </c>
      <c r="D129" s="80" t="s">
        <v>107</v>
      </c>
      <c r="E129" s="81">
        <v>0</v>
      </c>
      <c r="F129" s="82">
        <f>C129</f>
        <v>0</v>
      </c>
      <c r="G129" s="83">
        <v>0</v>
      </c>
      <c r="H129" s="84">
        <v>0.22</v>
      </c>
      <c r="I129" s="85">
        <v>0</v>
      </c>
      <c r="J129" s="83">
        <f>F129</f>
        <v>0</v>
      </c>
      <c r="K129" s="83">
        <f>G129</f>
        <v>0</v>
      </c>
      <c r="L129" s="86">
        <v>0.15</v>
      </c>
    </row>
    <row r="130" spans="1:12" x14ac:dyDescent="0.25">
      <c r="A130" s="106" t="s">
        <v>106</v>
      </c>
      <c r="B130" s="2">
        <v>0.33</v>
      </c>
      <c r="C130" s="79">
        <v>0.33</v>
      </c>
      <c r="D130" s="80" t="s">
        <v>106</v>
      </c>
      <c r="E130" s="87">
        <v>0</v>
      </c>
      <c r="F130" s="111">
        <f>C130-0.11</f>
        <v>0.22000000000000003</v>
      </c>
      <c r="G130">
        <f>C130+0.11</f>
        <v>0.44</v>
      </c>
      <c r="H130" s="88">
        <f t="shared" ref="H130" si="95">G130+0.11</f>
        <v>0.55000000000000004</v>
      </c>
      <c r="I130" s="89">
        <v>0.06</v>
      </c>
      <c r="J130">
        <f t="shared" ref="J130:K132" si="96">F130</f>
        <v>0.22000000000000003</v>
      </c>
      <c r="K130">
        <f t="shared" si="96"/>
        <v>0.44</v>
      </c>
      <c r="L130" s="90">
        <f t="shared" ref="L130" si="97">K130+0.08</f>
        <v>0.52</v>
      </c>
    </row>
    <row r="131" spans="1:12" x14ac:dyDescent="0.25">
      <c r="A131" s="106" t="s">
        <v>105</v>
      </c>
      <c r="B131" s="2">
        <v>0.66</v>
      </c>
      <c r="C131" s="79">
        <v>0.66</v>
      </c>
      <c r="D131" s="80" t="s">
        <v>105</v>
      </c>
      <c r="E131" s="87">
        <f t="shared" ref="E131" si="98">F131-0.11</f>
        <v>0.44000000000000006</v>
      </c>
      <c r="F131" s="111">
        <f t="shared" ref="F131" si="99">C131-0.11</f>
        <v>0.55000000000000004</v>
      </c>
      <c r="G131">
        <f t="shared" ref="G131" si="100">C131+0.11</f>
        <v>0.77</v>
      </c>
      <c r="H131" s="88">
        <v>1</v>
      </c>
      <c r="I131" s="89">
        <f t="shared" ref="I131" si="101">J131-0.08</f>
        <v>0.47000000000000003</v>
      </c>
      <c r="J131">
        <f t="shared" si="96"/>
        <v>0.55000000000000004</v>
      </c>
      <c r="K131">
        <f t="shared" si="96"/>
        <v>0.77</v>
      </c>
      <c r="L131" s="90">
        <v>0.92</v>
      </c>
    </row>
    <row r="132" spans="1:12" ht="15.75" thickBot="1" x14ac:dyDescent="0.3">
      <c r="A132" s="106" t="s">
        <v>104</v>
      </c>
      <c r="B132" s="2">
        <v>1</v>
      </c>
      <c r="C132" s="79">
        <v>1</v>
      </c>
      <c r="D132" s="80" t="s">
        <v>104</v>
      </c>
      <c r="E132" s="91">
        <v>0.77</v>
      </c>
      <c r="F132" s="92">
        <v>1</v>
      </c>
      <c r="G132" s="93">
        <v>1</v>
      </c>
      <c r="H132" s="94">
        <v>1</v>
      </c>
      <c r="I132" s="95">
        <v>0.83</v>
      </c>
      <c r="J132" s="93">
        <f t="shared" si="96"/>
        <v>1</v>
      </c>
      <c r="K132" s="93">
        <f t="shared" si="96"/>
        <v>1</v>
      </c>
      <c r="L132" s="96">
        <v>1</v>
      </c>
    </row>
    <row r="133" spans="1:12" x14ac:dyDescent="0.25">
      <c r="A133" s="99"/>
    </row>
    <row r="134" spans="1:12" x14ac:dyDescent="0.25">
      <c r="A134" s="1" t="s">
        <v>201</v>
      </c>
    </row>
    <row r="135" spans="1:12" ht="15.75" thickBot="1" x14ac:dyDescent="0.3">
      <c r="A135" s="107" t="s">
        <v>103</v>
      </c>
      <c r="B135" s="108" t="s">
        <v>123</v>
      </c>
      <c r="E135" s="112" t="s">
        <v>17</v>
      </c>
      <c r="I135" t="s">
        <v>18</v>
      </c>
    </row>
    <row r="136" spans="1:12" x14ac:dyDescent="0.25">
      <c r="A136" s="106" t="s">
        <v>107</v>
      </c>
      <c r="B136" s="2">
        <v>1</v>
      </c>
      <c r="C136" s="79">
        <v>1</v>
      </c>
      <c r="D136" s="80" t="s">
        <v>107</v>
      </c>
      <c r="E136" s="81">
        <v>0</v>
      </c>
      <c r="F136" s="82">
        <v>0.5</v>
      </c>
      <c r="G136" s="83">
        <v>1.5</v>
      </c>
      <c r="H136" s="84">
        <v>2</v>
      </c>
      <c r="I136" s="85">
        <v>0</v>
      </c>
      <c r="J136" s="83">
        <f>F136</f>
        <v>0.5</v>
      </c>
      <c r="K136" s="83">
        <f>G136</f>
        <v>1.5</v>
      </c>
      <c r="L136" s="86">
        <v>1.8</v>
      </c>
    </row>
    <row r="137" spans="1:12" x14ac:dyDescent="0.25">
      <c r="A137" s="106" t="s">
        <v>106</v>
      </c>
      <c r="B137" s="2">
        <v>2.5</v>
      </c>
      <c r="C137" s="79">
        <v>2.5</v>
      </c>
      <c r="D137" s="80" t="s">
        <v>106</v>
      </c>
      <c r="E137" s="87">
        <v>1.5</v>
      </c>
      <c r="F137" s="111">
        <f>C137-0.5</f>
        <v>2</v>
      </c>
      <c r="G137">
        <f>C137+0.5</f>
        <v>3</v>
      </c>
      <c r="H137" s="88">
        <f t="shared" ref="H137:H139" si="102">G137+1.5</f>
        <v>4.5</v>
      </c>
      <c r="I137" s="89">
        <v>1.7</v>
      </c>
      <c r="J137">
        <f t="shared" ref="J137:K139" si="103">F137</f>
        <v>2</v>
      </c>
      <c r="K137">
        <f t="shared" si="103"/>
        <v>3</v>
      </c>
      <c r="L137" s="90">
        <f t="shared" ref="L137:L139" si="104">K137+1</f>
        <v>4</v>
      </c>
    </row>
    <row r="138" spans="1:12" x14ac:dyDescent="0.25">
      <c r="A138" s="106" t="s">
        <v>105</v>
      </c>
      <c r="B138" s="2">
        <v>5</v>
      </c>
      <c r="C138" s="79">
        <v>5</v>
      </c>
      <c r="D138" s="80" t="s">
        <v>105</v>
      </c>
      <c r="E138" s="87">
        <f t="shared" ref="E138:E139" si="105">F138-1.5</f>
        <v>3</v>
      </c>
      <c r="F138" s="111">
        <f>C138-0.5</f>
        <v>4.5</v>
      </c>
      <c r="G138">
        <f>C138+0.5</f>
        <v>5.5</v>
      </c>
      <c r="H138" s="88">
        <f t="shared" si="102"/>
        <v>7</v>
      </c>
      <c r="I138" s="89">
        <f t="shared" ref="I138:I139" si="106">J138-1</f>
        <v>3.5</v>
      </c>
      <c r="J138">
        <f t="shared" si="103"/>
        <v>4.5</v>
      </c>
      <c r="K138">
        <f t="shared" si="103"/>
        <v>5.5</v>
      </c>
      <c r="L138" s="90">
        <f t="shared" si="104"/>
        <v>6.5</v>
      </c>
    </row>
    <row r="139" spans="1:12" ht="15.75" thickBot="1" x14ac:dyDescent="0.3">
      <c r="A139" s="106" t="s">
        <v>104</v>
      </c>
      <c r="B139" s="2">
        <v>7.5</v>
      </c>
      <c r="C139" s="79">
        <v>7.5</v>
      </c>
      <c r="D139" s="80" t="s">
        <v>104</v>
      </c>
      <c r="E139" s="91">
        <f t="shared" si="105"/>
        <v>5.5</v>
      </c>
      <c r="F139" s="92">
        <f>C139-0.5</f>
        <v>7</v>
      </c>
      <c r="G139" s="93">
        <f>C139+0.5</f>
        <v>8</v>
      </c>
      <c r="H139" s="94">
        <f t="shared" si="102"/>
        <v>9.5</v>
      </c>
      <c r="I139" s="95">
        <f t="shared" si="106"/>
        <v>6</v>
      </c>
      <c r="J139" s="93">
        <f t="shared" si="103"/>
        <v>7</v>
      </c>
      <c r="K139" s="93">
        <f t="shared" si="103"/>
        <v>8</v>
      </c>
      <c r="L139" s="96">
        <f t="shared" si="104"/>
        <v>9</v>
      </c>
    </row>
    <row r="141" spans="1:12" ht="15.75" thickBot="1" x14ac:dyDescent="0.3">
      <c r="A141" s="1" t="s">
        <v>202</v>
      </c>
    </row>
    <row r="142" spans="1:12" ht="67.5" customHeight="1" thickBot="1" x14ac:dyDescent="0.3">
      <c r="A142" s="114" t="s">
        <v>117</v>
      </c>
      <c r="B142" s="113" t="s">
        <v>99</v>
      </c>
      <c r="C142" s="115" t="s">
        <v>108</v>
      </c>
      <c r="D142" s="116" t="s">
        <v>203</v>
      </c>
      <c r="E142" s="283" t="s">
        <v>126</v>
      </c>
      <c r="F142" s="284"/>
      <c r="G142" s="284"/>
      <c r="H142" s="284"/>
      <c r="I142" s="284"/>
      <c r="J142" s="284"/>
      <c r="K142" s="284"/>
      <c r="L142" s="285"/>
    </row>
    <row r="143" spans="1:12" x14ac:dyDescent="0.25">
      <c r="A143" s="125" t="s">
        <v>114</v>
      </c>
      <c r="B143" s="117" t="s">
        <v>100</v>
      </c>
      <c r="C143" s="118" t="s">
        <v>106</v>
      </c>
      <c r="D143" s="150">
        <v>2.5</v>
      </c>
      <c r="E143" s="87">
        <v>1.5</v>
      </c>
      <c r="F143" s="111">
        <v>2</v>
      </c>
      <c r="G143">
        <v>3</v>
      </c>
      <c r="H143" s="88">
        <v>4.5</v>
      </c>
      <c r="I143" s="89">
        <v>1.7</v>
      </c>
      <c r="J143">
        <v>2</v>
      </c>
      <c r="K143">
        <v>3</v>
      </c>
      <c r="L143" s="90">
        <v>4</v>
      </c>
    </row>
    <row r="144" spans="1:12" x14ac:dyDescent="0.25">
      <c r="A144" s="126" t="s">
        <v>115</v>
      </c>
      <c r="B144" s="104" t="s">
        <v>101</v>
      </c>
      <c r="C144" s="2" t="s">
        <v>105</v>
      </c>
      <c r="D144" s="150">
        <v>5</v>
      </c>
      <c r="E144" s="87">
        <v>3</v>
      </c>
      <c r="F144" s="111">
        <v>4.5</v>
      </c>
      <c r="G144">
        <v>5.5</v>
      </c>
      <c r="H144" s="88">
        <v>7</v>
      </c>
      <c r="I144" s="89">
        <v>3.5</v>
      </c>
      <c r="J144">
        <v>4.5</v>
      </c>
      <c r="K144">
        <v>5.5</v>
      </c>
      <c r="L144" s="90">
        <v>6.5</v>
      </c>
    </row>
    <row r="145" spans="1:12" ht="15.75" thickBot="1" x14ac:dyDescent="0.3">
      <c r="A145" s="127" t="s">
        <v>116</v>
      </c>
      <c r="B145" s="119" t="s">
        <v>102</v>
      </c>
      <c r="C145" s="120" t="s">
        <v>104</v>
      </c>
      <c r="D145" s="150">
        <v>7.5</v>
      </c>
      <c r="E145" s="91">
        <v>5.5</v>
      </c>
      <c r="F145" s="92">
        <v>7</v>
      </c>
      <c r="G145" s="93">
        <v>8</v>
      </c>
      <c r="H145" s="94">
        <v>9.5</v>
      </c>
      <c r="I145" s="95">
        <v>6</v>
      </c>
      <c r="J145" s="93">
        <v>7</v>
      </c>
      <c r="K145" s="93">
        <v>8</v>
      </c>
      <c r="L145" s="96">
        <v>9</v>
      </c>
    </row>
    <row r="147" spans="1:12" ht="15.75" thickBot="1" x14ac:dyDescent="0.3">
      <c r="A147" s="1" t="s">
        <v>204</v>
      </c>
    </row>
    <row r="148" spans="1:12" ht="30.75" thickBot="1" x14ac:dyDescent="0.3">
      <c r="A148" s="171" t="s">
        <v>132</v>
      </c>
      <c r="B148" s="172" t="s">
        <v>133</v>
      </c>
      <c r="E148" s="283" t="s">
        <v>134</v>
      </c>
      <c r="F148" s="284"/>
      <c r="G148" s="284"/>
      <c r="H148" s="284"/>
      <c r="I148" s="284"/>
      <c r="J148" s="284"/>
      <c r="K148" s="284"/>
      <c r="L148" s="285"/>
    </row>
    <row r="149" spans="1:12" x14ac:dyDescent="0.25">
      <c r="A149" s="125" t="s">
        <v>129</v>
      </c>
      <c r="B149" s="130" t="s">
        <v>107</v>
      </c>
      <c r="D149" s="133" t="s">
        <v>138</v>
      </c>
      <c r="E149" s="81">
        <f>E129*F$143+E$143*F129-F129*F$143</f>
        <v>0</v>
      </c>
      <c r="F149" s="83">
        <f>F129*F$143</f>
        <v>0</v>
      </c>
      <c r="G149" s="83">
        <f>G129*G$143</f>
        <v>0</v>
      </c>
      <c r="H149" s="84">
        <f>G129*H$143+G$143*H129-G129*G$143</f>
        <v>0.66</v>
      </c>
      <c r="I149" s="81">
        <f>I129*J$143+I$143*J129-J129*J$143</f>
        <v>0</v>
      </c>
      <c r="J149" s="83">
        <f>J129*J$143</f>
        <v>0</v>
      </c>
      <c r="K149" s="83">
        <f>K129*K$143</f>
        <v>0</v>
      </c>
      <c r="L149" s="84">
        <f>K129*L$143+K$143*L129-K129*K$143</f>
        <v>0.44999999999999996</v>
      </c>
    </row>
    <row r="150" spans="1:12" x14ac:dyDescent="0.25">
      <c r="A150" s="126" t="s">
        <v>129</v>
      </c>
      <c r="B150" s="131" t="s">
        <v>106</v>
      </c>
      <c r="D150" s="134" t="s">
        <v>137</v>
      </c>
      <c r="E150" s="202">
        <f>IF(E130*F$143+E$143*F130-F130*F$143&lt;0,0,E130*F$143+E$143*F130-F130*F$143)</f>
        <v>0</v>
      </c>
      <c r="F150" s="179">
        <f t="shared" ref="F150:G152" si="107">F130*F$143</f>
        <v>0.44000000000000006</v>
      </c>
      <c r="G150" s="179">
        <f t="shared" si="107"/>
        <v>1.32</v>
      </c>
      <c r="H150" s="188">
        <f t="shared" ref="H150:H152" si="108">G130*H$143+G$143*H130-G130*G$143</f>
        <v>2.3099999999999996</v>
      </c>
      <c r="I150" s="187">
        <f t="shared" ref="I150:I152" si="109">I130*J$143+I$143*J130-J130*J$143</f>
        <v>5.3999999999999992E-2</v>
      </c>
      <c r="J150" s="179">
        <f t="shared" ref="J150:K152" si="110">J130*J$143</f>
        <v>0.44000000000000006</v>
      </c>
      <c r="K150" s="179">
        <f t="shared" si="110"/>
        <v>1.32</v>
      </c>
      <c r="L150" s="188">
        <f t="shared" ref="L150:L152" si="111">K130*L$143+K$143*L130-K130*K$143</f>
        <v>2</v>
      </c>
    </row>
    <row r="151" spans="1:12" x14ac:dyDescent="0.25">
      <c r="A151" s="126" t="s">
        <v>129</v>
      </c>
      <c r="B151" s="131" t="s">
        <v>105</v>
      </c>
      <c r="D151" s="134" t="s">
        <v>136</v>
      </c>
      <c r="E151" s="87">
        <f t="shared" ref="E151:E152" si="112">E131*F$143+E$143*F131-F131*F$143</f>
        <v>0.60499999999999998</v>
      </c>
      <c r="F151">
        <f t="shared" si="107"/>
        <v>1.1000000000000001</v>
      </c>
      <c r="G151">
        <f t="shared" si="107"/>
        <v>2.31</v>
      </c>
      <c r="H151" s="88">
        <f t="shared" si="108"/>
        <v>4.1549999999999994</v>
      </c>
      <c r="I151" s="87">
        <f t="shared" si="109"/>
        <v>0.77499999999999991</v>
      </c>
      <c r="J151">
        <f t="shared" si="110"/>
        <v>1.1000000000000001</v>
      </c>
      <c r="K151">
        <f t="shared" si="110"/>
        <v>2.31</v>
      </c>
      <c r="L151" s="88">
        <f t="shared" si="111"/>
        <v>3.53</v>
      </c>
    </row>
    <row r="152" spans="1:12" ht="15.75" thickBot="1" x14ac:dyDescent="0.3">
      <c r="A152" s="127" t="s">
        <v>129</v>
      </c>
      <c r="B152" s="132" t="s">
        <v>104</v>
      </c>
      <c r="D152" s="135" t="s">
        <v>135</v>
      </c>
      <c r="E152" s="91">
        <f t="shared" si="112"/>
        <v>1.04</v>
      </c>
      <c r="F152" s="93">
        <f t="shared" si="107"/>
        <v>2</v>
      </c>
      <c r="G152" s="93">
        <f t="shared" si="107"/>
        <v>3</v>
      </c>
      <c r="H152" s="94">
        <f t="shared" si="108"/>
        <v>4.5</v>
      </c>
      <c r="I152" s="91">
        <f t="shared" si="109"/>
        <v>1.3599999999999999</v>
      </c>
      <c r="J152" s="93">
        <f t="shared" si="110"/>
        <v>2</v>
      </c>
      <c r="K152" s="93">
        <f t="shared" si="110"/>
        <v>3</v>
      </c>
      <c r="L152" s="94">
        <f t="shared" si="111"/>
        <v>4</v>
      </c>
    </row>
    <row r="153" spans="1:12" x14ac:dyDescent="0.25">
      <c r="A153" s="125" t="s">
        <v>130</v>
      </c>
      <c r="B153" s="130" t="s">
        <v>107</v>
      </c>
      <c r="D153" s="133" t="s">
        <v>139</v>
      </c>
      <c r="E153" s="81">
        <f>E129*F$144+E$144*F129-F129*F$144</f>
        <v>0</v>
      </c>
      <c r="F153" s="83">
        <f>F129*F$144</f>
        <v>0</v>
      </c>
      <c r="G153" s="83">
        <f>G129*G$144</f>
        <v>0</v>
      </c>
      <c r="H153" s="84">
        <f>G129*H$144+G$144*H129-G129*G$144</f>
        <v>1.21</v>
      </c>
      <c r="I153" s="81">
        <f>I129*J$144+I$144*J129-J129*J$144</f>
        <v>0</v>
      </c>
      <c r="J153" s="83">
        <f>J129*J$144</f>
        <v>0</v>
      </c>
      <c r="K153" s="83">
        <f>K129*K$144</f>
        <v>0</v>
      </c>
      <c r="L153" s="84">
        <f>K129*L$144+K$144*L129-K129*K$144</f>
        <v>0.82499999999999996</v>
      </c>
    </row>
    <row r="154" spans="1:12" x14ac:dyDescent="0.25">
      <c r="A154" s="126" t="s">
        <v>130</v>
      </c>
      <c r="B154" s="131" t="s">
        <v>106</v>
      </c>
      <c r="D154" s="134" t="s">
        <v>144</v>
      </c>
      <c r="E154" s="202">
        <f>IF(E130*F$144+E$144*F130-F130*F$144&lt;0,0,E130*F$144+E$144*F130-F130*F$144)</f>
        <v>0</v>
      </c>
      <c r="F154" s="179">
        <f t="shared" ref="F154:G156" si="113">F130*F$144</f>
        <v>0.9900000000000001</v>
      </c>
      <c r="G154" s="179">
        <f t="shared" si="113"/>
        <v>2.42</v>
      </c>
      <c r="H154" s="188">
        <f t="shared" ref="H154:H156" si="114">G130*H$144+G$144*H130-G130*G$144</f>
        <v>3.6850000000000005</v>
      </c>
      <c r="I154" s="187">
        <f t="shared" ref="I154:I156" si="115">I130*J$144+I$144*J130-J130*J$144</f>
        <v>4.9999999999999933E-2</v>
      </c>
      <c r="J154" s="179">
        <f t="shared" ref="J154:K156" si="116">J130*J$144</f>
        <v>0.9900000000000001</v>
      </c>
      <c r="K154" s="179">
        <f t="shared" si="116"/>
        <v>2.42</v>
      </c>
      <c r="L154" s="188">
        <f t="shared" ref="L154:L156" si="117">K130*L$144+K$144*L130-K130*K$144</f>
        <v>3.3000000000000007</v>
      </c>
    </row>
    <row r="155" spans="1:12" x14ac:dyDescent="0.25">
      <c r="A155" s="126" t="s">
        <v>130</v>
      </c>
      <c r="B155" s="131" t="s">
        <v>105</v>
      </c>
      <c r="D155" s="134" t="s">
        <v>145</v>
      </c>
      <c r="E155" s="87">
        <f t="shared" ref="E155:E156" si="118">E131*F$144+E$144*F131-F131*F$144</f>
        <v>1.1550000000000002</v>
      </c>
      <c r="F155">
        <f t="shared" si="113"/>
        <v>2.4750000000000001</v>
      </c>
      <c r="G155">
        <f t="shared" si="113"/>
        <v>4.2350000000000003</v>
      </c>
      <c r="H155" s="88">
        <f t="shared" si="114"/>
        <v>6.6550000000000002</v>
      </c>
      <c r="I155" s="87">
        <f t="shared" si="115"/>
        <v>1.5650000000000008</v>
      </c>
      <c r="J155">
        <f t="shared" si="116"/>
        <v>2.4750000000000001</v>
      </c>
      <c r="K155">
        <f t="shared" si="116"/>
        <v>4.2350000000000003</v>
      </c>
      <c r="L155" s="88">
        <f t="shared" si="117"/>
        <v>5.830000000000001</v>
      </c>
    </row>
    <row r="156" spans="1:12" ht="15.75" thickBot="1" x14ac:dyDescent="0.3">
      <c r="A156" s="127" t="s">
        <v>130</v>
      </c>
      <c r="B156" s="132" t="s">
        <v>104</v>
      </c>
      <c r="D156" s="135" t="s">
        <v>146</v>
      </c>
      <c r="E156" s="91">
        <f t="shared" si="118"/>
        <v>1.9649999999999999</v>
      </c>
      <c r="F156" s="93">
        <f t="shared" si="113"/>
        <v>4.5</v>
      </c>
      <c r="G156" s="93">
        <f t="shared" si="113"/>
        <v>5.5</v>
      </c>
      <c r="H156" s="94">
        <f t="shared" si="114"/>
        <v>7</v>
      </c>
      <c r="I156" s="91">
        <f t="shared" si="115"/>
        <v>2.7349999999999994</v>
      </c>
      <c r="J156" s="93">
        <f t="shared" si="116"/>
        <v>4.5</v>
      </c>
      <c r="K156" s="93">
        <f t="shared" si="116"/>
        <v>5.5</v>
      </c>
      <c r="L156" s="94">
        <f t="shared" si="117"/>
        <v>6.5</v>
      </c>
    </row>
    <row r="157" spans="1:12" x14ac:dyDescent="0.25">
      <c r="A157" s="125" t="s">
        <v>131</v>
      </c>
      <c r="B157" s="130" t="s">
        <v>107</v>
      </c>
      <c r="D157" s="133" t="s">
        <v>141</v>
      </c>
      <c r="E157" s="81">
        <f>E129*F$145+E$145*F129-F129*F$145</f>
        <v>0</v>
      </c>
      <c r="F157" s="83">
        <f>F129*F$145</f>
        <v>0</v>
      </c>
      <c r="G157" s="83">
        <f>G129*G$145</f>
        <v>0</v>
      </c>
      <c r="H157" s="84">
        <f>G129*H$145+G$145*H129-G129*G$145</f>
        <v>1.76</v>
      </c>
      <c r="I157" s="81">
        <f>I129*J$145+I$145*J129-J129*J$145</f>
        <v>0</v>
      </c>
      <c r="J157" s="83">
        <f>J129*J$145</f>
        <v>0</v>
      </c>
      <c r="K157" s="83">
        <f>K129*K$145</f>
        <v>0</v>
      </c>
      <c r="L157" s="84">
        <f>K129*L$145+K$145*L129-K129*K$145</f>
        <v>1.2</v>
      </c>
    </row>
    <row r="158" spans="1:12" x14ac:dyDescent="0.25">
      <c r="A158" s="126" t="s">
        <v>131</v>
      </c>
      <c r="B158" s="131" t="s">
        <v>106</v>
      </c>
      <c r="D158" s="134" t="s">
        <v>140</v>
      </c>
      <c r="E158" s="202">
        <f>IF(E130*F$145+E$145*F130-F130*F$145&lt;0,0,E130*F$145+E$145*F130-F130*F$145)</f>
        <v>0</v>
      </c>
      <c r="F158" s="179">
        <f t="shared" ref="F158:G160" si="119">F130*F$145</f>
        <v>1.5400000000000003</v>
      </c>
      <c r="G158" s="179">
        <f t="shared" si="119"/>
        <v>3.52</v>
      </c>
      <c r="H158" s="188">
        <f t="shared" ref="H158:H160" si="120">G130*H$145+G$145*H130-G130*G$145</f>
        <v>5.0600000000000005</v>
      </c>
      <c r="I158" s="187">
        <f t="shared" ref="I158:I160" si="121">I130*J$145+I$145*J130-J130*J$145</f>
        <v>0.19999999999999996</v>
      </c>
      <c r="J158" s="179">
        <f t="shared" ref="J158:K160" si="122">J130*J$145</f>
        <v>1.5400000000000003</v>
      </c>
      <c r="K158" s="179">
        <f t="shared" si="122"/>
        <v>3.52</v>
      </c>
      <c r="L158" s="188">
        <f t="shared" ref="L158:L160" si="123">K130*L$145+K$145*L130-K130*K$145</f>
        <v>4.6000000000000014</v>
      </c>
    </row>
    <row r="159" spans="1:12" x14ac:dyDescent="0.25">
      <c r="A159" s="126" t="s">
        <v>131</v>
      </c>
      <c r="B159" s="131" t="s">
        <v>105</v>
      </c>
      <c r="D159" s="134" t="s">
        <v>142</v>
      </c>
      <c r="E159" s="87">
        <f t="shared" ref="E159:E160" si="124">E131*F$145+E$145*F131-F131*F$145</f>
        <v>2.2549999999999999</v>
      </c>
      <c r="F159">
        <f t="shared" si="119"/>
        <v>3.8500000000000005</v>
      </c>
      <c r="G159">
        <f t="shared" si="119"/>
        <v>6.16</v>
      </c>
      <c r="H159" s="88">
        <f t="shared" si="120"/>
        <v>9.1550000000000011</v>
      </c>
      <c r="I159" s="87">
        <f t="shared" si="121"/>
        <v>2.7399999999999993</v>
      </c>
      <c r="J159">
        <f t="shared" si="122"/>
        <v>3.8500000000000005</v>
      </c>
      <c r="K159">
        <f t="shared" si="122"/>
        <v>6.16</v>
      </c>
      <c r="L159" s="88">
        <f t="shared" si="123"/>
        <v>8.129999999999999</v>
      </c>
    </row>
    <row r="160" spans="1:12" ht="15.75" thickBot="1" x14ac:dyDescent="0.3">
      <c r="A160" s="127" t="s">
        <v>131</v>
      </c>
      <c r="B160" s="132" t="s">
        <v>104</v>
      </c>
      <c r="D160" s="135" t="s">
        <v>143</v>
      </c>
      <c r="E160" s="91">
        <f t="shared" si="124"/>
        <v>3.8900000000000006</v>
      </c>
      <c r="F160" s="93">
        <f t="shared" si="119"/>
        <v>7</v>
      </c>
      <c r="G160" s="93">
        <f t="shared" si="119"/>
        <v>8</v>
      </c>
      <c r="H160" s="94">
        <f t="shared" si="120"/>
        <v>9.5</v>
      </c>
      <c r="I160" s="91">
        <f t="shared" si="121"/>
        <v>4.8099999999999987</v>
      </c>
      <c r="J160" s="93">
        <f t="shared" si="122"/>
        <v>7</v>
      </c>
      <c r="K160" s="93">
        <f t="shared" si="122"/>
        <v>8</v>
      </c>
      <c r="L160" s="94">
        <f t="shared" si="123"/>
        <v>9</v>
      </c>
    </row>
    <row r="162" spans="1:3" x14ac:dyDescent="0.25">
      <c r="A162" s="1" t="s">
        <v>221</v>
      </c>
    </row>
    <row r="163" spans="1:3" ht="15.75" thickBot="1" x14ac:dyDescent="0.3">
      <c r="A163" s="1" t="s">
        <v>206</v>
      </c>
    </row>
    <row r="164" spans="1:3" ht="15.75" thickBot="1" x14ac:dyDescent="0.3">
      <c r="A164" s="170" t="s">
        <v>175</v>
      </c>
      <c r="B164" s="192" t="s">
        <v>224</v>
      </c>
      <c r="C164" s="192" t="s">
        <v>225</v>
      </c>
    </row>
    <row r="165" spans="1:3" x14ac:dyDescent="0.25">
      <c r="A165" s="191" t="s">
        <v>176</v>
      </c>
      <c r="B165" s="173">
        <v>1</v>
      </c>
      <c r="C165" s="174">
        <f>B165/B$167</f>
        <v>0.5</v>
      </c>
    </row>
    <row r="166" spans="1:3" ht="15.75" thickBot="1" x14ac:dyDescent="0.3">
      <c r="A166" s="28" t="s">
        <v>177</v>
      </c>
      <c r="B166" s="18">
        <v>1</v>
      </c>
      <c r="C166" s="20">
        <f>B166/B$167</f>
        <v>0.5</v>
      </c>
    </row>
    <row r="167" spans="1:3" ht="15.75" thickBot="1" x14ac:dyDescent="0.3">
      <c r="A167" s="29" t="s">
        <v>223</v>
      </c>
      <c r="B167" s="193">
        <f>SUM(B165:B166)</f>
        <v>2</v>
      </c>
      <c r="C167" s="194">
        <f>SUM(C165:C166)</f>
        <v>1</v>
      </c>
    </row>
    <row r="169" spans="1:3" x14ac:dyDescent="0.25">
      <c r="A169" s="1" t="s">
        <v>222</v>
      </c>
    </row>
    <row r="170" spans="1:3" ht="15.75" thickBot="1" x14ac:dyDescent="0.3">
      <c r="A170" s="1" t="s">
        <v>208</v>
      </c>
    </row>
    <row r="171" spans="1:3" ht="15" customHeight="1" thickBot="1" x14ac:dyDescent="0.3">
      <c r="A171" s="178" t="s">
        <v>175</v>
      </c>
      <c r="B171" s="114" t="s">
        <v>224</v>
      </c>
      <c r="C171" s="198" t="s">
        <v>225</v>
      </c>
    </row>
    <row r="172" spans="1:3" x14ac:dyDescent="0.25">
      <c r="A172" s="191" t="s">
        <v>176</v>
      </c>
      <c r="B172" s="26">
        <v>0.75</v>
      </c>
      <c r="C172" s="199">
        <f>B172/B$175</f>
        <v>0.3</v>
      </c>
    </row>
    <row r="173" spans="1:3" x14ac:dyDescent="0.25">
      <c r="A173" s="27" t="s">
        <v>177</v>
      </c>
      <c r="B173" s="27">
        <v>0.75</v>
      </c>
      <c r="C173" s="161">
        <f t="shared" ref="C173:C174" si="125">B173/B$175</f>
        <v>0.3</v>
      </c>
    </row>
    <row r="174" spans="1:3" ht="15.75" thickBot="1" x14ac:dyDescent="0.3">
      <c r="A174" s="195" t="s">
        <v>207</v>
      </c>
      <c r="B174" s="195">
        <v>1</v>
      </c>
      <c r="C174" s="162">
        <f t="shared" si="125"/>
        <v>0.4</v>
      </c>
    </row>
    <row r="175" spans="1:3" ht="15.75" thickBot="1" x14ac:dyDescent="0.3">
      <c r="A175" s="29" t="s">
        <v>223</v>
      </c>
      <c r="B175" s="196">
        <f>SUM(B172:B174)</f>
        <v>2.5</v>
      </c>
      <c r="C175" s="197">
        <f>SUM(C172:C174)</f>
        <v>1</v>
      </c>
    </row>
    <row r="177" spans="1:9" ht="15.75" thickBot="1" x14ac:dyDescent="0.3">
      <c r="A177" s="1" t="s">
        <v>248</v>
      </c>
    </row>
    <row r="178" spans="1:9" ht="15.75" thickBot="1" x14ac:dyDescent="0.3">
      <c r="A178" s="193" t="s">
        <v>252</v>
      </c>
      <c r="B178" s="194" t="s">
        <v>249</v>
      </c>
    </row>
    <row r="179" spans="1:9" x14ac:dyDescent="0.25">
      <c r="A179" s="211" t="s">
        <v>250</v>
      </c>
      <c r="B179" s="174">
        <v>0.8</v>
      </c>
    </row>
    <row r="180" spans="1:9" ht="15.75" thickBot="1" x14ac:dyDescent="0.3">
      <c r="A180" s="212" t="s">
        <v>251</v>
      </c>
      <c r="B180" s="124">
        <v>0.4</v>
      </c>
    </row>
    <row r="182" spans="1:9" x14ac:dyDescent="0.25">
      <c r="A182" s="309" t="s">
        <v>230</v>
      </c>
      <c r="B182" s="276"/>
      <c r="C182" s="276"/>
      <c r="D182" s="276"/>
      <c r="E182" s="276"/>
      <c r="F182" s="276"/>
      <c r="G182" s="276"/>
      <c r="H182" s="276"/>
      <c r="I182" s="276"/>
    </row>
    <row r="183" spans="1:9" x14ac:dyDescent="0.25">
      <c r="A183" s="308" t="s">
        <v>231</v>
      </c>
      <c r="B183" s="276"/>
      <c r="C183" s="276"/>
      <c r="D183" s="276"/>
      <c r="F183" s="308" t="s">
        <v>232</v>
      </c>
      <c r="G183" s="276"/>
      <c r="H183" s="276"/>
      <c r="I183" s="276"/>
    </row>
    <row r="185" spans="1:9" x14ac:dyDescent="0.25">
      <c r="A185" s="203" t="s">
        <v>84</v>
      </c>
      <c r="B185">
        <v>1</v>
      </c>
      <c r="C185">
        <v>0.755</v>
      </c>
      <c r="D185">
        <v>0.60299999999999998</v>
      </c>
      <c r="F185" s="203" t="s">
        <v>84</v>
      </c>
      <c r="G185">
        <v>1</v>
      </c>
      <c r="H185">
        <v>0.69599999999999995</v>
      </c>
      <c r="I185">
        <v>0.51200000000000001</v>
      </c>
    </row>
    <row r="186" spans="1:9" x14ac:dyDescent="0.25">
      <c r="B186">
        <v>0.755</v>
      </c>
      <c r="C186">
        <v>1</v>
      </c>
      <c r="D186">
        <v>0.76600000000000001</v>
      </c>
      <c r="G186">
        <v>0.69599999999999995</v>
      </c>
      <c r="H186">
        <v>1</v>
      </c>
      <c r="I186">
        <v>0.745</v>
      </c>
    </row>
    <row r="187" spans="1:9" x14ac:dyDescent="0.25">
      <c r="B187">
        <v>0.60299999999999998</v>
      </c>
      <c r="C187">
        <v>0.76600000000000001</v>
      </c>
      <c r="D187">
        <v>1</v>
      </c>
      <c r="G187">
        <v>0.51200000000000001</v>
      </c>
      <c r="H187">
        <v>0.745</v>
      </c>
      <c r="I187">
        <v>1</v>
      </c>
    </row>
    <row r="189" spans="1:9" x14ac:dyDescent="0.25">
      <c r="A189" s="203" t="s">
        <v>73</v>
      </c>
      <c r="B189">
        <v>1</v>
      </c>
      <c r="C189">
        <v>0.73</v>
      </c>
      <c r="D189">
        <v>0.82399999999999995</v>
      </c>
      <c r="F189" s="203" t="s">
        <v>73</v>
      </c>
      <c r="G189">
        <v>1</v>
      </c>
      <c r="H189">
        <v>0.69799999999999995</v>
      </c>
      <c r="I189">
        <v>0.79600000000000004</v>
      </c>
    </row>
    <row r="190" spans="1:9" x14ac:dyDescent="0.25">
      <c r="B190">
        <v>0.73</v>
      </c>
      <c r="C190">
        <v>1</v>
      </c>
      <c r="D190">
        <v>0.60599999999999998</v>
      </c>
      <c r="G190">
        <v>0.69799999999999995</v>
      </c>
      <c r="H190">
        <v>1</v>
      </c>
      <c r="I190">
        <v>0.56200000000000006</v>
      </c>
    </row>
    <row r="191" spans="1:9" x14ac:dyDescent="0.25">
      <c r="B191">
        <v>0.82399999999999995</v>
      </c>
      <c r="C191">
        <v>0.60599999999999998</v>
      </c>
      <c r="D191">
        <v>1</v>
      </c>
      <c r="G191">
        <v>0.79600000000000004</v>
      </c>
      <c r="H191">
        <v>0.56200000000000006</v>
      </c>
      <c r="I191">
        <v>1</v>
      </c>
    </row>
    <row r="193" spans="1:9" x14ac:dyDescent="0.25">
      <c r="A193" s="203" t="s">
        <v>74</v>
      </c>
      <c r="B193">
        <v>1</v>
      </c>
      <c r="C193">
        <v>0.375</v>
      </c>
      <c r="D193">
        <v>0.80500000000000005</v>
      </c>
      <c r="F193" s="203" t="s">
        <v>74</v>
      </c>
      <c r="G193">
        <v>1</v>
      </c>
      <c r="H193">
        <v>0.27100000000000002</v>
      </c>
      <c r="I193">
        <v>0.73899999999999999</v>
      </c>
    </row>
    <row r="194" spans="1:9" x14ac:dyDescent="0.25">
      <c r="B194">
        <v>0.375</v>
      </c>
      <c r="C194">
        <v>1</v>
      </c>
      <c r="D194">
        <v>0.46400000000000002</v>
      </c>
      <c r="G194">
        <v>0.27100000000000002</v>
      </c>
      <c r="H194">
        <v>1</v>
      </c>
      <c r="I194">
        <v>0.378</v>
      </c>
    </row>
    <row r="195" spans="1:9" x14ac:dyDescent="0.25">
      <c r="B195">
        <v>0.80500000000000005</v>
      </c>
      <c r="C195">
        <v>0.46400000000000002</v>
      </c>
      <c r="D195">
        <v>1</v>
      </c>
      <c r="G195">
        <v>0.73899999999999999</v>
      </c>
      <c r="H195">
        <v>0.378</v>
      </c>
      <c r="I195">
        <v>1</v>
      </c>
    </row>
    <row r="197" spans="1:9" x14ac:dyDescent="0.25">
      <c r="A197" s="203" t="s">
        <v>75</v>
      </c>
      <c r="B197">
        <v>1</v>
      </c>
      <c r="C197">
        <v>0.74299999999999999</v>
      </c>
      <c r="D197">
        <v>0.40300000000000002</v>
      </c>
      <c r="F197" s="203" t="s">
        <v>75</v>
      </c>
      <c r="G197">
        <v>1</v>
      </c>
      <c r="H197">
        <v>0.69799999999999995</v>
      </c>
      <c r="I197">
        <v>0.314</v>
      </c>
    </row>
    <row r="198" spans="1:9" x14ac:dyDescent="0.25">
      <c r="B198">
        <v>0.74299999999999999</v>
      </c>
      <c r="C198">
        <v>1</v>
      </c>
      <c r="D198">
        <v>0.29699999999999999</v>
      </c>
      <c r="G198">
        <v>0.69799999999999995</v>
      </c>
      <c r="H198">
        <v>1</v>
      </c>
      <c r="I198">
        <v>0.21299999999999999</v>
      </c>
    </row>
    <row r="199" spans="1:9" x14ac:dyDescent="0.25">
      <c r="B199">
        <v>0.40300000000000002</v>
      </c>
      <c r="C199">
        <v>0.29699999999999999</v>
      </c>
      <c r="D199">
        <v>1</v>
      </c>
      <c r="G199">
        <v>0.314</v>
      </c>
      <c r="H199">
        <v>0.21299999999999999</v>
      </c>
      <c r="I199">
        <v>1</v>
      </c>
    </row>
    <row r="201" spans="1:9" x14ac:dyDescent="0.25">
      <c r="A201" s="203" t="s">
        <v>77</v>
      </c>
      <c r="B201">
        <v>1</v>
      </c>
      <c r="C201">
        <v>0.42299999999999999</v>
      </c>
      <c r="D201">
        <v>0.61599999999999999</v>
      </c>
      <c r="F201" s="203" t="s">
        <v>77</v>
      </c>
      <c r="G201">
        <v>1</v>
      </c>
      <c r="H201">
        <v>0.32600000000000001</v>
      </c>
      <c r="I201">
        <v>0.58399999999999996</v>
      </c>
    </row>
    <row r="202" spans="1:9" x14ac:dyDescent="0.25">
      <c r="B202">
        <v>0.42299999999999999</v>
      </c>
      <c r="C202">
        <v>1</v>
      </c>
      <c r="D202">
        <v>0.217</v>
      </c>
      <c r="G202">
        <v>0.32600000000000001</v>
      </c>
      <c r="H202">
        <v>1</v>
      </c>
      <c r="I202">
        <v>0.13500000000000001</v>
      </c>
    </row>
    <row r="203" spans="1:9" x14ac:dyDescent="0.25">
      <c r="B203">
        <v>0.61599999999999999</v>
      </c>
      <c r="C203">
        <v>0.217</v>
      </c>
      <c r="D203">
        <v>1</v>
      </c>
      <c r="G203">
        <v>0.58399999999999996</v>
      </c>
      <c r="H203">
        <v>0.13500000000000001</v>
      </c>
      <c r="I203">
        <v>1</v>
      </c>
    </row>
    <row r="205" spans="1:9" x14ac:dyDescent="0.25">
      <c r="A205" s="203" t="s">
        <v>78</v>
      </c>
      <c r="B205">
        <v>1</v>
      </c>
      <c r="C205">
        <v>0.47699999999999998</v>
      </c>
      <c r="D205">
        <v>0.38900000000000001</v>
      </c>
      <c r="F205" s="203" t="s">
        <v>78</v>
      </c>
      <c r="G205">
        <v>1</v>
      </c>
      <c r="H205">
        <v>0.40899999999999997</v>
      </c>
      <c r="I205">
        <v>0.30399999999999999</v>
      </c>
    </row>
    <row r="206" spans="1:9" x14ac:dyDescent="0.25">
      <c r="B206">
        <v>0.47699999999999998</v>
      </c>
      <c r="C206">
        <v>1</v>
      </c>
      <c r="D206">
        <v>0.17899999999999999</v>
      </c>
      <c r="G206">
        <v>0.40899999999999997</v>
      </c>
      <c r="H206">
        <v>1</v>
      </c>
      <c r="I206">
        <v>0.10299999999999999</v>
      </c>
    </row>
    <row r="207" spans="1:9" x14ac:dyDescent="0.25">
      <c r="B207">
        <v>0.38900000000000001</v>
      </c>
      <c r="C207">
        <v>0.17899999999999999</v>
      </c>
      <c r="D207">
        <v>1</v>
      </c>
      <c r="G207">
        <v>0.30399999999999999</v>
      </c>
      <c r="H207">
        <v>0.10299999999999999</v>
      </c>
      <c r="I207">
        <v>1</v>
      </c>
    </row>
    <row r="209" spans="1:9" x14ac:dyDescent="0.25">
      <c r="A209" s="203" t="s">
        <v>79</v>
      </c>
      <c r="B209">
        <v>1</v>
      </c>
      <c r="C209">
        <v>0.47699999999999998</v>
      </c>
      <c r="D209">
        <v>0.61199999999999999</v>
      </c>
      <c r="F209" s="203" t="s">
        <v>79</v>
      </c>
      <c r="G209">
        <v>1</v>
      </c>
      <c r="H209">
        <v>0.40899999999999997</v>
      </c>
      <c r="I209">
        <v>0.53900000000000003</v>
      </c>
    </row>
    <row r="210" spans="1:9" x14ac:dyDescent="0.25">
      <c r="B210">
        <v>0.47699999999999998</v>
      </c>
      <c r="C210">
        <v>1</v>
      </c>
      <c r="D210">
        <v>0.29699999999999999</v>
      </c>
      <c r="G210">
        <v>0.40899999999999997</v>
      </c>
      <c r="H210">
        <v>1</v>
      </c>
      <c r="I210">
        <v>0.21299999999999999</v>
      </c>
    </row>
    <row r="211" spans="1:9" x14ac:dyDescent="0.25">
      <c r="B211">
        <v>0.61199999999999999</v>
      </c>
      <c r="C211">
        <v>0.29699999999999999</v>
      </c>
      <c r="D211">
        <v>1</v>
      </c>
      <c r="G211">
        <v>0.53900000000000003</v>
      </c>
      <c r="H211">
        <v>0.21299999999999999</v>
      </c>
      <c r="I211">
        <v>1</v>
      </c>
    </row>
    <row r="213" spans="1:9" x14ac:dyDescent="0.25">
      <c r="A213" s="203" t="s">
        <v>80</v>
      </c>
      <c r="B213">
        <v>1</v>
      </c>
      <c r="C213">
        <v>0.88400000000000001</v>
      </c>
      <c r="D213">
        <v>0.66500000000000004</v>
      </c>
      <c r="F213" s="203" t="s">
        <v>80</v>
      </c>
      <c r="G213">
        <v>1</v>
      </c>
      <c r="H213">
        <v>0.85499999999999998</v>
      </c>
      <c r="I213">
        <v>0.61299999999999999</v>
      </c>
    </row>
    <row r="214" spans="1:9" x14ac:dyDescent="0.25">
      <c r="B214">
        <v>0.88400000000000001</v>
      </c>
      <c r="C214">
        <v>1</v>
      </c>
      <c r="D214">
        <v>0.69399999999999995</v>
      </c>
      <c r="G214">
        <v>0.85499999999999998</v>
      </c>
      <c r="H214">
        <v>1</v>
      </c>
      <c r="I214">
        <v>0.66</v>
      </c>
    </row>
    <row r="215" spans="1:9" x14ac:dyDescent="0.25">
      <c r="B215">
        <v>0.66500000000000004</v>
      </c>
      <c r="C215">
        <v>0.69399999999999995</v>
      </c>
      <c r="D215">
        <v>1</v>
      </c>
      <c r="G215">
        <v>0.61299999999999999</v>
      </c>
      <c r="H215">
        <v>0.66</v>
      </c>
      <c r="I215">
        <v>1</v>
      </c>
    </row>
    <row r="217" spans="1:9" x14ac:dyDescent="0.25">
      <c r="A217" s="203" t="s">
        <v>82</v>
      </c>
      <c r="B217">
        <v>1</v>
      </c>
      <c r="C217">
        <v>0.72899999999999998</v>
      </c>
      <c r="D217">
        <v>0.61599999999999999</v>
      </c>
      <c r="F217" s="203" t="s">
        <v>82</v>
      </c>
      <c r="G217">
        <v>1</v>
      </c>
      <c r="H217">
        <v>0.64900000000000002</v>
      </c>
      <c r="I217">
        <v>0.58399999999999996</v>
      </c>
    </row>
    <row r="218" spans="1:9" x14ac:dyDescent="0.25">
      <c r="B218">
        <v>0.72899999999999998</v>
      </c>
      <c r="C218">
        <v>1</v>
      </c>
      <c r="D218">
        <v>0.42099999999999999</v>
      </c>
      <c r="G218">
        <v>0.64900000000000002</v>
      </c>
      <c r="H218">
        <v>1</v>
      </c>
      <c r="I218">
        <v>0.34399999999999997</v>
      </c>
    </row>
    <row r="219" spans="1:9" x14ac:dyDescent="0.25">
      <c r="B219">
        <v>0.61599999999999999</v>
      </c>
      <c r="C219">
        <v>0.42099999999999999</v>
      </c>
      <c r="D219">
        <v>1</v>
      </c>
      <c r="G219">
        <v>0.58399999999999996</v>
      </c>
      <c r="H219">
        <v>0.34399999999999997</v>
      </c>
      <c r="I219">
        <v>1</v>
      </c>
    </row>
    <row r="221" spans="1:9" x14ac:dyDescent="0.25">
      <c r="A221" s="203" t="s">
        <v>83</v>
      </c>
      <c r="B221">
        <v>1</v>
      </c>
      <c r="C221">
        <v>0.38</v>
      </c>
      <c r="D221">
        <v>0.60099999999999998</v>
      </c>
      <c r="F221" s="203" t="s">
        <v>83</v>
      </c>
      <c r="G221">
        <v>1</v>
      </c>
      <c r="H221">
        <v>0.29199999999999998</v>
      </c>
      <c r="I221">
        <v>0.53100000000000003</v>
      </c>
    </row>
    <row r="222" spans="1:9" x14ac:dyDescent="0.25">
      <c r="B222">
        <v>0.38</v>
      </c>
      <c r="C222">
        <v>1</v>
      </c>
      <c r="D222">
        <v>0.64200000000000002</v>
      </c>
      <c r="G222">
        <v>0.29199999999999998</v>
      </c>
      <c r="H222">
        <v>1</v>
      </c>
      <c r="I222">
        <v>0.57599999999999996</v>
      </c>
    </row>
    <row r="223" spans="1:9" x14ac:dyDescent="0.25">
      <c r="B223">
        <v>0.60099999999999998</v>
      </c>
      <c r="C223">
        <v>0.64200000000000002</v>
      </c>
      <c r="D223">
        <v>1</v>
      </c>
      <c r="G223">
        <v>0.53100000000000003</v>
      </c>
      <c r="H223">
        <v>0.57599999999999996</v>
      </c>
      <c r="I223">
        <v>1</v>
      </c>
    </row>
    <row r="225" spans="1:9" x14ac:dyDescent="0.25">
      <c r="A225" s="309" t="s">
        <v>233</v>
      </c>
      <c r="B225" s="276"/>
      <c r="C225" s="276"/>
      <c r="D225" s="276"/>
      <c r="E225" s="276"/>
      <c r="F225" s="276"/>
      <c r="G225" s="276"/>
      <c r="H225" s="276"/>
      <c r="I225" s="276"/>
    </row>
    <row r="226" spans="1:9" x14ac:dyDescent="0.25">
      <c r="A226" s="308" t="s">
        <v>253</v>
      </c>
      <c r="B226" s="276"/>
      <c r="C226" s="276"/>
      <c r="D226" s="276"/>
      <c r="F226" s="308" t="s">
        <v>254</v>
      </c>
      <c r="G226" s="276"/>
      <c r="H226" s="276"/>
      <c r="I226" s="276"/>
    </row>
    <row r="227" spans="1:9" s="213" customFormat="1" ht="30" x14ac:dyDescent="0.25">
      <c r="A227" s="214" t="s">
        <v>182</v>
      </c>
      <c r="B227" s="214" t="s">
        <v>176</v>
      </c>
      <c r="C227" s="214" t="s">
        <v>177</v>
      </c>
      <c r="D227" s="214" t="s">
        <v>207</v>
      </c>
      <c r="F227" s="214" t="s">
        <v>182</v>
      </c>
      <c r="G227" s="214" t="s">
        <v>176</v>
      </c>
      <c r="H227" s="214" t="s">
        <v>177</v>
      </c>
      <c r="I227" s="214" t="s">
        <v>207</v>
      </c>
    </row>
    <row r="228" spans="1:9" x14ac:dyDescent="0.25">
      <c r="A228" s="2" t="s">
        <v>84</v>
      </c>
      <c r="B228" s="2">
        <f>(C185+D185)/2</f>
        <v>0.67900000000000005</v>
      </c>
      <c r="C228" s="2">
        <f>(B186+D186)/2</f>
        <v>0.76049999999999995</v>
      </c>
      <c r="D228" s="2">
        <f>(B187+C187)/2</f>
        <v>0.6845</v>
      </c>
      <c r="F228" s="2" t="s">
        <v>84</v>
      </c>
      <c r="G228" s="2">
        <f>(H185+I185)/2</f>
        <v>0.60399999999999998</v>
      </c>
      <c r="H228" s="2">
        <f>(G186+I186)/2</f>
        <v>0.72049999999999992</v>
      </c>
      <c r="I228" s="2">
        <f>(G187+H187)/2</f>
        <v>0.62850000000000006</v>
      </c>
    </row>
    <row r="229" spans="1:9" x14ac:dyDescent="0.25">
      <c r="A229" s="2" t="s">
        <v>73</v>
      </c>
      <c r="B229" s="2">
        <f>(C189+D189)/2</f>
        <v>0.77699999999999991</v>
      </c>
      <c r="C229" s="2">
        <f>(B190+D190)/2</f>
        <v>0.66799999999999993</v>
      </c>
      <c r="D229" s="2">
        <f>(B191+C191)/2</f>
        <v>0.71499999999999997</v>
      </c>
      <c r="F229" s="2" t="s">
        <v>73</v>
      </c>
      <c r="G229" s="2">
        <f>(H189+I189)/2</f>
        <v>0.747</v>
      </c>
      <c r="H229" s="2">
        <f>(G190+I190)/2</f>
        <v>0.63</v>
      </c>
      <c r="I229" s="2">
        <f>(G191+H191)/2</f>
        <v>0.67900000000000005</v>
      </c>
    </row>
    <row r="230" spans="1:9" x14ac:dyDescent="0.25">
      <c r="A230" s="2" t="s">
        <v>74</v>
      </c>
      <c r="B230" s="2">
        <f>(C193+D193)/2</f>
        <v>0.59000000000000008</v>
      </c>
      <c r="C230" s="2">
        <f>(B194+D194)/2</f>
        <v>0.41949999999999998</v>
      </c>
      <c r="D230" s="2">
        <f>(B195+C195)/2</f>
        <v>0.63450000000000006</v>
      </c>
      <c r="F230" s="2" t="s">
        <v>74</v>
      </c>
      <c r="G230" s="2">
        <f>(H193+I193)/2</f>
        <v>0.505</v>
      </c>
      <c r="H230" s="2">
        <f>(G194+I194)/2</f>
        <v>0.32450000000000001</v>
      </c>
      <c r="I230" s="2">
        <f>(G195+H195)/2</f>
        <v>0.5585</v>
      </c>
    </row>
    <row r="231" spans="1:9" x14ac:dyDescent="0.25">
      <c r="A231" s="2" t="s">
        <v>75</v>
      </c>
      <c r="B231" s="2">
        <f>(C197+D197)/2</f>
        <v>0.57299999999999995</v>
      </c>
      <c r="C231" s="2">
        <f>(B198+D198)/2</f>
        <v>0.52</v>
      </c>
      <c r="D231" s="2">
        <f>(B199+C199)/2</f>
        <v>0.35</v>
      </c>
      <c r="F231" s="2" t="s">
        <v>75</v>
      </c>
      <c r="G231" s="2">
        <f>(H197+I197)/2</f>
        <v>0.50600000000000001</v>
      </c>
      <c r="H231" s="2">
        <f>(G198+I198)/2</f>
        <v>0.45549999999999996</v>
      </c>
      <c r="I231" s="2">
        <f>(G199+H199)/2</f>
        <v>0.26350000000000001</v>
      </c>
    </row>
    <row r="232" spans="1:9" x14ac:dyDescent="0.25">
      <c r="A232" s="2" t="s">
        <v>77</v>
      </c>
      <c r="B232" s="2">
        <f>(C201+D201)/2</f>
        <v>0.51949999999999996</v>
      </c>
      <c r="C232" s="2">
        <f>(B202+D202)/2</f>
        <v>0.32</v>
      </c>
      <c r="D232" s="2">
        <f>(B203+C203)/2</f>
        <v>0.41649999999999998</v>
      </c>
      <c r="F232" s="2" t="s">
        <v>77</v>
      </c>
      <c r="G232" s="2">
        <f>(H201+I201)/2</f>
        <v>0.45499999999999996</v>
      </c>
      <c r="H232" s="2">
        <f>(G202+I202)/2</f>
        <v>0.23050000000000001</v>
      </c>
      <c r="I232" s="2">
        <f>(G203+H203)/2</f>
        <v>0.35949999999999999</v>
      </c>
    </row>
    <row r="233" spans="1:9" x14ac:dyDescent="0.25">
      <c r="A233" s="2" t="s">
        <v>78</v>
      </c>
      <c r="B233" s="2">
        <f>(C205+D205)/2</f>
        <v>0.433</v>
      </c>
      <c r="C233" s="2">
        <f>(B206+D206)/2</f>
        <v>0.32799999999999996</v>
      </c>
      <c r="D233" s="2">
        <f>(B207+C207)/2</f>
        <v>0.28400000000000003</v>
      </c>
      <c r="F233" s="2" t="s">
        <v>78</v>
      </c>
      <c r="G233" s="2">
        <f>(H205+I205)/2</f>
        <v>0.35649999999999998</v>
      </c>
      <c r="H233" s="2">
        <f>(G206+I206)/2</f>
        <v>0.25600000000000001</v>
      </c>
      <c r="I233" s="2">
        <f>(G207+H207)/2</f>
        <v>0.20349999999999999</v>
      </c>
    </row>
    <row r="234" spans="1:9" x14ac:dyDescent="0.25">
      <c r="A234" s="2" t="s">
        <v>79</v>
      </c>
      <c r="B234" s="2">
        <f>(C209+D209)/2</f>
        <v>0.54449999999999998</v>
      </c>
      <c r="C234" s="2">
        <f>(B210+D210)/2</f>
        <v>0.38700000000000001</v>
      </c>
      <c r="D234" s="2">
        <f>(B211+C211)/2</f>
        <v>0.45450000000000002</v>
      </c>
      <c r="F234" s="2" t="s">
        <v>79</v>
      </c>
      <c r="G234" s="2">
        <f>(H209+I209)/2</f>
        <v>0.47399999999999998</v>
      </c>
      <c r="H234" s="2">
        <f>(G210+I210)/2</f>
        <v>0.311</v>
      </c>
      <c r="I234" s="2">
        <f>(G211+H211)/2</f>
        <v>0.376</v>
      </c>
    </row>
    <row r="235" spans="1:9" x14ac:dyDescent="0.25">
      <c r="A235" s="2" t="s">
        <v>80</v>
      </c>
      <c r="B235" s="2">
        <f>(C213+D213)/2</f>
        <v>0.77449999999999997</v>
      </c>
      <c r="C235" s="2">
        <f>(B214+D214)/2</f>
        <v>0.78899999999999992</v>
      </c>
      <c r="D235" s="2">
        <f>(B215+C215)/2</f>
        <v>0.67949999999999999</v>
      </c>
      <c r="F235" s="2" t="s">
        <v>80</v>
      </c>
      <c r="G235" s="2">
        <f>(H213+I213)/2</f>
        <v>0.73399999999999999</v>
      </c>
      <c r="H235" s="2">
        <f>(G214+I214)/2</f>
        <v>0.75750000000000006</v>
      </c>
      <c r="I235" s="2">
        <f>(G215+H215)/2</f>
        <v>0.63650000000000007</v>
      </c>
    </row>
    <row r="236" spans="1:9" x14ac:dyDescent="0.25">
      <c r="A236" s="2" t="s">
        <v>82</v>
      </c>
      <c r="B236" s="2">
        <f>(C217+D217)/2</f>
        <v>0.67249999999999999</v>
      </c>
      <c r="C236" s="2">
        <f>(B218+D218)/2</f>
        <v>0.57499999999999996</v>
      </c>
      <c r="D236" s="2">
        <f>(B219+C219)/2</f>
        <v>0.51849999999999996</v>
      </c>
      <c r="F236" s="2" t="s">
        <v>82</v>
      </c>
      <c r="G236" s="2">
        <f>(H217+I217)/2</f>
        <v>0.61650000000000005</v>
      </c>
      <c r="H236" s="2">
        <f>(G218+I218)/2</f>
        <v>0.4965</v>
      </c>
      <c r="I236" s="2">
        <f>(G219+H219)/2</f>
        <v>0.46399999999999997</v>
      </c>
    </row>
    <row r="237" spans="1:9" x14ac:dyDescent="0.25">
      <c r="A237" s="2" t="s">
        <v>83</v>
      </c>
      <c r="B237" s="2">
        <f>(C221+D221)/2</f>
        <v>0.49049999999999999</v>
      </c>
      <c r="C237" s="2">
        <f>(B222+D222)/2</f>
        <v>0.51100000000000001</v>
      </c>
      <c r="D237" s="2">
        <f>(B223+C223)/2</f>
        <v>0.62149999999999994</v>
      </c>
      <c r="F237" s="2" t="s">
        <v>83</v>
      </c>
      <c r="G237" s="2">
        <f>(H221+I221)/2</f>
        <v>0.41149999999999998</v>
      </c>
      <c r="H237" s="2">
        <f>(G222+I222)/2</f>
        <v>0.43399999999999994</v>
      </c>
      <c r="I237" s="2">
        <f>(G223+H223)/2</f>
        <v>0.55349999999999999</v>
      </c>
    </row>
    <row r="239" spans="1:9" x14ac:dyDescent="0.25">
      <c r="A239" s="309" t="s">
        <v>255</v>
      </c>
      <c r="B239" s="276"/>
      <c r="C239" s="276"/>
      <c r="D239" s="276"/>
      <c r="E239" s="276"/>
      <c r="F239" s="276"/>
      <c r="G239" s="276"/>
      <c r="H239" s="276"/>
      <c r="I239" s="276"/>
    </row>
    <row r="240" spans="1:9" x14ac:dyDescent="0.25">
      <c r="A240" s="308" t="s">
        <v>256</v>
      </c>
      <c r="B240" s="276"/>
      <c r="C240" s="276"/>
      <c r="D240" s="276"/>
      <c r="F240" s="308" t="s">
        <v>257</v>
      </c>
      <c r="G240" s="276"/>
      <c r="H240" s="276"/>
      <c r="I240" s="276"/>
    </row>
    <row r="241" spans="1:10" ht="30" x14ac:dyDescent="0.25">
      <c r="A241" s="151" t="s">
        <v>182</v>
      </c>
      <c r="B241" s="3" t="s">
        <v>176</v>
      </c>
      <c r="C241" s="3" t="s">
        <v>177</v>
      </c>
      <c r="D241" s="3" t="s">
        <v>207</v>
      </c>
      <c r="E241" s="207" t="s">
        <v>234</v>
      </c>
      <c r="F241" s="151" t="s">
        <v>182</v>
      </c>
      <c r="G241" s="3" t="s">
        <v>176</v>
      </c>
      <c r="H241" s="3" t="s">
        <v>177</v>
      </c>
      <c r="I241" s="3" t="s">
        <v>207</v>
      </c>
      <c r="J241" s="207" t="s">
        <v>234</v>
      </c>
    </row>
    <row r="242" spans="1:10" x14ac:dyDescent="0.25">
      <c r="A242" s="102" t="s">
        <v>84</v>
      </c>
      <c r="B242" s="204">
        <f t="shared" ref="B242:B251" si="126">B228/SUM($B228:$D228)</f>
        <v>0.3196798493408663</v>
      </c>
      <c r="C242" s="204">
        <f t="shared" ref="C242:D242" si="127">C228/SUM($B228:$D228)</f>
        <v>0.35805084745762705</v>
      </c>
      <c r="D242" s="204">
        <f t="shared" si="127"/>
        <v>0.3222693032015066</v>
      </c>
      <c r="E242" s="206">
        <f>SUM(B242:D242)</f>
        <v>0.99999999999999989</v>
      </c>
      <c r="F242" s="102" t="s">
        <v>84</v>
      </c>
      <c r="G242" s="204">
        <f>G228/SUM($G228:$I228)</f>
        <v>0.30926779313876085</v>
      </c>
      <c r="H242" s="204">
        <f t="shared" ref="H242:I242" si="128">H228/SUM($G228:$I228)</f>
        <v>0.36891961085509467</v>
      </c>
      <c r="I242" s="204">
        <f t="shared" si="128"/>
        <v>0.32181259600614442</v>
      </c>
      <c r="J242" s="206">
        <f>SUM(G242:I242)</f>
        <v>1</v>
      </c>
    </row>
    <row r="243" spans="1:10" x14ac:dyDescent="0.25">
      <c r="A243" s="102" t="s">
        <v>73</v>
      </c>
      <c r="B243" s="204">
        <f t="shared" si="126"/>
        <v>0.35972222222222222</v>
      </c>
      <c r="C243" s="204">
        <f t="shared" ref="C243:D251" si="129">C229/SUM($B229:$D229)</f>
        <v>0.30925925925925929</v>
      </c>
      <c r="D243" s="204">
        <f t="shared" si="129"/>
        <v>0.33101851851851855</v>
      </c>
      <c r="E243" s="206">
        <f t="shared" ref="E243:E251" si="130">SUM(B243:D243)</f>
        <v>1</v>
      </c>
      <c r="F243" s="102" t="s">
        <v>73</v>
      </c>
      <c r="G243" s="204">
        <f t="shared" ref="G243:I251" si="131">G229/SUM($G229:$I229)</f>
        <v>0.36332684824902722</v>
      </c>
      <c r="H243" s="204">
        <f t="shared" si="131"/>
        <v>0.30642023346303504</v>
      </c>
      <c r="I243" s="204">
        <f t="shared" si="131"/>
        <v>0.33025291828793774</v>
      </c>
      <c r="J243" s="206">
        <f t="shared" ref="J243:J251" si="132">SUM(G243:I243)</f>
        <v>1</v>
      </c>
    </row>
    <row r="244" spans="1:10" x14ac:dyDescent="0.25">
      <c r="A244" s="102" t="s">
        <v>74</v>
      </c>
      <c r="B244" s="204">
        <f t="shared" si="126"/>
        <v>0.35888077858880779</v>
      </c>
      <c r="C244" s="204">
        <f t="shared" si="129"/>
        <v>0.25517031630170312</v>
      </c>
      <c r="D244" s="204">
        <f t="shared" si="129"/>
        <v>0.38594890510948904</v>
      </c>
      <c r="E244" s="206">
        <f t="shared" si="130"/>
        <v>1</v>
      </c>
      <c r="F244" s="102" t="s">
        <v>74</v>
      </c>
      <c r="G244" s="204">
        <f t="shared" si="131"/>
        <v>0.36383285302593665</v>
      </c>
      <c r="H244" s="204">
        <f t="shared" si="131"/>
        <v>0.23378962536023057</v>
      </c>
      <c r="I244" s="204">
        <f t="shared" si="131"/>
        <v>0.40237752161383289</v>
      </c>
      <c r="J244" s="206">
        <f t="shared" si="132"/>
        <v>1</v>
      </c>
    </row>
    <row r="245" spans="1:10" x14ac:dyDescent="0.25">
      <c r="A245" s="102" t="s">
        <v>75</v>
      </c>
      <c r="B245" s="204">
        <f t="shared" si="126"/>
        <v>0.39708939708939706</v>
      </c>
      <c r="C245" s="204">
        <f t="shared" si="129"/>
        <v>0.36036036036036034</v>
      </c>
      <c r="D245" s="204">
        <f t="shared" si="129"/>
        <v>0.24255024255024252</v>
      </c>
      <c r="E245" s="206">
        <f t="shared" si="130"/>
        <v>0.99999999999999989</v>
      </c>
      <c r="F245" s="102" t="s">
        <v>75</v>
      </c>
      <c r="G245" s="204">
        <f t="shared" si="131"/>
        <v>0.41306122448979588</v>
      </c>
      <c r="H245" s="204">
        <f t="shared" si="131"/>
        <v>0.37183673469387751</v>
      </c>
      <c r="I245" s="204">
        <f t="shared" si="131"/>
        <v>0.21510204081632653</v>
      </c>
      <c r="J245" s="206">
        <f t="shared" si="132"/>
        <v>0.99999999999999989</v>
      </c>
    </row>
    <row r="246" spans="1:10" x14ac:dyDescent="0.25">
      <c r="A246" s="102" t="s">
        <v>77</v>
      </c>
      <c r="B246" s="204">
        <f t="shared" si="126"/>
        <v>0.41361464968152872</v>
      </c>
      <c r="C246" s="204">
        <f t="shared" si="129"/>
        <v>0.25477707006369432</v>
      </c>
      <c r="D246" s="204">
        <f t="shared" si="129"/>
        <v>0.33160828025477712</v>
      </c>
      <c r="E246" s="206">
        <f t="shared" si="130"/>
        <v>1.0000000000000002</v>
      </c>
      <c r="F246" s="102" t="s">
        <v>77</v>
      </c>
      <c r="G246" s="204">
        <f t="shared" si="131"/>
        <v>0.4354066985645933</v>
      </c>
      <c r="H246" s="204">
        <f t="shared" si="131"/>
        <v>0.22057416267942587</v>
      </c>
      <c r="I246" s="204">
        <f t="shared" si="131"/>
        <v>0.34401913875598089</v>
      </c>
      <c r="J246" s="206">
        <f t="shared" si="132"/>
        <v>1</v>
      </c>
    </row>
    <row r="247" spans="1:10" x14ac:dyDescent="0.25">
      <c r="A247" s="102" t="s">
        <v>78</v>
      </c>
      <c r="B247" s="204">
        <f t="shared" si="126"/>
        <v>0.41435406698564597</v>
      </c>
      <c r="C247" s="204">
        <f t="shared" si="129"/>
        <v>0.31387559808612436</v>
      </c>
      <c r="D247" s="204">
        <f t="shared" si="129"/>
        <v>0.27177033492822972</v>
      </c>
      <c r="E247" s="206">
        <f t="shared" si="130"/>
        <v>1</v>
      </c>
      <c r="F247" s="102" t="s">
        <v>78</v>
      </c>
      <c r="G247" s="204">
        <f t="shared" si="131"/>
        <v>0.43688725490196073</v>
      </c>
      <c r="H247" s="204">
        <f t="shared" si="131"/>
        <v>0.31372549019607843</v>
      </c>
      <c r="I247" s="204">
        <f t="shared" si="131"/>
        <v>0.24938725490196076</v>
      </c>
      <c r="J247" s="206">
        <f t="shared" si="132"/>
        <v>0.99999999999999989</v>
      </c>
    </row>
    <row r="248" spans="1:10" x14ac:dyDescent="0.25">
      <c r="A248" s="102" t="s">
        <v>79</v>
      </c>
      <c r="B248" s="204">
        <f t="shared" si="126"/>
        <v>0.39285714285714279</v>
      </c>
      <c r="C248" s="204">
        <f t="shared" si="129"/>
        <v>0.2792207792207792</v>
      </c>
      <c r="D248" s="204">
        <f t="shared" si="129"/>
        <v>0.32792207792207789</v>
      </c>
      <c r="E248" s="206">
        <f t="shared" si="130"/>
        <v>1</v>
      </c>
      <c r="F248" s="102" t="s">
        <v>79</v>
      </c>
      <c r="G248" s="204">
        <f t="shared" si="131"/>
        <v>0.40826873385012918</v>
      </c>
      <c r="H248" s="204">
        <f t="shared" si="131"/>
        <v>0.26787252368647718</v>
      </c>
      <c r="I248" s="204">
        <f t="shared" si="131"/>
        <v>0.32385874246339363</v>
      </c>
      <c r="J248" s="206">
        <f t="shared" si="132"/>
        <v>1</v>
      </c>
    </row>
    <row r="249" spans="1:10" x14ac:dyDescent="0.25">
      <c r="A249" s="102" t="s">
        <v>80</v>
      </c>
      <c r="B249" s="204">
        <f t="shared" si="126"/>
        <v>0.34529647793134194</v>
      </c>
      <c r="C249" s="204">
        <f t="shared" si="129"/>
        <v>0.35176103432902361</v>
      </c>
      <c r="D249" s="204">
        <f t="shared" si="129"/>
        <v>0.30294248773963445</v>
      </c>
      <c r="E249" s="206">
        <f t="shared" si="130"/>
        <v>1</v>
      </c>
      <c r="F249" s="102" t="s">
        <v>80</v>
      </c>
      <c r="G249" s="204">
        <f t="shared" si="131"/>
        <v>0.34492481203007519</v>
      </c>
      <c r="H249" s="204">
        <f t="shared" si="131"/>
        <v>0.35596804511278196</v>
      </c>
      <c r="I249" s="204">
        <f t="shared" si="131"/>
        <v>0.29910714285714285</v>
      </c>
      <c r="J249" s="206">
        <f t="shared" si="132"/>
        <v>1</v>
      </c>
    </row>
    <row r="250" spans="1:10" x14ac:dyDescent="0.25">
      <c r="A250" s="102" t="s">
        <v>82</v>
      </c>
      <c r="B250" s="204">
        <f t="shared" si="126"/>
        <v>0.38080407701019253</v>
      </c>
      <c r="C250" s="204">
        <f t="shared" si="129"/>
        <v>0.32559456398640996</v>
      </c>
      <c r="D250" s="204">
        <f t="shared" si="129"/>
        <v>0.29360135900339751</v>
      </c>
      <c r="E250" s="206">
        <f t="shared" si="130"/>
        <v>1</v>
      </c>
      <c r="F250" s="102" t="s">
        <v>82</v>
      </c>
      <c r="G250" s="204">
        <f t="shared" si="131"/>
        <v>0.39093214965123657</v>
      </c>
      <c r="H250" s="204">
        <f t="shared" si="131"/>
        <v>0.31483830057070389</v>
      </c>
      <c r="I250" s="204">
        <f t="shared" si="131"/>
        <v>0.2942295497780596</v>
      </c>
      <c r="J250" s="206">
        <f t="shared" si="132"/>
        <v>1</v>
      </c>
    </row>
    <row r="251" spans="1:10" x14ac:dyDescent="0.25">
      <c r="A251" s="102" t="s">
        <v>83</v>
      </c>
      <c r="B251" s="204">
        <f t="shared" si="126"/>
        <v>0.3022181146025878</v>
      </c>
      <c r="C251" s="204">
        <f t="shared" si="129"/>
        <v>0.31484904497843502</v>
      </c>
      <c r="D251" s="204">
        <f t="shared" si="129"/>
        <v>0.38293284041897718</v>
      </c>
      <c r="E251" s="206">
        <f t="shared" si="130"/>
        <v>1</v>
      </c>
      <c r="F251" s="102" t="s">
        <v>83</v>
      </c>
      <c r="G251" s="204">
        <f t="shared" si="131"/>
        <v>0.29413867047891351</v>
      </c>
      <c r="H251" s="204">
        <f t="shared" si="131"/>
        <v>0.31022158684774837</v>
      </c>
      <c r="I251" s="204">
        <f t="shared" si="131"/>
        <v>0.39563974267333807</v>
      </c>
      <c r="J251" s="206">
        <f t="shared" si="132"/>
        <v>1</v>
      </c>
    </row>
    <row r="252" spans="1:10" x14ac:dyDescent="0.25">
      <c r="A252" s="203"/>
      <c r="F252" s="203"/>
    </row>
    <row r="253" spans="1:10" x14ac:dyDescent="0.25">
      <c r="A253" s="309" t="s">
        <v>236</v>
      </c>
      <c r="B253" s="276"/>
      <c r="C253" s="276"/>
      <c r="D253" s="276"/>
      <c r="E253" s="276"/>
      <c r="F253" s="276"/>
      <c r="G253" s="276"/>
      <c r="H253" s="276"/>
      <c r="I253" s="276"/>
    </row>
    <row r="254" spans="1:10" x14ac:dyDescent="0.25">
      <c r="A254" s="308" t="s">
        <v>258</v>
      </c>
      <c r="B254" s="276"/>
      <c r="C254" s="276"/>
      <c r="D254" s="276"/>
      <c r="F254" s="308" t="s">
        <v>259</v>
      </c>
      <c r="G254" s="276"/>
      <c r="H254" s="276"/>
      <c r="I254" s="276"/>
    </row>
    <row r="255" spans="1:10" ht="30" x14ac:dyDescent="0.25">
      <c r="A255" s="151" t="s">
        <v>182</v>
      </c>
      <c r="B255" s="3" t="s">
        <v>176</v>
      </c>
      <c r="C255" s="3" t="s">
        <v>177</v>
      </c>
      <c r="D255" s="3" t="s">
        <v>207</v>
      </c>
      <c r="E255" s="207" t="s">
        <v>234</v>
      </c>
      <c r="F255" s="151" t="s">
        <v>182</v>
      </c>
      <c r="G255" s="3" t="s">
        <v>176</v>
      </c>
      <c r="H255" s="3" t="s">
        <v>177</v>
      </c>
      <c r="I255" s="3" t="s">
        <v>207</v>
      </c>
      <c r="J255" s="207" t="s">
        <v>234</v>
      </c>
    </row>
    <row r="256" spans="1:10" x14ac:dyDescent="0.25">
      <c r="A256" s="102" t="s">
        <v>84</v>
      </c>
      <c r="B256" s="204">
        <f>$B$180*$C$172+(1-$B$180)*B242</f>
        <v>0.31180790960451976</v>
      </c>
      <c r="C256" s="204">
        <f>$B$180*$C$173+(1-$B$180)*C242</f>
        <v>0.33483050847457618</v>
      </c>
      <c r="D256" s="204">
        <f>$B$180*$C$174+(1-$B$180)*D242</f>
        <v>0.35336158192090394</v>
      </c>
      <c r="E256" s="206">
        <f>SUM(B256:D256)</f>
        <v>0.99999999999999989</v>
      </c>
      <c r="F256" s="102" t="s">
        <v>84</v>
      </c>
      <c r="G256" s="204">
        <f>$B$180*$C$172+(1-$B$180)*G242</f>
        <v>0.30556067588325653</v>
      </c>
      <c r="H256" s="204">
        <f>$B$180*$C$173+(1-$B$180)*H242</f>
        <v>0.34135176651305676</v>
      </c>
      <c r="I256" s="204">
        <f>$B$180*$C$174+(1-$B$180)*I242</f>
        <v>0.35308755760368671</v>
      </c>
      <c r="J256" s="206">
        <f>SUM(G256:I256)</f>
        <v>1</v>
      </c>
    </row>
    <row r="257" spans="1:25" x14ac:dyDescent="0.25">
      <c r="A257" s="102" t="s">
        <v>73</v>
      </c>
      <c r="B257" s="204">
        <f t="shared" ref="B257:B265" si="133">$B$180*$C$172+(1-$B$180)*B243</f>
        <v>0.33583333333333332</v>
      </c>
      <c r="C257" s="204">
        <f t="shared" ref="C257:C265" si="134">$B$180*$C$173+(1-$B$180)*C243</f>
        <v>0.30555555555555558</v>
      </c>
      <c r="D257" s="204">
        <f t="shared" ref="D257:D265" si="135">$B$180*$C$174+(1-$B$180)*D243</f>
        <v>0.35861111111111116</v>
      </c>
      <c r="E257" s="206">
        <f t="shared" ref="E257:E265" si="136">SUM(B257:D257)</f>
        <v>1</v>
      </c>
      <c r="F257" s="102" t="s">
        <v>73</v>
      </c>
      <c r="G257" s="204">
        <f t="shared" ref="G257:G265" si="137">$B$180*$C$172+(1-$B$180)*G243</f>
        <v>0.33799610894941634</v>
      </c>
      <c r="H257" s="204">
        <f t="shared" ref="H257:H265" si="138">$B$180*$C$173+(1-$B$180)*H243</f>
        <v>0.30385214007782102</v>
      </c>
      <c r="I257" s="204">
        <f t="shared" ref="I257:I265" si="139">$B$180*$C$174+(1-$B$180)*I243</f>
        <v>0.35815175097276264</v>
      </c>
      <c r="J257" s="206">
        <f t="shared" ref="J257:J265" si="140">SUM(G257:I257)</f>
        <v>1</v>
      </c>
    </row>
    <row r="258" spans="1:25" x14ac:dyDescent="0.25">
      <c r="A258" s="102" t="s">
        <v>74</v>
      </c>
      <c r="B258" s="204">
        <f t="shared" si="133"/>
        <v>0.33532846715328468</v>
      </c>
      <c r="C258" s="204">
        <f t="shared" si="134"/>
        <v>0.27310218978102185</v>
      </c>
      <c r="D258" s="204">
        <f t="shared" si="135"/>
        <v>0.39156934306569346</v>
      </c>
      <c r="E258" s="206">
        <f t="shared" si="136"/>
        <v>1</v>
      </c>
      <c r="F258" s="102" t="s">
        <v>74</v>
      </c>
      <c r="G258" s="204">
        <f t="shared" si="137"/>
        <v>0.33829971181556195</v>
      </c>
      <c r="H258" s="204">
        <f t="shared" si="138"/>
        <v>0.26027377521613837</v>
      </c>
      <c r="I258" s="204">
        <f t="shared" si="139"/>
        <v>0.40142651296829979</v>
      </c>
      <c r="J258" s="206">
        <f t="shared" si="140"/>
        <v>1</v>
      </c>
    </row>
    <row r="259" spans="1:25" x14ac:dyDescent="0.25">
      <c r="A259" s="102" t="s">
        <v>75</v>
      </c>
      <c r="B259" s="204">
        <f t="shared" si="133"/>
        <v>0.35825363825363821</v>
      </c>
      <c r="C259" s="204">
        <f t="shared" si="134"/>
        <v>0.33621621621621622</v>
      </c>
      <c r="D259" s="204">
        <f t="shared" si="135"/>
        <v>0.30553014553014557</v>
      </c>
      <c r="E259" s="206">
        <f t="shared" si="136"/>
        <v>1</v>
      </c>
      <c r="F259" s="102" t="s">
        <v>75</v>
      </c>
      <c r="G259" s="204">
        <f t="shared" si="137"/>
        <v>0.36783673469387751</v>
      </c>
      <c r="H259" s="204">
        <f t="shared" si="138"/>
        <v>0.3431020408163265</v>
      </c>
      <c r="I259" s="204">
        <f t="shared" si="139"/>
        <v>0.28906122448979593</v>
      </c>
      <c r="J259" s="206">
        <f t="shared" si="140"/>
        <v>1</v>
      </c>
    </row>
    <row r="260" spans="1:25" x14ac:dyDescent="0.25">
      <c r="A260" s="102" t="s">
        <v>77</v>
      </c>
      <c r="B260" s="204">
        <f t="shared" si="133"/>
        <v>0.36816878980891721</v>
      </c>
      <c r="C260" s="204">
        <f t="shared" si="134"/>
        <v>0.27286624203821658</v>
      </c>
      <c r="D260" s="204">
        <f t="shared" si="135"/>
        <v>0.35896496815286627</v>
      </c>
      <c r="E260" s="206">
        <f t="shared" si="136"/>
        <v>1</v>
      </c>
      <c r="F260" s="102" t="s">
        <v>77</v>
      </c>
      <c r="G260" s="204">
        <f t="shared" si="137"/>
        <v>0.38124401913875594</v>
      </c>
      <c r="H260" s="204">
        <f t="shared" si="138"/>
        <v>0.25234449760765554</v>
      </c>
      <c r="I260" s="204">
        <f t="shared" si="139"/>
        <v>0.36641148325358852</v>
      </c>
      <c r="J260" s="206">
        <f t="shared" si="140"/>
        <v>1</v>
      </c>
    </row>
    <row r="261" spans="1:25" x14ac:dyDescent="0.25">
      <c r="A261" s="102" t="s">
        <v>78</v>
      </c>
      <c r="B261" s="204">
        <f t="shared" si="133"/>
        <v>0.36861244019138756</v>
      </c>
      <c r="C261" s="204">
        <f t="shared" si="134"/>
        <v>0.30832535885167461</v>
      </c>
      <c r="D261" s="204">
        <f t="shared" si="135"/>
        <v>0.32306220095693783</v>
      </c>
      <c r="E261" s="206">
        <f t="shared" si="136"/>
        <v>1</v>
      </c>
      <c r="F261" s="102" t="s">
        <v>78</v>
      </c>
      <c r="G261" s="204">
        <f t="shared" si="137"/>
        <v>0.38213235294117642</v>
      </c>
      <c r="H261" s="204">
        <f t="shared" si="138"/>
        <v>0.30823529411764705</v>
      </c>
      <c r="I261" s="204">
        <f t="shared" si="139"/>
        <v>0.30963235294117647</v>
      </c>
      <c r="J261" s="206">
        <f t="shared" si="140"/>
        <v>1</v>
      </c>
    </row>
    <row r="262" spans="1:25" x14ac:dyDescent="0.25">
      <c r="A262" s="102" t="s">
        <v>79</v>
      </c>
      <c r="B262" s="204">
        <f t="shared" si="133"/>
        <v>0.35571428571428565</v>
      </c>
      <c r="C262" s="204">
        <f t="shared" si="134"/>
        <v>0.28753246753246753</v>
      </c>
      <c r="D262" s="204">
        <f t="shared" si="135"/>
        <v>0.35675324675324677</v>
      </c>
      <c r="E262" s="206">
        <f t="shared" si="136"/>
        <v>1</v>
      </c>
      <c r="F262" s="102" t="s">
        <v>79</v>
      </c>
      <c r="G262" s="204">
        <f t="shared" si="137"/>
        <v>0.36496124031007748</v>
      </c>
      <c r="H262" s="204">
        <f t="shared" si="138"/>
        <v>0.28072351421188629</v>
      </c>
      <c r="I262" s="204">
        <f t="shared" si="139"/>
        <v>0.35431524547803617</v>
      </c>
      <c r="J262" s="206">
        <f t="shared" si="140"/>
        <v>0.99999999999999989</v>
      </c>
    </row>
    <row r="263" spans="1:25" x14ac:dyDescent="0.25">
      <c r="A263" s="102" t="s">
        <v>80</v>
      </c>
      <c r="B263" s="204">
        <f t="shared" si="133"/>
        <v>0.32717788675880516</v>
      </c>
      <c r="C263" s="204">
        <f t="shared" si="134"/>
        <v>0.33105662059741414</v>
      </c>
      <c r="D263" s="204">
        <f t="shared" si="135"/>
        <v>0.3417654926437807</v>
      </c>
      <c r="E263" s="206">
        <f t="shared" si="136"/>
        <v>1</v>
      </c>
      <c r="F263" s="102" t="s">
        <v>80</v>
      </c>
      <c r="G263" s="204">
        <f t="shared" si="137"/>
        <v>0.32695488721804511</v>
      </c>
      <c r="H263" s="204">
        <f t="shared" si="138"/>
        <v>0.33358082706766917</v>
      </c>
      <c r="I263" s="204">
        <f t="shared" si="139"/>
        <v>0.33946428571428577</v>
      </c>
      <c r="J263" s="206">
        <f t="shared" si="140"/>
        <v>1</v>
      </c>
    </row>
    <row r="264" spans="1:25" x14ac:dyDescent="0.25">
      <c r="A264" s="102" t="s">
        <v>82</v>
      </c>
      <c r="B264" s="204">
        <f t="shared" si="133"/>
        <v>0.34848244620611551</v>
      </c>
      <c r="C264" s="204">
        <f t="shared" si="134"/>
        <v>0.31535673839184597</v>
      </c>
      <c r="D264" s="204">
        <f t="shared" si="135"/>
        <v>0.33616081540203857</v>
      </c>
      <c r="E264" s="206">
        <f t="shared" si="136"/>
        <v>1</v>
      </c>
      <c r="F264" s="102" t="s">
        <v>82</v>
      </c>
      <c r="G264" s="204">
        <f t="shared" si="137"/>
        <v>0.35455928979074192</v>
      </c>
      <c r="H264" s="204">
        <f t="shared" si="138"/>
        <v>0.30890298034242236</v>
      </c>
      <c r="I264" s="204">
        <f t="shared" si="139"/>
        <v>0.33653772986683578</v>
      </c>
      <c r="J264" s="206">
        <f t="shared" si="140"/>
        <v>1</v>
      </c>
    </row>
    <row r="265" spans="1:25" x14ac:dyDescent="0.25">
      <c r="A265" s="102" t="s">
        <v>83</v>
      </c>
      <c r="B265" s="204">
        <f t="shared" si="133"/>
        <v>0.30133086876155268</v>
      </c>
      <c r="C265" s="204">
        <f t="shared" si="134"/>
        <v>0.30890942698706103</v>
      </c>
      <c r="D265" s="204">
        <f t="shared" si="135"/>
        <v>0.38975970425138634</v>
      </c>
      <c r="E265" s="206">
        <f t="shared" si="136"/>
        <v>1</v>
      </c>
      <c r="F265" s="102" t="s">
        <v>83</v>
      </c>
      <c r="G265" s="204">
        <f t="shared" si="137"/>
        <v>0.29648320228734809</v>
      </c>
      <c r="H265" s="204">
        <f t="shared" si="138"/>
        <v>0.30613295210864899</v>
      </c>
      <c r="I265" s="204">
        <f t="shared" si="139"/>
        <v>0.39738384560400286</v>
      </c>
      <c r="J265" s="206">
        <f t="shared" si="140"/>
        <v>1</v>
      </c>
    </row>
    <row r="267" spans="1:25" ht="15.75" thickBot="1" x14ac:dyDescent="0.3">
      <c r="A267" s="1" t="s">
        <v>260</v>
      </c>
    </row>
    <row r="268" spans="1:25" ht="15.75" thickBot="1" x14ac:dyDescent="0.3">
      <c r="A268" s="304" t="s">
        <v>86</v>
      </c>
      <c r="B268" s="303" t="s">
        <v>209</v>
      </c>
      <c r="C268" s="306"/>
      <c r="D268" s="306"/>
      <c r="E268" s="306"/>
      <c r="F268" s="306"/>
      <c r="G268" s="306"/>
      <c r="H268" s="306"/>
      <c r="I268" s="307"/>
      <c r="J268" s="303" t="s">
        <v>210</v>
      </c>
      <c r="K268" s="306"/>
      <c r="L268" s="306"/>
      <c r="M268" s="306"/>
      <c r="N268" s="306"/>
      <c r="O268" s="306"/>
      <c r="P268" s="306"/>
      <c r="Q268" s="307"/>
      <c r="R268" s="303" t="s">
        <v>211</v>
      </c>
      <c r="S268" s="306"/>
      <c r="T268" s="306"/>
      <c r="U268" s="306"/>
      <c r="V268" s="306"/>
      <c r="W268" s="306"/>
      <c r="X268" s="306"/>
      <c r="Y268" s="307"/>
    </row>
    <row r="269" spans="1:25" ht="33.75" customHeight="1" thickBot="1" x14ac:dyDescent="0.3">
      <c r="A269" s="305"/>
      <c r="B269" s="300" t="s">
        <v>17</v>
      </c>
      <c r="C269" s="301"/>
      <c r="D269" s="301"/>
      <c r="E269" s="302"/>
      <c r="F269" s="303" t="s">
        <v>18</v>
      </c>
      <c r="G269" s="301"/>
      <c r="H269" s="301"/>
      <c r="I269" s="302"/>
      <c r="J269" s="300" t="s">
        <v>17</v>
      </c>
      <c r="K269" s="301"/>
      <c r="L269" s="301"/>
      <c r="M269" s="302"/>
      <c r="N269" s="303" t="s">
        <v>18</v>
      </c>
      <c r="O269" s="301"/>
      <c r="P269" s="301"/>
      <c r="Q269" s="302"/>
      <c r="R269" s="300" t="s">
        <v>17</v>
      </c>
      <c r="S269" s="301"/>
      <c r="T269" s="301"/>
      <c r="U269" s="302"/>
      <c r="V269" s="303" t="s">
        <v>18</v>
      </c>
      <c r="W269" s="301"/>
      <c r="X269" s="301"/>
      <c r="Y269" s="302"/>
    </row>
    <row r="270" spans="1:25" x14ac:dyDescent="0.25">
      <c r="A270" s="169" t="s">
        <v>84</v>
      </c>
      <c r="B270" s="11">
        <f t="shared" ref="B270:I279" si="141">BG12</f>
        <v>6.4600000000000009</v>
      </c>
      <c r="C270" s="12">
        <f t="shared" si="141"/>
        <v>12.6</v>
      </c>
      <c r="D270" s="12">
        <f t="shared" si="141"/>
        <v>15.81</v>
      </c>
      <c r="E270" s="13">
        <f t="shared" si="141"/>
        <v>20.655000000000001</v>
      </c>
      <c r="F270" s="11">
        <f t="shared" si="141"/>
        <v>8.3199999999999985</v>
      </c>
      <c r="G270" s="12">
        <f t="shared" si="141"/>
        <v>12.6</v>
      </c>
      <c r="H270" s="12">
        <f t="shared" si="141"/>
        <v>15.81</v>
      </c>
      <c r="I270" s="166">
        <f t="shared" si="141"/>
        <v>19.03</v>
      </c>
      <c r="J270" s="11">
        <f t="shared" ref="J270:Q279" si="142">BG64</f>
        <v>4.22</v>
      </c>
      <c r="K270" s="12">
        <f t="shared" si="142"/>
        <v>9.89</v>
      </c>
      <c r="L270" s="12">
        <f t="shared" si="142"/>
        <v>15.18</v>
      </c>
      <c r="M270" s="13">
        <f t="shared" si="142"/>
        <v>21.215000000000003</v>
      </c>
      <c r="N270" s="11">
        <f t="shared" si="142"/>
        <v>5.6749999999999989</v>
      </c>
      <c r="O270" s="12">
        <f t="shared" si="142"/>
        <v>9.89</v>
      </c>
      <c r="P270" s="12">
        <f t="shared" si="142"/>
        <v>15.18</v>
      </c>
      <c r="Q270" s="13">
        <f t="shared" si="142"/>
        <v>19.23</v>
      </c>
      <c r="R270" s="11">
        <f t="shared" ref="R270:Y279" si="143">BG116</f>
        <v>5.0450000000000008</v>
      </c>
      <c r="S270" s="12">
        <f t="shared" si="143"/>
        <v>9.9149999999999991</v>
      </c>
      <c r="T270" s="12">
        <f t="shared" si="143"/>
        <v>13.555</v>
      </c>
      <c r="U270" s="13">
        <f t="shared" si="143"/>
        <v>18.465</v>
      </c>
      <c r="V270" s="11">
        <f t="shared" si="143"/>
        <v>6.4289999999999994</v>
      </c>
      <c r="W270" s="12">
        <f t="shared" si="143"/>
        <v>9.9149999999999991</v>
      </c>
      <c r="X270" s="12">
        <f t="shared" si="143"/>
        <v>13.555</v>
      </c>
      <c r="Y270" s="13">
        <f t="shared" si="143"/>
        <v>16.830000000000002</v>
      </c>
    </row>
    <row r="271" spans="1:25" x14ac:dyDescent="0.25">
      <c r="A271" s="164" t="s">
        <v>73</v>
      </c>
      <c r="B271" s="9">
        <f t="shared" si="141"/>
        <v>1.1550000000000002</v>
      </c>
      <c r="C271" s="2">
        <f t="shared" si="141"/>
        <v>4.4550000000000001</v>
      </c>
      <c r="D271" s="2">
        <f t="shared" si="141"/>
        <v>9.0749999999999993</v>
      </c>
      <c r="E271" s="10">
        <f t="shared" si="141"/>
        <v>14.025</v>
      </c>
      <c r="F271" s="9">
        <f t="shared" si="141"/>
        <v>1.8190000000000008</v>
      </c>
      <c r="G271" s="2">
        <f t="shared" si="141"/>
        <v>4.4550000000000001</v>
      </c>
      <c r="H271" s="2">
        <f t="shared" si="141"/>
        <v>9.0749999999999993</v>
      </c>
      <c r="I271" s="159">
        <f t="shared" si="141"/>
        <v>12.430000000000003</v>
      </c>
      <c r="J271" s="9">
        <f t="shared" si="142"/>
        <v>1.1550000000000002</v>
      </c>
      <c r="K271" s="2">
        <f t="shared" si="142"/>
        <v>5.5550000000000006</v>
      </c>
      <c r="L271" s="2">
        <f t="shared" si="142"/>
        <v>11.275</v>
      </c>
      <c r="M271" s="10">
        <f t="shared" si="142"/>
        <v>16.775000000000002</v>
      </c>
      <c r="N271" s="9">
        <f t="shared" si="142"/>
        <v>1.9650000000000007</v>
      </c>
      <c r="O271" s="2">
        <f t="shared" si="142"/>
        <v>5.5550000000000006</v>
      </c>
      <c r="P271" s="2">
        <f t="shared" si="142"/>
        <v>11.275</v>
      </c>
      <c r="Q271" s="10">
        <f t="shared" si="142"/>
        <v>15.030000000000005</v>
      </c>
      <c r="R271" s="180">
        <f t="shared" si="143"/>
        <v>0.60499999999999998</v>
      </c>
      <c r="S271" s="181">
        <f t="shared" si="143"/>
        <v>3.6300000000000008</v>
      </c>
      <c r="T271" s="181">
        <f t="shared" si="143"/>
        <v>8.25</v>
      </c>
      <c r="U271" s="182">
        <f t="shared" si="143"/>
        <v>12.9</v>
      </c>
      <c r="V271" s="180">
        <f t="shared" si="143"/>
        <v>1.0249999999999999</v>
      </c>
      <c r="W271" s="181">
        <f t="shared" si="143"/>
        <v>3.6300000000000008</v>
      </c>
      <c r="X271" s="181">
        <f t="shared" si="143"/>
        <v>8.25</v>
      </c>
      <c r="Y271" s="182">
        <f t="shared" si="143"/>
        <v>11.430000000000001</v>
      </c>
    </row>
    <row r="272" spans="1:25" x14ac:dyDescent="0.25">
      <c r="A272" s="164" t="s">
        <v>74</v>
      </c>
      <c r="B272" s="9">
        <f t="shared" si="141"/>
        <v>4.0150000000000006</v>
      </c>
      <c r="C272" s="2">
        <f t="shared" si="141"/>
        <v>7.4250000000000007</v>
      </c>
      <c r="D272" s="2">
        <f t="shared" si="141"/>
        <v>12.705000000000002</v>
      </c>
      <c r="E272" s="10">
        <f t="shared" si="141"/>
        <v>19.965</v>
      </c>
      <c r="F272" s="9">
        <f t="shared" si="141"/>
        <v>5.08</v>
      </c>
      <c r="G272" s="2">
        <f t="shared" si="141"/>
        <v>7.4250000000000007</v>
      </c>
      <c r="H272" s="2">
        <f t="shared" si="141"/>
        <v>12.705000000000002</v>
      </c>
      <c r="I272" s="159">
        <f t="shared" si="141"/>
        <v>17.489999999999998</v>
      </c>
      <c r="J272" s="9">
        <f t="shared" si="142"/>
        <v>7.3000000000000007</v>
      </c>
      <c r="K272" s="2">
        <f t="shared" si="142"/>
        <v>13.325000000000001</v>
      </c>
      <c r="L272" s="2">
        <f t="shared" si="142"/>
        <v>18.395</v>
      </c>
      <c r="M272" s="10">
        <f t="shared" si="142"/>
        <v>25.310000000000002</v>
      </c>
      <c r="N272" s="9">
        <f t="shared" si="142"/>
        <v>9.1149999999999984</v>
      </c>
      <c r="O272" s="2">
        <f t="shared" si="142"/>
        <v>13.325000000000001</v>
      </c>
      <c r="P272" s="2">
        <f t="shared" si="142"/>
        <v>18.395</v>
      </c>
      <c r="Q272" s="10">
        <f t="shared" si="142"/>
        <v>22.96</v>
      </c>
      <c r="R272" s="9">
        <f t="shared" si="143"/>
        <v>4.8249999999999993</v>
      </c>
      <c r="S272" s="2">
        <f t="shared" si="143"/>
        <v>9.4499999999999993</v>
      </c>
      <c r="T272" s="2">
        <f t="shared" si="143"/>
        <v>13.97</v>
      </c>
      <c r="U272" s="10">
        <f t="shared" si="143"/>
        <v>20.310000000000002</v>
      </c>
      <c r="V272" s="9">
        <f t="shared" si="143"/>
        <v>6.2499999999999982</v>
      </c>
      <c r="W272" s="2">
        <f t="shared" si="143"/>
        <v>9.4499999999999993</v>
      </c>
      <c r="X272" s="2">
        <f t="shared" si="143"/>
        <v>13.97</v>
      </c>
      <c r="Y272" s="10">
        <f t="shared" si="143"/>
        <v>18.159999999999997</v>
      </c>
    </row>
    <row r="273" spans="1:40" x14ac:dyDescent="0.25">
      <c r="A273" s="164" t="s">
        <v>75</v>
      </c>
      <c r="B273" s="9">
        <f t="shared" si="141"/>
        <v>5.6500000000000012</v>
      </c>
      <c r="C273" s="2">
        <f t="shared" si="141"/>
        <v>10.574999999999999</v>
      </c>
      <c r="D273" s="2">
        <f t="shared" si="141"/>
        <v>14.545000000000002</v>
      </c>
      <c r="E273" s="10">
        <f t="shared" si="141"/>
        <v>20.309999999999999</v>
      </c>
      <c r="F273" s="9">
        <f t="shared" si="141"/>
        <v>7.15</v>
      </c>
      <c r="G273" s="2">
        <f t="shared" si="141"/>
        <v>10.574999999999999</v>
      </c>
      <c r="H273" s="2">
        <f t="shared" si="141"/>
        <v>14.545000000000002</v>
      </c>
      <c r="I273" s="159">
        <f t="shared" si="141"/>
        <v>18.36</v>
      </c>
      <c r="J273" s="9">
        <f t="shared" si="142"/>
        <v>6.1450000000000005</v>
      </c>
      <c r="K273" s="2">
        <f t="shared" si="142"/>
        <v>11.840000000000002</v>
      </c>
      <c r="L273" s="2">
        <f t="shared" si="142"/>
        <v>16.579999999999998</v>
      </c>
      <c r="M273" s="10">
        <f t="shared" si="142"/>
        <v>22.340000000000003</v>
      </c>
      <c r="N273" s="9">
        <f t="shared" si="142"/>
        <v>7.5999999999999979</v>
      </c>
      <c r="O273" s="2">
        <f t="shared" si="142"/>
        <v>11.840000000000002</v>
      </c>
      <c r="P273" s="2">
        <f t="shared" si="142"/>
        <v>16.579999999999998</v>
      </c>
      <c r="Q273" s="10">
        <f t="shared" si="142"/>
        <v>20.43</v>
      </c>
      <c r="R273" s="9">
        <f t="shared" si="143"/>
        <v>2.1950000000000003</v>
      </c>
      <c r="S273" s="2">
        <f t="shared" si="143"/>
        <v>6.0149999999999997</v>
      </c>
      <c r="T273" s="2">
        <f t="shared" si="143"/>
        <v>10.755000000000001</v>
      </c>
      <c r="U273" s="10">
        <f t="shared" si="143"/>
        <v>16.215000000000003</v>
      </c>
      <c r="V273" s="9">
        <f t="shared" si="143"/>
        <v>3.1250000000000009</v>
      </c>
      <c r="W273" s="2">
        <f t="shared" si="143"/>
        <v>6.0149999999999997</v>
      </c>
      <c r="X273" s="2">
        <f t="shared" si="143"/>
        <v>10.755000000000001</v>
      </c>
      <c r="Y273" s="10">
        <f t="shared" si="143"/>
        <v>14.430000000000003</v>
      </c>
    </row>
    <row r="274" spans="1:40" x14ac:dyDescent="0.25">
      <c r="A274" s="164" t="s">
        <v>77</v>
      </c>
      <c r="B274" s="9">
        <f t="shared" si="141"/>
        <v>4.45</v>
      </c>
      <c r="C274" s="2">
        <f t="shared" si="141"/>
        <v>8.3250000000000011</v>
      </c>
      <c r="D274" s="2">
        <f t="shared" si="141"/>
        <v>13.395</v>
      </c>
      <c r="E274" s="10">
        <f t="shared" si="141"/>
        <v>20.310000000000002</v>
      </c>
      <c r="F274" s="9">
        <f t="shared" si="141"/>
        <v>5.6650000000000009</v>
      </c>
      <c r="G274" s="2">
        <f t="shared" si="141"/>
        <v>8.3250000000000011</v>
      </c>
      <c r="H274" s="2">
        <f t="shared" si="141"/>
        <v>13.395</v>
      </c>
      <c r="I274" s="159">
        <f t="shared" si="141"/>
        <v>17.96</v>
      </c>
      <c r="J274" s="9">
        <f t="shared" si="142"/>
        <v>7.3000000000000007</v>
      </c>
      <c r="K274" s="2">
        <f t="shared" si="142"/>
        <v>13.325000000000001</v>
      </c>
      <c r="L274" s="2">
        <f t="shared" si="142"/>
        <v>18.395</v>
      </c>
      <c r="M274" s="10">
        <f t="shared" si="142"/>
        <v>25.310000000000002</v>
      </c>
      <c r="N274" s="9">
        <f t="shared" si="142"/>
        <v>9.1149999999999984</v>
      </c>
      <c r="O274" s="2">
        <f t="shared" si="142"/>
        <v>13.325000000000001</v>
      </c>
      <c r="P274" s="2">
        <f t="shared" si="142"/>
        <v>18.395</v>
      </c>
      <c r="Q274" s="10">
        <f t="shared" si="142"/>
        <v>22.96</v>
      </c>
      <c r="R274" s="9">
        <f t="shared" si="143"/>
        <v>2.57</v>
      </c>
      <c r="S274" s="2">
        <f t="shared" si="143"/>
        <v>7.14</v>
      </c>
      <c r="T274" s="2">
        <f t="shared" si="143"/>
        <v>11.33</v>
      </c>
      <c r="U274" s="10">
        <f t="shared" si="143"/>
        <v>16.215</v>
      </c>
      <c r="V274" s="9">
        <f t="shared" si="143"/>
        <v>3.7099999999999991</v>
      </c>
      <c r="W274" s="2">
        <f t="shared" si="143"/>
        <v>7.14</v>
      </c>
      <c r="X274" s="2">
        <f t="shared" si="143"/>
        <v>11.33</v>
      </c>
      <c r="Y274" s="10">
        <f t="shared" si="143"/>
        <v>14.63</v>
      </c>
    </row>
    <row r="275" spans="1:40" x14ac:dyDescent="0.25">
      <c r="A275" s="164" t="s">
        <v>78</v>
      </c>
      <c r="B275" s="9">
        <f t="shared" si="141"/>
        <v>4.495000000000001</v>
      </c>
      <c r="C275" s="2">
        <f t="shared" si="141"/>
        <v>9.09</v>
      </c>
      <c r="D275" s="2">
        <f t="shared" si="141"/>
        <v>12.73</v>
      </c>
      <c r="E275" s="10">
        <f t="shared" si="141"/>
        <v>17.34</v>
      </c>
      <c r="F275" s="9">
        <f t="shared" si="141"/>
        <v>5.6349999999999989</v>
      </c>
      <c r="G275" s="2">
        <f t="shared" si="141"/>
        <v>9.09</v>
      </c>
      <c r="H275" s="2">
        <f t="shared" si="141"/>
        <v>12.73</v>
      </c>
      <c r="I275" s="159">
        <f t="shared" si="141"/>
        <v>15.83</v>
      </c>
      <c r="J275" s="9">
        <f t="shared" si="142"/>
        <v>6.1450000000000005</v>
      </c>
      <c r="K275" s="2">
        <f t="shared" si="142"/>
        <v>11.840000000000002</v>
      </c>
      <c r="L275" s="2">
        <f t="shared" si="142"/>
        <v>16.579999999999998</v>
      </c>
      <c r="M275" s="10">
        <f t="shared" si="142"/>
        <v>22.340000000000003</v>
      </c>
      <c r="N275" s="9">
        <f t="shared" si="142"/>
        <v>7.5999999999999979</v>
      </c>
      <c r="O275" s="2">
        <f t="shared" si="142"/>
        <v>11.840000000000002</v>
      </c>
      <c r="P275" s="2">
        <f t="shared" si="142"/>
        <v>16.579999999999998</v>
      </c>
      <c r="Q275" s="10">
        <f t="shared" si="142"/>
        <v>20.43</v>
      </c>
      <c r="R275" s="9">
        <f t="shared" si="143"/>
        <v>1.1550000000000002</v>
      </c>
      <c r="S275" s="2">
        <f t="shared" si="143"/>
        <v>4.4550000000000001</v>
      </c>
      <c r="T275" s="2">
        <f t="shared" si="143"/>
        <v>9.0750000000000011</v>
      </c>
      <c r="U275" s="10">
        <f t="shared" si="143"/>
        <v>14.025</v>
      </c>
      <c r="V275" s="9">
        <f t="shared" si="143"/>
        <v>1.8190000000000008</v>
      </c>
      <c r="W275" s="2">
        <f t="shared" si="143"/>
        <v>4.4550000000000001</v>
      </c>
      <c r="X275" s="2">
        <f t="shared" si="143"/>
        <v>9.0750000000000011</v>
      </c>
      <c r="Y275" s="10">
        <f t="shared" si="143"/>
        <v>12.430000000000003</v>
      </c>
    </row>
    <row r="276" spans="1:40" x14ac:dyDescent="0.25">
      <c r="A276" s="164" t="s">
        <v>79</v>
      </c>
      <c r="B276" s="9">
        <f t="shared" si="141"/>
        <v>4.495000000000001</v>
      </c>
      <c r="C276" s="2">
        <f t="shared" si="141"/>
        <v>9.09</v>
      </c>
      <c r="D276" s="2">
        <f t="shared" si="141"/>
        <v>12.73</v>
      </c>
      <c r="E276" s="10">
        <f t="shared" si="141"/>
        <v>17.34</v>
      </c>
      <c r="F276" s="9">
        <f t="shared" si="141"/>
        <v>5.6349999999999989</v>
      </c>
      <c r="G276" s="2">
        <f t="shared" si="141"/>
        <v>9.09</v>
      </c>
      <c r="H276" s="2">
        <f t="shared" si="141"/>
        <v>12.73</v>
      </c>
      <c r="I276" s="159">
        <f t="shared" si="141"/>
        <v>15.83</v>
      </c>
      <c r="J276" s="9">
        <f t="shared" si="142"/>
        <v>6.1450000000000005</v>
      </c>
      <c r="K276" s="2">
        <f t="shared" si="142"/>
        <v>11.840000000000002</v>
      </c>
      <c r="L276" s="2">
        <f t="shared" si="142"/>
        <v>16.579999999999998</v>
      </c>
      <c r="M276" s="10">
        <f t="shared" si="142"/>
        <v>22.340000000000003</v>
      </c>
      <c r="N276" s="9">
        <f t="shared" si="142"/>
        <v>7.5999999999999979</v>
      </c>
      <c r="O276" s="2">
        <f t="shared" si="142"/>
        <v>11.840000000000002</v>
      </c>
      <c r="P276" s="2">
        <f t="shared" si="142"/>
        <v>16.579999999999998</v>
      </c>
      <c r="Q276" s="10">
        <f t="shared" si="142"/>
        <v>20.43</v>
      </c>
      <c r="R276" s="9">
        <f t="shared" si="143"/>
        <v>2.1950000000000003</v>
      </c>
      <c r="S276" s="2">
        <f t="shared" si="143"/>
        <v>6.0149999999999997</v>
      </c>
      <c r="T276" s="2">
        <f t="shared" si="143"/>
        <v>10.755000000000001</v>
      </c>
      <c r="U276" s="10">
        <f t="shared" si="143"/>
        <v>16.215000000000003</v>
      </c>
      <c r="V276" s="9">
        <f t="shared" si="143"/>
        <v>3.1250000000000009</v>
      </c>
      <c r="W276" s="2">
        <f t="shared" si="143"/>
        <v>6.0149999999999997</v>
      </c>
      <c r="X276" s="2">
        <f t="shared" si="143"/>
        <v>10.755000000000001</v>
      </c>
      <c r="Y276" s="10">
        <f t="shared" si="143"/>
        <v>14.430000000000003</v>
      </c>
    </row>
    <row r="277" spans="1:40" x14ac:dyDescent="0.25">
      <c r="A277" s="164" t="s">
        <v>80</v>
      </c>
      <c r="B277" s="9">
        <f t="shared" si="141"/>
        <v>5.26</v>
      </c>
      <c r="C277" s="2">
        <f t="shared" si="141"/>
        <v>10.350000000000001</v>
      </c>
      <c r="D277" s="2">
        <f t="shared" si="141"/>
        <v>14.66</v>
      </c>
      <c r="E277" s="10">
        <f t="shared" si="141"/>
        <v>20.655000000000001</v>
      </c>
      <c r="F277" s="9">
        <f t="shared" si="141"/>
        <v>6.8349999999999991</v>
      </c>
      <c r="G277" s="2">
        <f t="shared" si="141"/>
        <v>10.350000000000001</v>
      </c>
      <c r="H277" s="2">
        <f t="shared" si="141"/>
        <v>14.66</v>
      </c>
      <c r="I277" s="159">
        <f t="shared" si="141"/>
        <v>18.63</v>
      </c>
      <c r="J277" s="9">
        <f t="shared" si="142"/>
        <v>4.22</v>
      </c>
      <c r="K277" s="2">
        <f t="shared" si="142"/>
        <v>9.89</v>
      </c>
      <c r="L277" s="2">
        <f t="shared" si="142"/>
        <v>15.18</v>
      </c>
      <c r="M277" s="10">
        <f t="shared" si="142"/>
        <v>21.215000000000003</v>
      </c>
      <c r="N277" s="9">
        <f t="shared" si="142"/>
        <v>5.6749999999999989</v>
      </c>
      <c r="O277" s="2">
        <f t="shared" si="142"/>
        <v>9.89</v>
      </c>
      <c r="P277" s="2">
        <f t="shared" si="142"/>
        <v>15.18</v>
      </c>
      <c r="Q277" s="10">
        <f t="shared" si="142"/>
        <v>19.23</v>
      </c>
      <c r="R277" s="9">
        <f t="shared" si="143"/>
        <v>4.495000000000001</v>
      </c>
      <c r="S277" s="2">
        <f t="shared" si="143"/>
        <v>9.09</v>
      </c>
      <c r="T277" s="2">
        <f t="shared" si="143"/>
        <v>12.73</v>
      </c>
      <c r="U277" s="10">
        <f t="shared" si="143"/>
        <v>17.34</v>
      </c>
      <c r="V277" s="9">
        <f t="shared" si="143"/>
        <v>5.6349999999999989</v>
      </c>
      <c r="W277" s="2">
        <f t="shared" si="143"/>
        <v>9.09</v>
      </c>
      <c r="X277" s="2">
        <f t="shared" si="143"/>
        <v>12.73</v>
      </c>
      <c r="Y277" s="10">
        <f t="shared" si="143"/>
        <v>15.83</v>
      </c>
    </row>
    <row r="278" spans="1:40" x14ac:dyDescent="0.25">
      <c r="A278" s="164" t="s">
        <v>82</v>
      </c>
      <c r="B278" s="9">
        <f t="shared" si="141"/>
        <v>4.45</v>
      </c>
      <c r="C278" s="2">
        <f t="shared" si="141"/>
        <v>8.3250000000000011</v>
      </c>
      <c r="D278" s="2">
        <f t="shared" si="141"/>
        <v>13.395</v>
      </c>
      <c r="E278" s="10">
        <f t="shared" si="141"/>
        <v>20.310000000000002</v>
      </c>
      <c r="F278" s="9">
        <f t="shared" si="141"/>
        <v>5.6650000000000009</v>
      </c>
      <c r="G278" s="2">
        <f t="shared" si="141"/>
        <v>8.3250000000000011</v>
      </c>
      <c r="H278" s="2">
        <f t="shared" si="141"/>
        <v>13.395</v>
      </c>
      <c r="I278" s="159">
        <f t="shared" si="141"/>
        <v>17.96</v>
      </c>
      <c r="J278" s="9">
        <f t="shared" si="142"/>
        <v>5.0450000000000008</v>
      </c>
      <c r="K278" s="2">
        <f t="shared" si="142"/>
        <v>11.015000000000001</v>
      </c>
      <c r="L278" s="2">
        <f t="shared" si="142"/>
        <v>15.754999999999999</v>
      </c>
      <c r="M278" s="10">
        <f t="shared" si="142"/>
        <v>21.215</v>
      </c>
      <c r="N278" s="9">
        <f t="shared" si="142"/>
        <v>6.5749999999999993</v>
      </c>
      <c r="O278" s="2">
        <f t="shared" si="142"/>
        <v>11.015000000000001</v>
      </c>
      <c r="P278" s="2">
        <f t="shared" si="142"/>
        <v>15.754999999999999</v>
      </c>
      <c r="Q278" s="10">
        <f t="shared" si="142"/>
        <v>19.430000000000003</v>
      </c>
      <c r="R278" s="9">
        <f t="shared" si="143"/>
        <v>2.57</v>
      </c>
      <c r="S278" s="2">
        <f t="shared" si="143"/>
        <v>7.14</v>
      </c>
      <c r="T278" s="2">
        <f t="shared" si="143"/>
        <v>11.33</v>
      </c>
      <c r="U278" s="10">
        <f t="shared" si="143"/>
        <v>16.215</v>
      </c>
      <c r="V278" s="9">
        <f t="shared" si="143"/>
        <v>3.7099999999999991</v>
      </c>
      <c r="W278" s="2">
        <f t="shared" si="143"/>
        <v>7.14</v>
      </c>
      <c r="X278" s="2">
        <f t="shared" si="143"/>
        <v>11.33</v>
      </c>
      <c r="Y278" s="10">
        <f t="shared" si="143"/>
        <v>14.63</v>
      </c>
    </row>
    <row r="279" spans="1:40" ht="15.75" thickBot="1" x14ac:dyDescent="0.3">
      <c r="A279" s="165" t="s">
        <v>83</v>
      </c>
      <c r="B279" s="160">
        <f t="shared" si="141"/>
        <v>2.1950000000000003</v>
      </c>
      <c r="C279" s="120">
        <f t="shared" si="141"/>
        <v>6.0150000000000006</v>
      </c>
      <c r="D279" s="120">
        <f t="shared" si="141"/>
        <v>10.754999999999999</v>
      </c>
      <c r="E279" s="124">
        <f t="shared" si="141"/>
        <v>16.215</v>
      </c>
      <c r="F279" s="160">
        <f t="shared" si="141"/>
        <v>3.1250000000000009</v>
      </c>
      <c r="G279" s="120">
        <f t="shared" si="141"/>
        <v>6.0150000000000006</v>
      </c>
      <c r="H279" s="120">
        <f t="shared" si="141"/>
        <v>10.754999999999999</v>
      </c>
      <c r="I279" s="167">
        <f t="shared" si="141"/>
        <v>14.430000000000003</v>
      </c>
      <c r="J279" s="160">
        <f t="shared" si="142"/>
        <v>5.0450000000000008</v>
      </c>
      <c r="K279" s="120">
        <f t="shared" si="142"/>
        <v>11.015000000000001</v>
      </c>
      <c r="L279" s="120">
        <f t="shared" si="142"/>
        <v>15.754999999999999</v>
      </c>
      <c r="M279" s="124">
        <f t="shared" si="142"/>
        <v>21.215</v>
      </c>
      <c r="N279" s="160">
        <f t="shared" si="142"/>
        <v>6.5749999999999993</v>
      </c>
      <c r="O279" s="120">
        <f t="shared" si="142"/>
        <v>11.015000000000001</v>
      </c>
      <c r="P279" s="120">
        <f t="shared" si="142"/>
        <v>15.754999999999999</v>
      </c>
      <c r="Q279" s="124">
        <f t="shared" si="142"/>
        <v>19.430000000000003</v>
      </c>
      <c r="R279" s="160">
        <f t="shared" si="143"/>
        <v>4.22</v>
      </c>
      <c r="S279" s="120">
        <f t="shared" si="143"/>
        <v>8.7900000000000009</v>
      </c>
      <c r="T279" s="120">
        <f t="shared" si="143"/>
        <v>12.98</v>
      </c>
      <c r="U279" s="124">
        <f t="shared" si="143"/>
        <v>18.465</v>
      </c>
      <c r="V279" s="160">
        <f t="shared" si="143"/>
        <v>5.5289999999999981</v>
      </c>
      <c r="W279" s="120">
        <f t="shared" si="143"/>
        <v>8.7900000000000009</v>
      </c>
      <c r="X279" s="120">
        <f t="shared" si="143"/>
        <v>12.98</v>
      </c>
      <c r="Y279" s="124">
        <f t="shared" si="143"/>
        <v>16.63</v>
      </c>
    </row>
    <row r="281" spans="1:40" ht="15.75" thickBot="1" x14ac:dyDescent="0.3">
      <c r="A281" s="1" t="s">
        <v>217</v>
      </c>
      <c r="AH281">
        <v>0.8</v>
      </c>
    </row>
    <row r="282" spans="1:40" ht="15.75" thickBot="1" x14ac:dyDescent="0.3">
      <c r="A282" s="304" t="s">
        <v>86</v>
      </c>
      <c r="B282" s="303" t="s">
        <v>214</v>
      </c>
      <c r="C282" s="306"/>
      <c r="D282" s="306"/>
      <c r="E282" s="306"/>
      <c r="F282" s="306"/>
      <c r="G282" s="306"/>
      <c r="H282" s="306"/>
      <c r="I282" s="307"/>
      <c r="J282" s="303" t="s">
        <v>215</v>
      </c>
      <c r="K282" s="306"/>
      <c r="L282" s="306"/>
      <c r="M282" s="306"/>
      <c r="N282" s="306"/>
      <c r="O282" s="306"/>
      <c r="P282" s="306"/>
      <c r="Q282" s="307"/>
      <c r="R282" s="303" t="s">
        <v>218</v>
      </c>
      <c r="S282" s="306"/>
      <c r="T282" s="306"/>
      <c r="U282" s="306"/>
      <c r="V282" s="306"/>
      <c r="W282" s="306"/>
      <c r="X282" s="306"/>
      <c r="Y282" s="307"/>
      <c r="Z282" s="280" t="s">
        <v>216</v>
      </c>
      <c r="AA282" s="281"/>
      <c r="AB282" s="281"/>
      <c r="AC282" s="281"/>
      <c r="AD282" s="281"/>
      <c r="AE282" s="281"/>
      <c r="AF282" s="281"/>
      <c r="AG282" s="282"/>
      <c r="AH282" s="292" t="s">
        <v>151</v>
      </c>
      <c r="AI282" s="293"/>
      <c r="AJ282" s="293"/>
      <c r="AK282" s="294"/>
      <c r="AL282" s="288" t="s">
        <v>153</v>
      </c>
      <c r="AM282" s="289"/>
      <c r="AN282" s="290" t="s">
        <v>156</v>
      </c>
    </row>
    <row r="283" spans="1:40" ht="31.5" customHeight="1" thickBot="1" x14ac:dyDescent="0.3">
      <c r="A283" s="305"/>
      <c r="B283" s="300" t="s">
        <v>17</v>
      </c>
      <c r="C283" s="301"/>
      <c r="D283" s="301"/>
      <c r="E283" s="302"/>
      <c r="F283" s="303" t="s">
        <v>18</v>
      </c>
      <c r="G283" s="301"/>
      <c r="H283" s="301"/>
      <c r="I283" s="302"/>
      <c r="J283" s="300" t="s">
        <v>17</v>
      </c>
      <c r="K283" s="301"/>
      <c r="L283" s="301"/>
      <c r="M283" s="302"/>
      <c r="N283" s="303" t="s">
        <v>18</v>
      </c>
      <c r="O283" s="301"/>
      <c r="P283" s="301"/>
      <c r="Q283" s="302"/>
      <c r="R283" s="300" t="s">
        <v>17</v>
      </c>
      <c r="S283" s="301"/>
      <c r="T283" s="301"/>
      <c r="U283" s="302"/>
      <c r="V283" s="303" t="s">
        <v>18</v>
      </c>
      <c r="W283" s="301"/>
      <c r="X283" s="301"/>
      <c r="Y283" s="302"/>
      <c r="Z283" s="280" t="s">
        <v>17</v>
      </c>
      <c r="AA283" s="281"/>
      <c r="AB283" s="281"/>
      <c r="AC283" s="282"/>
      <c r="AD283" s="280" t="s">
        <v>18</v>
      </c>
      <c r="AE283" s="281"/>
      <c r="AF283" s="281"/>
      <c r="AG283" s="282"/>
      <c r="AH283" s="295" t="s">
        <v>152</v>
      </c>
      <c r="AI283" s="296"/>
      <c r="AJ283" s="295" t="s">
        <v>26</v>
      </c>
      <c r="AK283" s="297"/>
      <c r="AL283" s="145" t="s">
        <v>154</v>
      </c>
      <c r="AM283" s="145" t="s">
        <v>155</v>
      </c>
      <c r="AN283" s="291"/>
    </row>
    <row r="284" spans="1:40" x14ac:dyDescent="0.25">
      <c r="A284" s="169" t="s">
        <v>84</v>
      </c>
      <c r="B284" s="40">
        <f>B270*$B256</f>
        <v>2.0142790960451977</v>
      </c>
      <c r="C284" s="41">
        <f t="shared" ref="C284:E284" si="144">C270*$B256</f>
        <v>3.9287796610169488</v>
      </c>
      <c r="D284" s="41">
        <f t="shared" si="144"/>
        <v>4.9296830508474576</v>
      </c>
      <c r="E284" s="42">
        <f t="shared" si="144"/>
        <v>6.4403923728813561</v>
      </c>
      <c r="F284" s="40">
        <f>F270*$G256</f>
        <v>2.542264823348694</v>
      </c>
      <c r="G284" s="41">
        <f t="shared" ref="G284:I284" si="145">G270*$G256</f>
        <v>3.8500645161290321</v>
      </c>
      <c r="H284" s="41">
        <f t="shared" si="145"/>
        <v>4.8309142857142859</v>
      </c>
      <c r="I284" s="215">
        <f t="shared" si="145"/>
        <v>5.8148196620583716</v>
      </c>
      <c r="J284" s="40">
        <f>J270*$C256</f>
        <v>1.4129847457627114</v>
      </c>
      <c r="K284" s="41">
        <f t="shared" ref="K284:M284" si="146">K270*$C256</f>
        <v>3.3114737288135587</v>
      </c>
      <c r="L284" s="41">
        <f t="shared" si="146"/>
        <v>5.0827271186440663</v>
      </c>
      <c r="M284" s="42">
        <f t="shared" si="146"/>
        <v>7.1034292372881351</v>
      </c>
      <c r="N284" s="40">
        <f>N270*$H256</f>
        <v>1.9371712749615968</v>
      </c>
      <c r="O284" s="41">
        <f t="shared" ref="O284:Q284" si="147">O270*$H256</f>
        <v>3.3759689708141316</v>
      </c>
      <c r="P284" s="41">
        <f t="shared" si="147"/>
        <v>5.1817198156682016</v>
      </c>
      <c r="Q284" s="215">
        <f t="shared" si="147"/>
        <v>6.5641944700460817</v>
      </c>
      <c r="R284" s="40">
        <f>R270*$D256</f>
        <v>1.7827091807909607</v>
      </c>
      <c r="S284" s="41">
        <f t="shared" ref="S284:U284" si="148">S270*$D256</f>
        <v>3.5035800847457623</v>
      </c>
      <c r="T284" s="41">
        <f t="shared" si="148"/>
        <v>4.789816242937853</v>
      </c>
      <c r="U284" s="42">
        <f t="shared" si="148"/>
        <v>6.5248216101694911</v>
      </c>
      <c r="V284" s="40">
        <f>V270*$I256</f>
        <v>2.2699999078341015</v>
      </c>
      <c r="W284" s="41">
        <f t="shared" ref="W284:Y284" si="149">W270*$I256</f>
        <v>3.5008631336405536</v>
      </c>
      <c r="X284" s="41">
        <f t="shared" si="149"/>
        <v>4.7861018433179732</v>
      </c>
      <c r="Y284" s="215">
        <f t="shared" si="149"/>
        <v>5.9424635944700483</v>
      </c>
      <c r="Z284" s="40">
        <f>B284+J284+R284</f>
        <v>5.2099730225988701</v>
      </c>
      <c r="AA284" s="41">
        <f t="shared" ref="AA284:AG293" si="150">C284+K284+S284</f>
        <v>10.74383347457627</v>
      </c>
      <c r="AB284" s="41">
        <f t="shared" si="150"/>
        <v>14.802226412429377</v>
      </c>
      <c r="AC284" s="42">
        <f t="shared" si="150"/>
        <v>20.068643220338984</v>
      </c>
      <c r="AD284" s="40">
        <f t="shared" si="150"/>
        <v>6.7494360061443928</v>
      </c>
      <c r="AE284" s="41">
        <f t="shared" si="150"/>
        <v>10.726896620583718</v>
      </c>
      <c r="AF284" s="41">
        <f t="shared" si="150"/>
        <v>14.798735944700461</v>
      </c>
      <c r="AG284" s="215">
        <f t="shared" si="150"/>
        <v>18.3214777265745</v>
      </c>
      <c r="AH284" s="223">
        <f>AH$281*AA284+(1-AH$281)*Z284</f>
        <v>9.6370613841807895</v>
      </c>
      <c r="AI284" s="224">
        <f>AH$281*AB284+(1-AH$281)*AC284</f>
        <v>15.855509774011299</v>
      </c>
      <c r="AJ284" s="223">
        <f>AH$281*AE284+(1-AH$281)*AD284</f>
        <v>9.9314044976958531</v>
      </c>
      <c r="AK284" s="224">
        <f>AH$281*AF284+(1-AH$281)*AG284</f>
        <v>15.503284301075269</v>
      </c>
      <c r="AL284" s="223">
        <f>(AH284+AI284)/2</f>
        <v>12.746285579096044</v>
      </c>
      <c r="AM284" s="224">
        <f>(AJ284+AK284)/2</f>
        <v>12.71734439938556</v>
      </c>
      <c r="AN284" s="225">
        <f>(AL284+AM284)/2</f>
        <v>12.731814989240803</v>
      </c>
    </row>
    <row r="285" spans="1:40" x14ac:dyDescent="0.25">
      <c r="A285" s="164" t="s">
        <v>73</v>
      </c>
      <c r="B285" s="216">
        <f t="shared" ref="B285:E293" si="151">B271*$B257</f>
        <v>0.38788750000000005</v>
      </c>
      <c r="C285" s="210">
        <f t="shared" si="151"/>
        <v>1.4961374999999999</v>
      </c>
      <c r="D285" s="210">
        <f t="shared" si="151"/>
        <v>3.0476874999999994</v>
      </c>
      <c r="E285" s="217">
        <f t="shared" si="151"/>
        <v>4.7100625000000003</v>
      </c>
      <c r="F285" s="216">
        <f t="shared" ref="F285:I293" si="152">F271*$G257</f>
        <v>0.61481492217898859</v>
      </c>
      <c r="G285" s="210">
        <f t="shared" si="152"/>
        <v>1.5057726653696499</v>
      </c>
      <c r="H285" s="210">
        <f t="shared" si="152"/>
        <v>3.0673146887159533</v>
      </c>
      <c r="I285" s="218">
        <f t="shared" si="152"/>
        <v>4.2012916342412465</v>
      </c>
      <c r="J285" s="216">
        <f t="shared" ref="J285:M293" si="153">J271*$C257</f>
        <v>0.35291666666666677</v>
      </c>
      <c r="K285" s="210">
        <f t="shared" si="153"/>
        <v>1.6973611111111115</v>
      </c>
      <c r="L285" s="210">
        <f t="shared" si="153"/>
        <v>3.4451388888888892</v>
      </c>
      <c r="M285" s="217">
        <f t="shared" si="153"/>
        <v>5.1256944444444459</v>
      </c>
      <c r="N285" s="216">
        <f t="shared" ref="N285:Q293" si="154">N271*$H257</f>
        <v>0.59706945525291855</v>
      </c>
      <c r="O285" s="210">
        <f t="shared" si="154"/>
        <v>1.687898638132296</v>
      </c>
      <c r="P285" s="210">
        <f t="shared" si="154"/>
        <v>3.4259328793774322</v>
      </c>
      <c r="Q285" s="218">
        <f t="shared" si="154"/>
        <v>4.5668976653696509</v>
      </c>
      <c r="R285" s="216">
        <f t="shared" ref="R285:U293" si="155">R271*$D257</f>
        <v>0.21695972222222223</v>
      </c>
      <c r="S285" s="210">
        <f t="shared" si="155"/>
        <v>1.3017583333333338</v>
      </c>
      <c r="T285" s="210">
        <f t="shared" si="155"/>
        <v>2.9585416666666671</v>
      </c>
      <c r="U285" s="217">
        <f t="shared" si="155"/>
        <v>4.6260833333333338</v>
      </c>
      <c r="V285" s="216">
        <f t="shared" ref="V285:Y293" si="156">V271*$I257</f>
        <v>0.36710554474708168</v>
      </c>
      <c r="W285" s="210">
        <f t="shared" si="156"/>
        <v>1.3000908560311286</v>
      </c>
      <c r="X285" s="210">
        <f t="shared" si="156"/>
        <v>2.9547519455252917</v>
      </c>
      <c r="Y285" s="218">
        <f t="shared" si="156"/>
        <v>4.0936745136186774</v>
      </c>
      <c r="Z285" s="216">
        <f t="shared" ref="Z285:Z293" si="157">B285+J285+R285</f>
        <v>0.95776388888888908</v>
      </c>
      <c r="AA285" s="210">
        <f t="shared" si="150"/>
        <v>4.4952569444444457</v>
      </c>
      <c r="AB285" s="210">
        <f t="shared" si="150"/>
        <v>9.4513680555555553</v>
      </c>
      <c r="AC285" s="217">
        <f t="shared" si="150"/>
        <v>14.46184027777778</v>
      </c>
      <c r="AD285" s="216">
        <f t="shared" si="150"/>
        <v>1.5789899221789887</v>
      </c>
      <c r="AE285" s="210">
        <f t="shared" si="150"/>
        <v>4.493762159533075</v>
      </c>
      <c r="AF285" s="210">
        <f t="shared" si="150"/>
        <v>9.4479995136186776</v>
      </c>
      <c r="AG285" s="218">
        <f t="shared" si="150"/>
        <v>12.861863813229576</v>
      </c>
      <c r="AH285" s="226">
        <f t="shared" ref="AH285:AH293" si="158">AH$281*AA285+(1-AH$281)*Z285</f>
        <v>3.7877583333333344</v>
      </c>
      <c r="AI285" s="227">
        <f t="shared" ref="AI285:AI293" si="159">AH$281*AB285+(1-AH$281)*AC285</f>
        <v>10.453462500000001</v>
      </c>
      <c r="AJ285" s="226">
        <f t="shared" ref="AJ285:AJ293" si="160">AH$281*AE285+(1-AH$281)*AD285</f>
        <v>3.9108077120622577</v>
      </c>
      <c r="AK285" s="227">
        <f t="shared" ref="AK285:AK293" si="161">AH$281*AF285+(1-AH$281)*AG285</f>
        <v>10.130772373540857</v>
      </c>
      <c r="AL285" s="226">
        <f t="shared" ref="AL285:AL293" si="162">(AH285+AI285)/2</f>
        <v>7.1206104166666675</v>
      </c>
      <c r="AM285" s="227">
        <f t="shared" ref="AM285:AM293" si="163">(AJ285+AK285)/2</f>
        <v>7.0207900428015577</v>
      </c>
      <c r="AN285" s="228">
        <f t="shared" ref="AN285:AN293" si="164">(AL285+AM285)/2</f>
        <v>7.0707002297341131</v>
      </c>
    </row>
    <row r="286" spans="1:40" x14ac:dyDescent="0.25">
      <c r="A286" s="164" t="s">
        <v>74</v>
      </c>
      <c r="B286" s="216">
        <f t="shared" si="151"/>
        <v>1.3463437956204383</v>
      </c>
      <c r="C286" s="210">
        <f t="shared" si="151"/>
        <v>2.489813868613139</v>
      </c>
      <c r="D286" s="210">
        <f t="shared" si="151"/>
        <v>4.2603481751824823</v>
      </c>
      <c r="E286" s="217">
        <f t="shared" si="151"/>
        <v>6.6948328467153289</v>
      </c>
      <c r="F286" s="216">
        <f t="shared" si="152"/>
        <v>1.7185625360230548</v>
      </c>
      <c r="G286" s="210">
        <f t="shared" si="152"/>
        <v>2.5118753602305479</v>
      </c>
      <c r="H286" s="210">
        <f t="shared" si="152"/>
        <v>4.298097838616715</v>
      </c>
      <c r="I286" s="218">
        <f t="shared" si="152"/>
        <v>5.9168619596541783</v>
      </c>
      <c r="J286" s="216">
        <f t="shared" si="153"/>
        <v>1.9936459854014597</v>
      </c>
      <c r="K286" s="210">
        <f t="shared" si="153"/>
        <v>3.6390866788321166</v>
      </c>
      <c r="L286" s="210">
        <f t="shared" si="153"/>
        <v>5.0237147810218969</v>
      </c>
      <c r="M286" s="217">
        <f t="shared" si="153"/>
        <v>6.9122164233576635</v>
      </c>
      <c r="N286" s="216">
        <f t="shared" si="154"/>
        <v>2.3723954610951008</v>
      </c>
      <c r="O286" s="210">
        <f t="shared" si="154"/>
        <v>3.4681480547550438</v>
      </c>
      <c r="P286" s="210">
        <f t="shared" si="154"/>
        <v>4.7877360951008656</v>
      </c>
      <c r="Q286" s="218">
        <f t="shared" si="154"/>
        <v>5.9758858789625373</v>
      </c>
      <c r="R286" s="216">
        <f t="shared" si="155"/>
        <v>1.8893220802919708</v>
      </c>
      <c r="S286" s="210">
        <f t="shared" si="155"/>
        <v>3.7003302919708028</v>
      </c>
      <c r="T286" s="210">
        <f t="shared" si="155"/>
        <v>5.4702237226277379</v>
      </c>
      <c r="U286" s="217">
        <f t="shared" si="155"/>
        <v>7.9527733576642348</v>
      </c>
      <c r="V286" s="216">
        <f t="shared" si="156"/>
        <v>2.508915706051873</v>
      </c>
      <c r="W286" s="210">
        <f t="shared" si="156"/>
        <v>3.7934805475504327</v>
      </c>
      <c r="X286" s="210">
        <f t="shared" si="156"/>
        <v>5.6079283861671483</v>
      </c>
      <c r="Y286" s="218">
        <f t="shared" si="156"/>
        <v>7.2899054755043231</v>
      </c>
      <c r="Z286" s="216">
        <f t="shared" si="157"/>
        <v>5.2293118613138692</v>
      </c>
      <c r="AA286" s="210">
        <f t="shared" si="150"/>
        <v>9.8292308394160575</v>
      </c>
      <c r="AB286" s="210">
        <f t="shared" si="150"/>
        <v>14.754286678832118</v>
      </c>
      <c r="AC286" s="217">
        <f t="shared" si="150"/>
        <v>21.559822627737226</v>
      </c>
      <c r="AD286" s="216">
        <f t="shared" si="150"/>
        <v>6.5998737031700285</v>
      </c>
      <c r="AE286" s="210">
        <f t="shared" si="150"/>
        <v>9.773503962536024</v>
      </c>
      <c r="AF286" s="210">
        <f t="shared" si="150"/>
        <v>14.69376231988473</v>
      </c>
      <c r="AG286" s="218">
        <f t="shared" si="150"/>
        <v>19.18265331412104</v>
      </c>
      <c r="AH286" s="226">
        <f t="shared" si="158"/>
        <v>8.9092470437956202</v>
      </c>
      <c r="AI286" s="227">
        <f t="shared" si="159"/>
        <v>16.11539386861314</v>
      </c>
      <c r="AJ286" s="226">
        <f t="shared" si="160"/>
        <v>9.1387779106628244</v>
      </c>
      <c r="AK286" s="227">
        <f t="shared" si="161"/>
        <v>15.591540518731993</v>
      </c>
      <c r="AL286" s="226">
        <f t="shared" si="162"/>
        <v>12.51232045620438</v>
      </c>
      <c r="AM286" s="227">
        <f t="shared" si="163"/>
        <v>12.365159214697409</v>
      </c>
      <c r="AN286" s="228">
        <f t="shared" si="164"/>
        <v>12.438739835450894</v>
      </c>
    </row>
    <row r="287" spans="1:40" x14ac:dyDescent="0.25">
      <c r="A287" s="164" t="s">
        <v>75</v>
      </c>
      <c r="B287" s="216">
        <f t="shared" si="151"/>
        <v>2.0241330561330564</v>
      </c>
      <c r="C287" s="210">
        <f t="shared" si="151"/>
        <v>3.7885322245322239</v>
      </c>
      <c r="D287" s="210">
        <f t="shared" si="151"/>
        <v>5.2107991683991681</v>
      </c>
      <c r="E287" s="217">
        <f t="shared" si="151"/>
        <v>7.2761313929313918</v>
      </c>
      <c r="F287" s="216">
        <f t="shared" si="152"/>
        <v>2.6300326530612241</v>
      </c>
      <c r="G287" s="210">
        <f t="shared" si="152"/>
        <v>3.8898734693877546</v>
      </c>
      <c r="H287" s="210">
        <f t="shared" si="152"/>
        <v>5.3501853061224489</v>
      </c>
      <c r="I287" s="218">
        <f t="shared" si="152"/>
        <v>6.7534824489795913</v>
      </c>
      <c r="J287" s="216">
        <f t="shared" si="153"/>
        <v>2.0660486486486489</v>
      </c>
      <c r="K287" s="210">
        <f t="shared" si="153"/>
        <v>3.9808000000000008</v>
      </c>
      <c r="L287" s="210">
        <f t="shared" si="153"/>
        <v>5.574464864864864</v>
      </c>
      <c r="M287" s="217">
        <f t="shared" si="153"/>
        <v>7.5110702702702712</v>
      </c>
      <c r="N287" s="216">
        <f t="shared" si="154"/>
        <v>2.6075755102040805</v>
      </c>
      <c r="O287" s="210">
        <f t="shared" si="154"/>
        <v>4.0623281632653061</v>
      </c>
      <c r="P287" s="210">
        <f t="shared" si="154"/>
        <v>5.6886318367346931</v>
      </c>
      <c r="Q287" s="218">
        <f t="shared" si="154"/>
        <v>7.0095746938775507</v>
      </c>
      <c r="R287" s="216">
        <f t="shared" si="155"/>
        <v>0.67063866943866957</v>
      </c>
      <c r="S287" s="210">
        <f t="shared" si="155"/>
        <v>1.8377638253638255</v>
      </c>
      <c r="T287" s="210">
        <f t="shared" si="155"/>
        <v>3.2859767151767159</v>
      </c>
      <c r="U287" s="217">
        <f t="shared" si="155"/>
        <v>4.9541713097713114</v>
      </c>
      <c r="V287" s="216">
        <f t="shared" si="156"/>
        <v>0.90331632653061256</v>
      </c>
      <c r="W287" s="210">
        <f t="shared" si="156"/>
        <v>1.7387032653061225</v>
      </c>
      <c r="X287" s="210">
        <f t="shared" si="156"/>
        <v>3.1088534693877556</v>
      </c>
      <c r="Y287" s="218">
        <f t="shared" si="156"/>
        <v>4.1711534693877566</v>
      </c>
      <c r="Z287" s="216">
        <f t="shared" si="157"/>
        <v>4.7608203742203745</v>
      </c>
      <c r="AA287" s="210">
        <f t="shared" si="150"/>
        <v>9.6070960498960503</v>
      </c>
      <c r="AB287" s="210">
        <f t="shared" si="150"/>
        <v>14.071240748440747</v>
      </c>
      <c r="AC287" s="217">
        <f t="shared" si="150"/>
        <v>19.741372972972975</v>
      </c>
      <c r="AD287" s="216">
        <f t="shared" si="150"/>
        <v>6.1409244897959177</v>
      </c>
      <c r="AE287" s="210">
        <f t="shared" si="150"/>
        <v>9.6909048979591841</v>
      </c>
      <c r="AF287" s="210">
        <f t="shared" si="150"/>
        <v>14.147670612244896</v>
      </c>
      <c r="AG287" s="218">
        <f t="shared" si="150"/>
        <v>17.9342106122449</v>
      </c>
      <c r="AH287" s="226">
        <f t="shared" si="158"/>
        <v>8.6378409147609148</v>
      </c>
      <c r="AI287" s="227">
        <f t="shared" si="159"/>
        <v>15.205267193347192</v>
      </c>
      <c r="AJ287" s="226">
        <f t="shared" si="160"/>
        <v>8.9809088163265312</v>
      </c>
      <c r="AK287" s="227">
        <f t="shared" si="161"/>
        <v>14.904978612244898</v>
      </c>
      <c r="AL287" s="226">
        <f t="shared" si="162"/>
        <v>11.921554054054052</v>
      </c>
      <c r="AM287" s="227">
        <f t="shared" si="163"/>
        <v>11.942943714285715</v>
      </c>
      <c r="AN287" s="228">
        <f t="shared" si="164"/>
        <v>11.932248884169883</v>
      </c>
    </row>
    <row r="288" spans="1:40" x14ac:dyDescent="0.25">
      <c r="A288" s="164" t="s">
        <v>77</v>
      </c>
      <c r="B288" s="216">
        <f t="shared" si="151"/>
        <v>1.6383511146496816</v>
      </c>
      <c r="C288" s="210">
        <f t="shared" si="151"/>
        <v>3.0650051751592362</v>
      </c>
      <c r="D288" s="210">
        <f t="shared" si="151"/>
        <v>4.931620939490446</v>
      </c>
      <c r="E288" s="217">
        <f t="shared" si="151"/>
        <v>7.4775081210191097</v>
      </c>
      <c r="F288" s="216">
        <f t="shared" si="152"/>
        <v>2.1597473684210526</v>
      </c>
      <c r="G288" s="210">
        <f t="shared" si="152"/>
        <v>3.1738564593301435</v>
      </c>
      <c r="H288" s="210">
        <f t="shared" si="152"/>
        <v>5.1067636363636355</v>
      </c>
      <c r="I288" s="218">
        <f t="shared" si="152"/>
        <v>6.8471425837320572</v>
      </c>
      <c r="J288" s="216">
        <f t="shared" si="153"/>
        <v>1.9919235668789812</v>
      </c>
      <c r="K288" s="210">
        <f t="shared" si="153"/>
        <v>3.6359426751592361</v>
      </c>
      <c r="L288" s="210">
        <f t="shared" si="153"/>
        <v>5.0193745222929937</v>
      </c>
      <c r="M288" s="217">
        <f t="shared" si="153"/>
        <v>6.9062445859872623</v>
      </c>
      <c r="N288" s="216">
        <f t="shared" si="154"/>
        <v>2.3001200956937797</v>
      </c>
      <c r="O288" s="210">
        <f t="shared" si="154"/>
        <v>3.3624904306220103</v>
      </c>
      <c r="P288" s="210">
        <f t="shared" si="154"/>
        <v>4.6418770334928237</v>
      </c>
      <c r="Q288" s="218">
        <f t="shared" si="154"/>
        <v>5.7938296650717716</v>
      </c>
      <c r="R288" s="216">
        <f t="shared" si="155"/>
        <v>0.92253996815286621</v>
      </c>
      <c r="S288" s="210">
        <f t="shared" si="155"/>
        <v>2.563009872611465</v>
      </c>
      <c r="T288" s="210">
        <f t="shared" si="155"/>
        <v>4.0670730891719753</v>
      </c>
      <c r="U288" s="217">
        <f t="shared" si="155"/>
        <v>5.8206169585987269</v>
      </c>
      <c r="V288" s="216">
        <f t="shared" si="156"/>
        <v>1.359386602870813</v>
      </c>
      <c r="W288" s="210">
        <f t="shared" si="156"/>
        <v>2.6161779904306219</v>
      </c>
      <c r="X288" s="210">
        <f t="shared" si="156"/>
        <v>4.1514421052631576</v>
      </c>
      <c r="Y288" s="218">
        <f t="shared" si="156"/>
        <v>5.3606000000000007</v>
      </c>
      <c r="Z288" s="216">
        <f t="shared" si="157"/>
        <v>4.5528146496815287</v>
      </c>
      <c r="AA288" s="210">
        <f t="shared" si="150"/>
        <v>9.2639577229299377</v>
      </c>
      <c r="AB288" s="210">
        <f t="shared" si="150"/>
        <v>14.018068550955414</v>
      </c>
      <c r="AC288" s="217">
        <f t="shared" si="150"/>
        <v>20.2043696656051</v>
      </c>
      <c r="AD288" s="216">
        <f t="shared" si="150"/>
        <v>5.8192540669856463</v>
      </c>
      <c r="AE288" s="210">
        <f t="shared" si="150"/>
        <v>9.1525248803827761</v>
      </c>
      <c r="AF288" s="210">
        <f t="shared" si="150"/>
        <v>13.900082775119618</v>
      </c>
      <c r="AG288" s="218">
        <f t="shared" si="150"/>
        <v>18.001572248803829</v>
      </c>
      <c r="AH288" s="226">
        <f t="shared" si="158"/>
        <v>8.3217291082802571</v>
      </c>
      <c r="AI288" s="227">
        <f t="shared" si="159"/>
        <v>15.255328773885353</v>
      </c>
      <c r="AJ288" s="226">
        <f t="shared" si="160"/>
        <v>8.4858707177033494</v>
      </c>
      <c r="AK288" s="227">
        <f t="shared" si="161"/>
        <v>14.720380669856459</v>
      </c>
      <c r="AL288" s="226">
        <f t="shared" si="162"/>
        <v>11.788528941082806</v>
      </c>
      <c r="AM288" s="227">
        <f t="shared" si="163"/>
        <v>11.603125693779905</v>
      </c>
      <c r="AN288" s="228">
        <f t="shared" si="164"/>
        <v>11.695827317431355</v>
      </c>
    </row>
    <row r="289" spans="1:40" x14ac:dyDescent="0.25">
      <c r="A289" s="164" t="s">
        <v>78</v>
      </c>
      <c r="B289" s="216">
        <f t="shared" si="151"/>
        <v>1.6569129186602873</v>
      </c>
      <c r="C289" s="210">
        <f t="shared" si="151"/>
        <v>3.3506870813397129</v>
      </c>
      <c r="D289" s="210">
        <f t="shared" si="151"/>
        <v>4.6924363636363635</v>
      </c>
      <c r="E289" s="217">
        <f t="shared" si="151"/>
        <v>6.3917397129186604</v>
      </c>
      <c r="F289" s="216">
        <f t="shared" si="152"/>
        <v>2.1533158088235287</v>
      </c>
      <c r="G289" s="210">
        <f t="shared" si="152"/>
        <v>3.4735830882352938</v>
      </c>
      <c r="H289" s="210">
        <f t="shared" si="152"/>
        <v>4.8645448529411759</v>
      </c>
      <c r="I289" s="218">
        <f t="shared" si="152"/>
        <v>6.0491551470588227</v>
      </c>
      <c r="J289" s="216">
        <f t="shared" si="153"/>
        <v>1.8946593301435406</v>
      </c>
      <c r="K289" s="210">
        <f t="shared" si="153"/>
        <v>3.6505722488038281</v>
      </c>
      <c r="L289" s="210">
        <f t="shared" si="153"/>
        <v>5.1120344497607642</v>
      </c>
      <c r="M289" s="217">
        <f t="shared" si="153"/>
        <v>6.8879885167464119</v>
      </c>
      <c r="N289" s="216">
        <f t="shared" si="154"/>
        <v>2.3425882352941167</v>
      </c>
      <c r="O289" s="210">
        <f t="shared" si="154"/>
        <v>3.6495058823529414</v>
      </c>
      <c r="P289" s="210">
        <f t="shared" si="154"/>
        <v>5.1105411764705879</v>
      </c>
      <c r="Q289" s="218">
        <f t="shared" si="154"/>
        <v>6.2972470588235288</v>
      </c>
      <c r="R289" s="216">
        <f t="shared" si="155"/>
        <v>0.37313684210526327</v>
      </c>
      <c r="S289" s="210">
        <f t="shared" si="155"/>
        <v>1.4392421052631581</v>
      </c>
      <c r="T289" s="210">
        <f t="shared" si="155"/>
        <v>2.9317894736842112</v>
      </c>
      <c r="U289" s="217">
        <f t="shared" si="155"/>
        <v>4.5309473684210531</v>
      </c>
      <c r="V289" s="216">
        <f t="shared" si="156"/>
        <v>0.56322125000000023</v>
      </c>
      <c r="W289" s="210">
        <f t="shared" si="156"/>
        <v>1.3794121323529411</v>
      </c>
      <c r="X289" s="210">
        <f t="shared" si="156"/>
        <v>2.8099136029411769</v>
      </c>
      <c r="Y289" s="218">
        <f t="shared" si="156"/>
        <v>3.8487301470588244</v>
      </c>
      <c r="Z289" s="216">
        <f t="shared" si="157"/>
        <v>3.9247090909090914</v>
      </c>
      <c r="AA289" s="210">
        <f t="shared" si="150"/>
        <v>8.4405014354066985</v>
      </c>
      <c r="AB289" s="210">
        <f t="shared" si="150"/>
        <v>12.73626028708134</v>
      </c>
      <c r="AC289" s="217">
        <f t="shared" si="150"/>
        <v>17.810675598086124</v>
      </c>
      <c r="AD289" s="216">
        <f t="shared" si="150"/>
        <v>5.0591252941176457</v>
      </c>
      <c r="AE289" s="210">
        <f t="shared" si="150"/>
        <v>8.5025011029411761</v>
      </c>
      <c r="AF289" s="210">
        <f t="shared" si="150"/>
        <v>12.784999632352939</v>
      </c>
      <c r="AG289" s="218">
        <f t="shared" si="150"/>
        <v>16.195132352941176</v>
      </c>
      <c r="AH289" s="226">
        <f t="shared" si="158"/>
        <v>7.5373429665071772</v>
      </c>
      <c r="AI289" s="227">
        <f t="shared" si="159"/>
        <v>13.751143349282296</v>
      </c>
      <c r="AJ289" s="226">
        <f t="shared" si="160"/>
        <v>7.8138259411764706</v>
      </c>
      <c r="AK289" s="227">
        <f t="shared" si="161"/>
        <v>13.467026176470586</v>
      </c>
      <c r="AL289" s="226">
        <f t="shared" si="162"/>
        <v>10.644243157894737</v>
      </c>
      <c r="AM289" s="227">
        <f t="shared" si="163"/>
        <v>10.640426058823529</v>
      </c>
      <c r="AN289" s="228">
        <f t="shared" si="164"/>
        <v>10.642334608359132</v>
      </c>
    </row>
    <row r="290" spans="1:40" x14ac:dyDescent="0.25">
      <c r="A290" s="164" t="s">
        <v>79</v>
      </c>
      <c r="B290" s="216">
        <f t="shared" si="151"/>
        <v>1.5989357142857143</v>
      </c>
      <c r="C290" s="210">
        <f t="shared" si="151"/>
        <v>3.2334428571428564</v>
      </c>
      <c r="D290" s="210">
        <f t="shared" si="151"/>
        <v>4.5282428571428568</v>
      </c>
      <c r="E290" s="217">
        <f t="shared" si="151"/>
        <v>6.1680857142857128</v>
      </c>
      <c r="F290" s="216">
        <f t="shared" si="152"/>
        <v>2.0565565891472861</v>
      </c>
      <c r="G290" s="210">
        <f t="shared" si="152"/>
        <v>3.3174976744186044</v>
      </c>
      <c r="H290" s="210">
        <f t="shared" si="152"/>
        <v>4.6459565891472865</v>
      </c>
      <c r="I290" s="218">
        <f t="shared" si="152"/>
        <v>5.7773364341085269</v>
      </c>
      <c r="J290" s="216">
        <f t="shared" si="153"/>
        <v>1.7668870129870131</v>
      </c>
      <c r="K290" s="210">
        <f t="shared" si="153"/>
        <v>3.4043844155844161</v>
      </c>
      <c r="L290" s="210">
        <f t="shared" si="153"/>
        <v>4.7672883116883114</v>
      </c>
      <c r="M290" s="217">
        <f t="shared" si="153"/>
        <v>6.4234753246753256</v>
      </c>
      <c r="N290" s="216">
        <f t="shared" si="154"/>
        <v>2.1334987080103351</v>
      </c>
      <c r="O290" s="210">
        <f t="shared" si="154"/>
        <v>3.3237664082687344</v>
      </c>
      <c r="P290" s="210">
        <f t="shared" si="154"/>
        <v>4.6543958656330746</v>
      </c>
      <c r="Q290" s="218">
        <f t="shared" si="154"/>
        <v>5.7351813953488371</v>
      </c>
      <c r="R290" s="216">
        <f t="shared" si="155"/>
        <v>0.78307337662337673</v>
      </c>
      <c r="S290" s="210">
        <f t="shared" si="155"/>
        <v>2.1458707792207794</v>
      </c>
      <c r="T290" s="210">
        <f t="shared" si="155"/>
        <v>3.8368811688311695</v>
      </c>
      <c r="U290" s="217">
        <f t="shared" si="155"/>
        <v>5.7847538961038971</v>
      </c>
      <c r="V290" s="216">
        <f t="shared" si="156"/>
        <v>1.1072351421188633</v>
      </c>
      <c r="W290" s="210">
        <f t="shared" si="156"/>
        <v>2.1312062015503876</v>
      </c>
      <c r="X290" s="210">
        <f t="shared" si="156"/>
        <v>3.8106604651162792</v>
      </c>
      <c r="Y290" s="218">
        <f t="shared" si="156"/>
        <v>5.1127689922480632</v>
      </c>
      <c r="Z290" s="216">
        <f t="shared" si="157"/>
        <v>4.1488961038961039</v>
      </c>
      <c r="AA290" s="210">
        <f t="shared" si="150"/>
        <v>8.7836980519480523</v>
      </c>
      <c r="AB290" s="210">
        <f t="shared" si="150"/>
        <v>13.132412337662338</v>
      </c>
      <c r="AC290" s="217">
        <f t="shared" si="150"/>
        <v>18.376314935064936</v>
      </c>
      <c r="AD290" s="216">
        <f t="shared" si="150"/>
        <v>5.2972904392764848</v>
      </c>
      <c r="AE290" s="210">
        <f t="shared" si="150"/>
        <v>8.7724702842377269</v>
      </c>
      <c r="AF290" s="210">
        <f t="shared" si="150"/>
        <v>13.111012919896641</v>
      </c>
      <c r="AG290" s="218">
        <f t="shared" si="150"/>
        <v>16.625286821705426</v>
      </c>
      <c r="AH290" s="226">
        <f>AH$281*AA290+(1-AH$281)*Z290</f>
        <v>7.8567376623376628</v>
      </c>
      <c r="AI290" s="227">
        <f t="shared" si="159"/>
        <v>14.181192857142857</v>
      </c>
      <c r="AJ290" s="226">
        <f t="shared" si="160"/>
        <v>8.0774343152454797</v>
      </c>
      <c r="AK290" s="227">
        <f t="shared" si="161"/>
        <v>13.813867700258399</v>
      </c>
      <c r="AL290" s="226">
        <f t="shared" si="162"/>
        <v>11.018965259740259</v>
      </c>
      <c r="AM290" s="227">
        <f t="shared" si="163"/>
        <v>10.945651007751939</v>
      </c>
      <c r="AN290" s="228">
        <f t="shared" si="164"/>
        <v>10.982308133746098</v>
      </c>
    </row>
    <row r="291" spans="1:40" x14ac:dyDescent="0.25">
      <c r="A291" s="164" t="s">
        <v>80</v>
      </c>
      <c r="B291" s="216">
        <f t="shared" si="151"/>
        <v>1.720955684351315</v>
      </c>
      <c r="C291" s="210">
        <f t="shared" si="151"/>
        <v>3.3862911279536339</v>
      </c>
      <c r="D291" s="210">
        <f t="shared" si="151"/>
        <v>4.7964278198840837</v>
      </c>
      <c r="E291" s="217">
        <f t="shared" si="151"/>
        <v>6.7578592510031212</v>
      </c>
      <c r="F291" s="216">
        <f t="shared" si="152"/>
        <v>2.2347366541353382</v>
      </c>
      <c r="G291" s="210">
        <f t="shared" si="152"/>
        <v>3.3839830827067674</v>
      </c>
      <c r="H291" s="210">
        <f t="shared" si="152"/>
        <v>4.7931586466165417</v>
      </c>
      <c r="I291" s="218">
        <f t="shared" si="152"/>
        <v>6.0911695488721804</v>
      </c>
      <c r="J291" s="216">
        <f t="shared" si="153"/>
        <v>1.3970589389210877</v>
      </c>
      <c r="K291" s="210">
        <f t="shared" si="153"/>
        <v>3.2741499777084262</v>
      </c>
      <c r="L291" s="210">
        <f t="shared" si="153"/>
        <v>5.0254395006687469</v>
      </c>
      <c r="M291" s="217">
        <f t="shared" si="153"/>
        <v>7.023366205974142</v>
      </c>
      <c r="N291" s="216">
        <f t="shared" si="154"/>
        <v>1.8930711936090221</v>
      </c>
      <c r="O291" s="210">
        <f t="shared" si="154"/>
        <v>3.2991143796992484</v>
      </c>
      <c r="P291" s="210">
        <f t="shared" si="154"/>
        <v>5.0637569548872179</v>
      </c>
      <c r="Q291" s="218">
        <f t="shared" si="154"/>
        <v>6.4147593045112785</v>
      </c>
      <c r="R291" s="216">
        <f t="shared" si="155"/>
        <v>1.5362358894337946</v>
      </c>
      <c r="S291" s="210">
        <f t="shared" si="155"/>
        <v>3.1066483281319663</v>
      </c>
      <c r="T291" s="210">
        <f t="shared" si="155"/>
        <v>4.3506747213553281</v>
      </c>
      <c r="U291" s="217">
        <f t="shared" si="155"/>
        <v>5.9262136424431571</v>
      </c>
      <c r="V291" s="216">
        <f t="shared" si="156"/>
        <v>1.9128812499999999</v>
      </c>
      <c r="W291" s="210">
        <f t="shared" si="156"/>
        <v>3.0857303571428578</v>
      </c>
      <c r="X291" s="210">
        <f t="shared" si="156"/>
        <v>4.321380357142858</v>
      </c>
      <c r="Y291" s="218">
        <f t="shared" si="156"/>
        <v>5.3737196428571439</v>
      </c>
      <c r="Z291" s="216">
        <f t="shared" si="157"/>
        <v>4.6542505127061968</v>
      </c>
      <c r="AA291" s="210">
        <f t="shared" si="150"/>
        <v>9.7670894337940268</v>
      </c>
      <c r="AB291" s="210">
        <f t="shared" si="150"/>
        <v>14.172542041908159</v>
      </c>
      <c r="AC291" s="217">
        <f t="shared" si="150"/>
        <v>19.707439099420419</v>
      </c>
      <c r="AD291" s="216">
        <f t="shared" si="150"/>
        <v>6.0406890977443606</v>
      </c>
      <c r="AE291" s="210">
        <f t="shared" si="150"/>
        <v>9.7688278195488731</v>
      </c>
      <c r="AF291" s="210">
        <f t="shared" si="150"/>
        <v>14.178295958646618</v>
      </c>
      <c r="AG291" s="218">
        <f t="shared" si="150"/>
        <v>17.879648496240602</v>
      </c>
      <c r="AH291" s="226">
        <f t="shared" si="158"/>
        <v>8.7445216495764608</v>
      </c>
      <c r="AI291" s="227">
        <f t="shared" si="159"/>
        <v>15.279521453410611</v>
      </c>
      <c r="AJ291" s="226">
        <f t="shared" si="160"/>
        <v>9.0232000751879706</v>
      </c>
      <c r="AK291" s="227">
        <f t="shared" si="161"/>
        <v>14.918566466165414</v>
      </c>
      <c r="AL291" s="226">
        <f t="shared" si="162"/>
        <v>12.012021551493536</v>
      </c>
      <c r="AM291" s="227">
        <f t="shared" si="163"/>
        <v>11.970883270676692</v>
      </c>
      <c r="AN291" s="228">
        <f t="shared" si="164"/>
        <v>11.991452411085113</v>
      </c>
    </row>
    <row r="292" spans="1:40" x14ac:dyDescent="0.25">
      <c r="A292" s="164" t="s">
        <v>82</v>
      </c>
      <c r="B292" s="216">
        <f t="shared" si="151"/>
        <v>1.5507468856172142</v>
      </c>
      <c r="C292" s="210">
        <f t="shared" si="151"/>
        <v>2.9011163646659122</v>
      </c>
      <c r="D292" s="210">
        <f t="shared" si="151"/>
        <v>4.6679223669309176</v>
      </c>
      <c r="E292" s="217">
        <f t="shared" si="151"/>
        <v>7.0776784824462071</v>
      </c>
      <c r="F292" s="216">
        <f t="shared" si="152"/>
        <v>2.0085783766645533</v>
      </c>
      <c r="G292" s="210">
        <f t="shared" si="152"/>
        <v>2.9517060875079268</v>
      </c>
      <c r="H292" s="210">
        <f t="shared" si="152"/>
        <v>4.7493216867469874</v>
      </c>
      <c r="I292" s="218">
        <f t="shared" si="152"/>
        <v>6.3678848446417256</v>
      </c>
      <c r="J292" s="216">
        <f t="shared" si="153"/>
        <v>1.5909747451868632</v>
      </c>
      <c r="K292" s="210">
        <f t="shared" si="153"/>
        <v>3.4736544733861834</v>
      </c>
      <c r="L292" s="210">
        <f t="shared" si="153"/>
        <v>4.9684454133635327</v>
      </c>
      <c r="M292" s="217">
        <f t="shared" si="153"/>
        <v>6.6902932049830124</v>
      </c>
      <c r="N292" s="216">
        <f t="shared" si="154"/>
        <v>2.0310370957514268</v>
      </c>
      <c r="O292" s="210">
        <f t="shared" si="154"/>
        <v>3.4025663284717824</v>
      </c>
      <c r="P292" s="210">
        <f t="shared" si="154"/>
        <v>4.8667664552948642</v>
      </c>
      <c r="Q292" s="218">
        <f t="shared" si="154"/>
        <v>6.0019849080532675</v>
      </c>
      <c r="R292" s="216">
        <f t="shared" si="155"/>
        <v>0.86393329558323906</v>
      </c>
      <c r="S292" s="210">
        <f t="shared" si="155"/>
        <v>2.4001882219705553</v>
      </c>
      <c r="T292" s="210">
        <f t="shared" si="155"/>
        <v>3.8087020385050971</v>
      </c>
      <c r="U292" s="217">
        <f t="shared" si="155"/>
        <v>5.4508476217440558</v>
      </c>
      <c r="V292" s="216">
        <f t="shared" si="156"/>
        <v>1.2485549778059604</v>
      </c>
      <c r="W292" s="210">
        <f t="shared" si="156"/>
        <v>2.4028793912492072</v>
      </c>
      <c r="X292" s="210">
        <f t="shared" si="156"/>
        <v>3.8129724793912492</v>
      </c>
      <c r="Y292" s="218">
        <f t="shared" si="156"/>
        <v>4.9235469879518075</v>
      </c>
      <c r="Z292" s="216">
        <f t="shared" si="157"/>
        <v>4.0056549263873169</v>
      </c>
      <c r="AA292" s="210">
        <f t="shared" si="150"/>
        <v>8.7749590600226508</v>
      </c>
      <c r="AB292" s="210">
        <f t="shared" si="150"/>
        <v>13.445069818799546</v>
      </c>
      <c r="AC292" s="217">
        <f t="shared" si="150"/>
        <v>19.218819309173277</v>
      </c>
      <c r="AD292" s="216">
        <f t="shared" si="150"/>
        <v>5.2881704502219398</v>
      </c>
      <c r="AE292" s="210">
        <f t="shared" si="150"/>
        <v>8.757151807228917</v>
      </c>
      <c r="AF292" s="210">
        <f t="shared" si="150"/>
        <v>13.4290606214331</v>
      </c>
      <c r="AG292" s="218">
        <f t="shared" si="150"/>
        <v>17.293416740646798</v>
      </c>
      <c r="AH292" s="226">
        <f t="shared" si="158"/>
        <v>7.8210982332955838</v>
      </c>
      <c r="AI292" s="227">
        <f t="shared" si="159"/>
        <v>14.599819716874292</v>
      </c>
      <c r="AJ292" s="226">
        <f t="shared" si="160"/>
        <v>8.0633555358275224</v>
      </c>
      <c r="AK292" s="227">
        <f t="shared" si="161"/>
        <v>14.201931845275841</v>
      </c>
      <c r="AL292" s="226">
        <f t="shared" si="162"/>
        <v>11.210458975084938</v>
      </c>
      <c r="AM292" s="227">
        <f t="shared" si="163"/>
        <v>11.132643690551681</v>
      </c>
      <c r="AN292" s="228">
        <f t="shared" si="164"/>
        <v>11.171551332818311</v>
      </c>
    </row>
    <row r="293" spans="1:40" ht="15.75" thickBot="1" x14ac:dyDescent="0.3">
      <c r="A293" s="165" t="s">
        <v>83</v>
      </c>
      <c r="B293" s="219">
        <f t="shared" si="151"/>
        <v>0.66142125693160825</v>
      </c>
      <c r="C293" s="220">
        <f t="shared" si="151"/>
        <v>1.8125051756007395</v>
      </c>
      <c r="D293" s="220">
        <f t="shared" si="151"/>
        <v>3.2408134935304989</v>
      </c>
      <c r="E293" s="221">
        <f t="shared" si="151"/>
        <v>4.8860800369685764</v>
      </c>
      <c r="F293" s="219">
        <f t="shared" si="152"/>
        <v>0.92651000714796306</v>
      </c>
      <c r="G293" s="220">
        <f t="shared" si="152"/>
        <v>1.7833464617583989</v>
      </c>
      <c r="H293" s="220">
        <f t="shared" si="152"/>
        <v>3.1886768406004284</v>
      </c>
      <c r="I293" s="222">
        <f t="shared" si="152"/>
        <v>4.2782526090064339</v>
      </c>
      <c r="J293" s="219">
        <f t="shared" si="153"/>
        <v>1.5584480591497232</v>
      </c>
      <c r="K293" s="220">
        <f t="shared" si="153"/>
        <v>3.4026373382624775</v>
      </c>
      <c r="L293" s="220">
        <f t="shared" si="153"/>
        <v>4.866868022181146</v>
      </c>
      <c r="M293" s="221">
        <f t="shared" si="153"/>
        <v>6.5535134935304997</v>
      </c>
      <c r="N293" s="219">
        <f t="shared" si="154"/>
        <v>2.0128241601143668</v>
      </c>
      <c r="O293" s="220">
        <f t="shared" si="154"/>
        <v>3.3720544674767687</v>
      </c>
      <c r="P293" s="220">
        <f t="shared" si="154"/>
        <v>4.8231246604717644</v>
      </c>
      <c r="Q293" s="222">
        <f t="shared" si="154"/>
        <v>5.948163259471051</v>
      </c>
      <c r="R293" s="219">
        <f t="shared" si="155"/>
        <v>1.6447859519408503</v>
      </c>
      <c r="S293" s="220">
        <f t="shared" si="155"/>
        <v>3.4259878003696862</v>
      </c>
      <c r="T293" s="220">
        <f t="shared" si="155"/>
        <v>5.0590809611829952</v>
      </c>
      <c r="U293" s="221">
        <f t="shared" si="155"/>
        <v>7.1969129390018489</v>
      </c>
      <c r="V293" s="219">
        <f t="shared" si="156"/>
        <v>2.1971352823445311</v>
      </c>
      <c r="W293" s="220">
        <f t="shared" si="156"/>
        <v>3.4930040028591853</v>
      </c>
      <c r="X293" s="220">
        <f t="shared" si="156"/>
        <v>5.1580423159399569</v>
      </c>
      <c r="Y293" s="222">
        <f t="shared" si="156"/>
        <v>6.608493352394567</v>
      </c>
      <c r="Z293" s="219">
        <f t="shared" si="157"/>
        <v>3.8646552680221817</v>
      </c>
      <c r="AA293" s="220">
        <f t="shared" si="150"/>
        <v>8.6411303142329032</v>
      </c>
      <c r="AB293" s="220">
        <f t="shared" si="150"/>
        <v>13.16676247689464</v>
      </c>
      <c r="AC293" s="221">
        <f t="shared" si="150"/>
        <v>18.636506469500926</v>
      </c>
      <c r="AD293" s="219">
        <f t="shared" si="150"/>
        <v>5.136469449606861</v>
      </c>
      <c r="AE293" s="220">
        <f t="shared" si="150"/>
        <v>8.648404932094353</v>
      </c>
      <c r="AF293" s="220">
        <f t="shared" si="150"/>
        <v>13.169843817012149</v>
      </c>
      <c r="AG293" s="222">
        <f t="shared" si="150"/>
        <v>16.834909220872053</v>
      </c>
      <c r="AH293" s="229">
        <f t="shared" si="158"/>
        <v>7.6858353049907588</v>
      </c>
      <c r="AI293" s="230">
        <f t="shared" si="159"/>
        <v>14.260711275415897</v>
      </c>
      <c r="AJ293" s="229">
        <f t="shared" si="160"/>
        <v>7.9460178355968552</v>
      </c>
      <c r="AK293" s="230">
        <f t="shared" si="161"/>
        <v>13.90285689778413</v>
      </c>
      <c r="AL293" s="229">
        <f t="shared" si="162"/>
        <v>10.973273290203327</v>
      </c>
      <c r="AM293" s="230">
        <f t="shared" si="163"/>
        <v>10.924437366690492</v>
      </c>
      <c r="AN293" s="231">
        <f t="shared" si="164"/>
        <v>10.948855328446911</v>
      </c>
    </row>
    <row r="295" spans="1:40" ht="15.75" thickBot="1" x14ac:dyDescent="0.3">
      <c r="A295" s="1" t="s">
        <v>261</v>
      </c>
    </row>
    <row r="296" spans="1:40" x14ac:dyDescent="0.25">
      <c r="A296" s="304" t="s">
        <v>86</v>
      </c>
      <c r="B296" s="304" t="s">
        <v>245</v>
      </c>
    </row>
    <row r="297" spans="1:40" x14ac:dyDescent="0.25">
      <c r="A297" s="310"/>
      <c r="B297" s="310"/>
      <c r="C297" t="s">
        <v>262</v>
      </c>
    </row>
    <row r="298" spans="1:40" x14ac:dyDescent="0.25">
      <c r="A298" s="2" t="s">
        <v>84</v>
      </c>
      <c r="B298" s="210">
        <v>12.731814989240803</v>
      </c>
      <c r="C298" s="209"/>
    </row>
    <row r="299" spans="1:40" x14ac:dyDescent="0.25">
      <c r="A299" s="2" t="s">
        <v>74</v>
      </c>
      <c r="B299" s="210">
        <v>12.438739835450894</v>
      </c>
      <c r="C299" s="209"/>
    </row>
    <row r="300" spans="1:40" x14ac:dyDescent="0.25">
      <c r="A300" s="2" t="s">
        <v>80</v>
      </c>
      <c r="B300" s="210">
        <v>11.991452411085113</v>
      </c>
      <c r="C300" s="209"/>
    </row>
    <row r="301" spans="1:40" x14ac:dyDescent="0.25">
      <c r="A301" s="2" t="s">
        <v>75</v>
      </c>
      <c r="B301" s="210">
        <v>11.932248884169883</v>
      </c>
      <c r="C301" s="209"/>
    </row>
    <row r="302" spans="1:40" x14ac:dyDescent="0.25">
      <c r="A302" s="2" t="s">
        <v>77</v>
      </c>
      <c r="B302" s="210">
        <v>11.695827317431355</v>
      </c>
      <c r="C302" s="209"/>
    </row>
    <row r="303" spans="1:40" x14ac:dyDescent="0.25">
      <c r="A303" s="2" t="s">
        <v>82</v>
      </c>
      <c r="B303" s="210">
        <v>11.171551332818311</v>
      </c>
      <c r="C303" s="209"/>
    </row>
    <row r="304" spans="1:40" x14ac:dyDescent="0.25">
      <c r="A304" s="2" t="s">
        <v>79</v>
      </c>
      <c r="B304" s="210">
        <v>10.982308133746098</v>
      </c>
      <c r="C304" s="209"/>
    </row>
    <row r="305" spans="1:3" x14ac:dyDescent="0.25">
      <c r="A305" s="2" t="s">
        <v>83</v>
      </c>
      <c r="B305" s="210">
        <v>10.948855328446911</v>
      </c>
      <c r="C305" s="209"/>
    </row>
    <row r="306" spans="1:3" x14ac:dyDescent="0.25">
      <c r="A306" s="2" t="s">
        <v>78</v>
      </c>
      <c r="B306" s="210">
        <v>10.642334608359132</v>
      </c>
      <c r="C306" s="209"/>
    </row>
    <row r="307" spans="1:3" x14ac:dyDescent="0.25">
      <c r="A307" s="2" t="s">
        <v>73</v>
      </c>
      <c r="B307" s="210">
        <v>7.0707002297341131</v>
      </c>
      <c r="C307" s="209"/>
    </row>
  </sheetData>
  <mergeCells count="146">
    <mergeCell ref="A296:A297"/>
    <mergeCell ref="B296:B297"/>
    <mergeCell ref="AL282:AM282"/>
    <mergeCell ref="AN282:AN283"/>
    <mergeCell ref="B283:E283"/>
    <mergeCell ref="F283:I283"/>
    <mergeCell ref="J283:M283"/>
    <mergeCell ref="N283:Q283"/>
    <mergeCell ref="R283:U283"/>
    <mergeCell ref="V283:Y283"/>
    <mergeCell ref="Z283:AC283"/>
    <mergeCell ref="AD283:AG283"/>
    <mergeCell ref="A282:A283"/>
    <mergeCell ref="B282:I282"/>
    <mergeCell ref="J282:Q282"/>
    <mergeCell ref="R282:Y282"/>
    <mergeCell ref="Z282:AG282"/>
    <mergeCell ref="AH282:AK282"/>
    <mergeCell ref="AH283:AI283"/>
    <mergeCell ref="AJ283:AK283"/>
    <mergeCell ref="A268:A269"/>
    <mergeCell ref="B268:I268"/>
    <mergeCell ref="J268:Q268"/>
    <mergeCell ref="R268:Y268"/>
    <mergeCell ref="B269:E269"/>
    <mergeCell ref="F269:I269"/>
    <mergeCell ref="J269:M269"/>
    <mergeCell ref="N269:Q269"/>
    <mergeCell ref="R269:U269"/>
    <mergeCell ref="V269:Y269"/>
    <mergeCell ref="A240:D240"/>
    <mergeCell ref="F240:I240"/>
    <mergeCell ref="A253:I253"/>
    <mergeCell ref="A254:D254"/>
    <mergeCell ref="F254:I254"/>
    <mergeCell ref="A182:I182"/>
    <mergeCell ref="A183:D183"/>
    <mergeCell ref="F183:I183"/>
    <mergeCell ref="A225:I225"/>
    <mergeCell ref="A226:D226"/>
    <mergeCell ref="F226:I226"/>
    <mergeCell ref="E142:L142"/>
    <mergeCell ref="E148:L148"/>
    <mergeCell ref="AI115:AL115"/>
    <mergeCell ref="AM115:AP115"/>
    <mergeCell ref="AQ115:AT115"/>
    <mergeCell ref="AU115:AX115"/>
    <mergeCell ref="AY115:BB115"/>
    <mergeCell ref="BC115:BF115"/>
    <mergeCell ref="A239:I239"/>
    <mergeCell ref="BG114:BN114"/>
    <mergeCell ref="BO114:BR114"/>
    <mergeCell ref="BS114:BT114"/>
    <mergeCell ref="BU114:BU115"/>
    <mergeCell ref="K115:N115"/>
    <mergeCell ref="O115:R115"/>
    <mergeCell ref="S115:V115"/>
    <mergeCell ref="W115:Z115"/>
    <mergeCell ref="AA115:AD115"/>
    <mergeCell ref="AE115:AH115"/>
    <mergeCell ref="K114:R114"/>
    <mergeCell ref="S114:Z114"/>
    <mergeCell ref="AA114:AH114"/>
    <mergeCell ref="AI114:AP114"/>
    <mergeCell ref="AQ114:AX114"/>
    <mergeCell ref="AY114:BF114"/>
    <mergeCell ref="BG115:BJ115"/>
    <mergeCell ref="BK115:BN115"/>
    <mergeCell ref="BO115:BP115"/>
    <mergeCell ref="BQ115:BR115"/>
    <mergeCell ref="E90:L90"/>
    <mergeCell ref="E96:L96"/>
    <mergeCell ref="AI63:AL63"/>
    <mergeCell ref="AM63:AP63"/>
    <mergeCell ref="AQ63:AT63"/>
    <mergeCell ref="AU63:AX63"/>
    <mergeCell ref="AY63:BB63"/>
    <mergeCell ref="BC63:BF63"/>
    <mergeCell ref="A114:A115"/>
    <mergeCell ref="B114:B115"/>
    <mergeCell ref="C114:C115"/>
    <mergeCell ref="D114:F114"/>
    <mergeCell ref="G114:I114"/>
    <mergeCell ref="J114:J115"/>
    <mergeCell ref="BG62:BN62"/>
    <mergeCell ref="BO62:BR62"/>
    <mergeCell ref="BS62:BT62"/>
    <mergeCell ref="BU62:BU63"/>
    <mergeCell ref="K63:N63"/>
    <mergeCell ref="O63:R63"/>
    <mergeCell ref="S63:V63"/>
    <mergeCell ref="W63:Z63"/>
    <mergeCell ref="AA63:AD63"/>
    <mergeCell ref="AE63:AH63"/>
    <mergeCell ref="K62:R62"/>
    <mergeCell ref="S62:Z62"/>
    <mergeCell ref="AA62:AH62"/>
    <mergeCell ref="AI62:AP62"/>
    <mergeCell ref="AQ62:AX62"/>
    <mergeCell ref="AY62:BF62"/>
    <mergeCell ref="BQ63:BR63"/>
    <mergeCell ref="BG63:BJ63"/>
    <mergeCell ref="BK63:BN63"/>
    <mergeCell ref="BO63:BP63"/>
    <mergeCell ref="E38:L38"/>
    <mergeCell ref="E44:L44"/>
    <mergeCell ref="A62:A63"/>
    <mergeCell ref="B62:B63"/>
    <mergeCell ref="C62:C63"/>
    <mergeCell ref="D62:F62"/>
    <mergeCell ref="G62:I62"/>
    <mergeCell ref="J62:J63"/>
    <mergeCell ref="AA11:AD11"/>
    <mergeCell ref="BG10:BN10"/>
    <mergeCell ref="BO10:BR10"/>
    <mergeCell ref="BS10:BT10"/>
    <mergeCell ref="BU10:BU11"/>
    <mergeCell ref="AY11:BB11"/>
    <mergeCell ref="BC11:BF11"/>
    <mergeCell ref="BG11:BJ11"/>
    <mergeCell ref="BK11:BN11"/>
    <mergeCell ref="BO11:BP11"/>
    <mergeCell ref="BQ11:BR11"/>
    <mergeCell ref="S10:Z10"/>
    <mergeCell ref="AA10:AH10"/>
    <mergeCell ref="AI10:AP10"/>
    <mergeCell ref="K11:N11"/>
    <mergeCell ref="O11:R11"/>
    <mergeCell ref="S11:V11"/>
    <mergeCell ref="W11:Z11"/>
    <mergeCell ref="AQ10:AX10"/>
    <mergeCell ref="AY10:BF10"/>
    <mergeCell ref="AE11:AH11"/>
    <mergeCell ref="AI11:AL11"/>
    <mergeCell ref="AM11:AP11"/>
    <mergeCell ref="AQ11:AT11"/>
    <mergeCell ref="AU11:AX11"/>
    <mergeCell ref="A3:E3"/>
    <mergeCell ref="A5:E5"/>
    <mergeCell ref="A10:A11"/>
    <mergeCell ref="B10:B11"/>
    <mergeCell ref="C10:C11"/>
    <mergeCell ref="D10:F10"/>
    <mergeCell ref="G10:I10"/>
    <mergeCell ref="J10:J11"/>
    <mergeCell ref="K10:R10"/>
  </mergeCells>
  <hyperlinks>
    <hyperlink ref="B2" r:id="rId1" xr:uid="{FCC87104-A053-47F1-B229-7BCC59D950A4}"/>
    <hyperlink ref="B4" r:id="rId2" xr:uid="{28A68FA7-A27B-49F9-A603-3FA44DA07D58}"/>
  </hyperlinks>
  <pageMargins left="0.7" right="0.7" top="0.75" bottom="0.75" header="0.3" footer="0.3"/>
  <pageSetup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0E48-8A8A-40F1-85AB-40F3B9706C1F}">
  <sheetPr>
    <pageSetUpPr fitToPage="1"/>
  </sheetPr>
  <dimension ref="A1:J65"/>
  <sheetViews>
    <sheetView topLeftCell="A49" zoomScaleNormal="100" workbookViewId="0">
      <selection activeCell="J66" sqref="J66"/>
    </sheetView>
  </sheetViews>
  <sheetFormatPr defaultRowHeight="15" x14ac:dyDescent="0.25"/>
  <cols>
    <col min="1" max="1" width="3.7109375" customWidth="1"/>
    <col min="2" max="2" width="32.5703125" customWidth="1"/>
    <col min="3" max="3" width="15.42578125" customWidth="1"/>
    <col min="4" max="4" width="18.28515625" customWidth="1"/>
    <col min="5" max="5" width="17.140625" customWidth="1"/>
    <col min="6" max="6" width="16.42578125" customWidth="1"/>
    <col min="7" max="7" width="14.85546875" customWidth="1"/>
    <col min="8" max="8" width="16" customWidth="1"/>
    <col min="9" max="9" width="11.42578125" customWidth="1"/>
    <col min="10" max="10" width="13.140625" customWidth="1"/>
  </cols>
  <sheetData>
    <row r="1" spans="2:10" x14ac:dyDescent="0.25">
      <c r="B1" s="1" t="s">
        <v>23</v>
      </c>
    </row>
    <row r="2" spans="2:10" x14ac:dyDescent="0.25">
      <c r="B2" s="76" t="s">
        <v>29</v>
      </c>
    </row>
    <row r="3" spans="2:10" x14ac:dyDescent="0.25">
      <c r="B3" s="1" t="s">
        <v>24</v>
      </c>
    </row>
    <row r="4" spans="2:10" ht="15.75" thickBot="1" x14ac:dyDescent="0.3"/>
    <row r="5" spans="2:10" x14ac:dyDescent="0.25">
      <c r="B5" s="268" t="s">
        <v>7</v>
      </c>
      <c r="C5" s="265" t="s">
        <v>6</v>
      </c>
      <c r="D5" s="266"/>
      <c r="E5" s="267"/>
    </row>
    <row r="6" spans="2:10" x14ac:dyDescent="0.25">
      <c r="B6" s="269"/>
      <c r="C6" s="30" t="s">
        <v>8</v>
      </c>
      <c r="D6" s="5" t="s">
        <v>9</v>
      </c>
      <c r="E6" s="21" t="s">
        <v>10</v>
      </c>
    </row>
    <row r="7" spans="2:10" ht="15.75" thickBot="1" x14ac:dyDescent="0.3">
      <c r="B7" s="25">
        <v>1</v>
      </c>
      <c r="C7" s="22">
        <v>2</v>
      </c>
      <c r="D7" s="23">
        <v>3</v>
      </c>
      <c r="E7" s="24">
        <v>4</v>
      </c>
    </row>
    <row r="8" spans="2:10" x14ac:dyDescent="0.25">
      <c r="B8" s="26" t="s">
        <v>1</v>
      </c>
      <c r="C8" s="31">
        <v>10000</v>
      </c>
      <c r="D8" s="32">
        <v>100</v>
      </c>
      <c r="E8" s="33">
        <v>1000</v>
      </c>
    </row>
    <row r="9" spans="2:10" x14ac:dyDescent="0.25">
      <c r="B9" s="27" t="s">
        <v>2</v>
      </c>
      <c r="C9" s="9">
        <v>1</v>
      </c>
      <c r="D9" s="2">
        <v>3</v>
      </c>
      <c r="E9" s="10">
        <v>2</v>
      </c>
    </row>
    <row r="10" spans="2:10" x14ac:dyDescent="0.25">
      <c r="B10" s="27" t="s">
        <v>3</v>
      </c>
      <c r="C10" s="9">
        <v>0.6</v>
      </c>
      <c r="D10" s="2">
        <v>0.9</v>
      </c>
      <c r="E10" s="10">
        <v>0.8</v>
      </c>
    </row>
    <row r="11" spans="2:10" ht="15.75" thickBot="1" x14ac:dyDescent="0.3">
      <c r="B11" s="28" t="s">
        <v>4</v>
      </c>
      <c r="C11" s="18">
        <v>10</v>
      </c>
      <c r="D11" s="19">
        <v>5</v>
      </c>
      <c r="E11" s="20">
        <v>7</v>
      </c>
    </row>
    <row r="12" spans="2:10" ht="15.75" thickBot="1" x14ac:dyDescent="0.3">
      <c r="B12" s="29" t="s">
        <v>0</v>
      </c>
      <c r="C12" s="65">
        <f>C8*C9*C10/C11</f>
        <v>600</v>
      </c>
      <c r="D12" s="66">
        <f>D8*D9*D10/D11</f>
        <v>54</v>
      </c>
      <c r="E12" s="67">
        <f>E8*E9*E10/E11</f>
        <v>228.57142857142858</v>
      </c>
    </row>
    <row r="14" spans="2:10" ht="15.75" thickBot="1" x14ac:dyDescent="0.3">
      <c r="B14" s="1" t="s">
        <v>8</v>
      </c>
      <c r="C14">
        <v>1</v>
      </c>
      <c r="D14">
        <v>2</v>
      </c>
      <c r="E14">
        <v>3</v>
      </c>
      <c r="F14">
        <v>4</v>
      </c>
      <c r="G14">
        <v>1</v>
      </c>
      <c r="H14">
        <v>2</v>
      </c>
      <c r="I14">
        <v>3</v>
      </c>
      <c r="J14">
        <v>4</v>
      </c>
    </row>
    <row r="15" spans="2:10" ht="15.75" thickBot="1" x14ac:dyDescent="0.3">
      <c r="B15" s="14" t="s">
        <v>7</v>
      </c>
      <c r="C15" s="270" t="s">
        <v>17</v>
      </c>
      <c r="D15" s="271"/>
      <c r="E15" s="271"/>
      <c r="F15" s="272"/>
      <c r="G15" s="270" t="s">
        <v>18</v>
      </c>
      <c r="H15" s="271"/>
      <c r="I15" s="271"/>
      <c r="J15" s="272"/>
    </row>
    <row r="16" spans="2:10" x14ac:dyDescent="0.25">
      <c r="B16" s="15" t="s">
        <v>1</v>
      </c>
      <c r="C16" s="37">
        <f>C8-0.03*C8</f>
        <v>9700</v>
      </c>
      <c r="D16" s="38">
        <f>C8-0.01*C8</f>
        <v>9900</v>
      </c>
      <c r="E16" s="38">
        <f>C8+0.01*C8</f>
        <v>10100</v>
      </c>
      <c r="F16" s="39">
        <f>C8+0.04*C8</f>
        <v>10400</v>
      </c>
      <c r="G16" s="37">
        <f>C8-0.02*C8</f>
        <v>9800</v>
      </c>
      <c r="H16" s="38">
        <f>C8-0.01*C8</f>
        <v>9900</v>
      </c>
      <c r="I16" s="38">
        <f>C8+0.01*C8</f>
        <v>10100</v>
      </c>
      <c r="J16" s="39">
        <f>C8+0.03*C8</f>
        <v>10300</v>
      </c>
    </row>
    <row r="17" spans="1:10" x14ac:dyDescent="0.25">
      <c r="B17" s="16" t="s">
        <v>2</v>
      </c>
      <c r="C17" s="11">
        <f>C9-0.03*C9</f>
        <v>0.97</v>
      </c>
      <c r="D17" s="12">
        <f>C9-0.01*C9</f>
        <v>0.99</v>
      </c>
      <c r="E17" s="12">
        <f>C9+0.01*C9</f>
        <v>1.01</v>
      </c>
      <c r="F17" s="75">
        <f t="shared" ref="F17:F19" si="0">C9+0.04*C9</f>
        <v>1.04</v>
      </c>
      <c r="G17" s="11">
        <f>C9-0.02*C9</f>
        <v>0.98</v>
      </c>
      <c r="H17" s="12">
        <f>C9-0.01*C9</f>
        <v>0.99</v>
      </c>
      <c r="I17" s="12">
        <f>C9+0.01*C9</f>
        <v>1.01</v>
      </c>
      <c r="J17" s="75">
        <f t="shared" ref="J17:J19" si="1">C9+0.03*C9</f>
        <v>1.03</v>
      </c>
    </row>
    <row r="18" spans="1:10" x14ac:dyDescent="0.25">
      <c r="B18" s="16" t="s">
        <v>3</v>
      </c>
      <c r="C18" s="40">
        <f>C10-0.03*C10</f>
        <v>0.58199999999999996</v>
      </c>
      <c r="D18" s="41">
        <f>C10-0.01*C10</f>
        <v>0.59399999999999997</v>
      </c>
      <c r="E18" s="41">
        <f>C10+0.01*C10</f>
        <v>0.60599999999999998</v>
      </c>
      <c r="F18" s="75">
        <f t="shared" si="0"/>
        <v>0.624</v>
      </c>
      <c r="G18" s="40">
        <f>C10-0.02*C10</f>
        <v>0.58799999999999997</v>
      </c>
      <c r="H18" s="41">
        <f>C10-0.01*C10</f>
        <v>0.59399999999999997</v>
      </c>
      <c r="I18" s="41">
        <f>C10+0.01*C10</f>
        <v>0.60599999999999998</v>
      </c>
      <c r="J18" s="75">
        <f t="shared" si="1"/>
        <v>0.61799999999999999</v>
      </c>
    </row>
    <row r="19" spans="1:10" ht="15.75" thickBot="1" x14ac:dyDescent="0.3">
      <c r="B19" s="17" t="s">
        <v>4</v>
      </c>
      <c r="C19" s="54">
        <f>C11-0.03*C11</f>
        <v>9.6999999999999993</v>
      </c>
      <c r="D19" s="55">
        <f>C11-0.01*C11</f>
        <v>9.9</v>
      </c>
      <c r="E19" s="55">
        <f>C11+0.01*C11</f>
        <v>10.1</v>
      </c>
      <c r="F19" s="75">
        <f t="shared" si="0"/>
        <v>10.4</v>
      </c>
      <c r="G19" s="54">
        <f>C11-0.02*C11</f>
        <v>9.8000000000000007</v>
      </c>
      <c r="H19" s="55">
        <f>C11-0.01*C11</f>
        <v>9.9</v>
      </c>
      <c r="I19" s="55">
        <f>C11+0.01*C11</f>
        <v>10.1</v>
      </c>
      <c r="J19" s="75">
        <f t="shared" si="1"/>
        <v>10.3</v>
      </c>
    </row>
    <row r="20" spans="1:10" ht="15.75" thickBot="1" x14ac:dyDescent="0.3">
      <c r="B20" s="47" t="s">
        <v>0</v>
      </c>
      <c r="C20" s="53">
        <f>C24</f>
        <v>524.35974512302721</v>
      </c>
      <c r="D20" s="57">
        <f t="shared" ref="D20:J20" si="2">D24</f>
        <v>576.41524752475243</v>
      </c>
      <c r="E20" s="57">
        <f t="shared" si="2"/>
        <v>624.42484848484844</v>
      </c>
      <c r="F20" s="58">
        <f t="shared" si="2"/>
        <v>692.68131007040108</v>
      </c>
      <c r="G20" s="53">
        <f t="shared" si="2"/>
        <v>547.53395549455911</v>
      </c>
      <c r="H20" s="57">
        <f t="shared" si="2"/>
        <v>576.41524752475243</v>
      </c>
      <c r="I20" s="57">
        <f t="shared" si="2"/>
        <v>624.42484848484844</v>
      </c>
      <c r="J20" s="58">
        <f t="shared" si="2"/>
        <v>667.8267156412611</v>
      </c>
    </row>
    <row r="21" spans="1:10" ht="15.75" thickBot="1" x14ac:dyDescent="0.3"/>
    <row r="22" spans="1:10" x14ac:dyDescent="0.25">
      <c r="B22" s="44" t="s">
        <v>19</v>
      </c>
      <c r="C22" s="31">
        <f>C16*D17+C17*D16-D16*D17</f>
        <v>9405</v>
      </c>
      <c r="D22" s="32">
        <f>D16*D17</f>
        <v>9801</v>
      </c>
      <c r="E22" s="32">
        <f>E16*E17</f>
        <v>10201</v>
      </c>
      <c r="F22" s="33">
        <f>E16*F17+E17*F16-E16*E17</f>
        <v>10807</v>
      </c>
      <c r="G22" s="31">
        <f>G16*H17+G17*H16-H16*H17</f>
        <v>9603</v>
      </c>
      <c r="H22" s="32">
        <f>H16*H17</f>
        <v>9801</v>
      </c>
      <c r="I22" s="32">
        <f>I16*I17</f>
        <v>10201</v>
      </c>
      <c r="J22" s="33">
        <f>I16*J17+I17*J16-I16*I17</f>
        <v>10605</v>
      </c>
    </row>
    <row r="23" spans="1:10" x14ac:dyDescent="0.25">
      <c r="B23" s="45" t="s">
        <v>20</v>
      </c>
      <c r="C23" s="48">
        <f>C22*D18+C18*D22-D22*D18</f>
        <v>5468.9580000000005</v>
      </c>
      <c r="D23" s="7">
        <f>D22*D18</f>
        <v>5821.7939999999999</v>
      </c>
      <c r="E23" s="7">
        <f>E22*E18</f>
        <v>6181.8059999999996</v>
      </c>
      <c r="F23" s="49">
        <f>E22*F18+E18*F22-E18*E22</f>
        <v>6732.6600000000008</v>
      </c>
      <c r="G23" s="48">
        <f>G22*H18+G18*H22-H22*H18</f>
        <v>5645.3759999999984</v>
      </c>
      <c r="H23" s="7">
        <f>H22*H18</f>
        <v>5821.7939999999999</v>
      </c>
      <c r="I23" s="7">
        <f>I22*I18</f>
        <v>6181.8059999999996</v>
      </c>
      <c r="J23" s="49">
        <f>I22*J18+I18*J22-I18*I22</f>
        <v>6549.0420000000004</v>
      </c>
    </row>
    <row r="24" spans="1:10" ht="15.75" thickBot="1" x14ac:dyDescent="0.3">
      <c r="B24" s="46" t="s">
        <v>21</v>
      </c>
      <c r="C24" s="50">
        <f>(D23*E19-D23*F19+C23*E19)/(E19^2)</f>
        <v>524.35974512302721</v>
      </c>
      <c r="D24" s="51">
        <f>D23/E19</f>
        <v>576.41524752475243</v>
      </c>
      <c r="E24" s="51">
        <f>E23/D19</f>
        <v>624.42484848484844</v>
      </c>
      <c r="F24" s="52">
        <f>(E23*D19-E23*C19+F23*D19)/(D19^2)</f>
        <v>692.68131007040108</v>
      </c>
      <c r="G24" s="50">
        <f>(H23*I19-H23*J19+G23*I19)/(I19^2)</f>
        <v>547.53395549455911</v>
      </c>
      <c r="H24" s="51">
        <f>H23/I19</f>
        <v>576.41524752475243</v>
      </c>
      <c r="I24" s="51">
        <f>I23/H19</f>
        <v>624.42484848484844</v>
      </c>
      <c r="J24" s="52">
        <f>(I23*H19-I23*G19+J23*H19)/(H19^2)</f>
        <v>667.8267156412611</v>
      </c>
    </row>
    <row r="25" spans="1:10" x14ac:dyDescent="0.25">
      <c r="B25" s="60"/>
      <c r="C25" s="59"/>
      <c r="D25" s="59"/>
      <c r="E25" s="59"/>
      <c r="F25" s="59"/>
      <c r="G25" s="59"/>
      <c r="H25" s="59"/>
      <c r="I25" s="59"/>
      <c r="J25" s="59"/>
    </row>
    <row r="26" spans="1:10" ht="15.75" thickBot="1" x14ac:dyDescent="0.3">
      <c r="C26" s="1" t="s">
        <v>25</v>
      </c>
      <c r="F26" s="1" t="s">
        <v>26</v>
      </c>
      <c r="I26" s="59"/>
      <c r="J26" s="59"/>
    </row>
    <row r="27" spans="1:10" ht="15.75" thickBot="1" x14ac:dyDescent="0.3">
      <c r="A27" s="1">
        <v>0.8</v>
      </c>
      <c r="B27" s="43" t="s">
        <v>22</v>
      </c>
      <c r="C27" s="68">
        <f>A27*D24+(1-A27)*C24</f>
        <v>566.00414704440743</v>
      </c>
      <c r="D27" s="62">
        <f>A27*E24+(1-A27)*F24</f>
        <v>638.0761408019589</v>
      </c>
      <c r="E27" s="63"/>
      <c r="F27" s="61">
        <f>A27*H24+(1-A27)*G24</f>
        <v>570.63898911871377</v>
      </c>
      <c r="G27" s="62">
        <f>A27*I24+(1-A27)*J24</f>
        <v>633.10522191613097</v>
      </c>
      <c r="I27" s="59"/>
      <c r="J27" s="59"/>
    </row>
    <row r="28" spans="1:10" ht="15.75" thickBot="1" x14ac:dyDescent="0.3">
      <c r="A28" s="1"/>
      <c r="B28" s="71" t="s">
        <v>28</v>
      </c>
      <c r="C28" s="69">
        <f>(C27+D27)/2</f>
        <v>602.04014392318322</v>
      </c>
      <c r="D28" s="63"/>
      <c r="E28" s="63"/>
      <c r="F28" s="64">
        <f>(F27+G27)/2</f>
        <v>601.87210551742237</v>
      </c>
      <c r="G28" s="63"/>
      <c r="I28" s="59"/>
      <c r="J28" s="59"/>
    </row>
    <row r="29" spans="1:10" x14ac:dyDescent="0.25">
      <c r="B29" s="72" t="s">
        <v>27</v>
      </c>
      <c r="C29" s="70">
        <f>(C28+F28)/2</f>
        <v>601.9561247203028</v>
      </c>
      <c r="I29" s="59"/>
      <c r="J29" s="59"/>
    </row>
    <row r="30" spans="1:10" x14ac:dyDescent="0.25">
      <c r="B30" s="60"/>
      <c r="C30" s="59"/>
      <c r="D30" s="59"/>
      <c r="E30" s="59"/>
      <c r="F30" s="59"/>
      <c r="G30" s="59"/>
      <c r="H30" s="59"/>
      <c r="I30" s="59"/>
      <c r="J30" s="59"/>
    </row>
    <row r="31" spans="1:10" x14ac:dyDescent="0.25">
      <c r="B31" s="60"/>
      <c r="C31" s="59"/>
      <c r="D31" s="59"/>
      <c r="E31" s="59"/>
      <c r="F31" s="59"/>
      <c r="G31" s="59"/>
      <c r="H31" s="59"/>
      <c r="I31" s="59"/>
      <c r="J31" s="59"/>
    </row>
    <row r="32" spans="1:10" ht="15.75" thickBot="1" x14ac:dyDescent="0.3">
      <c r="B32" s="1" t="s">
        <v>9</v>
      </c>
      <c r="C32">
        <v>1</v>
      </c>
      <c r="D32">
        <v>2</v>
      </c>
      <c r="E32">
        <v>3</v>
      </c>
      <c r="F32">
        <v>4</v>
      </c>
      <c r="G32">
        <v>1</v>
      </c>
      <c r="H32">
        <v>2</v>
      </c>
      <c r="I32">
        <v>3</v>
      </c>
      <c r="J32">
        <v>4</v>
      </c>
    </row>
    <row r="33" spans="1:10" ht="15.75" thickBot="1" x14ac:dyDescent="0.3">
      <c r="B33" s="14" t="s">
        <v>7</v>
      </c>
      <c r="C33" s="317" t="s">
        <v>17</v>
      </c>
      <c r="D33" s="318"/>
      <c r="E33" s="318"/>
      <c r="F33" s="319"/>
      <c r="G33" s="270" t="s">
        <v>18</v>
      </c>
      <c r="H33" s="271"/>
      <c r="I33" s="271"/>
      <c r="J33" s="272"/>
    </row>
    <row r="34" spans="1:10" x14ac:dyDescent="0.25">
      <c r="B34" s="15" t="s">
        <v>1</v>
      </c>
      <c r="C34" s="37">
        <f>D8-0.03*D8</f>
        <v>97</v>
      </c>
      <c r="D34" s="38">
        <f>D8-0.01*D8</f>
        <v>99</v>
      </c>
      <c r="E34" s="38">
        <f>D8+0.01*D8</f>
        <v>101</v>
      </c>
      <c r="F34" s="39">
        <f>D8+0.04*D8</f>
        <v>104</v>
      </c>
      <c r="G34" s="37">
        <f>D8-0.02*D8</f>
        <v>98</v>
      </c>
      <c r="H34" s="38">
        <f>D8-0.01*D8</f>
        <v>99</v>
      </c>
      <c r="I34" s="38">
        <f>D8+0.01*D8</f>
        <v>101</v>
      </c>
      <c r="J34" s="39">
        <f>D8+0.03*D8</f>
        <v>103</v>
      </c>
    </row>
    <row r="35" spans="1:10" ht="12.75" customHeight="1" x14ac:dyDescent="0.25">
      <c r="B35" s="16" t="s">
        <v>2</v>
      </c>
      <c r="C35" s="73">
        <f t="shared" ref="C35:C37" si="3">D9-0.03*D9</f>
        <v>2.91</v>
      </c>
      <c r="D35" s="74">
        <f t="shared" ref="D35:D37" si="4">D9-0.01*D9</f>
        <v>2.97</v>
      </c>
      <c r="E35" s="74">
        <f t="shared" ref="E35:E37" si="5">D9+0.01*D9</f>
        <v>3.03</v>
      </c>
      <c r="F35" s="75">
        <f t="shared" ref="F35:F37" si="6">D9+0.04*D9</f>
        <v>3.12</v>
      </c>
      <c r="G35" s="73">
        <f t="shared" ref="G35:G37" si="7">D9-0.02*D9</f>
        <v>2.94</v>
      </c>
      <c r="H35" s="74">
        <f t="shared" ref="H35:H37" si="8">D9-0.01*D9</f>
        <v>2.97</v>
      </c>
      <c r="I35" s="74">
        <f t="shared" ref="I35:I37" si="9">D9+0.01*D9</f>
        <v>3.03</v>
      </c>
      <c r="J35" s="75">
        <f t="shared" ref="J35:J37" si="10">D9+0.03*D9</f>
        <v>3.09</v>
      </c>
    </row>
    <row r="36" spans="1:10" x14ac:dyDescent="0.25">
      <c r="B36" s="16" t="s">
        <v>3</v>
      </c>
      <c r="C36" s="73">
        <f t="shared" si="3"/>
        <v>0.873</v>
      </c>
      <c r="D36" s="74">
        <f t="shared" si="4"/>
        <v>0.89100000000000001</v>
      </c>
      <c r="E36" s="74">
        <f t="shared" si="5"/>
        <v>0.90900000000000003</v>
      </c>
      <c r="F36" s="75">
        <f t="shared" si="6"/>
        <v>0.93600000000000005</v>
      </c>
      <c r="G36" s="73">
        <f t="shared" si="7"/>
        <v>0.88200000000000001</v>
      </c>
      <c r="H36" s="74">
        <f t="shared" si="8"/>
        <v>0.89100000000000001</v>
      </c>
      <c r="I36" s="74">
        <f t="shared" si="9"/>
        <v>0.90900000000000003</v>
      </c>
      <c r="J36" s="75">
        <f t="shared" si="10"/>
        <v>0.92700000000000005</v>
      </c>
    </row>
    <row r="37" spans="1:10" ht="15.75" thickBot="1" x14ac:dyDescent="0.3">
      <c r="B37" s="17" t="s">
        <v>4</v>
      </c>
      <c r="C37" s="73">
        <f t="shared" si="3"/>
        <v>4.8499999999999996</v>
      </c>
      <c r="D37" s="74">
        <f t="shared" si="4"/>
        <v>4.95</v>
      </c>
      <c r="E37" s="74">
        <f t="shared" si="5"/>
        <v>5.05</v>
      </c>
      <c r="F37" s="75">
        <f t="shared" si="6"/>
        <v>5.2</v>
      </c>
      <c r="G37" s="73">
        <f t="shared" si="7"/>
        <v>4.9000000000000004</v>
      </c>
      <c r="H37" s="74">
        <f t="shared" si="8"/>
        <v>4.95</v>
      </c>
      <c r="I37" s="74">
        <f t="shared" si="9"/>
        <v>5.05</v>
      </c>
      <c r="J37" s="75">
        <f t="shared" si="10"/>
        <v>5.15</v>
      </c>
    </row>
    <row r="38" spans="1:10" ht="15.75" thickBot="1" x14ac:dyDescent="0.3">
      <c r="B38" s="47" t="s">
        <v>0</v>
      </c>
      <c r="C38" s="53">
        <f>C42</f>
        <v>47.192377061072449</v>
      </c>
      <c r="D38" s="57">
        <f t="shared" ref="D38:J38" si="11">D42</f>
        <v>51.877372277227735</v>
      </c>
      <c r="E38" s="57">
        <f t="shared" si="11"/>
        <v>56.198236363636362</v>
      </c>
      <c r="F38" s="58">
        <f t="shared" si="11"/>
        <v>62.341317906336108</v>
      </c>
      <c r="G38" s="53">
        <f t="shared" si="11"/>
        <v>49.278055994510325</v>
      </c>
      <c r="H38" s="57">
        <f t="shared" si="11"/>
        <v>51.877372277227735</v>
      </c>
      <c r="I38" s="57">
        <f t="shared" si="11"/>
        <v>56.198236363636362</v>
      </c>
      <c r="J38" s="58">
        <f t="shared" si="11"/>
        <v>60.104404407713496</v>
      </c>
    </row>
    <row r="39" spans="1:10" ht="15.75" thickBot="1" x14ac:dyDescent="0.3"/>
    <row r="40" spans="1:10" x14ac:dyDescent="0.25">
      <c r="B40" s="44" t="s">
        <v>19</v>
      </c>
      <c r="C40" s="31">
        <f>C34*D35+C35*D34-D34*D35</f>
        <v>282.15000000000003</v>
      </c>
      <c r="D40" s="32">
        <f>D34*D35</f>
        <v>294.03000000000003</v>
      </c>
      <c r="E40" s="32">
        <f>E34*E35</f>
        <v>306.02999999999997</v>
      </c>
      <c r="F40" s="33">
        <f>E34*F35+E35*F34-E34*E35</f>
        <v>324.21000000000004</v>
      </c>
      <c r="G40" s="31">
        <f>G34*H35+G35*H34-H34*H35</f>
        <v>288.08999999999997</v>
      </c>
      <c r="H40" s="32">
        <f>H34*H35</f>
        <v>294.03000000000003</v>
      </c>
      <c r="I40" s="32">
        <f>I34*I35</f>
        <v>306.02999999999997</v>
      </c>
      <c r="J40" s="33">
        <f>I34*J35+I35*J34-I34*I35</f>
        <v>318.14999999999998</v>
      </c>
    </row>
    <row r="41" spans="1:10" x14ac:dyDescent="0.25">
      <c r="B41" s="45" t="s">
        <v>20</v>
      </c>
      <c r="C41" s="48">
        <f>C40*D36+C36*D40-D40*D36</f>
        <v>246.10311000000002</v>
      </c>
      <c r="D41" s="7">
        <f>D40*D36</f>
        <v>261.98073000000005</v>
      </c>
      <c r="E41" s="7">
        <f>E40*E36</f>
        <v>278.18126999999998</v>
      </c>
      <c r="F41" s="49">
        <f>E40*F36+E36*F40-E36*E40</f>
        <v>302.96970000000005</v>
      </c>
      <c r="G41" s="48">
        <f>G40*H36+G36*H40-H40*H36</f>
        <v>254.04191999999995</v>
      </c>
      <c r="H41" s="7">
        <f>H40*H36</f>
        <v>261.98073000000005</v>
      </c>
      <c r="I41" s="7">
        <f>I40*I36</f>
        <v>278.18126999999998</v>
      </c>
      <c r="J41" s="49">
        <f>I40*J36+I36*J40-I36*I40</f>
        <v>294.70688999999999</v>
      </c>
    </row>
    <row r="42" spans="1:10" ht="15.75" thickBot="1" x14ac:dyDescent="0.3">
      <c r="B42" s="46" t="s">
        <v>21</v>
      </c>
      <c r="C42" s="50">
        <f>(D41*E37-D41*F37+C41*E37)/(E37^2)</f>
        <v>47.192377061072449</v>
      </c>
      <c r="D42" s="51">
        <f>D41/E37</f>
        <v>51.877372277227735</v>
      </c>
      <c r="E42" s="51">
        <f>E41/D37</f>
        <v>56.198236363636362</v>
      </c>
      <c r="F42" s="52">
        <f>(E41*D37-E41*C37+F41*D37)/(D37^2)</f>
        <v>62.341317906336108</v>
      </c>
      <c r="G42" s="50">
        <f>(H41*I37-H41*J37+G41*I37)/(I37^2)</f>
        <v>49.278055994510325</v>
      </c>
      <c r="H42" s="51">
        <f>H41/I37</f>
        <v>51.877372277227735</v>
      </c>
      <c r="I42" s="51">
        <f>I41/H37</f>
        <v>56.198236363636362</v>
      </c>
      <c r="J42" s="52">
        <f>(I41*H37-I41*G37+J41*H37)/(H37^2)</f>
        <v>60.104404407713496</v>
      </c>
    </row>
    <row r="43" spans="1:10" x14ac:dyDescent="0.25">
      <c r="B43" s="60"/>
      <c r="C43" s="59"/>
      <c r="D43" s="59"/>
      <c r="E43" s="59"/>
      <c r="F43" s="59"/>
      <c r="G43" s="59"/>
      <c r="H43" s="59"/>
      <c r="I43" s="59"/>
      <c r="J43" s="59"/>
    </row>
    <row r="44" spans="1:10" ht="15.75" thickBot="1" x14ac:dyDescent="0.3">
      <c r="C44" s="1" t="s">
        <v>25</v>
      </c>
      <c r="F44" s="1" t="s">
        <v>26</v>
      </c>
      <c r="I44" s="59"/>
      <c r="J44" s="59"/>
    </row>
    <row r="45" spans="1:10" ht="15.75" thickBot="1" x14ac:dyDescent="0.3">
      <c r="A45" s="1">
        <v>0.8</v>
      </c>
      <c r="B45" s="43" t="s">
        <v>22</v>
      </c>
      <c r="C45" s="68">
        <f>A45*D42+(1-A45)*C42</f>
        <v>50.940373233996681</v>
      </c>
      <c r="D45" s="62">
        <f>A45*E42+(1-A45)*F42</f>
        <v>57.42685267217631</v>
      </c>
      <c r="E45" s="63"/>
      <c r="F45" s="61">
        <f>A45*H42+(1-A45)*G42</f>
        <v>51.357509020684255</v>
      </c>
      <c r="G45" s="62">
        <f>A45*I42+(1-A45)*J42</f>
        <v>56.979469972451788</v>
      </c>
      <c r="I45" s="59"/>
      <c r="J45" s="59"/>
    </row>
    <row r="46" spans="1:10" ht="15.75" thickBot="1" x14ac:dyDescent="0.3">
      <c r="A46" s="1"/>
      <c r="B46" s="71" t="s">
        <v>28</v>
      </c>
      <c r="C46" s="69">
        <f>(C45+D45)/2</f>
        <v>54.183612953086495</v>
      </c>
      <c r="D46" s="63"/>
      <c r="E46" s="63"/>
      <c r="F46" s="64">
        <f>(F45+G45)/2</f>
        <v>54.168489496568021</v>
      </c>
      <c r="G46" s="63"/>
      <c r="I46" s="59"/>
      <c r="J46" s="59"/>
    </row>
    <row r="47" spans="1:10" x14ac:dyDescent="0.25">
      <c r="B47" s="72" t="s">
        <v>27</v>
      </c>
      <c r="C47" s="70">
        <f>(C46+F46)/2</f>
        <v>54.176051224827262</v>
      </c>
      <c r="I47" s="59"/>
      <c r="J47" s="59"/>
    </row>
    <row r="50" spans="1:10" ht="15.75" thickBot="1" x14ac:dyDescent="0.3">
      <c r="B50" s="1" t="s">
        <v>10</v>
      </c>
      <c r="C50">
        <v>1</v>
      </c>
      <c r="D50">
        <v>2</v>
      </c>
      <c r="E50">
        <v>3</v>
      </c>
      <c r="F50">
        <v>4</v>
      </c>
      <c r="G50">
        <v>1</v>
      </c>
      <c r="H50">
        <v>2</v>
      </c>
      <c r="I50">
        <v>3</v>
      </c>
      <c r="J50">
        <v>4</v>
      </c>
    </row>
    <row r="51" spans="1:10" ht="15.75" thickBot="1" x14ac:dyDescent="0.3">
      <c r="B51" s="14" t="s">
        <v>7</v>
      </c>
      <c r="C51" s="270" t="s">
        <v>17</v>
      </c>
      <c r="D51" s="271"/>
      <c r="E51" s="271"/>
      <c r="F51" s="272"/>
      <c r="G51" s="270" t="s">
        <v>18</v>
      </c>
      <c r="H51" s="271"/>
      <c r="I51" s="271"/>
      <c r="J51" s="272"/>
    </row>
    <row r="52" spans="1:10" x14ac:dyDescent="0.25">
      <c r="B52" s="15" t="s">
        <v>1</v>
      </c>
      <c r="C52" s="37">
        <f>E8-0.03*E8</f>
        <v>970</v>
      </c>
      <c r="D52" s="38">
        <f>E8-0.01*E8</f>
        <v>990</v>
      </c>
      <c r="E52" s="38">
        <f>E8+0.01*E8</f>
        <v>1010</v>
      </c>
      <c r="F52" s="39">
        <f>E8+0.04*E8</f>
        <v>1040</v>
      </c>
      <c r="G52" s="37">
        <f>E8-0.02*E8</f>
        <v>980</v>
      </c>
      <c r="H52" s="38">
        <f>E8-0.01*E8</f>
        <v>990</v>
      </c>
      <c r="I52" s="38">
        <f>E8+0.01*E8</f>
        <v>1010</v>
      </c>
      <c r="J52" s="39">
        <f>E8+0.03*E8</f>
        <v>1030</v>
      </c>
    </row>
    <row r="53" spans="1:10" x14ac:dyDescent="0.25">
      <c r="B53" s="16" t="s">
        <v>2</v>
      </c>
      <c r="C53" s="73">
        <f t="shared" ref="C53:C55" si="12">E9-0.03*E9</f>
        <v>1.94</v>
      </c>
      <c r="D53" s="74">
        <f t="shared" ref="D53:D55" si="13">E9-0.01*E9</f>
        <v>1.98</v>
      </c>
      <c r="E53" s="74">
        <f t="shared" ref="E53:E55" si="14">E9+0.01*E9</f>
        <v>2.02</v>
      </c>
      <c r="F53" s="75">
        <f t="shared" ref="F53:F55" si="15">E9+0.04*E9</f>
        <v>2.08</v>
      </c>
      <c r="G53" s="73">
        <f t="shared" ref="G53:G55" si="16">E9-0.02*E9</f>
        <v>1.96</v>
      </c>
      <c r="H53" s="74">
        <f t="shared" ref="H53:H55" si="17">E9-0.01*E9</f>
        <v>1.98</v>
      </c>
      <c r="I53" s="74">
        <f t="shared" ref="I53:I55" si="18">E9+0.01*E9</f>
        <v>2.02</v>
      </c>
      <c r="J53" s="75">
        <f t="shared" ref="J53:J55" si="19">E9+0.03*E9</f>
        <v>2.06</v>
      </c>
    </row>
    <row r="54" spans="1:10" x14ac:dyDescent="0.25">
      <c r="B54" s="16" t="s">
        <v>3</v>
      </c>
      <c r="C54" s="73">
        <f t="shared" si="12"/>
        <v>0.77600000000000002</v>
      </c>
      <c r="D54" s="74">
        <f t="shared" si="13"/>
        <v>0.79200000000000004</v>
      </c>
      <c r="E54" s="74">
        <f t="shared" si="14"/>
        <v>0.80800000000000005</v>
      </c>
      <c r="F54" s="75">
        <f t="shared" si="15"/>
        <v>0.83200000000000007</v>
      </c>
      <c r="G54" s="73">
        <f t="shared" si="16"/>
        <v>0.78400000000000003</v>
      </c>
      <c r="H54" s="74">
        <f t="shared" si="17"/>
        <v>0.79200000000000004</v>
      </c>
      <c r="I54" s="74">
        <f t="shared" si="18"/>
        <v>0.80800000000000005</v>
      </c>
      <c r="J54" s="75">
        <f t="shared" si="19"/>
        <v>0.82400000000000007</v>
      </c>
    </row>
    <row r="55" spans="1:10" ht="15.75" thickBot="1" x14ac:dyDescent="0.3">
      <c r="B55" s="17" t="s">
        <v>4</v>
      </c>
      <c r="C55" s="73">
        <f t="shared" si="12"/>
        <v>6.79</v>
      </c>
      <c r="D55" s="74">
        <f t="shared" si="13"/>
        <v>6.93</v>
      </c>
      <c r="E55" s="74">
        <f t="shared" si="14"/>
        <v>7.07</v>
      </c>
      <c r="F55" s="75">
        <f t="shared" si="15"/>
        <v>7.28</v>
      </c>
      <c r="G55" s="73">
        <f t="shared" si="16"/>
        <v>6.86</v>
      </c>
      <c r="H55" s="74">
        <f t="shared" si="17"/>
        <v>6.93</v>
      </c>
      <c r="I55" s="74">
        <f t="shared" si="18"/>
        <v>7.07</v>
      </c>
      <c r="J55" s="75">
        <f t="shared" si="19"/>
        <v>7.21</v>
      </c>
    </row>
    <row r="56" spans="1:10" ht="15.75" thickBot="1" x14ac:dyDescent="0.3">
      <c r="B56" s="47" t="s">
        <v>0</v>
      </c>
      <c r="C56" s="53">
        <f>C60</f>
        <v>199.75609338020084</v>
      </c>
      <c r="D56" s="57">
        <f t="shared" ref="D56:J56" si="20">D60</f>
        <v>219.58676096181048</v>
      </c>
      <c r="E56" s="57">
        <f t="shared" si="20"/>
        <v>237.87613275613279</v>
      </c>
      <c r="F56" s="58">
        <f t="shared" si="20"/>
        <v>263.87859431253383</v>
      </c>
      <c r="G56" s="53">
        <f t="shared" si="20"/>
        <v>208.5843639979274</v>
      </c>
      <c r="H56" s="57">
        <f t="shared" si="20"/>
        <v>219.58676096181048</v>
      </c>
      <c r="I56" s="57">
        <f t="shared" si="20"/>
        <v>237.87613275613279</v>
      </c>
      <c r="J56" s="58">
        <f t="shared" si="20"/>
        <v>254.41017738714714</v>
      </c>
    </row>
    <row r="57" spans="1:10" ht="15.75" thickBot="1" x14ac:dyDescent="0.3"/>
    <row r="58" spans="1:10" x14ac:dyDescent="0.25">
      <c r="B58" s="44" t="s">
        <v>19</v>
      </c>
      <c r="C58" s="31">
        <f>C52*D53+C53*D52-D52*D53</f>
        <v>1880.9999999999998</v>
      </c>
      <c r="D58" s="32">
        <f>D52*D53</f>
        <v>1960.2</v>
      </c>
      <c r="E58" s="32">
        <f>E52*E53</f>
        <v>2040.2</v>
      </c>
      <c r="F58" s="33">
        <f>E52*F53+E53*F52-E52*E53</f>
        <v>2161.4000000000005</v>
      </c>
      <c r="G58" s="31">
        <f>G52*H53+G53*H52-H52*H53</f>
        <v>1920.6000000000001</v>
      </c>
      <c r="H58" s="32">
        <f>H52*H53</f>
        <v>1960.2</v>
      </c>
      <c r="I58" s="32">
        <f>I52*I53</f>
        <v>2040.2</v>
      </c>
      <c r="J58" s="33">
        <f>I52*J53+I53*J52-I52*I53</f>
        <v>2121</v>
      </c>
    </row>
    <row r="59" spans="1:10" x14ac:dyDescent="0.25">
      <c r="B59" s="45" t="s">
        <v>20</v>
      </c>
      <c r="C59" s="48">
        <f>C58*D54+C54*D58-D58*D54</f>
        <v>1458.3887999999999</v>
      </c>
      <c r="D59" s="7">
        <f>D58*D54</f>
        <v>1552.4784000000002</v>
      </c>
      <c r="E59" s="7">
        <f>E58*E54</f>
        <v>1648.4816000000001</v>
      </c>
      <c r="F59" s="49">
        <f>E58*F54+E54*F58-E54*E58</f>
        <v>1795.3760000000007</v>
      </c>
      <c r="G59" s="48">
        <f>G58*H54+G54*H58-H58*H54</f>
        <v>1505.4336000000001</v>
      </c>
      <c r="H59" s="7">
        <f>H58*H54</f>
        <v>1552.4784000000002</v>
      </c>
      <c r="I59" s="7">
        <f>I58*I54</f>
        <v>1648.4816000000001</v>
      </c>
      <c r="J59" s="49">
        <f>I58*J54+I54*J58-I54*I58</f>
        <v>1746.4112000000005</v>
      </c>
    </row>
    <row r="60" spans="1:10" ht="15.75" thickBot="1" x14ac:dyDescent="0.3">
      <c r="B60" s="46" t="s">
        <v>21</v>
      </c>
      <c r="C60" s="50">
        <f>(D59*E55-D59*F55+C59*E55)/(E55^2)</f>
        <v>199.75609338020084</v>
      </c>
      <c r="D60" s="51">
        <f>D59/E55</f>
        <v>219.58676096181048</v>
      </c>
      <c r="E60" s="51">
        <f>E59/D55</f>
        <v>237.87613275613279</v>
      </c>
      <c r="F60" s="52">
        <f>(E59*D55-E59*C55+F59*D55)/(D55^2)</f>
        <v>263.87859431253383</v>
      </c>
      <c r="G60" s="50">
        <f>(H59*I55-H59*J55+G59*I55)/(I55^2)</f>
        <v>208.5843639979274</v>
      </c>
      <c r="H60" s="51">
        <f>H59/I55</f>
        <v>219.58676096181048</v>
      </c>
      <c r="I60" s="51">
        <f>I59/H55</f>
        <v>237.87613275613279</v>
      </c>
      <c r="J60" s="52">
        <f>(I59*H55-I59*G55+J59*H55)/(H55^2)</f>
        <v>254.41017738714714</v>
      </c>
    </row>
    <row r="61" spans="1:10" x14ac:dyDescent="0.25">
      <c r="B61" s="60"/>
      <c r="C61" s="59"/>
      <c r="D61" s="59"/>
      <c r="E61" s="59"/>
      <c r="F61" s="59"/>
      <c r="G61" s="59"/>
      <c r="H61" s="59"/>
      <c r="I61" s="59"/>
      <c r="J61" s="59"/>
    </row>
    <row r="62" spans="1:10" ht="15.75" thickBot="1" x14ac:dyDescent="0.3">
      <c r="C62" s="1" t="s">
        <v>25</v>
      </c>
      <c r="F62" s="1" t="s">
        <v>26</v>
      </c>
      <c r="I62" s="59"/>
      <c r="J62" s="59"/>
    </row>
    <row r="63" spans="1:10" ht="15.75" thickBot="1" x14ac:dyDescent="0.3">
      <c r="A63" s="1">
        <v>0.8</v>
      </c>
      <c r="B63" s="43" t="s">
        <v>22</v>
      </c>
      <c r="C63" s="68">
        <f>A63*D60+(1-A63)*C60</f>
        <v>215.62062744548857</v>
      </c>
      <c r="D63" s="62">
        <f>A63*E60+(1-A63)*F60</f>
        <v>243.076625067413</v>
      </c>
      <c r="E63" s="63"/>
      <c r="F63" s="61">
        <f>A63*H60+(1-A63)*G60</f>
        <v>217.38628156903388</v>
      </c>
      <c r="G63" s="62">
        <f>A63*I60+(1-A63)*J60</f>
        <v>241.18294168233567</v>
      </c>
      <c r="I63" s="59"/>
      <c r="J63" s="59"/>
    </row>
    <row r="64" spans="1:10" ht="15.75" thickBot="1" x14ac:dyDescent="0.3">
      <c r="A64" s="1"/>
      <c r="B64" s="71" t="s">
        <v>28</v>
      </c>
      <c r="C64" s="69">
        <f>(C63+D63)/2</f>
        <v>229.34862625645079</v>
      </c>
      <c r="D64" s="63"/>
      <c r="E64" s="63"/>
      <c r="F64" s="64">
        <f>(F63+G63)/2</f>
        <v>229.28461162568476</v>
      </c>
      <c r="G64" s="63"/>
      <c r="I64" s="59"/>
      <c r="J64" s="59"/>
    </row>
    <row r="65" spans="2:10" x14ac:dyDescent="0.25">
      <c r="B65" s="72" t="s">
        <v>27</v>
      </c>
      <c r="C65" s="70">
        <f>(C64+F64)/2</f>
        <v>229.31661894106776</v>
      </c>
      <c r="I65" s="59"/>
      <c r="J65" s="59"/>
    </row>
  </sheetData>
  <mergeCells count="8">
    <mergeCell ref="C51:F51"/>
    <mergeCell ref="G51:J51"/>
    <mergeCell ref="B5:B6"/>
    <mergeCell ref="C5:E5"/>
    <mergeCell ref="C15:F15"/>
    <mergeCell ref="G15:J15"/>
    <mergeCell ref="C33:F33"/>
    <mergeCell ref="G33:J33"/>
  </mergeCells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F8EB-DFEE-4180-957C-EAD500E29935}">
  <sheetPr>
    <pageSetUpPr fitToPage="1"/>
  </sheetPr>
  <dimension ref="A1:J65"/>
  <sheetViews>
    <sheetView topLeftCell="A49" zoomScaleNormal="100" workbookViewId="0">
      <selection activeCell="F11" sqref="F11"/>
    </sheetView>
  </sheetViews>
  <sheetFormatPr defaultRowHeight="15" x14ac:dyDescent="0.25"/>
  <cols>
    <col min="1" max="1" width="3.7109375" customWidth="1"/>
    <col min="2" max="2" width="32.5703125" customWidth="1"/>
    <col min="3" max="3" width="15.42578125" customWidth="1"/>
    <col min="4" max="4" width="18.28515625" customWidth="1"/>
    <col min="5" max="5" width="17.140625" customWidth="1"/>
    <col min="6" max="6" width="16.42578125" customWidth="1"/>
    <col min="7" max="7" width="14.85546875" customWidth="1"/>
    <col min="8" max="8" width="16" customWidth="1"/>
    <col min="9" max="9" width="11.42578125" customWidth="1"/>
    <col min="10" max="10" width="13.140625" customWidth="1"/>
  </cols>
  <sheetData>
    <row r="1" spans="2:10" x14ac:dyDescent="0.25">
      <c r="B1" s="1" t="s">
        <v>23</v>
      </c>
    </row>
    <row r="2" spans="2:10" x14ac:dyDescent="0.25">
      <c r="B2" s="76" t="s">
        <v>30</v>
      </c>
    </row>
    <row r="3" spans="2:10" x14ac:dyDescent="0.25">
      <c r="B3" s="1" t="s">
        <v>24</v>
      </c>
    </row>
    <row r="4" spans="2:10" ht="15.75" thickBot="1" x14ac:dyDescent="0.3"/>
    <row r="5" spans="2:10" x14ac:dyDescent="0.25">
      <c r="B5" s="268" t="s">
        <v>7</v>
      </c>
      <c r="C5" s="265" t="s">
        <v>6</v>
      </c>
      <c r="D5" s="266"/>
      <c r="E5" s="267"/>
    </row>
    <row r="6" spans="2:10" x14ac:dyDescent="0.25">
      <c r="B6" s="269"/>
      <c r="C6" s="30" t="s">
        <v>8</v>
      </c>
      <c r="D6" s="5" t="s">
        <v>9</v>
      </c>
      <c r="E6" s="21" t="s">
        <v>10</v>
      </c>
    </row>
    <row r="7" spans="2:10" ht="15.75" thickBot="1" x14ac:dyDescent="0.3">
      <c r="B7" s="25">
        <v>1</v>
      </c>
      <c r="C7" s="22">
        <v>2</v>
      </c>
      <c r="D7" s="23">
        <v>3</v>
      </c>
      <c r="E7" s="24">
        <v>4</v>
      </c>
    </row>
    <row r="8" spans="2:10" x14ac:dyDescent="0.25">
      <c r="B8" s="26" t="s">
        <v>1</v>
      </c>
      <c r="C8" s="31">
        <v>10000</v>
      </c>
      <c r="D8" s="32">
        <v>100</v>
      </c>
      <c r="E8" s="33">
        <v>1000</v>
      </c>
    </row>
    <row r="9" spans="2:10" x14ac:dyDescent="0.25">
      <c r="B9" s="27" t="s">
        <v>2</v>
      </c>
      <c r="C9" s="9">
        <v>1</v>
      </c>
      <c r="D9" s="2">
        <v>3</v>
      </c>
      <c r="E9" s="10">
        <v>2</v>
      </c>
    </row>
    <row r="10" spans="2:10" x14ac:dyDescent="0.25">
      <c r="B10" s="27" t="s">
        <v>3</v>
      </c>
      <c r="C10" s="9">
        <v>0.6</v>
      </c>
      <c r="D10" s="2">
        <v>0.9</v>
      </c>
      <c r="E10" s="10">
        <v>0.8</v>
      </c>
    </row>
    <row r="11" spans="2:10" ht="15.75" thickBot="1" x14ac:dyDescent="0.3">
      <c r="B11" s="28" t="s">
        <v>4</v>
      </c>
      <c r="C11" s="18">
        <v>10</v>
      </c>
      <c r="D11" s="19">
        <v>5</v>
      </c>
      <c r="E11" s="20">
        <v>7</v>
      </c>
    </row>
    <row r="12" spans="2:10" ht="15.75" thickBot="1" x14ac:dyDescent="0.3">
      <c r="B12" s="29" t="s">
        <v>0</v>
      </c>
      <c r="C12" s="65">
        <f>C8*C9*C10/C11</f>
        <v>600</v>
      </c>
      <c r="D12" s="66">
        <f>D8*D9*D10/D11</f>
        <v>54</v>
      </c>
      <c r="E12" s="67">
        <f>E8*E9*E10/E11</f>
        <v>228.57142857142858</v>
      </c>
    </row>
    <row r="14" spans="2:10" ht="15.75" thickBot="1" x14ac:dyDescent="0.3">
      <c r="B14" s="1" t="s">
        <v>8</v>
      </c>
      <c r="C14">
        <v>1</v>
      </c>
      <c r="D14">
        <v>2</v>
      </c>
      <c r="E14">
        <v>3</v>
      </c>
      <c r="F14">
        <v>4</v>
      </c>
      <c r="G14">
        <v>1</v>
      </c>
      <c r="H14">
        <v>2</v>
      </c>
      <c r="I14">
        <v>3</v>
      </c>
      <c r="J14">
        <v>4</v>
      </c>
    </row>
    <row r="15" spans="2:10" ht="15.75" thickBot="1" x14ac:dyDescent="0.3">
      <c r="B15" s="14" t="s">
        <v>7</v>
      </c>
      <c r="C15" s="270" t="s">
        <v>17</v>
      </c>
      <c r="D15" s="271"/>
      <c r="E15" s="271"/>
      <c r="F15" s="272"/>
      <c r="G15" s="270" t="s">
        <v>18</v>
      </c>
      <c r="H15" s="271"/>
      <c r="I15" s="271"/>
      <c r="J15" s="272"/>
    </row>
    <row r="16" spans="2:10" x14ac:dyDescent="0.25">
      <c r="B16" s="15" t="s">
        <v>1</v>
      </c>
      <c r="C16" s="37">
        <v>9700</v>
      </c>
      <c r="D16" s="38">
        <v>9900</v>
      </c>
      <c r="E16" s="38">
        <v>10100</v>
      </c>
      <c r="F16" s="39">
        <v>10300</v>
      </c>
      <c r="G16" s="37">
        <v>9800</v>
      </c>
      <c r="H16" s="38">
        <v>9900</v>
      </c>
      <c r="I16" s="38">
        <v>10100</v>
      </c>
      <c r="J16" s="39">
        <v>10200</v>
      </c>
    </row>
    <row r="17" spans="1:10" x14ac:dyDescent="0.25">
      <c r="B17" s="16" t="s">
        <v>2</v>
      </c>
      <c r="C17" s="11">
        <v>0.97</v>
      </c>
      <c r="D17" s="12">
        <v>0.99</v>
      </c>
      <c r="E17" s="12">
        <v>1.01</v>
      </c>
      <c r="F17" s="13">
        <v>1.03</v>
      </c>
      <c r="G17" s="11">
        <v>0.98</v>
      </c>
      <c r="H17" s="12">
        <v>0.99</v>
      </c>
      <c r="I17" s="12">
        <v>1.01</v>
      </c>
      <c r="J17" s="13">
        <v>1.02</v>
      </c>
    </row>
    <row r="18" spans="1:10" x14ac:dyDescent="0.25">
      <c r="B18" s="16" t="s">
        <v>3</v>
      </c>
      <c r="C18" s="40">
        <v>0.57999999999999996</v>
      </c>
      <c r="D18" s="41">
        <v>0.59</v>
      </c>
      <c r="E18" s="41">
        <v>0.61</v>
      </c>
      <c r="F18" s="42">
        <v>0.62</v>
      </c>
      <c r="G18" s="40">
        <v>0.59</v>
      </c>
      <c r="H18" s="41">
        <v>0.59</v>
      </c>
      <c r="I18" s="41">
        <v>0.61</v>
      </c>
      <c r="J18" s="42">
        <v>0.61</v>
      </c>
    </row>
    <row r="19" spans="1:10" ht="15.75" thickBot="1" x14ac:dyDescent="0.3">
      <c r="B19" s="17" t="s">
        <v>4</v>
      </c>
      <c r="C19" s="54">
        <v>9.6999999999999993</v>
      </c>
      <c r="D19" s="55">
        <v>9.9</v>
      </c>
      <c r="E19" s="55">
        <v>10.1</v>
      </c>
      <c r="F19" s="56">
        <v>10.3</v>
      </c>
      <c r="G19" s="54">
        <v>9.8000000000000007</v>
      </c>
      <c r="H19" s="55">
        <v>9.9</v>
      </c>
      <c r="I19" s="55">
        <v>10.1</v>
      </c>
      <c r="J19" s="56">
        <v>10.199999999999999</v>
      </c>
    </row>
    <row r="20" spans="1:10" ht="15.75" thickBot="1" x14ac:dyDescent="0.3">
      <c r="B20" s="47" t="s">
        <v>0</v>
      </c>
      <c r="C20" s="53">
        <f>C24</f>
        <v>528.35972943829017</v>
      </c>
      <c r="D20" s="57">
        <f t="shared" ref="D20:J20" si="0">D24</f>
        <v>572.53366336633667</v>
      </c>
      <c r="E20" s="57">
        <f t="shared" si="0"/>
        <v>628.54646464646464</v>
      </c>
      <c r="F20" s="58">
        <f t="shared" si="0"/>
        <v>676.44134272013059</v>
      </c>
      <c r="G20" s="53">
        <f t="shared" si="0"/>
        <v>555.29867660033335</v>
      </c>
      <c r="H20" s="57">
        <f t="shared" si="0"/>
        <v>572.53366336633667</v>
      </c>
      <c r="I20" s="57">
        <f t="shared" si="0"/>
        <v>628.54646464646464</v>
      </c>
      <c r="J20" s="58">
        <f t="shared" si="0"/>
        <v>647.34188348127725</v>
      </c>
    </row>
    <row r="21" spans="1:10" ht="15.75" thickBot="1" x14ac:dyDescent="0.3"/>
    <row r="22" spans="1:10" x14ac:dyDescent="0.25">
      <c r="B22" s="44" t="s">
        <v>19</v>
      </c>
      <c r="C22" s="31">
        <f>C16*D17+C17*D16-D16*D17</f>
        <v>9405</v>
      </c>
      <c r="D22" s="32">
        <f>D16*D17</f>
        <v>9801</v>
      </c>
      <c r="E22" s="32">
        <f>E16*E17</f>
        <v>10201</v>
      </c>
      <c r="F22" s="33">
        <f>E16*F17+E17*F16-E16*E17</f>
        <v>10605</v>
      </c>
      <c r="G22" s="31">
        <f>G16*H17+G17*H16-H16*H17</f>
        <v>9603</v>
      </c>
      <c r="H22" s="32">
        <f>H16*H17</f>
        <v>9801</v>
      </c>
      <c r="I22" s="32">
        <f>I16*I17</f>
        <v>10201</v>
      </c>
      <c r="J22" s="33">
        <f>I16*J17+I17*J16-I16*I17</f>
        <v>10403</v>
      </c>
    </row>
    <row r="23" spans="1:10" x14ac:dyDescent="0.25">
      <c r="B23" s="45" t="s">
        <v>20</v>
      </c>
      <c r="C23" s="48">
        <f>C22*D18+C18*D22-D22*D18</f>
        <v>5450.9399999999987</v>
      </c>
      <c r="D23" s="7">
        <f>D22*D18</f>
        <v>5782.59</v>
      </c>
      <c r="E23" s="7">
        <f>E22*E18</f>
        <v>6222.61</v>
      </c>
      <c r="F23" s="49">
        <f>E22*F18+E18*F22-E18*E22</f>
        <v>6571.06</v>
      </c>
      <c r="G23" s="48">
        <f>G22*H18+G18*H22-H22*H18</f>
        <v>5665.77</v>
      </c>
      <c r="H23" s="7">
        <f>H22*H18</f>
        <v>5782.59</v>
      </c>
      <c r="I23" s="7">
        <f>I22*I18</f>
        <v>6222.61</v>
      </c>
      <c r="J23" s="49">
        <f>I22*J18+I18*J22-I18*I22</f>
        <v>6345.829999999999</v>
      </c>
    </row>
    <row r="24" spans="1:10" ht="15.75" thickBot="1" x14ac:dyDescent="0.3">
      <c r="B24" s="46" t="s">
        <v>21</v>
      </c>
      <c r="C24" s="50">
        <f>(D23*E19-D23*F19+C23*E19)/(E19^2)</f>
        <v>528.35972943829017</v>
      </c>
      <c r="D24" s="51">
        <f>D23/E19</f>
        <v>572.53366336633667</v>
      </c>
      <c r="E24" s="51">
        <f>E23/D19</f>
        <v>628.54646464646464</v>
      </c>
      <c r="F24" s="52">
        <f>(E23*D19-E23*C19+F23*D19)/(D19^2)</f>
        <v>676.44134272013059</v>
      </c>
      <c r="G24" s="50">
        <f>(H23*I19-H23*J19+G23*I19)/(I19^2)</f>
        <v>555.29867660033335</v>
      </c>
      <c r="H24" s="51">
        <f>H23/I19</f>
        <v>572.53366336633667</v>
      </c>
      <c r="I24" s="51">
        <f>I23/H19</f>
        <v>628.54646464646464</v>
      </c>
      <c r="J24" s="52">
        <f>(I23*H19-I23*G19+J23*H19)/(H19^2)</f>
        <v>647.34188348127725</v>
      </c>
    </row>
    <row r="25" spans="1:10" x14ac:dyDescent="0.25">
      <c r="B25" s="60"/>
      <c r="C25" s="59"/>
      <c r="D25" s="59"/>
      <c r="E25" s="59"/>
      <c r="F25" s="59"/>
      <c r="G25" s="59"/>
      <c r="H25" s="59"/>
      <c r="I25" s="59"/>
      <c r="J25" s="59"/>
    </row>
    <row r="26" spans="1:10" ht="15.75" thickBot="1" x14ac:dyDescent="0.3">
      <c r="C26" s="1" t="s">
        <v>25</v>
      </c>
      <c r="F26" s="1" t="s">
        <v>26</v>
      </c>
      <c r="I26" s="59"/>
      <c r="J26" s="59"/>
    </row>
    <row r="27" spans="1:10" ht="15.75" thickBot="1" x14ac:dyDescent="0.3">
      <c r="A27" s="1">
        <v>0.8</v>
      </c>
      <c r="B27" s="43" t="s">
        <v>22</v>
      </c>
      <c r="C27" s="68">
        <f>A27*D24+(1-A27)*C24</f>
        <v>563.6988765807273</v>
      </c>
      <c r="D27" s="62">
        <f>A27*E24+(1-A27)*F24</f>
        <v>638.12544026119781</v>
      </c>
      <c r="E27" s="63"/>
      <c r="F27" s="61">
        <f>A27*H24+(1-A27)*G24</f>
        <v>569.08666601313598</v>
      </c>
      <c r="G27" s="62">
        <f>A27*I24+(1-A27)*J24</f>
        <v>632.30554841342712</v>
      </c>
      <c r="I27" s="59"/>
      <c r="J27" s="59"/>
    </row>
    <row r="28" spans="1:10" ht="15.75" thickBot="1" x14ac:dyDescent="0.3">
      <c r="A28" s="1"/>
      <c r="B28" s="71" t="s">
        <v>28</v>
      </c>
      <c r="C28" s="69">
        <f>(C27+D27)/2</f>
        <v>600.91215842096256</v>
      </c>
      <c r="D28" s="63"/>
      <c r="E28" s="63"/>
      <c r="F28" s="64">
        <f>(F27+G27)/2</f>
        <v>600.69610721328149</v>
      </c>
      <c r="G28" s="63"/>
      <c r="I28" s="59"/>
      <c r="J28" s="59"/>
    </row>
    <row r="29" spans="1:10" x14ac:dyDescent="0.25">
      <c r="B29" s="72" t="s">
        <v>27</v>
      </c>
      <c r="C29" s="70">
        <f>(C28+F28)/2</f>
        <v>600.80413281712208</v>
      </c>
      <c r="I29" s="59"/>
      <c r="J29" s="59"/>
    </row>
    <row r="30" spans="1:10" x14ac:dyDescent="0.25">
      <c r="B30" s="60"/>
      <c r="C30" s="59"/>
      <c r="D30" s="59"/>
      <c r="E30" s="59"/>
      <c r="F30" s="59"/>
      <c r="G30" s="59"/>
      <c r="H30" s="59"/>
      <c r="I30" s="59"/>
      <c r="J30" s="59"/>
    </row>
    <row r="31" spans="1:10" x14ac:dyDescent="0.25">
      <c r="B31" s="60"/>
      <c r="C31" s="59"/>
      <c r="D31" s="59"/>
      <c r="E31" s="59"/>
      <c r="F31" s="59"/>
      <c r="G31" s="59"/>
      <c r="H31" s="59"/>
      <c r="I31" s="59"/>
      <c r="J31" s="59"/>
    </row>
    <row r="32" spans="1:10" ht="15.75" thickBot="1" x14ac:dyDescent="0.3">
      <c r="B32" s="1" t="s">
        <v>9</v>
      </c>
      <c r="C32">
        <v>1</v>
      </c>
      <c r="D32">
        <v>2</v>
      </c>
      <c r="E32">
        <v>3</v>
      </c>
      <c r="F32">
        <v>4</v>
      </c>
      <c r="G32">
        <v>1</v>
      </c>
      <c r="H32">
        <v>2</v>
      </c>
      <c r="I32">
        <v>3</v>
      </c>
      <c r="J32">
        <v>4</v>
      </c>
    </row>
    <row r="33" spans="1:10" ht="15.75" thickBot="1" x14ac:dyDescent="0.3">
      <c r="B33" s="14" t="s">
        <v>7</v>
      </c>
      <c r="C33" s="270" t="s">
        <v>17</v>
      </c>
      <c r="D33" s="271"/>
      <c r="E33" s="271"/>
      <c r="F33" s="272"/>
      <c r="G33" s="270" t="s">
        <v>18</v>
      </c>
      <c r="H33" s="271"/>
      <c r="I33" s="271"/>
      <c r="J33" s="272"/>
    </row>
    <row r="34" spans="1:10" x14ac:dyDescent="0.25">
      <c r="B34" s="15" t="s">
        <v>1</v>
      </c>
      <c r="C34" s="37">
        <v>97</v>
      </c>
      <c r="D34" s="38">
        <v>99</v>
      </c>
      <c r="E34" s="38">
        <v>101</v>
      </c>
      <c r="F34" s="39">
        <v>103</v>
      </c>
      <c r="G34" s="37">
        <v>98</v>
      </c>
      <c r="H34" s="38">
        <v>99</v>
      </c>
      <c r="I34" s="38">
        <v>101</v>
      </c>
      <c r="J34" s="39">
        <v>102</v>
      </c>
    </row>
    <row r="35" spans="1:10" ht="12.75" customHeight="1" x14ac:dyDescent="0.25">
      <c r="B35" s="16" t="s">
        <v>2</v>
      </c>
      <c r="C35" s="73">
        <v>2.91</v>
      </c>
      <c r="D35" s="74">
        <v>2.97</v>
      </c>
      <c r="E35" s="74">
        <v>3.03</v>
      </c>
      <c r="F35" s="75">
        <v>3.09</v>
      </c>
      <c r="G35" s="73">
        <v>2.94</v>
      </c>
      <c r="H35" s="74">
        <v>2.97</v>
      </c>
      <c r="I35" s="74">
        <v>3.03</v>
      </c>
      <c r="J35" s="75">
        <v>3.06</v>
      </c>
    </row>
    <row r="36" spans="1:10" x14ac:dyDescent="0.25">
      <c r="B36" s="16" t="s">
        <v>3</v>
      </c>
      <c r="C36" s="73">
        <v>0.87</v>
      </c>
      <c r="D36" s="74">
        <v>0.89</v>
      </c>
      <c r="E36" s="74">
        <v>0.91</v>
      </c>
      <c r="F36" s="75">
        <v>0.93</v>
      </c>
      <c r="G36" s="73">
        <v>0.88</v>
      </c>
      <c r="H36" s="74">
        <v>0.89</v>
      </c>
      <c r="I36" s="74">
        <v>0.91</v>
      </c>
      <c r="J36" s="75">
        <v>0.92</v>
      </c>
    </row>
    <row r="37" spans="1:10" ht="15.75" thickBot="1" x14ac:dyDescent="0.3">
      <c r="B37" s="17" t="s">
        <v>4</v>
      </c>
      <c r="C37" s="73">
        <v>4.8499999999999996</v>
      </c>
      <c r="D37" s="74">
        <v>4.95</v>
      </c>
      <c r="E37" s="74">
        <v>5.05</v>
      </c>
      <c r="F37" s="75">
        <v>5.15</v>
      </c>
      <c r="G37" s="73">
        <v>4.9000000000000004</v>
      </c>
      <c r="H37" s="74">
        <v>4.95</v>
      </c>
      <c r="I37" s="74">
        <v>5.05</v>
      </c>
      <c r="J37" s="75">
        <v>5.0999999999999996</v>
      </c>
    </row>
    <row r="38" spans="1:10" ht="15.75" thickBot="1" x14ac:dyDescent="0.3">
      <c r="B38" s="47" t="s">
        <v>0</v>
      </c>
      <c r="C38" s="53">
        <f>C42</f>
        <v>47.534848544260363</v>
      </c>
      <c r="D38" s="57">
        <f t="shared" ref="D38:J38" si="1">D42</f>
        <v>51.819148514851491</v>
      </c>
      <c r="E38" s="57">
        <f t="shared" si="1"/>
        <v>56.260060606060605</v>
      </c>
      <c r="F38" s="58">
        <f t="shared" si="1"/>
        <v>60.861233547597173</v>
      </c>
      <c r="G38" s="53">
        <f t="shared" si="1"/>
        <v>49.676998529555931</v>
      </c>
      <c r="H38" s="57">
        <f t="shared" si="1"/>
        <v>51.819148514851491</v>
      </c>
      <c r="I38" s="57">
        <f t="shared" si="1"/>
        <v>56.260060606060605</v>
      </c>
      <c r="J38" s="58">
        <f t="shared" si="1"/>
        <v>58.560647076828907</v>
      </c>
    </row>
    <row r="39" spans="1:10" ht="15.75" thickBot="1" x14ac:dyDescent="0.3"/>
    <row r="40" spans="1:10" x14ac:dyDescent="0.25">
      <c r="B40" s="44" t="s">
        <v>19</v>
      </c>
      <c r="C40" s="31">
        <f>C34*D35+C35*D34-D34*D35</f>
        <v>282.15000000000003</v>
      </c>
      <c r="D40" s="32">
        <f>D34*D35</f>
        <v>294.03000000000003</v>
      </c>
      <c r="E40" s="32">
        <f>E34*E35</f>
        <v>306.02999999999997</v>
      </c>
      <c r="F40" s="33">
        <f>E34*F35+E35*F34-E34*E35</f>
        <v>318.14999999999998</v>
      </c>
      <c r="G40" s="31">
        <f>G34*H35+G35*H34-H34*H35</f>
        <v>288.08999999999997</v>
      </c>
      <c r="H40" s="32">
        <f>H34*H35</f>
        <v>294.03000000000003</v>
      </c>
      <c r="I40" s="32">
        <f>I34*I35</f>
        <v>306.02999999999997</v>
      </c>
      <c r="J40" s="33">
        <f>I34*J35+I35*J34-I34*I35</f>
        <v>312.09000000000003</v>
      </c>
    </row>
    <row r="41" spans="1:10" x14ac:dyDescent="0.25">
      <c r="B41" s="45" t="s">
        <v>20</v>
      </c>
      <c r="C41" s="48">
        <f>C40*D36+C36*D40-D40*D36</f>
        <v>245.23290000000003</v>
      </c>
      <c r="D41" s="7">
        <f>D40*D36</f>
        <v>261.68670000000003</v>
      </c>
      <c r="E41" s="7">
        <f>E40*E36</f>
        <v>278.4873</v>
      </c>
      <c r="F41" s="49">
        <f>E40*F36+E36*F40-E36*E40</f>
        <v>295.63709999999992</v>
      </c>
      <c r="G41" s="48">
        <f>G40*H36+G36*H40-H40*H36</f>
        <v>253.45980000000003</v>
      </c>
      <c r="H41" s="7">
        <f>H40*H36</f>
        <v>261.68670000000003</v>
      </c>
      <c r="I41" s="7">
        <f>I40*I36</f>
        <v>278.4873</v>
      </c>
      <c r="J41" s="49">
        <f>I40*J36+I36*J40-I36*I40</f>
        <v>287.06220000000008</v>
      </c>
    </row>
    <row r="42" spans="1:10" ht="15.75" thickBot="1" x14ac:dyDescent="0.3">
      <c r="B42" s="46" t="s">
        <v>21</v>
      </c>
      <c r="C42" s="50">
        <f>(D41*E37-D41*F37+C41*E37)/(E37^2)</f>
        <v>47.534848544260363</v>
      </c>
      <c r="D42" s="51">
        <f>D41/E37</f>
        <v>51.819148514851491</v>
      </c>
      <c r="E42" s="51">
        <f>E41/D37</f>
        <v>56.260060606060605</v>
      </c>
      <c r="F42" s="52">
        <f>(E41*D37-E41*C37+F41*D37)/(D37^2)</f>
        <v>60.861233547597173</v>
      </c>
      <c r="G42" s="50">
        <f>(H41*I37-H41*J37+G41*I37)/(I37^2)</f>
        <v>49.676998529555931</v>
      </c>
      <c r="H42" s="51">
        <f>H41/I37</f>
        <v>51.819148514851491</v>
      </c>
      <c r="I42" s="51">
        <f>I41/H37</f>
        <v>56.260060606060605</v>
      </c>
      <c r="J42" s="52">
        <f>(I41*H37-I41*G37+J41*H37)/(H37^2)</f>
        <v>58.560647076828907</v>
      </c>
    </row>
    <row r="43" spans="1:10" x14ac:dyDescent="0.25">
      <c r="B43" s="60"/>
      <c r="C43" s="59"/>
      <c r="D43" s="59"/>
      <c r="E43" s="59"/>
      <c r="F43" s="59"/>
      <c r="G43" s="59"/>
      <c r="H43" s="59"/>
      <c r="I43" s="59"/>
      <c r="J43" s="59"/>
    </row>
    <row r="44" spans="1:10" ht="15.75" thickBot="1" x14ac:dyDescent="0.3">
      <c r="C44" s="1" t="s">
        <v>25</v>
      </c>
      <c r="F44" s="1" t="s">
        <v>26</v>
      </c>
      <c r="I44" s="59"/>
      <c r="J44" s="59"/>
    </row>
    <row r="45" spans="1:10" ht="15.75" thickBot="1" x14ac:dyDescent="0.3">
      <c r="A45" s="1">
        <v>0.8</v>
      </c>
      <c r="B45" s="43" t="s">
        <v>22</v>
      </c>
      <c r="C45" s="68">
        <f>A45*D42+(1-A45)*C42</f>
        <v>50.962288520733267</v>
      </c>
      <c r="D45" s="62">
        <f>A45*E42+(1-A45)*F42</f>
        <v>57.180295194367915</v>
      </c>
      <c r="E45" s="63"/>
      <c r="F45" s="61">
        <f>A45*H42+(1-A45)*G42</f>
        <v>51.390718517792379</v>
      </c>
      <c r="G45" s="62">
        <f>A45*I42+(1-A45)*J42</f>
        <v>56.720177900214267</v>
      </c>
      <c r="I45" s="59"/>
      <c r="J45" s="59"/>
    </row>
    <row r="46" spans="1:10" ht="15.75" thickBot="1" x14ac:dyDescent="0.3">
      <c r="A46" s="1"/>
      <c r="B46" s="71" t="s">
        <v>28</v>
      </c>
      <c r="C46" s="69">
        <f>(C45+D45)/2</f>
        <v>54.071291857550591</v>
      </c>
      <c r="D46" s="63"/>
      <c r="E46" s="63"/>
      <c r="F46" s="64">
        <f>(F45+G45)/2</f>
        <v>54.055448209003323</v>
      </c>
      <c r="G46" s="63"/>
      <c r="I46" s="59"/>
      <c r="J46" s="59"/>
    </row>
    <row r="47" spans="1:10" x14ac:dyDescent="0.25">
      <c r="B47" s="72" t="s">
        <v>27</v>
      </c>
      <c r="C47" s="70">
        <f>(C46+F46)/2</f>
        <v>54.063370033276954</v>
      </c>
      <c r="I47" s="59"/>
      <c r="J47" s="59"/>
    </row>
    <row r="50" spans="1:10" ht="15.75" thickBot="1" x14ac:dyDescent="0.3">
      <c r="B50" s="1" t="s">
        <v>10</v>
      </c>
      <c r="C50">
        <v>1</v>
      </c>
      <c r="D50">
        <v>2</v>
      </c>
      <c r="E50">
        <v>3</v>
      </c>
      <c r="F50">
        <v>4</v>
      </c>
      <c r="G50">
        <v>1</v>
      </c>
      <c r="H50">
        <v>2</v>
      </c>
      <c r="I50">
        <v>3</v>
      </c>
      <c r="J50">
        <v>4</v>
      </c>
    </row>
    <row r="51" spans="1:10" ht="15.75" thickBot="1" x14ac:dyDescent="0.3">
      <c r="B51" s="14" t="s">
        <v>7</v>
      </c>
      <c r="C51" s="270" t="s">
        <v>17</v>
      </c>
      <c r="D51" s="271"/>
      <c r="E51" s="271"/>
      <c r="F51" s="272"/>
      <c r="G51" s="270" t="s">
        <v>18</v>
      </c>
      <c r="H51" s="271"/>
      <c r="I51" s="271"/>
      <c r="J51" s="272"/>
    </row>
    <row r="52" spans="1:10" x14ac:dyDescent="0.25">
      <c r="B52" s="15" t="s">
        <v>1</v>
      </c>
      <c r="C52" s="37">
        <v>970</v>
      </c>
      <c r="D52" s="38">
        <v>990</v>
      </c>
      <c r="E52" s="38">
        <v>1010</v>
      </c>
      <c r="F52" s="39">
        <v>1030</v>
      </c>
      <c r="G52" s="37">
        <v>980</v>
      </c>
      <c r="H52" s="38">
        <v>990</v>
      </c>
      <c r="I52" s="38">
        <v>1010</v>
      </c>
      <c r="J52" s="39">
        <v>1020</v>
      </c>
    </row>
    <row r="53" spans="1:10" x14ac:dyDescent="0.25">
      <c r="B53" s="16" t="s">
        <v>2</v>
      </c>
      <c r="C53" s="73">
        <v>1.94</v>
      </c>
      <c r="D53" s="74">
        <v>1.98</v>
      </c>
      <c r="E53" s="74">
        <v>2.02</v>
      </c>
      <c r="F53" s="75">
        <v>2.06</v>
      </c>
      <c r="G53" s="73">
        <v>1.96</v>
      </c>
      <c r="H53" s="74">
        <v>1.98</v>
      </c>
      <c r="I53" s="74">
        <v>2.02</v>
      </c>
      <c r="J53" s="75">
        <v>2.04</v>
      </c>
    </row>
    <row r="54" spans="1:10" x14ac:dyDescent="0.25">
      <c r="B54" s="16" t="s">
        <v>3</v>
      </c>
      <c r="C54" s="73">
        <v>0.78</v>
      </c>
      <c r="D54" s="74">
        <v>0.79</v>
      </c>
      <c r="E54" s="74">
        <v>0.81</v>
      </c>
      <c r="F54" s="75">
        <v>0.82</v>
      </c>
      <c r="G54" s="73">
        <v>0.78</v>
      </c>
      <c r="H54" s="74">
        <v>0.79</v>
      </c>
      <c r="I54" s="74">
        <v>0.81</v>
      </c>
      <c r="J54" s="75">
        <v>0.82</v>
      </c>
    </row>
    <row r="55" spans="1:10" ht="15.75" thickBot="1" x14ac:dyDescent="0.3">
      <c r="B55" s="17" t="s">
        <v>4</v>
      </c>
      <c r="C55" s="73">
        <v>6.79</v>
      </c>
      <c r="D55" s="74">
        <v>6.93</v>
      </c>
      <c r="E55" s="74">
        <v>7.07</v>
      </c>
      <c r="F55" s="75">
        <v>7.21</v>
      </c>
      <c r="G55" s="73">
        <v>6.86</v>
      </c>
      <c r="H55" s="74">
        <v>6.93</v>
      </c>
      <c r="I55" s="74">
        <v>7.07</v>
      </c>
      <c r="J55" s="75">
        <v>7.14</v>
      </c>
    </row>
    <row r="56" spans="1:10" ht="15.75" thickBot="1" x14ac:dyDescent="0.3">
      <c r="B56" s="47" t="s">
        <v>0</v>
      </c>
      <c r="C56" s="53">
        <f>C60</f>
        <v>203.07262873387762</v>
      </c>
      <c r="D56" s="57">
        <f t="shared" ref="D56:J56" si="2">D60</f>
        <v>219.03224893917962</v>
      </c>
      <c r="E56" s="57">
        <f t="shared" si="2"/>
        <v>238.4649350649351</v>
      </c>
      <c r="F56" s="58">
        <f t="shared" si="2"/>
        <v>255.6705758887577</v>
      </c>
      <c r="G56" s="53">
        <f t="shared" si="2"/>
        <v>209.66615877995162</v>
      </c>
      <c r="H56" s="57">
        <f t="shared" si="2"/>
        <v>219.03224893917962</v>
      </c>
      <c r="I56" s="57">
        <f t="shared" si="2"/>
        <v>238.4649350649351</v>
      </c>
      <c r="J56" s="58">
        <f t="shared" si="2"/>
        <v>248.53976124885219</v>
      </c>
    </row>
    <row r="57" spans="1:10" ht="15.75" thickBot="1" x14ac:dyDescent="0.3"/>
    <row r="58" spans="1:10" x14ac:dyDescent="0.25">
      <c r="B58" s="44" t="s">
        <v>19</v>
      </c>
      <c r="C58" s="31">
        <f>C52*D53+C53*D52-D52*D53</f>
        <v>1880.9999999999998</v>
      </c>
      <c r="D58" s="32">
        <f>D52*D53</f>
        <v>1960.2</v>
      </c>
      <c r="E58" s="32">
        <f>E52*E53</f>
        <v>2040.2</v>
      </c>
      <c r="F58" s="33">
        <f>E52*F53+E53*F52-E52*E53</f>
        <v>2121</v>
      </c>
      <c r="G58" s="31">
        <f>G52*H53+G53*H52-H52*H53</f>
        <v>1920.6000000000001</v>
      </c>
      <c r="H58" s="32">
        <f>H52*H53</f>
        <v>1960.2</v>
      </c>
      <c r="I58" s="32">
        <f>I52*I53</f>
        <v>2040.2</v>
      </c>
      <c r="J58" s="33">
        <f>I52*J53+I53*J52-I52*I53</f>
        <v>2080.6000000000004</v>
      </c>
    </row>
    <row r="59" spans="1:10" x14ac:dyDescent="0.25">
      <c r="B59" s="45" t="s">
        <v>20</v>
      </c>
      <c r="C59" s="48">
        <f>C58*D54+C54*D58-D58*D54</f>
        <v>1466.3879999999999</v>
      </c>
      <c r="D59" s="7">
        <f>D58*D54</f>
        <v>1548.558</v>
      </c>
      <c r="E59" s="7">
        <f>E58*E54</f>
        <v>1652.5620000000001</v>
      </c>
      <c r="F59" s="49">
        <f>E58*F54+E54*F58-E54*E58</f>
        <v>1738.412</v>
      </c>
      <c r="G59" s="48">
        <f>G58*H54+G54*H58-H58*H54</f>
        <v>1497.6720000000005</v>
      </c>
      <c r="H59" s="7">
        <f>H58*H54</f>
        <v>1548.558</v>
      </c>
      <c r="I59" s="7">
        <f>I58*I54</f>
        <v>1652.5620000000001</v>
      </c>
      <c r="J59" s="49">
        <f>I58*J54+I54*J58-I54*I58</f>
        <v>1705.6880000000003</v>
      </c>
    </row>
    <row r="60" spans="1:10" ht="15.75" thickBot="1" x14ac:dyDescent="0.3">
      <c r="B60" s="46" t="s">
        <v>21</v>
      </c>
      <c r="C60" s="50">
        <f>(D59*E55-D59*F55+C59*E55)/(E55^2)</f>
        <v>203.07262873387762</v>
      </c>
      <c r="D60" s="51">
        <f>D59/E55</f>
        <v>219.03224893917962</v>
      </c>
      <c r="E60" s="51">
        <f>E59/D55</f>
        <v>238.4649350649351</v>
      </c>
      <c r="F60" s="52">
        <f>(E59*D55-E59*C55+F59*D55)/(D55^2)</f>
        <v>255.6705758887577</v>
      </c>
      <c r="G60" s="50">
        <f>(H59*I55-H59*J55+G59*I55)/(I55^2)</f>
        <v>209.66615877995162</v>
      </c>
      <c r="H60" s="51">
        <f>H59/I55</f>
        <v>219.03224893917962</v>
      </c>
      <c r="I60" s="51">
        <f>I59/H55</f>
        <v>238.4649350649351</v>
      </c>
      <c r="J60" s="52">
        <f>(I59*H55-I59*G55+J59*H55)/(H55^2)</f>
        <v>248.53976124885219</v>
      </c>
    </row>
    <row r="61" spans="1:10" x14ac:dyDescent="0.25">
      <c r="B61" s="60"/>
      <c r="C61" s="59"/>
      <c r="D61" s="59"/>
      <c r="E61" s="59"/>
      <c r="F61" s="59"/>
      <c r="G61" s="59"/>
      <c r="H61" s="59"/>
      <c r="I61" s="59"/>
      <c r="J61" s="59"/>
    </row>
    <row r="62" spans="1:10" ht="15.75" thickBot="1" x14ac:dyDescent="0.3">
      <c r="C62" s="1" t="s">
        <v>25</v>
      </c>
      <c r="F62" s="1" t="s">
        <v>26</v>
      </c>
      <c r="I62" s="59"/>
      <c r="J62" s="59"/>
    </row>
    <row r="63" spans="1:10" ht="15.75" thickBot="1" x14ac:dyDescent="0.3">
      <c r="A63" s="1">
        <v>0.8</v>
      </c>
      <c r="B63" s="43" t="s">
        <v>22</v>
      </c>
      <c r="C63" s="68">
        <f>A63*D60+(1-A63)*C60</f>
        <v>215.84032489811923</v>
      </c>
      <c r="D63" s="62">
        <f>A63*E60+(1-A63)*F60</f>
        <v>241.90606322969961</v>
      </c>
      <c r="E63" s="63"/>
      <c r="F63" s="61">
        <f>A63*H60+(1-A63)*G60</f>
        <v>217.15903090733403</v>
      </c>
      <c r="G63" s="62">
        <f>A63*I60+(1-A63)*J60</f>
        <v>240.47990030171854</v>
      </c>
      <c r="I63" s="59"/>
      <c r="J63" s="59"/>
    </row>
    <row r="64" spans="1:10" ht="15.75" thickBot="1" x14ac:dyDescent="0.3">
      <c r="A64" s="1"/>
      <c r="B64" s="71" t="s">
        <v>28</v>
      </c>
      <c r="C64" s="69">
        <f>(C63+D63)/2</f>
        <v>228.87319406390941</v>
      </c>
      <c r="D64" s="63"/>
      <c r="E64" s="63"/>
      <c r="F64" s="64">
        <f>(F63+G63)/2</f>
        <v>228.81946560452627</v>
      </c>
      <c r="G64" s="63"/>
      <c r="I64" s="59"/>
      <c r="J64" s="59"/>
    </row>
    <row r="65" spans="2:10" x14ac:dyDescent="0.25">
      <c r="B65" s="72" t="s">
        <v>27</v>
      </c>
      <c r="C65" s="70">
        <f>(C64+F64)/2</f>
        <v>228.84632983421784</v>
      </c>
      <c r="I65" s="59"/>
      <c r="J65" s="59"/>
    </row>
  </sheetData>
  <mergeCells count="8">
    <mergeCell ref="C51:F51"/>
    <mergeCell ref="G51:J51"/>
    <mergeCell ref="B5:B6"/>
    <mergeCell ref="C5:E5"/>
    <mergeCell ref="C15:F15"/>
    <mergeCell ref="G15:J15"/>
    <mergeCell ref="C33:F33"/>
    <mergeCell ref="G33:J33"/>
  </mergeCells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E7AF-58B0-4E73-9973-FCC2457B4464}">
  <dimension ref="A1:K13"/>
  <sheetViews>
    <sheetView workbookViewId="0">
      <selection activeCell="A13" sqref="A13"/>
    </sheetView>
  </sheetViews>
  <sheetFormatPr defaultRowHeight="15" x14ac:dyDescent="0.25"/>
  <cols>
    <col min="1" max="1" width="55.140625" style="78" customWidth="1"/>
    <col min="2" max="2" width="8.140625" customWidth="1"/>
    <col min="3" max="3" width="18.7109375" customWidth="1"/>
    <col min="4" max="4" width="6.5703125" customWidth="1"/>
    <col min="5" max="5" width="7.42578125" customWidth="1"/>
    <col min="6" max="6" width="7.140625" customWidth="1"/>
    <col min="7" max="7" width="6.42578125" customWidth="1"/>
  </cols>
  <sheetData>
    <row r="1" spans="1:11" x14ac:dyDescent="0.25">
      <c r="A1" s="1"/>
    </row>
    <row r="2" spans="1:11" ht="15.75" thickBot="1" x14ac:dyDescent="0.3">
      <c r="A2" s="1" t="s">
        <v>120</v>
      </c>
    </row>
    <row r="3" spans="1:11" x14ac:dyDescent="0.25">
      <c r="A3" s="1"/>
      <c r="B3" s="79">
        <v>0</v>
      </c>
      <c r="C3" s="80" t="s">
        <v>107</v>
      </c>
      <c r="D3" s="81">
        <v>0</v>
      </c>
      <c r="E3" s="82">
        <f>B3</f>
        <v>0</v>
      </c>
      <c r="F3" s="83">
        <f>E3+0.11</f>
        <v>0.11</v>
      </c>
      <c r="G3" s="84">
        <f>F3+0.11</f>
        <v>0.22</v>
      </c>
      <c r="H3" s="85">
        <v>0</v>
      </c>
      <c r="I3" s="83">
        <f>E3</f>
        <v>0</v>
      </c>
      <c r="J3" s="83">
        <f>F3</f>
        <v>0.11</v>
      </c>
      <c r="K3" s="86">
        <f>J3+0.08</f>
        <v>0.19</v>
      </c>
    </row>
    <row r="4" spans="1:11" x14ac:dyDescent="0.25">
      <c r="B4" s="79">
        <v>0.33</v>
      </c>
      <c r="C4" s="80" t="s">
        <v>106</v>
      </c>
      <c r="D4" s="87">
        <f>E4-0.11</f>
        <v>0.11000000000000003</v>
      </c>
      <c r="E4" s="111">
        <f>B4-0.11</f>
        <v>0.22000000000000003</v>
      </c>
      <c r="F4">
        <f>B4+0.11</f>
        <v>0.44</v>
      </c>
      <c r="G4" s="88">
        <f t="shared" ref="G4:G5" si="0">F4+0.11</f>
        <v>0.55000000000000004</v>
      </c>
      <c r="H4" s="89">
        <f>I4-0.08</f>
        <v>0.14000000000000001</v>
      </c>
      <c r="I4">
        <f t="shared" ref="I4:I6" si="1">E4</f>
        <v>0.22000000000000003</v>
      </c>
      <c r="J4">
        <f t="shared" ref="J4:J6" si="2">F4</f>
        <v>0.44</v>
      </c>
      <c r="K4" s="90">
        <f t="shared" ref="K4:K5" si="3">J4+0.08</f>
        <v>0.52</v>
      </c>
    </row>
    <row r="5" spans="1:11" x14ac:dyDescent="0.25">
      <c r="B5" s="79">
        <v>0.66</v>
      </c>
      <c r="C5" s="80" t="s">
        <v>105</v>
      </c>
      <c r="D5" s="87">
        <f t="shared" ref="D5" si="4">E5-0.11</f>
        <v>0.44000000000000006</v>
      </c>
      <c r="E5" s="111">
        <f t="shared" ref="E5" si="5">B5-0.11</f>
        <v>0.55000000000000004</v>
      </c>
      <c r="F5">
        <f t="shared" ref="F5" si="6">B5+0.11</f>
        <v>0.77</v>
      </c>
      <c r="G5" s="88">
        <f t="shared" si="0"/>
        <v>0.88</v>
      </c>
      <c r="H5" s="89">
        <f t="shared" ref="H5:H6" si="7">I5-0.08</f>
        <v>0.47000000000000003</v>
      </c>
      <c r="I5">
        <f t="shared" si="1"/>
        <v>0.55000000000000004</v>
      </c>
      <c r="J5">
        <f t="shared" si="2"/>
        <v>0.77</v>
      </c>
      <c r="K5" s="90">
        <f t="shared" si="3"/>
        <v>0.85</v>
      </c>
    </row>
    <row r="6" spans="1:11" ht="15.75" thickBot="1" x14ac:dyDescent="0.3">
      <c r="B6" s="79">
        <v>1</v>
      </c>
      <c r="C6" s="80" t="s">
        <v>104</v>
      </c>
      <c r="D6" s="91">
        <v>0.88</v>
      </c>
      <c r="E6" s="92">
        <v>0.88</v>
      </c>
      <c r="F6" s="93">
        <v>1</v>
      </c>
      <c r="G6" s="94">
        <v>1</v>
      </c>
      <c r="H6" s="95">
        <f t="shared" si="7"/>
        <v>0.8</v>
      </c>
      <c r="I6" s="93">
        <f t="shared" si="1"/>
        <v>0.88</v>
      </c>
      <c r="J6" s="93">
        <f t="shared" si="2"/>
        <v>1</v>
      </c>
      <c r="K6" s="96">
        <v>1</v>
      </c>
    </row>
    <row r="7" spans="1:11" x14ac:dyDescent="0.25">
      <c r="A7" s="1"/>
    </row>
    <row r="8" spans="1:11" ht="15.75" thickBot="1" x14ac:dyDescent="0.3">
      <c r="A8" s="1" t="s">
        <v>121</v>
      </c>
    </row>
    <row r="9" spans="1:11" x14ac:dyDescent="0.25">
      <c r="A9" s="1"/>
      <c r="B9" s="79">
        <v>0</v>
      </c>
      <c r="C9" s="80" t="s">
        <v>107</v>
      </c>
      <c r="D9" s="81">
        <v>0</v>
      </c>
      <c r="E9" s="82">
        <f>B9</f>
        <v>0</v>
      </c>
      <c r="F9" s="83">
        <f>E9+0.5</f>
        <v>0.5</v>
      </c>
      <c r="G9" s="84">
        <f>F9+1.5</f>
        <v>2</v>
      </c>
      <c r="H9" s="85">
        <v>0</v>
      </c>
      <c r="I9" s="83">
        <f>E9</f>
        <v>0</v>
      </c>
      <c r="J9" s="83">
        <f>F9</f>
        <v>0.5</v>
      </c>
      <c r="K9" s="86">
        <f>J9+1</f>
        <v>1.5</v>
      </c>
    </row>
    <row r="10" spans="1:11" x14ac:dyDescent="0.25">
      <c r="B10" s="79">
        <v>2.5</v>
      </c>
      <c r="C10" s="80" t="s">
        <v>106</v>
      </c>
      <c r="D10" s="87">
        <f>E10-1.5</f>
        <v>0.5</v>
      </c>
      <c r="E10" s="111">
        <f>B10-0.5</f>
        <v>2</v>
      </c>
      <c r="F10">
        <f>B10+0.5</f>
        <v>3</v>
      </c>
      <c r="G10" s="88">
        <f t="shared" ref="G10:G12" si="8">F10+1.5</f>
        <v>4.5</v>
      </c>
      <c r="H10" s="89">
        <f>I10-1</f>
        <v>1</v>
      </c>
      <c r="I10">
        <f t="shared" ref="I10:I12" si="9">E10</f>
        <v>2</v>
      </c>
      <c r="J10">
        <f t="shared" ref="J10:J12" si="10">F10</f>
        <v>3</v>
      </c>
      <c r="K10" s="90">
        <f t="shared" ref="K10:K12" si="11">J10+1</f>
        <v>4</v>
      </c>
    </row>
    <row r="11" spans="1:11" x14ac:dyDescent="0.25">
      <c r="B11" s="79">
        <v>5</v>
      </c>
      <c r="C11" s="80" t="s">
        <v>105</v>
      </c>
      <c r="D11" s="87">
        <f t="shared" ref="D11:D12" si="12">E11-1.5</f>
        <v>3</v>
      </c>
      <c r="E11" s="111">
        <f t="shared" ref="E11:E12" si="13">B11-0.5</f>
        <v>4.5</v>
      </c>
      <c r="F11">
        <f t="shared" ref="F11:F12" si="14">B11+0.5</f>
        <v>5.5</v>
      </c>
      <c r="G11" s="88">
        <f t="shared" si="8"/>
        <v>7</v>
      </c>
      <c r="H11" s="89">
        <f t="shared" ref="H11:H12" si="15">I11-1</f>
        <v>3.5</v>
      </c>
      <c r="I11">
        <f t="shared" si="9"/>
        <v>4.5</v>
      </c>
      <c r="J11">
        <f t="shared" si="10"/>
        <v>5.5</v>
      </c>
      <c r="K11" s="90">
        <f t="shared" si="11"/>
        <v>6.5</v>
      </c>
    </row>
    <row r="12" spans="1:11" ht="15.75" thickBot="1" x14ac:dyDescent="0.3">
      <c r="B12" s="79">
        <v>7.5</v>
      </c>
      <c r="C12" s="80" t="s">
        <v>104</v>
      </c>
      <c r="D12" s="91">
        <f t="shared" si="12"/>
        <v>5.5</v>
      </c>
      <c r="E12" s="92">
        <f t="shared" si="13"/>
        <v>7</v>
      </c>
      <c r="F12" s="93">
        <f t="shared" si="14"/>
        <v>8</v>
      </c>
      <c r="G12" s="94">
        <f t="shared" si="8"/>
        <v>9.5</v>
      </c>
      <c r="H12" s="95">
        <f t="shared" si="15"/>
        <v>6</v>
      </c>
      <c r="I12" s="93">
        <f t="shared" si="9"/>
        <v>7</v>
      </c>
      <c r="J12" s="93">
        <f t="shared" si="10"/>
        <v>8</v>
      </c>
      <c r="K12" s="96">
        <f t="shared" si="11"/>
        <v>9</v>
      </c>
    </row>
    <row r="13" spans="1:11" x14ac:dyDescent="0.25">
      <c r="A13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9126-CFF0-430B-BE46-F43975E386BA}">
  <dimension ref="A1:K102"/>
  <sheetViews>
    <sheetView workbookViewId="0">
      <selection activeCell="D87" sqref="D87:K92"/>
    </sheetView>
  </sheetViews>
  <sheetFormatPr defaultRowHeight="15" x14ac:dyDescent="0.25"/>
  <cols>
    <col min="1" max="1" width="55.140625" style="78" customWidth="1"/>
    <col min="2" max="2" width="3.42578125" customWidth="1"/>
    <col min="3" max="3" width="18.7109375" customWidth="1"/>
    <col min="4" max="4" width="6.5703125" customWidth="1"/>
    <col min="5" max="5" width="7.42578125" customWidth="1"/>
    <col min="6" max="6" width="7.140625" customWidth="1"/>
    <col min="7" max="7" width="6.42578125" customWidth="1"/>
  </cols>
  <sheetData>
    <row r="1" spans="1:11" x14ac:dyDescent="0.25">
      <c r="A1" s="77" t="s">
        <v>31</v>
      </c>
    </row>
    <row r="2" spans="1:11" x14ac:dyDescent="0.25">
      <c r="A2" s="77" t="s">
        <v>43</v>
      </c>
    </row>
    <row r="3" spans="1:11" ht="15.75" thickBot="1" x14ac:dyDescent="0.3">
      <c r="A3" s="1" t="s">
        <v>52</v>
      </c>
    </row>
    <row r="4" spans="1:11" x14ac:dyDescent="0.25">
      <c r="A4" s="1"/>
      <c r="B4" s="79">
        <v>0</v>
      </c>
      <c r="C4" s="80" t="s">
        <v>59</v>
      </c>
      <c r="D4" s="81">
        <v>0</v>
      </c>
      <c r="E4" s="82">
        <f>B4</f>
        <v>0</v>
      </c>
      <c r="F4" s="83">
        <f>B4+0.3</f>
        <v>0.3</v>
      </c>
      <c r="G4" s="86">
        <f>F4+0.4</f>
        <v>0.7</v>
      </c>
      <c r="H4" s="85">
        <v>0</v>
      </c>
      <c r="I4" s="83">
        <f t="shared" ref="I4:J4" si="0">E4</f>
        <v>0</v>
      </c>
      <c r="J4" s="83">
        <f t="shared" si="0"/>
        <v>0.3</v>
      </c>
      <c r="K4" s="86">
        <f>J4+0.3</f>
        <v>0.6</v>
      </c>
    </row>
    <row r="5" spans="1:11" x14ac:dyDescent="0.25">
      <c r="A5" s="78" t="s">
        <v>38</v>
      </c>
      <c r="B5" s="79">
        <v>1</v>
      </c>
      <c r="C5" s="80" t="s">
        <v>60</v>
      </c>
      <c r="D5" s="87">
        <f>E5-0.4</f>
        <v>0.29999999999999993</v>
      </c>
      <c r="E5" s="111">
        <f>B5-0.3</f>
        <v>0.7</v>
      </c>
      <c r="F5">
        <f>B5+0.3</f>
        <v>1.3</v>
      </c>
      <c r="G5" s="90">
        <f t="shared" ref="G5:G9" si="1">F5+0.4</f>
        <v>1.7000000000000002</v>
      </c>
      <c r="H5" s="89">
        <f>I5-0.3</f>
        <v>0.39999999999999997</v>
      </c>
      <c r="I5">
        <f t="shared" ref="I5:J9" si="2">E5</f>
        <v>0.7</v>
      </c>
      <c r="J5">
        <f t="shared" si="2"/>
        <v>1.3</v>
      </c>
      <c r="K5" s="90">
        <f t="shared" ref="K5:K9" si="3">J5+0.3</f>
        <v>1.6</v>
      </c>
    </row>
    <row r="6" spans="1:11" x14ac:dyDescent="0.25">
      <c r="A6" s="78" t="s">
        <v>39</v>
      </c>
      <c r="B6" s="79">
        <v>2</v>
      </c>
      <c r="C6" s="80" t="s">
        <v>61</v>
      </c>
      <c r="D6" s="87">
        <f t="shared" ref="D6:D9" si="4">E6-0.4</f>
        <v>1.2999999999999998</v>
      </c>
      <c r="E6" s="111">
        <f t="shared" ref="E6:E9" si="5">B6-0.3</f>
        <v>1.7</v>
      </c>
      <c r="F6">
        <f t="shared" ref="F6:F9" si="6">B6+0.3</f>
        <v>2.2999999999999998</v>
      </c>
      <c r="G6" s="90">
        <f t="shared" si="1"/>
        <v>2.6999999999999997</v>
      </c>
      <c r="H6" s="89">
        <f t="shared" ref="H6:H9" si="7">I6-0.3</f>
        <v>1.4</v>
      </c>
      <c r="I6">
        <f t="shared" si="2"/>
        <v>1.7</v>
      </c>
      <c r="J6">
        <f t="shared" si="2"/>
        <v>2.2999999999999998</v>
      </c>
      <c r="K6" s="90">
        <f t="shared" si="3"/>
        <v>2.5999999999999996</v>
      </c>
    </row>
    <row r="7" spans="1:11" x14ac:dyDescent="0.25">
      <c r="A7" s="78" t="s">
        <v>40</v>
      </c>
      <c r="B7" s="79">
        <v>3</v>
      </c>
      <c r="C7" s="80" t="s">
        <v>62</v>
      </c>
      <c r="D7" s="87">
        <f t="shared" si="4"/>
        <v>2.3000000000000003</v>
      </c>
      <c r="E7" s="111">
        <f t="shared" si="5"/>
        <v>2.7</v>
      </c>
      <c r="F7">
        <f t="shared" si="6"/>
        <v>3.3</v>
      </c>
      <c r="G7" s="90">
        <f t="shared" si="1"/>
        <v>3.6999999999999997</v>
      </c>
      <c r="H7" s="89">
        <f t="shared" si="7"/>
        <v>2.4000000000000004</v>
      </c>
      <c r="I7">
        <f t="shared" si="2"/>
        <v>2.7</v>
      </c>
      <c r="J7">
        <f t="shared" si="2"/>
        <v>3.3</v>
      </c>
      <c r="K7" s="90">
        <f t="shared" si="3"/>
        <v>3.5999999999999996</v>
      </c>
    </row>
    <row r="8" spans="1:11" x14ac:dyDescent="0.25">
      <c r="A8" s="78" t="s">
        <v>41</v>
      </c>
      <c r="B8" s="79">
        <v>4</v>
      </c>
      <c r="C8" s="80" t="s">
        <v>63</v>
      </c>
      <c r="D8" s="87">
        <f t="shared" si="4"/>
        <v>3.3000000000000003</v>
      </c>
      <c r="E8" s="111">
        <f t="shared" si="5"/>
        <v>3.7</v>
      </c>
      <c r="F8">
        <f t="shared" si="6"/>
        <v>4.3</v>
      </c>
      <c r="G8" s="90">
        <f t="shared" si="1"/>
        <v>4.7</v>
      </c>
      <c r="H8" s="89">
        <f t="shared" si="7"/>
        <v>3.4000000000000004</v>
      </c>
      <c r="I8">
        <f t="shared" si="2"/>
        <v>3.7</v>
      </c>
      <c r="J8">
        <f t="shared" si="2"/>
        <v>4.3</v>
      </c>
      <c r="K8" s="90">
        <f t="shared" si="3"/>
        <v>4.5999999999999996</v>
      </c>
    </row>
    <row r="9" spans="1:11" ht="15.75" thickBot="1" x14ac:dyDescent="0.3">
      <c r="A9" s="78" t="s">
        <v>42</v>
      </c>
      <c r="B9" s="79">
        <v>5</v>
      </c>
      <c r="C9" s="80" t="s">
        <v>64</v>
      </c>
      <c r="D9" s="91">
        <f t="shared" si="4"/>
        <v>4.3</v>
      </c>
      <c r="E9" s="92">
        <f t="shared" si="5"/>
        <v>4.7</v>
      </c>
      <c r="F9" s="93">
        <f t="shared" si="6"/>
        <v>5.3</v>
      </c>
      <c r="G9" s="96">
        <f t="shared" si="1"/>
        <v>5.7</v>
      </c>
      <c r="H9" s="95">
        <f t="shared" si="7"/>
        <v>4.4000000000000004</v>
      </c>
      <c r="I9" s="93">
        <f t="shared" si="2"/>
        <v>4.7</v>
      </c>
      <c r="J9" s="93">
        <f t="shared" si="2"/>
        <v>5.3</v>
      </c>
      <c r="K9" s="96">
        <f t="shared" si="3"/>
        <v>5.6</v>
      </c>
    </row>
    <row r="10" spans="1:11" x14ac:dyDescent="0.25">
      <c r="A10" s="1"/>
    </row>
    <row r="11" spans="1:11" ht="15.75" thickBot="1" x14ac:dyDescent="0.3">
      <c r="A11" s="1" t="s">
        <v>53</v>
      </c>
    </row>
    <row r="12" spans="1:11" x14ac:dyDescent="0.25">
      <c r="A12" s="1"/>
      <c r="B12" s="79">
        <v>0</v>
      </c>
      <c r="C12" s="80" t="s">
        <v>59</v>
      </c>
      <c r="D12" s="81">
        <v>0</v>
      </c>
      <c r="E12" s="82">
        <f>B12</f>
        <v>0</v>
      </c>
      <c r="F12" s="83">
        <f>B12+0.3</f>
        <v>0.3</v>
      </c>
      <c r="G12" s="86">
        <f>F12+0.4</f>
        <v>0.7</v>
      </c>
      <c r="H12" s="85">
        <v>0</v>
      </c>
      <c r="I12" s="83">
        <f t="shared" ref="I12:I17" si="8">E12</f>
        <v>0</v>
      </c>
      <c r="J12" s="83">
        <f t="shared" ref="J12:J17" si="9">F12</f>
        <v>0.3</v>
      </c>
      <c r="K12" s="86">
        <f>J12+0.3</f>
        <v>0.6</v>
      </c>
    </row>
    <row r="13" spans="1:11" x14ac:dyDescent="0.25">
      <c r="A13" s="78" t="s">
        <v>38</v>
      </c>
      <c r="B13" s="79">
        <v>1</v>
      </c>
      <c r="C13" s="80" t="s">
        <v>60</v>
      </c>
      <c r="D13" s="87">
        <f>E13-0.4</f>
        <v>0.29999999999999993</v>
      </c>
      <c r="E13" s="111">
        <f>B13-0.3</f>
        <v>0.7</v>
      </c>
      <c r="F13">
        <f>B13+0.3</f>
        <v>1.3</v>
      </c>
      <c r="G13" s="90">
        <f t="shared" ref="G13:G17" si="10">F13+0.4</f>
        <v>1.7000000000000002</v>
      </c>
      <c r="H13" s="89">
        <f>I13-0.3</f>
        <v>0.39999999999999997</v>
      </c>
      <c r="I13">
        <f t="shared" si="8"/>
        <v>0.7</v>
      </c>
      <c r="J13">
        <f t="shared" si="9"/>
        <v>1.3</v>
      </c>
      <c r="K13" s="90">
        <f t="shared" ref="K13:K17" si="11">J13+0.3</f>
        <v>1.6</v>
      </c>
    </row>
    <row r="14" spans="1:11" x14ac:dyDescent="0.25">
      <c r="A14" s="78" t="s">
        <v>39</v>
      </c>
      <c r="B14" s="79">
        <v>2</v>
      </c>
      <c r="C14" s="80" t="s">
        <v>61</v>
      </c>
      <c r="D14" s="87">
        <f t="shared" ref="D14:D17" si="12">E14-0.4</f>
        <v>1.2999999999999998</v>
      </c>
      <c r="E14" s="111">
        <f t="shared" ref="E14:E17" si="13">B14-0.3</f>
        <v>1.7</v>
      </c>
      <c r="F14">
        <f t="shared" ref="F14:F17" si="14">B14+0.3</f>
        <v>2.2999999999999998</v>
      </c>
      <c r="G14" s="90">
        <f t="shared" si="10"/>
        <v>2.6999999999999997</v>
      </c>
      <c r="H14" s="89">
        <f t="shared" ref="H14:H17" si="15">I14-0.3</f>
        <v>1.4</v>
      </c>
      <c r="I14">
        <f t="shared" si="8"/>
        <v>1.7</v>
      </c>
      <c r="J14">
        <f t="shared" si="9"/>
        <v>2.2999999999999998</v>
      </c>
      <c r="K14" s="90">
        <f t="shared" si="11"/>
        <v>2.5999999999999996</v>
      </c>
    </row>
    <row r="15" spans="1:11" x14ac:dyDescent="0.25">
      <c r="A15" s="78" t="s">
        <v>40</v>
      </c>
      <c r="B15" s="79">
        <v>3</v>
      </c>
      <c r="C15" s="80" t="s">
        <v>62</v>
      </c>
      <c r="D15" s="87">
        <f t="shared" si="12"/>
        <v>2.3000000000000003</v>
      </c>
      <c r="E15" s="111">
        <f t="shared" si="13"/>
        <v>2.7</v>
      </c>
      <c r="F15">
        <f t="shared" si="14"/>
        <v>3.3</v>
      </c>
      <c r="G15" s="90">
        <f t="shared" si="10"/>
        <v>3.6999999999999997</v>
      </c>
      <c r="H15" s="89">
        <f t="shared" si="15"/>
        <v>2.4000000000000004</v>
      </c>
      <c r="I15">
        <f t="shared" si="8"/>
        <v>2.7</v>
      </c>
      <c r="J15">
        <f t="shared" si="9"/>
        <v>3.3</v>
      </c>
      <c r="K15" s="90">
        <f t="shared" si="11"/>
        <v>3.5999999999999996</v>
      </c>
    </row>
    <row r="16" spans="1:11" x14ac:dyDescent="0.25">
      <c r="A16" s="78" t="s">
        <v>41</v>
      </c>
      <c r="B16" s="79">
        <v>4</v>
      </c>
      <c r="C16" s="80" t="s">
        <v>63</v>
      </c>
      <c r="D16" s="87">
        <f t="shared" si="12"/>
        <v>3.3000000000000003</v>
      </c>
      <c r="E16" s="111">
        <f t="shared" si="13"/>
        <v>3.7</v>
      </c>
      <c r="F16">
        <f t="shared" si="14"/>
        <v>4.3</v>
      </c>
      <c r="G16" s="90">
        <f t="shared" si="10"/>
        <v>4.7</v>
      </c>
      <c r="H16" s="89">
        <f t="shared" si="15"/>
        <v>3.4000000000000004</v>
      </c>
      <c r="I16">
        <f t="shared" si="8"/>
        <v>3.7</v>
      </c>
      <c r="J16">
        <f t="shared" si="9"/>
        <v>4.3</v>
      </c>
      <c r="K16" s="90">
        <f t="shared" si="11"/>
        <v>4.5999999999999996</v>
      </c>
    </row>
    <row r="17" spans="1:11" ht="15.75" thickBot="1" x14ac:dyDescent="0.3">
      <c r="A17" s="78" t="s">
        <v>42</v>
      </c>
      <c r="B17" s="79">
        <v>5</v>
      </c>
      <c r="C17" s="80" t="s">
        <v>64</v>
      </c>
      <c r="D17" s="91">
        <f t="shared" si="12"/>
        <v>4.3</v>
      </c>
      <c r="E17" s="92">
        <f t="shared" si="13"/>
        <v>4.7</v>
      </c>
      <c r="F17" s="93">
        <f t="shared" si="14"/>
        <v>5.3</v>
      </c>
      <c r="G17" s="96">
        <f t="shared" si="10"/>
        <v>5.7</v>
      </c>
      <c r="H17" s="95">
        <f t="shared" si="15"/>
        <v>4.4000000000000004</v>
      </c>
      <c r="I17" s="93">
        <f t="shared" si="8"/>
        <v>4.7</v>
      </c>
      <c r="J17" s="93">
        <f t="shared" si="9"/>
        <v>5.3</v>
      </c>
      <c r="K17" s="96">
        <f t="shared" si="11"/>
        <v>5.6</v>
      </c>
    </row>
    <row r="18" spans="1:11" x14ac:dyDescent="0.25">
      <c r="A18" s="1"/>
    </row>
    <row r="19" spans="1:11" ht="15.75" thickBot="1" x14ac:dyDescent="0.3">
      <c r="A19" s="1" t="s">
        <v>54</v>
      </c>
    </row>
    <row r="20" spans="1:11" x14ac:dyDescent="0.25">
      <c r="A20" s="1"/>
      <c r="B20" s="79">
        <v>0</v>
      </c>
      <c r="C20" s="80" t="s">
        <v>59</v>
      </c>
      <c r="D20" s="81">
        <v>0</v>
      </c>
      <c r="E20" s="82">
        <f>B20</f>
        <v>0</v>
      </c>
      <c r="F20" s="83">
        <f>B20+0.3</f>
        <v>0.3</v>
      </c>
      <c r="G20" s="86">
        <f>F20+0.4</f>
        <v>0.7</v>
      </c>
      <c r="H20" s="85">
        <v>0</v>
      </c>
      <c r="I20" s="83">
        <f t="shared" ref="I20:I25" si="16">E20</f>
        <v>0</v>
      </c>
      <c r="J20" s="83">
        <f t="shared" ref="J20:J25" si="17">F20</f>
        <v>0.3</v>
      </c>
      <c r="K20" s="86">
        <f>J20+0.3</f>
        <v>0.6</v>
      </c>
    </row>
    <row r="21" spans="1:11" x14ac:dyDescent="0.25">
      <c r="A21" s="78" t="s">
        <v>38</v>
      </c>
      <c r="B21" s="79">
        <v>1</v>
      </c>
      <c r="C21" s="80" t="s">
        <v>60</v>
      </c>
      <c r="D21" s="87">
        <f>E21-0.4</f>
        <v>0.29999999999999993</v>
      </c>
      <c r="E21" s="111">
        <f>B21-0.3</f>
        <v>0.7</v>
      </c>
      <c r="F21">
        <f>B21+0.3</f>
        <v>1.3</v>
      </c>
      <c r="G21" s="90">
        <f t="shared" ref="G21:G25" si="18">F21+0.4</f>
        <v>1.7000000000000002</v>
      </c>
      <c r="H21" s="89">
        <f>I21-0.3</f>
        <v>0.39999999999999997</v>
      </c>
      <c r="I21">
        <f t="shared" si="16"/>
        <v>0.7</v>
      </c>
      <c r="J21">
        <f t="shared" si="17"/>
        <v>1.3</v>
      </c>
      <c r="K21" s="90">
        <f t="shared" ref="K21:K25" si="19">J21+0.3</f>
        <v>1.6</v>
      </c>
    </row>
    <row r="22" spans="1:11" x14ac:dyDescent="0.25">
      <c r="A22" s="78" t="s">
        <v>39</v>
      </c>
      <c r="B22" s="79">
        <v>2</v>
      </c>
      <c r="C22" s="80" t="s">
        <v>61</v>
      </c>
      <c r="D22" s="87">
        <f t="shared" ref="D22:D25" si="20">E22-0.4</f>
        <v>1.2999999999999998</v>
      </c>
      <c r="E22" s="111">
        <f t="shared" ref="E22:E25" si="21">B22-0.3</f>
        <v>1.7</v>
      </c>
      <c r="F22">
        <f t="shared" ref="F22:F25" si="22">B22+0.3</f>
        <v>2.2999999999999998</v>
      </c>
      <c r="G22" s="90">
        <f t="shared" si="18"/>
        <v>2.6999999999999997</v>
      </c>
      <c r="H22" s="89">
        <f t="shared" ref="H22:H25" si="23">I22-0.3</f>
        <v>1.4</v>
      </c>
      <c r="I22">
        <f t="shared" si="16"/>
        <v>1.7</v>
      </c>
      <c r="J22">
        <f t="shared" si="17"/>
        <v>2.2999999999999998</v>
      </c>
      <c r="K22" s="90">
        <f t="shared" si="19"/>
        <v>2.5999999999999996</v>
      </c>
    </row>
    <row r="23" spans="1:11" x14ac:dyDescent="0.25">
      <c r="A23" s="78" t="s">
        <v>40</v>
      </c>
      <c r="B23" s="79">
        <v>3</v>
      </c>
      <c r="C23" s="80" t="s">
        <v>62</v>
      </c>
      <c r="D23" s="87">
        <f t="shared" si="20"/>
        <v>2.3000000000000003</v>
      </c>
      <c r="E23" s="111">
        <f t="shared" si="21"/>
        <v>2.7</v>
      </c>
      <c r="F23">
        <f t="shared" si="22"/>
        <v>3.3</v>
      </c>
      <c r="G23" s="90">
        <f t="shared" si="18"/>
        <v>3.6999999999999997</v>
      </c>
      <c r="H23" s="89">
        <f t="shared" si="23"/>
        <v>2.4000000000000004</v>
      </c>
      <c r="I23">
        <f t="shared" si="16"/>
        <v>2.7</v>
      </c>
      <c r="J23">
        <f t="shared" si="17"/>
        <v>3.3</v>
      </c>
      <c r="K23" s="90">
        <f t="shared" si="19"/>
        <v>3.5999999999999996</v>
      </c>
    </row>
    <row r="24" spans="1:11" x14ac:dyDescent="0.25">
      <c r="A24" s="78" t="s">
        <v>41</v>
      </c>
      <c r="B24" s="79">
        <v>4</v>
      </c>
      <c r="C24" s="80" t="s">
        <v>63</v>
      </c>
      <c r="D24" s="87">
        <f t="shared" si="20"/>
        <v>3.3000000000000003</v>
      </c>
      <c r="E24" s="111">
        <f t="shared" si="21"/>
        <v>3.7</v>
      </c>
      <c r="F24">
        <f t="shared" si="22"/>
        <v>4.3</v>
      </c>
      <c r="G24" s="90">
        <f t="shared" si="18"/>
        <v>4.7</v>
      </c>
      <c r="H24" s="89">
        <f t="shared" si="23"/>
        <v>3.4000000000000004</v>
      </c>
      <c r="I24">
        <f t="shared" si="16"/>
        <v>3.7</v>
      </c>
      <c r="J24">
        <f t="shared" si="17"/>
        <v>4.3</v>
      </c>
      <c r="K24" s="90">
        <f t="shared" si="19"/>
        <v>4.5999999999999996</v>
      </c>
    </row>
    <row r="25" spans="1:11" ht="15.75" thickBot="1" x14ac:dyDescent="0.3">
      <c r="A25" s="78" t="s">
        <v>42</v>
      </c>
      <c r="B25" s="79">
        <v>5</v>
      </c>
      <c r="C25" s="80" t="s">
        <v>64</v>
      </c>
      <c r="D25" s="91">
        <f t="shared" si="20"/>
        <v>4.3</v>
      </c>
      <c r="E25" s="92">
        <f t="shared" si="21"/>
        <v>4.7</v>
      </c>
      <c r="F25" s="93">
        <f t="shared" si="22"/>
        <v>5.3</v>
      </c>
      <c r="G25" s="96">
        <f t="shared" si="18"/>
        <v>5.7</v>
      </c>
      <c r="H25" s="95">
        <f t="shared" si="23"/>
        <v>4.4000000000000004</v>
      </c>
      <c r="I25" s="93">
        <f t="shared" si="16"/>
        <v>4.7</v>
      </c>
      <c r="J25" s="93">
        <f t="shared" si="17"/>
        <v>5.3</v>
      </c>
      <c r="K25" s="96">
        <f t="shared" si="19"/>
        <v>5.6</v>
      </c>
    </row>
    <row r="26" spans="1:11" x14ac:dyDescent="0.25">
      <c r="A26" s="1"/>
    </row>
    <row r="27" spans="1:11" ht="15.75" thickBot="1" x14ac:dyDescent="0.3">
      <c r="A27" s="1" t="s">
        <v>55</v>
      </c>
    </row>
    <row r="28" spans="1:11" x14ac:dyDescent="0.25">
      <c r="A28" s="1"/>
      <c r="B28" s="79">
        <v>0</v>
      </c>
      <c r="C28" s="80" t="s">
        <v>59</v>
      </c>
      <c r="D28" s="81">
        <v>0</v>
      </c>
      <c r="E28" s="82">
        <f>B28</f>
        <v>0</v>
      </c>
      <c r="F28" s="83">
        <f>B28+0.3</f>
        <v>0.3</v>
      </c>
      <c r="G28" s="86">
        <f>F28+0.4</f>
        <v>0.7</v>
      </c>
      <c r="H28" s="85">
        <v>0</v>
      </c>
      <c r="I28" s="83">
        <f t="shared" ref="I28:I33" si="24">E28</f>
        <v>0</v>
      </c>
      <c r="J28" s="83">
        <f t="shared" ref="J28:J33" si="25">F28</f>
        <v>0.3</v>
      </c>
      <c r="K28" s="86">
        <f>J28+0.3</f>
        <v>0.6</v>
      </c>
    </row>
    <row r="29" spans="1:11" x14ac:dyDescent="0.25">
      <c r="A29" s="78" t="s">
        <v>38</v>
      </c>
      <c r="B29" s="79">
        <v>1</v>
      </c>
      <c r="C29" s="80" t="s">
        <v>60</v>
      </c>
      <c r="D29" s="87">
        <f>E29-0.4</f>
        <v>0.29999999999999993</v>
      </c>
      <c r="E29" s="111">
        <f>B29-0.3</f>
        <v>0.7</v>
      </c>
      <c r="F29">
        <f>B29+0.3</f>
        <v>1.3</v>
      </c>
      <c r="G29" s="90">
        <f t="shared" ref="G29:G33" si="26">F29+0.4</f>
        <v>1.7000000000000002</v>
      </c>
      <c r="H29" s="89">
        <f>I29-0.3</f>
        <v>0.39999999999999997</v>
      </c>
      <c r="I29">
        <f t="shared" si="24"/>
        <v>0.7</v>
      </c>
      <c r="J29">
        <f t="shared" si="25"/>
        <v>1.3</v>
      </c>
      <c r="K29" s="90">
        <f t="shared" ref="K29:K33" si="27">J29+0.3</f>
        <v>1.6</v>
      </c>
    </row>
    <row r="30" spans="1:11" x14ac:dyDescent="0.25">
      <c r="A30" s="78" t="s">
        <v>39</v>
      </c>
      <c r="B30" s="79">
        <v>2</v>
      </c>
      <c r="C30" s="80" t="s">
        <v>61</v>
      </c>
      <c r="D30" s="87">
        <f t="shared" ref="D30:D33" si="28">E30-0.4</f>
        <v>1.2999999999999998</v>
      </c>
      <c r="E30" s="111">
        <f t="shared" ref="E30:E33" si="29">B30-0.3</f>
        <v>1.7</v>
      </c>
      <c r="F30">
        <f t="shared" ref="F30:F33" si="30">B30+0.3</f>
        <v>2.2999999999999998</v>
      </c>
      <c r="G30" s="90">
        <f t="shared" si="26"/>
        <v>2.6999999999999997</v>
      </c>
      <c r="H30" s="89">
        <f t="shared" ref="H30:H33" si="31">I30-0.3</f>
        <v>1.4</v>
      </c>
      <c r="I30">
        <f t="shared" si="24"/>
        <v>1.7</v>
      </c>
      <c r="J30">
        <f t="shared" si="25"/>
        <v>2.2999999999999998</v>
      </c>
      <c r="K30" s="90">
        <f t="shared" si="27"/>
        <v>2.5999999999999996</v>
      </c>
    </row>
    <row r="31" spans="1:11" x14ac:dyDescent="0.25">
      <c r="A31" s="78" t="s">
        <v>40</v>
      </c>
      <c r="B31" s="79">
        <v>3</v>
      </c>
      <c r="C31" s="80" t="s">
        <v>62</v>
      </c>
      <c r="D31" s="87">
        <f t="shared" si="28"/>
        <v>2.3000000000000003</v>
      </c>
      <c r="E31" s="111">
        <f t="shared" si="29"/>
        <v>2.7</v>
      </c>
      <c r="F31">
        <f t="shared" si="30"/>
        <v>3.3</v>
      </c>
      <c r="G31" s="90">
        <f t="shared" si="26"/>
        <v>3.6999999999999997</v>
      </c>
      <c r="H31" s="89">
        <f t="shared" si="31"/>
        <v>2.4000000000000004</v>
      </c>
      <c r="I31">
        <f t="shared" si="24"/>
        <v>2.7</v>
      </c>
      <c r="J31">
        <f t="shared" si="25"/>
        <v>3.3</v>
      </c>
      <c r="K31" s="90">
        <f t="shared" si="27"/>
        <v>3.5999999999999996</v>
      </c>
    </row>
    <row r="32" spans="1:11" x14ac:dyDescent="0.25">
      <c r="A32" s="78" t="s">
        <v>41</v>
      </c>
      <c r="B32" s="79">
        <v>4</v>
      </c>
      <c r="C32" s="80" t="s">
        <v>63</v>
      </c>
      <c r="D32" s="87">
        <f t="shared" si="28"/>
        <v>3.3000000000000003</v>
      </c>
      <c r="E32" s="111">
        <f t="shared" si="29"/>
        <v>3.7</v>
      </c>
      <c r="F32">
        <f t="shared" si="30"/>
        <v>4.3</v>
      </c>
      <c r="G32" s="90">
        <f t="shared" si="26"/>
        <v>4.7</v>
      </c>
      <c r="H32" s="89">
        <f t="shared" si="31"/>
        <v>3.4000000000000004</v>
      </c>
      <c r="I32">
        <f t="shared" si="24"/>
        <v>3.7</v>
      </c>
      <c r="J32">
        <f t="shared" si="25"/>
        <v>4.3</v>
      </c>
      <c r="K32" s="90">
        <f t="shared" si="27"/>
        <v>4.5999999999999996</v>
      </c>
    </row>
    <row r="33" spans="1:11" ht="15.75" thickBot="1" x14ac:dyDescent="0.3">
      <c r="A33" s="78" t="s">
        <v>42</v>
      </c>
      <c r="B33" s="79">
        <v>5</v>
      </c>
      <c r="C33" s="80" t="s">
        <v>64</v>
      </c>
      <c r="D33" s="91">
        <f t="shared" si="28"/>
        <v>4.3</v>
      </c>
      <c r="E33" s="92">
        <f t="shared" si="29"/>
        <v>4.7</v>
      </c>
      <c r="F33" s="93">
        <f t="shared" si="30"/>
        <v>5.3</v>
      </c>
      <c r="G33" s="96">
        <f t="shared" si="26"/>
        <v>5.7</v>
      </c>
      <c r="H33" s="95">
        <f t="shared" si="31"/>
        <v>4.4000000000000004</v>
      </c>
      <c r="I33" s="93">
        <f t="shared" si="24"/>
        <v>4.7</v>
      </c>
      <c r="J33" s="93">
        <f t="shared" si="25"/>
        <v>5.3</v>
      </c>
      <c r="K33" s="96">
        <f t="shared" si="27"/>
        <v>5.6</v>
      </c>
    </row>
    <row r="34" spans="1:11" x14ac:dyDescent="0.25">
      <c r="A34" s="1"/>
    </row>
    <row r="36" spans="1:11" x14ac:dyDescent="0.25">
      <c r="A36" s="77" t="s">
        <v>44</v>
      </c>
    </row>
    <row r="37" spans="1:11" ht="15.75" thickBot="1" x14ac:dyDescent="0.3">
      <c r="A37" s="1" t="s">
        <v>32</v>
      </c>
    </row>
    <row r="38" spans="1:11" x14ac:dyDescent="0.25">
      <c r="A38" s="1"/>
      <c r="B38" s="79">
        <v>0</v>
      </c>
      <c r="C38" s="80" t="s">
        <v>59</v>
      </c>
      <c r="D38" s="81">
        <v>0</v>
      </c>
      <c r="E38" s="82">
        <f>B38</f>
        <v>0</v>
      </c>
      <c r="F38" s="83">
        <f>B38+0.3</f>
        <v>0.3</v>
      </c>
      <c r="G38" s="86">
        <f>F38+0.4</f>
        <v>0.7</v>
      </c>
      <c r="H38" s="85">
        <v>0</v>
      </c>
      <c r="I38" s="83">
        <f t="shared" ref="I38:I43" si="32">E38</f>
        <v>0</v>
      </c>
      <c r="J38" s="83">
        <f t="shared" ref="J38:J43" si="33">F38</f>
        <v>0.3</v>
      </c>
      <c r="K38" s="86">
        <f>J38+0.3</f>
        <v>0.6</v>
      </c>
    </row>
    <row r="39" spans="1:11" x14ac:dyDescent="0.25">
      <c r="A39" s="78" t="s">
        <v>38</v>
      </c>
      <c r="B39" s="79">
        <v>1</v>
      </c>
      <c r="C39" s="80" t="s">
        <v>60</v>
      </c>
      <c r="D39" s="87">
        <f>E39-0.4</f>
        <v>0.29999999999999993</v>
      </c>
      <c r="E39" s="111">
        <f>B39-0.3</f>
        <v>0.7</v>
      </c>
      <c r="F39">
        <f>B39+0.3</f>
        <v>1.3</v>
      </c>
      <c r="G39" s="90">
        <f t="shared" ref="G39:G43" si="34">F39+0.4</f>
        <v>1.7000000000000002</v>
      </c>
      <c r="H39" s="89">
        <f>I39-0.3</f>
        <v>0.39999999999999997</v>
      </c>
      <c r="I39">
        <f t="shared" si="32"/>
        <v>0.7</v>
      </c>
      <c r="J39">
        <f t="shared" si="33"/>
        <v>1.3</v>
      </c>
      <c r="K39" s="90">
        <f t="shared" ref="K39:K43" si="35">J39+0.3</f>
        <v>1.6</v>
      </c>
    </row>
    <row r="40" spans="1:11" x14ac:dyDescent="0.25">
      <c r="A40" s="78" t="s">
        <v>39</v>
      </c>
      <c r="B40" s="79">
        <v>2</v>
      </c>
      <c r="C40" s="80" t="s">
        <v>61</v>
      </c>
      <c r="D40" s="87">
        <f t="shared" ref="D40:D43" si="36">E40-0.4</f>
        <v>1.2999999999999998</v>
      </c>
      <c r="E40" s="111">
        <f t="shared" ref="E40:E43" si="37">B40-0.3</f>
        <v>1.7</v>
      </c>
      <c r="F40">
        <f t="shared" ref="F40:F43" si="38">B40+0.3</f>
        <v>2.2999999999999998</v>
      </c>
      <c r="G40" s="90">
        <f t="shared" si="34"/>
        <v>2.6999999999999997</v>
      </c>
      <c r="H40" s="89">
        <f t="shared" ref="H40:H43" si="39">I40-0.3</f>
        <v>1.4</v>
      </c>
      <c r="I40">
        <f t="shared" si="32"/>
        <v>1.7</v>
      </c>
      <c r="J40">
        <f t="shared" si="33"/>
        <v>2.2999999999999998</v>
      </c>
      <c r="K40" s="90">
        <f t="shared" si="35"/>
        <v>2.5999999999999996</v>
      </c>
    </row>
    <row r="41" spans="1:11" x14ac:dyDescent="0.25">
      <c r="A41" s="78" t="s">
        <v>40</v>
      </c>
      <c r="B41" s="79">
        <v>3</v>
      </c>
      <c r="C41" s="80" t="s">
        <v>62</v>
      </c>
      <c r="D41" s="87">
        <f t="shared" si="36"/>
        <v>2.3000000000000003</v>
      </c>
      <c r="E41" s="111">
        <f t="shared" si="37"/>
        <v>2.7</v>
      </c>
      <c r="F41">
        <f t="shared" si="38"/>
        <v>3.3</v>
      </c>
      <c r="G41" s="90">
        <f t="shared" si="34"/>
        <v>3.6999999999999997</v>
      </c>
      <c r="H41" s="89">
        <f t="shared" si="39"/>
        <v>2.4000000000000004</v>
      </c>
      <c r="I41">
        <f t="shared" si="32"/>
        <v>2.7</v>
      </c>
      <c r="J41">
        <f t="shared" si="33"/>
        <v>3.3</v>
      </c>
      <c r="K41" s="90">
        <f t="shared" si="35"/>
        <v>3.5999999999999996</v>
      </c>
    </row>
    <row r="42" spans="1:11" x14ac:dyDescent="0.25">
      <c r="A42" s="78" t="s">
        <v>41</v>
      </c>
      <c r="B42" s="79">
        <v>4</v>
      </c>
      <c r="C42" s="80" t="s">
        <v>63</v>
      </c>
      <c r="D42" s="87">
        <f t="shared" si="36"/>
        <v>3.3000000000000003</v>
      </c>
      <c r="E42" s="111">
        <f t="shared" si="37"/>
        <v>3.7</v>
      </c>
      <c r="F42">
        <f t="shared" si="38"/>
        <v>4.3</v>
      </c>
      <c r="G42" s="90">
        <f t="shared" si="34"/>
        <v>4.7</v>
      </c>
      <c r="H42" s="89">
        <f t="shared" si="39"/>
        <v>3.4000000000000004</v>
      </c>
      <c r="I42">
        <f t="shared" si="32"/>
        <v>3.7</v>
      </c>
      <c r="J42">
        <f t="shared" si="33"/>
        <v>4.3</v>
      </c>
      <c r="K42" s="90">
        <f t="shared" si="35"/>
        <v>4.5999999999999996</v>
      </c>
    </row>
    <row r="43" spans="1:11" ht="15.75" thickBot="1" x14ac:dyDescent="0.3">
      <c r="A43" s="78" t="s">
        <v>42</v>
      </c>
      <c r="B43" s="79">
        <v>5</v>
      </c>
      <c r="C43" s="80" t="s">
        <v>64</v>
      </c>
      <c r="D43" s="91">
        <f t="shared" si="36"/>
        <v>4.3</v>
      </c>
      <c r="E43" s="92">
        <f t="shared" si="37"/>
        <v>4.7</v>
      </c>
      <c r="F43" s="93">
        <f t="shared" si="38"/>
        <v>5.3</v>
      </c>
      <c r="G43" s="96">
        <f t="shared" si="34"/>
        <v>5.7</v>
      </c>
      <c r="H43" s="95">
        <f t="shared" si="39"/>
        <v>4.4000000000000004</v>
      </c>
      <c r="I43" s="93">
        <f t="shared" si="32"/>
        <v>4.7</v>
      </c>
      <c r="J43" s="93">
        <f t="shared" si="33"/>
        <v>5.3</v>
      </c>
      <c r="K43" s="96">
        <f t="shared" si="35"/>
        <v>5.6</v>
      </c>
    </row>
    <row r="45" spans="1:11" ht="15.75" thickBot="1" x14ac:dyDescent="0.3">
      <c r="A45" s="1" t="s">
        <v>33</v>
      </c>
    </row>
    <row r="46" spans="1:11" x14ac:dyDescent="0.25">
      <c r="A46" s="1"/>
      <c r="B46" s="79">
        <v>0</v>
      </c>
      <c r="C46" s="80" t="s">
        <v>59</v>
      </c>
      <c r="D46" s="81">
        <v>0</v>
      </c>
      <c r="E46" s="82">
        <f>B46</f>
        <v>0</v>
      </c>
      <c r="F46" s="83">
        <f>B46+0.3</f>
        <v>0.3</v>
      </c>
      <c r="G46" s="86">
        <f>F46+0.4</f>
        <v>0.7</v>
      </c>
      <c r="H46" s="85">
        <v>0</v>
      </c>
      <c r="I46" s="83">
        <f t="shared" ref="I46:I51" si="40">E46</f>
        <v>0</v>
      </c>
      <c r="J46" s="83">
        <f t="shared" ref="J46:J51" si="41">F46</f>
        <v>0.3</v>
      </c>
      <c r="K46" s="86">
        <f>J46+0.3</f>
        <v>0.6</v>
      </c>
    </row>
    <row r="47" spans="1:11" x14ac:dyDescent="0.25">
      <c r="A47" s="78" t="s">
        <v>38</v>
      </c>
      <c r="B47" s="79">
        <v>1</v>
      </c>
      <c r="C47" s="80" t="s">
        <v>60</v>
      </c>
      <c r="D47" s="87">
        <f>E47-0.4</f>
        <v>0.29999999999999993</v>
      </c>
      <c r="E47" s="111">
        <f>B47-0.3</f>
        <v>0.7</v>
      </c>
      <c r="F47">
        <f>B47+0.3</f>
        <v>1.3</v>
      </c>
      <c r="G47" s="90">
        <f t="shared" ref="G47:G51" si="42">F47+0.4</f>
        <v>1.7000000000000002</v>
      </c>
      <c r="H47" s="89">
        <f>I47-0.3</f>
        <v>0.39999999999999997</v>
      </c>
      <c r="I47">
        <f t="shared" si="40"/>
        <v>0.7</v>
      </c>
      <c r="J47">
        <f t="shared" si="41"/>
        <v>1.3</v>
      </c>
      <c r="K47" s="90">
        <f t="shared" ref="K47:K51" si="43">J47+0.3</f>
        <v>1.6</v>
      </c>
    </row>
    <row r="48" spans="1:11" x14ac:dyDescent="0.25">
      <c r="A48" s="78" t="s">
        <v>39</v>
      </c>
      <c r="B48" s="79">
        <v>2</v>
      </c>
      <c r="C48" s="80" t="s">
        <v>61</v>
      </c>
      <c r="D48" s="87">
        <f t="shared" ref="D48:D51" si="44">E48-0.4</f>
        <v>1.2999999999999998</v>
      </c>
      <c r="E48" s="111">
        <f t="shared" ref="E48:E51" si="45">B48-0.3</f>
        <v>1.7</v>
      </c>
      <c r="F48">
        <f t="shared" ref="F48:F51" si="46">B48+0.3</f>
        <v>2.2999999999999998</v>
      </c>
      <c r="G48" s="90">
        <f t="shared" si="42"/>
        <v>2.6999999999999997</v>
      </c>
      <c r="H48" s="89">
        <f t="shared" ref="H48:H51" si="47">I48-0.3</f>
        <v>1.4</v>
      </c>
      <c r="I48">
        <f t="shared" si="40"/>
        <v>1.7</v>
      </c>
      <c r="J48">
        <f t="shared" si="41"/>
        <v>2.2999999999999998</v>
      </c>
      <c r="K48" s="90">
        <f t="shared" si="43"/>
        <v>2.5999999999999996</v>
      </c>
    </row>
    <row r="49" spans="1:11" x14ac:dyDescent="0.25">
      <c r="A49" s="78" t="s">
        <v>40</v>
      </c>
      <c r="B49" s="79">
        <v>3</v>
      </c>
      <c r="C49" s="80" t="s">
        <v>62</v>
      </c>
      <c r="D49" s="87">
        <f t="shared" si="44"/>
        <v>2.3000000000000003</v>
      </c>
      <c r="E49" s="111">
        <f t="shared" si="45"/>
        <v>2.7</v>
      </c>
      <c r="F49">
        <f t="shared" si="46"/>
        <v>3.3</v>
      </c>
      <c r="G49" s="90">
        <f t="shared" si="42"/>
        <v>3.6999999999999997</v>
      </c>
      <c r="H49" s="89">
        <f t="shared" si="47"/>
        <v>2.4000000000000004</v>
      </c>
      <c r="I49">
        <f t="shared" si="40"/>
        <v>2.7</v>
      </c>
      <c r="J49">
        <f t="shared" si="41"/>
        <v>3.3</v>
      </c>
      <c r="K49" s="90">
        <f t="shared" si="43"/>
        <v>3.5999999999999996</v>
      </c>
    </row>
    <row r="50" spans="1:11" ht="13.5" customHeight="1" x14ac:dyDescent="0.25">
      <c r="A50" s="78" t="s">
        <v>41</v>
      </c>
      <c r="B50" s="79">
        <v>4</v>
      </c>
      <c r="C50" s="80" t="s">
        <v>63</v>
      </c>
      <c r="D50" s="87">
        <f t="shared" si="44"/>
        <v>3.3000000000000003</v>
      </c>
      <c r="E50" s="111">
        <f t="shared" si="45"/>
        <v>3.7</v>
      </c>
      <c r="F50">
        <f t="shared" si="46"/>
        <v>4.3</v>
      </c>
      <c r="G50" s="90">
        <f t="shared" si="42"/>
        <v>4.7</v>
      </c>
      <c r="H50" s="89">
        <f t="shared" si="47"/>
        <v>3.4000000000000004</v>
      </c>
      <c r="I50">
        <f t="shared" si="40"/>
        <v>3.7</v>
      </c>
      <c r="J50">
        <f t="shared" si="41"/>
        <v>4.3</v>
      </c>
      <c r="K50" s="90">
        <f t="shared" si="43"/>
        <v>4.5999999999999996</v>
      </c>
    </row>
    <row r="51" spans="1:11" ht="15.75" thickBot="1" x14ac:dyDescent="0.3">
      <c r="A51" s="78" t="s">
        <v>42</v>
      </c>
      <c r="B51" s="79">
        <v>5</v>
      </c>
      <c r="C51" s="80" t="s">
        <v>64</v>
      </c>
      <c r="D51" s="91">
        <f t="shared" si="44"/>
        <v>4.3</v>
      </c>
      <c r="E51" s="92">
        <f t="shared" si="45"/>
        <v>4.7</v>
      </c>
      <c r="F51" s="93">
        <f t="shared" si="46"/>
        <v>5.3</v>
      </c>
      <c r="G51" s="96">
        <f t="shared" si="42"/>
        <v>5.7</v>
      </c>
      <c r="H51" s="95">
        <f t="shared" si="47"/>
        <v>4.4000000000000004</v>
      </c>
      <c r="I51" s="93">
        <f t="shared" si="40"/>
        <v>4.7</v>
      </c>
      <c r="J51" s="93">
        <f t="shared" si="41"/>
        <v>5.3</v>
      </c>
      <c r="K51" s="96">
        <f t="shared" si="43"/>
        <v>5.6</v>
      </c>
    </row>
    <row r="52" spans="1:11" x14ac:dyDescent="0.25">
      <c r="A52" s="1"/>
    </row>
    <row r="53" spans="1:11" ht="15.75" thickBot="1" x14ac:dyDescent="0.3">
      <c r="A53" s="1" t="s">
        <v>34</v>
      </c>
    </row>
    <row r="54" spans="1:11" x14ac:dyDescent="0.25">
      <c r="A54" s="1"/>
      <c r="B54" s="79">
        <v>0</v>
      </c>
      <c r="C54" s="80" t="s">
        <v>59</v>
      </c>
      <c r="D54" s="81">
        <v>0</v>
      </c>
      <c r="E54" s="82">
        <f>B54</f>
        <v>0</v>
      </c>
      <c r="F54" s="83">
        <f>B54+0.3</f>
        <v>0.3</v>
      </c>
      <c r="G54" s="86">
        <f>F54+0.4</f>
        <v>0.7</v>
      </c>
      <c r="H54" s="85">
        <v>0</v>
      </c>
      <c r="I54" s="83">
        <f t="shared" ref="I54:I59" si="48">E54</f>
        <v>0</v>
      </c>
      <c r="J54" s="83">
        <f t="shared" ref="J54:J59" si="49">F54</f>
        <v>0.3</v>
      </c>
      <c r="K54" s="86">
        <f>J54+0.3</f>
        <v>0.6</v>
      </c>
    </row>
    <row r="55" spans="1:11" x14ac:dyDescent="0.25">
      <c r="A55" s="78" t="s">
        <v>38</v>
      </c>
      <c r="B55" s="79">
        <v>1</v>
      </c>
      <c r="C55" s="80" t="s">
        <v>60</v>
      </c>
      <c r="D55" s="87">
        <f>E55-0.4</f>
        <v>0.29999999999999993</v>
      </c>
      <c r="E55" s="111">
        <f>B55-0.3</f>
        <v>0.7</v>
      </c>
      <c r="F55">
        <f>B55+0.3</f>
        <v>1.3</v>
      </c>
      <c r="G55" s="90">
        <f t="shared" ref="G55:G59" si="50">F55+0.4</f>
        <v>1.7000000000000002</v>
      </c>
      <c r="H55" s="89">
        <f>I55-0.3</f>
        <v>0.39999999999999997</v>
      </c>
      <c r="I55">
        <f t="shared" si="48"/>
        <v>0.7</v>
      </c>
      <c r="J55">
        <f t="shared" si="49"/>
        <v>1.3</v>
      </c>
      <c r="K55" s="90">
        <f t="shared" ref="K55:K59" si="51">J55+0.3</f>
        <v>1.6</v>
      </c>
    </row>
    <row r="56" spans="1:11" x14ac:dyDescent="0.25">
      <c r="A56" s="78" t="s">
        <v>39</v>
      </c>
      <c r="B56" s="79">
        <v>2</v>
      </c>
      <c r="C56" s="80" t="s">
        <v>61</v>
      </c>
      <c r="D56" s="87">
        <f t="shared" ref="D56:D59" si="52">E56-0.4</f>
        <v>1.2999999999999998</v>
      </c>
      <c r="E56" s="111">
        <f t="shared" ref="E56:E59" si="53">B56-0.3</f>
        <v>1.7</v>
      </c>
      <c r="F56">
        <f t="shared" ref="F56:F59" si="54">B56+0.3</f>
        <v>2.2999999999999998</v>
      </c>
      <c r="G56" s="90">
        <f t="shared" si="50"/>
        <v>2.6999999999999997</v>
      </c>
      <c r="H56" s="89">
        <f t="shared" ref="H56:H59" si="55">I56-0.3</f>
        <v>1.4</v>
      </c>
      <c r="I56">
        <f t="shared" si="48"/>
        <v>1.7</v>
      </c>
      <c r="J56">
        <f t="shared" si="49"/>
        <v>2.2999999999999998</v>
      </c>
      <c r="K56" s="90">
        <f t="shared" si="51"/>
        <v>2.5999999999999996</v>
      </c>
    </row>
    <row r="57" spans="1:11" x14ac:dyDescent="0.25">
      <c r="A57" s="78" t="s">
        <v>40</v>
      </c>
      <c r="B57" s="79">
        <v>3</v>
      </c>
      <c r="C57" s="80" t="s">
        <v>62</v>
      </c>
      <c r="D57" s="87">
        <f t="shared" si="52"/>
        <v>2.3000000000000003</v>
      </c>
      <c r="E57" s="111">
        <f t="shared" si="53"/>
        <v>2.7</v>
      </c>
      <c r="F57">
        <f t="shared" si="54"/>
        <v>3.3</v>
      </c>
      <c r="G57" s="90">
        <f t="shared" si="50"/>
        <v>3.6999999999999997</v>
      </c>
      <c r="H57" s="89">
        <f t="shared" si="55"/>
        <v>2.4000000000000004</v>
      </c>
      <c r="I57">
        <f t="shared" si="48"/>
        <v>2.7</v>
      </c>
      <c r="J57">
        <f t="shared" si="49"/>
        <v>3.3</v>
      </c>
      <c r="K57" s="90">
        <f t="shared" si="51"/>
        <v>3.5999999999999996</v>
      </c>
    </row>
    <row r="58" spans="1:11" x14ac:dyDescent="0.25">
      <c r="A58" s="78" t="s">
        <v>41</v>
      </c>
      <c r="B58" s="79">
        <v>4</v>
      </c>
      <c r="C58" s="80" t="s">
        <v>63</v>
      </c>
      <c r="D58" s="87">
        <f t="shared" si="52"/>
        <v>3.3000000000000003</v>
      </c>
      <c r="E58" s="111">
        <f t="shared" si="53"/>
        <v>3.7</v>
      </c>
      <c r="F58">
        <f t="shared" si="54"/>
        <v>4.3</v>
      </c>
      <c r="G58" s="90">
        <f t="shared" si="50"/>
        <v>4.7</v>
      </c>
      <c r="H58" s="89">
        <f t="shared" si="55"/>
        <v>3.4000000000000004</v>
      </c>
      <c r="I58">
        <f t="shared" si="48"/>
        <v>3.7</v>
      </c>
      <c r="J58">
        <f t="shared" si="49"/>
        <v>4.3</v>
      </c>
      <c r="K58" s="90">
        <f t="shared" si="51"/>
        <v>4.5999999999999996</v>
      </c>
    </row>
    <row r="59" spans="1:11" ht="15.75" thickBot="1" x14ac:dyDescent="0.3">
      <c r="A59" s="78" t="s">
        <v>42</v>
      </c>
      <c r="B59" s="79">
        <v>5</v>
      </c>
      <c r="C59" s="80" t="s">
        <v>64</v>
      </c>
      <c r="D59" s="91">
        <f t="shared" si="52"/>
        <v>4.3</v>
      </c>
      <c r="E59" s="92">
        <f t="shared" si="53"/>
        <v>4.7</v>
      </c>
      <c r="F59" s="93">
        <f t="shared" si="54"/>
        <v>5.3</v>
      </c>
      <c r="G59" s="96">
        <f t="shared" si="50"/>
        <v>5.7</v>
      </c>
      <c r="H59" s="95">
        <f t="shared" si="55"/>
        <v>4.4000000000000004</v>
      </c>
      <c r="I59" s="93">
        <f t="shared" si="48"/>
        <v>4.7</v>
      </c>
      <c r="J59" s="93">
        <f t="shared" si="49"/>
        <v>5.3</v>
      </c>
      <c r="K59" s="96">
        <f t="shared" si="51"/>
        <v>5.6</v>
      </c>
    </row>
    <row r="61" spans="1:11" ht="15.75" thickBot="1" x14ac:dyDescent="0.3">
      <c r="A61" s="1" t="s">
        <v>35</v>
      </c>
    </row>
    <row r="62" spans="1:11" x14ac:dyDescent="0.25">
      <c r="A62" s="1"/>
      <c r="B62" s="79">
        <v>0</v>
      </c>
      <c r="C62" s="80" t="s">
        <v>59</v>
      </c>
      <c r="D62" s="81">
        <v>0</v>
      </c>
      <c r="E62" s="82">
        <f>B62</f>
        <v>0</v>
      </c>
      <c r="F62" s="83">
        <f>B62+0.3</f>
        <v>0.3</v>
      </c>
      <c r="G62" s="86">
        <f>F62+0.4</f>
        <v>0.7</v>
      </c>
      <c r="H62" s="85">
        <v>0</v>
      </c>
      <c r="I62" s="83">
        <f t="shared" ref="I62:I67" si="56">E62</f>
        <v>0</v>
      </c>
      <c r="J62" s="83">
        <f t="shared" ref="J62:J67" si="57">F62</f>
        <v>0.3</v>
      </c>
      <c r="K62" s="86">
        <f>J62+0.3</f>
        <v>0.6</v>
      </c>
    </row>
    <row r="63" spans="1:11" x14ac:dyDescent="0.25">
      <c r="A63" s="78" t="s">
        <v>38</v>
      </c>
      <c r="B63" s="79">
        <v>1</v>
      </c>
      <c r="C63" s="80" t="s">
        <v>60</v>
      </c>
      <c r="D63" s="87">
        <f>E63-0.4</f>
        <v>0.29999999999999993</v>
      </c>
      <c r="E63" s="111">
        <f>B63-0.3</f>
        <v>0.7</v>
      </c>
      <c r="F63">
        <f>B63+0.3</f>
        <v>1.3</v>
      </c>
      <c r="G63" s="90">
        <f t="shared" ref="G63:G67" si="58">F63+0.4</f>
        <v>1.7000000000000002</v>
      </c>
      <c r="H63" s="89">
        <f>I63-0.3</f>
        <v>0.39999999999999997</v>
      </c>
      <c r="I63">
        <f t="shared" si="56"/>
        <v>0.7</v>
      </c>
      <c r="J63">
        <f t="shared" si="57"/>
        <v>1.3</v>
      </c>
      <c r="K63" s="90">
        <f t="shared" ref="K63:K67" si="59">J63+0.3</f>
        <v>1.6</v>
      </c>
    </row>
    <row r="64" spans="1:11" x14ac:dyDescent="0.25">
      <c r="A64" s="78" t="s">
        <v>39</v>
      </c>
      <c r="B64" s="79">
        <v>2</v>
      </c>
      <c r="C64" s="80" t="s">
        <v>61</v>
      </c>
      <c r="D64" s="87">
        <f t="shared" ref="D64:D67" si="60">E64-0.4</f>
        <v>1.2999999999999998</v>
      </c>
      <c r="E64" s="111">
        <f t="shared" ref="E64:E67" si="61">B64-0.3</f>
        <v>1.7</v>
      </c>
      <c r="F64">
        <f t="shared" ref="F64:F67" si="62">B64+0.3</f>
        <v>2.2999999999999998</v>
      </c>
      <c r="G64" s="90">
        <f t="shared" si="58"/>
        <v>2.6999999999999997</v>
      </c>
      <c r="H64" s="89">
        <f t="shared" ref="H64:H67" si="63">I64-0.3</f>
        <v>1.4</v>
      </c>
      <c r="I64">
        <f t="shared" si="56"/>
        <v>1.7</v>
      </c>
      <c r="J64">
        <f t="shared" si="57"/>
        <v>2.2999999999999998</v>
      </c>
      <c r="K64" s="90">
        <f t="shared" si="59"/>
        <v>2.5999999999999996</v>
      </c>
    </row>
    <row r="65" spans="1:11" x14ac:dyDescent="0.25">
      <c r="A65" s="78" t="s">
        <v>40</v>
      </c>
      <c r="B65" s="79">
        <v>3</v>
      </c>
      <c r="C65" s="80" t="s">
        <v>62</v>
      </c>
      <c r="D65" s="87">
        <f t="shared" si="60"/>
        <v>2.3000000000000003</v>
      </c>
      <c r="E65" s="111">
        <f t="shared" si="61"/>
        <v>2.7</v>
      </c>
      <c r="F65">
        <f t="shared" si="62"/>
        <v>3.3</v>
      </c>
      <c r="G65" s="90">
        <f t="shared" si="58"/>
        <v>3.6999999999999997</v>
      </c>
      <c r="H65" s="89">
        <f t="shared" si="63"/>
        <v>2.4000000000000004</v>
      </c>
      <c r="I65">
        <f t="shared" si="56"/>
        <v>2.7</v>
      </c>
      <c r="J65">
        <f t="shared" si="57"/>
        <v>3.3</v>
      </c>
      <c r="K65" s="90">
        <f t="shared" si="59"/>
        <v>3.5999999999999996</v>
      </c>
    </row>
    <row r="66" spans="1:11" x14ac:dyDescent="0.25">
      <c r="A66" s="78" t="s">
        <v>41</v>
      </c>
      <c r="B66" s="79">
        <v>4</v>
      </c>
      <c r="C66" s="80" t="s">
        <v>63</v>
      </c>
      <c r="D66" s="87">
        <f t="shared" si="60"/>
        <v>3.3000000000000003</v>
      </c>
      <c r="E66" s="111">
        <f t="shared" si="61"/>
        <v>3.7</v>
      </c>
      <c r="F66">
        <f t="shared" si="62"/>
        <v>4.3</v>
      </c>
      <c r="G66" s="90">
        <f t="shared" si="58"/>
        <v>4.7</v>
      </c>
      <c r="H66" s="89">
        <f t="shared" si="63"/>
        <v>3.4000000000000004</v>
      </c>
      <c r="I66">
        <f t="shared" si="56"/>
        <v>3.7</v>
      </c>
      <c r="J66">
        <f t="shared" si="57"/>
        <v>4.3</v>
      </c>
      <c r="K66" s="90">
        <f t="shared" si="59"/>
        <v>4.5999999999999996</v>
      </c>
    </row>
    <row r="67" spans="1:11" ht="15.75" thickBot="1" x14ac:dyDescent="0.3">
      <c r="A67" s="78" t="s">
        <v>42</v>
      </c>
      <c r="B67" s="79">
        <v>5</v>
      </c>
      <c r="C67" s="80" t="s">
        <v>64</v>
      </c>
      <c r="D67" s="91">
        <f t="shared" si="60"/>
        <v>4.3</v>
      </c>
      <c r="E67" s="92">
        <f t="shared" si="61"/>
        <v>4.7</v>
      </c>
      <c r="F67" s="93">
        <f t="shared" si="62"/>
        <v>5.3</v>
      </c>
      <c r="G67" s="96">
        <f t="shared" si="58"/>
        <v>5.7</v>
      </c>
      <c r="H67" s="95">
        <f t="shared" si="63"/>
        <v>4.4000000000000004</v>
      </c>
      <c r="I67" s="93">
        <f t="shared" si="56"/>
        <v>4.7</v>
      </c>
      <c r="J67" s="93">
        <f t="shared" si="57"/>
        <v>5.3</v>
      </c>
      <c r="K67" s="96">
        <f t="shared" si="59"/>
        <v>5.6</v>
      </c>
    </row>
    <row r="69" spans="1:11" x14ac:dyDescent="0.25">
      <c r="A69" s="77" t="s">
        <v>36</v>
      </c>
    </row>
    <row r="70" spans="1:11" ht="15" customHeight="1" thickBot="1" x14ac:dyDescent="0.3">
      <c r="A70" s="1" t="s">
        <v>56</v>
      </c>
    </row>
    <row r="71" spans="1:11" ht="15" customHeight="1" x14ac:dyDescent="0.25">
      <c r="A71" s="1"/>
      <c r="B71" s="79">
        <v>0</v>
      </c>
      <c r="C71" s="80" t="s">
        <v>59</v>
      </c>
      <c r="D71" s="81">
        <v>0</v>
      </c>
      <c r="E71" s="82">
        <f>B71</f>
        <v>0</v>
      </c>
      <c r="F71" s="83">
        <f>B71+0.3</f>
        <v>0.3</v>
      </c>
      <c r="G71" s="86">
        <f>F71+0.4</f>
        <v>0.7</v>
      </c>
      <c r="H71" s="85">
        <v>0</v>
      </c>
      <c r="I71" s="83">
        <f t="shared" ref="I71:I76" si="64">E71</f>
        <v>0</v>
      </c>
      <c r="J71" s="83">
        <f t="shared" ref="J71:J76" si="65">F71</f>
        <v>0.3</v>
      </c>
      <c r="K71" s="86">
        <f>J71+0.3</f>
        <v>0.6</v>
      </c>
    </row>
    <row r="72" spans="1:11" x14ac:dyDescent="0.25">
      <c r="A72" s="78" t="s">
        <v>38</v>
      </c>
      <c r="B72" s="79">
        <v>1</v>
      </c>
      <c r="C72" s="80" t="s">
        <v>60</v>
      </c>
      <c r="D72" s="87">
        <f>E72-0.4</f>
        <v>0.29999999999999993</v>
      </c>
      <c r="E72" s="111">
        <f>B72-0.3</f>
        <v>0.7</v>
      </c>
      <c r="F72">
        <f>B72+0.3</f>
        <v>1.3</v>
      </c>
      <c r="G72" s="90">
        <f t="shared" ref="G72:G76" si="66">F72+0.4</f>
        <v>1.7000000000000002</v>
      </c>
      <c r="H72" s="89">
        <f>I72-0.3</f>
        <v>0.39999999999999997</v>
      </c>
      <c r="I72">
        <f t="shared" si="64"/>
        <v>0.7</v>
      </c>
      <c r="J72">
        <f t="shared" si="65"/>
        <v>1.3</v>
      </c>
      <c r="K72" s="90">
        <f t="shared" ref="K72:K76" si="67">J72+0.3</f>
        <v>1.6</v>
      </c>
    </row>
    <row r="73" spans="1:11" x14ac:dyDescent="0.25">
      <c r="A73" s="78" t="s">
        <v>39</v>
      </c>
      <c r="B73" s="79">
        <v>2</v>
      </c>
      <c r="C73" s="80" t="s">
        <v>61</v>
      </c>
      <c r="D73" s="87">
        <f t="shared" ref="D73:D76" si="68">E73-0.4</f>
        <v>1.2999999999999998</v>
      </c>
      <c r="E73" s="111">
        <f t="shared" ref="E73:E76" si="69">B73-0.3</f>
        <v>1.7</v>
      </c>
      <c r="F73">
        <f t="shared" ref="F73:F76" si="70">B73+0.3</f>
        <v>2.2999999999999998</v>
      </c>
      <c r="G73" s="90">
        <f t="shared" si="66"/>
        <v>2.6999999999999997</v>
      </c>
      <c r="H73" s="89">
        <f t="shared" ref="H73:H76" si="71">I73-0.3</f>
        <v>1.4</v>
      </c>
      <c r="I73">
        <f t="shared" si="64"/>
        <v>1.7</v>
      </c>
      <c r="J73">
        <f t="shared" si="65"/>
        <v>2.2999999999999998</v>
      </c>
      <c r="K73" s="90">
        <f t="shared" si="67"/>
        <v>2.5999999999999996</v>
      </c>
    </row>
    <row r="74" spans="1:11" x14ac:dyDescent="0.25">
      <c r="A74" s="78" t="s">
        <v>40</v>
      </c>
      <c r="B74" s="79">
        <v>3</v>
      </c>
      <c r="C74" s="80" t="s">
        <v>62</v>
      </c>
      <c r="D74" s="87">
        <f t="shared" si="68"/>
        <v>2.3000000000000003</v>
      </c>
      <c r="E74" s="111">
        <f t="shared" si="69"/>
        <v>2.7</v>
      </c>
      <c r="F74">
        <f t="shared" si="70"/>
        <v>3.3</v>
      </c>
      <c r="G74" s="90">
        <f t="shared" si="66"/>
        <v>3.6999999999999997</v>
      </c>
      <c r="H74" s="89">
        <f t="shared" si="71"/>
        <v>2.4000000000000004</v>
      </c>
      <c r="I74">
        <f t="shared" si="64"/>
        <v>2.7</v>
      </c>
      <c r="J74">
        <f t="shared" si="65"/>
        <v>3.3</v>
      </c>
      <c r="K74" s="90">
        <f t="shared" si="67"/>
        <v>3.5999999999999996</v>
      </c>
    </row>
    <row r="75" spans="1:11" x14ac:dyDescent="0.25">
      <c r="A75" s="78" t="s">
        <v>41</v>
      </c>
      <c r="B75" s="79">
        <v>4</v>
      </c>
      <c r="C75" s="80" t="s">
        <v>63</v>
      </c>
      <c r="D75" s="87">
        <f t="shared" si="68"/>
        <v>3.3000000000000003</v>
      </c>
      <c r="E75" s="111">
        <f t="shared" si="69"/>
        <v>3.7</v>
      </c>
      <c r="F75">
        <f t="shared" si="70"/>
        <v>4.3</v>
      </c>
      <c r="G75" s="90">
        <f t="shared" si="66"/>
        <v>4.7</v>
      </c>
      <c r="H75" s="89">
        <f t="shared" si="71"/>
        <v>3.4000000000000004</v>
      </c>
      <c r="I75">
        <f t="shared" si="64"/>
        <v>3.7</v>
      </c>
      <c r="J75">
        <f t="shared" si="65"/>
        <v>4.3</v>
      </c>
      <c r="K75" s="90">
        <f t="shared" si="67"/>
        <v>4.5999999999999996</v>
      </c>
    </row>
    <row r="76" spans="1:11" ht="15.75" thickBot="1" x14ac:dyDescent="0.3">
      <c r="A76" s="78" t="s">
        <v>42</v>
      </c>
      <c r="B76" s="79">
        <v>5</v>
      </c>
      <c r="C76" s="80" t="s">
        <v>64</v>
      </c>
      <c r="D76" s="91">
        <f t="shared" si="68"/>
        <v>4.3</v>
      </c>
      <c r="E76" s="92">
        <f t="shared" si="69"/>
        <v>4.7</v>
      </c>
      <c r="F76" s="93">
        <f t="shared" si="70"/>
        <v>5.3</v>
      </c>
      <c r="G76" s="96">
        <f t="shared" si="66"/>
        <v>5.7</v>
      </c>
      <c r="H76" s="95">
        <f t="shared" si="71"/>
        <v>4.4000000000000004</v>
      </c>
      <c r="I76" s="93">
        <f t="shared" si="64"/>
        <v>4.7</v>
      </c>
      <c r="J76" s="93">
        <f t="shared" si="65"/>
        <v>5.3</v>
      </c>
      <c r="K76" s="96">
        <f t="shared" si="67"/>
        <v>5.6</v>
      </c>
    </row>
    <row r="77" spans="1:11" x14ac:dyDescent="0.25">
      <c r="A77" s="1"/>
    </row>
    <row r="78" spans="1:11" ht="15.75" thickBot="1" x14ac:dyDescent="0.3">
      <c r="A78" s="1" t="s">
        <v>57</v>
      </c>
    </row>
    <row r="79" spans="1:11" x14ac:dyDescent="0.25">
      <c r="A79" s="1"/>
      <c r="B79" s="79">
        <v>0</v>
      </c>
      <c r="C79" s="80" t="s">
        <v>59</v>
      </c>
      <c r="D79" s="81">
        <v>0</v>
      </c>
      <c r="E79" s="82">
        <f>B79</f>
        <v>0</v>
      </c>
      <c r="F79" s="83">
        <f>B79+0.3</f>
        <v>0.3</v>
      </c>
      <c r="G79" s="86">
        <f>F79+0.4</f>
        <v>0.7</v>
      </c>
      <c r="H79" s="85">
        <v>0</v>
      </c>
      <c r="I79" s="83">
        <f t="shared" ref="I79:I84" si="72">E79</f>
        <v>0</v>
      </c>
      <c r="J79" s="83">
        <f t="shared" ref="J79:J84" si="73">F79</f>
        <v>0.3</v>
      </c>
      <c r="K79" s="86">
        <f>J79+0.3</f>
        <v>0.6</v>
      </c>
    </row>
    <row r="80" spans="1:11" x14ac:dyDescent="0.25">
      <c r="A80" s="78" t="s">
        <v>38</v>
      </c>
      <c r="B80" s="79">
        <v>1</v>
      </c>
      <c r="C80" s="80" t="s">
        <v>60</v>
      </c>
      <c r="D80" s="87">
        <f>E80-0.4</f>
        <v>0.29999999999999993</v>
      </c>
      <c r="E80" s="111">
        <f>B80-0.3</f>
        <v>0.7</v>
      </c>
      <c r="F80">
        <f>B80+0.3</f>
        <v>1.3</v>
      </c>
      <c r="G80" s="90">
        <f t="shared" ref="G80:G84" si="74">F80+0.4</f>
        <v>1.7000000000000002</v>
      </c>
      <c r="H80" s="89">
        <f>I80-0.3</f>
        <v>0.39999999999999997</v>
      </c>
      <c r="I80">
        <f t="shared" si="72"/>
        <v>0.7</v>
      </c>
      <c r="J80">
        <f t="shared" si="73"/>
        <v>1.3</v>
      </c>
      <c r="K80" s="90">
        <f t="shared" ref="K80:K84" si="75">J80+0.3</f>
        <v>1.6</v>
      </c>
    </row>
    <row r="81" spans="1:11" x14ac:dyDescent="0.25">
      <c r="A81" s="78" t="s">
        <v>39</v>
      </c>
      <c r="B81" s="79">
        <v>2</v>
      </c>
      <c r="C81" s="80" t="s">
        <v>61</v>
      </c>
      <c r="D81" s="87">
        <f t="shared" ref="D81:D84" si="76">E81-0.4</f>
        <v>1.2999999999999998</v>
      </c>
      <c r="E81" s="111">
        <f t="shared" ref="E81:E84" si="77">B81-0.3</f>
        <v>1.7</v>
      </c>
      <c r="F81">
        <f t="shared" ref="F81:F84" si="78">B81+0.3</f>
        <v>2.2999999999999998</v>
      </c>
      <c r="G81" s="90">
        <f t="shared" si="74"/>
        <v>2.6999999999999997</v>
      </c>
      <c r="H81" s="89">
        <f t="shared" ref="H81:H84" si="79">I81-0.3</f>
        <v>1.4</v>
      </c>
      <c r="I81">
        <f t="shared" si="72"/>
        <v>1.7</v>
      </c>
      <c r="J81">
        <f t="shared" si="73"/>
        <v>2.2999999999999998</v>
      </c>
      <c r="K81" s="90">
        <f t="shared" si="75"/>
        <v>2.5999999999999996</v>
      </c>
    </row>
    <row r="82" spans="1:11" x14ac:dyDescent="0.25">
      <c r="A82" s="78" t="s">
        <v>40</v>
      </c>
      <c r="B82" s="79">
        <v>3</v>
      </c>
      <c r="C82" s="80" t="s">
        <v>62</v>
      </c>
      <c r="D82" s="87">
        <f t="shared" si="76"/>
        <v>2.3000000000000003</v>
      </c>
      <c r="E82" s="111">
        <f t="shared" si="77"/>
        <v>2.7</v>
      </c>
      <c r="F82">
        <f t="shared" si="78"/>
        <v>3.3</v>
      </c>
      <c r="G82" s="90">
        <f t="shared" si="74"/>
        <v>3.6999999999999997</v>
      </c>
      <c r="H82" s="89">
        <f t="shared" si="79"/>
        <v>2.4000000000000004</v>
      </c>
      <c r="I82">
        <f t="shared" si="72"/>
        <v>2.7</v>
      </c>
      <c r="J82">
        <f t="shared" si="73"/>
        <v>3.3</v>
      </c>
      <c r="K82" s="90">
        <f t="shared" si="75"/>
        <v>3.5999999999999996</v>
      </c>
    </row>
    <row r="83" spans="1:11" x14ac:dyDescent="0.25">
      <c r="A83" s="78" t="s">
        <v>41</v>
      </c>
      <c r="B83" s="79">
        <v>4</v>
      </c>
      <c r="C83" s="80" t="s">
        <v>63</v>
      </c>
      <c r="D83" s="87">
        <f t="shared" si="76"/>
        <v>3.3000000000000003</v>
      </c>
      <c r="E83" s="111">
        <f t="shared" si="77"/>
        <v>3.7</v>
      </c>
      <c r="F83">
        <f t="shared" si="78"/>
        <v>4.3</v>
      </c>
      <c r="G83" s="90">
        <f t="shared" si="74"/>
        <v>4.7</v>
      </c>
      <c r="H83" s="89">
        <f t="shared" si="79"/>
        <v>3.4000000000000004</v>
      </c>
      <c r="I83">
        <f t="shared" si="72"/>
        <v>3.7</v>
      </c>
      <c r="J83">
        <f t="shared" si="73"/>
        <v>4.3</v>
      </c>
      <c r="K83" s="90">
        <f t="shared" si="75"/>
        <v>4.5999999999999996</v>
      </c>
    </row>
    <row r="84" spans="1:11" ht="15.75" thickBot="1" x14ac:dyDescent="0.3">
      <c r="A84" s="78" t="s">
        <v>42</v>
      </c>
      <c r="B84" s="79">
        <v>5</v>
      </c>
      <c r="C84" s="80" t="s">
        <v>64</v>
      </c>
      <c r="D84" s="91">
        <f t="shared" si="76"/>
        <v>4.3</v>
      </c>
      <c r="E84" s="92">
        <f t="shared" si="77"/>
        <v>4.7</v>
      </c>
      <c r="F84" s="93">
        <f t="shared" si="78"/>
        <v>5.3</v>
      </c>
      <c r="G84" s="96">
        <f t="shared" si="74"/>
        <v>5.7</v>
      </c>
      <c r="H84" s="95">
        <f t="shared" si="79"/>
        <v>4.4000000000000004</v>
      </c>
      <c r="I84" s="93">
        <f t="shared" si="72"/>
        <v>4.7</v>
      </c>
      <c r="J84" s="93">
        <f t="shared" si="73"/>
        <v>5.3</v>
      </c>
      <c r="K84" s="96">
        <f t="shared" si="75"/>
        <v>5.6</v>
      </c>
    </row>
    <row r="85" spans="1:11" x14ac:dyDescent="0.25">
      <c r="A85" s="1"/>
    </row>
    <row r="86" spans="1:11" ht="15.75" thickBot="1" x14ac:dyDescent="0.3">
      <c r="A86" s="1" t="s">
        <v>58</v>
      </c>
    </row>
    <row r="87" spans="1:11" x14ac:dyDescent="0.25">
      <c r="A87" s="1"/>
      <c r="B87" s="79">
        <v>0</v>
      </c>
      <c r="C87" s="80" t="s">
        <v>59</v>
      </c>
      <c r="D87" s="81">
        <v>0</v>
      </c>
      <c r="E87" s="82">
        <f>B87</f>
        <v>0</v>
      </c>
      <c r="F87" s="83">
        <f>B87+0.3</f>
        <v>0.3</v>
      </c>
      <c r="G87" s="86">
        <f>F87+0.4</f>
        <v>0.7</v>
      </c>
      <c r="H87" s="85">
        <v>0</v>
      </c>
      <c r="I87" s="83">
        <f t="shared" ref="I87:I92" si="80">E87</f>
        <v>0</v>
      </c>
      <c r="J87" s="83">
        <f t="shared" ref="J87:J92" si="81">F87</f>
        <v>0.3</v>
      </c>
      <c r="K87" s="86">
        <f>J87+0.3</f>
        <v>0.6</v>
      </c>
    </row>
    <row r="88" spans="1:11" x14ac:dyDescent="0.25">
      <c r="A88" s="78" t="s">
        <v>38</v>
      </c>
      <c r="B88" s="79">
        <v>1</v>
      </c>
      <c r="C88" s="80" t="s">
        <v>60</v>
      </c>
      <c r="D88" s="87">
        <f>E88-0.4</f>
        <v>0.29999999999999993</v>
      </c>
      <c r="E88" s="111">
        <f>B88-0.3</f>
        <v>0.7</v>
      </c>
      <c r="F88">
        <f>B88+0.3</f>
        <v>1.3</v>
      </c>
      <c r="G88" s="90">
        <f t="shared" ref="G88:G92" si="82">F88+0.4</f>
        <v>1.7000000000000002</v>
      </c>
      <c r="H88" s="89">
        <f>I88-0.3</f>
        <v>0.39999999999999997</v>
      </c>
      <c r="I88">
        <f t="shared" si="80"/>
        <v>0.7</v>
      </c>
      <c r="J88">
        <f t="shared" si="81"/>
        <v>1.3</v>
      </c>
      <c r="K88" s="90">
        <f t="shared" ref="K88:K92" si="83">J88+0.3</f>
        <v>1.6</v>
      </c>
    </row>
    <row r="89" spans="1:11" x14ac:dyDescent="0.25">
      <c r="A89" s="78" t="s">
        <v>39</v>
      </c>
      <c r="B89" s="79">
        <v>2</v>
      </c>
      <c r="C89" s="80" t="s">
        <v>61</v>
      </c>
      <c r="D89" s="87">
        <f t="shared" ref="D89:D92" si="84">E89-0.4</f>
        <v>1.2999999999999998</v>
      </c>
      <c r="E89" s="111">
        <f t="shared" ref="E89:E92" si="85">B89-0.3</f>
        <v>1.7</v>
      </c>
      <c r="F89">
        <f t="shared" ref="F89:F92" si="86">B89+0.3</f>
        <v>2.2999999999999998</v>
      </c>
      <c r="G89" s="90">
        <f t="shared" si="82"/>
        <v>2.6999999999999997</v>
      </c>
      <c r="H89" s="89">
        <f t="shared" ref="H89:H92" si="87">I89-0.3</f>
        <v>1.4</v>
      </c>
      <c r="I89">
        <f t="shared" si="80"/>
        <v>1.7</v>
      </c>
      <c r="J89">
        <f t="shared" si="81"/>
        <v>2.2999999999999998</v>
      </c>
      <c r="K89" s="90">
        <f t="shared" si="83"/>
        <v>2.5999999999999996</v>
      </c>
    </row>
    <row r="90" spans="1:11" x14ac:dyDescent="0.25">
      <c r="A90" s="78" t="s">
        <v>40</v>
      </c>
      <c r="B90" s="79">
        <v>3</v>
      </c>
      <c r="C90" s="80" t="s">
        <v>62</v>
      </c>
      <c r="D90" s="87">
        <f t="shared" si="84"/>
        <v>2.3000000000000003</v>
      </c>
      <c r="E90" s="111">
        <f t="shared" si="85"/>
        <v>2.7</v>
      </c>
      <c r="F90">
        <f t="shared" si="86"/>
        <v>3.3</v>
      </c>
      <c r="G90" s="90">
        <f t="shared" si="82"/>
        <v>3.6999999999999997</v>
      </c>
      <c r="H90" s="89">
        <f t="shared" si="87"/>
        <v>2.4000000000000004</v>
      </c>
      <c r="I90">
        <f t="shared" si="80"/>
        <v>2.7</v>
      </c>
      <c r="J90">
        <f t="shared" si="81"/>
        <v>3.3</v>
      </c>
      <c r="K90" s="90">
        <f t="shared" si="83"/>
        <v>3.5999999999999996</v>
      </c>
    </row>
    <row r="91" spans="1:11" x14ac:dyDescent="0.25">
      <c r="A91" s="78" t="s">
        <v>41</v>
      </c>
      <c r="B91" s="79">
        <v>4</v>
      </c>
      <c r="C91" s="80" t="s">
        <v>63</v>
      </c>
      <c r="D91" s="87">
        <f t="shared" si="84"/>
        <v>3.3000000000000003</v>
      </c>
      <c r="E91" s="111">
        <f t="shared" si="85"/>
        <v>3.7</v>
      </c>
      <c r="F91">
        <f t="shared" si="86"/>
        <v>4.3</v>
      </c>
      <c r="G91" s="90">
        <f t="shared" si="82"/>
        <v>4.7</v>
      </c>
      <c r="H91" s="89">
        <f t="shared" si="87"/>
        <v>3.4000000000000004</v>
      </c>
      <c r="I91">
        <f t="shared" si="80"/>
        <v>3.7</v>
      </c>
      <c r="J91">
        <f t="shared" si="81"/>
        <v>4.3</v>
      </c>
      <c r="K91" s="90">
        <f t="shared" si="83"/>
        <v>4.5999999999999996</v>
      </c>
    </row>
    <row r="92" spans="1:11" ht="15.75" thickBot="1" x14ac:dyDescent="0.3">
      <c r="A92" s="78" t="s">
        <v>42</v>
      </c>
      <c r="B92" s="79">
        <v>5</v>
      </c>
      <c r="C92" s="80" t="s">
        <v>64</v>
      </c>
      <c r="D92" s="91">
        <f t="shared" si="84"/>
        <v>4.3</v>
      </c>
      <c r="E92" s="92">
        <f t="shared" si="85"/>
        <v>4.7</v>
      </c>
      <c r="F92" s="93">
        <f t="shared" si="86"/>
        <v>5.3</v>
      </c>
      <c r="G92" s="96">
        <f t="shared" si="82"/>
        <v>5.7</v>
      </c>
      <c r="H92" s="95">
        <f t="shared" si="87"/>
        <v>4.4000000000000004</v>
      </c>
      <c r="I92" s="93">
        <f t="shared" si="80"/>
        <v>4.7</v>
      </c>
      <c r="J92" s="93">
        <f t="shared" si="81"/>
        <v>5.3</v>
      </c>
      <c r="K92" s="96">
        <f t="shared" si="83"/>
        <v>5.6</v>
      </c>
    </row>
    <row r="94" spans="1:11" x14ac:dyDescent="0.25">
      <c r="A94" s="77" t="s">
        <v>45</v>
      </c>
    </row>
    <row r="95" spans="1:11" x14ac:dyDescent="0.25">
      <c r="A95" s="77" t="s">
        <v>46</v>
      </c>
    </row>
    <row r="96" spans="1:11" x14ac:dyDescent="0.25">
      <c r="A96" s="77"/>
    </row>
    <row r="97" spans="1:1" x14ac:dyDescent="0.25">
      <c r="A97" s="78" t="s">
        <v>37</v>
      </c>
    </row>
    <row r="98" spans="1:1" x14ac:dyDescent="0.25">
      <c r="A98" s="78" t="s">
        <v>51</v>
      </c>
    </row>
    <row r="99" spans="1:1" x14ac:dyDescent="0.25">
      <c r="A99" s="78" t="s">
        <v>47</v>
      </c>
    </row>
    <row r="100" spans="1:1" x14ac:dyDescent="0.25">
      <c r="A100" s="78" t="s">
        <v>49</v>
      </c>
    </row>
    <row r="101" spans="1:1" x14ac:dyDescent="0.25">
      <c r="A101" s="78" t="s">
        <v>48</v>
      </c>
    </row>
    <row r="102" spans="1:1" x14ac:dyDescent="0.25">
      <c r="A102" s="7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RICE_четкая модель</vt:lpstr>
      <vt:lpstr>RICE_неч мод(трап_симм_формулы)</vt:lpstr>
      <vt:lpstr>Четкий MoSCoW</vt:lpstr>
      <vt:lpstr>Четкий MoSCoW_коллект_взвеш ср</vt:lpstr>
      <vt:lpstr>Четкий MoSCoW_коллект_Chen</vt:lpstr>
      <vt:lpstr>Четкий MoSCoW_коллект_Chen 98</vt:lpstr>
      <vt:lpstr>FMoSCoW (трап_симм_формулы)</vt:lpstr>
      <vt:lpstr>FMoSCoW_1 эксп ноль слева</vt:lpstr>
      <vt:lpstr>FMoSCoW_коллект_нечеткие веса</vt:lpstr>
      <vt:lpstr>FMoSCoW_коллект_четкие веса</vt:lpstr>
      <vt:lpstr>FMoSCoW_колл_чв_ноль слева</vt:lpstr>
      <vt:lpstr>FMoSCoW_колл_Чен 96_ноль слева</vt:lpstr>
      <vt:lpstr>Колл пр реш_Чен 98_пример</vt:lpstr>
      <vt:lpstr>FMoSCoW_колл_Чен 98_ноль слева</vt:lpstr>
      <vt:lpstr>FMoSCoW_колл_Лю_2006</vt:lpstr>
      <vt:lpstr>RICE_неч мод (трапеции_вправо)</vt:lpstr>
      <vt:lpstr>RICE_неч мод (трап_симм_числа)</vt:lpstr>
      <vt:lpstr>Шкалы параметров_MoSCoW</vt:lpstr>
      <vt:lpstr>Шкалы параметров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Инна Понаровская</cp:lastModifiedBy>
  <dcterms:created xsi:type="dcterms:W3CDTF">2015-06-05T18:17:20Z</dcterms:created>
  <dcterms:modified xsi:type="dcterms:W3CDTF">2026-01-30T04:22:51Z</dcterms:modified>
</cp:coreProperties>
</file>