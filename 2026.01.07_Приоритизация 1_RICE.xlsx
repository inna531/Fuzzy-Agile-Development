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79147\Documents\Документы, инвестиции, личные финансы\2024.07.03_Альфа-банк\Магистратура ВШЭ\20_Магистерская диссертация\"/>
    </mc:Choice>
  </mc:AlternateContent>
  <xr:revisionPtr revIDLastSave="0" documentId="13_ncr:1_{BA9E3F60-89EA-4CC3-A58C-CCF86982E8AF}" xr6:coauthVersionLast="47" xr6:coauthVersionMax="47" xr10:uidLastSave="{00000000-0000-0000-0000-000000000000}"/>
  <bookViews>
    <workbookView xWindow="-120" yWindow="-120" windowWidth="20730" windowHeight="11040" tabRatio="839" firstSheet="1" activeTab="4" xr2:uid="{00000000-000D-0000-FFFF-FFFF00000000}"/>
  </bookViews>
  <sheets>
    <sheet name="RICE_четкая модель" sheetId="1" r:id="rId1"/>
    <sheet name="RICE_неч мод(трап_симм_формулы)" sheetId="2" r:id="rId2"/>
    <sheet name="RICE_неч мод (трапеции_вправо)" sheetId="3" r:id="rId3"/>
    <sheet name="RICE_неч мод (трап_симм_числа)" sheetId="4" r:id="rId4"/>
    <sheet name="Шкалы параметров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2" i="5" l="1"/>
  <c r="E91" i="5"/>
  <c r="E90" i="5"/>
  <c r="E89" i="5"/>
  <c r="E88" i="5"/>
  <c r="D88" i="5"/>
  <c r="J87" i="5"/>
  <c r="I87" i="5"/>
  <c r="H87" i="5"/>
  <c r="E87" i="5"/>
  <c r="E84" i="5"/>
  <c r="E83" i="5"/>
  <c r="E82" i="5"/>
  <c r="E81" i="5"/>
  <c r="E80" i="5"/>
  <c r="D80" i="5"/>
  <c r="J79" i="5"/>
  <c r="I79" i="5"/>
  <c r="H79" i="5"/>
  <c r="E79" i="5"/>
  <c r="E76" i="5"/>
  <c r="E75" i="5"/>
  <c r="E74" i="5"/>
  <c r="E73" i="5"/>
  <c r="E72" i="5"/>
  <c r="D72" i="5"/>
  <c r="J71" i="5"/>
  <c r="I71" i="5"/>
  <c r="H71" i="5"/>
  <c r="E71" i="5"/>
  <c r="E67" i="5"/>
  <c r="E66" i="5"/>
  <c r="E65" i="5"/>
  <c r="E64" i="5"/>
  <c r="E63" i="5"/>
  <c r="D63" i="5"/>
  <c r="J62" i="5"/>
  <c r="I62" i="5"/>
  <c r="H62" i="5"/>
  <c r="E62" i="5"/>
  <c r="E59" i="5"/>
  <c r="E58" i="5"/>
  <c r="E57" i="5"/>
  <c r="E56" i="5"/>
  <c r="E55" i="5"/>
  <c r="D55" i="5"/>
  <c r="J54" i="5"/>
  <c r="I54" i="5"/>
  <c r="H54" i="5"/>
  <c r="E54" i="5"/>
  <c r="E51" i="5"/>
  <c r="E50" i="5"/>
  <c r="E49" i="5"/>
  <c r="E48" i="5"/>
  <c r="E47" i="5"/>
  <c r="D47" i="5"/>
  <c r="J46" i="5"/>
  <c r="I46" i="5"/>
  <c r="H46" i="5"/>
  <c r="E46" i="5"/>
  <c r="E43" i="5"/>
  <c r="E42" i="5"/>
  <c r="E41" i="5"/>
  <c r="E40" i="5"/>
  <c r="E39" i="5"/>
  <c r="D39" i="5"/>
  <c r="J38" i="5"/>
  <c r="I38" i="5"/>
  <c r="H38" i="5"/>
  <c r="E38" i="5"/>
  <c r="E33" i="5"/>
  <c r="E32" i="5"/>
  <c r="E31" i="5"/>
  <c r="E30" i="5"/>
  <c r="E29" i="5"/>
  <c r="D29" i="5"/>
  <c r="J28" i="5"/>
  <c r="I28" i="5"/>
  <c r="H28" i="5"/>
  <c r="E28" i="5"/>
  <c r="E25" i="5"/>
  <c r="E24" i="5"/>
  <c r="E23" i="5"/>
  <c r="E22" i="5"/>
  <c r="E21" i="5"/>
  <c r="D21" i="5"/>
  <c r="J20" i="5"/>
  <c r="I20" i="5"/>
  <c r="H20" i="5"/>
  <c r="E20" i="5"/>
  <c r="E17" i="5"/>
  <c r="E16" i="5"/>
  <c r="E15" i="5"/>
  <c r="E14" i="5"/>
  <c r="E13" i="5"/>
  <c r="D13" i="5"/>
  <c r="J12" i="5"/>
  <c r="I12" i="5"/>
  <c r="H12" i="5"/>
  <c r="E12" i="5"/>
  <c r="E9" i="5"/>
  <c r="I9" i="5" s="1"/>
  <c r="E8" i="5"/>
  <c r="I8" i="5" s="1"/>
  <c r="E7" i="5"/>
  <c r="I7" i="5" s="1"/>
  <c r="E6" i="5"/>
  <c r="I6" i="5" s="1"/>
  <c r="E5" i="5"/>
  <c r="I5" i="5" s="1"/>
  <c r="J4" i="5"/>
  <c r="E4" i="5"/>
  <c r="I4" i="5" s="1"/>
  <c r="H4" i="5" s="1"/>
  <c r="G90" i="5" l="1"/>
  <c r="F88" i="5"/>
  <c r="F89" i="5"/>
  <c r="F90" i="5"/>
  <c r="G89" i="5" s="1"/>
  <c r="F91" i="5"/>
  <c r="F92" i="5"/>
  <c r="J92" i="5" s="1"/>
  <c r="I88" i="5"/>
  <c r="H88" i="5" s="1"/>
  <c r="I89" i="5"/>
  <c r="I90" i="5"/>
  <c r="I91" i="5"/>
  <c r="I92" i="5"/>
  <c r="G82" i="5"/>
  <c r="I81" i="5"/>
  <c r="I82" i="5"/>
  <c r="I83" i="5"/>
  <c r="I84" i="5"/>
  <c r="F80" i="5"/>
  <c r="F81" i="5"/>
  <c r="F82" i="5"/>
  <c r="G81" i="5" s="1"/>
  <c r="F83" i="5"/>
  <c r="F84" i="5"/>
  <c r="J84" i="5" s="1"/>
  <c r="I80" i="5"/>
  <c r="H80" i="5" s="1"/>
  <c r="G72" i="5"/>
  <c r="I72" i="5"/>
  <c r="H72" i="5" s="1"/>
  <c r="I73" i="5"/>
  <c r="I74" i="5"/>
  <c r="I75" i="5"/>
  <c r="I76" i="5"/>
  <c r="F72" i="5"/>
  <c r="F73" i="5"/>
  <c r="F74" i="5"/>
  <c r="F75" i="5"/>
  <c r="F76" i="5"/>
  <c r="J76" i="5" s="1"/>
  <c r="G65" i="5"/>
  <c r="I64" i="5"/>
  <c r="I65" i="5"/>
  <c r="I66" i="5"/>
  <c r="I67" i="5"/>
  <c r="F63" i="5"/>
  <c r="F64" i="5"/>
  <c r="F65" i="5"/>
  <c r="G64" i="5" s="1"/>
  <c r="F66" i="5"/>
  <c r="F67" i="5"/>
  <c r="J67" i="5" s="1"/>
  <c r="I63" i="5"/>
  <c r="H63" i="5" s="1"/>
  <c r="G56" i="5"/>
  <c r="G57" i="5"/>
  <c r="I55" i="5"/>
  <c r="H55" i="5" s="1"/>
  <c r="I56" i="5"/>
  <c r="I57" i="5"/>
  <c r="I58" i="5"/>
  <c r="I59" i="5"/>
  <c r="F55" i="5"/>
  <c r="F56" i="5"/>
  <c r="F57" i="5"/>
  <c r="F58" i="5"/>
  <c r="F59" i="5"/>
  <c r="J59" i="5" s="1"/>
  <c r="F47" i="5"/>
  <c r="F48" i="5"/>
  <c r="F49" i="5"/>
  <c r="F50" i="5"/>
  <c r="F51" i="5"/>
  <c r="J51" i="5" s="1"/>
  <c r="I47" i="5"/>
  <c r="H47" i="5" s="1"/>
  <c r="I48" i="5"/>
  <c r="I49" i="5"/>
  <c r="I50" i="5"/>
  <c r="I51" i="5"/>
  <c r="G41" i="5"/>
  <c r="F39" i="5"/>
  <c r="F40" i="5"/>
  <c r="F41" i="5"/>
  <c r="G40" i="5" s="1"/>
  <c r="F42" i="5"/>
  <c r="F43" i="5"/>
  <c r="J43" i="5" s="1"/>
  <c r="I39" i="5"/>
  <c r="H39" i="5" s="1"/>
  <c r="I40" i="5"/>
  <c r="I41" i="5"/>
  <c r="I42" i="5"/>
  <c r="I43" i="5"/>
  <c r="G30" i="5"/>
  <c r="G31" i="5"/>
  <c r="I29" i="5"/>
  <c r="H29" i="5" s="1"/>
  <c r="I30" i="5"/>
  <c r="I31" i="5"/>
  <c r="I32" i="5"/>
  <c r="I33" i="5"/>
  <c r="F29" i="5"/>
  <c r="F30" i="5"/>
  <c r="F31" i="5"/>
  <c r="F32" i="5"/>
  <c r="F33" i="5"/>
  <c r="J33" i="5" s="1"/>
  <c r="I21" i="5"/>
  <c r="H21" i="5" s="1"/>
  <c r="I23" i="5"/>
  <c r="I24" i="5"/>
  <c r="I25" i="5"/>
  <c r="F21" i="5"/>
  <c r="F22" i="5"/>
  <c r="F23" i="5"/>
  <c r="F24" i="5"/>
  <c r="F25" i="5"/>
  <c r="J25" i="5" s="1"/>
  <c r="I22" i="5"/>
  <c r="I13" i="5"/>
  <c r="H13" i="5" s="1"/>
  <c r="I14" i="5"/>
  <c r="I15" i="5"/>
  <c r="I16" i="5"/>
  <c r="I17" i="5"/>
  <c r="F13" i="5"/>
  <c r="F14" i="5"/>
  <c r="F15" i="5"/>
  <c r="F16" i="5"/>
  <c r="F17" i="5"/>
  <c r="J17" i="5" s="1"/>
  <c r="F6" i="5"/>
  <c r="J6" i="5" s="1"/>
  <c r="F8" i="5"/>
  <c r="G7" i="5" s="1"/>
  <c r="F5" i="5"/>
  <c r="J5" i="5" s="1"/>
  <c r="K5" i="5" s="1"/>
  <c r="F7" i="5"/>
  <c r="J7" i="5" s="1"/>
  <c r="K7" i="5" s="1"/>
  <c r="F9" i="5"/>
  <c r="G8" i="5" s="1"/>
  <c r="J8" i="5"/>
  <c r="K8" i="5" s="1"/>
  <c r="J9" i="5"/>
  <c r="G5" i="5"/>
  <c r="D5" i="5"/>
  <c r="H5" i="5" s="1"/>
  <c r="D7" i="5"/>
  <c r="H7" i="5" s="1"/>
  <c r="D9" i="5"/>
  <c r="G9" i="5" s="1"/>
  <c r="H91" i="5" l="1"/>
  <c r="H90" i="5"/>
  <c r="D92" i="5"/>
  <c r="G92" i="5" s="1"/>
  <c r="K92" i="5" s="1"/>
  <c r="J91" i="5"/>
  <c r="D90" i="5"/>
  <c r="J89" i="5"/>
  <c r="K89" i="5" s="1"/>
  <c r="D89" i="5"/>
  <c r="J88" i="5"/>
  <c r="G91" i="5"/>
  <c r="H89" i="5"/>
  <c r="D91" i="5"/>
  <c r="J90" i="5"/>
  <c r="K90" i="5" s="1"/>
  <c r="G87" i="5"/>
  <c r="K87" i="5" s="1"/>
  <c r="G88" i="5"/>
  <c r="D84" i="5"/>
  <c r="G84" i="5" s="1"/>
  <c r="K84" i="5" s="1"/>
  <c r="J83" i="5"/>
  <c r="K83" i="5" s="1"/>
  <c r="D82" i="5"/>
  <c r="H82" i="5" s="1"/>
  <c r="J81" i="5"/>
  <c r="K81" i="5" s="1"/>
  <c r="D81" i="5"/>
  <c r="H81" i="5" s="1"/>
  <c r="J80" i="5"/>
  <c r="G83" i="5"/>
  <c r="D83" i="5"/>
  <c r="H83" i="5" s="1"/>
  <c r="J82" i="5"/>
  <c r="K82" i="5" s="1"/>
  <c r="G79" i="5"/>
  <c r="K79" i="5" s="1"/>
  <c r="G80" i="5"/>
  <c r="J72" i="5"/>
  <c r="K72" i="5" s="1"/>
  <c r="D73" i="5"/>
  <c r="H73" i="5"/>
  <c r="D76" i="5"/>
  <c r="G76" i="5" s="1"/>
  <c r="K76" i="5" s="1"/>
  <c r="J75" i="5"/>
  <c r="J74" i="5"/>
  <c r="K74" i="5" s="1"/>
  <c r="D75" i="5"/>
  <c r="H75" i="5" s="1"/>
  <c r="G74" i="5"/>
  <c r="G75" i="5"/>
  <c r="J73" i="5"/>
  <c r="D74" i="5"/>
  <c r="H74" i="5"/>
  <c r="G71" i="5"/>
  <c r="K71" i="5" s="1"/>
  <c r="G73" i="5"/>
  <c r="D67" i="5"/>
  <c r="G67" i="5" s="1"/>
  <c r="K67" i="5" s="1"/>
  <c r="J66" i="5"/>
  <c r="K66" i="5" s="1"/>
  <c r="J64" i="5"/>
  <c r="K64" i="5" s="1"/>
  <c r="D65" i="5"/>
  <c r="H65" i="5" s="1"/>
  <c r="J63" i="5"/>
  <c r="D64" i="5"/>
  <c r="H64" i="5"/>
  <c r="G66" i="5"/>
  <c r="J65" i="5"/>
  <c r="K65" i="5" s="1"/>
  <c r="D66" i="5"/>
  <c r="H66" i="5"/>
  <c r="G62" i="5"/>
  <c r="K62" i="5" s="1"/>
  <c r="G63" i="5"/>
  <c r="J55" i="5"/>
  <c r="D56" i="5"/>
  <c r="H56" i="5"/>
  <c r="J58" i="5"/>
  <c r="D59" i="5"/>
  <c r="G59" i="5" s="1"/>
  <c r="K59" i="5" s="1"/>
  <c r="H59" i="5"/>
  <c r="J57" i="5"/>
  <c r="K57" i="5" s="1"/>
  <c r="D58" i="5"/>
  <c r="H58" i="5"/>
  <c r="G58" i="5"/>
  <c r="J56" i="5"/>
  <c r="K56" i="5" s="1"/>
  <c r="D57" i="5"/>
  <c r="H57" i="5"/>
  <c r="G54" i="5"/>
  <c r="K54" i="5" s="1"/>
  <c r="G55" i="5"/>
  <c r="D49" i="5"/>
  <c r="J48" i="5"/>
  <c r="K48" i="5" s="1"/>
  <c r="K51" i="5"/>
  <c r="G47" i="5"/>
  <c r="H49" i="5"/>
  <c r="D51" i="5"/>
  <c r="G51" i="5" s="1"/>
  <c r="J50" i="5"/>
  <c r="K50" i="5" s="1"/>
  <c r="G49" i="5"/>
  <c r="D48" i="5"/>
  <c r="H48" i="5" s="1"/>
  <c r="J47" i="5"/>
  <c r="K47" i="5" s="1"/>
  <c r="G50" i="5"/>
  <c r="D50" i="5"/>
  <c r="H50" i="5" s="1"/>
  <c r="J49" i="5"/>
  <c r="K49" i="5" s="1"/>
  <c r="G46" i="5"/>
  <c r="K46" i="5" s="1"/>
  <c r="G48" i="5"/>
  <c r="D40" i="5"/>
  <c r="J39" i="5"/>
  <c r="D43" i="5"/>
  <c r="G43" i="5" s="1"/>
  <c r="K43" i="5" s="1"/>
  <c r="J42" i="5"/>
  <c r="K42" i="5" s="1"/>
  <c r="D41" i="5"/>
  <c r="H41" i="5" s="1"/>
  <c r="J40" i="5"/>
  <c r="K40" i="5" s="1"/>
  <c r="H42" i="5"/>
  <c r="G42" i="5"/>
  <c r="H40" i="5"/>
  <c r="D42" i="5"/>
  <c r="J41" i="5"/>
  <c r="K41" i="5" s="1"/>
  <c r="G38" i="5"/>
  <c r="K38" i="5" s="1"/>
  <c r="G39" i="5"/>
  <c r="J29" i="5"/>
  <c r="D30" i="5"/>
  <c r="H30" i="5"/>
  <c r="J31" i="5"/>
  <c r="K31" i="5" s="1"/>
  <c r="D32" i="5"/>
  <c r="H32" i="5"/>
  <c r="J32" i="5"/>
  <c r="K32" i="5" s="1"/>
  <c r="D33" i="5"/>
  <c r="G33" i="5" s="1"/>
  <c r="K33" i="5" s="1"/>
  <c r="H33" i="5"/>
  <c r="G32" i="5"/>
  <c r="J30" i="5"/>
  <c r="K30" i="5" s="1"/>
  <c r="D31" i="5"/>
  <c r="H31" i="5"/>
  <c r="G28" i="5"/>
  <c r="K28" i="5" s="1"/>
  <c r="G29" i="5"/>
  <c r="D25" i="5"/>
  <c r="G25" i="5" s="1"/>
  <c r="K25" i="5" s="1"/>
  <c r="J24" i="5"/>
  <c r="K24" i="5" s="1"/>
  <c r="H25" i="5"/>
  <c r="G23" i="5"/>
  <c r="D23" i="5"/>
  <c r="J22" i="5"/>
  <c r="K22" i="5" s="1"/>
  <c r="H23" i="5"/>
  <c r="D22" i="5"/>
  <c r="H22" i="5" s="1"/>
  <c r="J21" i="5"/>
  <c r="G21" i="5"/>
  <c r="G24" i="5"/>
  <c r="D24" i="5"/>
  <c r="J23" i="5"/>
  <c r="K23" i="5" s="1"/>
  <c r="H24" i="5"/>
  <c r="G20" i="5"/>
  <c r="K20" i="5" s="1"/>
  <c r="G22" i="5"/>
  <c r="J13" i="5"/>
  <c r="D14" i="5"/>
  <c r="J16" i="5"/>
  <c r="K16" i="5" s="1"/>
  <c r="D17" i="5"/>
  <c r="G17" i="5" s="1"/>
  <c r="K17" i="5" s="1"/>
  <c r="G15" i="5"/>
  <c r="D16" i="5"/>
  <c r="H16" i="5" s="1"/>
  <c r="J15" i="5"/>
  <c r="K15" i="5" s="1"/>
  <c r="G14" i="5"/>
  <c r="H14" i="5"/>
  <c r="G16" i="5"/>
  <c r="J14" i="5"/>
  <c r="K14" i="5" s="1"/>
  <c r="D15" i="5"/>
  <c r="H15" i="5"/>
  <c r="G12" i="5"/>
  <c r="K12" i="5" s="1"/>
  <c r="G13" i="5"/>
  <c r="D8" i="5"/>
  <c r="H8" i="5" s="1"/>
  <c r="G6" i="5"/>
  <c r="K6" i="5" s="1"/>
  <c r="H9" i="5"/>
  <c r="D6" i="5"/>
  <c r="H6" i="5" s="1"/>
  <c r="G4" i="5"/>
  <c r="K4" i="5" s="1"/>
  <c r="K9" i="5"/>
  <c r="K88" i="5" l="1"/>
  <c r="K91" i="5"/>
  <c r="H92" i="5"/>
  <c r="K80" i="5"/>
  <c r="H84" i="5"/>
  <c r="H76" i="5"/>
  <c r="K73" i="5"/>
  <c r="K75" i="5"/>
  <c r="K63" i="5"/>
  <c r="H67" i="5"/>
  <c r="K55" i="5"/>
  <c r="K58" i="5"/>
  <c r="H51" i="5"/>
  <c r="K39" i="5"/>
  <c r="H43" i="5"/>
  <c r="K29" i="5"/>
  <c r="K21" i="5"/>
  <c r="H17" i="5"/>
  <c r="K13" i="5"/>
  <c r="I58" i="4" l="1"/>
  <c r="H58" i="4"/>
  <c r="H59" i="4" s="1"/>
  <c r="G58" i="4"/>
  <c r="E58" i="4"/>
  <c r="D58" i="4"/>
  <c r="D59" i="4" s="1"/>
  <c r="C58" i="4"/>
  <c r="C59" i="4" s="1"/>
  <c r="J40" i="4"/>
  <c r="H40" i="4"/>
  <c r="H41" i="4" s="1"/>
  <c r="G40" i="4"/>
  <c r="G41" i="4" s="1"/>
  <c r="F40" i="4"/>
  <c r="D40" i="4"/>
  <c r="D41" i="4" s="1"/>
  <c r="C40" i="4"/>
  <c r="C41" i="4" s="1"/>
  <c r="J22" i="4"/>
  <c r="H22" i="4"/>
  <c r="H23" i="4" s="1"/>
  <c r="G22" i="4"/>
  <c r="G23" i="4" s="1"/>
  <c r="F22" i="4"/>
  <c r="D22" i="4"/>
  <c r="D23" i="4" s="1"/>
  <c r="C22" i="4"/>
  <c r="C23" i="4" s="1"/>
  <c r="E12" i="4"/>
  <c r="D12" i="4"/>
  <c r="C12" i="4"/>
  <c r="G59" i="4" l="1"/>
  <c r="C24" i="4"/>
  <c r="C20" i="4" s="1"/>
  <c r="D24" i="4"/>
  <c r="H42" i="4"/>
  <c r="G42" i="4"/>
  <c r="G38" i="4" s="1"/>
  <c r="D60" i="4"/>
  <c r="C60" i="4"/>
  <c r="C56" i="4" s="1"/>
  <c r="H60" i="4"/>
  <c r="G60" i="4"/>
  <c r="G56" i="4" s="1"/>
  <c r="G24" i="4"/>
  <c r="G20" i="4" s="1"/>
  <c r="H24" i="4"/>
  <c r="E59" i="4"/>
  <c r="F59" i="4"/>
  <c r="D42" i="4"/>
  <c r="C42" i="4"/>
  <c r="C38" i="4" s="1"/>
  <c r="I59" i="4"/>
  <c r="E40" i="4"/>
  <c r="I40" i="4"/>
  <c r="F58" i="4"/>
  <c r="J58" i="4"/>
  <c r="J59" i="4" s="1"/>
  <c r="E22" i="4"/>
  <c r="I22" i="4"/>
  <c r="J53" i="3"/>
  <c r="J54" i="3"/>
  <c r="J55" i="3"/>
  <c r="J52" i="3"/>
  <c r="F53" i="3"/>
  <c r="F54" i="3"/>
  <c r="F55" i="3"/>
  <c r="F52" i="3"/>
  <c r="J35" i="3"/>
  <c r="J36" i="3"/>
  <c r="J37" i="3"/>
  <c r="F35" i="3"/>
  <c r="F36" i="3"/>
  <c r="F37" i="3"/>
  <c r="J34" i="3"/>
  <c r="F34" i="3"/>
  <c r="J17" i="3"/>
  <c r="J18" i="3"/>
  <c r="J19" i="3"/>
  <c r="F17" i="3"/>
  <c r="F18" i="3"/>
  <c r="F19" i="3"/>
  <c r="F16" i="3"/>
  <c r="J16" i="3"/>
  <c r="F58" i="3"/>
  <c r="I55" i="3"/>
  <c r="H55" i="3"/>
  <c r="G55" i="3"/>
  <c r="E55" i="3"/>
  <c r="D55" i="3"/>
  <c r="C55" i="3"/>
  <c r="I54" i="3"/>
  <c r="H54" i="3"/>
  <c r="G54" i="3"/>
  <c r="E54" i="3"/>
  <c r="D54" i="3"/>
  <c r="C54" i="3"/>
  <c r="J58" i="3"/>
  <c r="J59" i="3" s="1"/>
  <c r="I53" i="3"/>
  <c r="H53" i="3"/>
  <c r="G53" i="3"/>
  <c r="E53" i="3"/>
  <c r="D53" i="3"/>
  <c r="C53" i="3"/>
  <c r="I52" i="3"/>
  <c r="I58" i="3" s="1"/>
  <c r="I59" i="3" s="1"/>
  <c r="I60" i="3" s="1"/>
  <c r="H52" i="3"/>
  <c r="H58" i="3" s="1"/>
  <c r="H59" i="3" s="1"/>
  <c r="G52" i="3"/>
  <c r="G58" i="3" s="1"/>
  <c r="G59" i="3" s="1"/>
  <c r="E52" i="3"/>
  <c r="E58" i="3" s="1"/>
  <c r="E59" i="3" s="1"/>
  <c r="E60" i="3" s="1"/>
  <c r="D52" i="3"/>
  <c r="D58" i="3" s="1"/>
  <c r="D59" i="3" s="1"/>
  <c r="C52" i="3"/>
  <c r="C58" i="3" s="1"/>
  <c r="C59" i="3" s="1"/>
  <c r="I37" i="3"/>
  <c r="H37" i="3"/>
  <c r="G37" i="3"/>
  <c r="E37" i="3"/>
  <c r="D37" i="3"/>
  <c r="C37" i="3"/>
  <c r="I36" i="3"/>
  <c r="H36" i="3"/>
  <c r="G36" i="3"/>
  <c r="E36" i="3"/>
  <c r="D36" i="3"/>
  <c r="C36" i="3"/>
  <c r="I35" i="3"/>
  <c r="H35" i="3"/>
  <c r="G35" i="3"/>
  <c r="E35" i="3"/>
  <c r="D35" i="3"/>
  <c r="C35" i="3"/>
  <c r="I34" i="3"/>
  <c r="J40" i="3" s="1"/>
  <c r="H34" i="3"/>
  <c r="H40" i="3" s="1"/>
  <c r="H41" i="3" s="1"/>
  <c r="G34" i="3"/>
  <c r="G40" i="3" s="1"/>
  <c r="G41" i="3" s="1"/>
  <c r="E34" i="3"/>
  <c r="F40" i="3" s="1"/>
  <c r="D34" i="3"/>
  <c r="D40" i="3" s="1"/>
  <c r="D41" i="3" s="1"/>
  <c r="C34" i="3"/>
  <c r="C40" i="3" s="1"/>
  <c r="C41" i="3" s="1"/>
  <c r="I19" i="3"/>
  <c r="H19" i="3"/>
  <c r="G19" i="3"/>
  <c r="E19" i="3"/>
  <c r="D19" i="3"/>
  <c r="C19" i="3"/>
  <c r="I18" i="3"/>
  <c r="H18" i="3"/>
  <c r="G18" i="3"/>
  <c r="E18" i="3"/>
  <c r="D18" i="3"/>
  <c r="C18" i="3"/>
  <c r="I17" i="3"/>
  <c r="H17" i="3"/>
  <c r="G17" i="3"/>
  <c r="E17" i="3"/>
  <c r="D17" i="3"/>
  <c r="C17" i="3"/>
  <c r="I16" i="3"/>
  <c r="H16" i="3"/>
  <c r="H22" i="3" s="1"/>
  <c r="H23" i="3" s="1"/>
  <c r="G16" i="3"/>
  <c r="E16" i="3"/>
  <c r="D16" i="3"/>
  <c r="D22" i="3" s="1"/>
  <c r="D23" i="3" s="1"/>
  <c r="C16" i="3"/>
  <c r="E12" i="3"/>
  <c r="D12" i="3"/>
  <c r="C12" i="3"/>
  <c r="C53" i="2"/>
  <c r="D53" i="2"/>
  <c r="E53" i="2"/>
  <c r="F53" i="2"/>
  <c r="F58" i="2" s="1"/>
  <c r="G53" i="2"/>
  <c r="H53" i="2"/>
  <c r="I53" i="2"/>
  <c r="J53" i="2"/>
  <c r="J58" i="2" s="1"/>
  <c r="C54" i="2"/>
  <c r="D54" i="2"/>
  <c r="E54" i="2"/>
  <c r="F54" i="2"/>
  <c r="G54" i="2"/>
  <c r="H54" i="2"/>
  <c r="I54" i="2"/>
  <c r="J54" i="2"/>
  <c r="C55" i="2"/>
  <c r="D55" i="2"/>
  <c r="E55" i="2"/>
  <c r="F55" i="2"/>
  <c r="G55" i="2"/>
  <c r="H55" i="2"/>
  <c r="I55" i="2"/>
  <c r="J55" i="2"/>
  <c r="J52" i="2"/>
  <c r="I52" i="2"/>
  <c r="H52" i="2"/>
  <c r="G52" i="2"/>
  <c r="F52" i="2"/>
  <c r="E52" i="2"/>
  <c r="D52" i="2"/>
  <c r="C58" i="2" s="1"/>
  <c r="C52" i="2"/>
  <c r="I58" i="2"/>
  <c r="H58" i="2"/>
  <c r="H59" i="2" s="1"/>
  <c r="G58" i="2"/>
  <c r="E58" i="2"/>
  <c r="D58" i="2"/>
  <c r="D59" i="2" s="1"/>
  <c r="J40" i="2"/>
  <c r="I40" i="2"/>
  <c r="J41" i="2" s="1"/>
  <c r="H40" i="2"/>
  <c r="H41" i="2" s="1"/>
  <c r="G40" i="2"/>
  <c r="G41" i="2" s="1"/>
  <c r="F40" i="2"/>
  <c r="E40" i="2"/>
  <c r="F41" i="2" s="1"/>
  <c r="D40" i="2"/>
  <c r="D41" i="2" s="1"/>
  <c r="C40" i="2"/>
  <c r="C41" i="2" s="1"/>
  <c r="C35" i="2"/>
  <c r="D35" i="2"/>
  <c r="E35" i="2"/>
  <c r="F35" i="2"/>
  <c r="G35" i="2"/>
  <c r="H35" i="2"/>
  <c r="I35" i="2"/>
  <c r="J35" i="2"/>
  <c r="C36" i="2"/>
  <c r="D36" i="2"/>
  <c r="E36" i="2"/>
  <c r="F36" i="2"/>
  <c r="G36" i="2"/>
  <c r="H36" i="2"/>
  <c r="I36" i="2"/>
  <c r="J36" i="2"/>
  <c r="C37" i="2"/>
  <c r="D37" i="2"/>
  <c r="E37" i="2"/>
  <c r="F37" i="2"/>
  <c r="G37" i="2"/>
  <c r="H37" i="2"/>
  <c r="I37" i="2"/>
  <c r="J37" i="2"/>
  <c r="J34" i="2"/>
  <c r="I34" i="2"/>
  <c r="H34" i="2"/>
  <c r="G34" i="2"/>
  <c r="F34" i="2"/>
  <c r="E34" i="2"/>
  <c r="D34" i="2"/>
  <c r="C34" i="2"/>
  <c r="C29" i="2"/>
  <c r="F28" i="2"/>
  <c r="C28" i="2"/>
  <c r="G27" i="2"/>
  <c r="F27" i="2"/>
  <c r="D27" i="2"/>
  <c r="C27" i="2"/>
  <c r="C22" i="2"/>
  <c r="C19" i="2"/>
  <c r="D19" i="2"/>
  <c r="E19" i="2"/>
  <c r="F19" i="2"/>
  <c r="G19" i="2"/>
  <c r="H19" i="2"/>
  <c r="I19" i="2"/>
  <c r="J19" i="2"/>
  <c r="C18" i="2"/>
  <c r="J18" i="2"/>
  <c r="I18" i="2"/>
  <c r="H18" i="2"/>
  <c r="G18" i="2"/>
  <c r="F18" i="2"/>
  <c r="E18" i="2"/>
  <c r="D18" i="2"/>
  <c r="J17" i="2"/>
  <c r="I17" i="2"/>
  <c r="H17" i="2"/>
  <c r="G17" i="2"/>
  <c r="F17" i="2"/>
  <c r="E17" i="2"/>
  <c r="D17" i="2"/>
  <c r="C17" i="2"/>
  <c r="E12" i="2"/>
  <c r="D12" i="2"/>
  <c r="C12" i="2"/>
  <c r="E21" i="1"/>
  <c r="D21" i="1"/>
  <c r="C21" i="1"/>
  <c r="J16" i="2"/>
  <c r="F16" i="2"/>
  <c r="G16" i="2"/>
  <c r="C16" i="2"/>
  <c r="D16" i="2"/>
  <c r="D22" i="2" s="1"/>
  <c r="I16" i="2"/>
  <c r="E16" i="2"/>
  <c r="H16" i="2"/>
  <c r="G9" i="1"/>
  <c r="G10" i="1"/>
  <c r="G8" i="1"/>
  <c r="I60" i="4" l="1"/>
  <c r="J60" i="4"/>
  <c r="J56" i="4" s="1"/>
  <c r="E60" i="4"/>
  <c r="F60" i="4"/>
  <c r="F56" i="4" s="1"/>
  <c r="F63" i="4"/>
  <c r="H56" i="4"/>
  <c r="H38" i="4"/>
  <c r="F45" i="4"/>
  <c r="J23" i="4"/>
  <c r="I23" i="4"/>
  <c r="J41" i="4"/>
  <c r="I41" i="4"/>
  <c r="F27" i="4"/>
  <c r="H20" i="4"/>
  <c r="C27" i="4"/>
  <c r="D20" i="4"/>
  <c r="F23" i="4"/>
  <c r="E23" i="4"/>
  <c r="F41" i="4"/>
  <c r="E41" i="4"/>
  <c r="D38" i="4"/>
  <c r="C45" i="4"/>
  <c r="D56" i="4"/>
  <c r="C63" i="4"/>
  <c r="F59" i="3"/>
  <c r="D24" i="3"/>
  <c r="G24" i="3"/>
  <c r="G20" i="3" s="1"/>
  <c r="H24" i="3"/>
  <c r="E40" i="3"/>
  <c r="F22" i="3"/>
  <c r="E22" i="3"/>
  <c r="J22" i="3"/>
  <c r="I22" i="3"/>
  <c r="I40" i="3"/>
  <c r="D60" i="3"/>
  <c r="C60" i="3"/>
  <c r="C56" i="3" s="1"/>
  <c r="H60" i="3"/>
  <c r="G60" i="3"/>
  <c r="G56" i="3" s="1"/>
  <c r="E56" i="3"/>
  <c r="D63" i="3"/>
  <c r="I56" i="3"/>
  <c r="F60" i="3"/>
  <c r="F56" i="3" s="1"/>
  <c r="C22" i="3"/>
  <c r="C23" i="3" s="1"/>
  <c r="C24" i="3" s="1"/>
  <c r="C20" i="3" s="1"/>
  <c r="G22" i="3"/>
  <c r="G23" i="3" s="1"/>
  <c r="D42" i="3"/>
  <c r="C42" i="3"/>
  <c r="C38" i="3" s="1"/>
  <c r="H42" i="3"/>
  <c r="G42" i="3"/>
  <c r="G38" i="3" s="1"/>
  <c r="J60" i="3"/>
  <c r="J56" i="3" s="1"/>
  <c r="C59" i="2"/>
  <c r="G59" i="2"/>
  <c r="C60" i="2"/>
  <c r="C56" i="2" s="1"/>
  <c r="D60" i="2"/>
  <c r="E59" i="2"/>
  <c r="F59" i="2"/>
  <c r="I59" i="2"/>
  <c r="J59" i="2"/>
  <c r="H60" i="2"/>
  <c r="G60" i="2"/>
  <c r="G56" i="2" s="1"/>
  <c r="D42" i="2"/>
  <c r="C42" i="2"/>
  <c r="C38" i="2" s="1"/>
  <c r="H42" i="2"/>
  <c r="G42" i="2"/>
  <c r="G38" i="2" s="1"/>
  <c r="E41" i="2"/>
  <c r="I41" i="2"/>
  <c r="D23" i="2"/>
  <c r="D24" i="2" s="1"/>
  <c r="I22" i="2"/>
  <c r="I23" i="2" s="1"/>
  <c r="H22" i="2"/>
  <c r="H23" i="2" s="1"/>
  <c r="E22" i="2"/>
  <c r="E23" i="2" s="1"/>
  <c r="J22" i="2"/>
  <c r="C23" i="2"/>
  <c r="C24" i="2" s="1"/>
  <c r="C20" i="2" s="1"/>
  <c r="G22" i="2"/>
  <c r="G23" i="2" s="1"/>
  <c r="G24" i="2" s="1"/>
  <c r="G20" i="2" s="1"/>
  <c r="H24" i="2"/>
  <c r="F22" i="2"/>
  <c r="F42" i="4" l="1"/>
  <c r="F38" i="4" s="1"/>
  <c r="E42" i="4"/>
  <c r="J42" i="4"/>
  <c r="J38" i="4" s="1"/>
  <c r="I42" i="4"/>
  <c r="E56" i="4"/>
  <c r="D63" i="4"/>
  <c r="C64" i="4" s="1"/>
  <c r="F24" i="4"/>
  <c r="F20" i="4" s="1"/>
  <c r="E24" i="4"/>
  <c r="J24" i="4"/>
  <c r="J20" i="4" s="1"/>
  <c r="I24" i="4"/>
  <c r="I56" i="4"/>
  <c r="G63" i="4"/>
  <c r="F64" i="4" s="1"/>
  <c r="H38" i="3"/>
  <c r="F45" i="3"/>
  <c r="D38" i="3"/>
  <c r="C45" i="3"/>
  <c r="G63" i="3"/>
  <c r="J41" i="3"/>
  <c r="I41" i="3"/>
  <c r="C27" i="3"/>
  <c r="D20" i="3"/>
  <c r="F27" i="3"/>
  <c r="H20" i="3"/>
  <c r="D56" i="3"/>
  <c r="C63" i="3"/>
  <c r="C64" i="3" s="1"/>
  <c r="F23" i="3"/>
  <c r="E23" i="3"/>
  <c r="F63" i="3"/>
  <c r="F64" i="3" s="1"/>
  <c r="H56" i="3"/>
  <c r="J23" i="3"/>
  <c r="I23" i="3"/>
  <c r="F41" i="3"/>
  <c r="E41" i="3"/>
  <c r="F63" i="2"/>
  <c r="H56" i="2"/>
  <c r="C63" i="2"/>
  <c r="D56" i="2"/>
  <c r="E60" i="2"/>
  <c r="F60" i="2"/>
  <c r="F56" i="2" s="1"/>
  <c r="I60" i="2"/>
  <c r="J60" i="2"/>
  <c r="J56" i="2" s="1"/>
  <c r="I42" i="2"/>
  <c r="J42" i="2"/>
  <c r="J38" i="2" s="1"/>
  <c r="F42" i="2"/>
  <c r="F38" i="2" s="1"/>
  <c r="E42" i="2"/>
  <c r="F45" i="2"/>
  <c r="H38" i="2"/>
  <c r="C45" i="2"/>
  <c r="D38" i="2"/>
  <c r="H20" i="2"/>
  <c r="D20" i="2"/>
  <c r="J23" i="2"/>
  <c r="F23" i="2"/>
  <c r="J24" i="2"/>
  <c r="J20" i="2" s="1"/>
  <c r="I24" i="2"/>
  <c r="E24" i="2"/>
  <c r="F24" i="2"/>
  <c r="F20" i="2" s="1"/>
  <c r="C65" i="4" l="1"/>
  <c r="G27" i="4"/>
  <c r="F28" i="4" s="1"/>
  <c r="I20" i="4"/>
  <c r="E20" i="4"/>
  <c r="D27" i="4"/>
  <c r="C28" i="4" s="1"/>
  <c r="G45" i="4"/>
  <c r="F46" i="4" s="1"/>
  <c r="I38" i="4"/>
  <c r="D45" i="4"/>
  <c r="C46" i="4" s="1"/>
  <c r="E38" i="4"/>
  <c r="J24" i="3"/>
  <c r="J20" i="3" s="1"/>
  <c r="I24" i="3"/>
  <c r="F24" i="3"/>
  <c r="F20" i="3" s="1"/>
  <c r="E24" i="3"/>
  <c r="J42" i="3"/>
  <c r="J38" i="3" s="1"/>
  <c r="I42" i="3"/>
  <c r="F42" i="3"/>
  <c r="F38" i="3" s="1"/>
  <c r="E42" i="3"/>
  <c r="C65" i="3"/>
  <c r="I56" i="2"/>
  <c r="G63" i="2"/>
  <c r="F64" i="2" s="1"/>
  <c r="E56" i="2"/>
  <c r="D63" i="2"/>
  <c r="C64" i="2" s="1"/>
  <c r="C65" i="2" s="1"/>
  <c r="E38" i="2"/>
  <c r="D45" i="2"/>
  <c r="C46" i="2" s="1"/>
  <c r="I38" i="2"/>
  <c r="G45" i="2"/>
  <c r="F46" i="2" s="1"/>
  <c r="I20" i="2"/>
  <c r="E20" i="2"/>
  <c r="C29" i="4" l="1"/>
  <c r="C47" i="4"/>
  <c r="D45" i="3"/>
  <c r="C46" i="3" s="1"/>
  <c r="E38" i="3"/>
  <c r="G45" i="3"/>
  <c r="F46" i="3" s="1"/>
  <c r="I38" i="3"/>
  <c r="G27" i="3"/>
  <c r="F28" i="3" s="1"/>
  <c r="I20" i="3"/>
  <c r="D27" i="3"/>
  <c r="C28" i="3" s="1"/>
  <c r="E20" i="3"/>
  <c r="C47" i="2"/>
  <c r="C29" i="3" l="1"/>
  <c r="C47" i="3"/>
</calcChain>
</file>

<file path=xl/sharedStrings.xml><?xml version="1.0" encoding="utf-8"?>
<sst xmlns="http://schemas.openxmlformats.org/spreadsheetml/2006/main" count="364" uniqueCount="65">
  <si>
    <t>RICE Score</t>
  </si>
  <si>
    <t>Reach (Охват)</t>
  </si>
  <si>
    <t>Impact (Влияние)</t>
  </si>
  <si>
    <t>Confidence (Уверенность)</t>
  </si>
  <si>
    <t>Effort (Трудозатраты)</t>
  </si>
  <si>
    <t>Ранжирование в порядке убывания RICE</t>
  </si>
  <si>
    <t>Задача</t>
  </si>
  <si>
    <t>Параметр приоритизации</t>
  </si>
  <si>
    <t>Задача 1</t>
  </si>
  <si>
    <t>Задача 2</t>
  </si>
  <si>
    <t>Задача 3</t>
  </si>
  <si>
    <t>Количество человек, ед.</t>
  </si>
  <si>
    <t>От 0,5 до 1</t>
  </si>
  <si>
    <t>3 - Массивное влияние, 2 - Сильное, 1 - Среднее, 0,5 - Малое, 0,25 - Минимальное</t>
  </si>
  <si>
    <t>Количество недель</t>
  </si>
  <si>
    <t>RICE Score_ четкая модель</t>
  </si>
  <si>
    <t>Единоличное приняте решения (или при полном групповом консенсусе)</t>
  </si>
  <si>
    <t>Верхняя функция принадлежности</t>
  </si>
  <si>
    <t>Нижняя функция принадлежности</t>
  </si>
  <si>
    <t>R*I</t>
  </si>
  <si>
    <t>R*I*C</t>
  </si>
  <si>
    <t>R*I*C/E</t>
  </si>
  <si>
    <t>Дефаззификация при альфа=0,8</t>
  </si>
  <si>
    <t xml:space="preserve">RICE Score_нечеткая модель. Применение нормальных трапециевидных нечетких чисел 2-го типа. </t>
  </si>
  <si>
    <t>Единоличное принятие решения (или при полном групповом консенсусе).</t>
  </si>
  <si>
    <t>Верхний альфа -срез</t>
  </si>
  <si>
    <t>Нижний альфа-срез</t>
  </si>
  <si>
    <t>RICE Score_итог</t>
  </si>
  <si>
    <t>Центроид (среднее значение)</t>
  </si>
  <si>
    <r>
      <t xml:space="preserve">Расчет для случая, когда нечеткие числа имеют </t>
    </r>
    <r>
      <rPr>
        <b/>
        <sz val="11"/>
        <color theme="1"/>
        <rFont val="Calibri"/>
        <family val="2"/>
        <charset val="204"/>
        <scheme val="minor"/>
      </rPr>
      <t>несимметричные границы нечеткости</t>
    </r>
    <r>
      <rPr>
        <sz val="11"/>
        <color theme="1"/>
        <rFont val="Calibri"/>
        <family val="2"/>
        <charset val="204"/>
        <scheme val="minor"/>
      </rPr>
      <t xml:space="preserve"> (</t>
    </r>
    <r>
      <rPr>
        <b/>
        <sz val="11"/>
        <color theme="1"/>
        <rFont val="Calibri"/>
        <family val="2"/>
        <charset val="204"/>
        <scheme val="minor"/>
      </rPr>
      <t>сдвиг вправо</t>
    </r>
    <r>
      <rPr>
        <sz val="11"/>
        <color theme="1"/>
        <rFont val="Calibri"/>
        <family val="2"/>
        <charset val="204"/>
        <scheme val="minor"/>
      </rPr>
      <t xml:space="preserve"> относительно центра ядра, равного значению по четкой модели).</t>
    </r>
  </si>
  <si>
    <r>
      <t xml:space="preserve">Расчет для случая, когда нечеткие числа имеют </t>
    </r>
    <r>
      <rPr>
        <b/>
        <sz val="11"/>
        <color theme="1"/>
        <rFont val="Calibri"/>
        <family val="2"/>
        <charset val="204"/>
        <scheme val="minor"/>
      </rPr>
      <t>симметричные границы нечеткости</t>
    </r>
    <r>
      <rPr>
        <sz val="11"/>
        <color theme="1"/>
        <rFont val="Calibri"/>
        <family val="2"/>
        <charset val="204"/>
        <scheme val="minor"/>
      </rPr>
      <t xml:space="preserve"> относительно центра ядра, равного значению по четкой модели.</t>
    </r>
  </si>
  <si>
    <t>Шкалы оценок</t>
  </si>
  <si>
    <t>Охват (англ. Reach)</t>
  </si>
  <si>
    <t>Влияние (англ. Impact)</t>
  </si>
  <si>
    <t>Уверенность (англ. Confidence)</t>
  </si>
  <si>
    <t>Трудозатраты (англ. Effort)</t>
  </si>
  <si>
    <t>Возможные критерии для оценки результата с точки зрения пользователя:</t>
  </si>
  <si>
    <t>0 – ощутимое положительное влияние или реализация полностью отсутствуют</t>
  </si>
  <si>
    <t>1 - низкий уровень</t>
  </si>
  <si>
    <t>2 - уровень ниже среднего</t>
  </si>
  <si>
    <t>3 - средний уровень</t>
  </si>
  <si>
    <t>4 -выше среднего уровня</t>
  </si>
  <si>
    <t>5 - высокий уровень</t>
  </si>
  <si>
    <t>Оценка параметров задачи</t>
  </si>
  <si>
    <t>Характеристики задачи по методу RICE:</t>
  </si>
  <si>
    <t>Для оценки четких параметров применим шкалу от 0 до 5 (можно расписать для каждого критерия свою специфику),</t>
  </si>
  <si>
    <t xml:space="preserve"> если речь идет о слагаемых, или от 1 до 5 - если речь идет о множителях (чтобы нулевой показатель полностью не обнулял итог):</t>
  </si>
  <si>
    <t>2 - слабая, ниже среднего</t>
  </si>
  <si>
    <t>4 - хорошая, выше среднего</t>
  </si>
  <si>
    <t>3 - нормальная, средняя</t>
  </si>
  <si>
    <t>5 – отличная, требование полностью выполнено, результат достигнут, высокая</t>
  </si>
  <si>
    <t>1 – реализация очень слабая, низкая</t>
  </si>
  <si>
    <r>
      <t>Сложность (англ. Complexity)</t>
    </r>
    <r>
      <rPr>
        <sz val="11"/>
        <color rgb="FF0000FF"/>
        <rFont val="Calibri"/>
        <family val="2"/>
        <charset val="204"/>
        <scheme val="minor"/>
      </rPr>
      <t xml:space="preserve"> – насколько специфичными должны быть знания и уровень квалификации персонала</t>
    </r>
  </si>
  <si>
    <r>
      <t>Важность, ценность (англ. Importance/ Value)</t>
    </r>
    <r>
      <rPr>
        <sz val="11"/>
        <color rgb="FF0000FF"/>
        <rFont val="Calibri"/>
        <family val="2"/>
        <charset val="204"/>
        <scheme val="minor"/>
      </rPr>
      <t xml:space="preserve"> – польза для бизнеса/ пользователя</t>
    </r>
  </si>
  <si>
    <r>
      <t>Срочность (англ. Urgency/ Time criticality)</t>
    </r>
    <r>
      <rPr>
        <sz val="11"/>
        <color rgb="FF0000FF"/>
        <rFont val="Calibri"/>
        <family val="2"/>
        <charset val="204"/>
        <scheme val="minor"/>
      </rPr>
      <t xml:space="preserve"> – насколько быстро нужно реализовать задачу</t>
    </r>
  </si>
  <si>
    <r>
      <t>Трудоемкость (англ. Effort)</t>
    </r>
    <r>
      <rPr>
        <sz val="11"/>
        <color rgb="FF0000FF"/>
        <rFont val="Calibri"/>
        <family val="2"/>
        <charset val="204"/>
        <scheme val="minor"/>
      </rPr>
      <t xml:space="preserve"> – сколько усилий нужно, оценка масштабности задачи</t>
    </r>
  </si>
  <si>
    <r>
      <t>Удобство использования (англ. Usability)</t>
    </r>
    <r>
      <rPr>
        <sz val="11"/>
        <color rgb="FF0000FF"/>
        <rFont val="Calibri"/>
        <family val="2"/>
        <charset val="204"/>
        <scheme val="minor"/>
      </rPr>
      <t xml:space="preserve"> – насколько доступна функциональность приложения</t>
    </r>
  </si>
  <si>
    <r>
      <t>Скорость работы (англ. Performance)</t>
    </r>
    <r>
      <rPr>
        <sz val="11"/>
        <color rgb="FF0000FF"/>
        <rFont val="Calibri"/>
        <family val="2"/>
        <charset val="204"/>
        <scheme val="minor"/>
      </rPr>
      <t xml:space="preserve"> - время отклика задачи</t>
    </r>
  </si>
  <si>
    <r>
      <t>«Дружественность» интерфейса (англ. UX Quality)</t>
    </r>
    <r>
      <rPr>
        <sz val="11"/>
        <color rgb="FF0000FF"/>
        <rFont val="Calibri"/>
        <family val="2"/>
        <charset val="204"/>
        <scheme val="minor"/>
      </rPr>
      <t xml:space="preserve"> – насколько приложение интуитивно понятно для пользователя</t>
    </r>
  </si>
  <si>
    <t>No result (0)</t>
  </si>
  <si>
    <t>Low (1)</t>
  </si>
  <si>
    <t>Above Average (2)</t>
  </si>
  <si>
    <t>Average(3)</t>
  </si>
  <si>
    <t>Below Average (4)</t>
  </si>
  <si>
    <t>High 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</si>
</sst>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8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rgb="FF0000FF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99FF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0" xfId="0" applyFont="1"/>
    <xf numFmtId="0" fontId="0" fillId="0" borderId="1" xfId="0" applyBorder="1"/>
    <xf numFmtId="0" fontId="3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3" fontId="0" fillId="0" borderId="1" xfId="0" applyNumberFormat="1" applyBorder="1"/>
    <xf numFmtId="3" fontId="3" fillId="0" borderId="1" xfId="0" applyNumberFormat="1" applyFont="1" applyBorder="1"/>
    <xf numFmtId="0" fontId="0" fillId="0" borderId="10" xfId="0" applyBorder="1"/>
    <xf numFmtId="0" fontId="0" fillId="0" borderId="11" xfId="0" applyBorder="1"/>
    <xf numFmtId="0" fontId="0" fillId="0" borderId="22" xfId="0" applyBorder="1"/>
    <xf numFmtId="0" fontId="0" fillId="0" borderId="4" xfId="0" applyBorder="1"/>
    <xf numFmtId="0" fontId="0" fillId="0" borderId="23" xfId="0" applyBorder="1"/>
    <xf numFmtId="0" fontId="3" fillId="2" borderId="5" xfId="0" applyFont="1" applyFill="1" applyBorder="1"/>
    <xf numFmtId="0" fontId="3" fillId="3" borderId="21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" xfId="0" applyBorder="1"/>
    <xf numFmtId="0" fontId="0" fillId="0" borderId="28" xfId="0" applyBorder="1"/>
    <xf numFmtId="0" fontId="3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0" fillId="0" borderId="32" xfId="0" applyBorder="1"/>
    <xf numFmtId="0" fontId="3" fillId="0" borderId="18" xfId="0" applyFont="1" applyBorder="1"/>
    <xf numFmtId="0" fontId="3" fillId="2" borderId="10" xfId="0" applyFont="1" applyFill="1" applyBorder="1" applyAlignment="1">
      <alignment horizontal="center" vertical="center" wrapText="1"/>
    </xf>
    <xf numFmtId="3" fontId="0" fillId="0" borderId="7" xfId="0" applyNumberFormat="1" applyBorder="1"/>
    <xf numFmtId="3" fontId="0" fillId="0" borderId="8" xfId="0" applyNumberFormat="1" applyBorder="1"/>
    <xf numFmtId="3" fontId="0" fillId="0" borderId="9" xfId="0" applyNumberFormat="1" applyBorder="1"/>
    <xf numFmtId="3" fontId="3" fillId="0" borderId="24" xfId="0" applyNumberFormat="1" applyFont="1" applyBorder="1"/>
    <xf numFmtId="3" fontId="3" fillId="0" borderId="25" xfId="0" applyNumberFormat="1" applyFont="1" applyBorder="1"/>
    <xf numFmtId="3" fontId="3" fillId="0" borderId="26" xfId="0" applyNumberFormat="1" applyFont="1" applyBorder="1"/>
    <xf numFmtId="3" fontId="0" fillId="0" borderId="22" xfId="0" applyNumberFormat="1" applyBorder="1"/>
    <xf numFmtId="3" fontId="0" fillId="0" borderId="4" xfId="0" applyNumberFormat="1" applyBorder="1"/>
    <xf numFmtId="3" fontId="0" fillId="0" borderId="23" xfId="0" applyNumberFormat="1" applyBorder="1"/>
    <xf numFmtId="2" fontId="0" fillId="0" borderId="22" xfId="0" applyNumberFormat="1" applyBorder="1"/>
    <xf numFmtId="2" fontId="0" fillId="0" borderId="4" xfId="0" applyNumberFormat="1" applyBorder="1"/>
    <xf numFmtId="2" fontId="0" fillId="0" borderId="23" xfId="0" applyNumberFormat="1" applyBorder="1"/>
    <xf numFmtId="0" fontId="3" fillId="4" borderId="1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/>
    </xf>
    <xf numFmtId="3" fontId="0" fillId="0" borderId="10" xfId="0" applyNumberFormat="1" applyBorder="1"/>
    <xf numFmtId="3" fontId="0" fillId="0" borderId="11" xfId="0" applyNumberFormat="1" applyBorder="1"/>
    <xf numFmtId="3" fontId="0" fillId="0" borderId="12" xfId="0" applyNumberFormat="1" applyBorder="1"/>
    <xf numFmtId="3" fontId="0" fillId="0" borderId="13" xfId="0" applyNumberFormat="1" applyBorder="1"/>
    <xf numFmtId="3" fontId="0" fillId="0" borderId="14" xfId="0" applyNumberFormat="1" applyBorder="1"/>
    <xf numFmtId="3" fontId="0" fillId="5" borderId="24" xfId="0" applyNumberFormat="1" applyFill="1" applyBorder="1"/>
    <xf numFmtId="2" fontId="0" fillId="0" borderId="33" xfId="0" applyNumberFormat="1" applyBorder="1"/>
    <xf numFmtId="2" fontId="0" fillId="0" borderId="3" xfId="0" applyNumberFormat="1" applyBorder="1"/>
    <xf numFmtId="2" fontId="0" fillId="0" borderId="34" xfId="0" applyNumberFormat="1" applyBorder="1"/>
    <xf numFmtId="3" fontId="0" fillId="5" borderId="25" xfId="0" applyNumberFormat="1" applyFill="1" applyBorder="1"/>
    <xf numFmtId="3" fontId="0" fillId="5" borderId="26" xfId="0" applyNumberFormat="1" applyFill="1" applyBorder="1"/>
    <xf numFmtId="3" fontId="0" fillId="0" borderId="0" xfId="0" applyNumberFormat="1"/>
    <xf numFmtId="0" fontId="3" fillId="0" borderId="0" xfId="0" applyFont="1" applyAlignment="1">
      <alignment horizontal="center" vertical="center"/>
    </xf>
    <xf numFmtId="2" fontId="3" fillId="6" borderId="18" xfId="0" applyNumberFormat="1" applyFont="1" applyFill="1" applyBorder="1"/>
    <xf numFmtId="2" fontId="3" fillId="6" borderId="20" xfId="0" applyNumberFormat="1" applyFont="1" applyFill="1" applyBorder="1"/>
    <xf numFmtId="2" fontId="3" fillId="0" borderId="0" xfId="0" applyNumberFormat="1" applyFont="1"/>
    <xf numFmtId="2" fontId="3" fillId="7" borderId="35" xfId="0" applyNumberFormat="1" applyFont="1" applyFill="1" applyBorder="1"/>
    <xf numFmtId="4" fontId="3" fillId="0" borderId="24" xfId="0" applyNumberFormat="1" applyFont="1" applyBorder="1"/>
    <xf numFmtId="4" fontId="3" fillId="0" borderId="25" xfId="0" applyNumberFormat="1" applyFont="1" applyBorder="1"/>
    <xf numFmtId="4" fontId="3" fillId="0" borderId="26" xfId="0" applyNumberFormat="1" applyFont="1" applyBorder="1"/>
    <xf numFmtId="2" fontId="3" fillId="6" borderId="19" xfId="0" applyNumberFormat="1" applyFont="1" applyFill="1" applyBorder="1"/>
    <xf numFmtId="2" fontId="3" fillId="7" borderId="36" xfId="0" applyNumberFormat="1" applyFont="1" applyFill="1" applyBorder="1"/>
    <xf numFmtId="2" fontId="3" fillId="8" borderId="6" xfId="0" applyNumberFormat="1" applyFont="1" applyFill="1" applyBorder="1"/>
    <xf numFmtId="0" fontId="3" fillId="4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center"/>
    </xf>
    <xf numFmtId="4" fontId="0" fillId="0" borderId="22" xfId="0" applyNumberFormat="1" applyBorder="1"/>
    <xf numFmtId="4" fontId="0" fillId="0" borderId="4" xfId="0" applyNumberFormat="1" applyBorder="1"/>
    <xf numFmtId="4" fontId="0" fillId="0" borderId="23" xfId="0" applyNumberFormat="1" applyBorder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5" fillId="0" borderId="0" xfId="0" applyFont="1"/>
    <xf numFmtId="0" fontId="1" fillId="0" borderId="0" xfId="0" applyFont="1"/>
    <xf numFmtId="0" fontId="0" fillId="0" borderId="0" xfId="0" applyAlignment="1">
      <alignment horizontal="right"/>
    </xf>
    <xf numFmtId="0" fontId="0" fillId="4" borderId="37" xfId="0" applyFill="1" applyBorder="1"/>
    <xf numFmtId="0" fontId="0" fillId="0" borderId="38" xfId="0" applyBorder="1"/>
    <xf numFmtId="0" fontId="0" fillId="4" borderId="39" xfId="0" applyFill="1" applyBorder="1"/>
    <xf numFmtId="0" fontId="0" fillId="0" borderId="39" xfId="0" applyBorder="1"/>
    <xf numFmtId="0" fontId="0" fillId="0" borderId="40" xfId="0" applyBorder="1"/>
    <xf numFmtId="4" fontId="0" fillId="0" borderId="38" xfId="0" applyNumberFormat="1" applyBorder="1"/>
    <xf numFmtId="4" fontId="0" fillId="0" borderId="40" xfId="0" applyNumberFormat="1" applyBorder="1"/>
    <xf numFmtId="0" fontId="0" fillId="0" borderId="41" xfId="0" applyBorder="1"/>
    <xf numFmtId="0" fontId="0" fillId="4" borderId="0" xfId="0" applyFill="1"/>
    <xf numFmtId="0" fontId="0" fillId="0" borderId="42" xfId="0" applyBorder="1"/>
    <xf numFmtId="4" fontId="0" fillId="0" borderId="41" xfId="0" applyNumberFormat="1" applyBorder="1"/>
    <xf numFmtId="4" fontId="0" fillId="0" borderId="42" xfId="0" applyNumberFormat="1" applyBorder="1"/>
    <xf numFmtId="0" fontId="0" fillId="0" borderId="43" xfId="0" applyBorder="1"/>
    <xf numFmtId="0" fontId="0" fillId="4" borderId="44" xfId="0" applyFill="1" applyBorder="1"/>
    <xf numFmtId="0" fontId="0" fillId="0" borderId="44" xfId="0" applyBorder="1"/>
    <xf numFmtId="0" fontId="0" fillId="0" borderId="36" xfId="0" applyBorder="1"/>
    <xf numFmtId="4" fontId="0" fillId="0" borderId="43" xfId="0" applyNumberFormat="1" applyBorder="1"/>
    <xf numFmtId="4" fontId="0" fillId="0" borderId="36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FFFF"/>
      <color rgb="FF66CCFF"/>
      <color rgb="FFCCFFCC"/>
      <color rgb="FFFFFFCC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21"/>
  <sheetViews>
    <sheetView zoomScaleNormal="100" workbookViewId="0">
      <selection activeCell="F6" sqref="F6"/>
    </sheetView>
  </sheetViews>
  <sheetFormatPr defaultRowHeight="15" x14ac:dyDescent="0.25"/>
  <cols>
    <col min="1" max="1" width="3.7109375" customWidth="1"/>
    <col min="2" max="2" width="38.42578125" customWidth="1"/>
    <col min="3" max="3" width="23.7109375" customWidth="1"/>
    <col min="4" max="4" width="30.140625" customWidth="1"/>
    <col min="5" max="5" width="30.42578125" customWidth="1"/>
    <col min="6" max="6" width="25" customWidth="1"/>
    <col min="7" max="7" width="22.85546875" customWidth="1"/>
  </cols>
  <sheetData>
    <row r="1" spans="2:7" x14ac:dyDescent="0.25">
      <c r="B1" s="1" t="s">
        <v>15</v>
      </c>
    </row>
    <row r="2" spans="2:7" x14ac:dyDescent="0.25">
      <c r="B2" s="1" t="s">
        <v>16</v>
      </c>
    </row>
    <row r="4" spans="2:7" x14ac:dyDescent="0.25">
      <c r="B4" s="78" t="s">
        <v>6</v>
      </c>
      <c r="C4" s="77" t="s">
        <v>7</v>
      </c>
      <c r="D4" s="77"/>
      <c r="E4" s="77"/>
      <c r="F4" s="77"/>
      <c r="G4" s="77" t="s">
        <v>0</v>
      </c>
    </row>
    <row r="5" spans="2:7" x14ac:dyDescent="0.25">
      <c r="B5" s="79"/>
      <c r="C5" s="4" t="s">
        <v>1</v>
      </c>
      <c r="D5" s="4" t="s">
        <v>2</v>
      </c>
      <c r="E5" s="4" t="s">
        <v>3</v>
      </c>
      <c r="F5" s="4" t="s">
        <v>4</v>
      </c>
      <c r="G5" s="77"/>
    </row>
    <row r="6" spans="2:7" ht="45" x14ac:dyDescent="0.25">
      <c r="B6" s="80"/>
      <c r="C6" s="4" t="s">
        <v>11</v>
      </c>
      <c r="D6" s="5" t="s">
        <v>13</v>
      </c>
      <c r="E6" s="4" t="s">
        <v>12</v>
      </c>
      <c r="F6" s="4" t="s">
        <v>14</v>
      </c>
      <c r="G6" s="77"/>
    </row>
    <row r="7" spans="2:7" x14ac:dyDescent="0.25">
      <c r="B7" s="6">
        <v>1</v>
      </c>
      <c r="C7" s="6">
        <v>2</v>
      </c>
      <c r="D7" s="6">
        <v>3</v>
      </c>
      <c r="E7" s="6">
        <v>4</v>
      </c>
      <c r="F7" s="6">
        <v>5</v>
      </c>
      <c r="G7" s="6">
        <v>6</v>
      </c>
    </row>
    <row r="8" spans="2:7" x14ac:dyDescent="0.25">
      <c r="B8" s="3" t="s">
        <v>8</v>
      </c>
      <c r="C8" s="7">
        <v>10000</v>
      </c>
      <c r="D8" s="2">
        <v>1</v>
      </c>
      <c r="E8" s="2">
        <v>0.6</v>
      </c>
      <c r="F8" s="2">
        <v>10</v>
      </c>
      <c r="G8" s="8">
        <f>C8*D8*E8/F8</f>
        <v>600</v>
      </c>
    </row>
    <row r="9" spans="2:7" x14ac:dyDescent="0.25">
      <c r="B9" s="3" t="s">
        <v>9</v>
      </c>
      <c r="C9" s="7">
        <v>100</v>
      </c>
      <c r="D9" s="2">
        <v>3</v>
      </c>
      <c r="E9" s="2">
        <v>0.9</v>
      </c>
      <c r="F9" s="2">
        <v>5</v>
      </c>
      <c r="G9" s="8">
        <f t="shared" ref="G9:G10" si="0">C9*D9*E9/F9</f>
        <v>54</v>
      </c>
    </row>
    <row r="10" spans="2:7" x14ac:dyDescent="0.25">
      <c r="B10" s="3" t="s">
        <v>10</v>
      </c>
      <c r="C10" s="7">
        <v>1000</v>
      </c>
      <c r="D10" s="2">
        <v>2</v>
      </c>
      <c r="E10" s="2">
        <v>0.8</v>
      </c>
      <c r="F10" s="2">
        <v>7</v>
      </c>
      <c r="G10" s="8">
        <f t="shared" si="0"/>
        <v>228.57142857142858</v>
      </c>
    </row>
    <row r="12" spans="2:7" x14ac:dyDescent="0.25">
      <c r="B12" s="1" t="s">
        <v>0</v>
      </c>
    </row>
    <row r="13" spans="2:7" ht="15.75" thickBot="1" x14ac:dyDescent="0.3">
      <c r="B13" t="s">
        <v>5</v>
      </c>
      <c r="C13">
        <v>1</v>
      </c>
      <c r="D13">
        <v>3</v>
      </c>
      <c r="E13">
        <v>2</v>
      </c>
    </row>
    <row r="14" spans="2:7" x14ac:dyDescent="0.25">
      <c r="B14" s="84" t="s">
        <v>7</v>
      </c>
      <c r="C14" s="81" t="s">
        <v>6</v>
      </c>
      <c r="D14" s="82"/>
      <c r="E14" s="83"/>
    </row>
    <row r="15" spans="2:7" x14ac:dyDescent="0.25">
      <c r="B15" s="85"/>
      <c r="C15" s="30" t="s">
        <v>8</v>
      </c>
      <c r="D15" s="5" t="s">
        <v>9</v>
      </c>
      <c r="E15" s="21" t="s">
        <v>10</v>
      </c>
    </row>
    <row r="16" spans="2:7" ht="15.75" thickBot="1" x14ac:dyDescent="0.3">
      <c r="B16" s="25">
        <v>1</v>
      </c>
      <c r="C16" s="22">
        <v>2</v>
      </c>
      <c r="D16" s="23">
        <v>3</v>
      </c>
      <c r="E16" s="24">
        <v>4</v>
      </c>
    </row>
    <row r="17" spans="2:5" x14ac:dyDescent="0.25">
      <c r="B17" s="26" t="s">
        <v>1</v>
      </c>
      <c r="C17" s="31">
        <v>10000</v>
      </c>
      <c r="D17" s="32">
        <v>100</v>
      </c>
      <c r="E17" s="33">
        <v>1000</v>
      </c>
    </row>
    <row r="18" spans="2:5" x14ac:dyDescent="0.25">
      <c r="B18" s="27" t="s">
        <v>2</v>
      </c>
      <c r="C18" s="9">
        <v>1</v>
      </c>
      <c r="D18" s="2">
        <v>3</v>
      </c>
      <c r="E18" s="10">
        <v>2</v>
      </c>
    </row>
    <row r="19" spans="2:5" x14ac:dyDescent="0.25">
      <c r="B19" s="27" t="s">
        <v>3</v>
      </c>
      <c r="C19" s="9">
        <v>0.6</v>
      </c>
      <c r="D19" s="2">
        <v>0.9</v>
      </c>
      <c r="E19" s="10">
        <v>0.8</v>
      </c>
    </row>
    <row r="20" spans="2:5" ht="15.75" thickBot="1" x14ac:dyDescent="0.3">
      <c r="B20" s="28" t="s">
        <v>4</v>
      </c>
      <c r="C20" s="18">
        <v>10</v>
      </c>
      <c r="D20" s="19">
        <v>5</v>
      </c>
      <c r="E20" s="20">
        <v>7</v>
      </c>
    </row>
    <row r="21" spans="2:5" ht="15.75" thickBot="1" x14ac:dyDescent="0.3">
      <c r="B21" s="29" t="s">
        <v>0</v>
      </c>
      <c r="C21" s="34">
        <f>C17*C18*C19/C20</f>
        <v>600</v>
      </c>
      <c r="D21" s="35">
        <f>D17*D18*D19/D20</f>
        <v>54</v>
      </c>
      <c r="E21" s="36">
        <f>E17*E18*E19/E20</f>
        <v>228.57142857142858</v>
      </c>
    </row>
  </sheetData>
  <mergeCells count="5">
    <mergeCell ref="C4:F4"/>
    <mergeCell ref="B4:B6"/>
    <mergeCell ref="G4:G6"/>
    <mergeCell ref="C14:E14"/>
    <mergeCell ref="B14:B15"/>
  </mergeCells>
  <pageMargins left="0.70866141732283472" right="0.70866141732283472" top="0.74803149606299213" bottom="0.74803149606299213" header="0.31496062992125984" footer="0.31496062992125984"/>
  <pageSetup scale="5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30A30-01AD-4A79-8294-79BDC89AE7FD}">
  <sheetPr>
    <pageSetUpPr fitToPage="1"/>
  </sheetPr>
  <dimension ref="A1:J65"/>
  <sheetViews>
    <sheetView topLeftCell="A10" zoomScaleNormal="100" workbookViewId="0">
      <selection activeCell="F16" sqref="F16"/>
    </sheetView>
  </sheetViews>
  <sheetFormatPr defaultRowHeight="15" x14ac:dyDescent="0.25"/>
  <cols>
    <col min="1" max="1" width="3.7109375" customWidth="1"/>
    <col min="2" max="2" width="32.5703125" customWidth="1"/>
    <col min="3" max="3" width="15.42578125" customWidth="1"/>
    <col min="4" max="4" width="18.28515625" customWidth="1"/>
    <col min="5" max="5" width="17.140625" customWidth="1"/>
    <col min="6" max="6" width="16.42578125" customWidth="1"/>
    <col min="7" max="7" width="14.85546875" customWidth="1"/>
    <col min="8" max="8" width="16" customWidth="1"/>
    <col min="9" max="9" width="11.42578125" customWidth="1"/>
    <col min="10" max="10" width="13.140625" customWidth="1"/>
  </cols>
  <sheetData>
    <row r="1" spans="2:10" x14ac:dyDescent="0.25">
      <c r="B1" s="1" t="s">
        <v>23</v>
      </c>
    </row>
    <row r="2" spans="2:10" x14ac:dyDescent="0.25">
      <c r="B2" s="76" t="s">
        <v>30</v>
      </c>
    </row>
    <row r="3" spans="2:10" x14ac:dyDescent="0.25">
      <c r="B3" s="1" t="s">
        <v>24</v>
      </c>
    </row>
    <row r="4" spans="2:10" ht="15.75" thickBot="1" x14ac:dyDescent="0.3"/>
    <row r="5" spans="2:10" x14ac:dyDescent="0.25">
      <c r="B5" s="84" t="s">
        <v>7</v>
      </c>
      <c r="C5" s="81" t="s">
        <v>6</v>
      </c>
      <c r="D5" s="82"/>
      <c r="E5" s="83"/>
    </row>
    <row r="6" spans="2:10" x14ac:dyDescent="0.25">
      <c r="B6" s="85"/>
      <c r="C6" s="30" t="s">
        <v>8</v>
      </c>
      <c r="D6" s="5" t="s">
        <v>9</v>
      </c>
      <c r="E6" s="21" t="s">
        <v>10</v>
      </c>
    </row>
    <row r="7" spans="2:10" ht="15.75" thickBot="1" x14ac:dyDescent="0.3">
      <c r="B7" s="25">
        <v>1</v>
      </c>
      <c r="C7" s="22">
        <v>2</v>
      </c>
      <c r="D7" s="23">
        <v>3</v>
      </c>
      <c r="E7" s="24">
        <v>4</v>
      </c>
    </row>
    <row r="8" spans="2:10" x14ac:dyDescent="0.25">
      <c r="B8" s="26" t="s">
        <v>1</v>
      </c>
      <c r="C8" s="31">
        <v>10000</v>
      </c>
      <c r="D8" s="32">
        <v>100</v>
      </c>
      <c r="E8" s="33">
        <v>1000</v>
      </c>
    </row>
    <row r="9" spans="2:10" x14ac:dyDescent="0.25">
      <c r="B9" s="27" t="s">
        <v>2</v>
      </c>
      <c r="C9" s="9">
        <v>1</v>
      </c>
      <c r="D9" s="2">
        <v>3</v>
      </c>
      <c r="E9" s="10">
        <v>2</v>
      </c>
    </row>
    <row r="10" spans="2:10" x14ac:dyDescent="0.25">
      <c r="B10" s="27" t="s">
        <v>3</v>
      </c>
      <c r="C10" s="9">
        <v>0.6</v>
      </c>
      <c r="D10" s="2">
        <v>0.9</v>
      </c>
      <c r="E10" s="10">
        <v>0.8</v>
      </c>
    </row>
    <row r="11" spans="2:10" ht="15.75" thickBot="1" x14ac:dyDescent="0.3">
      <c r="B11" s="28" t="s">
        <v>4</v>
      </c>
      <c r="C11" s="18">
        <v>10</v>
      </c>
      <c r="D11" s="19">
        <v>5</v>
      </c>
      <c r="E11" s="20">
        <v>7</v>
      </c>
    </row>
    <row r="12" spans="2:10" ht="15.75" thickBot="1" x14ac:dyDescent="0.3">
      <c r="B12" s="29" t="s">
        <v>0</v>
      </c>
      <c r="C12" s="65">
        <f>C8*C9*C10/C11</f>
        <v>600</v>
      </c>
      <c r="D12" s="66">
        <f>D8*D9*D10/D11</f>
        <v>54</v>
      </c>
      <c r="E12" s="67">
        <f>E8*E9*E10/E11</f>
        <v>228.57142857142858</v>
      </c>
    </row>
    <row r="14" spans="2:10" ht="15.75" thickBot="1" x14ac:dyDescent="0.3">
      <c r="B14" s="1" t="s">
        <v>8</v>
      </c>
      <c r="C14">
        <v>1</v>
      </c>
      <c r="D14">
        <v>2</v>
      </c>
      <c r="E14">
        <v>3</v>
      </c>
      <c r="F14">
        <v>4</v>
      </c>
      <c r="G14">
        <v>1</v>
      </c>
      <c r="H14">
        <v>2</v>
      </c>
      <c r="I14">
        <v>3</v>
      </c>
      <c r="J14">
        <v>4</v>
      </c>
    </row>
    <row r="15" spans="2:10" ht="15.75" thickBot="1" x14ac:dyDescent="0.3">
      <c r="B15" s="14" t="s">
        <v>7</v>
      </c>
      <c r="C15" s="86" t="s">
        <v>17</v>
      </c>
      <c r="D15" s="87"/>
      <c r="E15" s="87"/>
      <c r="F15" s="88"/>
      <c r="G15" s="86" t="s">
        <v>18</v>
      </c>
      <c r="H15" s="87"/>
      <c r="I15" s="87"/>
      <c r="J15" s="88"/>
    </row>
    <row r="16" spans="2:10" x14ac:dyDescent="0.25">
      <c r="B16" s="15" t="s">
        <v>1</v>
      </c>
      <c r="C16" s="37">
        <f>C8-0.03*C8</f>
        <v>9700</v>
      </c>
      <c r="D16" s="38">
        <f>C8-0.01*C8</f>
        <v>9900</v>
      </c>
      <c r="E16" s="38">
        <f>C8+0.01*C8</f>
        <v>10100</v>
      </c>
      <c r="F16" s="39">
        <f>C8+0.03*C8</f>
        <v>10300</v>
      </c>
      <c r="G16" s="37">
        <f>C8-0.02*C8</f>
        <v>9800</v>
      </c>
      <c r="H16" s="38">
        <f>C8-0.01*C8</f>
        <v>9900</v>
      </c>
      <c r="I16" s="38">
        <f>C8+0.01*C8</f>
        <v>10100</v>
      </c>
      <c r="J16" s="39">
        <f>C8+0.02*C8</f>
        <v>10200</v>
      </c>
    </row>
    <row r="17" spans="1:10" x14ac:dyDescent="0.25">
      <c r="B17" s="16" t="s">
        <v>2</v>
      </c>
      <c r="C17" s="11">
        <f>C9-0.03*C9</f>
        <v>0.97</v>
      </c>
      <c r="D17" s="12">
        <f>C9-0.01*C9</f>
        <v>0.99</v>
      </c>
      <c r="E17" s="12">
        <f>C9+0.01*C9</f>
        <v>1.01</v>
      </c>
      <c r="F17" s="13">
        <f>C9+0.03*C9</f>
        <v>1.03</v>
      </c>
      <c r="G17" s="11">
        <f>C9-0.02*C9</f>
        <v>0.98</v>
      </c>
      <c r="H17" s="12">
        <f>C9-0.01*C9</f>
        <v>0.99</v>
      </c>
      <c r="I17" s="12">
        <f>C9+0.01*C9</f>
        <v>1.01</v>
      </c>
      <c r="J17" s="13">
        <f>C9+0.02*C9</f>
        <v>1.02</v>
      </c>
    </row>
    <row r="18" spans="1:10" x14ac:dyDescent="0.25">
      <c r="B18" s="16" t="s">
        <v>3</v>
      </c>
      <c r="C18" s="40">
        <f>C10-0.03*C10</f>
        <v>0.58199999999999996</v>
      </c>
      <c r="D18" s="41">
        <f>C10-0.01*C10</f>
        <v>0.59399999999999997</v>
      </c>
      <c r="E18" s="41">
        <f>C10+0.01*C10</f>
        <v>0.60599999999999998</v>
      </c>
      <c r="F18" s="42">
        <f>C10+0.03*C10</f>
        <v>0.61799999999999999</v>
      </c>
      <c r="G18" s="40">
        <f>C10-0.02*C10</f>
        <v>0.58799999999999997</v>
      </c>
      <c r="H18" s="41">
        <f>C10-0.01*C10</f>
        <v>0.59399999999999997</v>
      </c>
      <c r="I18" s="41">
        <f>C10+0.01*C10</f>
        <v>0.60599999999999998</v>
      </c>
      <c r="J18" s="42">
        <f>C10+0.02*C10</f>
        <v>0.61199999999999999</v>
      </c>
    </row>
    <row r="19" spans="1:10" ht="15.75" thickBot="1" x14ac:dyDescent="0.3">
      <c r="B19" s="17" t="s">
        <v>4</v>
      </c>
      <c r="C19" s="54">
        <f>C11-0.03*C11</f>
        <v>9.6999999999999993</v>
      </c>
      <c r="D19" s="55">
        <f>C11-0.01*C11</f>
        <v>9.9</v>
      </c>
      <c r="E19" s="55">
        <f>C11+0.01*C11</f>
        <v>10.1</v>
      </c>
      <c r="F19" s="56">
        <f>C11+0.03*C11</f>
        <v>10.3</v>
      </c>
      <c r="G19" s="54">
        <f>C11-0.02*C11</f>
        <v>9.8000000000000007</v>
      </c>
      <c r="H19" s="55">
        <f>C11-0.01*C11</f>
        <v>9.9</v>
      </c>
      <c r="I19" s="55">
        <f>C11+0.01*C11</f>
        <v>10.1</v>
      </c>
      <c r="J19" s="56">
        <f>C11+0.02*C11</f>
        <v>10.199999999999999</v>
      </c>
    </row>
    <row r="20" spans="1:10" ht="15.75" thickBot="1" x14ac:dyDescent="0.3">
      <c r="B20" s="47" t="s">
        <v>0</v>
      </c>
      <c r="C20" s="53">
        <f>C24</f>
        <v>530.06682678168806</v>
      </c>
      <c r="D20" s="57">
        <f t="shared" ref="D20:J20" si="0">D24</f>
        <v>576.41524752475243</v>
      </c>
      <c r="E20" s="57">
        <f t="shared" si="0"/>
        <v>624.42484848484844</v>
      </c>
      <c r="F20" s="58">
        <f t="shared" si="0"/>
        <v>674.13403734312828</v>
      </c>
      <c r="G20" s="53">
        <f t="shared" si="0"/>
        <v>553.24103715322019</v>
      </c>
      <c r="H20" s="57">
        <f t="shared" si="0"/>
        <v>576.41524752475243</v>
      </c>
      <c r="I20" s="57">
        <f t="shared" si="0"/>
        <v>624.42484848484844</v>
      </c>
      <c r="J20" s="58">
        <f t="shared" si="0"/>
        <v>649.27944291398831</v>
      </c>
    </row>
    <row r="21" spans="1:10" ht="15.75" thickBot="1" x14ac:dyDescent="0.3"/>
    <row r="22" spans="1:10" x14ac:dyDescent="0.25">
      <c r="B22" s="44" t="s">
        <v>19</v>
      </c>
      <c r="C22" s="31">
        <f>C16*D17+C17*D16-D16*D17</f>
        <v>9405</v>
      </c>
      <c r="D22" s="32">
        <f>D16*D17</f>
        <v>9801</v>
      </c>
      <c r="E22" s="32">
        <f>E16*E17</f>
        <v>10201</v>
      </c>
      <c r="F22" s="33">
        <f>E16*F17+E17*F16-E16*E17</f>
        <v>10605</v>
      </c>
      <c r="G22" s="31">
        <f>G16*H17+G17*H16-H16*H17</f>
        <v>9603</v>
      </c>
      <c r="H22" s="32">
        <f>H16*H17</f>
        <v>9801</v>
      </c>
      <c r="I22" s="32">
        <f>I16*I17</f>
        <v>10201</v>
      </c>
      <c r="J22" s="33">
        <f>I16*J17+I17*J16-I16*I17</f>
        <v>10403</v>
      </c>
    </row>
    <row r="23" spans="1:10" x14ac:dyDescent="0.25">
      <c r="B23" s="45" t="s">
        <v>20</v>
      </c>
      <c r="C23" s="48">
        <f>C22*D18+C18*D22-D22*D18</f>
        <v>5468.9580000000005</v>
      </c>
      <c r="D23" s="7">
        <f>D22*D18</f>
        <v>5821.7939999999999</v>
      </c>
      <c r="E23" s="7">
        <f>E22*E18</f>
        <v>6181.8059999999996</v>
      </c>
      <c r="F23" s="49">
        <f>E22*F18+E18*F22-E18*E22</f>
        <v>6549.0420000000004</v>
      </c>
      <c r="G23" s="48">
        <f>G22*H18+G18*H22-H22*H18</f>
        <v>5645.3759999999984</v>
      </c>
      <c r="H23" s="7">
        <f>H22*H18</f>
        <v>5821.7939999999999</v>
      </c>
      <c r="I23" s="7">
        <f>I22*I18</f>
        <v>6181.8059999999996</v>
      </c>
      <c r="J23" s="49">
        <f>I22*J18+I18*J22-I18*I22</f>
        <v>6365.424</v>
      </c>
    </row>
    <row r="24" spans="1:10" ht="15.75" thickBot="1" x14ac:dyDescent="0.3">
      <c r="B24" s="46" t="s">
        <v>21</v>
      </c>
      <c r="C24" s="50">
        <f>(D23*E19-D23*F19+C23*E19)/(E19^2)</f>
        <v>530.06682678168806</v>
      </c>
      <c r="D24" s="51">
        <f>D23/E19</f>
        <v>576.41524752475243</v>
      </c>
      <c r="E24" s="51">
        <f>E23/D19</f>
        <v>624.42484848484844</v>
      </c>
      <c r="F24" s="52">
        <f>(E23*D19-E23*C19+F23*D19)/(D19^2)</f>
        <v>674.13403734312828</v>
      </c>
      <c r="G24" s="50">
        <f>(H23*I19-H23*J19+G23*I19)/(I19^2)</f>
        <v>553.24103715322019</v>
      </c>
      <c r="H24" s="51">
        <f>H23/I19</f>
        <v>576.41524752475243</v>
      </c>
      <c r="I24" s="51">
        <f>I23/H19</f>
        <v>624.42484848484844</v>
      </c>
      <c r="J24" s="52">
        <f>(I23*H19-I23*G19+J23*H19)/(H19^2)</f>
        <v>649.27944291398831</v>
      </c>
    </row>
    <row r="25" spans="1:10" x14ac:dyDescent="0.25">
      <c r="B25" s="60"/>
      <c r="C25" s="59"/>
      <c r="D25" s="59"/>
      <c r="E25" s="59"/>
      <c r="F25" s="59"/>
      <c r="G25" s="59"/>
      <c r="H25" s="59"/>
      <c r="I25" s="59"/>
      <c r="J25" s="59"/>
    </row>
    <row r="26" spans="1:10" ht="15.75" thickBot="1" x14ac:dyDescent="0.3">
      <c r="C26" s="1" t="s">
        <v>25</v>
      </c>
      <c r="F26" s="1" t="s">
        <v>26</v>
      </c>
      <c r="I26" s="59"/>
      <c r="J26" s="59"/>
    </row>
    <row r="27" spans="1:10" ht="15.75" thickBot="1" x14ac:dyDescent="0.3">
      <c r="A27" s="1">
        <v>0.8</v>
      </c>
      <c r="B27" s="43" t="s">
        <v>22</v>
      </c>
      <c r="C27" s="68">
        <f>A27*D24+(1-A27)*C24</f>
        <v>567.14556337613953</v>
      </c>
      <c r="D27" s="62">
        <f>A27*E24+(1-A27)*F24</f>
        <v>634.36668625650441</v>
      </c>
      <c r="E27" s="63"/>
      <c r="F27" s="61">
        <f>A27*H24+(1-A27)*G24</f>
        <v>571.78040545044598</v>
      </c>
      <c r="G27" s="62">
        <f>A27*I24+(1-A27)*J24</f>
        <v>629.39576737067637</v>
      </c>
      <c r="I27" s="59"/>
      <c r="J27" s="59"/>
    </row>
    <row r="28" spans="1:10" ht="15.75" thickBot="1" x14ac:dyDescent="0.3">
      <c r="A28" s="1"/>
      <c r="B28" s="71" t="s">
        <v>28</v>
      </c>
      <c r="C28" s="69">
        <f>(C27+D27)/2</f>
        <v>600.75612481632197</v>
      </c>
      <c r="D28" s="63"/>
      <c r="E28" s="63"/>
      <c r="F28" s="64">
        <f>(F27+G27)/2</f>
        <v>600.58808641056112</v>
      </c>
      <c r="G28" s="63"/>
      <c r="I28" s="59"/>
      <c r="J28" s="59"/>
    </row>
    <row r="29" spans="1:10" x14ac:dyDescent="0.25">
      <c r="B29" s="72" t="s">
        <v>27</v>
      </c>
      <c r="C29" s="70">
        <f>(C28+F28)/2</f>
        <v>600.67210561344154</v>
      </c>
      <c r="I29" s="59"/>
      <c r="J29" s="59"/>
    </row>
    <row r="30" spans="1:10" x14ac:dyDescent="0.25">
      <c r="B30" s="60"/>
      <c r="C30" s="59"/>
      <c r="D30" s="59"/>
      <c r="E30" s="59"/>
      <c r="F30" s="59"/>
      <c r="G30" s="59"/>
      <c r="H30" s="59"/>
      <c r="I30" s="59"/>
      <c r="J30" s="59"/>
    </row>
    <row r="31" spans="1:10" x14ac:dyDescent="0.25">
      <c r="B31" s="60"/>
      <c r="C31" s="59"/>
      <c r="D31" s="59"/>
      <c r="E31" s="59"/>
      <c r="F31" s="59"/>
      <c r="G31" s="59"/>
      <c r="H31" s="59"/>
      <c r="I31" s="59"/>
      <c r="J31" s="59"/>
    </row>
    <row r="32" spans="1:10" ht="15.75" thickBot="1" x14ac:dyDescent="0.3">
      <c r="B32" s="1" t="s">
        <v>9</v>
      </c>
      <c r="C32">
        <v>1</v>
      </c>
      <c r="D32">
        <v>2</v>
      </c>
      <c r="E32">
        <v>3</v>
      </c>
      <c r="F32">
        <v>4</v>
      </c>
      <c r="G32">
        <v>1</v>
      </c>
      <c r="H32">
        <v>2</v>
      </c>
      <c r="I32">
        <v>3</v>
      </c>
      <c r="J32">
        <v>4</v>
      </c>
    </row>
    <row r="33" spans="1:10" ht="15.75" thickBot="1" x14ac:dyDescent="0.3">
      <c r="B33" s="14" t="s">
        <v>7</v>
      </c>
      <c r="C33" s="86" t="s">
        <v>17</v>
      </c>
      <c r="D33" s="87"/>
      <c r="E33" s="87"/>
      <c r="F33" s="88"/>
      <c r="G33" s="86" t="s">
        <v>18</v>
      </c>
      <c r="H33" s="87"/>
      <c r="I33" s="87"/>
      <c r="J33" s="88"/>
    </row>
    <row r="34" spans="1:10" x14ac:dyDescent="0.25">
      <c r="B34" s="15" t="s">
        <v>1</v>
      </c>
      <c r="C34" s="37">
        <f>D8-0.03*D8</f>
        <v>97</v>
      </c>
      <c r="D34" s="38">
        <f>D8-0.01*D8</f>
        <v>99</v>
      </c>
      <c r="E34" s="38">
        <f>D8+0.01*D8</f>
        <v>101</v>
      </c>
      <c r="F34" s="39">
        <f>D8+0.03*D8</f>
        <v>103</v>
      </c>
      <c r="G34" s="37">
        <f>D8-0.02*D8</f>
        <v>98</v>
      </c>
      <c r="H34" s="38">
        <f>D8-0.01*D8</f>
        <v>99</v>
      </c>
      <c r="I34" s="38">
        <f>D8+0.01*D8</f>
        <v>101</v>
      </c>
      <c r="J34" s="39">
        <f>D8+0.02*D8</f>
        <v>102</v>
      </c>
    </row>
    <row r="35" spans="1:10" ht="12.75" customHeight="1" x14ac:dyDescent="0.25">
      <c r="B35" s="16" t="s">
        <v>2</v>
      </c>
      <c r="C35" s="73">
        <f t="shared" ref="C35:C37" si="1">D9-0.03*D9</f>
        <v>2.91</v>
      </c>
      <c r="D35" s="74">
        <f t="shared" ref="D35:D37" si="2">D9-0.01*D9</f>
        <v>2.97</v>
      </c>
      <c r="E35" s="74">
        <f t="shared" ref="E35:E37" si="3">D9+0.01*D9</f>
        <v>3.03</v>
      </c>
      <c r="F35" s="75">
        <f t="shared" ref="F35:F37" si="4">D9+0.03*D9</f>
        <v>3.09</v>
      </c>
      <c r="G35" s="73">
        <f t="shared" ref="G35:G37" si="5">D9-0.02*D9</f>
        <v>2.94</v>
      </c>
      <c r="H35" s="74">
        <f t="shared" ref="H35:H37" si="6">D9-0.01*D9</f>
        <v>2.97</v>
      </c>
      <c r="I35" s="74">
        <f t="shared" ref="I35:I37" si="7">D9+0.01*D9</f>
        <v>3.03</v>
      </c>
      <c r="J35" s="75">
        <f t="shared" ref="J35:J37" si="8">D9+0.02*D9</f>
        <v>3.06</v>
      </c>
    </row>
    <row r="36" spans="1:10" x14ac:dyDescent="0.25">
      <c r="B36" s="16" t="s">
        <v>3</v>
      </c>
      <c r="C36" s="73">
        <f t="shared" si="1"/>
        <v>0.873</v>
      </c>
      <c r="D36" s="74">
        <f t="shared" si="2"/>
        <v>0.89100000000000001</v>
      </c>
      <c r="E36" s="74">
        <f t="shared" si="3"/>
        <v>0.90900000000000003</v>
      </c>
      <c r="F36" s="75">
        <f t="shared" si="4"/>
        <v>0.92700000000000005</v>
      </c>
      <c r="G36" s="73">
        <f t="shared" si="5"/>
        <v>0.88200000000000001</v>
      </c>
      <c r="H36" s="74">
        <f t="shared" si="6"/>
        <v>0.89100000000000001</v>
      </c>
      <c r="I36" s="74">
        <f t="shared" si="7"/>
        <v>0.90900000000000003</v>
      </c>
      <c r="J36" s="75">
        <f t="shared" si="8"/>
        <v>0.91800000000000004</v>
      </c>
    </row>
    <row r="37" spans="1:10" ht="15.75" thickBot="1" x14ac:dyDescent="0.3">
      <c r="B37" s="17" t="s">
        <v>4</v>
      </c>
      <c r="C37" s="73">
        <f t="shared" si="1"/>
        <v>4.8499999999999996</v>
      </c>
      <c r="D37" s="74">
        <f t="shared" si="2"/>
        <v>4.95</v>
      </c>
      <c r="E37" s="74">
        <f t="shared" si="3"/>
        <v>5.05</v>
      </c>
      <c r="F37" s="75">
        <f t="shared" si="4"/>
        <v>5.15</v>
      </c>
      <c r="G37" s="73">
        <f t="shared" si="5"/>
        <v>4.9000000000000004</v>
      </c>
      <c r="H37" s="74">
        <f t="shared" si="6"/>
        <v>4.95</v>
      </c>
      <c r="I37" s="74">
        <f t="shared" si="7"/>
        <v>5.05</v>
      </c>
      <c r="J37" s="75">
        <f t="shared" si="8"/>
        <v>5.0999999999999996</v>
      </c>
    </row>
    <row r="38" spans="1:10" ht="15.75" thickBot="1" x14ac:dyDescent="0.3">
      <c r="B38" s="47" t="s">
        <v>0</v>
      </c>
      <c r="C38" s="53">
        <f>C42</f>
        <v>47.706014410351919</v>
      </c>
      <c r="D38" s="57">
        <f t="shared" ref="D38:J38" si="9">D42</f>
        <v>51.877372277227735</v>
      </c>
      <c r="E38" s="57">
        <f t="shared" si="9"/>
        <v>56.198236363636362</v>
      </c>
      <c r="F38" s="58">
        <f t="shared" si="9"/>
        <v>60.672063360881552</v>
      </c>
      <c r="G38" s="53">
        <f t="shared" si="9"/>
        <v>49.791693343789817</v>
      </c>
      <c r="H38" s="57">
        <f t="shared" si="9"/>
        <v>51.877372277227735</v>
      </c>
      <c r="I38" s="57">
        <f t="shared" si="9"/>
        <v>56.198236363636362</v>
      </c>
      <c r="J38" s="58">
        <f t="shared" si="9"/>
        <v>58.43514986225896</v>
      </c>
    </row>
    <row r="39" spans="1:10" ht="15.75" thickBot="1" x14ac:dyDescent="0.3"/>
    <row r="40" spans="1:10" x14ac:dyDescent="0.25">
      <c r="B40" s="44" t="s">
        <v>19</v>
      </c>
      <c r="C40" s="31">
        <f>C34*D35+C35*D34-D34*D35</f>
        <v>282.15000000000003</v>
      </c>
      <c r="D40" s="32">
        <f>D34*D35</f>
        <v>294.03000000000003</v>
      </c>
      <c r="E40" s="32">
        <f>E34*E35</f>
        <v>306.02999999999997</v>
      </c>
      <c r="F40" s="33">
        <f>E34*F35+E35*F34-E34*E35</f>
        <v>318.14999999999998</v>
      </c>
      <c r="G40" s="31">
        <f>G34*H35+G35*H34-H34*H35</f>
        <v>288.08999999999997</v>
      </c>
      <c r="H40" s="32">
        <f>H34*H35</f>
        <v>294.03000000000003</v>
      </c>
      <c r="I40" s="32">
        <f>I34*I35</f>
        <v>306.02999999999997</v>
      </c>
      <c r="J40" s="33">
        <f>I34*J35+I35*J34-I34*I35</f>
        <v>312.09000000000003</v>
      </c>
    </row>
    <row r="41" spans="1:10" x14ac:dyDescent="0.25">
      <c r="B41" s="45" t="s">
        <v>20</v>
      </c>
      <c r="C41" s="48">
        <f>C40*D36+C36*D40-D40*D36</f>
        <v>246.10311000000002</v>
      </c>
      <c r="D41" s="7">
        <f>D40*D36</f>
        <v>261.98073000000005</v>
      </c>
      <c r="E41" s="7">
        <f>E40*E36</f>
        <v>278.18126999999998</v>
      </c>
      <c r="F41" s="49">
        <f>E40*F36+E36*F40-E36*E40</f>
        <v>294.70688999999999</v>
      </c>
      <c r="G41" s="48">
        <f>G40*H36+G36*H40-H40*H36</f>
        <v>254.04191999999995</v>
      </c>
      <c r="H41" s="7">
        <f>H40*H36</f>
        <v>261.98073000000005</v>
      </c>
      <c r="I41" s="7">
        <f>I40*I36</f>
        <v>278.18126999999998</v>
      </c>
      <c r="J41" s="49">
        <f>I40*J36+I36*J40-I36*I40</f>
        <v>286.44408000000004</v>
      </c>
    </row>
    <row r="42" spans="1:10" ht="15.75" thickBot="1" x14ac:dyDescent="0.3">
      <c r="B42" s="46" t="s">
        <v>21</v>
      </c>
      <c r="C42" s="50">
        <f>(D41*E37-D41*F37+C41*E37)/(E37^2)</f>
        <v>47.706014410351919</v>
      </c>
      <c r="D42" s="51">
        <f>D41/E37</f>
        <v>51.877372277227735</v>
      </c>
      <c r="E42" s="51">
        <f>E41/D37</f>
        <v>56.198236363636362</v>
      </c>
      <c r="F42" s="52">
        <f>(E41*D37-E41*C37+F41*D37)/(D37^2)</f>
        <v>60.672063360881552</v>
      </c>
      <c r="G42" s="50">
        <f>(H41*I37-H41*J37+G41*I37)/(I37^2)</f>
        <v>49.791693343789817</v>
      </c>
      <c r="H42" s="51">
        <f>H41/I37</f>
        <v>51.877372277227735</v>
      </c>
      <c r="I42" s="51">
        <f>I41/H37</f>
        <v>56.198236363636362</v>
      </c>
      <c r="J42" s="52">
        <f>(I41*H37-I41*G37+J41*H37)/(H37^2)</f>
        <v>58.43514986225896</v>
      </c>
    </row>
    <row r="43" spans="1:10" x14ac:dyDescent="0.25">
      <c r="B43" s="60"/>
      <c r="C43" s="59"/>
      <c r="D43" s="59"/>
      <c r="E43" s="59"/>
      <c r="F43" s="59"/>
      <c r="G43" s="59"/>
      <c r="H43" s="59"/>
      <c r="I43" s="59"/>
      <c r="J43" s="59"/>
    </row>
    <row r="44" spans="1:10" ht="15.75" thickBot="1" x14ac:dyDescent="0.3">
      <c r="C44" s="1" t="s">
        <v>25</v>
      </c>
      <c r="F44" s="1" t="s">
        <v>26</v>
      </c>
      <c r="I44" s="59"/>
      <c r="J44" s="59"/>
    </row>
    <row r="45" spans="1:10" ht="15.75" thickBot="1" x14ac:dyDescent="0.3">
      <c r="A45" s="1">
        <v>0.8</v>
      </c>
      <c r="B45" s="43" t="s">
        <v>22</v>
      </c>
      <c r="C45" s="68">
        <f>A45*D42+(1-A45)*C42</f>
        <v>51.043100703852573</v>
      </c>
      <c r="D45" s="62">
        <f>A45*E42+(1-A45)*F42</f>
        <v>57.093001763085397</v>
      </c>
      <c r="E45" s="63"/>
      <c r="F45" s="61">
        <f>A45*H42+(1-A45)*G42</f>
        <v>51.460236490540154</v>
      </c>
      <c r="G45" s="62">
        <f>A45*I42+(1-A45)*J42</f>
        <v>56.645619063360883</v>
      </c>
      <c r="I45" s="59"/>
      <c r="J45" s="59"/>
    </row>
    <row r="46" spans="1:10" ht="15.75" thickBot="1" x14ac:dyDescent="0.3">
      <c r="A46" s="1"/>
      <c r="B46" s="71" t="s">
        <v>28</v>
      </c>
      <c r="C46" s="69">
        <f>(C45+D45)/2</f>
        <v>54.068051233468985</v>
      </c>
      <c r="D46" s="63"/>
      <c r="E46" s="63"/>
      <c r="F46" s="64">
        <f>(F45+G45)/2</f>
        <v>54.052927776950519</v>
      </c>
      <c r="G46" s="63"/>
      <c r="I46" s="59"/>
      <c r="J46" s="59"/>
    </row>
    <row r="47" spans="1:10" x14ac:dyDescent="0.25">
      <c r="B47" s="72" t="s">
        <v>27</v>
      </c>
      <c r="C47" s="70">
        <f>(C46+F46)/2</f>
        <v>54.060489505209752</v>
      </c>
      <c r="I47" s="59"/>
      <c r="J47" s="59"/>
    </row>
    <row r="50" spans="1:10" ht="15.75" thickBot="1" x14ac:dyDescent="0.3">
      <c r="B50" s="1" t="s">
        <v>10</v>
      </c>
      <c r="C50">
        <v>1</v>
      </c>
      <c r="D50">
        <v>2</v>
      </c>
      <c r="E50">
        <v>3</v>
      </c>
      <c r="F50">
        <v>4</v>
      </c>
      <c r="G50">
        <v>1</v>
      </c>
      <c r="H50">
        <v>2</v>
      </c>
      <c r="I50">
        <v>3</v>
      </c>
      <c r="J50">
        <v>4</v>
      </c>
    </row>
    <row r="51" spans="1:10" ht="15.75" thickBot="1" x14ac:dyDescent="0.3">
      <c r="B51" s="14" t="s">
        <v>7</v>
      </c>
      <c r="C51" s="86" t="s">
        <v>17</v>
      </c>
      <c r="D51" s="87"/>
      <c r="E51" s="87"/>
      <c r="F51" s="88"/>
      <c r="G51" s="86" t="s">
        <v>18</v>
      </c>
      <c r="H51" s="87"/>
      <c r="I51" s="87"/>
      <c r="J51" s="88"/>
    </row>
    <row r="52" spans="1:10" x14ac:dyDescent="0.25">
      <c r="B52" s="15" t="s">
        <v>1</v>
      </c>
      <c r="C52" s="37">
        <f>E8-0.03*E8</f>
        <v>970</v>
      </c>
      <c r="D52" s="38">
        <f>E8-0.01*E8</f>
        <v>990</v>
      </c>
      <c r="E52" s="38">
        <f>E8+0.01*E8</f>
        <v>1010</v>
      </c>
      <c r="F52" s="39">
        <f>E8+0.03*E8</f>
        <v>1030</v>
      </c>
      <c r="G52" s="37">
        <f>E8-0.02*E8</f>
        <v>980</v>
      </c>
      <c r="H52" s="38">
        <f>E8-0.01*E8</f>
        <v>990</v>
      </c>
      <c r="I52" s="38">
        <f>E8+0.01*E8</f>
        <v>1010</v>
      </c>
      <c r="J52" s="39">
        <f>E8+0.02*E8</f>
        <v>1020</v>
      </c>
    </row>
    <row r="53" spans="1:10" x14ac:dyDescent="0.25">
      <c r="B53" s="16" t="s">
        <v>2</v>
      </c>
      <c r="C53" s="73">
        <f t="shared" ref="C53:C55" si="10">E9-0.03*E9</f>
        <v>1.94</v>
      </c>
      <c r="D53" s="74">
        <f t="shared" ref="D53:D55" si="11">E9-0.01*E9</f>
        <v>1.98</v>
      </c>
      <c r="E53" s="74">
        <f t="shared" ref="E53:E55" si="12">E9+0.01*E9</f>
        <v>2.02</v>
      </c>
      <c r="F53" s="75">
        <f t="shared" ref="F53:F55" si="13">E9+0.03*E9</f>
        <v>2.06</v>
      </c>
      <c r="G53" s="73">
        <f t="shared" ref="G53:G55" si="14">E9-0.02*E9</f>
        <v>1.96</v>
      </c>
      <c r="H53" s="74">
        <f t="shared" ref="H53:H55" si="15">E9-0.01*E9</f>
        <v>1.98</v>
      </c>
      <c r="I53" s="74">
        <f t="shared" ref="I53:I55" si="16">E9+0.01*E9</f>
        <v>2.02</v>
      </c>
      <c r="J53" s="75">
        <f t="shared" ref="J53:J55" si="17">E9+0.02*E9</f>
        <v>2.04</v>
      </c>
    </row>
    <row r="54" spans="1:10" x14ac:dyDescent="0.25">
      <c r="B54" s="16" t="s">
        <v>3</v>
      </c>
      <c r="C54" s="73">
        <f t="shared" si="10"/>
        <v>0.77600000000000002</v>
      </c>
      <c r="D54" s="74">
        <f t="shared" si="11"/>
        <v>0.79200000000000004</v>
      </c>
      <c r="E54" s="74">
        <f t="shared" si="12"/>
        <v>0.80800000000000005</v>
      </c>
      <c r="F54" s="75">
        <f t="shared" si="13"/>
        <v>0.82400000000000007</v>
      </c>
      <c r="G54" s="73">
        <f t="shared" si="14"/>
        <v>0.78400000000000003</v>
      </c>
      <c r="H54" s="74">
        <f t="shared" si="15"/>
        <v>0.79200000000000004</v>
      </c>
      <c r="I54" s="74">
        <f t="shared" si="16"/>
        <v>0.80800000000000005</v>
      </c>
      <c r="J54" s="75">
        <f t="shared" si="17"/>
        <v>0.81600000000000006</v>
      </c>
    </row>
    <row r="55" spans="1:10" ht="15.75" thickBot="1" x14ac:dyDescent="0.3">
      <c r="B55" s="17" t="s">
        <v>4</v>
      </c>
      <c r="C55" s="73">
        <f t="shared" si="10"/>
        <v>6.79</v>
      </c>
      <c r="D55" s="74">
        <f t="shared" si="11"/>
        <v>6.93</v>
      </c>
      <c r="E55" s="74">
        <f t="shared" si="12"/>
        <v>7.07</v>
      </c>
      <c r="F55" s="75">
        <f t="shared" si="13"/>
        <v>7.21</v>
      </c>
      <c r="G55" s="73">
        <f t="shared" si="14"/>
        <v>6.86</v>
      </c>
      <c r="H55" s="74">
        <f t="shared" si="15"/>
        <v>6.93</v>
      </c>
      <c r="I55" s="74">
        <f t="shared" si="16"/>
        <v>7.07</v>
      </c>
      <c r="J55" s="75">
        <f t="shared" si="17"/>
        <v>7.14</v>
      </c>
    </row>
    <row r="56" spans="1:10" ht="15.75" thickBot="1" x14ac:dyDescent="0.3">
      <c r="B56" s="47" t="s">
        <v>0</v>
      </c>
      <c r="C56" s="53">
        <f>C60</f>
        <v>201.93021972635739</v>
      </c>
      <c r="D56" s="57">
        <f t="shared" ref="D56:J56" si="18">D60</f>
        <v>219.58676096181048</v>
      </c>
      <c r="E56" s="57">
        <f t="shared" si="18"/>
        <v>237.87613275613279</v>
      </c>
      <c r="F56" s="58">
        <f t="shared" si="18"/>
        <v>256.81296660690606</v>
      </c>
      <c r="G56" s="53">
        <f t="shared" si="18"/>
        <v>210.75849034408392</v>
      </c>
      <c r="H56" s="57">
        <f t="shared" si="18"/>
        <v>219.58676096181048</v>
      </c>
      <c r="I56" s="57">
        <f t="shared" si="18"/>
        <v>237.87613275613279</v>
      </c>
      <c r="J56" s="58">
        <f t="shared" si="18"/>
        <v>247.34454968151948</v>
      </c>
    </row>
    <row r="57" spans="1:10" ht="15.75" thickBot="1" x14ac:dyDescent="0.3"/>
    <row r="58" spans="1:10" x14ac:dyDescent="0.25">
      <c r="B58" s="44" t="s">
        <v>19</v>
      </c>
      <c r="C58" s="31">
        <f>C52*D53+C53*D52-D52*D53</f>
        <v>1880.9999999999998</v>
      </c>
      <c r="D58" s="32">
        <f>D52*D53</f>
        <v>1960.2</v>
      </c>
      <c r="E58" s="32">
        <f>E52*E53</f>
        <v>2040.2</v>
      </c>
      <c r="F58" s="33">
        <f>E52*F53+E53*F52-E52*E53</f>
        <v>2121</v>
      </c>
      <c r="G58" s="31">
        <f>G52*H53+G53*H52-H52*H53</f>
        <v>1920.6000000000001</v>
      </c>
      <c r="H58" s="32">
        <f>H52*H53</f>
        <v>1960.2</v>
      </c>
      <c r="I58" s="32">
        <f>I52*I53</f>
        <v>2040.2</v>
      </c>
      <c r="J58" s="33">
        <f>I52*J53+I53*J52-I52*I53</f>
        <v>2080.6000000000004</v>
      </c>
    </row>
    <row r="59" spans="1:10" x14ac:dyDescent="0.25">
      <c r="B59" s="45" t="s">
        <v>20</v>
      </c>
      <c r="C59" s="48">
        <f>C58*D54+C54*D58-D58*D54</f>
        <v>1458.3887999999999</v>
      </c>
      <c r="D59" s="7">
        <f>D58*D54</f>
        <v>1552.4784000000002</v>
      </c>
      <c r="E59" s="7">
        <f>E58*E54</f>
        <v>1648.4816000000001</v>
      </c>
      <c r="F59" s="49">
        <f>E58*F54+E54*F58-E54*E58</f>
        <v>1746.4112000000005</v>
      </c>
      <c r="G59" s="48">
        <f>G58*H54+G54*H58-H58*H54</f>
        <v>1505.4336000000001</v>
      </c>
      <c r="H59" s="7">
        <f>H58*H54</f>
        <v>1552.4784000000002</v>
      </c>
      <c r="I59" s="7">
        <f>I58*I54</f>
        <v>1648.4816000000001</v>
      </c>
      <c r="J59" s="49">
        <f>I58*J54+I54*J58-I54*I58</f>
        <v>1697.4464000000007</v>
      </c>
    </row>
    <row r="60" spans="1:10" ht="15.75" thickBot="1" x14ac:dyDescent="0.3">
      <c r="B60" s="46" t="s">
        <v>21</v>
      </c>
      <c r="C60" s="50">
        <f>(D59*E55-D59*F55+C59*E55)/(E55^2)</f>
        <v>201.93021972635739</v>
      </c>
      <c r="D60" s="51">
        <f>D59/E55</f>
        <v>219.58676096181048</v>
      </c>
      <c r="E60" s="51">
        <f>E59/D55</f>
        <v>237.87613275613279</v>
      </c>
      <c r="F60" s="52">
        <f>(E59*D55-E59*C55+F59*D55)/(D55^2)</f>
        <v>256.81296660690606</v>
      </c>
      <c r="G60" s="50">
        <f>(H59*I55-H59*J55+G59*I55)/(I55^2)</f>
        <v>210.75849034408392</v>
      </c>
      <c r="H60" s="51">
        <f>H59/I55</f>
        <v>219.58676096181048</v>
      </c>
      <c r="I60" s="51">
        <f>I59/H55</f>
        <v>237.87613275613279</v>
      </c>
      <c r="J60" s="52">
        <f>(I59*H55-I59*G55+J59*H55)/(H55^2)</f>
        <v>247.34454968151948</v>
      </c>
    </row>
    <row r="61" spans="1:10" x14ac:dyDescent="0.25">
      <c r="B61" s="60"/>
      <c r="C61" s="59"/>
      <c r="D61" s="59"/>
      <c r="E61" s="59"/>
      <c r="F61" s="59"/>
      <c r="G61" s="59"/>
      <c r="H61" s="59"/>
      <c r="I61" s="59"/>
      <c r="J61" s="59"/>
    </row>
    <row r="62" spans="1:10" ht="15.75" thickBot="1" x14ac:dyDescent="0.3">
      <c r="C62" s="1" t="s">
        <v>25</v>
      </c>
      <c r="F62" s="1" t="s">
        <v>26</v>
      </c>
      <c r="I62" s="59"/>
      <c r="J62" s="59"/>
    </row>
    <row r="63" spans="1:10" ht="15.75" thickBot="1" x14ac:dyDescent="0.3">
      <c r="A63" s="1">
        <v>0.8</v>
      </c>
      <c r="B63" s="43" t="s">
        <v>22</v>
      </c>
      <c r="C63" s="68">
        <f>A63*D60+(1-A63)*C60</f>
        <v>216.05545271471988</v>
      </c>
      <c r="D63" s="62">
        <f>A63*E60+(1-A63)*F60</f>
        <v>241.66349952628747</v>
      </c>
      <c r="E63" s="63"/>
      <c r="F63" s="61">
        <f>A63*H60+(1-A63)*G60</f>
        <v>217.82110683826519</v>
      </c>
      <c r="G63" s="62">
        <f>A63*I60+(1-A63)*J60</f>
        <v>239.76981614121013</v>
      </c>
      <c r="I63" s="59"/>
      <c r="J63" s="59"/>
    </row>
    <row r="64" spans="1:10" ht="15.75" thickBot="1" x14ac:dyDescent="0.3">
      <c r="A64" s="1"/>
      <c r="B64" s="71" t="s">
        <v>28</v>
      </c>
      <c r="C64" s="69">
        <f>(C63+D63)/2</f>
        <v>228.85947612050367</v>
      </c>
      <c r="D64" s="63"/>
      <c r="E64" s="63"/>
      <c r="F64" s="64">
        <f>(F63+G63)/2</f>
        <v>228.79546148973765</v>
      </c>
      <c r="G64" s="63"/>
      <c r="I64" s="59"/>
      <c r="J64" s="59"/>
    </row>
    <row r="65" spans="2:10" x14ac:dyDescent="0.25">
      <c r="B65" s="72" t="s">
        <v>27</v>
      </c>
      <c r="C65" s="70">
        <f>(C64+F64)/2</f>
        <v>228.82746880512065</v>
      </c>
      <c r="I65" s="59"/>
      <c r="J65" s="59"/>
    </row>
  </sheetData>
  <mergeCells count="8">
    <mergeCell ref="B5:B6"/>
    <mergeCell ref="C5:E5"/>
    <mergeCell ref="C33:F33"/>
    <mergeCell ref="G33:J33"/>
    <mergeCell ref="C51:F51"/>
    <mergeCell ref="G51:J51"/>
    <mergeCell ref="C15:F15"/>
    <mergeCell ref="G15:J15"/>
  </mergeCells>
  <pageMargins left="0.70866141732283472" right="0.70866141732283472" top="0.74803149606299213" bottom="0.74803149606299213" header="0.31496062992125984" footer="0.31496062992125984"/>
  <pageSetup scale="5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0E48-8A8A-40F1-85AB-40F3B9706C1F}">
  <sheetPr>
    <pageSetUpPr fitToPage="1"/>
  </sheetPr>
  <dimension ref="A1:J65"/>
  <sheetViews>
    <sheetView topLeftCell="A58" zoomScaleNormal="100" workbookViewId="0">
      <selection activeCell="H18" sqref="H18"/>
    </sheetView>
  </sheetViews>
  <sheetFormatPr defaultRowHeight="15" x14ac:dyDescent="0.25"/>
  <cols>
    <col min="1" max="1" width="3.7109375" customWidth="1"/>
    <col min="2" max="2" width="32.5703125" customWidth="1"/>
    <col min="3" max="3" width="15.42578125" customWidth="1"/>
    <col min="4" max="4" width="18.28515625" customWidth="1"/>
    <col min="5" max="5" width="17.140625" customWidth="1"/>
    <col min="6" max="6" width="16.42578125" customWidth="1"/>
    <col min="7" max="7" width="14.85546875" customWidth="1"/>
    <col min="8" max="8" width="16" customWidth="1"/>
    <col min="9" max="9" width="11.42578125" customWidth="1"/>
    <col min="10" max="10" width="13.140625" customWidth="1"/>
  </cols>
  <sheetData>
    <row r="1" spans="2:10" x14ac:dyDescent="0.25">
      <c r="B1" s="1" t="s">
        <v>23</v>
      </c>
    </row>
    <row r="2" spans="2:10" x14ac:dyDescent="0.25">
      <c r="B2" s="76" t="s">
        <v>29</v>
      </c>
    </row>
    <row r="3" spans="2:10" x14ac:dyDescent="0.25">
      <c r="B3" s="1" t="s">
        <v>24</v>
      </c>
    </row>
    <row r="4" spans="2:10" ht="15.75" thickBot="1" x14ac:dyDescent="0.3"/>
    <row r="5" spans="2:10" x14ac:dyDescent="0.25">
      <c r="B5" s="84" t="s">
        <v>7</v>
      </c>
      <c r="C5" s="81" t="s">
        <v>6</v>
      </c>
      <c r="D5" s="82"/>
      <c r="E5" s="83"/>
    </row>
    <row r="6" spans="2:10" x14ac:dyDescent="0.25">
      <c r="B6" s="85"/>
      <c r="C6" s="30" t="s">
        <v>8</v>
      </c>
      <c r="D6" s="5" t="s">
        <v>9</v>
      </c>
      <c r="E6" s="21" t="s">
        <v>10</v>
      </c>
    </row>
    <row r="7" spans="2:10" ht="15.75" thickBot="1" x14ac:dyDescent="0.3">
      <c r="B7" s="25">
        <v>1</v>
      </c>
      <c r="C7" s="22">
        <v>2</v>
      </c>
      <c r="D7" s="23">
        <v>3</v>
      </c>
      <c r="E7" s="24">
        <v>4</v>
      </c>
    </row>
    <row r="8" spans="2:10" x14ac:dyDescent="0.25">
      <c r="B8" s="26" t="s">
        <v>1</v>
      </c>
      <c r="C8" s="31">
        <v>10000</v>
      </c>
      <c r="D8" s="32">
        <v>100</v>
      </c>
      <c r="E8" s="33">
        <v>1000</v>
      </c>
    </row>
    <row r="9" spans="2:10" x14ac:dyDescent="0.25">
      <c r="B9" s="27" t="s">
        <v>2</v>
      </c>
      <c r="C9" s="9">
        <v>1</v>
      </c>
      <c r="D9" s="2">
        <v>3</v>
      </c>
      <c r="E9" s="10">
        <v>2</v>
      </c>
    </row>
    <row r="10" spans="2:10" x14ac:dyDescent="0.25">
      <c r="B10" s="27" t="s">
        <v>3</v>
      </c>
      <c r="C10" s="9">
        <v>0.6</v>
      </c>
      <c r="D10" s="2">
        <v>0.9</v>
      </c>
      <c r="E10" s="10">
        <v>0.8</v>
      </c>
    </row>
    <row r="11" spans="2:10" ht="15.75" thickBot="1" x14ac:dyDescent="0.3">
      <c r="B11" s="28" t="s">
        <v>4</v>
      </c>
      <c r="C11" s="18">
        <v>10</v>
      </c>
      <c r="D11" s="19">
        <v>5</v>
      </c>
      <c r="E11" s="20">
        <v>7</v>
      </c>
    </row>
    <row r="12" spans="2:10" ht="15.75" thickBot="1" x14ac:dyDescent="0.3">
      <c r="B12" s="29" t="s">
        <v>0</v>
      </c>
      <c r="C12" s="65">
        <f>C8*C9*C10/C11</f>
        <v>600</v>
      </c>
      <c r="D12" s="66">
        <f>D8*D9*D10/D11</f>
        <v>54</v>
      </c>
      <c r="E12" s="67">
        <f>E8*E9*E10/E11</f>
        <v>228.57142857142858</v>
      </c>
    </row>
    <row r="14" spans="2:10" ht="15.75" thickBot="1" x14ac:dyDescent="0.3">
      <c r="B14" s="1" t="s">
        <v>8</v>
      </c>
      <c r="C14">
        <v>1</v>
      </c>
      <c r="D14">
        <v>2</v>
      </c>
      <c r="E14">
        <v>3</v>
      </c>
      <c r="F14">
        <v>4</v>
      </c>
      <c r="G14">
        <v>1</v>
      </c>
      <c r="H14">
        <v>2</v>
      </c>
      <c r="I14">
        <v>3</v>
      </c>
      <c r="J14">
        <v>4</v>
      </c>
    </row>
    <row r="15" spans="2:10" ht="15.75" thickBot="1" x14ac:dyDescent="0.3">
      <c r="B15" s="14" t="s">
        <v>7</v>
      </c>
      <c r="C15" s="86" t="s">
        <v>17</v>
      </c>
      <c r="D15" s="87"/>
      <c r="E15" s="87"/>
      <c r="F15" s="88"/>
      <c r="G15" s="86" t="s">
        <v>18</v>
      </c>
      <c r="H15" s="87"/>
      <c r="I15" s="87"/>
      <c r="J15" s="88"/>
    </row>
    <row r="16" spans="2:10" x14ac:dyDescent="0.25">
      <c r="B16" s="15" t="s">
        <v>1</v>
      </c>
      <c r="C16" s="37">
        <f>C8-0.03*C8</f>
        <v>9700</v>
      </c>
      <c r="D16" s="38">
        <f>C8-0.01*C8</f>
        <v>9900</v>
      </c>
      <c r="E16" s="38">
        <f>C8+0.01*C8</f>
        <v>10100</v>
      </c>
      <c r="F16" s="39">
        <f>C8+0.04*C8</f>
        <v>10400</v>
      </c>
      <c r="G16" s="37">
        <f>C8-0.02*C8</f>
        <v>9800</v>
      </c>
      <c r="H16" s="38">
        <f>C8-0.01*C8</f>
        <v>9900</v>
      </c>
      <c r="I16" s="38">
        <f>C8+0.01*C8</f>
        <v>10100</v>
      </c>
      <c r="J16" s="39">
        <f>C8+0.03*C8</f>
        <v>10300</v>
      </c>
    </row>
    <row r="17" spans="1:10" x14ac:dyDescent="0.25">
      <c r="B17" s="16" t="s">
        <v>2</v>
      </c>
      <c r="C17" s="11">
        <f>C9-0.03*C9</f>
        <v>0.97</v>
      </c>
      <c r="D17" s="12">
        <f>C9-0.01*C9</f>
        <v>0.99</v>
      </c>
      <c r="E17" s="12">
        <f>C9+0.01*C9</f>
        <v>1.01</v>
      </c>
      <c r="F17" s="75">
        <f t="shared" ref="F17:F19" si="0">C9+0.04*C9</f>
        <v>1.04</v>
      </c>
      <c r="G17" s="11">
        <f>C9-0.02*C9</f>
        <v>0.98</v>
      </c>
      <c r="H17" s="12">
        <f>C9-0.01*C9</f>
        <v>0.99</v>
      </c>
      <c r="I17" s="12">
        <f>C9+0.01*C9</f>
        <v>1.01</v>
      </c>
      <c r="J17" s="75">
        <f t="shared" ref="J17:J19" si="1">C9+0.03*C9</f>
        <v>1.03</v>
      </c>
    </row>
    <row r="18" spans="1:10" x14ac:dyDescent="0.25">
      <c r="B18" s="16" t="s">
        <v>3</v>
      </c>
      <c r="C18" s="40">
        <f>C10-0.03*C10</f>
        <v>0.58199999999999996</v>
      </c>
      <c r="D18" s="41">
        <f>C10-0.01*C10</f>
        <v>0.59399999999999997</v>
      </c>
      <c r="E18" s="41">
        <f>C10+0.01*C10</f>
        <v>0.60599999999999998</v>
      </c>
      <c r="F18" s="75">
        <f t="shared" si="0"/>
        <v>0.624</v>
      </c>
      <c r="G18" s="40">
        <f>C10-0.02*C10</f>
        <v>0.58799999999999997</v>
      </c>
      <c r="H18" s="41">
        <f>C10-0.01*C10</f>
        <v>0.59399999999999997</v>
      </c>
      <c r="I18" s="41">
        <f>C10+0.01*C10</f>
        <v>0.60599999999999998</v>
      </c>
      <c r="J18" s="75">
        <f t="shared" si="1"/>
        <v>0.61799999999999999</v>
      </c>
    </row>
    <row r="19" spans="1:10" ht="15.75" thickBot="1" x14ac:dyDescent="0.3">
      <c r="B19" s="17" t="s">
        <v>4</v>
      </c>
      <c r="C19" s="54">
        <f>C11-0.03*C11</f>
        <v>9.6999999999999993</v>
      </c>
      <c r="D19" s="55">
        <f>C11-0.01*C11</f>
        <v>9.9</v>
      </c>
      <c r="E19" s="55">
        <f>C11+0.01*C11</f>
        <v>10.1</v>
      </c>
      <c r="F19" s="75">
        <f t="shared" si="0"/>
        <v>10.4</v>
      </c>
      <c r="G19" s="54">
        <f>C11-0.02*C11</f>
        <v>9.8000000000000007</v>
      </c>
      <c r="H19" s="55">
        <f>C11-0.01*C11</f>
        <v>9.9</v>
      </c>
      <c r="I19" s="55">
        <f>C11+0.01*C11</f>
        <v>10.1</v>
      </c>
      <c r="J19" s="75">
        <f t="shared" si="1"/>
        <v>10.3</v>
      </c>
    </row>
    <row r="20" spans="1:10" ht="15.75" thickBot="1" x14ac:dyDescent="0.3">
      <c r="B20" s="47" t="s">
        <v>0</v>
      </c>
      <c r="C20" s="53">
        <f>C24</f>
        <v>524.35974512302721</v>
      </c>
      <c r="D20" s="57">
        <f t="shared" ref="D20:J20" si="2">D24</f>
        <v>576.41524752475243</v>
      </c>
      <c r="E20" s="57">
        <f t="shared" si="2"/>
        <v>624.42484848484844</v>
      </c>
      <c r="F20" s="58">
        <f t="shared" si="2"/>
        <v>692.68131007040108</v>
      </c>
      <c r="G20" s="53">
        <f t="shared" si="2"/>
        <v>547.53395549455911</v>
      </c>
      <c r="H20" s="57">
        <f t="shared" si="2"/>
        <v>576.41524752475243</v>
      </c>
      <c r="I20" s="57">
        <f t="shared" si="2"/>
        <v>624.42484848484844</v>
      </c>
      <c r="J20" s="58">
        <f t="shared" si="2"/>
        <v>667.8267156412611</v>
      </c>
    </row>
    <row r="21" spans="1:10" ht="15.75" thickBot="1" x14ac:dyDescent="0.3"/>
    <row r="22" spans="1:10" x14ac:dyDescent="0.25">
      <c r="B22" s="44" t="s">
        <v>19</v>
      </c>
      <c r="C22" s="31">
        <f>C16*D17+C17*D16-D16*D17</f>
        <v>9405</v>
      </c>
      <c r="D22" s="32">
        <f>D16*D17</f>
        <v>9801</v>
      </c>
      <c r="E22" s="32">
        <f>E16*E17</f>
        <v>10201</v>
      </c>
      <c r="F22" s="33">
        <f>E16*F17+E17*F16-E16*E17</f>
        <v>10807</v>
      </c>
      <c r="G22" s="31">
        <f>G16*H17+G17*H16-H16*H17</f>
        <v>9603</v>
      </c>
      <c r="H22" s="32">
        <f>H16*H17</f>
        <v>9801</v>
      </c>
      <c r="I22" s="32">
        <f>I16*I17</f>
        <v>10201</v>
      </c>
      <c r="J22" s="33">
        <f>I16*J17+I17*J16-I16*I17</f>
        <v>10605</v>
      </c>
    </row>
    <row r="23" spans="1:10" x14ac:dyDescent="0.25">
      <c r="B23" s="45" t="s">
        <v>20</v>
      </c>
      <c r="C23" s="48">
        <f>C22*D18+C18*D22-D22*D18</f>
        <v>5468.9580000000005</v>
      </c>
      <c r="D23" s="7">
        <f>D22*D18</f>
        <v>5821.7939999999999</v>
      </c>
      <c r="E23" s="7">
        <f>E22*E18</f>
        <v>6181.8059999999996</v>
      </c>
      <c r="F23" s="49">
        <f>E22*F18+E18*F22-E18*E22</f>
        <v>6732.6600000000008</v>
      </c>
      <c r="G23" s="48">
        <f>G22*H18+G18*H22-H22*H18</f>
        <v>5645.3759999999984</v>
      </c>
      <c r="H23" s="7">
        <f>H22*H18</f>
        <v>5821.7939999999999</v>
      </c>
      <c r="I23" s="7">
        <f>I22*I18</f>
        <v>6181.8059999999996</v>
      </c>
      <c r="J23" s="49">
        <f>I22*J18+I18*J22-I18*I22</f>
        <v>6549.0420000000004</v>
      </c>
    </row>
    <row r="24" spans="1:10" ht="15.75" thickBot="1" x14ac:dyDescent="0.3">
      <c r="B24" s="46" t="s">
        <v>21</v>
      </c>
      <c r="C24" s="50">
        <f>(D23*E19-D23*F19+C23*E19)/(E19^2)</f>
        <v>524.35974512302721</v>
      </c>
      <c r="D24" s="51">
        <f>D23/E19</f>
        <v>576.41524752475243</v>
      </c>
      <c r="E24" s="51">
        <f>E23/D19</f>
        <v>624.42484848484844</v>
      </c>
      <c r="F24" s="52">
        <f>(E23*D19-E23*C19+F23*D19)/(D19^2)</f>
        <v>692.68131007040108</v>
      </c>
      <c r="G24" s="50">
        <f>(H23*I19-H23*J19+G23*I19)/(I19^2)</f>
        <v>547.53395549455911</v>
      </c>
      <c r="H24" s="51">
        <f>H23/I19</f>
        <v>576.41524752475243</v>
      </c>
      <c r="I24" s="51">
        <f>I23/H19</f>
        <v>624.42484848484844</v>
      </c>
      <c r="J24" s="52">
        <f>(I23*H19-I23*G19+J23*H19)/(H19^2)</f>
        <v>667.8267156412611</v>
      </c>
    </row>
    <row r="25" spans="1:10" x14ac:dyDescent="0.25">
      <c r="B25" s="60"/>
      <c r="C25" s="59"/>
      <c r="D25" s="59"/>
      <c r="E25" s="59"/>
      <c r="F25" s="59"/>
      <c r="G25" s="59"/>
      <c r="H25" s="59"/>
      <c r="I25" s="59"/>
      <c r="J25" s="59"/>
    </row>
    <row r="26" spans="1:10" ht="15.75" thickBot="1" x14ac:dyDescent="0.3">
      <c r="C26" s="1" t="s">
        <v>25</v>
      </c>
      <c r="F26" s="1" t="s">
        <v>26</v>
      </c>
      <c r="I26" s="59"/>
      <c r="J26" s="59"/>
    </row>
    <row r="27" spans="1:10" ht="15.75" thickBot="1" x14ac:dyDescent="0.3">
      <c r="A27" s="1">
        <v>0.8</v>
      </c>
      <c r="B27" s="43" t="s">
        <v>22</v>
      </c>
      <c r="C27" s="68">
        <f>A27*D24+(1-A27)*C24</f>
        <v>566.00414704440743</v>
      </c>
      <c r="D27" s="62">
        <f>A27*E24+(1-A27)*F24</f>
        <v>638.0761408019589</v>
      </c>
      <c r="E27" s="63"/>
      <c r="F27" s="61">
        <f>A27*H24+(1-A27)*G24</f>
        <v>570.63898911871377</v>
      </c>
      <c r="G27" s="62">
        <f>A27*I24+(1-A27)*J24</f>
        <v>633.10522191613097</v>
      </c>
      <c r="I27" s="59"/>
      <c r="J27" s="59"/>
    </row>
    <row r="28" spans="1:10" ht="15.75" thickBot="1" x14ac:dyDescent="0.3">
      <c r="A28" s="1"/>
      <c r="B28" s="71" t="s">
        <v>28</v>
      </c>
      <c r="C28" s="69">
        <f>(C27+D27)/2</f>
        <v>602.04014392318322</v>
      </c>
      <c r="D28" s="63"/>
      <c r="E28" s="63"/>
      <c r="F28" s="64">
        <f>(F27+G27)/2</f>
        <v>601.87210551742237</v>
      </c>
      <c r="G28" s="63"/>
      <c r="I28" s="59"/>
      <c r="J28" s="59"/>
    </row>
    <row r="29" spans="1:10" x14ac:dyDescent="0.25">
      <c r="B29" s="72" t="s">
        <v>27</v>
      </c>
      <c r="C29" s="70">
        <f>(C28+F28)/2</f>
        <v>601.9561247203028</v>
      </c>
      <c r="I29" s="59"/>
      <c r="J29" s="59"/>
    </row>
    <row r="30" spans="1:10" x14ac:dyDescent="0.25">
      <c r="B30" s="60"/>
      <c r="C30" s="59"/>
      <c r="D30" s="59"/>
      <c r="E30" s="59"/>
      <c r="F30" s="59"/>
      <c r="G30" s="59"/>
      <c r="H30" s="59"/>
      <c r="I30" s="59"/>
      <c r="J30" s="59"/>
    </row>
    <row r="31" spans="1:10" x14ac:dyDescent="0.25">
      <c r="B31" s="60"/>
      <c r="C31" s="59"/>
      <c r="D31" s="59"/>
      <c r="E31" s="59"/>
      <c r="F31" s="59"/>
      <c r="G31" s="59"/>
      <c r="H31" s="59"/>
      <c r="I31" s="59"/>
      <c r="J31" s="59"/>
    </row>
    <row r="32" spans="1:10" ht="15.75" thickBot="1" x14ac:dyDescent="0.3">
      <c r="B32" s="1" t="s">
        <v>9</v>
      </c>
      <c r="C32">
        <v>1</v>
      </c>
      <c r="D32">
        <v>2</v>
      </c>
      <c r="E32">
        <v>3</v>
      </c>
      <c r="F32">
        <v>4</v>
      </c>
      <c r="G32">
        <v>1</v>
      </c>
      <c r="H32">
        <v>2</v>
      </c>
      <c r="I32">
        <v>3</v>
      </c>
      <c r="J32">
        <v>4</v>
      </c>
    </row>
    <row r="33" spans="1:10" ht="15.75" thickBot="1" x14ac:dyDescent="0.3">
      <c r="B33" s="14" t="s">
        <v>7</v>
      </c>
      <c r="C33" s="89" t="s">
        <v>17</v>
      </c>
      <c r="D33" s="90"/>
      <c r="E33" s="90"/>
      <c r="F33" s="91"/>
      <c r="G33" s="86" t="s">
        <v>18</v>
      </c>
      <c r="H33" s="87"/>
      <c r="I33" s="87"/>
      <c r="J33" s="88"/>
    </row>
    <row r="34" spans="1:10" x14ac:dyDescent="0.25">
      <c r="B34" s="15" t="s">
        <v>1</v>
      </c>
      <c r="C34" s="37">
        <f>D8-0.03*D8</f>
        <v>97</v>
      </c>
      <c r="D34" s="38">
        <f>D8-0.01*D8</f>
        <v>99</v>
      </c>
      <c r="E34" s="38">
        <f>D8+0.01*D8</f>
        <v>101</v>
      </c>
      <c r="F34" s="39">
        <f>D8+0.04*D8</f>
        <v>104</v>
      </c>
      <c r="G34" s="37">
        <f>D8-0.02*D8</f>
        <v>98</v>
      </c>
      <c r="H34" s="38">
        <f>D8-0.01*D8</f>
        <v>99</v>
      </c>
      <c r="I34" s="38">
        <f>D8+0.01*D8</f>
        <v>101</v>
      </c>
      <c r="J34" s="39">
        <f>D8+0.03*D8</f>
        <v>103</v>
      </c>
    </row>
    <row r="35" spans="1:10" ht="12.75" customHeight="1" x14ac:dyDescent="0.25">
      <c r="B35" s="16" t="s">
        <v>2</v>
      </c>
      <c r="C35" s="73">
        <f t="shared" ref="C35:C37" si="3">D9-0.03*D9</f>
        <v>2.91</v>
      </c>
      <c r="D35" s="74">
        <f t="shared" ref="D35:D37" si="4">D9-0.01*D9</f>
        <v>2.97</v>
      </c>
      <c r="E35" s="74">
        <f t="shared" ref="E35:E37" si="5">D9+0.01*D9</f>
        <v>3.03</v>
      </c>
      <c r="F35" s="75">
        <f t="shared" ref="F35:F37" si="6">D9+0.04*D9</f>
        <v>3.12</v>
      </c>
      <c r="G35" s="73">
        <f t="shared" ref="G35:G37" si="7">D9-0.02*D9</f>
        <v>2.94</v>
      </c>
      <c r="H35" s="74">
        <f t="shared" ref="H35:H37" si="8">D9-0.01*D9</f>
        <v>2.97</v>
      </c>
      <c r="I35" s="74">
        <f t="shared" ref="I35:I37" si="9">D9+0.01*D9</f>
        <v>3.03</v>
      </c>
      <c r="J35" s="75">
        <f t="shared" ref="J35:J37" si="10">D9+0.03*D9</f>
        <v>3.09</v>
      </c>
    </row>
    <row r="36" spans="1:10" x14ac:dyDescent="0.25">
      <c r="B36" s="16" t="s">
        <v>3</v>
      </c>
      <c r="C36" s="73">
        <f t="shared" si="3"/>
        <v>0.873</v>
      </c>
      <c r="D36" s="74">
        <f t="shared" si="4"/>
        <v>0.89100000000000001</v>
      </c>
      <c r="E36" s="74">
        <f t="shared" si="5"/>
        <v>0.90900000000000003</v>
      </c>
      <c r="F36" s="75">
        <f t="shared" si="6"/>
        <v>0.93600000000000005</v>
      </c>
      <c r="G36" s="73">
        <f t="shared" si="7"/>
        <v>0.88200000000000001</v>
      </c>
      <c r="H36" s="74">
        <f t="shared" si="8"/>
        <v>0.89100000000000001</v>
      </c>
      <c r="I36" s="74">
        <f t="shared" si="9"/>
        <v>0.90900000000000003</v>
      </c>
      <c r="J36" s="75">
        <f t="shared" si="10"/>
        <v>0.92700000000000005</v>
      </c>
    </row>
    <row r="37" spans="1:10" ht="15.75" thickBot="1" x14ac:dyDescent="0.3">
      <c r="B37" s="17" t="s">
        <v>4</v>
      </c>
      <c r="C37" s="73">
        <f t="shared" si="3"/>
        <v>4.8499999999999996</v>
      </c>
      <c r="D37" s="74">
        <f t="shared" si="4"/>
        <v>4.95</v>
      </c>
      <c r="E37" s="74">
        <f t="shared" si="5"/>
        <v>5.05</v>
      </c>
      <c r="F37" s="75">
        <f t="shared" si="6"/>
        <v>5.2</v>
      </c>
      <c r="G37" s="73">
        <f t="shared" si="7"/>
        <v>4.9000000000000004</v>
      </c>
      <c r="H37" s="74">
        <f t="shared" si="8"/>
        <v>4.95</v>
      </c>
      <c r="I37" s="74">
        <f t="shared" si="9"/>
        <v>5.05</v>
      </c>
      <c r="J37" s="75">
        <f t="shared" si="10"/>
        <v>5.15</v>
      </c>
    </row>
    <row r="38" spans="1:10" ht="15.75" thickBot="1" x14ac:dyDescent="0.3">
      <c r="B38" s="47" t="s">
        <v>0</v>
      </c>
      <c r="C38" s="53">
        <f>C42</f>
        <v>47.192377061072449</v>
      </c>
      <c r="D38" s="57">
        <f t="shared" ref="D38:J38" si="11">D42</f>
        <v>51.877372277227735</v>
      </c>
      <c r="E38" s="57">
        <f t="shared" si="11"/>
        <v>56.198236363636362</v>
      </c>
      <c r="F38" s="58">
        <f t="shared" si="11"/>
        <v>62.341317906336108</v>
      </c>
      <c r="G38" s="53">
        <f t="shared" si="11"/>
        <v>49.278055994510325</v>
      </c>
      <c r="H38" s="57">
        <f t="shared" si="11"/>
        <v>51.877372277227735</v>
      </c>
      <c r="I38" s="57">
        <f t="shared" si="11"/>
        <v>56.198236363636362</v>
      </c>
      <c r="J38" s="58">
        <f t="shared" si="11"/>
        <v>60.104404407713496</v>
      </c>
    </row>
    <row r="39" spans="1:10" ht="15.75" thickBot="1" x14ac:dyDescent="0.3"/>
    <row r="40" spans="1:10" x14ac:dyDescent="0.25">
      <c r="B40" s="44" t="s">
        <v>19</v>
      </c>
      <c r="C40" s="31">
        <f>C34*D35+C35*D34-D34*D35</f>
        <v>282.15000000000003</v>
      </c>
      <c r="D40" s="32">
        <f>D34*D35</f>
        <v>294.03000000000003</v>
      </c>
      <c r="E40" s="32">
        <f>E34*E35</f>
        <v>306.02999999999997</v>
      </c>
      <c r="F40" s="33">
        <f>E34*F35+E35*F34-E34*E35</f>
        <v>324.21000000000004</v>
      </c>
      <c r="G40" s="31">
        <f>G34*H35+G35*H34-H34*H35</f>
        <v>288.08999999999997</v>
      </c>
      <c r="H40" s="32">
        <f>H34*H35</f>
        <v>294.03000000000003</v>
      </c>
      <c r="I40" s="32">
        <f>I34*I35</f>
        <v>306.02999999999997</v>
      </c>
      <c r="J40" s="33">
        <f>I34*J35+I35*J34-I34*I35</f>
        <v>318.14999999999998</v>
      </c>
    </row>
    <row r="41" spans="1:10" x14ac:dyDescent="0.25">
      <c r="B41" s="45" t="s">
        <v>20</v>
      </c>
      <c r="C41" s="48">
        <f>C40*D36+C36*D40-D40*D36</f>
        <v>246.10311000000002</v>
      </c>
      <c r="D41" s="7">
        <f>D40*D36</f>
        <v>261.98073000000005</v>
      </c>
      <c r="E41" s="7">
        <f>E40*E36</f>
        <v>278.18126999999998</v>
      </c>
      <c r="F41" s="49">
        <f>E40*F36+E36*F40-E36*E40</f>
        <v>302.96970000000005</v>
      </c>
      <c r="G41" s="48">
        <f>G40*H36+G36*H40-H40*H36</f>
        <v>254.04191999999995</v>
      </c>
      <c r="H41" s="7">
        <f>H40*H36</f>
        <v>261.98073000000005</v>
      </c>
      <c r="I41" s="7">
        <f>I40*I36</f>
        <v>278.18126999999998</v>
      </c>
      <c r="J41" s="49">
        <f>I40*J36+I36*J40-I36*I40</f>
        <v>294.70688999999999</v>
      </c>
    </row>
    <row r="42" spans="1:10" ht="15.75" thickBot="1" x14ac:dyDescent="0.3">
      <c r="B42" s="46" t="s">
        <v>21</v>
      </c>
      <c r="C42" s="50">
        <f>(D41*E37-D41*F37+C41*E37)/(E37^2)</f>
        <v>47.192377061072449</v>
      </c>
      <c r="D42" s="51">
        <f>D41/E37</f>
        <v>51.877372277227735</v>
      </c>
      <c r="E42" s="51">
        <f>E41/D37</f>
        <v>56.198236363636362</v>
      </c>
      <c r="F42" s="52">
        <f>(E41*D37-E41*C37+F41*D37)/(D37^2)</f>
        <v>62.341317906336108</v>
      </c>
      <c r="G42" s="50">
        <f>(H41*I37-H41*J37+G41*I37)/(I37^2)</f>
        <v>49.278055994510325</v>
      </c>
      <c r="H42" s="51">
        <f>H41/I37</f>
        <v>51.877372277227735</v>
      </c>
      <c r="I42" s="51">
        <f>I41/H37</f>
        <v>56.198236363636362</v>
      </c>
      <c r="J42" s="52">
        <f>(I41*H37-I41*G37+J41*H37)/(H37^2)</f>
        <v>60.104404407713496</v>
      </c>
    </row>
    <row r="43" spans="1:10" x14ac:dyDescent="0.25">
      <c r="B43" s="60"/>
      <c r="C43" s="59"/>
      <c r="D43" s="59"/>
      <c r="E43" s="59"/>
      <c r="F43" s="59"/>
      <c r="G43" s="59"/>
      <c r="H43" s="59"/>
      <c r="I43" s="59"/>
      <c r="J43" s="59"/>
    </row>
    <row r="44" spans="1:10" ht="15.75" thickBot="1" x14ac:dyDescent="0.3">
      <c r="C44" s="1" t="s">
        <v>25</v>
      </c>
      <c r="F44" s="1" t="s">
        <v>26</v>
      </c>
      <c r="I44" s="59"/>
      <c r="J44" s="59"/>
    </row>
    <row r="45" spans="1:10" ht="15.75" thickBot="1" x14ac:dyDescent="0.3">
      <c r="A45" s="1">
        <v>0.8</v>
      </c>
      <c r="B45" s="43" t="s">
        <v>22</v>
      </c>
      <c r="C45" s="68">
        <f>A45*D42+(1-A45)*C42</f>
        <v>50.940373233996681</v>
      </c>
      <c r="D45" s="62">
        <f>A45*E42+(1-A45)*F42</f>
        <v>57.42685267217631</v>
      </c>
      <c r="E45" s="63"/>
      <c r="F45" s="61">
        <f>A45*H42+(1-A45)*G42</f>
        <v>51.357509020684255</v>
      </c>
      <c r="G45" s="62">
        <f>A45*I42+(1-A45)*J42</f>
        <v>56.979469972451788</v>
      </c>
      <c r="I45" s="59"/>
      <c r="J45" s="59"/>
    </row>
    <row r="46" spans="1:10" ht="15.75" thickBot="1" x14ac:dyDescent="0.3">
      <c r="A46" s="1"/>
      <c r="B46" s="71" t="s">
        <v>28</v>
      </c>
      <c r="C46" s="69">
        <f>(C45+D45)/2</f>
        <v>54.183612953086495</v>
      </c>
      <c r="D46" s="63"/>
      <c r="E46" s="63"/>
      <c r="F46" s="64">
        <f>(F45+G45)/2</f>
        <v>54.168489496568021</v>
      </c>
      <c r="G46" s="63"/>
      <c r="I46" s="59"/>
      <c r="J46" s="59"/>
    </row>
    <row r="47" spans="1:10" x14ac:dyDescent="0.25">
      <c r="B47" s="72" t="s">
        <v>27</v>
      </c>
      <c r="C47" s="70">
        <f>(C46+F46)/2</f>
        <v>54.176051224827262</v>
      </c>
      <c r="I47" s="59"/>
      <c r="J47" s="59"/>
    </row>
    <row r="50" spans="1:10" ht="15.75" thickBot="1" x14ac:dyDescent="0.3">
      <c r="B50" s="1" t="s">
        <v>10</v>
      </c>
      <c r="C50">
        <v>1</v>
      </c>
      <c r="D50">
        <v>2</v>
      </c>
      <c r="E50">
        <v>3</v>
      </c>
      <c r="F50">
        <v>4</v>
      </c>
      <c r="G50">
        <v>1</v>
      </c>
      <c r="H50">
        <v>2</v>
      </c>
      <c r="I50">
        <v>3</v>
      </c>
      <c r="J50">
        <v>4</v>
      </c>
    </row>
    <row r="51" spans="1:10" ht="15.75" thickBot="1" x14ac:dyDescent="0.3">
      <c r="B51" s="14" t="s">
        <v>7</v>
      </c>
      <c r="C51" s="86" t="s">
        <v>17</v>
      </c>
      <c r="D51" s="87"/>
      <c r="E51" s="87"/>
      <c r="F51" s="88"/>
      <c r="G51" s="86" t="s">
        <v>18</v>
      </c>
      <c r="H51" s="87"/>
      <c r="I51" s="87"/>
      <c r="J51" s="88"/>
    </row>
    <row r="52" spans="1:10" x14ac:dyDescent="0.25">
      <c r="B52" s="15" t="s">
        <v>1</v>
      </c>
      <c r="C52" s="37">
        <f>E8-0.03*E8</f>
        <v>970</v>
      </c>
      <c r="D52" s="38">
        <f>E8-0.01*E8</f>
        <v>990</v>
      </c>
      <c r="E52" s="38">
        <f>E8+0.01*E8</f>
        <v>1010</v>
      </c>
      <c r="F52" s="39">
        <f>E8+0.04*E8</f>
        <v>1040</v>
      </c>
      <c r="G52" s="37">
        <f>E8-0.02*E8</f>
        <v>980</v>
      </c>
      <c r="H52" s="38">
        <f>E8-0.01*E8</f>
        <v>990</v>
      </c>
      <c r="I52" s="38">
        <f>E8+0.01*E8</f>
        <v>1010</v>
      </c>
      <c r="J52" s="39">
        <f>E8+0.03*E8</f>
        <v>1030</v>
      </c>
    </row>
    <row r="53" spans="1:10" x14ac:dyDescent="0.25">
      <c r="B53" s="16" t="s">
        <v>2</v>
      </c>
      <c r="C53" s="73">
        <f t="shared" ref="C53:C55" si="12">E9-0.03*E9</f>
        <v>1.94</v>
      </c>
      <c r="D53" s="74">
        <f t="shared" ref="D53:D55" si="13">E9-0.01*E9</f>
        <v>1.98</v>
      </c>
      <c r="E53" s="74">
        <f t="shared" ref="E53:E55" si="14">E9+0.01*E9</f>
        <v>2.02</v>
      </c>
      <c r="F53" s="75">
        <f t="shared" ref="F53:F55" si="15">E9+0.04*E9</f>
        <v>2.08</v>
      </c>
      <c r="G53" s="73">
        <f t="shared" ref="G53:G55" si="16">E9-0.02*E9</f>
        <v>1.96</v>
      </c>
      <c r="H53" s="74">
        <f t="shared" ref="H53:H55" si="17">E9-0.01*E9</f>
        <v>1.98</v>
      </c>
      <c r="I53" s="74">
        <f t="shared" ref="I53:I55" si="18">E9+0.01*E9</f>
        <v>2.02</v>
      </c>
      <c r="J53" s="75">
        <f t="shared" ref="J53:J55" si="19">E9+0.03*E9</f>
        <v>2.06</v>
      </c>
    </row>
    <row r="54" spans="1:10" x14ac:dyDescent="0.25">
      <c r="B54" s="16" t="s">
        <v>3</v>
      </c>
      <c r="C54" s="73">
        <f t="shared" si="12"/>
        <v>0.77600000000000002</v>
      </c>
      <c r="D54" s="74">
        <f t="shared" si="13"/>
        <v>0.79200000000000004</v>
      </c>
      <c r="E54" s="74">
        <f t="shared" si="14"/>
        <v>0.80800000000000005</v>
      </c>
      <c r="F54" s="75">
        <f t="shared" si="15"/>
        <v>0.83200000000000007</v>
      </c>
      <c r="G54" s="73">
        <f t="shared" si="16"/>
        <v>0.78400000000000003</v>
      </c>
      <c r="H54" s="74">
        <f t="shared" si="17"/>
        <v>0.79200000000000004</v>
      </c>
      <c r="I54" s="74">
        <f t="shared" si="18"/>
        <v>0.80800000000000005</v>
      </c>
      <c r="J54" s="75">
        <f t="shared" si="19"/>
        <v>0.82400000000000007</v>
      </c>
    </row>
    <row r="55" spans="1:10" ht="15.75" thickBot="1" x14ac:dyDescent="0.3">
      <c r="B55" s="17" t="s">
        <v>4</v>
      </c>
      <c r="C55" s="73">
        <f t="shared" si="12"/>
        <v>6.79</v>
      </c>
      <c r="D55" s="74">
        <f t="shared" si="13"/>
        <v>6.93</v>
      </c>
      <c r="E55" s="74">
        <f t="shared" si="14"/>
        <v>7.07</v>
      </c>
      <c r="F55" s="75">
        <f t="shared" si="15"/>
        <v>7.28</v>
      </c>
      <c r="G55" s="73">
        <f t="shared" si="16"/>
        <v>6.86</v>
      </c>
      <c r="H55" s="74">
        <f t="shared" si="17"/>
        <v>6.93</v>
      </c>
      <c r="I55" s="74">
        <f t="shared" si="18"/>
        <v>7.07</v>
      </c>
      <c r="J55" s="75">
        <f t="shared" si="19"/>
        <v>7.21</v>
      </c>
    </row>
    <row r="56" spans="1:10" ht="15.75" thickBot="1" x14ac:dyDescent="0.3">
      <c r="B56" s="47" t="s">
        <v>0</v>
      </c>
      <c r="C56" s="53">
        <f>C60</f>
        <v>199.75609338020084</v>
      </c>
      <c r="D56" s="57">
        <f t="shared" ref="D56:J56" si="20">D60</f>
        <v>219.58676096181048</v>
      </c>
      <c r="E56" s="57">
        <f t="shared" si="20"/>
        <v>237.87613275613279</v>
      </c>
      <c r="F56" s="58">
        <f t="shared" si="20"/>
        <v>263.87859431253383</v>
      </c>
      <c r="G56" s="53">
        <f t="shared" si="20"/>
        <v>208.5843639979274</v>
      </c>
      <c r="H56" s="57">
        <f t="shared" si="20"/>
        <v>219.58676096181048</v>
      </c>
      <c r="I56" s="57">
        <f t="shared" si="20"/>
        <v>237.87613275613279</v>
      </c>
      <c r="J56" s="58">
        <f t="shared" si="20"/>
        <v>254.41017738714714</v>
      </c>
    </row>
    <row r="57" spans="1:10" ht="15.75" thickBot="1" x14ac:dyDescent="0.3"/>
    <row r="58" spans="1:10" x14ac:dyDescent="0.25">
      <c r="B58" s="44" t="s">
        <v>19</v>
      </c>
      <c r="C58" s="31">
        <f>C52*D53+C53*D52-D52*D53</f>
        <v>1880.9999999999998</v>
      </c>
      <c r="D58" s="32">
        <f>D52*D53</f>
        <v>1960.2</v>
      </c>
      <c r="E58" s="32">
        <f>E52*E53</f>
        <v>2040.2</v>
      </c>
      <c r="F58" s="33">
        <f>E52*F53+E53*F52-E52*E53</f>
        <v>2161.4000000000005</v>
      </c>
      <c r="G58" s="31">
        <f>G52*H53+G53*H52-H52*H53</f>
        <v>1920.6000000000001</v>
      </c>
      <c r="H58" s="32">
        <f>H52*H53</f>
        <v>1960.2</v>
      </c>
      <c r="I58" s="32">
        <f>I52*I53</f>
        <v>2040.2</v>
      </c>
      <c r="J58" s="33">
        <f>I52*J53+I53*J52-I52*I53</f>
        <v>2121</v>
      </c>
    </row>
    <row r="59" spans="1:10" x14ac:dyDescent="0.25">
      <c r="B59" s="45" t="s">
        <v>20</v>
      </c>
      <c r="C59" s="48">
        <f>C58*D54+C54*D58-D58*D54</f>
        <v>1458.3887999999999</v>
      </c>
      <c r="D59" s="7">
        <f>D58*D54</f>
        <v>1552.4784000000002</v>
      </c>
      <c r="E59" s="7">
        <f>E58*E54</f>
        <v>1648.4816000000001</v>
      </c>
      <c r="F59" s="49">
        <f>E58*F54+E54*F58-E54*E58</f>
        <v>1795.3760000000007</v>
      </c>
      <c r="G59" s="48">
        <f>G58*H54+G54*H58-H58*H54</f>
        <v>1505.4336000000001</v>
      </c>
      <c r="H59" s="7">
        <f>H58*H54</f>
        <v>1552.4784000000002</v>
      </c>
      <c r="I59" s="7">
        <f>I58*I54</f>
        <v>1648.4816000000001</v>
      </c>
      <c r="J59" s="49">
        <f>I58*J54+I54*J58-I54*I58</f>
        <v>1746.4112000000005</v>
      </c>
    </row>
    <row r="60" spans="1:10" ht="15.75" thickBot="1" x14ac:dyDescent="0.3">
      <c r="B60" s="46" t="s">
        <v>21</v>
      </c>
      <c r="C60" s="50">
        <f>(D59*E55-D59*F55+C59*E55)/(E55^2)</f>
        <v>199.75609338020084</v>
      </c>
      <c r="D60" s="51">
        <f>D59/E55</f>
        <v>219.58676096181048</v>
      </c>
      <c r="E60" s="51">
        <f>E59/D55</f>
        <v>237.87613275613279</v>
      </c>
      <c r="F60" s="52">
        <f>(E59*D55-E59*C55+F59*D55)/(D55^2)</f>
        <v>263.87859431253383</v>
      </c>
      <c r="G60" s="50">
        <f>(H59*I55-H59*J55+G59*I55)/(I55^2)</f>
        <v>208.5843639979274</v>
      </c>
      <c r="H60" s="51">
        <f>H59/I55</f>
        <v>219.58676096181048</v>
      </c>
      <c r="I60" s="51">
        <f>I59/H55</f>
        <v>237.87613275613279</v>
      </c>
      <c r="J60" s="52">
        <f>(I59*H55-I59*G55+J59*H55)/(H55^2)</f>
        <v>254.41017738714714</v>
      </c>
    </row>
    <row r="61" spans="1:10" x14ac:dyDescent="0.25">
      <c r="B61" s="60"/>
      <c r="C61" s="59"/>
      <c r="D61" s="59"/>
      <c r="E61" s="59"/>
      <c r="F61" s="59"/>
      <c r="G61" s="59"/>
      <c r="H61" s="59"/>
      <c r="I61" s="59"/>
      <c r="J61" s="59"/>
    </row>
    <row r="62" spans="1:10" ht="15.75" thickBot="1" x14ac:dyDescent="0.3">
      <c r="C62" s="1" t="s">
        <v>25</v>
      </c>
      <c r="F62" s="1" t="s">
        <v>26</v>
      </c>
      <c r="I62" s="59"/>
      <c r="J62" s="59"/>
    </row>
    <row r="63" spans="1:10" ht="15.75" thickBot="1" x14ac:dyDescent="0.3">
      <c r="A63" s="1">
        <v>0.8</v>
      </c>
      <c r="B63" s="43" t="s">
        <v>22</v>
      </c>
      <c r="C63" s="68">
        <f>A63*D60+(1-A63)*C60</f>
        <v>215.62062744548857</v>
      </c>
      <c r="D63" s="62">
        <f>A63*E60+(1-A63)*F60</f>
        <v>243.076625067413</v>
      </c>
      <c r="E63" s="63"/>
      <c r="F63" s="61">
        <f>A63*H60+(1-A63)*G60</f>
        <v>217.38628156903388</v>
      </c>
      <c r="G63" s="62">
        <f>A63*I60+(1-A63)*J60</f>
        <v>241.18294168233567</v>
      </c>
      <c r="I63" s="59"/>
      <c r="J63" s="59"/>
    </row>
    <row r="64" spans="1:10" ht="15.75" thickBot="1" x14ac:dyDescent="0.3">
      <c r="A64" s="1"/>
      <c r="B64" s="71" t="s">
        <v>28</v>
      </c>
      <c r="C64" s="69">
        <f>(C63+D63)/2</f>
        <v>229.34862625645079</v>
      </c>
      <c r="D64" s="63"/>
      <c r="E64" s="63"/>
      <c r="F64" s="64">
        <f>(F63+G63)/2</f>
        <v>229.28461162568476</v>
      </c>
      <c r="G64" s="63"/>
      <c r="I64" s="59"/>
      <c r="J64" s="59"/>
    </row>
    <row r="65" spans="2:10" x14ac:dyDescent="0.25">
      <c r="B65" s="72" t="s">
        <v>27</v>
      </c>
      <c r="C65" s="70">
        <f>(C64+F64)/2</f>
        <v>229.31661894106776</v>
      </c>
      <c r="I65" s="59"/>
      <c r="J65" s="59"/>
    </row>
  </sheetData>
  <mergeCells count="8">
    <mergeCell ref="C51:F51"/>
    <mergeCell ref="G51:J51"/>
    <mergeCell ref="B5:B6"/>
    <mergeCell ref="C5:E5"/>
    <mergeCell ref="C15:F15"/>
    <mergeCell ref="G15:J15"/>
    <mergeCell ref="C33:F33"/>
    <mergeCell ref="G33:J33"/>
  </mergeCells>
  <pageMargins left="0.70866141732283472" right="0.70866141732283472" top="0.74803149606299213" bottom="0.74803149606299213" header="0.31496062992125984" footer="0.31496062992125984"/>
  <pageSetup scale="5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2F8EB-DFEE-4180-957C-EAD500E29935}">
  <sheetPr>
    <pageSetUpPr fitToPage="1"/>
  </sheetPr>
  <dimension ref="A1:J65"/>
  <sheetViews>
    <sheetView zoomScaleNormal="100" workbookViewId="0">
      <selection activeCell="F11" sqref="F11"/>
    </sheetView>
  </sheetViews>
  <sheetFormatPr defaultRowHeight="15" x14ac:dyDescent="0.25"/>
  <cols>
    <col min="1" max="1" width="3.7109375" customWidth="1"/>
    <col min="2" max="2" width="32.5703125" customWidth="1"/>
    <col min="3" max="3" width="15.42578125" customWidth="1"/>
    <col min="4" max="4" width="18.28515625" customWidth="1"/>
    <col min="5" max="5" width="17.140625" customWidth="1"/>
    <col min="6" max="6" width="16.42578125" customWidth="1"/>
    <col min="7" max="7" width="14.85546875" customWidth="1"/>
    <col min="8" max="8" width="16" customWidth="1"/>
    <col min="9" max="9" width="11.42578125" customWidth="1"/>
    <col min="10" max="10" width="13.140625" customWidth="1"/>
  </cols>
  <sheetData>
    <row r="1" spans="2:10" x14ac:dyDescent="0.25">
      <c r="B1" s="1" t="s">
        <v>23</v>
      </c>
    </row>
    <row r="2" spans="2:10" x14ac:dyDescent="0.25">
      <c r="B2" s="76" t="s">
        <v>30</v>
      </c>
    </row>
    <row r="3" spans="2:10" x14ac:dyDescent="0.25">
      <c r="B3" s="1" t="s">
        <v>24</v>
      </c>
    </row>
    <row r="4" spans="2:10" ht="15.75" thickBot="1" x14ac:dyDescent="0.3"/>
    <row r="5" spans="2:10" x14ac:dyDescent="0.25">
      <c r="B5" s="84" t="s">
        <v>7</v>
      </c>
      <c r="C5" s="81" t="s">
        <v>6</v>
      </c>
      <c r="D5" s="82"/>
      <c r="E5" s="83"/>
    </row>
    <row r="6" spans="2:10" x14ac:dyDescent="0.25">
      <c r="B6" s="85"/>
      <c r="C6" s="30" t="s">
        <v>8</v>
      </c>
      <c r="D6" s="5" t="s">
        <v>9</v>
      </c>
      <c r="E6" s="21" t="s">
        <v>10</v>
      </c>
    </row>
    <row r="7" spans="2:10" ht="15.75" thickBot="1" x14ac:dyDescent="0.3">
      <c r="B7" s="25">
        <v>1</v>
      </c>
      <c r="C7" s="22">
        <v>2</v>
      </c>
      <c r="D7" s="23">
        <v>3</v>
      </c>
      <c r="E7" s="24">
        <v>4</v>
      </c>
    </row>
    <row r="8" spans="2:10" x14ac:dyDescent="0.25">
      <c r="B8" s="26" t="s">
        <v>1</v>
      </c>
      <c r="C8" s="31">
        <v>10000</v>
      </c>
      <c r="D8" s="32">
        <v>100</v>
      </c>
      <c r="E8" s="33">
        <v>1000</v>
      </c>
    </row>
    <row r="9" spans="2:10" x14ac:dyDescent="0.25">
      <c r="B9" s="27" t="s">
        <v>2</v>
      </c>
      <c r="C9" s="9">
        <v>1</v>
      </c>
      <c r="D9" s="2">
        <v>3</v>
      </c>
      <c r="E9" s="10">
        <v>2</v>
      </c>
    </row>
    <row r="10" spans="2:10" x14ac:dyDescent="0.25">
      <c r="B10" s="27" t="s">
        <v>3</v>
      </c>
      <c r="C10" s="9">
        <v>0.6</v>
      </c>
      <c r="D10" s="2">
        <v>0.9</v>
      </c>
      <c r="E10" s="10">
        <v>0.8</v>
      </c>
    </row>
    <row r="11" spans="2:10" ht="15.75" thickBot="1" x14ac:dyDescent="0.3">
      <c r="B11" s="28" t="s">
        <v>4</v>
      </c>
      <c r="C11" s="18">
        <v>10</v>
      </c>
      <c r="D11" s="19">
        <v>5</v>
      </c>
      <c r="E11" s="20">
        <v>7</v>
      </c>
    </row>
    <row r="12" spans="2:10" ht="15.75" thickBot="1" x14ac:dyDescent="0.3">
      <c r="B12" s="29" t="s">
        <v>0</v>
      </c>
      <c r="C12" s="65">
        <f>C8*C9*C10/C11</f>
        <v>600</v>
      </c>
      <c r="D12" s="66">
        <f>D8*D9*D10/D11</f>
        <v>54</v>
      </c>
      <c r="E12" s="67">
        <f>E8*E9*E10/E11</f>
        <v>228.57142857142858</v>
      </c>
    </row>
    <row r="14" spans="2:10" ht="15.75" thickBot="1" x14ac:dyDescent="0.3">
      <c r="B14" s="1" t="s">
        <v>8</v>
      </c>
      <c r="C14">
        <v>1</v>
      </c>
      <c r="D14">
        <v>2</v>
      </c>
      <c r="E14">
        <v>3</v>
      </c>
      <c r="F14">
        <v>4</v>
      </c>
      <c r="G14">
        <v>1</v>
      </c>
      <c r="H14">
        <v>2</v>
      </c>
      <c r="I14">
        <v>3</v>
      </c>
      <c r="J14">
        <v>4</v>
      </c>
    </row>
    <row r="15" spans="2:10" ht="15.75" thickBot="1" x14ac:dyDescent="0.3">
      <c r="B15" s="14" t="s">
        <v>7</v>
      </c>
      <c r="C15" s="86" t="s">
        <v>17</v>
      </c>
      <c r="D15" s="87"/>
      <c r="E15" s="87"/>
      <c r="F15" s="88"/>
      <c r="G15" s="86" t="s">
        <v>18</v>
      </c>
      <c r="H15" s="87"/>
      <c r="I15" s="87"/>
      <c r="J15" s="88"/>
    </row>
    <row r="16" spans="2:10" x14ac:dyDescent="0.25">
      <c r="B16" s="15" t="s">
        <v>1</v>
      </c>
      <c r="C16" s="37">
        <v>9700</v>
      </c>
      <c r="D16" s="38">
        <v>9900</v>
      </c>
      <c r="E16" s="38">
        <v>10100</v>
      </c>
      <c r="F16" s="39">
        <v>10300</v>
      </c>
      <c r="G16" s="37">
        <v>9800</v>
      </c>
      <c r="H16" s="38">
        <v>9900</v>
      </c>
      <c r="I16" s="38">
        <v>10100</v>
      </c>
      <c r="J16" s="39">
        <v>10200</v>
      </c>
    </row>
    <row r="17" spans="1:10" x14ac:dyDescent="0.25">
      <c r="B17" s="16" t="s">
        <v>2</v>
      </c>
      <c r="C17" s="11">
        <v>0.97</v>
      </c>
      <c r="D17" s="12">
        <v>0.99</v>
      </c>
      <c r="E17" s="12">
        <v>1.01</v>
      </c>
      <c r="F17" s="13">
        <v>1.03</v>
      </c>
      <c r="G17" s="11">
        <v>0.98</v>
      </c>
      <c r="H17" s="12">
        <v>0.99</v>
      </c>
      <c r="I17" s="12">
        <v>1.01</v>
      </c>
      <c r="J17" s="13">
        <v>1.02</v>
      </c>
    </row>
    <row r="18" spans="1:10" x14ac:dyDescent="0.25">
      <c r="B18" s="16" t="s">
        <v>3</v>
      </c>
      <c r="C18" s="40">
        <v>0.57999999999999996</v>
      </c>
      <c r="D18" s="41">
        <v>0.59</v>
      </c>
      <c r="E18" s="41">
        <v>0.61</v>
      </c>
      <c r="F18" s="42">
        <v>0.62</v>
      </c>
      <c r="G18" s="40">
        <v>0.59</v>
      </c>
      <c r="H18" s="41">
        <v>0.59</v>
      </c>
      <c r="I18" s="41">
        <v>0.61</v>
      </c>
      <c r="J18" s="42">
        <v>0.61</v>
      </c>
    </row>
    <row r="19" spans="1:10" ht="15.75" thickBot="1" x14ac:dyDescent="0.3">
      <c r="B19" s="17" t="s">
        <v>4</v>
      </c>
      <c r="C19" s="54">
        <v>9.6999999999999993</v>
      </c>
      <c r="D19" s="55">
        <v>9.9</v>
      </c>
      <c r="E19" s="55">
        <v>10.1</v>
      </c>
      <c r="F19" s="56">
        <v>10.3</v>
      </c>
      <c r="G19" s="54">
        <v>9.8000000000000007</v>
      </c>
      <c r="H19" s="55">
        <v>9.9</v>
      </c>
      <c r="I19" s="55">
        <v>10.1</v>
      </c>
      <c r="J19" s="56">
        <v>10.199999999999999</v>
      </c>
    </row>
    <row r="20" spans="1:10" ht="15.75" thickBot="1" x14ac:dyDescent="0.3">
      <c r="B20" s="47" t="s">
        <v>0</v>
      </c>
      <c r="C20" s="53">
        <f>C24</f>
        <v>528.35972943829017</v>
      </c>
      <c r="D20" s="57">
        <f t="shared" ref="D20:J20" si="0">D24</f>
        <v>572.53366336633667</v>
      </c>
      <c r="E20" s="57">
        <f t="shared" si="0"/>
        <v>628.54646464646464</v>
      </c>
      <c r="F20" s="58">
        <f t="shared" si="0"/>
        <v>676.44134272013059</v>
      </c>
      <c r="G20" s="53">
        <f t="shared" si="0"/>
        <v>555.29867660033335</v>
      </c>
      <c r="H20" s="57">
        <f t="shared" si="0"/>
        <v>572.53366336633667</v>
      </c>
      <c r="I20" s="57">
        <f t="shared" si="0"/>
        <v>628.54646464646464</v>
      </c>
      <c r="J20" s="58">
        <f t="shared" si="0"/>
        <v>647.34188348127725</v>
      </c>
    </row>
    <row r="21" spans="1:10" ht="15.75" thickBot="1" x14ac:dyDescent="0.3"/>
    <row r="22" spans="1:10" x14ac:dyDescent="0.25">
      <c r="B22" s="44" t="s">
        <v>19</v>
      </c>
      <c r="C22" s="31">
        <f>C16*D17+C17*D16-D16*D17</f>
        <v>9405</v>
      </c>
      <c r="D22" s="32">
        <f>D16*D17</f>
        <v>9801</v>
      </c>
      <c r="E22" s="32">
        <f>E16*E17</f>
        <v>10201</v>
      </c>
      <c r="F22" s="33">
        <f>E16*F17+E17*F16-E16*E17</f>
        <v>10605</v>
      </c>
      <c r="G22" s="31">
        <f>G16*H17+G17*H16-H16*H17</f>
        <v>9603</v>
      </c>
      <c r="H22" s="32">
        <f>H16*H17</f>
        <v>9801</v>
      </c>
      <c r="I22" s="32">
        <f>I16*I17</f>
        <v>10201</v>
      </c>
      <c r="J22" s="33">
        <f>I16*J17+I17*J16-I16*I17</f>
        <v>10403</v>
      </c>
    </row>
    <row r="23" spans="1:10" x14ac:dyDescent="0.25">
      <c r="B23" s="45" t="s">
        <v>20</v>
      </c>
      <c r="C23" s="48">
        <f>C22*D18+C18*D22-D22*D18</f>
        <v>5450.9399999999987</v>
      </c>
      <c r="D23" s="7">
        <f>D22*D18</f>
        <v>5782.59</v>
      </c>
      <c r="E23" s="7">
        <f>E22*E18</f>
        <v>6222.61</v>
      </c>
      <c r="F23" s="49">
        <f>E22*F18+E18*F22-E18*E22</f>
        <v>6571.06</v>
      </c>
      <c r="G23" s="48">
        <f>G22*H18+G18*H22-H22*H18</f>
        <v>5665.77</v>
      </c>
      <c r="H23" s="7">
        <f>H22*H18</f>
        <v>5782.59</v>
      </c>
      <c r="I23" s="7">
        <f>I22*I18</f>
        <v>6222.61</v>
      </c>
      <c r="J23" s="49">
        <f>I22*J18+I18*J22-I18*I22</f>
        <v>6345.829999999999</v>
      </c>
    </row>
    <row r="24" spans="1:10" ht="15.75" thickBot="1" x14ac:dyDescent="0.3">
      <c r="B24" s="46" t="s">
        <v>21</v>
      </c>
      <c r="C24" s="50">
        <f>(D23*E19-D23*F19+C23*E19)/(E19^2)</f>
        <v>528.35972943829017</v>
      </c>
      <c r="D24" s="51">
        <f>D23/E19</f>
        <v>572.53366336633667</v>
      </c>
      <c r="E24" s="51">
        <f>E23/D19</f>
        <v>628.54646464646464</v>
      </c>
      <c r="F24" s="52">
        <f>(E23*D19-E23*C19+F23*D19)/(D19^2)</f>
        <v>676.44134272013059</v>
      </c>
      <c r="G24" s="50">
        <f>(H23*I19-H23*J19+G23*I19)/(I19^2)</f>
        <v>555.29867660033335</v>
      </c>
      <c r="H24" s="51">
        <f>H23/I19</f>
        <v>572.53366336633667</v>
      </c>
      <c r="I24" s="51">
        <f>I23/H19</f>
        <v>628.54646464646464</v>
      </c>
      <c r="J24" s="52">
        <f>(I23*H19-I23*G19+J23*H19)/(H19^2)</f>
        <v>647.34188348127725</v>
      </c>
    </row>
    <row r="25" spans="1:10" x14ac:dyDescent="0.25">
      <c r="B25" s="60"/>
      <c r="C25" s="59"/>
      <c r="D25" s="59"/>
      <c r="E25" s="59"/>
      <c r="F25" s="59"/>
      <c r="G25" s="59"/>
      <c r="H25" s="59"/>
      <c r="I25" s="59"/>
      <c r="J25" s="59"/>
    </row>
    <row r="26" spans="1:10" ht="15.75" thickBot="1" x14ac:dyDescent="0.3">
      <c r="C26" s="1" t="s">
        <v>25</v>
      </c>
      <c r="F26" s="1" t="s">
        <v>26</v>
      </c>
      <c r="I26" s="59"/>
      <c r="J26" s="59"/>
    </row>
    <row r="27" spans="1:10" ht="15.75" thickBot="1" x14ac:dyDescent="0.3">
      <c r="A27" s="1">
        <v>0.8</v>
      </c>
      <c r="B27" s="43" t="s">
        <v>22</v>
      </c>
      <c r="C27" s="68">
        <f>A27*D24+(1-A27)*C24</f>
        <v>563.6988765807273</v>
      </c>
      <c r="D27" s="62">
        <f>A27*E24+(1-A27)*F24</f>
        <v>638.12544026119781</v>
      </c>
      <c r="E27" s="63"/>
      <c r="F27" s="61">
        <f>A27*H24+(1-A27)*G24</f>
        <v>569.08666601313598</v>
      </c>
      <c r="G27" s="62">
        <f>A27*I24+(1-A27)*J24</f>
        <v>632.30554841342712</v>
      </c>
      <c r="I27" s="59"/>
      <c r="J27" s="59"/>
    </row>
    <row r="28" spans="1:10" ht="15.75" thickBot="1" x14ac:dyDescent="0.3">
      <c r="A28" s="1"/>
      <c r="B28" s="71" t="s">
        <v>28</v>
      </c>
      <c r="C28" s="69">
        <f>(C27+D27)/2</f>
        <v>600.91215842096256</v>
      </c>
      <c r="D28" s="63"/>
      <c r="E28" s="63"/>
      <c r="F28" s="64">
        <f>(F27+G27)/2</f>
        <v>600.69610721328149</v>
      </c>
      <c r="G28" s="63"/>
      <c r="I28" s="59"/>
      <c r="J28" s="59"/>
    </row>
    <row r="29" spans="1:10" x14ac:dyDescent="0.25">
      <c r="B29" s="72" t="s">
        <v>27</v>
      </c>
      <c r="C29" s="70">
        <f>(C28+F28)/2</f>
        <v>600.80413281712208</v>
      </c>
      <c r="I29" s="59"/>
      <c r="J29" s="59"/>
    </row>
    <row r="30" spans="1:10" x14ac:dyDescent="0.25">
      <c r="B30" s="60"/>
      <c r="C30" s="59"/>
      <c r="D30" s="59"/>
      <c r="E30" s="59"/>
      <c r="F30" s="59"/>
      <c r="G30" s="59"/>
      <c r="H30" s="59"/>
      <c r="I30" s="59"/>
      <c r="J30" s="59"/>
    </row>
    <row r="31" spans="1:10" x14ac:dyDescent="0.25">
      <c r="B31" s="60"/>
      <c r="C31" s="59"/>
      <c r="D31" s="59"/>
      <c r="E31" s="59"/>
      <c r="F31" s="59"/>
      <c r="G31" s="59"/>
      <c r="H31" s="59"/>
      <c r="I31" s="59"/>
      <c r="J31" s="59"/>
    </row>
    <row r="32" spans="1:10" ht="15.75" thickBot="1" x14ac:dyDescent="0.3">
      <c r="B32" s="1" t="s">
        <v>9</v>
      </c>
      <c r="C32">
        <v>1</v>
      </c>
      <c r="D32">
        <v>2</v>
      </c>
      <c r="E32">
        <v>3</v>
      </c>
      <c r="F32">
        <v>4</v>
      </c>
      <c r="G32">
        <v>1</v>
      </c>
      <c r="H32">
        <v>2</v>
      </c>
      <c r="I32">
        <v>3</v>
      </c>
      <c r="J32">
        <v>4</v>
      </c>
    </row>
    <row r="33" spans="1:10" ht="15.75" thickBot="1" x14ac:dyDescent="0.3">
      <c r="B33" s="14" t="s">
        <v>7</v>
      </c>
      <c r="C33" s="86" t="s">
        <v>17</v>
      </c>
      <c r="D33" s="87"/>
      <c r="E33" s="87"/>
      <c r="F33" s="88"/>
      <c r="G33" s="86" t="s">
        <v>18</v>
      </c>
      <c r="H33" s="87"/>
      <c r="I33" s="87"/>
      <c r="J33" s="88"/>
    </row>
    <row r="34" spans="1:10" x14ac:dyDescent="0.25">
      <c r="B34" s="15" t="s">
        <v>1</v>
      </c>
      <c r="C34" s="37">
        <v>97</v>
      </c>
      <c r="D34" s="38">
        <v>99</v>
      </c>
      <c r="E34" s="38">
        <v>101</v>
      </c>
      <c r="F34" s="39">
        <v>103</v>
      </c>
      <c r="G34" s="37">
        <v>98</v>
      </c>
      <c r="H34" s="38">
        <v>99</v>
      </c>
      <c r="I34" s="38">
        <v>101</v>
      </c>
      <c r="J34" s="39">
        <v>102</v>
      </c>
    </row>
    <row r="35" spans="1:10" ht="12.75" customHeight="1" x14ac:dyDescent="0.25">
      <c r="B35" s="16" t="s">
        <v>2</v>
      </c>
      <c r="C35" s="73">
        <v>2.91</v>
      </c>
      <c r="D35" s="74">
        <v>2.97</v>
      </c>
      <c r="E35" s="74">
        <v>3.03</v>
      </c>
      <c r="F35" s="75">
        <v>3.09</v>
      </c>
      <c r="G35" s="73">
        <v>2.94</v>
      </c>
      <c r="H35" s="74">
        <v>2.97</v>
      </c>
      <c r="I35" s="74">
        <v>3.03</v>
      </c>
      <c r="J35" s="75">
        <v>3.06</v>
      </c>
    </row>
    <row r="36" spans="1:10" x14ac:dyDescent="0.25">
      <c r="B36" s="16" t="s">
        <v>3</v>
      </c>
      <c r="C36" s="73">
        <v>0.87</v>
      </c>
      <c r="D36" s="74">
        <v>0.89</v>
      </c>
      <c r="E36" s="74">
        <v>0.91</v>
      </c>
      <c r="F36" s="75">
        <v>0.93</v>
      </c>
      <c r="G36" s="73">
        <v>0.88</v>
      </c>
      <c r="H36" s="74">
        <v>0.89</v>
      </c>
      <c r="I36" s="74">
        <v>0.91</v>
      </c>
      <c r="J36" s="75">
        <v>0.92</v>
      </c>
    </row>
    <row r="37" spans="1:10" ht="15.75" thickBot="1" x14ac:dyDescent="0.3">
      <c r="B37" s="17" t="s">
        <v>4</v>
      </c>
      <c r="C37" s="73">
        <v>4.8499999999999996</v>
      </c>
      <c r="D37" s="74">
        <v>4.95</v>
      </c>
      <c r="E37" s="74">
        <v>5.05</v>
      </c>
      <c r="F37" s="75">
        <v>5.15</v>
      </c>
      <c r="G37" s="73">
        <v>4.9000000000000004</v>
      </c>
      <c r="H37" s="74">
        <v>4.95</v>
      </c>
      <c r="I37" s="74">
        <v>5.05</v>
      </c>
      <c r="J37" s="75">
        <v>5.0999999999999996</v>
      </c>
    </row>
    <row r="38" spans="1:10" ht="15.75" thickBot="1" x14ac:dyDescent="0.3">
      <c r="B38" s="47" t="s">
        <v>0</v>
      </c>
      <c r="C38" s="53">
        <f>C42</f>
        <v>47.534848544260363</v>
      </c>
      <c r="D38" s="57">
        <f t="shared" ref="D38:J38" si="1">D42</f>
        <v>51.819148514851491</v>
      </c>
      <c r="E38" s="57">
        <f t="shared" si="1"/>
        <v>56.260060606060605</v>
      </c>
      <c r="F38" s="58">
        <f t="shared" si="1"/>
        <v>60.861233547597173</v>
      </c>
      <c r="G38" s="53">
        <f t="shared" si="1"/>
        <v>49.676998529555931</v>
      </c>
      <c r="H38" s="57">
        <f t="shared" si="1"/>
        <v>51.819148514851491</v>
      </c>
      <c r="I38" s="57">
        <f t="shared" si="1"/>
        <v>56.260060606060605</v>
      </c>
      <c r="J38" s="58">
        <f t="shared" si="1"/>
        <v>58.560647076828907</v>
      </c>
    </row>
    <row r="39" spans="1:10" ht="15.75" thickBot="1" x14ac:dyDescent="0.3"/>
    <row r="40" spans="1:10" x14ac:dyDescent="0.25">
      <c r="B40" s="44" t="s">
        <v>19</v>
      </c>
      <c r="C40" s="31">
        <f>C34*D35+C35*D34-D34*D35</f>
        <v>282.15000000000003</v>
      </c>
      <c r="D40" s="32">
        <f>D34*D35</f>
        <v>294.03000000000003</v>
      </c>
      <c r="E40" s="32">
        <f>E34*E35</f>
        <v>306.02999999999997</v>
      </c>
      <c r="F40" s="33">
        <f>E34*F35+E35*F34-E34*E35</f>
        <v>318.14999999999998</v>
      </c>
      <c r="G40" s="31">
        <f>G34*H35+G35*H34-H34*H35</f>
        <v>288.08999999999997</v>
      </c>
      <c r="H40" s="32">
        <f>H34*H35</f>
        <v>294.03000000000003</v>
      </c>
      <c r="I40" s="32">
        <f>I34*I35</f>
        <v>306.02999999999997</v>
      </c>
      <c r="J40" s="33">
        <f>I34*J35+I35*J34-I34*I35</f>
        <v>312.09000000000003</v>
      </c>
    </row>
    <row r="41" spans="1:10" x14ac:dyDescent="0.25">
      <c r="B41" s="45" t="s">
        <v>20</v>
      </c>
      <c r="C41" s="48">
        <f>C40*D36+C36*D40-D40*D36</f>
        <v>245.23290000000003</v>
      </c>
      <c r="D41" s="7">
        <f>D40*D36</f>
        <v>261.68670000000003</v>
      </c>
      <c r="E41" s="7">
        <f>E40*E36</f>
        <v>278.4873</v>
      </c>
      <c r="F41" s="49">
        <f>E40*F36+E36*F40-E36*E40</f>
        <v>295.63709999999992</v>
      </c>
      <c r="G41" s="48">
        <f>G40*H36+G36*H40-H40*H36</f>
        <v>253.45980000000003</v>
      </c>
      <c r="H41" s="7">
        <f>H40*H36</f>
        <v>261.68670000000003</v>
      </c>
      <c r="I41" s="7">
        <f>I40*I36</f>
        <v>278.4873</v>
      </c>
      <c r="J41" s="49">
        <f>I40*J36+I36*J40-I36*I40</f>
        <v>287.06220000000008</v>
      </c>
    </row>
    <row r="42" spans="1:10" ht="15.75" thickBot="1" x14ac:dyDescent="0.3">
      <c r="B42" s="46" t="s">
        <v>21</v>
      </c>
      <c r="C42" s="50">
        <f>(D41*E37-D41*F37+C41*E37)/(E37^2)</f>
        <v>47.534848544260363</v>
      </c>
      <c r="D42" s="51">
        <f>D41/E37</f>
        <v>51.819148514851491</v>
      </c>
      <c r="E42" s="51">
        <f>E41/D37</f>
        <v>56.260060606060605</v>
      </c>
      <c r="F42" s="52">
        <f>(E41*D37-E41*C37+F41*D37)/(D37^2)</f>
        <v>60.861233547597173</v>
      </c>
      <c r="G42" s="50">
        <f>(H41*I37-H41*J37+G41*I37)/(I37^2)</f>
        <v>49.676998529555931</v>
      </c>
      <c r="H42" s="51">
        <f>H41/I37</f>
        <v>51.819148514851491</v>
      </c>
      <c r="I42" s="51">
        <f>I41/H37</f>
        <v>56.260060606060605</v>
      </c>
      <c r="J42" s="52">
        <f>(I41*H37-I41*G37+J41*H37)/(H37^2)</f>
        <v>58.560647076828907</v>
      </c>
    </row>
    <row r="43" spans="1:10" x14ac:dyDescent="0.25">
      <c r="B43" s="60"/>
      <c r="C43" s="59"/>
      <c r="D43" s="59"/>
      <c r="E43" s="59"/>
      <c r="F43" s="59"/>
      <c r="G43" s="59"/>
      <c r="H43" s="59"/>
      <c r="I43" s="59"/>
      <c r="J43" s="59"/>
    </row>
    <row r="44" spans="1:10" ht="15.75" thickBot="1" x14ac:dyDescent="0.3">
      <c r="C44" s="1" t="s">
        <v>25</v>
      </c>
      <c r="F44" s="1" t="s">
        <v>26</v>
      </c>
      <c r="I44" s="59"/>
      <c r="J44" s="59"/>
    </row>
    <row r="45" spans="1:10" ht="15.75" thickBot="1" x14ac:dyDescent="0.3">
      <c r="A45" s="1">
        <v>0.8</v>
      </c>
      <c r="B45" s="43" t="s">
        <v>22</v>
      </c>
      <c r="C45" s="68">
        <f>A45*D42+(1-A45)*C42</f>
        <v>50.962288520733267</v>
      </c>
      <c r="D45" s="62">
        <f>A45*E42+(1-A45)*F42</f>
        <v>57.180295194367915</v>
      </c>
      <c r="E45" s="63"/>
      <c r="F45" s="61">
        <f>A45*H42+(1-A45)*G42</f>
        <v>51.390718517792379</v>
      </c>
      <c r="G45" s="62">
        <f>A45*I42+(1-A45)*J42</f>
        <v>56.720177900214267</v>
      </c>
      <c r="I45" s="59"/>
      <c r="J45" s="59"/>
    </row>
    <row r="46" spans="1:10" ht="15.75" thickBot="1" x14ac:dyDescent="0.3">
      <c r="A46" s="1"/>
      <c r="B46" s="71" t="s">
        <v>28</v>
      </c>
      <c r="C46" s="69">
        <f>(C45+D45)/2</f>
        <v>54.071291857550591</v>
      </c>
      <c r="D46" s="63"/>
      <c r="E46" s="63"/>
      <c r="F46" s="64">
        <f>(F45+G45)/2</f>
        <v>54.055448209003323</v>
      </c>
      <c r="G46" s="63"/>
      <c r="I46" s="59"/>
      <c r="J46" s="59"/>
    </row>
    <row r="47" spans="1:10" x14ac:dyDescent="0.25">
      <c r="B47" s="72" t="s">
        <v>27</v>
      </c>
      <c r="C47" s="70">
        <f>(C46+F46)/2</f>
        <v>54.063370033276954</v>
      </c>
      <c r="I47" s="59"/>
      <c r="J47" s="59"/>
    </row>
    <row r="50" spans="1:10" ht="15.75" thickBot="1" x14ac:dyDescent="0.3">
      <c r="B50" s="1" t="s">
        <v>10</v>
      </c>
      <c r="C50">
        <v>1</v>
      </c>
      <c r="D50">
        <v>2</v>
      </c>
      <c r="E50">
        <v>3</v>
      </c>
      <c r="F50">
        <v>4</v>
      </c>
      <c r="G50">
        <v>1</v>
      </c>
      <c r="H50">
        <v>2</v>
      </c>
      <c r="I50">
        <v>3</v>
      </c>
      <c r="J50">
        <v>4</v>
      </c>
    </row>
    <row r="51" spans="1:10" ht="15.75" thickBot="1" x14ac:dyDescent="0.3">
      <c r="B51" s="14" t="s">
        <v>7</v>
      </c>
      <c r="C51" s="86" t="s">
        <v>17</v>
      </c>
      <c r="D51" s="87"/>
      <c r="E51" s="87"/>
      <c r="F51" s="88"/>
      <c r="G51" s="86" t="s">
        <v>18</v>
      </c>
      <c r="H51" s="87"/>
      <c r="I51" s="87"/>
      <c r="J51" s="88"/>
    </row>
    <row r="52" spans="1:10" x14ac:dyDescent="0.25">
      <c r="B52" s="15" t="s">
        <v>1</v>
      </c>
      <c r="C52" s="37">
        <v>970</v>
      </c>
      <c r="D52" s="38">
        <v>990</v>
      </c>
      <c r="E52" s="38">
        <v>1010</v>
      </c>
      <c r="F52" s="39">
        <v>1030</v>
      </c>
      <c r="G52" s="37">
        <v>980</v>
      </c>
      <c r="H52" s="38">
        <v>990</v>
      </c>
      <c r="I52" s="38">
        <v>1010</v>
      </c>
      <c r="J52" s="39">
        <v>1020</v>
      </c>
    </row>
    <row r="53" spans="1:10" x14ac:dyDescent="0.25">
      <c r="B53" s="16" t="s">
        <v>2</v>
      </c>
      <c r="C53" s="73">
        <v>1.94</v>
      </c>
      <c r="D53" s="74">
        <v>1.98</v>
      </c>
      <c r="E53" s="74">
        <v>2.02</v>
      </c>
      <c r="F53" s="75">
        <v>2.06</v>
      </c>
      <c r="G53" s="73">
        <v>1.96</v>
      </c>
      <c r="H53" s="74">
        <v>1.98</v>
      </c>
      <c r="I53" s="74">
        <v>2.02</v>
      </c>
      <c r="J53" s="75">
        <v>2.04</v>
      </c>
    </row>
    <row r="54" spans="1:10" x14ac:dyDescent="0.25">
      <c r="B54" s="16" t="s">
        <v>3</v>
      </c>
      <c r="C54" s="73">
        <v>0.78</v>
      </c>
      <c r="D54" s="74">
        <v>0.79</v>
      </c>
      <c r="E54" s="74">
        <v>0.81</v>
      </c>
      <c r="F54" s="75">
        <v>0.82</v>
      </c>
      <c r="G54" s="73">
        <v>0.78</v>
      </c>
      <c r="H54" s="74">
        <v>0.79</v>
      </c>
      <c r="I54" s="74">
        <v>0.81</v>
      </c>
      <c r="J54" s="75">
        <v>0.82</v>
      </c>
    </row>
    <row r="55" spans="1:10" ht="15.75" thickBot="1" x14ac:dyDescent="0.3">
      <c r="B55" s="17" t="s">
        <v>4</v>
      </c>
      <c r="C55" s="73">
        <v>6.79</v>
      </c>
      <c r="D55" s="74">
        <v>6.93</v>
      </c>
      <c r="E55" s="74">
        <v>7.07</v>
      </c>
      <c r="F55" s="75">
        <v>7.21</v>
      </c>
      <c r="G55" s="73">
        <v>6.86</v>
      </c>
      <c r="H55" s="74">
        <v>6.93</v>
      </c>
      <c r="I55" s="74">
        <v>7.07</v>
      </c>
      <c r="J55" s="75">
        <v>7.14</v>
      </c>
    </row>
    <row r="56" spans="1:10" ht="15.75" thickBot="1" x14ac:dyDescent="0.3">
      <c r="B56" s="47" t="s">
        <v>0</v>
      </c>
      <c r="C56" s="53">
        <f>C60</f>
        <v>203.07262873387762</v>
      </c>
      <c r="D56" s="57">
        <f t="shared" ref="D56:J56" si="2">D60</f>
        <v>219.03224893917962</v>
      </c>
      <c r="E56" s="57">
        <f t="shared" si="2"/>
        <v>238.4649350649351</v>
      </c>
      <c r="F56" s="58">
        <f t="shared" si="2"/>
        <v>255.6705758887577</v>
      </c>
      <c r="G56" s="53">
        <f t="shared" si="2"/>
        <v>209.66615877995162</v>
      </c>
      <c r="H56" s="57">
        <f t="shared" si="2"/>
        <v>219.03224893917962</v>
      </c>
      <c r="I56" s="57">
        <f t="shared" si="2"/>
        <v>238.4649350649351</v>
      </c>
      <c r="J56" s="58">
        <f t="shared" si="2"/>
        <v>248.53976124885219</v>
      </c>
    </row>
    <row r="57" spans="1:10" ht="15.75" thickBot="1" x14ac:dyDescent="0.3"/>
    <row r="58" spans="1:10" x14ac:dyDescent="0.25">
      <c r="B58" s="44" t="s">
        <v>19</v>
      </c>
      <c r="C58" s="31">
        <f>C52*D53+C53*D52-D52*D53</f>
        <v>1880.9999999999998</v>
      </c>
      <c r="D58" s="32">
        <f>D52*D53</f>
        <v>1960.2</v>
      </c>
      <c r="E58" s="32">
        <f>E52*E53</f>
        <v>2040.2</v>
      </c>
      <c r="F58" s="33">
        <f>E52*F53+E53*F52-E52*E53</f>
        <v>2121</v>
      </c>
      <c r="G58" s="31">
        <f>G52*H53+G53*H52-H52*H53</f>
        <v>1920.6000000000001</v>
      </c>
      <c r="H58" s="32">
        <f>H52*H53</f>
        <v>1960.2</v>
      </c>
      <c r="I58" s="32">
        <f>I52*I53</f>
        <v>2040.2</v>
      </c>
      <c r="J58" s="33">
        <f>I52*J53+I53*J52-I52*I53</f>
        <v>2080.6000000000004</v>
      </c>
    </row>
    <row r="59" spans="1:10" x14ac:dyDescent="0.25">
      <c r="B59" s="45" t="s">
        <v>20</v>
      </c>
      <c r="C59" s="48">
        <f>C58*D54+C54*D58-D58*D54</f>
        <v>1466.3879999999999</v>
      </c>
      <c r="D59" s="7">
        <f>D58*D54</f>
        <v>1548.558</v>
      </c>
      <c r="E59" s="7">
        <f>E58*E54</f>
        <v>1652.5620000000001</v>
      </c>
      <c r="F59" s="49">
        <f>E58*F54+E54*F58-E54*E58</f>
        <v>1738.412</v>
      </c>
      <c r="G59" s="48">
        <f>G58*H54+G54*H58-H58*H54</f>
        <v>1497.6720000000005</v>
      </c>
      <c r="H59" s="7">
        <f>H58*H54</f>
        <v>1548.558</v>
      </c>
      <c r="I59" s="7">
        <f>I58*I54</f>
        <v>1652.5620000000001</v>
      </c>
      <c r="J59" s="49">
        <f>I58*J54+I54*J58-I54*I58</f>
        <v>1705.6880000000003</v>
      </c>
    </row>
    <row r="60" spans="1:10" ht="15.75" thickBot="1" x14ac:dyDescent="0.3">
      <c r="B60" s="46" t="s">
        <v>21</v>
      </c>
      <c r="C60" s="50">
        <f>(D59*E55-D59*F55+C59*E55)/(E55^2)</f>
        <v>203.07262873387762</v>
      </c>
      <c r="D60" s="51">
        <f>D59/E55</f>
        <v>219.03224893917962</v>
      </c>
      <c r="E60" s="51">
        <f>E59/D55</f>
        <v>238.4649350649351</v>
      </c>
      <c r="F60" s="52">
        <f>(E59*D55-E59*C55+F59*D55)/(D55^2)</f>
        <v>255.6705758887577</v>
      </c>
      <c r="G60" s="50">
        <f>(H59*I55-H59*J55+G59*I55)/(I55^2)</f>
        <v>209.66615877995162</v>
      </c>
      <c r="H60" s="51">
        <f>H59/I55</f>
        <v>219.03224893917962</v>
      </c>
      <c r="I60" s="51">
        <f>I59/H55</f>
        <v>238.4649350649351</v>
      </c>
      <c r="J60" s="52">
        <f>(I59*H55-I59*G55+J59*H55)/(H55^2)</f>
        <v>248.53976124885219</v>
      </c>
    </row>
    <row r="61" spans="1:10" x14ac:dyDescent="0.25">
      <c r="B61" s="60"/>
      <c r="C61" s="59"/>
      <c r="D61" s="59"/>
      <c r="E61" s="59"/>
      <c r="F61" s="59"/>
      <c r="G61" s="59"/>
      <c r="H61" s="59"/>
      <c r="I61" s="59"/>
      <c r="J61" s="59"/>
    </row>
    <row r="62" spans="1:10" ht="15.75" thickBot="1" x14ac:dyDescent="0.3">
      <c r="C62" s="1" t="s">
        <v>25</v>
      </c>
      <c r="F62" s="1" t="s">
        <v>26</v>
      </c>
      <c r="I62" s="59"/>
      <c r="J62" s="59"/>
    </row>
    <row r="63" spans="1:10" ht="15.75" thickBot="1" x14ac:dyDescent="0.3">
      <c r="A63" s="1">
        <v>0.8</v>
      </c>
      <c r="B63" s="43" t="s">
        <v>22</v>
      </c>
      <c r="C63" s="68">
        <f>A63*D60+(1-A63)*C60</f>
        <v>215.84032489811923</v>
      </c>
      <c r="D63" s="62">
        <f>A63*E60+(1-A63)*F60</f>
        <v>241.90606322969961</v>
      </c>
      <c r="E63" s="63"/>
      <c r="F63" s="61">
        <f>A63*H60+(1-A63)*G60</f>
        <v>217.15903090733403</v>
      </c>
      <c r="G63" s="62">
        <f>A63*I60+(1-A63)*J60</f>
        <v>240.47990030171854</v>
      </c>
      <c r="I63" s="59"/>
      <c r="J63" s="59"/>
    </row>
    <row r="64" spans="1:10" ht="15.75" thickBot="1" x14ac:dyDescent="0.3">
      <c r="A64" s="1"/>
      <c r="B64" s="71" t="s">
        <v>28</v>
      </c>
      <c r="C64" s="69">
        <f>(C63+D63)/2</f>
        <v>228.87319406390941</v>
      </c>
      <c r="D64" s="63"/>
      <c r="E64" s="63"/>
      <c r="F64" s="64">
        <f>(F63+G63)/2</f>
        <v>228.81946560452627</v>
      </c>
      <c r="G64" s="63"/>
      <c r="I64" s="59"/>
      <c r="J64" s="59"/>
    </row>
    <row r="65" spans="2:10" x14ac:dyDescent="0.25">
      <c r="B65" s="72" t="s">
        <v>27</v>
      </c>
      <c r="C65" s="70">
        <f>(C64+F64)/2</f>
        <v>228.84632983421784</v>
      </c>
      <c r="I65" s="59"/>
      <c r="J65" s="59"/>
    </row>
  </sheetData>
  <mergeCells count="8">
    <mergeCell ref="C51:F51"/>
    <mergeCell ref="G51:J51"/>
    <mergeCell ref="B5:B6"/>
    <mergeCell ref="C5:E5"/>
    <mergeCell ref="C15:F15"/>
    <mergeCell ref="G15:J15"/>
    <mergeCell ref="C33:F33"/>
    <mergeCell ref="G33:J33"/>
  </mergeCells>
  <pageMargins left="0.70866141732283472" right="0.70866141732283472" top="0.74803149606299213" bottom="0.74803149606299213" header="0.31496062992125984" footer="0.31496062992125984"/>
  <pageSetup scale="5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49126-CFF0-430B-BE46-F43975E386BA}">
  <dimension ref="A1:K102"/>
  <sheetViews>
    <sheetView tabSelected="1" topLeftCell="A76" workbookViewId="0">
      <selection activeCell="C99" sqref="C99"/>
    </sheetView>
  </sheetViews>
  <sheetFormatPr defaultRowHeight="15" x14ac:dyDescent="0.25"/>
  <cols>
    <col min="1" max="1" width="55.140625" style="93" customWidth="1"/>
    <col min="2" max="2" width="3.42578125" customWidth="1"/>
    <col min="3" max="3" width="18.7109375" customWidth="1"/>
    <col min="4" max="4" width="6.5703125" customWidth="1"/>
    <col min="5" max="5" width="7.42578125" customWidth="1"/>
    <col min="6" max="6" width="7.140625" customWidth="1"/>
    <col min="7" max="7" width="6.42578125" customWidth="1"/>
  </cols>
  <sheetData>
    <row r="1" spans="1:11" x14ac:dyDescent="0.25">
      <c r="A1" s="92" t="s">
        <v>31</v>
      </c>
    </row>
    <row r="2" spans="1:11" x14ac:dyDescent="0.25">
      <c r="A2" s="92" t="s">
        <v>43</v>
      </c>
    </row>
    <row r="3" spans="1:11" ht="15.75" thickBot="1" x14ac:dyDescent="0.3">
      <c r="A3" s="1" t="s">
        <v>52</v>
      </c>
    </row>
    <row r="4" spans="1:11" x14ac:dyDescent="0.25">
      <c r="A4" s="1"/>
      <c r="B4" s="94">
        <v>0</v>
      </c>
      <c r="C4" s="95" t="s">
        <v>59</v>
      </c>
      <c r="D4" s="96">
        <v>0</v>
      </c>
      <c r="E4" s="97">
        <f>B4</f>
        <v>0</v>
      </c>
      <c r="F4" s="98">
        <v>0</v>
      </c>
      <c r="G4" s="99">
        <f>(E5+F5)/2</f>
        <v>1</v>
      </c>
      <c r="H4" s="100">
        <f t="shared" ref="H4" si="0">I4-(I4-D4)/2</f>
        <v>0</v>
      </c>
      <c r="I4" s="98">
        <f t="shared" ref="I4:J4" si="1">E4</f>
        <v>0</v>
      </c>
      <c r="J4" s="98">
        <f t="shared" si="1"/>
        <v>0</v>
      </c>
      <c r="K4" s="101">
        <f t="shared" ref="K4" si="2">J4+(G4-J4)/2</f>
        <v>0.5</v>
      </c>
    </row>
    <row r="5" spans="1:11" x14ac:dyDescent="0.25">
      <c r="A5" s="93" t="s">
        <v>38</v>
      </c>
      <c r="B5" s="94">
        <v>1</v>
      </c>
      <c r="C5" s="95" t="s">
        <v>60</v>
      </c>
      <c r="D5" s="102">
        <f>(E4+F4)/2</f>
        <v>0</v>
      </c>
      <c r="E5" s="103">
        <f>B5-0.5</f>
        <v>0.5</v>
      </c>
      <c r="F5">
        <f>E5+1</f>
        <v>1.5</v>
      </c>
      <c r="G5" s="104">
        <f>(E6+F6)/2</f>
        <v>2</v>
      </c>
      <c r="H5" s="105">
        <f>I5-(I5-D5)/2</f>
        <v>0.25</v>
      </c>
      <c r="I5">
        <f>E5</f>
        <v>0.5</v>
      </c>
      <c r="J5">
        <f>F5</f>
        <v>1.5</v>
      </c>
      <c r="K5" s="106">
        <f>J5+(G5-J5)/2</f>
        <v>1.75</v>
      </c>
    </row>
    <row r="6" spans="1:11" x14ac:dyDescent="0.25">
      <c r="A6" s="93" t="s">
        <v>39</v>
      </c>
      <c r="B6" s="94">
        <v>2</v>
      </c>
      <c r="C6" s="95" t="s">
        <v>61</v>
      </c>
      <c r="D6" s="102">
        <f>(E5+F5)/2</f>
        <v>1</v>
      </c>
      <c r="E6" s="103">
        <f>B6-0.5</f>
        <v>1.5</v>
      </c>
      <c r="F6">
        <f>E6+1</f>
        <v>2.5</v>
      </c>
      <c r="G6" s="104">
        <f>(E7+F7)/2</f>
        <v>3</v>
      </c>
      <c r="H6" s="105">
        <f>I6-(I6-D6)/2</f>
        <v>1.25</v>
      </c>
      <c r="I6">
        <f>E6</f>
        <v>1.5</v>
      </c>
      <c r="J6">
        <f>F6</f>
        <v>2.5</v>
      </c>
      <c r="K6" s="106">
        <f>J6+(G6-J6)/2</f>
        <v>2.75</v>
      </c>
    </row>
    <row r="7" spans="1:11" x14ac:dyDescent="0.25">
      <c r="A7" s="93" t="s">
        <v>40</v>
      </c>
      <c r="B7" s="94">
        <v>3</v>
      </c>
      <c r="C7" s="95" t="s">
        <v>62</v>
      </c>
      <c r="D7" s="102">
        <f>(E6+F6)/2</f>
        <v>2</v>
      </c>
      <c r="E7" s="103">
        <f>B7-0.5</f>
        <v>2.5</v>
      </c>
      <c r="F7">
        <f>E7+1</f>
        <v>3.5</v>
      </c>
      <c r="G7" s="104">
        <f>(E8+F8)/2</f>
        <v>4</v>
      </c>
      <c r="H7" s="105">
        <f>I7-(I7-D7)/2</f>
        <v>2.25</v>
      </c>
      <c r="I7">
        <f>E7</f>
        <v>2.5</v>
      </c>
      <c r="J7">
        <f>F7</f>
        <v>3.5</v>
      </c>
      <c r="K7" s="106">
        <f>J7+(G7-J7)/2</f>
        <v>3.75</v>
      </c>
    </row>
    <row r="8" spans="1:11" x14ac:dyDescent="0.25">
      <c r="A8" s="93" t="s">
        <v>41</v>
      </c>
      <c r="B8" s="94">
        <v>4</v>
      </c>
      <c r="C8" s="95" t="s">
        <v>63</v>
      </c>
      <c r="D8" s="102">
        <f>(E7+F7)/2</f>
        <v>3</v>
      </c>
      <c r="E8" s="103">
        <f>B8-0.5</f>
        <v>3.5</v>
      </c>
      <c r="F8">
        <f>E8+1</f>
        <v>4.5</v>
      </c>
      <c r="G8" s="104">
        <f>(E9+F9)/2</f>
        <v>5</v>
      </c>
      <c r="H8" s="105">
        <f>I8-(I8-D8)/2</f>
        <v>3.25</v>
      </c>
      <c r="I8">
        <f>E8</f>
        <v>3.5</v>
      </c>
      <c r="J8">
        <f>F8</f>
        <v>4.5</v>
      </c>
      <c r="K8" s="106">
        <f>J8+(G8-J8)/2</f>
        <v>4.75</v>
      </c>
    </row>
    <row r="9" spans="1:11" ht="15.75" thickBot="1" x14ac:dyDescent="0.3">
      <c r="A9" s="93" t="s">
        <v>42</v>
      </c>
      <c r="B9" s="94">
        <v>5</v>
      </c>
      <c r="C9" s="95" t="s">
        <v>64</v>
      </c>
      <c r="D9" s="107">
        <f>(E8+F8)/2</f>
        <v>4</v>
      </c>
      <c r="E9" s="108">
        <f>B9-0.5</f>
        <v>4.5</v>
      </c>
      <c r="F9" s="109">
        <f>E9+1</f>
        <v>5.5</v>
      </c>
      <c r="G9" s="110">
        <f>E9-D9+F9</f>
        <v>6</v>
      </c>
      <c r="H9" s="111">
        <f>I9-(I9-D9)/2</f>
        <v>4.25</v>
      </c>
      <c r="I9" s="109">
        <f>E9</f>
        <v>4.5</v>
      </c>
      <c r="J9" s="109">
        <f>F9</f>
        <v>5.5</v>
      </c>
      <c r="K9" s="112">
        <f>J9+(G9-J9)/2</f>
        <v>5.75</v>
      </c>
    </row>
    <row r="10" spans="1:11" x14ac:dyDescent="0.25">
      <c r="A10" s="1"/>
    </row>
    <row r="11" spans="1:11" ht="15.75" thickBot="1" x14ac:dyDescent="0.3">
      <c r="A11" s="1" t="s">
        <v>53</v>
      </c>
    </row>
    <row r="12" spans="1:11" x14ac:dyDescent="0.25">
      <c r="A12" s="1"/>
      <c r="B12" s="94">
        <v>0</v>
      </c>
      <c r="C12" s="95" t="s">
        <v>59</v>
      </c>
      <c r="D12" s="96">
        <v>0</v>
      </c>
      <c r="E12" s="97">
        <f>B12</f>
        <v>0</v>
      </c>
      <c r="F12" s="98">
        <v>0</v>
      </c>
      <c r="G12" s="99">
        <f>(E13+F13)/2</f>
        <v>1</v>
      </c>
      <c r="H12" s="100">
        <f t="shared" ref="H12" si="3">I12-(I12-D12)/2</f>
        <v>0</v>
      </c>
      <c r="I12" s="98">
        <f t="shared" ref="I12" si="4">E12</f>
        <v>0</v>
      </c>
      <c r="J12" s="98">
        <f t="shared" ref="J12" si="5">F12</f>
        <v>0</v>
      </c>
      <c r="K12" s="101">
        <f t="shared" ref="K12" si="6">J12+(G12-J12)/2</f>
        <v>0.5</v>
      </c>
    </row>
    <row r="13" spans="1:11" x14ac:dyDescent="0.25">
      <c r="A13" s="93" t="s">
        <v>38</v>
      </c>
      <c r="B13" s="94">
        <v>1</v>
      </c>
      <c r="C13" s="95" t="s">
        <v>60</v>
      </c>
      <c r="D13" s="102">
        <f>(E12+F12)/2</f>
        <v>0</v>
      </c>
      <c r="E13" s="103">
        <f>B13-0.5</f>
        <v>0.5</v>
      </c>
      <c r="F13">
        <f>E13+1</f>
        <v>1.5</v>
      </c>
      <c r="G13" s="104">
        <f>(E14+F14)/2</f>
        <v>2</v>
      </c>
      <c r="H13" s="105">
        <f>I13-(I13-D13)/2</f>
        <v>0.25</v>
      </c>
      <c r="I13">
        <f>E13</f>
        <v>0.5</v>
      </c>
      <c r="J13">
        <f>F13</f>
        <v>1.5</v>
      </c>
      <c r="K13" s="106">
        <f>J13+(G13-J13)/2</f>
        <v>1.75</v>
      </c>
    </row>
    <row r="14" spans="1:11" x14ac:dyDescent="0.25">
      <c r="A14" s="93" t="s">
        <v>39</v>
      </c>
      <c r="B14" s="94">
        <v>2</v>
      </c>
      <c r="C14" s="95" t="s">
        <v>61</v>
      </c>
      <c r="D14" s="102">
        <f>(E13+F13)/2</f>
        <v>1</v>
      </c>
      <c r="E14" s="103">
        <f>B14-0.5</f>
        <v>1.5</v>
      </c>
      <c r="F14">
        <f>E14+1</f>
        <v>2.5</v>
      </c>
      <c r="G14" s="104">
        <f>(E15+F15)/2</f>
        <v>3</v>
      </c>
      <c r="H14" s="105">
        <f>I14-(I14-D14)/2</f>
        <v>1.25</v>
      </c>
      <c r="I14">
        <f>E14</f>
        <v>1.5</v>
      </c>
      <c r="J14">
        <f>F14</f>
        <v>2.5</v>
      </c>
      <c r="K14" s="106">
        <f>J14+(G14-J14)/2</f>
        <v>2.75</v>
      </c>
    </row>
    <row r="15" spans="1:11" x14ac:dyDescent="0.25">
      <c r="A15" s="93" t="s">
        <v>40</v>
      </c>
      <c r="B15" s="94">
        <v>3</v>
      </c>
      <c r="C15" s="95" t="s">
        <v>62</v>
      </c>
      <c r="D15" s="102">
        <f>(E14+F14)/2</f>
        <v>2</v>
      </c>
      <c r="E15" s="103">
        <f>B15-0.5</f>
        <v>2.5</v>
      </c>
      <c r="F15">
        <f>E15+1</f>
        <v>3.5</v>
      </c>
      <c r="G15" s="104">
        <f>(E16+F16)/2</f>
        <v>4</v>
      </c>
      <c r="H15" s="105">
        <f>I15-(I15-D15)/2</f>
        <v>2.25</v>
      </c>
      <c r="I15">
        <f>E15</f>
        <v>2.5</v>
      </c>
      <c r="J15">
        <f>F15</f>
        <v>3.5</v>
      </c>
      <c r="K15" s="106">
        <f>J15+(G15-J15)/2</f>
        <v>3.75</v>
      </c>
    </row>
    <row r="16" spans="1:11" x14ac:dyDescent="0.25">
      <c r="A16" s="93" t="s">
        <v>41</v>
      </c>
      <c r="B16" s="94">
        <v>4</v>
      </c>
      <c r="C16" s="95" t="s">
        <v>63</v>
      </c>
      <c r="D16" s="102">
        <f>(E15+F15)/2</f>
        <v>3</v>
      </c>
      <c r="E16" s="103">
        <f>B16-0.5</f>
        <v>3.5</v>
      </c>
      <c r="F16">
        <f>E16+1</f>
        <v>4.5</v>
      </c>
      <c r="G16" s="104">
        <f>(E17+F17)/2</f>
        <v>5</v>
      </c>
      <c r="H16" s="105">
        <f>I16-(I16-D16)/2</f>
        <v>3.25</v>
      </c>
      <c r="I16">
        <f>E16</f>
        <v>3.5</v>
      </c>
      <c r="J16">
        <f>F16</f>
        <v>4.5</v>
      </c>
      <c r="K16" s="106">
        <f>J16+(G16-J16)/2</f>
        <v>4.75</v>
      </c>
    </row>
    <row r="17" spans="1:11" ht="15.75" thickBot="1" x14ac:dyDescent="0.3">
      <c r="A17" s="93" t="s">
        <v>42</v>
      </c>
      <c r="B17" s="94">
        <v>5</v>
      </c>
      <c r="C17" s="95" t="s">
        <v>64</v>
      </c>
      <c r="D17" s="107">
        <f>(E16+F16)/2</f>
        <v>4</v>
      </c>
      <c r="E17" s="108">
        <f>B17-0.5</f>
        <v>4.5</v>
      </c>
      <c r="F17" s="109">
        <f>E17+1</f>
        <v>5.5</v>
      </c>
      <c r="G17" s="110">
        <f>E17-D17+F17</f>
        <v>6</v>
      </c>
      <c r="H17" s="111">
        <f>I17-(I17-D17)/2</f>
        <v>4.25</v>
      </c>
      <c r="I17" s="109">
        <f>E17</f>
        <v>4.5</v>
      </c>
      <c r="J17" s="109">
        <f>F17</f>
        <v>5.5</v>
      </c>
      <c r="K17" s="112">
        <f>J17+(G17-J17)/2</f>
        <v>5.75</v>
      </c>
    </row>
    <row r="18" spans="1:11" x14ac:dyDescent="0.25">
      <c r="A18" s="1"/>
    </row>
    <row r="19" spans="1:11" ht="15.75" thickBot="1" x14ac:dyDescent="0.3">
      <c r="A19" s="1" t="s">
        <v>54</v>
      </c>
    </row>
    <row r="20" spans="1:11" x14ac:dyDescent="0.25">
      <c r="A20" s="1"/>
      <c r="B20" s="94">
        <v>0</v>
      </c>
      <c r="C20" s="95" t="s">
        <v>59</v>
      </c>
      <c r="D20" s="96">
        <v>0</v>
      </c>
      <c r="E20" s="97">
        <f>B20</f>
        <v>0</v>
      </c>
      <c r="F20" s="98">
        <v>0</v>
      </c>
      <c r="G20" s="99">
        <f>(E21+F21)/2</f>
        <v>1</v>
      </c>
      <c r="H20" s="100">
        <f t="shared" ref="H20" si="7">I20-(I20-D20)/2</f>
        <v>0</v>
      </c>
      <c r="I20" s="98">
        <f t="shared" ref="I20" si="8">E20</f>
        <v>0</v>
      </c>
      <c r="J20" s="98">
        <f t="shared" ref="J20" si="9">F20</f>
        <v>0</v>
      </c>
      <c r="K20" s="101">
        <f t="shared" ref="K20" si="10">J20+(G20-J20)/2</f>
        <v>0.5</v>
      </c>
    </row>
    <row r="21" spans="1:11" x14ac:dyDescent="0.25">
      <c r="A21" s="93" t="s">
        <v>38</v>
      </c>
      <c r="B21" s="94">
        <v>1</v>
      </c>
      <c r="C21" s="95" t="s">
        <v>60</v>
      </c>
      <c r="D21" s="102">
        <f>(E20+F20)/2</f>
        <v>0</v>
      </c>
      <c r="E21" s="103">
        <f>B21-0.5</f>
        <v>0.5</v>
      </c>
      <c r="F21">
        <f>E21+1</f>
        <v>1.5</v>
      </c>
      <c r="G21" s="104">
        <f>(E22+F22)/2</f>
        <v>2</v>
      </c>
      <c r="H21" s="105">
        <f>I21-(I21-D21)/2</f>
        <v>0.25</v>
      </c>
      <c r="I21">
        <f>E21</f>
        <v>0.5</v>
      </c>
      <c r="J21">
        <f>F21</f>
        <v>1.5</v>
      </c>
      <c r="K21" s="106">
        <f>J21+(G21-J21)/2</f>
        <v>1.75</v>
      </c>
    </row>
    <row r="22" spans="1:11" x14ac:dyDescent="0.25">
      <c r="A22" s="93" t="s">
        <v>39</v>
      </c>
      <c r="B22" s="94">
        <v>2</v>
      </c>
      <c r="C22" s="95" t="s">
        <v>61</v>
      </c>
      <c r="D22" s="102">
        <f>(E21+F21)/2</f>
        <v>1</v>
      </c>
      <c r="E22" s="103">
        <f>B22-0.5</f>
        <v>1.5</v>
      </c>
      <c r="F22">
        <f>E22+1</f>
        <v>2.5</v>
      </c>
      <c r="G22" s="104">
        <f>(E23+F23)/2</f>
        <v>3</v>
      </c>
      <c r="H22" s="105">
        <f>I22-(I22-D22)/2</f>
        <v>1.25</v>
      </c>
      <c r="I22">
        <f>E22</f>
        <v>1.5</v>
      </c>
      <c r="J22">
        <f>F22</f>
        <v>2.5</v>
      </c>
      <c r="K22" s="106">
        <f>J22+(G22-J22)/2</f>
        <v>2.75</v>
      </c>
    </row>
    <row r="23" spans="1:11" x14ac:dyDescent="0.25">
      <c r="A23" s="93" t="s">
        <v>40</v>
      </c>
      <c r="B23" s="94">
        <v>3</v>
      </c>
      <c r="C23" s="95" t="s">
        <v>62</v>
      </c>
      <c r="D23" s="102">
        <f>(E22+F22)/2</f>
        <v>2</v>
      </c>
      <c r="E23" s="103">
        <f>B23-0.5</f>
        <v>2.5</v>
      </c>
      <c r="F23">
        <f>E23+1</f>
        <v>3.5</v>
      </c>
      <c r="G23" s="104">
        <f>(E24+F24)/2</f>
        <v>4</v>
      </c>
      <c r="H23" s="105">
        <f>I23-(I23-D23)/2</f>
        <v>2.25</v>
      </c>
      <c r="I23">
        <f>E23</f>
        <v>2.5</v>
      </c>
      <c r="J23">
        <f>F23</f>
        <v>3.5</v>
      </c>
      <c r="K23" s="106">
        <f>J23+(G23-J23)/2</f>
        <v>3.75</v>
      </c>
    </row>
    <row r="24" spans="1:11" x14ac:dyDescent="0.25">
      <c r="A24" s="93" t="s">
        <v>41</v>
      </c>
      <c r="B24" s="94">
        <v>4</v>
      </c>
      <c r="C24" s="95" t="s">
        <v>63</v>
      </c>
      <c r="D24" s="102">
        <f>(E23+F23)/2</f>
        <v>3</v>
      </c>
      <c r="E24" s="103">
        <f>B24-0.5</f>
        <v>3.5</v>
      </c>
      <c r="F24">
        <f>E24+1</f>
        <v>4.5</v>
      </c>
      <c r="G24" s="104">
        <f>(E25+F25)/2</f>
        <v>5</v>
      </c>
      <c r="H24" s="105">
        <f>I24-(I24-D24)/2</f>
        <v>3.25</v>
      </c>
      <c r="I24">
        <f>E24</f>
        <v>3.5</v>
      </c>
      <c r="J24">
        <f>F24</f>
        <v>4.5</v>
      </c>
      <c r="K24" s="106">
        <f>J24+(G24-J24)/2</f>
        <v>4.75</v>
      </c>
    </row>
    <row r="25" spans="1:11" ht="15.75" thickBot="1" x14ac:dyDescent="0.3">
      <c r="A25" s="93" t="s">
        <v>42</v>
      </c>
      <c r="B25" s="94">
        <v>5</v>
      </c>
      <c r="C25" s="95" t="s">
        <v>64</v>
      </c>
      <c r="D25" s="107">
        <f>(E24+F24)/2</f>
        <v>4</v>
      </c>
      <c r="E25" s="108">
        <f>B25-0.5</f>
        <v>4.5</v>
      </c>
      <c r="F25" s="109">
        <f>E25+1</f>
        <v>5.5</v>
      </c>
      <c r="G25" s="110">
        <f>E25-D25+F25</f>
        <v>6</v>
      </c>
      <c r="H25" s="111">
        <f>I25-(I25-D25)/2</f>
        <v>4.25</v>
      </c>
      <c r="I25" s="109">
        <f>E25</f>
        <v>4.5</v>
      </c>
      <c r="J25" s="109">
        <f>F25</f>
        <v>5.5</v>
      </c>
      <c r="K25" s="112">
        <f>J25+(G25-J25)/2</f>
        <v>5.75</v>
      </c>
    </row>
    <row r="26" spans="1:11" x14ac:dyDescent="0.25">
      <c r="A26" s="1"/>
    </row>
    <row r="27" spans="1:11" ht="15.75" thickBot="1" x14ac:dyDescent="0.3">
      <c r="A27" s="1" t="s">
        <v>55</v>
      </c>
    </row>
    <row r="28" spans="1:11" x14ac:dyDescent="0.25">
      <c r="A28" s="1"/>
      <c r="B28" s="94">
        <v>0</v>
      </c>
      <c r="C28" s="95" t="s">
        <v>59</v>
      </c>
      <c r="D28" s="96">
        <v>0</v>
      </c>
      <c r="E28" s="97">
        <f>B28</f>
        <v>0</v>
      </c>
      <c r="F28" s="98">
        <v>0</v>
      </c>
      <c r="G28" s="99">
        <f>(E29+F29)/2</f>
        <v>1</v>
      </c>
      <c r="H28" s="100">
        <f t="shared" ref="H28" si="11">I28-(I28-D28)/2</f>
        <v>0</v>
      </c>
      <c r="I28" s="98">
        <f t="shared" ref="I28" si="12">E28</f>
        <v>0</v>
      </c>
      <c r="J28" s="98">
        <f t="shared" ref="J28" si="13">F28</f>
        <v>0</v>
      </c>
      <c r="K28" s="101">
        <f t="shared" ref="K28" si="14">J28+(G28-J28)/2</f>
        <v>0.5</v>
      </c>
    </row>
    <row r="29" spans="1:11" x14ac:dyDescent="0.25">
      <c r="A29" s="93" t="s">
        <v>38</v>
      </c>
      <c r="B29" s="94">
        <v>1</v>
      </c>
      <c r="C29" s="95" t="s">
        <v>60</v>
      </c>
      <c r="D29" s="102">
        <f>(E28+F28)/2</f>
        <v>0</v>
      </c>
      <c r="E29" s="103">
        <f>B29-0.5</f>
        <v>0.5</v>
      </c>
      <c r="F29">
        <f>E29+1</f>
        <v>1.5</v>
      </c>
      <c r="G29" s="104">
        <f>(E30+F30)/2</f>
        <v>2</v>
      </c>
      <c r="H29" s="105">
        <f>I29-(I29-D29)/2</f>
        <v>0.25</v>
      </c>
      <c r="I29">
        <f>E29</f>
        <v>0.5</v>
      </c>
      <c r="J29">
        <f>F29</f>
        <v>1.5</v>
      </c>
      <c r="K29" s="106">
        <f>J29+(G29-J29)/2</f>
        <v>1.75</v>
      </c>
    </row>
    <row r="30" spans="1:11" x14ac:dyDescent="0.25">
      <c r="A30" s="93" t="s">
        <v>39</v>
      </c>
      <c r="B30" s="94">
        <v>2</v>
      </c>
      <c r="C30" s="95" t="s">
        <v>61</v>
      </c>
      <c r="D30" s="102">
        <f>(E29+F29)/2</f>
        <v>1</v>
      </c>
      <c r="E30" s="103">
        <f>B30-0.5</f>
        <v>1.5</v>
      </c>
      <c r="F30">
        <f>E30+1</f>
        <v>2.5</v>
      </c>
      <c r="G30" s="104">
        <f>(E31+F31)/2</f>
        <v>3</v>
      </c>
      <c r="H30" s="105">
        <f>I30-(I30-D30)/2</f>
        <v>1.25</v>
      </c>
      <c r="I30">
        <f>E30</f>
        <v>1.5</v>
      </c>
      <c r="J30">
        <f>F30</f>
        <v>2.5</v>
      </c>
      <c r="K30" s="106">
        <f>J30+(G30-J30)/2</f>
        <v>2.75</v>
      </c>
    </row>
    <row r="31" spans="1:11" x14ac:dyDescent="0.25">
      <c r="A31" s="93" t="s">
        <v>40</v>
      </c>
      <c r="B31" s="94">
        <v>3</v>
      </c>
      <c r="C31" s="95" t="s">
        <v>62</v>
      </c>
      <c r="D31" s="102">
        <f>(E30+F30)/2</f>
        <v>2</v>
      </c>
      <c r="E31" s="103">
        <f>B31-0.5</f>
        <v>2.5</v>
      </c>
      <c r="F31">
        <f>E31+1</f>
        <v>3.5</v>
      </c>
      <c r="G31" s="104">
        <f>(E32+F32)/2</f>
        <v>4</v>
      </c>
      <c r="H31" s="105">
        <f>I31-(I31-D31)/2</f>
        <v>2.25</v>
      </c>
      <c r="I31">
        <f>E31</f>
        <v>2.5</v>
      </c>
      <c r="J31">
        <f>F31</f>
        <v>3.5</v>
      </c>
      <c r="K31" s="106">
        <f>J31+(G31-J31)/2</f>
        <v>3.75</v>
      </c>
    </row>
    <row r="32" spans="1:11" x14ac:dyDescent="0.25">
      <c r="A32" s="93" t="s">
        <v>41</v>
      </c>
      <c r="B32" s="94">
        <v>4</v>
      </c>
      <c r="C32" s="95" t="s">
        <v>63</v>
      </c>
      <c r="D32" s="102">
        <f>(E31+F31)/2</f>
        <v>3</v>
      </c>
      <c r="E32" s="103">
        <f>B32-0.5</f>
        <v>3.5</v>
      </c>
      <c r="F32">
        <f>E32+1</f>
        <v>4.5</v>
      </c>
      <c r="G32" s="104">
        <f>(E33+F33)/2</f>
        <v>5</v>
      </c>
      <c r="H32" s="105">
        <f>I32-(I32-D32)/2</f>
        <v>3.25</v>
      </c>
      <c r="I32">
        <f>E32</f>
        <v>3.5</v>
      </c>
      <c r="J32">
        <f>F32</f>
        <v>4.5</v>
      </c>
      <c r="K32" s="106">
        <f>J32+(G32-J32)/2</f>
        <v>4.75</v>
      </c>
    </row>
    <row r="33" spans="1:11" ht="15.75" thickBot="1" x14ac:dyDescent="0.3">
      <c r="A33" s="93" t="s">
        <v>42</v>
      </c>
      <c r="B33" s="94">
        <v>5</v>
      </c>
      <c r="C33" s="95" t="s">
        <v>64</v>
      </c>
      <c r="D33" s="107">
        <f>(E32+F32)/2</f>
        <v>4</v>
      </c>
      <c r="E33" s="108">
        <f>B33-0.5</f>
        <v>4.5</v>
      </c>
      <c r="F33" s="109">
        <f>E33+1</f>
        <v>5.5</v>
      </c>
      <c r="G33" s="110">
        <f>E33-D33+F33</f>
        <v>6</v>
      </c>
      <c r="H33" s="111">
        <f>I33-(I33-D33)/2</f>
        <v>4.25</v>
      </c>
      <c r="I33" s="109">
        <f>E33</f>
        <v>4.5</v>
      </c>
      <c r="J33" s="109">
        <f>F33</f>
        <v>5.5</v>
      </c>
      <c r="K33" s="112">
        <f>J33+(G33-J33)/2</f>
        <v>5.75</v>
      </c>
    </row>
    <row r="34" spans="1:11" x14ac:dyDescent="0.25">
      <c r="A34" s="1"/>
    </row>
    <row r="36" spans="1:11" x14ac:dyDescent="0.25">
      <c r="A36" s="92" t="s">
        <v>44</v>
      </c>
    </row>
    <row r="37" spans="1:11" ht="15.75" thickBot="1" x14ac:dyDescent="0.3">
      <c r="A37" s="1" t="s">
        <v>32</v>
      </c>
    </row>
    <row r="38" spans="1:11" x14ac:dyDescent="0.25">
      <c r="A38" s="1"/>
      <c r="B38" s="94">
        <v>0</v>
      </c>
      <c r="C38" s="95" t="s">
        <v>59</v>
      </c>
      <c r="D38" s="96">
        <v>0</v>
      </c>
      <c r="E38" s="97">
        <f>B38</f>
        <v>0</v>
      </c>
      <c r="F38" s="98">
        <v>0</v>
      </c>
      <c r="G38" s="99">
        <f>(E39+F39)/2</f>
        <v>1</v>
      </c>
      <c r="H38" s="100">
        <f t="shared" ref="H38" si="15">I38-(I38-D38)/2</f>
        <v>0</v>
      </c>
      <c r="I38" s="98">
        <f t="shared" ref="I38" si="16">E38</f>
        <v>0</v>
      </c>
      <c r="J38" s="98">
        <f t="shared" ref="J38" si="17">F38</f>
        <v>0</v>
      </c>
      <c r="K38" s="101">
        <f t="shared" ref="K38" si="18">J38+(G38-J38)/2</f>
        <v>0.5</v>
      </c>
    </row>
    <row r="39" spans="1:11" x14ac:dyDescent="0.25">
      <c r="A39" s="93" t="s">
        <v>38</v>
      </c>
      <c r="B39" s="94">
        <v>1</v>
      </c>
      <c r="C39" s="95" t="s">
        <v>60</v>
      </c>
      <c r="D39" s="102">
        <f>(E38+F38)/2</f>
        <v>0</v>
      </c>
      <c r="E39" s="103">
        <f>B39-0.5</f>
        <v>0.5</v>
      </c>
      <c r="F39">
        <f>E39+1</f>
        <v>1.5</v>
      </c>
      <c r="G39" s="104">
        <f>(E40+F40)/2</f>
        <v>2</v>
      </c>
      <c r="H39" s="105">
        <f>I39-(I39-D39)/2</f>
        <v>0.25</v>
      </c>
      <c r="I39">
        <f>E39</f>
        <v>0.5</v>
      </c>
      <c r="J39">
        <f>F39</f>
        <v>1.5</v>
      </c>
      <c r="K39" s="106">
        <f>J39+(G39-J39)/2</f>
        <v>1.75</v>
      </c>
    </row>
    <row r="40" spans="1:11" x14ac:dyDescent="0.25">
      <c r="A40" s="93" t="s">
        <v>39</v>
      </c>
      <c r="B40" s="94">
        <v>2</v>
      </c>
      <c r="C40" s="95" t="s">
        <v>61</v>
      </c>
      <c r="D40" s="102">
        <f>(E39+F39)/2</f>
        <v>1</v>
      </c>
      <c r="E40" s="103">
        <f>B40-0.5</f>
        <v>1.5</v>
      </c>
      <c r="F40">
        <f>E40+1</f>
        <v>2.5</v>
      </c>
      <c r="G40" s="104">
        <f>(E41+F41)/2</f>
        <v>3</v>
      </c>
      <c r="H40" s="105">
        <f>I40-(I40-D40)/2</f>
        <v>1.25</v>
      </c>
      <c r="I40">
        <f>E40</f>
        <v>1.5</v>
      </c>
      <c r="J40">
        <f>F40</f>
        <v>2.5</v>
      </c>
      <c r="K40" s="106">
        <f>J40+(G40-J40)/2</f>
        <v>2.75</v>
      </c>
    </row>
    <row r="41" spans="1:11" x14ac:dyDescent="0.25">
      <c r="A41" s="93" t="s">
        <v>40</v>
      </c>
      <c r="B41" s="94">
        <v>3</v>
      </c>
      <c r="C41" s="95" t="s">
        <v>62</v>
      </c>
      <c r="D41" s="102">
        <f>(E40+F40)/2</f>
        <v>2</v>
      </c>
      <c r="E41" s="103">
        <f>B41-0.5</f>
        <v>2.5</v>
      </c>
      <c r="F41">
        <f>E41+1</f>
        <v>3.5</v>
      </c>
      <c r="G41" s="104">
        <f>(E42+F42)/2</f>
        <v>4</v>
      </c>
      <c r="H41" s="105">
        <f>I41-(I41-D41)/2</f>
        <v>2.25</v>
      </c>
      <c r="I41">
        <f>E41</f>
        <v>2.5</v>
      </c>
      <c r="J41">
        <f>F41</f>
        <v>3.5</v>
      </c>
      <c r="K41" s="106">
        <f>J41+(G41-J41)/2</f>
        <v>3.75</v>
      </c>
    </row>
    <row r="42" spans="1:11" x14ac:dyDescent="0.25">
      <c r="A42" s="93" t="s">
        <v>41</v>
      </c>
      <c r="B42" s="94">
        <v>4</v>
      </c>
      <c r="C42" s="95" t="s">
        <v>63</v>
      </c>
      <c r="D42" s="102">
        <f>(E41+F41)/2</f>
        <v>3</v>
      </c>
      <c r="E42" s="103">
        <f>B42-0.5</f>
        <v>3.5</v>
      </c>
      <c r="F42">
        <f>E42+1</f>
        <v>4.5</v>
      </c>
      <c r="G42" s="104">
        <f>(E43+F43)/2</f>
        <v>5</v>
      </c>
      <c r="H42" s="105">
        <f>I42-(I42-D42)/2</f>
        <v>3.25</v>
      </c>
      <c r="I42">
        <f>E42</f>
        <v>3.5</v>
      </c>
      <c r="J42">
        <f>F42</f>
        <v>4.5</v>
      </c>
      <c r="K42" s="106">
        <f>J42+(G42-J42)/2</f>
        <v>4.75</v>
      </c>
    </row>
    <row r="43" spans="1:11" ht="15.75" thickBot="1" x14ac:dyDescent="0.3">
      <c r="A43" s="93" t="s">
        <v>42</v>
      </c>
      <c r="B43" s="94">
        <v>5</v>
      </c>
      <c r="C43" s="95" t="s">
        <v>64</v>
      </c>
      <c r="D43" s="107">
        <f>(E42+F42)/2</f>
        <v>4</v>
      </c>
      <c r="E43" s="108">
        <f>B43-0.5</f>
        <v>4.5</v>
      </c>
      <c r="F43" s="109">
        <f>E43+1</f>
        <v>5.5</v>
      </c>
      <c r="G43" s="110">
        <f>E43-D43+F43</f>
        <v>6</v>
      </c>
      <c r="H43" s="111">
        <f>I43-(I43-D43)/2</f>
        <v>4.25</v>
      </c>
      <c r="I43" s="109">
        <f>E43</f>
        <v>4.5</v>
      </c>
      <c r="J43" s="109">
        <f>F43</f>
        <v>5.5</v>
      </c>
      <c r="K43" s="112">
        <f>J43+(G43-J43)/2</f>
        <v>5.75</v>
      </c>
    </row>
    <row r="45" spans="1:11" ht="15.75" thickBot="1" x14ac:dyDescent="0.3">
      <c r="A45" s="1" t="s">
        <v>33</v>
      </c>
    </row>
    <row r="46" spans="1:11" x14ac:dyDescent="0.25">
      <c r="A46" s="1"/>
      <c r="B46" s="94">
        <v>0</v>
      </c>
      <c r="C46" s="95" t="s">
        <v>59</v>
      </c>
      <c r="D46" s="96">
        <v>0</v>
      </c>
      <c r="E46" s="97">
        <f>B46</f>
        <v>0</v>
      </c>
      <c r="F46" s="98">
        <v>0</v>
      </c>
      <c r="G46" s="99">
        <f>(E47+F47)/2</f>
        <v>1</v>
      </c>
      <c r="H46" s="100">
        <f t="shared" ref="H46" si="19">I46-(I46-D46)/2</f>
        <v>0</v>
      </c>
      <c r="I46" s="98">
        <f t="shared" ref="I46" si="20">E46</f>
        <v>0</v>
      </c>
      <c r="J46" s="98">
        <f t="shared" ref="J46" si="21">F46</f>
        <v>0</v>
      </c>
      <c r="K46" s="101">
        <f t="shared" ref="K46" si="22">J46+(G46-J46)/2</f>
        <v>0.5</v>
      </c>
    </row>
    <row r="47" spans="1:11" x14ac:dyDescent="0.25">
      <c r="A47" s="93" t="s">
        <v>38</v>
      </c>
      <c r="B47" s="94">
        <v>1</v>
      </c>
      <c r="C47" s="95" t="s">
        <v>60</v>
      </c>
      <c r="D47" s="102">
        <f>(E46+F46)/2</f>
        <v>0</v>
      </c>
      <c r="E47" s="103">
        <f>B47-0.5</f>
        <v>0.5</v>
      </c>
      <c r="F47">
        <f>E47+1</f>
        <v>1.5</v>
      </c>
      <c r="G47" s="104">
        <f>(E48+F48)/2</f>
        <v>2</v>
      </c>
      <c r="H47" s="105">
        <f>I47-(I47-D47)/2</f>
        <v>0.25</v>
      </c>
      <c r="I47">
        <f>E47</f>
        <v>0.5</v>
      </c>
      <c r="J47">
        <f>F47</f>
        <v>1.5</v>
      </c>
      <c r="K47" s="106">
        <f>J47+(G47-J47)/2</f>
        <v>1.75</v>
      </c>
    </row>
    <row r="48" spans="1:11" x14ac:dyDescent="0.25">
      <c r="A48" s="93" t="s">
        <v>39</v>
      </c>
      <c r="B48" s="94">
        <v>2</v>
      </c>
      <c r="C48" s="95" t="s">
        <v>61</v>
      </c>
      <c r="D48" s="102">
        <f>(E47+F47)/2</f>
        <v>1</v>
      </c>
      <c r="E48" s="103">
        <f>B48-0.5</f>
        <v>1.5</v>
      </c>
      <c r="F48">
        <f>E48+1</f>
        <v>2.5</v>
      </c>
      <c r="G48" s="104">
        <f>(E49+F49)/2</f>
        <v>3</v>
      </c>
      <c r="H48" s="105">
        <f>I48-(I48-D48)/2</f>
        <v>1.25</v>
      </c>
      <c r="I48">
        <f>E48</f>
        <v>1.5</v>
      </c>
      <c r="J48">
        <f>F48</f>
        <v>2.5</v>
      </c>
      <c r="K48" s="106">
        <f>J48+(G48-J48)/2</f>
        <v>2.75</v>
      </c>
    </row>
    <row r="49" spans="1:11" x14ac:dyDescent="0.25">
      <c r="A49" s="93" t="s">
        <v>40</v>
      </c>
      <c r="B49" s="94">
        <v>3</v>
      </c>
      <c r="C49" s="95" t="s">
        <v>62</v>
      </c>
      <c r="D49" s="102">
        <f>(E48+F48)/2</f>
        <v>2</v>
      </c>
      <c r="E49" s="103">
        <f>B49-0.5</f>
        <v>2.5</v>
      </c>
      <c r="F49">
        <f>E49+1</f>
        <v>3.5</v>
      </c>
      <c r="G49" s="104">
        <f>(E50+F50)/2</f>
        <v>4</v>
      </c>
      <c r="H49" s="105">
        <f>I49-(I49-D49)/2</f>
        <v>2.25</v>
      </c>
      <c r="I49">
        <f>E49</f>
        <v>2.5</v>
      </c>
      <c r="J49">
        <f>F49</f>
        <v>3.5</v>
      </c>
      <c r="K49" s="106">
        <f>J49+(G49-J49)/2</f>
        <v>3.75</v>
      </c>
    </row>
    <row r="50" spans="1:11" ht="13.5" customHeight="1" x14ac:dyDescent="0.25">
      <c r="A50" s="93" t="s">
        <v>41</v>
      </c>
      <c r="B50" s="94">
        <v>4</v>
      </c>
      <c r="C50" s="95" t="s">
        <v>63</v>
      </c>
      <c r="D50" s="102">
        <f>(E49+F49)/2</f>
        <v>3</v>
      </c>
      <c r="E50" s="103">
        <f>B50-0.5</f>
        <v>3.5</v>
      </c>
      <c r="F50">
        <f>E50+1</f>
        <v>4.5</v>
      </c>
      <c r="G50" s="104">
        <f>(E51+F51)/2</f>
        <v>5</v>
      </c>
      <c r="H50" s="105">
        <f>I50-(I50-D50)/2</f>
        <v>3.25</v>
      </c>
      <c r="I50">
        <f>E50</f>
        <v>3.5</v>
      </c>
      <c r="J50">
        <f>F50</f>
        <v>4.5</v>
      </c>
      <c r="K50" s="106">
        <f>J50+(G50-J50)/2</f>
        <v>4.75</v>
      </c>
    </row>
    <row r="51" spans="1:11" ht="15.75" thickBot="1" x14ac:dyDescent="0.3">
      <c r="A51" s="93" t="s">
        <v>42</v>
      </c>
      <c r="B51" s="94">
        <v>5</v>
      </c>
      <c r="C51" s="95" t="s">
        <v>64</v>
      </c>
      <c r="D51" s="107">
        <f>(E50+F50)/2</f>
        <v>4</v>
      </c>
      <c r="E51" s="108">
        <f>B51-0.5</f>
        <v>4.5</v>
      </c>
      <c r="F51" s="109">
        <f>E51+1</f>
        <v>5.5</v>
      </c>
      <c r="G51" s="110">
        <f>E51-D51+F51</f>
        <v>6</v>
      </c>
      <c r="H51" s="111">
        <f>I51-(I51-D51)/2</f>
        <v>4.25</v>
      </c>
      <c r="I51" s="109">
        <f>E51</f>
        <v>4.5</v>
      </c>
      <c r="J51" s="109">
        <f>F51</f>
        <v>5.5</v>
      </c>
      <c r="K51" s="112">
        <f>J51+(G51-J51)/2</f>
        <v>5.75</v>
      </c>
    </row>
    <row r="52" spans="1:11" x14ac:dyDescent="0.25">
      <c r="A52" s="1"/>
    </row>
    <row r="53" spans="1:11" ht="15.75" thickBot="1" x14ac:dyDescent="0.3">
      <c r="A53" s="1" t="s">
        <v>34</v>
      </c>
    </row>
    <row r="54" spans="1:11" x14ac:dyDescent="0.25">
      <c r="A54" s="1"/>
      <c r="B54" s="94">
        <v>0</v>
      </c>
      <c r="C54" s="95" t="s">
        <v>59</v>
      </c>
      <c r="D54" s="96">
        <v>0</v>
      </c>
      <c r="E54" s="97">
        <f>B54</f>
        <v>0</v>
      </c>
      <c r="F54" s="98">
        <v>0</v>
      </c>
      <c r="G54" s="99">
        <f>(E55+F55)/2</f>
        <v>1</v>
      </c>
      <c r="H54" s="100">
        <f t="shared" ref="H54" si="23">I54-(I54-D54)/2</f>
        <v>0</v>
      </c>
      <c r="I54" s="98">
        <f t="shared" ref="I54" si="24">E54</f>
        <v>0</v>
      </c>
      <c r="J54" s="98">
        <f t="shared" ref="J54" si="25">F54</f>
        <v>0</v>
      </c>
      <c r="K54" s="101">
        <f t="shared" ref="K54" si="26">J54+(G54-J54)/2</f>
        <v>0.5</v>
      </c>
    </row>
    <row r="55" spans="1:11" x14ac:dyDescent="0.25">
      <c r="A55" s="93" t="s">
        <v>38</v>
      </c>
      <c r="B55" s="94">
        <v>1</v>
      </c>
      <c r="C55" s="95" t="s">
        <v>60</v>
      </c>
      <c r="D55" s="102">
        <f>(E54+F54)/2</f>
        <v>0</v>
      </c>
      <c r="E55" s="103">
        <f>B55-0.5</f>
        <v>0.5</v>
      </c>
      <c r="F55">
        <f>E55+1</f>
        <v>1.5</v>
      </c>
      <c r="G55" s="104">
        <f>(E56+F56)/2</f>
        <v>2</v>
      </c>
      <c r="H55" s="105">
        <f>I55-(I55-D55)/2</f>
        <v>0.25</v>
      </c>
      <c r="I55">
        <f>E55</f>
        <v>0.5</v>
      </c>
      <c r="J55">
        <f>F55</f>
        <v>1.5</v>
      </c>
      <c r="K55" s="106">
        <f>J55+(G55-J55)/2</f>
        <v>1.75</v>
      </c>
    </row>
    <row r="56" spans="1:11" x14ac:dyDescent="0.25">
      <c r="A56" s="93" t="s">
        <v>39</v>
      </c>
      <c r="B56" s="94">
        <v>2</v>
      </c>
      <c r="C56" s="95" t="s">
        <v>61</v>
      </c>
      <c r="D56" s="102">
        <f>(E55+F55)/2</f>
        <v>1</v>
      </c>
      <c r="E56" s="103">
        <f>B56-0.5</f>
        <v>1.5</v>
      </c>
      <c r="F56">
        <f>E56+1</f>
        <v>2.5</v>
      </c>
      <c r="G56" s="104">
        <f>(E57+F57)/2</f>
        <v>3</v>
      </c>
      <c r="H56" s="105">
        <f>I56-(I56-D56)/2</f>
        <v>1.25</v>
      </c>
      <c r="I56">
        <f>E56</f>
        <v>1.5</v>
      </c>
      <c r="J56">
        <f>F56</f>
        <v>2.5</v>
      </c>
      <c r="K56" s="106">
        <f>J56+(G56-J56)/2</f>
        <v>2.75</v>
      </c>
    </row>
    <row r="57" spans="1:11" x14ac:dyDescent="0.25">
      <c r="A57" s="93" t="s">
        <v>40</v>
      </c>
      <c r="B57" s="94">
        <v>3</v>
      </c>
      <c r="C57" s="95" t="s">
        <v>62</v>
      </c>
      <c r="D57" s="102">
        <f>(E56+F56)/2</f>
        <v>2</v>
      </c>
      <c r="E57" s="103">
        <f>B57-0.5</f>
        <v>2.5</v>
      </c>
      <c r="F57">
        <f>E57+1</f>
        <v>3.5</v>
      </c>
      <c r="G57" s="104">
        <f>(E58+F58)/2</f>
        <v>4</v>
      </c>
      <c r="H57" s="105">
        <f>I57-(I57-D57)/2</f>
        <v>2.25</v>
      </c>
      <c r="I57">
        <f>E57</f>
        <v>2.5</v>
      </c>
      <c r="J57">
        <f>F57</f>
        <v>3.5</v>
      </c>
      <c r="K57" s="106">
        <f>J57+(G57-J57)/2</f>
        <v>3.75</v>
      </c>
    </row>
    <row r="58" spans="1:11" x14ac:dyDescent="0.25">
      <c r="A58" s="93" t="s">
        <v>41</v>
      </c>
      <c r="B58" s="94">
        <v>4</v>
      </c>
      <c r="C58" s="95" t="s">
        <v>63</v>
      </c>
      <c r="D58" s="102">
        <f>(E57+F57)/2</f>
        <v>3</v>
      </c>
      <c r="E58" s="103">
        <f>B58-0.5</f>
        <v>3.5</v>
      </c>
      <c r="F58">
        <f>E58+1</f>
        <v>4.5</v>
      </c>
      <c r="G58" s="104">
        <f>(E59+F59)/2</f>
        <v>5</v>
      </c>
      <c r="H58" s="105">
        <f>I58-(I58-D58)/2</f>
        <v>3.25</v>
      </c>
      <c r="I58">
        <f>E58</f>
        <v>3.5</v>
      </c>
      <c r="J58">
        <f>F58</f>
        <v>4.5</v>
      </c>
      <c r="K58" s="106">
        <f>J58+(G58-J58)/2</f>
        <v>4.75</v>
      </c>
    </row>
    <row r="59" spans="1:11" ht="15.75" thickBot="1" x14ac:dyDescent="0.3">
      <c r="A59" s="93" t="s">
        <v>42</v>
      </c>
      <c r="B59" s="94">
        <v>5</v>
      </c>
      <c r="C59" s="95" t="s">
        <v>64</v>
      </c>
      <c r="D59" s="107">
        <f>(E58+F58)/2</f>
        <v>4</v>
      </c>
      <c r="E59" s="108">
        <f>B59-0.5</f>
        <v>4.5</v>
      </c>
      <c r="F59" s="109">
        <f>E59+1</f>
        <v>5.5</v>
      </c>
      <c r="G59" s="110">
        <f>E59-D59+F59</f>
        <v>6</v>
      </c>
      <c r="H59" s="111">
        <f>I59-(I59-D59)/2</f>
        <v>4.25</v>
      </c>
      <c r="I59" s="109">
        <f>E59</f>
        <v>4.5</v>
      </c>
      <c r="J59" s="109">
        <f>F59</f>
        <v>5.5</v>
      </c>
      <c r="K59" s="112">
        <f>J59+(G59-J59)/2</f>
        <v>5.75</v>
      </c>
    </row>
    <row r="61" spans="1:11" ht="15.75" thickBot="1" x14ac:dyDescent="0.3">
      <c r="A61" s="1" t="s">
        <v>35</v>
      </c>
    </row>
    <row r="62" spans="1:11" x14ac:dyDescent="0.25">
      <c r="A62" s="1"/>
      <c r="B62" s="94">
        <v>0</v>
      </c>
      <c r="C62" s="95" t="s">
        <v>59</v>
      </c>
      <c r="D62" s="96">
        <v>0</v>
      </c>
      <c r="E62" s="97">
        <f>B62</f>
        <v>0</v>
      </c>
      <c r="F62" s="98">
        <v>0</v>
      </c>
      <c r="G62" s="99">
        <f>(E63+F63)/2</f>
        <v>1</v>
      </c>
      <c r="H62" s="100">
        <f t="shared" ref="H62" si="27">I62-(I62-D62)/2</f>
        <v>0</v>
      </c>
      <c r="I62" s="98">
        <f t="shared" ref="I62" si="28">E62</f>
        <v>0</v>
      </c>
      <c r="J62" s="98">
        <f t="shared" ref="J62" si="29">F62</f>
        <v>0</v>
      </c>
      <c r="K62" s="101">
        <f t="shared" ref="K62" si="30">J62+(G62-J62)/2</f>
        <v>0.5</v>
      </c>
    </row>
    <row r="63" spans="1:11" x14ac:dyDescent="0.25">
      <c r="A63" s="93" t="s">
        <v>38</v>
      </c>
      <c r="B63" s="94">
        <v>1</v>
      </c>
      <c r="C63" s="95" t="s">
        <v>60</v>
      </c>
      <c r="D63" s="102">
        <f>(E62+F62)/2</f>
        <v>0</v>
      </c>
      <c r="E63" s="103">
        <f>B63-0.5</f>
        <v>0.5</v>
      </c>
      <c r="F63">
        <f>E63+1</f>
        <v>1.5</v>
      </c>
      <c r="G63" s="104">
        <f>(E64+F64)/2</f>
        <v>2</v>
      </c>
      <c r="H63" s="105">
        <f>I63-(I63-D63)/2</f>
        <v>0.25</v>
      </c>
      <c r="I63">
        <f>E63</f>
        <v>0.5</v>
      </c>
      <c r="J63">
        <f>F63</f>
        <v>1.5</v>
      </c>
      <c r="K63" s="106">
        <f>J63+(G63-J63)/2</f>
        <v>1.75</v>
      </c>
    </row>
    <row r="64" spans="1:11" x14ac:dyDescent="0.25">
      <c r="A64" s="93" t="s">
        <v>39</v>
      </c>
      <c r="B64" s="94">
        <v>2</v>
      </c>
      <c r="C64" s="95" t="s">
        <v>61</v>
      </c>
      <c r="D64" s="102">
        <f>(E63+F63)/2</f>
        <v>1</v>
      </c>
      <c r="E64" s="103">
        <f>B64-0.5</f>
        <v>1.5</v>
      </c>
      <c r="F64">
        <f>E64+1</f>
        <v>2.5</v>
      </c>
      <c r="G64" s="104">
        <f>(E65+F65)/2</f>
        <v>3</v>
      </c>
      <c r="H64" s="105">
        <f>I64-(I64-D64)/2</f>
        <v>1.25</v>
      </c>
      <c r="I64">
        <f>E64</f>
        <v>1.5</v>
      </c>
      <c r="J64">
        <f>F64</f>
        <v>2.5</v>
      </c>
      <c r="K64" s="106">
        <f>J64+(G64-J64)/2</f>
        <v>2.75</v>
      </c>
    </row>
    <row r="65" spans="1:11" x14ac:dyDescent="0.25">
      <c r="A65" s="93" t="s">
        <v>40</v>
      </c>
      <c r="B65" s="94">
        <v>3</v>
      </c>
      <c r="C65" s="95" t="s">
        <v>62</v>
      </c>
      <c r="D65" s="102">
        <f>(E64+F64)/2</f>
        <v>2</v>
      </c>
      <c r="E65" s="103">
        <f>B65-0.5</f>
        <v>2.5</v>
      </c>
      <c r="F65">
        <f>E65+1</f>
        <v>3.5</v>
      </c>
      <c r="G65" s="104">
        <f>(E66+F66)/2</f>
        <v>4</v>
      </c>
      <c r="H65" s="105">
        <f>I65-(I65-D65)/2</f>
        <v>2.25</v>
      </c>
      <c r="I65">
        <f>E65</f>
        <v>2.5</v>
      </c>
      <c r="J65">
        <f>F65</f>
        <v>3.5</v>
      </c>
      <c r="K65" s="106">
        <f>J65+(G65-J65)/2</f>
        <v>3.75</v>
      </c>
    </row>
    <row r="66" spans="1:11" x14ac:dyDescent="0.25">
      <c r="A66" s="93" t="s">
        <v>41</v>
      </c>
      <c r="B66" s="94">
        <v>4</v>
      </c>
      <c r="C66" s="95" t="s">
        <v>63</v>
      </c>
      <c r="D66" s="102">
        <f>(E65+F65)/2</f>
        <v>3</v>
      </c>
      <c r="E66" s="103">
        <f>B66-0.5</f>
        <v>3.5</v>
      </c>
      <c r="F66">
        <f>E66+1</f>
        <v>4.5</v>
      </c>
      <c r="G66" s="104">
        <f>(E67+F67)/2</f>
        <v>5</v>
      </c>
      <c r="H66" s="105">
        <f>I66-(I66-D66)/2</f>
        <v>3.25</v>
      </c>
      <c r="I66">
        <f>E66</f>
        <v>3.5</v>
      </c>
      <c r="J66">
        <f>F66</f>
        <v>4.5</v>
      </c>
      <c r="K66" s="106">
        <f>J66+(G66-J66)/2</f>
        <v>4.75</v>
      </c>
    </row>
    <row r="67" spans="1:11" ht="15.75" thickBot="1" x14ac:dyDescent="0.3">
      <c r="A67" s="93" t="s">
        <v>42</v>
      </c>
      <c r="B67" s="94">
        <v>5</v>
      </c>
      <c r="C67" s="95" t="s">
        <v>64</v>
      </c>
      <c r="D67" s="107">
        <f>(E66+F66)/2</f>
        <v>4</v>
      </c>
      <c r="E67" s="108">
        <f>B67-0.5</f>
        <v>4.5</v>
      </c>
      <c r="F67" s="109">
        <f>E67+1</f>
        <v>5.5</v>
      </c>
      <c r="G67" s="110">
        <f>E67-D67+F67</f>
        <v>6</v>
      </c>
      <c r="H67" s="111">
        <f>I67-(I67-D67)/2</f>
        <v>4.25</v>
      </c>
      <c r="I67" s="109">
        <f>E67</f>
        <v>4.5</v>
      </c>
      <c r="J67" s="109">
        <f>F67</f>
        <v>5.5</v>
      </c>
      <c r="K67" s="112">
        <f>J67+(G67-J67)/2</f>
        <v>5.75</v>
      </c>
    </row>
    <row r="69" spans="1:11" x14ac:dyDescent="0.25">
      <c r="A69" s="92" t="s">
        <v>36</v>
      </c>
    </row>
    <row r="70" spans="1:11" ht="15" customHeight="1" thickBot="1" x14ac:dyDescent="0.3">
      <c r="A70" s="1" t="s">
        <v>56</v>
      </c>
    </row>
    <row r="71" spans="1:11" ht="15" customHeight="1" x14ac:dyDescent="0.25">
      <c r="A71" s="1"/>
      <c r="B71" s="94">
        <v>0</v>
      </c>
      <c r="C71" s="95" t="s">
        <v>59</v>
      </c>
      <c r="D71" s="96">
        <v>0</v>
      </c>
      <c r="E71" s="97">
        <f>B71</f>
        <v>0</v>
      </c>
      <c r="F71" s="98">
        <v>0</v>
      </c>
      <c r="G71" s="99">
        <f>(E72+F72)/2</f>
        <v>1</v>
      </c>
      <c r="H71" s="100">
        <f t="shared" ref="H71" si="31">I71-(I71-D71)/2</f>
        <v>0</v>
      </c>
      <c r="I71" s="98">
        <f t="shared" ref="I71" si="32">E71</f>
        <v>0</v>
      </c>
      <c r="J71" s="98">
        <f t="shared" ref="J71" si="33">F71</f>
        <v>0</v>
      </c>
      <c r="K71" s="101">
        <f t="shared" ref="K71" si="34">J71+(G71-J71)/2</f>
        <v>0.5</v>
      </c>
    </row>
    <row r="72" spans="1:11" x14ac:dyDescent="0.25">
      <c r="A72" s="93" t="s">
        <v>38</v>
      </c>
      <c r="B72" s="94">
        <v>1</v>
      </c>
      <c r="C72" s="95" t="s">
        <v>60</v>
      </c>
      <c r="D72" s="102">
        <f>(E71+F71)/2</f>
        <v>0</v>
      </c>
      <c r="E72" s="103">
        <f>B72-0.5</f>
        <v>0.5</v>
      </c>
      <c r="F72">
        <f>E72+1</f>
        <v>1.5</v>
      </c>
      <c r="G72" s="104">
        <f>(E73+F73)/2</f>
        <v>2</v>
      </c>
      <c r="H72" s="105">
        <f>I72-(I72-D72)/2</f>
        <v>0.25</v>
      </c>
      <c r="I72">
        <f>E72</f>
        <v>0.5</v>
      </c>
      <c r="J72">
        <f>F72</f>
        <v>1.5</v>
      </c>
      <c r="K72" s="106">
        <f>J72+(G72-J72)/2</f>
        <v>1.75</v>
      </c>
    </row>
    <row r="73" spans="1:11" x14ac:dyDescent="0.25">
      <c r="A73" s="93" t="s">
        <v>39</v>
      </c>
      <c r="B73" s="94">
        <v>2</v>
      </c>
      <c r="C73" s="95" t="s">
        <v>61</v>
      </c>
      <c r="D73" s="102">
        <f>(E72+F72)/2</f>
        <v>1</v>
      </c>
      <c r="E73" s="103">
        <f>B73-0.5</f>
        <v>1.5</v>
      </c>
      <c r="F73">
        <f>E73+1</f>
        <v>2.5</v>
      </c>
      <c r="G73" s="104">
        <f>(E74+F74)/2</f>
        <v>3</v>
      </c>
      <c r="H73" s="105">
        <f>I73-(I73-D73)/2</f>
        <v>1.25</v>
      </c>
      <c r="I73">
        <f>E73</f>
        <v>1.5</v>
      </c>
      <c r="J73">
        <f>F73</f>
        <v>2.5</v>
      </c>
      <c r="K73" s="106">
        <f>J73+(G73-J73)/2</f>
        <v>2.75</v>
      </c>
    </row>
    <row r="74" spans="1:11" x14ac:dyDescent="0.25">
      <c r="A74" s="93" t="s">
        <v>40</v>
      </c>
      <c r="B74" s="94">
        <v>3</v>
      </c>
      <c r="C74" s="95" t="s">
        <v>62</v>
      </c>
      <c r="D74" s="102">
        <f>(E73+F73)/2</f>
        <v>2</v>
      </c>
      <c r="E74" s="103">
        <f>B74-0.5</f>
        <v>2.5</v>
      </c>
      <c r="F74">
        <f>E74+1</f>
        <v>3.5</v>
      </c>
      <c r="G74" s="104">
        <f>(E75+F75)/2</f>
        <v>4</v>
      </c>
      <c r="H74" s="105">
        <f>I74-(I74-D74)/2</f>
        <v>2.25</v>
      </c>
      <c r="I74">
        <f>E74</f>
        <v>2.5</v>
      </c>
      <c r="J74">
        <f>F74</f>
        <v>3.5</v>
      </c>
      <c r="K74" s="106">
        <f>J74+(G74-J74)/2</f>
        <v>3.75</v>
      </c>
    </row>
    <row r="75" spans="1:11" x14ac:dyDescent="0.25">
      <c r="A75" s="93" t="s">
        <v>41</v>
      </c>
      <c r="B75" s="94">
        <v>4</v>
      </c>
      <c r="C75" s="95" t="s">
        <v>63</v>
      </c>
      <c r="D75" s="102">
        <f>(E74+F74)/2</f>
        <v>3</v>
      </c>
      <c r="E75" s="103">
        <f>B75-0.5</f>
        <v>3.5</v>
      </c>
      <c r="F75">
        <f>E75+1</f>
        <v>4.5</v>
      </c>
      <c r="G75" s="104">
        <f>(E76+F76)/2</f>
        <v>5</v>
      </c>
      <c r="H75" s="105">
        <f>I75-(I75-D75)/2</f>
        <v>3.25</v>
      </c>
      <c r="I75">
        <f>E75</f>
        <v>3.5</v>
      </c>
      <c r="J75">
        <f>F75</f>
        <v>4.5</v>
      </c>
      <c r="K75" s="106">
        <f>J75+(G75-J75)/2</f>
        <v>4.75</v>
      </c>
    </row>
    <row r="76" spans="1:11" ht="15.75" thickBot="1" x14ac:dyDescent="0.3">
      <c r="A76" s="93" t="s">
        <v>42</v>
      </c>
      <c r="B76" s="94">
        <v>5</v>
      </c>
      <c r="C76" s="95" t="s">
        <v>64</v>
      </c>
      <c r="D76" s="107">
        <f>(E75+F75)/2</f>
        <v>4</v>
      </c>
      <c r="E76" s="108">
        <f>B76-0.5</f>
        <v>4.5</v>
      </c>
      <c r="F76" s="109">
        <f>E76+1</f>
        <v>5.5</v>
      </c>
      <c r="G76" s="110">
        <f>E76-D76+F76</f>
        <v>6</v>
      </c>
      <c r="H76" s="111">
        <f>I76-(I76-D76)/2</f>
        <v>4.25</v>
      </c>
      <c r="I76" s="109">
        <f>E76</f>
        <v>4.5</v>
      </c>
      <c r="J76" s="109">
        <f>F76</f>
        <v>5.5</v>
      </c>
      <c r="K76" s="112">
        <f>J76+(G76-J76)/2</f>
        <v>5.75</v>
      </c>
    </row>
    <row r="77" spans="1:11" x14ac:dyDescent="0.25">
      <c r="A77" s="1"/>
    </row>
    <row r="78" spans="1:11" ht="15.75" thickBot="1" x14ac:dyDescent="0.3">
      <c r="A78" s="1" t="s">
        <v>57</v>
      </c>
    </row>
    <row r="79" spans="1:11" x14ac:dyDescent="0.25">
      <c r="A79" s="1"/>
      <c r="B79" s="94">
        <v>0</v>
      </c>
      <c r="C79" s="95" t="s">
        <v>59</v>
      </c>
      <c r="D79" s="96">
        <v>0</v>
      </c>
      <c r="E79" s="97">
        <f>B79</f>
        <v>0</v>
      </c>
      <c r="F79" s="98">
        <v>0</v>
      </c>
      <c r="G79" s="99">
        <f>(E80+F80)/2</f>
        <v>1</v>
      </c>
      <c r="H79" s="100">
        <f t="shared" ref="H79" si="35">I79-(I79-D79)/2</f>
        <v>0</v>
      </c>
      <c r="I79" s="98">
        <f t="shared" ref="I79" si="36">E79</f>
        <v>0</v>
      </c>
      <c r="J79" s="98">
        <f t="shared" ref="J79" si="37">F79</f>
        <v>0</v>
      </c>
      <c r="K79" s="101">
        <f t="shared" ref="K79" si="38">J79+(G79-J79)/2</f>
        <v>0.5</v>
      </c>
    </row>
    <row r="80" spans="1:11" x14ac:dyDescent="0.25">
      <c r="A80" s="93" t="s">
        <v>38</v>
      </c>
      <c r="B80" s="94">
        <v>1</v>
      </c>
      <c r="C80" s="95" t="s">
        <v>60</v>
      </c>
      <c r="D80" s="102">
        <f>(E79+F79)/2</f>
        <v>0</v>
      </c>
      <c r="E80" s="103">
        <f>B80-0.5</f>
        <v>0.5</v>
      </c>
      <c r="F80">
        <f>E80+1</f>
        <v>1.5</v>
      </c>
      <c r="G80" s="104">
        <f>(E81+F81)/2</f>
        <v>2</v>
      </c>
      <c r="H80" s="105">
        <f>I80-(I80-D80)/2</f>
        <v>0.25</v>
      </c>
      <c r="I80">
        <f>E80</f>
        <v>0.5</v>
      </c>
      <c r="J80">
        <f>F80</f>
        <v>1.5</v>
      </c>
      <c r="K80" s="106">
        <f>J80+(G80-J80)/2</f>
        <v>1.75</v>
      </c>
    </row>
    <row r="81" spans="1:11" x14ac:dyDescent="0.25">
      <c r="A81" s="93" t="s">
        <v>39</v>
      </c>
      <c r="B81" s="94">
        <v>2</v>
      </c>
      <c r="C81" s="95" t="s">
        <v>61</v>
      </c>
      <c r="D81" s="102">
        <f>(E80+F80)/2</f>
        <v>1</v>
      </c>
      <c r="E81" s="103">
        <f>B81-0.5</f>
        <v>1.5</v>
      </c>
      <c r="F81">
        <f>E81+1</f>
        <v>2.5</v>
      </c>
      <c r="G81" s="104">
        <f>(E82+F82)/2</f>
        <v>3</v>
      </c>
      <c r="H81" s="105">
        <f>I81-(I81-D81)/2</f>
        <v>1.25</v>
      </c>
      <c r="I81">
        <f>E81</f>
        <v>1.5</v>
      </c>
      <c r="J81">
        <f>F81</f>
        <v>2.5</v>
      </c>
      <c r="K81" s="106">
        <f>J81+(G81-J81)/2</f>
        <v>2.75</v>
      </c>
    </row>
    <row r="82" spans="1:11" x14ac:dyDescent="0.25">
      <c r="A82" s="93" t="s">
        <v>40</v>
      </c>
      <c r="B82" s="94">
        <v>3</v>
      </c>
      <c r="C82" s="95" t="s">
        <v>62</v>
      </c>
      <c r="D82" s="102">
        <f>(E81+F81)/2</f>
        <v>2</v>
      </c>
      <c r="E82" s="103">
        <f>B82-0.5</f>
        <v>2.5</v>
      </c>
      <c r="F82">
        <f>E82+1</f>
        <v>3.5</v>
      </c>
      <c r="G82" s="104">
        <f>(E83+F83)/2</f>
        <v>4</v>
      </c>
      <c r="H82" s="105">
        <f>I82-(I82-D82)/2</f>
        <v>2.25</v>
      </c>
      <c r="I82">
        <f>E82</f>
        <v>2.5</v>
      </c>
      <c r="J82">
        <f>F82</f>
        <v>3.5</v>
      </c>
      <c r="K82" s="106">
        <f>J82+(G82-J82)/2</f>
        <v>3.75</v>
      </c>
    </row>
    <row r="83" spans="1:11" x14ac:dyDescent="0.25">
      <c r="A83" s="93" t="s">
        <v>41</v>
      </c>
      <c r="B83" s="94">
        <v>4</v>
      </c>
      <c r="C83" s="95" t="s">
        <v>63</v>
      </c>
      <c r="D83" s="102">
        <f>(E82+F82)/2</f>
        <v>3</v>
      </c>
      <c r="E83" s="103">
        <f>B83-0.5</f>
        <v>3.5</v>
      </c>
      <c r="F83">
        <f>E83+1</f>
        <v>4.5</v>
      </c>
      <c r="G83" s="104">
        <f>(E84+F84)/2</f>
        <v>5</v>
      </c>
      <c r="H83" s="105">
        <f>I83-(I83-D83)/2</f>
        <v>3.25</v>
      </c>
      <c r="I83">
        <f>E83</f>
        <v>3.5</v>
      </c>
      <c r="J83">
        <f>F83</f>
        <v>4.5</v>
      </c>
      <c r="K83" s="106">
        <f>J83+(G83-J83)/2</f>
        <v>4.75</v>
      </c>
    </row>
    <row r="84" spans="1:11" ht="15.75" thickBot="1" x14ac:dyDescent="0.3">
      <c r="A84" s="93" t="s">
        <v>42</v>
      </c>
      <c r="B84" s="94">
        <v>5</v>
      </c>
      <c r="C84" s="95" t="s">
        <v>64</v>
      </c>
      <c r="D84" s="107">
        <f>(E83+F83)/2</f>
        <v>4</v>
      </c>
      <c r="E84" s="108">
        <f>B84-0.5</f>
        <v>4.5</v>
      </c>
      <c r="F84" s="109">
        <f>E84+1</f>
        <v>5.5</v>
      </c>
      <c r="G84" s="110">
        <f>E84-D84+F84</f>
        <v>6</v>
      </c>
      <c r="H84" s="111">
        <f>I84-(I84-D84)/2</f>
        <v>4.25</v>
      </c>
      <c r="I84" s="109">
        <f>E84</f>
        <v>4.5</v>
      </c>
      <c r="J84" s="109">
        <f>F84</f>
        <v>5.5</v>
      </c>
      <c r="K84" s="112">
        <f>J84+(G84-J84)/2</f>
        <v>5.75</v>
      </c>
    </row>
    <row r="85" spans="1:11" x14ac:dyDescent="0.25">
      <c r="A85" s="1"/>
    </row>
    <row r="86" spans="1:11" ht="15.75" thickBot="1" x14ac:dyDescent="0.3">
      <c r="A86" s="1" t="s">
        <v>58</v>
      </c>
    </row>
    <row r="87" spans="1:11" x14ac:dyDescent="0.25">
      <c r="A87" s="1"/>
      <c r="B87" s="94">
        <v>0</v>
      </c>
      <c r="C87" s="95" t="s">
        <v>59</v>
      </c>
      <c r="D87" s="96">
        <v>0</v>
      </c>
      <c r="E87" s="97">
        <f>B87</f>
        <v>0</v>
      </c>
      <c r="F87" s="98">
        <v>0</v>
      </c>
      <c r="G87" s="99">
        <f>(E88+F88)/2</f>
        <v>1</v>
      </c>
      <c r="H87" s="100">
        <f t="shared" ref="H87" si="39">I87-(I87-D87)/2</f>
        <v>0</v>
      </c>
      <c r="I87" s="98">
        <f t="shared" ref="I87" si="40">E87</f>
        <v>0</v>
      </c>
      <c r="J87" s="98">
        <f t="shared" ref="J87" si="41">F87</f>
        <v>0</v>
      </c>
      <c r="K87" s="101">
        <f t="shared" ref="K87" si="42">J87+(G87-J87)/2</f>
        <v>0.5</v>
      </c>
    </row>
    <row r="88" spans="1:11" x14ac:dyDescent="0.25">
      <c r="A88" s="93" t="s">
        <v>38</v>
      </c>
      <c r="B88" s="94">
        <v>1</v>
      </c>
      <c r="C88" s="95" t="s">
        <v>60</v>
      </c>
      <c r="D88" s="102">
        <f>(E87+F87)/2</f>
        <v>0</v>
      </c>
      <c r="E88" s="103">
        <f>B88-0.5</f>
        <v>0.5</v>
      </c>
      <c r="F88">
        <f>E88+1</f>
        <v>1.5</v>
      </c>
      <c r="G88" s="104">
        <f>(E89+F89)/2</f>
        <v>2</v>
      </c>
      <c r="H88" s="105">
        <f>I88-(I88-D88)/2</f>
        <v>0.25</v>
      </c>
      <c r="I88">
        <f>E88</f>
        <v>0.5</v>
      </c>
      <c r="J88">
        <f>F88</f>
        <v>1.5</v>
      </c>
      <c r="K88" s="106">
        <f>J88+(G88-J88)/2</f>
        <v>1.75</v>
      </c>
    </row>
    <row r="89" spans="1:11" x14ac:dyDescent="0.25">
      <c r="A89" s="93" t="s">
        <v>39</v>
      </c>
      <c r="B89" s="94">
        <v>2</v>
      </c>
      <c r="C89" s="95" t="s">
        <v>61</v>
      </c>
      <c r="D89" s="102">
        <f>(E88+F88)/2</f>
        <v>1</v>
      </c>
      <c r="E89" s="103">
        <f>B89-0.5</f>
        <v>1.5</v>
      </c>
      <c r="F89">
        <f>E89+1</f>
        <v>2.5</v>
      </c>
      <c r="G89" s="104">
        <f>(E90+F90)/2</f>
        <v>3</v>
      </c>
      <c r="H89" s="105">
        <f>I89-(I89-D89)/2</f>
        <v>1.25</v>
      </c>
      <c r="I89">
        <f>E89</f>
        <v>1.5</v>
      </c>
      <c r="J89">
        <f>F89</f>
        <v>2.5</v>
      </c>
      <c r="K89" s="106">
        <f>J89+(G89-J89)/2</f>
        <v>2.75</v>
      </c>
    </row>
    <row r="90" spans="1:11" x14ac:dyDescent="0.25">
      <c r="A90" s="93" t="s">
        <v>40</v>
      </c>
      <c r="B90" s="94">
        <v>3</v>
      </c>
      <c r="C90" s="95" t="s">
        <v>62</v>
      </c>
      <c r="D90" s="102">
        <f>(E89+F89)/2</f>
        <v>2</v>
      </c>
      <c r="E90" s="103">
        <f>B90-0.5</f>
        <v>2.5</v>
      </c>
      <c r="F90">
        <f>E90+1</f>
        <v>3.5</v>
      </c>
      <c r="G90" s="104">
        <f>(E91+F91)/2</f>
        <v>4</v>
      </c>
      <c r="H90" s="105">
        <f>I90-(I90-D90)/2</f>
        <v>2.25</v>
      </c>
      <c r="I90">
        <f>E90</f>
        <v>2.5</v>
      </c>
      <c r="J90">
        <f>F90</f>
        <v>3.5</v>
      </c>
      <c r="K90" s="106">
        <f>J90+(G90-J90)/2</f>
        <v>3.75</v>
      </c>
    </row>
    <row r="91" spans="1:11" x14ac:dyDescent="0.25">
      <c r="A91" s="93" t="s">
        <v>41</v>
      </c>
      <c r="B91" s="94">
        <v>4</v>
      </c>
      <c r="C91" s="95" t="s">
        <v>63</v>
      </c>
      <c r="D91" s="102">
        <f>(E90+F90)/2</f>
        <v>3</v>
      </c>
      <c r="E91" s="103">
        <f>B91-0.5</f>
        <v>3.5</v>
      </c>
      <c r="F91">
        <f>E91+1</f>
        <v>4.5</v>
      </c>
      <c r="G91" s="104">
        <f>(E92+F92)/2</f>
        <v>5</v>
      </c>
      <c r="H91" s="105">
        <f>I91-(I91-D91)/2</f>
        <v>3.25</v>
      </c>
      <c r="I91">
        <f>E91</f>
        <v>3.5</v>
      </c>
      <c r="J91">
        <f>F91</f>
        <v>4.5</v>
      </c>
      <c r="K91" s="106">
        <f>J91+(G91-J91)/2</f>
        <v>4.75</v>
      </c>
    </row>
    <row r="92" spans="1:11" ht="15.75" thickBot="1" x14ac:dyDescent="0.3">
      <c r="A92" s="93" t="s">
        <v>42</v>
      </c>
      <c r="B92" s="94">
        <v>5</v>
      </c>
      <c r="C92" s="95" t="s">
        <v>64</v>
      </c>
      <c r="D92" s="107">
        <f>(E91+F91)/2</f>
        <v>4</v>
      </c>
      <c r="E92" s="108">
        <f>B92-0.5</f>
        <v>4.5</v>
      </c>
      <c r="F92" s="109">
        <f>E92+1</f>
        <v>5.5</v>
      </c>
      <c r="G92" s="110">
        <f>E92-D92+F92</f>
        <v>6</v>
      </c>
      <c r="H92" s="111">
        <f>I92-(I92-D92)/2</f>
        <v>4.25</v>
      </c>
      <c r="I92" s="109">
        <f>E92</f>
        <v>4.5</v>
      </c>
      <c r="J92" s="109">
        <f>F92</f>
        <v>5.5</v>
      </c>
      <c r="K92" s="112">
        <f>J92+(G92-J92)/2</f>
        <v>5.75</v>
      </c>
    </row>
    <row r="94" spans="1:11" x14ac:dyDescent="0.25">
      <c r="A94" s="92" t="s">
        <v>45</v>
      </c>
    </row>
    <row r="95" spans="1:11" x14ac:dyDescent="0.25">
      <c r="A95" s="92" t="s">
        <v>46</v>
      </c>
    </row>
    <row r="96" spans="1:11" x14ac:dyDescent="0.25">
      <c r="A96" s="92"/>
    </row>
    <row r="97" spans="1:1" x14ac:dyDescent="0.25">
      <c r="A97" s="93" t="s">
        <v>37</v>
      </c>
    </row>
    <row r="98" spans="1:1" x14ac:dyDescent="0.25">
      <c r="A98" s="93" t="s">
        <v>51</v>
      </c>
    </row>
    <row r="99" spans="1:1" x14ac:dyDescent="0.25">
      <c r="A99" s="93" t="s">
        <v>47</v>
      </c>
    </row>
    <row r="100" spans="1:1" x14ac:dyDescent="0.25">
      <c r="A100" s="93" t="s">
        <v>49</v>
      </c>
    </row>
    <row r="101" spans="1:1" x14ac:dyDescent="0.25">
      <c r="A101" s="93" t="s">
        <v>48</v>
      </c>
    </row>
    <row r="102" spans="1:1" x14ac:dyDescent="0.25">
      <c r="A102" s="9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RICE_четкая модель</vt:lpstr>
      <vt:lpstr>RICE_неч мод(трап_симм_формулы)</vt:lpstr>
      <vt:lpstr>RICE_неч мод (трапеции_вправо)</vt:lpstr>
      <vt:lpstr>RICE_неч мод (трап_симм_числа)</vt:lpstr>
      <vt:lpstr>Шкалы параметров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Инна Понаровская</cp:lastModifiedBy>
  <dcterms:created xsi:type="dcterms:W3CDTF">2015-06-05T18:17:20Z</dcterms:created>
  <dcterms:modified xsi:type="dcterms:W3CDTF">2026-01-08T22:25:44Z</dcterms:modified>
</cp:coreProperties>
</file>