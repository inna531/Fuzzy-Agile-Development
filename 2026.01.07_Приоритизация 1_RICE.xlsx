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BB62C857-E983-4558-B97F-2BC552CCB19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ICE_четкая модель" sheetId="1" r:id="rId1"/>
    <sheet name="RICE_нечеткая модель (трапеции)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3" i="2" l="1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C59" i="2" l="1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F63" i="2" l="1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I56" i="2" l="1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47" i="2" l="1"/>
</calcChain>
</file>

<file path=xl/sharedStrings.xml><?xml version="1.0" encoding="utf-8"?>
<sst xmlns="http://schemas.openxmlformats.org/spreadsheetml/2006/main" count="92" uniqueCount="30">
  <si>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</si>
  <si>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</si>
  <si>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</si>
  <si>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</si>
  <si>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</si>
  <si>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</si>
  <si>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</si>
  <si>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</si>
  <si>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</si>
  <si>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</si>
  <si>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</si>
  <si>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</si>
  <si>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</si>
  <si>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</si>
  <si>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</si>
  <si>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</si>
  <si>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</si>
  <si>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</si>
  <si>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</si>
  <si>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</si>
  <si>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</si>
  <si>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</si>
  <si>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</si>
  <si>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</si>
  <si>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Расчет для случая, когда нечеткие числа имеют симметричные границы нечеткости относительно центра ядра, равного значению по четкой модели.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</si>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</sst>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1" fillId="0" borderId="1" xfId="0" applyNumberFormat="1" applyFont="1" applyBorder="1"/>
    <xf numFmtId="0" fontId="1" fillId="0" borderId="0" xfId="0" applyFont="1" applyFill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1" fillId="2" borderId="5" xfId="0" applyFont="1" applyFill="1" applyBorder="1"/>
    <xf numFmtId="0" fontId="1" fillId="2" borderId="24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1" fillId="0" borderId="18" xfId="0" applyFont="1" applyBorder="1"/>
    <xf numFmtId="0" fontId="1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1" fillId="0" borderId="24" xfId="0" applyNumberFormat="1" applyFont="1" applyBorder="1"/>
    <xf numFmtId="3" fontId="1" fillId="0" borderId="25" xfId="0" applyNumberFormat="1" applyFont="1" applyBorder="1"/>
    <xf numFmtId="3" fontId="1" fillId="0" borderId="26" xfId="0" applyNumberFormat="1" applyFont="1" applyBorder="1"/>
    <xf numFmtId="3" fontId="0" fillId="0" borderId="22" xfId="0" applyNumberFormat="1" applyBorder="1" applyAlignment="1"/>
    <xf numFmtId="3" fontId="0" fillId="0" borderId="4" xfId="0" applyNumberFormat="1" applyBorder="1" applyAlignment="1"/>
    <xf numFmtId="3" fontId="0" fillId="0" borderId="23" xfId="0" applyNumberFormat="1" applyBorder="1" applyAlignment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1" fillId="4" borderId="1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 applyBorder="1"/>
    <xf numFmtId="0" fontId="0" fillId="0" borderId="0" xfId="0" applyFill="1"/>
    <xf numFmtId="0" fontId="1" fillId="0" borderId="0" xfId="0" applyFont="1" applyFill="1" applyBorder="1" applyAlignment="1">
      <alignment horizontal="center" vertical="center"/>
    </xf>
    <xf numFmtId="3" fontId="0" fillId="0" borderId="0" xfId="0" applyNumberFormat="1" applyFill="1" applyBorder="1"/>
    <xf numFmtId="2" fontId="1" fillId="6" borderId="18" xfId="0" applyNumberFormat="1" applyFont="1" applyFill="1" applyBorder="1"/>
    <xf numFmtId="2" fontId="1" fillId="6" borderId="20" xfId="0" applyNumberFormat="1" applyFont="1" applyFill="1" applyBorder="1"/>
    <xf numFmtId="2" fontId="1" fillId="0" borderId="0" xfId="0" applyNumberFormat="1" applyFont="1"/>
    <xf numFmtId="2" fontId="1" fillId="7" borderId="35" xfId="0" applyNumberFormat="1" applyFont="1" applyFill="1" applyBorder="1"/>
    <xf numFmtId="4" fontId="1" fillId="0" borderId="24" xfId="0" applyNumberFormat="1" applyFont="1" applyBorder="1"/>
    <xf numFmtId="4" fontId="1" fillId="0" borderId="25" xfId="0" applyNumberFormat="1" applyFont="1" applyBorder="1"/>
    <xf numFmtId="4" fontId="1" fillId="0" borderId="26" xfId="0" applyNumberFormat="1" applyFont="1" applyBorder="1"/>
    <xf numFmtId="2" fontId="1" fillId="6" borderId="19" xfId="0" applyNumberFormat="1" applyFont="1" applyFill="1" applyBorder="1"/>
    <xf numFmtId="2" fontId="1" fillId="7" borderId="36" xfId="0" applyNumberFormat="1" applyFont="1" applyFill="1" applyBorder="1"/>
    <xf numFmtId="2" fontId="1" fillId="8" borderId="6" xfId="0" applyNumberFormat="1" applyFont="1" applyFill="1" applyBorder="1"/>
    <xf numFmtId="0" fontId="1" fillId="4" borderId="1" xfId="0" applyFont="1" applyFill="1" applyBorder="1" applyAlignment="1">
      <alignment horizontal="right"/>
    </xf>
    <xf numFmtId="0" fontId="1" fillId="4" borderId="1" xfId="0" applyFont="1" applyFill="1" applyBorder="1" applyAlignment="1">
      <alignment horizontal="center"/>
    </xf>
    <xf numFmtId="4" fontId="0" fillId="0" borderId="22" xfId="0" applyNumberFormat="1" applyBorder="1" applyAlignment="1"/>
    <xf numFmtId="4" fontId="0" fillId="0" borderId="4" xfId="0" applyNumberFormat="1" applyBorder="1" applyAlignment="1"/>
    <xf numFmtId="4" fontId="0" fillId="0" borderId="23" xfId="0" applyNumberFormat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CCFFFF"/>
      <color rgb="FF66CCFF"/>
      <color rgb="FFCCFFCC"/>
      <color rgb="FFFF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F6" sqref="F6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4" t="s">
        <v>6</v>
      </c>
      <c r="C4" s="5" t="s">
        <v>7</v>
      </c>
      <c r="D4" s="5"/>
      <c r="E4" s="5"/>
      <c r="F4" s="5"/>
      <c r="G4" s="5" t="s">
        <v>0</v>
      </c>
    </row>
    <row r="5" spans="2:7" x14ac:dyDescent="0.25">
      <c r="B5" s="6"/>
      <c r="C5" s="7" t="s">
        <v>1</v>
      </c>
      <c r="D5" s="7" t="s">
        <v>2</v>
      </c>
      <c r="E5" s="7" t="s">
        <v>3</v>
      </c>
      <c r="F5" s="7" t="s">
        <v>4</v>
      </c>
      <c r="G5" s="5"/>
    </row>
    <row r="6" spans="2:7" ht="45" x14ac:dyDescent="0.25">
      <c r="B6" s="8"/>
      <c r="C6" s="7" t="s">
        <v>11</v>
      </c>
      <c r="D6" s="9" t="s">
        <v>13</v>
      </c>
      <c r="E6" s="7" t="s">
        <v>12</v>
      </c>
      <c r="F6" s="7" t="s">
        <v>14</v>
      </c>
      <c r="G6" s="5"/>
    </row>
    <row r="7" spans="2:7" x14ac:dyDescent="0.25">
      <c r="B7" s="10">
        <v>1</v>
      </c>
      <c r="C7" s="10">
        <v>2</v>
      </c>
      <c r="D7" s="10">
        <v>3</v>
      </c>
      <c r="E7" s="10">
        <v>4</v>
      </c>
      <c r="F7" s="10">
        <v>5</v>
      </c>
      <c r="G7" s="10">
        <v>6</v>
      </c>
    </row>
    <row r="8" spans="2:7" x14ac:dyDescent="0.25">
      <c r="B8" s="3" t="s">
        <v>8</v>
      </c>
      <c r="C8" s="11">
        <v>10000</v>
      </c>
      <c r="D8" s="2">
        <v>1</v>
      </c>
      <c r="E8" s="2">
        <v>0.6</v>
      </c>
      <c r="F8" s="2">
        <v>10</v>
      </c>
      <c r="G8" s="12">
        <f>C8*D8*E8/F8</f>
        <v>600</v>
      </c>
    </row>
    <row r="9" spans="2:7" x14ac:dyDescent="0.25">
      <c r="B9" s="3" t="s">
        <v>9</v>
      </c>
      <c r="C9" s="11">
        <v>100</v>
      </c>
      <c r="D9" s="2">
        <v>3</v>
      </c>
      <c r="E9" s="2">
        <v>0.9</v>
      </c>
      <c r="F9" s="2">
        <v>5</v>
      </c>
      <c r="G9" s="12">
        <f t="shared" ref="G9:G10" si="0">C9*D9*E9/F9</f>
        <v>54</v>
      </c>
    </row>
    <row r="10" spans="2:7" x14ac:dyDescent="0.25">
      <c r="B10" s="3" t="s">
        <v>10</v>
      </c>
      <c r="C10" s="11">
        <v>1000</v>
      </c>
      <c r="D10" s="2">
        <v>2</v>
      </c>
      <c r="E10" s="2">
        <v>0.8</v>
      </c>
      <c r="F10" s="2">
        <v>7</v>
      </c>
      <c r="G10" s="12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36" t="s">
        <v>7</v>
      </c>
      <c r="C14" s="29" t="s">
        <v>6</v>
      </c>
      <c r="D14" s="30"/>
      <c r="E14" s="31"/>
    </row>
    <row r="15" spans="2:7" x14ac:dyDescent="0.25">
      <c r="B15" s="37"/>
      <c r="C15" s="43" t="s">
        <v>8</v>
      </c>
      <c r="D15" s="9" t="s">
        <v>9</v>
      </c>
      <c r="E15" s="32" t="s">
        <v>10</v>
      </c>
    </row>
    <row r="16" spans="2:7" ht="15.75" thickBot="1" x14ac:dyDescent="0.3">
      <c r="B16" s="38">
        <v>1</v>
      </c>
      <c r="C16" s="33">
        <v>2</v>
      </c>
      <c r="D16" s="34">
        <v>3</v>
      </c>
      <c r="E16" s="35">
        <v>4</v>
      </c>
    </row>
    <row r="17" spans="2:5" x14ac:dyDescent="0.25">
      <c r="B17" s="39" t="s">
        <v>1</v>
      </c>
      <c r="C17" s="44">
        <v>10000</v>
      </c>
      <c r="D17" s="45">
        <v>100</v>
      </c>
      <c r="E17" s="46">
        <v>1000</v>
      </c>
    </row>
    <row r="18" spans="2:5" x14ac:dyDescent="0.25">
      <c r="B18" s="40" t="s">
        <v>2</v>
      </c>
      <c r="C18" s="14">
        <v>1</v>
      </c>
      <c r="D18" s="2">
        <v>3</v>
      </c>
      <c r="E18" s="15">
        <v>2</v>
      </c>
    </row>
    <row r="19" spans="2:5" x14ac:dyDescent="0.25">
      <c r="B19" s="40" t="s">
        <v>3</v>
      </c>
      <c r="C19" s="14">
        <v>0.6</v>
      </c>
      <c r="D19" s="2">
        <v>0.9</v>
      </c>
      <c r="E19" s="15">
        <v>0.8</v>
      </c>
    </row>
    <row r="20" spans="2:5" ht="15.75" thickBot="1" x14ac:dyDescent="0.3">
      <c r="B20" s="41" t="s">
        <v>4</v>
      </c>
      <c r="C20" s="26">
        <v>10</v>
      </c>
      <c r="D20" s="27">
        <v>5</v>
      </c>
      <c r="E20" s="28">
        <v>7</v>
      </c>
    </row>
    <row r="21" spans="2:5" ht="15.75" thickBot="1" x14ac:dyDescent="0.3">
      <c r="B21" s="42" t="s">
        <v>0</v>
      </c>
      <c r="C21" s="47">
        <f>C17*C18*C19/C20</f>
        <v>600</v>
      </c>
      <c r="D21" s="48">
        <f>D17*D18*D19/D20</f>
        <v>54</v>
      </c>
      <c r="E21" s="49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abSelected="1" zoomScaleNormal="100" workbookViewId="0">
      <selection activeCell="G9" sqref="G9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1" t="s">
        <v>24</v>
      </c>
    </row>
    <row r="3" spans="2:10" x14ac:dyDescent="0.25">
      <c r="B3" s="1" t="s">
        <v>25</v>
      </c>
    </row>
    <row r="4" spans="2:10" ht="15.75" thickBot="1" x14ac:dyDescent="0.3"/>
    <row r="5" spans="2:10" x14ac:dyDescent="0.25">
      <c r="B5" s="36" t="s">
        <v>7</v>
      </c>
      <c r="C5" s="29" t="s">
        <v>6</v>
      </c>
      <c r="D5" s="30"/>
      <c r="E5" s="31"/>
    </row>
    <row r="6" spans="2:10" x14ac:dyDescent="0.25">
      <c r="B6" s="37"/>
      <c r="C6" s="43" t="s">
        <v>8</v>
      </c>
      <c r="D6" s="9" t="s">
        <v>9</v>
      </c>
      <c r="E6" s="32" t="s">
        <v>10</v>
      </c>
    </row>
    <row r="7" spans="2:10" ht="15.75" thickBot="1" x14ac:dyDescent="0.3">
      <c r="B7" s="38">
        <v>1</v>
      </c>
      <c r="C7" s="33">
        <v>2</v>
      </c>
      <c r="D7" s="34">
        <v>3</v>
      </c>
      <c r="E7" s="35">
        <v>4</v>
      </c>
    </row>
    <row r="8" spans="2:10" x14ac:dyDescent="0.25">
      <c r="B8" s="39" t="s">
        <v>1</v>
      </c>
      <c r="C8" s="44">
        <v>10000</v>
      </c>
      <c r="D8" s="45">
        <v>100</v>
      </c>
      <c r="E8" s="46">
        <v>1000</v>
      </c>
    </row>
    <row r="9" spans="2:10" x14ac:dyDescent="0.25">
      <c r="B9" s="40" t="s">
        <v>2</v>
      </c>
      <c r="C9" s="14">
        <v>1</v>
      </c>
      <c r="D9" s="2">
        <v>3</v>
      </c>
      <c r="E9" s="15">
        <v>2</v>
      </c>
    </row>
    <row r="10" spans="2:10" x14ac:dyDescent="0.25">
      <c r="B10" s="40" t="s">
        <v>3</v>
      </c>
      <c r="C10" s="14">
        <v>0.6</v>
      </c>
      <c r="D10" s="2">
        <v>0.9</v>
      </c>
      <c r="E10" s="15">
        <v>0.8</v>
      </c>
    </row>
    <row r="11" spans="2:10" ht="15.75" thickBot="1" x14ac:dyDescent="0.3">
      <c r="B11" s="41" t="s">
        <v>4</v>
      </c>
      <c r="C11" s="26">
        <v>10</v>
      </c>
      <c r="D11" s="27">
        <v>5</v>
      </c>
      <c r="E11" s="28">
        <v>7</v>
      </c>
    </row>
    <row r="12" spans="2:10" ht="15.75" thickBot="1" x14ac:dyDescent="0.3">
      <c r="B12" s="42" t="s">
        <v>0</v>
      </c>
      <c r="C12" s="80">
        <f>C8*C9*C10/C11</f>
        <v>600</v>
      </c>
      <c r="D12" s="81">
        <f>D8*D9*D10/D11</f>
        <v>54</v>
      </c>
      <c r="E12" s="82">
        <f>E8*E9*E10/E11</f>
        <v>228.57142857142858</v>
      </c>
    </row>
    <row r="14" spans="2:10" ht="15.75" thickBot="1" x14ac:dyDescent="0.3">
      <c r="B14" s="13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9" t="s">
        <v>7</v>
      </c>
      <c r="C15" s="20" t="s">
        <v>17</v>
      </c>
      <c r="D15" s="21"/>
      <c r="E15" s="21"/>
      <c r="F15" s="22"/>
      <c r="G15" s="20" t="s">
        <v>18</v>
      </c>
      <c r="H15" s="21"/>
      <c r="I15" s="21"/>
      <c r="J15" s="22"/>
    </row>
    <row r="16" spans="2:10" x14ac:dyDescent="0.25">
      <c r="B16" s="23" t="s">
        <v>1</v>
      </c>
      <c r="C16" s="50">
        <f>C8-0.03*C8</f>
        <v>9700</v>
      </c>
      <c r="D16" s="51">
        <f>C8-0.01*C8</f>
        <v>9900</v>
      </c>
      <c r="E16" s="51">
        <f>C8+0.01*C8</f>
        <v>10100</v>
      </c>
      <c r="F16" s="52">
        <f>C8+0.03*C8</f>
        <v>10300</v>
      </c>
      <c r="G16" s="50">
        <f>C8-0.02*C8</f>
        <v>9800</v>
      </c>
      <c r="H16" s="51">
        <f>C8-0.01*C8</f>
        <v>9900</v>
      </c>
      <c r="I16" s="51">
        <f>C8+0.01*C8</f>
        <v>10100</v>
      </c>
      <c r="J16" s="52">
        <f>C8+0.02*C8</f>
        <v>10200</v>
      </c>
    </row>
    <row r="17" spans="1:10" x14ac:dyDescent="0.25">
      <c r="B17" s="24" t="s">
        <v>2</v>
      </c>
      <c r="C17" s="16">
        <f>C9-0.03*C9</f>
        <v>0.97</v>
      </c>
      <c r="D17" s="17">
        <f>C9-0.01*C9</f>
        <v>0.99</v>
      </c>
      <c r="E17" s="17">
        <f>C9+0.01*C9</f>
        <v>1.01</v>
      </c>
      <c r="F17" s="18">
        <f>C9+0.03*C9</f>
        <v>1.03</v>
      </c>
      <c r="G17" s="16">
        <f>C9-0.02*C9</f>
        <v>0.98</v>
      </c>
      <c r="H17" s="17">
        <f>C9-0.01*C9</f>
        <v>0.99</v>
      </c>
      <c r="I17" s="17">
        <f>C9+0.01*C9</f>
        <v>1.01</v>
      </c>
      <c r="J17" s="18">
        <f>C9+0.02*C9</f>
        <v>1.02</v>
      </c>
    </row>
    <row r="18" spans="1:10" x14ac:dyDescent="0.25">
      <c r="B18" s="24" t="s">
        <v>3</v>
      </c>
      <c r="C18" s="53">
        <f>C10-0.03*C10</f>
        <v>0.58199999999999996</v>
      </c>
      <c r="D18" s="54">
        <f>C10-0.01*C10</f>
        <v>0.59399999999999997</v>
      </c>
      <c r="E18" s="54">
        <f>C10+0.01*C10</f>
        <v>0.60599999999999998</v>
      </c>
      <c r="F18" s="55">
        <f>C10+0.03*C10</f>
        <v>0.61799999999999999</v>
      </c>
      <c r="G18" s="53">
        <f>C10-0.02*C10</f>
        <v>0.58799999999999997</v>
      </c>
      <c r="H18" s="54">
        <f>C10-0.01*C10</f>
        <v>0.59399999999999997</v>
      </c>
      <c r="I18" s="54">
        <f>C10+0.01*C10</f>
        <v>0.60599999999999998</v>
      </c>
      <c r="J18" s="55">
        <f>C10+0.02*C10</f>
        <v>0.61199999999999999</v>
      </c>
    </row>
    <row r="19" spans="1:10" ht="15.75" thickBot="1" x14ac:dyDescent="0.3">
      <c r="B19" s="25" t="s">
        <v>4</v>
      </c>
      <c r="C19" s="67">
        <f>C11-0.03*C11</f>
        <v>9.6999999999999993</v>
      </c>
      <c r="D19" s="68">
        <f>C11-0.01*C11</f>
        <v>9.9</v>
      </c>
      <c r="E19" s="68">
        <f>C11+0.01*C11</f>
        <v>10.1</v>
      </c>
      <c r="F19" s="69">
        <f>C11+0.03*C11</f>
        <v>10.3</v>
      </c>
      <c r="G19" s="67">
        <f>C11-0.02*C11</f>
        <v>9.8000000000000007</v>
      </c>
      <c r="H19" s="68">
        <f>C11-0.01*C11</f>
        <v>9.9</v>
      </c>
      <c r="I19" s="68">
        <f>C11+0.01*C11</f>
        <v>10.1</v>
      </c>
      <c r="J19" s="69">
        <f>C11+0.02*C11</f>
        <v>10.199999999999999</v>
      </c>
    </row>
    <row r="20" spans="1:10" ht="15.75" thickBot="1" x14ac:dyDescent="0.3">
      <c r="B20" s="60" t="s">
        <v>0</v>
      </c>
      <c r="C20" s="66">
        <f>C24</f>
        <v>530.06682678168806</v>
      </c>
      <c r="D20" s="70">
        <f t="shared" ref="D20:J20" si="0">D24</f>
        <v>576.41524752475243</v>
      </c>
      <c r="E20" s="70">
        <f t="shared" si="0"/>
        <v>624.42484848484844</v>
      </c>
      <c r="F20" s="71">
        <f t="shared" si="0"/>
        <v>674.13403734312828</v>
      </c>
      <c r="G20" s="66">
        <f t="shared" si="0"/>
        <v>553.24103715322019</v>
      </c>
      <c r="H20" s="70">
        <f t="shared" si="0"/>
        <v>576.41524752475243</v>
      </c>
      <c r="I20" s="70">
        <f t="shared" si="0"/>
        <v>624.42484848484844</v>
      </c>
      <c r="J20" s="71">
        <f t="shared" si="0"/>
        <v>649.27944291398831</v>
      </c>
    </row>
    <row r="21" spans="1:10" ht="15.75" thickBot="1" x14ac:dyDescent="0.3"/>
    <row r="22" spans="1:10" x14ac:dyDescent="0.25">
      <c r="B22" s="57" t="s">
        <v>19</v>
      </c>
      <c r="C22" s="44">
        <f>C16*D17+C17*D16-D16*D17</f>
        <v>9405</v>
      </c>
      <c r="D22" s="45">
        <f>D16*D17</f>
        <v>9801</v>
      </c>
      <c r="E22" s="45">
        <f>E16*E17</f>
        <v>10201</v>
      </c>
      <c r="F22" s="46">
        <f>E16*F17+E17*F16-E16*E17</f>
        <v>10605</v>
      </c>
      <c r="G22" s="44">
        <f>G16*H17+G17*H16-H16*H17</f>
        <v>9603</v>
      </c>
      <c r="H22" s="45">
        <f>H16*H17</f>
        <v>9801</v>
      </c>
      <c r="I22" s="45">
        <f>I16*I17</f>
        <v>10201</v>
      </c>
      <c r="J22" s="46">
        <f>I16*J17+I17*J16-I16*I17</f>
        <v>10403</v>
      </c>
    </row>
    <row r="23" spans="1:10" x14ac:dyDescent="0.25">
      <c r="B23" s="58" t="s">
        <v>20</v>
      </c>
      <c r="C23" s="61">
        <f>C22*D18+C18*D22-D22*D18</f>
        <v>5468.9580000000005</v>
      </c>
      <c r="D23" s="11">
        <f>D22*D18</f>
        <v>5821.7939999999999</v>
      </c>
      <c r="E23" s="11">
        <f>E22*E18</f>
        <v>6181.8059999999996</v>
      </c>
      <c r="F23" s="62">
        <f>E22*F18+E18*F22-E18*E22</f>
        <v>6549.0420000000004</v>
      </c>
      <c r="G23" s="61">
        <f>G22*H18+G18*H22-H22*H18</f>
        <v>5645.3759999999984</v>
      </c>
      <c r="H23" s="11">
        <f>H22*H18</f>
        <v>5821.7939999999999</v>
      </c>
      <c r="I23" s="11">
        <f>I22*I18</f>
        <v>6181.8059999999996</v>
      </c>
      <c r="J23" s="62">
        <f>I22*J18+I18*J22-I18*I22</f>
        <v>6365.424</v>
      </c>
    </row>
    <row r="24" spans="1:10" ht="15.75" thickBot="1" x14ac:dyDescent="0.3">
      <c r="B24" s="59" t="s">
        <v>21</v>
      </c>
      <c r="C24" s="63">
        <f>(D23*E19-D23*F19+C23*E19)/(E19^2)</f>
        <v>530.06682678168806</v>
      </c>
      <c r="D24" s="64">
        <f>D23/E19</f>
        <v>576.41524752475243</v>
      </c>
      <c r="E24" s="64">
        <f>E23/D19</f>
        <v>624.42484848484844</v>
      </c>
      <c r="F24" s="65">
        <f>(E23*D19-E23*C19+F23*D19)/(D19^2)</f>
        <v>674.13403734312828</v>
      </c>
      <c r="G24" s="63">
        <f>(H23*I19-H23*J19+G23*I19)/(I19^2)</f>
        <v>553.24103715322019</v>
      </c>
      <c r="H24" s="64">
        <f>H23/I19</f>
        <v>576.41524752475243</v>
      </c>
      <c r="I24" s="64">
        <f>I23/H19</f>
        <v>624.42484848484844</v>
      </c>
      <c r="J24" s="65">
        <f>(I23*H19-I23*G19+J23*H19)/(H19^2)</f>
        <v>649.27944291398831</v>
      </c>
    </row>
    <row r="25" spans="1:10" x14ac:dyDescent="0.25">
      <c r="A25" s="73"/>
      <c r="B25" s="74"/>
      <c r="C25" s="75"/>
      <c r="D25" s="72"/>
      <c r="E25" s="72"/>
      <c r="F25" s="72"/>
      <c r="G25" s="72"/>
      <c r="H25" s="72"/>
      <c r="I25" s="72"/>
      <c r="J25" s="72"/>
    </row>
    <row r="26" spans="1:10" ht="15.75" thickBot="1" x14ac:dyDescent="0.3">
      <c r="C26" s="1" t="s">
        <v>26</v>
      </c>
      <c r="F26" s="1" t="s">
        <v>27</v>
      </c>
      <c r="I26" s="72"/>
      <c r="J26" s="72"/>
    </row>
    <row r="27" spans="1:10" ht="15.75" thickBot="1" x14ac:dyDescent="0.3">
      <c r="A27" s="1">
        <v>0.8</v>
      </c>
      <c r="B27" s="56" t="s">
        <v>22</v>
      </c>
      <c r="C27" s="83">
        <f>A27*D24+(1-A27)*C24</f>
        <v>567.14556337613953</v>
      </c>
      <c r="D27" s="77">
        <f>A27*E24+(1-A27)*F24</f>
        <v>634.36668625650441</v>
      </c>
      <c r="E27" s="78"/>
      <c r="F27" s="76">
        <f>A27*H24+(1-A27)*G24</f>
        <v>571.78040545044598</v>
      </c>
      <c r="G27" s="77">
        <f>A27*I24+(1-A27)*J24</f>
        <v>629.39576737067637</v>
      </c>
      <c r="I27" s="72"/>
      <c r="J27" s="72"/>
    </row>
    <row r="28" spans="1:10" ht="15.75" thickBot="1" x14ac:dyDescent="0.3">
      <c r="A28" s="1"/>
      <c r="B28" s="86" t="s">
        <v>29</v>
      </c>
      <c r="C28" s="84">
        <f>(C27+D27)/2</f>
        <v>600.75612481632197</v>
      </c>
      <c r="D28" s="78"/>
      <c r="E28" s="78"/>
      <c r="F28" s="79">
        <f>(F27+G27)/2</f>
        <v>600.58808641056112</v>
      </c>
      <c r="G28" s="78"/>
      <c r="I28" s="72"/>
      <c r="J28" s="72"/>
    </row>
    <row r="29" spans="1:10" x14ac:dyDescent="0.25">
      <c r="B29" s="87" t="s">
        <v>28</v>
      </c>
      <c r="C29" s="85">
        <f>(C28+F28)/2</f>
        <v>600.67210561344154</v>
      </c>
      <c r="I29" s="72"/>
      <c r="J29" s="72"/>
    </row>
    <row r="30" spans="1:10" x14ac:dyDescent="0.25">
      <c r="A30" s="73"/>
      <c r="B30" s="74"/>
      <c r="C30" s="75"/>
      <c r="D30" s="72"/>
      <c r="E30" s="72"/>
      <c r="F30" s="72"/>
      <c r="G30" s="72"/>
      <c r="H30" s="72"/>
      <c r="I30" s="72"/>
      <c r="J30" s="72"/>
    </row>
    <row r="31" spans="1:10" x14ac:dyDescent="0.25">
      <c r="A31" s="73"/>
      <c r="B31" s="74"/>
      <c r="C31" s="75"/>
      <c r="D31" s="72"/>
      <c r="E31" s="72"/>
      <c r="F31" s="72"/>
      <c r="G31" s="72"/>
      <c r="H31" s="72"/>
      <c r="I31" s="72"/>
      <c r="J31" s="72"/>
    </row>
    <row r="32" spans="1:10" ht="15.75" thickBot="1" x14ac:dyDescent="0.3">
      <c r="B32" s="13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9" t="s">
        <v>7</v>
      </c>
      <c r="C33" s="20" t="s">
        <v>17</v>
      </c>
      <c r="D33" s="21"/>
      <c r="E33" s="21"/>
      <c r="F33" s="22"/>
      <c r="G33" s="20" t="s">
        <v>18</v>
      </c>
      <c r="H33" s="21"/>
      <c r="I33" s="21"/>
      <c r="J33" s="22"/>
    </row>
    <row r="34" spans="1:10" x14ac:dyDescent="0.25">
      <c r="B34" s="23" t="s">
        <v>1</v>
      </c>
      <c r="C34" s="50">
        <f>D8-0.03*D8</f>
        <v>97</v>
      </c>
      <c r="D34" s="51">
        <f>D8-0.01*D8</f>
        <v>99</v>
      </c>
      <c r="E34" s="51">
        <f>D8+0.01*D8</f>
        <v>101</v>
      </c>
      <c r="F34" s="52">
        <f>D8+0.03*D8</f>
        <v>103</v>
      </c>
      <c r="G34" s="50">
        <f>D8-0.02*D8</f>
        <v>98</v>
      </c>
      <c r="H34" s="51">
        <f>D8-0.01*D8</f>
        <v>99</v>
      </c>
      <c r="I34" s="51">
        <f>D8+0.01*D8</f>
        <v>101</v>
      </c>
      <c r="J34" s="52">
        <f>D8+0.02*D8</f>
        <v>102</v>
      </c>
    </row>
    <row r="35" spans="1:10" ht="12.75" customHeight="1" x14ac:dyDescent="0.25">
      <c r="B35" s="24" t="s">
        <v>2</v>
      </c>
      <c r="C35" s="88">
        <f t="shared" ref="C35:C37" si="1">D9-0.03*D9</f>
        <v>2.91</v>
      </c>
      <c r="D35" s="89">
        <f t="shared" ref="D35:D37" si="2">D9-0.01*D9</f>
        <v>2.97</v>
      </c>
      <c r="E35" s="89">
        <f t="shared" ref="E35:E37" si="3">D9+0.01*D9</f>
        <v>3.03</v>
      </c>
      <c r="F35" s="90">
        <f t="shared" ref="F35:F37" si="4">D9+0.03*D9</f>
        <v>3.09</v>
      </c>
      <c r="G35" s="88">
        <f t="shared" ref="G35:G37" si="5">D9-0.02*D9</f>
        <v>2.94</v>
      </c>
      <c r="H35" s="89">
        <f t="shared" ref="H35:H37" si="6">D9-0.01*D9</f>
        <v>2.97</v>
      </c>
      <c r="I35" s="89">
        <f t="shared" ref="I35:I37" si="7">D9+0.01*D9</f>
        <v>3.03</v>
      </c>
      <c r="J35" s="90">
        <f t="shared" ref="J35:J37" si="8">D9+0.02*D9</f>
        <v>3.06</v>
      </c>
    </row>
    <row r="36" spans="1:10" x14ac:dyDescent="0.25">
      <c r="B36" s="24" t="s">
        <v>3</v>
      </c>
      <c r="C36" s="88">
        <f t="shared" si="1"/>
        <v>0.873</v>
      </c>
      <c r="D36" s="89">
        <f t="shared" si="2"/>
        <v>0.89100000000000001</v>
      </c>
      <c r="E36" s="89">
        <f t="shared" si="3"/>
        <v>0.90900000000000003</v>
      </c>
      <c r="F36" s="90">
        <f t="shared" si="4"/>
        <v>0.92700000000000005</v>
      </c>
      <c r="G36" s="88">
        <f t="shared" si="5"/>
        <v>0.88200000000000001</v>
      </c>
      <c r="H36" s="89">
        <f t="shared" si="6"/>
        <v>0.89100000000000001</v>
      </c>
      <c r="I36" s="89">
        <f t="shared" si="7"/>
        <v>0.90900000000000003</v>
      </c>
      <c r="J36" s="90">
        <f t="shared" si="8"/>
        <v>0.91800000000000004</v>
      </c>
    </row>
    <row r="37" spans="1:10" ht="15.75" thickBot="1" x14ac:dyDescent="0.3">
      <c r="B37" s="25" t="s">
        <v>4</v>
      </c>
      <c r="C37" s="88">
        <f t="shared" si="1"/>
        <v>4.8499999999999996</v>
      </c>
      <c r="D37" s="89">
        <f t="shared" si="2"/>
        <v>4.95</v>
      </c>
      <c r="E37" s="89">
        <f t="shared" si="3"/>
        <v>5.05</v>
      </c>
      <c r="F37" s="90">
        <f t="shared" si="4"/>
        <v>5.15</v>
      </c>
      <c r="G37" s="88">
        <f t="shared" si="5"/>
        <v>4.9000000000000004</v>
      </c>
      <c r="H37" s="89">
        <f t="shared" si="6"/>
        <v>4.95</v>
      </c>
      <c r="I37" s="89">
        <f t="shared" si="7"/>
        <v>5.05</v>
      </c>
      <c r="J37" s="90">
        <f t="shared" si="8"/>
        <v>5.0999999999999996</v>
      </c>
    </row>
    <row r="38" spans="1:10" ht="15.75" thickBot="1" x14ac:dyDescent="0.3">
      <c r="B38" s="60" t="s">
        <v>0</v>
      </c>
      <c r="C38" s="66">
        <f>C42</f>
        <v>47.706014410351919</v>
      </c>
      <c r="D38" s="70">
        <f t="shared" ref="D38:J38" si="9">D42</f>
        <v>51.877372277227735</v>
      </c>
      <c r="E38" s="70">
        <f t="shared" si="9"/>
        <v>56.198236363636362</v>
      </c>
      <c r="F38" s="71">
        <f t="shared" si="9"/>
        <v>60.672063360881552</v>
      </c>
      <c r="G38" s="66">
        <f t="shared" si="9"/>
        <v>49.791693343789817</v>
      </c>
      <c r="H38" s="70">
        <f t="shared" si="9"/>
        <v>51.877372277227735</v>
      </c>
      <c r="I38" s="70">
        <f t="shared" si="9"/>
        <v>56.198236363636362</v>
      </c>
      <c r="J38" s="71">
        <f t="shared" si="9"/>
        <v>58.43514986225896</v>
      </c>
    </row>
    <row r="39" spans="1:10" ht="15.75" thickBot="1" x14ac:dyDescent="0.3"/>
    <row r="40" spans="1:10" x14ac:dyDescent="0.25">
      <c r="B40" s="57" t="s">
        <v>19</v>
      </c>
      <c r="C40" s="44">
        <f>C34*D35+C35*D34-D34*D35</f>
        <v>282.15000000000003</v>
      </c>
      <c r="D40" s="45">
        <f>D34*D35</f>
        <v>294.03000000000003</v>
      </c>
      <c r="E40" s="45">
        <f>E34*E35</f>
        <v>306.02999999999997</v>
      </c>
      <c r="F40" s="46">
        <f>E34*F35+E35*F34-E34*E35</f>
        <v>318.14999999999998</v>
      </c>
      <c r="G40" s="44">
        <f>G34*H35+G35*H34-H34*H35</f>
        <v>288.08999999999997</v>
      </c>
      <c r="H40" s="45">
        <f>H34*H35</f>
        <v>294.03000000000003</v>
      </c>
      <c r="I40" s="45">
        <f>I34*I35</f>
        <v>306.02999999999997</v>
      </c>
      <c r="J40" s="46">
        <f>I34*J35+I35*J34-I34*I35</f>
        <v>312.09000000000003</v>
      </c>
    </row>
    <row r="41" spans="1:10" x14ac:dyDescent="0.25">
      <c r="B41" s="58" t="s">
        <v>20</v>
      </c>
      <c r="C41" s="61">
        <f>C40*D36+C36*D40-D40*D36</f>
        <v>246.10311000000002</v>
      </c>
      <c r="D41" s="11">
        <f>D40*D36</f>
        <v>261.98073000000005</v>
      </c>
      <c r="E41" s="11">
        <f>E40*E36</f>
        <v>278.18126999999998</v>
      </c>
      <c r="F41" s="62">
        <f>E40*F36+E36*F40-E36*E40</f>
        <v>294.70688999999999</v>
      </c>
      <c r="G41" s="61">
        <f>G40*H36+G36*H40-H40*H36</f>
        <v>254.04191999999995</v>
      </c>
      <c r="H41" s="11">
        <f>H40*H36</f>
        <v>261.98073000000005</v>
      </c>
      <c r="I41" s="11">
        <f>I40*I36</f>
        <v>278.18126999999998</v>
      </c>
      <c r="J41" s="62">
        <f>I40*J36+I36*J40-I36*I40</f>
        <v>286.44408000000004</v>
      </c>
    </row>
    <row r="42" spans="1:10" ht="15.75" thickBot="1" x14ac:dyDescent="0.3">
      <c r="B42" s="59" t="s">
        <v>21</v>
      </c>
      <c r="C42" s="63">
        <f>(D41*E37-D41*F37+C41*E37)/(E37^2)</f>
        <v>47.706014410351919</v>
      </c>
      <c r="D42" s="64">
        <f>D41/E37</f>
        <v>51.877372277227735</v>
      </c>
      <c r="E42" s="64">
        <f>E41/D37</f>
        <v>56.198236363636362</v>
      </c>
      <c r="F42" s="65">
        <f>(E41*D37-E41*C37+F41*D37)/(D37^2)</f>
        <v>60.672063360881552</v>
      </c>
      <c r="G42" s="63">
        <f>(H41*I37-H41*J37+G41*I37)/(I37^2)</f>
        <v>49.791693343789817</v>
      </c>
      <c r="H42" s="64">
        <f>H41/I37</f>
        <v>51.877372277227735</v>
      </c>
      <c r="I42" s="64">
        <f>I41/H37</f>
        <v>56.198236363636362</v>
      </c>
      <c r="J42" s="65">
        <f>(I41*H37-I41*G37+J41*H37)/(H37^2)</f>
        <v>58.43514986225896</v>
      </c>
    </row>
    <row r="43" spans="1:10" x14ac:dyDescent="0.25">
      <c r="A43" s="73"/>
      <c r="B43" s="74"/>
      <c r="C43" s="75"/>
      <c r="D43" s="72"/>
      <c r="E43" s="72"/>
      <c r="F43" s="72"/>
      <c r="G43" s="72"/>
      <c r="H43" s="72"/>
      <c r="I43" s="72"/>
      <c r="J43" s="72"/>
    </row>
    <row r="44" spans="1:10" ht="15.75" thickBot="1" x14ac:dyDescent="0.3">
      <c r="C44" s="1" t="s">
        <v>26</v>
      </c>
      <c r="F44" s="1" t="s">
        <v>27</v>
      </c>
      <c r="I44" s="72"/>
      <c r="J44" s="72"/>
    </row>
    <row r="45" spans="1:10" ht="15.75" thickBot="1" x14ac:dyDescent="0.3">
      <c r="A45" s="1">
        <v>0.8</v>
      </c>
      <c r="B45" s="56" t="s">
        <v>22</v>
      </c>
      <c r="C45" s="83">
        <f>A45*D42+(1-A45)*C42</f>
        <v>51.043100703852573</v>
      </c>
      <c r="D45" s="77">
        <f>A45*E42+(1-A45)*F42</f>
        <v>57.093001763085397</v>
      </c>
      <c r="E45" s="78"/>
      <c r="F45" s="76">
        <f>A45*H42+(1-A45)*G42</f>
        <v>51.460236490540154</v>
      </c>
      <c r="G45" s="77">
        <f>A45*I42+(1-A45)*J42</f>
        <v>56.645619063360883</v>
      </c>
      <c r="I45" s="72"/>
      <c r="J45" s="72"/>
    </row>
    <row r="46" spans="1:10" ht="15.75" thickBot="1" x14ac:dyDescent="0.3">
      <c r="A46" s="1"/>
      <c r="B46" s="86" t="s">
        <v>29</v>
      </c>
      <c r="C46" s="84">
        <f>(C45+D45)/2</f>
        <v>54.068051233468985</v>
      </c>
      <c r="D46" s="78"/>
      <c r="E46" s="78"/>
      <c r="F46" s="79">
        <f>(F45+G45)/2</f>
        <v>54.052927776950519</v>
      </c>
      <c r="G46" s="78"/>
      <c r="I46" s="72"/>
      <c r="J46" s="72"/>
    </row>
    <row r="47" spans="1:10" x14ac:dyDescent="0.25">
      <c r="B47" s="87" t="s">
        <v>28</v>
      </c>
      <c r="C47" s="85">
        <f>(C46+F46)/2</f>
        <v>54.060489505209752</v>
      </c>
      <c r="I47" s="72"/>
      <c r="J47" s="72"/>
    </row>
    <row r="50" spans="1:10" ht="15.75" thickBot="1" x14ac:dyDescent="0.3">
      <c r="B50" s="13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9" t="s">
        <v>7</v>
      </c>
      <c r="C51" s="20" t="s">
        <v>17</v>
      </c>
      <c r="D51" s="21"/>
      <c r="E51" s="21"/>
      <c r="F51" s="22"/>
      <c r="G51" s="20" t="s">
        <v>18</v>
      </c>
      <c r="H51" s="21"/>
      <c r="I51" s="21"/>
      <c r="J51" s="22"/>
    </row>
    <row r="52" spans="1:10" x14ac:dyDescent="0.25">
      <c r="B52" s="23" t="s">
        <v>1</v>
      </c>
      <c r="C52" s="50">
        <f>E8-0.03*E8</f>
        <v>970</v>
      </c>
      <c r="D52" s="51">
        <f>E8-0.01*E8</f>
        <v>990</v>
      </c>
      <c r="E52" s="51">
        <f>E8+0.01*E8</f>
        <v>1010</v>
      </c>
      <c r="F52" s="52">
        <f>E8+0.03*E8</f>
        <v>1030</v>
      </c>
      <c r="G52" s="50">
        <f>E8-0.02*E8</f>
        <v>980</v>
      </c>
      <c r="H52" s="51">
        <f>E8-0.01*E8</f>
        <v>990</v>
      </c>
      <c r="I52" s="51">
        <f>E8+0.01*E8</f>
        <v>1010</v>
      </c>
      <c r="J52" s="52">
        <f>E8+0.02*E8</f>
        <v>1020</v>
      </c>
    </row>
    <row r="53" spans="1:10" x14ac:dyDescent="0.25">
      <c r="B53" s="24" t="s">
        <v>2</v>
      </c>
      <c r="C53" s="88">
        <f t="shared" ref="C53:C55" si="10">E9-0.03*E9</f>
        <v>1.94</v>
      </c>
      <c r="D53" s="89">
        <f t="shared" ref="D53:D55" si="11">E9-0.01*E9</f>
        <v>1.98</v>
      </c>
      <c r="E53" s="89">
        <f t="shared" ref="E53:E55" si="12">E9+0.01*E9</f>
        <v>2.02</v>
      </c>
      <c r="F53" s="90">
        <f t="shared" ref="F53:F55" si="13">E9+0.03*E9</f>
        <v>2.06</v>
      </c>
      <c r="G53" s="88">
        <f t="shared" ref="G53:G55" si="14">E9-0.02*E9</f>
        <v>1.96</v>
      </c>
      <c r="H53" s="89">
        <f t="shared" ref="H53:H55" si="15">E9-0.01*E9</f>
        <v>1.98</v>
      </c>
      <c r="I53" s="89">
        <f t="shared" ref="I53:I55" si="16">E9+0.01*E9</f>
        <v>2.02</v>
      </c>
      <c r="J53" s="90">
        <f t="shared" ref="J53:J55" si="17">E9+0.02*E9</f>
        <v>2.04</v>
      </c>
    </row>
    <row r="54" spans="1:10" x14ac:dyDescent="0.25">
      <c r="B54" s="24" t="s">
        <v>3</v>
      </c>
      <c r="C54" s="88">
        <f t="shared" si="10"/>
        <v>0.77600000000000002</v>
      </c>
      <c r="D54" s="89">
        <f t="shared" si="11"/>
        <v>0.79200000000000004</v>
      </c>
      <c r="E54" s="89">
        <f t="shared" si="12"/>
        <v>0.80800000000000005</v>
      </c>
      <c r="F54" s="90">
        <f t="shared" si="13"/>
        <v>0.82400000000000007</v>
      </c>
      <c r="G54" s="88">
        <f t="shared" si="14"/>
        <v>0.78400000000000003</v>
      </c>
      <c r="H54" s="89">
        <f t="shared" si="15"/>
        <v>0.79200000000000004</v>
      </c>
      <c r="I54" s="89">
        <f t="shared" si="16"/>
        <v>0.80800000000000005</v>
      </c>
      <c r="J54" s="90">
        <f t="shared" si="17"/>
        <v>0.81600000000000006</v>
      </c>
    </row>
    <row r="55" spans="1:10" ht="15.75" thickBot="1" x14ac:dyDescent="0.3">
      <c r="B55" s="25" t="s">
        <v>4</v>
      </c>
      <c r="C55" s="88">
        <f t="shared" si="10"/>
        <v>6.79</v>
      </c>
      <c r="D55" s="89">
        <f t="shared" si="11"/>
        <v>6.93</v>
      </c>
      <c r="E55" s="89">
        <f t="shared" si="12"/>
        <v>7.07</v>
      </c>
      <c r="F55" s="90">
        <f t="shared" si="13"/>
        <v>7.21</v>
      </c>
      <c r="G55" s="88">
        <f t="shared" si="14"/>
        <v>6.86</v>
      </c>
      <c r="H55" s="89">
        <f t="shared" si="15"/>
        <v>6.93</v>
      </c>
      <c r="I55" s="89">
        <f t="shared" si="16"/>
        <v>7.07</v>
      </c>
      <c r="J55" s="90">
        <f t="shared" si="17"/>
        <v>7.14</v>
      </c>
    </row>
    <row r="56" spans="1:10" ht="15.75" thickBot="1" x14ac:dyDescent="0.3">
      <c r="B56" s="60" t="s">
        <v>0</v>
      </c>
      <c r="C56" s="66">
        <f>C60</f>
        <v>201.93021972635739</v>
      </c>
      <c r="D56" s="70">
        <f t="shared" ref="D56:J56" si="18">D60</f>
        <v>219.58676096181048</v>
      </c>
      <c r="E56" s="70">
        <f t="shared" si="18"/>
        <v>237.87613275613279</v>
      </c>
      <c r="F56" s="71">
        <f t="shared" si="18"/>
        <v>256.81296660690606</v>
      </c>
      <c r="G56" s="66">
        <f t="shared" si="18"/>
        <v>210.75849034408392</v>
      </c>
      <c r="H56" s="70">
        <f t="shared" si="18"/>
        <v>219.58676096181048</v>
      </c>
      <c r="I56" s="70">
        <f t="shared" si="18"/>
        <v>237.87613275613279</v>
      </c>
      <c r="J56" s="71">
        <f t="shared" si="18"/>
        <v>247.34454968151948</v>
      </c>
    </row>
    <row r="57" spans="1:10" ht="15.75" thickBot="1" x14ac:dyDescent="0.3"/>
    <row r="58" spans="1:10" x14ac:dyDescent="0.25">
      <c r="B58" s="57" t="s">
        <v>19</v>
      </c>
      <c r="C58" s="44">
        <f>C52*D53+C53*D52-D52*D53</f>
        <v>1880.9999999999998</v>
      </c>
      <c r="D58" s="45">
        <f>D52*D53</f>
        <v>1960.2</v>
      </c>
      <c r="E58" s="45">
        <f>E52*E53</f>
        <v>2040.2</v>
      </c>
      <c r="F58" s="46">
        <f>E52*F53+E53*F52-E52*E53</f>
        <v>2121</v>
      </c>
      <c r="G58" s="44">
        <f>G52*H53+G53*H52-H52*H53</f>
        <v>1920.6000000000001</v>
      </c>
      <c r="H58" s="45">
        <f>H52*H53</f>
        <v>1960.2</v>
      </c>
      <c r="I58" s="45">
        <f>I52*I53</f>
        <v>2040.2</v>
      </c>
      <c r="J58" s="46">
        <f>I52*J53+I53*J52-I52*I53</f>
        <v>2080.6000000000004</v>
      </c>
    </row>
    <row r="59" spans="1:10" x14ac:dyDescent="0.25">
      <c r="B59" s="58" t="s">
        <v>20</v>
      </c>
      <c r="C59" s="61">
        <f>C58*D54+C54*D58-D58*D54</f>
        <v>1458.3887999999999</v>
      </c>
      <c r="D59" s="11">
        <f>D58*D54</f>
        <v>1552.4784000000002</v>
      </c>
      <c r="E59" s="11">
        <f>E58*E54</f>
        <v>1648.4816000000001</v>
      </c>
      <c r="F59" s="62">
        <f>E58*F54+E54*F58-E54*E58</f>
        <v>1746.4112000000005</v>
      </c>
      <c r="G59" s="61">
        <f>G58*H54+G54*H58-H58*H54</f>
        <v>1505.4336000000001</v>
      </c>
      <c r="H59" s="11">
        <f>H58*H54</f>
        <v>1552.4784000000002</v>
      </c>
      <c r="I59" s="11">
        <f>I58*I54</f>
        <v>1648.4816000000001</v>
      </c>
      <c r="J59" s="62">
        <f>I58*J54+I54*J58-I54*I58</f>
        <v>1697.4464000000007</v>
      </c>
    </row>
    <row r="60" spans="1:10" ht="15.75" thickBot="1" x14ac:dyDescent="0.3">
      <c r="B60" s="59" t="s">
        <v>21</v>
      </c>
      <c r="C60" s="63">
        <f>(D59*E55-D59*F55+C59*E55)/(E55^2)</f>
        <v>201.93021972635739</v>
      </c>
      <c r="D60" s="64">
        <f>D59/E55</f>
        <v>219.58676096181048</v>
      </c>
      <c r="E60" s="64">
        <f>E59/D55</f>
        <v>237.87613275613279</v>
      </c>
      <c r="F60" s="65">
        <f>(E59*D55-E59*C55+F59*D55)/(D55^2)</f>
        <v>256.81296660690606</v>
      </c>
      <c r="G60" s="63">
        <f>(H59*I55-H59*J55+G59*I55)/(I55^2)</f>
        <v>210.75849034408392</v>
      </c>
      <c r="H60" s="64">
        <f>H59/I55</f>
        <v>219.58676096181048</v>
      </c>
      <c r="I60" s="64">
        <f>I59/H55</f>
        <v>237.87613275613279</v>
      </c>
      <c r="J60" s="65">
        <f>(I59*H55-I59*G55+J59*H55)/(H55^2)</f>
        <v>247.34454968151948</v>
      </c>
    </row>
    <row r="61" spans="1:10" x14ac:dyDescent="0.25">
      <c r="A61" s="73"/>
      <c r="B61" s="74"/>
      <c r="C61" s="75"/>
      <c r="D61" s="72"/>
      <c r="E61" s="72"/>
      <c r="F61" s="72"/>
      <c r="G61" s="72"/>
      <c r="H61" s="72"/>
      <c r="I61" s="72"/>
      <c r="J61" s="72"/>
    </row>
    <row r="62" spans="1:10" ht="15.75" thickBot="1" x14ac:dyDescent="0.3">
      <c r="C62" s="1" t="s">
        <v>26</v>
      </c>
      <c r="F62" s="1" t="s">
        <v>27</v>
      </c>
      <c r="I62" s="72"/>
      <c r="J62" s="72"/>
    </row>
    <row r="63" spans="1:10" ht="15.75" thickBot="1" x14ac:dyDescent="0.3">
      <c r="A63" s="1">
        <v>0.8</v>
      </c>
      <c r="B63" s="56" t="s">
        <v>22</v>
      </c>
      <c r="C63" s="83">
        <f>A63*D60+(1-A63)*C60</f>
        <v>216.05545271471988</v>
      </c>
      <c r="D63" s="77">
        <f>A63*E60+(1-A63)*F60</f>
        <v>241.66349952628747</v>
      </c>
      <c r="E63" s="78"/>
      <c r="F63" s="76">
        <f>A63*H60+(1-A63)*G60</f>
        <v>217.82110683826519</v>
      </c>
      <c r="G63" s="77">
        <f>A63*I60+(1-A63)*J60</f>
        <v>239.76981614121013</v>
      </c>
      <c r="I63" s="72"/>
      <c r="J63" s="72"/>
    </row>
    <row r="64" spans="1:10" ht="15.75" thickBot="1" x14ac:dyDescent="0.3">
      <c r="A64" s="1"/>
      <c r="B64" s="86" t="s">
        <v>29</v>
      </c>
      <c r="C64" s="84">
        <f>(C63+D63)/2</f>
        <v>228.85947612050367</v>
      </c>
      <c r="D64" s="78"/>
      <c r="E64" s="78"/>
      <c r="F64" s="79">
        <f>(F63+G63)/2</f>
        <v>228.79546148973765</v>
      </c>
      <c r="G64" s="78"/>
      <c r="I64" s="72"/>
      <c r="J64" s="72"/>
    </row>
    <row r="65" spans="2:10" x14ac:dyDescent="0.25">
      <c r="B65" s="87" t="s">
        <v>28</v>
      </c>
      <c r="C65" s="85">
        <f>(C64+F64)/2</f>
        <v>228.82746880512065</v>
      </c>
      <c r="I65" s="72"/>
      <c r="J65" s="72"/>
    </row>
  </sheetData>
  <mergeCells count="8">
    <mergeCell ref="C33:F33"/>
    <mergeCell ref="G33:J33"/>
    <mergeCell ref="C51:F51"/>
    <mergeCell ref="G51:J51"/>
    <mergeCell ref="C15:F15"/>
    <mergeCell ref="G15:J15"/>
    <mergeCell ref="B5:B6"/>
    <mergeCell ref="C5:E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RICE_четкая модель</vt:lpstr>
      <vt:lpstr>RICE_нечеткая модель (трапеции)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2026-01-07T19:17:34Z</dcterms:modified>
</cp:coreProperties>
</file>