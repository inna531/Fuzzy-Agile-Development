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38889BBD-0BAC-42BD-B037-8BD36A535CEB}" xr6:coauthVersionLast="47" xr6:coauthVersionMax="47" xr10:uidLastSave="{00000000-0000-0000-0000-000000000000}"/>
  <bookViews>
    <workbookView xWindow="-120" yWindow="-120" windowWidth="20730" windowHeight="11040" tabRatio="839" firstSheet="5" activeTab="8" xr2:uid="{00000000-000D-0000-FFFF-FFFF00000000}"/>
  </bookViews>
  <sheets>
    <sheet name="Сравнение оценок" sheetId="25" r:id="rId1"/>
    <sheet name="Fuzzy_MoSCoW_коллект_взвеш ср" sheetId="12" r:id="rId2"/>
    <sheet name="Fuzzy_MoSCoW_коллект_Чен 96" sheetId="23" r:id="rId3"/>
    <sheet name="Fuzzy_MoSCoW_коллект_Чен 98" sheetId="24" r:id="rId4"/>
    <sheet name="Fuzzy_MoSCoW_колл_Лю_2006" sheetId="22" r:id="rId5"/>
    <sheet name="Четкий MoSCoW_коллект_взвеш ср" sheetId="9" r:id="rId6"/>
    <sheet name="Четкий MoSCoW_коллект_Chen 96" sheetId="14" r:id="rId7"/>
    <sheet name="Четкий MoSCoW_коллект_Chen 98" sheetId="19" r:id="rId8"/>
    <sheet name="Четкий MoSCoW_коллект_Лю 2006" sheetId="2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3" i="24" l="1"/>
  <c r="D243" i="24"/>
  <c r="C187" i="24"/>
  <c r="C186" i="24"/>
  <c r="B182" i="24"/>
  <c r="C179" i="24" s="1"/>
  <c r="H160" i="24"/>
  <c r="G160" i="24"/>
  <c r="F160" i="24"/>
  <c r="E160" i="24"/>
  <c r="H157" i="24"/>
  <c r="G157" i="24"/>
  <c r="H156" i="24"/>
  <c r="G156" i="24"/>
  <c r="F156" i="24"/>
  <c r="E156" i="24"/>
  <c r="H153" i="24"/>
  <c r="G153" i="24"/>
  <c r="H152" i="24"/>
  <c r="G152" i="24"/>
  <c r="F152" i="24"/>
  <c r="E152" i="24"/>
  <c r="H149" i="24"/>
  <c r="G149" i="24"/>
  <c r="G139" i="24"/>
  <c r="K139" i="24" s="1"/>
  <c r="L139" i="24" s="1"/>
  <c r="F139" i="24"/>
  <c r="J139" i="24" s="1"/>
  <c r="I139" i="24" s="1"/>
  <c r="G138" i="24"/>
  <c r="K138" i="24" s="1"/>
  <c r="L138" i="24" s="1"/>
  <c r="F138" i="24"/>
  <c r="E138" i="24" s="1"/>
  <c r="G137" i="24"/>
  <c r="K137" i="24" s="1"/>
  <c r="L137" i="24" s="1"/>
  <c r="F137" i="24"/>
  <c r="J137" i="24" s="1"/>
  <c r="K136" i="24"/>
  <c r="J136" i="24"/>
  <c r="K132" i="24"/>
  <c r="J132" i="24"/>
  <c r="J160" i="24" s="1"/>
  <c r="G131" i="24"/>
  <c r="G159" i="24" s="1"/>
  <c r="F131" i="24"/>
  <c r="F159" i="24" s="1"/>
  <c r="G130" i="24"/>
  <c r="F130" i="24"/>
  <c r="F154" i="24" s="1"/>
  <c r="K129" i="24"/>
  <c r="F129" i="24"/>
  <c r="F149" i="24" s="1"/>
  <c r="BN125" i="24"/>
  <c r="BM125" i="24"/>
  <c r="X314" i="24" s="1"/>
  <c r="BL125" i="24"/>
  <c r="W174" i="24" s="1"/>
  <c r="BK125" i="24"/>
  <c r="BJ125" i="24"/>
  <c r="BI125" i="24"/>
  <c r="T314" i="24" s="1"/>
  <c r="BH125" i="24"/>
  <c r="S314" i="24" s="1"/>
  <c r="BG125" i="24"/>
  <c r="I125" i="24"/>
  <c r="H125" i="24"/>
  <c r="G125" i="24"/>
  <c r="BN124" i="24"/>
  <c r="BM124" i="24"/>
  <c r="BL124" i="24"/>
  <c r="W313" i="24" s="1"/>
  <c r="BK124" i="24"/>
  <c r="BJ124" i="24"/>
  <c r="BI124" i="24"/>
  <c r="BH124" i="24"/>
  <c r="S313" i="24" s="1"/>
  <c r="BG124" i="24"/>
  <c r="I124" i="24"/>
  <c r="H124" i="24"/>
  <c r="G124" i="24"/>
  <c r="BN123" i="24"/>
  <c r="BM123" i="24"/>
  <c r="BL123" i="24"/>
  <c r="W312" i="24" s="1"/>
  <c r="BK123" i="24"/>
  <c r="V312" i="24" s="1"/>
  <c r="BJ123" i="24"/>
  <c r="BI123" i="24"/>
  <c r="BH123" i="24"/>
  <c r="BG123" i="24"/>
  <c r="R312" i="24" s="1"/>
  <c r="I123" i="24"/>
  <c r="H123" i="24"/>
  <c r="G123" i="24"/>
  <c r="BN122" i="24"/>
  <c r="Y311" i="24" s="1"/>
  <c r="BM122" i="24"/>
  <c r="BL122" i="24"/>
  <c r="W311" i="24" s="1"/>
  <c r="BK122" i="24"/>
  <c r="BJ122" i="24"/>
  <c r="U311" i="24" s="1"/>
  <c r="BI122" i="24"/>
  <c r="BH122" i="24"/>
  <c r="S311" i="24" s="1"/>
  <c r="BG122" i="24"/>
  <c r="I122" i="24"/>
  <c r="H122" i="24"/>
  <c r="G122" i="24"/>
  <c r="BN121" i="24"/>
  <c r="Y170" i="24" s="1"/>
  <c r="BM121" i="24"/>
  <c r="X310" i="24" s="1"/>
  <c r="BL121" i="24"/>
  <c r="BK121" i="24"/>
  <c r="BJ121" i="24"/>
  <c r="BI121" i="24"/>
  <c r="T310" i="24" s="1"/>
  <c r="BH121" i="24"/>
  <c r="S310" i="24" s="1"/>
  <c r="BG121" i="24"/>
  <c r="I121" i="24"/>
  <c r="H121" i="24"/>
  <c r="G121" i="24"/>
  <c r="BN120" i="24"/>
  <c r="BM120" i="24"/>
  <c r="BL120" i="24"/>
  <c r="W309" i="24" s="1"/>
  <c r="BK120" i="24"/>
  <c r="BJ120" i="24"/>
  <c r="BI120" i="24"/>
  <c r="BH120" i="24"/>
  <c r="S309" i="24" s="1"/>
  <c r="BG120" i="24"/>
  <c r="I120" i="24"/>
  <c r="H120" i="24"/>
  <c r="G120" i="24"/>
  <c r="BN119" i="24"/>
  <c r="BM119" i="24"/>
  <c r="BL119" i="24"/>
  <c r="W308" i="24" s="1"/>
  <c r="BK119" i="24"/>
  <c r="V308" i="24" s="1"/>
  <c r="BJ119" i="24"/>
  <c r="BI119" i="24"/>
  <c r="BH119" i="24"/>
  <c r="BG119" i="24"/>
  <c r="R308" i="24" s="1"/>
  <c r="I119" i="24"/>
  <c r="H119" i="24"/>
  <c r="G119" i="24"/>
  <c r="BN118" i="24"/>
  <c r="BM118" i="24"/>
  <c r="BL118" i="24"/>
  <c r="W307" i="24" s="1"/>
  <c r="BK118" i="24"/>
  <c r="BJ118" i="24"/>
  <c r="BI118" i="24"/>
  <c r="BH118" i="24"/>
  <c r="S307" i="24" s="1"/>
  <c r="BG118" i="24"/>
  <c r="I118" i="24"/>
  <c r="H118" i="24"/>
  <c r="G118" i="24"/>
  <c r="BN117" i="24"/>
  <c r="BM117" i="24"/>
  <c r="BL117" i="24"/>
  <c r="W306" i="24" s="1"/>
  <c r="BK117" i="24"/>
  <c r="BJ117" i="24"/>
  <c r="BI117" i="24"/>
  <c r="T166" i="24" s="1"/>
  <c r="BH117" i="24"/>
  <c r="S306" i="24" s="1"/>
  <c r="BG117" i="24"/>
  <c r="I117" i="24"/>
  <c r="H117" i="24"/>
  <c r="G117" i="24"/>
  <c r="BN116" i="24"/>
  <c r="BM116" i="24"/>
  <c r="BL116" i="24"/>
  <c r="W305" i="24" s="1"/>
  <c r="BK116" i="24"/>
  <c r="BJ116" i="24"/>
  <c r="BI116" i="24"/>
  <c r="BH116" i="24"/>
  <c r="S305" i="24" s="1"/>
  <c r="BG116" i="24"/>
  <c r="I116" i="24"/>
  <c r="H116" i="24"/>
  <c r="G116" i="24"/>
  <c r="H108" i="24"/>
  <c r="G108" i="24"/>
  <c r="F108" i="24"/>
  <c r="E108" i="24"/>
  <c r="H105" i="24"/>
  <c r="G105" i="24"/>
  <c r="H104" i="24"/>
  <c r="G104" i="24"/>
  <c r="F104" i="24"/>
  <c r="E104" i="24"/>
  <c r="H101" i="24"/>
  <c r="G101" i="24"/>
  <c r="H100" i="24"/>
  <c r="G100" i="24"/>
  <c r="F100" i="24"/>
  <c r="E100" i="24"/>
  <c r="H97" i="24"/>
  <c r="G97" i="24"/>
  <c r="G87" i="24"/>
  <c r="K87" i="24" s="1"/>
  <c r="L87" i="24" s="1"/>
  <c r="F87" i="24"/>
  <c r="J87" i="24" s="1"/>
  <c r="I87" i="24" s="1"/>
  <c r="G86" i="24"/>
  <c r="K86" i="24" s="1"/>
  <c r="L86" i="24" s="1"/>
  <c r="F86" i="24"/>
  <c r="J86" i="24" s="1"/>
  <c r="I86" i="24" s="1"/>
  <c r="G85" i="24"/>
  <c r="K85" i="24" s="1"/>
  <c r="L85" i="24" s="1"/>
  <c r="F85" i="24"/>
  <c r="J85" i="24" s="1"/>
  <c r="K84" i="24"/>
  <c r="J84" i="24"/>
  <c r="K80" i="24"/>
  <c r="K108" i="24" s="1"/>
  <c r="J80" i="24"/>
  <c r="I108" i="24" s="1"/>
  <c r="G79" i="24"/>
  <c r="G107" i="24" s="1"/>
  <c r="F79" i="24"/>
  <c r="F107" i="24" s="1"/>
  <c r="G78" i="24"/>
  <c r="G106" i="24" s="1"/>
  <c r="F78" i="24"/>
  <c r="E106" i="24" s="1"/>
  <c r="K77" i="24"/>
  <c r="K105" i="24" s="1"/>
  <c r="F77" i="24"/>
  <c r="F105" i="24" s="1"/>
  <c r="BN73" i="24"/>
  <c r="BM73" i="24"/>
  <c r="BL73" i="24"/>
  <c r="O314" i="24" s="1"/>
  <c r="BK73" i="24"/>
  <c r="BJ73" i="24"/>
  <c r="BI73" i="24"/>
  <c r="BH73" i="24"/>
  <c r="K314" i="24" s="1"/>
  <c r="BG73" i="24"/>
  <c r="I73" i="24"/>
  <c r="H73" i="24"/>
  <c r="G73" i="24"/>
  <c r="BN72" i="24"/>
  <c r="Q173" i="24" s="1"/>
  <c r="BM72" i="24"/>
  <c r="BL72" i="24"/>
  <c r="O313" i="24" s="1"/>
  <c r="BK72" i="24"/>
  <c r="BJ72" i="24"/>
  <c r="BI72" i="24"/>
  <c r="BH72" i="24"/>
  <c r="K313" i="24" s="1"/>
  <c r="BG72" i="24"/>
  <c r="I72" i="24"/>
  <c r="H72" i="24"/>
  <c r="G72" i="24"/>
  <c r="BN71" i="24"/>
  <c r="BM71" i="24"/>
  <c r="BL71" i="24"/>
  <c r="O312" i="24" s="1"/>
  <c r="BK71" i="24"/>
  <c r="BJ71" i="24"/>
  <c r="BI71" i="24"/>
  <c r="BH71" i="24"/>
  <c r="K312" i="24" s="1"/>
  <c r="BG71" i="24"/>
  <c r="I71" i="24"/>
  <c r="H71" i="24"/>
  <c r="G71" i="24"/>
  <c r="BN70" i="24"/>
  <c r="BM70" i="24"/>
  <c r="BL70" i="24"/>
  <c r="O311" i="24" s="1"/>
  <c r="BK70" i="24"/>
  <c r="BJ70" i="24"/>
  <c r="BI70" i="24"/>
  <c r="BH70" i="24"/>
  <c r="K311" i="24" s="1"/>
  <c r="BG70" i="24"/>
  <c r="I70" i="24"/>
  <c r="H70" i="24"/>
  <c r="G70" i="24"/>
  <c r="BN69" i="24"/>
  <c r="BM69" i="24"/>
  <c r="BL69" i="24"/>
  <c r="O310" i="24" s="1"/>
  <c r="BK69" i="24"/>
  <c r="BJ69" i="24"/>
  <c r="BI69" i="24"/>
  <c r="BH69" i="24"/>
  <c r="K310" i="24" s="1"/>
  <c r="BG69" i="24"/>
  <c r="I69" i="24"/>
  <c r="H69" i="24"/>
  <c r="G69" i="24"/>
  <c r="BN68" i="24"/>
  <c r="BM68" i="24"/>
  <c r="BL68" i="24"/>
  <c r="O309" i="24" s="1"/>
  <c r="BK68" i="24"/>
  <c r="BJ68" i="24"/>
  <c r="BI68" i="24"/>
  <c r="BH68" i="24"/>
  <c r="K309" i="24" s="1"/>
  <c r="BG68" i="24"/>
  <c r="I68" i="24"/>
  <c r="H68" i="24"/>
  <c r="G68" i="24"/>
  <c r="BN67" i="24"/>
  <c r="BM67" i="24"/>
  <c r="BL67" i="24"/>
  <c r="O308" i="24" s="1"/>
  <c r="BK67" i="24"/>
  <c r="BJ67" i="24"/>
  <c r="BI67" i="24"/>
  <c r="BH67" i="24"/>
  <c r="K308" i="24" s="1"/>
  <c r="BG67" i="24"/>
  <c r="I67" i="24"/>
  <c r="H67" i="24"/>
  <c r="G67" i="24"/>
  <c r="BN66" i="24"/>
  <c r="BM66" i="24"/>
  <c r="BL66" i="24"/>
  <c r="O307" i="24" s="1"/>
  <c r="BK66" i="24"/>
  <c r="BJ66" i="24"/>
  <c r="BI66" i="24"/>
  <c r="L167" i="24" s="1"/>
  <c r="BH66" i="24"/>
  <c r="K307" i="24" s="1"/>
  <c r="BG66" i="24"/>
  <c r="I66" i="24"/>
  <c r="H66" i="24"/>
  <c r="G66" i="24"/>
  <c r="BN65" i="24"/>
  <c r="BM65" i="24"/>
  <c r="BL65" i="24"/>
  <c r="O306" i="24" s="1"/>
  <c r="BK65" i="24"/>
  <c r="BJ65" i="24"/>
  <c r="BI65" i="24"/>
  <c r="BH65" i="24"/>
  <c r="K306" i="24" s="1"/>
  <c r="BG65" i="24"/>
  <c r="I65" i="24"/>
  <c r="H65" i="24"/>
  <c r="G65" i="24"/>
  <c r="BN64" i="24"/>
  <c r="BM64" i="24"/>
  <c r="BL64" i="24"/>
  <c r="O305" i="24" s="1"/>
  <c r="BK64" i="24"/>
  <c r="BJ64" i="24"/>
  <c r="BI64" i="24"/>
  <c r="L165" i="24" s="1"/>
  <c r="BH64" i="24"/>
  <c r="K305" i="24" s="1"/>
  <c r="BG64" i="24"/>
  <c r="I64" i="24"/>
  <c r="H64" i="24"/>
  <c r="G64" i="24"/>
  <c r="H56" i="24"/>
  <c r="G56" i="24"/>
  <c r="F56" i="24"/>
  <c r="E56" i="24"/>
  <c r="H53" i="24"/>
  <c r="G53" i="24"/>
  <c r="H52" i="24"/>
  <c r="G52" i="24"/>
  <c r="F52" i="24"/>
  <c r="E52" i="24"/>
  <c r="H49" i="24"/>
  <c r="G49" i="24"/>
  <c r="H48" i="24"/>
  <c r="G48" i="24"/>
  <c r="F48" i="24"/>
  <c r="E48" i="24"/>
  <c r="H45" i="24"/>
  <c r="G45" i="24"/>
  <c r="G35" i="24"/>
  <c r="K35" i="24" s="1"/>
  <c r="L35" i="24" s="1"/>
  <c r="F35" i="24"/>
  <c r="J35" i="24" s="1"/>
  <c r="I35" i="24" s="1"/>
  <c r="G34" i="24"/>
  <c r="K34" i="24" s="1"/>
  <c r="L34" i="24" s="1"/>
  <c r="F34" i="24"/>
  <c r="J34" i="24" s="1"/>
  <c r="I34" i="24" s="1"/>
  <c r="G33" i="24"/>
  <c r="K33" i="24" s="1"/>
  <c r="L33" i="24" s="1"/>
  <c r="F33" i="24"/>
  <c r="J33" i="24" s="1"/>
  <c r="K32" i="24"/>
  <c r="J32" i="24"/>
  <c r="K28" i="24"/>
  <c r="L56" i="24" s="1"/>
  <c r="J28" i="24"/>
  <c r="J56" i="24" s="1"/>
  <c r="G27" i="24"/>
  <c r="K27" i="24" s="1"/>
  <c r="F27" i="24"/>
  <c r="F55" i="24" s="1"/>
  <c r="G26" i="24"/>
  <c r="G50" i="24" s="1"/>
  <c r="F26" i="24"/>
  <c r="F54" i="24" s="1"/>
  <c r="K25" i="24"/>
  <c r="L53" i="24" s="1"/>
  <c r="F25" i="24"/>
  <c r="F53" i="24" s="1"/>
  <c r="BN21" i="24"/>
  <c r="BM21" i="24"/>
  <c r="BL21" i="24"/>
  <c r="G314" i="24" s="1"/>
  <c r="BK21" i="24"/>
  <c r="BJ21" i="24"/>
  <c r="BI21" i="24"/>
  <c r="BH21" i="24"/>
  <c r="C314" i="24" s="1"/>
  <c r="BG21" i="24"/>
  <c r="I21" i="24"/>
  <c r="H21" i="24"/>
  <c r="G21" i="24"/>
  <c r="BN20" i="24"/>
  <c r="BM20" i="24"/>
  <c r="BL20" i="24"/>
  <c r="G313" i="24" s="1"/>
  <c r="BK20" i="24"/>
  <c r="BJ20" i="24"/>
  <c r="BI20" i="24"/>
  <c r="BH20" i="24"/>
  <c r="C313" i="24" s="1"/>
  <c r="BG20" i="24"/>
  <c r="I20" i="24"/>
  <c r="H20" i="24"/>
  <c r="G20" i="24"/>
  <c r="BN19" i="24"/>
  <c r="BM19" i="24"/>
  <c r="BL19" i="24"/>
  <c r="G312" i="24" s="1"/>
  <c r="BK19" i="24"/>
  <c r="BJ19" i="24"/>
  <c r="BI19" i="24"/>
  <c r="BH19" i="24"/>
  <c r="C312" i="24" s="1"/>
  <c r="BG19" i="24"/>
  <c r="I19" i="24"/>
  <c r="H19" i="24"/>
  <c r="G19" i="24"/>
  <c r="BN18" i="24"/>
  <c r="BM18" i="24"/>
  <c r="BL18" i="24"/>
  <c r="G311" i="24" s="1"/>
  <c r="BK18" i="24"/>
  <c r="BJ18" i="24"/>
  <c r="BI18" i="24"/>
  <c r="BH18" i="24"/>
  <c r="C311" i="24" s="1"/>
  <c r="BG18" i="24"/>
  <c r="I18" i="24"/>
  <c r="H18" i="24"/>
  <c r="G18" i="24"/>
  <c r="BN17" i="24"/>
  <c r="BM17" i="24"/>
  <c r="BL17" i="24"/>
  <c r="G310" i="24" s="1"/>
  <c r="BK17" i="24"/>
  <c r="BJ17" i="24"/>
  <c r="BI17" i="24"/>
  <c r="BH17" i="24"/>
  <c r="C310" i="24" s="1"/>
  <c r="BG17" i="24"/>
  <c r="I17" i="24"/>
  <c r="H17" i="24"/>
  <c r="G17" i="24"/>
  <c r="BN16" i="24"/>
  <c r="BM16" i="24"/>
  <c r="BL16" i="24"/>
  <c r="G309" i="24" s="1"/>
  <c r="BK16" i="24"/>
  <c r="F169" i="24" s="1"/>
  <c r="BJ16" i="24"/>
  <c r="BI16" i="24"/>
  <c r="BH16" i="24"/>
  <c r="C309" i="24" s="1"/>
  <c r="BG16" i="24"/>
  <c r="I16" i="24"/>
  <c r="H16" i="24"/>
  <c r="G16" i="24"/>
  <c r="BN15" i="24"/>
  <c r="BM15" i="24"/>
  <c r="BL15" i="24"/>
  <c r="G308" i="24" s="1"/>
  <c r="BK15" i="24"/>
  <c r="BJ15" i="24"/>
  <c r="BI15" i="24"/>
  <c r="D168" i="24" s="1"/>
  <c r="BH15" i="24"/>
  <c r="C308" i="24" s="1"/>
  <c r="BG15" i="24"/>
  <c r="I15" i="24"/>
  <c r="H15" i="24"/>
  <c r="G15" i="24"/>
  <c r="BN14" i="24"/>
  <c r="BM14" i="24"/>
  <c r="BL14" i="24"/>
  <c r="G307" i="24" s="1"/>
  <c r="BK14" i="24"/>
  <c r="BJ14" i="24"/>
  <c r="BI14" i="24"/>
  <c r="BH14" i="24"/>
  <c r="C307" i="24" s="1"/>
  <c r="BG14" i="24"/>
  <c r="I14" i="24"/>
  <c r="H14" i="24"/>
  <c r="G14" i="24"/>
  <c r="BN13" i="24"/>
  <c r="BM13" i="24"/>
  <c r="BL13" i="24"/>
  <c r="G306" i="24" s="1"/>
  <c r="BK13" i="24"/>
  <c r="BJ13" i="24"/>
  <c r="BI13" i="24"/>
  <c r="D166" i="24" s="1"/>
  <c r="BH13" i="24"/>
  <c r="C306" i="24" s="1"/>
  <c r="BG13" i="24"/>
  <c r="I13" i="24"/>
  <c r="H13" i="24"/>
  <c r="G13" i="24"/>
  <c r="BN12" i="24"/>
  <c r="BM12" i="24"/>
  <c r="BL12" i="24"/>
  <c r="G305" i="24" s="1"/>
  <c r="BK12" i="24"/>
  <c r="BJ12" i="24"/>
  <c r="BI12" i="24"/>
  <c r="BH12" i="24"/>
  <c r="C305" i="24" s="1"/>
  <c r="BG12" i="24"/>
  <c r="I12" i="24"/>
  <c r="H12" i="24"/>
  <c r="G12" i="24"/>
  <c r="I237" i="23"/>
  <c r="H237" i="23"/>
  <c r="G237" i="23"/>
  <c r="D237" i="23"/>
  <c r="D250" i="23" s="1"/>
  <c r="C237" i="23"/>
  <c r="B237" i="23"/>
  <c r="B250" i="23" s="1"/>
  <c r="I236" i="23"/>
  <c r="H236" i="23"/>
  <c r="G236" i="23"/>
  <c r="D236" i="23"/>
  <c r="D249" i="23" s="1"/>
  <c r="C236" i="23"/>
  <c r="B236" i="23"/>
  <c r="B249" i="23" s="1"/>
  <c r="I235" i="23"/>
  <c r="H235" i="23"/>
  <c r="G235" i="23"/>
  <c r="D235" i="23"/>
  <c r="C235" i="23"/>
  <c r="B235" i="23"/>
  <c r="B248" i="23" s="1"/>
  <c r="I234" i="23"/>
  <c r="H234" i="23"/>
  <c r="G234" i="23"/>
  <c r="D234" i="23"/>
  <c r="D247" i="23" s="1"/>
  <c r="C234" i="23"/>
  <c r="B234" i="23"/>
  <c r="I233" i="23"/>
  <c r="H233" i="23"/>
  <c r="G233" i="23"/>
  <c r="D233" i="23"/>
  <c r="D246" i="23" s="1"/>
  <c r="C233" i="23"/>
  <c r="B233" i="23"/>
  <c r="B246" i="23" s="1"/>
  <c r="I232" i="23"/>
  <c r="H232" i="23"/>
  <c r="G232" i="23"/>
  <c r="D232" i="23"/>
  <c r="D245" i="23" s="1"/>
  <c r="C232" i="23"/>
  <c r="B232" i="23"/>
  <c r="I231" i="23"/>
  <c r="H231" i="23"/>
  <c r="G231" i="23"/>
  <c r="D231" i="23"/>
  <c r="D244" i="23" s="1"/>
  <c r="C231" i="23"/>
  <c r="B231" i="23"/>
  <c r="B244" i="23" s="1"/>
  <c r="I230" i="23"/>
  <c r="H230" i="23"/>
  <c r="G230" i="23"/>
  <c r="D230" i="23"/>
  <c r="D243" i="23" s="1"/>
  <c r="C230" i="23"/>
  <c r="B230" i="23"/>
  <c r="I229" i="23"/>
  <c r="H229" i="23"/>
  <c r="G229" i="23"/>
  <c r="D229" i="23"/>
  <c r="D242" i="23" s="1"/>
  <c r="C229" i="23"/>
  <c r="B229" i="23"/>
  <c r="B242" i="23" s="1"/>
  <c r="I228" i="23"/>
  <c r="H228" i="23"/>
  <c r="G228" i="23"/>
  <c r="D228" i="23"/>
  <c r="D241" i="23" s="1"/>
  <c r="C228" i="23"/>
  <c r="B228" i="23"/>
  <c r="B175" i="23"/>
  <c r="C174" i="23" s="1"/>
  <c r="B167" i="23"/>
  <c r="C165" i="23" s="1"/>
  <c r="H160" i="23"/>
  <c r="G160" i="23"/>
  <c r="F160" i="23"/>
  <c r="E160" i="23"/>
  <c r="H157" i="23"/>
  <c r="G157" i="23"/>
  <c r="H156" i="23"/>
  <c r="G156" i="23"/>
  <c r="F156" i="23"/>
  <c r="E156" i="23"/>
  <c r="H153" i="23"/>
  <c r="G153" i="23"/>
  <c r="H152" i="23"/>
  <c r="G152" i="23"/>
  <c r="F152" i="23"/>
  <c r="E152" i="23"/>
  <c r="H149" i="23"/>
  <c r="G149" i="23"/>
  <c r="G139" i="23"/>
  <c r="H139" i="23" s="1"/>
  <c r="F139" i="23"/>
  <c r="J139" i="23" s="1"/>
  <c r="I139" i="23" s="1"/>
  <c r="G138" i="23"/>
  <c r="H138" i="23" s="1"/>
  <c r="F138" i="23"/>
  <c r="J138" i="23" s="1"/>
  <c r="I138" i="23" s="1"/>
  <c r="G137" i="23"/>
  <c r="K137" i="23" s="1"/>
  <c r="L137" i="23" s="1"/>
  <c r="F137" i="23"/>
  <c r="J137" i="23" s="1"/>
  <c r="K136" i="23"/>
  <c r="J136" i="23"/>
  <c r="K132" i="23"/>
  <c r="L160" i="23" s="1"/>
  <c r="J132" i="23"/>
  <c r="I160" i="23" s="1"/>
  <c r="G131" i="23"/>
  <c r="H159" i="23" s="1"/>
  <c r="F131" i="23"/>
  <c r="F159" i="23" s="1"/>
  <c r="G130" i="23"/>
  <c r="G154" i="23" s="1"/>
  <c r="F130" i="23"/>
  <c r="E158" i="23" s="1"/>
  <c r="K129" i="23"/>
  <c r="L157" i="23" s="1"/>
  <c r="F129" i="23"/>
  <c r="E149" i="23" s="1"/>
  <c r="BN125" i="23"/>
  <c r="Y290" i="23" s="1"/>
  <c r="BM125" i="23"/>
  <c r="X290" i="23" s="1"/>
  <c r="BL125" i="23"/>
  <c r="W290" i="23" s="1"/>
  <c r="BK125" i="23"/>
  <c r="V290" i="23" s="1"/>
  <c r="BJ125" i="23"/>
  <c r="U290" i="23" s="1"/>
  <c r="BI125" i="23"/>
  <c r="T290" i="23" s="1"/>
  <c r="BH125" i="23"/>
  <c r="S290" i="23" s="1"/>
  <c r="BG125" i="23"/>
  <c r="R290" i="23" s="1"/>
  <c r="I125" i="23"/>
  <c r="H125" i="23"/>
  <c r="G125" i="23"/>
  <c r="BN124" i="23"/>
  <c r="Y289" i="23" s="1"/>
  <c r="BM124" i="23"/>
  <c r="X289" i="23" s="1"/>
  <c r="BL124" i="23"/>
  <c r="BK124" i="23"/>
  <c r="V289" i="23" s="1"/>
  <c r="BJ124" i="23"/>
  <c r="U289" i="23" s="1"/>
  <c r="BI124" i="23"/>
  <c r="T289" i="23" s="1"/>
  <c r="BH124" i="23"/>
  <c r="BG124" i="23"/>
  <c r="R289" i="23" s="1"/>
  <c r="I124" i="23"/>
  <c r="H124" i="23"/>
  <c r="G124" i="23"/>
  <c r="BN123" i="23"/>
  <c r="Y288" i="23" s="1"/>
  <c r="BM123" i="23"/>
  <c r="X288" i="23" s="1"/>
  <c r="BL123" i="23"/>
  <c r="W288" i="23" s="1"/>
  <c r="BK123" i="23"/>
  <c r="BJ123" i="23"/>
  <c r="U288" i="23" s="1"/>
  <c r="BI123" i="23"/>
  <c r="T288" i="23" s="1"/>
  <c r="BH123" i="23"/>
  <c r="S288" i="23" s="1"/>
  <c r="BG123" i="23"/>
  <c r="R288" i="23" s="1"/>
  <c r="I123" i="23"/>
  <c r="H123" i="23"/>
  <c r="G123" i="23"/>
  <c r="BN122" i="23"/>
  <c r="Y287" i="23" s="1"/>
  <c r="BM122" i="23"/>
  <c r="X287" i="23" s="1"/>
  <c r="BL122" i="23"/>
  <c r="W287" i="23" s="1"/>
  <c r="BK122" i="23"/>
  <c r="V287" i="23" s="1"/>
  <c r="BJ122" i="23"/>
  <c r="U287" i="23" s="1"/>
  <c r="BI122" i="23"/>
  <c r="T287" i="23" s="1"/>
  <c r="BH122" i="23"/>
  <c r="S287" i="23" s="1"/>
  <c r="BG122" i="23"/>
  <c r="R287" i="23" s="1"/>
  <c r="I122" i="23"/>
  <c r="H122" i="23"/>
  <c r="G122" i="23"/>
  <c r="BN121" i="23"/>
  <c r="Y286" i="23" s="1"/>
  <c r="BM121" i="23"/>
  <c r="BL121" i="23"/>
  <c r="W286" i="23" s="1"/>
  <c r="BK121" i="23"/>
  <c r="V286" i="23" s="1"/>
  <c r="BJ121" i="23"/>
  <c r="U286" i="23" s="1"/>
  <c r="BI121" i="23"/>
  <c r="BH121" i="23"/>
  <c r="S286" i="23" s="1"/>
  <c r="BG121" i="23"/>
  <c r="R286" i="23" s="1"/>
  <c r="I121" i="23"/>
  <c r="H121" i="23"/>
  <c r="G121" i="23"/>
  <c r="BN120" i="23"/>
  <c r="Y285" i="23" s="1"/>
  <c r="BM120" i="23"/>
  <c r="X285" i="23" s="1"/>
  <c r="BL120" i="23"/>
  <c r="BK120" i="23"/>
  <c r="V285" i="23" s="1"/>
  <c r="BJ120" i="23"/>
  <c r="U285" i="23" s="1"/>
  <c r="BI120" i="23"/>
  <c r="T285" i="23" s="1"/>
  <c r="BH120" i="23"/>
  <c r="BG120" i="23"/>
  <c r="R285" i="23" s="1"/>
  <c r="I120" i="23"/>
  <c r="H120" i="23"/>
  <c r="G120" i="23"/>
  <c r="BN119" i="23"/>
  <c r="Y284" i="23" s="1"/>
  <c r="BM119" i="23"/>
  <c r="X284" i="23" s="1"/>
  <c r="BL119" i="23"/>
  <c r="W284" i="23" s="1"/>
  <c r="BK119" i="23"/>
  <c r="BJ119" i="23"/>
  <c r="U284" i="23" s="1"/>
  <c r="BI119" i="23"/>
  <c r="T284" i="23" s="1"/>
  <c r="BH119" i="23"/>
  <c r="S284" i="23" s="1"/>
  <c r="BG119" i="23"/>
  <c r="R284" i="23" s="1"/>
  <c r="I119" i="23"/>
  <c r="H119" i="23"/>
  <c r="G119" i="23"/>
  <c r="BN118" i="23"/>
  <c r="Y283" i="23" s="1"/>
  <c r="BM118" i="23"/>
  <c r="X283" i="23" s="1"/>
  <c r="BL118" i="23"/>
  <c r="W283" i="23" s="1"/>
  <c r="BK118" i="23"/>
  <c r="V283" i="23" s="1"/>
  <c r="BJ118" i="23"/>
  <c r="U283" i="23" s="1"/>
  <c r="BI118" i="23"/>
  <c r="T283" i="23" s="1"/>
  <c r="BH118" i="23"/>
  <c r="S283" i="23" s="1"/>
  <c r="BG118" i="23"/>
  <c r="R283" i="23" s="1"/>
  <c r="I118" i="23"/>
  <c r="H118" i="23"/>
  <c r="G118" i="23"/>
  <c r="BN117" i="23"/>
  <c r="Y282" i="23" s="1"/>
  <c r="BM117" i="23"/>
  <c r="BL117" i="23"/>
  <c r="W282" i="23" s="1"/>
  <c r="BK117" i="23"/>
  <c r="V282" i="23" s="1"/>
  <c r="BJ117" i="23"/>
  <c r="U282" i="23" s="1"/>
  <c r="BI117" i="23"/>
  <c r="BH117" i="23"/>
  <c r="S282" i="23" s="1"/>
  <c r="BG117" i="23"/>
  <c r="R282" i="23" s="1"/>
  <c r="I117" i="23"/>
  <c r="H117" i="23"/>
  <c r="G117" i="23"/>
  <c r="BN116" i="23"/>
  <c r="Y281" i="23" s="1"/>
  <c r="BM116" i="23"/>
  <c r="X281" i="23" s="1"/>
  <c r="BL116" i="23"/>
  <c r="BK116" i="23"/>
  <c r="V281" i="23" s="1"/>
  <c r="BJ116" i="23"/>
  <c r="U281" i="23" s="1"/>
  <c r="BI116" i="23"/>
  <c r="T281" i="23" s="1"/>
  <c r="BH116" i="23"/>
  <c r="BG116" i="23"/>
  <c r="R281" i="23" s="1"/>
  <c r="I116" i="23"/>
  <c r="H116" i="23"/>
  <c r="G116" i="23"/>
  <c r="H108" i="23"/>
  <c r="G108" i="23"/>
  <c r="F108" i="23"/>
  <c r="E108" i="23"/>
  <c r="H105" i="23"/>
  <c r="G105" i="23"/>
  <c r="H104" i="23"/>
  <c r="G104" i="23"/>
  <c r="F104" i="23"/>
  <c r="E104" i="23"/>
  <c r="H101" i="23"/>
  <c r="G101" i="23"/>
  <c r="H100" i="23"/>
  <c r="G100" i="23"/>
  <c r="F100" i="23"/>
  <c r="E100" i="23"/>
  <c r="H97" i="23"/>
  <c r="G97" i="23"/>
  <c r="G87" i="23"/>
  <c r="K87" i="23" s="1"/>
  <c r="L87" i="23" s="1"/>
  <c r="F87" i="23"/>
  <c r="E87" i="23" s="1"/>
  <c r="G86" i="23"/>
  <c r="K86" i="23" s="1"/>
  <c r="L86" i="23" s="1"/>
  <c r="F86" i="23"/>
  <c r="E86" i="23" s="1"/>
  <c r="G85" i="23"/>
  <c r="K85" i="23" s="1"/>
  <c r="L85" i="23" s="1"/>
  <c r="F85" i="23"/>
  <c r="J85" i="23" s="1"/>
  <c r="K84" i="23"/>
  <c r="J84" i="23"/>
  <c r="K80" i="23"/>
  <c r="K108" i="23" s="1"/>
  <c r="J80" i="23"/>
  <c r="I108" i="23" s="1"/>
  <c r="G79" i="23"/>
  <c r="G107" i="23" s="1"/>
  <c r="F79" i="23"/>
  <c r="F103" i="23" s="1"/>
  <c r="G78" i="23"/>
  <c r="G106" i="23" s="1"/>
  <c r="F78" i="23"/>
  <c r="E106" i="23" s="1"/>
  <c r="K77" i="23"/>
  <c r="F77" i="23"/>
  <c r="E105" i="23" s="1"/>
  <c r="BN73" i="23"/>
  <c r="Q290" i="23" s="1"/>
  <c r="BM73" i="23"/>
  <c r="P290" i="23" s="1"/>
  <c r="BL73" i="23"/>
  <c r="BK73" i="23"/>
  <c r="N290" i="23" s="1"/>
  <c r="BJ73" i="23"/>
  <c r="M290" i="23" s="1"/>
  <c r="BI73" i="23"/>
  <c r="L290" i="23" s="1"/>
  <c r="BH73" i="23"/>
  <c r="BG73" i="23"/>
  <c r="J290" i="23" s="1"/>
  <c r="I73" i="23"/>
  <c r="H73" i="23"/>
  <c r="G73" i="23"/>
  <c r="BN72" i="23"/>
  <c r="Q289" i="23" s="1"/>
  <c r="BM72" i="23"/>
  <c r="P289" i="23" s="1"/>
  <c r="BL72" i="23"/>
  <c r="O289" i="23" s="1"/>
  <c r="BK72" i="23"/>
  <c r="BJ72" i="23"/>
  <c r="M289" i="23" s="1"/>
  <c r="BI72" i="23"/>
  <c r="L289" i="23" s="1"/>
  <c r="BH72" i="23"/>
  <c r="K289" i="23" s="1"/>
  <c r="BG72" i="23"/>
  <c r="J289" i="23" s="1"/>
  <c r="I72" i="23"/>
  <c r="H72" i="23"/>
  <c r="G72" i="23"/>
  <c r="BN71" i="23"/>
  <c r="Q288" i="23" s="1"/>
  <c r="BM71" i="23"/>
  <c r="P288" i="23" s="1"/>
  <c r="BL71" i="23"/>
  <c r="O288" i="23" s="1"/>
  <c r="BK71" i="23"/>
  <c r="N288" i="23" s="1"/>
  <c r="BJ71" i="23"/>
  <c r="M288" i="23" s="1"/>
  <c r="BI71" i="23"/>
  <c r="L288" i="23" s="1"/>
  <c r="BH71" i="23"/>
  <c r="K288" i="23" s="1"/>
  <c r="BG71" i="23"/>
  <c r="J288" i="23" s="1"/>
  <c r="I71" i="23"/>
  <c r="H71" i="23"/>
  <c r="G71" i="23"/>
  <c r="BN70" i="23"/>
  <c r="Q287" i="23" s="1"/>
  <c r="BM70" i="23"/>
  <c r="BL70" i="23"/>
  <c r="O287" i="23" s="1"/>
  <c r="BK70" i="23"/>
  <c r="N287" i="23" s="1"/>
  <c r="BJ70" i="23"/>
  <c r="M287" i="23" s="1"/>
  <c r="BI70" i="23"/>
  <c r="BH70" i="23"/>
  <c r="K287" i="23" s="1"/>
  <c r="BG70" i="23"/>
  <c r="J287" i="23" s="1"/>
  <c r="I70" i="23"/>
  <c r="H70" i="23"/>
  <c r="G70" i="23"/>
  <c r="BN69" i="23"/>
  <c r="Q286" i="23" s="1"/>
  <c r="BM69" i="23"/>
  <c r="P286" i="23" s="1"/>
  <c r="BL69" i="23"/>
  <c r="BK69" i="23"/>
  <c r="N286" i="23" s="1"/>
  <c r="BJ69" i="23"/>
  <c r="M286" i="23" s="1"/>
  <c r="BI69" i="23"/>
  <c r="L286" i="23" s="1"/>
  <c r="BH69" i="23"/>
  <c r="BG69" i="23"/>
  <c r="J286" i="23" s="1"/>
  <c r="I69" i="23"/>
  <c r="H69" i="23"/>
  <c r="G69" i="23"/>
  <c r="BN68" i="23"/>
  <c r="Q285" i="23" s="1"/>
  <c r="BM68" i="23"/>
  <c r="P285" i="23" s="1"/>
  <c r="BL68" i="23"/>
  <c r="O285" i="23" s="1"/>
  <c r="BK68" i="23"/>
  <c r="BJ68" i="23"/>
  <c r="M285" i="23" s="1"/>
  <c r="BI68" i="23"/>
  <c r="L285" i="23" s="1"/>
  <c r="BH68" i="23"/>
  <c r="K285" i="23" s="1"/>
  <c r="BG68" i="23"/>
  <c r="J285" i="23" s="1"/>
  <c r="I68" i="23"/>
  <c r="H68" i="23"/>
  <c r="G68" i="23"/>
  <c r="BN67" i="23"/>
  <c r="Q284" i="23" s="1"/>
  <c r="BM67" i="23"/>
  <c r="P284" i="23" s="1"/>
  <c r="BL67" i="23"/>
  <c r="O284" i="23" s="1"/>
  <c r="BK67" i="23"/>
  <c r="N284" i="23" s="1"/>
  <c r="BJ67" i="23"/>
  <c r="BI67" i="23"/>
  <c r="L284" i="23" s="1"/>
  <c r="BH67" i="23"/>
  <c r="K284" i="23" s="1"/>
  <c r="BG67" i="23"/>
  <c r="J284" i="23" s="1"/>
  <c r="I67" i="23"/>
  <c r="H67" i="23"/>
  <c r="G67" i="23"/>
  <c r="BN66" i="23"/>
  <c r="Q283" i="23" s="1"/>
  <c r="BM66" i="23"/>
  <c r="BL66" i="23"/>
  <c r="O283" i="23" s="1"/>
  <c r="BK66" i="23"/>
  <c r="N283" i="23" s="1"/>
  <c r="BJ66" i="23"/>
  <c r="M283" i="23" s="1"/>
  <c r="BI66" i="23"/>
  <c r="BH66" i="23"/>
  <c r="K283" i="23" s="1"/>
  <c r="BG66" i="23"/>
  <c r="J283" i="23" s="1"/>
  <c r="I66" i="23"/>
  <c r="H66" i="23"/>
  <c r="G66" i="23"/>
  <c r="BN65" i="23"/>
  <c r="Q282" i="23" s="1"/>
  <c r="BM65" i="23"/>
  <c r="P282" i="23" s="1"/>
  <c r="BL65" i="23"/>
  <c r="BK65" i="23"/>
  <c r="N282" i="23" s="1"/>
  <c r="BJ65" i="23"/>
  <c r="M282" i="23" s="1"/>
  <c r="BI65" i="23"/>
  <c r="L282" i="23" s="1"/>
  <c r="BH65" i="23"/>
  <c r="BG65" i="23"/>
  <c r="J282" i="23" s="1"/>
  <c r="I65" i="23"/>
  <c r="H65" i="23"/>
  <c r="G65" i="23"/>
  <c r="BN64" i="23"/>
  <c r="Q281" i="23" s="1"/>
  <c r="BM64" i="23"/>
  <c r="P281" i="23" s="1"/>
  <c r="BL64" i="23"/>
  <c r="O281" i="23" s="1"/>
  <c r="BK64" i="23"/>
  <c r="BJ64" i="23"/>
  <c r="M281" i="23" s="1"/>
  <c r="BI64" i="23"/>
  <c r="L281" i="23" s="1"/>
  <c r="BH64" i="23"/>
  <c r="K281" i="23" s="1"/>
  <c r="BG64" i="23"/>
  <c r="J281" i="23" s="1"/>
  <c r="I64" i="23"/>
  <c r="H64" i="23"/>
  <c r="G64" i="23"/>
  <c r="H56" i="23"/>
  <c r="G56" i="23"/>
  <c r="F56" i="23"/>
  <c r="E56" i="23"/>
  <c r="H53" i="23"/>
  <c r="G53" i="23"/>
  <c r="H52" i="23"/>
  <c r="G52" i="23"/>
  <c r="F52" i="23"/>
  <c r="E52" i="23"/>
  <c r="H49" i="23"/>
  <c r="G49" i="23"/>
  <c r="H48" i="23"/>
  <c r="G48" i="23"/>
  <c r="F48" i="23"/>
  <c r="E48" i="23"/>
  <c r="H45" i="23"/>
  <c r="G45" i="23"/>
  <c r="G35" i="23"/>
  <c r="K35" i="23" s="1"/>
  <c r="L35" i="23" s="1"/>
  <c r="F35" i="23"/>
  <c r="J35" i="23" s="1"/>
  <c r="I35" i="23" s="1"/>
  <c r="G34" i="23"/>
  <c r="K34" i="23" s="1"/>
  <c r="L34" i="23" s="1"/>
  <c r="F34" i="23"/>
  <c r="J34" i="23" s="1"/>
  <c r="I34" i="23" s="1"/>
  <c r="G33" i="23"/>
  <c r="K33" i="23" s="1"/>
  <c r="L33" i="23" s="1"/>
  <c r="F33" i="23"/>
  <c r="J33" i="23" s="1"/>
  <c r="K32" i="23"/>
  <c r="J32" i="23"/>
  <c r="K28" i="23"/>
  <c r="L56" i="23" s="1"/>
  <c r="J28" i="23"/>
  <c r="I56" i="23" s="1"/>
  <c r="G27" i="23"/>
  <c r="H55" i="23" s="1"/>
  <c r="F27" i="23"/>
  <c r="J27" i="23" s="1"/>
  <c r="G26" i="23"/>
  <c r="H26" i="23" s="1"/>
  <c r="F26" i="23"/>
  <c r="F54" i="23" s="1"/>
  <c r="K25" i="23"/>
  <c r="L53" i="23" s="1"/>
  <c r="F25" i="23"/>
  <c r="F53" i="23" s="1"/>
  <c r="BN21" i="23"/>
  <c r="I290" i="23" s="1"/>
  <c r="BM21" i="23"/>
  <c r="H290" i="23" s="1"/>
  <c r="BL21" i="23"/>
  <c r="G290" i="23" s="1"/>
  <c r="BK21" i="23"/>
  <c r="F290" i="23" s="1"/>
  <c r="BJ21" i="23"/>
  <c r="E290" i="23" s="1"/>
  <c r="BI21" i="23"/>
  <c r="D290" i="23" s="1"/>
  <c r="BH21" i="23"/>
  <c r="C290" i="23" s="1"/>
  <c r="BG21" i="23"/>
  <c r="B290" i="23" s="1"/>
  <c r="I21" i="23"/>
  <c r="H21" i="23"/>
  <c r="G21" i="23"/>
  <c r="BN20" i="23"/>
  <c r="I289" i="23" s="1"/>
  <c r="BM20" i="23"/>
  <c r="H289" i="23" s="1"/>
  <c r="BL20" i="23"/>
  <c r="G289" i="23" s="1"/>
  <c r="BK20" i="23"/>
  <c r="F289" i="23" s="1"/>
  <c r="BJ20" i="23"/>
  <c r="E289" i="23" s="1"/>
  <c r="BI20" i="23"/>
  <c r="D289" i="23" s="1"/>
  <c r="BH20" i="23"/>
  <c r="C289" i="23" s="1"/>
  <c r="BG20" i="23"/>
  <c r="B289" i="23" s="1"/>
  <c r="I20" i="23"/>
  <c r="H20" i="23"/>
  <c r="G20" i="23"/>
  <c r="BN19" i="23"/>
  <c r="I288" i="23" s="1"/>
  <c r="BM19" i="23"/>
  <c r="H288" i="23" s="1"/>
  <c r="BL19" i="23"/>
  <c r="G288" i="23" s="1"/>
  <c r="BK19" i="23"/>
  <c r="F288" i="23" s="1"/>
  <c r="BJ19" i="23"/>
  <c r="E288" i="23" s="1"/>
  <c r="BI19" i="23"/>
  <c r="D288" i="23" s="1"/>
  <c r="BH19" i="23"/>
  <c r="C288" i="23" s="1"/>
  <c r="BG19" i="23"/>
  <c r="B288" i="23" s="1"/>
  <c r="I19" i="23"/>
  <c r="H19" i="23"/>
  <c r="G19" i="23"/>
  <c r="BN18" i="23"/>
  <c r="I287" i="23" s="1"/>
  <c r="BM18" i="23"/>
  <c r="H287" i="23" s="1"/>
  <c r="BL18" i="23"/>
  <c r="G287" i="23" s="1"/>
  <c r="BK18" i="23"/>
  <c r="F287" i="23" s="1"/>
  <c r="BJ18" i="23"/>
  <c r="E287" i="23" s="1"/>
  <c r="BI18" i="23"/>
  <c r="D287" i="23" s="1"/>
  <c r="BH18" i="23"/>
  <c r="C287" i="23" s="1"/>
  <c r="BG18" i="23"/>
  <c r="B287" i="23" s="1"/>
  <c r="I18" i="23"/>
  <c r="H18" i="23"/>
  <c r="G18" i="23"/>
  <c r="BN17" i="23"/>
  <c r="I286" i="23" s="1"/>
  <c r="BM17" i="23"/>
  <c r="H286" i="23" s="1"/>
  <c r="BL17" i="23"/>
  <c r="G286" i="23" s="1"/>
  <c r="BK17" i="23"/>
  <c r="F286" i="23" s="1"/>
  <c r="BJ17" i="23"/>
  <c r="E286" i="23" s="1"/>
  <c r="BI17" i="23"/>
  <c r="D286" i="23" s="1"/>
  <c r="BH17" i="23"/>
  <c r="C286" i="23" s="1"/>
  <c r="BG17" i="23"/>
  <c r="B286" i="23" s="1"/>
  <c r="I17" i="23"/>
  <c r="H17" i="23"/>
  <c r="G17" i="23"/>
  <c r="BN16" i="23"/>
  <c r="I285" i="23" s="1"/>
  <c r="BM16" i="23"/>
  <c r="H285" i="23" s="1"/>
  <c r="BL16" i="23"/>
  <c r="G285" i="23" s="1"/>
  <c r="BK16" i="23"/>
  <c r="F285" i="23" s="1"/>
  <c r="BJ16" i="23"/>
  <c r="E285" i="23" s="1"/>
  <c r="BI16" i="23"/>
  <c r="D285" i="23" s="1"/>
  <c r="BH16" i="23"/>
  <c r="C285" i="23" s="1"/>
  <c r="BG16" i="23"/>
  <c r="B285" i="23" s="1"/>
  <c r="I16" i="23"/>
  <c r="H16" i="23"/>
  <c r="G16" i="23"/>
  <c r="BN15" i="23"/>
  <c r="I284" i="23" s="1"/>
  <c r="BM15" i="23"/>
  <c r="H284" i="23" s="1"/>
  <c r="BL15" i="23"/>
  <c r="G284" i="23" s="1"/>
  <c r="BK15" i="23"/>
  <c r="F284" i="23" s="1"/>
  <c r="BJ15" i="23"/>
  <c r="E284" i="23" s="1"/>
  <c r="BI15" i="23"/>
  <c r="D284" i="23" s="1"/>
  <c r="BH15" i="23"/>
  <c r="C284" i="23" s="1"/>
  <c r="BG15" i="23"/>
  <c r="B284" i="23" s="1"/>
  <c r="I15" i="23"/>
  <c r="H15" i="23"/>
  <c r="G15" i="23"/>
  <c r="BN14" i="23"/>
  <c r="I283" i="23" s="1"/>
  <c r="BM14" i="23"/>
  <c r="H283" i="23" s="1"/>
  <c r="BL14" i="23"/>
  <c r="G283" i="23" s="1"/>
  <c r="BK14" i="23"/>
  <c r="F283" i="23" s="1"/>
  <c r="BJ14" i="23"/>
  <c r="E283" i="23" s="1"/>
  <c r="BI14" i="23"/>
  <c r="D283" i="23" s="1"/>
  <c r="BH14" i="23"/>
  <c r="C283" i="23" s="1"/>
  <c r="BG14" i="23"/>
  <c r="B283" i="23" s="1"/>
  <c r="I14" i="23"/>
  <c r="H14" i="23"/>
  <c r="G14" i="23"/>
  <c r="BN13" i="23"/>
  <c r="I282" i="23" s="1"/>
  <c r="BM13" i="23"/>
  <c r="H282" i="23" s="1"/>
  <c r="BL13" i="23"/>
  <c r="G282" i="23" s="1"/>
  <c r="BK13" i="23"/>
  <c r="F282" i="23" s="1"/>
  <c r="BJ13" i="23"/>
  <c r="E282" i="23" s="1"/>
  <c r="BI13" i="23"/>
  <c r="D282" i="23" s="1"/>
  <c r="BH13" i="23"/>
  <c r="C282" i="23" s="1"/>
  <c r="BG13" i="23"/>
  <c r="B282" i="23" s="1"/>
  <c r="I13" i="23"/>
  <c r="H13" i="23"/>
  <c r="G13" i="23"/>
  <c r="BN12" i="23"/>
  <c r="I281" i="23" s="1"/>
  <c r="BM12" i="23"/>
  <c r="H281" i="23" s="1"/>
  <c r="BL12" i="23"/>
  <c r="G281" i="23" s="1"/>
  <c r="BK12" i="23"/>
  <c r="F281" i="23" s="1"/>
  <c r="BJ12" i="23"/>
  <c r="E281" i="23" s="1"/>
  <c r="BI12" i="23"/>
  <c r="D281" i="23" s="1"/>
  <c r="BH12" i="23"/>
  <c r="C281" i="23" s="1"/>
  <c r="BG12" i="23"/>
  <c r="B281" i="23" s="1"/>
  <c r="I12" i="23"/>
  <c r="H12" i="23"/>
  <c r="G12" i="23"/>
  <c r="C241" i="23" l="1"/>
  <c r="C243" i="23"/>
  <c r="C245" i="23"/>
  <c r="C247" i="23"/>
  <c r="C249" i="23"/>
  <c r="B262" i="23"/>
  <c r="B245" i="23"/>
  <c r="D258" i="23" s="1"/>
  <c r="D271" i="23" s="1"/>
  <c r="D248" i="23"/>
  <c r="D257" i="23"/>
  <c r="D270" i="23" s="1"/>
  <c r="S298" i="23" s="1"/>
  <c r="D255" i="23"/>
  <c r="D268" i="23" s="1"/>
  <c r="P296" i="23"/>
  <c r="D262" i="23"/>
  <c r="L296" i="23"/>
  <c r="C262" i="23"/>
  <c r="C242" i="23"/>
  <c r="C255" i="23" s="1"/>
  <c r="C244" i="23"/>
  <c r="C257" i="23" s="1"/>
  <c r="C246" i="23"/>
  <c r="C259" i="23" s="1"/>
  <c r="C248" i="23"/>
  <c r="C250" i="23"/>
  <c r="C263" i="23" s="1"/>
  <c r="B241" i="23"/>
  <c r="B254" i="23" s="1"/>
  <c r="B243" i="23"/>
  <c r="B256" i="23" s="1"/>
  <c r="B247" i="23"/>
  <c r="J130" i="24"/>
  <c r="BR125" i="24"/>
  <c r="BR13" i="24"/>
  <c r="E34" i="24"/>
  <c r="BR68" i="24"/>
  <c r="BQ70" i="24"/>
  <c r="BP20" i="24"/>
  <c r="L97" i="24"/>
  <c r="J117" i="24"/>
  <c r="J118" i="24"/>
  <c r="BP118" i="24"/>
  <c r="J123" i="24"/>
  <c r="BR116" i="24"/>
  <c r="BR120" i="24"/>
  <c r="E150" i="24"/>
  <c r="BR21" i="24"/>
  <c r="BO15" i="24"/>
  <c r="BQ15" i="24"/>
  <c r="J18" i="24"/>
  <c r="J21" i="24"/>
  <c r="BR64" i="24"/>
  <c r="BP65" i="24"/>
  <c r="J73" i="24"/>
  <c r="E158" i="24"/>
  <c r="O169" i="24"/>
  <c r="BP16" i="24"/>
  <c r="E49" i="24"/>
  <c r="BP71" i="24"/>
  <c r="BP125" i="24"/>
  <c r="J131" i="24"/>
  <c r="I131" i="24" s="1"/>
  <c r="I151" i="24" s="1"/>
  <c r="J12" i="24"/>
  <c r="BP12" i="24"/>
  <c r="J66" i="24"/>
  <c r="J67" i="24"/>
  <c r="BP67" i="24"/>
  <c r="J116" i="24"/>
  <c r="F150" i="24"/>
  <c r="J156" i="24"/>
  <c r="F158" i="24"/>
  <c r="O171" i="24"/>
  <c r="I156" i="24"/>
  <c r="J14" i="24"/>
  <c r="BQ17" i="24"/>
  <c r="K53" i="24"/>
  <c r="J65" i="24"/>
  <c r="J69" i="24"/>
  <c r="BP70" i="24"/>
  <c r="BQ72" i="24"/>
  <c r="J119" i="24"/>
  <c r="BP121" i="24"/>
  <c r="I152" i="24"/>
  <c r="E154" i="24"/>
  <c r="I160" i="24"/>
  <c r="S173" i="24"/>
  <c r="BQ21" i="24"/>
  <c r="E27" i="24"/>
  <c r="E55" i="24" s="1"/>
  <c r="K45" i="24"/>
  <c r="J64" i="24"/>
  <c r="J152" i="24"/>
  <c r="H99" i="24"/>
  <c r="F102" i="24"/>
  <c r="W166" i="24"/>
  <c r="BR18" i="24"/>
  <c r="K52" i="24"/>
  <c r="BR73" i="24"/>
  <c r="K79" i="24"/>
  <c r="K99" i="24" s="1"/>
  <c r="H103" i="24"/>
  <c r="BP122" i="24"/>
  <c r="BP123" i="24"/>
  <c r="H137" i="24"/>
  <c r="H139" i="24"/>
  <c r="O167" i="24"/>
  <c r="S169" i="24"/>
  <c r="G172" i="24"/>
  <c r="W173" i="24"/>
  <c r="L307" i="24"/>
  <c r="H107" i="24"/>
  <c r="BQ13" i="24"/>
  <c r="BP14" i="24"/>
  <c r="J17" i="24"/>
  <c r="J19" i="24"/>
  <c r="J20" i="24"/>
  <c r="J25" i="24"/>
  <c r="J53" i="24" s="1"/>
  <c r="H26" i="24"/>
  <c r="H54" i="24" s="1"/>
  <c r="H33" i="24"/>
  <c r="E45" i="24"/>
  <c r="G46" i="24"/>
  <c r="E53" i="24"/>
  <c r="G54" i="24"/>
  <c r="BQ68" i="24"/>
  <c r="BR69" i="24"/>
  <c r="J72" i="24"/>
  <c r="J78" i="24"/>
  <c r="J106" i="24" s="1"/>
  <c r="H87" i="24"/>
  <c r="E98" i="24"/>
  <c r="I100" i="24"/>
  <c r="L101" i="24"/>
  <c r="L105" i="24"/>
  <c r="J108" i="24"/>
  <c r="BP116" i="24"/>
  <c r="BP119" i="24"/>
  <c r="J122" i="24"/>
  <c r="J124" i="24"/>
  <c r="J125" i="24"/>
  <c r="E131" i="24"/>
  <c r="E159" i="24" s="1"/>
  <c r="K131" i="24"/>
  <c r="L155" i="24" s="1"/>
  <c r="H138" i="24"/>
  <c r="F151" i="24"/>
  <c r="F155" i="24"/>
  <c r="O165" i="24"/>
  <c r="G168" i="24"/>
  <c r="W169" i="24"/>
  <c r="W172" i="24"/>
  <c r="G174" i="24"/>
  <c r="Q313" i="24"/>
  <c r="J13" i="24"/>
  <c r="J15" i="24"/>
  <c r="J16" i="24"/>
  <c r="BR17" i="24"/>
  <c r="BP19" i="24"/>
  <c r="K26" i="24"/>
  <c r="K54" i="24" s="1"/>
  <c r="J27" i="24"/>
  <c r="J55" i="24" s="1"/>
  <c r="E35" i="24"/>
  <c r="K48" i="24"/>
  <c r="K49" i="24"/>
  <c r="K56" i="24"/>
  <c r="BQ64" i="24"/>
  <c r="J68" i="24"/>
  <c r="J70" i="24"/>
  <c r="J71" i="24"/>
  <c r="BR72" i="24"/>
  <c r="H86" i="24"/>
  <c r="F98" i="24"/>
  <c r="J100" i="24"/>
  <c r="E102" i="24"/>
  <c r="J104" i="24"/>
  <c r="F106" i="24"/>
  <c r="J120" i="24"/>
  <c r="J121" i="24"/>
  <c r="H151" i="24"/>
  <c r="H155" i="24"/>
  <c r="H159" i="24"/>
  <c r="G166" i="24"/>
  <c r="W168" i="24"/>
  <c r="G170" i="24"/>
  <c r="O173" i="24"/>
  <c r="C180" i="24"/>
  <c r="K51" i="24"/>
  <c r="K55" i="24"/>
  <c r="K47" i="24"/>
  <c r="L55" i="24"/>
  <c r="L51" i="24"/>
  <c r="L47" i="24"/>
  <c r="V306" i="24"/>
  <c r="V166" i="24"/>
  <c r="W310" i="24"/>
  <c r="BQ121" i="24"/>
  <c r="X313" i="24"/>
  <c r="X173" i="24"/>
  <c r="BR124" i="24"/>
  <c r="G158" i="24"/>
  <c r="G154" i="24"/>
  <c r="G150" i="24"/>
  <c r="K130" i="24"/>
  <c r="J138" i="24"/>
  <c r="I138" i="24" s="1"/>
  <c r="D305" i="24"/>
  <c r="D165" i="24"/>
  <c r="H305" i="24"/>
  <c r="H165" i="24"/>
  <c r="BQ12" i="24"/>
  <c r="E306" i="24"/>
  <c r="E166" i="24"/>
  <c r="I306" i="24"/>
  <c r="I166" i="24"/>
  <c r="B307" i="24"/>
  <c r="B167" i="24"/>
  <c r="F307" i="24"/>
  <c r="F167" i="24"/>
  <c r="BO14" i="24"/>
  <c r="BP15" i="24"/>
  <c r="D309" i="24"/>
  <c r="D169" i="24"/>
  <c r="H309" i="24"/>
  <c r="H169" i="24"/>
  <c r="BQ16" i="24"/>
  <c r="E310" i="24"/>
  <c r="E170" i="24"/>
  <c r="I310" i="24"/>
  <c r="I170" i="24"/>
  <c r="B311" i="24"/>
  <c r="B171" i="24"/>
  <c r="F311" i="24"/>
  <c r="F171" i="24"/>
  <c r="BO18" i="24"/>
  <c r="D313" i="24"/>
  <c r="D173" i="24"/>
  <c r="H313" i="24"/>
  <c r="H173" i="24"/>
  <c r="BQ20" i="24"/>
  <c r="E314" i="24"/>
  <c r="E174" i="24"/>
  <c r="I174" i="24"/>
  <c r="I314" i="24"/>
  <c r="H34" i="24"/>
  <c r="H35" i="24"/>
  <c r="L45" i="24"/>
  <c r="H47" i="24"/>
  <c r="L48" i="24"/>
  <c r="L49" i="24"/>
  <c r="H51" i="24"/>
  <c r="L52" i="24"/>
  <c r="H55" i="24"/>
  <c r="M305" i="24"/>
  <c r="M165" i="24"/>
  <c r="Q305" i="24"/>
  <c r="Q165" i="24"/>
  <c r="J306" i="24"/>
  <c r="J166" i="24"/>
  <c r="N306" i="24"/>
  <c r="N166" i="24"/>
  <c r="BO65" i="24"/>
  <c r="BP66" i="24"/>
  <c r="L308" i="24"/>
  <c r="L168" i="24"/>
  <c r="P308" i="24"/>
  <c r="P168" i="24"/>
  <c r="BQ67" i="24"/>
  <c r="M309" i="24"/>
  <c r="M169" i="24"/>
  <c r="Q309" i="24"/>
  <c r="Q169" i="24"/>
  <c r="J310" i="24"/>
  <c r="J170" i="24"/>
  <c r="N310" i="24"/>
  <c r="N170" i="24"/>
  <c r="BO69" i="24"/>
  <c r="L312" i="24"/>
  <c r="L172" i="24"/>
  <c r="P312" i="24"/>
  <c r="P172" i="24"/>
  <c r="BQ71" i="24"/>
  <c r="M313" i="24"/>
  <c r="M173" i="24"/>
  <c r="J314" i="24"/>
  <c r="J174" i="24"/>
  <c r="N314" i="24"/>
  <c r="N174" i="24"/>
  <c r="BO73" i="24"/>
  <c r="J77" i="24"/>
  <c r="H78" i="24"/>
  <c r="H102" i="24" s="1"/>
  <c r="E79" i="24"/>
  <c r="J79" i="24"/>
  <c r="H85" i="24"/>
  <c r="E86" i="24"/>
  <c r="E87" i="24"/>
  <c r="E97" i="24"/>
  <c r="E101" i="24"/>
  <c r="I104" i="24"/>
  <c r="E105" i="24"/>
  <c r="R305" i="24"/>
  <c r="R165" i="24"/>
  <c r="V305" i="24"/>
  <c r="V165" i="24"/>
  <c r="BO116" i="24"/>
  <c r="BP117" i="24"/>
  <c r="T307" i="24"/>
  <c r="T167" i="24"/>
  <c r="X307" i="24"/>
  <c r="X167" i="24"/>
  <c r="BR118" i="24"/>
  <c r="BQ118" i="24"/>
  <c r="U309" i="24"/>
  <c r="U169" i="24"/>
  <c r="Y309" i="24"/>
  <c r="Y169" i="24"/>
  <c r="BR121" i="24"/>
  <c r="T311" i="24"/>
  <c r="T171" i="24"/>
  <c r="X311" i="24"/>
  <c r="X171" i="24"/>
  <c r="BR122" i="24"/>
  <c r="BQ122" i="24"/>
  <c r="U313" i="24"/>
  <c r="U173" i="24"/>
  <c r="Y313" i="24"/>
  <c r="Y173" i="24"/>
  <c r="J129" i="24"/>
  <c r="H130" i="24"/>
  <c r="H150" i="24" s="1"/>
  <c r="E139" i="24"/>
  <c r="F153" i="24"/>
  <c r="F157" i="24"/>
  <c r="C165" i="24"/>
  <c r="S165" i="24"/>
  <c r="K166" i="24"/>
  <c r="C167" i="24"/>
  <c r="S167" i="24"/>
  <c r="K168" i="24"/>
  <c r="C169" i="24"/>
  <c r="K170" i="24"/>
  <c r="C171" i="24"/>
  <c r="S171" i="24"/>
  <c r="K172" i="24"/>
  <c r="C173" i="24"/>
  <c r="K174" i="24"/>
  <c r="L305" i="24"/>
  <c r="D308" i="24"/>
  <c r="E311" i="24"/>
  <c r="E171" i="24"/>
  <c r="F312" i="24"/>
  <c r="F172" i="24"/>
  <c r="H314" i="24"/>
  <c r="H174" i="24"/>
  <c r="P305" i="24"/>
  <c r="P165" i="24"/>
  <c r="N307" i="24"/>
  <c r="N167" i="24"/>
  <c r="L309" i="24"/>
  <c r="L169" i="24"/>
  <c r="P309" i="24"/>
  <c r="P169" i="24"/>
  <c r="M310" i="24"/>
  <c r="M170" i="24"/>
  <c r="J311" i="24"/>
  <c r="J171" i="24"/>
  <c r="BO70" i="24"/>
  <c r="P313" i="24"/>
  <c r="P173" i="24"/>
  <c r="M314" i="24"/>
  <c r="M174" i="24"/>
  <c r="L100" i="24"/>
  <c r="U308" i="24"/>
  <c r="U168" i="24"/>
  <c r="T309" i="24"/>
  <c r="T169" i="24"/>
  <c r="BP120" i="24"/>
  <c r="Y312" i="24"/>
  <c r="Y172" i="24"/>
  <c r="E305" i="24"/>
  <c r="E165" i="24"/>
  <c r="I305" i="24"/>
  <c r="I165" i="24"/>
  <c r="BR12" i="24"/>
  <c r="B306" i="24"/>
  <c r="B166" i="24"/>
  <c r="F306" i="24"/>
  <c r="F166" i="24"/>
  <c r="BO13" i="24"/>
  <c r="H308" i="24"/>
  <c r="H168" i="24"/>
  <c r="E309" i="24"/>
  <c r="E169" i="24"/>
  <c r="I309" i="24"/>
  <c r="I169" i="24"/>
  <c r="BR16" i="24"/>
  <c r="B310" i="24"/>
  <c r="B170" i="24"/>
  <c r="F310" i="24"/>
  <c r="F170" i="24"/>
  <c r="BO17" i="24"/>
  <c r="BP18" i="24"/>
  <c r="D312" i="24"/>
  <c r="D172" i="24"/>
  <c r="H312" i="24"/>
  <c r="H172" i="24"/>
  <c r="BQ19" i="24"/>
  <c r="E313" i="24"/>
  <c r="E173" i="24"/>
  <c r="I313" i="24"/>
  <c r="I173" i="24"/>
  <c r="BR20" i="24"/>
  <c r="B314" i="24"/>
  <c r="B174" i="24"/>
  <c r="F314" i="24"/>
  <c r="F174" i="24"/>
  <c r="BO21" i="24"/>
  <c r="E46" i="24"/>
  <c r="I48" i="24"/>
  <c r="E50" i="24"/>
  <c r="I52" i="24"/>
  <c r="E54" i="24"/>
  <c r="I56" i="24"/>
  <c r="J305" i="24"/>
  <c r="J165" i="24"/>
  <c r="N305" i="24"/>
  <c r="N165" i="24"/>
  <c r="BO64" i="24"/>
  <c r="P307" i="24"/>
  <c r="P167" i="24"/>
  <c r="BQ66" i="24"/>
  <c r="M308" i="24"/>
  <c r="M168" i="24"/>
  <c r="Q308" i="24"/>
  <c r="Q168" i="24"/>
  <c r="BR67" i="24"/>
  <c r="J309" i="24"/>
  <c r="J169" i="24"/>
  <c r="N169" i="24"/>
  <c r="N309" i="24"/>
  <c r="BO68" i="24"/>
  <c r="BP69" i="24"/>
  <c r="L311" i="24"/>
  <c r="L171" i="24"/>
  <c r="P311" i="24"/>
  <c r="P171" i="24"/>
  <c r="M312" i="24"/>
  <c r="M172" i="24"/>
  <c r="Q312" i="24"/>
  <c r="Q172" i="24"/>
  <c r="BR71" i="24"/>
  <c r="J313" i="24"/>
  <c r="J173" i="24"/>
  <c r="N313" i="24"/>
  <c r="N173" i="24"/>
  <c r="BO72" i="24"/>
  <c r="BP73" i="24"/>
  <c r="F97" i="24"/>
  <c r="F99" i="24"/>
  <c r="F101" i="24"/>
  <c r="F103" i="24"/>
  <c r="X306" i="24"/>
  <c r="X166" i="24"/>
  <c r="BQ117" i="24"/>
  <c r="U307" i="24"/>
  <c r="U167" i="24"/>
  <c r="Y307" i="24"/>
  <c r="Y167" i="24"/>
  <c r="S308" i="24"/>
  <c r="BO119" i="24"/>
  <c r="BQ119" i="24"/>
  <c r="R309" i="24"/>
  <c r="R169" i="24"/>
  <c r="V169" i="24"/>
  <c r="V309" i="24"/>
  <c r="BO120" i="24"/>
  <c r="U310" i="24"/>
  <c r="U170" i="24"/>
  <c r="S312" i="24"/>
  <c r="BO123" i="24"/>
  <c r="BQ123" i="24"/>
  <c r="R313" i="24"/>
  <c r="R173" i="24"/>
  <c r="V313" i="24"/>
  <c r="V173" i="24"/>
  <c r="BO124" i="24"/>
  <c r="U314" i="24"/>
  <c r="U174" i="24"/>
  <c r="Y314" i="24"/>
  <c r="Y174" i="24"/>
  <c r="L157" i="24"/>
  <c r="L153" i="24"/>
  <c r="L149" i="24"/>
  <c r="K157" i="24"/>
  <c r="K153" i="24"/>
  <c r="K149" i="24"/>
  <c r="I158" i="24"/>
  <c r="I154" i="24"/>
  <c r="I150" i="24"/>
  <c r="J155" i="24"/>
  <c r="G165" i="24"/>
  <c r="W165" i="24"/>
  <c r="O166" i="24"/>
  <c r="G167" i="24"/>
  <c r="W167" i="24"/>
  <c r="O168" i="24"/>
  <c r="G169" i="24"/>
  <c r="O170" i="24"/>
  <c r="G171" i="24"/>
  <c r="W171" i="24"/>
  <c r="O172" i="24"/>
  <c r="G173" i="24"/>
  <c r="O174" i="24"/>
  <c r="D306" i="24"/>
  <c r="F309" i="24"/>
  <c r="H306" i="24"/>
  <c r="H166" i="24"/>
  <c r="E307" i="24"/>
  <c r="E167" i="24"/>
  <c r="I307" i="24"/>
  <c r="I167" i="24"/>
  <c r="BR14" i="24"/>
  <c r="B308" i="24"/>
  <c r="B168" i="24"/>
  <c r="F308" i="24"/>
  <c r="F168" i="24"/>
  <c r="D310" i="24"/>
  <c r="D170" i="24"/>
  <c r="H310" i="24"/>
  <c r="H170" i="24"/>
  <c r="I311" i="24"/>
  <c r="I171" i="24"/>
  <c r="B312" i="24"/>
  <c r="B172" i="24"/>
  <c r="BO19" i="24"/>
  <c r="D314" i="24"/>
  <c r="D174" i="24"/>
  <c r="G47" i="24"/>
  <c r="G51" i="24"/>
  <c r="G55" i="24"/>
  <c r="M306" i="24"/>
  <c r="M166" i="24"/>
  <c r="Q306" i="24"/>
  <c r="Q166" i="24"/>
  <c r="BR65" i="24"/>
  <c r="J307" i="24"/>
  <c r="J167" i="24"/>
  <c r="BO66" i="24"/>
  <c r="Q310" i="24"/>
  <c r="Q170" i="24"/>
  <c r="N311" i="24"/>
  <c r="N171" i="24"/>
  <c r="L313" i="24"/>
  <c r="L173" i="24"/>
  <c r="Q314" i="24"/>
  <c r="Q174" i="24"/>
  <c r="L104" i="24"/>
  <c r="L108" i="24"/>
  <c r="U305" i="24"/>
  <c r="U165" i="24"/>
  <c r="Y305" i="24"/>
  <c r="Y165" i="24"/>
  <c r="R306" i="24"/>
  <c r="R166" i="24"/>
  <c r="BO117" i="24"/>
  <c r="Y308" i="24"/>
  <c r="Y168" i="24"/>
  <c r="X309" i="24"/>
  <c r="X169" i="24"/>
  <c r="U312" i="24"/>
  <c r="U172" i="24"/>
  <c r="T313" i="24"/>
  <c r="T173" i="24"/>
  <c r="BP124" i="24"/>
  <c r="W314" i="24"/>
  <c r="BQ125" i="24"/>
  <c r="BT125" i="24" s="1"/>
  <c r="E157" i="24"/>
  <c r="E153" i="24"/>
  <c r="W170" i="24"/>
  <c r="B305" i="24"/>
  <c r="B165" i="24"/>
  <c r="F305" i="24"/>
  <c r="F165" i="24"/>
  <c r="BO12" i="24"/>
  <c r="BP13" i="24"/>
  <c r="D307" i="24"/>
  <c r="D167" i="24"/>
  <c r="H307" i="24"/>
  <c r="H167" i="24"/>
  <c r="BQ14" i="24"/>
  <c r="E308" i="24"/>
  <c r="E168" i="24"/>
  <c r="I308" i="24"/>
  <c r="I168" i="24"/>
  <c r="BR15" i="24"/>
  <c r="B309" i="24"/>
  <c r="B169" i="24"/>
  <c r="BO16" i="24"/>
  <c r="BP17" i="24"/>
  <c r="D311" i="24"/>
  <c r="D171" i="24"/>
  <c r="H311" i="24"/>
  <c r="H171" i="24"/>
  <c r="BQ18" i="24"/>
  <c r="E312" i="24"/>
  <c r="E172" i="24"/>
  <c r="I312" i="24"/>
  <c r="I172" i="24"/>
  <c r="BR19" i="24"/>
  <c r="B313" i="24"/>
  <c r="B173" i="24"/>
  <c r="F313" i="24"/>
  <c r="F173" i="24"/>
  <c r="BO20" i="24"/>
  <c r="BS20" i="24" s="1"/>
  <c r="BP21" i="24"/>
  <c r="J26" i="24"/>
  <c r="F45" i="24"/>
  <c r="J45" i="24"/>
  <c r="F46" i="24"/>
  <c r="F47" i="24"/>
  <c r="J48" i="24"/>
  <c r="F49" i="24"/>
  <c r="F50" i="24"/>
  <c r="F51" i="24"/>
  <c r="J52" i="24"/>
  <c r="BP64" i="24"/>
  <c r="L306" i="24"/>
  <c r="L166" i="24"/>
  <c r="P306" i="24"/>
  <c r="P166" i="24"/>
  <c r="BQ65" i="24"/>
  <c r="M307" i="24"/>
  <c r="M167" i="24"/>
  <c r="Q307" i="24"/>
  <c r="Q167" i="24"/>
  <c r="BR66" i="24"/>
  <c r="J308" i="24"/>
  <c r="J168" i="24"/>
  <c r="N168" i="24"/>
  <c r="N308" i="24"/>
  <c r="BO67" i="24"/>
  <c r="BS67" i="24" s="1"/>
  <c r="BP68" i="24"/>
  <c r="L310" i="24"/>
  <c r="L170" i="24"/>
  <c r="P310" i="24"/>
  <c r="P170" i="24"/>
  <c r="BQ69" i="24"/>
  <c r="M311" i="24"/>
  <c r="M171" i="24"/>
  <c r="Q171" i="24"/>
  <c r="Q311" i="24"/>
  <c r="BR70" i="24"/>
  <c r="BT70" i="24" s="1"/>
  <c r="J312" i="24"/>
  <c r="J172" i="24"/>
  <c r="N312" i="24"/>
  <c r="N172" i="24"/>
  <c r="BO71" i="24"/>
  <c r="BP72" i="24"/>
  <c r="L314" i="24"/>
  <c r="L174" i="24"/>
  <c r="P314" i="24"/>
  <c r="P174" i="24"/>
  <c r="BQ73" i="24"/>
  <c r="K78" i="24"/>
  <c r="K97" i="24"/>
  <c r="G98" i="24"/>
  <c r="G99" i="24"/>
  <c r="K100" i="24"/>
  <c r="K101" i="24"/>
  <c r="G102" i="24"/>
  <c r="G103" i="24"/>
  <c r="K104" i="24"/>
  <c r="T305" i="24"/>
  <c r="T165" i="24"/>
  <c r="X305" i="24"/>
  <c r="X165" i="24"/>
  <c r="BQ116" i="24"/>
  <c r="U306" i="24"/>
  <c r="U166" i="24"/>
  <c r="Y306" i="24"/>
  <c r="Y166" i="24"/>
  <c r="BR117" i="24"/>
  <c r="R307" i="24"/>
  <c r="R167" i="24"/>
  <c r="V307" i="24"/>
  <c r="V167" i="24"/>
  <c r="BO118" i="24"/>
  <c r="T308" i="24"/>
  <c r="T168" i="24"/>
  <c r="X308" i="24"/>
  <c r="X168" i="24"/>
  <c r="BR119" i="24"/>
  <c r="BQ120" i="24"/>
  <c r="R310" i="24"/>
  <c r="R170" i="24"/>
  <c r="V310" i="24"/>
  <c r="V170" i="24"/>
  <c r="BO121" i="24"/>
  <c r="R311" i="24"/>
  <c r="R171" i="24"/>
  <c r="V311" i="24"/>
  <c r="V171" i="24"/>
  <c r="BO122" i="24"/>
  <c r="T312" i="24"/>
  <c r="T172" i="24"/>
  <c r="X312" i="24"/>
  <c r="X172" i="24"/>
  <c r="BR123" i="24"/>
  <c r="BQ124" i="24"/>
  <c r="R314" i="24"/>
  <c r="R174" i="24"/>
  <c r="V314" i="24"/>
  <c r="V174" i="24"/>
  <c r="BO125" i="24"/>
  <c r="L160" i="24"/>
  <c r="L156" i="24"/>
  <c r="L152" i="24"/>
  <c r="K160" i="24"/>
  <c r="K156" i="24"/>
  <c r="K152" i="24"/>
  <c r="E149" i="24"/>
  <c r="J150" i="24"/>
  <c r="J154" i="24"/>
  <c r="J158" i="24"/>
  <c r="K165" i="24"/>
  <c r="C166" i="24"/>
  <c r="S166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T306" i="24"/>
  <c r="Y310" i="24"/>
  <c r="G151" i="24"/>
  <c r="G155" i="24"/>
  <c r="T170" i="24"/>
  <c r="X170" i="24"/>
  <c r="T174" i="24"/>
  <c r="X174" i="24"/>
  <c r="C181" i="24"/>
  <c r="U171" i="24"/>
  <c r="Y171" i="24"/>
  <c r="R168" i="24"/>
  <c r="V168" i="24"/>
  <c r="R172" i="24"/>
  <c r="V172" i="24"/>
  <c r="C172" i="23"/>
  <c r="B267" i="23" s="1"/>
  <c r="F295" i="23" s="1"/>
  <c r="H130" i="23"/>
  <c r="H158" i="23" s="1"/>
  <c r="J68" i="23"/>
  <c r="J69" i="23"/>
  <c r="H86" i="23"/>
  <c r="J122" i="23"/>
  <c r="F149" i="23"/>
  <c r="J26" i="23"/>
  <c r="I50" i="23" s="1"/>
  <c r="BP15" i="23"/>
  <c r="J17" i="23"/>
  <c r="J21" i="23"/>
  <c r="L49" i="23"/>
  <c r="J71" i="23"/>
  <c r="J123" i="23"/>
  <c r="C173" i="23"/>
  <c r="E153" i="23"/>
  <c r="H47" i="23"/>
  <c r="H51" i="23"/>
  <c r="J67" i="23"/>
  <c r="J118" i="23"/>
  <c r="J12" i="23"/>
  <c r="J15" i="23"/>
  <c r="J20" i="23"/>
  <c r="H35" i="23"/>
  <c r="J78" i="23"/>
  <c r="I106" i="23" s="1"/>
  <c r="F106" i="23"/>
  <c r="J129" i="23"/>
  <c r="I157" i="23" s="1"/>
  <c r="J160" i="23"/>
  <c r="J13" i="23"/>
  <c r="H34" i="23"/>
  <c r="H85" i="23"/>
  <c r="E98" i="23"/>
  <c r="F105" i="23"/>
  <c r="H137" i="23"/>
  <c r="F150" i="23"/>
  <c r="K156" i="23"/>
  <c r="C166" i="23"/>
  <c r="C167" i="23" s="1"/>
  <c r="J100" i="23"/>
  <c r="BQ12" i="23"/>
  <c r="J16" i="23"/>
  <c r="J18" i="23"/>
  <c r="J19" i="23"/>
  <c r="L45" i="23"/>
  <c r="J64" i="23"/>
  <c r="J65" i="23"/>
  <c r="BP73" i="23"/>
  <c r="H87" i="23"/>
  <c r="F101" i="23"/>
  <c r="F102" i="23"/>
  <c r="J108" i="23"/>
  <c r="BP116" i="23"/>
  <c r="BQ117" i="23"/>
  <c r="BP120" i="23"/>
  <c r="BQ121" i="23"/>
  <c r="J130" i="23"/>
  <c r="J158" i="23" s="1"/>
  <c r="K131" i="23"/>
  <c r="L159" i="23" s="1"/>
  <c r="G150" i="23"/>
  <c r="F153" i="23"/>
  <c r="F154" i="23"/>
  <c r="E157" i="23"/>
  <c r="K160" i="23"/>
  <c r="J116" i="23"/>
  <c r="J117" i="23"/>
  <c r="BQ118" i="23"/>
  <c r="J120" i="23"/>
  <c r="BQ122" i="23"/>
  <c r="BP124" i="23"/>
  <c r="BP125" i="23"/>
  <c r="K130" i="23"/>
  <c r="K150" i="23" s="1"/>
  <c r="J152" i="23"/>
  <c r="F157" i="23"/>
  <c r="F158" i="23"/>
  <c r="BQ16" i="23"/>
  <c r="J14" i="23"/>
  <c r="E46" i="23"/>
  <c r="I48" i="23"/>
  <c r="BP69" i="23"/>
  <c r="BQ70" i="23"/>
  <c r="J73" i="23"/>
  <c r="F97" i="23"/>
  <c r="BP19" i="23"/>
  <c r="BQ20" i="23"/>
  <c r="K27" i="23"/>
  <c r="K55" i="23" s="1"/>
  <c r="E34" i="23"/>
  <c r="E35" i="23"/>
  <c r="F46" i="23"/>
  <c r="J48" i="23"/>
  <c r="F50" i="23"/>
  <c r="BP65" i="23"/>
  <c r="BQ66" i="23"/>
  <c r="J72" i="23"/>
  <c r="J77" i="23"/>
  <c r="I101" i="23" s="1"/>
  <c r="H78" i="23"/>
  <c r="H106" i="23" s="1"/>
  <c r="K79" i="23"/>
  <c r="L107" i="23" s="1"/>
  <c r="F98" i="23"/>
  <c r="J104" i="23"/>
  <c r="J119" i="23"/>
  <c r="BR122" i="23"/>
  <c r="J125" i="23"/>
  <c r="K152" i="23"/>
  <c r="J156" i="23"/>
  <c r="G158" i="23"/>
  <c r="C268" i="23"/>
  <c r="J296" i="23" s="1"/>
  <c r="J55" i="23"/>
  <c r="J51" i="23"/>
  <c r="J47" i="23"/>
  <c r="I27" i="23"/>
  <c r="BO14" i="23"/>
  <c r="BO18" i="23"/>
  <c r="BR21" i="23"/>
  <c r="K105" i="23"/>
  <c r="K101" i="23"/>
  <c r="K97" i="23"/>
  <c r="L105" i="23"/>
  <c r="L101" i="23"/>
  <c r="L97" i="23"/>
  <c r="W281" i="23"/>
  <c r="BQ116" i="23"/>
  <c r="V288" i="23"/>
  <c r="BQ123" i="23"/>
  <c r="BR12" i="23"/>
  <c r="BO13" i="23"/>
  <c r="BP14" i="23"/>
  <c r="BQ15" i="23"/>
  <c r="BR16" i="23"/>
  <c r="BO17" i="23"/>
  <c r="BP18" i="23"/>
  <c r="BQ19" i="23"/>
  <c r="BR20" i="23"/>
  <c r="BO21" i="23"/>
  <c r="J25" i="23"/>
  <c r="E27" i="23"/>
  <c r="H33" i="23"/>
  <c r="E45" i="23"/>
  <c r="E49" i="23"/>
  <c r="E50" i="23"/>
  <c r="G51" i="23"/>
  <c r="E53" i="23"/>
  <c r="K53" i="23"/>
  <c r="K282" i="23"/>
  <c r="K296" i="23" s="1"/>
  <c r="BO65" i="23"/>
  <c r="O282" i="23"/>
  <c r="O296" i="23" s="1"/>
  <c r="BQ65" i="23"/>
  <c r="K286" i="23"/>
  <c r="BO69" i="23"/>
  <c r="O286" i="23"/>
  <c r="BQ69" i="23"/>
  <c r="K290" i="23"/>
  <c r="BO73" i="23"/>
  <c r="O290" i="23"/>
  <c r="BQ73" i="23"/>
  <c r="J79" i="23"/>
  <c r="E79" i="23"/>
  <c r="F107" i="23"/>
  <c r="S285" i="23"/>
  <c r="BO120" i="23"/>
  <c r="W285" i="23"/>
  <c r="BQ120" i="23"/>
  <c r="BR17" i="23"/>
  <c r="H54" i="23"/>
  <c r="L52" i="23"/>
  <c r="S281" i="23"/>
  <c r="BO116" i="23"/>
  <c r="BO123" i="23"/>
  <c r="BO12" i="23"/>
  <c r="BQ14" i="23"/>
  <c r="BR15" i="23"/>
  <c r="BO16" i="23"/>
  <c r="BP17" i="23"/>
  <c r="BQ18" i="23"/>
  <c r="BR19" i="23"/>
  <c r="BO20" i="23"/>
  <c r="BP21" i="23"/>
  <c r="F55" i="23"/>
  <c r="F51" i="23"/>
  <c r="F45" i="23"/>
  <c r="F47" i="23"/>
  <c r="F49" i="23"/>
  <c r="I52" i="23"/>
  <c r="E54" i="23"/>
  <c r="J66" i="23"/>
  <c r="M284" i="23"/>
  <c r="BP67" i="23"/>
  <c r="J70" i="23"/>
  <c r="T282" i="23"/>
  <c r="BP117" i="23"/>
  <c r="X282" i="23"/>
  <c r="BR117" i="23"/>
  <c r="J121" i="23"/>
  <c r="J124" i="23"/>
  <c r="S289" i="23"/>
  <c r="BO124" i="23"/>
  <c r="W289" i="23"/>
  <c r="BQ124" i="23"/>
  <c r="BR13" i="23"/>
  <c r="H46" i="23"/>
  <c r="L48" i="23"/>
  <c r="H50" i="23"/>
  <c r="BP13" i="23"/>
  <c r="BP12" i="23"/>
  <c r="BQ13" i="23"/>
  <c r="BR14" i="23"/>
  <c r="BO15" i="23"/>
  <c r="BP16" i="23"/>
  <c r="BQ17" i="23"/>
  <c r="BR18" i="23"/>
  <c r="BO19" i="23"/>
  <c r="BP20" i="23"/>
  <c r="BQ21" i="23"/>
  <c r="K26" i="23"/>
  <c r="J56" i="23"/>
  <c r="J52" i="23"/>
  <c r="K45" i="23"/>
  <c r="G46" i="23"/>
  <c r="G47" i="23"/>
  <c r="K48" i="23"/>
  <c r="K49" i="23"/>
  <c r="G50" i="23"/>
  <c r="K52" i="23"/>
  <c r="G54" i="23"/>
  <c r="G55" i="23"/>
  <c r="K56" i="23"/>
  <c r="N281" i="23"/>
  <c r="BQ64" i="23"/>
  <c r="BO64" i="23"/>
  <c r="L283" i="23"/>
  <c r="BP66" i="23"/>
  <c r="P283" i="23"/>
  <c r="BR66" i="23"/>
  <c r="BR67" i="23"/>
  <c r="N285" i="23"/>
  <c r="BQ68" i="23"/>
  <c r="BO68" i="23"/>
  <c r="L287" i="23"/>
  <c r="BP70" i="23"/>
  <c r="P287" i="23"/>
  <c r="BR70" i="23"/>
  <c r="BR71" i="23"/>
  <c r="N289" i="23"/>
  <c r="BQ72" i="23"/>
  <c r="BO72" i="23"/>
  <c r="J86" i="23"/>
  <c r="I86" i="23" s="1"/>
  <c r="J87" i="23"/>
  <c r="I87" i="23" s="1"/>
  <c r="F99" i="23"/>
  <c r="BR118" i="23"/>
  <c r="V284" i="23"/>
  <c r="BQ119" i="23"/>
  <c r="BO119" i="23"/>
  <c r="T286" i="23"/>
  <c r="BP121" i="23"/>
  <c r="X286" i="23"/>
  <c r="BR121" i="23"/>
  <c r="BR65" i="23"/>
  <c r="BO66" i="23"/>
  <c r="BR69" i="23"/>
  <c r="BO70" i="23"/>
  <c r="BP71" i="23"/>
  <c r="BR73" i="23"/>
  <c r="H99" i="23"/>
  <c r="L100" i="23"/>
  <c r="H103" i="23"/>
  <c r="L104" i="23"/>
  <c r="H107" i="23"/>
  <c r="L108" i="23"/>
  <c r="BR116" i="23"/>
  <c r="BO117" i="23"/>
  <c r="BP118" i="23"/>
  <c r="BR120" i="23"/>
  <c r="BO121" i="23"/>
  <c r="BP122" i="23"/>
  <c r="BR124" i="23"/>
  <c r="BO125" i="23"/>
  <c r="E131" i="23"/>
  <c r="J131" i="23"/>
  <c r="E138" i="23"/>
  <c r="E139" i="23"/>
  <c r="E150" i="23"/>
  <c r="I152" i="23"/>
  <c r="E154" i="23"/>
  <c r="I156" i="23"/>
  <c r="B269" i="23"/>
  <c r="BR64" i="23"/>
  <c r="BQ67" i="23"/>
  <c r="BR68" i="23"/>
  <c r="BQ71" i="23"/>
  <c r="BR72" i="23"/>
  <c r="E97" i="23"/>
  <c r="I100" i="23"/>
  <c r="E101" i="23"/>
  <c r="E102" i="23"/>
  <c r="I104" i="23"/>
  <c r="BR119" i="23"/>
  <c r="BR123" i="23"/>
  <c r="F151" i="23"/>
  <c r="F155" i="23"/>
  <c r="BQ125" i="23"/>
  <c r="K138" i="23"/>
  <c r="L138" i="23" s="1"/>
  <c r="K139" i="23"/>
  <c r="L139" i="23" s="1"/>
  <c r="K149" i="23"/>
  <c r="G151" i="23"/>
  <c r="K153" i="23"/>
  <c r="G155" i="23"/>
  <c r="K157" i="23"/>
  <c r="G159" i="23"/>
  <c r="BP64" i="23"/>
  <c r="BO67" i="23"/>
  <c r="BP68" i="23"/>
  <c r="BO71" i="23"/>
  <c r="BP72" i="23"/>
  <c r="K78" i="23"/>
  <c r="G98" i="23"/>
  <c r="G99" i="23"/>
  <c r="K100" i="23"/>
  <c r="G102" i="23"/>
  <c r="G103" i="23"/>
  <c r="K104" i="23"/>
  <c r="BO118" i="23"/>
  <c r="BP119" i="23"/>
  <c r="BO122" i="23"/>
  <c r="BP123" i="23"/>
  <c r="BR125" i="23"/>
  <c r="L149" i="23"/>
  <c r="H151" i="23"/>
  <c r="L152" i="23"/>
  <c r="L153" i="23"/>
  <c r="H155" i="23"/>
  <c r="L156" i="23"/>
  <c r="C350" i="22"/>
  <c r="D350" i="22"/>
  <c r="B350" i="22"/>
  <c r="T299" i="23" l="1"/>
  <c r="V299" i="23"/>
  <c r="X299" i="23"/>
  <c r="W299" i="23"/>
  <c r="C272" i="23"/>
  <c r="B258" i="23"/>
  <c r="N296" i="23"/>
  <c r="C258" i="23"/>
  <c r="E258" i="23" s="1"/>
  <c r="M296" i="23"/>
  <c r="D256" i="23"/>
  <c r="D269" i="23" s="1"/>
  <c r="U297" i="23" s="1"/>
  <c r="D263" i="23"/>
  <c r="D276" i="23" s="1"/>
  <c r="Y304" i="23" s="1"/>
  <c r="S299" i="23"/>
  <c r="D295" i="23"/>
  <c r="B255" i="23"/>
  <c r="S297" i="23"/>
  <c r="W297" i="23"/>
  <c r="T297" i="23"/>
  <c r="X297" i="23"/>
  <c r="Y297" i="23"/>
  <c r="R298" i="23"/>
  <c r="X298" i="23"/>
  <c r="T298" i="23"/>
  <c r="U298" i="23"/>
  <c r="W298" i="23"/>
  <c r="Y298" i="23"/>
  <c r="B260" i="23"/>
  <c r="B273" i="23" s="1"/>
  <c r="B301" i="23" s="1"/>
  <c r="C260" i="23"/>
  <c r="D260" i="23"/>
  <c r="D273" i="23" s="1"/>
  <c r="C261" i="23"/>
  <c r="B261" i="23"/>
  <c r="B274" i="23" s="1"/>
  <c r="D261" i="23"/>
  <c r="D274" i="23" s="1"/>
  <c r="R296" i="23"/>
  <c r="V296" i="23"/>
  <c r="S296" i="23"/>
  <c r="U296" i="23"/>
  <c r="W296" i="23"/>
  <c r="Y296" i="23"/>
  <c r="R304" i="23"/>
  <c r="V304" i="23"/>
  <c r="X304" i="23"/>
  <c r="S304" i="23"/>
  <c r="W304" i="23"/>
  <c r="T304" i="23"/>
  <c r="U304" i="23"/>
  <c r="C297" i="23"/>
  <c r="G297" i="23"/>
  <c r="E297" i="23"/>
  <c r="D297" i="23"/>
  <c r="H297" i="23"/>
  <c r="I297" i="23"/>
  <c r="F297" i="23"/>
  <c r="T296" i="23"/>
  <c r="W295" i="23"/>
  <c r="L300" i="23"/>
  <c r="M300" i="23"/>
  <c r="P300" i="23"/>
  <c r="N300" i="23"/>
  <c r="Q300" i="23"/>
  <c r="E295" i="23"/>
  <c r="I295" i="23"/>
  <c r="X296" i="23"/>
  <c r="G295" i="23"/>
  <c r="B259" i="23"/>
  <c r="D254" i="23"/>
  <c r="D267" i="23" s="1"/>
  <c r="C256" i="23"/>
  <c r="C295" i="23"/>
  <c r="K300" i="23"/>
  <c r="V298" i="23"/>
  <c r="S295" i="23"/>
  <c r="O300" i="23"/>
  <c r="U299" i="23"/>
  <c r="Y299" i="23"/>
  <c r="Q296" i="23"/>
  <c r="H295" i="23"/>
  <c r="B263" i="23"/>
  <c r="B257" i="23"/>
  <c r="E257" i="23" s="1"/>
  <c r="C254" i="23"/>
  <c r="C267" i="23" s="1"/>
  <c r="D259" i="23"/>
  <c r="D272" i="23" s="1"/>
  <c r="T300" i="23" s="1"/>
  <c r="BS118" i="24"/>
  <c r="BT69" i="24"/>
  <c r="BT18" i="24"/>
  <c r="J49" i="24"/>
  <c r="BS70" i="24"/>
  <c r="K46" i="24"/>
  <c r="BS119" i="24"/>
  <c r="BT116" i="24"/>
  <c r="E151" i="24"/>
  <c r="E155" i="24"/>
  <c r="J98" i="24"/>
  <c r="I102" i="24"/>
  <c r="L26" i="24"/>
  <c r="L46" i="24" s="1"/>
  <c r="BS15" i="24"/>
  <c r="BT73" i="24"/>
  <c r="BS123" i="24"/>
  <c r="J102" i="24"/>
  <c r="BT64" i="24"/>
  <c r="BT21" i="24"/>
  <c r="BS125" i="24"/>
  <c r="BU125" i="24" s="1"/>
  <c r="I98" i="24"/>
  <c r="BT17" i="24"/>
  <c r="K50" i="24"/>
  <c r="BT68" i="24"/>
  <c r="I106" i="24"/>
  <c r="H106" i="24"/>
  <c r="I53" i="24"/>
  <c r="I45" i="24"/>
  <c r="BT13" i="24"/>
  <c r="I49" i="24"/>
  <c r="BT124" i="24"/>
  <c r="BT120" i="24"/>
  <c r="BS16" i="24"/>
  <c r="I155" i="24"/>
  <c r="BS65" i="24"/>
  <c r="K103" i="24"/>
  <c r="J151" i="24"/>
  <c r="K155" i="24"/>
  <c r="I159" i="24"/>
  <c r="BT72" i="24"/>
  <c r="BT15" i="24"/>
  <c r="J159" i="24"/>
  <c r="BS71" i="24"/>
  <c r="BS19" i="24"/>
  <c r="E51" i="24"/>
  <c r="E47" i="24"/>
  <c r="BS116" i="24"/>
  <c r="C182" i="24"/>
  <c r="BS122" i="24"/>
  <c r="BS12" i="24"/>
  <c r="H50" i="24"/>
  <c r="H46" i="24"/>
  <c r="H154" i="24"/>
  <c r="BS121" i="24"/>
  <c r="BT65" i="24"/>
  <c r="BS66" i="24"/>
  <c r="BS120" i="24"/>
  <c r="BT117" i="24"/>
  <c r="H98" i="24"/>
  <c r="L159" i="24"/>
  <c r="BS14" i="24"/>
  <c r="BT14" i="24"/>
  <c r="BT118" i="24"/>
  <c r="J51" i="24"/>
  <c r="BS68" i="24"/>
  <c r="K159" i="24"/>
  <c r="BT67" i="24"/>
  <c r="BU67" i="24" s="1"/>
  <c r="BS117" i="24"/>
  <c r="BS13" i="24"/>
  <c r="L151" i="24"/>
  <c r="BS18" i="24"/>
  <c r="BU18" i="24" s="1"/>
  <c r="K107" i="24"/>
  <c r="L103" i="24"/>
  <c r="L107" i="24"/>
  <c r="L99" i="24"/>
  <c r="J47" i="24"/>
  <c r="K151" i="24"/>
  <c r="BT122" i="24"/>
  <c r="BU65" i="24"/>
  <c r="I27" i="24"/>
  <c r="I51" i="24" s="1"/>
  <c r="BT123" i="24"/>
  <c r="BS64" i="24"/>
  <c r="BU64" i="24" s="1"/>
  <c r="BS21" i="24"/>
  <c r="BU21" i="24" s="1"/>
  <c r="J107" i="24"/>
  <c r="J103" i="24"/>
  <c r="J99" i="24"/>
  <c r="I79" i="24"/>
  <c r="B188" i="24"/>
  <c r="D203" i="24" s="1"/>
  <c r="BU70" i="24"/>
  <c r="E107" i="24"/>
  <c r="E103" i="24"/>
  <c r="E99" i="24"/>
  <c r="BT20" i="24"/>
  <c r="BU20" i="24" s="1"/>
  <c r="BT16" i="24"/>
  <c r="H158" i="24"/>
  <c r="BT119" i="24"/>
  <c r="BU119" i="24" s="1"/>
  <c r="BS73" i="24"/>
  <c r="K106" i="24"/>
  <c r="K102" i="24"/>
  <c r="K98" i="24"/>
  <c r="L78" i="24"/>
  <c r="L98" i="24" s="1"/>
  <c r="BT66" i="24"/>
  <c r="BT19" i="24"/>
  <c r="BS17" i="24"/>
  <c r="BT12" i="24"/>
  <c r="BT121" i="24"/>
  <c r="BT71" i="24"/>
  <c r="J54" i="24"/>
  <c r="J50" i="24"/>
  <c r="J46" i="24"/>
  <c r="I54" i="24"/>
  <c r="I50" i="24"/>
  <c r="I46" i="24"/>
  <c r="BS124" i="24"/>
  <c r="BS72" i="24"/>
  <c r="I157" i="24"/>
  <c r="I153" i="24"/>
  <c r="I149" i="24"/>
  <c r="J157" i="24"/>
  <c r="J153" i="24"/>
  <c r="J149" i="24"/>
  <c r="J105" i="24"/>
  <c r="J101" i="24"/>
  <c r="J97" i="24"/>
  <c r="I105" i="24"/>
  <c r="I101" i="24"/>
  <c r="I97" i="24"/>
  <c r="BS69" i="24"/>
  <c r="K158" i="24"/>
  <c r="K154" i="24"/>
  <c r="K150" i="24"/>
  <c r="L130" i="24"/>
  <c r="L150" i="24" s="1"/>
  <c r="J98" i="23"/>
  <c r="I98" i="23"/>
  <c r="B275" i="23"/>
  <c r="B303" i="23" s="1"/>
  <c r="B271" i="23"/>
  <c r="BS15" i="23"/>
  <c r="J102" i="23"/>
  <c r="BT121" i="23"/>
  <c r="H102" i="23"/>
  <c r="C175" i="23"/>
  <c r="J106" i="23"/>
  <c r="C275" i="23"/>
  <c r="C270" i="23"/>
  <c r="C274" i="23"/>
  <c r="I153" i="23"/>
  <c r="C273" i="23"/>
  <c r="K154" i="23"/>
  <c r="C269" i="23"/>
  <c r="I149" i="23"/>
  <c r="BT21" i="23"/>
  <c r="C276" i="23"/>
  <c r="O304" i="23" s="1"/>
  <c r="BS125" i="23"/>
  <c r="BT118" i="23"/>
  <c r="H154" i="23"/>
  <c r="H150" i="23"/>
  <c r="BS120" i="23"/>
  <c r="BS70" i="23"/>
  <c r="I46" i="23"/>
  <c r="J46" i="23"/>
  <c r="J50" i="23"/>
  <c r="J54" i="23"/>
  <c r="I54" i="23"/>
  <c r="L99" i="23"/>
  <c r="BS19" i="23"/>
  <c r="I102" i="23"/>
  <c r="BS71" i="23"/>
  <c r="K99" i="23"/>
  <c r="K103" i="23"/>
  <c r="B268" i="23"/>
  <c r="BT70" i="23"/>
  <c r="BT66" i="23"/>
  <c r="BT122" i="23"/>
  <c r="R299" i="23"/>
  <c r="J150" i="23"/>
  <c r="I97" i="23"/>
  <c r="BT16" i="23"/>
  <c r="BT12" i="23"/>
  <c r="I158" i="23"/>
  <c r="E255" i="23"/>
  <c r="R297" i="23"/>
  <c r="L51" i="23"/>
  <c r="E256" i="23"/>
  <c r="K158" i="23"/>
  <c r="BS116" i="23"/>
  <c r="E262" i="23"/>
  <c r="L130" i="23"/>
  <c r="L154" i="23" s="1"/>
  <c r="BS122" i="23"/>
  <c r="J154" i="23"/>
  <c r="C271" i="23"/>
  <c r="I154" i="23"/>
  <c r="I150" i="23"/>
  <c r="L103" i="23"/>
  <c r="K107" i="23"/>
  <c r="K47" i="23"/>
  <c r="BT14" i="23"/>
  <c r="J149" i="23"/>
  <c r="E260" i="23"/>
  <c r="J157" i="23"/>
  <c r="J153" i="23"/>
  <c r="BS72" i="23"/>
  <c r="BS73" i="23"/>
  <c r="BT20" i="23"/>
  <c r="BT117" i="23"/>
  <c r="BT18" i="23"/>
  <c r="L155" i="23"/>
  <c r="K159" i="23"/>
  <c r="K155" i="23"/>
  <c r="K151" i="23"/>
  <c r="BT67" i="23"/>
  <c r="BS121" i="23"/>
  <c r="H98" i="23"/>
  <c r="BT119" i="23"/>
  <c r="BT17" i="23"/>
  <c r="BS124" i="23"/>
  <c r="I105" i="23"/>
  <c r="J105" i="23"/>
  <c r="J97" i="23"/>
  <c r="J101" i="23"/>
  <c r="L55" i="23"/>
  <c r="K51" i="23"/>
  <c r="L47" i="23"/>
  <c r="BS117" i="23"/>
  <c r="BT13" i="23"/>
  <c r="BS69" i="23"/>
  <c r="E263" i="23"/>
  <c r="L151" i="23"/>
  <c r="BS118" i="23"/>
  <c r="BS67" i="23"/>
  <c r="R295" i="23"/>
  <c r="BS65" i="23"/>
  <c r="I79" i="23"/>
  <c r="J107" i="23"/>
  <c r="J99" i="23"/>
  <c r="J103" i="23"/>
  <c r="D275" i="23"/>
  <c r="S303" i="23" s="1"/>
  <c r="BT71" i="23"/>
  <c r="I131" i="23"/>
  <c r="J159" i="23"/>
  <c r="J155" i="23"/>
  <c r="J151" i="23"/>
  <c r="BS66" i="23"/>
  <c r="BS68" i="23"/>
  <c r="BT124" i="23"/>
  <c r="BS123" i="23"/>
  <c r="BT73" i="23"/>
  <c r="E55" i="23"/>
  <c r="E47" i="23"/>
  <c r="E51" i="23"/>
  <c r="BT19" i="23"/>
  <c r="BT15" i="23"/>
  <c r="K106" i="23"/>
  <c r="K102" i="23"/>
  <c r="K98" i="23"/>
  <c r="L78" i="23"/>
  <c r="L102" i="23" s="1"/>
  <c r="J300" i="23"/>
  <c r="E159" i="23"/>
  <c r="E155" i="23"/>
  <c r="E151" i="23"/>
  <c r="BT68" i="23"/>
  <c r="BS64" i="23"/>
  <c r="BS20" i="23"/>
  <c r="BS16" i="23"/>
  <c r="B297" i="23"/>
  <c r="BT120" i="23"/>
  <c r="BT65" i="23"/>
  <c r="J53" i="23"/>
  <c r="J49" i="23"/>
  <c r="J45" i="23"/>
  <c r="I53" i="23"/>
  <c r="I49" i="23"/>
  <c r="I45" i="23"/>
  <c r="BT123" i="23"/>
  <c r="BS18" i="23"/>
  <c r="BS14" i="23"/>
  <c r="B276" i="23"/>
  <c r="BT125" i="23"/>
  <c r="BS119" i="23"/>
  <c r="BT72" i="23"/>
  <c r="BT64" i="23"/>
  <c r="K46" i="23"/>
  <c r="L26" i="23"/>
  <c r="L46" i="23" s="1"/>
  <c r="K50" i="23"/>
  <c r="K54" i="23"/>
  <c r="BS12" i="23"/>
  <c r="E107" i="23"/>
  <c r="E103" i="23"/>
  <c r="E99" i="23"/>
  <c r="BT69" i="23"/>
  <c r="BS21" i="23"/>
  <c r="BS17" i="23"/>
  <c r="BS13" i="23"/>
  <c r="BT116" i="23"/>
  <c r="I51" i="23"/>
  <c r="I55" i="23"/>
  <c r="I47" i="23"/>
  <c r="I302" i="22"/>
  <c r="H302" i="22"/>
  <c r="G302" i="22"/>
  <c r="I301" i="22"/>
  <c r="H301" i="22"/>
  <c r="G301" i="22"/>
  <c r="I300" i="22"/>
  <c r="H300" i="22"/>
  <c r="G300" i="22"/>
  <c r="I298" i="22"/>
  <c r="H298" i="22"/>
  <c r="G298" i="22"/>
  <c r="I297" i="22"/>
  <c r="H297" i="22"/>
  <c r="G297" i="22"/>
  <c r="I296" i="22"/>
  <c r="H296" i="22"/>
  <c r="G296" i="22"/>
  <c r="I294" i="22"/>
  <c r="H294" i="22"/>
  <c r="G294" i="22"/>
  <c r="I293" i="22"/>
  <c r="H293" i="22"/>
  <c r="G293" i="22"/>
  <c r="I292" i="22"/>
  <c r="H292" i="22"/>
  <c r="G292" i="22"/>
  <c r="I290" i="22"/>
  <c r="H290" i="22"/>
  <c r="G290" i="22"/>
  <c r="I289" i="22"/>
  <c r="H289" i="22"/>
  <c r="G289" i="22"/>
  <c r="I288" i="22"/>
  <c r="H288" i="22"/>
  <c r="G288" i="22"/>
  <c r="I286" i="22"/>
  <c r="H286" i="22"/>
  <c r="G286" i="22"/>
  <c r="I285" i="22"/>
  <c r="H285" i="22"/>
  <c r="G285" i="22"/>
  <c r="I284" i="22"/>
  <c r="H284" i="22"/>
  <c r="G284" i="22"/>
  <c r="I282" i="22"/>
  <c r="H282" i="22"/>
  <c r="G282" i="22"/>
  <c r="I281" i="22"/>
  <c r="H281" i="22"/>
  <c r="G281" i="22"/>
  <c r="I280" i="22"/>
  <c r="H280" i="22"/>
  <c r="G280" i="22"/>
  <c r="I278" i="22"/>
  <c r="H278" i="22"/>
  <c r="G278" i="22"/>
  <c r="I277" i="22"/>
  <c r="H277" i="22"/>
  <c r="G277" i="22"/>
  <c r="I276" i="22"/>
  <c r="H276" i="22"/>
  <c r="G276" i="22"/>
  <c r="I274" i="22"/>
  <c r="H274" i="22"/>
  <c r="G274" i="22"/>
  <c r="I273" i="22"/>
  <c r="H273" i="22"/>
  <c r="G273" i="22"/>
  <c r="I272" i="22"/>
  <c r="H272" i="22"/>
  <c r="G272" i="22"/>
  <c r="I270" i="22"/>
  <c r="H270" i="22"/>
  <c r="G270" i="22"/>
  <c r="I269" i="22"/>
  <c r="H269" i="22"/>
  <c r="G269" i="22"/>
  <c r="I268" i="22"/>
  <c r="H268" i="22"/>
  <c r="G268" i="22"/>
  <c r="I266" i="22"/>
  <c r="H266" i="22"/>
  <c r="G266" i="22"/>
  <c r="I265" i="22"/>
  <c r="H265" i="22"/>
  <c r="G265" i="22"/>
  <c r="I264" i="22"/>
  <c r="H264" i="22"/>
  <c r="G264" i="22"/>
  <c r="D302" i="22"/>
  <c r="D345" i="22" s="1"/>
  <c r="C302" i="22"/>
  <c r="B302" i="22"/>
  <c r="D301" i="22"/>
  <c r="C301" i="22"/>
  <c r="C344" i="22" s="1"/>
  <c r="B301" i="22"/>
  <c r="D300" i="22"/>
  <c r="C300" i="22"/>
  <c r="B300" i="22"/>
  <c r="B343" i="22" s="1"/>
  <c r="D298" i="22"/>
  <c r="C298" i="22"/>
  <c r="B298" i="22"/>
  <c r="D297" i="22"/>
  <c r="D340" i="22" s="1"/>
  <c r="C297" i="22"/>
  <c r="B297" i="22"/>
  <c r="D296" i="22"/>
  <c r="C296" i="22"/>
  <c r="C339" i="22" s="1"/>
  <c r="B296" i="22"/>
  <c r="D294" i="22"/>
  <c r="C294" i="22"/>
  <c r="B294" i="22"/>
  <c r="B337" i="22" s="1"/>
  <c r="D293" i="22"/>
  <c r="C293" i="22"/>
  <c r="B293" i="22"/>
  <c r="D292" i="22"/>
  <c r="D335" i="22" s="1"/>
  <c r="C292" i="22"/>
  <c r="B292" i="22"/>
  <c r="D290" i="22"/>
  <c r="C290" i="22"/>
  <c r="C333" i="22" s="1"/>
  <c r="B290" i="22"/>
  <c r="D289" i="22"/>
  <c r="C289" i="22"/>
  <c r="B289" i="22"/>
  <c r="B332" i="22" s="1"/>
  <c r="D288" i="22"/>
  <c r="C288" i="22"/>
  <c r="B288" i="22"/>
  <c r="D286" i="22"/>
  <c r="D329" i="22" s="1"/>
  <c r="C286" i="22"/>
  <c r="B286" i="22"/>
  <c r="D285" i="22"/>
  <c r="C285" i="22"/>
  <c r="C328" i="22" s="1"/>
  <c r="B285" i="22"/>
  <c r="D284" i="22"/>
  <c r="C284" i="22"/>
  <c r="B284" i="22"/>
  <c r="B327" i="22" s="1"/>
  <c r="D282" i="22"/>
  <c r="C282" i="22"/>
  <c r="B282" i="22"/>
  <c r="D281" i="22"/>
  <c r="D324" i="22" s="1"/>
  <c r="C281" i="22"/>
  <c r="B281" i="22"/>
  <c r="D280" i="22"/>
  <c r="C280" i="22"/>
  <c r="B280" i="22"/>
  <c r="D278" i="22"/>
  <c r="C278" i="22"/>
  <c r="B278" i="22"/>
  <c r="B321" i="22" s="1"/>
  <c r="D277" i="22"/>
  <c r="C277" i="22"/>
  <c r="B277" i="22"/>
  <c r="D276" i="22"/>
  <c r="D319" i="22" s="1"/>
  <c r="C276" i="22"/>
  <c r="B276" i="22"/>
  <c r="D274" i="22"/>
  <c r="C274" i="22"/>
  <c r="C317" i="22" s="1"/>
  <c r="B274" i="22"/>
  <c r="D273" i="22"/>
  <c r="C273" i="22"/>
  <c r="B273" i="22"/>
  <c r="D272" i="22"/>
  <c r="C272" i="22"/>
  <c r="B272" i="22"/>
  <c r="D270" i="22"/>
  <c r="D313" i="22" s="1"/>
  <c r="C270" i="22"/>
  <c r="B270" i="22"/>
  <c r="D269" i="22"/>
  <c r="C269" i="22"/>
  <c r="C312" i="22" s="1"/>
  <c r="B269" i="22"/>
  <c r="D268" i="22"/>
  <c r="C268" i="22"/>
  <c r="B268" i="22"/>
  <c r="D266" i="22"/>
  <c r="C264" i="22"/>
  <c r="C307" i="22" s="1"/>
  <c r="D264" i="22"/>
  <c r="C265" i="22"/>
  <c r="D265" i="22"/>
  <c r="D308" i="22" s="1"/>
  <c r="C266" i="22"/>
  <c r="B265" i="22"/>
  <c r="B266" i="22"/>
  <c r="B264" i="22"/>
  <c r="B168" i="22"/>
  <c r="H160" i="22"/>
  <c r="G160" i="22"/>
  <c r="F160" i="22"/>
  <c r="E160" i="22"/>
  <c r="H157" i="22"/>
  <c r="G157" i="22"/>
  <c r="H156" i="22"/>
  <c r="G156" i="22"/>
  <c r="F156" i="22"/>
  <c r="E156" i="22"/>
  <c r="H153" i="22"/>
  <c r="G153" i="22"/>
  <c r="H152" i="22"/>
  <c r="G152" i="22"/>
  <c r="F152" i="22"/>
  <c r="E152" i="22"/>
  <c r="H149" i="22"/>
  <c r="G149" i="22"/>
  <c r="G139" i="22"/>
  <c r="K139" i="22" s="1"/>
  <c r="L139" i="22" s="1"/>
  <c r="F139" i="22"/>
  <c r="J139" i="22" s="1"/>
  <c r="I139" i="22" s="1"/>
  <c r="G138" i="22"/>
  <c r="K138" i="22" s="1"/>
  <c r="L138" i="22" s="1"/>
  <c r="F138" i="22"/>
  <c r="J138" i="22" s="1"/>
  <c r="I138" i="22" s="1"/>
  <c r="G137" i="22"/>
  <c r="F137" i="22"/>
  <c r="J137" i="22" s="1"/>
  <c r="K136" i="22"/>
  <c r="J136" i="22"/>
  <c r="K132" i="22"/>
  <c r="J132" i="22"/>
  <c r="J160" i="22" s="1"/>
  <c r="G131" i="22"/>
  <c r="G159" i="22" s="1"/>
  <c r="F131" i="22"/>
  <c r="F159" i="22" s="1"/>
  <c r="G130" i="22"/>
  <c r="F130" i="22"/>
  <c r="F158" i="22" s="1"/>
  <c r="K129" i="22"/>
  <c r="K157" i="22" s="1"/>
  <c r="F129" i="22"/>
  <c r="BN125" i="22"/>
  <c r="Y386" i="22" s="1"/>
  <c r="BM125" i="22"/>
  <c r="X386" i="22" s="1"/>
  <c r="BL125" i="22"/>
  <c r="W386" i="22" s="1"/>
  <c r="BK125" i="22"/>
  <c r="V386" i="22" s="1"/>
  <c r="BJ125" i="22"/>
  <c r="U386" i="22" s="1"/>
  <c r="BI125" i="22"/>
  <c r="T386" i="22" s="1"/>
  <c r="BH125" i="22"/>
  <c r="S386" i="22" s="1"/>
  <c r="BG125" i="22"/>
  <c r="R386" i="22" s="1"/>
  <c r="I125" i="22"/>
  <c r="H125" i="22"/>
  <c r="G125" i="22"/>
  <c r="BN124" i="22"/>
  <c r="Y385" i="22" s="1"/>
  <c r="BM124" i="22"/>
  <c r="BL124" i="22"/>
  <c r="W385" i="22" s="1"/>
  <c r="BK124" i="22"/>
  <c r="V385" i="22" s="1"/>
  <c r="BJ124" i="22"/>
  <c r="U385" i="22" s="1"/>
  <c r="BI124" i="22"/>
  <c r="BH124" i="22"/>
  <c r="S385" i="22" s="1"/>
  <c r="BG124" i="22"/>
  <c r="R385" i="22" s="1"/>
  <c r="I124" i="22"/>
  <c r="H124" i="22"/>
  <c r="G124" i="22"/>
  <c r="BN123" i="22"/>
  <c r="BM123" i="22"/>
  <c r="X384" i="22" s="1"/>
  <c r="BL123" i="22"/>
  <c r="BK123" i="22"/>
  <c r="V384" i="22" s="1"/>
  <c r="BJ123" i="22"/>
  <c r="U384" i="22" s="1"/>
  <c r="BI123" i="22"/>
  <c r="T384" i="22" s="1"/>
  <c r="BH123" i="22"/>
  <c r="BG123" i="22"/>
  <c r="R384" i="22" s="1"/>
  <c r="I123" i="22"/>
  <c r="H123" i="22"/>
  <c r="G123" i="22"/>
  <c r="BN122" i="22"/>
  <c r="Y383" i="22" s="1"/>
  <c r="BM122" i="22"/>
  <c r="X383" i="22" s="1"/>
  <c r="BL122" i="22"/>
  <c r="W383" i="22" s="1"/>
  <c r="BK122" i="22"/>
  <c r="BJ122" i="22"/>
  <c r="U383" i="22" s="1"/>
  <c r="BI122" i="22"/>
  <c r="T383" i="22" s="1"/>
  <c r="BH122" i="22"/>
  <c r="S383" i="22" s="1"/>
  <c r="BG122" i="22"/>
  <c r="R383" i="22" s="1"/>
  <c r="I122" i="22"/>
  <c r="H122" i="22"/>
  <c r="G122" i="22"/>
  <c r="BN121" i="22"/>
  <c r="Y382" i="22" s="1"/>
  <c r="BM121" i="22"/>
  <c r="X382" i="22" s="1"/>
  <c r="BL121" i="22"/>
  <c r="W382" i="22" s="1"/>
  <c r="BK121" i="22"/>
  <c r="V382" i="22" s="1"/>
  <c r="BJ121" i="22"/>
  <c r="U382" i="22" s="1"/>
  <c r="BI121" i="22"/>
  <c r="T382" i="22" s="1"/>
  <c r="BH121" i="22"/>
  <c r="S382" i="22" s="1"/>
  <c r="BG121" i="22"/>
  <c r="R382" i="22" s="1"/>
  <c r="I121" i="22"/>
  <c r="H121" i="22"/>
  <c r="G121" i="22"/>
  <c r="BN120" i="22"/>
  <c r="Y381" i="22" s="1"/>
  <c r="BM120" i="22"/>
  <c r="BL120" i="22"/>
  <c r="W381" i="22" s="1"/>
  <c r="BK120" i="22"/>
  <c r="V381" i="22" s="1"/>
  <c r="BJ120" i="22"/>
  <c r="U381" i="22" s="1"/>
  <c r="BI120" i="22"/>
  <c r="BH120" i="22"/>
  <c r="S381" i="22" s="1"/>
  <c r="BG120" i="22"/>
  <c r="R381" i="22" s="1"/>
  <c r="I120" i="22"/>
  <c r="H120" i="22"/>
  <c r="G120" i="22"/>
  <c r="BN119" i="22"/>
  <c r="BM119" i="22"/>
  <c r="X380" i="22" s="1"/>
  <c r="BL119" i="22"/>
  <c r="BK119" i="22"/>
  <c r="V380" i="22" s="1"/>
  <c r="BJ119" i="22"/>
  <c r="U380" i="22" s="1"/>
  <c r="BI119" i="22"/>
  <c r="T380" i="22" s="1"/>
  <c r="BH119" i="22"/>
  <c r="BG119" i="22"/>
  <c r="R380" i="22" s="1"/>
  <c r="I119" i="22"/>
  <c r="H119" i="22"/>
  <c r="G119" i="22"/>
  <c r="BN118" i="22"/>
  <c r="Y379" i="22" s="1"/>
  <c r="BM118" i="22"/>
  <c r="BL118" i="22"/>
  <c r="W379" i="22" s="1"/>
  <c r="BK118" i="22"/>
  <c r="V379" i="22" s="1"/>
  <c r="BJ118" i="22"/>
  <c r="U379" i="22" s="1"/>
  <c r="BI118" i="22"/>
  <c r="BH118" i="22"/>
  <c r="S379" i="22" s="1"/>
  <c r="BG118" i="22"/>
  <c r="R379" i="22" s="1"/>
  <c r="I118" i="22"/>
  <c r="H118" i="22"/>
  <c r="G118" i="22"/>
  <c r="BN117" i="22"/>
  <c r="BM117" i="22"/>
  <c r="X378" i="22" s="1"/>
  <c r="BL117" i="22"/>
  <c r="BK117" i="22"/>
  <c r="V378" i="22" s="1"/>
  <c r="BJ117" i="22"/>
  <c r="BI117" i="22"/>
  <c r="T378" i="22" s="1"/>
  <c r="BH117" i="22"/>
  <c r="BG117" i="22"/>
  <c r="R378" i="22" s="1"/>
  <c r="I117" i="22"/>
  <c r="H117" i="22"/>
  <c r="G117" i="22"/>
  <c r="BN116" i="22"/>
  <c r="Y377" i="22" s="1"/>
  <c r="BM116" i="22"/>
  <c r="BL116" i="22"/>
  <c r="W377" i="22" s="1"/>
  <c r="BK116" i="22"/>
  <c r="V377" i="22" s="1"/>
  <c r="BJ116" i="22"/>
  <c r="U377" i="22" s="1"/>
  <c r="BI116" i="22"/>
  <c r="BH116" i="22"/>
  <c r="S377" i="22" s="1"/>
  <c r="BG116" i="22"/>
  <c r="R377" i="22" s="1"/>
  <c r="I116" i="22"/>
  <c r="H116" i="22"/>
  <c r="G116" i="22"/>
  <c r="H108" i="22"/>
  <c r="G108" i="22"/>
  <c r="F108" i="22"/>
  <c r="E108" i="22"/>
  <c r="H105" i="22"/>
  <c r="G105" i="22"/>
  <c r="H104" i="22"/>
  <c r="G104" i="22"/>
  <c r="F104" i="22"/>
  <c r="E104" i="22"/>
  <c r="H101" i="22"/>
  <c r="G101" i="22"/>
  <c r="H100" i="22"/>
  <c r="G100" i="22"/>
  <c r="F100" i="22"/>
  <c r="E100" i="22"/>
  <c r="H97" i="22"/>
  <c r="G97" i="22"/>
  <c r="G87" i="22"/>
  <c r="F87" i="22"/>
  <c r="J87" i="22" s="1"/>
  <c r="I87" i="22" s="1"/>
  <c r="G86" i="22"/>
  <c r="H86" i="22" s="1"/>
  <c r="F86" i="22"/>
  <c r="E86" i="22" s="1"/>
  <c r="G85" i="22"/>
  <c r="K85" i="22" s="1"/>
  <c r="L85" i="22" s="1"/>
  <c r="F85" i="22"/>
  <c r="J85" i="22" s="1"/>
  <c r="K84" i="22"/>
  <c r="J84" i="22"/>
  <c r="K80" i="22"/>
  <c r="L108" i="22" s="1"/>
  <c r="J80" i="22"/>
  <c r="I108" i="22" s="1"/>
  <c r="G79" i="22"/>
  <c r="F79" i="22"/>
  <c r="F107" i="22" s="1"/>
  <c r="G78" i="22"/>
  <c r="K78" i="22" s="1"/>
  <c r="F78" i="22"/>
  <c r="E106" i="22" s="1"/>
  <c r="K77" i="22"/>
  <c r="F77" i="22"/>
  <c r="F105" i="22" s="1"/>
  <c r="BN73" i="22"/>
  <c r="Q386" i="22" s="1"/>
  <c r="BM73" i="22"/>
  <c r="BL73" i="22"/>
  <c r="O386" i="22" s="1"/>
  <c r="BK73" i="22"/>
  <c r="N386" i="22" s="1"/>
  <c r="BJ73" i="22"/>
  <c r="M386" i="22" s="1"/>
  <c r="BI73" i="22"/>
  <c r="L386" i="22" s="1"/>
  <c r="BH73" i="22"/>
  <c r="K386" i="22" s="1"/>
  <c r="BG73" i="22"/>
  <c r="J386" i="22" s="1"/>
  <c r="I73" i="22"/>
  <c r="H73" i="22"/>
  <c r="G73" i="22"/>
  <c r="BN72" i="22"/>
  <c r="Q385" i="22" s="1"/>
  <c r="BM72" i="22"/>
  <c r="P385" i="22" s="1"/>
  <c r="BL72" i="22"/>
  <c r="BK72" i="22"/>
  <c r="N385" i="22" s="1"/>
  <c r="BJ72" i="22"/>
  <c r="M385" i="22" s="1"/>
  <c r="BI72" i="22"/>
  <c r="L385" i="22" s="1"/>
  <c r="BH72" i="22"/>
  <c r="K385" i="22" s="1"/>
  <c r="BG72" i="22"/>
  <c r="J385" i="22" s="1"/>
  <c r="I72" i="22"/>
  <c r="H72" i="22"/>
  <c r="G72" i="22"/>
  <c r="BN71" i="22"/>
  <c r="Q384" i="22" s="1"/>
  <c r="BM71" i="22"/>
  <c r="P384" i="22" s="1"/>
  <c r="BL71" i="22"/>
  <c r="O384" i="22" s="1"/>
  <c r="BK71" i="22"/>
  <c r="N384" i="22" s="1"/>
  <c r="BJ71" i="22"/>
  <c r="M384" i="22" s="1"/>
  <c r="BI71" i="22"/>
  <c r="BH71" i="22"/>
  <c r="K384" i="22" s="1"/>
  <c r="BG71" i="22"/>
  <c r="J384" i="22" s="1"/>
  <c r="I71" i="22"/>
  <c r="H71" i="22"/>
  <c r="G71" i="22"/>
  <c r="BN70" i="22"/>
  <c r="Q383" i="22" s="1"/>
  <c r="BM70" i="22"/>
  <c r="P383" i="22" s="1"/>
  <c r="BL70" i="22"/>
  <c r="O383" i="22" s="1"/>
  <c r="BK70" i="22"/>
  <c r="N383" i="22" s="1"/>
  <c r="BJ70" i="22"/>
  <c r="M383" i="22" s="1"/>
  <c r="BI70" i="22"/>
  <c r="BH70" i="22"/>
  <c r="BG70" i="22"/>
  <c r="J383" i="22" s="1"/>
  <c r="I70" i="22"/>
  <c r="H70" i="22"/>
  <c r="G70" i="22"/>
  <c r="BN69" i="22"/>
  <c r="Q382" i="22" s="1"/>
  <c r="BM69" i="22"/>
  <c r="BL69" i="22"/>
  <c r="O382" i="22" s="1"/>
  <c r="BK69" i="22"/>
  <c r="N382" i="22" s="1"/>
  <c r="BJ69" i="22"/>
  <c r="M382" i="22" s="1"/>
  <c r="BI69" i="22"/>
  <c r="L382" i="22" s="1"/>
  <c r="BH69" i="22"/>
  <c r="K382" i="22" s="1"/>
  <c r="BG69" i="22"/>
  <c r="J382" i="22" s="1"/>
  <c r="I69" i="22"/>
  <c r="H69" i="22"/>
  <c r="G69" i="22"/>
  <c r="BN68" i="22"/>
  <c r="Q381" i="22" s="1"/>
  <c r="BM68" i="22"/>
  <c r="BL68" i="22"/>
  <c r="O381" i="22" s="1"/>
  <c r="BK68" i="22"/>
  <c r="N381" i="22" s="1"/>
  <c r="BJ68" i="22"/>
  <c r="M381" i="22" s="1"/>
  <c r="BI68" i="22"/>
  <c r="BH68" i="22"/>
  <c r="K381" i="22" s="1"/>
  <c r="BG68" i="22"/>
  <c r="J381" i="22" s="1"/>
  <c r="I68" i="22"/>
  <c r="H68" i="22"/>
  <c r="G68" i="22"/>
  <c r="BN67" i="22"/>
  <c r="Q380" i="22" s="1"/>
  <c r="BM67" i="22"/>
  <c r="P380" i="22" s="1"/>
  <c r="BL67" i="22"/>
  <c r="BK67" i="22"/>
  <c r="N380" i="22" s="1"/>
  <c r="BJ67" i="22"/>
  <c r="M380" i="22" s="1"/>
  <c r="BI67" i="22"/>
  <c r="L380" i="22" s="1"/>
  <c r="BH67" i="22"/>
  <c r="BG67" i="22"/>
  <c r="J380" i="22" s="1"/>
  <c r="I67" i="22"/>
  <c r="H67" i="22"/>
  <c r="G67" i="22"/>
  <c r="BN66" i="22"/>
  <c r="Q379" i="22" s="1"/>
  <c r="BM66" i="22"/>
  <c r="P379" i="22" s="1"/>
  <c r="BL66" i="22"/>
  <c r="O379" i="22" s="1"/>
  <c r="BK66" i="22"/>
  <c r="N379" i="22" s="1"/>
  <c r="BJ66" i="22"/>
  <c r="M379" i="22" s="1"/>
  <c r="BI66" i="22"/>
  <c r="L379" i="22" s="1"/>
  <c r="BH66" i="22"/>
  <c r="K379" i="22" s="1"/>
  <c r="BG66" i="22"/>
  <c r="J379" i="22" s="1"/>
  <c r="I66" i="22"/>
  <c r="H66" i="22"/>
  <c r="G66" i="22"/>
  <c r="BN65" i="22"/>
  <c r="Q378" i="22" s="1"/>
  <c r="BM65" i="22"/>
  <c r="P378" i="22" s="1"/>
  <c r="BL65" i="22"/>
  <c r="O378" i="22" s="1"/>
  <c r="BK65" i="22"/>
  <c r="N378" i="22" s="1"/>
  <c r="BJ65" i="22"/>
  <c r="M378" i="22" s="1"/>
  <c r="BI65" i="22"/>
  <c r="L378" i="22" s="1"/>
  <c r="BH65" i="22"/>
  <c r="K378" i="22" s="1"/>
  <c r="BG65" i="22"/>
  <c r="J378" i="22" s="1"/>
  <c r="I65" i="22"/>
  <c r="H65" i="22"/>
  <c r="G65" i="22"/>
  <c r="BN64" i="22"/>
  <c r="Q377" i="22" s="1"/>
  <c r="BM64" i="22"/>
  <c r="BL64" i="22"/>
  <c r="O377" i="22" s="1"/>
  <c r="BK64" i="22"/>
  <c r="N377" i="22" s="1"/>
  <c r="BJ64" i="22"/>
  <c r="M377" i="22" s="1"/>
  <c r="BI64" i="22"/>
  <c r="BH64" i="22"/>
  <c r="K377" i="22" s="1"/>
  <c r="BG64" i="22"/>
  <c r="J377" i="22" s="1"/>
  <c r="I64" i="22"/>
  <c r="H64" i="22"/>
  <c r="G64" i="22"/>
  <c r="H56" i="22"/>
  <c r="G56" i="22"/>
  <c r="F56" i="22"/>
  <c r="E56" i="22"/>
  <c r="H53" i="22"/>
  <c r="G53" i="22"/>
  <c r="H52" i="22"/>
  <c r="G52" i="22"/>
  <c r="F52" i="22"/>
  <c r="E52" i="22"/>
  <c r="H49" i="22"/>
  <c r="G49" i="22"/>
  <c r="H48" i="22"/>
  <c r="G48" i="22"/>
  <c r="F48" i="22"/>
  <c r="E48" i="22"/>
  <c r="H45" i="22"/>
  <c r="G45" i="22"/>
  <c r="G35" i="22"/>
  <c r="H35" i="22" s="1"/>
  <c r="F35" i="22"/>
  <c r="J35" i="22" s="1"/>
  <c r="I35" i="22" s="1"/>
  <c r="G34" i="22"/>
  <c r="H34" i="22" s="1"/>
  <c r="F34" i="22"/>
  <c r="J34" i="22" s="1"/>
  <c r="I34" i="22" s="1"/>
  <c r="G33" i="22"/>
  <c r="H33" i="22" s="1"/>
  <c r="F33" i="22"/>
  <c r="J33" i="22" s="1"/>
  <c r="K32" i="22"/>
  <c r="J32" i="22"/>
  <c r="K28" i="22"/>
  <c r="L56" i="22" s="1"/>
  <c r="J28" i="22"/>
  <c r="G27" i="22"/>
  <c r="F27" i="22"/>
  <c r="F55" i="22" s="1"/>
  <c r="G26" i="22"/>
  <c r="H26" i="22" s="1"/>
  <c r="F26" i="22"/>
  <c r="K25" i="22"/>
  <c r="K53" i="22" s="1"/>
  <c r="F25" i="22"/>
  <c r="F53" i="22" s="1"/>
  <c r="BN21" i="22"/>
  <c r="I386" i="22" s="1"/>
  <c r="BM21" i="22"/>
  <c r="BL21" i="22"/>
  <c r="G386" i="22" s="1"/>
  <c r="BK21" i="22"/>
  <c r="F386" i="22" s="1"/>
  <c r="BJ21" i="22"/>
  <c r="E386" i="22" s="1"/>
  <c r="BI21" i="22"/>
  <c r="BH21" i="22"/>
  <c r="C386" i="22" s="1"/>
  <c r="BG21" i="22"/>
  <c r="B386" i="22" s="1"/>
  <c r="I21" i="22"/>
  <c r="H21" i="22"/>
  <c r="G21" i="22"/>
  <c r="BN20" i="22"/>
  <c r="I385" i="22" s="1"/>
  <c r="BM20" i="22"/>
  <c r="BL20" i="22"/>
  <c r="BK20" i="22"/>
  <c r="F385" i="22" s="1"/>
  <c r="BJ20" i="22"/>
  <c r="E385" i="22" s="1"/>
  <c r="BI20" i="22"/>
  <c r="D385" i="22" s="1"/>
  <c r="BH20" i="22"/>
  <c r="BG20" i="22"/>
  <c r="B385" i="22" s="1"/>
  <c r="I20" i="22"/>
  <c r="H20" i="22"/>
  <c r="G20" i="22"/>
  <c r="BN19" i="22"/>
  <c r="I384" i="22" s="1"/>
  <c r="BM19" i="22"/>
  <c r="H384" i="22" s="1"/>
  <c r="BL19" i="22"/>
  <c r="BK19" i="22"/>
  <c r="F384" i="22" s="1"/>
  <c r="BJ19" i="22"/>
  <c r="E384" i="22" s="1"/>
  <c r="BI19" i="22"/>
  <c r="D384" i="22" s="1"/>
  <c r="BH19" i="22"/>
  <c r="C384" i="22" s="1"/>
  <c r="BG19" i="22"/>
  <c r="B384" i="22" s="1"/>
  <c r="I19" i="22"/>
  <c r="H19" i="22"/>
  <c r="G19" i="22"/>
  <c r="BN18" i="22"/>
  <c r="I383" i="22" s="1"/>
  <c r="BM18" i="22"/>
  <c r="H383" i="22" s="1"/>
  <c r="BL18" i="22"/>
  <c r="G383" i="22" s="1"/>
  <c r="BK18" i="22"/>
  <c r="BJ18" i="22"/>
  <c r="E383" i="22" s="1"/>
  <c r="BI18" i="22"/>
  <c r="D383" i="22" s="1"/>
  <c r="BH18" i="22"/>
  <c r="C383" i="22" s="1"/>
  <c r="BG18" i="22"/>
  <c r="B383" i="22" s="1"/>
  <c r="I18" i="22"/>
  <c r="H18" i="22"/>
  <c r="G18" i="22"/>
  <c r="BN17" i="22"/>
  <c r="I382" i="22" s="1"/>
  <c r="BM17" i="22"/>
  <c r="H382" i="22" s="1"/>
  <c r="BL17" i="22"/>
  <c r="G382" i="22" s="1"/>
  <c r="BK17" i="22"/>
  <c r="F382" i="22" s="1"/>
  <c r="BJ17" i="22"/>
  <c r="E382" i="22" s="1"/>
  <c r="BI17" i="22"/>
  <c r="BH17" i="22"/>
  <c r="C382" i="22" s="1"/>
  <c r="BG17" i="22"/>
  <c r="B382" i="22" s="1"/>
  <c r="I17" i="22"/>
  <c r="H17" i="22"/>
  <c r="G17" i="22"/>
  <c r="BN16" i="22"/>
  <c r="I381" i="22" s="1"/>
  <c r="BM16" i="22"/>
  <c r="BL16" i="22"/>
  <c r="G381" i="22" s="1"/>
  <c r="BK16" i="22"/>
  <c r="F381" i="22" s="1"/>
  <c r="BJ16" i="22"/>
  <c r="E381" i="22" s="1"/>
  <c r="BI16" i="22"/>
  <c r="D381" i="22" s="1"/>
  <c r="BH16" i="22"/>
  <c r="BG16" i="22"/>
  <c r="B381" i="22" s="1"/>
  <c r="I16" i="22"/>
  <c r="H16" i="22"/>
  <c r="G16" i="22"/>
  <c r="BN15" i="22"/>
  <c r="I380" i="22" s="1"/>
  <c r="BM15" i="22"/>
  <c r="H380" i="22" s="1"/>
  <c r="BL15" i="22"/>
  <c r="BK15" i="22"/>
  <c r="F380" i="22" s="1"/>
  <c r="BJ15" i="22"/>
  <c r="E380" i="22" s="1"/>
  <c r="BI15" i="22"/>
  <c r="D380" i="22" s="1"/>
  <c r="BH15" i="22"/>
  <c r="C380" i="22" s="1"/>
  <c r="BG15" i="22"/>
  <c r="B380" i="22" s="1"/>
  <c r="I15" i="22"/>
  <c r="H15" i="22"/>
  <c r="G15" i="22"/>
  <c r="BN14" i="22"/>
  <c r="I379" i="22" s="1"/>
  <c r="BM14" i="22"/>
  <c r="H379" i="22" s="1"/>
  <c r="BL14" i="22"/>
  <c r="G379" i="22" s="1"/>
  <c r="BK14" i="22"/>
  <c r="BJ14" i="22"/>
  <c r="E379" i="22" s="1"/>
  <c r="BI14" i="22"/>
  <c r="D379" i="22" s="1"/>
  <c r="BH14" i="22"/>
  <c r="C379" i="22" s="1"/>
  <c r="BG14" i="22"/>
  <c r="B379" i="22" s="1"/>
  <c r="I14" i="22"/>
  <c r="H14" i="22"/>
  <c r="G14" i="22"/>
  <c r="BN13" i="22"/>
  <c r="I378" i="22" s="1"/>
  <c r="BM13" i="22"/>
  <c r="H378" i="22" s="1"/>
  <c r="BL13" i="22"/>
  <c r="G378" i="22" s="1"/>
  <c r="BK13" i="22"/>
  <c r="F378" i="22" s="1"/>
  <c r="BJ13" i="22"/>
  <c r="E378" i="22" s="1"/>
  <c r="BI13" i="22"/>
  <c r="BH13" i="22"/>
  <c r="BG13" i="22"/>
  <c r="B378" i="22" s="1"/>
  <c r="I13" i="22"/>
  <c r="H13" i="22"/>
  <c r="G13" i="22"/>
  <c r="BN12" i="22"/>
  <c r="I377" i="22" s="1"/>
  <c r="BM12" i="22"/>
  <c r="BL12" i="22"/>
  <c r="G377" i="22" s="1"/>
  <c r="BK12" i="22"/>
  <c r="F377" i="22" s="1"/>
  <c r="BJ12" i="22"/>
  <c r="E377" i="22" s="1"/>
  <c r="BI12" i="22"/>
  <c r="D377" i="22" s="1"/>
  <c r="BH12" i="22"/>
  <c r="C377" i="22" s="1"/>
  <c r="BG12" i="22"/>
  <c r="B377" i="22" s="1"/>
  <c r="I12" i="22"/>
  <c r="H12" i="22"/>
  <c r="G12" i="22"/>
  <c r="B203" i="21"/>
  <c r="B114" i="21"/>
  <c r="C113" i="21" s="1"/>
  <c r="D94" i="21"/>
  <c r="D93" i="21"/>
  <c r="D9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73" i="21"/>
  <c r="H73" i="21"/>
  <c r="G73" i="21"/>
  <c r="I72" i="21"/>
  <c r="H72" i="21"/>
  <c r="G7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43" i="21"/>
  <c r="H43" i="21"/>
  <c r="G43" i="21"/>
  <c r="I42" i="21"/>
  <c r="H42" i="21"/>
  <c r="G4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I13" i="21"/>
  <c r="H13" i="21"/>
  <c r="G13" i="21"/>
  <c r="I12" i="21"/>
  <c r="H12" i="21"/>
  <c r="G12" i="21"/>
  <c r="C133" i="19"/>
  <c r="C132" i="19"/>
  <c r="B128" i="19"/>
  <c r="C126" i="19" s="1"/>
  <c r="D94" i="19"/>
  <c r="D93" i="19"/>
  <c r="D9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73" i="19"/>
  <c r="H73" i="19"/>
  <c r="G73" i="19"/>
  <c r="I72" i="19"/>
  <c r="H72" i="19"/>
  <c r="G7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43" i="19"/>
  <c r="H43" i="19"/>
  <c r="G43" i="19"/>
  <c r="I42" i="19"/>
  <c r="H42" i="19"/>
  <c r="G4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I13" i="19"/>
  <c r="H13" i="19"/>
  <c r="G13" i="19"/>
  <c r="I12" i="19"/>
  <c r="H12" i="19"/>
  <c r="G12" i="19"/>
  <c r="BU69" i="24" l="1"/>
  <c r="X300" i="23"/>
  <c r="E259" i="23"/>
  <c r="V297" i="23"/>
  <c r="M295" i="23"/>
  <c r="O295" i="23"/>
  <c r="P295" i="23"/>
  <c r="Q295" i="23"/>
  <c r="L295" i="23"/>
  <c r="AB295" i="23" s="1"/>
  <c r="K295" i="23"/>
  <c r="N295" i="23"/>
  <c r="F296" i="23"/>
  <c r="C296" i="23"/>
  <c r="AA296" i="23" s="1"/>
  <c r="D296" i="23"/>
  <c r="H296" i="23"/>
  <c r="I296" i="23"/>
  <c r="AG296" i="23" s="1"/>
  <c r="G296" i="23"/>
  <c r="E296" i="23"/>
  <c r="J301" i="23"/>
  <c r="M301" i="23"/>
  <c r="N301" i="23"/>
  <c r="K301" i="23"/>
  <c r="O301" i="23"/>
  <c r="Q301" i="23"/>
  <c r="L301" i="23"/>
  <c r="S301" i="23"/>
  <c r="W301" i="23"/>
  <c r="T301" i="23"/>
  <c r="U301" i="23"/>
  <c r="V301" i="23"/>
  <c r="X301" i="23"/>
  <c r="Y301" i="23"/>
  <c r="E254" i="23"/>
  <c r="K303" i="23"/>
  <c r="P303" i="23"/>
  <c r="O303" i="23"/>
  <c r="M303" i="23"/>
  <c r="Q303" i="23"/>
  <c r="L303" i="23"/>
  <c r="I299" i="23"/>
  <c r="AG299" i="23" s="1"/>
  <c r="E299" i="23"/>
  <c r="C299" i="23"/>
  <c r="F299" i="23"/>
  <c r="H299" i="23"/>
  <c r="D299" i="23"/>
  <c r="AB299" i="23" s="1"/>
  <c r="G299" i="23"/>
  <c r="R302" i="23"/>
  <c r="T302" i="23"/>
  <c r="X302" i="23"/>
  <c r="Y302" i="23"/>
  <c r="S302" i="23"/>
  <c r="U302" i="23"/>
  <c r="W302" i="23"/>
  <c r="Q299" i="23"/>
  <c r="L299" i="23"/>
  <c r="O299" i="23"/>
  <c r="P299" i="23"/>
  <c r="K299" i="23"/>
  <c r="M299" i="23"/>
  <c r="Q298" i="23"/>
  <c r="O298" i="23"/>
  <c r="L298" i="23"/>
  <c r="N298" i="23"/>
  <c r="P298" i="23"/>
  <c r="K298" i="23"/>
  <c r="P301" i="23"/>
  <c r="B272" i="23"/>
  <c r="F304" i="23"/>
  <c r="I304" i="23"/>
  <c r="H304" i="23"/>
  <c r="C304" i="23"/>
  <c r="G304" i="23"/>
  <c r="AE304" i="23" s="1"/>
  <c r="E304" i="23"/>
  <c r="AC304" i="23" s="1"/>
  <c r="D304" i="23"/>
  <c r="O297" i="23"/>
  <c r="M297" i="23"/>
  <c r="Q297" i="23"/>
  <c r="K297" i="23"/>
  <c r="N297" i="23"/>
  <c r="E303" i="23"/>
  <c r="I303" i="23"/>
  <c r="C303" i="23"/>
  <c r="G303" i="23"/>
  <c r="F303" i="23"/>
  <c r="D303" i="23"/>
  <c r="H303" i="23"/>
  <c r="C301" i="23"/>
  <c r="G301" i="23"/>
  <c r="F301" i="23"/>
  <c r="AD301" i="23" s="1"/>
  <c r="E301" i="23"/>
  <c r="D301" i="23"/>
  <c r="H301" i="23"/>
  <c r="I301" i="23"/>
  <c r="M298" i="23"/>
  <c r="V302" i="23"/>
  <c r="N299" i="23"/>
  <c r="H302" i="23"/>
  <c r="AF302" i="23" s="1"/>
  <c r="D302" i="23"/>
  <c r="F302" i="23"/>
  <c r="I302" i="23"/>
  <c r="G302" i="23"/>
  <c r="AE302" i="23" s="1"/>
  <c r="E302" i="23"/>
  <c r="C302" i="23"/>
  <c r="B270" i="23"/>
  <c r="Y303" i="23"/>
  <c r="U303" i="23"/>
  <c r="T303" i="23"/>
  <c r="V303" i="23"/>
  <c r="X303" i="23"/>
  <c r="AF303" i="23" s="1"/>
  <c r="R301" i="23"/>
  <c r="N304" i="23"/>
  <c r="Q304" i="23"/>
  <c r="P304" i="23"/>
  <c r="M304" i="23"/>
  <c r="L304" i="23"/>
  <c r="L302" i="23"/>
  <c r="P302" i="23"/>
  <c r="M302" i="23"/>
  <c r="N302" i="23"/>
  <c r="K302" i="23"/>
  <c r="AA302" i="23" s="1"/>
  <c r="Q302" i="23"/>
  <c r="O302" i="23"/>
  <c r="E261" i="23"/>
  <c r="R300" i="23"/>
  <c r="V300" i="23"/>
  <c r="W300" i="23"/>
  <c r="Y300" i="23"/>
  <c r="S300" i="23"/>
  <c r="U300" i="23"/>
  <c r="L297" i="23"/>
  <c r="P297" i="23"/>
  <c r="Y295" i="23"/>
  <c r="T295" i="23"/>
  <c r="U295" i="23"/>
  <c r="V295" i="23"/>
  <c r="X295" i="23"/>
  <c r="AF295" i="23" s="1"/>
  <c r="N303" i="23"/>
  <c r="K304" i="23"/>
  <c r="W303" i="23"/>
  <c r="BU124" i="24"/>
  <c r="BU73" i="24"/>
  <c r="BU15" i="24"/>
  <c r="BU118" i="24"/>
  <c r="BU116" i="24"/>
  <c r="L54" i="24"/>
  <c r="BU72" i="24"/>
  <c r="BU123" i="24"/>
  <c r="BU68" i="24"/>
  <c r="BU120" i="24"/>
  <c r="L50" i="24"/>
  <c r="BU122" i="24"/>
  <c r="I55" i="24"/>
  <c r="BU16" i="24"/>
  <c r="BU13" i="24"/>
  <c r="BU14" i="24"/>
  <c r="BU17" i="24"/>
  <c r="S199" i="24"/>
  <c r="O199" i="24"/>
  <c r="F199" i="24"/>
  <c r="M199" i="24"/>
  <c r="BU19" i="24"/>
  <c r="L197" i="24"/>
  <c r="P196" i="24"/>
  <c r="R201" i="24"/>
  <c r="M197" i="24"/>
  <c r="X202" i="24"/>
  <c r="Q195" i="24"/>
  <c r="M200" i="24"/>
  <c r="E203" i="24"/>
  <c r="F201" i="24"/>
  <c r="F194" i="24"/>
  <c r="T201" i="24"/>
  <c r="Y202" i="24"/>
  <c r="H194" i="24"/>
  <c r="S194" i="24"/>
  <c r="N196" i="24"/>
  <c r="H201" i="24"/>
  <c r="J198" i="24"/>
  <c r="G202" i="24"/>
  <c r="L202" i="24"/>
  <c r="H196" i="24"/>
  <c r="Y195" i="24"/>
  <c r="V203" i="24"/>
  <c r="K202" i="24"/>
  <c r="B196" i="24"/>
  <c r="S196" i="24"/>
  <c r="U197" i="24"/>
  <c r="O195" i="24"/>
  <c r="W199" i="24"/>
  <c r="J197" i="24"/>
  <c r="R197" i="24"/>
  <c r="F196" i="24"/>
  <c r="V194" i="24"/>
  <c r="K195" i="24"/>
  <c r="P202" i="24"/>
  <c r="I200" i="24"/>
  <c r="C202" i="24"/>
  <c r="E199" i="24"/>
  <c r="M194" i="24"/>
  <c r="L201" i="24"/>
  <c r="Y198" i="24"/>
  <c r="K197" i="24"/>
  <c r="Y201" i="24"/>
  <c r="B203" i="24"/>
  <c r="L200" i="24"/>
  <c r="Y203" i="24"/>
  <c r="B197" i="24"/>
  <c r="X198" i="24"/>
  <c r="B198" i="24"/>
  <c r="Q196" i="24"/>
  <c r="T197" i="24"/>
  <c r="K194" i="24"/>
  <c r="T199" i="24"/>
  <c r="N199" i="24"/>
  <c r="K203" i="24"/>
  <c r="I198" i="24"/>
  <c r="H199" i="24"/>
  <c r="D200" i="24"/>
  <c r="P203" i="24"/>
  <c r="BU121" i="24"/>
  <c r="H198" i="24"/>
  <c r="M198" i="24"/>
  <c r="X196" i="24"/>
  <c r="C198" i="24"/>
  <c r="T198" i="24"/>
  <c r="G194" i="24"/>
  <c r="I197" i="24"/>
  <c r="L106" i="24"/>
  <c r="V200" i="24"/>
  <c r="X194" i="24"/>
  <c r="BU117" i="24"/>
  <c r="R195" i="24"/>
  <c r="P195" i="24"/>
  <c r="K196" i="24"/>
  <c r="I195" i="24"/>
  <c r="I203" i="24"/>
  <c r="M202" i="24"/>
  <c r="U202" i="24"/>
  <c r="J200" i="24"/>
  <c r="U196" i="24"/>
  <c r="I196" i="24"/>
  <c r="J201" i="24"/>
  <c r="N195" i="24"/>
  <c r="B200" i="24"/>
  <c r="J195" i="24"/>
  <c r="J203" i="24"/>
  <c r="S200" i="24"/>
  <c r="B195" i="24"/>
  <c r="J194" i="24"/>
  <c r="M201" i="24"/>
  <c r="G196" i="24"/>
  <c r="U201" i="24"/>
  <c r="E201" i="24"/>
  <c r="N197" i="24"/>
  <c r="V199" i="24"/>
  <c r="C197" i="24"/>
  <c r="V197" i="24"/>
  <c r="BU71" i="24"/>
  <c r="H203" i="24"/>
  <c r="E202" i="24"/>
  <c r="J196" i="24"/>
  <c r="F202" i="24"/>
  <c r="R200" i="24"/>
  <c r="H202" i="24"/>
  <c r="J199" i="24"/>
  <c r="X200" i="24"/>
  <c r="K201" i="24"/>
  <c r="E198" i="24"/>
  <c r="N198" i="24"/>
  <c r="G200" i="24"/>
  <c r="B202" i="24"/>
  <c r="K200" i="24"/>
  <c r="F195" i="24"/>
  <c r="Q197" i="24"/>
  <c r="R198" i="24"/>
  <c r="W196" i="24"/>
  <c r="D199" i="24"/>
  <c r="H200" i="24"/>
  <c r="L203" i="24"/>
  <c r="L102" i="24"/>
  <c r="T194" i="24"/>
  <c r="U200" i="24"/>
  <c r="E197" i="24"/>
  <c r="P201" i="24"/>
  <c r="O197" i="24"/>
  <c r="BU66" i="24"/>
  <c r="BU12" i="24"/>
  <c r="P198" i="24"/>
  <c r="I194" i="24"/>
  <c r="I202" i="24"/>
  <c r="J202" i="24"/>
  <c r="R202" i="24"/>
  <c r="H195" i="24"/>
  <c r="N200" i="24"/>
  <c r="Q200" i="24"/>
  <c r="S197" i="24"/>
  <c r="R194" i="24"/>
  <c r="B201" i="24"/>
  <c r="V195" i="24"/>
  <c r="I199" i="24"/>
  <c r="P197" i="24"/>
  <c r="W200" i="24"/>
  <c r="I47" i="24"/>
  <c r="S203" i="24"/>
  <c r="R196" i="24"/>
  <c r="Y194" i="24"/>
  <c r="L195" i="24"/>
  <c r="V196" i="24"/>
  <c r="C203" i="24"/>
  <c r="N202" i="24"/>
  <c r="N201" i="24"/>
  <c r="K199" i="24"/>
  <c r="D201" i="24"/>
  <c r="B194" i="24"/>
  <c r="N203" i="24"/>
  <c r="P194" i="24"/>
  <c r="X195" i="24"/>
  <c r="F197" i="24"/>
  <c r="M196" i="24"/>
  <c r="R199" i="24"/>
  <c r="E195" i="24"/>
  <c r="S201" i="24"/>
  <c r="U198" i="24"/>
  <c r="U199" i="24"/>
  <c r="M195" i="24"/>
  <c r="Q198" i="24"/>
  <c r="U195" i="24"/>
  <c r="R203" i="24"/>
  <c r="M203" i="24"/>
  <c r="G198" i="24"/>
  <c r="L154" i="24"/>
  <c r="P199" i="24"/>
  <c r="C195" i="24"/>
  <c r="X199" i="24"/>
  <c r="T200" i="24"/>
  <c r="H197" i="24"/>
  <c r="V202" i="24"/>
  <c r="Q199" i="24"/>
  <c r="F200" i="24"/>
  <c r="F203" i="24"/>
  <c r="P200" i="24"/>
  <c r="U203" i="24"/>
  <c r="O203" i="24"/>
  <c r="Y197" i="24"/>
  <c r="D196" i="24"/>
  <c r="I201" i="24"/>
  <c r="S195" i="24"/>
  <c r="T203" i="24"/>
  <c r="D198" i="24"/>
  <c r="C194" i="24"/>
  <c r="E194" i="24"/>
  <c r="Y196" i="24"/>
  <c r="E196" i="24"/>
  <c r="X203" i="24"/>
  <c r="L158" i="24"/>
  <c r="C200" i="24"/>
  <c r="O201" i="24"/>
  <c r="U194" i="24"/>
  <c r="L199" i="24"/>
  <c r="C199" i="24"/>
  <c r="D194" i="24"/>
  <c r="Q194" i="24"/>
  <c r="C196" i="24"/>
  <c r="E200" i="24"/>
  <c r="B199" i="24"/>
  <c r="N194" i="24"/>
  <c r="Q201" i="24"/>
  <c r="V198" i="24"/>
  <c r="W194" i="24"/>
  <c r="Q203" i="24"/>
  <c r="T202" i="24"/>
  <c r="K198" i="24"/>
  <c r="Y200" i="24"/>
  <c r="G195" i="24"/>
  <c r="S202" i="24"/>
  <c r="S198" i="24"/>
  <c r="W201" i="24"/>
  <c r="T195" i="24"/>
  <c r="L194" i="24"/>
  <c r="W203" i="24"/>
  <c r="W198" i="24"/>
  <c r="G201" i="24"/>
  <c r="Y199" i="24"/>
  <c r="G199" i="24"/>
  <c r="O194" i="24"/>
  <c r="O202" i="24"/>
  <c r="D197" i="24"/>
  <c r="W202" i="24"/>
  <c r="F198" i="24"/>
  <c r="O196" i="24"/>
  <c r="W195" i="24"/>
  <c r="G197" i="24"/>
  <c r="O200" i="24"/>
  <c r="G203" i="24"/>
  <c r="Q202" i="24"/>
  <c r="L196" i="24"/>
  <c r="O198" i="24"/>
  <c r="W197" i="24"/>
  <c r="D195" i="24"/>
  <c r="X197" i="24"/>
  <c r="X201" i="24"/>
  <c r="C201" i="24"/>
  <c r="V201" i="24"/>
  <c r="D202" i="24"/>
  <c r="I107" i="24"/>
  <c r="I103" i="24"/>
  <c r="I99" i="24"/>
  <c r="T196" i="24"/>
  <c r="L198" i="24"/>
  <c r="BU121" i="23"/>
  <c r="B299" i="23"/>
  <c r="B295" i="23"/>
  <c r="BU15" i="23"/>
  <c r="AD295" i="23"/>
  <c r="BU72" i="23"/>
  <c r="J303" i="23"/>
  <c r="AE295" i="23"/>
  <c r="AA295" i="23"/>
  <c r="E274" i="23"/>
  <c r="E272" i="23"/>
  <c r="J304" i="23"/>
  <c r="E275" i="23"/>
  <c r="J302" i="23"/>
  <c r="J298" i="23"/>
  <c r="AE296" i="23"/>
  <c r="AD296" i="23"/>
  <c r="BU118" i="23"/>
  <c r="Z301" i="23"/>
  <c r="E273" i="23"/>
  <c r="J295" i="23"/>
  <c r="Z295" i="23" s="1"/>
  <c r="AA301" i="23"/>
  <c r="E267" i="23"/>
  <c r="AB297" i="23"/>
  <c r="E268" i="23"/>
  <c r="BU120" i="23"/>
  <c r="J297" i="23"/>
  <c r="Z297" i="23" s="1"/>
  <c r="AA297" i="23"/>
  <c r="E269" i="23"/>
  <c r="BU21" i="23"/>
  <c r="BU19" i="23"/>
  <c r="BU70" i="23"/>
  <c r="BU125" i="23"/>
  <c r="AB296" i="23"/>
  <c r="B296" i="23"/>
  <c r="Z296" i="23" s="1"/>
  <c r="AC296" i="23"/>
  <c r="BU122" i="23"/>
  <c r="BU124" i="23"/>
  <c r="BU16" i="23"/>
  <c r="BU116" i="23"/>
  <c r="BU67" i="23"/>
  <c r="BU69" i="23"/>
  <c r="BU71" i="23"/>
  <c r="BU12" i="23"/>
  <c r="BU119" i="23"/>
  <c r="BU20" i="23"/>
  <c r="BU73" i="23"/>
  <c r="BU66" i="23"/>
  <c r="L158" i="23"/>
  <c r="BU18" i="23"/>
  <c r="B300" i="23"/>
  <c r="BU117" i="23"/>
  <c r="L150" i="23"/>
  <c r="AC297" i="23"/>
  <c r="E271" i="23"/>
  <c r="BU65" i="23"/>
  <c r="BU13" i="23"/>
  <c r="BU14" i="23"/>
  <c r="AA299" i="23"/>
  <c r="AF296" i="23"/>
  <c r="J299" i="23"/>
  <c r="L106" i="23"/>
  <c r="BU17" i="23"/>
  <c r="B302" i="23"/>
  <c r="AD302" i="23"/>
  <c r="L98" i="23"/>
  <c r="AC303" i="23"/>
  <c r="R303" i="23"/>
  <c r="L50" i="23"/>
  <c r="AD297" i="23"/>
  <c r="BU123" i="23"/>
  <c r="BU68" i="23"/>
  <c r="I159" i="23"/>
  <c r="I155" i="23"/>
  <c r="I151" i="23"/>
  <c r="AA303" i="23"/>
  <c r="L54" i="23"/>
  <c r="E276" i="23"/>
  <c r="B304" i="23"/>
  <c r="BU64" i="23"/>
  <c r="I107" i="23"/>
  <c r="I103" i="23"/>
  <c r="I99" i="23"/>
  <c r="E270" i="23"/>
  <c r="B308" i="22"/>
  <c r="C308" i="22"/>
  <c r="D309" i="22"/>
  <c r="D321" i="22"/>
  <c r="D327" i="22"/>
  <c r="D344" i="22"/>
  <c r="D343" i="22"/>
  <c r="C343" i="22"/>
  <c r="B345" i="22"/>
  <c r="D339" i="22"/>
  <c r="C341" i="22"/>
  <c r="B341" i="22"/>
  <c r="B340" i="22"/>
  <c r="D337" i="22"/>
  <c r="C337" i="22"/>
  <c r="C336" i="22"/>
  <c r="B336" i="22"/>
  <c r="B335" i="22"/>
  <c r="D333" i="22"/>
  <c r="D332" i="22"/>
  <c r="C332" i="22"/>
  <c r="C331" i="22"/>
  <c r="B331" i="22"/>
  <c r="D328" i="22"/>
  <c r="C327" i="22"/>
  <c r="B329" i="22"/>
  <c r="D323" i="22"/>
  <c r="C325" i="22"/>
  <c r="C323" i="22"/>
  <c r="B325" i="22"/>
  <c r="B324" i="22"/>
  <c r="C321" i="22"/>
  <c r="C320" i="22"/>
  <c r="B320" i="22"/>
  <c r="B319" i="22"/>
  <c r="D317" i="22"/>
  <c r="D316" i="22"/>
  <c r="C316" i="22"/>
  <c r="C315" i="22"/>
  <c r="B316" i="22"/>
  <c r="B315" i="22"/>
  <c r="D312" i="22"/>
  <c r="D311" i="22"/>
  <c r="C311" i="22"/>
  <c r="B313" i="22"/>
  <c r="B311" i="22"/>
  <c r="D307" i="22"/>
  <c r="C309" i="22"/>
  <c r="B309" i="22"/>
  <c r="B307" i="22"/>
  <c r="B312" i="22"/>
  <c r="C313" i="22"/>
  <c r="D315" i="22"/>
  <c r="B317" i="22"/>
  <c r="C319" i="22"/>
  <c r="D320" i="22"/>
  <c r="B323" i="22"/>
  <c r="C324" i="22"/>
  <c r="D325" i="22"/>
  <c r="B328" i="22"/>
  <c r="C329" i="22"/>
  <c r="D331" i="22"/>
  <c r="B333" i="22"/>
  <c r="C335" i="22"/>
  <c r="D336" i="22"/>
  <c r="B339" i="22"/>
  <c r="C340" i="22"/>
  <c r="D341" i="22"/>
  <c r="B344" i="22"/>
  <c r="C345" i="22"/>
  <c r="J123" i="22"/>
  <c r="J121" i="22"/>
  <c r="K34" i="22"/>
  <c r="L34" i="22" s="1"/>
  <c r="J17" i="22"/>
  <c r="BP64" i="22"/>
  <c r="J12" i="22"/>
  <c r="J14" i="22"/>
  <c r="J18" i="22"/>
  <c r="J100" i="22"/>
  <c r="J122" i="22"/>
  <c r="J66" i="22"/>
  <c r="J78" i="22"/>
  <c r="I106" i="22" s="1"/>
  <c r="J117" i="22"/>
  <c r="J69" i="22"/>
  <c r="J73" i="22"/>
  <c r="G54" i="22"/>
  <c r="J65" i="22"/>
  <c r="J72" i="22"/>
  <c r="F106" i="22"/>
  <c r="J120" i="22"/>
  <c r="J125" i="22"/>
  <c r="G50" i="22"/>
  <c r="BQ64" i="22"/>
  <c r="K26" i="22"/>
  <c r="K54" i="22" s="1"/>
  <c r="BP119" i="22"/>
  <c r="J20" i="22"/>
  <c r="K49" i="22"/>
  <c r="L53" i="22"/>
  <c r="J71" i="22"/>
  <c r="F98" i="22"/>
  <c r="I104" i="22"/>
  <c r="J108" i="22"/>
  <c r="J118" i="22"/>
  <c r="J124" i="22"/>
  <c r="K106" i="22"/>
  <c r="K98" i="22"/>
  <c r="BR14" i="22"/>
  <c r="BP15" i="22"/>
  <c r="BP16" i="22"/>
  <c r="K33" i="22"/>
  <c r="L33" i="22" s="1"/>
  <c r="K45" i="22"/>
  <c r="K48" i="22"/>
  <c r="L49" i="22"/>
  <c r="J64" i="22"/>
  <c r="J77" i="22"/>
  <c r="H78" i="22"/>
  <c r="H102" i="22" s="1"/>
  <c r="H85" i="22"/>
  <c r="G98" i="22"/>
  <c r="K100" i="22"/>
  <c r="K104" i="22"/>
  <c r="G106" i="22"/>
  <c r="K108" i="22"/>
  <c r="BQ118" i="22"/>
  <c r="BQ120" i="22"/>
  <c r="J15" i="22"/>
  <c r="BQ17" i="22"/>
  <c r="L45" i="22"/>
  <c r="K56" i="22"/>
  <c r="J86" i="22"/>
  <c r="I86" i="22" s="1"/>
  <c r="G102" i="22"/>
  <c r="J119" i="22"/>
  <c r="BR123" i="22"/>
  <c r="H138" i="22"/>
  <c r="H139" i="22"/>
  <c r="L149" i="22"/>
  <c r="L153" i="22"/>
  <c r="L157" i="22"/>
  <c r="K46" i="22"/>
  <c r="K52" i="22"/>
  <c r="J16" i="22"/>
  <c r="J21" i="22"/>
  <c r="J68" i="22"/>
  <c r="J70" i="22"/>
  <c r="J79" i="22"/>
  <c r="I79" i="22" s="1"/>
  <c r="E97" i="22"/>
  <c r="E101" i="22"/>
  <c r="E105" i="22"/>
  <c r="J13" i="22"/>
  <c r="BP13" i="22"/>
  <c r="BR17" i="22"/>
  <c r="BR18" i="22"/>
  <c r="BP19" i="22"/>
  <c r="BP20" i="22"/>
  <c r="BQ21" i="22"/>
  <c r="G46" i="22"/>
  <c r="BR65" i="22"/>
  <c r="BP66" i="22"/>
  <c r="BP67" i="22"/>
  <c r="BQ68" i="22"/>
  <c r="BP69" i="22"/>
  <c r="BR70" i="22"/>
  <c r="BQ71" i="22"/>
  <c r="BP72" i="22"/>
  <c r="BP73" i="22"/>
  <c r="K86" i="22"/>
  <c r="L86" i="22" s="1"/>
  <c r="F97" i="22"/>
  <c r="F101" i="22"/>
  <c r="F103" i="22"/>
  <c r="BP116" i="22"/>
  <c r="BR116" i="22"/>
  <c r="BP123" i="22"/>
  <c r="BQ124" i="22"/>
  <c r="H151" i="22"/>
  <c r="H155" i="22"/>
  <c r="H159" i="22"/>
  <c r="BQ13" i="22"/>
  <c r="L381" i="22"/>
  <c r="BP68" i="22"/>
  <c r="L105" i="22"/>
  <c r="L101" i="22"/>
  <c r="L97" i="22"/>
  <c r="K105" i="22"/>
  <c r="K97" i="22"/>
  <c r="K101" i="22"/>
  <c r="BO12" i="22"/>
  <c r="BR13" i="22"/>
  <c r="BO15" i="22"/>
  <c r="C381" i="22"/>
  <c r="BO16" i="22"/>
  <c r="BQ16" i="22"/>
  <c r="BO19" i="22"/>
  <c r="C385" i="22"/>
  <c r="BO20" i="22"/>
  <c r="G385" i="22"/>
  <c r="BQ20" i="22"/>
  <c r="F54" i="22"/>
  <c r="F50" i="22"/>
  <c r="F46" i="22"/>
  <c r="J26" i="22"/>
  <c r="E54" i="22"/>
  <c r="E50" i="22"/>
  <c r="E46" i="22"/>
  <c r="K27" i="22"/>
  <c r="H55" i="22"/>
  <c r="H51" i="22"/>
  <c r="H47" i="22"/>
  <c r="G47" i="22"/>
  <c r="BO72" i="22"/>
  <c r="L377" i="22"/>
  <c r="P381" i="22"/>
  <c r="BR68" i="22"/>
  <c r="BP12" i="22"/>
  <c r="G380" i="22"/>
  <c r="BQ15" i="22"/>
  <c r="H381" i="22"/>
  <c r="BR16" i="22"/>
  <c r="D382" i="22"/>
  <c r="BP17" i="22"/>
  <c r="J19" i="22"/>
  <c r="G384" i="22"/>
  <c r="BQ19" i="22"/>
  <c r="H385" i="22"/>
  <c r="BR20" i="22"/>
  <c r="J56" i="22"/>
  <c r="J52" i="22"/>
  <c r="J48" i="22"/>
  <c r="I56" i="22"/>
  <c r="I52" i="22"/>
  <c r="I48" i="22"/>
  <c r="K35" i="22"/>
  <c r="L35" i="22" s="1"/>
  <c r="G51" i="22"/>
  <c r="J67" i="22"/>
  <c r="K380" i="22"/>
  <c r="BO67" i="22"/>
  <c r="O380" i="22"/>
  <c r="BQ67" i="22"/>
  <c r="U378" i="22"/>
  <c r="BP117" i="22"/>
  <c r="Y378" i="22"/>
  <c r="BR117" i="22"/>
  <c r="D378" i="22"/>
  <c r="C378" i="22"/>
  <c r="BO13" i="22"/>
  <c r="H377" i="22"/>
  <c r="BR12" i="22"/>
  <c r="BQ12" i="22"/>
  <c r="F379" i="22"/>
  <c r="BQ14" i="22"/>
  <c r="BO14" i="22"/>
  <c r="F383" i="22"/>
  <c r="BQ18" i="22"/>
  <c r="BO18" i="22"/>
  <c r="D386" i="22"/>
  <c r="BP21" i="22"/>
  <c r="H386" i="22"/>
  <c r="BR21" i="22"/>
  <c r="G55" i="22"/>
  <c r="P377" i="22"/>
  <c r="BR64" i="22"/>
  <c r="BO66" i="22"/>
  <c r="BO69" i="22"/>
  <c r="L383" i="22"/>
  <c r="BP70" i="22"/>
  <c r="BO73" i="22"/>
  <c r="H107" i="22"/>
  <c r="H103" i="22"/>
  <c r="H99" i="22"/>
  <c r="G107" i="22"/>
  <c r="G99" i="22"/>
  <c r="K79" i="22"/>
  <c r="G103" i="22"/>
  <c r="H87" i="22"/>
  <c r="K87" i="22"/>
  <c r="L87" i="22" s="1"/>
  <c r="S380" i="22"/>
  <c r="BO119" i="22"/>
  <c r="W380" i="22"/>
  <c r="BQ119" i="22"/>
  <c r="S384" i="22"/>
  <c r="BO123" i="22"/>
  <c r="W384" i="22"/>
  <c r="BQ123" i="22"/>
  <c r="K160" i="22"/>
  <c r="K156" i="22"/>
  <c r="K152" i="22"/>
  <c r="L160" i="22"/>
  <c r="L156" i="22"/>
  <c r="L152" i="22"/>
  <c r="K137" i="22"/>
  <c r="L137" i="22" s="1"/>
  <c r="H137" i="22"/>
  <c r="H46" i="22"/>
  <c r="L48" i="22"/>
  <c r="H50" i="22"/>
  <c r="L52" i="22"/>
  <c r="H54" i="22"/>
  <c r="BO65" i="22"/>
  <c r="L384" i="22"/>
  <c r="BP71" i="22"/>
  <c r="BR71" i="22"/>
  <c r="O385" i="22"/>
  <c r="BQ72" i="22"/>
  <c r="L78" i="22"/>
  <c r="L106" i="22" s="1"/>
  <c r="E102" i="22"/>
  <c r="BO116" i="22"/>
  <c r="T379" i="22"/>
  <c r="BP118" i="22"/>
  <c r="X379" i="22"/>
  <c r="BR118" i="22"/>
  <c r="BP14" i="22"/>
  <c r="BO17" i="22"/>
  <c r="BP18" i="22"/>
  <c r="BO21" i="22"/>
  <c r="J25" i="22"/>
  <c r="E27" i="22"/>
  <c r="J27" i="22"/>
  <c r="E34" i="22"/>
  <c r="E35" i="22"/>
  <c r="E45" i="22"/>
  <c r="E49" i="22"/>
  <c r="E53" i="22"/>
  <c r="BO64" i="22"/>
  <c r="BP65" i="22"/>
  <c r="BQ66" i="22"/>
  <c r="BR67" i="22"/>
  <c r="BO68" i="22"/>
  <c r="P382" i="22"/>
  <c r="BR69" i="22"/>
  <c r="BQ69" i="22"/>
  <c r="BR72" i="22"/>
  <c r="P386" i="22"/>
  <c r="BR73" i="22"/>
  <c r="BQ73" i="22"/>
  <c r="E79" i="22"/>
  <c r="E87" i="22"/>
  <c r="F99" i="22"/>
  <c r="F102" i="22"/>
  <c r="K102" i="22"/>
  <c r="J104" i="22"/>
  <c r="J116" i="22"/>
  <c r="BQ116" i="22"/>
  <c r="S378" i="22"/>
  <c r="BO117" i="22"/>
  <c r="W378" i="22"/>
  <c r="BQ117" i="22"/>
  <c r="BR119" i="22"/>
  <c r="Y380" i="22"/>
  <c r="T381" i="22"/>
  <c r="BP120" i="22"/>
  <c r="X381" i="22"/>
  <c r="BR120" i="22"/>
  <c r="BR121" i="22"/>
  <c r="V383" i="22"/>
  <c r="BQ122" i="22"/>
  <c r="BO122" i="22"/>
  <c r="T385" i="22"/>
  <c r="BP124" i="22"/>
  <c r="X385" i="22"/>
  <c r="BR124" i="22"/>
  <c r="BR125" i="22"/>
  <c r="G158" i="22"/>
  <c r="G154" i="22"/>
  <c r="G150" i="22"/>
  <c r="K130" i="22"/>
  <c r="H130" i="22"/>
  <c r="C167" i="22"/>
  <c r="C166" i="22"/>
  <c r="C165" i="22"/>
  <c r="T377" i="22"/>
  <c r="BR15" i="22"/>
  <c r="BR19" i="22"/>
  <c r="F45" i="22"/>
  <c r="F47" i="22"/>
  <c r="F49" i="22"/>
  <c r="F51" i="22"/>
  <c r="BQ65" i="22"/>
  <c r="BR66" i="22"/>
  <c r="K383" i="22"/>
  <c r="BO70" i="22"/>
  <c r="BQ70" i="22"/>
  <c r="BO71" i="22"/>
  <c r="E98" i="22"/>
  <c r="I100" i="22"/>
  <c r="BO118" i="22"/>
  <c r="F157" i="22"/>
  <c r="F153" i="22"/>
  <c r="F149" i="22"/>
  <c r="E157" i="22"/>
  <c r="E153" i="22"/>
  <c r="E149" i="22"/>
  <c r="J129" i="22"/>
  <c r="X377" i="22"/>
  <c r="L100" i="22"/>
  <c r="L104" i="22"/>
  <c r="BO121" i="22"/>
  <c r="BP122" i="22"/>
  <c r="BO125" i="22"/>
  <c r="E131" i="22"/>
  <c r="J131" i="22"/>
  <c r="E138" i="22"/>
  <c r="E139" i="22"/>
  <c r="E150" i="22"/>
  <c r="I152" i="22"/>
  <c r="E154" i="22"/>
  <c r="I156" i="22"/>
  <c r="E158" i="22"/>
  <c r="I160" i="22"/>
  <c r="Y384" i="22"/>
  <c r="BO120" i="22"/>
  <c r="BP121" i="22"/>
  <c r="BO124" i="22"/>
  <c r="BP125" i="22"/>
  <c r="J130" i="22"/>
  <c r="K131" i="22"/>
  <c r="F150" i="22"/>
  <c r="F151" i="22"/>
  <c r="J152" i="22"/>
  <c r="F154" i="22"/>
  <c r="F155" i="22"/>
  <c r="J156" i="22"/>
  <c r="BQ121" i="22"/>
  <c r="BR122" i="22"/>
  <c r="BQ125" i="22"/>
  <c r="K149" i="22"/>
  <c r="G151" i="22"/>
  <c r="K153" i="22"/>
  <c r="G155" i="22"/>
  <c r="J15" i="21"/>
  <c r="B101" i="21" s="1"/>
  <c r="J19" i="21"/>
  <c r="B278" i="21" s="1"/>
  <c r="J43" i="21"/>
  <c r="C272" i="21" s="1"/>
  <c r="J47" i="21"/>
  <c r="C276" i="21" s="1"/>
  <c r="J51" i="21"/>
  <c r="C280" i="21" s="1"/>
  <c r="J75" i="21"/>
  <c r="D274" i="21" s="1"/>
  <c r="J79" i="21"/>
  <c r="D278" i="21" s="1"/>
  <c r="J81" i="21"/>
  <c r="D107" i="21" s="1"/>
  <c r="J14" i="21"/>
  <c r="B273" i="21" s="1"/>
  <c r="J18" i="21"/>
  <c r="B104" i="21" s="1"/>
  <c r="J42" i="21"/>
  <c r="C98" i="21" s="1"/>
  <c r="J46" i="21"/>
  <c r="C275" i="21" s="1"/>
  <c r="J50" i="21"/>
  <c r="C106" i="21" s="1"/>
  <c r="J74" i="21"/>
  <c r="D100" i="21" s="1"/>
  <c r="J78" i="21"/>
  <c r="D104" i="21" s="1"/>
  <c r="J13" i="21"/>
  <c r="B99" i="21" s="1"/>
  <c r="J17" i="21"/>
  <c r="B276" i="21" s="1"/>
  <c r="J21" i="21"/>
  <c r="B107" i="21" s="1"/>
  <c r="J45" i="21"/>
  <c r="C101" i="21" s="1"/>
  <c r="J49" i="21"/>
  <c r="C278" i="21" s="1"/>
  <c r="J73" i="21"/>
  <c r="D272" i="21" s="1"/>
  <c r="J77" i="21"/>
  <c r="D103" i="21" s="1"/>
  <c r="J12" i="21"/>
  <c r="B271" i="21" s="1"/>
  <c r="J16" i="21"/>
  <c r="B275" i="21" s="1"/>
  <c r="J20" i="21"/>
  <c r="B106" i="21" s="1"/>
  <c r="J44" i="21"/>
  <c r="C273" i="21" s="1"/>
  <c r="J48" i="21"/>
  <c r="C104" i="21" s="1"/>
  <c r="J72" i="21"/>
  <c r="D271" i="21" s="1"/>
  <c r="J76" i="21"/>
  <c r="D102" i="21" s="1"/>
  <c r="J80" i="21"/>
  <c r="D106" i="21" s="1"/>
  <c r="C112" i="21"/>
  <c r="C111" i="21"/>
  <c r="J14" i="19"/>
  <c r="J42" i="19"/>
  <c r="J46" i="19"/>
  <c r="J50" i="19"/>
  <c r="J74" i="19"/>
  <c r="J78" i="19"/>
  <c r="J18" i="19"/>
  <c r="J13" i="19"/>
  <c r="J17" i="19"/>
  <c r="J21" i="19"/>
  <c r="J45" i="19"/>
  <c r="J49" i="19"/>
  <c r="J73" i="19"/>
  <c r="J77" i="19"/>
  <c r="J81" i="19"/>
  <c r="J12" i="19"/>
  <c r="J16" i="19"/>
  <c r="J20" i="19"/>
  <c r="J44" i="19"/>
  <c r="J48" i="19"/>
  <c r="J72" i="19"/>
  <c r="J76" i="19"/>
  <c r="J80" i="19"/>
  <c r="J15" i="19"/>
  <c r="J19" i="19"/>
  <c r="J43" i="19"/>
  <c r="J47" i="19"/>
  <c r="J51" i="19"/>
  <c r="J75" i="19"/>
  <c r="J79" i="19"/>
  <c r="C127" i="19"/>
  <c r="C125" i="19"/>
  <c r="D102" i="14"/>
  <c r="E101" i="14" s="1"/>
  <c r="B102" i="14"/>
  <c r="C100" i="14" s="1"/>
  <c r="D94" i="14"/>
  <c r="D93" i="14"/>
  <c r="D9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73" i="14"/>
  <c r="H73" i="14"/>
  <c r="G73" i="14"/>
  <c r="I72" i="14"/>
  <c r="H72" i="14"/>
  <c r="G7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43" i="14"/>
  <c r="H43" i="14"/>
  <c r="G43" i="14"/>
  <c r="I42" i="14"/>
  <c r="H42" i="14"/>
  <c r="G4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I13" i="14"/>
  <c r="H13" i="14"/>
  <c r="G13" i="14"/>
  <c r="I12" i="14"/>
  <c r="H12" i="14"/>
  <c r="G12" i="14"/>
  <c r="E157" i="12"/>
  <c r="E153" i="12"/>
  <c r="E149" i="12"/>
  <c r="E105" i="12"/>
  <c r="E101" i="12"/>
  <c r="E97" i="12"/>
  <c r="E53" i="12"/>
  <c r="E49" i="12"/>
  <c r="E45" i="12"/>
  <c r="X215" i="12"/>
  <c r="H211" i="12"/>
  <c r="H207" i="12"/>
  <c r="N197" i="12"/>
  <c r="I188" i="12"/>
  <c r="V187" i="12"/>
  <c r="V215" i="12" s="1"/>
  <c r="O187" i="12"/>
  <c r="J187" i="12"/>
  <c r="J201" i="12" s="1"/>
  <c r="I187" i="12"/>
  <c r="G186" i="12"/>
  <c r="G214" i="12" s="1"/>
  <c r="C186" i="12"/>
  <c r="X185" i="12"/>
  <c r="X213" i="12" s="1"/>
  <c r="T185" i="12"/>
  <c r="T213" i="12" s="1"/>
  <c r="K185" i="12"/>
  <c r="D185" i="12"/>
  <c r="D213" i="12" s="1"/>
  <c r="P184" i="12"/>
  <c r="E184" i="12"/>
  <c r="T183" i="12"/>
  <c r="Q183" i="12"/>
  <c r="O183" i="12"/>
  <c r="O211" i="12" s="1"/>
  <c r="M183" i="12"/>
  <c r="H183" i="12"/>
  <c r="D183" i="12"/>
  <c r="U182" i="12"/>
  <c r="U210" i="12" s="1"/>
  <c r="L182" i="12"/>
  <c r="L210" i="12" s="1"/>
  <c r="G182" i="12"/>
  <c r="C182" i="12"/>
  <c r="X181" i="12"/>
  <c r="T181" i="12"/>
  <c r="T209" i="12" s="1"/>
  <c r="S181" i="12"/>
  <c r="S209" i="12" s="1"/>
  <c r="O181" i="12"/>
  <c r="O195" i="12" s="1"/>
  <c r="K181" i="12"/>
  <c r="I181" i="12"/>
  <c r="H181" i="12"/>
  <c r="U180" i="12"/>
  <c r="U208" i="12" s="1"/>
  <c r="X179" i="12"/>
  <c r="X207" i="12" s="1"/>
  <c r="T179" i="12"/>
  <c r="T207" i="12" s="1"/>
  <c r="M179" i="12"/>
  <c r="I179" i="12"/>
  <c r="I207" i="12" s="1"/>
  <c r="H179" i="12"/>
  <c r="D179" i="12"/>
  <c r="C179" i="12"/>
  <c r="C207" i="12" s="1"/>
  <c r="B174" i="12"/>
  <c r="C172" i="12" s="1"/>
  <c r="C173" i="12"/>
  <c r="C171" i="12"/>
  <c r="C174" i="12" s="1"/>
  <c r="B166" i="12"/>
  <c r="C165" i="12" s="1"/>
  <c r="C164" i="12"/>
  <c r="C166" i="12" s="1"/>
  <c r="H159" i="12"/>
  <c r="G159" i="12"/>
  <c r="F159" i="12"/>
  <c r="E159" i="12"/>
  <c r="G158" i="12"/>
  <c r="E158" i="12"/>
  <c r="H157" i="12"/>
  <c r="L156" i="12"/>
  <c r="K156" i="12"/>
  <c r="H156" i="12"/>
  <c r="G156" i="12"/>
  <c r="E156" i="12"/>
  <c r="I155" i="12"/>
  <c r="H155" i="12"/>
  <c r="G155" i="12"/>
  <c r="F155" i="12"/>
  <c r="E155" i="12"/>
  <c r="H154" i="12"/>
  <c r="G154" i="12"/>
  <c r="L152" i="12"/>
  <c r="K152" i="12"/>
  <c r="H152" i="12"/>
  <c r="G152" i="12"/>
  <c r="K151" i="12"/>
  <c r="I151" i="12"/>
  <c r="H151" i="12"/>
  <c r="G151" i="12"/>
  <c r="F151" i="12"/>
  <c r="E151" i="12"/>
  <c r="H150" i="12"/>
  <c r="G149" i="12"/>
  <c r="L148" i="12"/>
  <c r="K148" i="12"/>
  <c r="I148" i="12"/>
  <c r="H148" i="12"/>
  <c r="G148" i="12"/>
  <c r="G138" i="12"/>
  <c r="H138" i="12" s="1"/>
  <c r="F138" i="12"/>
  <c r="J138" i="12" s="1"/>
  <c r="I138" i="12" s="1"/>
  <c r="E138" i="12"/>
  <c r="K137" i="12"/>
  <c r="L137" i="12" s="1"/>
  <c r="I137" i="12"/>
  <c r="H137" i="12"/>
  <c r="G137" i="12"/>
  <c r="F137" i="12"/>
  <c r="J137" i="12" s="1"/>
  <c r="E137" i="12"/>
  <c r="H136" i="12"/>
  <c r="G136" i="12"/>
  <c r="K136" i="12" s="1"/>
  <c r="L136" i="12" s="1"/>
  <c r="F136" i="12"/>
  <c r="J136" i="12" s="1"/>
  <c r="K135" i="12"/>
  <c r="J135" i="12"/>
  <c r="K131" i="12"/>
  <c r="J131" i="12"/>
  <c r="I159" i="12" s="1"/>
  <c r="J130" i="12"/>
  <c r="I130" i="12"/>
  <c r="I150" i="12" s="1"/>
  <c r="G130" i="12"/>
  <c r="F130" i="12"/>
  <c r="F158" i="12" s="1"/>
  <c r="E130" i="12"/>
  <c r="E154" i="12" s="1"/>
  <c r="L129" i="12"/>
  <c r="L149" i="12" s="1"/>
  <c r="K129" i="12"/>
  <c r="H129" i="12"/>
  <c r="G129" i="12"/>
  <c r="G157" i="12" s="1"/>
  <c r="F129" i="12"/>
  <c r="K128" i="12"/>
  <c r="J128" i="12"/>
  <c r="I152" i="12" s="1"/>
  <c r="F128" i="12"/>
  <c r="BN124" i="12"/>
  <c r="Y188" i="12" s="1"/>
  <c r="Y216" i="12" s="1"/>
  <c r="BM124" i="12"/>
  <c r="X188" i="12" s="1"/>
  <c r="BL124" i="12"/>
  <c r="W188" i="12" s="1"/>
  <c r="BK124" i="12"/>
  <c r="BQ124" i="12" s="1"/>
  <c r="BJ124" i="12"/>
  <c r="U188" i="12" s="1"/>
  <c r="U216" i="12" s="1"/>
  <c r="BI124" i="12"/>
  <c r="BH124" i="12"/>
  <c r="S188" i="12" s="1"/>
  <c r="BG124" i="12"/>
  <c r="R188" i="12" s="1"/>
  <c r="R216" i="12" s="1"/>
  <c r="J124" i="12"/>
  <c r="I124" i="12"/>
  <c r="H124" i="12"/>
  <c r="G124" i="12"/>
  <c r="BN123" i="12"/>
  <c r="Y187" i="12" s="1"/>
  <c r="Y215" i="12" s="1"/>
  <c r="BM123" i="12"/>
  <c r="X187" i="12" s="1"/>
  <c r="BL123" i="12"/>
  <c r="W187" i="12" s="1"/>
  <c r="W215" i="12" s="1"/>
  <c r="BK123" i="12"/>
  <c r="BJ123" i="12"/>
  <c r="U187" i="12" s="1"/>
  <c r="U215" i="12" s="1"/>
  <c r="BI123" i="12"/>
  <c r="T187" i="12" s="1"/>
  <c r="BH123" i="12"/>
  <c r="BG123" i="12"/>
  <c r="R187" i="12" s="1"/>
  <c r="R215" i="12" s="1"/>
  <c r="I123" i="12"/>
  <c r="H123" i="12"/>
  <c r="J123" i="12" s="1"/>
  <c r="G123" i="12"/>
  <c r="BQ122" i="12"/>
  <c r="BN122" i="12"/>
  <c r="Y186" i="12" s="1"/>
  <c r="BM122" i="12"/>
  <c r="BL122" i="12"/>
  <c r="W186" i="12" s="1"/>
  <c r="W214" i="12" s="1"/>
  <c r="BK122" i="12"/>
  <c r="V186" i="12" s="1"/>
  <c r="V214" i="12" s="1"/>
  <c r="BJ122" i="12"/>
  <c r="U186" i="12" s="1"/>
  <c r="U214" i="12" s="1"/>
  <c r="BI122" i="12"/>
  <c r="BH122" i="12"/>
  <c r="BG122" i="12"/>
  <c r="R186" i="12" s="1"/>
  <c r="R214" i="12" s="1"/>
  <c r="I122" i="12"/>
  <c r="H122" i="12"/>
  <c r="G122" i="12"/>
  <c r="BN121" i="12"/>
  <c r="Y185" i="12" s="1"/>
  <c r="Y213" i="12" s="1"/>
  <c r="BM121" i="12"/>
  <c r="BL121" i="12"/>
  <c r="BK121" i="12"/>
  <c r="V185" i="12" s="1"/>
  <c r="V213" i="12" s="1"/>
  <c r="BJ121" i="12"/>
  <c r="BI121" i="12"/>
  <c r="BH121" i="12"/>
  <c r="BG121" i="12"/>
  <c r="R185" i="12" s="1"/>
  <c r="J121" i="12"/>
  <c r="I121" i="12"/>
  <c r="H121" i="12"/>
  <c r="G121" i="12"/>
  <c r="BN120" i="12"/>
  <c r="Y184" i="12" s="1"/>
  <c r="Y212" i="12" s="1"/>
  <c r="BM120" i="12"/>
  <c r="BR120" i="12" s="1"/>
  <c r="BL120" i="12"/>
  <c r="W184" i="12" s="1"/>
  <c r="BK120" i="12"/>
  <c r="BJ120" i="12"/>
  <c r="U184" i="12" s="1"/>
  <c r="U212" i="12" s="1"/>
  <c r="BI120" i="12"/>
  <c r="BH120" i="12"/>
  <c r="S184" i="12" s="1"/>
  <c r="BG120" i="12"/>
  <c r="R184" i="12" s="1"/>
  <c r="R212" i="12" s="1"/>
  <c r="J120" i="12"/>
  <c r="I120" i="12"/>
  <c r="H120" i="12"/>
  <c r="G120" i="12"/>
  <c r="BN119" i="12"/>
  <c r="Y183" i="12" s="1"/>
  <c r="Y211" i="12" s="1"/>
  <c r="BM119" i="12"/>
  <c r="BR119" i="12" s="1"/>
  <c r="BL119" i="12"/>
  <c r="W183" i="12" s="1"/>
  <c r="W211" i="12" s="1"/>
  <c r="BK119" i="12"/>
  <c r="V183" i="12" s="1"/>
  <c r="V211" i="12" s="1"/>
  <c r="BJ119" i="12"/>
  <c r="U183" i="12" s="1"/>
  <c r="U211" i="12" s="1"/>
  <c r="BI119" i="12"/>
  <c r="BP119" i="12" s="1"/>
  <c r="BH119" i="12"/>
  <c r="BO119" i="12" s="1"/>
  <c r="BG119" i="12"/>
  <c r="R183" i="12" s="1"/>
  <c r="R211" i="12" s="1"/>
  <c r="I119" i="12"/>
  <c r="H119" i="12"/>
  <c r="J119" i="12" s="1"/>
  <c r="G119" i="12"/>
  <c r="BN118" i="12"/>
  <c r="Y182" i="12" s="1"/>
  <c r="BM118" i="12"/>
  <c r="BL118" i="12"/>
  <c r="BQ118" i="12" s="1"/>
  <c r="BK118" i="12"/>
  <c r="V182" i="12" s="1"/>
  <c r="BJ118" i="12"/>
  <c r="BI118" i="12"/>
  <c r="BH118" i="12"/>
  <c r="S182" i="12" s="1"/>
  <c r="S210" i="12" s="1"/>
  <c r="BG118" i="12"/>
  <c r="R182" i="12" s="1"/>
  <c r="I118" i="12"/>
  <c r="H118" i="12"/>
  <c r="G118" i="12"/>
  <c r="BN117" i="12"/>
  <c r="Y181" i="12" s="1"/>
  <c r="Y209" i="12" s="1"/>
  <c r="BM117" i="12"/>
  <c r="BL117" i="12"/>
  <c r="BQ117" i="12" s="1"/>
  <c r="BK117" i="12"/>
  <c r="V181" i="12" s="1"/>
  <c r="V209" i="12" s="1"/>
  <c r="BJ117" i="12"/>
  <c r="BI117" i="12"/>
  <c r="BH117" i="12"/>
  <c r="BO117" i="12" s="1"/>
  <c r="BG117" i="12"/>
  <c r="R181" i="12" s="1"/>
  <c r="J117" i="12"/>
  <c r="I117" i="12"/>
  <c r="H117" i="12"/>
  <c r="G117" i="12"/>
  <c r="BN116" i="12"/>
  <c r="Y180" i="12" s="1"/>
  <c r="Y208" i="12" s="1"/>
  <c r="BM116" i="12"/>
  <c r="BR116" i="12" s="1"/>
  <c r="BL116" i="12"/>
  <c r="W180" i="12" s="1"/>
  <c r="W208" i="12" s="1"/>
  <c r="BK116" i="12"/>
  <c r="BJ116" i="12"/>
  <c r="BI116" i="12"/>
  <c r="BH116" i="12"/>
  <c r="S180" i="12" s="1"/>
  <c r="BG116" i="12"/>
  <c r="R180" i="12" s="1"/>
  <c r="R208" i="12" s="1"/>
  <c r="J116" i="12"/>
  <c r="I116" i="12"/>
  <c r="H116" i="12"/>
  <c r="G116" i="12"/>
  <c r="BP115" i="12"/>
  <c r="BN115" i="12"/>
  <c r="Y179" i="12" s="1"/>
  <c r="BM115" i="12"/>
  <c r="BR115" i="12" s="1"/>
  <c r="BL115" i="12"/>
  <c r="W179" i="12" s="1"/>
  <c r="W207" i="12" s="1"/>
  <c r="BK115" i="12"/>
  <c r="V179" i="12" s="1"/>
  <c r="V207" i="12" s="1"/>
  <c r="BJ115" i="12"/>
  <c r="U179" i="12" s="1"/>
  <c r="U207" i="12" s="1"/>
  <c r="BI115" i="12"/>
  <c r="BH115" i="12"/>
  <c r="BG115" i="12"/>
  <c r="R179" i="12" s="1"/>
  <c r="R207" i="12" s="1"/>
  <c r="I115" i="12"/>
  <c r="H115" i="12"/>
  <c r="J115" i="12" s="1"/>
  <c r="G115" i="12"/>
  <c r="H107" i="12"/>
  <c r="G107" i="12"/>
  <c r="F107" i="12"/>
  <c r="E107" i="12"/>
  <c r="G106" i="12"/>
  <c r="J105" i="12"/>
  <c r="F105" i="12"/>
  <c r="L104" i="12"/>
  <c r="H104" i="12"/>
  <c r="G104" i="12"/>
  <c r="K103" i="12"/>
  <c r="J103" i="12"/>
  <c r="H103" i="12"/>
  <c r="G103" i="12"/>
  <c r="F103" i="12"/>
  <c r="E103" i="12"/>
  <c r="F101" i="12"/>
  <c r="H100" i="12"/>
  <c r="G100" i="12"/>
  <c r="L99" i="12"/>
  <c r="K99" i="12"/>
  <c r="H99" i="12"/>
  <c r="G99" i="12"/>
  <c r="F99" i="12"/>
  <c r="E99" i="12"/>
  <c r="K96" i="12"/>
  <c r="H96" i="12"/>
  <c r="G96" i="12"/>
  <c r="F96" i="12"/>
  <c r="L86" i="12"/>
  <c r="H86" i="12"/>
  <c r="G86" i="12"/>
  <c r="K86" i="12" s="1"/>
  <c r="F86" i="12"/>
  <c r="E86" i="12" s="1"/>
  <c r="K85" i="12"/>
  <c r="L85" i="12" s="1"/>
  <c r="J85" i="12"/>
  <c r="I85" i="12" s="1"/>
  <c r="H85" i="12"/>
  <c r="G85" i="12"/>
  <c r="F85" i="12"/>
  <c r="E85" i="12" s="1"/>
  <c r="G84" i="12"/>
  <c r="F84" i="12"/>
  <c r="J84" i="12" s="1"/>
  <c r="K83" i="12"/>
  <c r="J83" i="12"/>
  <c r="K79" i="12"/>
  <c r="J79" i="12"/>
  <c r="G78" i="12"/>
  <c r="F78" i="12"/>
  <c r="F98" i="12" s="1"/>
  <c r="J77" i="12"/>
  <c r="G77" i="12"/>
  <c r="F77" i="12"/>
  <c r="K76" i="12"/>
  <c r="K104" i="12" s="1"/>
  <c r="F76" i="12"/>
  <c r="BN72" i="12"/>
  <c r="Q188" i="12" s="1"/>
  <c r="BM72" i="12"/>
  <c r="P188" i="12" s="1"/>
  <c r="BL72" i="12"/>
  <c r="O188" i="12" s="1"/>
  <c r="BK72" i="12"/>
  <c r="N188" i="12" s="1"/>
  <c r="BJ72" i="12"/>
  <c r="M188" i="12" s="1"/>
  <c r="BI72" i="12"/>
  <c r="L188" i="12" s="1"/>
  <c r="L216" i="12" s="1"/>
  <c r="BH72" i="12"/>
  <c r="BG72" i="12"/>
  <c r="J188" i="12" s="1"/>
  <c r="I72" i="12"/>
  <c r="H72" i="12"/>
  <c r="J72" i="12" s="1"/>
  <c r="G72" i="12"/>
  <c r="BN71" i="12"/>
  <c r="Q187" i="12" s="1"/>
  <c r="Q215" i="12" s="1"/>
  <c r="BM71" i="12"/>
  <c r="BL71" i="12"/>
  <c r="BK71" i="12"/>
  <c r="N187" i="12" s="1"/>
  <c r="BJ71" i="12"/>
  <c r="M187" i="12" s="1"/>
  <c r="BI71" i="12"/>
  <c r="BH71" i="12"/>
  <c r="K187" i="12" s="1"/>
  <c r="BG71" i="12"/>
  <c r="BO71" i="12" s="1"/>
  <c r="I71" i="12"/>
  <c r="H71" i="12"/>
  <c r="G71" i="12"/>
  <c r="BN70" i="12"/>
  <c r="Q186" i="12" s="1"/>
  <c r="Q214" i="12" s="1"/>
  <c r="BM70" i="12"/>
  <c r="P186" i="12" s="1"/>
  <c r="P200" i="12" s="1"/>
  <c r="BL70" i="12"/>
  <c r="BK70" i="12"/>
  <c r="N186" i="12" s="1"/>
  <c r="BJ70" i="12"/>
  <c r="BP70" i="12" s="1"/>
  <c r="BI70" i="12"/>
  <c r="L186" i="12" s="1"/>
  <c r="BH70" i="12"/>
  <c r="BG70" i="12"/>
  <c r="J186" i="12" s="1"/>
  <c r="J214" i="12" s="1"/>
  <c r="J70" i="12"/>
  <c r="I70" i="12"/>
  <c r="H70" i="12"/>
  <c r="G70" i="12"/>
  <c r="BN69" i="12"/>
  <c r="Q185" i="12" s="1"/>
  <c r="BM69" i="12"/>
  <c r="BL69" i="12"/>
  <c r="O185" i="12" s="1"/>
  <c r="BK69" i="12"/>
  <c r="BJ69" i="12"/>
  <c r="M185" i="12" s="1"/>
  <c r="BI69" i="12"/>
  <c r="BH69" i="12"/>
  <c r="BG69" i="12"/>
  <c r="J185" i="12" s="1"/>
  <c r="J69" i="12"/>
  <c r="I69" i="12"/>
  <c r="H69" i="12"/>
  <c r="G69" i="12"/>
  <c r="BN68" i="12"/>
  <c r="Q184" i="12" s="1"/>
  <c r="BM68" i="12"/>
  <c r="BL68" i="12"/>
  <c r="O184" i="12" s="1"/>
  <c r="O212" i="12" s="1"/>
  <c r="BK68" i="12"/>
  <c r="N184" i="12" s="1"/>
  <c r="N212" i="12" s="1"/>
  <c r="BJ68" i="12"/>
  <c r="M184" i="12" s="1"/>
  <c r="M198" i="12" s="1"/>
  <c r="BI68" i="12"/>
  <c r="L184" i="12" s="1"/>
  <c r="BH68" i="12"/>
  <c r="BG68" i="12"/>
  <c r="J184" i="12" s="1"/>
  <c r="I68" i="12"/>
  <c r="H68" i="12"/>
  <c r="J68" i="12" s="1"/>
  <c r="G68" i="12"/>
  <c r="BN67" i="12"/>
  <c r="BM67" i="12"/>
  <c r="BL67" i="12"/>
  <c r="BK67" i="12"/>
  <c r="N183" i="12" s="1"/>
  <c r="N211" i="12" s="1"/>
  <c r="BJ67" i="12"/>
  <c r="BI67" i="12"/>
  <c r="BH67" i="12"/>
  <c r="K183" i="12" s="1"/>
  <c r="BG67" i="12"/>
  <c r="J183" i="12" s="1"/>
  <c r="I67" i="12"/>
  <c r="H67" i="12"/>
  <c r="G67" i="12"/>
  <c r="J67" i="12" s="1"/>
  <c r="BR66" i="12"/>
  <c r="BP66" i="12"/>
  <c r="BN66" i="12"/>
  <c r="Q182" i="12" s="1"/>
  <c r="BM66" i="12"/>
  <c r="P182" i="12" s="1"/>
  <c r="BL66" i="12"/>
  <c r="BK66" i="12"/>
  <c r="N182" i="12" s="1"/>
  <c r="BJ66" i="12"/>
  <c r="M182" i="12" s="1"/>
  <c r="BI66" i="12"/>
  <c r="BH66" i="12"/>
  <c r="BG66" i="12"/>
  <c r="J182" i="12" s="1"/>
  <c r="I66" i="12"/>
  <c r="H66" i="12"/>
  <c r="J66" i="12" s="1"/>
  <c r="G66" i="12"/>
  <c r="BN65" i="12"/>
  <c r="Q181" i="12" s="1"/>
  <c r="BM65" i="12"/>
  <c r="P181" i="12" s="1"/>
  <c r="P195" i="12" s="1"/>
  <c r="BL65" i="12"/>
  <c r="BK65" i="12"/>
  <c r="N181" i="12" s="1"/>
  <c r="BJ65" i="12"/>
  <c r="M181" i="12" s="1"/>
  <c r="BI65" i="12"/>
  <c r="BH65" i="12"/>
  <c r="BG65" i="12"/>
  <c r="J181" i="12" s="1"/>
  <c r="I65" i="12"/>
  <c r="J65" i="12" s="1"/>
  <c r="H65" i="12"/>
  <c r="G65" i="12"/>
  <c r="BN64" i="12"/>
  <c r="Q180" i="12" s="1"/>
  <c r="BM64" i="12"/>
  <c r="BR64" i="12" s="1"/>
  <c r="BL64" i="12"/>
  <c r="O180" i="12" s="1"/>
  <c r="O208" i="12" s="1"/>
  <c r="BK64" i="12"/>
  <c r="N180" i="12" s="1"/>
  <c r="BJ64" i="12"/>
  <c r="M180" i="12" s="1"/>
  <c r="M194" i="12" s="1"/>
  <c r="BI64" i="12"/>
  <c r="L180" i="12" s="1"/>
  <c r="L194" i="12" s="1"/>
  <c r="BH64" i="12"/>
  <c r="BG64" i="12"/>
  <c r="J180" i="12" s="1"/>
  <c r="J208" i="12" s="1"/>
  <c r="J64" i="12"/>
  <c r="I64" i="12"/>
  <c r="H64" i="12"/>
  <c r="G64" i="12"/>
  <c r="BP63" i="12"/>
  <c r="BN63" i="12"/>
  <c r="Q179" i="12" s="1"/>
  <c r="Q193" i="12" s="1"/>
  <c r="BM63" i="12"/>
  <c r="BL63" i="12"/>
  <c r="BK63" i="12"/>
  <c r="N179" i="12" s="1"/>
  <c r="BJ63" i="12"/>
  <c r="BI63" i="12"/>
  <c r="L179" i="12" s="1"/>
  <c r="BH63" i="12"/>
  <c r="K179" i="12" s="1"/>
  <c r="K207" i="12" s="1"/>
  <c r="BG63" i="12"/>
  <c r="J179" i="12" s="1"/>
  <c r="J207" i="12" s="1"/>
  <c r="I63" i="12"/>
  <c r="H63" i="12"/>
  <c r="G63" i="12"/>
  <c r="J63" i="12" s="1"/>
  <c r="K55" i="12"/>
  <c r="H55" i="12"/>
  <c r="G55" i="12"/>
  <c r="F55" i="12"/>
  <c r="E55" i="12"/>
  <c r="G54" i="12"/>
  <c r="F54" i="12"/>
  <c r="K53" i="12"/>
  <c r="J53" i="12"/>
  <c r="I53" i="12"/>
  <c r="G53" i="12"/>
  <c r="F53" i="12"/>
  <c r="K52" i="12"/>
  <c r="H52" i="12"/>
  <c r="G52" i="12"/>
  <c r="F52" i="12"/>
  <c r="E52" i="12"/>
  <c r="K51" i="12"/>
  <c r="J51" i="12"/>
  <c r="H51" i="12"/>
  <c r="G51" i="12"/>
  <c r="F51" i="12"/>
  <c r="E51" i="12"/>
  <c r="K49" i="12"/>
  <c r="G49" i="12"/>
  <c r="F49" i="12"/>
  <c r="I48" i="12"/>
  <c r="H48" i="12"/>
  <c r="G48" i="12"/>
  <c r="F48" i="12"/>
  <c r="E48" i="12"/>
  <c r="K47" i="12"/>
  <c r="H47" i="12"/>
  <c r="G47" i="12"/>
  <c r="F47" i="12"/>
  <c r="E47" i="12"/>
  <c r="G46" i="12"/>
  <c r="F46" i="12"/>
  <c r="K45" i="12"/>
  <c r="J45" i="12"/>
  <c r="I45" i="12"/>
  <c r="G45" i="12"/>
  <c r="F45" i="12"/>
  <c r="K44" i="12"/>
  <c r="H44" i="12"/>
  <c r="G44" i="12"/>
  <c r="F44" i="12"/>
  <c r="E44" i="12"/>
  <c r="K34" i="12"/>
  <c r="L34" i="12" s="1"/>
  <c r="J34" i="12"/>
  <c r="I34" i="12" s="1"/>
  <c r="G34" i="12"/>
  <c r="H34" i="12" s="1"/>
  <c r="F34" i="12"/>
  <c r="E34" i="12"/>
  <c r="J33" i="12"/>
  <c r="I33" i="12"/>
  <c r="G33" i="12"/>
  <c r="H33" i="12" s="1"/>
  <c r="F33" i="12"/>
  <c r="E33" i="12"/>
  <c r="K32" i="12"/>
  <c r="L32" i="12" s="1"/>
  <c r="J32" i="12"/>
  <c r="H32" i="12"/>
  <c r="G32" i="12"/>
  <c r="F32" i="12"/>
  <c r="K31" i="12"/>
  <c r="J31" i="12"/>
  <c r="K27" i="12"/>
  <c r="L55" i="12" s="1"/>
  <c r="J27" i="12"/>
  <c r="I51" i="12" s="1"/>
  <c r="K26" i="12"/>
  <c r="K50" i="12" s="1"/>
  <c r="G26" i="12"/>
  <c r="F26" i="12"/>
  <c r="J26" i="12" s="1"/>
  <c r="E26" i="12"/>
  <c r="E54" i="12" s="1"/>
  <c r="K25" i="12"/>
  <c r="J25" i="12"/>
  <c r="J49" i="12" s="1"/>
  <c r="H25" i="12"/>
  <c r="G25" i="12"/>
  <c r="H53" i="12" s="1"/>
  <c r="F25" i="12"/>
  <c r="K24" i="12"/>
  <c r="J24" i="12"/>
  <c r="J52" i="12" s="1"/>
  <c r="F24" i="12"/>
  <c r="BN20" i="12"/>
  <c r="BM20" i="12"/>
  <c r="BL20" i="12"/>
  <c r="G188" i="12" s="1"/>
  <c r="BK20" i="12"/>
  <c r="F188" i="12" s="1"/>
  <c r="BJ20" i="12"/>
  <c r="E188" i="12" s="1"/>
  <c r="BI20" i="12"/>
  <c r="D188" i="12" s="1"/>
  <c r="BH20" i="12"/>
  <c r="C188" i="12" s="1"/>
  <c r="BG20" i="12"/>
  <c r="B188" i="12" s="1"/>
  <c r="I20" i="12"/>
  <c r="H20" i="12"/>
  <c r="G20" i="12"/>
  <c r="BR19" i="12"/>
  <c r="BN19" i="12"/>
  <c r="BM19" i="12"/>
  <c r="H187" i="12" s="1"/>
  <c r="BL19" i="12"/>
  <c r="BK19" i="12"/>
  <c r="F187" i="12" s="1"/>
  <c r="F215" i="12" s="1"/>
  <c r="BJ19" i="12"/>
  <c r="E187" i="12" s="1"/>
  <c r="BI19" i="12"/>
  <c r="D187" i="12" s="1"/>
  <c r="BH19" i="12"/>
  <c r="C187" i="12" s="1"/>
  <c r="BG19" i="12"/>
  <c r="B187" i="12" s="1"/>
  <c r="J19" i="12"/>
  <c r="I19" i="12"/>
  <c r="H19" i="12"/>
  <c r="G19" i="12"/>
  <c r="BN18" i="12"/>
  <c r="I186" i="12" s="1"/>
  <c r="BM18" i="12"/>
  <c r="H186" i="12" s="1"/>
  <c r="BL18" i="12"/>
  <c r="BK18" i="12"/>
  <c r="F186" i="12" s="1"/>
  <c r="F214" i="12" s="1"/>
  <c r="BJ18" i="12"/>
  <c r="E186" i="12" s="1"/>
  <c r="BI18" i="12"/>
  <c r="BH18" i="12"/>
  <c r="BG18" i="12"/>
  <c r="B186" i="12" s="1"/>
  <c r="J18" i="12"/>
  <c r="I18" i="12"/>
  <c r="H18" i="12"/>
  <c r="G18" i="12"/>
  <c r="BN17" i="12"/>
  <c r="I185" i="12" s="1"/>
  <c r="BM17" i="12"/>
  <c r="H185" i="12" s="1"/>
  <c r="BL17" i="12"/>
  <c r="G185" i="12" s="1"/>
  <c r="BK17" i="12"/>
  <c r="F185" i="12" s="1"/>
  <c r="BJ17" i="12"/>
  <c r="E185" i="12" s="1"/>
  <c r="E213" i="12" s="1"/>
  <c r="BI17" i="12"/>
  <c r="BP17" i="12" s="1"/>
  <c r="BH17" i="12"/>
  <c r="BO17" i="12" s="1"/>
  <c r="BG17" i="12"/>
  <c r="B185" i="12" s="1"/>
  <c r="I17" i="12"/>
  <c r="H17" i="12"/>
  <c r="J17" i="12" s="1"/>
  <c r="G17" i="12"/>
  <c r="BN16" i="12"/>
  <c r="I184" i="12" s="1"/>
  <c r="BM16" i="12"/>
  <c r="BL16" i="12"/>
  <c r="G184" i="12" s="1"/>
  <c r="BK16" i="12"/>
  <c r="F184" i="12" s="1"/>
  <c r="F212" i="12" s="1"/>
  <c r="BJ16" i="12"/>
  <c r="BI16" i="12"/>
  <c r="D184" i="12" s="1"/>
  <c r="D212" i="12" s="1"/>
  <c r="BH16" i="12"/>
  <c r="C184" i="12" s="1"/>
  <c r="BG16" i="12"/>
  <c r="B184" i="12" s="1"/>
  <c r="I16" i="12"/>
  <c r="H16" i="12"/>
  <c r="G16" i="12"/>
  <c r="BR15" i="12"/>
  <c r="BN15" i="12"/>
  <c r="I183" i="12" s="1"/>
  <c r="BM15" i="12"/>
  <c r="BL15" i="12"/>
  <c r="BK15" i="12"/>
  <c r="F183" i="12" s="1"/>
  <c r="BJ15" i="12"/>
  <c r="E183" i="12" s="1"/>
  <c r="BI15" i="12"/>
  <c r="BH15" i="12"/>
  <c r="C183" i="12" s="1"/>
  <c r="BG15" i="12"/>
  <c r="B183" i="12" s="1"/>
  <c r="B211" i="12" s="1"/>
  <c r="J15" i="12"/>
  <c r="I15" i="12"/>
  <c r="H15" i="12"/>
  <c r="G15" i="12"/>
  <c r="BN14" i="12"/>
  <c r="I182" i="12" s="1"/>
  <c r="I210" i="12" s="1"/>
  <c r="BM14" i="12"/>
  <c r="H182" i="12" s="1"/>
  <c r="BL14" i="12"/>
  <c r="BK14" i="12"/>
  <c r="F182" i="12" s="1"/>
  <c r="BJ14" i="12"/>
  <c r="E182" i="12" s="1"/>
  <c r="BI14" i="12"/>
  <c r="BH14" i="12"/>
  <c r="BG14" i="12"/>
  <c r="B182" i="12" s="1"/>
  <c r="B210" i="12" s="1"/>
  <c r="J14" i="12"/>
  <c r="I14" i="12"/>
  <c r="H14" i="12"/>
  <c r="G14" i="12"/>
  <c r="BP13" i="12"/>
  <c r="BN13" i="12"/>
  <c r="BM13" i="12"/>
  <c r="BR13" i="12" s="1"/>
  <c r="BL13" i="12"/>
  <c r="G181" i="12" s="1"/>
  <c r="G209" i="12" s="1"/>
  <c r="BK13" i="12"/>
  <c r="F181" i="12" s="1"/>
  <c r="BJ13" i="12"/>
  <c r="E181" i="12" s="1"/>
  <c r="E209" i="12" s="1"/>
  <c r="BI13" i="12"/>
  <c r="D181" i="12" s="1"/>
  <c r="BH13" i="12"/>
  <c r="BO13" i="12" s="1"/>
  <c r="BG13" i="12"/>
  <c r="B181" i="12" s="1"/>
  <c r="B195" i="12" s="1"/>
  <c r="I13" i="12"/>
  <c r="H13" i="12"/>
  <c r="J13" i="12" s="1"/>
  <c r="G13" i="12"/>
  <c r="BN12" i="12"/>
  <c r="I180" i="12" s="1"/>
  <c r="BM12" i="12"/>
  <c r="BL12" i="12"/>
  <c r="G180" i="12" s="1"/>
  <c r="G208" i="12" s="1"/>
  <c r="BK12" i="12"/>
  <c r="F180" i="12" s="1"/>
  <c r="BJ12" i="12"/>
  <c r="E180" i="12" s="1"/>
  <c r="BI12" i="12"/>
  <c r="D180" i="12" s="1"/>
  <c r="BH12" i="12"/>
  <c r="C180" i="12" s="1"/>
  <c r="BG12" i="12"/>
  <c r="B180" i="12" s="1"/>
  <c r="B208" i="12" s="1"/>
  <c r="I12" i="12"/>
  <c r="H12" i="12"/>
  <c r="G12" i="12"/>
  <c r="BR11" i="12"/>
  <c r="BN11" i="12"/>
  <c r="BM11" i="12"/>
  <c r="BL11" i="12"/>
  <c r="BK11" i="12"/>
  <c r="F179" i="12" s="1"/>
  <c r="BJ11" i="12"/>
  <c r="E179" i="12" s="1"/>
  <c r="E207" i="12" s="1"/>
  <c r="BI11" i="12"/>
  <c r="BH11" i="12"/>
  <c r="BG11" i="12"/>
  <c r="B179" i="12" s="1"/>
  <c r="J11" i="12"/>
  <c r="I11" i="12"/>
  <c r="H11" i="12"/>
  <c r="G11" i="12"/>
  <c r="AG304" i="23" l="1"/>
  <c r="AG302" i="23"/>
  <c r="AB301" i="23"/>
  <c r="AC301" i="23"/>
  <c r="Z300" i="23"/>
  <c r="F300" i="23"/>
  <c r="AD300" i="23" s="1"/>
  <c r="G300" i="23"/>
  <c r="AE300" i="23" s="1"/>
  <c r="E300" i="23"/>
  <c r="AC300" i="23" s="1"/>
  <c r="H300" i="23"/>
  <c r="AF300" i="23" s="1"/>
  <c r="C300" i="23"/>
  <c r="AA300" i="23" s="1"/>
  <c r="D300" i="23"/>
  <c r="AB300" i="23" s="1"/>
  <c r="I300" i="23"/>
  <c r="AG300" i="23" s="1"/>
  <c r="D298" i="23"/>
  <c r="AB298" i="23" s="1"/>
  <c r="H298" i="23"/>
  <c r="AF298" i="23" s="1"/>
  <c r="E298" i="23"/>
  <c r="C298" i="23"/>
  <c r="I298" i="23"/>
  <c r="AG298" i="23" s="1"/>
  <c r="G298" i="23"/>
  <c r="AE298" i="23" s="1"/>
  <c r="F298" i="23"/>
  <c r="AD298" i="23" s="1"/>
  <c r="B298" i="23"/>
  <c r="Z298" i="23" s="1"/>
  <c r="D235" i="24"/>
  <c r="C246" i="24"/>
  <c r="C214" i="24"/>
  <c r="G209" i="24"/>
  <c r="D223" i="24"/>
  <c r="G241" i="24"/>
  <c r="C238" i="24"/>
  <c r="H222" i="24"/>
  <c r="I235" i="24"/>
  <c r="I211" i="24"/>
  <c r="C242" i="24"/>
  <c r="H214" i="24"/>
  <c r="D231" i="24"/>
  <c r="C234" i="24"/>
  <c r="D222" i="24"/>
  <c r="H238" i="24"/>
  <c r="I217" i="24"/>
  <c r="G217" i="24"/>
  <c r="B241" i="24"/>
  <c r="C218" i="24"/>
  <c r="G229" i="24"/>
  <c r="I246" i="24"/>
  <c r="B227" i="24"/>
  <c r="C222" i="24"/>
  <c r="G219" i="24"/>
  <c r="C223" i="24"/>
  <c r="C221" i="24"/>
  <c r="C235" i="24"/>
  <c r="C219" i="24"/>
  <c r="G218" i="24"/>
  <c r="G238" i="24"/>
  <c r="D230" i="24"/>
  <c r="H226" i="24"/>
  <c r="B225" i="24"/>
  <c r="C239" i="24"/>
  <c r="H235" i="24"/>
  <c r="B246" i="24"/>
  <c r="B245" i="24"/>
  <c r="C213" i="24"/>
  <c r="G242" i="24"/>
  <c r="H215" i="24"/>
  <c r="I229" i="24"/>
  <c r="C209" i="24"/>
  <c r="C243" i="24"/>
  <c r="D211" i="24"/>
  <c r="I219" i="24"/>
  <c r="D215" i="24"/>
  <c r="G237" i="24"/>
  <c r="H209" i="24"/>
  <c r="H229" i="24"/>
  <c r="G257" i="24" s="1"/>
  <c r="B209" i="24"/>
  <c r="B247" i="24"/>
  <c r="C245" i="24"/>
  <c r="C231" i="24"/>
  <c r="C227" i="24"/>
  <c r="D256" i="24" s="1"/>
  <c r="D219" i="24"/>
  <c r="B230" i="24"/>
  <c r="B239" i="24"/>
  <c r="G223" i="24"/>
  <c r="D237" i="24"/>
  <c r="I222" i="24"/>
  <c r="I242" i="24"/>
  <c r="H237" i="24"/>
  <c r="I213" i="24"/>
  <c r="D227" i="24"/>
  <c r="C217" i="24"/>
  <c r="H234" i="24"/>
  <c r="G211" i="24"/>
  <c r="H218" i="24"/>
  <c r="D239" i="24"/>
  <c r="I221" i="24"/>
  <c r="D209" i="24"/>
  <c r="C225" i="24"/>
  <c r="B233" i="24"/>
  <c r="I234" i="24"/>
  <c r="D218" i="24"/>
  <c r="D245" i="24"/>
  <c r="G246" i="24"/>
  <c r="H261" i="24" s="1"/>
  <c r="G222" i="24"/>
  <c r="I230" i="24"/>
  <c r="H211" i="24"/>
  <c r="D225" i="24"/>
  <c r="H221" i="24"/>
  <c r="G255" i="24" s="1"/>
  <c r="I247" i="24"/>
  <c r="D238" i="24"/>
  <c r="B219" i="24"/>
  <c r="H247" i="24"/>
  <c r="B211" i="24"/>
  <c r="D213" i="24"/>
  <c r="H246" i="24"/>
  <c r="C241" i="24"/>
  <c r="I239" i="24"/>
  <c r="H239" i="24"/>
  <c r="G239" i="24"/>
  <c r="I214" i="24"/>
  <c r="H231" i="24"/>
  <c r="B214" i="24"/>
  <c r="H227" i="24"/>
  <c r="G227" i="24"/>
  <c r="I227" i="24"/>
  <c r="I215" i="24"/>
  <c r="G213" i="24"/>
  <c r="G214" i="24"/>
  <c r="D242" i="24"/>
  <c r="H223" i="24"/>
  <c r="I231" i="24"/>
  <c r="C247" i="24"/>
  <c r="B237" i="24"/>
  <c r="I226" i="24"/>
  <c r="B213" i="24"/>
  <c r="B235" i="24"/>
  <c r="C210" i="24"/>
  <c r="H233" i="24"/>
  <c r="G233" i="24"/>
  <c r="I233" i="24"/>
  <c r="G230" i="24"/>
  <c r="B226" i="24"/>
  <c r="I218" i="24"/>
  <c r="H254" i="24" s="1"/>
  <c r="B223" i="24"/>
  <c r="C233" i="24"/>
  <c r="H225" i="24"/>
  <c r="G225" i="24"/>
  <c r="I225" i="24"/>
  <c r="G221" i="24"/>
  <c r="H213" i="24"/>
  <c r="H242" i="24"/>
  <c r="D217" i="24"/>
  <c r="I223" i="24"/>
  <c r="D247" i="24"/>
  <c r="C237" i="24"/>
  <c r="B215" i="24"/>
  <c r="I237" i="24"/>
  <c r="I210" i="24"/>
  <c r="H210" i="24"/>
  <c r="G210" i="24"/>
  <c r="G235" i="24"/>
  <c r="I258" i="24" s="1"/>
  <c r="H219" i="24"/>
  <c r="B243" i="24"/>
  <c r="H217" i="24"/>
  <c r="B218" i="24"/>
  <c r="C254" i="24" s="1"/>
  <c r="D210" i="24"/>
  <c r="D246" i="24"/>
  <c r="D241" i="24"/>
  <c r="D234" i="24"/>
  <c r="C230" i="24"/>
  <c r="H241" i="24"/>
  <c r="H230" i="24"/>
  <c r="I209" i="24"/>
  <c r="C226" i="24"/>
  <c r="G215" i="24"/>
  <c r="B221" i="24"/>
  <c r="D233" i="24"/>
  <c r="B222" i="24"/>
  <c r="C211" i="24"/>
  <c r="B210" i="24"/>
  <c r="G245" i="24"/>
  <c r="I245" i="24"/>
  <c r="H245" i="24"/>
  <c r="B234" i="24"/>
  <c r="D221" i="24"/>
  <c r="I238" i="24"/>
  <c r="B238" i="24"/>
  <c r="B242" i="24"/>
  <c r="B217" i="24"/>
  <c r="G231" i="24"/>
  <c r="D214" i="24"/>
  <c r="G226" i="24"/>
  <c r="C215" i="24"/>
  <c r="D229" i="24"/>
  <c r="C229" i="24"/>
  <c r="B229" i="24"/>
  <c r="G234" i="24"/>
  <c r="G247" i="24"/>
  <c r="H243" i="24"/>
  <c r="G243" i="24"/>
  <c r="I241" i="24"/>
  <c r="D226" i="24"/>
  <c r="B231" i="24"/>
  <c r="AK302" i="23"/>
  <c r="Z299" i="23"/>
  <c r="AH299" i="23" s="1"/>
  <c r="AE299" i="23"/>
  <c r="AF299" i="23"/>
  <c r="AK299" i="23" s="1"/>
  <c r="AC299" i="23"/>
  <c r="AA298" i="23"/>
  <c r="AC295" i="23"/>
  <c r="B334" i="23" s="1"/>
  <c r="AG295" i="23"/>
  <c r="AK295" i="23" s="1"/>
  <c r="AC298" i="23"/>
  <c r="AE297" i="23"/>
  <c r="AJ297" i="23" s="1"/>
  <c r="AD299" i="23"/>
  <c r="AJ295" i="23"/>
  <c r="B340" i="23"/>
  <c r="AG303" i="23"/>
  <c r="AE301" i="23"/>
  <c r="AJ301" i="23" s="1"/>
  <c r="Z303" i="23"/>
  <c r="B342" i="23" s="1"/>
  <c r="AE303" i="23"/>
  <c r="AC302" i="23"/>
  <c r="AB304" i="23"/>
  <c r="AI304" i="23" s="1"/>
  <c r="AD303" i="23"/>
  <c r="AG297" i="23"/>
  <c r="AH301" i="23"/>
  <c r="Z302" i="23"/>
  <c r="AH302" i="23" s="1"/>
  <c r="AG301" i="23"/>
  <c r="AF297" i="23"/>
  <c r="AB302" i="23"/>
  <c r="AH295" i="23"/>
  <c r="AJ298" i="23"/>
  <c r="AF304" i="23"/>
  <c r="AJ296" i="23"/>
  <c r="AF301" i="23"/>
  <c r="Z304" i="23"/>
  <c r="AB303" i="23"/>
  <c r="AI303" i="23" s="1"/>
  <c r="B336" i="23"/>
  <c r="AA304" i="23"/>
  <c r="AD304" i="23"/>
  <c r="AJ304" i="23" s="1"/>
  <c r="B335" i="23"/>
  <c r="AH296" i="23"/>
  <c r="B324" i="23"/>
  <c r="AH297" i="23"/>
  <c r="AI297" i="23"/>
  <c r="AJ300" i="23"/>
  <c r="AJ302" i="23"/>
  <c r="AM302" i="23" s="1"/>
  <c r="B328" i="23"/>
  <c r="AI301" i="23"/>
  <c r="AK296" i="23"/>
  <c r="AH300" i="23"/>
  <c r="AI296" i="23"/>
  <c r="B323" i="23"/>
  <c r="J102" i="22"/>
  <c r="BS119" i="22"/>
  <c r="BT70" i="22"/>
  <c r="BT14" i="22"/>
  <c r="BT124" i="22"/>
  <c r="J106" i="22"/>
  <c r="J98" i="22"/>
  <c r="BS19" i="22"/>
  <c r="BS15" i="22"/>
  <c r="BS73" i="22"/>
  <c r="BS66" i="22"/>
  <c r="L26" i="22"/>
  <c r="L54" i="22" s="1"/>
  <c r="I98" i="22"/>
  <c r="K50" i="22"/>
  <c r="BT121" i="22"/>
  <c r="BS71" i="22"/>
  <c r="BS116" i="22"/>
  <c r="BT21" i="22"/>
  <c r="I102" i="22"/>
  <c r="BT125" i="22"/>
  <c r="BS70" i="22"/>
  <c r="BS17" i="22"/>
  <c r="J107" i="22"/>
  <c r="BS64" i="22"/>
  <c r="BT71" i="22"/>
  <c r="BT116" i="22"/>
  <c r="L98" i="22"/>
  <c r="BT65" i="22"/>
  <c r="BT64" i="22"/>
  <c r="BT20" i="22"/>
  <c r="BT19" i="22"/>
  <c r="L102" i="22"/>
  <c r="BS69" i="22"/>
  <c r="BS13" i="22"/>
  <c r="BS20" i="22"/>
  <c r="BS16" i="22"/>
  <c r="I103" i="22"/>
  <c r="I107" i="22"/>
  <c r="I99" i="22"/>
  <c r="H98" i="22"/>
  <c r="D356" i="22"/>
  <c r="B353" i="22"/>
  <c r="BS18" i="22"/>
  <c r="J101" i="22"/>
  <c r="J105" i="22"/>
  <c r="J97" i="22"/>
  <c r="I97" i="22"/>
  <c r="I105" i="22"/>
  <c r="BT123" i="22"/>
  <c r="D352" i="22"/>
  <c r="J103" i="22"/>
  <c r="C358" i="22"/>
  <c r="I101" i="22"/>
  <c r="H106" i="22"/>
  <c r="J99" i="22"/>
  <c r="BT72" i="22"/>
  <c r="BT18" i="22"/>
  <c r="BS72" i="22"/>
  <c r="BU72" i="22" s="1"/>
  <c r="BT17" i="22"/>
  <c r="C353" i="22"/>
  <c r="BS120" i="22"/>
  <c r="D358" i="22"/>
  <c r="B355" i="22"/>
  <c r="B351" i="22"/>
  <c r="C352" i="22"/>
  <c r="C351" i="22"/>
  <c r="BT120" i="22"/>
  <c r="BT118" i="22"/>
  <c r="BS123" i="22"/>
  <c r="BT12" i="22"/>
  <c r="D351" i="22"/>
  <c r="BS67" i="22"/>
  <c r="BT15" i="22"/>
  <c r="BT68" i="22"/>
  <c r="H158" i="22"/>
  <c r="H154" i="22"/>
  <c r="H150" i="22"/>
  <c r="BS125" i="22"/>
  <c r="BS121" i="22"/>
  <c r="B357" i="22"/>
  <c r="D354" i="22"/>
  <c r="B349" i="22"/>
  <c r="BS118" i="22"/>
  <c r="C354" i="22"/>
  <c r="C168" i="22"/>
  <c r="B358" i="22"/>
  <c r="D355" i="22"/>
  <c r="K158" i="22"/>
  <c r="K154" i="22"/>
  <c r="K150" i="22"/>
  <c r="L130" i="22"/>
  <c r="L154" i="22" s="1"/>
  <c r="BS117" i="22"/>
  <c r="E103" i="22"/>
  <c r="E107" i="22"/>
  <c r="E99" i="22"/>
  <c r="BT66" i="22"/>
  <c r="J53" i="22"/>
  <c r="J49" i="22"/>
  <c r="J45" i="22"/>
  <c r="I53" i="22"/>
  <c r="I49" i="22"/>
  <c r="I45" i="22"/>
  <c r="L107" i="22"/>
  <c r="L103" i="22"/>
  <c r="L99" i="22"/>
  <c r="K107" i="22"/>
  <c r="K99" i="22"/>
  <c r="K103" i="22"/>
  <c r="D357" i="22"/>
  <c r="B354" i="22"/>
  <c r="C355" i="22"/>
  <c r="L55" i="22"/>
  <c r="L51" i="22"/>
  <c r="L47" i="22"/>
  <c r="K51" i="22"/>
  <c r="K47" i="22"/>
  <c r="K55" i="22"/>
  <c r="J54" i="22"/>
  <c r="J50" i="22"/>
  <c r="J46" i="22"/>
  <c r="I54" i="22"/>
  <c r="I50" i="22"/>
  <c r="I46" i="22"/>
  <c r="BT16" i="22"/>
  <c r="K159" i="22"/>
  <c r="K155" i="22"/>
  <c r="K151" i="22"/>
  <c r="L159" i="22"/>
  <c r="L155" i="22"/>
  <c r="L151" i="22"/>
  <c r="J157" i="22"/>
  <c r="J153" i="22"/>
  <c r="J149" i="22"/>
  <c r="I157" i="22"/>
  <c r="I153" i="22"/>
  <c r="I149" i="22"/>
  <c r="C356" i="22"/>
  <c r="BS122" i="22"/>
  <c r="BS21" i="22"/>
  <c r="BT119" i="22"/>
  <c r="D353" i="22"/>
  <c r="D349" i="22"/>
  <c r="BT67" i="22"/>
  <c r="C357" i="22"/>
  <c r="C349" i="22"/>
  <c r="BS12" i="22"/>
  <c r="E159" i="22"/>
  <c r="E155" i="22"/>
  <c r="E151" i="22"/>
  <c r="E55" i="22"/>
  <c r="E51" i="22"/>
  <c r="E47" i="22"/>
  <c r="J158" i="22"/>
  <c r="J154" i="22"/>
  <c r="J150" i="22"/>
  <c r="I158" i="22"/>
  <c r="I154" i="22"/>
  <c r="I150" i="22"/>
  <c r="BS124" i="22"/>
  <c r="J159" i="22"/>
  <c r="J155" i="22"/>
  <c r="J151" i="22"/>
  <c r="I131" i="22"/>
  <c r="BT122" i="22"/>
  <c r="BT117" i="22"/>
  <c r="BT73" i="22"/>
  <c r="BT69" i="22"/>
  <c r="BS68" i="22"/>
  <c r="J55" i="22"/>
  <c r="J51" i="22"/>
  <c r="J47" i="22"/>
  <c r="I27" i="22"/>
  <c r="BS65" i="22"/>
  <c r="BS14" i="22"/>
  <c r="B356" i="22"/>
  <c r="B352" i="22"/>
  <c r="BT13" i="22"/>
  <c r="B146" i="21"/>
  <c r="C146" i="21"/>
  <c r="D146" i="21"/>
  <c r="C147" i="21"/>
  <c r="B147" i="21"/>
  <c r="D147" i="21"/>
  <c r="D155" i="21"/>
  <c r="C155" i="21"/>
  <c r="B155" i="21"/>
  <c r="B145" i="21"/>
  <c r="D145" i="21"/>
  <c r="C145" i="21"/>
  <c r="C153" i="21"/>
  <c r="B153" i="21"/>
  <c r="D153" i="21"/>
  <c r="D154" i="21"/>
  <c r="C154" i="21"/>
  <c r="B154" i="21"/>
  <c r="B105" i="21"/>
  <c r="D99" i="21"/>
  <c r="C279" i="21"/>
  <c r="C107" i="21"/>
  <c r="C157" i="21" s="1"/>
  <c r="C99" i="21"/>
  <c r="B274" i="21"/>
  <c r="D105" i="21"/>
  <c r="D277" i="21"/>
  <c r="D275" i="21"/>
  <c r="D276" i="21"/>
  <c r="B277" i="21"/>
  <c r="C271" i="21"/>
  <c r="D279" i="21"/>
  <c r="C114" i="21"/>
  <c r="B280" i="21"/>
  <c r="D273" i="21"/>
  <c r="B100" i="21"/>
  <c r="D101" i="21"/>
  <c r="C133" i="21" s="1"/>
  <c r="C100" i="21"/>
  <c r="B102" i="21"/>
  <c r="C103" i="21"/>
  <c r="B272" i="21"/>
  <c r="C102" i="21"/>
  <c r="D280" i="21"/>
  <c r="B103" i="21"/>
  <c r="D143" i="21" s="1"/>
  <c r="C105" i="21"/>
  <c r="B279" i="21"/>
  <c r="D98" i="21"/>
  <c r="C274" i="21"/>
  <c r="B98" i="21"/>
  <c r="C277" i="21"/>
  <c r="B219" i="19"/>
  <c r="B98" i="19"/>
  <c r="C227" i="19"/>
  <c r="C106" i="19"/>
  <c r="C224" i="19"/>
  <c r="C103" i="19"/>
  <c r="D227" i="19"/>
  <c r="D106" i="19"/>
  <c r="C221" i="19"/>
  <c r="C100" i="19"/>
  <c r="D228" i="19"/>
  <c r="D107" i="19"/>
  <c r="C222" i="19"/>
  <c r="C101" i="19"/>
  <c r="B225" i="19"/>
  <c r="B104" i="19"/>
  <c r="C223" i="19"/>
  <c r="C102" i="19"/>
  <c r="C228" i="19"/>
  <c r="C107" i="19"/>
  <c r="C225" i="19"/>
  <c r="C104" i="19"/>
  <c r="B220" i="19"/>
  <c r="B99" i="19"/>
  <c r="D226" i="19"/>
  <c r="D105" i="19"/>
  <c r="C220" i="19"/>
  <c r="C99" i="19"/>
  <c r="D223" i="19"/>
  <c r="D102" i="19"/>
  <c r="B227" i="19"/>
  <c r="B106" i="19"/>
  <c r="D224" i="19"/>
  <c r="D103" i="19"/>
  <c r="B228" i="19"/>
  <c r="B107" i="19"/>
  <c r="D225" i="19"/>
  <c r="D104" i="19"/>
  <c r="C219" i="19"/>
  <c r="C98" i="19"/>
  <c r="B222" i="19"/>
  <c r="B101" i="19"/>
  <c r="C226" i="19"/>
  <c r="C105" i="19"/>
  <c r="D222" i="19"/>
  <c r="D101" i="19"/>
  <c r="B226" i="19"/>
  <c r="B105" i="19"/>
  <c r="D219" i="19"/>
  <c r="D98" i="19"/>
  <c r="B223" i="19"/>
  <c r="B102" i="19"/>
  <c r="D220" i="19"/>
  <c r="D99" i="19"/>
  <c r="B224" i="19"/>
  <c r="B103" i="19"/>
  <c r="D221" i="19"/>
  <c r="D100" i="19"/>
  <c r="B221" i="19"/>
  <c r="B100" i="19"/>
  <c r="C128" i="19"/>
  <c r="J15" i="14"/>
  <c r="B191" i="14" s="1"/>
  <c r="J19" i="14"/>
  <c r="B195" i="14" s="1"/>
  <c r="B135" i="14" s="1"/>
  <c r="J43" i="14"/>
  <c r="C189" i="14" s="1"/>
  <c r="C112" i="14" s="1"/>
  <c r="J47" i="14"/>
  <c r="C193" i="14" s="1"/>
  <c r="C128" i="14" s="1"/>
  <c r="J51" i="14"/>
  <c r="C197" i="14" s="1"/>
  <c r="C144" i="14" s="1"/>
  <c r="J75" i="14"/>
  <c r="D191" i="14" s="1"/>
  <c r="J79" i="14"/>
  <c r="D195" i="14" s="1"/>
  <c r="C99" i="14"/>
  <c r="C102" i="14" s="1"/>
  <c r="E99" i="14"/>
  <c r="E100" i="14"/>
  <c r="J14" i="14"/>
  <c r="B190" i="14" s="1"/>
  <c r="J18" i="14"/>
  <c r="B194" i="14" s="1"/>
  <c r="J42" i="14"/>
  <c r="C188" i="14" s="1"/>
  <c r="J46" i="14"/>
  <c r="C192" i="14" s="1"/>
  <c r="C124" i="14" s="1"/>
  <c r="J50" i="14"/>
  <c r="C196" i="14" s="1"/>
  <c r="C140" i="14" s="1"/>
  <c r="J74" i="14"/>
  <c r="D190" i="14" s="1"/>
  <c r="J78" i="14"/>
  <c r="D194" i="14" s="1"/>
  <c r="J13" i="14"/>
  <c r="B189" i="14" s="1"/>
  <c r="J17" i="14"/>
  <c r="B193" i="14" s="1"/>
  <c r="J21" i="14"/>
  <c r="B197" i="14" s="1"/>
  <c r="J45" i="14"/>
  <c r="C191" i="14" s="1"/>
  <c r="C120" i="14" s="1"/>
  <c r="J49" i="14"/>
  <c r="C195" i="14" s="1"/>
  <c r="J73" i="14"/>
  <c r="D189" i="14" s="1"/>
  <c r="J77" i="14"/>
  <c r="D193" i="14" s="1"/>
  <c r="J81" i="14"/>
  <c r="D197" i="14" s="1"/>
  <c r="J12" i="14"/>
  <c r="B188" i="14" s="1"/>
  <c r="J16" i="14"/>
  <c r="B192" i="14" s="1"/>
  <c r="J20" i="14"/>
  <c r="B196" i="14" s="1"/>
  <c r="J44" i="14"/>
  <c r="C190" i="14" s="1"/>
  <c r="C116" i="14" s="1"/>
  <c r="J48" i="14"/>
  <c r="C194" i="14" s="1"/>
  <c r="C132" i="14" s="1"/>
  <c r="J72" i="14"/>
  <c r="D188" i="14" s="1"/>
  <c r="D107" i="14" s="1"/>
  <c r="J76" i="14"/>
  <c r="D192" i="14" s="1"/>
  <c r="J80" i="14"/>
  <c r="D196" i="14" s="1"/>
  <c r="BP123" i="12"/>
  <c r="BO121" i="12"/>
  <c r="BS119" i="12"/>
  <c r="BQ121" i="12"/>
  <c r="W182" i="12"/>
  <c r="W210" i="12" s="1"/>
  <c r="X183" i="12"/>
  <c r="X211" i="12" s="1"/>
  <c r="S185" i="12"/>
  <c r="BO122" i="12"/>
  <c r="S186" i="12"/>
  <c r="S214" i="12" s="1"/>
  <c r="V188" i="12"/>
  <c r="V216" i="12" s="1"/>
  <c r="BO115" i="12"/>
  <c r="BS115" i="12" s="1"/>
  <c r="BQ20" i="12"/>
  <c r="O199" i="12"/>
  <c r="O213" i="12"/>
  <c r="BR69" i="12"/>
  <c r="BP68" i="12"/>
  <c r="BO68" i="12"/>
  <c r="BQ68" i="12"/>
  <c r="BT68" i="12" s="1"/>
  <c r="BR68" i="12"/>
  <c r="BO66" i="12"/>
  <c r="BS66" i="12" s="1"/>
  <c r="BO70" i="12"/>
  <c r="BS70" i="12" s="1"/>
  <c r="L214" i="12"/>
  <c r="L200" i="12"/>
  <c r="K186" i="12"/>
  <c r="K214" i="12" s="1"/>
  <c r="N202" i="12"/>
  <c r="N216" i="12"/>
  <c r="BP72" i="12"/>
  <c r="BQ71" i="12"/>
  <c r="Z208" i="12"/>
  <c r="BO64" i="12"/>
  <c r="AE208" i="12"/>
  <c r="P180" i="12"/>
  <c r="P208" i="12" s="1"/>
  <c r="BQ63" i="12"/>
  <c r="J193" i="12"/>
  <c r="C185" i="12"/>
  <c r="BQ16" i="12"/>
  <c r="BQ12" i="12"/>
  <c r="H199" i="12"/>
  <c r="H213" i="12"/>
  <c r="Q194" i="12"/>
  <c r="Q208" i="12"/>
  <c r="E196" i="12"/>
  <c r="U196" i="12" s="1"/>
  <c r="E210" i="12"/>
  <c r="I197" i="12"/>
  <c r="I211" i="12"/>
  <c r="I213" i="12"/>
  <c r="I199" i="12"/>
  <c r="I26" i="12"/>
  <c r="J54" i="12"/>
  <c r="J46" i="12"/>
  <c r="J50" i="12"/>
  <c r="BS121" i="12"/>
  <c r="E214" i="12"/>
  <c r="E200" i="12"/>
  <c r="Q210" i="12"/>
  <c r="AG210" i="12" s="1"/>
  <c r="Q196" i="12"/>
  <c r="C215" i="12"/>
  <c r="C201" i="12"/>
  <c r="G216" i="12"/>
  <c r="G202" i="12"/>
  <c r="D195" i="12"/>
  <c r="D209" i="12"/>
  <c r="C211" i="12"/>
  <c r="C197" i="12"/>
  <c r="G198" i="12"/>
  <c r="G212" i="12"/>
  <c r="F202" i="12"/>
  <c r="V202" i="12" s="1"/>
  <c r="F216" i="12"/>
  <c r="M209" i="12"/>
  <c r="M195" i="12"/>
  <c r="BR12" i="12"/>
  <c r="BT12" i="12" s="1"/>
  <c r="H180" i="12"/>
  <c r="F195" i="12"/>
  <c r="F209" i="12"/>
  <c r="L187" i="12"/>
  <c r="BP71" i="12"/>
  <c r="BS71" i="12" s="1"/>
  <c r="BO72" i="12"/>
  <c r="K188" i="12"/>
  <c r="O216" i="12"/>
  <c r="O202" i="12"/>
  <c r="G102" i="12"/>
  <c r="H98" i="12"/>
  <c r="K78" i="12"/>
  <c r="G98" i="12"/>
  <c r="BR117" i="12"/>
  <c r="BR121" i="12"/>
  <c r="H197" i="12"/>
  <c r="K184" i="12"/>
  <c r="M213" i="12"/>
  <c r="M199" i="12"/>
  <c r="M216" i="12"/>
  <c r="M202" i="12"/>
  <c r="B197" i="12"/>
  <c r="E199" i="12"/>
  <c r="U199" i="12" s="1"/>
  <c r="Q200" i="12"/>
  <c r="M208" i="12"/>
  <c r="B207" i="12"/>
  <c r="Z207" i="12" s="1"/>
  <c r="B193" i="12"/>
  <c r="R193" i="12" s="1"/>
  <c r="F207" i="12"/>
  <c r="F193" i="12"/>
  <c r="BO11" i="12"/>
  <c r="F194" i="12"/>
  <c r="F208" i="12"/>
  <c r="BO12" i="12"/>
  <c r="BQ14" i="12"/>
  <c r="F211" i="12"/>
  <c r="AD211" i="12" s="1"/>
  <c r="F197" i="12"/>
  <c r="V197" i="12" s="1"/>
  <c r="BO15" i="12"/>
  <c r="B212" i="12"/>
  <c r="B198" i="12"/>
  <c r="BO16" i="12"/>
  <c r="BR17" i="12"/>
  <c r="BQ18" i="12"/>
  <c r="BT18" i="12" s="1"/>
  <c r="B215" i="12"/>
  <c r="B201" i="12"/>
  <c r="R201" i="12" s="1"/>
  <c r="BO19" i="12"/>
  <c r="BS19" i="12" s="1"/>
  <c r="BU19" i="12" s="1"/>
  <c r="B216" i="12"/>
  <c r="B202" i="12"/>
  <c r="BO20" i="12"/>
  <c r="L52" i="12"/>
  <c r="L48" i="12"/>
  <c r="L44" i="12"/>
  <c r="H54" i="12"/>
  <c r="H50" i="12"/>
  <c r="H46" i="12"/>
  <c r="I44" i="12"/>
  <c r="J47" i="12"/>
  <c r="K48" i="12"/>
  <c r="I49" i="12"/>
  <c r="F50" i="12"/>
  <c r="I52" i="12"/>
  <c r="J55" i="12"/>
  <c r="BQ64" i="12"/>
  <c r="BT64" i="12" s="1"/>
  <c r="J195" i="12"/>
  <c r="R195" i="12" s="1"/>
  <c r="J209" i="12"/>
  <c r="N209" i="12"/>
  <c r="N195" i="12"/>
  <c r="BO65" i="12"/>
  <c r="BS65" i="12" s="1"/>
  <c r="M210" i="12"/>
  <c r="M196" i="12"/>
  <c r="Q213" i="12"/>
  <c r="Q199" i="12"/>
  <c r="N214" i="12"/>
  <c r="AD214" i="12" s="1"/>
  <c r="N200" i="12"/>
  <c r="BR70" i="12"/>
  <c r="M215" i="12"/>
  <c r="M201" i="12"/>
  <c r="H77" i="12"/>
  <c r="H97" i="12" s="1"/>
  <c r="H105" i="12"/>
  <c r="G105" i="12"/>
  <c r="H101" i="12"/>
  <c r="K77" i="12"/>
  <c r="I107" i="12"/>
  <c r="I103" i="12"/>
  <c r="I99" i="12"/>
  <c r="J99" i="12"/>
  <c r="H102" i="12"/>
  <c r="V180" i="12"/>
  <c r="V208" i="12" s="1"/>
  <c r="BQ116" i="12"/>
  <c r="BT116" i="12" s="1"/>
  <c r="BO116" i="12"/>
  <c r="BT117" i="12"/>
  <c r="V184" i="12"/>
  <c r="V212" i="12" s="1"/>
  <c r="AD212" i="12" s="1"/>
  <c r="BQ120" i="12"/>
  <c r="BT120" i="12" s="1"/>
  <c r="BO120" i="12"/>
  <c r="BT121" i="12"/>
  <c r="BO124" i="12"/>
  <c r="K138" i="12"/>
  <c r="L138" i="12" s="1"/>
  <c r="D193" i="12"/>
  <c r="D207" i="12"/>
  <c r="O179" i="12"/>
  <c r="C181" i="12"/>
  <c r="P210" i="12"/>
  <c r="P196" i="12"/>
  <c r="Y210" i="12"/>
  <c r="S183" i="12"/>
  <c r="S211" i="12" s="1"/>
  <c r="E198" i="12"/>
  <c r="U198" i="12" s="1"/>
  <c r="E212" i="12"/>
  <c r="L212" i="12"/>
  <c r="L198" i="12"/>
  <c r="Y214" i="12"/>
  <c r="O215" i="12"/>
  <c r="O201" i="12"/>
  <c r="C193" i="12"/>
  <c r="O194" i="12"/>
  <c r="I196" i="12"/>
  <c r="D198" i="12"/>
  <c r="T198" i="12" s="1"/>
  <c r="AA198" i="12" s="1"/>
  <c r="Q201" i="12"/>
  <c r="O209" i="12"/>
  <c r="H215" i="12"/>
  <c r="D208" i="12"/>
  <c r="D194" i="12"/>
  <c r="T194" i="12" s="1"/>
  <c r="BR16" i="12"/>
  <c r="BT16" i="12" s="1"/>
  <c r="H184" i="12"/>
  <c r="B213" i="12"/>
  <c r="B199" i="12"/>
  <c r="R199" i="12" s="1"/>
  <c r="F199" i="12"/>
  <c r="F213" i="12"/>
  <c r="I214" i="12"/>
  <c r="AG214" i="12" s="1"/>
  <c r="I200" i="12"/>
  <c r="Y200" i="12" s="1"/>
  <c r="D216" i="12"/>
  <c r="D202" i="12"/>
  <c r="H188" i="12"/>
  <c r="BR20" i="12"/>
  <c r="BT20" i="12" s="1"/>
  <c r="L54" i="12"/>
  <c r="L50" i="12"/>
  <c r="L46" i="12"/>
  <c r="K46" i="12"/>
  <c r="K54" i="12"/>
  <c r="BP65" i="12"/>
  <c r="L181" i="12"/>
  <c r="BR65" i="12"/>
  <c r="BQ66" i="12"/>
  <c r="BT66" i="12" s="1"/>
  <c r="BU66" i="12" s="1"/>
  <c r="O182" i="12"/>
  <c r="K211" i="12"/>
  <c r="K197" i="12"/>
  <c r="J212" i="12"/>
  <c r="J198" i="12"/>
  <c r="K215" i="12"/>
  <c r="K201" i="12"/>
  <c r="J216" i="12"/>
  <c r="J202" i="12"/>
  <c r="J78" i="12"/>
  <c r="E78" i="12"/>
  <c r="F106" i="12"/>
  <c r="F102" i="12"/>
  <c r="BQ115" i="12"/>
  <c r="BT115" i="12" s="1"/>
  <c r="BU115" i="12" s="1"/>
  <c r="BP117" i="12"/>
  <c r="BS117" i="12" s="1"/>
  <c r="BU117" i="12" s="1"/>
  <c r="U181" i="12"/>
  <c r="U209" i="12" s="1"/>
  <c r="T182" i="12"/>
  <c r="T210" i="12" s="1"/>
  <c r="BP118" i="12"/>
  <c r="BR118" i="12"/>
  <c r="BT118" i="12" s="1"/>
  <c r="X182" i="12"/>
  <c r="X210" i="12" s="1"/>
  <c r="BQ119" i="12"/>
  <c r="BT119" i="12" s="1"/>
  <c r="BU119" i="12" s="1"/>
  <c r="BP121" i="12"/>
  <c r="U185" i="12"/>
  <c r="U213" i="12" s="1"/>
  <c r="AC213" i="12" s="1"/>
  <c r="T186" i="12"/>
  <c r="T214" i="12" s="1"/>
  <c r="BP122" i="12"/>
  <c r="BS122" i="12" s="1"/>
  <c r="X186" i="12"/>
  <c r="X214" i="12" s="1"/>
  <c r="BR122" i="12"/>
  <c r="BT122" i="12" s="1"/>
  <c r="BO123" i="12"/>
  <c r="BS123" i="12" s="1"/>
  <c r="S187" i="12"/>
  <c r="S215" i="12" s="1"/>
  <c r="BQ123" i="12"/>
  <c r="F157" i="12"/>
  <c r="F153" i="12"/>
  <c r="F149" i="12"/>
  <c r="J129" i="12"/>
  <c r="I158" i="12"/>
  <c r="I154" i="12"/>
  <c r="I193" i="12"/>
  <c r="Y193" i="12" s="1"/>
  <c r="S179" i="12"/>
  <c r="S207" i="12" s="1"/>
  <c r="AA207" i="12" s="1"/>
  <c r="E194" i="12"/>
  <c r="U194" i="12" s="1"/>
  <c r="E208" i="12"/>
  <c r="AC208" i="12" s="1"/>
  <c r="H209" i="12"/>
  <c r="H195" i="12"/>
  <c r="X195" i="12" s="1"/>
  <c r="AC195" i="12" s="1"/>
  <c r="K182" i="12"/>
  <c r="D197" i="12"/>
  <c r="D211" i="12"/>
  <c r="Q198" i="12"/>
  <c r="Q212" i="12"/>
  <c r="C199" i="12"/>
  <c r="I215" i="12"/>
  <c r="AG215" i="12" s="1"/>
  <c r="I201" i="12"/>
  <c r="Y201" i="12" s="1"/>
  <c r="G194" i="12"/>
  <c r="W194" i="12" s="1"/>
  <c r="E195" i="12"/>
  <c r="U195" i="12" s="1"/>
  <c r="B196" i="12"/>
  <c r="N198" i="12"/>
  <c r="D199" i="12"/>
  <c r="F201" i="12"/>
  <c r="L208" i="12"/>
  <c r="BS13" i="12"/>
  <c r="BQ13" i="12"/>
  <c r="BT13" i="12" s="1"/>
  <c r="F210" i="12"/>
  <c r="F196" i="12"/>
  <c r="BO14" i="12"/>
  <c r="BS14" i="12" s="1"/>
  <c r="E211" i="12"/>
  <c r="AC211" i="12" s="1"/>
  <c r="E197" i="12"/>
  <c r="BS17" i="12"/>
  <c r="G213" i="12"/>
  <c r="G199" i="12"/>
  <c r="W199" i="12" s="1"/>
  <c r="BQ17" i="12"/>
  <c r="B214" i="12"/>
  <c r="Z214" i="12" s="1"/>
  <c r="B200" i="12"/>
  <c r="BO18" i="12"/>
  <c r="E201" i="12"/>
  <c r="E215" i="12"/>
  <c r="E202" i="12"/>
  <c r="U202" i="12" s="1"/>
  <c r="E216" i="12"/>
  <c r="I47" i="12"/>
  <c r="J48" i="12"/>
  <c r="E50" i="12"/>
  <c r="I55" i="12"/>
  <c r="L193" i="12"/>
  <c r="L207" i="12"/>
  <c r="BR63" i="12"/>
  <c r="BT63" i="12" s="1"/>
  <c r="P179" i="12"/>
  <c r="N194" i="12"/>
  <c r="N208" i="12"/>
  <c r="BP64" i="12"/>
  <c r="BS64" i="12" s="1"/>
  <c r="BU64" i="12" s="1"/>
  <c r="Q209" i="12"/>
  <c r="Q195" i="12"/>
  <c r="L183" i="12"/>
  <c r="BP67" i="12"/>
  <c r="BR67" i="12"/>
  <c r="P183" i="12"/>
  <c r="BS68" i="12"/>
  <c r="P187" i="12"/>
  <c r="BR71" i="12"/>
  <c r="BQ72" i="12"/>
  <c r="H106" i="12"/>
  <c r="M193" i="12"/>
  <c r="M207" i="12"/>
  <c r="AC207" i="12" s="1"/>
  <c r="I209" i="12"/>
  <c r="AG209" i="12" s="1"/>
  <c r="I195" i="12"/>
  <c r="Y195" i="12" s="1"/>
  <c r="G200" i="12"/>
  <c r="K193" i="12"/>
  <c r="J194" i="12"/>
  <c r="G195" i="12"/>
  <c r="W195" i="12" s="1"/>
  <c r="O197" i="12"/>
  <c r="O198" i="12"/>
  <c r="B209" i="12"/>
  <c r="BQ11" i="12"/>
  <c r="BT11" i="12" s="1"/>
  <c r="G179" i="12"/>
  <c r="BP11" i="12"/>
  <c r="J12" i="12"/>
  <c r="C208" i="12"/>
  <c r="C194" i="12"/>
  <c r="BP12" i="12"/>
  <c r="AC209" i="12"/>
  <c r="BP14" i="12"/>
  <c r="D182" i="12"/>
  <c r="H210" i="12"/>
  <c r="AF210" i="12" s="1"/>
  <c r="H196" i="12"/>
  <c r="BR14" i="12"/>
  <c r="BQ15" i="12"/>
  <c r="BT15" i="12" s="1"/>
  <c r="G183" i="12"/>
  <c r="BP15" i="12"/>
  <c r="J16" i="12"/>
  <c r="C212" i="12"/>
  <c r="C198" i="12"/>
  <c r="BP16" i="12"/>
  <c r="BP18" i="12"/>
  <c r="D186" i="12"/>
  <c r="H214" i="12"/>
  <c r="H200" i="12"/>
  <c r="X200" i="12" s="1"/>
  <c r="BR18" i="12"/>
  <c r="G187" i="12"/>
  <c r="BQ19" i="12"/>
  <c r="BT19" i="12" s="1"/>
  <c r="BP19" i="12"/>
  <c r="J20" i="12"/>
  <c r="C216" i="12"/>
  <c r="C202" i="12"/>
  <c r="BP20" i="12"/>
  <c r="L53" i="12"/>
  <c r="L49" i="12"/>
  <c r="L45" i="12"/>
  <c r="L25" i="12"/>
  <c r="K33" i="12"/>
  <c r="L33" i="12" s="1"/>
  <c r="J44" i="12"/>
  <c r="E46" i="12"/>
  <c r="G50" i="12"/>
  <c r="N207" i="12"/>
  <c r="N193" i="12"/>
  <c r="BO63" i="12"/>
  <c r="BS63" i="12" s="1"/>
  <c r="BQ65" i="12"/>
  <c r="J210" i="12"/>
  <c r="J196" i="12"/>
  <c r="N210" i="12"/>
  <c r="N196" i="12"/>
  <c r="J211" i="12"/>
  <c r="Z211" i="12" s="1"/>
  <c r="J197" i="12"/>
  <c r="BQ67" i="12"/>
  <c r="BT67" i="12" s="1"/>
  <c r="J199" i="12"/>
  <c r="J213" i="12"/>
  <c r="N185" i="12"/>
  <c r="BQ69" i="12"/>
  <c r="BO69" i="12"/>
  <c r="N215" i="12"/>
  <c r="AD215" i="12" s="1"/>
  <c r="N201" i="12"/>
  <c r="BT71" i="12"/>
  <c r="Q202" i="12"/>
  <c r="Q216" i="12"/>
  <c r="E104" i="12"/>
  <c r="E100" i="12"/>
  <c r="E96" i="12"/>
  <c r="J76" i="12"/>
  <c r="F104" i="12"/>
  <c r="F100" i="12"/>
  <c r="I105" i="12"/>
  <c r="I101" i="12"/>
  <c r="I97" i="12"/>
  <c r="J101" i="12"/>
  <c r="J97" i="12"/>
  <c r="L107" i="12"/>
  <c r="K107" i="12"/>
  <c r="L103" i="12"/>
  <c r="H84" i="12"/>
  <c r="K84" i="12"/>
  <c r="L84" i="12" s="1"/>
  <c r="G97" i="12"/>
  <c r="G101" i="12"/>
  <c r="J107" i="12"/>
  <c r="L157" i="12"/>
  <c r="K157" i="12"/>
  <c r="L153" i="12"/>
  <c r="K130" i="12"/>
  <c r="G150" i="12"/>
  <c r="H158" i="12"/>
  <c r="K159" i="12"/>
  <c r="L155" i="12"/>
  <c r="K155" i="12"/>
  <c r="L151" i="12"/>
  <c r="K149" i="12"/>
  <c r="K153" i="12"/>
  <c r="L159" i="12"/>
  <c r="H193" i="12"/>
  <c r="Y207" i="12"/>
  <c r="K180" i="12"/>
  <c r="S208" i="12"/>
  <c r="X209" i="12"/>
  <c r="G210" i="12"/>
  <c r="G196" i="12"/>
  <c r="M211" i="12"/>
  <c r="M197" i="12"/>
  <c r="T211" i="12"/>
  <c r="P212" i="12"/>
  <c r="P198" i="12"/>
  <c r="W212" i="12"/>
  <c r="S213" i="12"/>
  <c r="M186" i="12"/>
  <c r="S216" i="12"/>
  <c r="E193" i="12"/>
  <c r="U193" i="12" s="1"/>
  <c r="B194" i="12"/>
  <c r="L196" i="12"/>
  <c r="F198" i="12"/>
  <c r="V198" i="12" s="1"/>
  <c r="F200" i="12"/>
  <c r="V200" i="12" s="1"/>
  <c r="P209" i="12"/>
  <c r="M212" i="12"/>
  <c r="C213" i="12"/>
  <c r="J215" i="12"/>
  <c r="BO67" i="12"/>
  <c r="P216" i="12"/>
  <c r="P202" i="12"/>
  <c r="BR72" i="12"/>
  <c r="J86" i="12"/>
  <c r="I86" i="12" s="1"/>
  <c r="L96" i="12"/>
  <c r="K100" i="12"/>
  <c r="R209" i="12"/>
  <c r="R210" i="12"/>
  <c r="Z210" i="12" s="1"/>
  <c r="V210" i="12"/>
  <c r="BO118" i="12"/>
  <c r="BS118" i="12" s="1"/>
  <c r="R213" i="12"/>
  <c r="T215" i="12"/>
  <c r="BR123" i="12"/>
  <c r="F156" i="12"/>
  <c r="F152" i="12"/>
  <c r="F148" i="12"/>
  <c r="J158" i="12"/>
  <c r="J154" i="12"/>
  <c r="J150" i="12"/>
  <c r="E148" i="12"/>
  <c r="H149" i="12"/>
  <c r="E150" i="12"/>
  <c r="G153" i="12"/>
  <c r="X180" i="12"/>
  <c r="X208" i="12" s="1"/>
  <c r="K209" i="12"/>
  <c r="C196" i="12"/>
  <c r="C210" i="12"/>
  <c r="S212" i="12"/>
  <c r="X184" i="12"/>
  <c r="X212" i="12" s="1"/>
  <c r="K213" i="12"/>
  <c r="P185" i="12"/>
  <c r="C200" i="12"/>
  <c r="C214" i="12"/>
  <c r="I202" i="12"/>
  <c r="Y202" i="12" s="1"/>
  <c r="I216" i="12"/>
  <c r="W216" i="12"/>
  <c r="J200" i="12"/>
  <c r="L202" i="12"/>
  <c r="BP69" i="12"/>
  <c r="O186" i="12"/>
  <c r="BQ70" i="12"/>
  <c r="BT70" i="12" s="1"/>
  <c r="BU70" i="12" s="1"/>
  <c r="J71" i="12"/>
  <c r="F97" i="12"/>
  <c r="L100" i="12"/>
  <c r="BP116" i="12"/>
  <c r="J118" i="12"/>
  <c r="BP120" i="12"/>
  <c r="J122" i="12"/>
  <c r="T188" i="12"/>
  <c r="T216" i="12" s="1"/>
  <c r="BP124" i="12"/>
  <c r="X216" i="12"/>
  <c r="BR124" i="12"/>
  <c r="BT124" i="12" s="1"/>
  <c r="J156" i="12"/>
  <c r="J152" i="12"/>
  <c r="J148" i="12"/>
  <c r="J159" i="12"/>
  <c r="J155" i="12"/>
  <c r="J151" i="12"/>
  <c r="E152" i="12"/>
  <c r="H153" i="12"/>
  <c r="I156" i="12"/>
  <c r="Q207" i="12"/>
  <c r="I194" i="12"/>
  <c r="I208" i="12"/>
  <c r="T180" i="12"/>
  <c r="T208" i="12" s="1"/>
  <c r="W181" i="12"/>
  <c r="W209" i="12" s="1"/>
  <c r="AE209" i="12" s="1"/>
  <c r="Q197" i="12"/>
  <c r="I212" i="12"/>
  <c r="AG212" i="12" s="1"/>
  <c r="I198" i="12"/>
  <c r="T184" i="12"/>
  <c r="T212" i="12" s="1"/>
  <c r="L185" i="12"/>
  <c r="W185" i="12"/>
  <c r="W213" i="12" s="1"/>
  <c r="K195" i="12"/>
  <c r="K199" i="12"/>
  <c r="Q211" i="12"/>
  <c r="D215" i="12"/>
  <c r="D201" i="12"/>
  <c r="H201" i="12"/>
  <c r="H45" i="12"/>
  <c r="L47" i="12"/>
  <c r="H49" i="12"/>
  <c r="L51" i="12"/>
  <c r="P214" i="12"/>
  <c r="F150" i="12"/>
  <c r="F154" i="12"/>
  <c r="F113" i="9"/>
  <c r="E113" i="9"/>
  <c r="E105" i="9"/>
  <c r="E106" i="9"/>
  <c r="E107" i="9"/>
  <c r="E108" i="9"/>
  <c r="E109" i="9"/>
  <c r="E110" i="9"/>
  <c r="E111" i="9"/>
  <c r="E112" i="9"/>
  <c r="E104" i="9"/>
  <c r="F105" i="9"/>
  <c r="F106" i="9"/>
  <c r="F107" i="9"/>
  <c r="F108" i="9"/>
  <c r="F109" i="9"/>
  <c r="F110" i="9"/>
  <c r="F111" i="9"/>
  <c r="F112" i="9"/>
  <c r="F104" i="9"/>
  <c r="D105" i="9"/>
  <c r="D106" i="9"/>
  <c r="D107" i="9"/>
  <c r="D108" i="9"/>
  <c r="D109" i="9"/>
  <c r="D110" i="9"/>
  <c r="D111" i="9"/>
  <c r="D112" i="9"/>
  <c r="D113" i="9"/>
  <c r="D104" i="9"/>
  <c r="C105" i="9"/>
  <c r="C106" i="9"/>
  <c r="C107" i="9"/>
  <c r="C108" i="9"/>
  <c r="C109" i="9"/>
  <c r="C110" i="9"/>
  <c r="C111" i="9"/>
  <c r="C112" i="9"/>
  <c r="C113" i="9"/>
  <c r="C104" i="9"/>
  <c r="D93" i="9"/>
  <c r="D92" i="9"/>
  <c r="D91" i="9"/>
  <c r="I80" i="9"/>
  <c r="H80" i="9"/>
  <c r="G80" i="9"/>
  <c r="J80" i="9" s="1"/>
  <c r="I79" i="9"/>
  <c r="H79" i="9"/>
  <c r="G79" i="9"/>
  <c r="J79" i="9" s="1"/>
  <c r="I78" i="9"/>
  <c r="H78" i="9"/>
  <c r="G78" i="9"/>
  <c r="J78" i="9" s="1"/>
  <c r="I77" i="9"/>
  <c r="H77" i="9"/>
  <c r="G77" i="9"/>
  <c r="J77" i="9" s="1"/>
  <c r="I76" i="9"/>
  <c r="H76" i="9"/>
  <c r="G76" i="9"/>
  <c r="J76" i="9" s="1"/>
  <c r="I75" i="9"/>
  <c r="H75" i="9"/>
  <c r="G75" i="9"/>
  <c r="J75" i="9" s="1"/>
  <c r="I74" i="9"/>
  <c r="H74" i="9"/>
  <c r="G74" i="9"/>
  <c r="J74" i="9" s="1"/>
  <c r="I73" i="9"/>
  <c r="H73" i="9"/>
  <c r="G73" i="9"/>
  <c r="J73" i="9" s="1"/>
  <c r="I72" i="9"/>
  <c r="H72" i="9"/>
  <c r="G72" i="9"/>
  <c r="I71" i="9"/>
  <c r="H71" i="9"/>
  <c r="G71" i="9"/>
  <c r="J71" i="9" s="1"/>
  <c r="G48" i="9"/>
  <c r="J48" i="9" s="1"/>
  <c r="I50" i="9"/>
  <c r="H50" i="9"/>
  <c r="G50" i="9"/>
  <c r="J50" i="9" s="1"/>
  <c r="I49" i="9"/>
  <c r="H49" i="9"/>
  <c r="J49" i="9" s="1"/>
  <c r="G49" i="9"/>
  <c r="I48" i="9"/>
  <c r="H48" i="9"/>
  <c r="I47" i="9"/>
  <c r="H47" i="9"/>
  <c r="G47" i="9"/>
  <c r="J47" i="9" s="1"/>
  <c r="I46" i="9"/>
  <c r="H46" i="9"/>
  <c r="G46" i="9"/>
  <c r="J46" i="9" s="1"/>
  <c r="I45" i="9"/>
  <c r="H45" i="9"/>
  <c r="G45" i="9"/>
  <c r="J45" i="9" s="1"/>
  <c r="I44" i="9"/>
  <c r="H44" i="9"/>
  <c r="G44" i="9"/>
  <c r="J44" i="9" s="1"/>
  <c r="I43" i="9"/>
  <c r="H43" i="9"/>
  <c r="G43" i="9"/>
  <c r="J43" i="9" s="1"/>
  <c r="I42" i="9"/>
  <c r="H42" i="9"/>
  <c r="G42" i="9"/>
  <c r="J42" i="9" s="1"/>
  <c r="I41" i="9"/>
  <c r="H41" i="9"/>
  <c r="G41" i="9"/>
  <c r="J41" i="9" s="1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C267" i="24" l="1"/>
  <c r="AK300" i="23"/>
  <c r="B327" i="23"/>
  <c r="AK304" i="23"/>
  <c r="AM298" i="23"/>
  <c r="AK298" i="23"/>
  <c r="B339" i="23"/>
  <c r="AI300" i="23"/>
  <c r="AL300" i="23" s="1"/>
  <c r="H257" i="24"/>
  <c r="C255" i="24"/>
  <c r="B255" i="24"/>
  <c r="B268" i="24" s="1"/>
  <c r="D255" i="24"/>
  <c r="C261" i="24"/>
  <c r="C274" i="24" s="1"/>
  <c r="G252" i="24"/>
  <c r="D258" i="24"/>
  <c r="D271" i="24" s="1"/>
  <c r="H255" i="24"/>
  <c r="C259" i="24"/>
  <c r="I253" i="24"/>
  <c r="D260" i="24"/>
  <c r="H260" i="24"/>
  <c r="G253" i="24"/>
  <c r="C257" i="24"/>
  <c r="C270" i="24" s="1"/>
  <c r="B261" i="24"/>
  <c r="H256" i="24"/>
  <c r="G254" i="24"/>
  <c r="I254" i="24"/>
  <c r="D254" i="24"/>
  <c r="H259" i="24"/>
  <c r="D259" i="24"/>
  <c r="G259" i="24"/>
  <c r="I255" i="24"/>
  <c r="C258" i="24"/>
  <c r="B257" i="24"/>
  <c r="B270" i="24" s="1"/>
  <c r="B253" i="24"/>
  <c r="I260" i="24"/>
  <c r="H258" i="24"/>
  <c r="G256" i="24"/>
  <c r="B252" i="24"/>
  <c r="B265" i="24" s="1"/>
  <c r="D257" i="24"/>
  <c r="D252" i="24"/>
  <c r="B259" i="24"/>
  <c r="B272" i="24" s="1"/>
  <c r="D261" i="24"/>
  <c r="C252" i="24"/>
  <c r="I256" i="24"/>
  <c r="D269" i="24" s="1"/>
  <c r="B256" i="24"/>
  <c r="B269" i="24" s="1"/>
  <c r="G261" i="24"/>
  <c r="B260" i="24"/>
  <c r="B254" i="24"/>
  <c r="I252" i="24"/>
  <c r="I261" i="24"/>
  <c r="I257" i="24"/>
  <c r="H253" i="24"/>
  <c r="I259" i="24"/>
  <c r="B258" i="24"/>
  <c r="C256" i="24"/>
  <c r="H252" i="24"/>
  <c r="D253" i="24"/>
  <c r="D266" i="24" s="1"/>
  <c r="G258" i="24"/>
  <c r="C253" i="24"/>
  <c r="C260" i="24"/>
  <c r="G260" i="24"/>
  <c r="AJ299" i="23"/>
  <c r="B322" i="23"/>
  <c r="AI295" i="23"/>
  <c r="AL295" i="23" s="1"/>
  <c r="B338" i="23"/>
  <c r="B326" i="23"/>
  <c r="AI299" i="23"/>
  <c r="B325" i="23"/>
  <c r="AH298" i="23"/>
  <c r="AL296" i="23"/>
  <c r="AH303" i="23"/>
  <c r="AL303" i="23" s="1"/>
  <c r="AM295" i="23"/>
  <c r="B330" i="23"/>
  <c r="AK301" i="23"/>
  <c r="AM301" i="23" s="1"/>
  <c r="AI302" i="23"/>
  <c r="AL302" i="23" s="1"/>
  <c r="AN302" i="23" s="1"/>
  <c r="AK303" i="23"/>
  <c r="AL301" i="23"/>
  <c r="B337" i="23"/>
  <c r="B329" i="23"/>
  <c r="AI298" i="23"/>
  <c r="AM296" i="23"/>
  <c r="AJ303" i="23"/>
  <c r="B341" i="23"/>
  <c r="AK297" i="23"/>
  <c r="AM297" i="23" s="1"/>
  <c r="B331" i="23"/>
  <c r="B343" i="23"/>
  <c r="AH304" i="23"/>
  <c r="AL304" i="23" s="1"/>
  <c r="AM304" i="23"/>
  <c r="AM300" i="23"/>
  <c r="AL297" i="23"/>
  <c r="AL299" i="23"/>
  <c r="AM299" i="23"/>
  <c r="BU14" i="22"/>
  <c r="BU73" i="22"/>
  <c r="BU70" i="22"/>
  <c r="BU13" i="22"/>
  <c r="BU124" i="22"/>
  <c r="BU15" i="22"/>
  <c r="BU64" i="22"/>
  <c r="BU119" i="22"/>
  <c r="L46" i="22"/>
  <c r="BU120" i="22"/>
  <c r="BU16" i="22"/>
  <c r="BU21" i="22"/>
  <c r="BU20" i="22"/>
  <c r="L50" i="22"/>
  <c r="BU19" i="22"/>
  <c r="BU125" i="22"/>
  <c r="BU121" i="22"/>
  <c r="B365" i="22"/>
  <c r="C370" i="22"/>
  <c r="BU66" i="22"/>
  <c r="BU116" i="22"/>
  <c r="BU71" i="22"/>
  <c r="BU68" i="22"/>
  <c r="BU12" i="22"/>
  <c r="BU67" i="22"/>
  <c r="BU123" i="22"/>
  <c r="C364" i="22"/>
  <c r="B368" i="22"/>
  <c r="BU17" i="22"/>
  <c r="C363" i="22"/>
  <c r="BU65" i="22"/>
  <c r="D366" i="22"/>
  <c r="C371" i="22"/>
  <c r="BU18" i="22"/>
  <c r="B363" i="22"/>
  <c r="D363" i="22"/>
  <c r="BU117" i="22"/>
  <c r="L158" i="22"/>
  <c r="B369" i="22"/>
  <c r="C362" i="22"/>
  <c r="D371" i="22"/>
  <c r="B371" i="22"/>
  <c r="BU69" i="22"/>
  <c r="BU118" i="22"/>
  <c r="B364" i="22"/>
  <c r="C368" i="22"/>
  <c r="D367" i="22"/>
  <c r="D364" i="22"/>
  <c r="I55" i="22"/>
  <c r="I51" i="22"/>
  <c r="I47" i="22"/>
  <c r="I159" i="22"/>
  <c r="I155" i="22"/>
  <c r="I151" i="22"/>
  <c r="C365" i="22"/>
  <c r="C369" i="22"/>
  <c r="L150" i="22"/>
  <c r="B370" i="22"/>
  <c r="B366" i="22"/>
  <c r="C366" i="22"/>
  <c r="B367" i="22"/>
  <c r="D368" i="22"/>
  <c r="C367" i="22"/>
  <c r="B362" i="22"/>
  <c r="D362" i="22"/>
  <c r="BU122" i="22"/>
  <c r="D370" i="22"/>
  <c r="D365" i="22"/>
  <c r="D369" i="22"/>
  <c r="D195" i="21"/>
  <c r="D236" i="21" s="1"/>
  <c r="C188" i="21"/>
  <c r="C229" i="21" s="1"/>
  <c r="D184" i="21"/>
  <c r="D225" i="21" s="1"/>
  <c r="D194" i="21"/>
  <c r="D235" i="21" s="1"/>
  <c r="D196" i="21"/>
  <c r="D237" i="21" s="1"/>
  <c r="D187" i="21"/>
  <c r="D228" i="21" s="1"/>
  <c r="C174" i="21"/>
  <c r="C215" i="21" s="1"/>
  <c r="C196" i="21"/>
  <c r="C237" i="21" s="1"/>
  <c r="C198" i="21"/>
  <c r="C239" i="21" s="1"/>
  <c r="B195" i="21"/>
  <c r="B236" i="21" s="1"/>
  <c r="B194" i="21"/>
  <c r="B235" i="21" s="1"/>
  <c r="B186" i="21"/>
  <c r="B227" i="21" s="1"/>
  <c r="D188" i="21"/>
  <c r="D229" i="21" s="1"/>
  <c r="C187" i="21"/>
  <c r="C228" i="21" s="1"/>
  <c r="C186" i="21"/>
  <c r="C227" i="21" s="1"/>
  <c r="D186" i="21"/>
  <c r="D227" i="21" s="1"/>
  <c r="C195" i="21"/>
  <c r="C236" i="21" s="1"/>
  <c r="C194" i="21"/>
  <c r="C235" i="21" s="1"/>
  <c r="B196" i="21"/>
  <c r="B237" i="21" s="1"/>
  <c r="B188" i="21"/>
  <c r="B229" i="21" s="1"/>
  <c r="B187" i="21"/>
  <c r="B228" i="21" s="1"/>
  <c r="B122" i="21"/>
  <c r="C143" i="21"/>
  <c r="B139" i="21"/>
  <c r="B134" i="21"/>
  <c r="D131" i="21"/>
  <c r="D122" i="21"/>
  <c r="B133" i="21"/>
  <c r="C159" i="21"/>
  <c r="D157" i="21"/>
  <c r="C139" i="21"/>
  <c r="B157" i="21"/>
  <c r="B130" i="21"/>
  <c r="C130" i="21"/>
  <c r="D130" i="21"/>
  <c r="B151" i="21"/>
  <c r="C151" i="21"/>
  <c r="D151" i="21"/>
  <c r="C121" i="21"/>
  <c r="B121" i="21"/>
  <c r="D121" i="21"/>
  <c r="B150" i="21"/>
  <c r="D150" i="21"/>
  <c r="C150" i="21"/>
  <c r="B135" i="21"/>
  <c r="C135" i="21"/>
  <c r="D135" i="21"/>
  <c r="D127" i="21"/>
  <c r="C127" i="21"/>
  <c r="B127" i="21"/>
  <c r="D133" i="21"/>
  <c r="D159" i="21"/>
  <c r="D125" i="21"/>
  <c r="C122" i="21"/>
  <c r="D138" i="21"/>
  <c r="C138" i="21"/>
  <c r="B138" i="21"/>
  <c r="B141" i="21"/>
  <c r="C141" i="21"/>
  <c r="D141" i="21"/>
  <c r="C142" i="21"/>
  <c r="B142" i="21"/>
  <c r="D142" i="21"/>
  <c r="B129" i="21"/>
  <c r="D129" i="21"/>
  <c r="C129" i="21"/>
  <c r="C126" i="21"/>
  <c r="B126" i="21"/>
  <c r="D126" i="21"/>
  <c r="D149" i="21"/>
  <c r="C149" i="21"/>
  <c r="B149" i="21"/>
  <c r="D139" i="21"/>
  <c r="B131" i="21"/>
  <c r="C125" i="21"/>
  <c r="C134" i="21"/>
  <c r="B123" i="21"/>
  <c r="D123" i="21"/>
  <c r="C123" i="21"/>
  <c r="C137" i="21"/>
  <c r="B137" i="21"/>
  <c r="D137" i="21"/>
  <c r="C158" i="21"/>
  <c r="D158" i="21"/>
  <c r="B158" i="21"/>
  <c r="B159" i="21"/>
  <c r="C131" i="21"/>
  <c r="B143" i="21"/>
  <c r="B125" i="21"/>
  <c r="D134" i="21"/>
  <c r="B113" i="19"/>
  <c r="B134" i="19"/>
  <c r="C111" i="19"/>
  <c r="C119" i="19"/>
  <c r="B116" i="19"/>
  <c r="B118" i="19"/>
  <c r="B120" i="19"/>
  <c r="C112" i="19"/>
  <c r="C120" i="19"/>
  <c r="B117" i="19"/>
  <c r="D119" i="19"/>
  <c r="D113" i="19"/>
  <c r="D112" i="19"/>
  <c r="D111" i="19"/>
  <c r="D114" i="19"/>
  <c r="B114" i="19"/>
  <c r="D117" i="19"/>
  <c r="D116" i="19"/>
  <c r="D115" i="19"/>
  <c r="D118" i="19"/>
  <c r="C117" i="19"/>
  <c r="C115" i="19"/>
  <c r="C114" i="19"/>
  <c r="C113" i="19"/>
  <c r="C116" i="19"/>
  <c r="B111" i="19"/>
  <c r="B115" i="19"/>
  <c r="C118" i="19"/>
  <c r="B119" i="19"/>
  <c r="B112" i="19"/>
  <c r="D120" i="19"/>
  <c r="B140" i="14"/>
  <c r="B139" i="14"/>
  <c r="C139" i="14"/>
  <c r="B144" i="14"/>
  <c r="B143" i="14"/>
  <c r="C143" i="14"/>
  <c r="B145" i="14"/>
  <c r="D143" i="14"/>
  <c r="D116" i="14"/>
  <c r="D117" i="14"/>
  <c r="C117" i="14"/>
  <c r="D108" i="14"/>
  <c r="D109" i="14"/>
  <c r="C109" i="14"/>
  <c r="B109" i="14"/>
  <c r="B124" i="14"/>
  <c r="B123" i="14"/>
  <c r="C123" i="14"/>
  <c r="B113" i="14"/>
  <c r="D111" i="14"/>
  <c r="D112" i="14"/>
  <c r="D113" i="14"/>
  <c r="C113" i="14"/>
  <c r="B127" i="14"/>
  <c r="C127" i="14"/>
  <c r="B128" i="14"/>
  <c r="C115" i="14"/>
  <c r="B117" i="14"/>
  <c r="D151" i="14" s="1"/>
  <c r="D115" i="14"/>
  <c r="B116" i="14"/>
  <c r="B115" i="14"/>
  <c r="B137" i="14"/>
  <c r="D156" i="14" s="1"/>
  <c r="D137" i="14"/>
  <c r="D135" i="14"/>
  <c r="C137" i="14"/>
  <c r="D136" i="14"/>
  <c r="C125" i="14"/>
  <c r="D123" i="14"/>
  <c r="B125" i="14"/>
  <c r="D124" i="14"/>
  <c r="D125" i="14"/>
  <c r="C131" i="14"/>
  <c r="B132" i="14"/>
  <c r="B131" i="14"/>
  <c r="B107" i="14"/>
  <c r="C136" i="14"/>
  <c r="B136" i="14"/>
  <c r="C135" i="14"/>
  <c r="C111" i="14"/>
  <c r="B111" i="14"/>
  <c r="B112" i="14"/>
  <c r="D120" i="14"/>
  <c r="D121" i="14"/>
  <c r="C121" i="14"/>
  <c r="D119" i="14"/>
  <c r="B121" i="14"/>
  <c r="C129" i="14"/>
  <c r="D127" i="14"/>
  <c r="B129" i="14"/>
  <c r="D128" i="14"/>
  <c r="D129" i="14"/>
  <c r="D139" i="14"/>
  <c r="C141" i="14"/>
  <c r="D140" i="14"/>
  <c r="B141" i="14"/>
  <c r="D141" i="14"/>
  <c r="C145" i="14"/>
  <c r="D144" i="14"/>
  <c r="D145" i="14"/>
  <c r="D132" i="14"/>
  <c r="B133" i="14"/>
  <c r="D133" i="14"/>
  <c r="C133" i="14"/>
  <c r="D131" i="14"/>
  <c r="C107" i="14"/>
  <c r="B149" i="14" s="1"/>
  <c r="C108" i="14"/>
  <c r="B108" i="14"/>
  <c r="B120" i="14"/>
  <c r="B119" i="14"/>
  <c r="C119" i="14"/>
  <c r="E102" i="14"/>
  <c r="BU121" i="12"/>
  <c r="AE213" i="12"/>
  <c r="AB212" i="12"/>
  <c r="AG207" i="12"/>
  <c r="AH207" i="12"/>
  <c r="BS20" i="12"/>
  <c r="AG213" i="12"/>
  <c r="BT69" i="12"/>
  <c r="R198" i="12"/>
  <c r="Z212" i="12"/>
  <c r="BU68" i="12"/>
  <c r="AK210" i="12"/>
  <c r="X196" i="12"/>
  <c r="K200" i="12"/>
  <c r="S200" i="12" s="1"/>
  <c r="Z200" i="12" s="1"/>
  <c r="R194" i="12"/>
  <c r="AE216" i="12"/>
  <c r="BS72" i="12"/>
  <c r="AD216" i="12"/>
  <c r="BU71" i="12"/>
  <c r="AC215" i="12"/>
  <c r="P194" i="12"/>
  <c r="V194" i="12"/>
  <c r="AB194" i="12" s="1"/>
  <c r="Y194" i="12"/>
  <c r="AD208" i="12"/>
  <c r="AJ208" i="12" s="1"/>
  <c r="AD207" i="12"/>
  <c r="T193" i="12"/>
  <c r="AA213" i="12"/>
  <c r="G215" i="12"/>
  <c r="AE215" i="12" s="1"/>
  <c r="AJ215" i="12" s="1"/>
  <c r="G201" i="12"/>
  <c r="W201" i="12" s="1"/>
  <c r="D200" i="12"/>
  <c r="T200" i="12" s="1"/>
  <c r="D214" i="12"/>
  <c r="AB214" i="12" s="1"/>
  <c r="G211" i="12"/>
  <c r="AE211" i="12" s="1"/>
  <c r="AJ211" i="12" s="1"/>
  <c r="G197" i="12"/>
  <c r="W197" i="12" s="1"/>
  <c r="AB197" i="12" s="1"/>
  <c r="AA214" i="12"/>
  <c r="AH214" i="12" s="1"/>
  <c r="G207" i="12"/>
  <c r="G193" i="12"/>
  <c r="L197" i="12"/>
  <c r="T197" i="12" s="1"/>
  <c r="AA197" i="12" s="1"/>
  <c r="L211" i="12"/>
  <c r="R200" i="12"/>
  <c r="R196" i="12"/>
  <c r="AB211" i="12"/>
  <c r="AI211" i="12" s="1"/>
  <c r="BT123" i="12"/>
  <c r="J106" i="12"/>
  <c r="I78" i="12"/>
  <c r="J102" i="12"/>
  <c r="J98" i="12"/>
  <c r="Z213" i="12"/>
  <c r="C209" i="12"/>
  <c r="AA209" i="12" s="1"/>
  <c r="C195" i="12"/>
  <c r="S195" i="12" s="1"/>
  <c r="Z195" i="12" s="1"/>
  <c r="AD195" i="12" s="1"/>
  <c r="BU20" i="12"/>
  <c r="K106" i="12"/>
  <c r="L102" i="12"/>
  <c r="K102" i="12"/>
  <c r="L98" i="12"/>
  <c r="K98" i="12"/>
  <c r="L106" i="12"/>
  <c r="L201" i="12"/>
  <c r="T201" i="12" s="1"/>
  <c r="AA201" i="12" s="1"/>
  <c r="L215" i="12"/>
  <c r="S197" i="12"/>
  <c r="Z197" i="12" s="1"/>
  <c r="BU122" i="12"/>
  <c r="S201" i="12"/>
  <c r="Z201" i="12" s="1"/>
  <c r="AG211" i="12"/>
  <c r="L213" i="12"/>
  <c r="AB213" i="12" s="1"/>
  <c r="AI213" i="12" s="1"/>
  <c r="L199" i="12"/>
  <c r="BU118" i="12"/>
  <c r="N199" i="12"/>
  <c r="V199" i="12" s="1"/>
  <c r="AB199" i="12" s="1"/>
  <c r="N213" i="12"/>
  <c r="AD213" i="12" s="1"/>
  <c r="AJ213" i="12" s="1"/>
  <c r="P201" i="12"/>
  <c r="X201" i="12" s="1"/>
  <c r="AC201" i="12" s="1"/>
  <c r="P215" i="12"/>
  <c r="AF215" i="12" s="1"/>
  <c r="AK215" i="12" s="1"/>
  <c r="AB208" i="12"/>
  <c r="AI208" i="12" s="1"/>
  <c r="AA193" i="12"/>
  <c r="D210" i="12"/>
  <c r="AB210" i="12" s="1"/>
  <c r="D196" i="12"/>
  <c r="T196" i="12" s="1"/>
  <c r="AA196" i="12" s="1"/>
  <c r="AF209" i="12"/>
  <c r="AK209" i="12" s="1"/>
  <c r="J157" i="12"/>
  <c r="J153" i="12"/>
  <c r="J149" i="12"/>
  <c r="I149" i="12"/>
  <c r="I157" i="12"/>
  <c r="I153" i="12"/>
  <c r="L209" i="12"/>
  <c r="L195" i="12"/>
  <c r="H216" i="12"/>
  <c r="AF216" i="12" s="1"/>
  <c r="H202" i="12"/>
  <c r="X202" i="12" s="1"/>
  <c r="AC202" i="12" s="1"/>
  <c r="Y196" i="12"/>
  <c r="AC196" i="12" s="1"/>
  <c r="Y198" i="12"/>
  <c r="O200" i="12"/>
  <c r="W200" i="12" s="1"/>
  <c r="AB200" i="12" s="1"/>
  <c r="O214" i="12"/>
  <c r="AE214" i="12" s="1"/>
  <c r="AJ214" i="12" s="1"/>
  <c r="BS67" i="12"/>
  <c r="BU67" i="12" s="1"/>
  <c r="M200" i="12"/>
  <c r="U200" i="12" s="1"/>
  <c r="M214" i="12"/>
  <c r="K208" i="12"/>
  <c r="AA208" i="12" s="1"/>
  <c r="AH208" i="12" s="1"/>
  <c r="K194" i="12"/>
  <c r="K154" i="12"/>
  <c r="L150" i="12"/>
  <c r="K150" i="12"/>
  <c r="K158" i="12"/>
  <c r="L158" i="12"/>
  <c r="L154" i="12"/>
  <c r="BS69" i="12"/>
  <c r="BU69" i="12" s="1"/>
  <c r="BT65" i="12"/>
  <c r="BU65" i="12" s="1"/>
  <c r="AC200" i="12"/>
  <c r="BT72" i="12"/>
  <c r="BU72" i="12" s="1"/>
  <c r="P211" i="12"/>
  <c r="AF211" i="12" s="1"/>
  <c r="AK211" i="12" s="1"/>
  <c r="P197" i="12"/>
  <c r="X197" i="12" s="1"/>
  <c r="AC197" i="12" s="1"/>
  <c r="U201" i="12"/>
  <c r="BU17" i="12"/>
  <c r="V196" i="12"/>
  <c r="BU13" i="12"/>
  <c r="V201" i="12"/>
  <c r="S199" i="12"/>
  <c r="Z199" i="12" s="1"/>
  <c r="O196" i="12"/>
  <c r="W196" i="12" s="1"/>
  <c r="AB196" i="12" s="1"/>
  <c r="O210" i="12"/>
  <c r="T202" i="12"/>
  <c r="AA202" i="12" s="1"/>
  <c r="H212" i="12"/>
  <c r="AF212" i="12" s="1"/>
  <c r="AK212" i="12" s="1"/>
  <c r="H198" i="12"/>
  <c r="X198" i="12" s="1"/>
  <c r="O207" i="12"/>
  <c r="O193" i="12"/>
  <c r="BS124" i="12"/>
  <c r="BU124" i="12" s="1"/>
  <c r="BS120" i="12"/>
  <c r="BU120" i="12" s="1"/>
  <c r="R202" i="12"/>
  <c r="BS16" i="12"/>
  <c r="BU16" i="12" s="1"/>
  <c r="BS15" i="12"/>
  <c r="BU15" i="12" s="1"/>
  <c r="BT14" i="12"/>
  <c r="BU14" i="12" s="1"/>
  <c r="BS11" i="12"/>
  <c r="BU11" i="12" s="1"/>
  <c r="R197" i="12"/>
  <c r="K202" i="12"/>
  <c r="S202" i="12" s="1"/>
  <c r="K216" i="12"/>
  <c r="AA216" i="12" s="1"/>
  <c r="AD209" i="12"/>
  <c r="AJ209" i="12" s="1"/>
  <c r="AM209" i="12" s="1"/>
  <c r="AA211" i="12"/>
  <c r="AH211" i="12" s="1"/>
  <c r="AL211" i="12" s="1"/>
  <c r="AA215" i="12"/>
  <c r="I50" i="12"/>
  <c r="I54" i="12"/>
  <c r="I46" i="12"/>
  <c r="Y197" i="12"/>
  <c r="E106" i="12"/>
  <c r="E102" i="12"/>
  <c r="E98" i="12"/>
  <c r="H194" i="12"/>
  <c r="X194" i="12" s="1"/>
  <c r="H208" i="12"/>
  <c r="AF208" i="12" s="1"/>
  <c r="W198" i="12"/>
  <c r="AB198" i="12" s="1"/>
  <c r="T195" i="12"/>
  <c r="AA195" i="12" s="1"/>
  <c r="I104" i="12"/>
  <c r="I100" i="12"/>
  <c r="I96" i="12"/>
  <c r="J104" i="12"/>
  <c r="J100" i="12"/>
  <c r="J96" i="12"/>
  <c r="S194" i="12"/>
  <c r="Z194" i="12" s="1"/>
  <c r="AB215" i="12"/>
  <c r="AG208" i="12"/>
  <c r="AG216" i="12"/>
  <c r="P199" i="12"/>
  <c r="X199" i="12" s="1"/>
  <c r="P213" i="12"/>
  <c r="AF213" i="12" s="1"/>
  <c r="AA210" i="12"/>
  <c r="AH210" i="12" s="1"/>
  <c r="AE210" i="12"/>
  <c r="BU63" i="12"/>
  <c r="AF214" i="12"/>
  <c r="AK214" i="12" s="1"/>
  <c r="Z209" i="12"/>
  <c r="P193" i="12"/>
  <c r="X193" i="12" s="1"/>
  <c r="AC193" i="12" s="1"/>
  <c r="P207" i="12"/>
  <c r="AF207" i="12" s="1"/>
  <c r="AK207" i="12" s="1"/>
  <c r="AC216" i="12"/>
  <c r="BS18" i="12"/>
  <c r="BU18" i="12" s="1"/>
  <c r="BT17" i="12"/>
  <c r="U197" i="12"/>
  <c r="AD210" i="12"/>
  <c r="T199" i="12"/>
  <c r="AA199" i="12" s="1"/>
  <c r="K196" i="12"/>
  <c r="S196" i="12" s="1"/>
  <c r="Z196" i="12" s="1"/>
  <c r="AD196" i="12" s="1"/>
  <c r="K210" i="12"/>
  <c r="BU123" i="12"/>
  <c r="AB216" i="12"/>
  <c r="AA194" i="12"/>
  <c r="S193" i="12"/>
  <c r="Z193" i="12" s="1"/>
  <c r="AD193" i="12" s="1"/>
  <c r="AC212" i="12"/>
  <c r="AB207" i="12"/>
  <c r="AI207" i="12" s="1"/>
  <c r="AL207" i="12" s="1"/>
  <c r="BS116" i="12"/>
  <c r="BU116" i="12" s="1"/>
  <c r="K97" i="12"/>
  <c r="L77" i="12"/>
  <c r="L105" i="12"/>
  <c r="K105" i="12"/>
  <c r="L101" i="12"/>
  <c r="L97" i="12"/>
  <c r="K101" i="12"/>
  <c r="Z216" i="12"/>
  <c r="Z215" i="12"/>
  <c r="BS12" i="12"/>
  <c r="BU12" i="12" s="1"/>
  <c r="V193" i="12"/>
  <c r="K198" i="12"/>
  <c r="S198" i="12" s="1"/>
  <c r="Z198" i="12" s="1"/>
  <c r="AD198" i="12" s="1"/>
  <c r="K212" i="12"/>
  <c r="AA212" i="12" s="1"/>
  <c r="V195" i="12"/>
  <c r="AB195" i="12" s="1"/>
  <c r="AE195" i="12" s="1"/>
  <c r="AE212" i="12"/>
  <c r="AJ212" i="12" s="1"/>
  <c r="AB209" i="12"/>
  <c r="AI209" i="12" s="1"/>
  <c r="W202" i="12"/>
  <c r="AB202" i="12" s="1"/>
  <c r="AE202" i="12" s="1"/>
  <c r="AC214" i="12"/>
  <c r="Y199" i="12"/>
  <c r="AC210" i="12"/>
  <c r="J13" i="9"/>
  <c r="B106" i="9" s="1"/>
  <c r="J72" i="9"/>
  <c r="J12" i="9"/>
  <c r="B105" i="9" s="1"/>
  <c r="J20" i="9"/>
  <c r="B113" i="9" s="1"/>
  <c r="J19" i="9"/>
  <c r="B112" i="9" s="1"/>
  <c r="J18" i="9"/>
  <c r="B111" i="9" s="1"/>
  <c r="J17" i="9"/>
  <c r="B110" i="9" s="1"/>
  <c r="J16" i="9"/>
  <c r="B109" i="9" s="1"/>
  <c r="J15" i="9"/>
  <c r="B108" i="9" s="1"/>
  <c r="J11" i="9"/>
  <c r="B104" i="9" s="1"/>
  <c r="J14" i="9"/>
  <c r="B107" i="9" s="1"/>
  <c r="B267" i="24" l="1"/>
  <c r="C280" i="24" s="1"/>
  <c r="C293" i="24" s="1"/>
  <c r="B273" i="24"/>
  <c r="D267" i="24"/>
  <c r="B274" i="24"/>
  <c r="B287" i="24" s="1"/>
  <c r="B300" i="24" s="1"/>
  <c r="C266" i="24"/>
  <c r="C269" i="24"/>
  <c r="C282" i="24" s="1"/>
  <c r="C265" i="24"/>
  <c r="C273" i="24"/>
  <c r="B266" i="24"/>
  <c r="B279" i="24" s="1"/>
  <c r="C272" i="24"/>
  <c r="D270" i="24"/>
  <c r="D283" i="24" s="1"/>
  <c r="D273" i="24"/>
  <c r="B271" i="24"/>
  <c r="D274" i="24"/>
  <c r="C268" i="24"/>
  <c r="B281" i="24" s="1"/>
  <c r="B294" i="24" s="1"/>
  <c r="D272" i="24"/>
  <c r="D285" i="24" s="1"/>
  <c r="D298" i="24" s="1"/>
  <c r="D265" i="24"/>
  <c r="D278" i="24" s="1"/>
  <c r="D291" i="24" s="1"/>
  <c r="C271" i="24"/>
  <c r="D268" i="24"/>
  <c r="D281" i="24" s="1"/>
  <c r="D294" i="24" s="1"/>
  <c r="D296" i="24"/>
  <c r="R324" i="24" s="1"/>
  <c r="C295" i="24"/>
  <c r="AN300" i="23"/>
  <c r="AN296" i="23"/>
  <c r="AL298" i="23"/>
  <c r="AN298" i="23" s="1"/>
  <c r="AN295" i="23"/>
  <c r="AM303" i="23"/>
  <c r="AN303" i="23" s="1"/>
  <c r="AN301" i="23"/>
  <c r="AN297" i="23"/>
  <c r="AN304" i="23"/>
  <c r="AN299" i="23"/>
  <c r="O396" i="22"/>
  <c r="P396" i="22"/>
  <c r="Q396" i="22"/>
  <c r="N396" i="22"/>
  <c r="Q394" i="22"/>
  <c r="N394" i="22"/>
  <c r="O394" i="22"/>
  <c r="P394" i="22"/>
  <c r="U396" i="22"/>
  <c r="X396" i="22"/>
  <c r="V396" i="22"/>
  <c r="W396" i="22"/>
  <c r="Y396" i="22"/>
  <c r="U392" i="22"/>
  <c r="X392" i="22"/>
  <c r="V392" i="22"/>
  <c r="W392" i="22"/>
  <c r="Y392" i="22"/>
  <c r="T395" i="22"/>
  <c r="W395" i="22"/>
  <c r="Y395" i="22"/>
  <c r="X395" i="22"/>
  <c r="V395" i="22"/>
  <c r="B398" i="22"/>
  <c r="F398" i="22"/>
  <c r="G398" i="22"/>
  <c r="H398" i="22"/>
  <c r="I398" i="22"/>
  <c r="Y397" i="22"/>
  <c r="W397" i="22"/>
  <c r="X397" i="22"/>
  <c r="V397" i="22"/>
  <c r="G399" i="22"/>
  <c r="I399" i="22"/>
  <c r="H399" i="22"/>
  <c r="F399" i="22"/>
  <c r="M397" i="22"/>
  <c r="P397" i="22"/>
  <c r="N397" i="22"/>
  <c r="Q397" i="22"/>
  <c r="O397" i="22"/>
  <c r="D400" i="22"/>
  <c r="H400" i="22"/>
  <c r="I400" i="22"/>
  <c r="F400" i="22"/>
  <c r="G400" i="22"/>
  <c r="D392" i="22"/>
  <c r="H392" i="22"/>
  <c r="I392" i="22"/>
  <c r="F392" i="22"/>
  <c r="G392" i="22"/>
  <c r="J393" i="22"/>
  <c r="P393" i="22"/>
  <c r="N393" i="22"/>
  <c r="Q393" i="22"/>
  <c r="O393" i="22"/>
  <c r="K399" i="22"/>
  <c r="P399" i="22"/>
  <c r="O399" i="22"/>
  <c r="N399" i="22"/>
  <c r="Q399" i="22"/>
  <c r="V398" i="22"/>
  <c r="X398" i="22"/>
  <c r="Y398" i="22"/>
  <c r="W398" i="22"/>
  <c r="W391" i="22"/>
  <c r="Y391" i="22"/>
  <c r="X391" i="22"/>
  <c r="V391" i="22"/>
  <c r="H396" i="22"/>
  <c r="F396" i="22"/>
  <c r="I396" i="22"/>
  <c r="G396" i="22"/>
  <c r="D393" i="22"/>
  <c r="I393" i="22"/>
  <c r="G393" i="22"/>
  <c r="H393" i="22"/>
  <c r="F393" i="22"/>
  <c r="U400" i="22"/>
  <c r="X400" i="22"/>
  <c r="Y400" i="22"/>
  <c r="V400" i="22"/>
  <c r="W400" i="22"/>
  <c r="J392" i="22"/>
  <c r="O392" i="22"/>
  <c r="AE392" i="22" s="1"/>
  <c r="Q392" i="22"/>
  <c r="P392" i="22"/>
  <c r="N392" i="22"/>
  <c r="D394" i="22"/>
  <c r="F394" i="22"/>
  <c r="H394" i="22"/>
  <c r="G394" i="22"/>
  <c r="I394" i="22"/>
  <c r="W399" i="22"/>
  <c r="X399" i="22"/>
  <c r="V399" i="22"/>
  <c r="Y399" i="22"/>
  <c r="G395" i="22"/>
  <c r="H395" i="22"/>
  <c r="F395" i="22"/>
  <c r="I395" i="22"/>
  <c r="L391" i="22"/>
  <c r="N391" i="22"/>
  <c r="P391" i="22"/>
  <c r="O391" i="22"/>
  <c r="Q391" i="22"/>
  <c r="B397" i="22"/>
  <c r="I397" i="22"/>
  <c r="G397" i="22"/>
  <c r="H397" i="22"/>
  <c r="F397" i="22"/>
  <c r="V394" i="22"/>
  <c r="X394" i="22"/>
  <c r="Y394" i="22"/>
  <c r="W394" i="22"/>
  <c r="G391" i="22"/>
  <c r="I391" i="22"/>
  <c r="H391" i="22"/>
  <c r="F391" i="22"/>
  <c r="P395" i="22"/>
  <c r="N395" i="22"/>
  <c r="O395" i="22"/>
  <c r="Q395" i="22"/>
  <c r="Q398" i="22"/>
  <c r="N398" i="22"/>
  <c r="O398" i="22"/>
  <c r="P398" i="22"/>
  <c r="T393" i="22"/>
  <c r="Y393" i="22"/>
  <c r="W393" i="22"/>
  <c r="X393" i="22"/>
  <c r="V393" i="22"/>
  <c r="L393" i="22"/>
  <c r="AB393" i="22" s="1"/>
  <c r="K400" i="22"/>
  <c r="O400" i="22"/>
  <c r="P400" i="22"/>
  <c r="AF400" i="22" s="1"/>
  <c r="Q400" i="22"/>
  <c r="N400" i="22"/>
  <c r="M399" i="22"/>
  <c r="R400" i="22"/>
  <c r="R396" i="22"/>
  <c r="R392" i="22"/>
  <c r="J397" i="22"/>
  <c r="K393" i="22"/>
  <c r="C394" i="22"/>
  <c r="E394" i="22"/>
  <c r="K392" i="22"/>
  <c r="K391" i="22"/>
  <c r="J400" i="22"/>
  <c r="M391" i="22"/>
  <c r="M400" i="22"/>
  <c r="L400" i="22"/>
  <c r="B393" i="22"/>
  <c r="S392" i="22"/>
  <c r="T392" i="22"/>
  <c r="L392" i="22"/>
  <c r="M392" i="22"/>
  <c r="J391" i="22"/>
  <c r="T396" i="22"/>
  <c r="T400" i="22"/>
  <c r="C398" i="22"/>
  <c r="J399" i="22"/>
  <c r="S396" i="22"/>
  <c r="S400" i="22"/>
  <c r="L399" i="22"/>
  <c r="B394" i="22"/>
  <c r="B392" i="22"/>
  <c r="M393" i="22"/>
  <c r="E397" i="22"/>
  <c r="E392" i="22"/>
  <c r="E369" i="22"/>
  <c r="D398" i="22"/>
  <c r="D397" i="22"/>
  <c r="E368" i="22"/>
  <c r="R395" i="22"/>
  <c r="E398" i="22"/>
  <c r="B400" i="22"/>
  <c r="C397" i="22"/>
  <c r="E363" i="22"/>
  <c r="C392" i="22"/>
  <c r="S395" i="22"/>
  <c r="U395" i="22"/>
  <c r="U393" i="22"/>
  <c r="E365" i="22"/>
  <c r="S393" i="22"/>
  <c r="R393" i="22"/>
  <c r="E393" i="22"/>
  <c r="C400" i="22"/>
  <c r="E400" i="22"/>
  <c r="C393" i="22"/>
  <c r="E364" i="22"/>
  <c r="E371" i="22"/>
  <c r="L397" i="22"/>
  <c r="K397" i="22"/>
  <c r="S399" i="22"/>
  <c r="U399" i="22"/>
  <c r="R399" i="22"/>
  <c r="T399" i="22"/>
  <c r="J396" i="22"/>
  <c r="L396" i="22"/>
  <c r="M396" i="22"/>
  <c r="K396" i="22"/>
  <c r="M395" i="22"/>
  <c r="K395" i="22"/>
  <c r="J395" i="22"/>
  <c r="L395" i="22"/>
  <c r="E370" i="22"/>
  <c r="D399" i="22"/>
  <c r="E399" i="22"/>
  <c r="B399" i="22"/>
  <c r="C399" i="22"/>
  <c r="J394" i="22"/>
  <c r="M394" i="22"/>
  <c r="L394" i="22"/>
  <c r="K394" i="22"/>
  <c r="T397" i="22"/>
  <c r="S397" i="22"/>
  <c r="U397" i="22"/>
  <c r="R397" i="22"/>
  <c r="E366" i="22"/>
  <c r="D395" i="22"/>
  <c r="E395" i="22"/>
  <c r="B395" i="22"/>
  <c r="C395" i="22"/>
  <c r="U398" i="22"/>
  <c r="T398" i="22"/>
  <c r="R398" i="22"/>
  <c r="S398" i="22"/>
  <c r="U394" i="22"/>
  <c r="T394" i="22"/>
  <c r="R394" i="22"/>
  <c r="S394" i="22"/>
  <c r="R391" i="22"/>
  <c r="U391" i="22"/>
  <c r="S391" i="22"/>
  <c r="T391" i="22"/>
  <c r="E362" i="22"/>
  <c r="D391" i="22"/>
  <c r="B391" i="22"/>
  <c r="E391" i="22"/>
  <c r="C391" i="22"/>
  <c r="E367" i="22"/>
  <c r="E396" i="22"/>
  <c r="B396" i="22"/>
  <c r="C396" i="22"/>
  <c r="D396" i="22"/>
  <c r="M398" i="22"/>
  <c r="J398" i="22"/>
  <c r="K398" i="22"/>
  <c r="L398" i="22"/>
  <c r="D251" i="21"/>
  <c r="D253" i="21"/>
  <c r="B251" i="21"/>
  <c r="C251" i="21"/>
  <c r="B253" i="21"/>
  <c r="C253" i="21"/>
  <c r="C172" i="21"/>
  <c r="C213" i="21" s="1"/>
  <c r="C164" i="21"/>
  <c r="C205" i="21" s="1"/>
  <c r="C167" i="21"/>
  <c r="C208" i="21" s="1"/>
  <c r="C182" i="21"/>
  <c r="C223" i="21" s="1"/>
  <c r="D174" i="21"/>
  <c r="D215" i="21" s="1"/>
  <c r="D191" i="21"/>
  <c r="D232" i="21" s="1"/>
  <c r="D171" i="21"/>
  <c r="D212" i="21" s="1"/>
  <c r="C184" i="21"/>
  <c r="C225" i="21" s="1"/>
  <c r="D175" i="21"/>
  <c r="D216" i="21" s="1"/>
  <c r="B200" i="21"/>
  <c r="B241" i="21" s="1"/>
  <c r="D178" i="21"/>
  <c r="D219" i="21" s="1"/>
  <c r="D164" i="21"/>
  <c r="D205" i="21" s="1"/>
  <c r="B172" i="21"/>
  <c r="B213" i="21" s="1"/>
  <c r="D190" i="21"/>
  <c r="D231" i="21" s="1"/>
  <c r="C170" i="21"/>
  <c r="C211" i="21" s="1"/>
  <c r="B183" i="21"/>
  <c r="B224" i="21" s="1"/>
  <c r="B182" i="21"/>
  <c r="B223" i="21" s="1"/>
  <c r="C163" i="21"/>
  <c r="C204" i="21" s="1"/>
  <c r="B168" i="21"/>
  <c r="B209" i="21" s="1"/>
  <c r="C176" i="21"/>
  <c r="C217" i="21" s="1"/>
  <c r="B191" i="21"/>
  <c r="B232" i="21" s="1"/>
  <c r="D192" i="21"/>
  <c r="D233" i="21" s="1"/>
  <c r="C171" i="21"/>
  <c r="C212" i="21" s="1"/>
  <c r="D198" i="21"/>
  <c r="D239" i="21" s="1"/>
  <c r="D172" i="21"/>
  <c r="D213" i="21" s="1"/>
  <c r="B163" i="21"/>
  <c r="B204" i="21" s="1"/>
  <c r="C199" i="21"/>
  <c r="C240" i="21" s="1"/>
  <c r="C166" i="21"/>
  <c r="C207" i="21" s="1"/>
  <c r="C190" i="21"/>
  <c r="C231" i="21" s="1"/>
  <c r="D183" i="21"/>
  <c r="D224" i="21" s="1"/>
  <c r="D179" i="21"/>
  <c r="D220" i="21" s="1"/>
  <c r="D176" i="21"/>
  <c r="D217" i="21" s="1"/>
  <c r="C162" i="21"/>
  <c r="C203" i="21" s="1"/>
  <c r="C180" i="21"/>
  <c r="C221" i="21" s="1"/>
  <c r="D163" i="21"/>
  <c r="D204" i="21" s="1"/>
  <c r="B166" i="21"/>
  <c r="B207" i="21" s="1"/>
  <c r="B199" i="21"/>
  <c r="B240" i="21" s="1"/>
  <c r="B178" i="21"/>
  <c r="B219" i="21" s="1"/>
  <c r="B164" i="21"/>
  <c r="B205" i="21" s="1"/>
  <c r="D180" i="21"/>
  <c r="D221" i="21" s="1"/>
  <c r="D167" i="21"/>
  <c r="D208" i="21" s="1"/>
  <c r="D170" i="21"/>
  <c r="D211" i="21" s="1"/>
  <c r="C183" i="21"/>
  <c r="C224" i="21" s="1"/>
  <c r="B179" i="21"/>
  <c r="B220" i="21" s="1"/>
  <c r="D166" i="21"/>
  <c r="D207" i="21" s="1"/>
  <c r="C168" i="21"/>
  <c r="C209" i="21" s="1"/>
  <c r="B176" i="21"/>
  <c r="B217" i="21" s="1"/>
  <c r="D162" i="21"/>
  <c r="D203" i="21" s="1"/>
  <c r="C192" i="21"/>
  <c r="C233" i="21" s="1"/>
  <c r="B171" i="21"/>
  <c r="B212" i="21" s="1"/>
  <c r="C200" i="21"/>
  <c r="C241" i="21" s="1"/>
  <c r="B175" i="21"/>
  <c r="B216" i="21" s="1"/>
  <c r="B184" i="21"/>
  <c r="B225" i="21" s="1"/>
  <c r="D199" i="21"/>
  <c r="D240" i="21" s="1"/>
  <c r="C178" i="21"/>
  <c r="C219" i="21" s="1"/>
  <c r="C175" i="21"/>
  <c r="C216" i="21" s="1"/>
  <c r="C248" i="21" s="1"/>
  <c r="B190" i="21"/>
  <c r="B231" i="21" s="1"/>
  <c r="B167" i="21"/>
  <c r="B208" i="21" s="1"/>
  <c r="B170" i="21"/>
  <c r="B211" i="21" s="1"/>
  <c r="D182" i="21"/>
  <c r="D223" i="21" s="1"/>
  <c r="C179" i="21"/>
  <c r="C220" i="21" s="1"/>
  <c r="D200" i="21"/>
  <c r="D241" i="21" s="1"/>
  <c r="D168" i="21"/>
  <c r="D209" i="21" s="1"/>
  <c r="C191" i="21"/>
  <c r="C232" i="21" s="1"/>
  <c r="B162" i="21"/>
  <c r="B192" i="21"/>
  <c r="B233" i="21" s="1"/>
  <c r="B198" i="21"/>
  <c r="B239" i="21" s="1"/>
  <c r="B174" i="21"/>
  <c r="B215" i="21" s="1"/>
  <c r="B180" i="21"/>
  <c r="B221" i="21" s="1"/>
  <c r="D176" i="19"/>
  <c r="B176" i="19"/>
  <c r="D175" i="19"/>
  <c r="C176" i="19"/>
  <c r="D189" i="19" s="1"/>
  <c r="B174" i="19"/>
  <c r="C174" i="19"/>
  <c r="D174" i="19"/>
  <c r="C175" i="19"/>
  <c r="B175" i="19"/>
  <c r="B167" i="19"/>
  <c r="C167" i="19"/>
  <c r="B159" i="19"/>
  <c r="C159" i="19"/>
  <c r="C163" i="19"/>
  <c r="B163" i="19"/>
  <c r="C186" i="19" s="1"/>
  <c r="D164" i="19"/>
  <c r="D163" i="19"/>
  <c r="B164" i="19"/>
  <c r="C164" i="19"/>
  <c r="C144" i="19"/>
  <c r="D144" i="19"/>
  <c r="D143" i="19"/>
  <c r="B144" i="19"/>
  <c r="B158" i="19"/>
  <c r="C158" i="19"/>
  <c r="D158" i="19"/>
  <c r="B139" i="19"/>
  <c r="C139" i="19"/>
  <c r="D154" i="19"/>
  <c r="B154" i="19"/>
  <c r="C154" i="19"/>
  <c r="B184" i="19" s="1"/>
  <c r="C147" i="19"/>
  <c r="B147" i="19"/>
  <c r="D167" i="19"/>
  <c r="C168" i="19"/>
  <c r="D168" i="19"/>
  <c r="B168" i="19"/>
  <c r="C150" i="19"/>
  <c r="D150" i="19"/>
  <c r="B150" i="19"/>
  <c r="D148" i="19"/>
  <c r="B148" i="19"/>
  <c r="C148" i="19"/>
  <c r="D147" i="19"/>
  <c r="B143" i="19"/>
  <c r="C143" i="19"/>
  <c r="C142" i="19"/>
  <c r="D142" i="19"/>
  <c r="B142" i="19"/>
  <c r="B151" i="19"/>
  <c r="C151" i="19"/>
  <c r="B156" i="19"/>
  <c r="D156" i="19"/>
  <c r="C156" i="19"/>
  <c r="D155" i="19"/>
  <c r="D151" i="19"/>
  <c r="B152" i="19"/>
  <c r="C152" i="19"/>
  <c r="D152" i="19"/>
  <c r="B172" i="19"/>
  <c r="D172" i="19"/>
  <c r="C172" i="19"/>
  <c r="D171" i="19"/>
  <c r="D170" i="19"/>
  <c r="B170" i="19"/>
  <c r="B189" i="19"/>
  <c r="C170" i="19"/>
  <c r="B188" i="19" s="1"/>
  <c r="D138" i="19"/>
  <c r="B138" i="19"/>
  <c r="C138" i="19"/>
  <c r="B155" i="19"/>
  <c r="C184" i="19" s="1"/>
  <c r="C155" i="19"/>
  <c r="C160" i="19"/>
  <c r="D159" i="19"/>
  <c r="B160" i="19"/>
  <c r="D185" i="19" s="1"/>
  <c r="D160" i="19"/>
  <c r="D140" i="19"/>
  <c r="C140" i="19"/>
  <c r="B140" i="19"/>
  <c r="D180" i="19" s="1"/>
  <c r="D139" i="19"/>
  <c r="B162" i="19"/>
  <c r="D162" i="19"/>
  <c r="C162" i="19"/>
  <c r="B186" i="19" s="1"/>
  <c r="C166" i="19"/>
  <c r="B166" i="19"/>
  <c r="D166" i="19"/>
  <c r="C189" i="19"/>
  <c r="B171" i="19"/>
  <c r="C171" i="19"/>
  <c r="B146" i="19"/>
  <c r="C146" i="19"/>
  <c r="B182" i="19" s="1"/>
  <c r="D146" i="19"/>
  <c r="D155" i="14"/>
  <c r="D154" i="14"/>
  <c r="C150" i="14"/>
  <c r="D153" i="14"/>
  <c r="B151" i="14"/>
  <c r="D164" i="14" s="1"/>
  <c r="D177" i="14" s="1"/>
  <c r="D203" i="14" s="1"/>
  <c r="C151" i="14"/>
  <c r="B164" i="14" s="1"/>
  <c r="D149" i="14"/>
  <c r="C156" i="14"/>
  <c r="C152" i="14"/>
  <c r="C164" i="14"/>
  <c r="C177" i="14" s="1"/>
  <c r="C203" i="14" s="1"/>
  <c r="C158" i="14"/>
  <c r="D150" i="14"/>
  <c r="B157" i="14"/>
  <c r="C149" i="14"/>
  <c r="C162" i="14" s="1"/>
  <c r="C175" i="14" s="1"/>
  <c r="C201" i="14" s="1"/>
  <c r="D157" i="14"/>
  <c r="B150" i="14"/>
  <c r="B155" i="14"/>
  <c r="C154" i="14"/>
  <c r="B153" i="14"/>
  <c r="B158" i="14"/>
  <c r="C153" i="14"/>
  <c r="C155" i="14"/>
  <c r="D158" i="14"/>
  <c r="B152" i="14"/>
  <c r="D152" i="14"/>
  <c r="B156" i="14"/>
  <c r="B154" i="14"/>
  <c r="C157" i="14"/>
  <c r="AI215" i="12"/>
  <c r="AI212" i="12"/>
  <c r="AK213" i="12"/>
  <c r="AM213" i="12" s="1"/>
  <c r="AM211" i="12"/>
  <c r="AN211" i="12" s="1"/>
  <c r="AH212" i="12"/>
  <c r="AL212" i="12" s="1"/>
  <c r="Z202" i="12"/>
  <c r="AD202" i="12" s="1"/>
  <c r="AK216" i="12"/>
  <c r="AH216" i="12"/>
  <c r="AC198" i="12"/>
  <c r="AE196" i="12"/>
  <c r="AE200" i="12"/>
  <c r="AF202" i="12"/>
  <c r="AI216" i="12"/>
  <c r="AJ216" i="12"/>
  <c r="AM216" i="12" s="1"/>
  <c r="AC194" i="12"/>
  <c r="AE194" i="12" s="1"/>
  <c r="AF194" i="12" s="1"/>
  <c r="AC199" i="12"/>
  <c r="AE199" i="12" s="1"/>
  <c r="AE198" i="12"/>
  <c r="AD194" i="12"/>
  <c r="AL208" i="12"/>
  <c r="AF196" i="12"/>
  <c r="AD199" i="12"/>
  <c r="AD197" i="12"/>
  <c r="I106" i="12"/>
  <c r="I102" i="12"/>
  <c r="I98" i="12"/>
  <c r="AA200" i="12"/>
  <c r="AK208" i="12"/>
  <c r="AM208" i="12" s="1"/>
  <c r="W193" i="12"/>
  <c r="AB193" i="12" s="1"/>
  <c r="AE193" i="12" s="1"/>
  <c r="AF193" i="12" s="1"/>
  <c r="AE197" i="12"/>
  <c r="AB201" i="12"/>
  <c r="AE201" i="12" s="1"/>
  <c r="AH215" i="12"/>
  <c r="AL215" i="12" s="1"/>
  <c r="AN215" i="12" s="1"/>
  <c r="AD200" i="12"/>
  <c r="AF200" i="12" s="1"/>
  <c r="AF198" i="12"/>
  <c r="AD201" i="12"/>
  <c r="AF195" i="12"/>
  <c r="AE207" i="12"/>
  <c r="AJ207" i="12" s="1"/>
  <c r="AM207" i="12" s="1"/>
  <c r="AN207" i="12" s="1"/>
  <c r="AM215" i="12"/>
  <c r="AM212" i="12"/>
  <c r="AJ210" i="12"/>
  <c r="AM210" i="12" s="1"/>
  <c r="AM214" i="12"/>
  <c r="AI210" i="12"/>
  <c r="AL210" i="12" s="1"/>
  <c r="AH209" i="12"/>
  <c r="AL209" i="12" s="1"/>
  <c r="AN209" i="12" s="1"/>
  <c r="AI214" i="12"/>
  <c r="AL214" i="12" s="1"/>
  <c r="AN214" i="12" s="1"/>
  <c r="AH213" i="12"/>
  <c r="AL213" i="12" s="1"/>
  <c r="B284" i="24" l="1"/>
  <c r="B297" i="24" s="1"/>
  <c r="F325" i="24" s="1"/>
  <c r="D286" i="24"/>
  <c r="D299" i="24" s="1"/>
  <c r="U327" i="24" s="1"/>
  <c r="B282" i="24"/>
  <c r="D280" i="24"/>
  <c r="D293" i="24" s="1"/>
  <c r="S319" i="24"/>
  <c r="W319" i="24"/>
  <c r="V319" i="24"/>
  <c r="T319" i="24"/>
  <c r="Y319" i="24"/>
  <c r="X319" i="24"/>
  <c r="U319" i="24"/>
  <c r="C325" i="24"/>
  <c r="D325" i="24"/>
  <c r="I325" i="24"/>
  <c r="E325" i="24"/>
  <c r="J321" i="24"/>
  <c r="O321" i="24"/>
  <c r="K321" i="24"/>
  <c r="Q321" i="24"/>
  <c r="P321" i="24"/>
  <c r="L321" i="24"/>
  <c r="M321" i="24"/>
  <c r="N321" i="24"/>
  <c r="R322" i="24"/>
  <c r="W322" i="24"/>
  <c r="V322" i="24"/>
  <c r="X322" i="24"/>
  <c r="U322" i="24"/>
  <c r="Y322" i="24"/>
  <c r="S322" i="24"/>
  <c r="T322" i="24"/>
  <c r="G322" i="24"/>
  <c r="C322" i="24"/>
  <c r="F322" i="24"/>
  <c r="E322" i="24"/>
  <c r="H322" i="24"/>
  <c r="I322" i="24"/>
  <c r="D322" i="24"/>
  <c r="K323" i="24"/>
  <c r="O323" i="24"/>
  <c r="M323" i="24"/>
  <c r="N323" i="24"/>
  <c r="Q323" i="24"/>
  <c r="L323" i="24"/>
  <c r="P323" i="24"/>
  <c r="C328" i="24"/>
  <c r="G328" i="24"/>
  <c r="D328" i="24"/>
  <c r="I328" i="24"/>
  <c r="H328" i="24"/>
  <c r="F328" i="24"/>
  <c r="E328" i="24"/>
  <c r="C279" i="24"/>
  <c r="C292" i="24" s="1"/>
  <c r="R321" i="24"/>
  <c r="S321" i="24"/>
  <c r="W321" i="24"/>
  <c r="T321" i="24"/>
  <c r="V321" i="24"/>
  <c r="Y321" i="24"/>
  <c r="X321" i="24"/>
  <c r="U321" i="24"/>
  <c r="W326" i="24"/>
  <c r="V326" i="24"/>
  <c r="T326" i="24"/>
  <c r="U326" i="24"/>
  <c r="X326" i="24"/>
  <c r="Y326" i="24"/>
  <c r="S326" i="24"/>
  <c r="C286" i="24"/>
  <c r="C299" i="24" s="1"/>
  <c r="C287" i="24"/>
  <c r="C300" i="24" s="1"/>
  <c r="E300" i="24" s="1"/>
  <c r="D279" i="24"/>
  <c r="D292" i="24" s="1"/>
  <c r="D284" i="24"/>
  <c r="D297" i="24" s="1"/>
  <c r="W327" i="24"/>
  <c r="X327" i="24"/>
  <c r="T327" i="24"/>
  <c r="V327" i="24"/>
  <c r="C281" i="24"/>
  <c r="C294" i="24" s="1"/>
  <c r="C278" i="24"/>
  <c r="C291" i="24" s="1"/>
  <c r="B283" i="24"/>
  <c r="B296" i="24" s="1"/>
  <c r="C283" i="24"/>
  <c r="C296" i="24" s="1"/>
  <c r="D282" i="24"/>
  <c r="D295" i="24" s="1"/>
  <c r="S324" i="24"/>
  <c r="X324" i="24"/>
  <c r="T324" i="24"/>
  <c r="W324" i="24"/>
  <c r="V324" i="24"/>
  <c r="Y324" i="24"/>
  <c r="U324" i="24"/>
  <c r="C284" i="24"/>
  <c r="C297" i="24" s="1"/>
  <c r="D287" i="24"/>
  <c r="D300" i="24" s="1"/>
  <c r="C285" i="24"/>
  <c r="C298" i="24" s="1"/>
  <c r="B286" i="24"/>
  <c r="E286" i="24" s="1"/>
  <c r="B285" i="24"/>
  <c r="B298" i="24" s="1"/>
  <c r="B278" i="24"/>
  <c r="B291" i="24" s="1"/>
  <c r="B280" i="24"/>
  <c r="B293" i="24" s="1"/>
  <c r="E293" i="24" s="1"/>
  <c r="B322" i="24"/>
  <c r="E281" i="24"/>
  <c r="E294" i="24"/>
  <c r="R326" i="24"/>
  <c r="J324" i="24"/>
  <c r="R328" i="24"/>
  <c r="R319" i="24"/>
  <c r="E278" i="24"/>
  <c r="J325" i="24"/>
  <c r="J320" i="24"/>
  <c r="B321" i="24"/>
  <c r="Z321" i="24" s="1"/>
  <c r="J323" i="24"/>
  <c r="R325" i="24"/>
  <c r="B328" i="24"/>
  <c r="E291" i="24"/>
  <c r="B319" i="24"/>
  <c r="B299" i="24"/>
  <c r="E279" i="24"/>
  <c r="B292" i="24"/>
  <c r="B326" i="24"/>
  <c r="R323" i="24"/>
  <c r="R327" i="24"/>
  <c r="E282" i="24"/>
  <c r="B295" i="24"/>
  <c r="E297" i="24"/>
  <c r="B325" i="24"/>
  <c r="AG397" i="22"/>
  <c r="AF391" i="22"/>
  <c r="Z393" i="22"/>
  <c r="Z397" i="22"/>
  <c r="AD400" i="22"/>
  <c r="Z392" i="22"/>
  <c r="AG396" i="22"/>
  <c r="AA393" i="22"/>
  <c r="AD397" i="22"/>
  <c r="AA392" i="22"/>
  <c r="AH392" i="22" s="1"/>
  <c r="Z400" i="22"/>
  <c r="AB400" i="22"/>
  <c r="AE396" i="22"/>
  <c r="AC400" i="22"/>
  <c r="AF396" i="22"/>
  <c r="AB392" i="22"/>
  <c r="AG400" i="22"/>
  <c r="AK400" i="22" s="1"/>
  <c r="AC392" i="22"/>
  <c r="AD396" i="22"/>
  <c r="AA400" i="22"/>
  <c r="AG394" i="22"/>
  <c r="AC397" i="22"/>
  <c r="Z398" i="22"/>
  <c r="AD392" i="22"/>
  <c r="AJ392" i="22" s="1"/>
  <c r="AA394" i="22"/>
  <c r="AB395" i="22"/>
  <c r="AE397" i="22"/>
  <c r="AA396" i="22"/>
  <c r="AF397" i="22"/>
  <c r="AE400" i="22"/>
  <c r="AG392" i="22"/>
  <c r="AC393" i="22"/>
  <c r="AI393" i="22" s="1"/>
  <c r="AA398" i="22"/>
  <c r="AC396" i="22"/>
  <c r="AB394" i="22"/>
  <c r="AA399" i="22"/>
  <c r="AF392" i="22"/>
  <c r="AB396" i="22"/>
  <c r="AF398" i="22"/>
  <c r="AE391" i="22"/>
  <c r="AA397" i="22"/>
  <c r="AA391" i="22"/>
  <c r="AC394" i="22"/>
  <c r="AB397" i="22"/>
  <c r="AB398" i="22"/>
  <c r="AG398" i="22"/>
  <c r="AC395" i="22"/>
  <c r="AB399" i="22"/>
  <c r="Z396" i="22"/>
  <c r="Z391" i="22"/>
  <c r="AD394" i="22"/>
  <c r="AG391" i="22"/>
  <c r="AA395" i="22"/>
  <c r="AE395" i="22"/>
  <c r="AC398" i="22"/>
  <c r="AD391" i="22"/>
  <c r="AG399" i="22"/>
  <c r="Z394" i="22"/>
  <c r="AB391" i="22"/>
  <c r="AE394" i="22"/>
  <c r="AD395" i="22"/>
  <c r="AD398" i="22"/>
  <c r="AG395" i="22"/>
  <c r="AC391" i="22"/>
  <c r="AC399" i="22"/>
  <c r="AF399" i="22"/>
  <c r="AE398" i="22"/>
  <c r="AF393" i="22"/>
  <c r="Z395" i="22"/>
  <c r="Z399" i="22"/>
  <c r="AG393" i="22"/>
  <c r="AD399" i="22"/>
  <c r="AF394" i="22"/>
  <c r="AD393" i="22"/>
  <c r="AE399" i="22"/>
  <c r="AE393" i="22"/>
  <c r="AF395" i="22"/>
  <c r="D250" i="21"/>
  <c r="B245" i="21"/>
  <c r="B252" i="21"/>
  <c r="C245" i="21"/>
  <c r="C258" i="21" s="1"/>
  <c r="C284" i="21" s="1"/>
  <c r="B248" i="21"/>
  <c r="D245" i="21"/>
  <c r="B246" i="21"/>
  <c r="D259" i="21" s="1"/>
  <c r="D285" i="21" s="1"/>
  <c r="C254" i="21"/>
  <c r="D246" i="21"/>
  <c r="C252" i="21"/>
  <c r="B250" i="21"/>
  <c r="D248" i="21"/>
  <c r="D261" i="21" s="1"/>
  <c r="D287" i="21" s="1"/>
  <c r="C246" i="21"/>
  <c r="D254" i="21"/>
  <c r="C250" i="21"/>
  <c r="C263" i="21" s="1"/>
  <c r="C289" i="21" s="1"/>
  <c r="B254" i="21"/>
  <c r="B247" i="21"/>
  <c r="C249" i="21"/>
  <c r="C247" i="21"/>
  <c r="D249" i="21"/>
  <c r="D247" i="21"/>
  <c r="B249" i="21"/>
  <c r="D252" i="21"/>
  <c r="C265" i="21" s="1"/>
  <c r="C291" i="21" s="1"/>
  <c r="B264" i="21"/>
  <c r="B290" i="21" s="1"/>
  <c r="C264" i="21"/>
  <c r="C290" i="21" s="1"/>
  <c r="D264" i="21"/>
  <c r="D290" i="21" s="1"/>
  <c r="C266" i="21"/>
  <c r="C292" i="21" s="1"/>
  <c r="D266" i="21"/>
  <c r="D292" i="21" s="1"/>
  <c r="B266" i="21"/>
  <c r="B292" i="21" s="1"/>
  <c r="D181" i="19"/>
  <c r="C183" i="19"/>
  <c r="D182" i="19"/>
  <c r="D186" i="19"/>
  <c r="B181" i="19"/>
  <c r="C188" i="19"/>
  <c r="B187" i="19"/>
  <c r="C181" i="19"/>
  <c r="C194" i="19" s="1"/>
  <c r="C202" i="19"/>
  <c r="C215" i="19" s="1"/>
  <c r="C241" i="19" s="1"/>
  <c r="B202" i="19"/>
  <c r="B215" i="19" s="1"/>
  <c r="B241" i="19" s="1"/>
  <c r="D202" i="19"/>
  <c r="D215" i="19" s="1"/>
  <c r="D241" i="19" s="1"/>
  <c r="D188" i="19"/>
  <c r="D183" i="19"/>
  <c r="D187" i="19"/>
  <c r="C182" i="19"/>
  <c r="B185" i="19"/>
  <c r="B180" i="19"/>
  <c r="D184" i="19"/>
  <c r="C185" i="19"/>
  <c r="C198" i="19" s="1"/>
  <c r="C180" i="19"/>
  <c r="C207" i="19"/>
  <c r="C233" i="19" s="1"/>
  <c r="B183" i="19"/>
  <c r="C187" i="19"/>
  <c r="B163" i="14"/>
  <c r="B176" i="14" s="1"/>
  <c r="B202" i="14" s="1"/>
  <c r="B168" i="14"/>
  <c r="B181" i="14" s="1"/>
  <c r="B207" i="14" s="1"/>
  <c r="B167" i="14"/>
  <c r="B180" i="14" s="1"/>
  <c r="B206" i="14" s="1"/>
  <c r="C169" i="14"/>
  <c r="C182" i="14" s="1"/>
  <c r="C208" i="14" s="1"/>
  <c r="D171" i="14"/>
  <c r="D184" i="14" s="1"/>
  <c r="D210" i="14" s="1"/>
  <c r="D170" i="14"/>
  <c r="D183" i="14" s="1"/>
  <c r="D209" i="14" s="1"/>
  <c r="C165" i="14"/>
  <c r="C178" i="14" s="1"/>
  <c r="C204" i="14" s="1"/>
  <c r="B166" i="14"/>
  <c r="B179" i="14" s="1"/>
  <c r="B205" i="14" s="1"/>
  <c r="E164" i="14"/>
  <c r="B177" i="14"/>
  <c r="C163" i="14"/>
  <c r="C176" i="14" s="1"/>
  <c r="C202" i="14" s="1"/>
  <c r="B170" i="14"/>
  <c r="B183" i="14" s="1"/>
  <c r="B209" i="14" s="1"/>
  <c r="C171" i="14"/>
  <c r="C184" i="14" s="1"/>
  <c r="C210" i="14" s="1"/>
  <c r="D162" i="14"/>
  <c r="D175" i="14" s="1"/>
  <c r="D201" i="14" s="1"/>
  <c r="D167" i="14"/>
  <c r="D180" i="14" s="1"/>
  <c r="D206" i="14" s="1"/>
  <c r="B169" i="14"/>
  <c r="C168" i="14"/>
  <c r="C167" i="14"/>
  <c r="D168" i="14"/>
  <c r="D181" i="14" s="1"/>
  <c r="D207" i="14" s="1"/>
  <c r="D165" i="14"/>
  <c r="D178" i="14" s="1"/>
  <c r="D204" i="14" s="1"/>
  <c r="C166" i="14"/>
  <c r="C179" i="14" s="1"/>
  <c r="C205" i="14" s="1"/>
  <c r="C170" i="14"/>
  <c r="C183" i="14" s="1"/>
  <c r="C209" i="14" s="1"/>
  <c r="B165" i="14"/>
  <c r="B178" i="14" s="1"/>
  <c r="B204" i="14" s="1"/>
  <c r="E204" i="14" s="1"/>
  <c r="B171" i="14"/>
  <c r="D163" i="14"/>
  <c r="D169" i="14"/>
  <c r="D182" i="14" s="1"/>
  <c r="D208" i="14" s="1"/>
  <c r="D166" i="14"/>
  <c r="B162" i="14"/>
  <c r="B175" i="14" s="1"/>
  <c r="B201" i="14" s="1"/>
  <c r="AN210" i="12"/>
  <c r="AN212" i="12"/>
  <c r="AN213" i="12"/>
  <c r="AL216" i="12"/>
  <c r="AN216" i="12"/>
  <c r="AF199" i="12"/>
  <c r="AN208" i="12"/>
  <c r="AF201" i="12"/>
  <c r="AF197" i="12"/>
  <c r="Y327" i="24" l="1"/>
  <c r="S327" i="24"/>
  <c r="H325" i="24"/>
  <c r="G325" i="24"/>
  <c r="E284" i="24"/>
  <c r="E283" i="24"/>
  <c r="J326" i="24"/>
  <c r="Z326" i="24" s="1"/>
  <c r="K326" i="24"/>
  <c r="O326" i="24"/>
  <c r="Q326" i="24"/>
  <c r="L326" i="24"/>
  <c r="P326" i="24"/>
  <c r="M326" i="24"/>
  <c r="AC326" i="24" s="1"/>
  <c r="N326" i="24"/>
  <c r="B324" i="24"/>
  <c r="Z324" i="24" s="1"/>
  <c r="G324" i="24"/>
  <c r="C324" i="24"/>
  <c r="D324" i="24"/>
  <c r="F324" i="24"/>
  <c r="H324" i="24"/>
  <c r="E324" i="24"/>
  <c r="AC324" i="24" s="1"/>
  <c r="I324" i="24"/>
  <c r="E298" i="24"/>
  <c r="C320" i="24"/>
  <c r="G320" i="24"/>
  <c r="E320" i="24"/>
  <c r="I320" i="24"/>
  <c r="D320" i="24"/>
  <c r="H320" i="24"/>
  <c r="F320" i="24"/>
  <c r="E287" i="24"/>
  <c r="E285" i="24"/>
  <c r="C319" i="24"/>
  <c r="G319" i="24"/>
  <c r="AE319" i="24" s="1"/>
  <c r="H319" i="24"/>
  <c r="E319" i="24"/>
  <c r="D319" i="24"/>
  <c r="AB319" i="24" s="1"/>
  <c r="F319" i="24"/>
  <c r="I319" i="24"/>
  <c r="S328" i="24"/>
  <c r="T328" i="24"/>
  <c r="X328" i="24"/>
  <c r="Y328" i="24"/>
  <c r="W328" i="24"/>
  <c r="U328" i="24"/>
  <c r="V328" i="24"/>
  <c r="J319" i="24"/>
  <c r="Z319" i="24" s="1"/>
  <c r="O319" i="24"/>
  <c r="K319" i="24"/>
  <c r="L319" i="24"/>
  <c r="N319" i="24"/>
  <c r="AD319" i="24" s="1"/>
  <c r="M319" i="24"/>
  <c r="Q319" i="24"/>
  <c r="P319" i="24"/>
  <c r="J327" i="24"/>
  <c r="K327" i="24"/>
  <c r="O327" i="24"/>
  <c r="N327" i="24"/>
  <c r="Q327" i="24"/>
  <c r="AG327" i="24" s="1"/>
  <c r="P327" i="24"/>
  <c r="M327" i="24"/>
  <c r="L327" i="24"/>
  <c r="K320" i="24"/>
  <c r="O320" i="24"/>
  <c r="P320" i="24"/>
  <c r="N320" i="24"/>
  <c r="Q320" i="24"/>
  <c r="L320" i="24"/>
  <c r="M320" i="24"/>
  <c r="AC320" i="24" s="1"/>
  <c r="C321" i="24"/>
  <c r="G321" i="24"/>
  <c r="AE321" i="24" s="1"/>
  <c r="D321" i="24"/>
  <c r="F321" i="24"/>
  <c r="E321" i="24"/>
  <c r="H321" i="24"/>
  <c r="AF321" i="24" s="1"/>
  <c r="I321" i="24"/>
  <c r="O328" i="24"/>
  <c r="K328" i="24"/>
  <c r="AA328" i="24" s="1"/>
  <c r="M328" i="24"/>
  <c r="AC328" i="24" s="1"/>
  <c r="N328" i="24"/>
  <c r="P328" i="24"/>
  <c r="AF328" i="24" s="1"/>
  <c r="L328" i="24"/>
  <c r="Q328" i="24"/>
  <c r="AG328" i="24" s="1"/>
  <c r="AK328" i="24" s="1"/>
  <c r="E280" i="24"/>
  <c r="J328" i="24"/>
  <c r="Z328" i="24" s="1"/>
  <c r="C326" i="24"/>
  <c r="G326" i="24"/>
  <c r="AE326" i="24" s="1"/>
  <c r="E326" i="24"/>
  <c r="D326" i="24"/>
  <c r="AB326" i="24" s="1"/>
  <c r="I326" i="24"/>
  <c r="AG326" i="24" s="1"/>
  <c r="H326" i="24"/>
  <c r="F326" i="24"/>
  <c r="O325" i="24"/>
  <c r="K325" i="24"/>
  <c r="M325" i="24"/>
  <c r="AC325" i="24" s="1"/>
  <c r="Q325" i="24"/>
  <c r="N325" i="24"/>
  <c r="P325" i="24"/>
  <c r="L325" i="24"/>
  <c r="AB325" i="24" s="1"/>
  <c r="W323" i="24"/>
  <c r="S323" i="24"/>
  <c r="AA323" i="24" s="1"/>
  <c r="X323" i="24"/>
  <c r="T323" i="24"/>
  <c r="AB323" i="24" s="1"/>
  <c r="U323" i="24"/>
  <c r="Y323" i="24"/>
  <c r="V323" i="24"/>
  <c r="O322" i="24"/>
  <c r="AE322" i="24" s="1"/>
  <c r="K322" i="24"/>
  <c r="AA322" i="24" s="1"/>
  <c r="Q322" i="24"/>
  <c r="AG322" i="24" s="1"/>
  <c r="AK322" i="24" s="1"/>
  <c r="P322" i="24"/>
  <c r="AF322" i="24" s="1"/>
  <c r="N322" i="24"/>
  <c r="AD322" i="24" s="1"/>
  <c r="M322" i="24"/>
  <c r="AC322" i="24" s="1"/>
  <c r="L322" i="24"/>
  <c r="AB322" i="24" s="1"/>
  <c r="J322" i="24"/>
  <c r="Z322" i="24" s="1"/>
  <c r="W325" i="24"/>
  <c r="Y325" i="24"/>
  <c r="U325" i="24"/>
  <c r="S325" i="24"/>
  <c r="X325" i="24"/>
  <c r="T325" i="24"/>
  <c r="V325" i="24"/>
  <c r="C323" i="24"/>
  <c r="G323" i="24"/>
  <c r="F323" i="24"/>
  <c r="I323" i="24"/>
  <c r="AG323" i="24" s="1"/>
  <c r="E323" i="24"/>
  <c r="AC323" i="24" s="1"/>
  <c r="H323" i="24"/>
  <c r="D323" i="24"/>
  <c r="C327" i="24"/>
  <c r="AA327" i="24" s="1"/>
  <c r="G327" i="24"/>
  <c r="D327" i="24"/>
  <c r="I327" i="24"/>
  <c r="E327" i="24"/>
  <c r="AC327" i="24" s="1"/>
  <c r="H327" i="24"/>
  <c r="AF327" i="24" s="1"/>
  <c r="F327" i="24"/>
  <c r="E296" i="24"/>
  <c r="O324" i="24"/>
  <c r="K324" i="24"/>
  <c r="N324" i="24"/>
  <c r="AD324" i="24" s="1"/>
  <c r="M324" i="24"/>
  <c r="P324" i="24"/>
  <c r="L324" i="24"/>
  <c r="Q324" i="24"/>
  <c r="R320" i="24"/>
  <c r="W320" i="24"/>
  <c r="S320" i="24"/>
  <c r="Y320" i="24"/>
  <c r="V320" i="24"/>
  <c r="T320" i="24"/>
  <c r="X320" i="24"/>
  <c r="U320" i="24"/>
  <c r="AD326" i="24"/>
  <c r="AE323" i="24"/>
  <c r="AG321" i="24"/>
  <c r="AA326" i="24"/>
  <c r="AC321" i="24"/>
  <c r="B359" i="24" s="1"/>
  <c r="AD320" i="24"/>
  <c r="AD328" i="24"/>
  <c r="AD321" i="24"/>
  <c r="AA321" i="24"/>
  <c r="Z325" i="24"/>
  <c r="AB321" i="24"/>
  <c r="AG325" i="24"/>
  <c r="E292" i="24"/>
  <c r="AA320" i="24"/>
  <c r="B320" i="24"/>
  <c r="Z320" i="24" s="1"/>
  <c r="AF319" i="24"/>
  <c r="E295" i="24"/>
  <c r="B323" i="24"/>
  <c r="Z323" i="24" s="1"/>
  <c r="E299" i="24"/>
  <c r="B327" i="24"/>
  <c r="AB327" i="24"/>
  <c r="AD325" i="24"/>
  <c r="AD327" i="24"/>
  <c r="AK397" i="22"/>
  <c r="AK396" i="22"/>
  <c r="AH393" i="22"/>
  <c r="AH397" i="22"/>
  <c r="AK391" i="22"/>
  <c r="AJ400" i="22"/>
  <c r="AM400" i="22" s="1"/>
  <c r="AJ397" i="22"/>
  <c r="AM397" i="22" s="1"/>
  <c r="AJ396" i="22"/>
  <c r="AM396" i="22" s="1"/>
  <c r="AI400" i="22"/>
  <c r="AH400" i="22"/>
  <c r="AI392" i="22"/>
  <c r="AL392" i="22" s="1"/>
  <c r="AH398" i="22"/>
  <c r="AK394" i="22"/>
  <c r="AI397" i="22"/>
  <c r="AL397" i="22" s="1"/>
  <c r="AH396" i="22"/>
  <c r="AK392" i="22"/>
  <c r="AM392" i="22" s="1"/>
  <c r="AJ391" i="22"/>
  <c r="AI394" i="22"/>
  <c r="AJ399" i="22"/>
  <c r="AI395" i="22"/>
  <c r="AH394" i="22"/>
  <c r="AI399" i="22"/>
  <c r="AJ395" i="22"/>
  <c r="AH399" i="22"/>
  <c r="AK398" i="22"/>
  <c r="AI396" i="22"/>
  <c r="AL393" i="22"/>
  <c r="AH391" i="22"/>
  <c r="AH395" i="22"/>
  <c r="AI398" i="22"/>
  <c r="AJ394" i="22"/>
  <c r="AK395" i="22"/>
  <c r="AK399" i="22"/>
  <c r="AJ393" i="22"/>
  <c r="AI391" i="22"/>
  <c r="AJ398" i="22"/>
  <c r="AK393" i="22"/>
  <c r="D263" i="21"/>
  <c r="D289" i="21" s="1"/>
  <c r="B265" i="21"/>
  <c r="B291" i="21" s="1"/>
  <c r="D262" i="21"/>
  <c r="D288" i="21" s="1"/>
  <c r="B267" i="21"/>
  <c r="B293" i="21" s="1"/>
  <c r="B258" i="21"/>
  <c r="B284" i="21" s="1"/>
  <c r="C261" i="21"/>
  <c r="C287" i="21" s="1"/>
  <c r="B263" i="21"/>
  <c r="B289" i="21" s="1"/>
  <c r="E289" i="21" s="1"/>
  <c r="C267" i="21"/>
  <c r="C293" i="21" s="1"/>
  <c r="D258" i="21"/>
  <c r="D284" i="21" s="1"/>
  <c r="B262" i="21"/>
  <c r="B288" i="21" s="1"/>
  <c r="C262" i="21"/>
  <c r="C288" i="21" s="1"/>
  <c r="D267" i="21"/>
  <c r="D293" i="21" s="1"/>
  <c r="D265" i="21"/>
  <c r="D291" i="21" s="1"/>
  <c r="B261" i="21"/>
  <c r="B287" i="21" s="1"/>
  <c r="D260" i="21"/>
  <c r="D286" i="21" s="1"/>
  <c r="B260" i="21"/>
  <c r="B286" i="21" s="1"/>
  <c r="E286" i="21" s="1"/>
  <c r="B259" i="21"/>
  <c r="B285" i="21" s="1"/>
  <c r="C259" i="21"/>
  <c r="C285" i="21" s="1"/>
  <c r="C260" i="21"/>
  <c r="C286" i="21" s="1"/>
  <c r="E264" i="21"/>
  <c r="E266" i="21"/>
  <c r="E290" i="21"/>
  <c r="C193" i="19"/>
  <c r="C206" i="19" s="1"/>
  <c r="C232" i="19" s="1"/>
  <c r="B194" i="19"/>
  <c r="D194" i="19"/>
  <c r="D207" i="19" s="1"/>
  <c r="D233" i="19" s="1"/>
  <c r="D199" i="19"/>
  <c r="D212" i="19" s="1"/>
  <c r="D238" i="19" s="1"/>
  <c r="B199" i="19"/>
  <c r="C199" i="19"/>
  <c r="C212" i="19" s="1"/>
  <c r="E202" i="19"/>
  <c r="C211" i="19"/>
  <c r="C237" i="19" s="1"/>
  <c r="C238" i="19"/>
  <c r="D197" i="19"/>
  <c r="C197" i="19"/>
  <c r="B197" i="19"/>
  <c r="D198" i="19"/>
  <c r="B198" i="19"/>
  <c r="C201" i="19"/>
  <c r="D201" i="19"/>
  <c r="B201" i="19"/>
  <c r="B196" i="19"/>
  <c r="C196" i="19"/>
  <c r="E241" i="19"/>
  <c r="B193" i="19"/>
  <c r="B206" i="19" s="1"/>
  <c r="D193" i="19"/>
  <c r="B195" i="19"/>
  <c r="C195" i="19"/>
  <c r="D195" i="19"/>
  <c r="D196" i="19"/>
  <c r="C200" i="19"/>
  <c r="B200" i="19"/>
  <c r="D200" i="19"/>
  <c r="E177" i="14"/>
  <c r="B203" i="14"/>
  <c r="E203" i="14" s="1"/>
  <c r="E201" i="14"/>
  <c r="E209" i="14"/>
  <c r="E215" i="19"/>
  <c r="E175" i="14"/>
  <c r="E183" i="14"/>
  <c r="E169" i="14"/>
  <c r="B182" i="14"/>
  <c r="E168" i="14"/>
  <c r="C181" i="14"/>
  <c r="E171" i="14"/>
  <c r="B184" i="14"/>
  <c r="E166" i="14"/>
  <c r="D179" i="14"/>
  <c r="E163" i="14"/>
  <c r="D176" i="14"/>
  <c r="E178" i="14"/>
  <c r="E167" i="14"/>
  <c r="C180" i="14"/>
  <c r="E170" i="14"/>
  <c r="E165" i="14"/>
  <c r="E162" i="14"/>
  <c r="AG319" i="24" l="1"/>
  <c r="AA319" i="24"/>
  <c r="B345" i="24" s="1"/>
  <c r="AE320" i="24"/>
  <c r="AJ320" i="24" s="1"/>
  <c r="AC319" i="24"/>
  <c r="AB320" i="24"/>
  <c r="B346" i="24" s="1"/>
  <c r="AF324" i="24"/>
  <c r="AE324" i="24"/>
  <c r="AJ324" i="24" s="1"/>
  <c r="AG320" i="24"/>
  <c r="AJ326" i="24"/>
  <c r="AA324" i="24"/>
  <c r="AE327" i="24"/>
  <c r="AD323" i="24"/>
  <c r="AF323" i="24"/>
  <c r="AK323" i="24" s="1"/>
  <c r="AF325" i="24"/>
  <c r="AA325" i="24"/>
  <c r="AB328" i="24"/>
  <c r="AI328" i="24" s="1"/>
  <c r="AE325" i="24"/>
  <c r="AH324" i="24"/>
  <c r="AH322" i="24"/>
  <c r="B360" i="24"/>
  <c r="B348" i="24"/>
  <c r="AI322" i="24"/>
  <c r="AL322" i="24" s="1"/>
  <c r="Z327" i="24"/>
  <c r="B365" i="24" s="1"/>
  <c r="B362" i="24"/>
  <c r="AE328" i="24"/>
  <c r="AG324" i="24"/>
  <c r="AK324" i="24" s="1"/>
  <c r="AB324" i="24"/>
  <c r="AF326" i="24"/>
  <c r="AK326" i="24" s="1"/>
  <c r="AM326" i="24" s="1"/>
  <c r="AF320" i="24"/>
  <c r="AJ323" i="24"/>
  <c r="AM323" i="24" s="1"/>
  <c r="B364" i="24"/>
  <c r="AI321" i="24"/>
  <c r="AH326" i="24"/>
  <c r="AI319" i="24"/>
  <c r="B366" i="24"/>
  <c r="AI326" i="24"/>
  <c r="AL326" i="24" s="1"/>
  <c r="AJ322" i="24"/>
  <c r="AM322" i="24" s="1"/>
  <c r="B352" i="24"/>
  <c r="AK321" i="24"/>
  <c r="AK320" i="24"/>
  <c r="AJ321" i="24"/>
  <c r="AJ328" i="24"/>
  <c r="AM328" i="24" s="1"/>
  <c r="AH328" i="24"/>
  <c r="B347" i="24"/>
  <c r="AH325" i="24"/>
  <c r="AH321" i="24"/>
  <c r="B363" i="24"/>
  <c r="B357" i="24"/>
  <c r="AH323" i="24"/>
  <c r="B361" i="24"/>
  <c r="AJ327" i="24"/>
  <c r="AI323" i="24"/>
  <c r="B349" i="24"/>
  <c r="AI327" i="24"/>
  <c r="B353" i="24"/>
  <c r="AK319" i="24"/>
  <c r="AI320" i="24"/>
  <c r="AH327" i="24"/>
  <c r="AK325" i="24"/>
  <c r="B358" i="24"/>
  <c r="AJ325" i="24"/>
  <c r="AK327" i="24"/>
  <c r="B351" i="24"/>
  <c r="AI325" i="24"/>
  <c r="AJ319" i="24"/>
  <c r="AH320" i="24"/>
  <c r="AM391" i="22"/>
  <c r="AL394" i="22"/>
  <c r="AL400" i="22"/>
  <c r="AN400" i="22" s="1"/>
  <c r="AL396" i="22"/>
  <c r="AN396" i="22" s="1"/>
  <c r="AN392" i="22"/>
  <c r="AM394" i="22"/>
  <c r="AN394" i="22" s="1"/>
  <c r="AL398" i="22"/>
  <c r="AL399" i="22"/>
  <c r="AL395" i="22"/>
  <c r="AN397" i="22"/>
  <c r="AM399" i="22"/>
  <c r="AM395" i="22"/>
  <c r="AM398" i="22"/>
  <c r="AL391" i="22"/>
  <c r="AN391" i="22" s="1"/>
  <c r="AM393" i="22"/>
  <c r="AN393" i="22" s="1"/>
  <c r="E291" i="21"/>
  <c r="E258" i="21"/>
  <c r="E288" i="21"/>
  <c r="E261" i="21"/>
  <c r="E263" i="21"/>
  <c r="E265" i="21"/>
  <c r="E259" i="21"/>
  <c r="E267" i="21"/>
  <c r="E262" i="21"/>
  <c r="E260" i="21"/>
  <c r="E287" i="21"/>
  <c r="E284" i="21"/>
  <c r="E292" i="21"/>
  <c r="E285" i="21"/>
  <c r="E293" i="21"/>
  <c r="E194" i="19"/>
  <c r="B207" i="19"/>
  <c r="B212" i="19"/>
  <c r="B238" i="19" s="1"/>
  <c r="E199" i="19"/>
  <c r="E193" i="19"/>
  <c r="D211" i="19"/>
  <c r="D237" i="19" s="1"/>
  <c r="B214" i="19"/>
  <c r="E201" i="19"/>
  <c r="B213" i="19"/>
  <c r="E200" i="19"/>
  <c r="C234" i="19"/>
  <c r="C208" i="19"/>
  <c r="D214" i="19"/>
  <c r="D240" i="19" s="1"/>
  <c r="B210" i="19"/>
  <c r="E197" i="19"/>
  <c r="D213" i="19"/>
  <c r="D239" i="19" s="1"/>
  <c r="E238" i="19"/>
  <c r="C213" i="19"/>
  <c r="C239" i="19" s="1"/>
  <c r="B208" i="19"/>
  <c r="E195" i="19"/>
  <c r="C235" i="19"/>
  <c r="C209" i="19"/>
  <c r="C214" i="19"/>
  <c r="C240" i="19" s="1"/>
  <c r="C236" i="19"/>
  <c r="C210" i="19"/>
  <c r="D208" i="19"/>
  <c r="D234" i="19" s="1"/>
  <c r="D235" i="19"/>
  <c r="D209" i="19"/>
  <c r="D206" i="19"/>
  <c r="D232" i="19" s="1"/>
  <c r="B235" i="19"/>
  <c r="E235" i="19" s="1"/>
  <c r="B209" i="19"/>
  <c r="E209" i="19" s="1"/>
  <c r="E196" i="19"/>
  <c r="B211" i="19"/>
  <c r="E211" i="19" s="1"/>
  <c r="E198" i="19"/>
  <c r="D210" i="19"/>
  <c r="D236" i="19" s="1"/>
  <c r="E176" i="14"/>
  <c r="D202" i="14"/>
  <c r="E202" i="14" s="1"/>
  <c r="E184" i="14"/>
  <c r="B210" i="14"/>
  <c r="E210" i="14" s="1"/>
  <c r="E181" i="14"/>
  <c r="C207" i="14"/>
  <c r="E207" i="14" s="1"/>
  <c r="E182" i="14"/>
  <c r="B208" i="14"/>
  <c r="E208" i="14" s="1"/>
  <c r="E180" i="14"/>
  <c r="C206" i="14"/>
  <c r="E206" i="14" s="1"/>
  <c r="E179" i="14"/>
  <c r="D205" i="14"/>
  <c r="E205" i="14" s="1"/>
  <c r="AH319" i="24" l="1"/>
  <c r="AL319" i="24" s="1"/>
  <c r="AL328" i="24"/>
  <c r="B354" i="24"/>
  <c r="B350" i="24"/>
  <c r="AI324" i="24"/>
  <c r="AL324" i="24" s="1"/>
  <c r="AM324" i="24"/>
  <c r="AL321" i="24"/>
  <c r="AM320" i="24"/>
  <c r="AM321" i="24"/>
  <c r="AN322" i="24"/>
  <c r="AN328" i="24"/>
  <c r="AL325" i="24"/>
  <c r="AM325" i="24"/>
  <c r="AN326" i="24"/>
  <c r="AM319" i="24"/>
  <c r="AL323" i="24"/>
  <c r="AN323" i="24" s="1"/>
  <c r="AL327" i="24"/>
  <c r="AM327" i="24"/>
  <c r="AL320" i="24"/>
  <c r="AN320" i="24" s="1"/>
  <c r="AN399" i="22"/>
  <c r="AN398" i="22"/>
  <c r="AN395" i="22"/>
  <c r="E208" i="19"/>
  <c r="B233" i="19"/>
  <c r="E233" i="19" s="1"/>
  <c r="E207" i="19"/>
  <c r="E212" i="19"/>
  <c r="E213" i="19"/>
  <c r="B237" i="19"/>
  <c r="E237" i="19" s="1"/>
  <c r="B239" i="19"/>
  <c r="E239" i="19" s="1"/>
  <c r="B236" i="19"/>
  <c r="E236" i="19" s="1"/>
  <c r="E210" i="19"/>
  <c r="B234" i="19"/>
  <c r="E234" i="19" s="1"/>
  <c r="B240" i="19"/>
  <c r="E240" i="19" s="1"/>
  <c r="E214" i="19"/>
  <c r="B232" i="19"/>
  <c r="E232" i="19" s="1"/>
  <c r="E206" i="19"/>
  <c r="AN319" i="24" l="1"/>
  <c r="AN324" i="24"/>
  <c r="AN321" i="24"/>
  <c r="AN325" i="24"/>
  <c r="AN327" i="24"/>
</calcChain>
</file>

<file path=xl/sharedStrings.xml><?xml version="1.0" encoding="utf-8"?>
<sst xmlns="http://schemas.openxmlformats.org/spreadsheetml/2006/main" count="4713" uniqueCount="247">
  <si>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</si>
  <si>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</si>
  <si>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</si>
  <si>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</si>
  <si>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</si>
  <si>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Нижний альфа-срез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</si>
  <si>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</si>
  <si>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</si>
  <si>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</si>
  <si>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</si>
  <si>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</si>
  <si>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</si>
  <si>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</si>
  <si>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</si>
  <si>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</si>
  <si>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</si>
  <si>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</si>
  <si>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</si>
  <si>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</si>
  <si>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</si>
  <si>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</si>
  <si>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</si>
  <si>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</si>
  <si>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</si>
  <si>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</si>
  <si>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</si>
  <si>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</si>
  <si>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Функциональное требование (англ. functional requirements, FR)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</si>
  <si>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</si>
  <si>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</si>
  <si>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</si>
  <si>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</si>
  <si>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</si>
  <si>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</si>
  <si>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</si>
  <si>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</si>
  <si>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</si>
  <si>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</si>
  <si>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</si>
  <si>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</si>
  <si>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</si>
  <si>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</si>
  <si>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</si>
  <si>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</si>
  <si>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</si>
  <si>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</si>
  <si>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</si>
  <si>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</si>
  <si>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</si>
  <si>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</si>
  <si>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</si>
  <si>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</si>
  <si>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</si>
  <si>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Перечень нефункциональных требований (non-functional requirements, NFR)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</si>
  <si>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</si>
  <si>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</si>
  <si>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</si>
  <si>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</si>
  <si>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</si>
  <si>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</si>
  <si>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</si>
  <si>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</si>
  <si>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</si>
  <si>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</si>
  <si>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</si>
  <si>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</si>
  <si>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</si>
  <si>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</si>
  <si>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</si>
  <si>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</si>
  <si>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</si>
  <si>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</si>
  <si>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</si>
  <si>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</si>
  <si>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</si>
  <si>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</si>
  <si>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</si>
  <si>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</si>
  <si>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</si>
  <si>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</si>
  <si>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</si>
  <si>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</si>
  <si>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</si>
  <si>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Верхний альфа-срез</t>
  </si>
  <si>
    <t>Расчет центроида</t>
  </si>
  <si>
    <t>Верхняя ФП</t>
  </si>
  <si>
    <t>Нижняя ФП</t>
  </si>
  <si>
    <t>Центроид_итог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</si>
  <si>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</si>
  <si>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</si>
  <si>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</si>
  <si>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</si>
  <si>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</si>
  <si>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</si>
  <si>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</si>
  <si>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</si>
  <si>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</si>
  <si>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</si>
  <si>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</si>
  <si>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</si>
  <si>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</si>
  <si>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</si>
  <si>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</si>
  <si>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</si>
  <si>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</si>
  <si>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</si>
  <si>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</si>
  <si>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</si>
  <si>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</si>
  <si>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Весовые коэффициенты для принятия решения экспертами 1 и 2</t>
  </si>
  <si>
    <t xml:space="preserve">Весовые коэффициенты для принятия решения экспертами 1, 2 и 3 </t>
  </si>
  <si>
    <t>Таблица 4_Удельные веса оценок экспертов для расчета итоговой взвешенной средней оценки</t>
  </si>
  <si>
    <t xml:space="preserve">Таблица 5_расчет взвешенного среднего рейтинга функциональных задач </t>
  </si>
  <si>
    <t>Функциональная задача</t>
  </si>
  <si>
    <t>Оценка эксперта 1</t>
  </si>
  <si>
    <t>Оценка эксперта 2</t>
  </si>
  <si>
    <t>Оценка эксперта 3</t>
  </si>
  <si>
    <t>Итоговый приритет при принятии решения экспертами 1 и 2</t>
  </si>
  <si>
    <t>Итоговый приритет при принятии решения экспертами 1, 2 и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</si>
  <si>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</si>
  <si>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</si>
  <si>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</si>
  <si>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</si>
  <si>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1.5_произведение веса функционального FR требования на приоритет нефункционального требовани NFR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</si>
  <si>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</si>
  <si>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</si>
  <si>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</si>
  <si>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</si>
  <si>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2.5_произведение веса функционального FR требования на приоритет нефункционального требовани NFR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</si>
  <si>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</si>
  <si>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</si>
  <si>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</si>
  <si>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</si>
  <si>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Таблица 3.5_произведение веса функционального FR требования на приоритет нефункционального требовани NFR</t>
  </si>
  <si>
    <t>Итоговы приоритет функционального признака в виде нечеткого числа</t>
  </si>
  <si>
    <t>Принятие решения двумя лицами - экспертами 1 и 2</t>
  </si>
  <si>
    <t>Эксперт 3</t>
  </si>
  <si>
    <t>Принятие решения тремя лицами - экспертами 1, 2 и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</si>
  <si>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</si>
  <si>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</si>
  <si>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</si>
  <si>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Таблица 6_Приоритетная значимость функциональных требования, расставленные экспертами в виде нечетких трапециевидных чисел 2-го типа</t>
  </si>
  <si>
    <t>Таблица 7_Расчет взвешенной средней оценки приоритета функциональных задач (оценки двух лиц - Эксперта 1 и Эксперта 2)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</si>
  <si>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</si>
  <si>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</si>
  <si>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</si>
  <si>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Таблица 8_Расчет взвешенной средней оценки приоритета функциональных задач (оценки трех лиц - Эксперта 1, Эксперта 2 и Эксперта 3)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</si>
  <si>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</si>
  <si>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</si>
  <si>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</si>
  <si>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</si>
  <si>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</si>
  <si>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</si>
  <si>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Ненормализованные весовые коэффициенты для принятия решения экспертами 1 и 2</t>
  </si>
  <si>
    <t>Итого</t>
  </si>
  <si>
    <t>Нормализованные весовые коэффициенты для принятия решения экспертами 1 и 2</t>
  </si>
  <si>
    <t xml:space="preserve">Ненормализованные весовые коэффициенты для принятия решения экспертами 1, 2 и 3 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</si>
  <si>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</si>
  <si>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</si>
  <si>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</si>
  <si>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</si>
  <si>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</si>
  <si>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Коэфициент Бета</t>
  </si>
  <si>
    <t>Коэффициент степени консенсуса эксперта CDC(Ei)</t>
  </si>
  <si>
    <t>Таблица 7_Коэффициент степени консенсуса эксперта CDCi</t>
  </si>
  <si>
    <t>Оценка эксперта 1, умноженная на соответвующий коэффициент консенсуса</t>
  </si>
  <si>
    <t>Оценка эксперта 2, умноженная на соответвующий коэффициент консенсуса</t>
  </si>
  <si>
    <t>Оценка эксперта , умноженная на соответвующий коэффициент консенсуса</t>
  </si>
  <si>
    <t>Таблица 5_ Средняя степень согласия эксперта (Ai)</t>
  </si>
  <si>
    <t>Таблица 6_ Относительная степень согласия эксперта (RADi)</t>
  </si>
  <si>
    <t xml:space="preserve">Таблица 8_Индивидуальные экспертные рейтинги функциональных задач </t>
  </si>
  <si>
    <t xml:space="preserve">Таблица 9_Коллективный рейтинг функциональных задач </t>
  </si>
  <si>
    <t>Итоговый коллективный рейтинг функциональной задачи</t>
  </si>
  <si>
    <t>Таблица 5_сортировка взвешенного среднего рейтинга функциональных задач по убыванию</t>
  </si>
  <si>
    <t>Таблица 10_сортировка коллективного рейтинга функциональных задач по убыванию</t>
  </si>
  <si>
    <t>Таблица 6_Гиперпараметры</t>
  </si>
  <si>
    <t>Значение гиперпараметра</t>
  </si>
  <si>
    <t>Альфа (величина альфа-среза)</t>
  </si>
  <si>
    <t>Бета (расчет CDCi)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</si>
  <si>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</si>
  <si>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</si>
  <si>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</si>
  <si>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</si>
  <si>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Таблица 7_Приоритетная значимость функциональных требования, расставленные экспертами в виде нечетких трапециевидных чисел 2-го типа</t>
  </si>
  <si>
    <t>Таблица 9_сортировка коллективного рейтинга функциональных задач по убыванию</t>
  </si>
  <si>
    <t>Данные по алгоритму в Python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</si>
  <si>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</si>
  <si>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</si>
  <si>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</si>
  <si>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</si>
  <si>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</si>
  <si>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</si>
  <si>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</si>
  <si>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</si>
  <si>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</si>
  <si>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</si>
  <si>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</si>
  <si>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</si>
  <si>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</si>
  <si>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</si>
  <si>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 xml:space="preserve">Таблица 4_Индивидуальные экспертные рейтинги функциональных задач </t>
  </si>
  <si>
    <t>Таблица 5_Нормализованные индивидуальные экспертные рейтинги функциональных задач (по максимальной оценке одного из требований)</t>
  </si>
  <si>
    <t>Таблица 6_Удельные веса оценок экспертов для расчета итоговой взвешенной средней оценки</t>
  </si>
  <si>
    <t>Таблица 7_Гиперпараметры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</si>
  <si>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</si>
  <si>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</si>
  <si>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</si>
  <si>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Chen 96</t>
  </si>
  <si>
    <t>Данные по алгоритму на Python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</si>
  <si>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</si>
  <si>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</si>
  <si>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</si>
  <si>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</si>
  <si>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</si>
  <si>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агрегированной меры могласованности AMr между нечеткими оценками экспертов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</si>
  <si>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</si>
  <si>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</si>
  <si>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7_ взвешенная степень согласованности эксперта С(Ei)</t>
  </si>
  <si>
    <t>Таблица 8_Вес агрегирования эксперта w(Ei)</t>
  </si>
  <si>
    <t xml:space="preserve">Таблица 9_Индивидуальные экспертные рейтинги функциональных задач </t>
  </si>
  <si>
    <t>Таблица 10_Коллективный рейтинг функциональных задач R</t>
  </si>
  <si>
    <t>Chen 98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</si>
  <si>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</si>
  <si>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Матрицы нормированного расстояния  по верхним функциям принадлежности (dM_UMF)</t>
  </si>
  <si>
    <t>Матрицы нормированного расстояния  по нижним функциям принадлежности (dM_LMF)</t>
  </si>
  <si>
    <t>Таблица 11_сортировка коллективного рейтинга функциональных задач по убыванию</t>
  </si>
  <si>
    <t>Матрицы агрегированной меры согласованности по верхним функциям принадлежности (AMr_UMF)</t>
  </si>
  <si>
    <t>Матрицы агрегированной меры согласованности по нижним функциям принадлежности (AMr_LMF)</t>
  </si>
  <si>
    <t>Матрицы средней агрегированной меры могласованности AMr между нечеткими оценками экспертов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</si>
  <si>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</si>
  <si>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</si>
  <si>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</si>
  <si>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</si>
  <si>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</si>
  <si>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</si>
  <si>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Сравнение результатов приоритизации по выполненным расчетам с использование моделей</t>
  </si>
  <si>
    <t>№ п/п</t>
  </si>
  <si>
    <t>Четкие подходы</t>
  </si>
  <si>
    <t>Нечеткие подходы</t>
  </si>
  <si>
    <t>Четкий MoSCoW_взвешенные средние</t>
  </si>
  <si>
    <t>Четкий MoSCoW_Chen' 96</t>
  </si>
  <si>
    <t>Четкий MoSCoW_Chen' 98</t>
  </si>
  <si>
    <t>Четкий MoSCoW_Lu 2006</t>
  </si>
  <si>
    <t>FMoSCoW_взвешенные средние</t>
  </si>
  <si>
    <t>FMoSCoW_Chen' 96</t>
  </si>
  <si>
    <t>FMoSCoW_Chen' 98</t>
  </si>
  <si>
    <t>FMoSCoW_Lu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</si>
</sst>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5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5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0" fontId="0" fillId="0" borderId="0" xfId="0" applyAlignment="1">
      <alignment horizontal="right"/>
    </xf>
    <xf numFmtId="0" fontId="0" fillId="4" borderId="33" xfId="0" applyFill="1" applyBorder="1"/>
    <xf numFmtId="0" fontId="0" fillId="0" borderId="34" xfId="0" applyBorder="1"/>
    <xf numFmtId="0" fontId="0" fillId="4" borderId="35" xfId="0" applyFill="1" applyBorder="1"/>
    <xf numFmtId="0" fontId="0" fillId="0" borderId="35" xfId="0" applyBorder="1"/>
    <xf numFmtId="0" fontId="0" fillId="0" borderId="36" xfId="0" applyBorder="1"/>
    <xf numFmtId="4" fontId="0" fillId="0" borderId="34" xfId="0" applyNumberFormat="1" applyBorder="1"/>
    <xf numFmtId="4" fontId="0" fillId="0" borderId="36" xfId="0" applyNumberFormat="1" applyBorder="1"/>
    <xf numFmtId="0" fontId="0" fillId="0" borderId="37" xfId="0" applyBorder="1"/>
    <xf numFmtId="0" fontId="0" fillId="0" borderId="38" xfId="0" applyBorder="1"/>
    <xf numFmtId="4" fontId="0" fillId="0" borderId="37" xfId="0" applyNumberFormat="1" applyBorder="1"/>
    <xf numFmtId="4" fontId="0" fillId="0" borderId="38" xfId="0" applyNumberFormat="1" applyBorder="1"/>
    <xf numFmtId="0" fontId="0" fillId="0" borderId="39" xfId="0" applyBorder="1"/>
    <xf numFmtId="0" fontId="0" fillId="4" borderId="40" xfId="0" applyFill="1" applyBorder="1"/>
    <xf numFmtId="0" fontId="0" fillId="0" borderId="40" xfId="0" applyBorder="1"/>
    <xf numFmtId="0" fontId="0" fillId="0" borderId="32" xfId="0" applyBorder="1"/>
    <xf numFmtId="4" fontId="0" fillId="0" borderId="39" xfId="0" applyNumberFormat="1" applyBorder="1"/>
    <xf numFmtId="4" fontId="0" fillId="0" borderId="32" xfId="0" applyNumberForma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4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" fontId="5" fillId="0" borderId="2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6" xfId="0" applyBorder="1"/>
    <xf numFmtId="0" fontId="4" fillId="0" borderId="11" xfId="0" applyFont="1" applyBorder="1" applyAlignment="1">
      <alignment vertical="center"/>
    </xf>
    <xf numFmtId="0" fontId="0" fillId="0" borderId="11" xfId="0" applyBorder="1"/>
    <xf numFmtId="0" fontId="4" fillId="0" borderId="33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31" xfId="0" applyBorder="1"/>
    <xf numFmtId="2" fontId="3" fillId="0" borderId="34" xfId="0" applyNumberFormat="1" applyFont="1" applyBorder="1"/>
    <xf numFmtId="2" fontId="3" fillId="0" borderId="36" xfId="0" applyNumberFormat="1" applyFont="1" applyBorder="1"/>
    <xf numFmtId="2" fontId="3" fillId="0" borderId="37" xfId="0" applyNumberFormat="1" applyFont="1" applyBorder="1"/>
    <xf numFmtId="2" fontId="3" fillId="0" borderId="38" xfId="0" applyNumberFormat="1" applyFont="1" applyBorder="1"/>
    <xf numFmtId="2" fontId="3" fillId="0" borderId="39" xfId="0" applyNumberFormat="1" applyFont="1" applyBorder="1"/>
    <xf numFmtId="2" fontId="3" fillId="0" borderId="32" xfId="0" applyNumberFormat="1" applyFont="1" applyBorder="1"/>
    <xf numFmtId="0" fontId="0" fillId="0" borderId="3" xfId="0" applyBorder="1" applyAlignment="1">
      <alignment wrapText="1"/>
    </xf>
    <xf numFmtId="0" fontId="8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9" fillId="0" borderId="0" xfId="0" applyFont="1" applyAlignment="1">
      <alignment wrapText="1"/>
    </xf>
    <xf numFmtId="4" fontId="0" fillId="3" borderId="1" xfId="0" applyNumberFormat="1" applyFill="1" applyBorder="1" applyAlignment="1">
      <alignment wrapText="1"/>
    </xf>
    <xf numFmtId="0" fontId="5" fillId="0" borderId="1" xfId="0" applyFont="1" applyBorder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33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0" fillId="0" borderId="43" xfId="0" applyBorder="1"/>
    <xf numFmtId="0" fontId="0" fillId="0" borderId="44" xfId="0" applyBorder="1"/>
    <xf numFmtId="0" fontId="4" fillId="0" borderId="19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22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5" fillId="0" borderId="16" xfId="0" applyFont="1" applyBorder="1" applyAlignment="1">
      <alignment horizontal="center" vertical="center" wrapText="1"/>
    </xf>
    <xf numFmtId="0" fontId="0" fillId="5" borderId="1" xfId="0" applyFill="1" applyBorder="1"/>
    <xf numFmtId="0" fontId="0" fillId="0" borderId="48" xfId="0" applyBorder="1"/>
    <xf numFmtId="0" fontId="5" fillId="0" borderId="41" xfId="0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4" xfId="0" applyFont="1" applyBorder="1"/>
    <xf numFmtId="0" fontId="0" fillId="0" borderId="29" xfId="0" applyBorder="1"/>
    <xf numFmtId="0" fontId="5" fillId="0" borderId="45" xfId="0" applyFont="1" applyBorder="1"/>
    <xf numFmtId="0" fontId="5" fillId="0" borderId="47" xfId="0" applyFont="1" applyBorder="1"/>
    <xf numFmtId="0" fontId="5" fillId="0" borderId="49" xfId="0" applyFont="1" applyBorder="1" applyAlignment="1">
      <alignment horizontal="center" vertical="center" wrapText="1"/>
    </xf>
    <xf numFmtId="0" fontId="0" fillId="0" borderId="13" xfId="0" applyBorder="1"/>
    <xf numFmtId="0" fontId="10" fillId="0" borderId="0" xfId="0" applyFont="1"/>
    <xf numFmtId="4" fontId="0" fillId="0" borderId="1" xfId="0" applyNumberFormat="1" applyBorder="1"/>
    <xf numFmtId="164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10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5" fillId="0" borderId="5" xfId="0" applyFont="1" applyBorder="1"/>
    <xf numFmtId="0" fontId="5" fillId="0" borderId="10" xfId="0" applyFont="1" applyBorder="1"/>
    <xf numFmtId="2" fontId="0" fillId="0" borderId="0" xfId="0" applyNumberFormat="1" applyAlignment="1">
      <alignment wrapText="1"/>
    </xf>
    <xf numFmtId="2" fontId="5" fillId="0" borderId="1" xfId="0" applyNumberFormat="1" applyFont="1" applyBorder="1" applyAlignment="1">
      <alignment wrapText="1"/>
    </xf>
    <xf numFmtId="2" fontId="0" fillId="0" borderId="43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3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4" xfId="0" applyNumberFormat="1" applyBorder="1"/>
    <xf numFmtId="2" fontId="0" fillId="0" borderId="34" xfId="0" applyNumberFormat="1" applyBorder="1"/>
    <xf numFmtId="2" fontId="0" fillId="0" borderId="37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0" fontId="11" fillId="0" borderId="0" xfId="0" applyFont="1" applyAlignment="1">
      <alignment wrapText="1"/>
    </xf>
    <xf numFmtId="2" fontId="7" fillId="0" borderId="0" xfId="1" applyNumberFormat="1" applyAlignment="1"/>
    <xf numFmtId="0" fontId="5" fillId="0" borderId="5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1" xfId="0" applyFont="1" applyBorder="1"/>
    <xf numFmtId="0" fontId="5" fillId="0" borderId="49" xfId="0" applyFont="1" applyBorder="1"/>
    <xf numFmtId="0" fontId="5" fillId="0" borderId="8" xfId="0" applyFont="1" applyBorder="1" applyAlignment="1">
      <alignment wrapText="1"/>
    </xf>
    <xf numFmtId="165" fontId="0" fillId="0" borderId="1" xfId="0" applyNumberFormat="1" applyBorder="1"/>
    <xf numFmtId="0" fontId="5" fillId="0" borderId="7" xfId="0" applyFont="1" applyBorder="1"/>
    <xf numFmtId="0" fontId="5" fillId="0" borderId="9" xfId="0" applyFont="1" applyBorder="1"/>
    <xf numFmtId="0" fontId="5" fillId="0" borderId="20" xfId="0" applyFont="1" applyBorder="1" applyAlignment="1">
      <alignment wrapText="1"/>
    </xf>
    <xf numFmtId="0" fontId="5" fillId="0" borderId="12" xfId="0" applyFont="1" applyBorder="1"/>
    <xf numFmtId="0" fontId="4" fillId="0" borderId="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0" fillId="0" borderId="2" xfId="0" applyNumberFormat="1" applyBorder="1"/>
    <xf numFmtId="164" fontId="0" fillId="0" borderId="43" xfId="0" applyNumberFormat="1" applyBorder="1"/>
    <xf numFmtId="164" fontId="0" fillId="0" borderId="0" xfId="0" applyNumberFormat="1"/>
    <xf numFmtId="0" fontId="0" fillId="0" borderId="0" xfId="0" applyAlignment="1">
      <alignment horizontal="left"/>
    </xf>
    <xf numFmtId="2" fontId="0" fillId="5" borderId="1" xfId="0" applyNumberFormat="1" applyFill="1" applyBorder="1"/>
    <xf numFmtId="0" fontId="10" fillId="0" borderId="0" xfId="0" applyFont="1" applyAlignment="1">
      <alignment horizontal="left" vertical="center"/>
    </xf>
    <xf numFmtId="0" fontId="4" fillId="0" borderId="48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2" fontId="0" fillId="0" borderId="5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45" xfId="0" applyNumberFormat="1" applyBorder="1"/>
    <xf numFmtId="2" fontId="0" fillId="0" borderId="56" xfId="0" applyNumberFormat="1" applyBorder="1"/>
    <xf numFmtId="0" fontId="10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left" vertical="center" wrapText="1"/>
    </xf>
    <xf numFmtId="0" fontId="4" fillId="0" borderId="13" xfId="0" applyFont="1" applyBorder="1" applyAlignment="1">
      <alignment wrapText="1"/>
    </xf>
    <xf numFmtId="164" fontId="0" fillId="0" borderId="59" xfId="0" applyNumberFormat="1" applyBorder="1"/>
    <xf numFmtId="164" fontId="0" fillId="0" borderId="33" xfId="0" applyNumberFormat="1" applyBorder="1"/>
    <xf numFmtId="164" fontId="0" fillId="0" borderId="44" xfId="0" applyNumberFormat="1" applyBorder="1"/>
    <xf numFmtId="164" fontId="0" fillId="0" borderId="36" xfId="0" applyNumberFormat="1" applyBorder="1"/>
    <xf numFmtId="164" fontId="0" fillId="0" borderId="57" xfId="0" applyNumberFormat="1" applyBorder="1"/>
    <xf numFmtId="164" fontId="0" fillId="0" borderId="58" xfId="0" applyNumberFormat="1" applyBorder="1"/>
    <xf numFmtId="0" fontId="5" fillId="0" borderId="3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6" xfId="0" applyBorder="1"/>
    <xf numFmtId="0" fontId="0" fillId="0" borderId="18" xfId="0" applyBorder="1"/>
    <xf numFmtId="0" fontId="5" fillId="0" borderId="41" xfId="0" applyFont="1" applyBorder="1"/>
    <xf numFmtId="0" fontId="5" fillId="0" borderId="31" xfId="0" applyFont="1" applyBorder="1"/>
    <xf numFmtId="0" fontId="5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5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0" fillId="4" borderId="0" xfId="0" applyFill="1"/>
    <xf numFmtId="0" fontId="5" fillId="0" borderId="34" xfId="0" applyFont="1" applyBorder="1" applyAlignment="1">
      <alignment horizontal="center" vertical="center" wrapText="1"/>
    </xf>
    <xf numFmtId="0" fontId="0" fillId="0" borderId="5" xfId="0" applyFill="1" applyBorder="1"/>
    <xf numFmtId="0" fontId="0" fillId="0" borderId="13" xfId="0" applyFill="1" applyBorder="1"/>
    <xf numFmtId="0" fontId="0" fillId="0" borderId="20" xfId="0" applyFill="1" applyBorder="1"/>
    <xf numFmtId="0" fontId="0" fillId="0" borderId="19" xfId="0" applyFill="1" applyBorder="1"/>
    <xf numFmtId="0" fontId="0" fillId="0" borderId="34" xfId="0" applyFill="1" applyBorder="1"/>
    <xf numFmtId="0" fontId="0" fillId="0" borderId="35" xfId="0" applyFill="1" applyBorder="1"/>
    <xf numFmtId="0" fontId="0" fillId="0" borderId="36" xfId="0" applyFill="1" applyBorder="1"/>
    <xf numFmtId="0" fontId="0" fillId="0" borderId="37" xfId="0" applyFill="1" applyBorder="1"/>
    <xf numFmtId="0" fontId="0" fillId="0" borderId="0" xfId="0" applyFill="1"/>
    <xf numFmtId="0" fontId="0" fillId="0" borderId="38" xfId="0" applyFill="1" applyBorder="1"/>
    <xf numFmtId="0" fontId="0" fillId="0" borderId="39" xfId="0" applyFill="1" applyBorder="1"/>
    <xf numFmtId="0" fontId="0" fillId="0" borderId="40" xfId="0" applyFill="1" applyBorder="1"/>
    <xf numFmtId="0" fontId="0" fillId="0" borderId="32" xfId="0" applyFill="1" applyBorder="1"/>
    <xf numFmtId="2" fontId="3" fillId="0" borderId="34" xfId="0" applyNumberFormat="1" applyFont="1" applyFill="1" applyBorder="1"/>
    <xf numFmtId="2" fontId="3" fillId="0" borderId="37" xfId="0" applyNumberFormat="1" applyFont="1" applyFill="1" applyBorder="1"/>
    <xf numFmtId="2" fontId="3" fillId="0" borderId="39" xfId="0" applyNumberFormat="1" applyFont="1" applyFill="1" applyBorder="1"/>
    <xf numFmtId="0" fontId="0" fillId="0" borderId="2" xfId="0" applyFill="1" applyBorder="1"/>
    <xf numFmtId="0" fontId="0" fillId="0" borderId="21" xfId="0" applyFill="1" applyBorder="1"/>
    <xf numFmtId="0" fontId="0" fillId="0" borderId="8" xfId="0" applyFill="1" applyBorder="1"/>
    <xf numFmtId="0" fontId="0" fillId="0" borderId="1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6" xfId="0" applyFill="1" applyBorder="1" applyAlignment="1">
      <alignment wrapText="1"/>
    </xf>
    <xf numFmtId="0" fontId="0" fillId="0" borderId="17" xfId="0" applyFill="1" applyBorder="1" applyAlignment="1">
      <alignment wrapText="1"/>
    </xf>
    <xf numFmtId="0" fontId="0" fillId="0" borderId="18" xfId="0" applyFill="1" applyBorder="1" applyAlignment="1">
      <alignment wrapText="1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16" xfId="0" applyFill="1" applyBorder="1"/>
    <xf numFmtId="0" fontId="0" fillId="0" borderId="18" xfId="0" applyFill="1" applyBorder="1"/>
    <xf numFmtId="0" fontId="5" fillId="0" borderId="41" xfId="0" applyFont="1" applyFill="1" applyBorder="1"/>
    <xf numFmtId="0" fontId="0" fillId="0" borderId="34" xfId="0" applyFill="1" applyBorder="1" applyAlignment="1">
      <alignment wrapText="1"/>
    </xf>
    <xf numFmtId="0" fontId="0" fillId="0" borderId="35" xfId="0" applyFill="1" applyBorder="1" applyAlignment="1">
      <alignment wrapText="1"/>
    </xf>
    <xf numFmtId="0" fontId="0" fillId="0" borderId="36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5" fillId="0" borderId="31" xfId="0" applyFont="1" applyFill="1" applyBorder="1"/>
    <xf numFmtId="2" fontId="3" fillId="0" borderId="35" xfId="0" applyNumberFormat="1" applyFont="1" applyFill="1" applyBorder="1"/>
    <xf numFmtId="2" fontId="3" fillId="0" borderId="36" xfId="0" applyNumberFormat="1" applyFont="1" applyFill="1" applyBorder="1"/>
    <xf numFmtId="0" fontId="0" fillId="0" borderId="41" xfId="0" applyFill="1" applyBorder="1"/>
    <xf numFmtId="2" fontId="3" fillId="0" borderId="0" xfId="0" applyNumberFormat="1" applyFont="1" applyFill="1"/>
    <xf numFmtId="2" fontId="3" fillId="0" borderId="38" xfId="0" applyNumberFormat="1" applyFont="1" applyFill="1" applyBorder="1"/>
    <xf numFmtId="0" fontId="0" fillId="0" borderId="42" xfId="0" applyFill="1" applyBorder="1"/>
    <xf numFmtId="2" fontId="3" fillId="0" borderId="40" xfId="0" applyNumberFormat="1" applyFont="1" applyFill="1" applyBorder="1"/>
    <xf numFmtId="2" fontId="3" fillId="0" borderId="32" xfId="0" applyNumberFormat="1" applyFont="1" applyFill="1" applyBorder="1"/>
    <xf numFmtId="0" fontId="0" fillId="0" borderId="31" xfId="0" applyFill="1" applyBorder="1"/>
    <xf numFmtId="0" fontId="5" fillId="0" borderId="0" xfId="0" applyFont="1" applyFill="1" applyAlignment="1">
      <alignment horizontal="center" vertical="center"/>
    </xf>
    <xf numFmtId="3" fontId="0" fillId="0" borderId="0" xfId="0" applyNumberFormat="1" applyFill="1"/>
    <xf numFmtId="2" fontId="0" fillId="0" borderId="0" xfId="0" applyNumberFormat="1" applyFill="1" applyAlignment="1">
      <alignment wrapText="1"/>
    </xf>
    <xf numFmtId="2" fontId="0" fillId="0" borderId="36" xfId="0" applyNumberFormat="1" applyFill="1" applyBorder="1"/>
    <xf numFmtId="2" fontId="0" fillId="0" borderId="34" xfId="0" applyNumberFormat="1" applyFill="1" applyBorder="1"/>
    <xf numFmtId="2" fontId="0" fillId="0" borderId="41" xfId="0" applyNumberFormat="1" applyFill="1" applyBorder="1"/>
    <xf numFmtId="2" fontId="0" fillId="0" borderId="38" xfId="0" applyNumberFormat="1" applyFill="1" applyBorder="1"/>
    <xf numFmtId="2" fontId="0" fillId="0" borderId="37" xfId="0" applyNumberFormat="1" applyFill="1" applyBorder="1"/>
    <xf numFmtId="2" fontId="0" fillId="0" borderId="42" xfId="0" applyNumberFormat="1" applyFill="1" applyBorder="1"/>
    <xf numFmtId="2" fontId="0" fillId="0" borderId="32" xfId="0" applyNumberFormat="1" applyFill="1" applyBorder="1"/>
    <xf numFmtId="2" fontId="0" fillId="0" borderId="39" xfId="0" applyNumberFormat="1" applyFill="1" applyBorder="1"/>
    <xf numFmtId="2" fontId="0" fillId="0" borderId="31" xfId="0" applyNumberFormat="1" applyFill="1" applyBorder="1"/>
    <xf numFmtId="0" fontId="0" fillId="0" borderId="0" xfId="0" applyFill="1" applyAlignment="1">
      <alignment wrapText="1"/>
    </xf>
    <xf numFmtId="0" fontId="0" fillId="0" borderId="7" xfId="0" applyFill="1" applyBorder="1"/>
    <xf numFmtId="0" fontId="0" fillId="0" borderId="47" xfId="0" applyFill="1" applyBorder="1"/>
    <xf numFmtId="0" fontId="0" fillId="0" borderId="43" xfId="0" applyFill="1" applyBorder="1"/>
    <xf numFmtId="0" fontId="0" fillId="0" borderId="33" xfId="0" applyFill="1" applyBorder="1"/>
    <xf numFmtId="0" fontId="0" fillId="0" borderId="44" xfId="0" applyFill="1" applyBorder="1"/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2" fontId="0" fillId="0" borderId="2" xfId="0" applyNumberFormat="1" applyFill="1" applyBorder="1"/>
    <xf numFmtId="2" fontId="0" fillId="0" borderId="43" xfId="0" applyNumberFormat="1" applyFill="1" applyBorder="1"/>
    <xf numFmtId="2" fontId="0" fillId="0" borderId="20" xfId="0" applyNumberFormat="1" applyFill="1" applyBorder="1"/>
    <xf numFmtId="2" fontId="0" fillId="0" borderId="21" xfId="0" applyNumberFormat="1" applyFill="1" applyBorder="1"/>
    <xf numFmtId="2" fontId="0" fillId="0" borderId="1" xfId="0" applyNumberFormat="1" applyFill="1" applyBorder="1"/>
    <xf numFmtId="2" fontId="0" fillId="0" borderId="33" xfId="0" applyNumberFormat="1" applyFill="1" applyBorder="1"/>
    <xf numFmtId="2" fontId="0" fillId="0" borderId="8" xfId="0" applyNumberFormat="1" applyFill="1" applyBorder="1"/>
    <xf numFmtId="2" fontId="0" fillId="0" borderId="9" xfId="0" applyNumberFormat="1" applyFill="1" applyBorder="1"/>
    <xf numFmtId="2" fontId="0" fillId="0" borderId="11" xfId="0" applyNumberFormat="1" applyFill="1" applyBorder="1"/>
    <xf numFmtId="2" fontId="0" fillId="0" borderId="44" xfId="0" applyNumberFormat="1" applyFill="1" applyBorder="1"/>
    <xf numFmtId="2" fontId="0" fillId="0" borderId="10" xfId="0" applyNumberFormat="1" applyFill="1" applyBorder="1"/>
    <xf numFmtId="2" fontId="0" fillId="0" borderId="12" xfId="0" applyNumberFormat="1" applyFill="1" applyBorder="1"/>
    <xf numFmtId="164" fontId="0" fillId="0" borderId="20" xfId="0" applyNumberFormat="1" applyFill="1" applyBorder="1"/>
    <xf numFmtId="164" fontId="0" fillId="0" borderId="2" xfId="0" applyNumberFormat="1" applyFill="1" applyBorder="1"/>
    <xf numFmtId="164" fontId="0" fillId="0" borderId="21" xfId="0" applyNumberFormat="1" applyFill="1" applyBorder="1"/>
    <xf numFmtId="2" fontId="0" fillId="0" borderId="54" xfId="0" applyNumberFormat="1" applyFill="1" applyBorder="1"/>
    <xf numFmtId="2" fontId="0" fillId="0" borderId="5" xfId="0" applyNumberFormat="1" applyFill="1" applyBorder="1"/>
    <xf numFmtId="2" fontId="0" fillId="0" borderId="53" xfId="0" applyNumberFormat="1" applyFill="1" applyBorder="1"/>
    <xf numFmtId="2" fontId="0" fillId="0" borderId="55" xfId="0" applyNumberFormat="1" applyFill="1" applyBorder="1"/>
    <xf numFmtId="2" fontId="0" fillId="0" borderId="52" xfId="0" applyNumberFormat="1" applyFill="1" applyBorder="1"/>
    <xf numFmtId="2" fontId="0" fillId="0" borderId="45" xfId="0" applyNumberFormat="1" applyFill="1" applyBorder="1"/>
    <xf numFmtId="2" fontId="0" fillId="0" borderId="56" xfId="0" applyNumberFormat="1" applyFill="1" applyBorder="1"/>
    <xf numFmtId="4" fontId="5" fillId="0" borderId="22" xfId="0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164" fontId="0" fillId="0" borderId="1" xfId="0" applyNumberForma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CCFFFF"/>
      <color rgb="FFFFFFCC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eeexplore.ieee.org/abstract/document/834260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dimension ref="A1:Q14"/>
  <sheetViews>
    <sheetView workbookViewId="0">
      <selection activeCell="E17" sqref="E17"/>
    </sheetView>
  </sheetViews>
  <sheetFormatPr defaultRowHeight="15" x14ac:dyDescent="0.25"/>
  <cols>
    <col min="2" max="2" width="14.42578125" customWidth="1"/>
    <col min="3" max="3" width="18.140625" customWidth="1"/>
    <col min="4" max="4" width="9" customWidth="1"/>
    <col min="5" max="5" width="11.140625" customWidth="1"/>
    <col min="6" max="6" width="10.140625" customWidth="1"/>
    <col min="7" max="7" width="9.5703125" customWidth="1"/>
    <col min="9" max="9" width="11.42578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7" x14ac:dyDescent="0.25">
      <c r="B1" s="1" t="s">
        <v>235</v>
      </c>
    </row>
    <row r="3" spans="1:17" x14ac:dyDescent="0.25">
      <c r="A3" s="193" t="s">
        <v>236</v>
      </c>
      <c r="B3" s="191" t="s">
        <v>238</v>
      </c>
      <c r="C3" s="195"/>
      <c r="D3" s="195"/>
      <c r="E3" s="195"/>
      <c r="F3" s="195"/>
      <c r="G3" s="195"/>
      <c r="H3" s="195"/>
      <c r="I3" s="192"/>
      <c r="J3" s="194" t="s">
        <v>237</v>
      </c>
      <c r="K3" s="194"/>
      <c r="L3" s="194"/>
      <c r="M3" s="194"/>
      <c r="N3" s="194"/>
      <c r="O3" s="194"/>
      <c r="P3" s="194"/>
      <c r="Q3" s="194"/>
    </row>
    <row r="4" spans="1:17" x14ac:dyDescent="0.25">
      <c r="A4" s="193"/>
      <c r="B4" s="191" t="s">
        <v>243</v>
      </c>
      <c r="C4" s="192"/>
      <c r="D4" s="191" t="s">
        <v>244</v>
      </c>
      <c r="E4" s="192"/>
      <c r="F4" s="191" t="s">
        <v>245</v>
      </c>
      <c r="G4" s="192"/>
      <c r="H4" s="191" t="s">
        <v>246</v>
      </c>
      <c r="I4" s="192"/>
      <c r="J4" s="191" t="s">
        <v>239</v>
      </c>
      <c r="K4" s="192"/>
      <c r="L4" s="191" t="s">
        <v>240</v>
      </c>
      <c r="M4" s="192"/>
      <c r="N4" s="191" t="s">
        <v>241</v>
      </c>
      <c r="O4" s="192"/>
      <c r="P4" s="191" t="s">
        <v>242</v>
      </c>
      <c r="Q4" s="192"/>
    </row>
    <row r="5" spans="1:17" x14ac:dyDescent="0.25">
      <c r="A5" s="49">
        <v>1</v>
      </c>
      <c r="B5" s="130" t="s">
        <v>25</v>
      </c>
      <c r="C5" s="130">
        <v>12.680254999999999</v>
      </c>
      <c r="D5" s="2" t="s">
        <v>25</v>
      </c>
      <c r="E5" s="130">
        <v>12.732133729212656</v>
      </c>
      <c r="F5" s="2" t="s">
        <v>25</v>
      </c>
      <c r="G5" s="130">
        <v>12.721147205388451</v>
      </c>
      <c r="H5" s="2" t="s">
        <v>25</v>
      </c>
      <c r="I5" s="130">
        <v>12.7056586313808</v>
      </c>
      <c r="J5" s="2" t="s">
        <v>25</v>
      </c>
      <c r="K5" s="130">
        <v>12.6225</v>
      </c>
      <c r="L5" s="2" t="s">
        <v>25</v>
      </c>
      <c r="M5" s="130">
        <v>12.67773870234074</v>
      </c>
      <c r="N5" s="2" t="s">
        <v>25</v>
      </c>
      <c r="O5" s="130">
        <v>12.659453791469193</v>
      </c>
      <c r="P5" s="2" t="s">
        <v>25</v>
      </c>
      <c r="Q5" s="130">
        <v>12.536504195877342</v>
      </c>
    </row>
    <row r="6" spans="1:17" x14ac:dyDescent="0.25">
      <c r="A6" s="49">
        <v>2</v>
      </c>
      <c r="B6" s="130" t="s">
        <v>15</v>
      </c>
      <c r="C6" s="130">
        <v>12.628625</v>
      </c>
      <c r="D6" s="2" t="s">
        <v>15</v>
      </c>
      <c r="E6" s="130">
        <v>12.441243486147759</v>
      </c>
      <c r="F6" s="2" t="s">
        <v>15</v>
      </c>
      <c r="G6" s="130">
        <v>12.633179987519293</v>
      </c>
      <c r="H6" s="2" t="s">
        <v>15</v>
      </c>
      <c r="I6" s="130">
        <v>12.332104154873768</v>
      </c>
      <c r="J6" s="2" t="s">
        <v>15</v>
      </c>
      <c r="K6" s="130">
        <v>12.335000000000001</v>
      </c>
      <c r="L6" s="2" t="s">
        <v>15</v>
      </c>
      <c r="M6" s="130">
        <v>12.319369394929994</v>
      </c>
      <c r="N6" s="2" t="s">
        <v>15</v>
      </c>
      <c r="O6" s="130">
        <v>12.313911392405064</v>
      </c>
      <c r="P6" s="2" t="s">
        <v>21</v>
      </c>
      <c r="Q6" s="130">
        <v>12.023661846047476</v>
      </c>
    </row>
    <row r="7" spans="1:17" x14ac:dyDescent="0.25">
      <c r="A7" s="49">
        <v>3</v>
      </c>
      <c r="B7" s="130" t="s">
        <v>21</v>
      </c>
      <c r="C7" s="130">
        <v>11.8926</v>
      </c>
      <c r="D7" s="2" t="s">
        <v>21</v>
      </c>
      <c r="E7" s="130">
        <v>11.991412134522992</v>
      </c>
      <c r="F7" s="2" t="s">
        <v>21</v>
      </c>
      <c r="G7" s="130">
        <v>11.940492970692333</v>
      </c>
      <c r="H7" s="2" t="s">
        <v>21</v>
      </c>
      <c r="I7" s="130">
        <v>12.043726778080062</v>
      </c>
      <c r="J7" s="2" t="s">
        <v>21</v>
      </c>
      <c r="K7" s="130">
        <v>11.782499999999999</v>
      </c>
      <c r="L7" s="2" t="s">
        <v>21</v>
      </c>
      <c r="M7" s="130">
        <v>11.86352418264635</v>
      </c>
      <c r="N7" s="2" t="s">
        <v>21</v>
      </c>
      <c r="O7" s="130">
        <v>11.83417576791809</v>
      </c>
      <c r="P7" s="2" t="s">
        <v>15</v>
      </c>
      <c r="Q7" s="130">
        <v>12.012853222860379</v>
      </c>
    </row>
    <row r="8" spans="1:17" x14ac:dyDescent="0.25">
      <c r="A8" s="49">
        <v>4</v>
      </c>
      <c r="B8" s="130" t="s">
        <v>18</v>
      </c>
      <c r="C8" s="130">
        <v>11.806549999999998</v>
      </c>
      <c r="D8" s="113" t="s">
        <v>16</v>
      </c>
      <c r="E8" s="166">
        <v>11.928871829085455</v>
      </c>
      <c r="F8" s="2" t="s">
        <v>18</v>
      </c>
      <c r="G8" s="130">
        <v>11.884980757029561</v>
      </c>
      <c r="H8" s="113" t="s">
        <v>16</v>
      </c>
      <c r="I8" s="166">
        <v>11.890057720254312</v>
      </c>
      <c r="J8" s="2" t="s">
        <v>18</v>
      </c>
      <c r="K8" s="130">
        <v>11.6</v>
      </c>
      <c r="L8" s="2" t="s">
        <v>18</v>
      </c>
      <c r="M8" s="130">
        <v>11.656913693599162</v>
      </c>
      <c r="N8" s="2" t="s">
        <v>18</v>
      </c>
      <c r="O8" s="130">
        <v>11.622316176470587</v>
      </c>
      <c r="P8" s="113" t="s">
        <v>16</v>
      </c>
      <c r="Q8" s="166">
        <v>11.718769617446785</v>
      </c>
    </row>
    <row r="9" spans="1:17" x14ac:dyDescent="0.25">
      <c r="A9" s="49">
        <v>5</v>
      </c>
      <c r="B9" s="130" t="s">
        <v>16</v>
      </c>
      <c r="C9" s="130">
        <v>11.447075</v>
      </c>
      <c r="D9" s="113" t="s">
        <v>18</v>
      </c>
      <c r="E9" s="166">
        <v>11.701173259452414</v>
      </c>
      <c r="F9" s="2" t="s">
        <v>16</v>
      </c>
      <c r="G9" s="130">
        <v>11.60742877073152</v>
      </c>
      <c r="H9" s="113" t="s">
        <v>18</v>
      </c>
      <c r="I9" s="166">
        <v>11.612508093962997</v>
      </c>
      <c r="J9" s="2" t="s">
        <v>16</v>
      </c>
      <c r="K9" s="130">
        <v>11.275</v>
      </c>
      <c r="L9" s="2" t="s">
        <v>16</v>
      </c>
      <c r="M9" s="130">
        <v>11.586481595460414</v>
      </c>
      <c r="N9" s="2" t="s">
        <v>16</v>
      </c>
      <c r="O9" s="130">
        <v>11.463419943820226</v>
      </c>
      <c r="P9" s="113" t="s">
        <v>18</v>
      </c>
      <c r="Q9" s="166">
        <v>11.240768710550045</v>
      </c>
    </row>
    <row r="10" spans="1:17" x14ac:dyDescent="0.25">
      <c r="A10" s="49">
        <v>6</v>
      </c>
      <c r="B10" s="130" t="s">
        <v>23</v>
      </c>
      <c r="C10" s="130">
        <v>11.026250000000001</v>
      </c>
      <c r="D10" s="2" t="s">
        <v>23</v>
      </c>
      <c r="E10" s="130">
        <v>11.172110574334429</v>
      </c>
      <c r="F10" s="2" t="s">
        <v>23</v>
      </c>
      <c r="G10" s="130">
        <v>11.107600430178691</v>
      </c>
      <c r="H10" s="2" t="s">
        <v>23</v>
      </c>
      <c r="I10" s="130">
        <v>11.142019937440118</v>
      </c>
      <c r="J10" s="2" t="s">
        <v>23</v>
      </c>
      <c r="K10" s="130">
        <v>10.8575</v>
      </c>
      <c r="L10" s="2" t="s">
        <v>23</v>
      </c>
      <c r="M10" s="130">
        <v>10.957194855926748</v>
      </c>
      <c r="N10" s="2" t="s">
        <v>23</v>
      </c>
      <c r="O10" s="130">
        <v>10.92171437740693</v>
      </c>
      <c r="P10" s="2" t="s">
        <v>23</v>
      </c>
      <c r="Q10" s="130">
        <v>10.80320241591976</v>
      </c>
    </row>
    <row r="11" spans="1:17" x14ac:dyDescent="0.25">
      <c r="A11" s="49">
        <v>7</v>
      </c>
      <c r="B11" s="130" t="s">
        <v>20</v>
      </c>
      <c r="C11" s="130">
        <v>10.928524999999999</v>
      </c>
      <c r="D11" s="2" t="s">
        <v>20</v>
      </c>
      <c r="E11" s="130">
        <v>10.982999782096588</v>
      </c>
      <c r="F11" s="2" t="s">
        <v>20</v>
      </c>
      <c r="G11" s="130">
        <v>11.02378443279332</v>
      </c>
      <c r="H11" s="113" t="s">
        <v>24</v>
      </c>
      <c r="I11" s="166">
        <v>10.947879821186056</v>
      </c>
      <c r="J11" s="2" t="s">
        <v>20</v>
      </c>
      <c r="K11" s="130">
        <v>10.780000000000001</v>
      </c>
      <c r="L11" s="2" t="s">
        <v>20</v>
      </c>
      <c r="M11" s="130">
        <v>10.940344509006392</v>
      </c>
      <c r="N11" s="2" t="s">
        <v>20</v>
      </c>
      <c r="O11" s="130">
        <v>10.874425561797752</v>
      </c>
      <c r="P11" s="113" t="s">
        <v>24</v>
      </c>
      <c r="Q11" s="166">
        <v>10.775</v>
      </c>
    </row>
    <row r="12" spans="1:17" x14ac:dyDescent="0.25">
      <c r="A12" s="49">
        <v>8</v>
      </c>
      <c r="B12" s="130" t="s">
        <v>24</v>
      </c>
      <c r="C12" s="130">
        <v>10.928330000000001</v>
      </c>
      <c r="D12" s="2" t="s">
        <v>24</v>
      </c>
      <c r="E12" s="130">
        <v>10.948639164129716</v>
      </c>
      <c r="F12" s="2" t="s">
        <v>24</v>
      </c>
      <c r="G12" s="130">
        <v>10.928835518510208</v>
      </c>
      <c r="H12" s="113" t="s">
        <v>20</v>
      </c>
      <c r="I12" s="166">
        <v>10.925491686674672</v>
      </c>
      <c r="J12" s="2" t="s">
        <v>24</v>
      </c>
      <c r="K12" s="130">
        <v>10.775</v>
      </c>
      <c r="L12" s="2" t="s">
        <v>24</v>
      </c>
      <c r="M12" s="130">
        <v>10.78987555113917</v>
      </c>
      <c r="N12" s="2" t="s">
        <v>24</v>
      </c>
      <c r="O12" s="130">
        <v>10.774999999999999</v>
      </c>
      <c r="P12" s="113" t="s">
        <v>20</v>
      </c>
      <c r="Q12" s="166">
        <v>10.771981857557151</v>
      </c>
    </row>
    <row r="13" spans="1:17" x14ac:dyDescent="0.25">
      <c r="A13" s="49">
        <v>9</v>
      </c>
      <c r="B13" s="130" t="s">
        <v>19</v>
      </c>
      <c r="C13" s="130">
        <v>10.279405000000001</v>
      </c>
      <c r="D13" s="2" t="s">
        <v>19</v>
      </c>
      <c r="E13" s="130">
        <v>10.638851320257926</v>
      </c>
      <c r="F13" s="2" t="s">
        <v>19</v>
      </c>
      <c r="G13" s="130">
        <v>10.439033764014358</v>
      </c>
      <c r="H13" s="2" t="s">
        <v>19</v>
      </c>
      <c r="I13" s="130">
        <v>10.506557997538224</v>
      </c>
      <c r="J13" s="2" t="s">
        <v>19</v>
      </c>
      <c r="K13" s="130">
        <v>10.11</v>
      </c>
      <c r="L13" s="2" t="s">
        <v>19</v>
      </c>
      <c r="M13" s="130">
        <v>10.449163356822549</v>
      </c>
      <c r="N13" s="2" t="s">
        <v>19</v>
      </c>
      <c r="O13" s="130">
        <v>10.293906976744186</v>
      </c>
      <c r="P13" s="2" t="s">
        <v>19</v>
      </c>
      <c r="Q13" s="130">
        <v>10.362371493107599</v>
      </c>
    </row>
    <row r="14" spans="1:17" x14ac:dyDescent="0.25">
      <c r="A14" s="49">
        <v>10</v>
      </c>
      <c r="B14" s="130" t="s">
        <v>14</v>
      </c>
      <c r="C14" s="130">
        <v>7.0285099999999998</v>
      </c>
      <c r="D14" s="2" t="s">
        <v>14</v>
      </c>
      <c r="E14" s="130">
        <v>7.0707274772296014</v>
      </c>
      <c r="F14" s="2" t="s">
        <v>14</v>
      </c>
      <c r="G14" s="130">
        <v>7.0688884680978052</v>
      </c>
      <c r="H14" s="2" t="s">
        <v>14</v>
      </c>
      <c r="I14" s="130">
        <v>7.0291120824892213</v>
      </c>
      <c r="J14" s="2" t="s">
        <v>14</v>
      </c>
      <c r="K14" s="130">
        <v>6.7650000000000006</v>
      </c>
      <c r="L14" s="2" t="s">
        <v>14</v>
      </c>
      <c r="M14" s="130">
        <v>6.8145000000000007</v>
      </c>
      <c r="N14" s="2" t="s">
        <v>14</v>
      </c>
      <c r="O14" s="130">
        <v>6.8025638297872337</v>
      </c>
      <c r="P14" s="2" t="s">
        <v>14</v>
      </c>
      <c r="Q14" s="130">
        <v>6.3831185567010316</v>
      </c>
    </row>
  </sheetData>
  <mergeCells count="11">
    <mergeCell ref="P4:Q4"/>
    <mergeCell ref="A3:A4"/>
    <mergeCell ref="J3:Q3"/>
    <mergeCell ref="J4:K4"/>
    <mergeCell ref="L4:M4"/>
    <mergeCell ref="N4:O4"/>
    <mergeCell ref="B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CH216"/>
  <sheetViews>
    <sheetView topLeftCell="AE168" zoomScaleNormal="100" workbookViewId="0">
      <selection activeCell="AA43" sqref="AA43"/>
    </sheetView>
  </sheetViews>
  <sheetFormatPr defaultRowHeight="15" x14ac:dyDescent="0.25"/>
  <cols>
    <col min="1" max="1" width="31.710937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24" width="9.140625" customWidth="1"/>
    <col min="25" max="31" width="9.140625" style="245" customWidth="1"/>
    <col min="32" max="32" width="15.7109375" style="245" customWidth="1"/>
    <col min="33" max="39" width="9.140625" style="245" customWidth="1"/>
    <col min="40" max="40" width="15.7109375" style="245" customWidth="1"/>
    <col min="41" max="67" width="9.140625" style="245" customWidth="1"/>
    <col min="68" max="68" width="13.140625" style="245" customWidth="1"/>
    <col min="69" max="69" width="9.140625" style="245" customWidth="1"/>
    <col min="70" max="70" width="12.42578125" style="245" customWidth="1"/>
    <col min="71" max="71" width="12" style="245" customWidth="1"/>
    <col min="72" max="72" width="15.5703125" style="245" customWidth="1"/>
    <col min="73" max="73" width="15" style="245" customWidth="1"/>
    <col min="74" max="81" width="9.140625" style="245" customWidth="1"/>
    <col min="82" max="86" width="9.140625" style="245"/>
  </cols>
  <sheetData>
    <row r="1" spans="1:86" x14ac:dyDescent="0.25">
      <c r="A1" s="1" t="s">
        <v>36</v>
      </c>
      <c r="B1" s="37"/>
      <c r="C1" s="37"/>
    </row>
    <row r="2" spans="1:86" x14ac:dyDescent="0.25">
      <c r="A2" s="1" t="s">
        <v>37</v>
      </c>
      <c r="B2" s="40" t="s">
        <v>38</v>
      </c>
      <c r="C2" s="37"/>
    </row>
    <row r="3" spans="1:86" ht="30" customHeight="1" x14ac:dyDescent="0.25">
      <c r="A3" s="226" t="s">
        <v>230</v>
      </c>
      <c r="B3" s="227"/>
      <c r="C3" s="227"/>
      <c r="D3" s="228"/>
      <c r="E3" s="228"/>
    </row>
    <row r="4" spans="1:86" ht="15.75" x14ac:dyDescent="0.25">
      <c r="A4" s="82"/>
      <c r="B4" s="38"/>
      <c r="C4" s="38"/>
    </row>
    <row r="5" spans="1:86" ht="15.75" x14ac:dyDescent="0.25">
      <c r="A5" s="82"/>
      <c r="B5" s="38"/>
      <c r="C5" s="38"/>
    </row>
    <row r="6" spans="1:86" ht="18.75" x14ac:dyDescent="0.3">
      <c r="A6" s="85" t="s">
        <v>91</v>
      </c>
      <c r="B6" s="38"/>
      <c r="C6" s="38"/>
    </row>
    <row r="7" spans="1:86" x14ac:dyDescent="0.25">
      <c r="A7" s="1" t="s">
        <v>49</v>
      </c>
      <c r="B7" s="38"/>
      <c r="C7" s="38"/>
    </row>
    <row r="8" spans="1:86" ht="15.75" thickBot="1" x14ac:dyDescent="0.3">
      <c r="A8" s="39" t="s">
        <v>94</v>
      </c>
      <c r="B8" s="38"/>
      <c r="C8" s="38"/>
      <c r="BO8" s="245">
        <v>0.8</v>
      </c>
    </row>
    <row r="9" spans="1:86" ht="86.25" customHeight="1" thickBot="1" x14ac:dyDescent="0.3">
      <c r="A9" s="222" t="s">
        <v>26</v>
      </c>
      <c r="B9" s="222" t="s">
        <v>27</v>
      </c>
      <c r="C9" s="223" t="s">
        <v>28</v>
      </c>
      <c r="D9" s="224" t="s">
        <v>58</v>
      </c>
      <c r="E9" s="225"/>
      <c r="F9" s="225"/>
      <c r="G9" s="225" t="s">
        <v>59</v>
      </c>
      <c r="H9" s="225"/>
      <c r="I9" s="225"/>
      <c r="J9" s="220" t="s">
        <v>88</v>
      </c>
      <c r="K9" s="210" t="s">
        <v>81</v>
      </c>
      <c r="L9" s="211"/>
      <c r="M9" s="211"/>
      <c r="N9" s="211"/>
      <c r="O9" s="211"/>
      <c r="P9" s="211"/>
      <c r="Q9" s="211"/>
      <c r="R9" s="212"/>
      <c r="S9" s="210" t="s">
        <v>79</v>
      </c>
      <c r="T9" s="211"/>
      <c r="U9" s="211"/>
      <c r="V9" s="211"/>
      <c r="W9" s="211"/>
      <c r="X9" s="211"/>
      <c r="Y9" s="211"/>
      <c r="Z9" s="212"/>
      <c r="AA9" s="261" t="s">
        <v>80</v>
      </c>
      <c r="AB9" s="262"/>
      <c r="AC9" s="262"/>
      <c r="AD9" s="262"/>
      <c r="AE9" s="262"/>
      <c r="AF9" s="262"/>
      <c r="AG9" s="262"/>
      <c r="AH9" s="263"/>
      <c r="AI9" s="261" t="s">
        <v>78</v>
      </c>
      <c r="AJ9" s="262"/>
      <c r="AK9" s="262"/>
      <c r="AL9" s="262"/>
      <c r="AM9" s="262"/>
      <c r="AN9" s="262"/>
      <c r="AO9" s="262"/>
      <c r="AP9" s="263"/>
      <c r="AQ9" s="261" t="s">
        <v>89</v>
      </c>
      <c r="AR9" s="262"/>
      <c r="AS9" s="262"/>
      <c r="AT9" s="262"/>
      <c r="AU9" s="262"/>
      <c r="AV9" s="262"/>
      <c r="AW9" s="262"/>
      <c r="AX9" s="263"/>
      <c r="AY9" s="261" t="s">
        <v>90</v>
      </c>
      <c r="AZ9" s="262"/>
      <c r="BA9" s="262"/>
      <c r="BB9" s="262"/>
      <c r="BC9" s="262"/>
      <c r="BD9" s="262"/>
      <c r="BE9" s="262"/>
      <c r="BF9" s="263"/>
      <c r="BG9" s="261" t="s">
        <v>134</v>
      </c>
      <c r="BH9" s="262"/>
      <c r="BI9" s="262"/>
      <c r="BJ9" s="262"/>
      <c r="BK9" s="262"/>
      <c r="BL9" s="262"/>
      <c r="BM9" s="262"/>
      <c r="BN9" s="263"/>
      <c r="BO9" s="264" t="s">
        <v>82</v>
      </c>
      <c r="BP9" s="265"/>
      <c r="BQ9" s="265"/>
      <c r="BR9" s="266"/>
      <c r="BS9" s="267" t="s">
        <v>84</v>
      </c>
      <c r="BT9" s="268"/>
      <c r="BU9" s="269" t="s">
        <v>87</v>
      </c>
    </row>
    <row r="10" spans="1:86" s="36" customFormat="1" ht="23.25" customHeight="1" thickBot="1" x14ac:dyDescent="0.3">
      <c r="A10" s="222"/>
      <c r="B10" s="222"/>
      <c r="C10" s="223"/>
      <c r="D10" s="61" t="s">
        <v>50</v>
      </c>
      <c r="E10" s="46" t="s">
        <v>51</v>
      </c>
      <c r="F10" s="46" t="s">
        <v>52</v>
      </c>
      <c r="G10" s="46" t="s">
        <v>50</v>
      </c>
      <c r="H10" s="46" t="s">
        <v>51</v>
      </c>
      <c r="I10" s="46" t="s">
        <v>52</v>
      </c>
      <c r="J10" s="221"/>
      <c r="K10" s="210" t="s">
        <v>3</v>
      </c>
      <c r="L10" s="211"/>
      <c r="M10" s="211"/>
      <c r="N10" s="212"/>
      <c r="O10" s="210" t="s">
        <v>4</v>
      </c>
      <c r="P10" s="211"/>
      <c r="Q10" s="211"/>
      <c r="R10" s="212"/>
      <c r="S10" s="210" t="s">
        <v>3</v>
      </c>
      <c r="T10" s="211"/>
      <c r="U10" s="211"/>
      <c r="V10" s="212"/>
      <c r="W10" s="210" t="s">
        <v>4</v>
      </c>
      <c r="X10" s="211"/>
      <c r="Y10" s="211"/>
      <c r="Z10" s="212"/>
      <c r="AA10" s="261" t="s">
        <v>3</v>
      </c>
      <c r="AB10" s="262"/>
      <c r="AC10" s="262"/>
      <c r="AD10" s="263"/>
      <c r="AE10" s="261" t="s">
        <v>4</v>
      </c>
      <c r="AF10" s="262"/>
      <c r="AG10" s="262"/>
      <c r="AH10" s="263"/>
      <c r="AI10" s="261" t="s">
        <v>3</v>
      </c>
      <c r="AJ10" s="262"/>
      <c r="AK10" s="262"/>
      <c r="AL10" s="263"/>
      <c r="AM10" s="261" t="s">
        <v>4</v>
      </c>
      <c r="AN10" s="262"/>
      <c r="AO10" s="262"/>
      <c r="AP10" s="263"/>
      <c r="AQ10" s="261" t="s">
        <v>3</v>
      </c>
      <c r="AR10" s="262"/>
      <c r="AS10" s="262"/>
      <c r="AT10" s="263"/>
      <c r="AU10" s="261" t="s">
        <v>4</v>
      </c>
      <c r="AV10" s="262"/>
      <c r="AW10" s="262"/>
      <c r="AX10" s="263"/>
      <c r="AY10" s="261" t="s">
        <v>3</v>
      </c>
      <c r="AZ10" s="262"/>
      <c r="BA10" s="262"/>
      <c r="BB10" s="263"/>
      <c r="BC10" s="261" t="s">
        <v>4</v>
      </c>
      <c r="BD10" s="262"/>
      <c r="BE10" s="262"/>
      <c r="BF10" s="263"/>
      <c r="BG10" s="261" t="s">
        <v>3</v>
      </c>
      <c r="BH10" s="262"/>
      <c r="BI10" s="262"/>
      <c r="BJ10" s="263"/>
      <c r="BK10" s="261" t="s">
        <v>4</v>
      </c>
      <c r="BL10" s="262"/>
      <c r="BM10" s="262"/>
      <c r="BN10" s="263"/>
      <c r="BO10" s="270" t="s">
        <v>83</v>
      </c>
      <c r="BP10" s="271"/>
      <c r="BQ10" s="270" t="s">
        <v>5</v>
      </c>
      <c r="BR10" s="272"/>
      <c r="BS10" s="273" t="s">
        <v>85</v>
      </c>
      <c r="BT10" s="273" t="s">
        <v>86</v>
      </c>
      <c r="BU10" s="274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</row>
    <row r="11" spans="1:86" ht="30" x14ac:dyDescent="0.25">
      <c r="A11" s="41" t="s">
        <v>0</v>
      </c>
      <c r="B11" s="41" t="s">
        <v>25</v>
      </c>
      <c r="C11" s="60" t="s">
        <v>13</v>
      </c>
      <c r="D11" s="91" t="s">
        <v>44</v>
      </c>
      <c r="E11" s="92" t="s">
        <v>45</v>
      </c>
      <c r="F11" s="92" t="s">
        <v>44</v>
      </c>
      <c r="G11" s="49">
        <f>IF(D11=$A$24,$B$24,(IF(D11=$A$25,$B$25,IF(D11=$A$26,$B$26,$B$27))))</f>
        <v>1</v>
      </c>
      <c r="H11" s="49">
        <f t="shared" ref="G11:I20" si="0">IF(E11=$A$24,$B$24,(IF(E11=$A$25,$B$25,IF(E11=$A$26,$B$26,$B$27))))</f>
        <v>0.66</v>
      </c>
      <c r="I11" s="49">
        <f t="shared" si="0"/>
        <v>1</v>
      </c>
      <c r="J11" s="83">
        <f>G11*$D$38+H11*$D$39+I11*$D$40</f>
        <v>14.15</v>
      </c>
      <c r="K11" s="20">
        <v>0.77</v>
      </c>
      <c r="L11" s="22">
        <v>1</v>
      </c>
      <c r="M11" s="22">
        <v>1</v>
      </c>
      <c r="N11" s="23">
        <v>1</v>
      </c>
      <c r="O11" s="20">
        <v>0.83</v>
      </c>
      <c r="P11" s="22">
        <v>1</v>
      </c>
      <c r="Q11" s="22">
        <v>1</v>
      </c>
      <c r="R11" s="23">
        <v>1</v>
      </c>
      <c r="S11" s="20">
        <v>0.44000000000000006</v>
      </c>
      <c r="T11" s="22">
        <v>0.55000000000000004</v>
      </c>
      <c r="U11" s="22">
        <v>0.77</v>
      </c>
      <c r="V11" s="23">
        <v>1</v>
      </c>
      <c r="W11" s="20">
        <v>0.47000000000000003</v>
      </c>
      <c r="X11" s="22">
        <v>0.55000000000000004</v>
      </c>
      <c r="Y11" s="242">
        <v>0.77</v>
      </c>
      <c r="Z11" s="243">
        <v>0.92</v>
      </c>
      <c r="AA11" s="241">
        <v>0.77</v>
      </c>
      <c r="AB11" s="242">
        <v>1</v>
      </c>
      <c r="AC11" s="242">
        <v>1</v>
      </c>
      <c r="AD11" s="243">
        <v>1</v>
      </c>
      <c r="AE11" s="241">
        <v>0.83</v>
      </c>
      <c r="AF11" s="242">
        <v>1</v>
      </c>
      <c r="AG11" s="242">
        <v>1</v>
      </c>
      <c r="AH11" s="243">
        <v>1</v>
      </c>
      <c r="AI11" s="241">
        <v>3.8900000000000006</v>
      </c>
      <c r="AJ11" s="242">
        <v>7</v>
      </c>
      <c r="AK11" s="242">
        <v>8</v>
      </c>
      <c r="AL11" s="243">
        <v>9.5</v>
      </c>
      <c r="AM11" s="241">
        <v>4.8099999999999987</v>
      </c>
      <c r="AN11" s="242">
        <v>7</v>
      </c>
      <c r="AO11" s="242">
        <v>8</v>
      </c>
      <c r="AP11" s="243">
        <v>9</v>
      </c>
      <c r="AQ11" s="241">
        <v>0.60499999999999998</v>
      </c>
      <c r="AR11" s="242">
        <v>1.1000000000000001</v>
      </c>
      <c r="AS11" s="242">
        <v>2.31</v>
      </c>
      <c r="AT11" s="242">
        <v>4.1549999999999994</v>
      </c>
      <c r="AU11" s="241">
        <v>0.77499999999999991</v>
      </c>
      <c r="AV11" s="242">
        <v>1.1000000000000001</v>
      </c>
      <c r="AW11" s="242">
        <v>2.31</v>
      </c>
      <c r="AX11" s="243">
        <v>3.53</v>
      </c>
      <c r="AY11" s="241">
        <v>1.9649999999999999</v>
      </c>
      <c r="AZ11" s="242">
        <v>4.5</v>
      </c>
      <c r="BA11" s="242">
        <v>5.5</v>
      </c>
      <c r="BB11" s="242">
        <v>7</v>
      </c>
      <c r="BC11" s="241">
        <v>2.7349999999999994</v>
      </c>
      <c r="BD11" s="242">
        <v>4.5</v>
      </c>
      <c r="BE11" s="242">
        <v>5.5</v>
      </c>
      <c r="BF11" s="243">
        <v>6.5</v>
      </c>
      <c r="BG11" s="241">
        <f>AI11+AQ11+AY11</f>
        <v>6.4600000000000009</v>
      </c>
      <c r="BH11" s="242">
        <f t="shared" ref="BH11:BN20" si="1">AJ11+AR11+AZ11</f>
        <v>12.6</v>
      </c>
      <c r="BI11" s="242">
        <f t="shared" si="1"/>
        <v>15.81</v>
      </c>
      <c r="BJ11" s="242">
        <f t="shared" si="1"/>
        <v>20.655000000000001</v>
      </c>
      <c r="BK11" s="241">
        <f t="shared" si="1"/>
        <v>8.3199999999999985</v>
      </c>
      <c r="BL11" s="242">
        <f t="shared" si="1"/>
        <v>12.6</v>
      </c>
      <c r="BM11" s="242">
        <f t="shared" si="1"/>
        <v>15.81</v>
      </c>
      <c r="BN11" s="242">
        <f t="shared" si="1"/>
        <v>19.03</v>
      </c>
      <c r="BO11" s="250">
        <f>BO$8*BH11+(1-BO$8)*BG11</f>
        <v>11.372</v>
      </c>
      <c r="BP11" s="275">
        <f>BO$8*BI11+(1-BO$8)*BJ11</f>
        <v>16.779</v>
      </c>
      <c r="BQ11" s="250">
        <f>BO$8*BL11+(1-BO$8)*BK11</f>
        <v>11.744</v>
      </c>
      <c r="BR11" s="276">
        <f>BO$8*BM11+(1-BO$8)*BN11</f>
        <v>16.454000000000001</v>
      </c>
      <c r="BS11" s="241">
        <f>(BO11+BP11)/2</f>
        <v>14.0755</v>
      </c>
      <c r="BT11" s="243">
        <f>(BQ11+BR11)/2</f>
        <v>14.099</v>
      </c>
      <c r="BU11" s="277">
        <f>(BS11+BT11)/2</f>
        <v>14.087250000000001</v>
      </c>
    </row>
    <row r="12" spans="1:86" x14ac:dyDescent="0.25">
      <c r="A12" s="41" t="s">
        <v>1</v>
      </c>
      <c r="B12" s="41" t="s">
        <v>14</v>
      </c>
      <c r="C12" s="60" t="s">
        <v>29</v>
      </c>
      <c r="D12" s="91" t="s">
        <v>46</v>
      </c>
      <c r="E12" s="92" t="s">
        <v>46</v>
      </c>
      <c r="F12" s="92" t="s">
        <v>45</v>
      </c>
      <c r="G12" s="49">
        <f t="shared" si="0"/>
        <v>0.33</v>
      </c>
      <c r="H12" s="49">
        <f t="shared" si="0"/>
        <v>0.33</v>
      </c>
      <c r="I12" s="49">
        <f t="shared" si="0"/>
        <v>0.66</v>
      </c>
      <c r="J12" s="83">
        <f t="shared" ref="J12:J20" si="2">G12*$D$38+H12*$D$39+I12*$D$40</f>
        <v>6.6000000000000005</v>
      </c>
      <c r="K12" s="26">
        <v>0</v>
      </c>
      <c r="L12">
        <v>0.22000000000000003</v>
      </c>
      <c r="M12">
        <v>0.44</v>
      </c>
      <c r="N12" s="27">
        <v>0.55000000000000004</v>
      </c>
      <c r="O12" s="26">
        <v>0.06</v>
      </c>
      <c r="P12">
        <v>0.22000000000000003</v>
      </c>
      <c r="Q12">
        <v>0.44</v>
      </c>
      <c r="R12" s="27">
        <v>0.52</v>
      </c>
      <c r="S12" s="26">
        <v>0</v>
      </c>
      <c r="T12">
        <v>0.22000000000000003</v>
      </c>
      <c r="U12">
        <v>0.44</v>
      </c>
      <c r="V12" s="27">
        <v>0.55000000000000004</v>
      </c>
      <c r="W12" s="26">
        <v>0.06</v>
      </c>
      <c r="X12">
        <v>0.22000000000000003</v>
      </c>
      <c r="Y12" s="245">
        <v>0.44</v>
      </c>
      <c r="Z12" s="246">
        <v>0.52</v>
      </c>
      <c r="AA12" s="244">
        <v>0.44000000000000006</v>
      </c>
      <c r="AB12" s="245">
        <v>0.55000000000000004</v>
      </c>
      <c r="AC12" s="245">
        <v>0.77</v>
      </c>
      <c r="AD12" s="246">
        <v>1</v>
      </c>
      <c r="AE12" s="244">
        <v>0.47000000000000003</v>
      </c>
      <c r="AF12" s="245">
        <v>0.55000000000000004</v>
      </c>
      <c r="AG12" s="245">
        <v>0.77</v>
      </c>
      <c r="AH12" s="246">
        <v>0.92</v>
      </c>
      <c r="AI12" s="244">
        <v>0</v>
      </c>
      <c r="AJ12" s="245">
        <v>1.5400000000000003</v>
      </c>
      <c r="AK12" s="245">
        <v>3.52</v>
      </c>
      <c r="AL12" s="246">
        <v>5.0600000000000005</v>
      </c>
      <c r="AM12" s="244">
        <v>0.19999999999999996</v>
      </c>
      <c r="AN12" s="245">
        <v>1.5400000000000003</v>
      </c>
      <c r="AO12" s="245">
        <v>3.52</v>
      </c>
      <c r="AP12" s="246">
        <v>4.6000000000000014</v>
      </c>
      <c r="AQ12" s="244">
        <v>0</v>
      </c>
      <c r="AR12" s="245">
        <v>0.44000000000000006</v>
      </c>
      <c r="AS12" s="245">
        <v>1.32</v>
      </c>
      <c r="AT12" s="245">
        <v>2.3099999999999996</v>
      </c>
      <c r="AU12" s="244">
        <v>5.3999999999999992E-2</v>
      </c>
      <c r="AV12" s="245">
        <v>0.44000000000000006</v>
      </c>
      <c r="AW12" s="245">
        <v>1.32</v>
      </c>
      <c r="AX12" s="246">
        <v>2</v>
      </c>
      <c r="AY12" s="244">
        <v>1.1550000000000002</v>
      </c>
      <c r="AZ12" s="245">
        <v>2.4750000000000001</v>
      </c>
      <c r="BA12" s="245">
        <v>4.2350000000000003</v>
      </c>
      <c r="BB12" s="245">
        <v>6.6550000000000002</v>
      </c>
      <c r="BC12" s="244">
        <v>1.5650000000000008</v>
      </c>
      <c r="BD12" s="245">
        <v>2.4750000000000001</v>
      </c>
      <c r="BE12" s="245">
        <v>4.2350000000000003</v>
      </c>
      <c r="BF12" s="246">
        <v>5.830000000000001</v>
      </c>
      <c r="BG12" s="244">
        <f t="shared" ref="BG12:BG20" si="3">AI12+AQ12+AY12</f>
        <v>1.1550000000000002</v>
      </c>
      <c r="BH12" s="245">
        <f t="shared" si="1"/>
        <v>4.4550000000000001</v>
      </c>
      <c r="BI12" s="245">
        <f t="shared" si="1"/>
        <v>9.0749999999999993</v>
      </c>
      <c r="BJ12" s="245">
        <f t="shared" si="1"/>
        <v>14.025</v>
      </c>
      <c r="BK12" s="244">
        <f t="shared" si="1"/>
        <v>1.8190000000000008</v>
      </c>
      <c r="BL12" s="245">
        <f t="shared" si="1"/>
        <v>4.4550000000000001</v>
      </c>
      <c r="BM12" s="245">
        <f t="shared" si="1"/>
        <v>9.0749999999999993</v>
      </c>
      <c r="BN12" s="245">
        <f t="shared" si="1"/>
        <v>12.430000000000003</v>
      </c>
      <c r="BO12" s="251">
        <f t="shared" ref="BO12:BO20" si="4">BO$8*BH12+(1-BO$8)*BG12</f>
        <v>3.7949999999999999</v>
      </c>
      <c r="BP12" s="278">
        <f t="shared" ref="BP12:BP20" si="5">BO$8*BI12+(1-BO$8)*BJ12</f>
        <v>10.065</v>
      </c>
      <c r="BQ12" s="251">
        <f t="shared" ref="BQ12:BQ20" si="6">BO$8*BL12+(1-BO$8)*BK12</f>
        <v>3.9278</v>
      </c>
      <c r="BR12" s="279">
        <f t="shared" ref="BR12:BR20" si="7">BO$8*BM12+(1-BO$8)*BN12</f>
        <v>9.7460000000000004</v>
      </c>
      <c r="BS12" s="244">
        <f t="shared" ref="BS12:BS20" si="8">(BO12+BP12)/2</f>
        <v>6.93</v>
      </c>
      <c r="BT12" s="246">
        <f t="shared" ref="BT12:BT20" si="9">(BQ12+BR12)/2</f>
        <v>6.8369</v>
      </c>
      <c r="BU12" s="280">
        <f t="shared" ref="BU12:BU20" si="10">(BS12+BT12)/2</f>
        <v>6.8834499999999998</v>
      </c>
    </row>
    <row r="13" spans="1:86" x14ac:dyDescent="0.25">
      <c r="A13" s="41" t="s">
        <v>2</v>
      </c>
      <c r="B13" s="41" t="s">
        <v>15</v>
      </c>
      <c r="C13" s="60" t="s">
        <v>30</v>
      </c>
      <c r="D13" s="91" t="s">
        <v>45</v>
      </c>
      <c r="E13" s="92" t="s">
        <v>45</v>
      </c>
      <c r="F13" s="92" t="s">
        <v>45</v>
      </c>
      <c r="G13" s="49">
        <f t="shared" si="0"/>
        <v>0.66</v>
      </c>
      <c r="H13" s="49">
        <f t="shared" si="0"/>
        <v>0.66</v>
      </c>
      <c r="I13" s="49">
        <f t="shared" si="0"/>
        <v>0.66</v>
      </c>
      <c r="J13" s="83">
        <f t="shared" si="2"/>
        <v>9.9</v>
      </c>
      <c r="K13" s="26">
        <v>0.44000000000000006</v>
      </c>
      <c r="L13">
        <v>0.55000000000000004</v>
      </c>
      <c r="M13">
        <v>0.77</v>
      </c>
      <c r="N13" s="27">
        <v>1</v>
      </c>
      <c r="O13" s="26">
        <v>0.47000000000000003</v>
      </c>
      <c r="P13">
        <v>0.55000000000000004</v>
      </c>
      <c r="Q13">
        <v>0.77</v>
      </c>
      <c r="R13" s="27">
        <v>0.92</v>
      </c>
      <c r="S13" s="26">
        <v>0.44000000000000006</v>
      </c>
      <c r="T13">
        <v>0.55000000000000004</v>
      </c>
      <c r="U13">
        <v>0.77</v>
      </c>
      <c r="V13" s="27">
        <v>1</v>
      </c>
      <c r="W13" s="26">
        <v>0.47000000000000003</v>
      </c>
      <c r="X13">
        <v>0.55000000000000004</v>
      </c>
      <c r="Y13" s="245">
        <v>0.77</v>
      </c>
      <c r="Z13" s="246">
        <v>0.92</v>
      </c>
      <c r="AA13" s="244">
        <v>0.44000000000000006</v>
      </c>
      <c r="AB13" s="245">
        <v>0.55000000000000004</v>
      </c>
      <c r="AC13" s="245">
        <v>0.77</v>
      </c>
      <c r="AD13" s="246">
        <v>1</v>
      </c>
      <c r="AE13" s="244">
        <v>0.47000000000000003</v>
      </c>
      <c r="AF13" s="245">
        <v>0.55000000000000004</v>
      </c>
      <c r="AG13" s="245">
        <v>0.77</v>
      </c>
      <c r="AH13" s="246">
        <v>0.92</v>
      </c>
      <c r="AI13" s="244">
        <v>2.2549999999999999</v>
      </c>
      <c r="AJ13" s="245">
        <v>3.8500000000000005</v>
      </c>
      <c r="AK13" s="245">
        <v>6.16</v>
      </c>
      <c r="AL13" s="246">
        <v>9.1550000000000011</v>
      </c>
      <c r="AM13" s="244">
        <v>2.7399999999999993</v>
      </c>
      <c r="AN13" s="245">
        <v>3.8500000000000005</v>
      </c>
      <c r="AO13" s="245">
        <v>6.16</v>
      </c>
      <c r="AP13" s="246">
        <v>8.129999999999999</v>
      </c>
      <c r="AQ13" s="244">
        <v>0.60499999999999998</v>
      </c>
      <c r="AR13" s="245">
        <v>1.1000000000000001</v>
      </c>
      <c r="AS13" s="245">
        <v>2.31</v>
      </c>
      <c r="AT13" s="245">
        <v>4.1549999999999994</v>
      </c>
      <c r="AU13" s="244">
        <v>0.77499999999999991</v>
      </c>
      <c r="AV13" s="245">
        <v>1.1000000000000001</v>
      </c>
      <c r="AW13" s="245">
        <v>2.31</v>
      </c>
      <c r="AX13" s="246">
        <v>3.53</v>
      </c>
      <c r="AY13" s="244">
        <v>1.1550000000000002</v>
      </c>
      <c r="AZ13" s="245">
        <v>2.4750000000000001</v>
      </c>
      <c r="BA13" s="245">
        <v>4.2350000000000003</v>
      </c>
      <c r="BB13" s="245">
        <v>6.6550000000000002</v>
      </c>
      <c r="BC13" s="244">
        <v>1.5650000000000008</v>
      </c>
      <c r="BD13" s="245">
        <v>2.4750000000000001</v>
      </c>
      <c r="BE13" s="245">
        <v>4.2350000000000003</v>
      </c>
      <c r="BF13" s="246">
        <v>5.830000000000001</v>
      </c>
      <c r="BG13" s="244">
        <f t="shared" si="3"/>
        <v>4.0150000000000006</v>
      </c>
      <c r="BH13" s="245">
        <f t="shared" si="1"/>
        <v>7.4250000000000007</v>
      </c>
      <c r="BI13" s="245">
        <f t="shared" si="1"/>
        <v>12.705000000000002</v>
      </c>
      <c r="BJ13" s="245">
        <f t="shared" si="1"/>
        <v>19.965</v>
      </c>
      <c r="BK13" s="244">
        <f t="shared" si="1"/>
        <v>5.08</v>
      </c>
      <c r="BL13" s="245">
        <f t="shared" si="1"/>
        <v>7.4250000000000007</v>
      </c>
      <c r="BM13" s="245">
        <f t="shared" si="1"/>
        <v>12.705000000000002</v>
      </c>
      <c r="BN13" s="245">
        <f t="shared" si="1"/>
        <v>17.489999999999998</v>
      </c>
      <c r="BO13" s="251">
        <f t="shared" si="4"/>
        <v>6.7430000000000012</v>
      </c>
      <c r="BP13" s="278">
        <f t="shared" si="5"/>
        <v>14.157</v>
      </c>
      <c r="BQ13" s="251">
        <f t="shared" si="6"/>
        <v>6.9560000000000013</v>
      </c>
      <c r="BR13" s="279">
        <f t="shared" si="7"/>
        <v>13.662000000000001</v>
      </c>
      <c r="BS13" s="244">
        <f t="shared" si="8"/>
        <v>10.450000000000001</v>
      </c>
      <c r="BT13" s="246">
        <f t="shared" si="9"/>
        <v>10.309000000000001</v>
      </c>
      <c r="BU13" s="280">
        <f t="shared" si="10"/>
        <v>10.3795</v>
      </c>
    </row>
    <row r="14" spans="1:86" x14ac:dyDescent="0.25">
      <c r="A14" s="41" t="s">
        <v>6</v>
      </c>
      <c r="B14" s="41" t="s">
        <v>16</v>
      </c>
      <c r="C14" s="60" t="s">
        <v>17</v>
      </c>
      <c r="D14" s="91" t="s">
        <v>44</v>
      </c>
      <c r="E14" s="92" t="s">
        <v>45</v>
      </c>
      <c r="F14" s="92" t="s">
        <v>45</v>
      </c>
      <c r="G14" s="49">
        <f t="shared" si="0"/>
        <v>1</v>
      </c>
      <c r="H14" s="49">
        <f t="shared" si="0"/>
        <v>0.66</v>
      </c>
      <c r="I14" s="49">
        <f t="shared" si="0"/>
        <v>0.66</v>
      </c>
      <c r="J14" s="83">
        <f t="shared" si="2"/>
        <v>12.450000000000001</v>
      </c>
      <c r="K14" s="26">
        <v>0.77</v>
      </c>
      <c r="L14">
        <v>1</v>
      </c>
      <c r="M14">
        <v>1</v>
      </c>
      <c r="N14" s="27">
        <v>1</v>
      </c>
      <c r="O14" s="26">
        <v>0.83</v>
      </c>
      <c r="P14">
        <v>1</v>
      </c>
      <c r="Q14">
        <v>1</v>
      </c>
      <c r="R14" s="27">
        <v>1</v>
      </c>
      <c r="S14" s="26">
        <v>0.44000000000000006</v>
      </c>
      <c r="T14">
        <v>0.55000000000000004</v>
      </c>
      <c r="U14">
        <v>0.77</v>
      </c>
      <c r="V14" s="27">
        <v>1</v>
      </c>
      <c r="W14" s="26">
        <v>0.47000000000000003</v>
      </c>
      <c r="X14">
        <v>0.55000000000000004</v>
      </c>
      <c r="Y14" s="245">
        <v>0.77</v>
      </c>
      <c r="Z14" s="246">
        <v>0.92</v>
      </c>
      <c r="AA14" s="244">
        <v>0.44000000000000006</v>
      </c>
      <c r="AB14" s="245">
        <v>0.55000000000000004</v>
      </c>
      <c r="AC14" s="245">
        <v>0.77</v>
      </c>
      <c r="AD14" s="246">
        <v>1</v>
      </c>
      <c r="AE14" s="244">
        <v>0.47000000000000003</v>
      </c>
      <c r="AF14" s="245">
        <v>0.55000000000000004</v>
      </c>
      <c r="AG14" s="245">
        <v>0.77</v>
      </c>
      <c r="AH14" s="246">
        <v>0.92</v>
      </c>
      <c r="AI14" s="244">
        <v>3.8900000000000006</v>
      </c>
      <c r="AJ14" s="245">
        <v>7</v>
      </c>
      <c r="AK14" s="245">
        <v>8</v>
      </c>
      <c r="AL14" s="246">
        <v>9.5</v>
      </c>
      <c r="AM14" s="244">
        <v>4.8099999999999987</v>
      </c>
      <c r="AN14" s="245">
        <v>7</v>
      </c>
      <c r="AO14" s="245">
        <v>8</v>
      </c>
      <c r="AP14" s="246">
        <v>9</v>
      </c>
      <c r="AQ14" s="244">
        <v>0.60499999999999998</v>
      </c>
      <c r="AR14" s="245">
        <v>1.1000000000000001</v>
      </c>
      <c r="AS14" s="245">
        <v>2.31</v>
      </c>
      <c r="AT14" s="245">
        <v>4.1549999999999994</v>
      </c>
      <c r="AU14" s="244">
        <v>0.77499999999999991</v>
      </c>
      <c r="AV14" s="245">
        <v>1.1000000000000001</v>
      </c>
      <c r="AW14" s="245">
        <v>2.31</v>
      </c>
      <c r="AX14" s="246">
        <v>3.53</v>
      </c>
      <c r="AY14" s="244">
        <v>1.1550000000000002</v>
      </c>
      <c r="AZ14" s="245">
        <v>2.4750000000000001</v>
      </c>
      <c r="BA14" s="245">
        <v>4.2350000000000003</v>
      </c>
      <c r="BB14" s="245">
        <v>6.6550000000000002</v>
      </c>
      <c r="BC14" s="244">
        <v>1.5650000000000008</v>
      </c>
      <c r="BD14" s="245">
        <v>2.4750000000000001</v>
      </c>
      <c r="BE14" s="245">
        <v>4.2350000000000003</v>
      </c>
      <c r="BF14" s="246">
        <v>5.830000000000001</v>
      </c>
      <c r="BG14" s="244">
        <f t="shared" si="3"/>
        <v>5.6500000000000012</v>
      </c>
      <c r="BH14" s="245">
        <f t="shared" si="1"/>
        <v>10.574999999999999</v>
      </c>
      <c r="BI14" s="245">
        <f t="shared" si="1"/>
        <v>14.545000000000002</v>
      </c>
      <c r="BJ14" s="245">
        <f t="shared" si="1"/>
        <v>20.309999999999999</v>
      </c>
      <c r="BK14" s="244">
        <f t="shared" si="1"/>
        <v>7.15</v>
      </c>
      <c r="BL14" s="245">
        <f t="shared" si="1"/>
        <v>10.574999999999999</v>
      </c>
      <c r="BM14" s="245">
        <f t="shared" si="1"/>
        <v>14.545000000000002</v>
      </c>
      <c r="BN14" s="245">
        <f t="shared" si="1"/>
        <v>18.36</v>
      </c>
      <c r="BO14" s="251">
        <f t="shared" si="4"/>
        <v>9.59</v>
      </c>
      <c r="BP14" s="278">
        <f t="shared" si="5"/>
        <v>15.698</v>
      </c>
      <c r="BQ14" s="251">
        <f t="shared" si="6"/>
        <v>9.8899999999999988</v>
      </c>
      <c r="BR14" s="279">
        <f t="shared" si="7"/>
        <v>15.308000000000002</v>
      </c>
      <c r="BS14" s="244">
        <f t="shared" si="8"/>
        <v>12.644</v>
      </c>
      <c r="BT14" s="246">
        <f t="shared" si="9"/>
        <v>12.599</v>
      </c>
      <c r="BU14" s="280">
        <f t="shared" si="10"/>
        <v>12.621500000000001</v>
      </c>
    </row>
    <row r="15" spans="1:86" ht="30" x14ac:dyDescent="0.25">
      <c r="A15" s="41" t="s">
        <v>7</v>
      </c>
      <c r="B15" s="41" t="s">
        <v>18</v>
      </c>
      <c r="C15" s="60" t="s">
        <v>31</v>
      </c>
      <c r="D15" s="91" t="s">
        <v>45</v>
      </c>
      <c r="E15" s="92" t="s">
        <v>44</v>
      </c>
      <c r="F15" s="92" t="s">
        <v>45</v>
      </c>
      <c r="G15" s="49">
        <f t="shared" si="0"/>
        <v>0.66</v>
      </c>
      <c r="H15" s="49">
        <f t="shared" si="0"/>
        <v>1</v>
      </c>
      <c r="I15" s="49">
        <f t="shared" si="0"/>
        <v>0.66</v>
      </c>
      <c r="J15" s="83">
        <f t="shared" si="2"/>
        <v>10.75</v>
      </c>
      <c r="K15" s="26">
        <v>0.44000000000000006</v>
      </c>
      <c r="L15">
        <v>0.55000000000000004</v>
      </c>
      <c r="M15">
        <v>0.77</v>
      </c>
      <c r="N15" s="27">
        <v>1</v>
      </c>
      <c r="O15" s="26">
        <v>0.47000000000000003</v>
      </c>
      <c r="P15">
        <v>0.55000000000000004</v>
      </c>
      <c r="Q15">
        <v>0.77</v>
      </c>
      <c r="R15" s="27">
        <v>0.92</v>
      </c>
      <c r="S15" s="26">
        <v>0.77</v>
      </c>
      <c r="T15">
        <v>1</v>
      </c>
      <c r="U15">
        <v>1</v>
      </c>
      <c r="V15" s="27">
        <v>1</v>
      </c>
      <c r="W15" s="26">
        <v>0.83</v>
      </c>
      <c r="X15">
        <v>1</v>
      </c>
      <c r="Y15" s="245">
        <v>1</v>
      </c>
      <c r="Z15" s="246">
        <v>1</v>
      </c>
      <c r="AA15" s="244">
        <v>0.44000000000000006</v>
      </c>
      <c r="AB15" s="245">
        <v>0.55000000000000004</v>
      </c>
      <c r="AC15" s="245">
        <v>0.77</v>
      </c>
      <c r="AD15" s="246">
        <v>1</v>
      </c>
      <c r="AE15" s="244">
        <v>0.47000000000000003</v>
      </c>
      <c r="AF15" s="245">
        <v>0.55000000000000004</v>
      </c>
      <c r="AG15" s="245">
        <v>0.77</v>
      </c>
      <c r="AH15" s="246">
        <v>0.92</v>
      </c>
      <c r="AI15" s="244">
        <v>2.2549999999999999</v>
      </c>
      <c r="AJ15" s="245">
        <v>3.8500000000000005</v>
      </c>
      <c r="AK15" s="245">
        <v>6.16</v>
      </c>
      <c r="AL15" s="246">
        <v>9.1550000000000011</v>
      </c>
      <c r="AM15" s="244">
        <v>2.7399999999999993</v>
      </c>
      <c r="AN15" s="245">
        <v>3.8500000000000005</v>
      </c>
      <c r="AO15" s="245">
        <v>6.16</v>
      </c>
      <c r="AP15" s="246">
        <v>8.129999999999999</v>
      </c>
      <c r="AQ15" s="244">
        <v>1.04</v>
      </c>
      <c r="AR15" s="245">
        <v>2</v>
      </c>
      <c r="AS15" s="245">
        <v>3</v>
      </c>
      <c r="AT15" s="245">
        <v>4.5</v>
      </c>
      <c r="AU15" s="244">
        <v>1.3599999999999999</v>
      </c>
      <c r="AV15" s="245">
        <v>2</v>
      </c>
      <c r="AW15" s="245">
        <v>3</v>
      </c>
      <c r="AX15" s="246">
        <v>4</v>
      </c>
      <c r="AY15" s="244">
        <v>1.1550000000000002</v>
      </c>
      <c r="AZ15" s="245">
        <v>2.4750000000000001</v>
      </c>
      <c r="BA15" s="245">
        <v>4.2350000000000003</v>
      </c>
      <c r="BB15" s="245">
        <v>6.6550000000000002</v>
      </c>
      <c r="BC15" s="244">
        <v>1.5650000000000008</v>
      </c>
      <c r="BD15" s="245">
        <v>2.4750000000000001</v>
      </c>
      <c r="BE15" s="245">
        <v>4.2350000000000003</v>
      </c>
      <c r="BF15" s="246">
        <v>5.830000000000001</v>
      </c>
      <c r="BG15" s="244">
        <f t="shared" si="3"/>
        <v>4.45</v>
      </c>
      <c r="BH15" s="245">
        <f t="shared" si="1"/>
        <v>8.3250000000000011</v>
      </c>
      <c r="BI15" s="245">
        <f t="shared" si="1"/>
        <v>13.395</v>
      </c>
      <c r="BJ15" s="245">
        <f t="shared" si="1"/>
        <v>20.310000000000002</v>
      </c>
      <c r="BK15" s="244">
        <f t="shared" si="1"/>
        <v>5.6650000000000009</v>
      </c>
      <c r="BL15" s="245">
        <f t="shared" si="1"/>
        <v>8.3250000000000011</v>
      </c>
      <c r="BM15" s="245">
        <f t="shared" si="1"/>
        <v>13.395</v>
      </c>
      <c r="BN15" s="245">
        <f t="shared" si="1"/>
        <v>17.96</v>
      </c>
      <c r="BO15" s="251">
        <f t="shared" si="4"/>
        <v>7.5500000000000007</v>
      </c>
      <c r="BP15" s="278">
        <f t="shared" si="5"/>
        <v>14.778</v>
      </c>
      <c r="BQ15" s="251">
        <f t="shared" si="6"/>
        <v>7.793000000000001</v>
      </c>
      <c r="BR15" s="279">
        <f t="shared" si="7"/>
        <v>14.308</v>
      </c>
      <c r="BS15" s="244">
        <f t="shared" si="8"/>
        <v>11.164000000000001</v>
      </c>
      <c r="BT15" s="246">
        <f t="shared" si="9"/>
        <v>11.0505</v>
      </c>
      <c r="BU15" s="280">
        <f t="shared" si="10"/>
        <v>11.107250000000001</v>
      </c>
    </row>
    <row r="16" spans="1:86" x14ac:dyDescent="0.25">
      <c r="A16" s="41" t="s">
        <v>8</v>
      </c>
      <c r="B16" s="41" t="s">
        <v>19</v>
      </c>
      <c r="C16" s="60" t="s">
        <v>32</v>
      </c>
      <c r="D16" s="91" t="s">
        <v>44</v>
      </c>
      <c r="E16" s="92" t="s">
        <v>45</v>
      </c>
      <c r="F16" s="92" t="s">
        <v>46</v>
      </c>
      <c r="G16" s="49">
        <f t="shared" si="0"/>
        <v>1</v>
      </c>
      <c r="H16" s="49">
        <f t="shared" si="0"/>
        <v>0.66</v>
      </c>
      <c r="I16" s="49">
        <f t="shared" si="0"/>
        <v>0.33</v>
      </c>
      <c r="J16" s="83">
        <f t="shared" si="2"/>
        <v>10.8</v>
      </c>
      <c r="K16" s="26">
        <v>0.77</v>
      </c>
      <c r="L16">
        <v>1</v>
      </c>
      <c r="M16">
        <v>1</v>
      </c>
      <c r="N16" s="27">
        <v>1</v>
      </c>
      <c r="O16" s="26">
        <v>0.83</v>
      </c>
      <c r="P16">
        <v>1</v>
      </c>
      <c r="Q16">
        <v>1</v>
      </c>
      <c r="R16" s="27">
        <v>1</v>
      </c>
      <c r="S16" s="26">
        <v>0.44000000000000006</v>
      </c>
      <c r="T16">
        <v>0.55000000000000004</v>
      </c>
      <c r="U16">
        <v>0.77</v>
      </c>
      <c r="V16" s="27">
        <v>1</v>
      </c>
      <c r="W16" s="26">
        <v>0.47000000000000003</v>
      </c>
      <c r="X16">
        <v>0.55000000000000004</v>
      </c>
      <c r="Y16" s="245">
        <v>0.77</v>
      </c>
      <c r="Z16" s="246">
        <v>0.92</v>
      </c>
      <c r="AA16" s="244">
        <v>0</v>
      </c>
      <c r="AB16" s="245">
        <v>0.22000000000000003</v>
      </c>
      <c r="AC16" s="245">
        <v>0.44</v>
      </c>
      <c r="AD16" s="246">
        <v>0.55000000000000004</v>
      </c>
      <c r="AE16" s="244">
        <v>0.06</v>
      </c>
      <c r="AF16" s="245">
        <v>0.22000000000000003</v>
      </c>
      <c r="AG16" s="245">
        <v>0.44</v>
      </c>
      <c r="AH16" s="246">
        <v>0.52</v>
      </c>
      <c r="AI16" s="244">
        <v>3.8900000000000006</v>
      </c>
      <c r="AJ16" s="245">
        <v>7</v>
      </c>
      <c r="AK16" s="245">
        <v>8</v>
      </c>
      <c r="AL16" s="246">
        <v>9.5</v>
      </c>
      <c r="AM16" s="244">
        <v>4.8099999999999987</v>
      </c>
      <c r="AN16" s="245">
        <v>7</v>
      </c>
      <c r="AO16" s="245">
        <v>8</v>
      </c>
      <c r="AP16" s="246">
        <v>9</v>
      </c>
      <c r="AQ16" s="244">
        <v>0.60499999999999998</v>
      </c>
      <c r="AR16" s="245">
        <v>1.1000000000000001</v>
      </c>
      <c r="AS16" s="245">
        <v>2.31</v>
      </c>
      <c r="AT16" s="245">
        <v>4.1549999999999994</v>
      </c>
      <c r="AU16" s="244">
        <v>0.77499999999999991</v>
      </c>
      <c r="AV16" s="245">
        <v>1.1000000000000001</v>
      </c>
      <c r="AW16" s="245">
        <v>2.31</v>
      </c>
      <c r="AX16" s="246">
        <v>3.53</v>
      </c>
      <c r="AY16" s="244">
        <v>0</v>
      </c>
      <c r="AZ16" s="245">
        <v>0.9900000000000001</v>
      </c>
      <c r="BA16" s="245">
        <v>2.42</v>
      </c>
      <c r="BB16" s="245">
        <v>3.6850000000000005</v>
      </c>
      <c r="BC16" s="244">
        <v>4.9999999999999933E-2</v>
      </c>
      <c r="BD16" s="245">
        <v>0.9900000000000001</v>
      </c>
      <c r="BE16" s="245">
        <v>2.42</v>
      </c>
      <c r="BF16" s="246">
        <v>3.3000000000000007</v>
      </c>
      <c r="BG16" s="244">
        <f t="shared" si="3"/>
        <v>4.495000000000001</v>
      </c>
      <c r="BH16" s="245">
        <f t="shared" si="1"/>
        <v>9.09</v>
      </c>
      <c r="BI16" s="245">
        <f t="shared" si="1"/>
        <v>12.73</v>
      </c>
      <c r="BJ16" s="245">
        <f t="shared" si="1"/>
        <v>17.34</v>
      </c>
      <c r="BK16" s="244">
        <f t="shared" si="1"/>
        <v>5.6349999999999989</v>
      </c>
      <c r="BL16" s="245">
        <f t="shared" si="1"/>
        <v>9.09</v>
      </c>
      <c r="BM16" s="245">
        <f t="shared" si="1"/>
        <v>12.73</v>
      </c>
      <c r="BN16" s="245">
        <f t="shared" si="1"/>
        <v>15.83</v>
      </c>
      <c r="BO16" s="251">
        <f t="shared" si="4"/>
        <v>8.1709999999999994</v>
      </c>
      <c r="BP16" s="278">
        <f t="shared" si="5"/>
        <v>13.652000000000001</v>
      </c>
      <c r="BQ16" s="251">
        <f t="shared" si="6"/>
        <v>8.3989999999999991</v>
      </c>
      <c r="BR16" s="279">
        <f t="shared" si="7"/>
        <v>13.350000000000001</v>
      </c>
      <c r="BS16" s="244">
        <f t="shared" si="8"/>
        <v>10.9115</v>
      </c>
      <c r="BT16" s="246">
        <f t="shared" si="9"/>
        <v>10.874500000000001</v>
      </c>
      <c r="BU16" s="280">
        <f t="shared" si="10"/>
        <v>10.893000000000001</v>
      </c>
    </row>
    <row r="17" spans="1:73" ht="30" x14ac:dyDescent="0.25">
      <c r="A17" s="41" t="s">
        <v>9</v>
      </c>
      <c r="B17" s="41" t="s">
        <v>20</v>
      </c>
      <c r="C17" s="60" t="s">
        <v>33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7">
        <v>1</v>
      </c>
      <c r="S17" s="26">
        <v>0.44000000000000006</v>
      </c>
      <c r="T17">
        <v>0.55000000000000004</v>
      </c>
      <c r="U17">
        <v>0.77</v>
      </c>
      <c r="V17" s="27">
        <v>1</v>
      </c>
      <c r="W17" s="26">
        <v>0.47000000000000003</v>
      </c>
      <c r="X17">
        <v>0.55000000000000004</v>
      </c>
      <c r="Y17" s="245">
        <v>0.77</v>
      </c>
      <c r="Z17" s="246">
        <v>0.92</v>
      </c>
      <c r="AA17" s="244">
        <v>0</v>
      </c>
      <c r="AB17" s="245">
        <v>0.22000000000000003</v>
      </c>
      <c r="AC17" s="245">
        <v>0.44</v>
      </c>
      <c r="AD17" s="246">
        <v>0.55000000000000004</v>
      </c>
      <c r="AE17" s="244">
        <v>0.06</v>
      </c>
      <c r="AF17" s="245">
        <v>0.22000000000000003</v>
      </c>
      <c r="AG17" s="245">
        <v>0.44</v>
      </c>
      <c r="AH17" s="246">
        <v>0.52</v>
      </c>
      <c r="AI17" s="244">
        <v>3.8900000000000006</v>
      </c>
      <c r="AJ17" s="245">
        <v>7</v>
      </c>
      <c r="AK17" s="245">
        <v>8</v>
      </c>
      <c r="AL17" s="246">
        <v>9.5</v>
      </c>
      <c r="AM17" s="244">
        <v>4.8099999999999987</v>
      </c>
      <c r="AN17" s="245">
        <v>7</v>
      </c>
      <c r="AO17" s="245">
        <v>8</v>
      </c>
      <c r="AP17" s="246">
        <v>9</v>
      </c>
      <c r="AQ17" s="244">
        <v>0.60499999999999998</v>
      </c>
      <c r="AR17" s="245">
        <v>1.1000000000000001</v>
      </c>
      <c r="AS17" s="245">
        <v>2.31</v>
      </c>
      <c r="AT17" s="245">
        <v>4.1549999999999994</v>
      </c>
      <c r="AU17" s="244">
        <v>0.77499999999999991</v>
      </c>
      <c r="AV17" s="245">
        <v>1.1000000000000001</v>
      </c>
      <c r="AW17" s="245">
        <v>2.31</v>
      </c>
      <c r="AX17" s="246">
        <v>3.53</v>
      </c>
      <c r="AY17" s="244">
        <v>0</v>
      </c>
      <c r="AZ17" s="245">
        <v>0.9900000000000001</v>
      </c>
      <c r="BA17" s="245">
        <v>2.42</v>
      </c>
      <c r="BB17" s="245">
        <v>3.6850000000000005</v>
      </c>
      <c r="BC17" s="244">
        <v>4.9999999999999933E-2</v>
      </c>
      <c r="BD17" s="245">
        <v>0.9900000000000001</v>
      </c>
      <c r="BE17" s="245">
        <v>2.42</v>
      </c>
      <c r="BF17" s="246">
        <v>3.3000000000000007</v>
      </c>
      <c r="BG17" s="244">
        <f t="shared" si="3"/>
        <v>4.495000000000001</v>
      </c>
      <c r="BH17" s="245">
        <f t="shared" si="1"/>
        <v>9.09</v>
      </c>
      <c r="BI17" s="245">
        <f t="shared" si="1"/>
        <v>12.73</v>
      </c>
      <c r="BJ17" s="245">
        <f t="shared" si="1"/>
        <v>17.34</v>
      </c>
      <c r="BK17" s="244">
        <f t="shared" si="1"/>
        <v>5.6349999999999989</v>
      </c>
      <c r="BL17" s="245">
        <f t="shared" si="1"/>
        <v>9.09</v>
      </c>
      <c r="BM17" s="245">
        <f t="shared" si="1"/>
        <v>12.73</v>
      </c>
      <c r="BN17" s="245">
        <f t="shared" si="1"/>
        <v>15.83</v>
      </c>
      <c r="BO17" s="251">
        <f t="shared" si="4"/>
        <v>8.1709999999999994</v>
      </c>
      <c r="BP17" s="278">
        <f t="shared" si="5"/>
        <v>13.652000000000001</v>
      </c>
      <c r="BQ17" s="251">
        <f t="shared" si="6"/>
        <v>8.3989999999999991</v>
      </c>
      <c r="BR17" s="279">
        <f t="shared" si="7"/>
        <v>13.350000000000001</v>
      </c>
      <c r="BS17" s="244">
        <f t="shared" si="8"/>
        <v>10.9115</v>
      </c>
      <c r="BT17" s="246">
        <f t="shared" si="9"/>
        <v>10.874500000000001</v>
      </c>
      <c r="BU17" s="280">
        <f t="shared" si="10"/>
        <v>10.893000000000001</v>
      </c>
    </row>
    <row r="18" spans="1:73" ht="30" x14ac:dyDescent="0.25">
      <c r="A18" s="41" t="s">
        <v>10</v>
      </c>
      <c r="B18" s="41" t="s">
        <v>21</v>
      </c>
      <c r="C18" s="60" t="s">
        <v>22</v>
      </c>
      <c r="D18" s="91" t="s">
        <v>45</v>
      </c>
      <c r="E18" s="92" t="s">
        <v>44</v>
      </c>
      <c r="F18" s="92" t="s">
        <v>44</v>
      </c>
      <c r="G18" s="49">
        <f t="shared" si="0"/>
        <v>0.66</v>
      </c>
      <c r="H18" s="49">
        <f t="shared" si="0"/>
        <v>1</v>
      </c>
      <c r="I18" s="49">
        <f t="shared" si="0"/>
        <v>1</v>
      </c>
      <c r="J18" s="83">
        <f t="shared" si="2"/>
        <v>12.45</v>
      </c>
      <c r="K18" s="26">
        <v>0.44000000000000006</v>
      </c>
      <c r="L18">
        <v>0.55000000000000004</v>
      </c>
      <c r="M18">
        <v>0.77</v>
      </c>
      <c r="N18" s="27">
        <v>1</v>
      </c>
      <c r="O18" s="26">
        <v>0.47000000000000003</v>
      </c>
      <c r="P18">
        <v>0.55000000000000004</v>
      </c>
      <c r="Q18">
        <v>0.77</v>
      </c>
      <c r="R18" s="27">
        <v>0.92</v>
      </c>
      <c r="S18" s="26">
        <v>0.77</v>
      </c>
      <c r="T18">
        <v>1</v>
      </c>
      <c r="U18">
        <v>1</v>
      </c>
      <c r="V18" s="27">
        <v>1</v>
      </c>
      <c r="W18" s="26">
        <v>0.83</v>
      </c>
      <c r="X18">
        <v>1</v>
      </c>
      <c r="Y18" s="245">
        <v>1</v>
      </c>
      <c r="Z18" s="246">
        <v>1</v>
      </c>
      <c r="AA18" s="244">
        <v>0.77</v>
      </c>
      <c r="AB18" s="245">
        <v>1</v>
      </c>
      <c r="AC18" s="245">
        <v>1</v>
      </c>
      <c r="AD18" s="246">
        <v>1</v>
      </c>
      <c r="AE18" s="244">
        <v>0.83</v>
      </c>
      <c r="AF18" s="245">
        <v>1</v>
      </c>
      <c r="AG18" s="245">
        <v>1</v>
      </c>
      <c r="AH18" s="246">
        <v>1</v>
      </c>
      <c r="AI18" s="244">
        <v>2.2549999999999999</v>
      </c>
      <c r="AJ18" s="245">
        <v>3.8500000000000005</v>
      </c>
      <c r="AK18" s="245">
        <v>6.16</v>
      </c>
      <c r="AL18" s="246">
        <v>9.1550000000000011</v>
      </c>
      <c r="AM18" s="244">
        <v>2.7399999999999993</v>
      </c>
      <c r="AN18" s="245">
        <v>3.8500000000000005</v>
      </c>
      <c r="AO18" s="245">
        <v>6.16</v>
      </c>
      <c r="AP18" s="246">
        <v>8.129999999999999</v>
      </c>
      <c r="AQ18" s="244">
        <v>1.04</v>
      </c>
      <c r="AR18" s="245">
        <v>2</v>
      </c>
      <c r="AS18" s="245">
        <v>3</v>
      </c>
      <c r="AT18" s="245">
        <v>4.5</v>
      </c>
      <c r="AU18" s="244">
        <v>1.3599999999999999</v>
      </c>
      <c r="AV18" s="245">
        <v>2</v>
      </c>
      <c r="AW18" s="245">
        <v>3</v>
      </c>
      <c r="AX18" s="246">
        <v>4</v>
      </c>
      <c r="AY18" s="244">
        <v>1.9649999999999999</v>
      </c>
      <c r="AZ18" s="245">
        <v>4.5</v>
      </c>
      <c r="BA18" s="245">
        <v>5.5</v>
      </c>
      <c r="BB18" s="245">
        <v>7</v>
      </c>
      <c r="BC18" s="244">
        <v>2.7349999999999994</v>
      </c>
      <c r="BD18" s="245">
        <v>4.5</v>
      </c>
      <c r="BE18" s="245">
        <v>5.5</v>
      </c>
      <c r="BF18" s="246">
        <v>6.5</v>
      </c>
      <c r="BG18" s="244">
        <f t="shared" si="3"/>
        <v>5.26</v>
      </c>
      <c r="BH18" s="245">
        <f t="shared" si="1"/>
        <v>10.350000000000001</v>
      </c>
      <c r="BI18" s="245">
        <f t="shared" si="1"/>
        <v>14.66</v>
      </c>
      <c r="BJ18" s="245">
        <f t="shared" si="1"/>
        <v>20.655000000000001</v>
      </c>
      <c r="BK18" s="244">
        <f t="shared" si="1"/>
        <v>6.8349999999999991</v>
      </c>
      <c r="BL18" s="245">
        <f t="shared" si="1"/>
        <v>10.350000000000001</v>
      </c>
      <c r="BM18" s="245">
        <f t="shared" si="1"/>
        <v>14.66</v>
      </c>
      <c r="BN18" s="245">
        <f t="shared" si="1"/>
        <v>18.63</v>
      </c>
      <c r="BO18" s="251">
        <f t="shared" si="4"/>
        <v>9.3320000000000007</v>
      </c>
      <c r="BP18" s="278">
        <f t="shared" si="5"/>
        <v>15.859000000000002</v>
      </c>
      <c r="BQ18" s="251">
        <f t="shared" si="6"/>
        <v>9.6470000000000002</v>
      </c>
      <c r="BR18" s="279">
        <f t="shared" si="7"/>
        <v>15.454000000000001</v>
      </c>
      <c r="BS18" s="244">
        <f t="shared" si="8"/>
        <v>12.595500000000001</v>
      </c>
      <c r="BT18" s="246">
        <f t="shared" si="9"/>
        <v>12.5505</v>
      </c>
      <c r="BU18" s="280">
        <f t="shared" si="10"/>
        <v>12.573</v>
      </c>
    </row>
    <row r="19" spans="1:73" ht="36.75" customHeight="1" x14ac:dyDescent="0.25">
      <c r="A19" s="41" t="s">
        <v>11</v>
      </c>
      <c r="B19" s="41" t="s">
        <v>23</v>
      </c>
      <c r="C19" s="60" t="s">
        <v>34</v>
      </c>
      <c r="D19" s="91" t="s">
        <v>45</v>
      </c>
      <c r="E19" s="92" t="s">
        <v>44</v>
      </c>
      <c r="F19" s="92" t="s">
        <v>45</v>
      </c>
      <c r="G19" s="49">
        <f t="shared" si="0"/>
        <v>0.66</v>
      </c>
      <c r="H19" s="49">
        <f t="shared" si="0"/>
        <v>1</v>
      </c>
      <c r="I19" s="49">
        <f t="shared" si="0"/>
        <v>0.66</v>
      </c>
      <c r="J19" s="83">
        <f t="shared" si="2"/>
        <v>10.75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>
        <v>0.55000000000000004</v>
      </c>
      <c r="Q19">
        <v>0.77</v>
      </c>
      <c r="R19" s="27">
        <v>0.92</v>
      </c>
      <c r="S19" s="26">
        <v>0.77</v>
      </c>
      <c r="T19">
        <v>1</v>
      </c>
      <c r="U19">
        <v>1</v>
      </c>
      <c r="V19" s="27">
        <v>1</v>
      </c>
      <c r="W19" s="26">
        <v>0.83</v>
      </c>
      <c r="X19">
        <v>1</v>
      </c>
      <c r="Y19" s="245">
        <v>1</v>
      </c>
      <c r="Z19" s="246">
        <v>1</v>
      </c>
      <c r="AA19" s="244">
        <v>0.44000000000000006</v>
      </c>
      <c r="AB19" s="245">
        <v>0.55000000000000004</v>
      </c>
      <c r="AC19" s="245">
        <v>0.77</v>
      </c>
      <c r="AD19" s="246">
        <v>1</v>
      </c>
      <c r="AE19" s="244">
        <v>0.47000000000000003</v>
      </c>
      <c r="AF19" s="245">
        <v>0.55000000000000004</v>
      </c>
      <c r="AG19" s="245">
        <v>0.77</v>
      </c>
      <c r="AH19" s="246">
        <v>0.92</v>
      </c>
      <c r="AI19" s="244">
        <v>2.2549999999999999</v>
      </c>
      <c r="AJ19" s="245">
        <v>3.8500000000000005</v>
      </c>
      <c r="AK19" s="245">
        <v>6.16</v>
      </c>
      <c r="AL19" s="246">
        <v>9.1550000000000011</v>
      </c>
      <c r="AM19" s="244">
        <v>2.7399999999999993</v>
      </c>
      <c r="AN19" s="245">
        <v>3.8500000000000005</v>
      </c>
      <c r="AO19" s="245">
        <v>6.16</v>
      </c>
      <c r="AP19" s="246">
        <v>8.129999999999999</v>
      </c>
      <c r="AQ19" s="244">
        <v>1.04</v>
      </c>
      <c r="AR19" s="245">
        <v>2</v>
      </c>
      <c r="AS19" s="245">
        <v>3</v>
      </c>
      <c r="AT19" s="245">
        <v>4.5</v>
      </c>
      <c r="AU19" s="244">
        <v>1.3599999999999999</v>
      </c>
      <c r="AV19" s="245">
        <v>2</v>
      </c>
      <c r="AW19" s="245">
        <v>3</v>
      </c>
      <c r="AX19" s="246">
        <v>4</v>
      </c>
      <c r="AY19" s="244">
        <v>1.1550000000000002</v>
      </c>
      <c r="AZ19" s="245">
        <v>2.4750000000000001</v>
      </c>
      <c r="BA19" s="245">
        <v>4.2350000000000003</v>
      </c>
      <c r="BB19" s="245">
        <v>6.6550000000000002</v>
      </c>
      <c r="BC19" s="244">
        <v>1.5650000000000008</v>
      </c>
      <c r="BD19" s="245">
        <v>2.4750000000000001</v>
      </c>
      <c r="BE19" s="245">
        <v>4.2350000000000003</v>
      </c>
      <c r="BF19" s="246">
        <v>5.830000000000001</v>
      </c>
      <c r="BG19" s="244">
        <f t="shared" si="3"/>
        <v>4.45</v>
      </c>
      <c r="BH19" s="245">
        <f t="shared" si="1"/>
        <v>8.3250000000000011</v>
      </c>
      <c r="BI19" s="245">
        <f t="shared" si="1"/>
        <v>13.395</v>
      </c>
      <c r="BJ19" s="245">
        <f t="shared" si="1"/>
        <v>20.310000000000002</v>
      </c>
      <c r="BK19" s="244">
        <f t="shared" si="1"/>
        <v>5.6650000000000009</v>
      </c>
      <c r="BL19" s="245">
        <f t="shared" si="1"/>
        <v>8.3250000000000011</v>
      </c>
      <c r="BM19" s="245">
        <f t="shared" si="1"/>
        <v>13.395</v>
      </c>
      <c r="BN19" s="245">
        <f t="shared" si="1"/>
        <v>17.96</v>
      </c>
      <c r="BO19" s="251">
        <f t="shared" si="4"/>
        <v>7.5500000000000007</v>
      </c>
      <c r="BP19" s="278">
        <f t="shared" si="5"/>
        <v>14.778</v>
      </c>
      <c r="BQ19" s="251">
        <f t="shared" si="6"/>
        <v>7.793000000000001</v>
      </c>
      <c r="BR19" s="279">
        <f t="shared" si="7"/>
        <v>14.308</v>
      </c>
      <c r="BS19" s="244">
        <f t="shared" si="8"/>
        <v>11.164000000000001</v>
      </c>
      <c r="BT19" s="246">
        <f t="shared" si="9"/>
        <v>11.0505</v>
      </c>
      <c r="BU19" s="280">
        <f t="shared" si="10"/>
        <v>11.107250000000001</v>
      </c>
    </row>
    <row r="20" spans="1:73" ht="30.75" thickBot="1" x14ac:dyDescent="0.3">
      <c r="A20" s="41" t="s">
        <v>12</v>
      </c>
      <c r="B20" s="41" t="s">
        <v>24</v>
      </c>
      <c r="C20" s="60" t="s">
        <v>35</v>
      </c>
      <c r="D20" s="93" t="s">
        <v>46</v>
      </c>
      <c r="E20" s="94" t="s">
        <v>44</v>
      </c>
      <c r="F20" s="94" t="s">
        <v>45</v>
      </c>
      <c r="G20" s="62">
        <f t="shared" si="0"/>
        <v>0.33</v>
      </c>
      <c r="H20" s="62">
        <f t="shared" si="0"/>
        <v>1</v>
      </c>
      <c r="I20" s="62">
        <f t="shared" si="0"/>
        <v>0.66</v>
      </c>
      <c r="J20" s="84">
        <f t="shared" si="2"/>
        <v>8.2750000000000004</v>
      </c>
      <c r="K20" s="30">
        <v>0</v>
      </c>
      <c r="L20" s="32">
        <v>0.22000000000000003</v>
      </c>
      <c r="M20" s="32">
        <v>0.44</v>
      </c>
      <c r="N20" s="33">
        <v>0.55000000000000004</v>
      </c>
      <c r="O20" s="30">
        <v>0.06</v>
      </c>
      <c r="P20" s="32">
        <v>0.22000000000000003</v>
      </c>
      <c r="Q20" s="32">
        <v>0.44</v>
      </c>
      <c r="R20" s="33">
        <v>0.52</v>
      </c>
      <c r="S20" s="30">
        <v>0.77</v>
      </c>
      <c r="T20" s="32">
        <v>1</v>
      </c>
      <c r="U20" s="32">
        <v>1</v>
      </c>
      <c r="V20" s="33">
        <v>1</v>
      </c>
      <c r="W20" s="30">
        <v>0.83</v>
      </c>
      <c r="X20" s="32">
        <v>1</v>
      </c>
      <c r="Y20" s="248">
        <v>1</v>
      </c>
      <c r="Z20" s="249">
        <v>1</v>
      </c>
      <c r="AA20" s="247">
        <v>0.44000000000000006</v>
      </c>
      <c r="AB20" s="248">
        <v>0.55000000000000004</v>
      </c>
      <c r="AC20" s="248">
        <v>0.77</v>
      </c>
      <c r="AD20" s="249">
        <v>1</v>
      </c>
      <c r="AE20" s="247">
        <v>0.47000000000000003</v>
      </c>
      <c r="AF20" s="248">
        <v>0.55000000000000004</v>
      </c>
      <c r="AG20" s="248">
        <v>0.77</v>
      </c>
      <c r="AH20" s="249">
        <v>0.92</v>
      </c>
      <c r="AI20" s="247">
        <v>0</v>
      </c>
      <c r="AJ20" s="248">
        <v>1.5400000000000003</v>
      </c>
      <c r="AK20" s="248">
        <v>3.52</v>
      </c>
      <c r="AL20" s="249">
        <v>5.0600000000000005</v>
      </c>
      <c r="AM20" s="247">
        <v>0.19999999999999996</v>
      </c>
      <c r="AN20" s="248">
        <v>1.5400000000000003</v>
      </c>
      <c r="AO20" s="248">
        <v>3.52</v>
      </c>
      <c r="AP20" s="249">
        <v>4.6000000000000014</v>
      </c>
      <c r="AQ20" s="247">
        <v>1.04</v>
      </c>
      <c r="AR20" s="248">
        <v>2</v>
      </c>
      <c r="AS20" s="248">
        <v>3</v>
      </c>
      <c r="AT20" s="248">
        <v>4.5</v>
      </c>
      <c r="AU20" s="247">
        <v>1.3599999999999999</v>
      </c>
      <c r="AV20" s="248">
        <v>2</v>
      </c>
      <c r="AW20" s="248">
        <v>3</v>
      </c>
      <c r="AX20" s="249">
        <v>4</v>
      </c>
      <c r="AY20" s="247">
        <v>1.1550000000000002</v>
      </c>
      <c r="AZ20" s="248">
        <v>2.4750000000000001</v>
      </c>
      <c r="BA20" s="248">
        <v>4.2350000000000003</v>
      </c>
      <c r="BB20" s="248">
        <v>6.6550000000000002</v>
      </c>
      <c r="BC20" s="247">
        <v>1.5650000000000008</v>
      </c>
      <c r="BD20" s="248">
        <v>2.4750000000000001</v>
      </c>
      <c r="BE20" s="248">
        <v>4.2350000000000003</v>
      </c>
      <c r="BF20" s="249">
        <v>5.830000000000001</v>
      </c>
      <c r="BG20" s="247">
        <f t="shared" si="3"/>
        <v>2.1950000000000003</v>
      </c>
      <c r="BH20" s="248">
        <f t="shared" si="1"/>
        <v>6.0150000000000006</v>
      </c>
      <c r="BI20" s="248">
        <f t="shared" si="1"/>
        <v>10.754999999999999</v>
      </c>
      <c r="BJ20" s="248">
        <f t="shared" si="1"/>
        <v>16.215</v>
      </c>
      <c r="BK20" s="247">
        <f t="shared" si="1"/>
        <v>3.1250000000000009</v>
      </c>
      <c r="BL20" s="248">
        <f t="shared" si="1"/>
        <v>6.0150000000000006</v>
      </c>
      <c r="BM20" s="248">
        <f t="shared" si="1"/>
        <v>10.754999999999999</v>
      </c>
      <c r="BN20" s="248">
        <f t="shared" si="1"/>
        <v>14.430000000000003</v>
      </c>
      <c r="BO20" s="252">
        <f t="shared" si="4"/>
        <v>5.2510000000000012</v>
      </c>
      <c r="BP20" s="281">
        <f t="shared" si="5"/>
        <v>11.846999999999998</v>
      </c>
      <c r="BQ20" s="252">
        <f t="shared" si="6"/>
        <v>5.4370000000000012</v>
      </c>
      <c r="BR20" s="282">
        <f t="shared" si="7"/>
        <v>11.489999999999998</v>
      </c>
      <c r="BS20" s="247">
        <f t="shared" si="8"/>
        <v>8.5489999999999995</v>
      </c>
      <c r="BT20" s="249">
        <f t="shared" si="9"/>
        <v>8.4634999999999998</v>
      </c>
      <c r="BU20" s="283">
        <f t="shared" si="10"/>
        <v>8.5062499999999996</v>
      </c>
    </row>
    <row r="21" spans="1:73" x14ac:dyDescent="0.25">
      <c r="BF21" s="284"/>
      <c r="BG21" s="285"/>
      <c r="BH21" s="285"/>
      <c r="BI21" s="285"/>
      <c r="BJ21" s="285"/>
      <c r="BK21" s="285"/>
    </row>
    <row r="22" spans="1:73" x14ac:dyDescent="0.25">
      <c r="A22" s="1" t="s">
        <v>119</v>
      </c>
      <c r="B22" s="1"/>
    </row>
    <row r="23" spans="1:73" ht="15.75" thickBot="1" x14ac:dyDescent="0.3">
      <c r="A23" s="46" t="s">
        <v>43</v>
      </c>
      <c r="B23" s="47" t="s">
        <v>55</v>
      </c>
      <c r="E23" s="51" t="s">
        <v>3</v>
      </c>
      <c r="I23" t="s">
        <v>4</v>
      </c>
    </row>
    <row r="24" spans="1:73" x14ac:dyDescent="0.25">
      <c r="A24" s="45" t="s">
        <v>47</v>
      </c>
      <c r="B24" s="2">
        <v>0</v>
      </c>
      <c r="C24" s="18">
        <v>0</v>
      </c>
      <c r="D24" s="19" t="s">
        <v>47</v>
      </c>
      <c r="E24" s="20">
        <v>0</v>
      </c>
      <c r="F24" s="21">
        <f>C24</f>
        <v>0</v>
      </c>
      <c r="G24" s="22">
        <v>0</v>
      </c>
      <c r="H24" s="23">
        <v>0.22</v>
      </c>
      <c r="I24" s="24">
        <v>0</v>
      </c>
      <c r="J24" s="22">
        <f>F24</f>
        <v>0</v>
      </c>
      <c r="K24" s="22">
        <f>G24</f>
        <v>0</v>
      </c>
      <c r="L24" s="25">
        <v>0.15</v>
      </c>
    </row>
    <row r="25" spans="1:73" x14ac:dyDescent="0.25">
      <c r="A25" s="45" t="s">
        <v>46</v>
      </c>
      <c r="B25" s="2">
        <v>0.33</v>
      </c>
      <c r="C25" s="18">
        <v>0.33</v>
      </c>
      <c r="D25" s="19" t="s">
        <v>46</v>
      </c>
      <c r="E25" s="26">
        <v>0</v>
      </c>
      <c r="F25" s="50">
        <f>C25-0.11</f>
        <v>0.22000000000000003</v>
      </c>
      <c r="G25">
        <f>C25+0.11</f>
        <v>0.44</v>
      </c>
      <c r="H25" s="27">
        <f t="shared" ref="H25" si="11">G25+0.11</f>
        <v>0.55000000000000004</v>
      </c>
      <c r="I25" s="28">
        <v>0.06</v>
      </c>
      <c r="J25">
        <f t="shared" ref="J25:K27" si="12">F25</f>
        <v>0.22000000000000003</v>
      </c>
      <c r="K25">
        <f t="shared" si="12"/>
        <v>0.44</v>
      </c>
      <c r="L25" s="29">
        <f t="shared" ref="L25" si="13">K25+0.08</f>
        <v>0.52</v>
      </c>
    </row>
    <row r="26" spans="1:73" x14ac:dyDescent="0.25">
      <c r="A26" s="45" t="s">
        <v>45</v>
      </c>
      <c r="B26" s="2">
        <v>0.66</v>
      </c>
      <c r="C26" s="18">
        <v>0.66</v>
      </c>
      <c r="D26" s="19" t="s">
        <v>45</v>
      </c>
      <c r="E26" s="26">
        <f t="shared" ref="E26" si="14">F26-0.11</f>
        <v>0.44000000000000006</v>
      </c>
      <c r="F26" s="50">
        <f t="shared" ref="F26" si="15">C26-0.11</f>
        <v>0.55000000000000004</v>
      </c>
      <c r="G26">
        <f t="shared" ref="G26" si="16">C26+0.11</f>
        <v>0.77</v>
      </c>
      <c r="H26" s="27">
        <v>1</v>
      </c>
      <c r="I26" s="28">
        <f t="shared" ref="I26" si="17">J26-0.08</f>
        <v>0.47000000000000003</v>
      </c>
      <c r="J26">
        <f t="shared" si="12"/>
        <v>0.55000000000000004</v>
      </c>
      <c r="K26">
        <f t="shared" si="12"/>
        <v>0.77</v>
      </c>
      <c r="L26" s="29">
        <v>0.92</v>
      </c>
    </row>
    <row r="27" spans="1:73" ht="15.75" thickBot="1" x14ac:dyDescent="0.3">
      <c r="A27" s="45" t="s">
        <v>44</v>
      </c>
      <c r="B27" s="2">
        <v>1</v>
      </c>
      <c r="C27" s="18">
        <v>1</v>
      </c>
      <c r="D27" s="19" t="s">
        <v>44</v>
      </c>
      <c r="E27" s="30">
        <v>0.77</v>
      </c>
      <c r="F27" s="31">
        <v>1</v>
      </c>
      <c r="G27" s="32">
        <v>1</v>
      </c>
      <c r="H27" s="33">
        <v>1</v>
      </c>
      <c r="I27" s="34">
        <v>0.83</v>
      </c>
      <c r="J27" s="32">
        <f t="shared" si="12"/>
        <v>1</v>
      </c>
      <c r="K27" s="32">
        <f t="shared" si="12"/>
        <v>1</v>
      </c>
      <c r="L27" s="35">
        <v>1</v>
      </c>
    </row>
    <row r="28" spans="1:73" x14ac:dyDescent="0.25">
      <c r="A28" s="38"/>
    </row>
    <row r="29" spans="1:73" x14ac:dyDescent="0.25">
      <c r="A29" s="1" t="s">
        <v>121</v>
      </c>
    </row>
    <row r="30" spans="1:73" ht="15.75" thickBot="1" x14ac:dyDescent="0.3">
      <c r="A30" s="46" t="s">
        <v>43</v>
      </c>
      <c r="B30" s="47" t="s">
        <v>56</v>
      </c>
      <c r="E30" s="51" t="s">
        <v>3</v>
      </c>
      <c r="I30" t="s">
        <v>4</v>
      </c>
    </row>
    <row r="31" spans="1:73" x14ac:dyDescent="0.25">
      <c r="A31" s="45" t="s">
        <v>47</v>
      </c>
      <c r="B31" s="2">
        <v>1</v>
      </c>
      <c r="C31" s="18">
        <v>1</v>
      </c>
      <c r="D31" s="19" t="s">
        <v>47</v>
      </c>
      <c r="E31" s="20">
        <v>0</v>
      </c>
      <c r="F31" s="21">
        <v>0.5</v>
      </c>
      <c r="G31" s="22">
        <v>1.5</v>
      </c>
      <c r="H31" s="23">
        <v>2</v>
      </c>
      <c r="I31" s="24">
        <v>0</v>
      </c>
      <c r="J31" s="22">
        <f>F31</f>
        <v>0.5</v>
      </c>
      <c r="K31" s="22">
        <f>G31</f>
        <v>1.5</v>
      </c>
      <c r="L31" s="25">
        <v>1.8</v>
      </c>
    </row>
    <row r="32" spans="1:73" x14ac:dyDescent="0.25">
      <c r="A32" s="45" t="s">
        <v>46</v>
      </c>
      <c r="B32" s="2">
        <v>2.5</v>
      </c>
      <c r="C32" s="18">
        <v>2.5</v>
      </c>
      <c r="D32" s="19" t="s">
        <v>46</v>
      </c>
      <c r="E32" s="26">
        <v>1.5</v>
      </c>
      <c r="F32" s="50">
        <f>C32-0.5</f>
        <v>2</v>
      </c>
      <c r="G32">
        <f>C32+0.5</f>
        <v>3</v>
      </c>
      <c r="H32" s="27">
        <f t="shared" ref="H32:H34" si="18">G32+1.5</f>
        <v>4.5</v>
      </c>
      <c r="I32" s="28">
        <v>1.7</v>
      </c>
      <c r="J32">
        <f t="shared" ref="J32:K34" si="19">F32</f>
        <v>2</v>
      </c>
      <c r="K32">
        <f t="shared" si="19"/>
        <v>3</v>
      </c>
      <c r="L32" s="29">
        <f t="shared" ref="L32:L34" si="20">K32+1</f>
        <v>4</v>
      </c>
    </row>
    <row r="33" spans="1:12" x14ac:dyDescent="0.25">
      <c r="A33" s="45" t="s">
        <v>45</v>
      </c>
      <c r="B33" s="2">
        <v>5</v>
      </c>
      <c r="C33" s="18">
        <v>5</v>
      </c>
      <c r="D33" s="19" t="s">
        <v>45</v>
      </c>
      <c r="E33" s="26">
        <f t="shared" ref="E33:E34" si="21">F33-1.5</f>
        <v>3</v>
      </c>
      <c r="F33" s="50">
        <f>C33-0.5</f>
        <v>4.5</v>
      </c>
      <c r="G33">
        <f>C33+0.5</f>
        <v>5.5</v>
      </c>
      <c r="H33" s="27">
        <f t="shared" si="18"/>
        <v>7</v>
      </c>
      <c r="I33" s="28">
        <f t="shared" ref="I33:I34" si="22">J33-1</f>
        <v>3.5</v>
      </c>
      <c r="J33">
        <f t="shared" si="19"/>
        <v>4.5</v>
      </c>
      <c r="K33">
        <f t="shared" si="19"/>
        <v>5.5</v>
      </c>
      <c r="L33" s="29">
        <f t="shared" si="20"/>
        <v>6.5</v>
      </c>
    </row>
    <row r="34" spans="1:12" ht="15.75" thickBot="1" x14ac:dyDescent="0.3">
      <c r="A34" s="45" t="s">
        <v>44</v>
      </c>
      <c r="B34" s="2">
        <v>7.5</v>
      </c>
      <c r="C34" s="18">
        <v>7.5</v>
      </c>
      <c r="D34" s="19" t="s">
        <v>44</v>
      </c>
      <c r="E34" s="30">
        <f t="shared" si="21"/>
        <v>5.5</v>
      </c>
      <c r="F34" s="31">
        <f>C34-0.5</f>
        <v>7</v>
      </c>
      <c r="G34" s="32">
        <f>C34+0.5</f>
        <v>8</v>
      </c>
      <c r="H34" s="33">
        <f t="shared" si="18"/>
        <v>9.5</v>
      </c>
      <c r="I34" s="34">
        <f t="shared" si="22"/>
        <v>6</v>
      </c>
      <c r="J34" s="32">
        <f t="shared" si="19"/>
        <v>7</v>
      </c>
      <c r="K34" s="32">
        <f t="shared" si="19"/>
        <v>8</v>
      </c>
      <c r="L34" s="35">
        <f t="shared" si="20"/>
        <v>9</v>
      </c>
    </row>
    <row r="36" spans="1:12" ht="15.75" thickBot="1" x14ac:dyDescent="0.3">
      <c r="A36" s="1" t="s">
        <v>122</v>
      </c>
    </row>
    <row r="37" spans="1:12" ht="67.5" customHeight="1" thickBot="1" x14ac:dyDescent="0.3">
      <c r="A37" s="53" t="s">
        <v>53</v>
      </c>
      <c r="B37" s="52" t="s">
        <v>39</v>
      </c>
      <c r="C37" s="54" t="s">
        <v>48</v>
      </c>
      <c r="D37" s="55" t="s">
        <v>120</v>
      </c>
      <c r="E37" s="217" t="s">
        <v>57</v>
      </c>
      <c r="F37" s="218"/>
      <c r="G37" s="218"/>
      <c r="H37" s="218"/>
      <c r="I37" s="218"/>
      <c r="J37" s="218"/>
      <c r="K37" s="218"/>
      <c r="L37" s="219"/>
    </row>
    <row r="38" spans="1:12" x14ac:dyDescent="0.25">
      <c r="A38" s="64" t="s">
        <v>50</v>
      </c>
      <c r="B38" s="56" t="s">
        <v>40</v>
      </c>
      <c r="C38" s="57" t="s">
        <v>44</v>
      </c>
      <c r="D38" s="88">
        <v>7.5</v>
      </c>
      <c r="E38" s="26">
        <v>5.5</v>
      </c>
      <c r="F38" s="50">
        <v>7</v>
      </c>
      <c r="G38">
        <v>8</v>
      </c>
      <c r="H38" s="27">
        <v>9.5</v>
      </c>
      <c r="I38" s="28">
        <v>6</v>
      </c>
      <c r="J38">
        <v>7</v>
      </c>
      <c r="K38">
        <v>8</v>
      </c>
      <c r="L38" s="29">
        <v>9</v>
      </c>
    </row>
    <row r="39" spans="1:12" x14ac:dyDescent="0.25">
      <c r="A39" s="65" t="s">
        <v>51</v>
      </c>
      <c r="B39" s="43" t="s">
        <v>41</v>
      </c>
      <c r="C39" s="2" t="s">
        <v>46</v>
      </c>
      <c r="D39" s="89">
        <v>2.5</v>
      </c>
      <c r="E39" s="26">
        <v>1.5</v>
      </c>
      <c r="F39" s="50">
        <v>2</v>
      </c>
      <c r="G39">
        <v>3</v>
      </c>
      <c r="H39" s="27">
        <v>4.5</v>
      </c>
      <c r="I39" s="28">
        <v>1.7</v>
      </c>
      <c r="J39">
        <v>2</v>
      </c>
      <c r="K39">
        <v>3</v>
      </c>
      <c r="L39" s="29">
        <v>4</v>
      </c>
    </row>
    <row r="40" spans="1:12" ht="15.75" thickBot="1" x14ac:dyDescent="0.3">
      <c r="A40" s="66" t="s">
        <v>52</v>
      </c>
      <c r="B40" s="58" t="s">
        <v>42</v>
      </c>
      <c r="C40" s="59" t="s">
        <v>45</v>
      </c>
      <c r="D40" s="90">
        <v>5</v>
      </c>
      <c r="E40" s="30">
        <v>3</v>
      </c>
      <c r="F40" s="31">
        <v>4.5</v>
      </c>
      <c r="G40" s="32">
        <v>5.5</v>
      </c>
      <c r="H40" s="33">
        <v>7</v>
      </c>
      <c r="I40" s="34">
        <v>3.5</v>
      </c>
      <c r="J40" s="32">
        <v>4.5</v>
      </c>
      <c r="K40" s="32">
        <v>5.5</v>
      </c>
      <c r="L40" s="35">
        <v>6.5</v>
      </c>
    </row>
    <row r="42" spans="1:12" ht="15.75" thickBot="1" x14ac:dyDescent="0.3">
      <c r="A42" s="1" t="s">
        <v>123</v>
      </c>
    </row>
    <row r="43" spans="1:12" ht="30.75" thickBot="1" x14ac:dyDescent="0.3">
      <c r="A43" s="67" t="s">
        <v>63</v>
      </c>
      <c r="B43" s="68" t="s">
        <v>64</v>
      </c>
      <c r="E43" s="217" t="s">
        <v>65</v>
      </c>
      <c r="F43" s="218"/>
      <c r="G43" s="218"/>
      <c r="H43" s="218"/>
      <c r="I43" s="218"/>
      <c r="J43" s="218"/>
      <c r="K43" s="218"/>
      <c r="L43" s="219"/>
    </row>
    <row r="44" spans="1:12" x14ac:dyDescent="0.25">
      <c r="A44" s="64" t="s">
        <v>60</v>
      </c>
      <c r="B44" s="69" t="s">
        <v>47</v>
      </c>
      <c r="D44" s="72" t="s">
        <v>69</v>
      </c>
      <c r="E44" s="241">
        <f>E24*F$38+E$38*F24-F24*F$38</f>
        <v>0</v>
      </c>
      <c r="F44" s="242">
        <f>F24*F$38</f>
        <v>0</v>
      </c>
      <c r="G44" s="242">
        <f>G24*G$38</f>
        <v>0</v>
      </c>
      <c r="H44" s="243">
        <f>G24*H$38+G$38*H24-G24*G$38</f>
        <v>1.76</v>
      </c>
      <c r="I44" s="241">
        <f>I24*J$38+I$38*J24-J24*J$38</f>
        <v>0</v>
      </c>
      <c r="J44" s="242">
        <f>J24*J$38</f>
        <v>0</v>
      </c>
      <c r="K44" s="242">
        <f>K24*K$38</f>
        <v>0</v>
      </c>
      <c r="L44" s="243">
        <f>K24*L$38+K$38*L24-K24*K$38</f>
        <v>1.2</v>
      </c>
    </row>
    <row r="45" spans="1:12" x14ac:dyDescent="0.25">
      <c r="A45" s="65" t="s">
        <v>60</v>
      </c>
      <c r="B45" s="70" t="s">
        <v>46</v>
      </c>
      <c r="D45" s="73" t="s">
        <v>68</v>
      </c>
      <c r="E45" s="244">
        <f>IF(E25*F$38+E$38*F25-F25*F$38&lt;0,0,E25*F$38+E$38*F25-F25*F$38)</f>
        <v>0</v>
      </c>
      <c r="F45" s="245">
        <f t="shared" ref="F45:G47" si="23">F25*F$38</f>
        <v>1.5400000000000003</v>
      </c>
      <c r="G45" s="245">
        <f t="shared" si="23"/>
        <v>3.52</v>
      </c>
      <c r="H45" s="246">
        <f t="shared" ref="H45:H47" si="24">G25*H$38+G$38*H25-G25*G$38</f>
        <v>5.0600000000000005</v>
      </c>
      <c r="I45" s="244">
        <f t="shared" ref="I45:I47" si="25">I25*J$38+I$38*J25-J25*J$38</f>
        <v>0.19999999999999996</v>
      </c>
      <c r="J45" s="245">
        <f t="shared" ref="J45:K47" si="26">J25*J$38</f>
        <v>1.5400000000000003</v>
      </c>
      <c r="K45" s="245">
        <f t="shared" si="26"/>
        <v>3.52</v>
      </c>
      <c r="L45" s="246">
        <f t="shared" ref="L45:L47" si="27">K25*L$38+K$38*L25-K25*K$38</f>
        <v>4.6000000000000014</v>
      </c>
    </row>
    <row r="46" spans="1:12" x14ac:dyDescent="0.25">
      <c r="A46" s="65" t="s">
        <v>60</v>
      </c>
      <c r="B46" s="70" t="s">
        <v>45</v>
      </c>
      <c r="D46" s="73" t="s">
        <v>67</v>
      </c>
      <c r="E46" s="244">
        <f t="shared" ref="E46:E47" si="28">E26*F$38+E$38*F26-F26*F$38</f>
        <v>2.2549999999999999</v>
      </c>
      <c r="F46" s="245">
        <f t="shared" si="23"/>
        <v>3.8500000000000005</v>
      </c>
      <c r="G46" s="245">
        <f t="shared" si="23"/>
        <v>6.16</v>
      </c>
      <c r="H46" s="246">
        <f t="shared" si="24"/>
        <v>9.1550000000000011</v>
      </c>
      <c r="I46" s="244">
        <f t="shared" si="25"/>
        <v>2.7399999999999993</v>
      </c>
      <c r="J46" s="245">
        <f t="shared" si="26"/>
        <v>3.8500000000000005</v>
      </c>
      <c r="K46" s="245">
        <f t="shared" si="26"/>
        <v>6.16</v>
      </c>
      <c r="L46" s="246">
        <f t="shared" si="27"/>
        <v>8.129999999999999</v>
      </c>
    </row>
    <row r="47" spans="1:12" ht="15.75" thickBot="1" x14ac:dyDescent="0.3">
      <c r="A47" s="66" t="s">
        <v>60</v>
      </c>
      <c r="B47" s="71" t="s">
        <v>44</v>
      </c>
      <c r="D47" s="74" t="s">
        <v>66</v>
      </c>
      <c r="E47" s="247">
        <f t="shared" si="28"/>
        <v>3.8900000000000006</v>
      </c>
      <c r="F47" s="248">
        <f t="shared" si="23"/>
        <v>7</v>
      </c>
      <c r="G47" s="248">
        <f t="shared" si="23"/>
        <v>8</v>
      </c>
      <c r="H47" s="249">
        <f t="shared" si="24"/>
        <v>9.5</v>
      </c>
      <c r="I47" s="247">
        <f t="shared" si="25"/>
        <v>4.8099999999999987</v>
      </c>
      <c r="J47" s="248">
        <f t="shared" si="26"/>
        <v>7</v>
      </c>
      <c r="K47" s="248">
        <f t="shared" si="26"/>
        <v>8</v>
      </c>
      <c r="L47" s="249">
        <f t="shared" si="27"/>
        <v>9</v>
      </c>
    </row>
    <row r="48" spans="1:12" x14ac:dyDescent="0.25">
      <c r="A48" s="64" t="s">
        <v>61</v>
      </c>
      <c r="B48" s="69" t="s">
        <v>47</v>
      </c>
      <c r="D48" s="72" t="s">
        <v>70</v>
      </c>
      <c r="E48" s="241">
        <f>E24*F$39+E$39*F24-F24*F$39</f>
        <v>0</v>
      </c>
      <c r="F48" s="242">
        <f>F24*F$39</f>
        <v>0</v>
      </c>
      <c r="G48" s="242">
        <f>G24*G$39</f>
        <v>0</v>
      </c>
      <c r="H48" s="243">
        <f>G24*H$39+G$39*H24-G24*G$39</f>
        <v>0.66</v>
      </c>
      <c r="I48" s="241">
        <f>I24*J$39+I$39*J24-J24*J$39</f>
        <v>0</v>
      </c>
      <c r="J48" s="242">
        <f>J24*J$39</f>
        <v>0</v>
      </c>
      <c r="K48" s="242">
        <f>K24*K$39</f>
        <v>0</v>
      </c>
      <c r="L48" s="243">
        <f>K24*L$39+K$39*L24-K24*K$39</f>
        <v>0.44999999999999996</v>
      </c>
    </row>
    <row r="49" spans="1:86" x14ac:dyDescent="0.25">
      <c r="A49" s="65" t="s">
        <v>61</v>
      </c>
      <c r="B49" s="70" t="s">
        <v>46</v>
      </c>
      <c r="D49" s="73" t="s">
        <v>75</v>
      </c>
      <c r="E49" s="244">
        <f>IF(E25*F$39+E$39*F25-F25*F$39&lt;0,0,E25*F$39+E$39*F25-F25*F$39)</f>
        <v>0</v>
      </c>
      <c r="F49" s="245">
        <f t="shared" ref="F49:G51" si="29">F25*F$39</f>
        <v>0.44000000000000006</v>
      </c>
      <c r="G49" s="245">
        <f t="shared" si="29"/>
        <v>1.32</v>
      </c>
      <c r="H49" s="246">
        <f t="shared" ref="H49:H51" si="30">G25*H$39+G$39*H25-G25*G$39</f>
        <v>2.3099999999999996</v>
      </c>
      <c r="I49" s="244">
        <f t="shared" ref="I49:I51" si="31">I25*J$39+I$39*J25-J25*J$39</f>
        <v>5.3999999999999992E-2</v>
      </c>
      <c r="J49" s="245">
        <f t="shared" ref="J49:K51" si="32">J25*J$39</f>
        <v>0.44000000000000006</v>
      </c>
      <c r="K49" s="245">
        <f t="shared" si="32"/>
        <v>1.32</v>
      </c>
      <c r="L49" s="246">
        <f t="shared" ref="L49:L51" si="33">K25*L$39+K$39*L25-K25*K$39</f>
        <v>2</v>
      </c>
    </row>
    <row r="50" spans="1:86" x14ac:dyDescent="0.25">
      <c r="A50" s="65" t="s">
        <v>61</v>
      </c>
      <c r="B50" s="70" t="s">
        <v>45</v>
      </c>
      <c r="D50" s="73" t="s">
        <v>76</v>
      </c>
      <c r="E50" s="244">
        <f t="shared" ref="E50:E51" si="34">E26*F$39+E$39*F26-F26*F$39</f>
        <v>0.60499999999999998</v>
      </c>
      <c r="F50" s="245">
        <f t="shared" si="29"/>
        <v>1.1000000000000001</v>
      </c>
      <c r="G50" s="245">
        <f t="shared" si="29"/>
        <v>2.31</v>
      </c>
      <c r="H50" s="246">
        <f t="shared" si="30"/>
        <v>4.1549999999999994</v>
      </c>
      <c r="I50" s="244">
        <f t="shared" si="31"/>
        <v>0.77499999999999991</v>
      </c>
      <c r="J50" s="245">
        <f t="shared" si="32"/>
        <v>1.1000000000000001</v>
      </c>
      <c r="K50" s="245">
        <f t="shared" si="32"/>
        <v>2.31</v>
      </c>
      <c r="L50" s="246">
        <f t="shared" si="33"/>
        <v>3.53</v>
      </c>
    </row>
    <row r="51" spans="1:86" ht="15.75" thickBot="1" x14ac:dyDescent="0.3">
      <c r="A51" s="66" t="s">
        <v>61</v>
      </c>
      <c r="B51" s="71" t="s">
        <v>44</v>
      </c>
      <c r="D51" s="74" t="s">
        <v>77</v>
      </c>
      <c r="E51" s="247">
        <f t="shared" si="34"/>
        <v>1.04</v>
      </c>
      <c r="F51" s="248">
        <f t="shared" si="29"/>
        <v>2</v>
      </c>
      <c r="G51" s="248">
        <f t="shared" si="29"/>
        <v>3</v>
      </c>
      <c r="H51" s="249">
        <f t="shared" si="30"/>
        <v>4.5</v>
      </c>
      <c r="I51" s="247">
        <f t="shared" si="31"/>
        <v>1.3599999999999999</v>
      </c>
      <c r="J51" s="248">
        <f t="shared" si="32"/>
        <v>2</v>
      </c>
      <c r="K51" s="248">
        <f t="shared" si="32"/>
        <v>3</v>
      </c>
      <c r="L51" s="249">
        <f t="shared" si="33"/>
        <v>4</v>
      </c>
    </row>
    <row r="52" spans="1:86" x14ac:dyDescent="0.25">
      <c r="A52" s="64" t="s">
        <v>62</v>
      </c>
      <c r="B52" s="69" t="s">
        <v>47</v>
      </c>
      <c r="D52" s="72" t="s">
        <v>72</v>
      </c>
      <c r="E52" s="244">
        <f>E24*F$40+E$40*F24-F24*F$40</f>
        <v>0</v>
      </c>
      <c r="F52" s="245">
        <f>F24*F$40</f>
        <v>0</v>
      </c>
      <c r="G52" s="245">
        <f>G24*G$40</f>
        <v>0</v>
      </c>
      <c r="H52" s="246">
        <f>G24*H$40+G$40*H24-G24*G$40</f>
        <v>1.21</v>
      </c>
      <c r="I52" s="244">
        <f>I24*J$40+I$40*J24-J24*J$40</f>
        <v>0</v>
      </c>
      <c r="J52" s="245">
        <f>J24*J$40</f>
        <v>0</v>
      </c>
      <c r="K52" s="245">
        <f>K24*K$40</f>
        <v>0</v>
      </c>
      <c r="L52" s="246">
        <f>K24*L$40+K$40*L24-K24*K$40</f>
        <v>0.82499999999999996</v>
      </c>
    </row>
    <row r="53" spans="1:86" x14ac:dyDescent="0.25">
      <c r="A53" s="65" t="s">
        <v>62</v>
      </c>
      <c r="B53" s="70" t="s">
        <v>46</v>
      </c>
      <c r="D53" s="73" t="s">
        <v>71</v>
      </c>
      <c r="E53" s="244">
        <f>IF(E25*F$40+E$40*F25-F25*F$40&lt;0,0,E25*F$40+E$40*F25-F25*F$40)</f>
        <v>0</v>
      </c>
      <c r="F53" s="245">
        <f t="shared" ref="F53:G55" si="35">F25*F$40</f>
        <v>0.9900000000000001</v>
      </c>
      <c r="G53" s="245">
        <f t="shared" si="35"/>
        <v>2.42</v>
      </c>
      <c r="H53" s="246">
        <f t="shared" ref="H53:H55" si="36">G25*H$40+G$40*H25-G25*G$40</f>
        <v>3.6850000000000005</v>
      </c>
      <c r="I53" s="244">
        <f t="shared" ref="I53:I55" si="37">I25*J$40+I$40*J25-J25*J$40</f>
        <v>4.9999999999999933E-2</v>
      </c>
      <c r="J53" s="245">
        <f t="shared" ref="J53:K55" si="38">J25*J$40</f>
        <v>0.9900000000000001</v>
      </c>
      <c r="K53" s="245">
        <f t="shared" si="38"/>
        <v>2.42</v>
      </c>
      <c r="L53" s="246">
        <f t="shared" ref="L53:L55" si="39">K25*L$40+K$40*L25-K25*K$40</f>
        <v>3.3000000000000007</v>
      </c>
    </row>
    <row r="54" spans="1:86" x14ac:dyDescent="0.25">
      <c r="A54" s="65" t="s">
        <v>62</v>
      </c>
      <c r="B54" s="70" t="s">
        <v>45</v>
      </c>
      <c r="D54" s="73" t="s">
        <v>73</v>
      </c>
      <c r="E54" s="244">
        <f t="shared" ref="E54:E55" si="40">E26*F$40+E$40*F26-F26*F$40</f>
        <v>1.1550000000000002</v>
      </c>
      <c r="F54" s="245">
        <f t="shared" si="35"/>
        <v>2.4750000000000001</v>
      </c>
      <c r="G54" s="245">
        <f t="shared" si="35"/>
        <v>4.2350000000000003</v>
      </c>
      <c r="H54" s="246">
        <f t="shared" si="36"/>
        <v>6.6550000000000002</v>
      </c>
      <c r="I54" s="244">
        <f t="shared" si="37"/>
        <v>1.5650000000000008</v>
      </c>
      <c r="J54" s="245">
        <f t="shared" si="38"/>
        <v>2.4750000000000001</v>
      </c>
      <c r="K54" s="245">
        <f t="shared" si="38"/>
        <v>4.2350000000000003</v>
      </c>
      <c r="L54" s="246">
        <f t="shared" si="39"/>
        <v>5.830000000000001</v>
      </c>
    </row>
    <row r="55" spans="1:86" ht="15.75" thickBot="1" x14ac:dyDescent="0.3">
      <c r="A55" s="66" t="s">
        <v>62</v>
      </c>
      <c r="B55" s="71" t="s">
        <v>44</v>
      </c>
      <c r="D55" s="74" t="s">
        <v>74</v>
      </c>
      <c r="E55" s="247">
        <f t="shared" si="40"/>
        <v>1.9649999999999999</v>
      </c>
      <c r="F55" s="248">
        <f t="shared" si="35"/>
        <v>4.5</v>
      </c>
      <c r="G55" s="248">
        <f t="shared" si="35"/>
        <v>5.5</v>
      </c>
      <c r="H55" s="249">
        <f t="shared" si="36"/>
        <v>7</v>
      </c>
      <c r="I55" s="247">
        <f t="shared" si="37"/>
        <v>2.7349999999999994</v>
      </c>
      <c r="J55" s="248">
        <f t="shared" si="38"/>
        <v>4.5</v>
      </c>
      <c r="K55" s="248">
        <f t="shared" si="38"/>
        <v>5.5</v>
      </c>
      <c r="L55" s="249">
        <f t="shared" si="39"/>
        <v>6.5</v>
      </c>
    </row>
    <row r="58" spans="1:86" ht="18.75" x14ac:dyDescent="0.3">
      <c r="A58" s="85" t="s">
        <v>92</v>
      </c>
      <c r="B58" s="38"/>
      <c r="C58" s="38"/>
    </row>
    <row r="59" spans="1:86" x14ac:dyDescent="0.25">
      <c r="A59" s="1" t="s">
        <v>49</v>
      </c>
      <c r="B59" s="38"/>
      <c r="C59" s="38"/>
    </row>
    <row r="60" spans="1:86" ht="15.75" thickBot="1" x14ac:dyDescent="0.3">
      <c r="A60" s="39" t="s">
        <v>97</v>
      </c>
      <c r="B60" s="38"/>
      <c r="C60" s="38"/>
      <c r="BO60" s="245">
        <v>0.8</v>
      </c>
    </row>
    <row r="61" spans="1:86" ht="86.25" customHeight="1" thickBot="1" x14ac:dyDescent="0.3">
      <c r="A61" s="222" t="s">
        <v>26</v>
      </c>
      <c r="B61" s="222" t="s">
        <v>27</v>
      </c>
      <c r="C61" s="223" t="s">
        <v>28</v>
      </c>
      <c r="D61" s="224" t="s">
        <v>58</v>
      </c>
      <c r="E61" s="225"/>
      <c r="F61" s="225"/>
      <c r="G61" s="225" t="s">
        <v>59</v>
      </c>
      <c r="H61" s="225"/>
      <c r="I61" s="225"/>
      <c r="J61" s="220" t="s">
        <v>88</v>
      </c>
      <c r="K61" s="210" t="s">
        <v>81</v>
      </c>
      <c r="L61" s="211"/>
      <c r="M61" s="211"/>
      <c r="N61" s="211"/>
      <c r="O61" s="211"/>
      <c r="P61" s="211"/>
      <c r="Q61" s="211"/>
      <c r="R61" s="212"/>
      <c r="S61" s="210" t="s">
        <v>79</v>
      </c>
      <c r="T61" s="211"/>
      <c r="U61" s="211"/>
      <c r="V61" s="211"/>
      <c r="W61" s="211"/>
      <c r="X61" s="211"/>
      <c r="Y61" s="211"/>
      <c r="Z61" s="212"/>
      <c r="AA61" s="261" t="s">
        <v>80</v>
      </c>
      <c r="AB61" s="262"/>
      <c r="AC61" s="262"/>
      <c r="AD61" s="262"/>
      <c r="AE61" s="262"/>
      <c r="AF61" s="262"/>
      <c r="AG61" s="262"/>
      <c r="AH61" s="263"/>
      <c r="AI61" s="261" t="s">
        <v>78</v>
      </c>
      <c r="AJ61" s="262"/>
      <c r="AK61" s="262"/>
      <c r="AL61" s="262"/>
      <c r="AM61" s="262"/>
      <c r="AN61" s="262"/>
      <c r="AO61" s="262"/>
      <c r="AP61" s="263"/>
      <c r="AQ61" s="261" t="s">
        <v>89</v>
      </c>
      <c r="AR61" s="262"/>
      <c r="AS61" s="262"/>
      <c r="AT61" s="262"/>
      <c r="AU61" s="262"/>
      <c r="AV61" s="262"/>
      <c r="AW61" s="262"/>
      <c r="AX61" s="263"/>
      <c r="AY61" s="261" t="s">
        <v>90</v>
      </c>
      <c r="AZ61" s="262"/>
      <c r="BA61" s="262"/>
      <c r="BB61" s="262"/>
      <c r="BC61" s="262"/>
      <c r="BD61" s="262"/>
      <c r="BE61" s="262"/>
      <c r="BF61" s="263"/>
      <c r="BG61" s="261" t="s">
        <v>134</v>
      </c>
      <c r="BH61" s="262"/>
      <c r="BI61" s="262"/>
      <c r="BJ61" s="262"/>
      <c r="BK61" s="262"/>
      <c r="BL61" s="262"/>
      <c r="BM61" s="262"/>
      <c r="BN61" s="263"/>
      <c r="BO61" s="264" t="s">
        <v>82</v>
      </c>
      <c r="BP61" s="265"/>
      <c r="BQ61" s="265"/>
      <c r="BR61" s="266"/>
      <c r="BS61" s="267" t="s">
        <v>84</v>
      </c>
      <c r="BT61" s="268"/>
      <c r="BU61" s="269" t="s">
        <v>87</v>
      </c>
    </row>
    <row r="62" spans="1:86" s="36" customFormat="1" ht="23.25" customHeight="1" thickBot="1" x14ac:dyDescent="0.3">
      <c r="A62" s="222"/>
      <c r="B62" s="222"/>
      <c r="C62" s="223"/>
      <c r="D62" s="61" t="s">
        <v>50</v>
      </c>
      <c r="E62" s="46" t="s">
        <v>51</v>
      </c>
      <c r="F62" s="46" t="s">
        <v>52</v>
      </c>
      <c r="G62" s="46" t="s">
        <v>50</v>
      </c>
      <c r="H62" s="46" t="s">
        <v>51</v>
      </c>
      <c r="I62" s="46" t="s">
        <v>52</v>
      </c>
      <c r="J62" s="221"/>
      <c r="K62" s="210" t="s">
        <v>3</v>
      </c>
      <c r="L62" s="211"/>
      <c r="M62" s="211"/>
      <c r="N62" s="212"/>
      <c r="O62" s="210" t="s">
        <v>4</v>
      </c>
      <c r="P62" s="211"/>
      <c r="Q62" s="211"/>
      <c r="R62" s="212"/>
      <c r="S62" s="210" t="s">
        <v>3</v>
      </c>
      <c r="T62" s="211"/>
      <c r="U62" s="211"/>
      <c r="V62" s="212"/>
      <c r="W62" s="210" t="s">
        <v>4</v>
      </c>
      <c r="X62" s="211"/>
      <c r="Y62" s="211"/>
      <c r="Z62" s="212"/>
      <c r="AA62" s="261" t="s">
        <v>3</v>
      </c>
      <c r="AB62" s="262"/>
      <c r="AC62" s="262"/>
      <c r="AD62" s="263"/>
      <c r="AE62" s="261" t="s">
        <v>4</v>
      </c>
      <c r="AF62" s="262"/>
      <c r="AG62" s="262"/>
      <c r="AH62" s="263"/>
      <c r="AI62" s="261" t="s">
        <v>3</v>
      </c>
      <c r="AJ62" s="262"/>
      <c r="AK62" s="262"/>
      <c r="AL62" s="263"/>
      <c r="AM62" s="261" t="s">
        <v>4</v>
      </c>
      <c r="AN62" s="262"/>
      <c r="AO62" s="262"/>
      <c r="AP62" s="263"/>
      <c r="AQ62" s="261" t="s">
        <v>3</v>
      </c>
      <c r="AR62" s="262"/>
      <c r="AS62" s="262"/>
      <c r="AT62" s="263"/>
      <c r="AU62" s="261" t="s">
        <v>4</v>
      </c>
      <c r="AV62" s="262"/>
      <c r="AW62" s="262"/>
      <c r="AX62" s="263"/>
      <c r="AY62" s="261" t="s">
        <v>3</v>
      </c>
      <c r="AZ62" s="262"/>
      <c r="BA62" s="262"/>
      <c r="BB62" s="263"/>
      <c r="BC62" s="261" t="s">
        <v>4</v>
      </c>
      <c r="BD62" s="262"/>
      <c r="BE62" s="262"/>
      <c r="BF62" s="263"/>
      <c r="BG62" s="261" t="s">
        <v>3</v>
      </c>
      <c r="BH62" s="262"/>
      <c r="BI62" s="262"/>
      <c r="BJ62" s="263"/>
      <c r="BK62" s="261" t="s">
        <v>4</v>
      </c>
      <c r="BL62" s="262"/>
      <c r="BM62" s="262"/>
      <c r="BN62" s="263"/>
      <c r="BO62" s="270" t="s">
        <v>83</v>
      </c>
      <c r="BP62" s="271"/>
      <c r="BQ62" s="270" t="s">
        <v>5</v>
      </c>
      <c r="BR62" s="272"/>
      <c r="BS62" s="273" t="s">
        <v>85</v>
      </c>
      <c r="BT62" s="273" t="s">
        <v>86</v>
      </c>
      <c r="BU62" s="274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</row>
    <row r="63" spans="1:86" ht="30" x14ac:dyDescent="0.25">
      <c r="A63" s="41" t="s">
        <v>0</v>
      </c>
      <c r="B63" s="41" t="s">
        <v>25</v>
      </c>
      <c r="C63" s="60" t="s">
        <v>13</v>
      </c>
      <c r="D63" s="92" t="s">
        <v>46</v>
      </c>
      <c r="E63" s="92" t="s">
        <v>45</v>
      </c>
      <c r="F63" s="92" t="s">
        <v>44</v>
      </c>
      <c r="G63" s="49">
        <f>IF(D63=$A$76,$B$76,(IF(D63=$A$77,$B$77,IF(D63=$A$78,$B$78,$B$79))))</f>
        <v>0.33</v>
      </c>
      <c r="H63" s="49">
        <f t="shared" ref="H63:I72" si="41">IF(E63=$A$76,$B$76,(IF(E63=$A$77,$B$77,IF(E63=$A$78,$B$78,$B$79))))</f>
        <v>0.66</v>
      </c>
      <c r="I63" s="49">
        <f t="shared" si="41"/>
        <v>1</v>
      </c>
      <c r="J63" s="83">
        <f>G63*$D$90+H63*$D$91+I63*$D$92</f>
        <v>12.425000000000001</v>
      </c>
      <c r="K63" s="20">
        <v>0</v>
      </c>
      <c r="L63" s="22">
        <v>0.22000000000000003</v>
      </c>
      <c r="M63" s="22">
        <v>0.44</v>
      </c>
      <c r="N63" s="23">
        <v>0.55000000000000004</v>
      </c>
      <c r="O63" s="20">
        <v>0.06</v>
      </c>
      <c r="P63" s="22">
        <v>0.22000000000000003</v>
      </c>
      <c r="Q63" s="22">
        <v>0.44</v>
      </c>
      <c r="R63" s="23">
        <v>0.52</v>
      </c>
      <c r="S63" s="20">
        <v>0.44000000000000006</v>
      </c>
      <c r="T63" s="22">
        <v>0.55000000000000004</v>
      </c>
      <c r="U63" s="22">
        <v>0.77</v>
      </c>
      <c r="V63" s="23">
        <v>1</v>
      </c>
      <c r="W63" s="20">
        <v>0.47000000000000003</v>
      </c>
      <c r="X63" s="22">
        <v>0.55000000000000004</v>
      </c>
      <c r="Y63" s="242">
        <v>0.77</v>
      </c>
      <c r="Z63" s="243">
        <v>0.92</v>
      </c>
      <c r="AA63" s="241">
        <v>0.77</v>
      </c>
      <c r="AB63" s="242">
        <v>1</v>
      </c>
      <c r="AC63" s="242">
        <v>1</v>
      </c>
      <c r="AD63" s="243">
        <v>1</v>
      </c>
      <c r="AE63" s="241">
        <v>0.83</v>
      </c>
      <c r="AF63" s="242">
        <v>1</v>
      </c>
      <c r="AG63" s="242">
        <v>1</v>
      </c>
      <c r="AH63" s="243">
        <v>1</v>
      </c>
      <c r="AI63" s="241">
        <v>0</v>
      </c>
      <c r="AJ63" s="242">
        <v>1.5400000000000003</v>
      </c>
      <c r="AK63" s="242">
        <v>3.52</v>
      </c>
      <c r="AL63" s="243">
        <v>5.0600000000000005</v>
      </c>
      <c r="AM63" s="241">
        <v>0.19999999999999996</v>
      </c>
      <c r="AN63" s="242">
        <v>1.5400000000000003</v>
      </c>
      <c r="AO63" s="242">
        <v>3.52</v>
      </c>
      <c r="AP63" s="243">
        <v>4.6000000000000014</v>
      </c>
      <c r="AQ63" s="241">
        <v>2.2549999999999999</v>
      </c>
      <c r="AR63" s="242">
        <v>3.8500000000000005</v>
      </c>
      <c r="AS63" s="242">
        <v>6.16</v>
      </c>
      <c r="AT63" s="242">
        <v>9.1550000000000011</v>
      </c>
      <c r="AU63" s="241">
        <v>2.7399999999999993</v>
      </c>
      <c r="AV63" s="242">
        <v>3.8500000000000005</v>
      </c>
      <c r="AW63" s="242">
        <v>6.16</v>
      </c>
      <c r="AX63" s="243">
        <v>8.129999999999999</v>
      </c>
      <c r="AY63" s="241">
        <v>1.9649999999999999</v>
      </c>
      <c r="AZ63" s="242">
        <v>4.5</v>
      </c>
      <c r="BA63" s="242">
        <v>5.5</v>
      </c>
      <c r="BB63" s="242">
        <v>7</v>
      </c>
      <c r="BC63" s="241">
        <v>2.7349999999999994</v>
      </c>
      <c r="BD63" s="242">
        <v>4.5</v>
      </c>
      <c r="BE63" s="242">
        <v>5.5</v>
      </c>
      <c r="BF63" s="243">
        <v>6.5</v>
      </c>
      <c r="BG63" s="241">
        <f>AI63+AQ63+AY63</f>
        <v>4.22</v>
      </c>
      <c r="BH63" s="242">
        <f t="shared" ref="BH63:BN72" si="42">AJ63+AR63+AZ63</f>
        <v>9.89</v>
      </c>
      <c r="BI63" s="242">
        <f t="shared" si="42"/>
        <v>15.18</v>
      </c>
      <c r="BJ63" s="242">
        <f t="shared" si="42"/>
        <v>21.215000000000003</v>
      </c>
      <c r="BK63" s="241">
        <f t="shared" si="42"/>
        <v>5.6749999999999989</v>
      </c>
      <c r="BL63" s="242">
        <f t="shared" si="42"/>
        <v>9.89</v>
      </c>
      <c r="BM63" s="242">
        <f t="shared" si="42"/>
        <v>15.18</v>
      </c>
      <c r="BN63" s="242">
        <f t="shared" si="42"/>
        <v>19.23</v>
      </c>
      <c r="BO63" s="250">
        <f>BO$8*BH63+(1-BO$8)*BG63</f>
        <v>8.7560000000000002</v>
      </c>
      <c r="BP63" s="275">
        <f>BO$8*BI63+(1-BO$8)*BJ63</f>
        <v>16.387</v>
      </c>
      <c r="BQ63" s="250">
        <f>BO$8*BL63+(1-BO$8)*BK63</f>
        <v>9.0470000000000006</v>
      </c>
      <c r="BR63" s="276">
        <f>BO$8*BM63+(1-BO$8)*BN63</f>
        <v>15.989999999999998</v>
      </c>
      <c r="BS63" s="241">
        <f>(BO63+BP63)/2</f>
        <v>12.5715</v>
      </c>
      <c r="BT63" s="243">
        <f>(BQ63+BR63)/2</f>
        <v>12.5185</v>
      </c>
      <c r="BU63" s="277">
        <f>(BS63+BT63)/2</f>
        <v>12.545</v>
      </c>
    </row>
    <row r="64" spans="1:86" x14ac:dyDescent="0.25">
      <c r="A64" s="41" t="s">
        <v>1</v>
      </c>
      <c r="B64" s="41" t="s">
        <v>14</v>
      </c>
      <c r="C64" s="60" t="s">
        <v>29</v>
      </c>
      <c r="D64" s="92" t="s">
        <v>46</v>
      </c>
      <c r="E64" s="92" t="s">
        <v>46</v>
      </c>
      <c r="F64" s="92" t="s">
        <v>45</v>
      </c>
      <c r="G64" s="49">
        <f t="shared" ref="G64:G72" si="43">IF(D64=$A$76,$B$76,(IF(D64=$A$77,$B$77,IF(D64=$A$78,$B$78,$B$79))))</f>
        <v>0.33</v>
      </c>
      <c r="H64" s="49">
        <f t="shared" si="41"/>
        <v>0.33</v>
      </c>
      <c r="I64" s="49">
        <f t="shared" si="41"/>
        <v>0.66</v>
      </c>
      <c r="J64" s="83">
        <f t="shared" ref="J64:J72" si="44">G64*$D$90+H64*$D$91+I64*$D$92</f>
        <v>8.25</v>
      </c>
      <c r="K64" s="26">
        <v>0</v>
      </c>
      <c r="L64">
        <v>0.22000000000000003</v>
      </c>
      <c r="M64">
        <v>0.44</v>
      </c>
      <c r="N64" s="27">
        <v>0.55000000000000004</v>
      </c>
      <c r="O64" s="26">
        <v>0.06</v>
      </c>
      <c r="P64">
        <v>0.22000000000000003</v>
      </c>
      <c r="Q64">
        <v>0.44</v>
      </c>
      <c r="R64" s="27">
        <v>0.52</v>
      </c>
      <c r="S64" s="26">
        <v>0</v>
      </c>
      <c r="T64">
        <v>0.22000000000000003</v>
      </c>
      <c r="U64">
        <v>0.44</v>
      </c>
      <c r="V64" s="27">
        <v>0.55000000000000004</v>
      </c>
      <c r="W64" s="26">
        <v>0.06</v>
      </c>
      <c r="X64">
        <v>0.22000000000000003</v>
      </c>
      <c r="Y64" s="245">
        <v>0.44</v>
      </c>
      <c r="Z64" s="246">
        <v>0.52</v>
      </c>
      <c r="AA64" s="244">
        <v>0.44000000000000006</v>
      </c>
      <c r="AB64" s="245">
        <v>0.55000000000000004</v>
      </c>
      <c r="AC64" s="245">
        <v>0.77</v>
      </c>
      <c r="AD64" s="246">
        <v>1</v>
      </c>
      <c r="AE64" s="244">
        <v>0.47000000000000003</v>
      </c>
      <c r="AF64" s="245">
        <v>0.55000000000000004</v>
      </c>
      <c r="AG64" s="245">
        <v>0.77</v>
      </c>
      <c r="AH64" s="246">
        <v>0.92</v>
      </c>
      <c r="AI64" s="244">
        <v>0</v>
      </c>
      <c r="AJ64" s="245">
        <v>1.5400000000000003</v>
      </c>
      <c r="AK64" s="245">
        <v>3.52</v>
      </c>
      <c r="AL64" s="246">
        <v>5.0600000000000005</v>
      </c>
      <c r="AM64" s="244">
        <v>0.19999999999999996</v>
      </c>
      <c r="AN64" s="245">
        <v>1.5400000000000003</v>
      </c>
      <c r="AO64" s="245">
        <v>3.52</v>
      </c>
      <c r="AP64" s="246">
        <v>4.6000000000000014</v>
      </c>
      <c r="AQ64" s="244">
        <v>0</v>
      </c>
      <c r="AR64" s="245">
        <v>1.5400000000000003</v>
      </c>
      <c r="AS64" s="245">
        <v>3.52</v>
      </c>
      <c r="AT64" s="245">
        <v>5.0600000000000005</v>
      </c>
      <c r="AU64" s="244">
        <v>0.19999999999999996</v>
      </c>
      <c r="AV64" s="245">
        <v>1.5400000000000003</v>
      </c>
      <c r="AW64" s="245">
        <v>3.52</v>
      </c>
      <c r="AX64" s="246">
        <v>4.6000000000000014</v>
      </c>
      <c r="AY64" s="244">
        <v>1.1550000000000002</v>
      </c>
      <c r="AZ64" s="245">
        <v>2.4750000000000001</v>
      </c>
      <c r="BA64" s="245">
        <v>4.2350000000000003</v>
      </c>
      <c r="BB64" s="245">
        <v>6.6550000000000002</v>
      </c>
      <c r="BC64" s="244">
        <v>1.5650000000000008</v>
      </c>
      <c r="BD64" s="245">
        <v>2.4750000000000001</v>
      </c>
      <c r="BE64" s="245">
        <v>4.2350000000000003</v>
      </c>
      <c r="BF64" s="246">
        <v>5.830000000000001</v>
      </c>
      <c r="BG64" s="244">
        <f t="shared" ref="BG64:BG72" si="45">AI64+AQ64+AY64</f>
        <v>1.1550000000000002</v>
      </c>
      <c r="BH64" s="245">
        <f t="shared" si="42"/>
        <v>5.5550000000000006</v>
      </c>
      <c r="BI64" s="245">
        <f t="shared" si="42"/>
        <v>11.275</v>
      </c>
      <c r="BJ64" s="245">
        <f t="shared" si="42"/>
        <v>16.775000000000002</v>
      </c>
      <c r="BK64" s="244">
        <f t="shared" si="42"/>
        <v>1.9650000000000007</v>
      </c>
      <c r="BL64" s="245">
        <f t="shared" si="42"/>
        <v>5.5550000000000006</v>
      </c>
      <c r="BM64" s="245">
        <f t="shared" si="42"/>
        <v>11.275</v>
      </c>
      <c r="BN64" s="245">
        <f t="shared" si="42"/>
        <v>15.030000000000005</v>
      </c>
      <c r="BO64" s="251">
        <f t="shared" ref="BO64:BO72" si="46">BO$8*BH64+(1-BO$8)*BG64</f>
        <v>4.6750000000000007</v>
      </c>
      <c r="BP64" s="278">
        <f t="shared" ref="BP64:BP72" si="47">BO$8*BI64+(1-BO$8)*BJ64</f>
        <v>12.375</v>
      </c>
      <c r="BQ64" s="251">
        <f t="shared" ref="BQ64:BQ72" si="48">BO$8*BL64+(1-BO$8)*BK64</f>
        <v>4.8370000000000006</v>
      </c>
      <c r="BR64" s="279">
        <f t="shared" ref="BR64:BR72" si="49">BO$8*BM64+(1-BO$8)*BN64</f>
        <v>12.026000000000002</v>
      </c>
      <c r="BS64" s="244">
        <f t="shared" ref="BS64:BS72" si="50">(BO64+BP64)/2</f>
        <v>8.5250000000000004</v>
      </c>
      <c r="BT64" s="246">
        <f t="shared" ref="BT64:BT72" si="51">(BQ64+BR64)/2</f>
        <v>8.4315000000000015</v>
      </c>
      <c r="BU64" s="280">
        <f t="shared" ref="BU64:BU72" si="52">(BS64+BT64)/2</f>
        <v>8.478250000000001</v>
      </c>
    </row>
    <row r="65" spans="1:73" x14ac:dyDescent="0.25">
      <c r="A65" s="41" t="s">
        <v>2</v>
      </c>
      <c r="B65" s="41" t="s">
        <v>15</v>
      </c>
      <c r="C65" s="60" t="s">
        <v>30</v>
      </c>
      <c r="D65" s="92" t="s">
        <v>45</v>
      </c>
      <c r="E65" s="92" t="s">
        <v>44</v>
      </c>
      <c r="F65" s="92" t="s">
        <v>45</v>
      </c>
      <c r="G65" s="49">
        <f t="shared" si="43"/>
        <v>0.66</v>
      </c>
      <c r="H65" s="49">
        <f t="shared" si="41"/>
        <v>1</v>
      </c>
      <c r="I65" s="49">
        <f t="shared" si="41"/>
        <v>0.66</v>
      </c>
      <c r="J65" s="83">
        <f t="shared" si="44"/>
        <v>15.75</v>
      </c>
      <c r="K65" s="26">
        <v>0.44000000000000006</v>
      </c>
      <c r="L65">
        <v>0.55000000000000004</v>
      </c>
      <c r="M65">
        <v>0.77</v>
      </c>
      <c r="N65" s="27">
        <v>1</v>
      </c>
      <c r="O65" s="26">
        <v>0.47000000000000003</v>
      </c>
      <c r="P65">
        <v>0.55000000000000004</v>
      </c>
      <c r="Q65">
        <v>0.77</v>
      </c>
      <c r="R65" s="27">
        <v>0.92</v>
      </c>
      <c r="S65" s="26">
        <v>0.77</v>
      </c>
      <c r="T65">
        <v>1</v>
      </c>
      <c r="U65">
        <v>1</v>
      </c>
      <c r="V65" s="27">
        <v>1</v>
      </c>
      <c r="W65" s="26">
        <v>0.83</v>
      </c>
      <c r="X65">
        <v>1</v>
      </c>
      <c r="Y65" s="245">
        <v>1</v>
      </c>
      <c r="Z65" s="246">
        <v>1</v>
      </c>
      <c r="AA65" s="244">
        <v>0.44000000000000006</v>
      </c>
      <c r="AB65" s="245">
        <v>0.55000000000000004</v>
      </c>
      <c r="AC65" s="245">
        <v>0.77</v>
      </c>
      <c r="AD65" s="246">
        <v>1</v>
      </c>
      <c r="AE65" s="244">
        <v>0.47000000000000003</v>
      </c>
      <c r="AF65" s="245">
        <v>0.55000000000000004</v>
      </c>
      <c r="AG65" s="245">
        <v>0.77</v>
      </c>
      <c r="AH65" s="246">
        <v>0.92</v>
      </c>
      <c r="AI65" s="244">
        <v>2.2549999999999999</v>
      </c>
      <c r="AJ65" s="245">
        <v>3.8500000000000005</v>
      </c>
      <c r="AK65" s="245">
        <v>6.16</v>
      </c>
      <c r="AL65" s="246">
        <v>9.1550000000000011</v>
      </c>
      <c r="AM65" s="244">
        <v>2.7399999999999993</v>
      </c>
      <c r="AN65" s="245">
        <v>3.8500000000000005</v>
      </c>
      <c r="AO65" s="245">
        <v>6.16</v>
      </c>
      <c r="AP65" s="246">
        <v>8.129999999999999</v>
      </c>
      <c r="AQ65" s="244">
        <v>3.8900000000000006</v>
      </c>
      <c r="AR65" s="245">
        <v>7</v>
      </c>
      <c r="AS65" s="245">
        <v>8</v>
      </c>
      <c r="AT65" s="245">
        <v>9.5</v>
      </c>
      <c r="AU65" s="244">
        <v>4.8099999999999987</v>
      </c>
      <c r="AV65" s="245">
        <v>7</v>
      </c>
      <c r="AW65" s="245">
        <v>8</v>
      </c>
      <c r="AX65" s="246">
        <v>9</v>
      </c>
      <c r="AY65" s="244">
        <v>1.1550000000000002</v>
      </c>
      <c r="AZ65" s="245">
        <v>2.4750000000000001</v>
      </c>
      <c r="BA65" s="245">
        <v>4.2350000000000003</v>
      </c>
      <c r="BB65" s="245">
        <v>6.6550000000000002</v>
      </c>
      <c r="BC65" s="244">
        <v>1.5650000000000008</v>
      </c>
      <c r="BD65" s="245">
        <v>2.4750000000000001</v>
      </c>
      <c r="BE65" s="245">
        <v>4.2350000000000003</v>
      </c>
      <c r="BF65" s="246">
        <v>5.830000000000001</v>
      </c>
      <c r="BG65" s="244">
        <f t="shared" si="45"/>
        <v>7.3000000000000007</v>
      </c>
      <c r="BH65" s="245">
        <f t="shared" si="42"/>
        <v>13.325000000000001</v>
      </c>
      <c r="BI65" s="245">
        <f t="shared" si="42"/>
        <v>18.395</v>
      </c>
      <c r="BJ65" s="245">
        <f t="shared" si="42"/>
        <v>25.310000000000002</v>
      </c>
      <c r="BK65" s="244">
        <f t="shared" si="42"/>
        <v>9.1149999999999984</v>
      </c>
      <c r="BL65" s="245">
        <f t="shared" si="42"/>
        <v>13.325000000000001</v>
      </c>
      <c r="BM65" s="245">
        <f t="shared" si="42"/>
        <v>18.395</v>
      </c>
      <c r="BN65" s="245">
        <f t="shared" si="42"/>
        <v>22.96</v>
      </c>
      <c r="BO65" s="251">
        <f t="shared" si="46"/>
        <v>12.120000000000001</v>
      </c>
      <c r="BP65" s="278">
        <f t="shared" si="47"/>
        <v>19.777999999999999</v>
      </c>
      <c r="BQ65" s="251">
        <f t="shared" si="48"/>
        <v>12.483000000000001</v>
      </c>
      <c r="BR65" s="279">
        <f t="shared" si="49"/>
        <v>19.308</v>
      </c>
      <c r="BS65" s="244">
        <f t="shared" si="50"/>
        <v>15.949</v>
      </c>
      <c r="BT65" s="246">
        <f t="shared" si="51"/>
        <v>15.8955</v>
      </c>
      <c r="BU65" s="280">
        <f t="shared" si="52"/>
        <v>15.92225</v>
      </c>
    </row>
    <row r="66" spans="1:73" x14ac:dyDescent="0.25">
      <c r="A66" s="41" t="s">
        <v>6</v>
      </c>
      <c r="B66" s="41" t="s">
        <v>16</v>
      </c>
      <c r="C66" s="60" t="s">
        <v>17</v>
      </c>
      <c r="D66" s="92" t="s">
        <v>44</v>
      </c>
      <c r="E66" s="92" t="s">
        <v>45</v>
      </c>
      <c r="F66" s="92" t="s">
        <v>46</v>
      </c>
      <c r="G66" s="49">
        <f t="shared" si="43"/>
        <v>1</v>
      </c>
      <c r="H66" s="49">
        <f t="shared" si="41"/>
        <v>0.66</v>
      </c>
      <c r="I66" s="49">
        <f t="shared" si="41"/>
        <v>0.33</v>
      </c>
      <c r="J66" s="83">
        <f t="shared" si="44"/>
        <v>14.1</v>
      </c>
      <c r="K66" s="26">
        <v>0.77</v>
      </c>
      <c r="L66">
        <v>1</v>
      </c>
      <c r="M66">
        <v>1</v>
      </c>
      <c r="N66" s="27">
        <v>1</v>
      </c>
      <c r="O66" s="26">
        <v>0.83</v>
      </c>
      <c r="P66">
        <v>1</v>
      </c>
      <c r="Q66">
        <v>1</v>
      </c>
      <c r="R66" s="27">
        <v>1</v>
      </c>
      <c r="S66" s="26">
        <v>0.44000000000000006</v>
      </c>
      <c r="T66">
        <v>0.55000000000000004</v>
      </c>
      <c r="U66">
        <v>0.77</v>
      </c>
      <c r="V66" s="27">
        <v>1</v>
      </c>
      <c r="W66" s="26">
        <v>0.47000000000000003</v>
      </c>
      <c r="X66">
        <v>0.55000000000000004</v>
      </c>
      <c r="Y66" s="245">
        <v>0.77</v>
      </c>
      <c r="Z66" s="246">
        <v>0.92</v>
      </c>
      <c r="AA66" s="244">
        <v>0</v>
      </c>
      <c r="AB66" s="245">
        <v>0.22000000000000003</v>
      </c>
      <c r="AC66" s="245">
        <v>0.44</v>
      </c>
      <c r="AD66" s="246">
        <v>0.55000000000000004</v>
      </c>
      <c r="AE66" s="244">
        <v>0.06</v>
      </c>
      <c r="AF66" s="245">
        <v>0.22000000000000003</v>
      </c>
      <c r="AG66" s="245">
        <v>0.44</v>
      </c>
      <c r="AH66" s="246">
        <v>0.52</v>
      </c>
      <c r="AI66" s="244">
        <v>3.8900000000000006</v>
      </c>
      <c r="AJ66" s="245">
        <v>7</v>
      </c>
      <c r="AK66" s="245">
        <v>8</v>
      </c>
      <c r="AL66" s="246">
        <v>9.5</v>
      </c>
      <c r="AM66" s="244">
        <v>4.8099999999999987</v>
      </c>
      <c r="AN66" s="245">
        <v>7</v>
      </c>
      <c r="AO66" s="245">
        <v>8</v>
      </c>
      <c r="AP66" s="246">
        <v>9</v>
      </c>
      <c r="AQ66" s="244">
        <v>2.2549999999999999</v>
      </c>
      <c r="AR66" s="245">
        <v>3.8500000000000005</v>
      </c>
      <c r="AS66" s="245">
        <v>6.16</v>
      </c>
      <c r="AT66" s="245">
        <v>9.1550000000000011</v>
      </c>
      <c r="AU66" s="244">
        <v>2.7399999999999993</v>
      </c>
      <c r="AV66" s="245">
        <v>3.8500000000000005</v>
      </c>
      <c r="AW66" s="245">
        <v>6.16</v>
      </c>
      <c r="AX66" s="246">
        <v>8.129999999999999</v>
      </c>
      <c r="AY66" s="244">
        <v>0</v>
      </c>
      <c r="AZ66" s="245">
        <v>0.9900000000000001</v>
      </c>
      <c r="BA66" s="245">
        <v>2.42</v>
      </c>
      <c r="BB66" s="245">
        <v>3.6850000000000005</v>
      </c>
      <c r="BC66" s="244">
        <v>4.9999999999999933E-2</v>
      </c>
      <c r="BD66" s="245">
        <v>0.9900000000000001</v>
      </c>
      <c r="BE66" s="245">
        <v>2.42</v>
      </c>
      <c r="BF66" s="246">
        <v>3.3000000000000007</v>
      </c>
      <c r="BG66" s="244">
        <f t="shared" si="45"/>
        <v>6.1450000000000005</v>
      </c>
      <c r="BH66" s="245">
        <f t="shared" si="42"/>
        <v>11.840000000000002</v>
      </c>
      <c r="BI66" s="245">
        <f t="shared" si="42"/>
        <v>16.579999999999998</v>
      </c>
      <c r="BJ66" s="245">
        <f t="shared" si="42"/>
        <v>22.340000000000003</v>
      </c>
      <c r="BK66" s="244">
        <f t="shared" si="42"/>
        <v>7.5999999999999979</v>
      </c>
      <c r="BL66" s="245">
        <f t="shared" si="42"/>
        <v>11.840000000000002</v>
      </c>
      <c r="BM66" s="245">
        <f t="shared" si="42"/>
        <v>16.579999999999998</v>
      </c>
      <c r="BN66" s="245">
        <f t="shared" si="42"/>
        <v>20.43</v>
      </c>
      <c r="BO66" s="251">
        <f t="shared" si="46"/>
        <v>10.701000000000001</v>
      </c>
      <c r="BP66" s="278">
        <f t="shared" si="47"/>
        <v>17.731999999999999</v>
      </c>
      <c r="BQ66" s="251">
        <f t="shared" si="48"/>
        <v>10.992000000000001</v>
      </c>
      <c r="BR66" s="279">
        <f t="shared" si="49"/>
        <v>17.349999999999998</v>
      </c>
      <c r="BS66" s="244">
        <f t="shared" si="50"/>
        <v>14.2165</v>
      </c>
      <c r="BT66" s="246">
        <f t="shared" si="51"/>
        <v>14.170999999999999</v>
      </c>
      <c r="BU66" s="280">
        <f t="shared" si="52"/>
        <v>14.19375</v>
      </c>
    </row>
    <row r="67" spans="1:73" ht="30" x14ac:dyDescent="0.25">
      <c r="A67" s="41" t="s">
        <v>7</v>
      </c>
      <c r="B67" s="41" t="s">
        <v>18</v>
      </c>
      <c r="C67" s="60" t="s">
        <v>31</v>
      </c>
      <c r="D67" s="92" t="s">
        <v>45</v>
      </c>
      <c r="E67" s="92" t="s">
        <v>44</v>
      </c>
      <c r="F67" s="92" t="s">
        <v>45</v>
      </c>
      <c r="G67" s="49">
        <f t="shared" si="43"/>
        <v>0.66</v>
      </c>
      <c r="H67" s="49">
        <f t="shared" si="41"/>
        <v>1</v>
      </c>
      <c r="I67" s="49">
        <f t="shared" si="41"/>
        <v>0.66</v>
      </c>
      <c r="J67" s="83">
        <f t="shared" si="44"/>
        <v>15.75</v>
      </c>
      <c r="K67" s="26">
        <v>0.44000000000000006</v>
      </c>
      <c r="L67">
        <v>0.55000000000000004</v>
      </c>
      <c r="M67">
        <v>0.77</v>
      </c>
      <c r="N67" s="27">
        <v>1</v>
      </c>
      <c r="O67" s="26">
        <v>0.47000000000000003</v>
      </c>
      <c r="P67">
        <v>0.55000000000000004</v>
      </c>
      <c r="Q67">
        <v>0.77</v>
      </c>
      <c r="R67" s="27">
        <v>0.92</v>
      </c>
      <c r="S67" s="26">
        <v>0.77</v>
      </c>
      <c r="T67">
        <v>1</v>
      </c>
      <c r="U67">
        <v>1</v>
      </c>
      <c r="V67" s="27">
        <v>1</v>
      </c>
      <c r="W67" s="26">
        <v>0.83</v>
      </c>
      <c r="X67">
        <v>1</v>
      </c>
      <c r="Y67" s="245">
        <v>1</v>
      </c>
      <c r="Z67" s="246">
        <v>1</v>
      </c>
      <c r="AA67" s="244">
        <v>0.44000000000000006</v>
      </c>
      <c r="AB67" s="245">
        <v>0.55000000000000004</v>
      </c>
      <c r="AC67" s="245">
        <v>0.77</v>
      </c>
      <c r="AD67" s="246">
        <v>1</v>
      </c>
      <c r="AE67" s="244">
        <v>0.47000000000000003</v>
      </c>
      <c r="AF67" s="245">
        <v>0.55000000000000004</v>
      </c>
      <c r="AG67" s="245">
        <v>0.77</v>
      </c>
      <c r="AH67" s="246">
        <v>0.92</v>
      </c>
      <c r="AI67" s="244">
        <v>2.2549999999999999</v>
      </c>
      <c r="AJ67" s="245">
        <v>3.8500000000000005</v>
      </c>
      <c r="AK67" s="245">
        <v>6.16</v>
      </c>
      <c r="AL67" s="246">
        <v>9.1550000000000011</v>
      </c>
      <c r="AM67" s="244">
        <v>2.7399999999999993</v>
      </c>
      <c r="AN67" s="245">
        <v>3.8500000000000005</v>
      </c>
      <c r="AO67" s="245">
        <v>6.16</v>
      </c>
      <c r="AP67" s="246">
        <v>8.129999999999999</v>
      </c>
      <c r="AQ67" s="244">
        <v>3.8900000000000006</v>
      </c>
      <c r="AR67" s="245">
        <v>7</v>
      </c>
      <c r="AS67" s="245">
        <v>8</v>
      </c>
      <c r="AT67" s="245">
        <v>9.5</v>
      </c>
      <c r="AU67" s="244">
        <v>4.8099999999999987</v>
      </c>
      <c r="AV67" s="245">
        <v>7</v>
      </c>
      <c r="AW67" s="245">
        <v>8</v>
      </c>
      <c r="AX67" s="246">
        <v>9</v>
      </c>
      <c r="AY67" s="244">
        <v>1.1550000000000002</v>
      </c>
      <c r="AZ67" s="245">
        <v>2.4750000000000001</v>
      </c>
      <c r="BA67" s="245">
        <v>4.2350000000000003</v>
      </c>
      <c r="BB67" s="245">
        <v>6.6550000000000002</v>
      </c>
      <c r="BC67" s="244">
        <v>1.5650000000000008</v>
      </c>
      <c r="BD67" s="245">
        <v>2.4750000000000001</v>
      </c>
      <c r="BE67" s="245">
        <v>4.2350000000000003</v>
      </c>
      <c r="BF67" s="246">
        <v>5.830000000000001</v>
      </c>
      <c r="BG67" s="244">
        <f t="shared" si="45"/>
        <v>7.3000000000000007</v>
      </c>
      <c r="BH67" s="245">
        <f t="shared" si="42"/>
        <v>13.325000000000001</v>
      </c>
      <c r="BI67" s="245">
        <f t="shared" si="42"/>
        <v>18.395</v>
      </c>
      <c r="BJ67" s="245">
        <f t="shared" si="42"/>
        <v>25.310000000000002</v>
      </c>
      <c r="BK67" s="244">
        <f t="shared" si="42"/>
        <v>9.1149999999999984</v>
      </c>
      <c r="BL67" s="245">
        <f t="shared" si="42"/>
        <v>13.325000000000001</v>
      </c>
      <c r="BM67" s="245">
        <f t="shared" si="42"/>
        <v>18.395</v>
      </c>
      <c r="BN67" s="245">
        <f t="shared" si="42"/>
        <v>22.96</v>
      </c>
      <c r="BO67" s="251">
        <f t="shared" si="46"/>
        <v>12.120000000000001</v>
      </c>
      <c r="BP67" s="278">
        <f t="shared" si="47"/>
        <v>19.777999999999999</v>
      </c>
      <c r="BQ67" s="251">
        <f t="shared" si="48"/>
        <v>12.483000000000001</v>
      </c>
      <c r="BR67" s="279">
        <f t="shared" si="49"/>
        <v>19.308</v>
      </c>
      <c r="BS67" s="244">
        <f t="shared" si="50"/>
        <v>15.949</v>
      </c>
      <c r="BT67" s="246">
        <f t="shared" si="51"/>
        <v>15.8955</v>
      </c>
      <c r="BU67" s="280">
        <f t="shared" si="52"/>
        <v>15.92225</v>
      </c>
    </row>
    <row r="68" spans="1:73" x14ac:dyDescent="0.25">
      <c r="A68" s="41" t="s">
        <v>8</v>
      </c>
      <c r="B68" s="41" t="s">
        <v>19</v>
      </c>
      <c r="C68" s="60" t="s">
        <v>32</v>
      </c>
      <c r="D68" s="92" t="s">
        <v>44</v>
      </c>
      <c r="E68" s="92" t="s">
        <v>45</v>
      </c>
      <c r="F68" s="92" t="s">
        <v>46</v>
      </c>
      <c r="G68" s="49">
        <f t="shared" si="43"/>
        <v>1</v>
      </c>
      <c r="H68" s="49">
        <f t="shared" si="41"/>
        <v>0.66</v>
      </c>
      <c r="I68" s="49">
        <f t="shared" si="41"/>
        <v>0.33</v>
      </c>
      <c r="J68" s="83">
        <f t="shared" si="44"/>
        <v>14.1</v>
      </c>
      <c r="K68" s="26">
        <v>0.77</v>
      </c>
      <c r="L68">
        <v>1</v>
      </c>
      <c r="M68">
        <v>1</v>
      </c>
      <c r="N68" s="27">
        <v>1</v>
      </c>
      <c r="O68" s="26">
        <v>0.83</v>
      </c>
      <c r="P68">
        <v>1</v>
      </c>
      <c r="Q68">
        <v>1</v>
      </c>
      <c r="R68" s="27">
        <v>1</v>
      </c>
      <c r="S68" s="26">
        <v>0.44000000000000006</v>
      </c>
      <c r="T68">
        <v>0.55000000000000004</v>
      </c>
      <c r="U68">
        <v>0.77</v>
      </c>
      <c r="V68" s="27">
        <v>1</v>
      </c>
      <c r="W68" s="26">
        <v>0.47000000000000003</v>
      </c>
      <c r="X68">
        <v>0.55000000000000004</v>
      </c>
      <c r="Y68" s="245">
        <v>0.77</v>
      </c>
      <c r="Z68" s="246">
        <v>0.92</v>
      </c>
      <c r="AA68" s="244">
        <v>0</v>
      </c>
      <c r="AB68" s="245">
        <v>0.22000000000000003</v>
      </c>
      <c r="AC68" s="245">
        <v>0.44</v>
      </c>
      <c r="AD68" s="246">
        <v>0.55000000000000004</v>
      </c>
      <c r="AE68" s="244">
        <v>0.06</v>
      </c>
      <c r="AF68" s="245">
        <v>0.22000000000000003</v>
      </c>
      <c r="AG68" s="245">
        <v>0.44</v>
      </c>
      <c r="AH68" s="246">
        <v>0.52</v>
      </c>
      <c r="AI68" s="244">
        <v>3.8900000000000006</v>
      </c>
      <c r="AJ68" s="245">
        <v>7</v>
      </c>
      <c r="AK68" s="245">
        <v>8</v>
      </c>
      <c r="AL68" s="246">
        <v>9.5</v>
      </c>
      <c r="AM68" s="244">
        <v>4.8099999999999987</v>
      </c>
      <c r="AN68" s="245">
        <v>7</v>
      </c>
      <c r="AO68" s="245">
        <v>8</v>
      </c>
      <c r="AP68" s="246">
        <v>9</v>
      </c>
      <c r="AQ68" s="244">
        <v>2.2549999999999999</v>
      </c>
      <c r="AR68" s="245">
        <v>3.8500000000000005</v>
      </c>
      <c r="AS68" s="245">
        <v>6.16</v>
      </c>
      <c r="AT68" s="245">
        <v>9.1550000000000011</v>
      </c>
      <c r="AU68" s="244">
        <v>2.7399999999999993</v>
      </c>
      <c r="AV68" s="245">
        <v>3.8500000000000005</v>
      </c>
      <c r="AW68" s="245">
        <v>6.16</v>
      </c>
      <c r="AX68" s="246">
        <v>8.129999999999999</v>
      </c>
      <c r="AY68" s="244">
        <v>0</v>
      </c>
      <c r="AZ68" s="245">
        <v>0.9900000000000001</v>
      </c>
      <c r="BA68" s="245">
        <v>2.42</v>
      </c>
      <c r="BB68" s="245">
        <v>3.6850000000000005</v>
      </c>
      <c r="BC68" s="244">
        <v>4.9999999999999933E-2</v>
      </c>
      <c r="BD68" s="245">
        <v>0.9900000000000001</v>
      </c>
      <c r="BE68" s="245">
        <v>2.42</v>
      </c>
      <c r="BF68" s="246">
        <v>3.3000000000000007</v>
      </c>
      <c r="BG68" s="244">
        <f t="shared" si="45"/>
        <v>6.1450000000000005</v>
      </c>
      <c r="BH68" s="245">
        <f t="shared" si="42"/>
        <v>11.840000000000002</v>
      </c>
      <c r="BI68" s="245">
        <f t="shared" si="42"/>
        <v>16.579999999999998</v>
      </c>
      <c r="BJ68" s="245">
        <f t="shared" si="42"/>
        <v>22.340000000000003</v>
      </c>
      <c r="BK68" s="244">
        <f t="shared" si="42"/>
        <v>7.5999999999999979</v>
      </c>
      <c r="BL68" s="245">
        <f t="shared" si="42"/>
        <v>11.840000000000002</v>
      </c>
      <c r="BM68" s="245">
        <f t="shared" si="42"/>
        <v>16.579999999999998</v>
      </c>
      <c r="BN68" s="245">
        <f t="shared" si="42"/>
        <v>20.43</v>
      </c>
      <c r="BO68" s="251">
        <f t="shared" si="46"/>
        <v>10.701000000000001</v>
      </c>
      <c r="BP68" s="278">
        <f t="shared" si="47"/>
        <v>17.731999999999999</v>
      </c>
      <c r="BQ68" s="251">
        <f t="shared" si="48"/>
        <v>10.992000000000001</v>
      </c>
      <c r="BR68" s="279">
        <f t="shared" si="49"/>
        <v>17.349999999999998</v>
      </c>
      <c r="BS68" s="244">
        <f t="shared" si="50"/>
        <v>14.2165</v>
      </c>
      <c r="BT68" s="246">
        <f t="shared" si="51"/>
        <v>14.170999999999999</v>
      </c>
      <c r="BU68" s="280">
        <f t="shared" si="52"/>
        <v>14.19375</v>
      </c>
    </row>
    <row r="69" spans="1:73" ht="30" x14ac:dyDescent="0.25">
      <c r="A69" s="41" t="s">
        <v>9</v>
      </c>
      <c r="B69" s="41" t="s">
        <v>20</v>
      </c>
      <c r="C69" s="60" t="s">
        <v>33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7">
        <v>1</v>
      </c>
      <c r="S69" s="26">
        <v>0.44000000000000006</v>
      </c>
      <c r="T69">
        <v>0.55000000000000004</v>
      </c>
      <c r="U69">
        <v>0.77</v>
      </c>
      <c r="V69" s="27">
        <v>1</v>
      </c>
      <c r="W69" s="26">
        <v>0.47000000000000003</v>
      </c>
      <c r="X69">
        <v>0.55000000000000004</v>
      </c>
      <c r="Y69" s="245">
        <v>0.77</v>
      </c>
      <c r="Z69" s="246">
        <v>0.92</v>
      </c>
      <c r="AA69" s="244">
        <v>0</v>
      </c>
      <c r="AB69" s="245">
        <v>0.22000000000000003</v>
      </c>
      <c r="AC69" s="245">
        <v>0.44</v>
      </c>
      <c r="AD69" s="246">
        <v>0.55000000000000004</v>
      </c>
      <c r="AE69" s="244">
        <v>0.06</v>
      </c>
      <c r="AF69" s="245">
        <v>0.22000000000000003</v>
      </c>
      <c r="AG69" s="245">
        <v>0.44</v>
      </c>
      <c r="AH69" s="246">
        <v>0.52</v>
      </c>
      <c r="AI69" s="244">
        <v>3.8900000000000006</v>
      </c>
      <c r="AJ69" s="245">
        <v>7</v>
      </c>
      <c r="AK69" s="245">
        <v>8</v>
      </c>
      <c r="AL69" s="246">
        <v>9.5</v>
      </c>
      <c r="AM69" s="244">
        <v>4.8099999999999987</v>
      </c>
      <c r="AN69" s="245">
        <v>7</v>
      </c>
      <c r="AO69" s="245">
        <v>8</v>
      </c>
      <c r="AP69" s="246">
        <v>9</v>
      </c>
      <c r="AQ69" s="244">
        <v>2.2549999999999999</v>
      </c>
      <c r="AR69" s="245">
        <v>3.8500000000000005</v>
      </c>
      <c r="AS69" s="245">
        <v>6.16</v>
      </c>
      <c r="AT69" s="245">
        <v>9.1550000000000011</v>
      </c>
      <c r="AU69" s="244">
        <v>2.7399999999999993</v>
      </c>
      <c r="AV69" s="245">
        <v>3.8500000000000005</v>
      </c>
      <c r="AW69" s="245">
        <v>6.16</v>
      </c>
      <c r="AX69" s="246">
        <v>8.129999999999999</v>
      </c>
      <c r="AY69" s="244">
        <v>0</v>
      </c>
      <c r="AZ69" s="245">
        <v>0.9900000000000001</v>
      </c>
      <c r="BA69" s="245">
        <v>2.42</v>
      </c>
      <c r="BB69" s="245">
        <v>3.6850000000000005</v>
      </c>
      <c r="BC69" s="244">
        <v>4.9999999999999933E-2</v>
      </c>
      <c r="BD69" s="245">
        <v>0.9900000000000001</v>
      </c>
      <c r="BE69" s="245">
        <v>2.42</v>
      </c>
      <c r="BF69" s="246">
        <v>3.3000000000000007</v>
      </c>
      <c r="BG69" s="244">
        <f t="shared" si="45"/>
        <v>6.1450000000000005</v>
      </c>
      <c r="BH69" s="245">
        <f t="shared" si="42"/>
        <v>11.840000000000002</v>
      </c>
      <c r="BI69" s="245">
        <f t="shared" si="42"/>
        <v>16.579999999999998</v>
      </c>
      <c r="BJ69" s="245">
        <f t="shared" si="42"/>
        <v>22.340000000000003</v>
      </c>
      <c r="BK69" s="244">
        <f t="shared" si="42"/>
        <v>7.5999999999999979</v>
      </c>
      <c r="BL69" s="245">
        <f t="shared" si="42"/>
        <v>11.840000000000002</v>
      </c>
      <c r="BM69" s="245">
        <f t="shared" si="42"/>
        <v>16.579999999999998</v>
      </c>
      <c r="BN69" s="245">
        <f t="shared" si="42"/>
        <v>20.43</v>
      </c>
      <c r="BO69" s="251">
        <f t="shared" si="46"/>
        <v>10.701000000000001</v>
      </c>
      <c r="BP69" s="278">
        <f t="shared" si="47"/>
        <v>17.731999999999999</v>
      </c>
      <c r="BQ69" s="251">
        <f t="shared" si="48"/>
        <v>10.992000000000001</v>
      </c>
      <c r="BR69" s="279">
        <f t="shared" si="49"/>
        <v>17.349999999999998</v>
      </c>
      <c r="BS69" s="244">
        <f t="shared" si="50"/>
        <v>14.2165</v>
      </c>
      <c r="BT69" s="246">
        <f t="shared" si="51"/>
        <v>14.170999999999999</v>
      </c>
      <c r="BU69" s="280">
        <f t="shared" si="52"/>
        <v>14.19375</v>
      </c>
    </row>
    <row r="70" spans="1:73" ht="30" x14ac:dyDescent="0.25">
      <c r="A70" s="41" t="s">
        <v>10</v>
      </c>
      <c r="B70" s="41" t="s">
        <v>21</v>
      </c>
      <c r="C70" s="60" t="s">
        <v>22</v>
      </c>
      <c r="D70" s="92" t="s">
        <v>45</v>
      </c>
      <c r="E70" s="92" t="s">
        <v>46</v>
      </c>
      <c r="F70" s="92" t="s">
        <v>44</v>
      </c>
      <c r="G70" s="49">
        <f t="shared" si="43"/>
        <v>0.66</v>
      </c>
      <c r="H70" s="49">
        <f t="shared" si="41"/>
        <v>0.33</v>
      </c>
      <c r="I70" s="49">
        <f t="shared" si="41"/>
        <v>1</v>
      </c>
      <c r="J70" s="83">
        <f t="shared" si="44"/>
        <v>12.425000000000001</v>
      </c>
      <c r="K70" s="26">
        <v>0.44000000000000006</v>
      </c>
      <c r="L70">
        <v>0.55000000000000004</v>
      </c>
      <c r="M70">
        <v>0.77</v>
      </c>
      <c r="N70" s="27">
        <v>1</v>
      </c>
      <c r="O70" s="26">
        <v>0.47000000000000003</v>
      </c>
      <c r="P70">
        <v>0.55000000000000004</v>
      </c>
      <c r="Q70">
        <v>0.77</v>
      </c>
      <c r="R70" s="27">
        <v>0.92</v>
      </c>
      <c r="S70" s="26">
        <v>0</v>
      </c>
      <c r="T70">
        <v>0.22000000000000003</v>
      </c>
      <c r="U70">
        <v>0.44</v>
      </c>
      <c r="V70" s="27">
        <v>0.55000000000000004</v>
      </c>
      <c r="W70" s="26">
        <v>0.06</v>
      </c>
      <c r="X70">
        <v>0.22000000000000003</v>
      </c>
      <c r="Y70" s="245">
        <v>0.44</v>
      </c>
      <c r="Z70" s="246">
        <v>0.52</v>
      </c>
      <c r="AA70" s="244">
        <v>0.77</v>
      </c>
      <c r="AB70" s="245">
        <v>1</v>
      </c>
      <c r="AC70" s="245">
        <v>1</v>
      </c>
      <c r="AD70" s="246">
        <v>1</v>
      </c>
      <c r="AE70" s="244">
        <v>0.83</v>
      </c>
      <c r="AF70" s="245">
        <v>1</v>
      </c>
      <c r="AG70" s="245">
        <v>1</v>
      </c>
      <c r="AH70" s="246">
        <v>1</v>
      </c>
      <c r="AI70" s="244">
        <v>2.2549999999999999</v>
      </c>
      <c r="AJ70" s="245">
        <v>3.8500000000000005</v>
      </c>
      <c r="AK70" s="245">
        <v>6.16</v>
      </c>
      <c r="AL70" s="246">
        <v>9.1550000000000011</v>
      </c>
      <c r="AM70" s="244">
        <v>2.7399999999999993</v>
      </c>
      <c r="AN70" s="245">
        <v>3.8500000000000005</v>
      </c>
      <c r="AO70" s="245">
        <v>6.16</v>
      </c>
      <c r="AP70" s="246">
        <v>8.129999999999999</v>
      </c>
      <c r="AQ70" s="244">
        <v>0</v>
      </c>
      <c r="AR70" s="245">
        <v>1.5400000000000003</v>
      </c>
      <c r="AS70" s="245">
        <v>3.52</v>
      </c>
      <c r="AT70" s="245">
        <v>5.0600000000000005</v>
      </c>
      <c r="AU70" s="244">
        <v>0.19999999999999996</v>
      </c>
      <c r="AV70" s="245">
        <v>1.5400000000000003</v>
      </c>
      <c r="AW70" s="245">
        <v>3.52</v>
      </c>
      <c r="AX70" s="246">
        <v>4.6000000000000014</v>
      </c>
      <c r="AY70" s="244">
        <v>1.9649999999999999</v>
      </c>
      <c r="AZ70" s="245">
        <v>4.5</v>
      </c>
      <c r="BA70" s="245">
        <v>5.5</v>
      </c>
      <c r="BB70" s="245">
        <v>7</v>
      </c>
      <c r="BC70" s="244">
        <v>2.7349999999999994</v>
      </c>
      <c r="BD70" s="245">
        <v>4.5</v>
      </c>
      <c r="BE70" s="245">
        <v>5.5</v>
      </c>
      <c r="BF70" s="246">
        <v>6.5</v>
      </c>
      <c r="BG70" s="244">
        <f t="shared" si="45"/>
        <v>4.22</v>
      </c>
      <c r="BH70" s="245">
        <f t="shared" si="42"/>
        <v>9.89</v>
      </c>
      <c r="BI70" s="245">
        <f t="shared" si="42"/>
        <v>15.18</v>
      </c>
      <c r="BJ70" s="245">
        <f t="shared" si="42"/>
        <v>21.215000000000003</v>
      </c>
      <c r="BK70" s="244">
        <f t="shared" si="42"/>
        <v>5.6749999999999989</v>
      </c>
      <c r="BL70" s="245">
        <f t="shared" si="42"/>
        <v>9.89</v>
      </c>
      <c r="BM70" s="245">
        <f t="shared" si="42"/>
        <v>15.18</v>
      </c>
      <c r="BN70" s="245">
        <f t="shared" si="42"/>
        <v>19.23</v>
      </c>
      <c r="BO70" s="251">
        <f t="shared" si="46"/>
        <v>8.7560000000000002</v>
      </c>
      <c r="BP70" s="278">
        <f t="shared" si="47"/>
        <v>16.387</v>
      </c>
      <c r="BQ70" s="251">
        <f t="shared" si="48"/>
        <v>9.0470000000000006</v>
      </c>
      <c r="BR70" s="279">
        <f t="shared" si="49"/>
        <v>15.989999999999998</v>
      </c>
      <c r="BS70" s="244">
        <f t="shared" si="50"/>
        <v>12.5715</v>
      </c>
      <c r="BT70" s="246">
        <f t="shared" si="51"/>
        <v>12.5185</v>
      </c>
      <c r="BU70" s="280">
        <f t="shared" si="52"/>
        <v>12.545</v>
      </c>
    </row>
    <row r="71" spans="1:73" ht="36.75" customHeight="1" x14ac:dyDescent="0.25">
      <c r="A71" s="41" t="s">
        <v>11</v>
      </c>
      <c r="B71" s="41" t="s">
        <v>23</v>
      </c>
      <c r="C71" s="60" t="s">
        <v>34</v>
      </c>
      <c r="D71" s="92" t="s">
        <v>46</v>
      </c>
      <c r="E71" s="92" t="s">
        <v>44</v>
      </c>
      <c r="F71" s="92" t="s">
        <v>45</v>
      </c>
      <c r="G71" s="49">
        <f t="shared" si="43"/>
        <v>0.33</v>
      </c>
      <c r="H71" s="49">
        <f t="shared" si="41"/>
        <v>1</v>
      </c>
      <c r="I71" s="49">
        <f t="shared" si="41"/>
        <v>0.66</v>
      </c>
      <c r="J71" s="83">
        <f t="shared" si="44"/>
        <v>13.275</v>
      </c>
      <c r="K71" s="26">
        <v>0</v>
      </c>
      <c r="L71">
        <v>0.22000000000000003</v>
      </c>
      <c r="M71">
        <v>0.44</v>
      </c>
      <c r="N71" s="27">
        <v>0.55000000000000004</v>
      </c>
      <c r="O71" s="26">
        <v>0.06</v>
      </c>
      <c r="P71">
        <v>0.22000000000000003</v>
      </c>
      <c r="Q71">
        <v>0.44</v>
      </c>
      <c r="R71" s="27">
        <v>0.52</v>
      </c>
      <c r="S71" s="26">
        <v>0.77</v>
      </c>
      <c r="T71">
        <v>1</v>
      </c>
      <c r="U71">
        <v>1</v>
      </c>
      <c r="V71" s="27">
        <v>1</v>
      </c>
      <c r="W71" s="26">
        <v>0.83</v>
      </c>
      <c r="X71">
        <v>1</v>
      </c>
      <c r="Y71" s="245">
        <v>1</v>
      </c>
      <c r="Z71" s="246">
        <v>1</v>
      </c>
      <c r="AA71" s="244">
        <v>0.44000000000000006</v>
      </c>
      <c r="AB71" s="245">
        <v>0.55000000000000004</v>
      </c>
      <c r="AC71" s="245">
        <v>0.77</v>
      </c>
      <c r="AD71" s="246">
        <v>1</v>
      </c>
      <c r="AE71" s="244">
        <v>0.47000000000000003</v>
      </c>
      <c r="AF71" s="245">
        <v>0.55000000000000004</v>
      </c>
      <c r="AG71" s="245">
        <v>0.77</v>
      </c>
      <c r="AH71" s="246">
        <v>0.92</v>
      </c>
      <c r="AI71" s="244">
        <v>0</v>
      </c>
      <c r="AJ71" s="245">
        <v>1.5400000000000003</v>
      </c>
      <c r="AK71" s="245">
        <v>3.52</v>
      </c>
      <c r="AL71" s="246">
        <v>5.0600000000000005</v>
      </c>
      <c r="AM71" s="244">
        <v>0.19999999999999996</v>
      </c>
      <c r="AN71" s="245">
        <v>1.5400000000000003</v>
      </c>
      <c r="AO71" s="245">
        <v>3.52</v>
      </c>
      <c r="AP71" s="246">
        <v>4.6000000000000014</v>
      </c>
      <c r="AQ71" s="244">
        <v>3.8900000000000006</v>
      </c>
      <c r="AR71" s="245">
        <v>7</v>
      </c>
      <c r="AS71" s="245">
        <v>8</v>
      </c>
      <c r="AT71" s="245">
        <v>9.5</v>
      </c>
      <c r="AU71" s="244">
        <v>4.8099999999999987</v>
      </c>
      <c r="AV71" s="245">
        <v>7</v>
      </c>
      <c r="AW71" s="245">
        <v>8</v>
      </c>
      <c r="AX71" s="246">
        <v>9</v>
      </c>
      <c r="AY71" s="244">
        <v>1.1550000000000002</v>
      </c>
      <c r="AZ71" s="245">
        <v>2.4750000000000001</v>
      </c>
      <c r="BA71" s="245">
        <v>4.2350000000000003</v>
      </c>
      <c r="BB71" s="245">
        <v>6.6550000000000002</v>
      </c>
      <c r="BC71" s="244">
        <v>1.5650000000000008</v>
      </c>
      <c r="BD71" s="245">
        <v>2.4750000000000001</v>
      </c>
      <c r="BE71" s="245">
        <v>4.2350000000000003</v>
      </c>
      <c r="BF71" s="246">
        <v>5.830000000000001</v>
      </c>
      <c r="BG71" s="244">
        <f t="shared" si="45"/>
        <v>5.0450000000000008</v>
      </c>
      <c r="BH71" s="245">
        <f t="shared" si="42"/>
        <v>11.015000000000001</v>
      </c>
      <c r="BI71" s="245">
        <f t="shared" si="42"/>
        <v>15.754999999999999</v>
      </c>
      <c r="BJ71" s="245">
        <f t="shared" si="42"/>
        <v>21.215</v>
      </c>
      <c r="BK71" s="244">
        <f t="shared" si="42"/>
        <v>6.5749999999999993</v>
      </c>
      <c r="BL71" s="245">
        <f t="shared" si="42"/>
        <v>11.015000000000001</v>
      </c>
      <c r="BM71" s="245">
        <f t="shared" si="42"/>
        <v>15.754999999999999</v>
      </c>
      <c r="BN71" s="245">
        <f t="shared" si="42"/>
        <v>19.430000000000003</v>
      </c>
      <c r="BO71" s="251">
        <f t="shared" si="46"/>
        <v>9.8210000000000015</v>
      </c>
      <c r="BP71" s="278">
        <f t="shared" si="47"/>
        <v>16.846999999999998</v>
      </c>
      <c r="BQ71" s="251">
        <f t="shared" si="48"/>
        <v>10.127000000000001</v>
      </c>
      <c r="BR71" s="279">
        <f t="shared" si="49"/>
        <v>16.489999999999998</v>
      </c>
      <c r="BS71" s="244">
        <f t="shared" si="50"/>
        <v>13.334</v>
      </c>
      <c r="BT71" s="246">
        <f t="shared" si="51"/>
        <v>13.308499999999999</v>
      </c>
      <c r="BU71" s="280">
        <f t="shared" si="52"/>
        <v>13.321249999999999</v>
      </c>
    </row>
    <row r="72" spans="1:73" ht="30.75" thickBot="1" x14ac:dyDescent="0.3">
      <c r="A72" s="41" t="s">
        <v>12</v>
      </c>
      <c r="B72" s="41" t="s">
        <v>24</v>
      </c>
      <c r="C72" s="60" t="s">
        <v>35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30">
        <v>0</v>
      </c>
      <c r="L72" s="32">
        <v>0.22000000000000003</v>
      </c>
      <c r="M72" s="32">
        <v>0.44</v>
      </c>
      <c r="N72" s="33">
        <v>0.55000000000000004</v>
      </c>
      <c r="O72" s="30">
        <v>0.06</v>
      </c>
      <c r="P72" s="32">
        <v>0.22000000000000003</v>
      </c>
      <c r="Q72" s="32">
        <v>0.44</v>
      </c>
      <c r="R72" s="33">
        <v>0.52</v>
      </c>
      <c r="S72" s="30">
        <v>0.77</v>
      </c>
      <c r="T72" s="32">
        <v>1</v>
      </c>
      <c r="U72" s="32">
        <v>1</v>
      </c>
      <c r="V72" s="33">
        <v>1</v>
      </c>
      <c r="W72" s="30">
        <v>0.83</v>
      </c>
      <c r="X72" s="32">
        <v>1</v>
      </c>
      <c r="Y72" s="248">
        <v>1</v>
      </c>
      <c r="Z72" s="249">
        <v>1</v>
      </c>
      <c r="AA72" s="247">
        <v>0.44000000000000006</v>
      </c>
      <c r="AB72" s="248">
        <v>0.55000000000000004</v>
      </c>
      <c r="AC72" s="248">
        <v>0.77</v>
      </c>
      <c r="AD72" s="249">
        <v>1</v>
      </c>
      <c r="AE72" s="247">
        <v>0.47000000000000003</v>
      </c>
      <c r="AF72" s="248">
        <v>0.55000000000000004</v>
      </c>
      <c r="AG72" s="248">
        <v>0.77</v>
      </c>
      <c r="AH72" s="249">
        <v>0.92</v>
      </c>
      <c r="AI72" s="247">
        <v>0</v>
      </c>
      <c r="AJ72" s="248">
        <v>1.5400000000000003</v>
      </c>
      <c r="AK72" s="248">
        <v>3.52</v>
      </c>
      <c r="AL72" s="249">
        <v>5.0600000000000005</v>
      </c>
      <c r="AM72" s="247">
        <v>0.19999999999999996</v>
      </c>
      <c r="AN72" s="248">
        <v>1.5400000000000003</v>
      </c>
      <c r="AO72" s="248">
        <v>3.52</v>
      </c>
      <c r="AP72" s="249">
        <v>4.6000000000000014</v>
      </c>
      <c r="AQ72" s="247">
        <v>3.8900000000000006</v>
      </c>
      <c r="AR72" s="248">
        <v>7</v>
      </c>
      <c r="AS72" s="248">
        <v>8</v>
      </c>
      <c r="AT72" s="248">
        <v>9.5</v>
      </c>
      <c r="AU72" s="247">
        <v>4.8099999999999987</v>
      </c>
      <c r="AV72" s="248">
        <v>7</v>
      </c>
      <c r="AW72" s="248">
        <v>8</v>
      </c>
      <c r="AX72" s="249">
        <v>9</v>
      </c>
      <c r="AY72" s="247">
        <v>1.1550000000000002</v>
      </c>
      <c r="AZ72" s="248">
        <v>2.4750000000000001</v>
      </c>
      <c r="BA72" s="248">
        <v>4.2350000000000003</v>
      </c>
      <c r="BB72" s="248">
        <v>6.6550000000000002</v>
      </c>
      <c r="BC72" s="247">
        <v>1.5650000000000008</v>
      </c>
      <c r="BD72" s="248">
        <v>2.4750000000000001</v>
      </c>
      <c r="BE72" s="248">
        <v>4.2350000000000003</v>
      </c>
      <c r="BF72" s="249">
        <v>5.830000000000001</v>
      </c>
      <c r="BG72" s="247">
        <f t="shared" si="45"/>
        <v>5.0450000000000008</v>
      </c>
      <c r="BH72" s="248">
        <f t="shared" si="42"/>
        <v>11.015000000000001</v>
      </c>
      <c r="BI72" s="248">
        <f t="shared" si="42"/>
        <v>15.754999999999999</v>
      </c>
      <c r="BJ72" s="248">
        <f t="shared" si="42"/>
        <v>21.215</v>
      </c>
      <c r="BK72" s="247">
        <f t="shared" si="42"/>
        <v>6.5749999999999993</v>
      </c>
      <c r="BL72" s="248">
        <f t="shared" si="42"/>
        <v>11.015000000000001</v>
      </c>
      <c r="BM72" s="248">
        <f t="shared" si="42"/>
        <v>15.754999999999999</v>
      </c>
      <c r="BN72" s="248">
        <f t="shared" si="42"/>
        <v>19.430000000000003</v>
      </c>
      <c r="BO72" s="252">
        <f t="shared" si="46"/>
        <v>9.8210000000000015</v>
      </c>
      <c r="BP72" s="281">
        <f t="shared" si="47"/>
        <v>16.846999999999998</v>
      </c>
      <c r="BQ72" s="252">
        <f t="shared" si="48"/>
        <v>10.127000000000001</v>
      </c>
      <c r="BR72" s="282">
        <f t="shared" si="49"/>
        <v>16.489999999999998</v>
      </c>
      <c r="BS72" s="247">
        <f t="shared" si="50"/>
        <v>13.334</v>
      </c>
      <c r="BT72" s="249">
        <f t="shared" si="51"/>
        <v>13.308499999999999</v>
      </c>
      <c r="BU72" s="283">
        <f t="shared" si="52"/>
        <v>13.321249999999999</v>
      </c>
    </row>
    <row r="73" spans="1:73" x14ac:dyDescent="0.25">
      <c r="BF73" s="284"/>
      <c r="BG73" s="285"/>
      <c r="BH73" s="285"/>
      <c r="BI73" s="285"/>
      <c r="BJ73" s="285"/>
      <c r="BK73" s="285"/>
    </row>
    <row r="74" spans="1:73" x14ac:dyDescent="0.25">
      <c r="A74" s="1" t="s">
        <v>124</v>
      </c>
      <c r="B74" s="1"/>
    </row>
    <row r="75" spans="1:73" ht="15.75" thickBot="1" x14ac:dyDescent="0.3">
      <c r="A75" s="46" t="s">
        <v>43</v>
      </c>
      <c r="B75" s="47" t="s">
        <v>55</v>
      </c>
      <c r="E75" s="51" t="s">
        <v>3</v>
      </c>
      <c r="I75" t="s">
        <v>4</v>
      </c>
    </row>
    <row r="76" spans="1:73" x14ac:dyDescent="0.25">
      <c r="A76" s="45" t="s">
        <v>47</v>
      </c>
      <c r="B76" s="2">
        <v>0</v>
      </c>
      <c r="C76" s="18">
        <v>0</v>
      </c>
      <c r="D76" s="19" t="s">
        <v>47</v>
      </c>
      <c r="E76" s="20">
        <v>0</v>
      </c>
      <c r="F76" s="21">
        <f>C76</f>
        <v>0</v>
      </c>
      <c r="G76" s="22">
        <v>0</v>
      </c>
      <c r="H76" s="23">
        <v>0.22</v>
      </c>
      <c r="I76" s="24">
        <v>0</v>
      </c>
      <c r="J76" s="22">
        <f>F76</f>
        <v>0</v>
      </c>
      <c r="K76" s="22">
        <f>G76</f>
        <v>0</v>
      </c>
      <c r="L76" s="25">
        <v>0.15</v>
      </c>
    </row>
    <row r="77" spans="1:73" x14ac:dyDescent="0.25">
      <c r="A77" s="45" t="s">
        <v>46</v>
      </c>
      <c r="B77" s="2">
        <v>0.33</v>
      </c>
      <c r="C77" s="18">
        <v>0.33</v>
      </c>
      <c r="D77" s="19" t="s">
        <v>46</v>
      </c>
      <c r="E77" s="26">
        <v>0</v>
      </c>
      <c r="F77" s="50">
        <f>C77-0.11</f>
        <v>0.22000000000000003</v>
      </c>
      <c r="G77">
        <f>C77+0.11</f>
        <v>0.44</v>
      </c>
      <c r="H77" s="27">
        <f t="shared" ref="H77" si="53">G77+0.11</f>
        <v>0.55000000000000004</v>
      </c>
      <c r="I77" s="28">
        <v>0.06</v>
      </c>
      <c r="J77">
        <f t="shared" ref="J77:K79" si="54">F77</f>
        <v>0.22000000000000003</v>
      </c>
      <c r="K77">
        <f t="shared" si="54"/>
        <v>0.44</v>
      </c>
      <c r="L77" s="29">
        <f t="shared" ref="L77" si="55">K77+0.08</f>
        <v>0.52</v>
      </c>
    </row>
    <row r="78" spans="1:73" x14ac:dyDescent="0.25">
      <c r="A78" s="45" t="s">
        <v>45</v>
      </c>
      <c r="B78" s="2">
        <v>0.66</v>
      </c>
      <c r="C78" s="18">
        <v>0.66</v>
      </c>
      <c r="D78" s="19" t="s">
        <v>45</v>
      </c>
      <c r="E78" s="26">
        <f t="shared" ref="E78" si="56">F78-0.11</f>
        <v>0.44000000000000006</v>
      </c>
      <c r="F78" s="50">
        <f t="shared" ref="F78" si="57">C78-0.11</f>
        <v>0.55000000000000004</v>
      </c>
      <c r="G78">
        <f t="shared" ref="G78" si="58">C78+0.11</f>
        <v>0.77</v>
      </c>
      <c r="H78" s="27">
        <v>1</v>
      </c>
      <c r="I78" s="28">
        <f t="shared" ref="I78" si="59">J78-0.08</f>
        <v>0.47000000000000003</v>
      </c>
      <c r="J78">
        <f t="shared" si="54"/>
        <v>0.55000000000000004</v>
      </c>
      <c r="K78">
        <f t="shared" si="54"/>
        <v>0.77</v>
      </c>
      <c r="L78" s="29">
        <v>0.92</v>
      </c>
    </row>
    <row r="79" spans="1:73" ht="15.75" thickBot="1" x14ac:dyDescent="0.3">
      <c r="A79" s="45" t="s">
        <v>44</v>
      </c>
      <c r="B79" s="2">
        <v>1</v>
      </c>
      <c r="C79" s="18">
        <v>1</v>
      </c>
      <c r="D79" s="19" t="s">
        <v>44</v>
      </c>
      <c r="E79" s="30">
        <v>0.77</v>
      </c>
      <c r="F79" s="31">
        <v>1</v>
      </c>
      <c r="G79" s="32">
        <v>1</v>
      </c>
      <c r="H79" s="33">
        <v>1</v>
      </c>
      <c r="I79" s="34">
        <v>0.83</v>
      </c>
      <c r="J79" s="32">
        <f t="shared" si="54"/>
        <v>1</v>
      </c>
      <c r="K79" s="32">
        <f t="shared" si="54"/>
        <v>1</v>
      </c>
      <c r="L79" s="35">
        <v>1</v>
      </c>
    </row>
    <row r="80" spans="1:73" x14ac:dyDescent="0.25">
      <c r="A80" s="38"/>
    </row>
    <row r="81" spans="1:12" x14ac:dyDescent="0.25">
      <c r="A81" s="1" t="s">
        <v>125</v>
      </c>
    </row>
    <row r="82" spans="1:12" ht="15.75" thickBot="1" x14ac:dyDescent="0.3">
      <c r="A82" s="46" t="s">
        <v>43</v>
      </c>
      <c r="B82" s="47" t="s">
        <v>56</v>
      </c>
      <c r="E82" s="51" t="s">
        <v>3</v>
      </c>
      <c r="I82" t="s">
        <v>4</v>
      </c>
    </row>
    <row r="83" spans="1:12" x14ac:dyDescent="0.25">
      <c r="A83" s="45" t="s">
        <v>47</v>
      </c>
      <c r="B83" s="2">
        <v>1</v>
      </c>
      <c r="C83" s="18">
        <v>1</v>
      </c>
      <c r="D83" s="19" t="s">
        <v>47</v>
      </c>
      <c r="E83" s="20">
        <v>0</v>
      </c>
      <c r="F83" s="21">
        <v>0.5</v>
      </c>
      <c r="G83" s="22">
        <v>1.5</v>
      </c>
      <c r="H83" s="23">
        <v>2</v>
      </c>
      <c r="I83" s="24">
        <v>0</v>
      </c>
      <c r="J83" s="22">
        <f>F83</f>
        <v>0.5</v>
      </c>
      <c r="K83" s="22">
        <f>G83</f>
        <v>1.5</v>
      </c>
      <c r="L83" s="25">
        <v>1.8</v>
      </c>
    </row>
    <row r="84" spans="1:12" x14ac:dyDescent="0.25">
      <c r="A84" s="45" t="s">
        <v>46</v>
      </c>
      <c r="B84" s="2">
        <v>2.5</v>
      </c>
      <c r="C84" s="18">
        <v>2.5</v>
      </c>
      <c r="D84" s="19" t="s">
        <v>46</v>
      </c>
      <c r="E84" s="26">
        <v>1.5</v>
      </c>
      <c r="F84" s="50">
        <f>C84-0.5</f>
        <v>2</v>
      </c>
      <c r="G84">
        <f>C84+0.5</f>
        <v>3</v>
      </c>
      <c r="H84" s="27">
        <f t="shared" ref="H84:H86" si="60">G84+1.5</f>
        <v>4.5</v>
      </c>
      <c r="I84" s="28">
        <v>1.7</v>
      </c>
      <c r="J84">
        <f t="shared" ref="J84:K86" si="61">F84</f>
        <v>2</v>
      </c>
      <c r="K84">
        <f t="shared" si="61"/>
        <v>3</v>
      </c>
      <c r="L84" s="29">
        <f t="shared" ref="L84:L86" si="62">K84+1</f>
        <v>4</v>
      </c>
    </row>
    <row r="85" spans="1:12" x14ac:dyDescent="0.25">
      <c r="A85" s="45" t="s">
        <v>45</v>
      </c>
      <c r="B85" s="2">
        <v>5</v>
      </c>
      <c r="C85" s="18">
        <v>5</v>
      </c>
      <c r="D85" s="19" t="s">
        <v>45</v>
      </c>
      <c r="E85" s="26">
        <f t="shared" ref="E85:E86" si="63">F85-1.5</f>
        <v>3</v>
      </c>
      <c r="F85" s="50">
        <f>C85-0.5</f>
        <v>4.5</v>
      </c>
      <c r="G85">
        <f>C85+0.5</f>
        <v>5.5</v>
      </c>
      <c r="H85" s="27">
        <f t="shared" si="60"/>
        <v>7</v>
      </c>
      <c r="I85" s="28">
        <f t="shared" ref="I85:I86" si="64">J85-1</f>
        <v>3.5</v>
      </c>
      <c r="J85">
        <f t="shared" si="61"/>
        <v>4.5</v>
      </c>
      <c r="K85">
        <f t="shared" si="61"/>
        <v>5.5</v>
      </c>
      <c r="L85" s="29">
        <f t="shared" si="62"/>
        <v>6.5</v>
      </c>
    </row>
    <row r="86" spans="1:12" ht="15.75" thickBot="1" x14ac:dyDescent="0.3">
      <c r="A86" s="45" t="s">
        <v>44</v>
      </c>
      <c r="B86" s="2">
        <v>7.5</v>
      </c>
      <c r="C86" s="18">
        <v>7.5</v>
      </c>
      <c r="D86" s="19" t="s">
        <v>44</v>
      </c>
      <c r="E86" s="30">
        <f t="shared" si="63"/>
        <v>5.5</v>
      </c>
      <c r="F86" s="31">
        <f>C86-0.5</f>
        <v>7</v>
      </c>
      <c r="G86" s="32">
        <f>C86+0.5</f>
        <v>8</v>
      </c>
      <c r="H86" s="33">
        <f t="shared" si="60"/>
        <v>9.5</v>
      </c>
      <c r="I86" s="34">
        <f t="shared" si="64"/>
        <v>6</v>
      </c>
      <c r="J86" s="32">
        <f t="shared" si="61"/>
        <v>7</v>
      </c>
      <c r="K86" s="32">
        <f t="shared" si="61"/>
        <v>8</v>
      </c>
      <c r="L86" s="35">
        <f t="shared" si="62"/>
        <v>9</v>
      </c>
    </row>
    <row r="88" spans="1:12" ht="15.75" thickBot="1" x14ac:dyDescent="0.3">
      <c r="A88" s="1" t="s">
        <v>126</v>
      </c>
    </row>
    <row r="89" spans="1:12" ht="67.5" customHeight="1" thickBot="1" x14ac:dyDescent="0.3">
      <c r="A89" s="53" t="s">
        <v>53</v>
      </c>
      <c r="B89" s="52" t="s">
        <v>39</v>
      </c>
      <c r="C89" s="54" t="s">
        <v>48</v>
      </c>
      <c r="D89" s="55" t="s">
        <v>127</v>
      </c>
      <c r="E89" s="217" t="s">
        <v>57</v>
      </c>
      <c r="F89" s="218"/>
      <c r="G89" s="218"/>
      <c r="H89" s="218"/>
      <c r="I89" s="218"/>
      <c r="J89" s="218"/>
      <c r="K89" s="218"/>
      <c r="L89" s="219"/>
    </row>
    <row r="90" spans="1:12" x14ac:dyDescent="0.25">
      <c r="A90" s="64" t="s">
        <v>50</v>
      </c>
      <c r="B90" s="56" t="s">
        <v>40</v>
      </c>
      <c r="C90" s="57" t="s">
        <v>44</v>
      </c>
      <c r="D90" s="86">
        <v>7.5</v>
      </c>
      <c r="E90" s="26">
        <v>5.5</v>
      </c>
      <c r="F90" s="50">
        <v>7</v>
      </c>
      <c r="G90">
        <v>8</v>
      </c>
      <c r="H90" s="27">
        <v>9.5</v>
      </c>
      <c r="I90" s="28">
        <v>6</v>
      </c>
      <c r="J90">
        <v>7</v>
      </c>
      <c r="K90">
        <v>8</v>
      </c>
      <c r="L90" s="29">
        <v>9</v>
      </c>
    </row>
    <row r="91" spans="1:12" x14ac:dyDescent="0.25">
      <c r="A91" s="65" t="s">
        <v>51</v>
      </c>
      <c r="B91" s="43" t="s">
        <v>41</v>
      </c>
      <c r="C91" s="2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ht="15.75" thickBot="1" x14ac:dyDescent="0.3">
      <c r="A92" s="66" t="s">
        <v>52</v>
      </c>
      <c r="B92" s="58" t="s">
        <v>42</v>
      </c>
      <c r="C92" s="59" t="s">
        <v>45</v>
      </c>
      <c r="D92" s="86">
        <v>5</v>
      </c>
      <c r="E92" s="30">
        <v>3</v>
      </c>
      <c r="F92" s="31">
        <v>4.5</v>
      </c>
      <c r="G92" s="32">
        <v>5.5</v>
      </c>
      <c r="H92" s="33">
        <v>7</v>
      </c>
      <c r="I92" s="34">
        <v>3.5</v>
      </c>
      <c r="J92" s="32">
        <v>4.5</v>
      </c>
      <c r="K92" s="32">
        <v>5.5</v>
      </c>
      <c r="L92" s="35">
        <v>6.5</v>
      </c>
    </row>
    <row r="94" spans="1:12" ht="15.75" thickBot="1" x14ac:dyDescent="0.3">
      <c r="A94" s="1" t="s">
        <v>128</v>
      </c>
    </row>
    <row r="95" spans="1:12" ht="30.75" thickBot="1" x14ac:dyDescent="0.3">
      <c r="A95" s="67" t="s">
        <v>63</v>
      </c>
      <c r="B95" s="68" t="s">
        <v>64</v>
      </c>
      <c r="E95" s="217" t="s">
        <v>65</v>
      </c>
      <c r="F95" s="218"/>
      <c r="G95" s="218"/>
      <c r="H95" s="218"/>
      <c r="I95" s="218"/>
      <c r="J95" s="218"/>
      <c r="K95" s="218"/>
      <c r="L95" s="219"/>
    </row>
    <row r="96" spans="1:12" x14ac:dyDescent="0.25">
      <c r="A96" s="64" t="s">
        <v>60</v>
      </c>
      <c r="B96" s="69" t="s">
        <v>47</v>
      </c>
      <c r="D96" s="72" t="s">
        <v>69</v>
      </c>
      <c r="E96" s="241">
        <f>E76*F$90+E$90*F76-F76*F$90</f>
        <v>0</v>
      </c>
      <c r="F96" s="242">
        <f>F76*F$90</f>
        <v>0</v>
      </c>
      <c r="G96" s="242">
        <f>G76*G$90</f>
        <v>0</v>
      </c>
      <c r="H96" s="243">
        <f>G76*H$90+G$90*H76-G76*G$90</f>
        <v>1.76</v>
      </c>
      <c r="I96" s="241">
        <f>I76*J$90+I$90*J76-J76*J$90</f>
        <v>0</v>
      </c>
      <c r="J96" s="242">
        <f>J76*J$90</f>
        <v>0</v>
      </c>
      <c r="K96" s="242">
        <f>K76*K$90</f>
        <v>0</v>
      </c>
      <c r="L96" s="243">
        <f>K76*L$90+K$90*L76-K76*K$90</f>
        <v>1.2</v>
      </c>
    </row>
    <row r="97" spans="1:67" x14ac:dyDescent="0.25">
      <c r="A97" s="65" t="s">
        <v>60</v>
      </c>
      <c r="B97" s="70" t="s">
        <v>46</v>
      </c>
      <c r="D97" s="73" t="s">
        <v>68</v>
      </c>
      <c r="E97" s="244">
        <f>IF(E77*F$90+E$90*F77-F77*F$90&lt;0,0,E77*F$90+E$90*F77-F77*F$90)</f>
        <v>0</v>
      </c>
      <c r="F97" s="245">
        <f t="shared" ref="F97:G99" si="65">F77*F$90</f>
        <v>1.5400000000000003</v>
      </c>
      <c r="G97" s="245">
        <f t="shared" si="65"/>
        <v>3.52</v>
      </c>
      <c r="H97" s="246">
        <f t="shared" ref="H97:H99" si="66">G77*H$90+G$90*H77-G77*G$90</f>
        <v>5.0600000000000005</v>
      </c>
      <c r="I97" s="244">
        <f t="shared" ref="I97:I99" si="67">I77*J$90+I$90*J77-J77*J$90</f>
        <v>0.19999999999999996</v>
      </c>
      <c r="J97" s="245">
        <f t="shared" ref="J97:K99" si="68">J77*J$90</f>
        <v>1.5400000000000003</v>
      </c>
      <c r="K97" s="245">
        <f t="shared" si="68"/>
        <v>3.52</v>
      </c>
      <c r="L97" s="246">
        <f t="shared" ref="L97:L99" si="69">K77*L$90+K$90*L77-K77*K$90</f>
        <v>4.6000000000000014</v>
      </c>
    </row>
    <row r="98" spans="1:67" x14ac:dyDescent="0.25">
      <c r="A98" s="65" t="s">
        <v>60</v>
      </c>
      <c r="B98" s="70" t="s">
        <v>45</v>
      </c>
      <c r="D98" s="73" t="s">
        <v>67</v>
      </c>
      <c r="E98" s="244">
        <f t="shared" ref="E98:E99" si="70">E78*F$90+E$90*F78-F78*F$90</f>
        <v>2.2549999999999999</v>
      </c>
      <c r="F98" s="245">
        <f t="shared" si="65"/>
        <v>3.8500000000000005</v>
      </c>
      <c r="G98" s="245">
        <f t="shared" si="65"/>
        <v>6.16</v>
      </c>
      <c r="H98" s="246">
        <f t="shared" si="66"/>
        <v>9.1550000000000011</v>
      </c>
      <c r="I98" s="244">
        <f t="shared" si="67"/>
        <v>2.7399999999999993</v>
      </c>
      <c r="J98" s="245">
        <f t="shared" si="68"/>
        <v>3.8500000000000005</v>
      </c>
      <c r="K98" s="245">
        <f t="shared" si="68"/>
        <v>6.16</v>
      </c>
      <c r="L98" s="246">
        <f t="shared" si="69"/>
        <v>8.129999999999999</v>
      </c>
    </row>
    <row r="99" spans="1:67" ht="15.75" thickBot="1" x14ac:dyDescent="0.3">
      <c r="A99" s="66" t="s">
        <v>60</v>
      </c>
      <c r="B99" s="71" t="s">
        <v>44</v>
      </c>
      <c r="D99" s="74" t="s">
        <v>66</v>
      </c>
      <c r="E99" s="247">
        <f t="shared" si="70"/>
        <v>3.8900000000000006</v>
      </c>
      <c r="F99" s="248">
        <f t="shared" si="65"/>
        <v>7</v>
      </c>
      <c r="G99" s="248">
        <f t="shared" si="65"/>
        <v>8</v>
      </c>
      <c r="H99" s="249">
        <f t="shared" si="66"/>
        <v>9.5</v>
      </c>
      <c r="I99" s="247">
        <f t="shared" si="67"/>
        <v>4.8099999999999987</v>
      </c>
      <c r="J99" s="248">
        <f t="shared" si="68"/>
        <v>7</v>
      </c>
      <c r="K99" s="248">
        <f t="shared" si="68"/>
        <v>8</v>
      </c>
      <c r="L99" s="249">
        <f t="shared" si="69"/>
        <v>9</v>
      </c>
    </row>
    <row r="100" spans="1:67" x14ac:dyDescent="0.25">
      <c r="A100" s="64" t="s">
        <v>61</v>
      </c>
      <c r="B100" s="69" t="s">
        <v>47</v>
      </c>
      <c r="D100" s="72" t="s">
        <v>70</v>
      </c>
      <c r="E100" s="241">
        <f>E76*F$91+E$91*F76-F76*F$91</f>
        <v>0</v>
      </c>
      <c r="F100" s="242">
        <f>F76*F$91</f>
        <v>0</v>
      </c>
      <c r="G100" s="242">
        <f>G76*G$91</f>
        <v>0</v>
      </c>
      <c r="H100" s="243">
        <f>G76*H$91+G$91*H76-G76*G$91</f>
        <v>1.76</v>
      </c>
      <c r="I100" s="241">
        <f>I76*J$91+I$91*J76-J76*J$91</f>
        <v>0</v>
      </c>
      <c r="J100" s="242">
        <f>J76*J$91</f>
        <v>0</v>
      </c>
      <c r="K100" s="242">
        <f>K76*K$91</f>
        <v>0</v>
      </c>
      <c r="L100" s="243">
        <f>K76*L$91+K$91*L76-K76*K$91</f>
        <v>1.2</v>
      </c>
    </row>
    <row r="101" spans="1:67" x14ac:dyDescent="0.25">
      <c r="A101" s="65" t="s">
        <v>61</v>
      </c>
      <c r="B101" s="70" t="s">
        <v>46</v>
      </c>
      <c r="D101" s="73" t="s">
        <v>75</v>
      </c>
      <c r="E101" s="244">
        <f>IF(E77*F$91+E$91*F77-F77*F$91&lt;0,0,E77*F$91+E$91*F77-F77*F$91)</f>
        <v>0</v>
      </c>
      <c r="F101" s="245">
        <f t="shared" ref="F101:G103" si="71">F77*F$91</f>
        <v>1.5400000000000003</v>
      </c>
      <c r="G101" s="245">
        <f t="shared" si="71"/>
        <v>3.52</v>
      </c>
      <c r="H101" s="246">
        <f t="shared" ref="H101:H103" si="72">G77*H$91+G$91*H77-G77*G$91</f>
        <v>5.0600000000000005</v>
      </c>
      <c r="I101" s="244">
        <f t="shared" ref="I101:I103" si="73">I77*J$91+I$91*J77-J77*J$91</f>
        <v>0.19999999999999996</v>
      </c>
      <c r="J101" s="245">
        <f t="shared" ref="J101:K103" si="74">J77*J$91</f>
        <v>1.5400000000000003</v>
      </c>
      <c r="K101" s="245">
        <f t="shared" si="74"/>
        <v>3.52</v>
      </c>
      <c r="L101" s="246">
        <f t="shared" ref="L101:L103" si="75">K77*L$91+K$91*L77-K77*K$91</f>
        <v>4.6000000000000014</v>
      </c>
    </row>
    <row r="102" spans="1:67" x14ac:dyDescent="0.25">
      <c r="A102" s="65" t="s">
        <v>61</v>
      </c>
      <c r="B102" s="70" t="s">
        <v>45</v>
      </c>
      <c r="D102" s="73" t="s">
        <v>76</v>
      </c>
      <c r="E102" s="244">
        <f t="shared" ref="E102:E103" si="76">E78*F$91+E$91*F78-F78*F$91</f>
        <v>2.2549999999999999</v>
      </c>
      <c r="F102" s="245">
        <f t="shared" si="71"/>
        <v>3.8500000000000005</v>
      </c>
      <c r="G102" s="245">
        <f t="shared" si="71"/>
        <v>6.16</v>
      </c>
      <c r="H102" s="246">
        <f t="shared" si="72"/>
        <v>9.1550000000000011</v>
      </c>
      <c r="I102" s="244">
        <f t="shared" si="73"/>
        <v>2.7399999999999993</v>
      </c>
      <c r="J102" s="245">
        <f t="shared" si="74"/>
        <v>3.8500000000000005</v>
      </c>
      <c r="K102" s="245">
        <f t="shared" si="74"/>
        <v>6.16</v>
      </c>
      <c r="L102" s="246">
        <f t="shared" si="75"/>
        <v>8.129999999999999</v>
      </c>
    </row>
    <row r="103" spans="1:67" ht="15.75" thickBot="1" x14ac:dyDescent="0.3">
      <c r="A103" s="66" t="s">
        <v>61</v>
      </c>
      <c r="B103" s="71" t="s">
        <v>44</v>
      </c>
      <c r="D103" s="74" t="s">
        <v>77</v>
      </c>
      <c r="E103" s="247">
        <f t="shared" si="76"/>
        <v>3.8900000000000006</v>
      </c>
      <c r="F103" s="248">
        <f t="shared" si="71"/>
        <v>7</v>
      </c>
      <c r="G103" s="248">
        <f t="shared" si="71"/>
        <v>8</v>
      </c>
      <c r="H103" s="249">
        <f t="shared" si="72"/>
        <v>9.5</v>
      </c>
      <c r="I103" s="247">
        <f t="shared" si="73"/>
        <v>4.8099999999999987</v>
      </c>
      <c r="J103" s="248">
        <f t="shared" si="74"/>
        <v>7</v>
      </c>
      <c r="K103" s="248">
        <f t="shared" si="74"/>
        <v>8</v>
      </c>
      <c r="L103" s="249">
        <f t="shared" si="75"/>
        <v>9</v>
      </c>
    </row>
    <row r="104" spans="1:67" x14ac:dyDescent="0.25">
      <c r="A104" s="64" t="s">
        <v>62</v>
      </c>
      <c r="B104" s="69" t="s">
        <v>47</v>
      </c>
      <c r="D104" s="72" t="s">
        <v>72</v>
      </c>
      <c r="E104" s="241">
        <f>E76*F$92+E$92*F76-F76*F$92</f>
        <v>0</v>
      </c>
      <c r="F104" s="242">
        <f>F76*F$92</f>
        <v>0</v>
      </c>
      <c r="G104" s="242">
        <f>G76*G$92</f>
        <v>0</v>
      </c>
      <c r="H104" s="243">
        <f>G76*H$92+G$92*H76-G76*G$92</f>
        <v>1.21</v>
      </c>
      <c r="I104" s="241">
        <f>I76*J$92+I$92*J76-J76*J$92</f>
        <v>0</v>
      </c>
      <c r="J104" s="242">
        <f>J76*J$92</f>
        <v>0</v>
      </c>
      <c r="K104" s="242">
        <f>K76*K$92</f>
        <v>0</v>
      </c>
      <c r="L104" s="243">
        <f>K76*L$92+K$92*L76-K76*K$92</f>
        <v>0.82499999999999996</v>
      </c>
    </row>
    <row r="105" spans="1:67" x14ac:dyDescent="0.25">
      <c r="A105" s="65" t="s">
        <v>62</v>
      </c>
      <c r="B105" s="70" t="s">
        <v>46</v>
      </c>
      <c r="D105" s="73" t="s">
        <v>71</v>
      </c>
      <c r="E105" s="244">
        <f>IF(E77*F$92+E$92*F77-F77*F$92&lt;0,0,E77*F$92+E$92*F77-F77*F$92)</f>
        <v>0</v>
      </c>
      <c r="F105" s="245">
        <f t="shared" ref="F105:G107" si="77">F77*F$92</f>
        <v>0.9900000000000001</v>
      </c>
      <c r="G105" s="245">
        <f t="shared" si="77"/>
        <v>2.42</v>
      </c>
      <c r="H105" s="246">
        <f t="shared" ref="H105:H107" si="78">G77*H$92+G$92*H77-G77*G$92</f>
        <v>3.6850000000000005</v>
      </c>
      <c r="I105" s="244">
        <f t="shared" ref="I105:I107" si="79">I77*J$92+I$92*J77-J77*J$92</f>
        <v>4.9999999999999933E-2</v>
      </c>
      <c r="J105" s="245">
        <f t="shared" ref="J105:K107" si="80">J77*J$92</f>
        <v>0.9900000000000001</v>
      </c>
      <c r="K105" s="245">
        <f t="shared" si="80"/>
        <v>2.42</v>
      </c>
      <c r="L105" s="246">
        <f t="shared" ref="L105:L107" si="81">K77*L$92+K$92*L77-K77*K$92</f>
        <v>3.3000000000000007</v>
      </c>
    </row>
    <row r="106" spans="1:67" x14ac:dyDescent="0.25">
      <c r="A106" s="65" t="s">
        <v>62</v>
      </c>
      <c r="B106" s="70" t="s">
        <v>45</v>
      </c>
      <c r="D106" s="73" t="s">
        <v>73</v>
      </c>
      <c r="E106" s="244">
        <f t="shared" ref="E106:E107" si="82">E78*F$92+E$92*F78-F78*F$92</f>
        <v>1.1550000000000002</v>
      </c>
      <c r="F106" s="245">
        <f t="shared" si="77"/>
        <v>2.4750000000000001</v>
      </c>
      <c r="G106" s="245">
        <f t="shared" si="77"/>
        <v>4.2350000000000003</v>
      </c>
      <c r="H106" s="246">
        <f t="shared" si="78"/>
        <v>6.6550000000000002</v>
      </c>
      <c r="I106" s="244">
        <f t="shared" si="79"/>
        <v>1.5650000000000008</v>
      </c>
      <c r="J106" s="245">
        <f t="shared" si="80"/>
        <v>2.4750000000000001</v>
      </c>
      <c r="K106" s="245">
        <f t="shared" si="80"/>
        <v>4.2350000000000003</v>
      </c>
      <c r="L106" s="246">
        <f t="shared" si="81"/>
        <v>5.830000000000001</v>
      </c>
    </row>
    <row r="107" spans="1:67" ht="15.75" thickBot="1" x14ac:dyDescent="0.3">
      <c r="A107" s="66" t="s">
        <v>62</v>
      </c>
      <c r="B107" s="71" t="s">
        <v>44</v>
      </c>
      <c r="D107" s="74" t="s">
        <v>74</v>
      </c>
      <c r="E107" s="247">
        <f t="shared" si="82"/>
        <v>1.9649999999999999</v>
      </c>
      <c r="F107" s="248">
        <f t="shared" si="77"/>
        <v>4.5</v>
      </c>
      <c r="G107" s="248">
        <f t="shared" si="77"/>
        <v>5.5</v>
      </c>
      <c r="H107" s="249">
        <f t="shared" si="78"/>
        <v>7</v>
      </c>
      <c r="I107" s="247">
        <f t="shared" si="79"/>
        <v>2.7349999999999994</v>
      </c>
      <c r="J107" s="248">
        <f t="shared" si="80"/>
        <v>4.5</v>
      </c>
      <c r="K107" s="248">
        <f t="shared" si="80"/>
        <v>5.5</v>
      </c>
      <c r="L107" s="249">
        <f t="shared" si="81"/>
        <v>6.5</v>
      </c>
    </row>
    <row r="110" spans="1:67" ht="18.75" x14ac:dyDescent="0.3">
      <c r="A110" s="85" t="s">
        <v>93</v>
      </c>
      <c r="B110" s="38"/>
      <c r="C110" s="38"/>
    </row>
    <row r="111" spans="1:67" x14ac:dyDescent="0.25">
      <c r="A111" s="1" t="s">
        <v>49</v>
      </c>
      <c r="B111" s="38"/>
      <c r="C111" s="38"/>
    </row>
    <row r="112" spans="1:67" ht="15.75" thickBot="1" x14ac:dyDescent="0.3">
      <c r="A112" s="39" t="s">
        <v>100</v>
      </c>
      <c r="B112" s="38"/>
      <c r="C112" s="38"/>
      <c r="BO112" s="245">
        <v>0.8</v>
      </c>
    </row>
    <row r="113" spans="1:86" ht="86.25" customHeight="1" thickBot="1" x14ac:dyDescent="0.3">
      <c r="A113" s="222" t="s">
        <v>26</v>
      </c>
      <c r="B113" s="222" t="s">
        <v>27</v>
      </c>
      <c r="C113" s="223" t="s">
        <v>28</v>
      </c>
      <c r="D113" s="224" t="s">
        <v>58</v>
      </c>
      <c r="E113" s="225"/>
      <c r="F113" s="225"/>
      <c r="G113" s="225" t="s">
        <v>59</v>
      </c>
      <c r="H113" s="225"/>
      <c r="I113" s="225"/>
      <c r="J113" s="220" t="s">
        <v>88</v>
      </c>
      <c r="K113" s="210" t="s">
        <v>81</v>
      </c>
      <c r="L113" s="211"/>
      <c r="M113" s="211"/>
      <c r="N113" s="211"/>
      <c r="O113" s="211"/>
      <c r="P113" s="211"/>
      <c r="Q113" s="211"/>
      <c r="R113" s="212"/>
      <c r="S113" s="210" t="s">
        <v>79</v>
      </c>
      <c r="T113" s="211"/>
      <c r="U113" s="211"/>
      <c r="V113" s="211"/>
      <c r="W113" s="211"/>
      <c r="X113" s="211"/>
      <c r="Y113" s="211"/>
      <c r="Z113" s="212"/>
      <c r="AA113" s="261" t="s">
        <v>80</v>
      </c>
      <c r="AB113" s="262"/>
      <c r="AC113" s="262"/>
      <c r="AD113" s="262"/>
      <c r="AE113" s="262"/>
      <c r="AF113" s="262"/>
      <c r="AG113" s="262"/>
      <c r="AH113" s="263"/>
      <c r="AI113" s="261" t="s">
        <v>78</v>
      </c>
      <c r="AJ113" s="262"/>
      <c r="AK113" s="262"/>
      <c r="AL113" s="262"/>
      <c r="AM113" s="262"/>
      <c r="AN113" s="262"/>
      <c r="AO113" s="262"/>
      <c r="AP113" s="263"/>
      <c r="AQ113" s="261" t="s">
        <v>89</v>
      </c>
      <c r="AR113" s="262"/>
      <c r="AS113" s="262"/>
      <c r="AT113" s="262"/>
      <c r="AU113" s="262"/>
      <c r="AV113" s="262"/>
      <c r="AW113" s="262"/>
      <c r="AX113" s="263"/>
      <c r="AY113" s="261" t="s">
        <v>90</v>
      </c>
      <c r="AZ113" s="262"/>
      <c r="BA113" s="262"/>
      <c r="BB113" s="262"/>
      <c r="BC113" s="262"/>
      <c r="BD113" s="262"/>
      <c r="BE113" s="262"/>
      <c r="BF113" s="263"/>
      <c r="BG113" s="261" t="s">
        <v>134</v>
      </c>
      <c r="BH113" s="262"/>
      <c r="BI113" s="262"/>
      <c r="BJ113" s="262"/>
      <c r="BK113" s="262"/>
      <c r="BL113" s="262"/>
      <c r="BM113" s="262"/>
      <c r="BN113" s="263"/>
      <c r="BO113" s="264" t="s">
        <v>82</v>
      </c>
      <c r="BP113" s="265"/>
      <c r="BQ113" s="265"/>
      <c r="BR113" s="266"/>
      <c r="BS113" s="267" t="s">
        <v>84</v>
      </c>
      <c r="BT113" s="268"/>
      <c r="BU113" s="269" t="s">
        <v>87</v>
      </c>
    </row>
    <row r="114" spans="1:86" s="36" customFormat="1" ht="23.25" customHeight="1" thickBot="1" x14ac:dyDescent="0.3">
      <c r="A114" s="222"/>
      <c r="B114" s="222"/>
      <c r="C114" s="223"/>
      <c r="D114" s="61" t="s">
        <v>50</v>
      </c>
      <c r="E114" s="46" t="s">
        <v>51</v>
      </c>
      <c r="F114" s="46" t="s">
        <v>52</v>
      </c>
      <c r="G114" s="46" t="s">
        <v>50</v>
      </c>
      <c r="H114" s="46" t="s">
        <v>51</v>
      </c>
      <c r="I114" s="46" t="s">
        <v>52</v>
      </c>
      <c r="J114" s="221"/>
      <c r="K114" s="210" t="s">
        <v>3</v>
      </c>
      <c r="L114" s="211"/>
      <c r="M114" s="211"/>
      <c r="N114" s="212"/>
      <c r="O114" s="210" t="s">
        <v>4</v>
      </c>
      <c r="P114" s="211"/>
      <c r="Q114" s="211"/>
      <c r="R114" s="212"/>
      <c r="S114" s="210" t="s">
        <v>3</v>
      </c>
      <c r="T114" s="211"/>
      <c r="U114" s="211"/>
      <c r="V114" s="212"/>
      <c r="W114" s="210" t="s">
        <v>4</v>
      </c>
      <c r="X114" s="211"/>
      <c r="Y114" s="211"/>
      <c r="Z114" s="212"/>
      <c r="AA114" s="261" t="s">
        <v>3</v>
      </c>
      <c r="AB114" s="262"/>
      <c r="AC114" s="262"/>
      <c r="AD114" s="263"/>
      <c r="AE114" s="261" t="s">
        <v>4</v>
      </c>
      <c r="AF114" s="262"/>
      <c r="AG114" s="262"/>
      <c r="AH114" s="263"/>
      <c r="AI114" s="261" t="s">
        <v>3</v>
      </c>
      <c r="AJ114" s="262"/>
      <c r="AK114" s="262"/>
      <c r="AL114" s="263"/>
      <c r="AM114" s="261" t="s">
        <v>4</v>
      </c>
      <c r="AN114" s="262"/>
      <c r="AO114" s="262"/>
      <c r="AP114" s="263"/>
      <c r="AQ114" s="261" t="s">
        <v>3</v>
      </c>
      <c r="AR114" s="262"/>
      <c r="AS114" s="262"/>
      <c r="AT114" s="263"/>
      <c r="AU114" s="261" t="s">
        <v>4</v>
      </c>
      <c r="AV114" s="262"/>
      <c r="AW114" s="262"/>
      <c r="AX114" s="263"/>
      <c r="AY114" s="261" t="s">
        <v>3</v>
      </c>
      <c r="AZ114" s="262"/>
      <c r="BA114" s="262"/>
      <c r="BB114" s="263"/>
      <c r="BC114" s="261" t="s">
        <v>4</v>
      </c>
      <c r="BD114" s="262"/>
      <c r="BE114" s="262"/>
      <c r="BF114" s="263"/>
      <c r="BG114" s="261" t="s">
        <v>3</v>
      </c>
      <c r="BH114" s="262"/>
      <c r="BI114" s="262"/>
      <c r="BJ114" s="263"/>
      <c r="BK114" s="261" t="s">
        <v>4</v>
      </c>
      <c r="BL114" s="262"/>
      <c r="BM114" s="262"/>
      <c r="BN114" s="263"/>
      <c r="BO114" s="270" t="s">
        <v>83</v>
      </c>
      <c r="BP114" s="271"/>
      <c r="BQ114" s="270" t="s">
        <v>5</v>
      </c>
      <c r="BR114" s="272"/>
      <c r="BS114" s="273" t="s">
        <v>85</v>
      </c>
      <c r="BT114" s="273" t="s">
        <v>86</v>
      </c>
      <c r="BU114" s="274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296"/>
      <c r="CF114" s="296"/>
      <c r="CG114" s="296"/>
      <c r="CH114" s="296"/>
    </row>
    <row r="115" spans="1:86" ht="30" x14ac:dyDescent="0.25">
      <c r="A115" s="41" t="s">
        <v>0</v>
      </c>
      <c r="B115" s="41" t="s">
        <v>25</v>
      </c>
      <c r="C115" s="60" t="s">
        <v>13</v>
      </c>
      <c r="D115" s="92" t="s">
        <v>46</v>
      </c>
      <c r="E115" s="92" t="s">
        <v>45</v>
      </c>
      <c r="F115" s="92" t="s">
        <v>44</v>
      </c>
      <c r="G115" s="49">
        <f>IF(D115=$A$128,$B$128,(IF(D115=$A$129,$B$129,IF(D115=$A$130,$B$130,$B$131))))</f>
        <v>0.33</v>
      </c>
      <c r="H115" s="49">
        <f t="shared" ref="H115:I124" si="83">IF(E115=$A$128,$B$128,(IF(E115=$A$129,$B$129,IF(E115=$A$130,$B$130,$B$131))))</f>
        <v>0.66</v>
      </c>
      <c r="I115" s="49">
        <f t="shared" si="83"/>
        <v>1</v>
      </c>
      <c r="J115" s="83">
        <f>G115*$D$142+H115*$D$143+I115*$D$144</f>
        <v>11.625</v>
      </c>
      <c r="K115" s="20">
        <v>0</v>
      </c>
      <c r="L115" s="22">
        <v>0.22000000000000003</v>
      </c>
      <c r="M115" s="22">
        <v>0.44</v>
      </c>
      <c r="N115" s="23">
        <v>0.55000000000000004</v>
      </c>
      <c r="O115" s="20">
        <v>0.06</v>
      </c>
      <c r="P115" s="22">
        <v>0.22000000000000003</v>
      </c>
      <c r="Q115" s="22">
        <v>0.44</v>
      </c>
      <c r="R115" s="23">
        <v>0.52</v>
      </c>
      <c r="S115" s="20">
        <v>0.44000000000000006</v>
      </c>
      <c r="T115" s="22">
        <v>0.55000000000000004</v>
      </c>
      <c r="U115" s="22">
        <v>0.77</v>
      </c>
      <c r="V115" s="23">
        <v>1</v>
      </c>
      <c r="W115" s="20">
        <v>0.47000000000000003</v>
      </c>
      <c r="X115" s="22">
        <v>0.55000000000000004</v>
      </c>
      <c r="Y115" s="242">
        <v>0.77</v>
      </c>
      <c r="Z115" s="243">
        <v>0.92</v>
      </c>
      <c r="AA115" s="241">
        <v>0.77</v>
      </c>
      <c r="AB115" s="242">
        <v>1</v>
      </c>
      <c r="AC115" s="242">
        <v>1</v>
      </c>
      <c r="AD115" s="243">
        <v>1</v>
      </c>
      <c r="AE115" s="241">
        <v>0.83</v>
      </c>
      <c r="AF115" s="242">
        <v>1</v>
      </c>
      <c r="AG115" s="242">
        <v>1</v>
      </c>
      <c r="AH115" s="243">
        <v>1</v>
      </c>
      <c r="AI115" s="241">
        <v>0</v>
      </c>
      <c r="AJ115" s="242">
        <v>0.44000000000000006</v>
      </c>
      <c r="AK115" s="242">
        <v>1.32</v>
      </c>
      <c r="AL115" s="243">
        <v>2.3099999999999996</v>
      </c>
      <c r="AM115" s="241">
        <v>5.3999999999999992E-2</v>
      </c>
      <c r="AN115" s="242">
        <v>0.44000000000000006</v>
      </c>
      <c r="AO115" s="242">
        <v>1.32</v>
      </c>
      <c r="AP115" s="243">
        <v>2</v>
      </c>
      <c r="AQ115" s="241">
        <v>1.1550000000000002</v>
      </c>
      <c r="AR115" s="242">
        <v>2.4750000000000001</v>
      </c>
      <c r="AS115" s="242">
        <v>4.2350000000000003</v>
      </c>
      <c r="AT115" s="242">
        <v>6.6550000000000002</v>
      </c>
      <c r="AU115" s="241">
        <v>1.5650000000000008</v>
      </c>
      <c r="AV115" s="242">
        <v>2.4750000000000001</v>
      </c>
      <c r="AW115" s="242">
        <v>4.2350000000000003</v>
      </c>
      <c r="AX115" s="243">
        <v>5.830000000000001</v>
      </c>
      <c r="AY115" s="241">
        <v>3.8900000000000006</v>
      </c>
      <c r="AZ115" s="242">
        <v>7</v>
      </c>
      <c r="BA115" s="242">
        <v>8</v>
      </c>
      <c r="BB115" s="242">
        <v>9.5</v>
      </c>
      <c r="BC115" s="241">
        <v>4.8099999999999987</v>
      </c>
      <c r="BD115" s="242">
        <v>7</v>
      </c>
      <c r="BE115" s="242">
        <v>8</v>
      </c>
      <c r="BF115" s="243">
        <v>9</v>
      </c>
      <c r="BG115" s="241">
        <f>AI115+AQ115+AY115</f>
        <v>5.0450000000000008</v>
      </c>
      <c r="BH115" s="242">
        <f t="shared" ref="BH115:BN124" si="84">AJ115+AR115+AZ115</f>
        <v>9.9149999999999991</v>
      </c>
      <c r="BI115" s="242">
        <f t="shared" si="84"/>
        <v>13.555</v>
      </c>
      <c r="BJ115" s="242">
        <f t="shared" si="84"/>
        <v>18.465</v>
      </c>
      <c r="BK115" s="241">
        <f t="shared" si="84"/>
        <v>6.4289999999999994</v>
      </c>
      <c r="BL115" s="242">
        <f t="shared" si="84"/>
        <v>9.9149999999999991</v>
      </c>
      <c r="BM115" s="242">
        <f t="shared" si="84"/>
        <v>13.555</v>
      </c>
      <c r="BN115" s="242">
        <f t="shared" si="84"/>
        <v>16.830000000000002</v>
      </c>
      <c r="BO115" s="250">
        <f>BO$8*BH115+(1-BO$8)*BG115</f>
        <v>8.9409999999999989</v>
      </c>
      <c r="BP115" s="275">
        <f>BO$8*BI115+(1-BO$8)*BJ115</f>
        <v>14.537000000000001</v>
      </c>
      <c r="BQ115" s="250">
        <f>BO$8*BL115+(1-BO$8)*BK115</f>
        <v>9.2177999999999987</v>
      </c>
      <c r="BR115" s="276">
        <f>BO$8*BM115+(1-BO$8)*BN115</f>
        <v>14.21</v>
      </c>
      <c r="BS115" s="241">
        <f>(BO115+BP115)/2</f>
        <v>11.739000000000001</v>
      </c>
      <c r="BT115" s="243">
        <f>(BQ115+BR115)/2</f>
        <v>11.713899999999999</v>
      </c>
      <c r="BU115" s="277">
        <f>(BS115+BT115)/2</f>
        <v>11.72645</v>
      </c>
    </row>
    <row r="116" spans="1:86" x14ac:dyDescent="0.25">
      <c r="A116" s="41" t="s">
        <v>1</v>
      </c>
      <c r="B116" s="41" t="s">
        <v>14</v>
      </c>
      <c r="C116" s="60" t="s">
        <v>29</v>
      </c>
      <c r="D116" s="92" t="s">
        <v>45</v>
      </c>
      <c r="E116" s="92" t="s">
        <v>46</v>
      </c>
      <c r="F116" s="92" t="s">
        <v>46</v>
      </c>
      <c r="G116" s="49">
        <f t="shared" ref="G116:G124" si="85">IF(D116=$A$128,$B$128,(IF(D116=$A$129,$B$129,IF(D116=$A$130,$B$130,$B$131))))</f>
        <v>0.66</v>
      </c>
      <c r="H116" s="49">
        <f t="shared" si="83"/>
        <v>0.33</v>
      </c>
      <c r="I116" s="49">
        <f t="shared" si="83"/>
        <v>0.33</v>
      </c>
      <c r="J116" s="83">
        <f t="shared" ref="J116:J124" si="86">G116*$D$142+H116*$D$143+I116*$D$144</f>
        <v>5.7750000000000004</v>
      </c>
      <c r="K116" s="26">
        <v>0.44000000000000006</v>
      </c>
      <c r="L116">
        <v>0.55000000000000004</v>
      </c>
      <c r="M116">
        <v>0.77</v>
      </c>
      <c r="N116" s="27">
        <v>1</v>
      </c>
      <c r="O116" s="26">
        <v>0.47000000000000003</v>
      </c>
      <c r="P116">
        <v>0.55000000000000004</v>
      </c>
      <c r="Q116">
        <v>0.77</v>
      </c>
      <c r="R116" s="27">
        <v>0.92</v>
      </c>
      <c r="S116" s="26">
        <v>0</v>
      </c>
      <c r="T116">
        <v>0.22000000000000003</v>
      </c>
      <c r="U116">
        <v>0.44</v>
      </c>
      <c r="V116" s="27">
        <v>0.55000000000000004</v>
      </c>
      <c r="W116" s="26">
        <v>0.06</v>
      </c>
      <c r="X116">
        <v>0.22000000000000003</v>
      </c>
      <c r="Y116" s="245">
        <v>0.44</v>
      </c>
      <c r="Z116" s="246">
        <v>0.52</v>
      </c>
      <c r="AA116" s="244">
        <v>0</v>
      </c>
      <c r="AB116" s="245">
        <v>0.22000000000000003</v>
      </c>
      <c r="AC116" s="245">
        <v>0.44</v>
      </c>
      <c r="AD116" s="246">
        <v>0.55000000000000004</v>
      </c>
      <c r="AE116" s="244">
        <v>0.06</v>
      </c>
      <c r="AF116" s="245">
        <v>0.22000000000000003</v>
      </c>
      <c r="AG116" s="245">
        <v>0.44</v>
      </c>
      <c r="AH116" s="246">
        <v>0.52</v>
      </c>
      <c r="AI116" s="244">
        <v>0.60499999999999998</v>
      </c>
      <c r="AJ116" s="245">
        <v>1.1000000000000001</v>
      </c>
      <c r="AK116" s="245">
        <v>2.31</v>
      </c>
      <c r="AL116" s="246">
        <v>4.1549999999999994</v>
      </c>
      <c r="AM116" s="244">
        <v>0.77499999999999991</v>
      </c>
      <c r="AN116" s="245">
        <v>1.1000000000000001</v>
      </c>
      <c r="AO116" s="245">
        <v>2.31</v>
      </c>
      <c r="AP116" s="246">
        <v>3.53</v>
      </c>
      <c r="AQ116" s="244">
        <v>0</v>
      </c>
      <c r="AR116" s="245">
        <v>0.9900000000000001</v>
      </c>
      <c r="AS116" s="245">
        <v>2.42</v>
      </c>
      <c r="AT116" s="245">
        <v>3.6850000000000005</v>
      </c>
      <c r="AU116" s="244">
        <v>4.9999999999999933E-2</v>
      </c>
      <c r="AV116" s="245">
        <v>0.9900000000000001</v>
      </c>
      <c r="AW116" s="245">
        <v>2.42</v>
      </c>
      <c r="AX116" s="246">
        <v>3.3000000000000007</v>
      </c>
      <c r="AY116" s="244">
        <v>0</v>
      </c>
      <c r="AZ116" s="245">
        <v>1.5400000000000003</v>
      </c>
      <c r="BA116" s="245">
        <v>3.52</v>
      </c>
      <c r="BB116" s="245">
        <v>5.0600000000000005</v>
      </c>
      <c r="BC116" s="244">
        <v>0.19999999999999996</v>
      </c>
      <c r="BD116" s="245">
        <v>1.5400000000000003</v>
      </c>
      <c r="BE116" s="245">
        <v>3.52</v>
      </c>
      <c r="BF116" s="246">
        <v>4.6000000000000014</v>
      </c>
      <c r="BG116" s="244">
        <f t="shared" ref="BG116:BG124" si="87">AI116+AQ116+AY116</f>
        <v>0.60499999999999998</v>
      </c>
      <c r="BH116" s="245">
        <f t="shared" si="84"/>
        <v>3.6300000000000008</v>
      </c>
      <c r="BI116" s="245">
        <f t="shared" si="84"/>
        <v>8.25</v>
      </c>
      <c r="BJ116" s="245">
        <f t="shared" si="84"/>
        <v>12.9</v>
      </c>
      <c r="BK116" s="244">
        <f t="shared" si="84"/>
        <v>1.0249999999999999</v>
      </c>
      <c r="BL116" s="245">
        <f t="shared" si="84"/>
        <v>3.6300000000000008</v>
      </c>
      <c r="BM116" s="245">
        <f t="shared" si="84"/>
        <v>8.25</v>
      </c>
      <c r="BN116" s="245">
        <f t="shared" si="84"/>
        <v>11.430000000000001</v>
      </c>
      <c r="BO116" s="251">
        <f t="shared" ref="BO116:BO124" si="88">BO$8*BH116+(1-BO$8)*BG116</f>
        <v>3.0250000000000008</v>
      </c>
      <c r="BP116" s="278">
        <f t="shared" ref="BP116:BP124" si="89">BO$8*BI116+(1-BO$8)*BJ116</f>
        <v>9.18</v>
      </c>
      <c r="BQ116" s="251">
        <f t="shared" ref="BQ116:BQ124" si="90">BO$8*BL116+(1-BO$8)*BK116</f>
        <v>3.1090000000000009</v>
      </c>
      <c r="BR116" s="279">
        <f t="shared" ref="BR116:BR124" si="91">BO$8*BM116+(1-BO$8)*BN116</f>
        <v>8.8859999999999992</v>
      </c>
      <c r="BS116" s="244">
        <f t="shared" ref="BS116:BS124" si="92">(BO116+BP116)/2</f>
        <v>6.1025</v>
      </c>
      <c r="BT116" s="246">
        <f t="shared" ref="BT116:BT124" si="93">(BQ116+BR116)/2</f>
        <v>5.9975000000000005</v>
      </c>
      <c r="BU116" s="280">
        <f t="shared" ref="BU116:BU124" si="94">(BS116+BT116)/2</f>
        <v>6.0500000000000007</v>
      </c>
    </row>
    <row r="117" spans="1:86" x14ac:dyDescent="0.25">
      <c r="A117" s="41" t="s">
        <v>2</v>
      </c>
      <c r="B117" s="41" t="s">
        <v>15</v>
      </c>
      <c r="C117" s="60" t="s">
        <v>30</v>
      </c>
      <c r="D117" s="92" t="s">
        <v>45</v>
      </c>
      <c r="E117" s="92" t="s">
        <v>44</v>
      </c>
      <c r="F117" s="92" t="s">
        <v>45</v>
      </c>
      <c r="G117" s="49">
        <f t="shared" si="85"/>
        <v>0.66</v>
      </c>
      <c r="H117" s="49">
        <f t="shared" si="83"/>
        <v>1</v>
      </c>
      <c r="I117" s="49">
        <f t="shared" si="83"/>
        <v>0.66</v>
      </c>
      <c r="J117" s="83">
        <f t="shared" si="86"/>
        <v>11.600000000000001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>
        <v>0.55000000000000004</v>
      </c>
      <c r="Q117">
        <v>0.77</v>
      </c>
      <c r="R117" s="27">
        <v>0.92</v>
      </c>
      <c r="S117" s="26">
        <v>0.77</v>
      </c>
      <c r="T117">
        <v>1</v>
      </c>
      <c r="U117">
        <v>1</v>
      </c>
      <c r="V117" s="27">
        <v>1</v>
      </c>
      <c r="W117" s="26">
        <v>0.83</v>
      </c>
      <c r="X117">
        <v>1</v>
      </c>
      <c r="Y117" s="245">
        <v>1</v>
      </c>
      <c r="Z117" s="246">
        <v>1</v>
      </c>
      <c r="AA117" s="244">
        <v>0.44000000000000006</v>
      </c>
      <c r="AB117" s="245">
        <v>0.55000000000000004</v>
      </c>
      <c r="AC117" s="245">
        <v>0.77</v>
      </c>
      <c r="AD117" s="246">
        <v>1</v>
      </c>
      <c r="AE117" s="244">
        <v>0.47000000000000003</v>
      </c>
      <c r="AF117" s="245">
        <v>0.55000000000000004</v>
      </c>
      <c r="AG117" s="245">
        <v>0.77</v>
      </c>
      <c r="AH117" s="246">
        <v>0.92</v>
      </c>
      <c r="AI117" s="244">
        <v>0.60499999999999998</v>
      </c>
      <c r="AJ117" s="245">
        <v>1.1000000000000001</v>
      </c>
      <c r="AK117" s="245">
        <v>2.31</v>
      </c>
      <c r="AL117" s="246">
        <v>4.1549999999999994</v>
      </c>
      <c r="AM117" s="244">
        <v>0.77499999999999991</v>
      </c>
      <c r="AN117" s="245">
        <v>1.1000000000000001</v>
      </c>
      <c r="AO117" s="245">
        <v>2.31</v>
      </c>
      <c r="AP117" s="246">
        <v>3.53</v>
      </c>
      <c r="AQ117" s="244">
        <v>1.9649999999999999</v>
      </c>
      <c r="AR117" s="245">
        <v>4.5</v>
      </c>
      <c r="AS117" s="245">
        <v>5.5</v>
      </c>
      <c r="AT117" s="245">
        <v>7</v>
      </c>
      <c r="AU117" s="244">
        <v>2.7349999999999994</v>
      </c>
      <c r="AV117" s="245">
        <v>4.5</v>
      </c>
      <c r="AW117" s="245">
        <v>5.5</v>
      </c>
      <c r="AX117" s="246">
        <v>6.5</v>
      </c>
      <c r="AY117" s="244">
        <v>2.2549999999999999</v>
      </c>
      <c r="AZ117" s="245">
        <v>3.8500000000000005</v>
      </c>
      <c r="BA117" s="245">
        <v>6.16</v>
      </c>
      <c r="BB117" s="245">
        <v>9.1550000000000011</v>
      </c>
      <c r="BC117" s="244">
        <v>2.7399999999999993</v>
      </c>
      <c r="BD117" s="245">
        <v>3.8500000000000005</v>
      </c>
      <c r="BE117" s="245">
        <v>6.16</v>
      </c>
      <c r="BF117" s="246">
        <v>8.129999999999999</v>
      </c>
      <c r="BG117" s="244">
        <f t="shared" si="87"/>
        <v>4.8249999999999993</v>
      </c>
      <c r="BH117" s="245">
        <f t="shared" si="84"/>
        <v>9.4499999999999993</v>
      </c>
      <c r="BI117" s="245">
        <f t="shared" si="84"/>
        <v>13.97</v>
      </c>
      <c r="BJ117" s="245">
        <f t="shared" si="84"/>
        <v>20.310000000000002</v>
      </c>
      <c r="BK117" s="244">
        <f t="shared" si="84"/>
        <v>6.2499999999999982</v>
      </c>
      <c r="BL117" s="245">
        <f t="shared" si="84"/>
        <v>9.4499999999999993</v>
      </c>
      <c r="BM117" s="245">
        <f t="shared" si="84"/>
        <v>13.97</v>
      </c>
      <c r="BN117" s="245">
        <f t="shared" si="84"/>
        <v>18.159999999999997</v>
      </c>
      <c r="BO117" s="251">
        <f t="shared" si="88"/>
        <v>8.5249999999999986</v>
      </c>
      <c r="BP117" s="278">
        <f t="shared" si="89"/>
        <v>15.238000000000001</v>
      </c>
      <c r="BQ117" s="251">
        <f t="shared" si="90"/>
        <v>8.8099999999999987</v>
      </c>
      <c r="BR117" s="279">
        <f t="shared" si="91"/>
        <v>14.808</v>
      </c>
      <c r="BS117" s="244">
        <f t="shared" si="92"/>
        <v>11.881499999999999</v>
      </c>
      <c r="BT117" s="246">
        <f t="shared" si="93"/>
        <v>11.808999999999999</v>
      </c>
      <c r="BU117" s="280">
        <f t="shared" si="94"/>
        <v>11.84525</v>
      </c>
    </row>
    <row r="118" spans="1:86" x14ac:dyDescent="0.25">
      <c r="A118" s="41" t="s">
        <v>6</v>
      </c>
      <c r="B118" s="41" t="s">
        <v>16</v>
      </c>
      <c r="C118" s="60" t="s">
        <v>17</v>
      </c>
      <c r="D118" s="92" t="s">
        <v>44</v>
      </c>
      <c r="E118" s="92" t="s">
        <v>45</v>
      </c>
      <c r="F118" s="92" t="s">
        <v>46</v>
      </c>
      <c r="G118" s="49">
        <f t="shared" si="85"/>
        <v>1</v>
      </c>
      <c r="H118" s="49">
        <f t="shared" si="83"/>
        <v>0.66</v>
      </c>
      <c r="I118" s="49">
        <f t="shared" si="83"/>
        <v>0.33</v>
      </c>
      <c r="J118" s="83">
        <f t="shared" si="86"/>
        <v>8.2750000000000004</v>
      </c>
      <c r="K118" s="26">
        <v>0.77</v>
      </c>
      <c r="L118">
        <v>1</v>
      </c>
      <c r="M118">
        <v>1</v>
      </c>
      <c r="N118" s="27">
        <v>1</v>
      </c>
      <c r="O118" s="26">
        <v>0.83</v>
      </c>
      <c r="P118">
        <v>1</v>
      </c>
      <c r="Q118">
        <v>1</v>
      </c>
      <c r="R118" s="27">
        <v>1</v>
      </c>
      <c r="S118" s="26">
        <v>0.44000000000000006</v>
      </c>
      <c r="T118">
        <v>0.55000000000000004</v>
      </c>
      <c r="U118">
        <v>0.77</v>
      </c>
      <c r="V118" s="27">
        <v>1</v>
      </c>
      <c r="W118" s="26">
        <v>0.47000000000000003</v>
      </c>
      <c r="X118">
        <v>0.55000000000000004</v>
      </c>
      <c r="Y118" s="245">
        <v>0.77</v>
      </c>
      <c r="Z118" s="246">
        <v>0.92</v>
      </c>
      <c r="AA118" s="244">
        <v>0</v>
      </c>
      <c r="AB118" s="245">
        <v>0.22000000000000003</v>
      </c>
      <c r="AC118" s="245">
        <v>0.44</v>
      </c>
      <c r="AD118" s="246">
        <v>0.55000000000000004</v>
      </c>
      <c r="AE118" s="244">
        <v>0.06</v>
      </c>
      <c r="AF118" s="245">
        <v>0.22000000000000003</v>
      </c>
      <c r="AG118" s="245">
        <v>0.44</v>
      </c>
      <c r="AH118" s="246">
        <v>0.52</v>
      </c>
      <c r="AI118" s="244">
        <v>1.04</v>
      </c>
      <c r="AJ118" s="245">
        <v>2</v>
      </c>
      <c r="AK118" s="245">
        <v>3</v>
      </c>
      <c r="AL118" s="246">
        <v>4.5</v>
      </c>
      <c r="AM118" s="244">
        <v>1.3599999999999999</v>
      </c>
      <c r="AN118" s="245">
        <v>2</v>
      </c>
      <c r="AO118" s="245">
        <v>3</v>
      </c>
      <c r="AP118" s="246">
        <v>4</v>
      </c>
      <c r="AQ118" s="244">
        <v>1.1550000000000002</v>
      </c>
      <c r="AR118" s="245">
        <v>2.4750000000000001</v>
      </c>
      <c r="AS118" s="245">
        <v>4.2350000000000003</v>
      </c>
      <c r="AT118" s="245">
        <v>6.6550000000000002</v>
      </c>
      <c r="AU118" s="244">
        <v>1.5650000000000008</v>
      </c>
      <c r="AV118" s="245">
        <v>2.4750000000000001</v>
      </c>
      <c r="AW118" s="245">
        <v>4.2350000000000003</v>
      </c>
      <c r="AX118" s="246">
        <v>5.830000000000001</v>
      </c>
      <c r="AY118" s="244">
        <v>0</v>
      </c>
      <c r="AZ118" s="245">
        <v>1.5400000000000003</v>
      </c>
      <c r="BA118" s="245">
        <v>3.52</v>
      </c>
      <c r="BB118" s="245">
        <v>5.0600000000000005</v>
      </c>
      <c r="BC118" s="244">
        <v>0.19999999999999996</v>
      </c>
      <c r="BD118" s="245">
        <v>1.5400000000000003</v>
      </c>
      <c r="BE118" s="245">
        <v>3.52</v>
      </c>
      <c r="BF118" s="246">
        <v>4.6000000000000014</v>
      </c>
      <c r="BG118" s="244">
        <f t="shared" si="87"/>
        <v>2.1950000000000003</v>
      </c>
      <c r="BH118" s="245">
        <f t="shared" si="84"/>
        <v>6.0149999999999997</v>
      </c>
      <c r="BI118" s="245">
        <f t="shared" si="84"/>
        <v>10.755000000000001</v>
      </c>
      <c r="BJ118" s="245">
        <f t="shared" si="84"/>
        <v>16.215000000000003</v>
      </c>
      <c r="BK118" s="244">
        <f t="shared" si="84"/>
        <v>3.1250000000000009</v>
      </c>
      <c r="BL118" s="245">
        <f t="shared" si="84"/>
        <v>6.0149999999999997</v>
      </c>
      <c r="BM118" s="245">
        <f t="shared" si="84"/>
        <v>10.755000000000001</v>
      </c>
      <c r="BN118" s="245">
        <f t="shared" si="84"/>
        <v>14.430000000000003</v>
      </c>
      <c r="BO118" s="251">
        <f t="shared" si="88"/>
        <v>5.2510000000000003</v>
      </c>
      <c r="BP118" s="278">
        <f t="shared" si="89"/>
        <v>11.847000000000001</v>
      </c>
      <c r="BQ118" s="251">
        <f t="shared" si="90"/>
        <v>5.4370000000000003</v>
      </c>
      <c r="BR118" s="279">
        <f t="shared" si="91"/>
        <v>11.490000000000002</v>
      </c>
      <c r="BS118" s="244">
        <f t="shared" si="92"/>
        <v>8.5490000000000013</v>
      </c>
      <c r="BT118" s="246">
        <f t="shared" si="93"/>
        <v>8.4635000000000016</v>
      </c>
      <c r="BU118" s="280">
        <f t="shared" si="94"/>
        <v>8.5062500000000014</v>
      </c>
    </row>
    <row r="119" spans="1:86" ht="30" x14ac:dyDescent="0.25">
      <c r="A119" s="41" t="s">
        <v>7</v>
      </c>
      <c r="B119" s="41" t="s">
        <v>18</v>
      </c>
      <c r="C119" s="60" t="s">
        <v>31</v>
      </c>
      <c r="D119" s="92" t="s">
        <v>45</v>
      </c>
      <c r="E119" s="92" t="s">
        <v>44</v>
      </c>
      <c r="F119" s="92" t="s">
        <v>46</v>
      </c>
      <c r="G119" s="49">
        <f t="shared" si="85"/>
        <v>0.66</v>
      </c>
      <c r="H119" s="49">
        <f t="shared" si="83"/>
        <v>1</v>
      </c>
      <c r="I119" s="49">
        <f t="shared" si="83"/>
        <v>0.33</v>
      </c>
      <c r="J119" s="83">
        <f t="shared" si="86"/>
        <v>9.125</v>
      </c>
      <c r="K119" s="26">
        <v>0.44000000000000006</v>
      </c>
      <c r="L119">
        <v>0.55000000000000004</v>
      </c>
      <c r="M119">
        <v>0.77</v>
      </c>
      <c r="N119" s="27">
        <v>1</v>
      </c>
      <c r="O119" s="26">
        <v>0.47000000000000003</v>
      </c>
      <c r="P119">
        <v>0.55000000000000004</v>
      </c>
      <c r="Q119">
        <v>0.77</v>
      </c>
      <c r="R119" s="27">
        <v>0.92</v>
      </c>
      <c r="S119" s="26">
        <v>0.77</v>
      </c>
      <c r="T119">
        <v>1</v>
      </c>
      <c r="U119">
        <v>1</v>
      </c>
      <c r="V119" s="27">
        <v>1</v>
      </c>
      <c r="W119" s="26">
        <v>0.83</v>
      </c>
      <c r="X119">
        <v>1</v>
      </c>
      <c r="Y119" s="245">
        <v>1</v>
      </c>
      <c r="Z119" s="246">
        <v>1</v>
      </c>
      <c r="AA119" s="244">
        <v>0</v>
      </c>
      <c r="AB119" s="245">
        <v>0.22000000000000003</v>
      </c>
      <c r="AC119" s="245">
        <v>0.44</v>
      </c>
      <c r="AD119" s="246">
        <v>0.55000000000000004</v>
      </c>
      <c r="AE119" s="244">
        <v>0.06</v>
      </c>
      <c r="AF119" s="245">
        <v>0.22000000000000003</v>
      </c>
      <c r="AG119" s="245">
        <v>0.44</v>
      </c>
      <c r="AH119" s="246">
        <v>0.52</v>
      </c>
      <c r="AI119" s="244">
        <v>0.60499999999999998</v>
      </c>
      <c r="AJ119" s="245">
        <v>1.1000000000000001</v>
      </c>
      <c r="AK119" s="245">
        <v>2.31</v>
      </c>
      <c r="AL119" s="246">
        <v>4.1549999999999994</v>
      </c>
      <c r="AM119" s="244">
        <v>0.77499999999999991</v>
      </c>
      <c r="AN119" s="245">
        <v>1.1000000000000001</v>
      </c>
      <c r="AO119" s="245">
        <v>2.31</v>
      </c>
      <c r="AP119" s="246">
        <v>3.53</v>
      </c>
      <c r="AQ119" s="244">
        <v>1.9649999999999999</v>
      </c>
      <c r="AR119" s="245">
        <v>4.5</v>
      </c>
      <c r="AS119" s="245">
        <v>5.5</v>
      </c>
      <c r="AT119" s="245">
        <v>7</v>
      </c>
      <c r="AU119" s="244">
        <v>2.7349999999999994</v>
      </c>
      <c r="AV119" s="245">
        <v>4.5</v>
      </c>
      <c r="AW119" s="245">
        <v>5.5</v>
      </c>
      <c r="AX119" s="246">
        <v>6.5</v>
      </c>
      <c r="AY119" s="244">
        <v>0</v>
      </c>
      <c r="AZ119" s="245">
        <v>1.5400000000000003</v>
      </c>
      <c r="BA119" s="245">
        <v>3.52</v>
      </c>
      <c r="BB119" s="245">
        <v>5.0600000000000005</v>
      </c>
      <c r="BC119" s="244">
        <v>0.19999999999999996</v>
      </c>
      <c r="BD119" s="245">
        <v>1.5400000000000003</v>
      </c>
      <c r="BE119" s="245">
        <v>3.52</v>
      </c>
      <c r="BF119" s="246">
        <v>4.6000000000000014</v>
      </c>
      <c r="BG119" s="244">
        <f t="shared" si="87"/>
        <v>2.57</v>
      </c>
      <c r="BH119" s="245">
        <f t="shared" si="84"/>
        <v>7.14</v>
      </c>
      <c r="BI119" s="245">
        <f t="shared" si="84"/>
        <v>11.33</v>
      </c>
      <c r="BJ119" s="245">
        <f t="shared" si="84"/>
        <v>16.215</v>
      </c>
      <c r="BK119" s="244">
        <f t="shared" si="84"/>
        <v>3.7099999999999991</v>
      </c>
      <c r="BL119" s="245">
        <f t="shared" si="84"/>
        <v>7.14</v>
      </c>
      <c r="BM119" s="245">
        <f t="shared" si="84"/>
        <v>11.33</v>
      </c>
      <c r="BN119" s="245">
        <f t="shared" si="84"/>
        <v>14.63</v>
      </c>
      <c r="BO119" s="251">
        <f t="shared" si="88"/>
        <v>6.226</v>
      </c>
      <c r="BP119" s="278">
        <f t="shared" si="89"/>
        <v>12.306999999999999</v>
      </c>
      <c r="BQ119" s="251">
        <f t="shared" si="90"/>
        <v>6.4539999999999997</v>
      </c>
      <c r="BR119" s="279">
        <f t="shared" si="91"/>
        <v>11.99</v>
      </c>
      <c r="BS119" s="244">
        <f t="shared" si="92"/>
        <v>9.2664999999999988</v>
      </c>
      <c r="BT119" s="246">
        <f t="shared" si="93"/>
        <v>9.2219999999999995</v>
      </c>
      <c r="BU119" s="280">
        <f t="shared" si="94"/>
        <v>9.2442499999999992</v>
      </c>
    </row>
    <row r="120" spans="1:86" x14ac:dyDescent="0.25">
      <c r="A120" s="41" t="s">
        <v>8</v>
      </c>
      <c r="B120" s="41" t="s">
        <v>19</v>
      </c>
      <c r="C120" s="60" t="s">
        <v>32</v>
      </c>
      <c r="D120" s="92" t="s">
        <v>46</v>
      </c>
      <c r="E120" s="92" t="s">
        <v>45</v>
      </c>
      <c r="F120" s="92" t="s">
        <v>46</v>
      </c>
      <c r="G120" s="49">
        <f t="shared" si="85"/>
        <v>0.33</v>
      </c>
      <c r="H120" s="49">
        <f t="shared" si="83"/>
        <v>0.66</v>
      </c>
      <c r="I120" s="49">
        <f t="shared" si="83"/>
        <v>0.33</v>
      </c>
      <c r="J120" s="83">
        <f t="shared" si="86"/>
        <v>6.6</v>
      </c>
      <c r="K120" s="26">
        <v>0</v>
      </c>
      <c r="L120">
        <v>0.22000000000000003</v>
      </c>
      <c r="M120">
        <v>0.44</v>
      </c>
      <c r="N120" s="27">
        <v>0.55000000000000004</v>
      </c>
      <c r="O120" s="26">
        <v>0.06</v>
      </c>
      <c r="P120">
        <v>0.22000000000000003</v>
      </c>
      <c r="Q120">
        <v>0.44</v>
      </c>
      <c r="R120" s="27">
        <v>0.52</v>
      </c>
      <c r="S120" s="26">
        <v>0.44000000000000006</v>
      </c>
      <c r="T120">
        <v>0.55000000000000004</v>
      </c>
      <c r="U120">
        <v>0.77</v>
      </c>
      <c r="V120" s="27">
        <v>1</v>
      </c>
      <c r="W120" s="26">
        <v>0.47000000000000003</v>
      </c>
      <c r="X120">
        <v>0.55000000000000004</v>
      </c>
      <c r="Y120" s="245">
        <v>0.77</v>
      </c>
      <c r="Z120" s="246">
        <v>0.92</v>
      </c>
      <c r="AA120" s="244">
        <v>0</v>
      </c>
      <c r="AB120" s="245">
        <v>0.22000000000000003</v>
      </c>
      <c r="AC120" s="245">
        <v>0.44</v>
      </c>
      <c r="AD120" s="246">
        <v>0.55000000000000004</v>
      </c>
      <c r="AE120" s="244">
        <v>0.06</v>
      </c>
      <c r="AF120" s="245">
        <v>0.22000000000000003</v>
      </c>
      <c r="AG120" s="245">
        <v>0.44</v>
      </c>
      <c r="AH120" s="246">
        <v>0.52</v>
      </c>
      <c r="AI120" s="244">
        <v>0</v>
      </c>
      <c r="AJ120" s="245">
        <v>0.44000000000000006</v>
      </c>
      <c r="AK120" s="245">
        <v>1.32</v>
      </c>
      <c r="AL120" s="246">
        <v>2.3099999999999996</v>
      </c>
      <c r="AM120" s="244">
        <v>5.3999999999999992E-2</v>
      </c>
      <c r="AN120" s="245">
        <v>0.44000000000000006</v>
      </c>
      <c r="AO120" s="245">
        <v>1.32</v>
      </c>
      <c r="AP120" s="246">
        <v>2</v>
      </c>
      <c r="AQ120" s="244">
        <v>1.1550000000000002</v>
      </c>
      <c r="AR120" s="245">
        <v>2.4750000000000001</v>
      </c>
      <c r="AS120" s="245">
        <v>4.2350000000000003</v>
      </c>
      <c r="AT120" s="245">
        <v>6.6550000000000002</v>
      </c>
      <c r="AU120" s="244">
        <v>1.5650000000000008</v>
      </c>
      <c r="AV120" s="245">
        <v>2.4750000000000001</v>
      </c>
      <c r="AW120" s="245">
        <v>4.2350000000000003</v>
      </c>
      <c r="AX120" s="246">
        <v>5.830000000000001</v>
      </c>
      <c r="AY120" s="244">
        <v>0</v>
      </c>
      <c r="AZ120" s="245">
        <v>1.5400000000000003</v>
      </c>
      <c r="BA120" s="245">
        <v>3.52</v>
      </c>
      <c r="BB120" s="245">
        <v>5.0600000000000005</v>
      </c>
      <c r="BC120" s="244">
        <v>0.19999999999999996</v>
      </c>
      <c r="BD120" s="245">
        <v>1.5400000000000003</v>
      </c>
      <c r="BE120" s="245">
        <v>3.52</v>
      </c>
      <c r="BF120" s="246">
        <v>4.6000000000000014</v>
      </c>
      <c r="BG120" s="244">
        <f t="shared" si="87"/>
        <v>1.1550000000000002</v>
      </c>
      <c r="BH120" s="245">
        <f t="shared" si="84"/>
        <v>4.4550000000000001</v>
      </c>
      <c r="BI120" s="245">
        <f t="shared" si="84"/>
        <v>9.0750000000000011</v>
      </c>
      <c r="BJ120" s="245">
        <f t="shared" si="84"/>
        <v>14.025</v>
      </c>
      <c r="BK120" s="244">
        <f t="shared" si="84"/>
        <v>1.8190000000000008</v>
      </c>
      <c r="BL120" s="245">
        <f t="shared" si="84"/>
        <v>4.4550000000000001</v>
      </c>
      <c r="BM120" s="245">
        <f t="shared" si="84"/>
        <v>9.0750000000000011</v>
      </c>
      <c r="BN120" s="245">
        <f t="shared" si="84"/>
        <v>12.430000000000003</v>
      </c>
      <c r="BO120" s="251">
        <f t="shared" si="88"/>
        <v>3.7949999999999999</v>
      </c>
      <c r="BP120" s="278">
        <f t="shared" si="89"/>
        <v>10.065000000000001</v>
      </c>
      <c r="BQ120" s="251">
        <f t="shared" si="90"/>
        <v>3.9278</v>
      </c>
      <c r="BR120" s="279">
        <f t="shared" si="91"/>
        <v>9.7460000000000022</v>
      </c>
      <c r="BS120" s="244">
        <f t="shared" si="92"/>
        <v>6.9300000000000006</v>
      </c>
      <c r="BT120" s="246">
        <f t="shared" si="93"/>
        <v>6.8369000000000009</v>
      </c>
      <c r="BU120" s="280">
        <f t="shared" si="94"/>
        <v>6.8834500000000007</v>
      </c>
    </row>
    <row r="121" spans="1:86" ht="30" x14ac:dyDescent="0.25">
      <c r="A121" s="41" t="s">
        <v>9</v>
      </c>
      <c r="B121" s="41" t="s">
        <v>20</v>
      </c>
      <c r="C121" s="60" t="s">
        <v>33</v>
      </c>
      <c r="D121" s="92" t="s">
        <v>44</v>
      </c>
      <c r="E121" s="92" t="s">
        <v>45</v>
      </c>
      <c r="F121" s="92" t="s">
        <v>46</v>
      </c>
      <c r="G121" s="49">
        <f t="shared" si="85"/>
        <v>1</v>
      </c>
      <c r="H121" s="49">
        <f t="shared" si="83"/>
        <v>0.66</v>
      </c>
      <c r="I121" s="49">
        <f t="shared" si="83"/>
        <v>0.33</v>
      </c>
      <c r="J121" s="83">
        <f t="shared" si="86"/>
        <v>8.2750000000000004</v>
      </c>
      <c r="K121" s="26">
        <v>0.77</v>
      </c>
      <c r="L121">
        <v>1</v>
      </c>
      <c r="M121">
        <v>1</v>
      </c>
      <c r="N121" s="27">
        <v>1</v>
      </c>
      <c r="O121" s="26">
        <v>0.83</v>
      </c>
      <c r="P121">
        <v>1</v>
      </c>
      <c r="Q121">
        <v>1</v>
      </c>
      <c r="R121" s="27">
        <v>1</v>
      </c>
      <c r="S121" s="26">
        <v>0.44000000000000006</v>
      </c>
      <c r="T121">
        <v>0.55000000000000004</v>
      </c>
      <c r="U121">
        <v>0.77</v>
      </c>
      <c r="V121" s="27">
        <v>1</v>
      </c>
      <c r="W121" s="26">
        <v>0.47000000000000003</v>
      </c>
      <c r="X121">
        <v>0.55000000000000004</v>
      </c>
      <c r="Y121" s="245">
        <v>0.77</v>
      </c>
      <c r="Z121" s="246">
        <v>0.92</v>
      </c>
      <c r="AA121" s="244">
        <v>0</v>
      </c>
      <c r="AB121" s="245">
        <v>0.22000000000000003</v>
      </c>
      <c r="AC121" s="245">
        <v>0.44</v>
      </c>
      <c r="AD121" s="246">
        <v>0.55000000000000004</v>
      </c>
      <c r="AE121" s="244">
        <v>0.06</v>
      </c>
      <c r="AF121" s="245">
        <v>0.22000000000000003</v>
      </c>
      <c r="AG121" s="245">
        <v>0.44</v>
      </c>
      <c r="AH121" s="246">
        <v>0.52</v>
      </c>
      <c r="AI121" s="244">
        <v>1.04</v>
      </c>
      <c r="AJ121" s="245">
        <v>2</v>
      </c>
      <c r="AK121" s="245">
        <v>3</v>
      </c>
      <c r="AL121" s="246">
        <v>4.5</v>
      </c>
      <c r="AM121" s="244">
        <v>1.3599999999999999</v>
      </c>
      <c r="AN121" s="245">
        <v>2</v>
      </c>
      <c r="AO121" s="245">
        <v>3</v>
      </c>
      <c r="AP121" s="246">
        <v>4</v>
      </c>
      <c r="AQ121" s="244">
        <v>1.1550000000000002</v>
      </c>
      <c r="AR121" s="245">
        <v>2.4750000000000001</v>
      </c>
      <c r="AS121" s="245">
        <v>4.2350000000000003</v>
      </c>
      <c r="AT121" s="245">
        <v>6.6550000000000002</v>
      </c>
      <c r="AU121" s="244">
        <v>1.5650000000000008</v>
      </c>
      <c r="AV121" s="245">
        <v>2.4750000000000001</v>
      </c>
      <c r="AW121" s="245">
        <v>4.2350000000000003</v>
      </c>
      <c r="AX121" s="246">
        <v>5.830000000000001</v>
      </c>
      <c r="AY121" s="244">
        <v>0</v>
      </c>
      <c r="AZ121" s="245">
        <v>1.5400000000000003</v>
      </c>
      <c r="BA121" s="245">
        <v>3.52</v>
      </c>
      <c r="BB121" s="245">
        <v>5.0600000000000005</v>
      </c>
      <c r="BC121" s="244">
        <v>0.19999999999999996</v>
      </c>
      <c r="BD121" s="245">
        <v>1.5400000000000003</v>
      </c>
      <c r="BE121" s="245">
        <v>3.52</v>
      </c>
      <c r="BF121" s="246">
        <v>4.6000000000000014</v>
      </c>
      <c r="BG121" s="244">
        <f t="shared" si="87"/>
        <v>2.1950000000000003</v>
      </c>
      <c r="BH121" s="245">
        <f t="shared" si="84"/>
        <v>6.0149999999999997</v>
      </c>
      <c r="BI121" s="245">
        <f t="shared" si="84"/>
        <v>10.755000000000001</v>
      </c>
      <c r="BJ121" s="245">
        <f t="shared" si="84"/>
        <v>16.215000000000003</v>
      </c>
      <c r="BK121" s="244">
        <f t="shared" si="84"/>
        <v>3.1250000000000009</v>
      </c>
      <c r="BL121" s="245">
        <f t="shared" si="84"/>
        <v>6.0149999999999997</v>
      </c>
      <c r="BM121" s="245">
        <f t="shared" si="84"/>
        <v>10.755000000000001</v>
      </c>
      <c r="BN121" s="245">
        <f t="shared" si="84"/>
        <v>14.430000000000003</v>
      </c>
      <c r="BO121" s="251">
        <f t="shared" si="88"/>
        <v>5.2510000000000003</v>
      </c>
      <c r="BP121" s="278">
        <f t="shared" si="89"/>
        <v>11.847000000000001</v>
      </c>
      <c r="BQ121" s="251">
        <f t="shared" si="90"/>
        <v>5.4370000000000003</v>
      </c>
      <c r="BR121" s="279">
        <f t="shared" si="91"/>
        <v>11.490000000000002</v>
      </c>
      <c r="BS121" s="244">
        <f t="shared" si="92"/>
        <v>8.5490000000000013</v>
      </c>
      <c r="BT121" s="246">
        <f t="shared" si="93"/>
        <v>8.4635000000000016</v>
      </c>
      <c r="BU121" s="280">
        <f t="shared" si="94"/>
        <v>8.5062500000000014</v>
      </c>
    </row>
    <row r="122" spans="1:86" ht="30" x14ac:dyDescent="0.25">
      <c r="A122" s="41" t="s">
        <v>10</v>
      </c>
      <c r="B122" s="41" t="s">
        <v>21</v>
      </c>
      <c r="C122" s="60" t="s">
        <v>22</v>
      </c>
      <c r="D122" s="92" t="s">
        <v>45</v>
      </c>
      <c r="E122" s="92" t="s">
        <v>46</v>
      </c>
      <c r="F122" s="92" t="s">
        <v>44</v>
      </c>
      <c r="G122" s="49">
        <f t="shared" si="85"/>
        <v>0.66</v>
      </c>
      <c r="H122" s="49">
        <f t="shared" si="83"/>
        <v>0.33</v>
      </c>
      <c r="I122" s="49">
        <f t="shared" si="83"/>
        <v>1</v>
      </c>
      <c r="J122" s="83">
        <f t="shared" si="86"/>
        <v>10.8</v>
      </c>
      <c r="K122" s="26">
        <v>0.44000000000000006</v>
      </c>
      <c r="L122">
        <v>0.55000000000000004</v>
      </c>
      <c r="M122">
        <v>0.77</v>
      </c>
      <c r="N122" s="27">
        <v>1</v>
      </c>
      <c r="O122" s="26">
        <v>0.47000000000000003</v>
      </c>
      <c r="P122">
        <v>0.55000000000000004</v>
      </c>
      <c r="Q122">
        <v>0.77</v>
      </c>
      <c r="R122" s="27">
        <v>0.92</v>
      </c>
      <c r="S122" s="26">
        <v>0</v>
      </c>
      <c r="T122">
        <v>0.22000000000000003</v>
      </c>
      <c r="U122">
        <v>0.44</v>
      </c>
      <c r="V122" s="27">
        <v>0.55000000000000004</v>
      </c>
      <c r="W122" s="26">
        <v>0.06</v>
      </c>
      <c r="X122">
        <v>0.22000000000000003</v>
      </c>
      <c r="Y122" s="245">
        <v>0.44</v>
      </c>
      <c r="Z122" s="246">
        <v>0.52</v>
      </c>
      <c r="AA122" s="244">
        <v>0.77</v>
      </c>
      <c r="AB122" s="245">
        <v>1</v>
      </c>
      <c r="AC122" s="245">
        <v>1</v>
      </c>
      <c r="AD122" s="246">
        <v>1</v>
      </c>
      <c r="AE122" s="244">
        <v>0.83</v>
      </c>
      <c r="AF122" s="245">
        <v>1</v>
      </c>
      <c r="AG122" s="245">
        <v>1</v>
      </c>
      <c r="AH122" s="246">
        <v>1</v>
      </c>
      <c r="AI122" s="244">
        <v>0.60499999999999998</v>
      </c>
      <c r="AJ122" s="245">
        <v>1.1000000000000001</v>
      </c>
      <c r="AK122" s="245">
        <v>2.31</v>
      </c>
      <c r="AL122" s="246">
        <v>4.1549999999999994</v>
      </c>
      <c r="AM122" s="244">
        <v>0.77499999999999991</v>
      </c>
      <c r="AN122" s="245">
        <v>1.1000000000000001</v>
      </c>
      <c r="AO122" s="245">
        <v>2.31</v>
      </c>
      <c r="AP122" s="246">
        <v>3.53</v>
      </c>
      <c r="AQ122" s="244">
        <v>0</v>
      </c>
      <c r="AR122" s="245">
        <v>0.9900000000000001</v>
      </c>
      <c r="AS122" s="245">
        <v>2.42</v>
      </c>
      <c r="AT122" s="245">
        <v>3.6850000000000005</v>
      </c>
      <c r="AU122" s="244">
        <v>4.9999999999999933E-2</v>
      </c>
      <c r="AV122" s="245">
        <v>0.9900000000000001</v>
      </c>
      <c r="AW122" s="245">
        <v>2.42</v>
      </c>
      <c r="AX122" s="246">
        <v>3.3000000000000007</v>
      </c>
      <c r="AY122" s="244">
        <v>3.8900000000000006</v>
      </c>
      <c r="AZ122" s="245">
        <v>7</v>
      </c>
      <c r="BA122" s="245">
        <v>8</v>
      </c>
      <c r="BB122" s="245">
        <v>9.5</v>
      </c>
      <c r="BC122" s="244">
        <v>4.8099999999999987</v>
      </c>
      <c r="BD122" s="245">
        <v>7</v>
      </c>
      <c r="BE122" s="245">
        <v>8</v>
      </c>
      <c r="BF122" s="246">
        <v>9</v>
      </c>
      <c r="BG122" s="244">
        <f t="shared" si="87"/>
        <v>4.495000000000001</v>
      </c>
      <c r="BH122" s="245">
        <f t="shared" si="84"/>
        <v>9.09</v>
      </c>
      <c r="BI122" s="245">
        <f t="shared" si="84"/>
        <v>12.73</v>
      </c>
      <c r="BJ122" s="245">
        <f t="shared" si="84"/>
        <v>17.34</v>
      </c>
      <c r="BK122" s="244">
        <f t="shared" si="84"/>
        <v>5.6349999999999989</v>
      </c>
      <c r="BL122" s="245">
        <f t="shared" si="84"/>
        <v>9.09</v>
      </c>
      <c r="BM122" s="245">
        <f t="shared" si="84"/>
        <v>12.73</v>
      </c>
      <c r="BN122" s="245">
        <f t="shared" si="84"/>
        <v>15.83</v>
      </c>
      <c r="BO122" s="251">
        <f t="shared" si="88"/>
        <v>8.1709999999999994</v>
      </c>
      <c r="BP122" s="278">
        <f t="shared" si="89"/>
        <v>13.652000000000001</v>
      </c>
      <c r="BQ122" s="251">
        <f t="shared" si="90"/>
        <v>8.3989999999999991</v>
      </c>
      <c r="BR122" s="279">
        <f t="shared" si="91"/>
        <v>13.350000000000001</v>
      </c>
      <c r="BS122" s="244">
        <f t="shared" si="92"/>
        <v>10.9115</v>
      </c>
      <c r="BT122" s="246">
        <f t="shared" si="93"/>
        <v>10.874500000000001</v>
      </c>
      <c r="BU122" s="280">
        <f t="shared" si="94"/>
        <v>10.893000000000001</v>
      </c>
    </row>
    <row r="123" spans="1:86" ht="36.75" customHeight="1" x14ac:dyDescent="0.25">
      <c r="A123" s="41" t="s">
        <v>11</v>
      </c>
      <c r="B123" s="41" t="s">
        <v>23</v>
      </c>
      <c r="C123" s="60" t="s">
        <v>34</v>
      </c>
      <c r="D123" s="92" t="s">
        <v>45</v>
      </c>
      <c r="E123" s="92" t="s">
        <v>44</v>
      </c>
      <c r="F123" s="92" t="s">
        <v>46</v>
      </c>
      <c r="G123" s="49">
        <f t="shared" si="85"/>
        <v>0.66</v>
      </c>
      <c r="H123" s="49">
        <f t="shared" si="83"/>
        <v>1</v>
      </c>
      <c r="I123" s="49">
        <f t="shared" si="83"/>
        <v>0.33</v>
      </c>
      <c r="J123" s="83">
        <f t="shared" si="86"/>
        <v>9.125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>
        <v>0.55000000000000004</v>
      </c>
      <c r="Q123">
        <v>0.77</v>
      </c>
      <c r="R123" s="27">
        <v>0.92</v>
      </c>
      <c r="S123" s="26">
        <v>0.77</v>
      </c>
      <c r="T123">
        <v>1</v>
      </c>
      <c r="U123">
        <v>1</v>
      </c>
      <c r="V123" s="27">
        <v>1</v>
      </c>
      <c r="W123" s="26">
        <v>0.83</v>
      </c>
      <c r="X123">
        <v>1</v>
      </c>
      <c r="Y123" s="245">
        <v>1</v>
      </c>
      <c r="Z123" s="246">
        <v>1</v>
      </c>
      <c r="AA123" s="244">
        <v>0</v>
      </c>
      <c r="AB123" s="245">
        <v>0.22000000000000003</v>
      </c>
      <c r="AC123" s="245">
        <v>0.44</v>
      </c>
      <c r="AD123" s="246">
        <v>0.55000000000000004</v>
      </c>
      <c r="AE123" s="244">
        <v>0.06</v>
      </c>
      <c r="AF123" s="245">
        <v>0.22000000000000003</v>
      </c>
      <c r="AG123" s="245">
        <v>0.44</v>
      </c>
      <c r="AH123" s="246">
        <v>0.52</v>
      </c>
      <c r="AI123" s="244">
        <v>0.60499999999999998</v>
      </c>
      <c r="AJ123" s="245">
        <v>1.1000000000000001</v>
      </c>
      <c r="AK123" s="245">
        <v>2.31</v>
      </c>
      <c r="AL123" s="246">
        <v>4.1549999999999994</v>
      </c>
      <c r="AM123" s="244">
        <v>0.77499999999999991</v>
      </c>
      <c r="AN123" s="245">
        <v>1.1000000000000001</v>
      </c>
      <c r="AO123" s="245">
        <v>2.31</v>
      </c>
      <c r="AP123" s="246">
        <v>3.53</v>
      </c>
      <c r="AQ123" s="244">
        <v>1.9649999999999999</v>
      </c>
      <c r="AR123" s="245">
        <v>4.5</v>
      </c>
      <c r="AS123" s="245">
        <v>5.5</v>
      </c>
      <c r="AT123" s="245">
        <v>7</v>
      </c>
      <c r="AU123" s="244">
        <v>2.7349999999999994</v>
      </c>
      <c r="AV123" s="245">
        <v>4.5</v>
      </c>
      <c r="AW123" s="245">
        <v>5.5</v>
      </c>
      <c r="AX123" s="246">
        <v>6.5</v>
      </c>
      <c r="AY123" s="244">
        <v>0</v>
      </c>
      <c r="AZ123" s="245">
        <v>1.5400000000000003</v>
      </c>
      <c r="BA123" s="245">
        <v>3.52</v>
      </c>
      <c r="BB123" s="245">
        <v>5.0600000000000005</v>
      </c>
      <c r="BC123" s="244">
        <v>0.19999999999999996</v>
      </c>
      <c r="BD123" s="245">
        <v>1.5400000000000003</v>
      </c>
      <c r="BE123" s="245">
        <v>3.52</v>
      </c>
      <c r="BF123" s="246">
        <v>4.6000000000000014</v>
      </c>
      <c r="BG123" s="244">
        <f t="shared" si="87"/>
        <v>2.57</v>
      </c>
      <c r="BH123" s="245">
        <f t="shared" si="84"/>
        <v>7.14</v>
      </c>
      <c r="BI123" s="245">
        <f t="shared" si="84"/>
        <v>11.33</v>
      </c>
      <c r="BJ123" s="245">
        <f t="shared" si="84"/>
        <v>16.215</v>
      </c>
      <c r="BK123" s="244">
        <f t="shared" si="84"/>
        <v>3.7099999999999991</v>
      </c>
      <c r="BL123" s="245">
        <f t="shared" si="84"/>
        <v>7.14</v>
      </c>
      <c r="BM123" s="245">
        <f t="shared" si="84"/>
        <v>11.33</v>
      </c>
      <c r="BN123" s="245">
        <f t="shared" si="84"/>
        <v>14.63</v>
      </c>
      <c r="BO123" s="251">
        <f t="shared" si="88"/>
        <v>6.226</v>
      </c>
      <c r="BP123" s="278">
        <f t="shared" si="89"/>
        <v>12.306999999999999</v>
      </c>
      <c r="BQ123" s="251">
        <f t="shared" si="90"/>
        <v>6.4539999999999997</v>
      </c>
      <c r="BR123" s="279">
        <f t="shared" si="91"/>
        <v>11.99</v>
      </c>
      <c r="BS123" s="244">
        <f t="shared" si="92"/>
        <v>9.2664999999999988</v>
      </c>
      <c r="BT123" s="246">
        <f t="shared" si="93"/>
        <v>9.2219999999999995</v>
      </c>
      <c r="BU123" s="280">
        <f t="shared" si="94"/>
        <v>9.2442499999999992</v>
      </c>
    </row>
    <row r="124" spans="1:86" ht="30.75" thickBot="1" x14ac:dyDescent="0.3">
      <c r="A124" s="41" t="s">
        <v>12</v>
      </c>
      <c r="B124" s="41" t="s">
        <v>24</v>
      </c>
      <c r="C124" s="60" t="s">
        <v>35</v>
      </c>
      <c r="D124" s="92" t="s">
        <v>46</v>
      </c>
      <c r="E124" s="92" t="s">
        <v>44</v>
      </c>
      <c r="F124" s="92" t="s">
        <v>45</v>
      </c>
      <c r="G124" s="49">
        <f t="shared" si="85"/>
        <v>0.33</v>
      </c>
      <c r="H124" s="49">
        <f t="shared" si="83"/>
        <v>1</v>
      </c>
      <c r="I124" s="49">
        <f t="shared" si="83"/>
        <v>0.66</v>
      </c>
      <c r="J124" s="83">
        <f t="shared" si="86"/>
        <v>10.775</v>
      </c>
      <c r="K124" s="30">
        <v>0</v>
      </c>
      <c r="L124" s="32">
        <v>0.22000000000000003</v>
      </c>
      <c r="M124" s="32">
        <v>0.44</v>
      </c>
      <c r="N124" s="33">
        <v>0.55000000000000004</v>
      </c>
      <c r="O124" s="30">
        <v>0.06</v>
      </c>
      <c r="P124" s="32">
        <v>0.22000000000000003</v>
      </c>
      <c r="Q124" s="32">
        <v>0.44</v>
      </c>
      <c r="R124" s="33">
        <v>0.52</v>
      </c>
      <c r="S124" s="30">
        <v>0.77</v>
      </c>
      <c r="T124" s="32">
        <v>1</v>
      </c>
      <c r="U124" s="32">
        <v>1</v>
      </c>
      <c r="V124" s="33">
        <v>1</v>
      </c>
      <c r="W124" s="30">
        <v>0.83</v>
      </c>
      <c r="X124" s="32">
        <v>1</v>
      </c>
      <c r="Y124" s="248">
        <v>1</v>
      </c>
      <c r="Z124" s="249">
        <v>1</v>
      </c>
      <c r="AA124" s="247">
        <v>0.44000000000000006</v>
      </c>
      <c r="AB124" s="248">
        <v>0.55000000000000004</v>
      </c>
      <c r="AC124" s="248">
        <v>0.77</v>
      </c>
      <c r="AD124" s="249">
        <v>1</v>
      </c>
      <c r="AE124" s="247">
        <v>0.47000000000000003</v>
      </c>
      <c r="AF124" s="248">
        <v>0.55000000000000004</v>
      </c>
      <c r="AG124" s="248">
        <v>0.77</v>
      </c>
      <c r="AH124" s="249">
        <v>0.92</v>
      </c>
      <c r="AI124" s="247">
        <v>0</v>
      </c>
      <c r="AJ124" s="248">
        <v>0.44000000000000006</v>
      </c>
      <c r="AK124" s="248">
        <v>1.32</v>
      </c>
      <c r="AL124" s="249">
        <v>2.3099999999999996</v>
      </c>
      <c r="AM124" s="247">
        <v>5.3999999999999992E-2</v>
      </c>
      <c r="AN124" s="248">
        <v>0.44000000000000006</v>
      </c>
      <c r="AO124" s="248">
        <v>1.32</v>
      </c>
      <c r="AP124" s="249">
        <v>2</v>
      </c>
      <c r="AQ124" s="247">
        <v>1.9649999999999999</v>
      </c>
      <c r="AR124" s="248">
        <v>4.5</v>
      </c>
      <c r="AS124" s="248">
        <v>5.5</v>
      </c>
      <c r="AT124" s="248">
        <v>7</v>
      </c>
      <c r="AU124" s="247">
        <v>2.7349999999999994</v>
      </c>
      <c r="AV124" s="248">
        <v>4.5</v>
      </c>
      <c r="AW124" s="248">
        <v>5.5</v>
      </c>
      <c r="AX124" s="249">
        <v>6.5</v>
      </c>
      <c r="AY124" s="247">
        <v>2.2549999999999999</v>
      </c>
      <c r="AZ124" s="248">
        <v>3.8500000000000005</v>
      </c>
      <c r="BA124" s="248">
        <v>6.16</v>
      </c>
      <c r="BB124" s="248">
        <v>9.1550000000000011</v>
      </c>
      <c r="BC124" s="247">
        <v>2.7399999999999993</v>
      </c>
      <c r="BD124" s="248">
        <v>3.8500000000000005</v>
      </c>
      <c r="BE124" s="248">
        <v>6.16</v>
      </c>
      <c r="BF124" s="249">
        <v>8.129999999999999</v>
      </c>
      <c r="BG124" s="247">
        <f t="shared" si="87"/>
        <v>4.22</v>
      </c>
      <c r="BH124" s="248">
        <f t="shared" si="84"/>
        <v>8.7900000000000009</v>
      </c>
      <c r="BI124" s="248">
        <f t="shared" si="84"/>
        <v>12.98</v>
      </c>
      <c r="BJ124" s="248">
        <f t="shared" si="84"/>
        <v>18.465</v>
      </c>
      <c r="BK124" s="247">
        <f t="shared" si="84"/>
        <v>5.5289999999999981</v>
      </c>
      <c r="BL124" s="248">
        <f t="shared" si="84"/>
        <v>8.7900000000000009</v>
      </c>
      <c r="BM124" s="248">
        <f t="shared" si="84"/>
        <v>12.98</v>
      </c>
      <c r="BN124" s="248">
        <f t="shared" si="84"/>
        <v>16.63</v>
      </c>
      <c r="BO124" s="252">
        <f t="shared" si="88"/>
        <v>7.8760000000000003</v>
      </c>
      <c r="BP124" s="281">
        <f t="shared" si="89"/>
        <v>14.077</v>
      </c>
      <c r="BQ124" s="252">
        <f t="shared" si="90"/>
        <v>8.1378000000000004</v>
      </c>
      <c r="BR124" s="282">
        <f t="shared" si="91"/>
        <v>13.709999999999999</v>
      </c>
      <c r="BS124" s="247">
        <f t="shared" si="92"/>
        <v>10.9765</v>
      </c>
      <c r="BT124" s="249">
        <f t="shared" si="93"/>
        <v>10.9239</v>
      </c>
      <c r="BU124" s="283">
        <f t="shared" si="94"/>
        <v>10.950199999999999</v>
      </c>
    </row>
    <row r="125" spans="1:86" x14ac:dyDescent="0.25">
      <c r="BF125" s="284"/>
      <c r="BG125" s="285"/>
      <c r="BH125" s="285"/>
      <c r="BI125" s="285"/>
      <c r="BJ125" s="285"/>
      <c r="BK125" s="285"/>
    </row>
    <row r="126" spans="1:86" x14ac:dyDescent="0.25">
      <c r="A126" s="1" t="s">
        <v>129</v>
      </c>
      <c r="B126" s="1"/>
    </row>
    <row r="127" spans="1:86" ht="15.75" thickBot="1" x14ac:dyDescent="0.3">
      <c r="A127" s="46" t="s">
        <v>43</v>
      </c>
      <c r="B127" s="47" t="s">
        <v>55</v>
      </c>
      <c r="E127" s="51" t="s">
        <v>3</v>
      </c>
      <c r="I127" t="s">
        <v>4</v>
      </c>
    </row>
    <row r="128" spans="1:86" x14ac:dyDescent="0.25">
      <c r="A128" s="45" t="s">
        <v>47</v>
      </c>
      <c r="B128" s="2">
        <v>0</v>
      </c>
      <c r="C128" s="18">
        <v>0</v>
      </c>
      <c r="D128" s="19" t="s">
        <v>47</v>
      </c>
      <c r="E128" s="20">
        <v>0</v>
      </c>
      <c r="F128" s="21">
        <f>C128</f>
        <v>0</v>
      </c>
      <c r="G128" s="22">
        <v>0</v>
      </c>
      <c r="H128" s="23">
        <v>0.22</v>
      </c>
      <c r="I128" s="24">
        <v>0</v>
      </c>
      <c r="J128" s="22">
        <f>F128</f>
        <v>0</v>
      </c>
      <c r="K128" s="22">
        <f>G128</f>
        <v>0</v>
      </c>
      <c r="L128" s="25">
        <v>0.15</v>
      </c>
    </row>
    <row r="129" spans="1:12" x14ac:dyDescent="0.25">
      <c r="A129" s="45" t="s">
        <v>46</v>
      </c>
      <c r="B129" s="2">
        <v>0.33</v>
      </c>
      <c r="C129" s="18">
        <v>0.33</v>
      </c>
      <c r="D129" s="19" t="s">
        <v>46</v>
      </c>
      <c r="E129" s="26">
        <v>0</v>
      </c>
      <c r="F129" s="50">
        <f>C129-0.11</f>
        <v>0.22000000000000003</v>
      </c>
      <c r="G129">
        <f>C129+0.11</f>
        <v>0.44</v>
      </c>
      <c r="H129" s="27">
        <f t="shared" ref="H129" si="95">G129+0.11</f>
        <v>0.55000000000000004</v>
      </c>
      <c r="I129" s="28">
        <v>0.06</v>
      </c>
      <c r="J129">
        <f t="shared" ref="J129:K131" si="96">F129</f>
        <v>0.22000000000000003</v>
      </c>
      <c r="K129">
        <f t="shared" si="96"/>
        <v>0.44</v>
      </c>
      <c r="L129" s="29">
        <f t="shared" ref="L129" si="97">K129+0.08</f>
        <v>0.52</v>
      </c>
    </row>
    <row r="130" spans="1:12" x14ac:dyDescent="0.25">
      <c r="A130" s="45" t="s">
        <v>45</v>
      </c>
      <c r="B130" s="2">
        <v>0.66</v>
      </c>
      <c r="C130" s="18">
        <v>0.66</v>
      </c>
      <c r="D130" s="19" t="s">
        <v>45</v>
      </c>
      <c r="E130" s="26">
        <f t="shared" ref="E130" si="98">F130-0.11</f>
        <v>0.44000000000000006</v>
      </c>
      <c r="F130" s="50">
        <f t="shared" ref="F130" si="99">C130-0.11</f>
        <v>0.55000000000000004</v>
      </c>
      <c r="G130">
        <f t="shared" ref="G130" si="100">C130+0.11</f>
        <v>0.77</v>
      </c>
      <c r="H130" s="27">
        <v>1</v>
      </c>
      <c r="I130" s="28">
        <f t="shared" ref="I130" si="101">J130-0.08</f>
        <v>0.47000000000000003</v>
      </c>
      <c r="J130">
        <f t="shared" si="96"/>
        <v>0.55000000000000004</v>
      </c>
      <c r="K130">
        <f t="shared" si="96"/>
        <v>0.77</v>
      </c>
      <c r="L130" s="29">
        <v>0.92</v>
      </c>
    </row>
    <row r="131" spans="1:12" ht="15.75" thickBot="1" x14ac:dyDescent="0.3">
      <c r="A131" s="45" t="s">
        <v>44</v>
      </c>
      <c r="B131" s="2">
        <v>1</v>
      </c>
      <c r="C131" s="18">
        <v>1</v>
      </c>
      <c r="D131" s="19" t="s">
        <v>44</v>
      </c>
      <c r="E131" s="30">
        <v>0.77</v>
      </c>
      <c r="F131" s="31">
        <v>1</v>
      </c>
      <c r="G131" s="32">
        <v>1</v>
      </c>
      <c r="H131" s="33">
        <v>1</v>
      </c>
      <c r="I131" s="34">
        <v>0.83</v>
      </c>
      <c r="J131" s="32">
        <f t="shared" si="96"/>
        <v>1</v>
      </c>
      <c r="K131" s="32">
        <f t="shared" si="96"/>
        <v>1</v>
      </c>
      <c r="L131" s="35">
        <v>1</v>
      </c>
    </row>
    <row r="132" spans="1:12" x14ac:dyDescent="0.25">
      <c r="A132" s="38"/>
    </row>
    <row r="133" spans="1:12" x14ac:dyDescent="0.25">
      <c r="A133" s="1" t="s">
        <v>130</v>
      </c>
    </row>
    <row r="134" spans="1:12" ht="15.75" thickBot="1" x14ac:dyDescent="0.3">
      <c r="A134" s="46" t="s">
        <v>43</v>
      </c>
      <c r="B134" s="47" t="s">
        <v>56</v>
      </c>
      <c r="E134" s="51" t="s">
        <v>3</v>
      </c>
      <c r="I134" t="s">
        <v>4</v>
      </c>
    </row>
    <row r="135" spans="1:12" x14ac:dyDescent="0.25">
      <c r="A135" s="45" t="s">
        <v>47</v>
      </c>
      <c r="B135" s="2">
        <v>1</v>
      </c>
      <c r="C135" s="18">
        <v>1</v>
      </c>
      <c r="D135" s="19" t="s">
        <v>47</v>
      </c>
      <c r="E135" s="20">
        <v>0</v>
      </c>
      <c r="F135" s="21">
        <v>0.5</v>
      </c>
      <c r="G135" s="22">
        <v>1.5</v>
      </c>
      <c r="H135" s="23">
        <v>2</v>
      </c>
      <c r="I135" s="24">
        <v>0</v>
      </c>
      <c r="J135" s="22">
        <f>F135</f>
        <v>0.5</v>
      </c>
      <c r="K135" s="22">
        <f>G135</f>
        <v>1.5</v>
      </c>
      <c r="L135" s="25">
        <v>1.8</v>
      </c>
    </row>
    <row r="136" spans="1:12" x14ac:dyDescent="0.25">
      <c r="A136" s="45" t="s">
        <v>46</v>
      </c>
      <c r="B136" s="2">
        <v>2.5</v>
      </c>
      <c r="C136" s="18">
        <v>2.5</v>
      </c>
      <c r="D136" s="19" t="s">
        <v>46</v>
      </c>
      <c r="E136" s="26">
        <v>1.5</v>
      </c>
      <c r="F136" s="50">
        <f>C136-0.5</f>
        <v>2</v>
      </c>
      <c r="G136">
        <f>C136+0.5</f>
        <v>3</v>
      </c>
      <c r="H136" s="27">
        <f t="shared" ref="H136:H138" si="102">G136+1.5</f>
        <v>4.5</v>
      </c>
      <c r="I136" s="28">
        <v>1.7</v>
      </c>
      <c r="J136">
        <f t="shared" ref="J136:K138" si="103">F136</f>
        <v>2</v>
      </c>
      <c r="K136">
        <f t="shared" si="103"/>
        <v>3</v>
      </c>
      <c r="L136" s="29">
        <f t="shared" ref="L136:L138" si="104">K136+1</f>
        <v>4</v>
      </c>
    </row>
    <row r="137" spans="1:12" x14ac:dyDescent="0.25">
      <c r="A137" s="45" t="s">
        <v>45</v>
      </c>
      <c r="B137" s="2">
        <v>5</v>
      </c>
      <c r="C137" s="18">
        <v>5</v>
      </c>
      <c r="D137" s="19" t="s">
        <v>45</v>
      </c>
      <c r="E137" s="26">
        <f t="shared" ref="E137:E138" si="105">F137-1.5</f>
        <v>3</v>
      </c>
      <c r="F137" s="50">
        <f>C137-0.5</f>
        <v>4.5</v>
      </c>
      <c r="G137">
        <f>C137+0.5</f>
        <v>5.5</v>
      </c>
      <c r="H137" s="27">
        <f t="shared" si="102"/>
        <v>7</v>
      </c>
      <c r="I137" s="28">
        <f t="shared" ref="I137:I138" si="106">J137-1</f>
        <v>3.5</v>
      </c>
      <c r="J137">
        <f t="shared" si="103"/>
        <v>4.5</v>
      </c>
      <c r="K137">
        <f t="shared" si="103"/>
        <v>5.5</v>
      </c>
      <c r="L137" s="29">
        <f t="shared" si="104"/>
        <v>6.5</v>
      </c>
    </row>
    <row r="138" spans="1:12" ht="15.75" thickBot="1" x14ac:dyDescent="0.3">
      <c r="A138" s="45" t="s">
        <v>44</v>
      </c>
      <c r="B138" s="2">
        <v>7.5</v>
      </c>
      <c r="C138" s="18">
        <v>7.5</v>
      </c>
      <c r="D138" s="19" t="s">
        <v>44</v>
      </c>
      <c r="E138" s="30">
        <f t="shared" si="105"/>
        <v>5.5</v>
      </c>
      <c r="F138" s="31">
        <f>C138-0.5</f>
        <v>7</v>
      </c>
      <c r="G138" s="32">
        <f>C138+0.5</f>
        <v>8</v>
      </c>
      <c r="H138" s="33">
        <f t="shared" si="102"/>
        <v>9.5</v>
      </c>
      <c r="I138" s="34">
        <f t="shared" si="106"/>
        <v>6</v>
      </c>
      <c r="J138" s="32">
        <f t="shared" si="103"/>
        <v>7</v>
      </c>
      <c r="K138" s="32">
        <f t="shared" si="103"/>
        <v>8</v>
      </c>
      <c r="L138" s="35">
        <f t="shared" si="104"/>
        <v>9</v>
      </c>
    </row>
    <row r="140" spans="1:12" ht="15.75" thickBot="1" x14ac:dyDescent="0.3">
      <c r="A140" s="1" t="s">
        <v>131</v>
      </c>
    </row>
    <row r="141" spans="1:12" ht="67.5" customHeight="1" thickBot="1" x14ac:dyDescent="0.3">
      <c r="A141" s="53" t="s">
        <v>53</v>
      </c>
      <c r="B141" s="52" t="s">
        <v>39</v>
      </c>
      <c r="C141" s="54" t="s">
        <v>48</v>
      </c>
      <c r="D141" s="55" t="s">
        <v>132</v>
      </c>
      <c r="E141" s="217" t="s">
        <v>57</v>
      </c>
      <c r="F141" s="218"/>
      <c r="G141" s="218"/>
      <c r="H141" s="218"/>
      <c r="I141" s="218"/>
      <c r="J141" s="218"/>
      <c r="K141" s="218"/>
      <c r="L141" s="219"/>
    </row>
    <row r="142" spans="1:12" x14ac:dyDescent="0.25">
      <c r="A142" s="64" t="s">
        <v>50</v>
      </c>
      <c r="B142" s="56" t="s">
        <v>40</v>
      </c>
      <c r="C142" s="57" t="s">
        <v>46</v>
      </c>
      <c r="D142" s="86">
        <v>2.5</v>
      </c>
      <c r="E142" s="26">
        <v>1.5</v>
      </c>
      <c r="F142" s="50">
        <v>2</v>
      </c>
      <c r="G142">
        <v>3</v>
      </c>
      <c r="H142" s="27">
        <v>4.5</v>
      </c>
      <c r="I142" s="28">
        <v>1.7</v>
      </c>
      <c r="J142">
        <v>2</v>
      </c>
      <c r="K142">
        <v>3</v>
      </c>
      <c r="L142" s="29">
        <v>4</v>
      </c>
    </row>
    <row r="143" spans="1:12" x14ac:dyDescent="0.25">
      <c r="A143" s="65" t="s">
        <v>51</v>
      </c>
      <c r="B143" s="43" t="s">
        <v>41</v>
      </c>
      <c r="C143" s="2" t="s">
        <v>45</v>
      </c>
      <c r="D143" s="86">
        <v>5</v>
      </c>
      <c r="E143" s="26">
        <v>3</v>
      </c>
      <c r="F143" s="50">
        <v>4.5</v>
      </c>
      <c r="G143">
        <v>5.5</v>
      </c>
      <c r="H143" s="27">
        <v>7</v>
      </c>
      <c r="I143" s="28">
        <v>3.5</v>
      </c>
      <c r="J143">
        <v>4.5</v>
      </c>
      <c r="K143">
        <v>5.5</v>
      </c>
      <c r="L143" s="29">
        <v>6.5</v>
      </c>
    </row>
    <row r="144" spans="1:12" ht="15.75" thickBot="1" x14ac:dyDescent="0.3">
      <c r="A144" s="66" t="s">
        <v>52</v>
      </c>
      <c r="B144" s="58" t="s">
        <v>42</v>
      </c>
      <c r="C144" s="59" t="s">
        <v>44</v>
      </c>
      <c r="D144" s="86">
        <v>7.5</v>
      </c>
      <c r="E144" s="30">
        <v>5.5</v>
      </c>
      <c r="F144" s="31">
        <v>7</v>
      </c>
      <c r="G144" s="32">
        <v>8</v>
      </c>
      <c r="H144" s="33">
        <v>9.5</v>
      </c>
      <c r="I144" s="34">
        <v>6</v>
      </c>
      <c r="J144" s="32">
        <v>7</v>
      </c>
      <c r="K144" s="32">
        <v>8</v>
      </c>
      <c r="L144" s="35">
        <v>9</v>
      </c>
    </row>
    <row r="146" spans="1:12" ht="15.75" thickBot="1" x14ac:dyDescent="0.3">
      <c r="A146" s="1" t="s">
        <v>133</v>
      </c>
    </row>
    <row r="147" spans="1:12" ht="30.75" thickBot="1" x14ac:dyDescent="0.3">
      <c r="A147" s="105" t="s">
        <v>63</v>
      </c>
      <c r="B147" s="106" t="s">
        <v>64</v>
      </c>
      <c r="E147" s="217" t="s">
        <v>65</v>
      </c>
      <c r="F147" s="218"/>
      <c r="G147" s="218"/>
      <c r="H147" s="218"/>
      <c r="I147" s="218"/>
      <c r="J147" s="218"/>
      <c r="K147" s="218"/>
      <c r="L147" s="219"/>
    </row>
    <row r="148" spans="1:12" x14ac:dyDescent="0.25">
      <c r="A148" s="64" t="s">
        <v>60</v>
      </c>
      <c r="B148" s="69" t="s">
        <v>47</v>
      </c>
      <c r="D148" s="72" t="s">
        <v>69</v>
      </c>
      <c r="E148" s="241">
        <f>E128*F$142+E$142*F128-F128*F$142</f>
        <v>0</v>
      </c>
      <c r="F148" s="242">
        <f>F128*F$142</f>
        <v>0</v>
      </c>
      <c r="G148" s="242">
        <f>G128*G$142</f>
        <v>0</v>
      </c>
      <c r="H148" s="243">
        <f>G128*H$142+G$142*H128-G128*G$142</f>
        <v>0.66</v>
      </c>
      <c r="I148" s="241">
        <f>I128*J$142+I$142*J128-J128*J$142</f>
        <v>0</v>
      </c>
      <c r="J148" s="242">
        <f>J128*J$142</f>
        <v>0</v>
      </c>
      <c r="K148" s="242">
        <f>K128*K$142</f>
        <v>0</v>
      </c>
      <c r="L148" s="243">
        <f>K128*L$142+K$142*L128-K128*K$142</f>
        <v>0.44999999999999996</v>
      </c>
    </row>
    <row r="149" spans="1:12" x14ac:dyDescent="0.25">
      <c r="A149" s="65" t="s">
        <v>60</v>
      </c>
      <c r="B149" s="70" t="s">
        <v>46</v>
      </c>
      <c r="D149" s="73" t="s">
        <v>68</v>
      </c>
      <c r="E149" s="244">
        <f>IF(E129*F$142+E$142*F129-F129*F$142&lt;0,0,E129*F$142+E$142*F129-F129*F$142)</f>
        <v>0</v>
      </c>
      <c r="F149" s="245">
        <f t="shared" ref="F149:G151" si="107">F129*F$142</f>
        <v>0.44000000000000006</v>
      </c>
      <c r="G149" s="245">
        <f t="shared" si="107"/>
        <v>1.32</v>
      </c>
      <c r="H149" s="246">
        <f t="shared" ref="H149:H151" si="108">G129*H$142+G$142*H129-G129*G$142</f>
        <v>2.3099999999999996</v>
      </c>
      <c r="I149" s="244">
        <f t="shared" ref="I149:I151" si="109">I129*J$142+I$142*J129-J129*J$142</f>
        <v>5.3999999999999992E-2</v>
      </c>
      <c r="J149" s="245">
        <f t="shared" ref="J149:K151" si="110">J129*J$142</f>
        <v>0.44000000000000006</v>
      </c>
      <c r="K149" s="245">
        <f t="shared" si="110"/>
        <v>1.32</v>
      </c>
      <c r="L149" s="246">
        <f t="shared" ref="L149:L151" si="111">K129*L$142+K$142*L129-K129*K$142</f>
        <v>2</v>
      </c>
    </row>
    <row r="150" spans="1:12" x14ac:dyDescent="0.25">
      <c r="A150" s="65" t="s">
        <v>60</v>
      </c>
      <c r="B150" s="70" t="s">
        <v>45</v>
      </c>
      <c r="D150" s="73" t="s">
        <v>67</v>
      </c>
      <c r="E150" s="244">
        <f t="shared" ref="E150:E151" si="112">E130*F$142+E$142*F130-F130*F$142</f>
        <v>0.60499999999999998</v>
      </c>
      <c r="F150" s="245">
        <f t="shared" si="107"/>
        <v>1.1000000000000001</v>
      </c>
      <c r="G150" s="245">
        <f t="shared" si="107"/>
        <v>2.31</v>
      </c>
      <c r="H150" s="246">
        <f t="shared" si="108"/>
        <v>4.1549999999999994</v>
      </c>
      <c r="I150" s="244">
        <f t="shared" si="109"/>
        <v>0.77499999999999991</v>
      </c>
      <c r="J150" s="245">
        <f t="shared" si="110"/>
        <v>1.1000000000000001</v>
      </c>
      <c r="K150" s="245">
        <f t="shared" si="110"/>
        <v>2.31</v>
      </c>
      <c r="L150" s="246">
        <f t="shared" si="111"/>
        <v>3.53</v>
      </c>
    </row>
    <row r="151" spans="1:12" ht="15.75" thickBot="1" x14ac:dyDescent="0.3">
      <c r="A151" s="66" t="s">
        <v>60</v>
      </c>
      <c r="B151" s="71" t="s">
        <v>44</v>
      </c>
      <c r="D151" s="74" t="s">
        <v>66</v>
      </c>
      <c r="E151" s="247">
        <f t="shared" si="112"/>
        <v>1.04</v>
      </c>
      <c r="F151" s="248">
        <f t="shared" si="107"/>
        <v>2</v>
      </c>
      <c r="G151" s="248">
        <f t="shared" si="107"/>
        <v>3</v>
      </c>
      <c r="H151" s="249">
        <f t="shared" si="108"/>
        <v>4.5</v>
      </c>
      <c r="I151" s="247">
        <f t="shared" si="109"/>
        <v>1.3599999999999999</v>
      </c>
      <c r="J151" s="248">
        <f t="shared" si="110"/>
        <v>2</v>
      </c>
      <c r="K151" s="248">
        <f t="shared" si="110"/>
        <v>3</v>
      </c>
      <c r="L151" s="249">
        <f t="shared" si="111"/>
        <v>4</v>
      </c>
    </row>
    <row r="152" spans="1:12" x14ac:dyDescent="0.25">
      <c r="A152" s="64" t="s">
        <v>61</v>
      </c>
      <c r="B152" s="69" t="s">
        <v>47</v>
      </c>
      <c r="D152" s="72" t="s">
        <v>70</v>
      </c>
      <c r="E152" s="241">
        <f>E128*F$143+E$143*F128-F128*F$143</f>
        <v>0</v>
      </c>
      <c r="F152" s="242">
        <f>F128*F$143</f>
        <v>0</v>
      </c>
      <c r="G152" s="242">
        <f>G128*G$143</f>
        <v>0</v>
      </c>
      <c r="H152" s="243">
        <f>G128*H$143+G$143*H128-G128*G$143</f>
        <v>1.21</v>
      </c>
      <c r="I152" s="241">
        <f>I128*J$143+I$143*J128-J128*J$143</f>
        <v>0</v>
      </c>
      <c r="J152" s="242">
        <f>J128*J$143</f>
        <v>0</v>
      </c>
      <c r="K152" s="242">
        <f>K128*K$143</f>
        <v>0</v>
      </c>
      <c r="L152" s="243">
        <f>K128*L$143+K$143*L128-K128*K$143</f>
        <v>0.82499999999999996</v>
      </c>
    </row>
    <row r="153" spans="1:12" x14ac:dyDescent="0.25">
      <c r="A153" s="65" t="s">
        <v>61</v>
      </c>
      <c r="B153" s="70" t="s">
        <v>46</v>
      </c>
      <c r="D153" s="73" t="s">
        <v>75</v>
      </c>
      <c r="E153" s="244">
        <f>IF(E129*F$143+E$143*F129-F129*F$143&lt;0,0,E129*F$143+E$143*F129-F129*F$143)</f>
        <v>0</v>
      </c>
      <c r="F153" s="245">
        <f t="shared" ref="F153:G155" si="113">F129*F$143</f>
        <v>0.9900000000000001</v>
      </c>
      <c r="G153" s="245">
        <f t="shared" si="113"/>
        <v>2.42</v>
      </c>
      <c r="H153" s="246">
        <f t="shared" ref="H153:H155" si="114">G129*H$143+G$143*H129-G129*G$143</f>
        <v>3.6850000000000005</v>
      </c>
      <c r="I153" s="244">
        <f t="shared" ref="I153:I155" si="115">I129*J$143+I$143*J129-J129*J$143</f>
        <v>4.9999999999999933E-2</v>
      </c>
      <c r="J153" s="245">
        <f t="shared" ref="J153:K155" si="116">J129*J$143</f>
        <v>0.9900000000000001</v>
      </c>
      <c r="K153" s="245">
        <f t="shared" si="116"/>
        <v>2.42</v>
      </c>
      <c r="L153" s="246">
        <f t="shared" ref="L153:L155" si="117">K129*L$143+K$143*L129-K129*K$143</f>
        <v>3.3000000000000007</v>
      </c>
    </row>
    <row r="154" spans="1:12" x14ac:dyDescent="0.25">
      <c r="A154" s="65" t="s">
        <v>61</v>
      </c>
      <c r="B154" s="70" t="s">
        <v>45</v>
      </c>
      <c r="D154" s="73" t="s">
        <v>76</v>
      </c>
      <c r="E154" s="244">
        <f t="shared" ref="E154:E155" si="118">E130*F$143+E$143*F130-F130*F$143</f>
        <v>1.1550000000000002</v>
      </c>
      <c r="F154" s="245">
        <f t="shared" si="113"/>
        <v>2.4750000000000001</v>
      </c>
      <c r="G154" s="245">
        <f t="shared" si="113"/>
        <v>4.2350000000000003</v>
      </c>
      <c r="H154" s="246">
        <f t="shared" si="114"/>
        <v>6.6550000000000002</v>
      </c>
      <c r="I154" s="244">
        <f t="shared" si="115"/>
        <v>1.5650000000000008</v>
      </c>
      <c r="J154" s="245">
        <f t="shared" si="116"/>
        <v>2.4750000000000001</v>
      </c>
      <c r="K154" s="245">
        <f t="shared" si="116"/>
        <v>4.2350000000000003</v>
      </c>
      <c r="L154" s="246">
        <f t="shared" si="117"/>
        <v>5.830000000000001</v>
      </c>
    </row>
    <row r="155" spans="1:12" ht="15.75" thickBot="1" x14ac:dyDescent="0.3">
      <c r="A155" s="66" t="s">
        <v>61</v>
      </c>
      <c r="B155" s="71" t="s">
        <v>44</v>
      </c>
      <c r="D155" s="74" t="s">
        <v>77</v>
      </c>
      <c r="E155" s="247">
        <f t="shared" si="118"/>
        <v>1.9649999999999999</v>
      </c>
      <c r="F155" s="248">
        <f t="shared" si="113"/>
        <v>4.5</v>
      </c>
      <c r="G155" s="248">
        <f t="shared" si="113"/>
        <v>5.5</v>
      </c>
      <c r="H155" s="249">
        <f t="shared" si="114"/>
        <v>7</v>
      </c>
      <c r="I155" s="247">
        <f t="shared" si="115"/>
        <v>2.7349999999999994</v>
      </c>
      <c r="J155" s="248">
        <f t="shared" si="116"/>
        <v>4.5</v>
      </c>
      <c r="K155" s="248">
        <f t="shared" si="116"/>
        <v>5.5</v>
      </c>
      <c r="L155" s="249">
        <f t="shared" si="117"/>
        <v>6.5</v>
      </c>
    </row>
    <row r="156" spans="1:12" x14ac:dyDescent="0.25">
      <c r="A156" s="64" t="s">
        <v>62</v>
      </c>
      <c r="B156" s="69" t="s">
        <v>47</v>
      </c>
      <c r="D156" s="72" t="s">
        <v>72</v>
      </c>
      <c r="E156" s="241">
        <f>E128*F$144+E$144*F128-F128*F$144</f>
        <v>0</v>
      </c>
      <c r="F156" s="242">
        <f>F128*F$144</f>
        <v>0</v>
      </c>
      <c r="G156" s="242">
        <f>G128*G$144</f>
        <v>0</v>
      </c>
      <c r="H156" s="243">
        <f>G128*H$144+G$144*H128-G128*G$144</f>
        <v>1.76</v>
      </c>
      <c r="I156" s="241">
        <f>I128*J$144+I$144*J128-J128*J$144</f>
        <v>0</v>
      </c>
      <c r="J156" s="242">
        <f>J128*J$144</f>
        <v>0</v>
      </c>
      <c r="K156" s="242">
        <f>K128*K$144</f>
        <v>0</v>
      </c>
      <c r="L156" s="243">
        <f>K128*L$144+K$144*L128-K128*K$144</f>
        <v>1.2</v>
      </c>
    </row>
    <row r="157" spans="1:12" x14ac:dyDescent="0.25">
      <c r="A157" s="65" t="s">
        <v>62</v>
      </c>
      <c r="B157" s="70" t="s">
        <v>46</v>
      </c>
      <c r="D157" s="73" t="s">
        <v>71</v>
      </c>
      <c r="E157" s="244">
        <f>IF(E129*F$144+E$144*F129-F129*F$144&lt;0,0,E129*F$144+E$144*F129-F129*F$144)</f>
        <v>0</v>
      </c>
      <c r="F157" s="245">
        <f t="shared" ref="F157:G159" si="119">F129*F$144</f>
        <v>1.5400000000000003</v>
      </c>
      <c r="G157" s="245">
        <f t="shared" si="119"/>
        <v>3.52</v>
      </c>
      <c r="H157" s="246">
        <f t="shared" ref="H157:H159" si="120">G129*H$144+G$144*H129-G129*G$144</f>
        <v>5.0600000000000005</v>
      </c>
      <c r="I157" s="244">
        <f t="shared" ref="I157:I159" si="121">I129*J$144+I$144*J129-J129*J$144</f>
        <v>0.19999999999999996</v>
      </c>
      <c r="J157" s="245">
        <f t="shared" ref="J157:K159" si="122">J129*J$144</f>
        <v>1.5400000000000003</v>
      </c>
      <c r="K157" s="245">
        <f t="shared" si="122"/>
        <v>3.52</v>
      </c>
      <c r="L157" s="246">
        <f t="shared" ref="L157:L159" si="123">K129*L$144+K$144*L129-K129*K$144</f>
        <v>4.6000000000000014</v>
      </c>
    </row>
    <row r="158" spans="1:12" x14ac:dyDescent="0.25">
      <c r="A158" s="65" t="s">
        <v>62</v>
      </c>
      <c r="B158" s="70" t="s">
        <v>45</v>
      </c>
      <c r="D158" s="73" t="s">
        <v>73</v>
      </c>
      <c r="E158" s="244">
        <f t="shared" ref="E158:E159" si="124">E130*F$144+E$144*F130-F130*F$144</f>
        <v>2.2549999999999999</v>
      </c>
      <c r="F158" s="245">
        <f t="shared" si="119"/>
        <v>3.8500000000000005</v>
      </c>
      <c r="G158" s="245">
        <f t="shared" si="119"/>
        <v>6.16</v>
      </c>
      <c r="H158" s="246">
        <f t="shared" si="120"/>
        <v>9.1550000000000011</v>
      </c>
      <c r="I158" s="244">
        <f t="shared" si="121"/>
        <v>2.7399999999999993</v>
      </c>
      <c r="J158" s="245">
        <f t="shared" si="122"/>
        <v>3.8500000000000005</v>
      </c>
      <c r="K158" s="245">
        <f t="shared" si="122"/>
        <v>6.16</v>
      </c>
      <c r="L158" s="246">
        <f t="shared" si="123"/>
        <v>8.129999999999999</v>
      </c>
    </row>
    <row r="159" spans="1:12" ht="15.75" thickBot="1" x14ac:dyDescent="0.3">
      <c r="A159" s="66" t="s">
        <v>62</v>
      </c>
      <c r="B159" s="71" t="s">
        <v>44</v>
      </c>
      <c r="D159" s="74" t="s">
        <v>74</v>
      </c>
      <c r="E159" s="247">
        <f t="shared" si="124"/>
        <v>3.8900000000000006</v>
      </c>
      <c r="F159" s="248">
        <f t="shared" si="119"/>
        <v>7</v>
      </c>
      <c r="G159" s="248">
        <f t="shared" si="119"/>
        <v>8</v>
      </c>
      <c r="H159" s="249">
        <f t="shared" si="120"/>
        <v>9.5</v>
      </c>
      <c r="I159" s="247">
        <f t="shared" si="121"/>
        <v>4.8099999999999987</v>
      </c>
      <c r="J159" s="248">
        <f t="shared" si="122"/>
        <v>7</v>
      </c>
      <c r="K159" s="248">
        <f t="shared" si="122"/>
        <v>8</v>
      </c>
      <c r="L159" s="249">
        <f t="shared" si="123"/>
        <v>9</v>
      </c>
    </row>
    <row r="161" spans="1:3" x14ac:dyDescent="0.25">
      <c r="A161" s="1" t="s">
        <v>148</v>
      </c>
    </row>
    <row r="162" spans="1:3" ht="15.75" thickBot="1" x14ac:dyDescent="0.3">
      <c r="A162" s="1" t="s">
        <v>135</v>
      </c>
    </row>
    <row r="163" spans="1:3" ht="15.75" thickBot="1" x14ac:dyDescent="0.3">
      <c r="A163" s="104" t="s">
        <v>106</v>
      </c>
      <c r="B163" s="115" t="s">
        <v>151</v>
      </c>
      <c r="C163" s="115" t="s">
        <v>152</v>
      </c>
    </row>
    <row r="164" spans="1:3" x14ac:dyDescent="0.25">
      <c r="A164" s="114" t="s">
        <v>107</v>
      </c>
      <c r="B164" s="107">
        <v>1</v>
      </c>
      <c r="C164" s="108">
        <f>B164/B$166</f>
        <v>0.5</v>
      </c>
    </row>
    <row r="165" spans="1:3" ht="15.75" thickBot="1" x14ac:dyDescent="0.3">
      <c r="A165" s="13" t="s">
        <v>108</v>
      </c>
      <c r="B165" s="9">
        <v>1</v>
      </c>
      <c r="C165" s="10">
        <f>B165/B$166</f>
        <v>0.5</v>
      </c>
    </row>
    <row r="166" spans="1:3" ht="15.75" thickBot="1" x14ac:dyDescent="0.3">
      <c r="A166" s="14" t="s">
        <v>150</v>
      </c>
      <c r="B166" s="116">
        <f>SUM(B164:B165)</f>
        <v>2</v>
      </c>
      <c r="C166" s="117">
        <f>SUM(C164:C165)</f>
        <v>1</v>
      </c>
    </row>
    <row r="168" spans="1:3" x14ac:dyDescent="0.25">
      <c r="A168" s="1" t="s">
        <v>149</v>
      </c>
    </row>
    <row r="169" spans="1:3" ht="15.75" thickBot="1" x14ac:dyDescent="0.3">
      <c r="A169" s="1" t="s">
        <v>137</v>
      </c>
    </row>
    <row r="170" spans="1:3" ht="15" customHeight="1" thickBot="1" x14ac:dyDescent="0.3">
      <c r="A170" s="112" t="s">
        <v>106</v>
      </c>
      <c r="B170" s="53" t="s">
        <v>151</v>
      </c>
      <c r="C170" s="121" t="s">
        <v>152</v>
      </c>
    </row>
    <row r="171" spans="1:3" x14ac:dyDescent="0.25">
      <c r="A171" s="114" t="s">
        <v>107</v>
      </c>
      <c r="B171" s="11">
        <v>0.75</v>
      </c>
      <c r="C171" s="122">
        <f>B171/B$174</f>
        <v>0.3</v>
      </c>
    </row>
    <row r="172" spans="1:3" x14ac:dyDescent="0.25">
      <c r="A172" s="12" t="s">
        <v>108</v>
      </c>
      <c r="B172" s="12">
        <v>0.75</v>
      </c>
      <c r="C172" s="97">
        <f t="shared" ref="C172:C173" si="125">B172/B$174</f>
        <v>0.3</v>
      </c>
    </row>
    <row r="173" spans="1:3" ht="15.75" thickBot="1" x14ac:dyDescent="0.3">
      <c r="A173" s="118" t="s">
        <v>136</v>
      </c>
      <c r="B173" s="118">
        <v>1</v>
      </c>
      <c r="C173" s="98">
        <f t="shared" si="125"/>
        <v>0.4</v>
      </c>
    </row>
    <row r="174" spans="1:3" ht="15.75" thickBot="1" x14ac:dyDescent="0.3">
      <c r="A174" s="14" t="s">
        <v>150</v>
      </c>
      <c r="B174" s="119">
        <f>SUM(B171:B173)</f>
        <v>2.5</v>
      </c>
      <c r="C174" s="120">
        <f>SUM(C171:C173)</f>
        <v>1</v>
      </c>
    </row>
    <row r="176" spans="1:3" ht="15.75" thickBot="1" x14ac:dyDescent="0.3">
      <c r="A176" t="s">
        <v>141</v>
      </c>
    </row>
    <row r="177" spans="1:32" ht="15.75" thickBot="1" x14ac:dyDescent="0.3">
      <c r="A177" s="213" t="s">
        <v>27</v>
      </c>
      <c r="B177" s="209" t="s">
        <v>138</v>
      </c>
      <c r="C177" s="215"/>
      <c r="D177" s="215"/>
      <c r="E177" s="215"/>
      <c r="F177" s="215"/>
      <c r="G177" s="215"/>
      <c r="H177" s="215"/>
      <c r="I177" s="216"/>
      <c r="J177" s="209" t="s">
        <v>139</v>
      </c>
      <c r="K177" s="215"/>
      <c r="L177" s="215"/>
      <c r="M177" s="215"/>
      <c r="N177" s="215"/>
      <c r="O177" s="215"/>
      <c r="P177" s="215"/>
      <c r="Q177" s="216"/>
      <c r="R177" s="209" t="s">
        <v>140</v>
      </c>
      <c r="S177" s="215"/>
      <c r="T177" s="215"/>
      <c r="U177" s="215"/>
      <c r="V177" s="215"/>
      <c r="W177" s="215"/>
      <c r="X177" s="215"/>
      <c r="Y177" s="216"/>
    </row>
    <row r="178" spans="1:32" ht="33.75" customHeight="1" thickBot="1" x14ac:dyDescent="0.3">
      <c r="A178" s="214"/>
      <c r="B178" s="206" t="s">
        <v>3</v>
      </c>
      <c r="C178" s="207"/>
      <c r="D178" s="207"/>
      <c r="E178" s="208"/>
      <c r="F178" s="209" t="s">
        <v>4</v>
      </c>
      <c r="G178" s="207"/>
      <c r="H178" s="207"/>
      <c r="I178" s="208"/>
      <c r="J178" s="206" t="s">
        <v>3</v>
      </c>
      <c r="K178" s="207"/>
      <c r="L178" s="207"/>
      <c r="M178" s="208"/>
      <c r="N178" s="209" t="s">
        <v>4</v>
      </c>
      <c r="O178" s="207"/>
      <c r="P178" s="207"/>
      <c r="Q178" s="208"/>
      <c r="R178" s="206" t="s">
        <v>3</v>
      </c>
      <c r="S178" s="207"/>
      <c r="T178" s="207"/>
      <c r="U178" s="208"/>
      <c r="V178" s="209" t="s">
        <v>4</v>
      </c>
      <c r="W178" s="207"/>
      <c r="X178" s="207"/>
      <c r="Y178" s="208"/>
    </row>
    <row r="179" spans="1:32" x14ac:dyDescent="0.25">
      <c r="A179" s="103" t="s">
        <v>25</v>
      </c>
      <c r="B179" s="6">
        <f t="shared" ref="B179:B188" si="126">BG11</f>
        <v>6.4600000000000009</v>
      </c>
      <c r="C179" s="7">
        <f t="shared" ref="C179:C188" si="127">BH11</f>
        <v>12.6</v>
      </c>
      <c r="D179" s="7">
        <f t="shared" ref="D179:D188" si="128">BI11</f>
        <v>15.81</v>
      </c>
      <c r="E179" s="8">
        <f t="shared" ref="E179:E188" si="129">BJ11</f>
        <v>20.655000000000001</v>
      </c>
      <c r="F179" s="6">
        <f t="shared" ref="F179:F188" si="130">BK11</f>
        <v>8.3199999999999985</v>
      </c>
      <c r="G179" s="7">
        <f t="shared" ref="G179:G188" si="131">BL11</f>
        <v>12.6</v>
      </c>
      <c r="H179" s="7">
        <f t="shared" ref="H179:H188" si="132">BM11</f>
        <v>15.81</v>
      </c>
      <c r="I179" s="101">
        <f t="shared" ref="I179:I188" si="133">BN11</f>
        <v>19.03</v>
      </c>
      <c r="J179" s="6">
        <f t="shared" ref="J179:J188" si="134">BG63</f>
        <v>4.22</v>
      </c>
      <c r="K179" s="7">
        <f t="shared" ref="K179:K188" si="135">BH63</f>
        <v>9.89</v>
      </c>
      <c r="L179" s="7">
        <f t="shared" ref="L179:L188" si="136">BI63</f>
        <v>15.18</v>
      </c>
      <c r="M179" s="8">
        <f t="shared" ref="M179:M188" si="137">BJ63</f>
        <v>21.215000000000003</v>
      </c>
      <c r="N179" s="6">
        <f t="shared" ref="N179:N188" si="138">BK63</f>
        <v>5.6749999999999989</v>
      </c>
      <c r="O179" s="7">
        <f t="shared" ref="O179:O188" si="139">BL63</f>
        <v>9.89</v>
      </c>
      <c r="P179" s="7">
        <f t="shared" ref="P179:P188" si="140">BM63</f>
        <v>15.18</v>
      </c>
      <c r="Q179" s="8">
        <f t="shared" ref="Q179:Q188" si="141">BN63</f>
        <v>19.23</v>
      </c>
      <c r="R179" s="239">
        <f t="shared" ref="R179:R188" si="142">BG115</f>
        <v>5.0450000000000008</v>
      </c>
      <c r="S179" s="253">
        <f t="shared" ref="S179:S188" si="143">BH115</f>
        <v>9.9149999999999991</v>
      </c>
      <c r="T179" s="253">
        <f t="shared" ref="T179:T188" si="144">BI115</f>
        <v>13.555</v>
      </c>
      <c r="U179" s="254">
        <f t="shared" ref="U179:U188" si="145">BJ115</f>
        <v>18.465</v>
      </c>
      <c r="V179" s="239">
        <f t="shared" ref="V179:V188" si="146">BK115</f>
        <v>6.4289999999999994</v>
      </c>
      <c r="W179" s="253">
        <f t="shared" ref="W179:W188" si="147">BL115</f>
        <v>9.9149999999999991</v>
      </c>
      <c r="X179" s="253">
        <f t="shared" ref="X179:X188" si="148">BM115</f>
        <v>13.555</v>
      </c>
      <c r="Y179" s="254">
        <f t="shared" ref="Y179:Y188" si="149">BN115</f>
        <v>16.830000000000002</v>
      </c>
    </row>
    <row r="180" spans="1:32" x14ac:dyDescent="0.25">
      <c r="A180" s="99" t="s">
        <v>14</v>
      </c>
      <c r="B180" s="4">
        <f t="shared" si="126"/>
        <v>1.1550000000000002</v>
      </c>
      <c r="C180" s="2">
        <f t="shared" si="127"/>
        <v>4.4550000000000001</v>
      </c>
      <c r="D180" s="2">
        <f t="shared" si="128"/>
        <v>9.0749999999999993</v>
      </c>
      <c r="E180" s="5">
        <f t="shared" si="129"/>
        <v>14.025</v>
      </c>
      <c r="F180" s="4">
        <f t="shared" si="130"/>
        <v>1.8190000000000008</v>
      </c>
      <c r="G180" s="2">
        <f t="shared" si="131"/>
        <v>4.4550000000000001</v>
      </c>
      <c r="H180" s="2">
        <f t="shared" si="132"/>
        <v>9.0749999999999993</v>
      </c>
      <c r="I180" s="95">
        <f t="shared" si="133"/>
        <v>12.430000000000003</v>
      </c>
      <c r="J180" s="4">
        <f t="shared" si="134"/>
        <v>1.1550000000000002</v>
      </c>
      <c r="K180" s="2">
        <f t="shared" si="135"/>
        <v>5.5550000000000006</v>
      </c>
      <c r="L180" s="2">
        <f t="shared" si="136"/>
        <v>11.275</v>
      </c>
      <c r="M180" s="5">
        <f t="shared" si="137"/>
        <v>16.775000000000002</v>
      </c>
      <c r="N180" s="4">
        <f t="shared" si="138"/>
        <v>1.9650000000000007</v>
      </c>
      <c r="O180" s="2">
        <f t="shared" si="139"/>
        <v>5.5550000000000006</v>
      </c>
      <c r="P180" s="2">
        <f t="shared" si="140"/>
        <v>11.275</v>
      </c>
      <c r="Q180" s="5">
        <f t="shared" si="141"/>
        <v>15.030000000000005</v>
      </c>
      <c r="R180" s="255">
        <f t="shared" si="142"/>
        <v>0.60499999999999998</v>
      </c>
      <c r="S180" s="256">
        <f t="shared" si="143"/>
        <v>3.6300000000000008</v>
      </c>
      <c r="T180" s="256">
        <f t="shared" si="144"/>
        <v>8.25</v>
      </c>
      <c r="U180" s="257">
        <f t="shared" si="145"/>
        <v>12.9</v>
      </c>
      <c r="V180" s="255">
        <f t="shared" si="146"/>
        <v>1.0249999999999999</v>
      </c>
      <c r="W180" s="256">
        <f t="shared" si="147"/>
        <v>3.6300000000000008</v>
      </c>
      <c r="X180" s="256">
        <f t="shared" si="148"/>
        <v>8.25</v>
      </c>
      <c r="Y180" s="257">
        <f t="shared" si="149"/>
        <v>11.430000000000001</v>
      </c>
    </row>
    <row r="181" spans="1:32" x14ac:dyDescent="0.25">
      <c r="A181" s="99" t="s">
        <v>15</v>
      </c>
      <c r="B181" s="4">
        <f t="shared" si="126"/>
        <v>4.0150000000000006</v>
      </c>
      <c r="C181" s="2">
        <f t="shared" si="127"/>
        <v>7.4250000000000007</v>
      </c>
      <c r="D181" s="2">
        <f t="shared" si="128"/>
        <v>12.705000000000002</v>
      </c>
      <c r="E181" s="5">
        <f t="shared" si="129"/>
        <v>19.965</v>
      </c>
      <c r="F181" s="4">
        <f t="shared" si="130"/>
        <v>5.08</v>
      </c>
      <c r="G181" s="2">
        <f t="shared" si="131"/>
        <v>7.4250000000000007</v>
      </c>
      <c r="H181" s="2">
        <f t="shared" si="132"/>
        <v>12.705000000000002</v>
      </c>
      <c r="I181" s="95">
        <f t="shared" si="133"/>
        <v>17.489999999999998</v>
      </c>
      <c r="J181" s="4">
        <f t="shared" si="134"/>
        <v>7.3000000000000007</v>
      </c>
      <c r="K181" s="2">
        <f t="shared" si="135"/>
        <v>13.325000000000001</v>
      </c>
      <c r="L181" s="2">
        <f t="shared" si="136"/>
        <v>18.395</v>
      </c>
      <c r="M181" s="5">
        <f t="shared" si="137"/>
        <v>25.310000000000002</v>
      </c>
      <c r="N181" s="4">
        <f t="shared" si="138"/>
        <v>9.1149999999999984</v>
      </c>
      <c r="O181" s="2">
        <f t="shared" si="139"/>
        <v>13.325000000000001</v>
      </c>
      <c r="P181" s="2">
        <f t="shared" si="140"/>
        <v>18.395</v>
      </c>
      <c r="Q181" s="5">
        <f t="shared" si="141"/>
        <v>22.96</v>
      </c>
      <c r="R181" s="255">
        <f t="shared" si="142"/>
        <v>4.8249999999999993</v>
      </c>
      <c r="S181" s="256">
        <f t="shared" si="143"/>
        <v>9.4499999999999993</v>
      </c>
      <c r="T181" s="256">
        <f t="shared" si="144"/>
        <v>13.97</v>
      </c>
      <c r="U181" s="257">
        <f t="shared" si="145"/>
        <v>20.310000000000002</v>
      </c>
      <c r="V181" s="255">
        <f t="shared" si="146"/>
        <v>6.2499999999999982</v>
      </c>
      <c r="W181" s="256">
        <f t="shared" si="147"/>
        <v>9.4499999999999993</v>
      </c>
      <c r="X181" s="256">
        <f t="shared" si="148"/>
        <v>13.97</v>
      </c>
      <c r="Y181" s="257">
        <f t="shared" si="149"/>
        <v>18.159999999999997</v>
      </c>
    </row>
    <row r="182" spans="1:32" x14ac:dyDescent="0.25">
      <c r="A182" s="99" t="s">
        <v>16</v>
      </c>
      <c r="B182" s="4">
        <f t="shared" si="126"/>
        <v>5.6500000000000012</v>
      </c>
      <c r="C182" s="2">
        <f t="shared" si="127"/>
        <v>10.574999999999999</v>
      </c>
      <c r="D182" s="2">
        <f t="shared" si="128"/>
        <v>14.545000000000002</v>
      </c>
      <c r="E182" s="5">
        <f t="shared" si="129"/>
        <v>20.309999999999999</v>
      </c>
      <c r="F182" s="4">
        <f t="shared" si="130"/>
        <v>7.15</v>
      </c>
      <c r="G182" s="2">
        <f t="shared" si="131"/>
        <v>10.574999999999999</v>
      </c>
      <c r="H182" s="2">
        <f t="shared" si="132"/>
        <v>14.545000000000002</v>
      </c>
      <c r="I182" s="95">
        <f t="shared" si="133"/>
        <v>18.36</v>
      </c>
      <c r="J182" s="4">
        <f t="shared" si="134"/>
        <v>6.1450000000000005</v>
      </c>
      <c r="K182" s="2">
        <f t="shared" si="135"/>
        <v>11.840000000000002</v>
      </c>
      <c r="L182" s="2">
        <f t="shared" si="136"/>
        <v>16.579999999999998</v>
      </c>
      <c r="M182" s="5">
        <f t="shared" si="137"/>
        <v>22.340000000000003</v>
      </c>
      <c r="N182" s="4">
        <f t="shared" si="138"/>
        <v>7.5999999999999979</v>
      </c>
      <c r="O182" s="2">
        <f t="shared" si="139"/>
        <v>11.840000000000002</v>
      </c>
      <c r="P182" s="2">
        <f t="shared" si="140"/>
        <v>16.579999999999998</v>
      </c>
      <c r="Q182" s="5">
        <f t="shared" si="141"/>
        <v>20.43</v>
      </c>
      <c r="R182" s="255">
        <f t="shared" si="142"/>
        <v>2.1950000000000003</v>
      </c>
      <c r="S182" s="256">
        <f t="shared" si="143"/>
        <v>6.0149999999999997</v>
      </c>
      <c r="T182" s="256">
        <f t="shared" si="144"/>
        <v>10.755000000000001</v>
      </c>
      <c r="U182" s="257">
        <f t="shared" si="145"/>
        <v>16.215000000000003</v>
      </c>
      <c r="V182" s="255">
        <f t="shared" si="146"/>
        <v>3.1250000000000009</v>
      </c>
      <c r="W182" s="256">
        <f t="shared" si="147"/>
        <v>6.0149999999999997</v>
      </c>
      <c r="X182" s="256">
        <f t="shared" si="148"/>
        <v>10.755000000000001</v>
      </c>
      <c r="Y182" s="257">
        <f t="shared" si="149"/>
        <v>14.430000000000003</v>
      </c>
    </row>
    <row r="183" spans="1:32" x14ac:dyDescent="0.25">
      <c r="A183" s="99" t="s">
        <v>18</v>
      </c>
      <c r="B183" s="4">
        <f t="shared" si="126"/>
        <v>4.45</v>
      </c>
      <c r="C183" s="2">
        <f t="shared" si="127"/>
        <v>8.3250000000000011</v>
      </c>
      <c r="D183" s="2">
        <f t="shared" si="128"/>
        <v>13.395</v>
      </c>
      <c r="E183" s="5">
        <f t="shared" si="129"/>
        <v>20.310000000000002</v>
      </c>
      <c r="F183" s="4">
        <f t="shared" si="130"/>
        <v>5.6650000000000009</v>
      </c>
      <c r="G183" s="2">
        <f t="shared" si="131"/>
        <v>8.3250000000000011</v>
      </c>
      <c r="H183" s="2">
        <f t="shared" si="132"/>
        <v>13.395</v>
      </c>
      <c r="I183" s="95">
        <f t="shared" si="133"/>
        <v>17.96</v>
      </c>
      <c r="J183" s="4">
        <f t="shared" si="134"/>
        <v>7.3000000000000007</v>
      </c>
      <c r="K183" s="2">
        <f t="shared" si="135"/>
        <v>13.325000000000001</v>
      </c>
      <c r="L183" s="2">
        <f t="shared" si="136"/>
        <v>18.395</v>
      </c>
      <c r="M183" s="5">
        <f t="shared" si="137"/>
        <v>25.310000000000002</v>
      </c>
      <c r="N183" s="4">
        <f t="shared" si="138"/>
        <v>9.1149999999999984</v>
      </c>
      <c r="O183" s="2">
        <f t="shared" si="139"/>
        <v>13.325000000000001</v>
      </c>
      <c r="P183" s="2">
        <f t="shared" si="140"/>
        <v>18.395</v>
      </c>
      <c r="Q183" s="5">
        <f t="shared" si="141"/>
        <v>22.96</v>
      </c>
      <c r="R183" s="255">
        <f t="shared" si="142"/>
        <v>2.57</v>
      </c>
      <c r="S183" s="256">
        <f t="shared" si="143"/>
        <v>7.14</v>
      </c>
      <c r="T183" s="256">
        <f t="shared" si="144"/>
        <v>11.33</v>
      </c>
      <c r="U183" s="257">
        <f t="shared" si="145"/>
        <v>16.215</v>
      </c>
      <c r="V183" s="255">
        <f t="shared" si="146"/>
        <v>3.7099999999999991</v>
      </c>
      <c r="W183" s="256">
        <f t="shared" si="147"/>
        <v>7.14</v>
      </c>
      <c r="X183" s="256">
        <f t="shared" si="148"/>
        <v>11.33</v>
      </c>
      <c r="Y183" s="257">
        <f t="shared" si="149"/>
        <v>14.63</v>
      </c>
    </row>
    <row r="184" spans="1:32" x14ac:dyDescent="0.25">
      <c r="A184" s="99" t="s">
        <v>19</v>
      </c>
      <c r="B184" s="4">
        <f t="shared" si="126"/>
        <v>4.495000000000001</v>
      </c>
      <c r="C184" s="2">
        <f t="shared" si="127"/>
        <v>9.09</v>
      </c>
      <c r="D184" s="2">
        <f t="shared" si="128"/>
        <v>12.73</v>
      </c>
      <c r="E184" s="5">
        <f t="shared" si="129"/>
        <v>17.34</v>
      </c>
      <c r="F184" s="4">
        <f t="shared" si="130"/>
        <v>5.6349999999999989</v>
      </c>
      <c r="G184" s="2">
        <f t="shared" si="131"/>
        <v>9.09</v>
      </c>
      <c r="H184" s="2">
        <f t="shared" si="132"/>
        <v>12.73</v>
      </c>
      <c r="I184" s="95">
        <f t="shared" si="133"/>
        <v>15.83</v>
      </c>
      <c r="J184" s="4">
        <f t="shared" si="134"/>
        <v>6.1450000000000005</v>
      </c>
      <c r="K184" s="2">
        <f t="shared" si="135"/>
        <v>11.840000000000002</v>
      </c>
      <c r="L184" s="2">
        <f t="shared" si="136"/>
        <v>16.579999999999998</v>
      </c>
      <c r="M184" s="5">
        <f t="shared" si="137"/>
        <v>22.340000000000003</v>
      </c>
      <c r="N184" s="4">
        <f t="shared" si="138"/>
        <v>7.5999999999999979</v>
      </c>
      <c r="O184" s="2">
        <f t="shared" si="139"/>
        <v>11.840000000000002</v>
      </c>
      <c r="P184" s="2">
        <f t="shared" si="140"/>
        <v>16.579999999999998</v>
      </c>
      <c r="Q184" s="5">
        <f t="shared" si="141"/>
        <v>20.43</v>
      </c>
      <c r="R184" s="255">
        <f t="shared" si="142"/>
        <v>1.1550000000000002</v>
      </c>
      <c r="S184" s="256">
        <f t="shared" si="143"/>
        <v>4.4550000000000001</v>
      </c>
      <c r="T184" s="256">
        <f t="shared" si="144"/>
        <v>9.0750000000000011</v>
      </c>
      <c r="U184" s="257">
        <f t="shared" si="145"/>
        <v>14.025</v>
      </c>
      <c r="V184" s="255">
        <f t="shared" si="146"/>
        <v>1.8190000000000008</v>
      </c>
      <c r="W184" s="256">
        <f t="shared" si="147"/>
        <v>4.4550000000000001</v>
      </c>
      <c r="X184" s="256">
        <f t="shared" si="148"/>
        <v>9.0750000000000011</v>
      </c>
      <c r="Y184" s="257">
        <f t="shared" si="149"/>
        <v>12.430000000000003</v>
      </c>
    </row>
    <row r="185" spans="1:32" x14ac:dyDescent="0.25">
      <c r="A185" s="99" t="s">
        <v>20</v>
      </c>
      <c r="B185" s="4">
        <f t="shared" si="126"/>
        <v>4.495000000000001</v>
      </c>
      <c r="C185" s="2">
        <f t="shared" si="127"/>
        <v>9.09</v>
      </c>
      <c r="D185" s="2">
        <f t="shared" si="128"/>
        <v>12.73</v>
      </c>
      <c r="E185" s="5">
        <f t="shared" si="129"/>
        <v>17.34</v>
      </c>
      <c r="F185" s="4">
        <f t="shared" si="130"/>
        <v>5.6349999999999989</v>
      </c>
      <c r="G185" s="2">
        <f t="shared" si="131"/>
        <v>9.09</v>
      </c>
      <c r="H185" s="2">
        <f t="shared" si="132"/>
        <v>12.73</v>
      </c>
      <c r="I185" s="95">
        <f t="shared" si="133"/>
        <v>15.83</v>
      </c>
      <c r="J185" s="4">
        <f t="shared" si="134"/>
        <v>6.1450000000000005</v>
      </c>
      <c r="K185" s="2">
        <f t="shared" si="135"/>
        <v>11.840000000000002</v>
      </c>
      <c r="L185" s="2">
        <f t="shared" si="136"/>
        <v>16.579999999999998</v>
      </c>
      <c r="M185" s="5">
        <f t="shared" si="137"/>
        <v>22.340000000000003</v>
      </c>
      <c r="N185" s="4">
        <f t="shared" si="138"/>
        <v>7.5999999999999979</v>
      </c>
      <c r="O185" s="2">
        <f t="shared" si="139"/>
        <v>11.840000000000002</v>
      </c>
      <c r="P185" s="2">
        <f t="shared" si="140"/>
        <v>16.579999999999998</v>
      </c>
      <c r="Q185" s="5">
        <f t="shared" si="141"/>
        <v>20.43</v>
      </c>
      <c r="R185" s="255">
        <f t="shared" si="142"/>
        <v>2.1950000000000003</v>
      </c>
      <c r="S185" s="256">
        <f t="shared" si="143"/>
        <v>6.0149999999999997</v>
      </c>
      <c r="T185" s="256">
        <f t="shared" si="144"/>
        <v>10.755000000000001</v>
      </c>
      <c r="U185" s="257">
        <f t="shared" si="145"/>
        <v>16.215000000000003</v>
      </c>
      <c r="V185" s="255">
        <f t="shared" si="146"/>
        <v>3.1250000000000009</v>
      </c>
      <c r="W185" s="256">
        <f t="shared" si="147"/>
        <v>6.0149999999999997</v>
      </c>
      <c r="X185" s="256">
        <f t="shared" si="148"/>
        <v>10.755000000000001</v>
      </c>
      <c r="Y185" s="257">
        <f t="shared" si="149"/>
        <v>14.430000000000003</v>
      </c>
    </row>
    <row r="186" spans="1:32" x14ac:dyDescent="0.25">
      <c r="A186" s="99" t="s">
        <v>21</v>
      </c>
      <c r="B186" s="4">
        <f t="shared" si="126"/>
        <v>5.26</v>
      </c>
      <c r="C186" s="2">
        <f t="shared" si="127"/>
        <v>10.350000000000001</v>
      </c>
      <c r="D186" s="2">
        <f t="shared" si="128"/>
        <v>14.66</v>
      </c>
      <c r="E186" s="5">
        <f t="shared" si="129"/>
        <v>20.655000000000001</v>
      </c>
      <c r="F186" s="4">
        <f t="shared" si="130"/>
        <v>6.8349999999999991</v>
      </c>
      <c r="G186" s="2">
        <f t="shared" si="131"/>
        <v>10.350000000000001</v>
      </c>
      <c r="H186" s="2">
        <f t="shared" si="132"/>
        <v>14.66</v>
      </c>
      <c r="I186" s="95">
        <f t="shared" si="133"/>
        <v>18.63</v>
      </c>
      <c r="J186" s="4">
        <f t="shared" si="134"/>
        <v>4.22</v>
      </c>
      <c r="K186" s="2">
        <f t="shared" si="135"/>
        <v>9.89</v>
      </c>
      <c r="L186" s="2">
        <f t="shared" si="136"/>
        <v>15.18</v>
      </c>
      <c r="M186" s="5">
        <f t="shared" si="137"/>
        <v>21.215000000000003</v>
      </c>
      <c r="N186" s="4">
        <f t="shared" si="138"/>
        <v>5.6749999999999989</v>
      </c>
      <c r="O186" s="2">
        <f t="shared" si="139"/>
        <v>9.89</v>
      </c>
      <c r="P186" s="2">
        <f t="shared" si="140"/>
        <v>15.18</v>
      </c>
      <c r="Q186" s="5">
        <f t="shared" si="141"/>
        <v>19.23</v>
      </c>
      <c r="R186" s="255">
        <f t="shared" si="142"/>
        <v>4.495000000000001</v>
      </c>
      <c r="S186" s="256">
        <f t="shared" si="143"/>
        <v>9.09</v>
      </c>
      <c r="T186" s="256">
        <f t="shared" si="144"/>
        <v>12.73</v>
      </c>
      <c r="U186" s="257">
        <f t="shared" si="145"/>
        <v>17.34</v>
      </c>
      <c r="V186" s="255">
        <f t="shared" si="146"/>
        <v>5.6349999999999989</v>
      </c>
      <c r="W186" s="256">
        <f t="shared" si="147"/>
        <v>9.09</v>
      </c>
      <c r="X186" s="256">
        <f t="shared" si="148"/>
        <v>12.73</v>
      </c>
      <c r="Y186" s="257">
        <f t="shared" si="149"/>
        <v>15.83</v>
      </c>
    </row>
    <row r="187" spans="1:32" x14ac:dyDescent="0.25">
      <c r="A187" s="99" t="s">
        <v>23</v>
      </c>
      <c r="B187" s="4">
        <f t="shared" si="126"/>
        <v>4.45</v>
      </c>
      <c r="C187" s="2">
        <f t="shared" si="127"/>
        <v>8.3250000000000011</v>
      </c>
      <c r="D187" s="2">
        <f t="shared" si="128"/>
        <v>13.395</v>
      </c>
      <c r="E187" s="5">
        <f t="shared" si="129"/>
        <v>20.310000000000002</v>
      </c>
      <c r="F187" s="4">
        <f t="shared" si="130"/>
        <v>5.6650000000000009</v>
      </c>
      <c r="G187" s="2">
        <f t="shared" si="131"/>
        <v>8.3250000000000011</v>
      </c>
      <c r="H187" s="2">
        <f t="shared" si="132"/>
        <v>13.395</v>
      </c>
      <c r="I187" s="95">
        <f t="shared" si="133"/>
        <v>17.96</v>
      </c>
      <c r="J187" s="4">
        <f t="shared" si="134"/>
        <v>5.0450000000000008</v>
      </c>
      <c r="K187" s="2">
        <f t="shared" si="135"/>
        <v>11.015000000000001</v>
      </c>
      <c r="L187" s="2">
        <f t="shared" si="136"/>
        <v>15.754999999999999</v>
      </c>
      <c r="M187" s="5">
        <f t="shared" si="137"/>
        <v>21.215</v>
      </c>
      <c r="N187" s="4">
        <f t="shared" si="138"/>
        <v>6.5749999999999993</v>
      </c>
      <c r="O187" s="2">
        <f t="shared" si="139"/>
        <v>11.015000000000001</v>
      </c>
      <c r="P187" s="2">
        <f t="shared" si="140"/>
        <v>15.754999999999999</v>
      </c>
      <c r="Q187" s="5">
        <f t="shared" si="141"/>
        <v>19.430000000000003</v>
      </c>
      <c r="R187" s="255">
        <f t="shared" si="142"/>
        <v>2.57</v>
      </c>
      <c r="S187" s="256">
        <f t="shared" si="143"/>
        <v>7.14</v>
      </c>
      <c r="T187" s="256">
        <f t="shared" si="144"/>
        <v>11.33</v>
      </c>
      <c r="U187" s="257">
        <f t="shared" si="145"/>
        <v>16.215</v>
      </c>
      <c r="V187" s="255">
        <f t="shared" si="146"/>
        <v>3.7099999999999991</v>
      </c>
      <c r="W187" s="256">
        <f t="shared" si="147"/>
        <v>7.14</v>
      </c>
      <c r="X187" s="256">
        <f t="shared" si="148"/>
        <v>11.33</v>
      </c>
      <c r="Y187" s="257">
        <f t="shared" si="149"/>
        <v>14.63</v>
      </c>
    </row>
    <row r="188" spans="1:32" ht="15.75" thickBot="1" x14ac:dyDescent="0.3">
      <c r="A188" s="100" t="s">
        <v>24</v>
      </c>
      <c r="B188" s="96">
        <f t="shared" si="126"/>
        <v>2.1950000000000003</v>
      </c>
      <c r="C188" s="59">
        <f t="shared" si="127"/>
        <v>6.0150000000000006</v>
      </c>
      <c r="D188" s="59">
        <f t="shared" si="128"/>
        <v>10.754999999999999</v>
      </c>
      <c r="E188" s="63">
        <f t="shared" si="129"/>
        <v>16.215</v>
      </c>
      <c r="F188" s="96">
        <f t="shared" si="130"/>
        <v>3.1250000000000009</v>
      </c>
      <c r="G188" s="59">
        <f t="shared" si="131"/>
        <v>6.0150000000000006</v>
      </c>
      <c r="H188" s="59">
        <f t="shared" si="132"/>
        <v>10.754999999999999</v>
      </c>
      <c r="I188" s="102">
        <f t="shared" si="133"/>
        <v>14.430000000000003</v>
      </c>
      <c r="J188" s="96">
        <f t="shared" si="134"/>
        <v>5.0450000000000008</v>
      </c>
      <c r="K188" s="59">
        <f t="shared" si="135"/>
        <v>11.015000000000001</v>
      </c>
      <c r="L188" s="59">
        <f t="shared" si="136"/>
        <v>15.754999999999999</v>
      </c>
      <c r="M188" s="63">
        <f t="shared" si="137"/>
        <v>21.215</v>
      </c>
      <c r="N188" s="96">
        <f t="shared" si="138"/>
        <v>6.5749999999999993</v>
      </c>
      <c r="O188" s="59">
        <f t="shared" si="139"/>
        <v>11.015000000000001</v>
      </c>
      <c r="P188" s="59">
        <f t="shared" si="140"/>
        <v>15.754999999999999</v>
      </c>
      <c r="Q188" s="63">
        <f t="shared" si="141"/>
        <v>19.430000000000003</v>
      </c>
      <c r="R188" s="258">
        <f t="shared" si="142"/>
        <v>4.22</v>
      </c>
      <c r="S188" s="259">
        <f t="shared" si="143"/>
        <v>8.7900000000000009</v>
      </c>
      <c r="T188" s="259">
        <f t="shared" si="144"/>
        <v>12.98</v>
      </c>
      <c r="U188" s="260">
        <f t="shared" si="145"/>
        <v>18.465</v>
      </c>
      <c r="V188" s="258">
        <f t="shared" si="146"/>
        <v>5.5289999999999981</v>
      </c>
      <c r="W188" s="259">
        <f t="shared" si="147"/>
        <v>8.7900000000000009</v>
      </c>
      <c r="X188" s="259">
        <f t="shared" si="148"/>
        <v>12.98</v>
      </c>
      <c r="Y188" s="260">
        <f t="shared" si="149"/>
        <v>16.63</v>
      </c>
    </row>
    <row r="190" spans="1:32" ht="15.75" thickBot="1" x14ac:dyDescent="0.3">
      <c r="A190" t="s">
        <v>142</v>
      </c>
      <c r="Z190" s="245">
        <v>0.8</v>
      </c>
    </row>
    <row r="191" spans="1:32" ht="33" customHeight="1" thickBot="1" x14ac:dyDescent="0.3">
      <c r="A191" s="213" t="s">
        <v>27</v>
      </c>
      <c r="B191" s="209" t="s">
        <v>143</v>
      </c>
      <c r="C191" s="215"/>
      <c r="D191" s="215"/>
      <c r="E191" s="215"/>
      <c r="F191" s="215"/>
      <c r="G191" s="215"/>
      <c r="H191" s="215"/>
      <c r="I191" s="216"/>
      <c r="J191" s="209" t="s">
        <v>144</v>
      </c>
      <c r="K191" s="215"/>
      <c r="L191" s="215"/>
      <c r="M191" s="215"/>
      <c r="N191" s="215"/>
      <c r="O191" s="215"/>
      <c r="P191" s="215"/>
      <c r="Q191" s="216"/>
      <c r="R191" s="210" t="s">
        <v>145</v>
      </c>
      <c r="S191" s="211"/>
      <c r="T191" s="211"/>
      <c r="U191" s="211"/>
      <c r="V191" s="211"/>
      <c r="W191" s="211"/>
      <c r="X191" s="211"/>
      <c r="Y191" s="212"/>
      <c r="Z191" s="264" t="s">
        <v>82</v>
      </c>
      <c r="AA191" s="265"/>
      <c r="AB191" s="265"/>
      <c r="AC191" s="266"/>
      <c r="AD191" s="267" t="s">
        <v>84</v>
      </c>
      <c r="AE191" s="268"/>
      <c r="AF191" s="269" t="s">
        <v>87</v>
      </c>
    </row>
    <row r="192" spans="1:32" ht="27.75" customHeight="1" thickBot="1" x14ac:dyDescent="0.3">
      <c r="A192" s="214"/>
      <c r="B192" s="206" t="s">
        <v>3</v>
      </c>
      <c r="C192" s="207"/>
      <c r="D192" s="207"/>
      <c r="E192" s="208"/>
      <c r="F192" s="209" t="s">
        <v>4</v>
      </c>
      <c r="G192" s="207"/>
      <c r="H192" s="207"/>
      <c r="I192" s="208"/>
      <c r="J192" s="206" t="s">
        <v>3</v>
      </c>
      <c r="K192" s="207"/>
      <c r="L192" s="207"/>
      <c r="M192" s="208"/>
      <c r="N192" s="209" t="s">
        <v>4</v>
      </c>
      <c r="O192" s="207"/>
      <c r="P192" s="207"/>
      <c r="Q192" s="208"/>
      <c r="R192" s="210" t="s">
        <v>3</v>
      </c>
      <c r="S192" s="211"/>
      <c r="T192" s="211"/>
      <c r="U192" s="212"/>
      <c r="V192" s="210" t="s">
        <v>4</v>
      </c>
      <c r="W192" s="211"/>
      <c r="X192" s="211"/>
      <c r="Y192" s="212"/>
      <c r="Z192" s="270" t="s">
        <v>83</v>
      </c>
      <c r="AA192" s="271"/>
      <c r="AB192" s="270" t="s">
        <v>5</v>
      </c>
      <c r="AC192" s="272"/>
      <c r="AD192" s="273" t="s">
        <v>85</v>
      </c>
      <c r="AE192" s="273" t="s">
        <v>86</v>
      </c>
      <c r="AF192" s="274"/>
    </row>
    <row r="193" spans="1:40" ht="30.75" customHeight="1" x14ac:dyDescent="0.25">
      <c r="A193" s="103" t="s">
        <v>25</v>
      </c>
      <c r="B193" s="6">
        <f>B179*$C$164</f>
        <v>3.2300000000000004</v>
      </c>
      <c r="C193" s="7">
        <f t="shared" ref="C193:I193" si="150">C179*$C$164</f>
        <v>6.3</v>
      </c>
      <c r="D193" s="7">
        <f t="shared" si="150"/>
        <v>7.9050000000000002</v>
      </c>
      <c r="E193" s="8">
        <f t="shared" si="150"/>
        <v>10.327500000000001</v>
      </c>
      <c r="F193" s="6">
        <f t="shared" si="150"/>
        <v>4.1599999999999993</v>
      </c>
      <c r="G193" s="7">
        <f t="shared" si="150"/>
        <v>6.3</v>
      </c>
      <c r="H193" s="7">
        <f t="shared" si="150"/>
        <v>7.9050000000000002</v>
      </c>
      <c r="I193" s="101">
        <f t="shared" si="150"/>
        <v>9.5150000000000006</v>
      </c>
      <c r="J193" s="6">
        <f>J179*$C$165</f>
        <v>2.11</v>
      </c>
      <c r="K193" s="7">
        <f t="shared" ref="K193:Q193" si="151">K179*$C$165</f>
        <v>4.9450000000000003</v>
      </c>
      <c r="L193" s="7">
        <f t="shared" si="151"/>
        <v>7.59</v>
      </c>
      <c r="M193" s="8">
        <f t="shared" si="151"/>
        <v>10.607500000000002</v>
      </c>
      <c r="N193" s="6">
        <f t="shared" si="151"/>
        <v>2.8374999999999995</v>
      </c>
      <c r="O193" s="7">
        <f t="shared" si="151"/>
        <v>4.9450000000000003</v>
      </c>
      <c r="P193" s="7">
        <f t="shared" si="151"/>
        <v>7.59</v>
      </c>
      <c r="Q193" s="101">
        <f t="shared" si="151"/>
        <v>9.6150000000000002</v>
      </c>
      <c r="R193" s="107">
        <f>B193+J193</f>
        <v>5.34</v>
      </c>
      <c r="S193" s="57">
        <f t="shared" ref="S193:Y202" si="152">C193+K193</f>
        <v>11.245000000000001</v>
      </c>
      <c r="T193" s="57">
        <f t="shared" si="152"/>
        <v>15.495000000000001</v>
      </c>
      <c r="U193" s="108">
        <f t="shared" si="152"/>
        <v>20.935000000000002</v>
      </c>
      <c r="V193" s="107">
        <f t="shared" si="152"/>
        <v>6.9974999999999987</v>
      </c>
      <c r="W193" s="57">
        <f t="shared" si="152"/>
        <v>11.245000000000001</v>
      </c>
      <c r="X193" s="57">
        <f t="shared" si="152"/>
        <v>15.495000000000001</v>
      </c>
      <c r="Y193" s="297">
        <f t="shared" si="152"/>
        <v>19.130000000000003</v>
      </c>
      <c r="Z193" s="250">
        <f>Z$190*S193+(1-Z$190)*R193</f>
        <v>10.064</v>
      </c>
      <c r="AA193" s="275">
        <f>Z$190*T193+(1-Z$190)*U193</f>
        <v>16.582999999999998</v>
      </c>
      <c r="AB193" s="250">
        <f>Z$190*W193+(1-Z$190)*V193</f>
        <v>10.3955</v>
      </c>
      <c r="AC193" s="276">
        <f>Z$190*X193+(1-Z$190)*Y193</f>
        <v>16.222000000000001</v>
      </c>
      <c r="AD193" s="241">
        <f>(Z193+AA193)/2</f>
        <v>13.323499999999999</v>
      </c>
      <c r="AE193" s="243">
        <f>(AB193+AC193)/2</f>
        <v>13.30875</v>
      </c>
      <c r="AF193" s="277">
        <f>(AD193+AE193)/2</f>
        <v>13.316125</v>
      </c>
    </row>
    <row r="194" spans="1:40" x14ac:dyDescent="0.25">
      <c r="A194" s="99" t="s">
        <v>14</v>
      </c>
      <c r="B194" s="4">
        <f t="shared" ref="B194:I202" si="153">B180*$C$164</f>
        <v>0.57750000000000012</v>
      </c>
      <c r="C194" s="2">
        <f t="shared" si="153"/>
        <v>2.2275</v>
      </c>
      <c r="D194" s="2">
        <f t="shared" si="153"/>
        <v>4.5374999999999996</v>
      </c>
      <c r="E194" s="5">
        <f t="shared" si="153"/>
        <v>7.0125000000000002</v>
      </c>
      <c r="F194" s="4">
        <f t="shared" si="153"/>
        <v>0.90950000000000042</v>
      </c>
      <c r="G194" s="2">
        <f t="shared" si="153"/>
        <v>2.2275</v>
      </c>
      <c r="H194" s="2">
        <f t="shared" si="153"/>
        <v>4.5374999999999996</v>
      </c>
      <c r="I194" s="95">
        <f t="shared" si="153"/>
        <v>6.2150000000000016</v>
      </c>
      <c r="J194" s="4">
        <f t="shared" ref="J194:Q202" si="154">J180*$C$165</f>
        <v>0.57750000000000012</v>
      </c>
      <c r="K194" s="2">
        <f t="shared" si="154"/>
        <v>2.7775000000000003</v>
      </c>
      <c r="L194" s="2">
        <f t="shared" si="154"/>
        <v>5.6375000000000002</v>
      </c>
      <c r="M194" s="5">
        <f t="shared" si="154"/>
        <v>8.3875000000000011</v>
      </c>
      <c r="N194" s="4">
        <f t="shared" si="154"/>
        <v>0.98250000000000037</v>
      </c>
      <c r="O194" s="2">
        <f t="shared" si="154"/>
        <v>2.7775000000000003</v>
      </c>
      <c r="P194" s="2">
        <f t="shared" si="154"/>
        <v>5.6375000000000002</v>
      </c>
      <c r="Q194" s="95">
        <f t="shared" si="154"/>
        <v>7.5150000000000023</v>
      </c>
      <c r="R194" s="6">
        <f>B194+J194</f>
        <v>1.1550000000000002</v>
      </c>
      <c r="S194" s="7">
        <f t="shared" si="152"/>
        <v>5.0050000000000008</v>
      </c>
      <c r="T194" s="7">
        <f t="shared" si="152"/>
        <v>10.175000000000001</v>
      </c>
      <c r="U194" s="8">
        <f t="shared" si="152"/>
        <v>15.400000000000002</v>
      </c>
      <c r="V194" s="6">
        <f t="shared" si="152"/>
        <v>1.8920000000000008</v>
      </c>
      <c r="W194" s="7">
        <f t="shared" si="152"/>
        <v>5.0050000000000008</v>
      </c>
      <c r="X194" s="7">
        <f t="shared" si="152"/>
        <v>10.175000000000001</v>
      </c>
      <c r="Y194" s="254">
        <f t="shared" si="152"/>
        <v>13.730000000000004</v>
      </c>
      <c r="Z194" s="251">
        <f t="shared" ref="Z194:Z202" si="155">Z$190*S194+(1-Z$190)*R194</f>
        <v>4.2350000000000003</v>
      </c>
      <c r="AA194" s="278">
        <f t="shared" ref="AA194:AA202" si="156">Z$190*T194+(1-Z$190)*U194</f>
        <v>11.22</v>
      </c>
      <c r="AB194" s="251">
        <f t="shared" ref="AB194:AB202" si="157">Z$190*W194+(1-Z$190)*V194</f>
        <v>4.3824000000000005</v>
      </c>
      <c r="AC194" s="279">
        <f t="shared" ref="AC194:AC202" si="158">Z$190*X194+(1-Z$190)*Y194</f>
        <v>10.886000000000001</v>
      </c>
      <c r="AD194" s="244">
        <f t="shared" ref="AD194:AD202" si="159">(Z194+AA194)/2</f>
        <v>7.7275000000000009</v>
      </c>
      <c r="AE194" s="246">
        <f t="shared" ref="AE194:AE202" si="160">(AB194+AC194)/2</f>
        <v>7.6342000000000008</v>
      </c>
      <c r="AF194" s="280">
        <f t="shared" ref="AF194:AF202" si="161">(AD194+AE194)/2</f>
        <v>7.6808500000000013</v>
      </c>
    </row>
    <row r="195" spans="1:40" x14ac:dyDescent="0.25">
      <c r="A195" s="99" t="s">
        <v>15</v>
      </c>
      <c r="B195" s="4">
        <f t="shared" si="153"/>
        <v>2.0075000000000003</v>
      </c>
      <c r="C195" s="2">
        <f t="shared" si="153"/>
        <v>3.7125000000000004</v>
      </c>
      <c r="D195" s="2">
        <f t="shared" si="153"/>
        <v>6.3525000000000009</v>
      </c>
      <c r="E195" s="5">
        <f t="shared" si="153"/>
        <v>9.9824999999999999</v>
      </c>
      <c r="F195" s="4">
        <f t="shared" si="153"/>
        <v>2.54</v>
      </c>
      <c r="G195" s="2">
        <f t="shared" si="153"/>
        <v>3.7125000000000004</v>
      </c>
      <c r="H195" s="2">
        <f t="shared" si="153"/>
        <v>6.3525000000000009</v>
      </c>
      <c r="I195" s="95">
        <f t="shared" si="153"/>
        <v>8.7449999999999992</v>
      </c>
      <c r="J195" s="4">
        <f t="shared" si="154"/>
        <v>3.6500000000000004</v>
      </c>
      <c r="K195" s="2">
        <f t="shared" si="154"/>
        <v>6.6625000000000005</v>
      </c>
      <c r="L195" s="2">
        <f t="shared" si="154"/>
        <v>9.1974999999999998</v>
      </c>
      <c r="M195" s="5">
        <f t="shared" si="154"/>
        <v>12.655000000000001</v>
      </c>
      <c r="N195" s="4">
        <f t="shared" si="154"/>
        <v>4.5574999999999992</v>
      </c>
      <c r="O195" s="2">
        <f t="shared" si="154"/>
        <v>6.6625000000000005</v>
      </c>
      <c r="P195" s="2">
        <f t="shared" si="154"/>
        <v>9.1974999999999998</v>
      </c>
      <c r="Q195" s="95">
        <f t="shared" si="154"/>
        <v>11.48</v>
      </c>
      <c r="R195" s="6">
        <f t="shared" ref="R195:R202" si="162">B195+J195</f>
        <v>5.6575000000000006</v>
      </c>
      <c r="S195" s="7">
        <f t="shared" si="152"/>
        <v>10.375</v>
      </c>
      <c r="T195" s="7">
        <f t="shared" si="152"/>
        <v>15.55</v>
      </c>
      <c r="U195" s="8">
        <f t="shared" si="152"/>
        <v>22.637500000000003</v>
      </c>
      <c r="V195" s="6">
        <f t="shared" si="152"/>
        <v>7.0974999999999993</v>
      </c>
      <c r="W195" s="7">
        <f t="shared" si="152"/>
        <v>10.375</v>
      </c>
      <c r="X195" s="7">
        <f t="shared" si="152"/>
        <v>15.55</v>
      </c>
      <c r="Y195" s="254">
        <f t="shared" si="152"/>
        <v>20.225000000000001</v>
      </c>
      <c r="Z195" s="251">
        <f t="shared" si="155"/>
        <v>9.4314999999999998</v>
      </c>
      <c r="AA195" s="278">
        <f t="shared" si="156"/>
        <v>16.967500000000001</v>
      </c>
      <c r="AB195" s="251">
        <f t="shared" si="157"/>
        <v>9.7195</v>
      </c>
      <c r="AC195" s="279">
        <f t="shared" si="158"/>
        <v>16.484999999999999</v>
      </c>
      <c r="AD195" s="244">
        <f t="shared" si="159"/>
        <v>13.1995</v>
      </c>
      <c r="AE195" s="246">
        <f t="shared" si="160"/>
        <v>13.10225</v>
      </c>
      <c r="AF195" s="280">
        <f t="shared" si="161"/>
        <v>13.150874999999999</v>
      </c>
    </row>
    <row r="196" spans="1:40" x14ac:dyDescent="0.25">
      <c r="A196" s="99" t="s">
        <v>16</v>
      </c>
      <c r="B196" s="4">
        <f t="shared" si="153"/>
        <v>2.8250000000000006</v>
      </c>
      <c r="C196" s="2">
        <f t="shared" si="153"/>
        <v>5.2874999999999996</v>
      </c>
      <c r="D196" s="2">
        <f t="shared" si="153"/>
        <v>7.2725000000000009</v>
      </c>
      <c r="E196" s="5">
        <f t="shared" si="153"/>
        <v>10.154999999999999</v>
      </c>
      <c r="F196" s="4">
        <f t="shared" si="153"/>
        <v>3.5750000000000002</v>
      </c>
      <c r="G196" s="2">
        <f t="shared" si="153"/>
        <v>5.2874999999999996</v>
      </c>
      <c r="H196" s="2">
        <f t="shared" si="153"/>
        <v>7.2725000000000009</v>
      </c>
      <c r="I196" s="95">
        <f t="shared" si="153"/>
        <v>9.18</v>
      </c>
      <c r="J196" s="4">
        <f t="shared" si="154"/>
        <v>3.0725000000000002</v>
      </c>
      <c r="K196" s="2">
        <f t="shared" si="154"/>
        <v>5.9200000000000008</v>
      </c>
      <c r="L196" s="2">
        <f t="shared" si="154"/>
        <v>8.2899999999999991</v>
      </c>
      <c r="M196" s="5">
        <f t="shared" si="154"/>
        <v>11.170000000000002</v>
      </c>
      <c r="N196" s="4">
        <f t="shared" si="154"/>
        <v>3.7999999999999989</v>
      </c>
      <c r="O196" s="2">
        <f t="shared" si="154"/>
        <v>5.9200000000000008</v>
      </c>
      <c r="P196" s="2">
        <f t="shared" si="154"/>
        <v>8.2899999999999991</v>
      </c>
      <c r="Q196" s="95">
        <f t="shared" si="154"/>
        <v>10.215</v>
      </c>
      <c r="R196" s="6">
        <f t="shared" si="162"/>
        <v>5.8975000000000009</v>
      </c>
      <c r="S196" s="7">
        <f t="shared" si="152"/>
        <v>11.2075</v>
      </c>
      <c r="T196" s="7">
        <f t="shared" si="152"/>
        <v>15.5625</v>
      </c>
      <c r="U196" s="8">
        <f t="shared" si="152"/>
        <v>21.325000000000003</v>
      </c>
      <c r="V196" s="6">
        <f t="shared" si="152"/>
        <v>7.3749999999999991</v>
      </c>
      <c r="W196" s="7">
        <f t="shared" si="152"/>
        <v>11.2075</v>
      </c>
      <c r="X196" s="7">
        <f t="shared" si="152"/>
        <v>15.5625</v>
      </c>
      <c r="Y196" s="254">
        <f t="shared" si="152"/>
        <v>19.395</v>
      </c>
      <c r="Z196" s="251">
        <f t="shared" si="155"/>
        <v>10.145499999999998</v>
      </c>
      <c r="AA196" s="278">
        <f t="shared" si="156"/>
        <v>16.715</v>
      </c>
      <c r="AB196" s="251">
        <f t="shared" si="157"/>
        <v>10.440999999999999</v>
      </c>
      <c r="AC196" s="279">
        <f t="shared" si="158"/>
        <v>16.329000000000001</v>
      </c>
      <c r="AD196" s="244">
        <f t="shared" si="159"/>
        <v>13.430249999999999</v>
      </c>
      <c r="AE196" s="246">
        <f t="shared" si="160"/>
        <v>13.385</v>
      </c>
      <c r="AF196" s="280">
        <f t="shared" si="161"/>
        <v>13.407624999999999</v>
      </c>
    </row>
    <row r="197" spans="1:40" x14ac:dyDescent="0.25">
      <c r="A197" s="99" t="s">
        <v>18</v>
      </c>
      <c r="B197" s="4">
        <f t="shared" si="153"/>
        <v>2.2250000000000001</v>
      </c>
      <c r="C197" s="2">
        <f t="shared" si="153"/>
        <v>4.1625000000000005</v>
      </c>
      <c r="D197" s="2">
        <f t="shared" si="153"/>
        <v>6.6974999999999998</v>
      </c>
      <c r="E197" s="5">
        <f t="shared" si="153"/>
        <v>10.155000000000001</v>
      </c>
      <c r="F197" s="4">
        <f t="shared" si="153"/>
        <v>2.8325000000000005</v>
      </c>
      <c r="G197" s="2">
        <f t="shared" si="153"/>
        <v>4.1625000000000005</v>
      </c>
      <c r="H197" s="2">
        <f t="shared" si="153"/>
        <v>6.6974999999999998</v>
      </c>
      <c r="I197" s="95">
        <f t="shared" si="153"/>
        <v>8.98</v>
      </c>
      <c r="J197" s="4">
        <f t="shared" si="154"/>
        <v>3.6500000000000004</v>
      </c>
      <c r="K197" s="2">
        <f t="shared" si="154"/>
        <v>6.6625000000000005</v>
      </c>
      <c r="L197" s="2">
        <f t="shared" si="154"/>
        <v>9.1974999999999998</v>
      </c>
      <c r="M197" s="5">
        <f t="shared" si="154"/>
        <v>12.655000000000001</v>
      </c>
      <c r="N197" s="4">
        <f t="shared" si="154"/>
        <v>4.5574999999999992</v>
      </c>
      <c r="O197" s="2">
        <f t="shared" si="154"/>
        <v>6.6625000000000005</v>
      </c>
      <c r="P197" s="2">
        <f t="shared" si="154"/>
        <v>9.1974999999999998</v>
      </c>
      <c r="Q197" s="95">
        <f t="shared" si="154"/>
        <v>11.48</v>
      </c>
      <c r="R197" s="6">
        <f t="shared" si="162"/>
        <v>5.875</v>
      </c>
      <c r="S197" s="7">
        <f t="shared" si="152"/>
        <v>10.825000000000001</v>
      </c>
      <c r="T197" s="7">
        <f t="shared" si="152"/>
        <v>15.895</v>
      </c>
      <c r="U197" s="8">
        <f t="shared" si="152"/>
        <v>22.810000000000002</v>
      </c>
      <c r="V197" s="6">
        <f t="shared" si="152"/>
        <v>7.39</v>
      </c>
      <c r="W197" s="7">
        <f t="shared" si="152"/>
        <v>10.825000000000001</v>
      </c>
      <c r="X197" s="7">
        <f t="shared" si="152"/>
        <v>15.895</v>
      </c>
      <c r="Y197" s="254">
        <f t="shared" si="152"/>
        <v>20.46</v>
      </c>
      <c r="Z197" s="251">
        <f t="shared" si="155"/>
        <v>9.8350000000000009</v>
      </c>
      <c r="AA197" s="278">
        <f t="shared" si="156"/>
        <v>17.277999999999999</v>
      </c>
      <c r="AB197" s="251">
        <f t="shared" si="157"/>
        <v>10.138000000000002</v>
      </c>
      <c r="AC197" s="279">
        <f t="shared" si="158"/>
        <v>16.808</v>
      </c>
      <c r="AD197" s="244">
        <f t="shared" si="159"/>
        <v>13.5565</v>
      </c>
      <c r="AE197" s="246">
        <f t="shared" si="160"/>
        <v>13.473000000000001</v>
      </c>
      <c r="AF197" s="280">
        <f t="shared" si="161"/>
        <v>13.514749999999999</v>
      </c>
    </row>
    <row r="198" spans="1:40" x14ac:dyDescent="0.25">
      <c r="A198" s="99" t="s">
        <v>19</v>
      </c>
      <c r="B198" s="4">
        <f t="shared" si="153"/>
        <v>2.2475000000000005</v>
      </c>
      <c r="C198" s="2">
        <f t="shared" si="153"/>
        <v>4.5449999999999999</v>
      </c>
      <c r="D198" s="2">
        <f t="shared" si="153"/>
        <v>6.3650000000000002</v>
      </c>
      <c r="E198" s="5">
        <f t="shared" si="153"/>
        <v>8.67</v>
      </c>
      <c r="F198" s="4">
        <f t="shared" si="153"/>
        <v>2.8174999999999994</v>
      </c>
      <c r="G198" s="2">
        <f t="shared" si="153"/>
        <v>4.5449999999999999</v>
      </c>
      <c r="H198" s="2">
        <f t="shared" si="153"/>
        <v>6.3650000000000002</v>
      </c>
      <c r="I198" s="95">
        <f t="shared" si="153"/>
        <v>7.915</v>
      </c>
      <c r="J198" s="4">
        <f t="shared" si="154"/>
        <v>3.0725000000000002</v>
      </c>
      <c r="K198" s="2">
        <f t="shared" si="154"/>
        <v>5.9200000000000008</v>
      </c>
      <c r="L198" s="2">
        <f t="shared" si="154"/>
        <v>8.2899999999999991</v>
      </c>
      <c r="M198" s="5">
        <f t="shared" si="154"/>
        <v>11.170000000000002</v>
      </c>
      <c r="N198" s="4">
        <f t="shared" si="154"/>
        <v>3.7999999999999989</v>
      </c>
      <c r="O198" s="2">
        <f t="shared" si="154"/>
        <v>5.9200000000000008</v>
      </c>
      <c r="P198" s="2">
        <f t="shared" si="154"/>
        <v>8.2899999999999991</v>
      </c>
      <c r="Q198" s="95">
        <f t="shared" si="154"/>
        <v>10.215</v>
      </c>
      <c r="R198" s="6">
        <f t="shared" si="162"/>
        <v>5.32</v>
      </c>
      <c r="S198" s="7">
        <f t="shared" si="152"/>
        <v>10.465</v>
      </c>
      <c r="T198" s="7">
        <f t="shared" si="152"/>
        <v>14.654999999999999</v>
      </c>
      <c r="U198" s="8">
        <f t="shared" si="152"/>
        <v>19.840000000000003</v>
      </c>
      <c r="V198" s="6">
        <f t="shared" si="152"/>
        <v>6.6174999999999979</v>
      </c>
      <c r="W198" s="7">
        <f t="shared" si="152"/>
        <v>10.465</v>
      </c>
      <c r="X198" s="7">
        <f t="shared" si="152"/>
        <v>14.654999999999999</v>
      </c>
      <c r="Y198" s="254">
        <f t="shared" si="152"/>
        <v>18.13</v>
      </c>
      <c r="Z198" s="251">
        <f t="shared" si="155"/>
        <v>9.4359999999999999</v>
      </c>
      <c r="AA198" s="278">
        <f t="shared" si="156"/>
        <v>15.692</v>
      </c>
      <c r="AB198" s="251">
        <f t="shared" si="157"/>
        <v>9.6954999999999991</v>
      </c>
      <c r="AC198" s="279">
        <f t="shared" si="158"/>
        <v>15.35</v>
      </c>
      <c r="AD198" s="244">
        <f t="shared" si="159"/>
        <v>12.564</v>
      </c>
      <c r="AE198" s="246">
        <f t="shared" si="160"/>
        <v>12.522749999999998</v>
      </c>
      <c r="AF198" s="280">
        <f t="shared" si="161"/>
        <v>12.543374999999999</v>
      </c>
    </row>
    <row r="199" spans="1:40" x14ac:dyDescent="0.25">
      <c r="A199" s="99" t="s">
        <v>20</v>
      </c>
      <c r="B199" s="4">
        <f t="shared" si="153"/>
        <v>2.2475000000000005</v>
      </c>
      <c r="C199" s="2">
        <f t="shared" si="153"/>
        <v>4.5449999999999999</v>
      </c>
      <c r="D199" s="2">
        <f t="shared" si="153"/>
        <v>6.3650000000000002</v>
      </c>
      <c r="E199" s="5">
        <f t="shared" si="153"/>
        <v>8.67</v>
      </c>
      <c r="F199" s="4">
        <f t="shared" si="153"/>
        <v>2.8174999999999994</v>
      </c>
      <c r="G199" s="2">
        <f t="shared" si="153"/>
        <v>4.5449999999999999</v>
      </c>
      <c r="H199" s="2">
        <f t="shared" si="153"/>
        <v>6.3650000000000002</v>
      </c>
      <c r="I199" s="95">
        <f t="shared" si="153"/>
        <v>7.915</v>
      </c>
      <c r="J199" s="4">
        <f t="shared" si="154"/>
        <v>3.0725000000000002</v>
      </c>
      <c r="K199" s="2">
        <f t="shared" si="154"/>
        <v>5.9200000000000008</v>
      </c>
      <c r="L199" s="2">
        <f t="shared" si="154"/>
        <v>8.2899999999999991</v>
      </c>
      <c r="M199" s="5">
        <f t="shared" si="154"/>
        <v>11.170000000000002</v>
      </c>
      <c r="N199" s="4">
        <f t="shared" si="154"/>
        <v>3.7999999999999989</v>
      </c>
      <c r="O199" s="2">
        <f t="shared" si="154"/>
        <v>5.9200000000000008</v>
      </c>
      <c r="P199" s="2">
        <f t="shared" si="154"/>
        <v>8.2899999999999991</v>
      </c>
      <c r="Q199" s="95">
        <f t="shared" si="154"/>
        <v>10.215</v>
      </c>
      <c r="R199" s="6">
        <f t="shared" si="162"/>
        <v>5.32</v>
      </c>
      <c r="S199" s="7">
        <f t="shared" si="152"/>
        <v>10.465</v>
      </c>
      <c r="T199" s="7">
        <f t="shared" si="152"/>
        <v>14.654999999999999</v>
      </c>
      <c r="U199" s="8">
        <f t="shared" si="152"/>
        <v>19.840000000000003</v>
      </c>
      <c r="V199" s="6">
        <f t="shared" si="152"/>
        <v>6.6174999999999979</v>
      </c>
      <c r="W199" s="7">
        <f t="shared" si="152"/>
        <v>10.465</v>
      </c>
      <c r="X199" s="7">
        <f t="shared" si="152"/>
        <v>14.654999999999999</v>
      </c>
      <c r="Y199" s="254">
        <f t="shared" si="152"/>
        <v>18.13</v>
      </c>
      <c r="Z199" s="251">
        <f t="shared" si="155"/>
        <v>9.4359999999999999</v>
      </c>
      <c r="AA199" s="278">
        <f t="shared" si="156"/>
        <v>15.692</v>
      </c>
      <c r="AB199" s="251">
        <f t="shared" si="157"/>
        <v>9.6954999999999991</v>
      </c>
      <c r="AC199" s="279">
        <f t="shared" si="158"/>
        <v>15.35</v>
      </c>
      <c r="AD199" s="244">
        <f t="shared" si="159"/>
        <v>12.564</v>
      </c>
      <c r="AE199" s="246">
        <f t="shared" si="160"/>
        <v>12.522749999999998</v>
      </c>
      <c r="AF199" s="280">
        <f t="shared" si="161"/>
        <v>12.543374999999999</v>
      </c>
    </row>
    <row r="200" spans="1:40" x14ac:dyDescent="0.25">
      <c r="A200" s="99" t="s">
        <v>21</v>
      </c>
      <c r="B200" s="4">
        <f t="shared" si="153"/>
        <v>2.63</v>
      </c>
      <c r="C200" s="2">
        <f t="shared" si="153"/>
        <v>5.1750000000000007</v>
      </c>
      <c r="D200" s="2">
        <f t="shared" si="153"/>
        <v>7.33</v>
      </c>
      <c r="E200" s="5">
        <f t="shared" si="153"/>
        <v>10.327500000000001</v>
      </c>
      <c r="F200" s="4">
        <f t="shared" si="153"/>
        <v>3.4174999999999995</v>
      </c>
      <c r="G200" s="2">
        <f t="shared" si="153"/>
        <v>5.1750000000000007</v>
      </c>
      <c r="H200" s="2">
        <f t="shared" si="153"/>
        <v>7.33</v>
      </c>
      <c r="I200" s="95">
        <f t="shared" si="153"/>
        <v>9.3149999999999995</v>
      </c>
      <c r="J200" s="4">
        <f t="shared" si="154"/>
        <v>2.11</v>
      </c>
      <c r="K200" s="2">
        <f t="shared" si="154"/>
        <v>4.9450000000000003</v>
      </c>
      <c r="L200" s="2">
        <f t="shared" si="154"/>
        <v>7.59</v>
      </c>
      <c r="M200" s="5">
        <f t="shared" si="154"/>
        <v>10.607500000000002</v>
      </c>
      <c r="N200" s="4">
        <f t="shared" si="154"/>
        <v>2.8374999999999995</v>
      </c>
      <c r="O200" s="2">
        <f t="shared" si="154"/>
        <v>4.9450000000000003</v>
      </c>
      <c r="P200" s="2">
        <f t="shared" si="154"/>
        <v>7.59</v>
      </c>
      <c r="Q200" s="95">
        <f t="shared" si="154"/>
        <v>9.6150000000000002</v>
      </c>
      <c r="R200" s="6">
        <f t="shared" si="162"/>
        <v>4.74</v>
      </c>
      <c r="S200" s="7">
        <f t="shared" si="152"/>
        <v>10.120000000000001</v>
      </c>
      <c r="T200" s="7">
        <f t="shared" si="152"/>
        <v>14.92</v>
      </c>
      <c r="U200" s="8">
        <f t="shared" si="152"/>
        <v>20.935000000000002</v>
      </c>
      <c r="V200" s="6">
        <f t="shared" si="152"/>
        <v>6.254999999999999</v>
      </c>
      <c r="W200" s="7">
        <f t="shared" si="152"/>
        <v>10.120000000000001</v>
      </c>
      <c r="X200" s="7">
        <f t="shared" si="152"/>
        <v>14.92</v>
      </c>
      <c r="Y200" s="254">
        <f t="shared" si="152"/>
        <v>18.93</v>
      </c>
      <c r="Z200" s="251">
        <f t="shared" si="155"/>
        <v>9.0440000000000023</v>
      </c>
      <c r="AA200" s="278">
        <f t="shared" si="156"/>
        <v>16.122999999999998</v>
      </c>
      <c r="AB200" s="251">
        <f t="shared" si="157"/>
        <v>9.3470000000000013</v>
      </c>
      <c r="AC200" s="279">
        <f t="shared" si="158"/>
        <v>15.722</v>
      </c>
      <c r="AD200" s="244">
        <f t="shared" si="159"/>
        <v>12.583500000000001</v>
      </c>
      <c r="AE200" s="246">
        <f t="shared" si="160"/>
        <v>12.534500000000001</v>
      </c>
      <c r="AF200" s="280">
        <f t="shared" si="161"/>
        <v>12.559000000000001</v>
      </c>
    </row>
    <row r="201" spans="1:40" x14ac:dyDescent="0.25">
      <c r="A201" s="99" t="s">
        <v>23</v>
      </c>
      <c r="B201" s="4">
        <f t="shared" si="153"/>
        <v>2.2250000000000001</v>
      </c>
      <c r="C201" s="2">
        <f t="shared" si="153"/>
        <v>4.1625000000000005</v>
      </c>
      <c r="D201" s="2">
        <f t="shared" si="153"/>
        <v>6.6974999999999998</v>
      </c>
      <c r="E201" s="5">
        <f t="shared" si="153"/>
        <v>10.155000000000001</v>
      </c>
      <c r="F201" s="4">
        <f t="shared" si="153"/>
        <v>2.8325000000000005</v>
      </c>
      <c r="G201" s="2">
        <f t="shared" si="153"/>
        <v>4.1625000000000005</v>
      </c>
      <c r="H201" s="2">
        <f t="shared" si="153"/>
        <v>6.6974999999999998</v>
      </c>
      <c r="I201" s="95">
        <f t="shared" si="153"/>
        <v>8.98</v>
      </c>
      <c r="J201" s="4">
        <f t="shared" si="154"/>
        <v>2.5225000000000004</v>
      </c>
      <c r="K201" s="2">
        <f t="shared" si="154"/>
        <v>5.5075000000000003</v>
      </c>
      <c r="L201" s="2">
        <f t="shared" si="154"/>
        <v>7.8774999999999995</v>
      </c>
      <c r="M201" s="5">
        <f t="shared" si="154"/>
        <v>10.6075</v>
      </c>
      <c r="N201" s="4">
        <f t="shared" si="154"/>
        <v>3.2874999999999996</v>
      </c>
      <c r="O201" s="2">
        <f t="shared" si="154"/>
        <v>5.5075000000000003</v>
      </c>
      <c r="P201" s="2">
        <f t="shared" si="154"/>
        <v>7.8774999999999995</v>
      </c>
      <c r="Q201" s="95">
        <f t="shared" si="154"/>
        <v>9.7150000000000016</v>
      </c>
      <c r="R201" s="6">
        <f t="shared" si="162"/>
        <v>4.7475000000000005</v>
      </c>
      <c r="S201" s="7">
        <f t="shared" si="152"/>
        <v>9.6700000000000017</v>
      </c>
      <c r="T201" s="7">
        <f t="shared" si="152"/>
        <v>14.574999999999999</v>
      </c>
      <c r="U201" s="8">
        <f t="shared" si="152"/>
        <v>20.762500000000003</v>
      </c>
      <c r="V201" s="6">
        <f t="shared" si="152"/>
        <v>6.12</v>
      </c>
      <c r="W201" s="7">
        <f t="shared" si="152"/>
        <v>9.6700000000000017</v>
      </c>
      <c r="X201" s="7">
        <f t="shared" si="152"/>
        <v>14.574999999999999</v>
      </c>
      <c r="Y201" s="254">
        <f t="shared" si="152"/>
        <v>18.695</v>
      </c>
      <c r="Z201" s="251">
        <f t="shared" si="155"/>
        <v>8.6855000000000011</v>
      </c>
      <c r="AA201" s="278">
        <f t="shared" si="156"/>
        <v>15.8125</v>
      </c>
      <c r="AB201" s="251">
        <f t="shared" si="157"/>
        <v>8.9600000000000009</v>
      </c>
      <c r="AC201" s="279">
        <f t="shared" si="158"/>
        <v>15.398999999999999</v>
      </c>
      <c r="AD201" s="244">
        <f t="shared" si="159"/>
        <v>12.249000000000001</v>
      </c>
      <c r="AE201" s="246">
        <f t="shared" si="160"/>
        <v>12.179500000000001</v>
      </c>
      <c r="AF201" s="280">
        <f t="shared" si="161"/>
        <v>12.21425</v>
      </c>
    </row>
    <row r="202" spans="1:40" ht="15.75" thickBot="1" x14ac:dyDescent="0.3">
      <c r="A202" s="100" t="s">
        <v>24</v>
      </c>
      <c r="B202" s="96">
        <f t="shared" si="153"/>
        <v>1.0975000000000001</v>
      </c>
      <c r="C202" s="59">
        <f t="shared" si="153"/>
        <v>3.0075000000000003</v>
      </c>
      <c r="D202" s="59">
        <f t="shared" si="153"/>
        <v>5.3774999999999995</v>
      </c>
      <c r="E202" s="63">
        <f t="shared" si="153"/>
        <v>8.1074999999999999</v>
      </c>
      <c r="F202" s="96">
        <f t="shared" si="153"/>
        <v>1.5625000000000004</v>
      </c>
      <c r="G202" s="59">
        <f t="shared" si="153"/>
        <v>3.0075000000000003</v>
      </c>
      <c r="H202" s="59">
        <f t="shared" si="153"/>
        <v>5.3774999999999995</v>
      </c>
      <c r="I202" s="102">
        <f t="shared" si="153"/>
        <v>7.2150000000000016</v>
      </c>
      <c r="J202" s="96">
        <f t="shared" si="154"/>
        <v>2.5225000000000004</v>
      </c>
      <c r="K202" s="59">
        <f t="shared" si="154"/>
        <v>5.5075000000000003</v>
      </c>
      <c r="L202" s="59">
        <f t="shared" si="154"/>
        <v>7.8774999999999995</v>
      </c>
      <c r="M202" s="63">
        <f t="shared" si="154"/>
        <v>10.6075</v>
      </c>
      <c r="N202" s="96">
        <f t="shared" si="154"/>
        <v>3.2874999999999996</v>
      </c>
      <c r="O202" s="59">
        <f t="shared" si="154"/>
        <v>5.5075000000000003</v>
      </c>
      <c r="P202" s="59">
        <f t="shared" si="154"/>
        <v>7.8774999999999995</v>
      </c>
      <c r="Q202" s="102">
        <f t="shared" si="154"/>
        <v>9.7150000000000016</v>
      </c>
      <c r="R202" s="109">
        <f t="shared" si="162"/>
        <v>3.6200000000000006</v>
      </c>
      <c r="S202" s="110">
        <f t="shared" si="152"/>
        <v>8.5150000000000006</v>
      </c>
      <c r="T202" s="110">
        <f t="shared" si="152"/>
        <v>13.254999999999999</v>
      </c>
      <c r="U202" s="111">
        <f t="shared" si="152"/>
        <v>18.715</v>
      </c>
      <c r="V202" s="109">
        <f t="shared" si="152"/>
        <v>4.8499999999999996</v>
      </c>
      <c r="W202" s="110">
        <f t="shared" si="152"/>
        <v>8.5150000000000006</v>
      </c>
      <c r="X202" s="110">
        <f t="shared" si="152"/>
        <v>13.254999999999999</v>
      </c>
      <c r="Y202" s="298">
        <f t="shared" si="152"/>
        <v>16.930000000000003</v>
      </c>
      <c r="Z202" s="252">
        <f t="shared" si="155"/>
        <v>7.5360000000000014</v>
      </c>
      <c r="AA202" s="281">
        <f t="shared" si="156"/>
        <v>14.346999999999998</v>
      </c>
      <c r="AB202" s="252">
        <f t="shared" si="157"/>
        <v>7.7820000000000009</v>
      </c>
      <c r="AC202" s="282">
        <f t="shared" si="158"/>
        <v>13.989999999999998</v>
      </c>
      <c r="AD202" s="247">
        <f t="shared" si="159"/>
        <v>10.9415</v>
      </c>
      <c r="AE202" s="249">
        <f t="shared" si="160"/>
        <v>10.885999999999999</v>
      </c>
      <c r="AF202" s="283">
        <f t="shared" si="161"/>
        <v>10.91375</v>
      </c>
    </row>
    <row r="204" spans="1:40" ht="15.75" thickBot="1" x14ac:dyDescent="0.3">
      <c r="A204" t="s">
        <v>146</v>
      </c>
      <c r="AH204" s="245">
        <v>0.8</v>
      </c>
    </row>
    <row r="205" spans="1:40" ht="15.75" thickBot="1" x14ac:dyDescent="0.3">
      <c r="A205" s="213" t="s">
        <v>27</v>
      </c>
      <c r="B205" s="209" t="s">
        <v>143</v>
      </c>
      <c r="C205" s="215"/>
      <c r="D205" s="215"/>
      <c r="E205" s="215"/>
      <c r="F205" s="215"/>
      <c r="G205" s="215"/>
      <c r="H205" s="215"/>
      <c r="I205" s="216"/>
      <c r="J205" s="209" t="s">
        <v>144</v>
      </c>
      <c r="K205" s="215"/>
      <c r="L205" s="215"/>
      <c r="M205" s="215"/>
      <c r="N205" s="215"/>
      <c r="O205" s="215"/>
      <c r="P205" s="215"/>
      <c r="Q205" s="216"/>
      <c r="R205" s="209" t="s">
        <v>147</v>
      </c>
      <c r="S205" s="215"/>
      <c r="T205" s="215"/>
      <c r="U205" s="215"/>
      <c r="V205" s="215"/>
      <c r="W205" s="215"/>
      <c r="X205" s="215"/>
      <c r="Y205" s="216"/>
      <c r="Z205" s="261" t="s">
        <v>145</v>
      </c>
      <c r="AA205" s="262"/>
      <c r="AB205" s="262"/>
      <c r="AC205" s="262"/>
      <c r="AD205" s="262"/>
      <c r="AE205" s="262"/>
      <c r="AF205" s="262"/>
      <c r="AG205" s="263"/>
      <c r="AH205" s="264" t="s">
        <v>82</v>
      </c>
      <c r="AI205" s="265"/>
      <c r="AJ205" s="265"/>
      <c r="AK205" s="266"/>
      <c r="AL205" s="267" t="s">
        <v>84</v>
      </c>
      <c r="AM205" s="268"/>
      <c r="AN205" s="269" t="s">
        <v>87</v>
      </c>
    </row>
    <row r="206" spans="1:40" ht="31.5" customHeight="1" thickBot="1" x14ac:dyDescent="0.3">
      <c r="A206" s="214"/>
      <c r="B206" s="206" t="s">
        <v>3</v>
      </c>
      <c r="C206" s="207"/>
      <c r="D206" s="207"/>
      <c r="E206" s="208"/>
      <c r="F206" s="209" t="s">
        <v>4</v>
      </c>
      <c r="G206" s="207"/>
      <c r="H206" s="207"/>
      <c r="I206" s="208"/>
      <c r="J206" s="206" t="s">
        <v>3</v>
      </c>
      <c r="K206" s="207"/>
      <c r="L206" s="207"/>
      <c r="M206" s="208"/>
      <c r="N206" s="209" t="s">
        <v>4</v>
      </c>
      <c r="O206" s="207"/>
      <c r="P206" s="207"/>
      <c r="Q206" s="208"/>
      <c r="R206" s="206" t="s">
        <v>3</v>
      </c>
      <c r="S206" s="207"/>
      <c r="T206" s="207"/>
      <c r="U206" s="208"/>
      <c r="V206" s="209" t="s">
        <v>4</v>
      </c>
      <c r="W206" s="207"/>
      <c r="X206" s="207"/>
      <c r="Y206" s="208"/>
      <c r="Z206" s="261" t="s">
        <v>3</v>
      </c>
      <c r="AA206" s="262"/>
      <c r="AB206" s="262"/>
      <c r="AC206" s="263"/>
      <c r="AD206" s="261" t="s">
        <v>4</v>
      </c>
      <c r="AE206" s="262"/>
      <c r="AF206" s="262"/>
      <c r="AG206" s="263"/>
      <c r="AH206" s="270" t="s">
        <v>83</v>
      </c>
      <c r="AI206" s="271"/>
      <c r="AJ206" s="270" t="s">
        <v>5</v>
      </c>
      <c r="AK206" s="272"/>
      <c r="AL206" s="273" t="s">
        <v>85</v>
      </c>
      <c r="AM206" s="273" t="s">
        <v>86</v>
      </c>
      <c r="AN206" s="274"/>
    </row>
    <row r="207" spans="1:40" x14ac:dyDescent="0.25">
      <c r="A207" s="103" t="s">
        <v>25</v>
      </c>
      <c r="B207" s="6">
        <f>B179*$C$171</f>
        <v>1.9380000000000002</v>
      </c>
      <c r="C207" s="7">
        <f t="shared" ref="C207:I207" si="163">C179*$C$171</f>
        <v>3.78</v>
      </c>
      <c r="D207" s="7">
        <f t="shared" si="163"/>
        <v>4.7430000000000003</v>
      </c>
      <c r="E207" s="8">
        <f t="shared" si="163"/>
        <v>6.1965000000000003</v>
      </c>
      <c r="F207" s="6">
        <f t="shared" si="163"/>
        <v>2.4959999999999996</v>
      </c>
      <c r="G207" s="7">
        <f t="shared" si="163"/>
        <v>3.78</v>
      </c>
      <c r="H207" s="7">
        <f t="shared" si="163"/>
        <v>4.7430000000000003</v>
      </c>
      <c r="I207" s="101">
        <f t="shared" si="163"/>
        <v>5.7090000000000005</v>
      </c>
      <c r="J207" s="6">
        <f>J179*$C$172</f>
        <v>1.2659999999999998</v>
      </c>
      <c r="K207" s="7">
        <f t="shared" ref="K207:Q207" si="164">K179*$C$172</f>
        <v>2.9670000000000001</v>
      </c>
      <c r="L207" s="7">
        <f t="shared" si="164"/>
        <v>4.5539999999999994</v>
      </c>
      <c r="M207" s="8">
        <f t="shared" si="164"/>
        <v>6.3645000000000005</v>
      </c>
      <c r="N207" s="6">
        <f t="shared" si="164"/>
        <v>1.7024999999999997</v>
      </c>
      <c r="O207" s="7">
        <f t="shared" si="164"/>
        <v>2.9670000000000001</v>
      </c>
      <c r="P207" s="7">
        <f t="shared" si="164"/>
        <v>4.5539999999999994</v>
      </c>
      <c r="Q207" s="101">
        <f t="shared" si="164"/>
        <v>5.7690000000000001</v>
      </c>
      <c r="R207" s="237">
        <f>R179*$C$173</f>
        <v>2.0180000000000002</v>
      </c>
      <c r="S207" s="237">
        <f t="shared" ref="S207:Y207" si="165">S179*$C$173</f>
        <v>3.9659999999999997</v>
      </c>
      <c r="T207" s="237">
        <f t="shared" si="165"/>
        <v>5.4220000000000006</v>
      </c>
      <c r="U207" s="237">
        <f t="shared" si="165"/>
        <v>7.3860000000000001</v>
      </c>
      <c r="V207" s="237">
        <f t="shared" si="165"/>
        <v>2.5716000000000001</v>
      </c>
      <c r="W207" s="237">
        <f t="shared" si="165"/>
        <v>3.9659999999999997</v>
      </c>
      <c r="X207" s="237">
        <f t="shared" si="165"/>
        <v>5.4220000000000006</v>
      </c>
      <c r="Y207" s="238">
        <f t="shared" si="165"/>
        <v>6.7320000000000011</v>
      </c>
      <c r="Z207" s="239">
        <f>B207+J207+R207</f>
        <v>5.2219999999999995</v>
      </c>
      <c r="AA207" s="253">
        <f t="shared" ref="AA207:AG216" si="166">C207+K207+S207</f>
        <v>10.712999999999999</v>
      </c>
      <c r="AB207" s="253">
        <f t="shared" si="166"/>
        <v>14.719000000000001</v>
      </c>
      <c r="AC207" s="254">
        <f t="shared" si="166"/>
        <v>19.946999999999999</v>
      </c>
      <c r="AD207" s="239">
        <f t="shared" si="166"/>
        <v>6.7700999999999993</v>
      </c>
      <c r="AE207" s="253">
        <f t="shared" si="166"/>
        <v>10.712999999999999</v>
      </c>
      <c r="AF207" s="253">
        <f t="shared" si="166"/>
        <v>14.719000000000001</v>
      </c>
      <c r="AG207" s="299">
        <f t="shared" si="166"/>
        <v>18.21</v>
      </c>
      <c r="AH207" s="241">
        <f>AH$204*AA207+(1-AH$204)*Z207</f>
        <v>9.6147999999999989</v>
      </c>
      <c r="AI207" s="243">
        <f>AH$204*AB207+(1-AH$204)*AC207</f>
        <v>15.764600000000002</v>
      </c>
      <c r="AJ207" s="241">
        <f>AH$204*AE207+(1-AH$204)*AD207</f>
        <v>9.9244199999999996</v>
      </c>
      <c r="AK207" s="243">
        <f>AH$204*AF207+(1-AH$204)*AG207</f>
        <v>15.417200000000001</v>
      </c>
      <c r="AL207" s="241">
        <f>(AH207+AI207)/2</f>
        <v>12.6897</v>
      </c>
      <c r="AM207" s="243">
        <f>(AJ207+AK207)/2</f>
        <v>12.670809999999999</v>
      </c>
      <c r="AN207" s="277">
        <f>(AL207+AM207)/2</f>
        <v>12.680254999999999</v>
      </c>
    </row>
    <row r="208" spans="1:40" x14ac:dyDescent="0.25">
      <c r="A208" s="99" t="s">
        <v>14</v>
      </c>
      <c r="B208" s="4">
        <f t="shared" ref="B208:I216" si="167">B180*$C$171</f>
        <v>0.34650000000000009</v>
      </c>
      <c r="C208" s="2">
        <f t="shared" si="167"/>
        <v>1.3365</v>
      </c>
      <c r="D208" s="2">
        <f t="shared" si="167"/>
        <v>2.7224999999999997</v>
      </c>
      <c r="E208" s="5">
        <f t="shared" si="167"/>
        <v>4.2074999999999996</v>
      </c>
      <c r="F208" s="4">
        <f t="shared" si="167"/>
        <v>0.54570000000000018</v>
      </c>
      <c r="G208" s="2">
        <f t="shared" si="167"/>
        <v>1.3365</v>
      </c>
      <c r="H208" s="2">
        <f t="shared" si="167"/>
        <v>2.7224999999999997</v>
      </c>
      <c r="I208" s="95">
        <f t="shared" si="167"/>
        <v>3.729000000000001</v>
      </c>
      <c r="J208" s="4">
        <f t="shared" ref="J208:Q216" si="168">J180*$C$172</f>
        <v>0.34650000000000009</v>
      </c>
      <c r="K208" s="2">
        <f t="shared" si="168"/>
        <v>1.6665000000000001</v>
      </c>
      <c r="L208" s="2">
        <f t="shared" si="168"/>
        <v>3.3824999999999998</v>
      </c>
      <c r="M208" s="5">
        <f t="shared" si="168"/>
        <v>5.0325000000000006</v>
      </c>
      <c r="N208" s="4">
        <f t="shared" si="168"/>
        <v>0.58950000000000025</v>
      </c>
      <c r="O208" s="2">
        <f t="shared" si="168"/>
        <v>1.6665000000000001</v>
      </c>
      <c r="P208" s="2">
        <f t="shared" si="168"/>
        <v>3.3824999999999998</v>
      </c>
      <c r="Q208" s="95">
        <f t="shared" si="168"/>
        <v>4.5090000000000012</v>
      </c>
      <c r="R208" s="239">
        <f t="shared" ref="R208:Y216" si="169">R180*$C$173</f>
        <v>0.24199999999999999</v>
      </c>
      <c r="S208" s="239">
        <f t="shared" si="169"/>
        <v>1.4520000000000004</v>
      </c>
      <c r="T208" s="239">
        <f t="shared" si="169"/>
        <v>3.3000000000000003</v>
      </c>
      <c r="U208" s="239">
        <f t="shared" si="169"/>
        <v>5.16</v>
      </c>
      <c r="V208" s="239">
        <f t="shared" si="169"/>
        <v>0.41</v>
      </c>
      <c r="W208" s="239">
        <f t="shared" si="169"/>
        <v>1.4520000000000004</v>
      </c>
      <c r="X208" s="239">
        <f t="shared" si="169"/>
        <v>3.3000000000000003</v>
      </c>
      <c r="Y208" s="240">
        <f t="shared" si="169"/>
        <v>4.572000000000001</v>
      </c>
      <c r="Z208" s="255">
        <f t="shared" ref="Z208:Z216" si="170">B208+J208+R208</f>
        <v>0.93500000000000016</v>
      </c>
      <c r="AA208" s="256">
        <f t="shared" si="166"/>
        <v>4.4550000000000001</v>
      </c>
      <c r="AB208" s="256">
        <f t="shared" si="166"/>
        <v>9.4049999999999994</v>
      </c>
      <c r="AC208" s="257">
        <f t="shared" si="166"/>
        <v>14.4</v>
      </c>
      <c r="AD208" s="255">
        <f t="shared" si="166"/>
        <v>1.5452000000000004</v>
      </c>
      <c r="AE208" s="256">
        <f t="shared" si="166"/>
        <v>4.4550000000000001</v>
      </c>
      <c r="AF208" s="256">
        <f t="shared" si="166"/>
        <v>9.4049999999999994</v>
      </c>
      <c r="AG208" s="300">
        <f t="shared" si="166"/>
        <v>12.810000000000004</v>
      </c>
      <c r="AH208" s="244">
        <f t="shared" ref="AH208:AH216" si="171">AH$204*AA208+(1-AH$204)*Z208</f>
        <v>3.7509999999999999</v>
      </c>
      <c r="AI208" s="246">
        <f t="shared" ref="AI208:AI216" si="172">AH$204*AB208+(1-AH$204)*AC208</f>
        <v>10.404</v>
      </c>
      <c r="AJ208" s="244">
        <f t="shared" ref="AJ208:AJ216" si="173">AH$204*AE208+(1-AH$204)*AD208</f>
        <v>3.87304</v>
      </c>
      <c r="AK208" s="246">
        <f t="shared" ref="AK208:AK216" si="174">AH$204*AF208+(1-AH$204)*AG208</f>
        <v>10.086</v>
      </c>
      <c r="AL208" s="244">
        <f t="shared" ref="AL208:AL216" si="175">(AH208+AI208)/2</f>
        <v>7.0774999999999997</v>
      </c>
      <c r="AM208" s="246">
        <f t="shared" ref="AM208:AM216" si="176">(AJ208+AK208)/2</f>
        <v>6.9795199999999999</v>
      </c>
      <c r="AN208" s="280">
        <f t="shared" ref="AN208:AN216" si="177">(AL208+AM208)/2</f>
        <v>7.0285099999999998</v>
      </c>
    </row>
    <row r="209" spans="1:40" x14ac:dyDescent="0.25">
      <c r="A209" s="99" t="s">
        <v>15</v>
      </c>
      <c r="B209" s="4">
        <f t="shared" si="167"/>
        <v>1.2045000000000001</v>
      </c>
      <c r="C209" s="2">
        <f t="shared" si="167"/>
        <v>2.2275</v>
      </c>
      <c r="D209" s="2">
        <f t="shared" si="167"/>
        <v>3.8115000000000006</v>
      </c>
      <c r="E209" s="5">
        <f t="shared" si="167"/>
        <v>5.9894999999999996</v>
      </c>
      <c r="F209" s="4">
        <f t="shared" si="167"/>
        <v>1.524</v>
      </c>
      <c r="G209" s="2">
        <f t="shared" si="167"/>
        <v>2.2275</v>
      </c>
      <c r="H209" s="2">
        <f t="shared" si="167"/>
        <v>3.8115000000000006</v>
      </c>
      <c r="I209" s="95">
        <f t="shared" si="167"/>
        <v>5.246999999999999</v>
      </c>
      <c r="J209" s="4">
        <f t="shared" si="168"/>
        <v>2.19</v>
      </c>
      <c r="K209" s="2">
        <f t="shared" si="168"/>
        <v>3.9975000000000001</v>
      </c>
      <c r="L209" s="2">
        <f t="shared" si="168"/>
        <v>5.5184999999999995</v>
      </c>
      <c r="M209" s="5">
        <f t="shared" si="168"/>
        <v>7.593</v>
      </c>
      <c r="N209" s="4">
        <f t="shared" si="168"/>
        <v>2.7344999999999993</v>
      </c>
      <c r="O209" s="2">
        <f t="shared" si="168"/>
        <v>3.9975000000000001</v>
      </c>
      <c r="P209" s="2">
        <f t="shared" si="168"/>
        <v>5.5184999999999995</v>
      </c>
      <c r="Q209" s="95">
        <f t="shared" si="168"/>
        <v>6.8879999999999999</v>
      </c>
      <c r="R209" s="239">
        <f t="shared" si="169"/>
        <v>1.9299999999999997</v>
      </c>
      <c r="S209" s="239">
        <f t="shared" si="169"/>
        <v>3.78</v>
      </c>
      <c r="T209" s="239">
        <f t="shared" si="169"/>
        <v>5.588000000000001</v>
      </c>
      <c r="U209" s="239">
        <f t="shared" si="169"/>
        <v>8.1240000000000006</v>
      </c>
      <c r="V209" s="239">
        <f t="shared" si="169"/>
        <v>2.4999999999999996</v>
      </c>
      <c r="W209" s="239">
        <f t="shared" si="169"/>
        <v>3.78</v>
      </c>
      <c r="X209" s="239">
        <f t="shared" si="169"/>
        <v>5.588000000000001</v>
      </c>
      <c r="Y209" s="240">
        <f t="shared" si="169"/>
        <v>7.2639999999999993</v>
      </c>
      <c r="Z209" s="255">
        <f t="shared" si="170"/>
        <v>5.3244999999999996</v>
      </c>
      <c r="AA209" s="256">
        <f t="shared" si="166"/>
        <v>10.004999999999999</v>
      </c>
      <c r="AB209" s="256">
        <f t="shared" si="166"/>
        <v>14.918000000000001</v>
      </c>
      <c r="AC209" s="257">
        <f t="shared" si="166"/>
        <v>21.706499999999998</v>
      </c>
      <c r="AD209" s="255">
        <f t="shared" si="166"/>
        <v>6.7584999999999997</v>
      </c>
      <c r="AE209" s="256">
        <f t="shared" si="166"/>
        <v>10.004999999999999</v>
      </c>
      <c r="AF209" s="256">
        <f t="shared" si="166"/>
        <v>14.918000000000001</v>
      </c>
      <c r="AG209" s="300">
        <f t="shared" si="166"/>
        <v>19.398999999999997</v>
      </c>
      <c r="AH209" s="244">
        <f t="shared" si="171"/>
        <v>9.0688999999999993</v>
      </c>
      <c r="AI209" s="246">
        <f t="shared" si="172"/>
        <v>16.275700000000001</v>
      </c>
      <c r="AJ209" s="244">
        <f t="shared" si="173"/>
        <v>9.3556999999999988</v>
      </c>
      <c r="AK209" s="246">
        <f t="shared" si="174"/>
        <v>15.8142</v>
      </c>
      <c r="AL209" s="244">
        <f t="shared" si="175"/>
        <v>12.6723</v>
      </c>
      <c r="AM209" s="246">
        <f t="shared" si="176"/>
        <v>12.584949999999999</v>
      </c>
      <c r="AN209" s="280">
        <f t="shared" si="177"/>
        <v>12.628625</v>
      </c>
    </row>
    <row r="210" spans="1:40" x14ac:dyDescent="0.25">
      <c r="A210" s="99" t="s">
        <v>16</v>
      </c>
      <c r="B210" s="4">
        <f t="shared" si="167"/>
        <v>1.6950000000000003</v>
      </c>
      <c r="C210" s="2">
        <f t="shared" si="167"/>
        <v>3.1724999999999999</v>
      </c>
      <c r="D210" s="2">
        <f t="shared" si="167"/>
        <v>4.3635000000000002</v>
      </c>
      <c r="E210" s="5">
        <f t="shared" si="167"/>
        <v>6.0929999999999991</v>
      </c>
      <c r="F210" s="4">
        <f t="shared" si="167"/>
        <v>2.145</v>
      </c>
      <c r="G210" s="2">
        <f t="shared" si="167"/>
        <v>3.1724999999999999</v>
      </c>
      <c r="H210" s="2">
        <f t="shared" si="167"/>
        <v>4.3635000000000002</v>
      </c>
      <c r="I210" s="95">
        <f t="shared" si="167"/>
        <v>5.508</v>
      </c>
      <c r="J210" s="4">
        <f t="shared" si="168"/>
        <v>1.8435000000000001</v>
      </c>
      <c r="K210" s="2">
        <f t="shared" si="168"/>
        <v>3.5520000000000005</v>
      </c>
      <c r="L210" s="2">
        <f t="shared" si="168"/>
        <v>4.9739999999999993</v>
      </c>
      <c r="M210" s="5">
        <f t="shared" si="168"/>
        <v>6.7020000000000008</v>
      </c>
      <c r="N210" s="4">
        <f t="shared" si="168"/>
        <v>2.2799999999999994</v>
      </c>
      <c r="O210" s="2">
        <f t="shared" si="168"/>
        <v>3.5520000000000005</v>
      </c>
      <c r="P210" s="2">
        <f t="shared" si="168"/>
        <v>4.9739999999999993</v>
      </c>
      <c r="Q210" s="95">
        <f t="shared" si="168"/>
        <v>6.1289999999999996</v>
      </c>
      <c r="R210" s="6">
        <f t="shared" si="169"/>
        <v>0.87800000000000011</v>
      </c>
      <c r="S210" s="6">
        <f t="shared" si="169"/>
        <v>2.4060000000000001</v>
      </c>
      <c r="T210" s="6">
        <f t="shared" si="169"/>
        <v>4.3020000000000005</v>
      </c>
      <c r="U210" s="6">
        <f t="shared" si="169"/>
        <v>6.4860000000000015</v>
      </c>
      <c r="V210" s="6">
        <f t="shared" si="169"/>
        <v>1.2500000000000004</v>
      </c>
      <c r="W210" s="6">
        <f t="shared" si="169"/>
        <v>2.4060000000000001</v>
      </c>
      <c r="X210" s="6">
        <f t="shared" si="169"/>
        <v>4.3020000000000005</v>
      </c>
      <c r="Y210" s="240">
        <f t="shared" si="169"/>
        <v>5.772000000000002</v>
      </c>
      <c r="Z210" s="255">
        <f t="shared" si="170"/>
        <v>4.416500000000001</v>
      </c>
      <c r="AA210" s="256">
        <f t="shared" si="166"/>
        <v>9.1305000000000014</v>
      </c>
      <c r="AB210" s="256">
        <f t="shared" si="166"/>
        <v>13.639499999999998</v>
      </c>
      <c r="AC210" s="257">
        <f t="shared" si="166"/>
        <v>19.281000000000002</v>
      </c>
      <c r="AD210" s="255">
        <f t="shared" si="166"/>
        <v>5.6749999999999989</v>
      </c>
      <c r="AE210" s="256">
        <f t="shared" si="166"/>
        <v>9.1305000000000014</v>
      </c>
      <c r="AF210" s="256">
        <f t="shared" si="166"/>
        <v>13.639499999999998</v>
      </c>
      <c r="AG210" s="300">
        <f t="shared" si="166"/>
        <v>17.409000000000002</v>
      </c>
      <c r="AH210" s="244">
        <f t="shared" si="171"/>
        <v>8.1877000000000013</v>
      </c>
      <c r="AI210" s="246">
        <f t="shared" si="172"/>
        <v>14.767799999999999</v>
      </c>
      <c r="AJ210" s="244">
        <f t="shared" si="173"/>
        <v>8.4394000000000009</v>
      </c>
      <c r="AK210" s="246">
        <f t="shared" si="174"/>
        <v>14.3934</v>
      </c>
      <c r="AL210" s="244">
        <f t="shared" si="175"/>
        <v>11.47775</v>
      </c>
      <c r="AM210" s="246">
        <f t="shared" si="176"/>
        <v>11.416399999999999</v>
      </c>
      <c r="AN210" s="280">
        <f t="shared" si="177"/>
        <v>11.447075</v>
      </c>
    </row>
    <row r="211" spans="1:40" x14ac:dyDescent="0.25">
      <c r="A211" s="99" t="s">
        <v>18</v>
      </c>
      <c r="B211" s="4">
        <f t="shared" si="167"/>
        <v>1.335</v>
      </c>
      <c r="C211" s="2">
        <f t="shared" si="167"/>
        <v>2.4975000000000001</v>
      </c>
      <c r="D211" s="2">
        <f t="shared" si="167"/>
        <v>4.0184999999999995</v>
      </c>
      <c r="E211" s="5">
        <f t="shared" si="167"/>
        <v>6.0930000000000009</v>
      </c>
      <c r="F211" s="4">
        <f t="shared" si="167"/>
        <v>1.6995000000000002</v>
      </c>
      <c r="G211" s="2">
        <f t="shared" si="167"/>
        <v>2.4975000000000001</v>
      </c>
      <c r="H211" s="2">
        <f t="shared" si="167"/>
        <v>4.0184999999999995</v>
      </c>
      <c r="I211" s="95">
        <f t="shared" si="167"/>
        <v>5.3879999999999999</v>
      </c>
      <c r="J211" s="4">
        <f t="shared" si="168"/>
        <v>2.19</v>
      </c>
      <c r="K211" s="2">
        <f t="shared" si="168"/>
        <v>3.9975000000000001</v>
      </c>
      <c r="L211" s="2">
        <f t="shared" si="168"/>
        <v>5.5184999999999995</v>
      </c>
      <c r="M211" s="5">
        <f t="shared" si="168"/>
        <v>7.593</v>
      </c>
      <c r="N211" s="4">
        <f t="shared" si="168"/>
        <v>2.7344999999999993</v>
      </c>
      <c r="O211" s="2">
        <f t="shared" si="168"/>
        <v>3.9975000000000001</v>
      </c>
      <c r="P211" s="2">
        <f t="shared" si="168"/>
        <v>5.5184999999999995</v>
      </c>
      <c r="Q211" s="95">
        <f t="shared" si="168"/>
        <v>6.8879999999999999</v>
      </c>
      <c r="R211" s="6">
        <f t="shared" si="169"/>
        <v>1.028</v>
      </c>
      <c r="S211" s="6">
        <f t="shared" si="169"/>
        <v>2.8559999999999999</v>
      </c>
      <c r="T211" s="6">
        <f t="shared" si="169"/>
        <v>4.532</v>
      </c>
      <c r="U211" s="6">
        <f t="shared" si="169"/>
        <v>6.4860000000000007</v>
      </c>
      <c r="V211" s="6">
        <f t="shared" si="169"/>
        <v>1.4839999999999998</v>
      </c>
      <c r="W211" s="6">
        <f t="shared" si="169"/>
        <v>2.8559999999999999</v>
      </c>
      <c r="X211" s="6">
        <f t="shared" si="169"/>
        <v>4.532</v>
      </c>
      <c r="Y211" s="240">
        <f t="shared" si="169"/>
        <v>5.8520000000000003</v>
      </c>
      <c r="Z211" s="255">
        <f t="shared" si="170"/>
        <v>4.5529999999999999</v>
      </c>
      <c r="AA211" s="256">
        <f t="shared" si="166"/>
        <v>9.3509999999999991</v>
      </c>
      <c r="AB211" s="256">
        <f t="shared" si="166"/>
        <v>14.068999999999999</v>
      </c>
      <c r="AC211" s="257">
        <f t="shared" si="166"/>
        <v>20.172000000000001</v>
      </c>
      <c r="AD211" s="255">
        <f t="shared" si="166"/>
        <v>5.9179999999999993</v>
      </c>
      <c r="AE211" s="256">
        <f t="shared" si="166"/>
        <v>9.3509999999999991</v>
      </c>
      <c r="AF211" s="256">
        <f t="shared" si="166"/>
        <v>14.068999999999999</v>
      </c>
      <c r="AG211" s="300">
        <f t="shared" si="166"/>
        <v>18.128</v>
      </c>
      <c r="AH211" s="244">
        <f t="shared" si="171"/>
        <v>8.3913999999999991</v>
      </c>
      <c r="AI211" s="246">
        <f t="shared" si="172"/>
        <v>15.2896</v>
      </c>
      <c r="AJ211" s="244">
        <f t="shared" si="173"/>
        <v>8.6643999999999988</v>
      </c>
      <c r="AK211" s="246">
        <f t="shared" si="174"/>
        <v>14.880799999999999</v>
      </c>
      <c r="AL211" s="244">
        <f t="shared" si="175"/>
        <v>11.840499999999999</v>
      </c>
      <c r="AM211" s="246">
        <f t="shared" si="176"/>
        <v>11.772599999999999</v>
      </c>
      <c r="AN211" s="280">
        <f t="shared" si="177"/>
        <v>11.806549999999998</v>
      </c>
    </row>
    <row r="212" spans="1:40" x14ac:dyDescent="0.25">
      <c r="A212" s="99" t="s">
        <v>19</v>
      </c>
      <c r="B212" s="4">
        <f t="shared" si="167"/>
        <v>1.3485000000000003</v>
      </c>
      <c r="C212" s="2">
        <f t="shared" si="167"/>
        <v>2.7269999999999999</v>
      </c>
      <c r="D212" s="2">
        <f t="shared" si="167"/>
        <v>3.819</v>
      </c>
      <c r="E212" s="5">
        <f t="shared" si="167"/>
        <v>5.202</v>
      </c>
      <c r="F212" s="4">
        <f t="shared" si="167"/>
        <v>1.6904999999999997</v>
      </c>
      <c r="G212" s="2">
        <f t="shared" si="167"/>
        <v>2.7269999999999999</v>
      </c>
      <c r="H212" s="2">
        <f t="shared" si="167"/>
        <v>3.819</v>
      </c>
      <c r="I212" s="95">
        <f t="shared" si="167"/>
        <v>4.7489999999999997</v>
      </c>
      <c r="J212" s="4">
        <f t="shared" si="168"/>
        <v>1.8435000000000001</v>
      </c>
      <c r="K212" s="2">
        <f t="shared" si="168"/>
        <v>3.5520000000000005</v>
      </c>
      <c r="L212" s="2">
        <f t="shared" si="168"/>
        <v>4.9739999999999993</v>
      </c>
      <c r="M212" s="5">
        <f t="shared" si="168"/>
        <v>6.7020000000000008</v>
      </c>
      <c r="N212" s="4">
        <f t="shared" si="168"/>
        <v>2.2799999999999994</v>
      </c>
      <c r="O212" s="2">
        <f t="shared" si="168"/>
        <v>3.5520000000000005</v>
      </c>
      <c r="P212" s="2">
        <f t="shared" si="168"/>
        <v>4.9739999999999993</v>
      </c>
      <c r="Q212" s="95">
        <f t="shared" si="168"/>
        <v>6.1289999999999996</v>
      </c>
      <c r="R212" s="6">
        <f t="shared" si="169"/>
        <v>0.46200000000000013</v>
      </c>
      <c r="S212" s="6">
        <f t="shared" si="169"/>
        <v>1.782</v>
      </c>
      <c r="T212" s="6">
        <f t="shared" si="169"/>
        <v>3.6300000000000008</v>
      </c>
      <c r="U212" s="6">
        <f t="shared" si="169"/>
        <v>5.61</v>
      </c>
      <c r="V212" s="6">
        <f t="shared" si="169"/>
        <v>0.72760000000000036</v>
      </c>
      <c r="W212" s="6">
        <f t="shared" si="169"/>
        <v>1.782</v>
      </c>
      <c r="X212" s="6">
        <f t="shared" si="169"/>
        <v>3.6300000000000008</v>
      </c>
      <c r="Y212" s="240">
        <f t="shared" si="169"/>
        <v>4.9720000000000013</v>
      </c>
      <c r="Z212" s="255">
        <f t="shared" si="170"/>
        <v>3.6540000000000004</v>
      </c>
      <c r="AA212" s="256">
        <f t="shared" si="166"/>
        <v>8.0609999999999999</v>
      </c>
      <c r="AB212" s="256">
        <f t="shared" si="166"/>
        <v>12.423</v>
      </c>
      <c r="AC212" s="257">
        <f t="shared" si="166"/>
        <v>17.513999999999999</v>
      </c>
      <c r="AD212" s="255">
        <f t="shared" si="166"/>
        <v>4.6980999999999993</v>
      </c>
      <c r="AE212" s="256">
        <f t="shared" si="166"/>
        <v>8.0609999999999999</v>
      </c>
      <c r="AF212" s="256">
        <f t="shared" si="166"/>
        <v>12.423</v>
      </c>
      <c r="AG212" s="300">
        <f t="shared" si="166"/>
        <v>15.850000000000001</v>
      </c>
      <c r="AH212" s="244">
        <f t="shared" si="171"/>
        <v>7.1796000000000006</v>
      </c>
      <c r="AI212" s="246">
        <f t="shared" si="172"/>
        <v>13.4412</v>
      </c>
      <c r="AJ212" s="244">
        <f t="shared" si="173"/>
        <v>7.38842</v>
      </c>
      <c r="AK212" s="246">
        <f t="shared" si="174"/>
        <v>13.108400000000001</v>
      </c>
      <c r="AL212" s="244">
        <f t="shared" si="175"/>
        <v>10.310400000000001</v>
      </c>
      <c r="AM212" s="246">
        <f t="shared" si="176"/>
        <v>10.24841</v>
      </c>
      <c r="AN212" s="280">
        <f t="shared" si="177"/>
        <v>10.279405000000001</v>
      </c>
    </row>
    <row r="213" spans="1:40" x14ac:dyDescent="0.25">
      <c r="A213" s="99" t="s">
        <v>20</v>
      </c>
      <c r="B213" s="4">
        <f t="shared" si="167"/>
        <v>1.3485000000000003</v>
      </c>
      <c r="C213" s="2">
        <f t="shared" si="167"/>
        <v>2.7269999999999999</v>
      </c>
      <c r="D213" s="2">
        <f t="shared" si="167"/>
        <v>3.819</v>
      </c>
      <c r="E213" s="5">
        <f t="shared" si="167"/>
        <v>5.202</v>
      </c>
      <c r="F213" s="4">
        <f t="shared" si="167"/>
        <v>1.6904999999999997</v>
      </c>
      <c r="G213" s="2">
        <f t="shared" si="167"/>
        <v>2.7269999999999999</v>
      </c>
      <c r="H213" s="2">
        <f t="shared" si="167"/>
        <v>3.819</v>
      </c>
      <c r="I213" s="95">
        <f t="shared" si="167"/>
        <v>4.7489999999999997</v>
      </c>
      <c r="J213" s="4">
        <f t="shared" si="168"/>
        <v>1.8435000000000001</v>
      </c>
      <c r="K213" s="2">
        <f t="shared" si="168"/>
        <v>3.5520000000000005</v>
      </c>
      <c r="L213" s="2">
        <f t="shared" si="168"/>
        <v>4.9739999999999993</v>
      </c>
      <c r="M213" s="5">
        <f t="shared" si="168"/>
        <v>6.7020000000000008</v>
      </c>
      <c r="N213" s="4">
        <f t="shared" si="168"/>
        <v>2.2799999999999994</v>
      </c>
      <c r="O213" s="2">
        <f t="shared" si="168"/>
        <v>3.5520000000000005</v>
      </c>
      <c r="P213" s="2">
        <f t="shared" si="168"/>
        <v>4.9739999999999993</v>
      </c>
      <c r="Q213" s="95">
        <f t="shared" si="168"/>
        <v>6.1289999999999996</v>
      </c>
      <c r="R213" s="6">
        <f t="shared" si="169"/>
        <v>0.87800000000000011</v>
      </c>
      <c r="S213" s="6">
        <f t="shared" si="169"/>
        <v>2.4060000000000001</v>
      </c>
      <c r="T213" s="6">
        <f t="shared" si="169"/>
        <v>4.3020000000000005</v>
      </c>
      <c r="U213" s="6">
        <f t="shared" si="169"/>
        <v>6.4860000000000015</v>
      </c>
      <c r="V213" s="6">
        <f t="shared" si="169"/>
        <v>1.2500000000000004</v>
      </c>
      <c r="W213" s="6">
        <f t="shared" si="169"/>
        <v>2.4060000000000001</v>
      </c>
      <c r="X213" s="6">
        <f t="shared" si="169"/>
        <v>4.3020000000000005</v>
      </c>
      <c r="Y213" s="240">
        <f t="shared" si="169"/>
        <v>5.772000000000002</v>
      </c>
      <c r="Z213" s="255">
        <f t="shared" si="170"/>
        <v>4.07</v>
      </c>
      <c r="AA213" s="256">
        <f t="shared" si="166"/>
        <v>8.6850000000000005</v>
      </c>
      <c r="AB213" s="256">
        <f t="shared" si="166"/>
        <v>13.094999999999999</v>
      </c>
      <c r="AC213" s="257">
        <f t="shared" si="166"/>
        <v>18.39</v>
      </c>
      <c r="AD213" s="255">
        <f t="shared" si="166"/>
        <v>5.2204999999999995</v>
      </c>
      <c r="AE213" s="256">
        <f t="shared" si="166"/>
        <v>8.6850000000000005</v>
      </c>
      <c r="AF213" s="256">
        <f t="shared" si="166"/>
        <v>13.094999999999999</v>
      </c>
      <c r="AG213" s="300">
        <f t="shared" si="166"/>
        <v>16.650000000000002</v>
      </c>
      <c r="AH213" s="244">
        <f t="shared" si="171"/>
        <v>7.7620000000000005</v>
      </c>
      <c r="AI213" s="246">
        <f t="shared" si="172"/>
        <v>14.153999999999998</v>
      </c>
      <c r="AJ213" s="244">
        <f t="shared" si="173"/>
        <v>7.9920999999999998</v>
      </c>
      <c r="AK213" s="246">
        <f t="shared" si="174"/>
        <v>13.805999999999999</v>
      </c>
      <c r="AL213" s="244">
        <f t="shared" si="175"/>
        <v>10.957999999999998</v>
      </c>
      <c r="AM213" s="246">
        <f t="shared" si="176"/>
        <v>10.899049999999999</v>
      </c>
      <c r="AN213" s="280">
        <f t="shared" si="177"/>
        <v>10.928524999999999</v>
      </c>
    </row>
    <row r="214" spans="1:40" x14ac:dyDescent="0.25">
      <c r="A214" s="99" t="s">
        <v>21</v>
      </c>
      <c r="B214" s="4">
        <f t="shared" si="167"/>
        <v>1.5779999999999998</v>
      </c>
      <c r="C214" s="2">
        <f t="shared" si="167"/>
        <v>3.1050000000000004</v>
      </c>
      <c r="D214" s="2">
        <f t="shared" si="167"/>
        <v>4.3979999999999997</v>
      </c>
      <c r="E214" s="5">
        <f t="shared" si="167"/>
        <v>6.1965000000000003</v>
      </c>
      <c r="F214" s="4">
        <f t="shared" si="167"/>
        <v>2.0504999999999995</v>
      </c>
      <c r="G214" s="2">
        <f t="shared" si="167"/>
        <v>3.1050000000000004</v>
      </c>
      <c r="H214" s="2">
        <f t="shared" si="167"/>
        <v>4.3979999999999997</v>
      </c>
      <c r="I214" s="95">
        <f t="shared" si="167"/>
        <v>5.5889999999999995</v>
      </c>
      <c r="J214" s="4">
        <f t="shared" si="168"/>
        <v>1.2659999999999998</v>
      </c>
      <c r="K214" s="2">
        <f t="shared" si="168"/>
        <v>2.9670000000000001</v>
      </c>
      <c r="L214" s="2">
        <f t="shared" si="168"/>
        <v>4.5539999999999994</v>
      </c>
      <c r="M214" s="5">
        <f t="shared" si="168"/>
        <v>6.3645000000000005</v>
      </c>
      <c r="N214" s="4">
        <f t="shared" si="168"/>
        <v>1.7024999999999997</v>
      </c>
      <c r="O214" s="2">
        <f t="shared" si="168"/>
        <v>2.9670000000000001</v>
      </c>
      <c r="P214" s="2">
        <f t="shared" si="168"/>
        <v>4.5539999999999994</v>
      </c>
      <c r="Q214" s="95">
        <f t="shared" si="168"/>
        <v>5.7690000000000001</v>
      </c>
      <c r="R214" s="6">
        <f t="shared" si="169"/>
        <v>1.7980000000000005</v>
      </c>
      <c r="S214" s="6">
        <f t="shared" si="169"/>
        <v>3.6360000000000001</v>
      </c>
      <c r="T214" s="6">
        <f t="shared" si="169"/>
        <v>5.0920000000000005</v>
      </c>
      <c r="U214" s="6">
        <f t="shared" si="169"/>
        <v>6.9359999999999999</v>
      </c>
      <c r="V214" s="6">
        <f t="shared" si="169"/>
        <v>2.2539999999999996</v>
      </c>
      <c r="W214" s="6">
        <f t="shared" si="169"/>
        <v>3.6360000000000001</v>
      </c>
      <c r="X214" s="6">
        <f t="shared" si="169"/>
        <v>5.0920000000000005</v>
      </c>
      <c r="Y214" s="240">
        <f t="shared" si="169"/>
        <v>6.3320000000000007</v>
      </c>
      <c r="Z214" s="255">
        <f t="shared" si="170"/>
        <v>4.6419999999999995</v>
      </c>
      <c r="AA214" s="256">
        <f t="shared" si="166"/>
        <v>9.708000000000002</v>
      </c>
      <c r="AB214" s="256">
        <f t="shared" si="166"/>
        <v>14.043999999999999</v>
      </c>
      <c r="AC214" s="257">
        <f t="shared" si="166"/>
        <v>19.497</v>
      </c>
      <c r="AD214" s="255">
        <f t="shared" si="166"/>
        <v>6.0069999999999988</v>
      </c>
      <c r="AE214" s="256">
        <f t="shared" si="166"/>
        <v>9.708000000000002</v>
      </c>
      <c r="AF214" s="256">
        <f t="shared" si="166"/>
        <v>14.043999999999999</v>
      </c>
      <c r="AG214" s="300">
        <f t="shared" si="166"/>
        <v>17.690000000000001</v>
      </c>
      <c r="AH214" s="244">
        <f t="shared" si="171"/>
        <v>8.6948000000000008</v>
      </c>
      <c r="AI214" s="246">
        <f t="shared" si="172"/>
        <v>15.134599999999999</v>
      </c>
      <c r="AJ214" s="244">
        <f t="shared" si="173"/>
        <v>8.9678000000000004</v>
      </c>
      <c r="AK214" s="246">
        <f t="shared" si="174"/>
        <v>14.773199999999999</v>
      </c>
      <c r="AL214" s="244">
        <f t="shared" si="175"/>
        <v>11.9147</v>
      </c>
      <c r="AM214" s="246">
        <f t="shared" si="176"/>
        <v>11.8705</v>
      </c>
      <c r="AN214" s="280">
        <f t="shared" si="177"/>
        <v>11.8926</v>
      </c>
    </row>
    <row r="215" spans="1:40" x14ac:dyDescent="0.25">
      <c r="A215" s="99" t="s">
        <v>23</v>
      </c>
      <c r="B215" s="4">
        <f t="shared" si="167"/>
        <v>1.335</v>
      </c>
      <c r="C215" s="2">
        <f t="shared" si="167"/>
        <v>2.4975000000000001</v>
      </c>
      <c r="D215" s="2">
        <f t="shared" si="167"/>
        <v>4.0184999999999995</v>
      </c>
      <c r="E215" s="5">
        <f t="shared" si="167"/>
        <v>6.0930000000000009</v>
      </c>
      <c r="F215" s="4">
        <f t="shared" si="167"/>
        <v>1.6995000000000002</v>
      </c>
      <c r="G215" s="2">
        <f t="shared" si="167"/>
        <v>2.4975000000000001</v>
      </c>
      <c r="H215" s="2">
        <f t="shared" si="167"/>
        <v>4.0184999999999995</v>
      </c>
      <c r="I215" s="95">
        <f t="shared" si="167"/>
        <v>5.3879999999999999</v>
      </c>
      <c r="J215" s="4">
        <f t="shared" si="168"/>
        <v>1.5135000000000003</v>
      </c>
      <c r="K215" s="2">
        <f t="shared" si="168"/>
        <v>3.3045</v>
      </c>
      <c r="L215" s="2">
        <f t="shared" si="168"/>
        <v>4.7264999999999997</v>
      </c>
      <c r="M215" s="5">
        <f t="shared" si="168"/>
        <v>6.3644999999999996</v>
      </c>
      <c r="N215" s="4">
        <f t="shared" si="168"/>
        <v>1.9724999999999997</v>
      </c>
      <c r="O215" s="2">
        <f t="shared" si="168"/>
        <v>3.3045</v>
      </c>
      <c r="P215" s="2">
        <f t="shared" si="168"/>
        <v>4.7264999999999997</v>
      </c>
      <c r="Q215" s="95">
        <f t="shared" si="168"/>
        <v>5.8290000000000006</v>
      </c>
      <c r="R215" s="6">
        <f t="shared" si="169"/>
        <v>1.028</v>
      </c>
      <c r="S215" s="6">
        <f t="shared" si="169"/>
        <v>2.8559999999999999</v>
      </c>
      <c r="T215" s="6">
        <f t="shared" si="169"/>
        <v>4.532</v>
      </c>
      <c r="U215" s="6">
        <f t="shared" si="169"/>
        <v>6.4860000000000007</v>
      </c>
      <c r="V215" s="6">
        <f t="shared" si="169"/>
        <v>1.4839999999999998</v>
      </c>
      <c r="W215" s="6">
        <f t="shared" si="169"/>
        <v>2.8559999999999999</v>
      </c>
      <c r="X215" s="6">
        <f t="shared" si="169"/>
        <v>4.532</v>
      </c>
      <c r="Y215" s="240">
        <f t="shared" si="169"/>
        <v>5.8520000000000003</v>
      </c>
      <c r="Z215" s="255">
        <f t="shared" si="170"/>
        <v>3.8765000000000005</v>
      </c>
      <c r="AA215" s="256">
        <f t="shared" si="166"/>
        <v>8.6579999999999995</v>
      </c>
      <c r="AB215" s="256">
        <f t="shared" si="166"/>
        <v>13.276999999999999</v>
      </c>
      <c r="AC215" s="257">
        <f t="shared" si="166"/>
        <v>18.9435</v>
      </c>
      <c r="AD215" s="255">
        <f t="shared" si="166"/>
        <v>5.1559999999999997</v>
      </c>
      <c r="AE215" s="256">
        <f t="shared" si="166"/>
        <v>8.6579999999999995</v>
      </c>
      <c r="AF215" s="256">
        <f t="shared" si="166"/>
        <v>13.276999999999999</v>
      </c>
      <c r="AG215" s="300">
        <f t="shared" si="166"/>
        <v>17.069000000000003</v>
      </c>
      <c r="AH215" s="244">
        <f t="shared" si="171"/>
        <v>7.7016999999999998</v>
      </c>
      <c r="AI215" s="246">
        <f t="shared" si="172"/>
        <v>14.410299999999999</v>
      </c>
      <c r="AJ215" s="244">
        <f t="shared" si="173"/>
        <v>7.9575999999999993</v>
      </c>
      <c r="AK215" s="246">
        <f t="shared" si="174"/>
        <v>14.035400000000001</v>
      </c>
      <c r="AL215" s="244">
        <f t="shared" si="175"/>
        <v>11.055999999999999</v>
      </c>
      <c r="AM215" s="246">
        <f t="shared" si="176"/>
        <v>10.996500000000001</v>
      </c>
      <c r="AN215" s="280">
        <f t="shared" si="177"/>
        <v>11.026250000000001</v>
      </c>
    </row>
    <row r="216" spans="1:40" ht="15.75" thickBot="1" x14ac:dyDescent="0.3">
      <c r="A216" s="100" t="s">
        <v>24</v>
      </c>
      <c r="B216" s="96">
        <f t="shared" si="167"/>
        <v>0.65850000000000009</v>
      </c>
      <c r="C216" s="59">
        <f t="shared" si="167"/>
        <v>1.8045</v>
      </c>
      <c r="D216" s="59">
        <f t="shared" si="167"/>
        <v>3.2264999999999997</v>
      </c>
      <c r="E216" s="63">
        <f t="shared" si="167"/>
        <v>4.8644999999999996</v>
      </c>
      <c r="F216" s="96">
        <f t="shared" si="167"/>
        <v>0.93750000000000022</v>
      </c>
      <c r="G216" s="59">
        <f t="shared" si="167"/>
        <v>1.8045</v>
      </c>
      <c r="H216" s="59">
        <f t="shared" si="167"/>
        <v>3.2264999999999997</v>
      </c>
      <c r="I216" s="102">
        <f t="shared" si="167"/>
        <v>4.3290000000000006</v>
      </c>
      <c r="J216" s="96">
        <f t="shared" si="168"/>
        <v>1.5135000000000003</v>
      </c>
      <c r="K216" s="59">
        <f t="shared" si="168"/>
        <v>3.3045</v>
      </c>
      <c r="L216" s="59">
        <f t="shared" si="168"/>
        <v>4.7264999999999997</v>
      </c>
      <c r="M216" s="63">
        <f t="shared" si="168"/>
        <v>6.3644999999999996</v>
      </c>
      <c r="N216" s="96">
        <f t="shared" si="168"/>
        <v>1.9724999999999997</v>
      </c>
      <c r="O216" s="59">
        <f t="shared" si="168"/>
        <v>3.3045</v>
      </c>
      <c r="P216" s="59">
        <f t="shared" si="168"/>
        <v>4.7264999999999997</v>
      </c>
      <c r="Q216" s="102">
        <f t="shared" si="168"/>
        <v>5.8290000000000006</v>
      </c>
      <c r="R216" s="109">
        <f t="shared" si="169"/>
        <v>1.6879999999999999</v>
      </c>
      <c r="S216" s="109">
        <f t="shared" si="169"/>
        <v>3.5160000000000005</v>
      </c>
      <c r="T216" s="109">
        <f t="shared" si="169"/>
        <v>5.1920000000000002</v>
      </c>
      <c r="U216" s="109">
        <f t="shared" si="169"/>
        <v>7.3860000000000001</v>
      </c>
      <c r="V216" s="109">
        <f t="shared" si="169"/>
        <v>2.2115999999999993</v>
      </c>
      <c r="W216" s="109">
        <f t="shared" si="169"/>
        <v>3.5160000000000005</v>
      </c>
      <c r="X216" s="109">
        <f t="shared" si="169"/>
        <v>5.1920000000000002</v>
      </c>
      <c r="Y216" s="283">
        <f t="shared" si="169"/>
        <v>6.6520000000000001</v>
      </c>
      <c r="Z216" s="258">
        <f t="shared" si="170"/>
        <v>3.8600000000000003</v>
      </c>
      <c r="AA216" s="259">
        <f t="shared" si="166"/>
        <v>8.625</v>
      </c>
      <c r="AB216" s="259">
        <f t="shared" si="166"/>
        <v>13.145</v>
      </c>
      <c r="AC216" s="260">
        <f t="shared" si="166"/>
        <v>18.614999999999998</v>
      </c>
      <c r="AD216" s="258">
        <f t="shared" si="166"/>
        <v>5.121599999999999</v>
      </c>
      <c r="AE216" s="259">
        <f t="shared" si="166"/>
        <v>8.625</v>
      </c>
      <c r="AF216" s="259">
        <f t="shared" si="166"/>
        <v>13.145</v>
      </c>
      <c r="AG216" s="301">
        <f t="shared" si="166"/>
        <v>16.810000000000002</v>
      </c>
      <c r="AH216" s="247">
        <f t="shared" si="171"/>
        <v>7.6720000000000006</v>
      </c>
      <c r="AI216" s="249">
        <f t="shared" si="172"/>
        <v>14.238999999999999</v>
      </c>
      <c r="AJ216" s="247">
        <f t="shared" si="173"/>
        <v>7.9243199999999998</v>
      </c>
      <c r="AK216" s="249">
        <f t="shared" si="174"/>
        <v>13.878</v>
      </c>
      <c r="AL216" s="247">
        <f t="shared" si="175"/>
        <v>10.955500000000001</v>
      </c>
      <c r="AM216" s="249">
        <f t="shared" si="176"/>
        <v>10.901160000000001</v>
      </c>
      <c r="AN216" s="283">
        <f t="shared" si="177"/>
        <v>10.928330000000001</v>
      </c>
    </row>
  </sheetData>
  <mergeCells count="146">
    <mergeCell ref="A3:E3"/>
    <mergeCell ref="A9:A10"/>
    <mergeCell ref="B9:B10"/>
    <mergeCell ref="C9:C10"/>
    <mergeCell ref="D9:F9"/>
    <mergeCell ref="G9:I9"/>
    <mergeCell ref="AY9:BF9"/>
    <mergeCell ref="BG9:BN9"/>
    <mergeCell ref="BO9:BR9"/>
    <mergeCell ref="J9:J10"/>
    <mergeCell ref="BS9:BT9"/>
    <mergeCell ref="BU9:BU10"/>
    <mergeCell ref="K10:N10"/>
    <mergeCell ref="O10:R10"/>
    <mergeCell ref="S10:V10"/>
    <mergeCell ref="W10:Z10"/>
    <mergeCell ref="AA10:AD10"/>
    <mergeCell ref="K9:R9"/>
    <mergeCell ref="S9:Z9"/>
    <mergeCell ref="AA9:AH9"/>
    <mergeCell ref="AI9:AP9"/>
    <mergeCell ref="AQ9:AX9"/>
    <mergeCell ref="AE10:AH10"/>
    <mergeCell ref="AI10:AL10"/>
    <mergeCell ref="AM10:AP10"/>
    <mergeCell ref="AQ10:AT10"/>
    <mergeCell ref="BQ10:BR10"/>
    <mergeCell ref="AU10:AX10"/>
    <mergeCell ref="AY10:BB10"/>
    <mergeCell ref="BC10:BF10"/>
    <mergeCell ref="BG10:BJ10"/>
    <mergeCell ref="BK10:BN10"/>
    <mergeCell ref="BO10:BP10"/>
    <mergeCell ref="E37:L37"/>
    <mergeCell ref="E43:L43"/>
    <mergeCell ref="A61:A62"/>
    <mergeCell ref="B61:B62"/>
    <mergeCell ref="C61:C62"/>
    <mergeCell ref="D61:F61"/>
    <mergeCell ref="G61:I61"/>
    <mergeCell ref="J61:J62"/>
    <mergeCell ref="K61:R61"/>
    <mergeCell ref="BO61:BR61"/>
    <mergeCell ref="BS61:BT61"/>
    <mergeCell ref="BU61:BU62"/>
    <mergeCell ref="K62:N62"/>
    <mergeCell ref="O62:R62"/>
    <mergeCell ref="S62:V62"/>
    <mergeCell ref="W62:Z62"/>
    <mergeCell ref="AA62:AD62"/>
    <mergeCell ref="AE62:AH62"/>
    <mergeCell ref="AI62:AL62"/>
    <mergeCell ref="S61:Z61"/>
    <mergeCell ref="AA61:AH61"/>
    <mergeCell ref="AI61:AP61"/>
    <mergeCell ref="AQ61:AX61"/>
    <mergeCell ref="AY61:BF61"/>
    <mergeCell ref="BG61:BN61"/>
    <mergeCell ref="BK62:BN62"/>
    <mergeCell ref="BO62:BP62"/>
    <mergeCell ref="BQ62:BR62"/>
    <mergeCell ref="AU62:AX62"/>
    <mergeCell ref="AY62:BB62"/>
    <mergeCell ref="BC62:BF62"/>
    <mergeCell ref="BG62:BJ62"/>
    <mergeCell ref="E89:L89"/>
    <mergeCell ref="E95:L95"/>
    <mergeCell ref="A113:A114"/>
    <mergeCell ref="B113:B114"/>
    <mergeCell ref="C113:C114"/>
    <mergeCell ref="D113:F113"/>
    <mergeCell ref="G113:I113"/>
    <mergeCell ref="AM62:AP62"/>
    <mergeCell ref="AQ62:AT62"/>
    <mergeCell ref="AY113:BF113"/>
    <mergeCell ref="BG113:BN113"/>
    <mergeCell ref="BO113:BR113"/>
    <mergeCell ref="BS113:BT113"/>
    <mergeCell ref="BU113:BU114"/>
    <mergeCell ref="K114:N114"/>
    <mergeCell ref="O114:R114"/>
    <mergeCell ref="S114:V114"/>
    <mergeCell ref="W114:Z114"/>
    <mergeCell ref="AA114:AD114"/>
    <mergeCell ref="K113:R113"/>
    <mergeCell ref="S113:Z113"/>
    <mergeCell ref="AA113:AH113"/>
    <mergeCell ref="AI113:AP113"/>
    <mergeCell ref="AQ113:AX113"/>
    <mergeCell ref="AE114:AH114"/>
    <mergeCell ref="AI114:AL114"/>
    <mergeCell ref="AM114:AP114"/>
    <mergeCell ref="AQ114:AT114"/>
    <mergeCell ref="N178:Q178"/>
    <mergeCell ref="R178:U178"/>
    <mergeCell ref="V178:Y178"/>
    <mergeCell ref="A191:A192"/>
    <mergeCell ref="B191:I191"/>
    <mergeCell ref="J191:Q191"/>
    <mergeCell ref="R191:Y191"/>
    <mergeCell ref="BQ114:BR114"/>
    <mergeCell ref="E141:L141"/>
    <mergeCell ref="E147:L147"/>
    <mergeCell ref="A177:A178"/>
    <mergeCell ref="B177:I177"/>
    <mergeCell ref="J177:Q177"/>
    <mergeCell ref="R177:Y177"/>
    <mergeCell ref="B178:E178"/>
    <mergeCell ref="F178:I178"/>
    <mergeCell ref="J178:M178"/>
    <mergeCell ref="AU114:AX114"/>
    <mergeCell ref="AY114:BB114"/>
    <mergeCell ref="BC114:BF114"/>
    <mergeCell ref="BG114:BJ114"/>
    <mergeCell ref="BK114:BN114"/>
    <mergeCell ref="BO114:BP114"/>
    <mergeCell ref="J113:J114"/>
    <mergeCell ref="AB192:AC192"/>
    <mergeCell ref="A205:A206"/>
    <mergeCell ref="B205:I205"/>
    <mergeCell ref="J205:Q205"/>
    <mergeCell ref="R205:Y205"/>
    <mergeCell ref="Z205:AG205"/>
    <mergeCell ref="AD206:AG206"/>
    <mergeCell ref="Z191:AC191"/>
    <mergeCell ref="AD191:AE191"/>
    <mergeCell ref="AF191:AF192"/>
    <mergeCell ref="B192:E192"/>
    <mergeCell ref="F192:I192"/>
    <mergeCell ref="J192:M192"/>
    <mergeCell ref="N192:Q192"/>
    <mergeCell ref="R192:U192"/>
    <mergeCell ref="V192:Y192"/>
    <mergeCell ref="Z192:AA192"/>
    <mergeCell ref="AH206:AI206"/>
    <mergeCell ref="AJ206:AK206"/>
    <mergeCell ref="AH205:AK205"/>
    <mergeCell ref="AL205:AM205"/>
    <mergeCell ref="AN205:AN206"/>
    <mergeCell ref="B206:E206"/>
    <mergeCell ref="F206:I206"/>
    <mergeCell ref="J206:M206"/>
    <mergeCell ref="N206:Q206"/>
    <mergeCell ref="R206:U206"/>
    <mergeCell ref="V206:Y206"/>
    <mergeCell ref="Z206:AC206"/>
  </mergeCells>
  <hyperlinks>
    <hyperlink ref="B2" r:id="rId1" xr:uid="{4D2DACB5-3264-4F17-9B5E-44BA2F5A7FC5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U344"/>
  <sheetViews>
    <sheetView topLeftCell="T295" zoomScale="89" zoomScaleNormal="89" workbookViewId="0">
      <selection activeCell="Q90" sqref="Q90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15" width="9.140625" customWidth="1"/>
    <col min="16" max="31" width="9.140625" style="245" customWidth="1"/>
    <col min="32" max="32" width="15.7109375" style="245" customWidth="1"/>
    <col min="33" max="39" width="9.140625" style="245" customWidth="1"/>
    <col min="40" max="40" width="15.7109375" style="245" customWidth="1"/>
    <col min="41" max="67" width="9.140625" style="245" customWidth="1"/>
    <col min="68" max="68" width="13.140625" style="245" customWidth="1"/>
    <col min="69" max="69" width="9.140625" style="245" customWidth="1"/>
    <col min="70" max="70" width="12.42578125" style="245" customWidth="1"/>
    <col min="71" max="71" width="12" style="245" customWidth="1"/>
    <col min="72" max="72" width="15.5703125" style="245" customWidth="1"/>
    <col min="73" max="73" width="15" style="245" customWidth="1"/>
  </cols>
  <sheetData>
    <row r="1" spans="1:73" x14ac:dyDescent="0.25">
      <c r="A1" s="1" t="s">
        <v>36</v>
      </c>
      <c r="B1" s="37"/>
      <c r="C1" s="37"/>
    </row>
    <row r="2" spans="1:73" x14ac:dyDescent="0.25">
      <c r="A2" s="1" t="s">
        <v>188</v>
      </c>
      <c r="B2" s="40" t="s">
        <v>38</v>
      </c>
      <c r="C2" s="37"/>
    </row>
    <row r="3" spans="1:73" ht="30" customHeight="1" x14ac:dyDescent="0.25">
      <c r="A3" s="226" t="s">
        <v>230</v>
      </c>
      <c r="B3" s="227"/>
      <c r="C3" s="227"/>
      <c r="D3" s="228"/>
      <c r="E3" s="228"/>
    </row>
    <row r="4" spans="1:73" ht="31.5" x14ac:dyDescent="0.25">
      <c r="A4" s="147" t="s">
        <v>186</v>
      </c>
      <c r="B4" s="40" t="s">
        <v>187</v>
      </c>
      <c r="C4" s="38"/>
    </row>
    <row r="5" spans="1:73" x14ac:dyDescent="0.25">
      <c r="A5" s="226" t="s">
        <v>232</v>
      </c>
      <c r="B5" s="227"/>
      <c r="C5" s="227"/>
      <c r="D5" s="228"/>
      <c r="E5" s="228"/>
    </row>
    <row r="6" spans="1:73" ht="15.75" x14ac:dyDescent="0.25">
      <c r="A6" s="82"/>
      <c r="B6" s="38"/>
      <c r="C6" s="38"/>
    </row>
    <row r="7" spans="1:73" ht="18.75" x14ac:dyDescent="0.3">
      <c r="A7" s="85" t="s">
        <v>91</v>
      </c>
      <c r="B7" s="38"/>
      <c r="C7" s="38"/>
    </row>
    <row r="8" spans="1:73" x14ac:dyDescent="0.25">
      <c r="A8" s="1" t="s">
        <v>49</v>
      </c>
      <c r="B8" s="38"/>
      <c r="C8" s="38"/>
    </row>
    <row r="9" spans="1:73" ht="15.75" thickBot="1" x14ac:dyDescent="0.3">
      <c r="A9" s="39" t="s">
        <v>94</v>
      </c>
      <c r="B9" s="38"/>
      <c r="C9" s="38"/>
      <c r="BO9" s="245">
        <v>0.8</v>
      </c>
    </row>
    <row r="10" spans="1:73" ht="86.25" customHeight="1" thickBot="1" x14ac:dyDescent="0.3">
      <c r="A10" s="222" t="s">
        <v>26</v>
      </c>
      <c r="B10" s="222" t="s">
        <v>27</v>
      </c>
      <c r="C10" s="223" t="s">
        <v>28</v>
      </c>
      <c r="D10" s="224" t="s">
        <v>58</v>
      </c>
      <c r="E10" s="225"/>
      <c r="F10" s="225"/>
      <c r="G10" s="225" t="s">
        <v>59</v>
      </c>
      <c r="H10" s="225"/>
      <c r="I10" s="225"/>
      <c r="J10" s="220" t="s">
        <v>88</v>
      </c>
      <c r="K10" s="210" t="s">
        <v>81</v>
      </c>
      <c r="L10" s="211"/>
      <c r="M10" s="211"/>
      <c r="N10" s="211"/>
      <c r="O10" s="211"/>
      <c r="P10" s="211"/>
      <c r="Q10" s="211"/>
      <c r="R10" s="212"/>
      <c r="S10" s="261" t="s">
        <v>79</v>
      </c>
      <c r="T10" s="262"/>
      <c r="U10" s="262"/>
      <c r="V10" s="262"/>
      <c r="W10" s="262"/>
      <c r="X10" s="262"/>
      <c r="Y10" s="262"/>
      <c r="Z10" s="263"/>
      <c r="AA10" s="261" t="s">
        <v>80</v>
      </c>
      <c r="AB10" s="262"/>
      <c r="AC10" s="262"/>
      <c r="AD10" s="262"/>
      <c r="AE10" s="262"/>
      <c r="AF10" s="262"/>
      <c r="AG10" s="262"/>
      <c r="AH10" s="263"/>
      <c r="AI10" s="261" t="s">
        <v>78</v>
      </c>
      <c r="AJ10" s="262"/>
      <c r="AK10" s="262"/>
      <c r="AL10" s="262"/>
      <c r="AM10" s="262"/>
      <c r="AN10" s="262"/>
      <c r="AO10" s="262"/>
      <c r="AP10" s="263"/>
      <c r="AQ10" s="261" t="s">
        <v>89</v>
      </c>
      <c r="AR10" s="262"/>
      <c r="AS10" s="262"/>
      <c r="AT10" s="262"/>
      <c r="AU10" s="262"/>
      <c r="AV10" s="262"/>
      <c r="AW10" s="262"/>
      <c r="AX10" s="263"/>
      <c r="AY10" s="261" t="s">
        <v>90</v>
      </c>
      <c r="AZ10" s="262"/>
      <c r="BA10" s="262"/>
      <c r="BB10" s="262"/>
      <c r="BC10" s="262"/>
      <c r="BD10" s="262"/>
      <c r="BE10" s="262"/>
      <c r="BF10" s="263"/>
      <c r="BG10" s="261" t="s">
        <v>134</v>
      </c>
      <c r="BH10" s="262"/>
      <c r="BI10" s="262"/>
      <c r="BJ10" s="262"/>
      <c r="BK10" s="262"/>
      <c r="BL10" s="262"/>
      <c r="BM10" s="262"/>
      <c r="BN10" s="263"/>
      <c r="BO10" s="264" t="s">
        <v>82</v>
      </c>
      <c r="BP10" s="265"/>
      <c r="BQ10" s="265"/>
      <c r="BR10" s="266"/>
      <c r="BS10" s="267" t="s">
        <v>84</v>
      </c>
      <c r="BT10" s="268"/>
      <c r="BU10" s="269" t="s">
        <v>87</v>
      </c>
    </row>
    <row r="11" spans="1:73" s="36" customFormat="1" ht="23.25" customHeight="1" thickBot="1" x14ac:dyDescent="0.3">
      <c r="A11" s="222"/>
      <c r="B11" s="222"/>
      <c r="C11" s="223"/>
      <c r="D11" s="61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21"/>
      <c r="K11" s="210" t="s">
        <v>3</v>
      </c>
      <c r="L11" s="211"/>
      <c r="M11" s="211"/>
      <c r="N11" s="212"/>
      <c r="O11" s="210" t="s">
        <v>4</v>
      </c>
      <c r="P11" s="211"/>
      <c r="Q11" s="211"/>
      <c r="R11" s="212"/>
      <c r="S11" s="261" t="s">
        <v>3</v>
      </c>
      <c r="T11" s="262"/>
      <c r="U11" s="262"/>
      <c r="V11" s="263"/>
      <c r="W11" s="261" t="s">
        <v>4</v>
      </c>
      <c r="X11" s="262"/>
      <c r="Y11" s="262"/>
      <c r="Z11" s="263"/>
      <c r="AA11" s="261" t="s">
        <v>3</v>
      </c>
      <c r="AB11" s="262"/>
      <c r="AC11" s="262"/>
      <c r="AD11" s="263"/>
      <c r="AE11" s="261" t="s">
        <v>4</v>
      </c>
      <c r="AF11" s="262"/>
      <c r="AG11" s="262"/>
      <c r="AH11" s="263"/>
      <c r="AI11" s="261" t="s">
        <v>3</v>
      </c>
      <c r="AJ11" s="262"/>
      <c r="AK11" s="262"/>
      <c r="AL11" s="263"/>
      <c r="AM11" s="261" t="s">
        <v>4</v>
      </c>
      <c r="AN11" s="262"/>
      <c r="AO11" s="262"/>
      <c r="AP11" s="263"/>
      <c r="AQ11" s="261" t="s">
        <v>3</v>
      </c>
      <c r="AR11" s="262"/>
      <c r="AS11" s="262"/>
      <c r="AT11" s="263"/>
      <c r="AU11" s="261" t="s">
        <v>4</v>
      </c>
      <c r="AV11" s="262"/>
      <c r="AW11" s="262"/>
      <c r="AX11" s="263"/>
      <c r="AY11" s="261" t="s">
        <v>3</v>
      </c>
      <c r="AZ11" s="262"/>
      <c r="BA11" s="262"/>
      <c r="BB11" s="263"/>
      <c r="BC11" s="261" t="s">
        <v>4</v>
      </c>
      <c r="BD11" s="262"/>
      <c r="BE11" s="262"/>
      <c r="BF11" s="263"/>
      <c r="BG11" s="261" t="s">
        <v>3</v>
      </c>
      <c r="BH11" s="262"/>
      <c r="BI11" s="262"/>
      <c r="BJ11" s="263"/>
      <c r="BK11" s="261" t="s">
        <v>4</v>
      </c>
      <c r="BL11" s="262"/>
      <c r="BM11" s="262"/>
      <c r="BN11" s="263"/>
      <c r="BO11" s="270" t="s">
        <v>83</v>
      </c>
      <c r="BP11" s="271"/>
      <c r="BQ11" s="270" t="s">
        <v>5</v>
      </c>
      <c r="BR11" s="272"/>
      <c r="BS11" s="273" t="s">
        <v>85</v>
      </c>
      <c r="BT11" s="273" t="s">
        <v>86</v>
      </c>
      <c r="BU11" s="274"/>
    </row>
    <row r="12" spans="1:73" ht="30" x14ac:dyDescent="0.25">
      <c r="A12" s="41" t="s">
        <v>0</v>
      </c>
      <c r="B12" s="41" t="s">
        <v>25</v>
      </c>
      <c r="C12" s="60" t="s">
        <v>13</v>
      </c>
      <c r="D12" s="91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G12:I21" si="0">IF(E12=$A$25,$B$25,(IF(E12=$A$26,$B$26,IF(E12=$A$27,$B$27,$B$28))))</f>
        <v>0.66</v>
      </c>
      <c r="I12" s="49">
        <f t="shared" si="0"/>
        <v>1</v>
      </c>
      <c r="J12" s="83">
        <f>G12*$D$39+H12*$D$40+I12*$D$41</f>
        <v>14.15</v>
      </c>
      <c r="K12" s="20">
        <v>0.77</v>
      </c>
      <c r="L12" s="22">
        <v>1</v>
      </c>
      <c r="M12" s="22">
        <v>1</v>
      </c>
      <c r="N12" s="23">
        <v>1</v>
      </c>
      <c r="O12" s="20">
        <v>0.83</v>
      </c>
      <c r="P12" s="242">
        <v>1</v>
      </c>
      <c r="Q12" s="242">
        <v>1</v>
      </c>
      <c r="R12" s="243">
        <v>1</v>
      </c>
      <c r="S12" s="241">
        <v>0.44000000000000006</v>
      </c>
      <c r="T12" s="242">
        <v>0.55000000000000004</v>
      </c>
      <c r="U12" s="242">
        <v>0.77</v>
      </c>
      <c r="V12" s="243">
        <v>1</v>
      </c>
      <c r="W12" s="241">
        <v>0.47000000000000003</v>
      </c>
      <c r="X12" s="242">
        <v>0.55000000000000004</v>
      </c>
      <c r="Y12" s="242">
        <v>0.77</v>
      </c>
      <c r="Z12" s="243">
        <v>0.92</v>
      </c>
      <c r="AA12" s="241">
        <v>0.77</v>
      </c>
      <c r="AB12" s="242">
        <v>1</v>
      </c>
      <c r="AC12" s="242">
        <v>1</v>
      </c>
      <c r="AD12" s="243">
        <v>1</v>
      </c>
      <c r="AE12" s="241">
        <v>0.83</v>
      </c>
      <c r="AF12" s="242">
        <v>1</v>
      </c>
      <c r="AG12" s="242">
        <v>1</v>
      </c>
      <c r="AH12" s="243">
        <v>1</v>
      </c>
      <c r="AI12" s="241">
        <v>3.8900000000000006</v>
      </c>
      <c r="AJ12" s="242">
        <v>7</v>
      </c>
      <c r="AK12" s="242">
        <v>8</v>
      </c>
      <c r="AL12" s="243">
        <v>9.5</v>
      </c>
      <c r="AM12" s="241">
        <v>4.8099999999999987</v>
      </c>
      <c r="AN12" s="242">
        <v>7</v>
      </c>
      <c r="AO12" s="242">
        <v>8</v>
      </c>
      <c r="AP12" s="243">
        <v>9</v>
      </c>
      <c r="AQ12" s="241">
        <v>0.60499999999999998</v>
      </c>
      <c r="AR12" s="242">
        <v>1.1000000000000001</v>
      </c>
      <c r="AS12" s="242">
        <v>2.31</v>
      </c>
      <c r="AT12" s="242">
        <v>4.1549999999999994</v>
      </c>
      <c r="AU12" s="241">
        <v>0.77499999999999991</v>
      </c>
      <c r="AV12" s="242">
        <v>1.1000000000000001</v>
      </c>
      <c r="AW12" s="242">
        <v>2.31</v>
      </c>
      <c r="AX12" s="243">
        <v>3.53</v>
      </c>
      <c r="AY12" s="241">
        <v>1.9649999999999999</v>
      </c>
      <c r="AZ12" s="242">
        <v>4.5</v>
      </c>
      <c r="BA12" s="242">
        <v>5.5</v>
      </c>
      <c r="BB12" s="242">
        <v>7</v>
      </c>
      <c r="BC12" s="241">
        <v>2.7349999999999994</v>
      </c>
      <c r="BD12" s="242">
        <v>4.5</v>
      </c>
      <c r="BE12" s="242">
        <v>5.5</v>
      </c>
      <c r="BF12" s="243">
        <v>6.5</v>
      </c>
      <c r="BG12" s="241">
        <f>AI12+AQ12+AY12</f>
        <v>6.4600000000000009</v>
      </c>
      <c r="BH12" s="242">
        <f t="shared" ref="BH12:BN21" si="1">AJ12+AR12+AZ12</f>
        <v>12.6</v>
      </c>
      <c r="BI12" s="242">
        <f t="shared" si="1"/>
        <v>15.81</v>
      </c>
      <c r="BJ12" s="242">
        <f t="shared" si="1"/>
        <v>20.655000000000001</v>
      </c>
      <c r="BK12" s="241">
        <f t="shared" si="1"/>
        <v>8.3199999999999985</v>
      </c>
      <c r="BL12" s="242">
        <f t="shared" si="1"/>
        <v>12.6</v>
      </c>
      <c r="BM12" s="242">
        <f t="shared" si="1"/>
        <v>15.81</v>
      </c>
      <c r="BN12" s="242">
        <f t="shared" si="1"/>
        <v>19.03</v>
      </c>
      <c r="BO12" s="250">
        <f>BO$9*BH12+(1-BO$9)*BG12</f>
        <v>11.372</v>
      </c>
      <c r="BP12" s="275">
        <f>BO$9*BI12+(1-BO$9)*BJ12</f>
        <v>16.779</v>
      </c>
      <c r="BQ12" s="250">
        <f>BO$9*BL12+(1-BO$9)*BK12</f>
        <v>11.744</v>
      </c>
      <c r="BR12" s="276">
        <f>BO$9*BM12+(1-BO$9)*BN12</f>
        <v>16.454000000000001</v>
      </c>
      <c r="BS12" s="241">
        <f>(BO12+BP12)/2</f>
        <v>14.0755</v>
      </c>
      <c r="BT12" s="243">
        <f>(BQ12+BR12)/2</f>
        <v>14.099</v>
      </c>
      <c r="BU12" s="277">
        <f>(BS12+BT12)/2</f>
        <v>14.087250000000001</v>
      </c>
    </row>
    <row r="13" spans="1:73" x14ac:dyDescent="0.25">
      <c r="A13" s="41" t="s">
        <v>1</v>
      </c>
      <c r="B13" s="41" t="s">
        <v>14</v>
      </c>
      <c r="C13" s="60" t="s">
        <v>29</v>
      </c>
      <c r="D13" s="91" t="s">
        <v>46</v>
      </c>
      <c r="E13" s="92" t="s">
        <v>46</v>
      </c>
      <c r="F13" s="92" t="s">
        <v>45</v>
      </c>
      <c r="G13" s="49">
        <f t="shared" si="0"/>
        <v>0.33</v>
      </c>
      <c r="H13" s="49">
        <f t="shared" si="0"/>
        <v>0.33</v>
      </c>
      <c r="I13" s="49">
        <f t="shared" si="0"/>
        <v>0.66</v>
      </c>
      <c r="J13" s="83">
        <f t="shared" ref="J13:J21" si="2">G13*$D$39+H13*$D$40+I13*$D$41</f>
        <v>6.6000000000000005</v>
      </c>
      <c r="K13" s="26">
        <v>0</v>
      </c>
      <c r="L13">
        <v>0.22000000000000003</v>
      </c>
      <c r="M13">
        <v>0.44</v>
      </c>
      <c r="N13" s="27">
        <v>0.55000000000000004</v>
      </c>
      <c r="O13" s="26">
        <v>0.06</v>
      </c>
      <c r="P13" s="245">
        <v>0.22000000000000003</v>
      </c>
      <c r="Q13" s="245">
        <v>0.44</v>
      </c>
      <c r="R13" s="246">
        <v>0.52</v>
      </c>
      <c r="S13" s="244">
        <v>0</v>
      </c>
      <c r="T13" s="245">
        <v>0.22000000000000003</v>
      </c>
      <c r="U13" s="245">
        <v>0.44</v>
      </c>
      <c r="V13" s="246">
        <v>0.55000000000000004</v>
      </c>
      <c r="W13" s="244">
        <v>0.06</v>
      </c>
      <c r="X13" s="245">
        <v>0.22000000000000003</v>
      </c>
      <c r="Y13" s="245">
        <v>0.44</v>
      </c>
      <c r="Z13" s="246">
        <v>0.52</v>
      </c>
      <c r="AA13" s="244">
        <v>0.44000000000000006</v>
      </c>
      <c r="AB13" s="245">
        <v>0.55000000000000004</v>
      </c>
      <c r="AC13" s="245">
        <v>0.77</v>
      </c>
      <c r="AD13" s="246">
        <v>1</v>
      </c>
      <c r="AE13" s="244">
        <v>0.47000000000000003</v>
      </c>
      <c r="AF13" s="245">
        <v>0.55000000000000004</v>
      </c>
      <c r="AG13" s="245">
        <v>0.77</v>
      </c>
      <c r="AH13" s="246">
        <v>0.92</v>
      </c>
      <c r="AI13" s="244">
        <v>0</v>
      </c>
      <c r="AJ13" s="245">
        <v>1.5400000000000003</v>
      </c>
      <c r="AK13" s="245">
        <v>3.52</v>
      </c>
      <c r="AL13" s="246">
        <v>5.0600000000000005</v>
      </c>
      <c r="AM13" s="244">
        <v>0.19999999999999996</v>
      </c>
      <c r="AN13" s="245">
        <v>1.5400000000000003</v>
      </c>
      <c r="AO13" s="245">
        <v>3.52</v>
      </c>
      <c r="AP13" s="246">
        <v>4.6000000000000014</v>
      </c>
      <c r="AQ13" s="244">
        <v>0</v>
      </c>
      <c r="AR13" s="245">
        <v>0.44000000000000006</v>
      </c>
      <c r="AS13" s="245">
        <v>1.32</v>
      </c>
      <c r="AT13" s="245">
        <v>2.3099999999999996</v>
      </c>
      <c r="AU13" s="244">
        <v>5.3999999999999992E-2</v>
      </c>
      <c r="AV13" s="245">
        <v>0.44000000000000006</v>
      </c>
      <c r="AW13" s="245">
        <v>1.32</v>
      </c>
      <c r="AX13" s="246">
        <v>2</v>
      </c>
      <c r="AY13" s="244">
        <v>1.1550000000000002</v>
      </c>
      <c r="AZ13" s="245">
        <v>2.4750000000000001</v>
      </c>
      <c r="BA13" s="245">
        <v>4.2350000000000003</v>
      </c>
      <c r="BB13" s="245">
        <v>6.6550000000000002</v>
      </c>
      <c r="BC13" s="244">
        <v>1.5650000000000008</v>
      </c>
      <c r="BD13" s="245">
        <v>2.4750000000000001</v>
      </c>
      <c r="BE13" s="245">
        <v>4.2350000000000003</v>
      </c>
      <c r="BF13" s="246">
        <v>5.830000000000001</v>
      </c>
      <c r="BG13" s="244">
        <f t="shared" ref="BG13:BG21" si="3">AI13+AQ13+AY13</f>
        <v>1.1550000000000002</v>
      </c>
      <c r="BH13" s="245">
        <f t="shared" si="1"/>
        <v>4.4550000000000001</v>
      </c>
      <c r="BI13" s="245">
        <f t="shared" si="1"/>
        <v>9.0749999999999993</v>
      </c>
      <c r="BJ13" s="245">
        <f t="shared" si="1"/>
        <v>14.025</v>
      </c>
      <c r="BK13" s="244">
        <f t="shared" si="1"/>
        <v>1.8190000000000008</v>
      </c>
      <c r="BL13" s="245">
        <f t="shared" si="1"/>
        <v>4.4550000000000001</v>
      </c>
      <c r="BM13" s="245">
        <f t="shared" si="1"/>
        <v>9.0749999999999993</v>
      </c>
      <c r="BN13" s="245">
        <f t="shared" si="1"/>
        <v>12.430000000000003</v>
      </c>
      <c r="BO13" s="251">
        <f t="shared" ref="BO13:BO21" si="4">BO$9*BH13+(1-BO$9)*BG13</f>
        <v>3.7949999999999999</v>
      </c>
      <c r="BP13" s="278">
        <f t="shared" ref="BP13:BP21" si="5">BO$9*BI13+(1-BO$9)*BJ13</f>
        <v>10.065</v>
      </c>
      <c r="BQ13" s="251">
        <f t="shared" ref="BQ13:BQ21" si="6">BO$9*BL13+(1-BO$9)*BK13</f>
        <v>3.9278</v>
      </c>
      <c r="BR13" s="279">
        <f t="shared" ref="BR13:BR21" si="7">BO$9*BM13+(1-BO$9)*BN13</f>
        <v>9.7460000000000004</v>
      </c>
      <c r="BS13" s="244">
        <f t="shared" ref="BS13:BS21" si="8">(BO13+BP13)/2</f>
        <v>6.93</v>
      </c>
      <c r="BT13" s="246">
        <f t="shared" ref="BT13:BT21" si="9">(BQ13+BR13)/2</f>
        <v>6.8369</v>
      </c>
      <c r="BU13" s="280">
        <f t="shared" ref="BU13:BU21" si="10">(BS13+BT13)/2</f>
        <v>6.8834499999999998</v>
      </c>
    </row>
    <row r="14" spans="1:73" x14ac:dyDescent="0.25">
      <c r="A14" s="41" t="s">
        <v>2</v>
      </c>
      <c r="B14" s="41" t="s">
        <v>15</v>
      </c>
      <c r="C14" s="60" t="s">
        <v>30</v>
      </c>
      <c r="D14" s="91" t="s">
        <v>45</v>
      </c>
      <c r="E14" s="92" t="s">
        <v>45</v>
      </c>
      <c r="F14" s="92" t="s">
        <v>45</v>
      </c>
      <c r="G14" s="49">
        <f t="shared" si="0"/>
        <v>0.66</v>
      </c>
      <c r="H14" s="49">
        <f t="shared" si="0"/>
        <v>0.66</v>
      </c>
      <c r="I14" s="49">
        <f t="shared" si="0"/>
        <v>0.66</v>
      </c>
      <c r="J14" s="83">
        <f t="shared" si="2"/>
        <v>9.9</v>
      </c>
      <c r="K14" s="26">
        <v>0.44000000000000006</v>
      </c>
      <c r="L14">
        <v>0.55000000000000004</v>
      </c>
      <c r="M14">
        <v>0.77</v>
      </c>
      <c r="N14" s="27">
        <v>1</v>
      </c>
      <c r="O14" s="26">
        <v>0.47000000000000003</v>
      </c>
      <c r="P14" s="245">
        <v>0.55000000000000004</v>
      </c>
      <c r="Q14" s="245">
        <v>0.77</v>
      </c>
      <c r="R14" s="246">
        <v>0.92</v>
      </c>
      <c r="S14" s="244">
        <v>0.44000000000000006</v>
      </c>
      <c r="T14" s="245">
        <v>0.55000000000000004</v>
      </c>
      <c r="U14" s="245">
        <v>0.77</v>
      </c>
      <c r="V14" s="246">
        <v>1</v>
      </c>
      <c r="W14" s="244">
        <v>0.47000000000000003</v>
      </c>
      <c r="X14" s="245">
        <v>0.55000000000000004</v>
      </c>
      <c r="Y14" s="245">
        <v>0.77</v>
      </c>
      <c r="Z14" s="246">
        <v>0.92</v>
      </c>
      <c r="AA14" s="244">
        <v>0.44000000000000006</v>
      </c>
      <c r="AB14" s="245">
        <v>0.55000000000000004</v>
      </c>
      <c r="AC14" s="245">
        <v>0.77</v>
      </c>
      <c r="AD14" s="246">
        <v>1</v>
      </c>
      <c r="AE14" s="244">
        <v>0.47000000000000003</v>
      </c>
      <c r="AF14" s="245">
        <v>0.55000000000000004</v>
      </c>
      <c r="AG14" s="245">
        <v>0.77</v>
      </c>
      <c r="AH14" s="246">
        <v>0.92</v>
      </c>
      <c r="AI14" s="244">
        <v>2.2549999999999999</v>
      </c>
      <c r="AJ14" s="245">
        <v>3.8500000000000005</v>
      </c>
      <c r="AK14" s="245">
        <v>6.16</v>
      </c>
      <c r="AL14" s="246">
        <v>9.1550000000000011</v>
      </c>
      <c r="AM14" s="244">
        <v>2.7399999999999993</v>
      </c>
      <c r="AN14" s="245">
        <v>3.8500000000000005</v>
      </c>
      <c r="AO14" s="245">
        <v>6.16</v>
      </c>
      <c r="AP14" s="246">
        <v>8.129999999999999</v>
      </c>
      <c r="AQ14" s="244">
        <v>0.60499999999999998</v>
      </c>
      <c r="AR14" s="245">
        <v>1.1000000000000001</v>
      </c>
      <c r="AS14" s="245">
        <v>2.31</v>
      </c>
      <c r="AT14" s="245">
        <v>4.1549999999999994</v>
      </c>
      <c r="AU14" s="244">
        <v>0.77499999999999991</v>
      </c>
      <c r="AV14" s="245">
        <v>1.1000000000000001</v>
      </c>
      <c r="AW14" s="245">
        <v>2.31</v>
      </c>
      <c r="AX14" s="246">
        <v>3.53</v>
      </c>
      <c r="AY14" s="244">
        <v>1.1550000000000002</v>
      </c>
      <c r="AZ14" s="245">
        <v>2.4750000000000001</v>
      </c>
      <c r="BA14" s="245">
        <v>4.2350000000000003</v>
      </c>
      <c r="BB14" s="245">
        <v>6.6550000000000002</v>
      </c>
      <c r="BC14" s="244">
        <v>1.5650000000000008</v>
      </c>
      <c r="BD14" s="245">
        <v>2.4750000000000001</v>
      </c>
      <c r="BE14" s="245">
        <v>4.2350000000000003</v>
      </c>
      <c r="BF14" s="246">
        <v>5.830000000000001</v>
      </c>
      <c r="BG14" s="244">
        <f t="shared" si="3"/>
        <v>4.0150000000000006</v>
      </c>
      <c r="BH14" s="245">
        <f t="shared" si="1"/>
        <v>7.4250000000000007</v>
      </c>
      <c r="BI14" s="245">
        <f t="shared" si="1"/>
        <v>12.705000000000002</v>
      </c>
      <c r="BJ14" s="245">
        <f t="shared" si="1"/>
        <v>19.965</v>
      </c>
      <c r="BK14" s="244">
        <f t="shared" si="1"/>
        <v>5.08</v>
      </c>
      <c r="BL14" s="245">
        <f t="shared" si="1"/>
        <v>7.4250000000000007</v>
      </c>
      <c r="BM14" s="245">
        <f t="shared" si="1"/>
        <v>12.705000000000002</v>
      </c>
      <c r="BN14" s="245">
        <f t="shared" si="1"/>
        <v>17.489999999999998</v>
      </c>
      <c r="BO14" s="251">
        <f t="shared" si="4"/>
        <v>6.7430000000000012</v>
      </c>
      <c r="BP14" s="278">
        <f t="shared" si="5"/>
        <v>14.157</v>
      </c>
      <c r="BQ14" s="251">
        <f t="shared" si="6"/>
        <v>6.9560000000000013</v>
      </c>
      <c r="BR14" s="279">
        <f t="shared" si="7"/>
        <v>13.662000000000001</v>
      </c>
      <c r="BS14" s="244">
        <f t="shared" si="8"/>
        <v>10.450000000000001</v>
      </c>
      <c r="BT14" s="246">
        <f t="shared" si="9"/>
        <v>10.309000000000001</v>
      </c>
      <c r="BU14" s="280">
        <f t="shared" si="10"/>
        <v>10.3795</v>
      </c>
    </row>
    <row r="15" spans="1:73" x14ac:dyDescent="0.25">
      <c r="A15" s="41" t="s">
        <v>6</v>
      </c>
      <c r="B15" s="41" t="s">
        <v>16</v>
      </c>
      <c r="C15" s="60" t="s">
        <v>17</v>
      </c>
      <c r="D15" s="91" t="s">
        <v>44</v>
      </c>
      <c r="E15" s="92" t="s">
        <v>45</v>
      </c>
      <c r="F15" s="92" t="s">
        <v>45</v>
      </c>
      <c r="G15" s="49">
        <f t="shared" si="0"/>
        <v>1</v>
      </c>
      <c r="H15" s="49">
        <f t="shared" si="0"/>
        <v>0.66</v>
      </c>
      <c r="I15" s="49">
        <f t="shared" si="0"/>
        <v>0.66</v>
      </c>
      <c r="J15" s="83">
        <f t="shared" si="2"/>
        <v>12.450000000000001</v>
      </c>
      <c r="K15" s="26">
        <v>0.77</v>
      </c>
      <c r="L15">
        <v>1</v>
      </c>
      <c r="M15">
        <v>1</v>
      </c>
      <c r="N15" s="27">
        <v>1</v>
      </c>
      <c r="O15" s="26">
        <v>0.83</v>
      </c>
      <c r="P15" s="245">
        <v>1</v>
      </c>
      <c r="Q15" s="245">
        <v>1</v>
      </c>
      <c r="R15" s="246">
        <v>1</v>
      </c>
      <c r="S15" s="244">
        <v>0.44000000000000006</v>
      </c>
      <c r="T15" s="245">
        <v>0.55000000000000004</v>
      </c>
      <c r="U15" s="245">
        <v>0.77</v>
      </c>
      <c r="V15" s="246">
        <v>1</v>
      </c>
      <c r="W15" s="244">
        <v>0.47000000000000003</v>
      </c>
      <c r="X15" s="245">
        <v>0.55000000000000004</v>
      </c>
      <c r="Y15" s="245">
        <v>0.77</v>
      </c>
      <c r="Z15" s="246">
        <v>0.92</v>
      </c>
      <c r="AA15" s="244">
        <v>0.44000000000000006</v>
      </c>
      <c r="AB15" s="245">
        <v>0.55000000000000004</v>
      </c>
      <c r="AC15" s="245">
        <v>0.77</v>
      </c>
      <c r="AD15" s="246">
        <v>1</v>
      </c>
      <c r="AE15" s="244">
        <v>0.47000000000000003</v>
      </c>
      <c r="AF15" s="245">
        <v>0.55000000000000004</v>
      </c>
      <c r="AG15" s="245">
        <v>0.77</v>
      </c>
      <c r="AH15" s="246">
        <v>0.92</v>
      </c>
      <c r="AI15" s="244">
        <v>3.8900000000000006</v>
      </c>
      <c r="AJ15" s="245">
        <v>7</v>
      </c>
      <c r="AK15" s="245">
        <v>8</v>
      </c>
      <c r="AL15" s="246">
        <v>9.5</v>
      </c>
      <c r="AM15" s="244">
        <v>4.8099999999999987</v>
      </c>
      <c r="AN15" s="245">
        <v>7</v>
      </c>
      <c r="AO15" s="245">
        <v>8</v>
      </c>
      <c r="AP15" s="246">
        <v>9</v>
      </c>
      <c r="AQ15" s="244">
        <v>0.60499999999999998</v>
      </c>
      <c r="AR15" s="245">
        <v>1.1000000000000001</v>
      </c>
      <c r="AS15" s="245">
        <v>2.31</v>
      </c>
      <c r="AT15" s="245">
        <v>4.1549999999999994</v>
      </c>
      <c r="AU15" s="244">
        <v>0.77499999999999991</v>
      </c>
      <c r="AV15" s="245">
        <v>1.1000000000000001</v>
      </c>
      <c r="AW15" s="245">
        <v>2.31</v>
      </c>
      <c r="AX15" s="246">
        <v>3.53</v>
      </c>
      <c r="AY15" s="244">
        <v>1.1550000000000002</v>
      </c>
      <c r="AZ15" s="245">
        <v>2.4750000000000001</v>
      </c>
      <c r="BA15" s="245">
        <v>4.2350000000000003</v>
      </c>
      <c r="BB15" s="245">
        <v>6.6550000000000002</v>
      </c>
      <c r="BC15" s="244">
        <v>1.5650000000000008</v>
      </c>
      <c r="BD15" s="245">
        <v>2.4750000000000001</v>
      </c>
      <c r="BE15" s="245">
        <v>4.2350000000000003</v>
      </c>
      <c r="BF15" s="246">
        <v>5.830000000000001</v>
      </c>
      <c r="BG15" s="244">
        <f t="shared" si="3"/>
        <v>5.6500000000000012</v>
      </c>
      <c r="BH15" s="245">
        <f t="shared" si="1"/>
        <v>10.574999999999999</v>
      </c>
      <c r="BI15" s="245">
        <f t="shared" si="1"/>
        <v>14.545000000000002</v>
      </c>
      <c r="BJ15" s="245">
        <f t="shared" si="1"/>
        <v>20.309999999999999</v>
      </c>
      <c r="BK15" s="244">
        <f t="shared" si="1"/>
        <v>7.15</v>
      </c>
      <c r="BL15" s="245">
        <f t="shared" si="1"/>
        <v>10.574999999999999</v>
      </c>
      <c r="BM15" s="245">
        <f t="shared" si="1"/>
        <v>14.545000000000002</v>
      </c>
      <c r="BN15" s="245">
        <f t="shared" si="1"/>
        <v>18.36</v>
      </c>
      <c r="BO15" s="251">
        <f t="shared" si="4"/>
        <v>9.59</v>
      </c>
      <c r="BP15" s="278">
        <f t="shared" si="5"/>
        <v>15.698</v>
      </c>
      <c r="BQ15" s="251">
        <f t="shared" si="6"/>
        <v>9.8899999999999988</v>
      </c>
      <c r="BR15" s="279">
        <f t="shared" si="7"/>
        <v>15.308000000000002</v>
      </c>
      <c r="BS15" s="244">
        <f t="shared" si="8"/>
        <v>12.644</v>
      </c>
      <c r="BT15" s="246">
        <f t="shared" si="9"/>
        <v>12.599</v>
      </c>
      <c r="BU15" s="280">
        <f t="shared" si="10"/>
        <v>12.621500000000001</v>
      </c>
    </row>
    <row r="16" spans="1:73" ht="30" x14ac:dyDescent="0.25">
      <c r="A16" s="41" t="s">
        <v>7</v>
      </c>
      <c r="B16" s="41" t="s">
        <v>18</v>
      </c>
      <c r="C16" s="60" t="s">
        <v>31</v>
      </c>
      <c r="D16" s="91" t="s">
        <v>45</v>
      </c>
      <c r="E16" s="92" t="s">
        <v>44</v>
      </c>
      <c r="F16" s="92" t="s">
        <v>45</v>
      </c>
      <c r="G16" s="49">
        <f t="shared" si="0"/>
        <v>0.66</v>
      </c>
      <c r="H16" s="49">
        <f t="shared" si="0"/>
        <v>1</v>
      </c>
      <c r="I16" s="49">
        <f t="shared" si="0"/>
        <v>0.66</v>
      </c>
      <c r="J16" s="83">
        <f t="shared" si="2"/>
        <v>10.75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 s="245">
        <v>0.55000000000000004</v>
      </c>
      <c r="Q16" s="245">
        <v>0.77</v>
      </c>
      <c r="R16" s="246">
        <v>0.92</v>
      </c>
      <c r="S16" s="244">
        <v>0.77</v>
      </c>
      <c r="T16" s="245">
        <v>1</v>
      </c>
      <c r="U16" s="245">
        <v>1</v>
      </c>
      <c r="V16" s="246">
        <v>1</v>
      </c>
      <c r="W16" s="244">
        <v>0.83</v>
      </c>
      <c r="X16" s="245">
        <v>1</v>
      </c>
      <c r="Y16" s="245">
        <v>1</v>
      </c>
      <c r="Z16" s="246">
        <v>1</v>
      </c>
      <c r="AA16" s="244">
        <v>0.44000000000000006</v>
      </c>
      <c r="AB16" s="245">
        <v>0.55000000000000004</v>
      </c>
      <c r="AC16" s="245">
        <v>0.77</v>
      </c>
      <c r="AD16" s="246">
        <v>1</v>
      </c>
      <c r="AE16" s="244">
        <v>0.47000000000000003</v>
      </c>
      <c r="AF16" s="245">
        <v>0.55000000000000004</v>
      </c>
      <c r="AG16" s="245">
        <v>0.77</v>
      </c>
      <c r="AH16" s="246">
        <v>0.92</v>
      </c>
      <c r="AI16" s="244">
        <v>2.2549999999999999</v>
      </c>
      <c r="AJ16" s="245">
        <v>3.8500000000000005</v>
      </c>
      <c r="AK16" s="245">
        <v>6.16</v>
      </c>
      <c r="AL16" s="246">
        <v>9.1550000000000011</v>
      </c>
      <c r="AM16" s="244">
        <v>2.7399999999999993</v>
      </c>
      <c r="AN16" s="245">
        <v>3.8500000000000005</v>
      </c>
      <c r="AO16" s="245">
        <v>6.16</v>
      </c>
      <c r="AP16" s="246">
        <v>8.129999999999999</v>
      </c>
      <c r="AQ16" s="244">
        <v>1.04</v>
      </c>
      <c r="AR16" s="245">
        <v>2</v>
      </c>
      <c r="AS16" s="245">
        <v>3</v>
      </c>
      <c r="AT16" s="245">
        <v>4.5</v>
      </c>
      <c r="AU16" s="244">
        <v>1.3599999999999999</v>
      </c>
      <c r="AV16" s="245">
        <v>2</v>
      </c>
      <c r="AW16" s="245">
        <v>3</v>
      </c>
      <c r="AX16" s="246">
        <v>4</v>
      </c>
      <c r="AY16" s="244">
        <v>1.1550000000000002</v>
      </c>
      <c r="AZ16" s="245">
        <v>2.4750000000000001</v>
      </c>
      <c r="BA16" s="245">
        <v>4.2350000000000003</v>
      </c>
      <c r="BB16" s="245">
        <v>6.6550000000000002</v>
      </c>
      <c r="BC16" s="244">
        <v>1.5650000000000008</v>
      </c>
      <c r="BD16" s="245">
        <v>2.4750000000000001</v>
      </c>
      <c r="BE16" s="245">
        <v>4.2350000000000003</v>
      </c>
      <c r="BF16" s="246">
        <v>5.830000000000001</v>
      </c>
      <c r="BG16" s="244">
        <f t="shared" si="3"/>
        <v>4.45</v>
      </c>
      <c r="BH16" s="245">
        <f t="shared" si="1"/>
        <v>8.3250000000000011</v>
      </c>
      <c r="BI16" s="245">
        <f t="shared" si="1"/>
        <v>13.395</v>
      </c>
      <c r="BJ16" s="245">
        <f t="shared" si="1"/>
        <v>20.310000000000002</v>
      </c>
      <c r="BK16" s="244">
        <f t="shared" si="1"/>
        <v>5.6650000000000009</v>
      </c>
      <c r="BL16" s="245">
        <f t="shared" si="1"/>
        <v>8.3250000000000011</v>
      </c>
      <c r="BM16" s="245">
        <f t="shared" si="1"/>
        <v>13.395</v>
      </c>
      <c r="BN16" s="245">
        <f t="shared" si="1"/>
        <v>17.96</v>
      </c>
      <c r="BO16" s="251">
        <f t="shared" si="4"/>
        <v>7.5500000000000007</v>
      </c>
      <c r="BP16" s="278">
        <f t="shared" si="5"/>
        <v>14.778</v>
      </c>
      <c r="BQ16" s="251">
        <f t="shared" si="6"/>
        <v>7.793000000000001</v>
      </c>
      <c r="BR16" s="279">
        <f t="shared" si="7"/>
        <v>14.308</v>
      </c>
      <c r="BS16" s="244">
        <f t="shared" si="8"/>
        <v>11.164000000000001</v>
      </c>
      <c r="BT16" s="246">
        <f t="shared" si="9"/>
        <v>11.0505</v>
      </c>
      <c r="BU16" s="280">
        <f t="shared" si="10"/>
        <v>11.107250000000001</v>
      </c>
    </row>
    <row r="17" spans="1:73" x14ac:dyDescent="0.25">
      <c r="A17" s="41" t="s">
        <v>8</v>
      </c>
      <c r="B17" s="41" t="s">
        <v>19</v>
      </c>
      <c r="C17" s="60" t="s">
        <v>32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 s="245">
        <v>1</v>
      </c>
      <c r="Q17" s="245">
        <v>1</v>
      </c>
      <c r="R17" s="246">
        <v>1</v>
      </c>
      <c r="S17" s="244">
        <v>0.44000000000000006</v>
      </c>
      <c r="T17" s="245">
        <v>0.55000000000000004</v>
      </c>
      <c r="U17" s="245">
        <v>0.77</v>
      </c>
      <c r="V17" s="246">
        <v>1</v>
      </c>
      <c r="W17" s="244">
        <v>0.47000000000000003</v>
      </c>
      <c r="X17" s="245">
        <v>0.55000000000000004</v>
      </c>
      <c r="Y17" s="245">
        <v>0.77</v>
      </c>
      <c r="Z17" s="246">
        <v>0.92</v>
      </c>
      <c r="AA17" s="244">
        <v>0</v>
      </c>
      <c r="AB17" s="245">
        <v>0.22000000000000003</v>
      </c>
      <c r="AC17" s="245">
        <v>0.44</v>
      </c>
      <c r="AD17" s="246">
        <v>0.55000000000000004</v>
      </c>
      <c r="AE17" s="244">
        <v>0.06</v>
      </c>
      <c r="AF17" s="245">
        <v>0.22000000000000003</v>
      </c>
      <c r="AG17" s="245">
        <v>0.44</v>
      </c>
      <c r="AH17" s="246">
        <v>0.52</v>
      </c>
      <c r="AI17" s="244">
        <v>3.8900000000000006</v>
      </c>
      <c r="AJ17" s="245">
        <v>7</v>
      </c>
      <c r="AK17" s="245">
        <v>8</v>
      </c>
      <c r="AL17" s="246">
        <v>9.5</v>
      </c>
      <c r="AM17" s="244">
        <v>4.8099999999999987</v>
      </c>
      <c r="AN17" s="245">
        <v>7</v>
      </c>
      <c r="AO17" s="245">
        <v>8</v>
      </c>
      <c r="AP17" s="246">
        <v>9</v>
      </c>
      <c r="AQ17" s="244">
        <v>0.60499999999999998</v>
      </c>
      <c r="AR17" s="245">
        <v>1.1000000000000001</v>
      </c>
      <c r="AS17" s="245">
        <v>2.31</v>
      </c>
      <c r="AT17" s="245">
        <v>4.1549999999999994</v>
      </c>
      <c r="AU17" s="244">
        <v>0.77499999999999991</v>
      </c>
      <c r="AV17" s="245">
        <v>1.1000000000000001</v>
      </c>
      <c r="AW17" s="245">
        <v>2.31</v>
      </c>
      <c r="AX17" s="246">
        <v>3.53</v>
      </c>
      <c r="AY17" s="244">
        <v>0</v>
      </c>
      <c r="AZ17" s="245">
        <v>0.9900000000000001</v>
      </c>
      <c r="BA17" s="245">
        <v>2.42</v>
      </c>
      <c r="BB17" s="245">
        <v>3.6850000000000005</v>
      </c>
      <c r="BC17" s="244">
        <v>4.9999999999999933E-2</v>
      </c>
      <c r="BD17" s="245">
        <v>0.9900000000000001</v>
      </c>
      <c r="BE17" s="245">
        <v>2.42</v>
      </c>
      <c r="BF17" s="246">
        <v>3.3000000000000007</v>
      </c>
      <c r="BG17" s="244">
        <f t="shared" si="3"/>
        <v>4.495000000000001</v>
      </c>
      <c r="BH17" s="245">
        <f t="shared" si="1"/>
        <v>9.09</v>
      </c>
      <c r="BI17" s="245">
        <f t="shared" si="1"/>
        <v>12.73</v>
      </c>
      <c r="BJ17" s="245">
        <f t="shared" si="1"/>
        <v>17.34</v>
      </c>
      <c r="BK17" s="244">
        <f t="shared" si="1"/>
        <v>5.6349999999999989</v>
      </c>
      <c r="BL17" s="245">
        <f t="shared" si="1"/>
        <v>9.09</v>
      </c>
      <c r="BM17" s="245">
        <f t="shared" si="1"/>
        <v>12.73</v>
      </c>
      <c r="BN17" s="245">
        <f t="shared" si="1"/>
        <v>15.83</v>
      </c>
      <c r="BO17" s="251">
        <f t="shared" si="4"/>
        <v>8.1709999999999994</v>
      </c>
      <c r="BP17" s="278">
        <f t="shared" si="5"/>
        <v>13.652000000000001</v>
      </c>
      <c r="BQ17" s="251">
        <f t="shared" si="6"/>
        <v>8.3989999999999991</v>
      </c>
      <c r="BR17" s="279">
        <f t="shared" si="7"/>
        <v>13.350000000000001</v>
      </c>
      <c r="BS17" s="244">
        <f t="shared" si="8"/>
        <v>10.9115</v>
      </c>
      <c r="BT17" s="246">
        <f t="shared" si="9"/>
        <v>10.874500000000001</v>
      </c>
      <c r="BU17" s="280">
        <f t="shared" si="10"/>
        <v>10.893000000000001</v>
      </c>
    </row>
    <row r="18" spans="1:73" ht="30" x14ac:dyDescent="0.25">
      <c r="A18" s="41" t="s">
        <v>9</v>
      </c>
      <c r="B18" s="41" t="s">
        <v>20</v>
      </c>
      <c r="C18" s="60" t="s">
        <v>33</v>
      </c>
      <c r="D18" s="91" t="s">
        <v>44</v>
      </c>
      <c r="E18" s="92" t="s">
        <v>45</v>
      </c>
      <c r="F18" s="92" t="s">
        <v>46</v>
      </c>
      <c r="G18" s="49">
        <f t="shared" si="0"/>
        <v>1</v>
      </c>
      <c r="H18" s="49">
        <f t="shared" si="0"/>
        <v>0.66</v>
      </c>
      <c r="I18" s="49">
        <f t="shared" si="0"/>
        <v>0.33</v>
      </c>
      <c r="J18" s="83">
        <f t="shared" si="2"/>
        <v>10.8</v>
      </c>
      <c r="K18" s="26">
        <v>0.77</v>
      </c>
      <c r="L18">
        <v>1</v>
      </c>
      <c r="M18">
        <v>1</v>
      </c>
      <c r="N18" s="27">
        <v>1</v>
      </c>
      <c r="O18" s="26">
        <v>0.83</v>
      </c>
      <c r="P18" s="245">
        <v>1</v>
      </c>
      <c r="Q18" s="245">
        <v>1</v>
      </c>
      <c r="R18" s="246">
        <v>1</v>
      </c>
      <c r="S18" s="244">
        <v>0.44000000000000006</v>
      </c>
      <c r="T18" s="245">
        <v>0.55000000000000004</v>
      </c>
      <c r="U18" s="245">
        <v>0.77</v>
      </c>
      <c r="V18" s="246">
        <v>1</v>
      </c>
      <c r="W18" s="244">
        <v>0.47000000000000003</v>
      </c>
      <c r="X18" s="245">
        <v>0.55000000000000004</v>
      </c>
      <c r="Y18" s="245">
        <v>0.77</v>
      </c>
      <c r="Z18" s="246">
        <v>0.92</v>
      </c>
      <c r="AA18" s="244">
        <v>0</v>
      </c>
      <c r="AB18" s="245">
        <v>0.22000000000000003</v>
      </c>
      <c r="AC18" s="245">
        <v>0.44</v>
      </c>
      <c r="AD18" s="246">
        <v>0.55000000000000004</v>
      </c>
      <c r="AE18" s="244">
        <v>0.06</v>
      </c>
      <c r="AF18" s="245">
        <v>0.22000000000000003</v>
      </c>
      <c r="AG18" s="245">
        <v>0.44</v>
      </c>
      <c r="AH18" s="246">
        <v>0.52</v>
      </c>
      <c r="AI18" s="244">
        <v>3.8900000000000006</v>
      </c>
      <c r="AJ18" s="245">
        <v>7</v>
      </c>
      <c r="AK18" s="245">
        <v>8</v>
      </c>
      <c r="AL18" s="246">
        <v>9.5</v>
      </c>
      <c r="AM18" s="244">
        <v>4.8099999999999987</v>
      </c>
      <c r="AN18" s="245">
        <v>7</v>
      </c>
      <c r="AO18" s="245">
        <v>8</v>
      </c>
      <c r="AP18" s="246">
        <v>9</v>
      </c>
      <c r="AQ18" s="244">
        <v>0.60499999999999998</v>
      </c>
      <c r="AR18" s="245">
        <v>1.1000000000000001</v>
      </c>
      <c r="AS18" s="245">
        <v>2.31</v>
      </c>
      <c r="AT18" s="245">
        <v>4.1549999999999994</v>
      </c>
      <c r="AU18" s="244">
        <v>0.77499999999999991</v>
      </c>
      <c r="AV18" s="245">
        <v>1.1000000000000001</v>
      </c>
      <c r="AW18" s="245">
        <v>2.31</v>
      </c>
      <c r="AX18" s="246">
        <v>3.53</v>
      </c>
      <c r="AY18" s="244">
        <v>0</v>
      </c>
      <c r="AZ18" s="245">
        <v>0.9900000000000001</v>
      </c>
      <c r="BA18" s="245">
        <v>2.42</v>
      </c>
      <c r="BB18" s="245">
        <v>3.6850000000000005</v>
      </c>
      <c r="BC18" s="244">
        <v>4.9999999999999933E-2</v>
      </c>
      <c r="BD18" s="245">
        <v>0.9900000000000001</v>
      </c>
      <c r="BE18" s="245">
        <v>2.42</v>
      </c>
      <c r="BF18" s="246">
        <v>3.3000000000000007</v>
      </c>
      <c r="BG18" s="244">
        <f t="shared" si="3"/>
        <v>4.495000000000001</v>
      </c>
      <c r="BH18" s="245">
        <f t="shared" si="1"/>
        <v>9.09</v>
      </c>
      <c r="BI18" s="245">
        <f t="shared" si="1"/>
        <v>12.73</v>
      </c>
      <c r="BJ18" s="245">
        <f t="shared" si="1"/>
        <v>17.34</v>
      </c>
      <c r="BK18" s="244">
        <f t="shared" si="1"/>
        <v>5.6349999999999989</v>
      </c>
      <c r="BL18" s="245">
        <f t="shared" si="1"/>
        <v>9.09</v>
      </c>
      <c r="BM18" s="245">
        <f t="shared" si="1"/>
        <v>12.73</v>
      </c>
      <c r="BN18" s="245">
        <f t="shared" si="1"/>
        <v>15.83</v>
      </c>
      <c r="BO18" s="251">
        <f t="shared" si="4"/>
        <v>8.1709999999999994</v>
      </c>
      <c r="BP18" s="278">
        <f t="shared" si="5"/>
        <v>13.652000000000001</v>
      </c>
      <c r="BQ18" s="251">
        <f t="shared" si="6"/>
        <v>8.3989999999999991</v>
      </c>
      <c r="BR18" s="279">
        <f t="shared" si="7"/>
        <v>13.350000000000001</v>
      </c>
      <c r="BS18" s="244">
        <f t="shared" si="8"/>
        <v>10.9115</v>
      </c>
      <c r="BT18" s="246">
        <f t="shared" si="9"/>
        <v>10.874500000000001</v>
      </c>
      <c r="BU18" s="280">
        <f t="shared" si="10"/>
        <v>10.893000000000001</v>
      </c>
    </row>
    <row r="19" spans="1:73" ht="30" x14ac:dyDescent="0.25">
      <c r="A19" s="41" t="s">
        <v>10</v>
      </c>
      <c r="B19" s="41" t="s">
        <v>21</v>
      </c>
      <c r="C19" s="60" t="s">
        <v>22</v>
      </c>
      <c r="D19" s="91" t="s">
        <v>45</v>
      </c>
      <c r="E19" s="92" t="s">
        <v>44</v>
      </c>
      <c r="F19" s="92" t="s">
        <v>44</v>
      </c>
      <c r="G19" s="49">
        <f t="shared" si="0"/>
        <v>0.66</v>
      </c>
      <c r="H19" s="49">
        <f t="shared" si="0"/>
        <v>1</v>
      </c>
      <c r="I19" s="49">
        <f t="shared" si="0"/>
        <v>1</v>
      </c>
      <c r="J19" s="83">
        <f t="shared" si="2"/>
        <v>12.45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 s="245">
        <v>0.55000000000000004</v>
      </c>
      <c r="Q19" s="245">
        <v>0.77</v>
      </c>
      <c r="R19" s="246">
        <v>0.92</v>
      </c>
      <c r="S19" s="244">
        <v>0.77</v>
      </c>
      <c r="T19" s="245">
        <v>1</v>
      </c>
      <c r="U19" s="245">
        <v>1</v>
      </c>
      <c r="V19" s="246">
        <v>1</v>
      </c>
      <c r="W19" s="244">
        <v>0.83</v>
      </c>
      <c r="X19" s="245">
        <v>1</v>
      </c>
      <c r="Y19" s="245">
        <v>1</v>
      </c>
      <c r="Z19" s="246">
        <v>1</v>
      </c>
      <c r="AA19" s="244">
        <v>0.77</v>
      </c>
      <c r="AB19" s="245">
        <v>1</v>
      </c>
      <c r="AC19" s="245">
        <v>1</v>
      </c>
      <c r="AD19" s="246">
        <v>1</v>
      </c>
      <c r="AE19" s="244">
        <v>0.83</v>
      </c>
      <c r="AF19" s="245">
        <v>1</v>
      </c>
      <c r="AG19" s="245">
        <v>1</v>
      </c>
      <c r="AH19" s="246">
        <v>1</v>
      </c>
      <c r="AI19" s="244">
        <v>2.2549999999999999</v>
      </c>
      <c r="AJ19" s="245">
        <v>3.8500000000000005</v>
      </c>
      <c r="AK19" s="245">
        <v>6.16</v>
      </c>
      <c r="AL19" s="246">
        <v>9.1550000000000011</v>
      </c>
      <c r="AM19" s="244">
        <v>2.7399999999999993</v>
      </c>
      <c r="AN19" s="245">
        <v>3.8500000000000005</v>
      </c>
      <c r="AO19" s="245">
        <v>6.16</v>
      </c>
      <c r="AP19" s="246">
        <v>8.129999999999999</v>
      </c>
      <c r="AQ19" s="244">
        <v>1.04</v>
      </c>
      <c r="AR19" s="245">
        <v>2</v>
      </c>
      <c r="AS19" s="245">
        <v>3</v>
      </c>
      <c r="AT19" s="245">
        <v>4.5</v>
      </c>
      <c r="AU19" s="244">
        <v>1.3599999999999999</v>
      </c>
      <c r="AV19" s="245">
        <v>2</v>
      </c>
      <c r="AW19" s="245">
        <v>3</v>
      </c>
      <c r="AX19" s="246">
        <v>4</v>
      </c>
      <c r="AY19" s="244">
        <v>1.9649999999999999</v>
      </c>
      <c r="AZ19" s="245">
        <v>4.5</v>
      </c>
      <c r="BA19" s="245">
        <v>5.5</v>
      </c>
      <c r="BB19" s="245">
        <v>7</v>
      </c>
      <c r="BC19" s="244">
        <v>2.7349999999999994</v>
      </c>
      <c r="BD19" s="245">
        <v>4.5</v>
      </c>
      <c r="BE19" s="245">
        <v>5.5</v>
      </c>
      <c r="BF19" s="246">
        <v>6.5</v>
      </c>
      <c r="BG19" s="244">
        <f t="shared" si="3"/>
        <v>5.26</v>
      </c>
      <c r="BH19" s="245">
        <f t="shared" si="1"/>
        <v>10.350000000000001</v>
      </c>
      <c r="BI19" s="245">
        <f t="shared" si="1"/>
        <v>14.66</v>
      </c>
      <c r="BJ19" s="245">
        <f t="shared" si="1"/>
        <v>20.655000000000001</v>
      </c>
      <c r="BK19" s="244">
        <f t="shared" si="1"/>
        <v>6.8349999999999991</v>
      </c>
      <c r="BL19" s="245">
        <f t="shared" si="1"/>
        <v>10.350000000000001</v>
      </c>
      <c r="BM19" s="245">
        <f t="shared" si="1"/>
        <v>14.66</v>
      </c>
      <c r="BN19" s="245">
        <f t="shared" si="1"/>
        <v>18.63</v>
      </c>
      <c r="BO19" s="251">
        <f t="shared" si="4"/>
        <v>9.3320000000000007</v>
      </c>
      <c r="BP19" s="278">
        <f t="shared" si="5"/>
        <v>15.859000000000002</v>
      </c>
      <c r="BQ19" s="251">
        <f t="shared" si="6"/>
        <v>9.6470000000000002</v>
      </c>
      <c r="BR19" s="279">
        <f t="shared" si="7"/>
        <v>15.454000000000001</v>
      </c>
      <c r="BS19" s="244">
        <f t="shared" si="8"/>
        <v>12.595500000000001</v>
      </c>
      <c r="BT19" s="246">
        <f t="shared" si="9"/>
        <v>12.5505</v>
      </c>
      <c r="BU19" s="280">
        <f t="shared" si="10"/>
        <v>12.573</v>
      </c>
    </row>
    <row r="20" spans="1:73" ht="36.75" customHeight="1" x14ac:dyDescent="0.25">
      <c r="A20" s="41" t="s">
        <v>11</v>
      </c>
      <c r="B20" s="41" t="s">
        <v>23</v>
      </c>
      <c r="C20" s="60" t="s">
        <v>34</v>
      </c>
      <c r="D20" s="91" t="s">
        <v>45</v>
      </c>
      <c r="E20" s="92" t="s">
        <v>44</v>
      </c>
      <c r="F20" s="92" t="s">
        <v>45</v>
      </c>
      <c r="G20" s="49">
        <f t="shared" si="0"/>
        <v>0.66</v>
      </c>
      <c r="H20" s="49">
        <f t="shared" si="0"/>
        <v>1</v>
      </c>
      <c r="I20" s="49">
        <f t="shared" si="0"/>
        <v>0.66</v>
      </c>
      <c r="J20" s="83">
        <f t="shared" si="2"/>
        <v>10.75</v>
      </c>
      <c r="K20" s="26">
        <v>0.44000000000000006</v>
      </c>
      <c r="L20">
        <v>0.55000000000000004</v>
      </c>
      <c r="M20">
        <v>0.77</v>
      </c>
      <c r="N20" s="27">
        <v>1</v>
      </c>
      <c r="O20" s="26">
        <v>0.47000000000000003</v>
      </c>
      <c r="P20" s="245">
        <v>0.55000000000000004</v>
      </c>
      <c r="Q20" s="245">
        <v>0.77</v>
      </c>
      <c r="R20" s="246">
        <v>0.92</v>
      </c>
      <c r="S20" s="244">
        <v>0.77</v>
      </c>
      <c r="T20" s="245">
        <v>1</v>
      </c>
      <c r="U20" s="245">
        <v>1</v>
      </c>
      <c r="V20" s="246">
        <v>1</v>
      </c>
      <c r="W20" s="244">
        <v>0.83</v>
      </c>
      <c r="X20" s="245">
        <v>1</v>
      </c>
      <c r="Y20" s="245">
        <v>1</v>
      </c>
      <c r="Z20" s="246">
        <v>1</v>
      </c>
      <c r="AA20" s="244">
        <v>0.44000000000000006</v>
      </c>
      <c r="AB20" s="245">
        <v>0.55000000000000004</v>
      </c>
      <c r="AC20" s="245">
        <v>0.77</v>
      </c>
      <c r="AD20" s="246">
        <v>1</v>
      </c>
      <c r="AE20" s="244">
        <v>0.47000000000000003</v>
      </c>
      <c r="AF20" s="245">
        <v>0.55000000000000004</v>
      </c>
      <c r="AG20" s="245">
        <v>0.77</v>
      </c>
      <c r="AH20" s="246">
        <v>0.92</v>
      </c>
      <c r="AI20" s="244">
        <v>2.2549999999999999</v>
      </c>
      <c r="AJ20" s="245">
        <v>3.8500000000000005</v>
      </c>
      <c r="AK20" s="245">
        <v>6.16</v>
      </c>
      <c r="AL20" s="246">
        <v>9.1550000000000011</v>
      </c>
      <c r="AM20" s="244">
        <v>2.7399999999999993</v>
      </c>
      <c r="AN20" s="245">
        <v>3.8500000000000005</v>
      </c>
      <c r="AO20" s="245">
        <v>6.16</v>
      </c>
      <c r="AP20" s="246">
        <v>8.129999999999999</v>
      </c>
      <c r="AQ20" s="244">
        <v>1.04</v>
      </c>
      <c r="AR20" s="245">
        <v>2</v>
      </c>
      <c r="AS20" s="245">
        <v>3</v>
      </c>
      <c r="AT20" s="245">
        <v>4.5</v>
      </c>
      <c r="AU20" s="244">
        <v>1.3599999999999999</v>
      </c>
      <c r="AV20" s="245">
        <v>2</v>
      </c>
      <c r="AW20" s="245">
        <v>3</v>
      </c>
      <c r="AX20" s="246">
        <v>4</v>
      </c>
      <c r="AY20" s="244">
        <v>1.1550000000000002</v>
      </c>
      <c r="AZ20" s="245">
        <v>2.4750000000000001</v>
      </c>
      <c r="BA20" s="245">
        <v>4.2350000000000003</v>
      </c>
      <c r="BB20" s="245">
        <v>6.6550000000000002</v>
      </c>
      <c r="BC20" s="244">
        <v>1.5650000000000008</v>
      </c>
      <c r="BD20" s="245">
        <v>2.4750000000000001</v>
      </c>
      <c r="BE20" s="245">
        <v>4.2350000000000003</v>
      </c>
      <c r="BF20" s="246">
        <v>5.830000000000001</v>
      </c>
      <c r="BG20" s="244">
        <f t="shared" si="3"/>
        <v>4.45</v>
      </c>
      <c r="BH20" s="245">
        <f t="shared" si="1"/>
        <v>8.3250000000000011</v>
      </c>
      <c r="BI20" s="245">
        <f t="shared" si="1"/>
        <v>13.395</v>
      </c>
      <c r="BJ20" s="245">
        <f t="shared" si="1"/>
        <v>20.310000000000002</v>
      </c>
      <c r="BK20" s="244">
        <f t="shared" si="1"/>
        <v>5.6650000000000009</v>
      </c>
      <c r="BL20" s="245">
        <f t="shared" si="1"/>
        <v>8.3250000000000011</v>
      </c>
      <c r="BM20" s="245">
        <f t="shared" si="1"/>
        <v>13.395</v>
      </c>
      <c r="BN20" s="245">
        <f t="shared" si="1"/>
        <v>17.96</v>
      </c>
      <c r="BO20" s="251">
        <f t="shared" si="4"/>
        <v>7.5500000000000007</v>
      </c>
      <c r="BP20" s="278">
        <f t="shared" si="5"/>
        <v>14.778</v>
      </c>
      <c r="BQ20" s="251">
        <f t="shared" si="6"/>
        <v>7.793000000000001</v>
      </c>
      <c r="BR20" s="279">
        <f t="shared" si="7"/>
        <v>14.308</v>
      </c>
      <c r="BS20" s="244">
        <f t="shared" si="8"/>
        <v>11.164000000000001</v>
      </c>
      <c r="BT20" s="246">
        <f t="shared" si="9"/>
        <v>11.0505</v>
      </c>
      <c r="BU20" s="280">
        <f t="shared" si="10"/>
        <v>11.107250000000001</v>
      </c>
    </row>
    <row r="21" spans="1:73" ht="30.75" thickBot="1" x14ac:dyDescent="0.3">
      <c r="A21" s="41" t="s">
        <v>12</v>
      </c>
      <c r="B21" s="41" t="s">
        <v>24</v>
      </c>
      <c r="C21" s="60" t="s">
        <v>35</v>
      </c>
      <c r="D21" s="93" t="s">
        <v>46</v>
      </c>
      <c r="E21" s="94" t="s">
        <v>44</v>
      </c>
      <c r="F21" s="94" t="s">
        <v>45</v>
      </c>
      <c r="G21" s="62">
        <f t="shared" si="0"/>
        <v>0.33</v>
      </c>
      <c r="H21" s="62">
        <f t="shared" si="0"/>
        <v>1</v>
      </c>
      <c r="I21" s="62">
        <f t="shared" si="0"/>
        <v>0.66</v>
      </c>
      <c r="J21" s="84">
        <f t="shared" si="2"/>
        <v>8.2750000000000004</v>
      </c>
      <c r="K21" s="30">
        <v>0</v>
      </c>
      <c r="L21" s="32">
        <v>0.22000000000000003</v>
      </c>
      <c r="M21" s="32">
        <v>0.44</v>
      </c>
      <c r="N21" s="33">
        <v>0.55000000000000004</v>
      </c>
      <c r="O21" s="30">
        <v>0.06</v>
      </c>
      <c r="P21" s="248">
        <v>0.22000000000000003</v>
      </c>
      <c r="Q21" s="248">
        <v>0.44</v>
      </c>
      <c r="R21" s="249">
        <v>0.52</v>
      </c>
      <c r="S21" s="247">
        <v>0.77</v>
      </c>
      <c r="T21" s="248">
        <v>1</v>
      </c>
      <c r="U21" s="248">
        <v>1</v>
      </c>
      <c r="V21" s="249">
        <v>1</v>
      </c>
      <c r="W21" s="247">
        <v>0.83</v>
      </c>
      <c r="X21" s="248">
        <v>1</v>
      </c>
      <c r="Y21" s="248">
        <v>1</v>
      </c>
      <c r="Z21" s="249">
        <v>1</v>
      </c>
      <c r="AA21" s="247">
        <v>0.44000000000000006</v>
      </c>
      <c r="AB21" s="248">
        <v>0.55000000000000004</v>
      </c>
      <c r="AC21" s="248">
        <v>0.77</v>
      </c>
      <c r="AD21" s="249">
        <v>1</v>
      </c>
      <c r="AE21" s="247">
        <v>0.47000000000000003</v>
      </c>
      <c r="AF21" s="248">
        <v>0.55000000000000004</v>
      </c>
      <c r="AG21" s="248">
        <v>0.77</v>
      </c>
      <c r="AH21" s="249">
        <v>0.92</v>
      </c>
      <c r="AI21" s="247">
        <v>0</v>
      </c>
      <c r="AJ21" s="248">
        <v>1.5400000000000003</v>
      </c>
      <c r="AK21" s="248">
        <v>3.52</v>
      </c>
      <c r="AL21" s="249">
        <v>5.0600000000000005</v>
      </c>
      <c r="AM21" s="247">
        <v>0.19999999999999996</v>
      </c>
      <c r="AN21" s="248">
        <v>1.5400000000000003</v>
      </c>
      <c r="AO21" s="248">
        <v>3.52</v>
      </c>
      <c r="AP21" s="249">
        <v>4.6000000000000014</v>
      </c>
      <c r="AQ21" s="247">
        <v>1.04</v>
      </c>
      <c r="AR21" s="248">
        <v>2</v>
      </c>
      <c r="AS21" s="248">
        <v>3</v>
      </c>
      <c r="AT21" s="248">
        <v>4.5</v>
      </c>
      <c r="AU21" s="247">
        <v>1.3599999999999999</v>
      </c>
      <c r="AV21" s="248">
        <v>2</v>
      </c>
      <c r="AW21" s="248">
        <v>3</v>
      </c>
      <c r="AX21" s="249">
        <v>4</v>
      </c>
      <c r="AY21" s="247">
        <v>1.1550000000000002</v>
      </c>
      <c r="AZ21" s="248">
        <v>2.4750000000000001</v>
      </c>
      <c r="BA21" s="248">
        <v>4.2350000000000003</v>
      </c>
      <c r="BB21" s="248">
        <v>6.6550000000000002</v>
      </c>
      <c r="BC21" s="247">
        <v>1.5650000000000008</v>
      </c>
      <c r="BD21" s="248">
        <v>2.4750000000000001</v>
      </c>
      <c r="BE21" s="248">
        <v>4.2350000000000003</v>
      </c>
      <c r="BF21" s="249">
        <v>5.830000000000001</v>
      </c>
      <c r="BG21" s="247">
        <f t="shared" si="3"/>
        <v>2.1950000000000003</v>
      </c>
      <c r="BH21" s="248">
        <f t="shared" si="1"/>
        <v>6.0150000000000006</v>
      </c>
      <c r="BI21" s="248">
        <f t="shared" si="1"/>
        <v>10.754999999999999</v>
      </c>
      <c r="BJ21" s="248">
        <f t="shared" si="1"/>
        <v>16.215</v>
      </c>
      <c r="BK21" s="247">
        <f t="shared" si="1"/>
        <v>3.1250000000000009</v>
      </c>
      <c r="BL21" s="248">
        <f t="shared" si="1"/>
        <v>6.0150000000000006</v>
      </c>
      <c r="BM21" s="248">
        <f t="shared" si="1"/>
        <v>10.754999999999999</v>
      </c>
      <c r="BN21" s="248">
        <f t="shared" si="1"/>
        <v>14.430000000000003</v>
      </c>
      <c r="BO21" s="252">
        <f t="shared" si="4"/>
        <v>5.2510000000000012</v>
      </c>
      <c r="BP21" s="281">
        <f t="shared" si="5"/>
        <v>11.846999999999998</v>
      </c>
      <c r="BQ21" s="252">
        <f t="shared" si="6"/>
        <v>5.4370000000000012</v>
      </c>
      <c r="BR21" s="282">
        <f t="shared" si="7"/>
        <v>11.489999999999998</v>
      </c>
      <c r="BS21" s="247">
        <f t="shared" si="8"/>
        <v>8.5489999999999995</v>
      </c>
      <c r="BT21" s="249">
        <f t="shared" si="9"/>
        <v>8.4634999999999998</v>
      </c>
      <c r="BU21" s="283">
        <f t="shared" si="10"/>
        <v>8.5062499999999996</v>
      </c>
    </row>
    <row r="22" spans="1:73" x14ac:dyDescent="0.25">
      <c r="BF22" s="284"/>
      <c r="BG22" s="285"/>
      <c r="BH22" s="285"/>
      <c r="BI22" s="285"/>
      <c r="BJ22" s="285"/>
      <c r="BK22" s="285"/>
    </row>
    <row r="23" spans="1:73" x14ac:dyDescent="0.25">
      <c r="A23" s="1" t="s">
        <v>119</v>
      </c>
      <c r="B23" s="1"/>
    </row>
    <row r="24" spans="1:73" ht="15.75" thickBot="1" x14ac:dyDescent="0.3">
      <c r="A24" s="46" t="s">
        <v>43</v>
      </c>
      <c r="B24" s="47" t="s">
        <v>55</v>
      </c>
      <c r="E24" s="51" t="s">
        <v>3</v>
      </c>
      <c r="I24" t="s">
        <v>4</v>
      </c>
    </row>
    <row r="25" spans="1:73" x14ac:dyDescent="0.25">
      <c r="A25" s="45" t="s">
        <v>47</v>
      </c>
      <c r="B25" s="2">
        <v>0</v>
      </c>
      <c r="C25" s="18">
        <v>0</v>
      </c>
      <c r="D25" s="19" t="s">
        <v>47</v>
      </c>
      <c r="E25" s="20">
        <v>0</v>
      </c>
      <c r="F25" s="21">
        <f>C25</f>
        <v>0</v>
      </c>
      <c r="G25" s="22">
        <v>0</v>
      </c>
      <c r="H25" s="23">
        <v>0.22</v>
      </c>
      <c r="I25" s="24">
        <v>0</v>
      </c>
      <c r="J25" s="22">
        <f>F25</f>
        <v>0</v>
      </c>
      <c r="K25" s="22">
        <f>G25</f>
        <v>0</v>
      </c>
      <c r="L25" s="25">
        <v>0.15</v>
      </c>
    </row>
    <row r="26" spans="1:73" x14ac:dyDescent="0.25">
      <c r="A26" s="45" t="s">
        <v>46</v>
      </c>
      <c r="B26" s="2">
        <v>0.33</v>
      </c>
      <c r="C26" s="18">
        <v>0.33</v>
      </c>
      <c r="D26" s="19" t="s">
        <v>46</v>
      </c>
      <c r="E26" s="26">
        <v>0</v>
      </c>
      <c r="F26" s="50">
        <f>C26-0.11</f>
        <v>0.22000000000000003</v>
      </c>
      <c r="G26">
        <f>C26+0.11</f>
        <v>0.44</v>
      </c>
      <c r="H26" s="27">
        <f t="shared" ref="H26" si="11">G26+0.11</f>
        <v>0.55000000000000004</v>
      </c>
      <c r="I26" s="28">
        <v>0.06</v>
      </c>
      <c r="J26">
        <f t="shared" ref="J26:K28" si="12">F26</f>
        <v>0.22000000000000003</v>
      </c>
      <c r="K26">
        <f t="shared" si="12"/>
        <v>0.44</v>
      </c>
      <c r="L26" s="29">
        <f t="shared" ref="L26" si="13">K26+0.08</f>
        <v>0.52</v>
      </c>
    </row>
    <row r="27" spans="1:73" x14ac:dyDescent="0.25">
      <c r="A27" s="45" t="s">
        <v>45</v>
      </c>
      <c r="B27" s="2">
        <v>0.66</v>
      </c>
      <c r="C27" s="18">
        <v>0.66</v>
      </c>
      <c r="D27" s="19" t="s">
        <v>45</v>
      </c>
      <c r="E27" s="26">
        <f t="shared" ref="E27" si="14">F27-0.11</f>
        <v>0.44000000000000006</v>
      </c>
      <c r="F27" s="50">
        <f t="shared" ref="F27" si="15">C27-0.11</f>
        <v>0.55000000000000004</v>
      </c>
      <c r="G27">
        <f t="shared" ref="G27" si="16">C27+0.11</f>
        <v>0.77</v>
      </c>
      <c r="H27" s="27">
        <v>1</v>
      </c>
      <c r="I27" s="28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29">
        <v>0.92</v>
      </c>
    </row>
    <row r="28" spans="1:73" ht="15.75" thickBot="1" x14ac:dyDescent="0.3">
      <c r="A28" s="45" t="s">
        <v>44</v>
      </c>
      <c r="B28" s="2">
        <v>1</v>
      </c>
      <c r="C28" s="18">
        <v>1</v>
      </c>
      <c r="D28" s="19" t="s">
        <v>44</v>
      </c>
      <c r="E28" s="30">
        <v>0.77</v>
      </c>
      <c r="F28" s="31">
        <v>1</v>
      </c>
      <c r="G28" s="32">
        <v>1</v>
      </c>
      <c r="H28" s="33">
        <v>1</v>
      </c>
      <c r="I28" s="34">
        <v>0.83</v>
      </c>
      <c r="J28" s="32">
        <f t="shared" si="12"/>
        <v>1</v>
      </c>
      <c r="K28" s="32">
        <f t="shared" si="12"/>
        <v>1</v>
      </c>
      <c r="L28" s="35">
        <v>1</v>
      </c>
    </row>
    <row r="29" spans="1:73" x14ac:dyDescent="0.25">
      <c r="A29" s="38"/>
    </row>
    <row r="30" spans="1:73" x14ac:dyDescent="0.25">
      <c r="A30" s="1" t="s">
        <v>121</v>
      </c>
    </row>
    <row r="31" spans="1:73" ht="15.75" thickBot="1" x14ac:dyDescent="0.3">
      <c r="A31" s="46" t="s">
        <v>43</v>
      </c>
      <c r="B31" s="47" t="s">
        <v>56</v>
      </c>
      <c r="E31" s="51" t="s">
        <v>3</v>
      </c>
      <c r="I31" t="s">
        <v>4</v>
      </c>
    </row>
    <row r="32" spans="1:73" x14ac:dyDescent="0.25">
      <c r="A32" s="45" t="s">
        <v>47</v>
      </c>
      <c r="B32" s="2">
        <v>1</v>
      </c>
      <c r="C32" s="18">
        <v>1</v>
      </c>
      <c r="D32" s="19" t="s">
        <v>47</v>
      </c>
      <c r="E32" s="20">
        <v>0</v>
      </c>
      <c r="F32" s="21">
        <v>0.5</v>
      </c>
      <c r="G32" s="22">
        <v>1.5</v>
      </c>
      <c r="H32" s="23">
        <v>2</v>
      </c>
      <c r="I32" s="24">
        <v>0</v>
      </c>
      <c r="J32" s="22">
        <f>F32</f>
        <v>0.5</v>
      </c>
      <c r="K32" s="22">
        <f>G32</f>
        <v>1.5</v>
      </c>
      <c r="L32" s="25">
        <v>1.8</v>
      </c>
    </row>
    <row r="33" spans="1:12" x14ac:dyDescent="0.25">
      <c r="A33" s="45" t="s">
        <v>46</v>
      </c>
      <c r="B33" s="2">
        <v>2.5</v>
      </c>
      <c r="C33" s="18">
        <v>2.5</v>
      </c>
      <c r="D33" s="19" t="s">
        <v>46</v>
      </c>
      <c r="E33" s="26">
        <v>1.5</v>
      </c>
      <c r="F33" s="50">
        <f>C33-0.5</f>
        <v>2</v>
      </c>
      <c r="G33">
        <f>C33+0.5</f>
        <v>3</v>
      </c>
      <c r="H33" s="27">
        <f t="shared" ref="H33:H35" si="18">G33+1.5</f>
        <v>4.5</v>
      </c>
      <c r="I33" s="28">
        <v>1.7</v>
      </c>
      <c r="J33">
        <f t="shared" ref="J33:K35" si="19">F33</f>
        <v>2</v>
      </c>
      <c r="K33">
        <f t="shared" si="19"/>
        <v>3</v>
      </c>
      <c r="L33" s="29">
        <f t="shared" ref="L33:L35" si="20">K33+1</f>
        <v>4</v>
      </c>
    </row>
    <row r="34" spans="1:12" x14ac:dyDescent="0.25">
      <c r="A34" s="45" t="s">
        <v>45</v>
      </c>
      <c r="B34" s="2">
        <v>5</v>
      </c>
      <c r="C34" s="18">
        <v>5</v>
      </c>
      <c r="D34" s="19" t="s">
        <v>45</v>
      </c>
      <c r="E34" s="26">
        <f t="shared" ref="E34:E35" si="21">F34-1.5</f>
        <v>3</v>
      </c>
      <c r="F34" s="50">
        <f>C34-0.5</f>
        <v>4.5</v>
      </c>
      <c r="G34">
        <f>C34+0.5</f>
        <v>5.5</v>
      </c>
      <c r="H34" s="27">
        <f t="shared" si="18"/>
        <v>7</v>
      </c>
      <c r="I34" s="28">
        <f t="shared" ref="I34:I35" si="22">J34-1</f>
        <v>3.5</v>
      </c>
      <c r="J34">
        <f t="shared" si="19"/>
        <v>4.5</v>
      </c>
      <c r="K34">
        <f t="shared" si="19"/>
        <v>5.5</v>
      </c>
      <c r="L34" s="29">
        <f t="shared" si="20"/>
        <v>6.5</v>
      </c>
    </row>
    <row r="35" spans="1:12" ht="15.75" thickBot="1" x14ac:dyDescent="0.3">
      <c r="A35" s="45" t="s">
        <v>44</v>
      </c>
      <c r="B35" s="2">
        <v>7.5</v>
      </c>
      <c r="C35" s="18">
        <v>7.5</v>
      </c>
      <c r="D35" s="19" t="s">
        <v>44</v>
      </c>
      <c r="E35" s="30">
        <f t="shared" si="21"/>
        <v>5.5</v>
      </c>
      <c r="F35" s="31">
        <f>C35-0.5</f>
        <v>7</v>
      </c>
      <c r="G35" s="32">
        <f>C35+0.5</f>
        <v>8</v>
      </c>
      <c r="H35" s="33">
        <f t="shared" si="18"/>
        <v>9.5</v>
      </c>
      <c r="I35" s="34">
        <f t="shared" si="22"/>
        <v>6</v>
      </c>
      <c r="J35" s="32">
        <f t="shared" si="19"/>
        <v>7</v>
      </c>
      <c r="K35" s="32">
        <f t="shared" si="19"/>
        <v>8</v>
      </c>
      <c r="L35" s="35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3" t="s">
        <v>53</v>
      </c>
      <c r="B38" s="52" t="s">
        <v>39</v>
      </c>
      <c r="C38" s="54" t="s">
        <v>48</v>
      </c>
      <c r="D38" s="55" t="s">
        <v>120</v>
      </c>
      <c r="E38" s="217" t="s">
        <v>57</v>
      </c>
      <c r="F38" s="218"/>
      <c r="G38" s="218"/>
      <c r="H38" s="218"/>
      <c r="I38" s="218"/>
      <c r="J38" s="218"/>
      <c r="K38" s="218"/>
      <c r="L38" s="219"/>
    </row>
    <row r="39" spans="1:12" x14ac:dyDescent="0.25">
      <c r="A39" s="64" t="s">
        <v>50</v>
      </c>
      <c r="B39" s="56" t="s">
        <v>40</v>
      </c>
      <c r="C39" s="57" t="s">
        <v>44</v>
      </c>
      <c r="D39" s="88">
        <v>7.5</v>
      </c>
      <c r="E39" s="26">
        <v>5.5</v>
      </c>
      <c r="F39" s="50">
        <v>7</v>
      </c>
      <c r="G39">
        <v>8</v>
      </c>
      <c r="H39" s="27">
        <v>9.5</v>
      </c>
      <c r="I39" s="28">
        <v>6</v>
      </c>
      <c r="J39">
        <v>7</v>
      </c>
      <c r="K39">
        <v>8</v>
      </c>
      <c r="L39" s="29">
        <v>9</v>
      </c>
    </row>
    <row r="40" spans="1:12" x14ac:dyDescent="0.25">
      <c r="A40" s="65" t="s">
        <v>51</v>
      </c>
      <c r="B40" s="43" t="s">
        <v>41</v>
      </c>
      <c r="C40" s="2" t="s">
        <v>46</v>
      </c>
      <c r="D40" s="89">
        <v>2.5</v>
      </c>
      <c r="E40" s="26">
        <v>1.5</v>
      </c>
      <c r="F40" s="50">
        <v>2</v>
      </c>
      <c r="G40">
        <v>3</v>
      </c>
      <c r="H40" s="27">
        <v>4.5</v>
      </c>
      <c r="I40" s="28">
        <v>1.7</v>
      </c>
      <c r="J40">
        <v>2</v>
      </c>
      <c r="K40">
        <v>3</v>
      </c>
      <c r="L40" s="29">
        <v>4</v>
      </c>
    </row>
    <row r="41" spans="1:12" ht="15.75" thickBot="1" x14ac:dyDescent="0.3">
      <c r="A41" s="66" t="s">
        <v>52</v>
      </c>
      <c r="B41" s="58" t="s">
        <v>42</v>
      </c>
      <c r="C41" s="59" t="s">
        <v>45</v>
      </c>
      <c r="D41" s="90">
        <v>5</v>
      </c>
      <c r="E41" s="30">
        <v>3</v>
      </c>
      <c r="F41" s="31">
        <v>4.5</v>
      </c>
      <c r="G41" s="32">
        <v>5.5</v>
      </c>
      <c r="H41" s="33">
        <v>7</v>
      </c>
      <c r="I41" s="34">
        <v>3.5</v>
      </c>
      <c r="J41" s="32">
        <v>4.5</v>
      </c>
      <c r="K41" s="32">
        <v>5.5</v>
      </c>
      <c r="L41" s="35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7" t="s">
        <v>63</v>
      </c>
      <c r="B44" s="68" t="s">
        <v>64</v>
      </c>
      <c r="E44" s="217" t="s">
        <v>65</v>
      </c>
      <c r="F44" s="218"/>
      <c r="G44" s="218"/>
      <c r="H44" s="218"/>
      <c r="I44" s="218"/>
      <c r="J44" s="218"/>
      <c r="K44" s="218"/>
      <c r="L44" s="219"/>
    </row>
    <row r="45" spans="1:12" x14ac:dyDescent="0.25">
      <c r="A45" s="64" t="s">
        <v>60</v>
      </c>
      <c r="B45" s="69" t="s">
        <v>47</v>
      </c>
      <c r="D45" s="72" t="s">
        <v>69</v>
      </c>
      <c r="E45" s="241">
        <f>E25*F$39+E$39*F25-F25*F$39</f>
        <v>0</v>
      </c>
      <c r="F45" s="242">
        <f>F25*F$39</f>
        <v>0</v>
      </c>
      <c r="G45" s="242">
        <f>G25*G$39</f>
        <v>0</v>
      </c>
      <c r="H45" s="243">
        <f>G25*H$39+G$39*H25-G25*G$39</f>
        <v>1.76</v>
      </c>
      <c r="I45" s="241">
        <f>I25*J$39+I$39*J25-J25*J$39</f>
        <v>0</v>
      </c>
      <c r="J45" s="242">
        <f>J25*J$39</f>
        <v>0</v>
      </c>
      <c r="K45" s="242">
        <f>K25*K$39</f>
        <v>0</v>
      </c>
      <c r="L45" s="243">
        <f>K25*L$39+K$39*L25-K25*K$39</f>
        <v>1.2</v>
      </c>
    </row>
    <row r="46" spans="1:12" x14ac:dyDescent="0.25">
      <c r="A46" s="65" t="s">
        <v>60</v>
      </c>
      <c r="B46" s="70" t="s">
        <v>46</v>
      </c>
      <c r="D46" s="73" t="s">
        <v>68</v>
      </c>
      <c r="E46" s="244">
        <f>IF(E26*F$39+E$39*F26-F26*F$39&lt;0,0,E26*F$39+E$39*F26-F26*F$39)</f>
        <v>0</v>
      </c>
      <c r="F46" s="245">
        <f t="shared" ref="F46:G48" si="23">F26*F$39</f>
        <v>1.5400000000000003</v>
      </c>
      <c r="G46" s="245">
        <f t="shared" si="23"/>
        <v>3.52</v>
      </c>
      <c r="H46" s="246">
        <f t="shared" ref="H46:H48" si="24">G26*H$39+G$39*H26-G26*G$39</f>
        <v>5.0600000000000005</v>
      </c>
      <c r="I46" s="244">
        <f t="shared" ref="I46:I48" si="25">I26*J$39+I$39*J26-J26*J$39</f>
        <v>0.19999999999999996</v>
      </c>
      <c r="J46" s="245">
        <f t="shared" ref="J46:K48" si="26">J26*J$39</f>
        <v>1.5400000000000003</v>
      </c>
      <c r="K46" s="245">
        <f t="shared" si="26"/>
        <v>3.52</v>
      </c>
      <c r="L46" s="246">
        <f t="shared" ref="L46:L48" si="27">K26*L$39+K$39*L26-K26*K$39</f>
        <v>4.6000000000000014</v>
      </c>
    </row>
    <row r="47" spans="1:12" x14ac:dyDescent="0.25">
      <c r="A47" s="65" t="s">
        <v>60</v>
      </c>
      <c r="B47" s="70" t="s">
        <v>45</v>
      </c>
      <c r="D47" s="73" t="s">
        <v>67</v>
      </c>
      <c r="E47" s="244">
        <f t="shared" ref="E47:E48" si="28">E27*F$39+E$39*F27-F27*F$39</f>
        <v>2.2549999999999999</v>
      </c>
      <c r="F47" s="245">
        <f t="shared" si="23"/>
        <v>3.8500000000000005</v>
      </c>
      <c r="G47" s="245">
        <f t="shared" si="23"/>
        <v>6.16</v>
      </c>
      <c r="H47" s="246">
        <f t="shared" si="24"/>
        <v>9.1550000000000011</v>
      </c>
      <c r="I47" s="244">
        <f t="shared" si="25"/>
        <v>2.7399999999999993</v>
      </c>
      <c r="J47" s="245">
        <f t="shared" si="26"/>
        <v>3.8500000000000005</v>
      </c>
      <c r="K47" s="245">
        <f t="shared" si="26"/>
        <v>6.16</v>
      </c>
      <c r="L47" s="246">
        <f t="shared" si="27"/>
        <v>8.129999999999999</v>
      </c>
    </row>
    <row r="48" spans="1:12" ht="15.75" thickBot="1" x14ac:dyDescent="0.3">
      <c r="A48" s="66" t="s">
        <v>60</v>
      </c>
      <c r="B48" s="71" t="s">
        <v>44</v>
      </c>
      <c r="D48" s="74" t="s">
        <v>66</v>
      </c>
      <c r="E48" s="247">
        <f t="shared" si="28"/>
        <v>3.8900000000000006</v>
      </c>
      <c r="F48" s="248">
        <f t="shared" si="23"/>
        <v>7</v>
      </c>
      <c r="G48" s="248">
        <f t="shared" si="23"/>
        <v>8</v>
      </c>
      <c r="H48" s="249">
        <f t="shared" si="24"/>
        <v>9.5</v>
      </c>
      <c r="I48" s="247">
        <f t="shared" si="25"/>
        <v>4.8099999999999987</v>
      </c>
      <c r="J48" s="248">
        <f t="shared" si="26"/>
        <v>7</v>
      </c>
      <c r="K48" s="248">
        <f t="shared" si="26"/>
        <v>8</v>
      </c>
      <c r="L48" s="249">
        <f t="shared" si="27"/>
        <v>9</v>
      </c>
    </row>
    <row r="49" spans="1:73" x14ac:dyDescent="0.25">
      <c r="A49" s="64" t="s">
        <v>61</v>
      </c>
      <c r="B49" s="69" t="s">
        <v>47</v>
      </c>
      <c r="D49" s="72" t="s">
        <v>70</v>
      </c>
      <c r="E49" s="241">
        <f>E25*F$40+E$40*F25-F25*F$40</f>
        <v>0</v>
      </c>
      <c r="F49" s="242">
        <f>F25*F$40</f>
        <v>0</v>
      </c>
      <c r="G49" s="242">
        <f>G25*G$40</f>
        <v>0</v>
      </c>
      <c r="H49" s="243">
        <f>G25*H$40+G$40*H25-G25*G$40</f>
        <v>0.66</v>
      </c>
      <c r="I49" s="241">
        <f>I25*J$40+I$40*J25-J25*J$40</f>
        <v>0</v>
      </c>
      <c r="J49" s="242">
        <f>J25*J$40</f>
        <v>0</v>
      </c>
      <c r="K49" s="242">
        <f>K25*K$40</f>
        <v>0</v>
      </c>
      <c r="L49" s="243">
        <f>K25*L$40+K$40*L25-K25*K$40</f>
        <v>0.44999999999999996</v>
      </c>
    </row>
    <row r="50" spans="1:73" x14ac:dyDescent="0.25">
      <c r="A50" s="65" t="s">
        <v>61</v>
      </c>
      <c r="B50" s="70" t="s">
        <v>46</v>
      </c>
      <c r="D50" s="73" t="s">
        <v>75</v>
      </c>
      <c r="E50" s="244">
        <f>IF(E26*F$40+E$40*F26-F26*F$40&lt;0,0,E26*F$40+E$40*F26-F26*F$40)</f>
        <v>0</v>
      </c>
      <c r="F50" s="245">
        <f t="shared" ref="F50:G52" si="29">F26*F$40</f>
        <v>0.44000000000000006</v>
      </c>
      <c r="G50" s="245">
        <f t="shared" si="29"/>
        <v>1.32</v>
      </c>
      <c r="H50" s="246">
        <f t="shared" ref="H50:H52" si="30">G26*H$40+G$40*H26-G26*G$40</f>
        <v>2.3099999999999996</v>
      </c>
      <c r="I50" s="244">
        <f t="shared" ref="I50:I52" si="31">I26*J$40+I$40*J26-J26*J$40</f>
        <v>5.3999999999999992E-2</v>
      </c>
      <c r="J50" s="245">
        <f t="shared" ref="J50:K52" si="32">J26*J$40</f>
        <v>0.44000000000000006</v>
      </c>
      <c r="K50" s="245">
        <f t="shared" si="32"/>
        <v>1.32</v>
      </c>
      <c r="L50" s="246">
        <f t="shared" ref="L50:L52" si="33">K26*L$40+K$40*L26-K26*K$40</f>
        <v>2</v>
      </c>
    </row>
    <row r="51" spans="1:73" x14ac:dyDescent="0.25">
      <c r="A51" s="65" t="s">
        <v>61</v>
      </c>
      <c r="B51" s="70" t="s">
        <v>45</v>
      </c>
      <c r="D51" s="73" t="s">
        <v>76</v>
      </c>
      <c r="E51" s="244">
        <f t="shared" ref="E51:E52" si="34">E27*F$40+E$40*F27-F27*F$40</f>
        <v>0.60499999999999998</v>
      </c>
      <c r="F51" s="245">
        <f t="shared" si="29"/>
        <v>1.1000000000000001</v>
      </c>
      <c r="G51" s="245">
        <f t="shared" si="29"/>
        <v>2.31</v>
      </c>
      <c r="H51" s="246">
        <f t="shared" si="30"/>
        <v>4.1549999999999994</v>
      </c>
      <c r="I51" s="244">
        <f t="shared" si="31"/>
        <v>0.77499999999999991</v>
      </c>
      <c r="J51" s="245">
        <f t="shared" si="32"/>
        <v>1.1000000000000001</v>
      </c>
      <c r="K51" s="245">
        <f t="shared" si="32"/>
        <v>2.31</v>
      </c>
      <c r="L51" s="246">
        <f t="shared" si="33"/>
        <v>3.53</v>
      </c>
    </row>
    <row r="52" spans="1:73" ht="15.75" thickBot="1" x14ac:dyDescent="0.3">
      <c r="A52" s="66" t="s">
        <v>61</v>
      </c>
      <c r="B52" s="71" t="s">
        <v>44</v>
      </c>
      <c r="D52" s="74" t="s">
        <v>77</v>
      </c>
      <c r="E52" s="247">
        <f t="shared" si="34"/>
        <v>1.04</v>
      </c>
      <c r="F52" s="248">
        <f t="shared" si="29"/>
        <v>2</v>
      </c>
      <c r="G52" s="248">
        <f t="shared" si="29"/>
        <v>3</v>
      </c>
      <c r="H52" s="249">
        <f t="shared" si="30"/>
        <v>4.5</v>
      </c>
      <c r="I52" s="247">
        <f t="shared" si="31"/>
        <v>1.3599999999999999</v>
      </c>
      <c r="J52" s="248">
        <f t="shared" si="32"/>
        <v>2</v>
      </c>
      <c r="K52" s="248">
        <f t="shared" si="32"/>
        <v>3</v>
      </c>
      <c r="L52" s="249">
        <f t="shared" si="33"/>
        <v>4</v>
      </c>
    </row>
    <row r="53" spans="1:73" x14ac:dyDescent="0.25">
      <c r="A53" s="64" t="s">
        <v>62</v>
      </c>
      <c r="B53" s="69" t="s">
        <v>47</v>
      </c>
      <c r="D53" s="72" t="s">
        <v>72</v>
      </c>
      <c r="E53" s="244">
        <f>E25*F$41+E$41*F25-F25*F$41</f>
        <v>0</v>
      </c>
      <c r="F53" s="245">
        <f>F25*F$41</f>
        <v>0</v>
      </c>
      <c r="G53" s="245">
        <f>G25*G$41</f>
        <v>0</v>
      </c>
      <c r="H53" s="246">
        <f>G25*H$41+G$41*H25-G25*G$41</f>
        <v>1.21</v>
      </c>
      <c r="I53" s="244">
        <f>I25*J$41+I$41*J25-J25*J$41</f>
        <v>0</v>
      </c>
      <c r="J53" s="245">
        <f>J25*J$41</f>
        <v>0</v>
      </c>
      <c r="K53" s="245">
        <f>K25*K$41</f>
        <v>0</v>
      </c>
      <c r="L53" s="246">
        <f>K25*L$41+K$41*L25-K25*K$41</f>
        <v>0.82499999999999996</v>
      </c>
    </row>
    <row r="54" spans="1:73" x14ac:dyDescent="0.25">
      <c r="A54" s="65" t="s">
        <v>62</v>
      </c>
      <c r="B54" s="70" t="s">
        <v>46</v>
      </c>
      <c r="D54" s="73" t="s">
        <v>71</v>
      </c>
      <c r="E54" s="244">
        <f>IF(E26*F$41+E$41*F26-F26*F$41&lt;0,0,E26*F$41+E$41*F26-F26*F$41)</f>
        <v>0</v>
      </c>
      <c r="F54" s="245">
        <f t="shared" ref="F54:G56" si="35">F26*F$41</f>
        <v>0.9900000000000001</v>
      </c>
      <c r="G54" s="245">
        <f t="shared" si="35"/>
        <v>2.42</v>
      </c>
      <c r="H54" s="246">
        <f t="shared" ref="H54:H56" si="36">G26*H$41+G$41*H26-G26*G$41</f>
        <v>3.6850000000000005</v>
      </c>
      <c r="I54" s="244">
        <f t="shared" ref="I54:I56" si="37">I26*J$41+I$41*J26-J26*J$41</f>
        <v>4.9999999999999933E-2</v>
      </c>
      <c r="J54" s="245">
        <f t="shared" ref="J54:K56" si="38">J26*J$41</f>
        <v>0.9900000000000001</v>
      </c>
      <c r="K54" s="245">
        <f t="shared" si="38"/>
        <v>2.42</v>
      </c>
      <c r="L54" s="246">
        <f t="shared" ref="L54:L56" si="39">K26*L$41+K$41*L26-K26*K$41</f>
        <v>3.3000000000000007</v>
      </c>
    </row>
    <row r="55" spans="1:73" x14ac:dyDescent="0.25">
      <c r="A55" s="65" t="s">
        <v>62</v>
      </c>
      <c r="B55" s="70" t="s">
        <v>45</v>
      </c>
      <c r="D55" s="73" t="s">
        <v>73</v>
      </c>
      <c r="E55" s="244">
        <f t="shared" ref="E55:E56" si="40">E27*F$41+E$41*F27-F27*F$41</f>
        <v>1.1550000000000002</v>
      </c>
      <c r="F55" s="245">
        <f t="shared" si="35"/>
        <v>2.4750000000000001</v>
      </c>
      <c r="G55" s="245">
        <f t="shared" si="35"/>
        <v>4.2350000000000003</v>
      </c>
      <c r="H55" s="246">
        <f t="shared" si="36"/>
        <v>6.6550000000000002</v>
      </c>
      <c r="I55" s="244">
        <f t="shared" si="37"/>
        <v>1.5650000000000008</v>
      </c>
      <c r="J55" s="245">
        <f t="shared" si="38"/>
        <v>2.4750000000000001</v>
      </c>
      <c r="K55" s="245">
        <f t="shared" si="38"/>
        <v>4.2350000000000003</v>
      </c>
      <c r="L55" s="246">
        <f t="shared" si="39"/>
        <v>5.830000000000001</v>
      </c>
    </row>
    <row r="56" spans="1:73" ht="15.75" thickBot="1" x14ac:dyDescent="0.3">
      <c r="A56" s="66" t="s">
        <v>62</v>
      </c>
      <c r="B56" s="71" t="s">
        <v>44</v>
      </c>
      <c r="D56" s="74" t="s">
        <v>74</v>
      </c>
      <c r="E56" s="247">
        <f t="shared" si="40"/>
        <v>1.9649999999999999</v>
      </c>
      <c r="F56" s="248">
        <f t="shared" si="35"/>
        <v>4.5</v>
      </c>
      <c r="G56" s="248">
        <f t="shared" si="35"/>
        <v>5.5</v>
      </c>
      <c r="H56" s="249">
        <f t="shared" si="36"/>
        <v>7</v>
      </c>
      <c r="I56" s="247">
        <f t="shared" si="37"/>
        <v>2.7349999999999994</v>
      </c>
      <c r="J56" s="248">
        <f t="shared" si="38"/>
        <v>4.5</v>
      </c>
      <c r="K56" s="248">
        <f t="shared" si="38"/>
        <v>5.5</v>
      </c>
      <c r="L56" s="249">
        <f t="shared" si="39"/>
        <v>6.5</v>
      </c>
    </row>
    <row r="59" spans="1:73" ht="18.75" x14ac:dyDescent="0.3">
      <c r="A59" s="85" t="s">
        <v>92</v>
      </c>
      <c r="B59" s="38"/>
      <c r="C59" s="38"/>
    </row>
    <row r="60" spans="1:73" x14ac:dyDescent="0.25">
      <c r="A60" s="1" t="s">
        <v>49</v>
      </c>
      <c r="B60" s="38"/>
      <c r="C60" s="38"/>
    </row>
    <row r="61" spans="1:73" ht="15.75" thickBot="1" x14ac:dyDescent="0.3">
      <c r="A61" s="39" t="s">
        <v>97</v>
      </c>
      <c r="B61" s="38"/>
      <c r="C61" s="38"/>
      <c r="BO61" s="245">
        <v>0.8</v>
      </c>
    </row>
    <row r="62" spans="1:73" ht="86.25" customHeight="1" thickBot="1" x14ac:dyDescent="0.3">
      <c r="A62" s="222" t="s">
        <v>26</v>
      </c>
      <c r="B62" s="222" t="s">
        <v>27</v>
      </c>
      <c r="C62" s="223" t="s">
        <v>28</v>
      </c>
      <c r="D62" s="224" t="s">
        <v>58</v>
      </c>
      <c r="E62" s="225"/>
      <c r="F62" s="225"/>
      <c r="G62" s="225" t="s">
        <v>59</v>
      </c>
      <c r="H62" s="225"/>
      <c r="I62" s="225"/>
      <c r="J62" s="220" t="s">
        <v>88</v>
      </c>
      <c r="K62" s="210" t="s">
        <v>81</v>
      </c>
      <c r="L62" s="211"/>
      <c r="M62" s="211"/>
      <c r="N62" s="211"/>
      <c r="O62" s="211"/>
      <c r="P62" s="211"/>
      <c r="Q62" s="211"/>
      <c r="R62" s="212"/>
      <c r="S62" s="261" t="s">
        <v>79</v>
      </c>
      <c r="T62" s="262"/>
      <c r="U62" s="262"/>
      <c r="V62" s="262"/>
      <c r="W62" s="262"/>
      <c r="X62" s="262"/>
      <c r="Y62" s="262"/>
      <c r="Z62" s="263"/>
      <c r="AA62" s="261" t="s">
        <v>80</v>
      </c>
      <c r="AB62" s="262"/>
      <c r="AC62" s="262"/>
      <c r="AD62" s="262"/>
      <c r="AE62" s="262"/>
      <c r="AF62" s="262"/>
      <c r="AG62" s="262"/>
      <c r="AH62" s="263"/>
      <c r="AI62" s="261" t="s">
        <v>78</v>
      </c>
      <c r="AJ62" s="262"/>
      <c r="AK62" s="262"/>
      <c r="AL62" s="262"/>
      <c r="AM62" s="262"/>
      <c r="AN62" s="262"/>
      <c r="AO62" s="262"/>
      <c r="AP62" s="263"/>
      <c r="AQ62" s="261" t="s">
        <v>89</v>
      </c>
      <c r="AR62" s="262"/>
      <c r="AS62" s="262"/>
      <c r="AT62" s="262"/>
      <c r="AU62" s="262"/>
      <c r="AV62" s="262"/>
      <c r="AW62" s="262"/>
      <c r="AX62" s="263"/>
      <c r="AY62" s="261" t="s">
        <v>90</v>
      </c>
      <c r="AZ62" s="262"/>
      <c r="BA62" s="262"/>
      <c r="BB62" s="262"/>
      <c r="BC62" s="262"/>
      <c r="BD62" s="262"/>
      <c r="BE62" s="262"/>
      <c r="BF62" s="263"/>
      <c r="BG62" s="261" t="s">
        <v>134</v>
      </c>
      <c r="BH62" s="262"/>
      <c r="BI62" s="262"/>
      <c r="BJ62" s="262"/>
      <c r="BK62" s="262"/>
      <c r="BL62" s="262"/>
      <c r="BM62" s="262"/>
      <c r="BN62" s="263"/>
      <c r="BO62" s="264" t="s">
        <v>82</v>
      </c>
      <c r="BP62" s="265"/>
      <c r="BQ62" s="265"/>
      <c r="BR62" s="266"/>
      <c r="BS62" s="267" t="s">
        <v>84</v>
      </c>
      <c r="BT62" s="268"/>
      <c r="BU62" s="269" t="s">
        <v>87</v>
      </c>
    </row>
    <row r="63" spans="1:73" s="36" customFormat="1" ht="23.25" customHeight="1" thickBot="1" x14ac:dyDescent="0.3">
      <c r="A63" s="222"/>
      <c r="B63" s="222"/>
      <c r="C63" s="223"/>
      <c r="D63" s="61" t="s">
        <v>50</v>
      </c>
      <c r="E63" s="46" t="s">
        <v>51</v>
      </c>
      <c r="F63" s="46" t="s">
        <v>52</v>
      </c>
      <c r="G63" s="46" t="s">
        <v>50</v>
      </c>
      <c r="H63" s="46" t="s">
        <v>51</v>
      </c>
      <c r="I63" s="46" t="s">
        <v>52</v>
      </c>
      <c r="J63" s="221"/>
      <c r="K63" s="210" t="s">
        <v>3</v>
      </c>
      <c r="L63" s="211"/>
      <c r="M63" s="211"/>
      <c r="N63" s="212"/>
      <c r="O63" s="210" t="s">
        <v>4</v>
      </c>
      <c r="P63" s="211"/>
      <c r="Q63" s="211"/>
      <c r="R63" s="212"/>
      <c r="S63" s="261" t="s">
        <v>3</v>
      </c>
      <c r="T63" s="262"/>
      <c r="U63" s="262"/>
      <c r="V63" s="263"/>
      <c r="W63" s="261" t="s">
        <v>4</v>
      </c>
      <c r="X63" s="262"/>
      <c r="Y63" s="262"/>
      <c r="Z63" s="263"/>
      <c r="AA63" s="261" t="s">
        <v>3</v>
      </c>
      <c r="AB63" s="262"/>
      <c r="AC63" s="262"/>
      <c r="AD63" s="263"/>
      <c r="AE63" s="261" t="s">
        <v>4</v>
      </c>
      <c r="AF63" s="262"/>
      <c r="AG63" s="262"/>
      <c r="AH63" s="263"/>
      <c r="AI63" s="261" t="s">
        <v>3</v>
      </c>
      <c r="AJ63" s="262"/>
      <c r="AK63" s="262"/>
      <c r="AL63" s="263"/>
      <c r="AM63" s="261" t="s">
        <v>4</v>
      </c>
      <c r="AN63" s="262"/>
      <c r="AO63" s="262"/>
      <c r="AP63" s="263"/>
      <c r="AQ63" s="261" t="s">
        <v>3</v>
      </c>
      <c r="AR63" s="262"/>
      <c r="AS63" s="262"/>
      <c r="AT63" s="263"/>
      <c r="AU63" s="261" t="s">
        <v>4</v>
      </c>
      <c r="AV63" s="262"/>
      <c r="AW63" s="262"/>
      <c r="AX63" s="263"/>
      <c r="AY63" s="261" t="s">
        <v>3</v>
      </c>
      <c r="AZ63" s="262"/>
      <c r="BA63" s="262"/>
      <c r="BB63" s="263"/>
      <c r="BC63" s="261" t="s">
        <v>4</v>
      </c>
      <c r="BD63" s="262"/>
      <c r="BE63" s="262"/>
      <c r="BF63" s="263"/>
      <c r="BG63" s="261" t="s">
        <v>3</v>
      </c>
      <c r="BH63" s="262"/>
      <c r="BI63" s="262"/>
      <c r="BJ63" s="263"/>
      <c r="BK63" s="261" t="s">
        <v>4</v>
      </c>
      <c r="BL63" s="262"/>
      <c r="BM63" s="262"/>
      <c r="BN63" s="263"/>
      <c r="BO63" s="270" t="s">
        <v>83</v>
      </c>
      <c r="BP63" s="271"/>
      <c r="BQ63" s="270" t="s">
        <v>5</v>
      </c>
      <c r="BR63" s="272"/>
      <c r="BS63" s="273" t="s">
        <v>85</v>
      </c>
      <c r="BT63" s="273" t="s">
        <v>86</v>
      </c>
      <c r="BU63" s="274"/>
    </row>
    <row r="64" spans="1:73" ht="30" x14ac:dyDescent="0.25">
      <c r="A64" s="41" t="s">
        <v>0</v>
      </c>
      <c r="B64" s="41" t="s">
        <v>25</v>
      </c>
      <c r="C64" s="60" t="s">
        <v>13</v>
      </c>
      <c r="D64" s="92" t="s">
        <v>46</v>
      </c>
      <c r="E64" s="92" t="s">
        <v>45</v>
      </c>
      <c r="F64" s="92" t="s">
        <v>44</v>
      </c>
      <c r="G64" s="49">
        <f>IF(D64=$A$77,$B$77,(IF(D64=$A$78,$B$78,IF(D64=$A$79,$B$79,$B$80))))</f>
        <v>0.33</v>
      </c>
      <c r="H64" s="49">
        <f t="shared" ref="H64:I73" si="41">IF(E64=$A$77,$B$77,(IF(E64=$A$78,$B$78,IF(E64=$A$79,$B$79,$B$80))))</f>
        <v>0.66</v>
      </c>
      <c r="I64" s="49">
        <f t="shared" si="41"/>
        <v>1</v>
      </c>
      <c r="J64" s="83">
        <f>G64*$D$91+H64*$D$92+I64*$D$93</f>
        <v>12.425000000000001</v>
      </c>
      <c r="K64" s="20">
        <v>0</v>
      </c>
      <c r="L64" s="22">
        <v>0.22000000000000003</v>
      </c>
      <c r="M64" s="22">
        <v>0.44</v>
      </c>
      <c r="N64" s="23">
        <v>0.55000000000000004</v>
      </c>
      <c r="O64" s="20">
        <v>0.06</v>
      </c>
      <c r="P64" s="242">
        <v>0.22000000000000003</v>
      </c>
      <c r="Q64" s="242">
        <v>0.44</v>
      </c>
      <c r="R64" s="243">
        <v>0.52</v>
      </c>
      <c r="S64" s="241">
        <v>0.44000000000000006</v>
      </c>
      <c r="T64" s="242">
        <v>0.55000000000000004</v>
      </c>
      <c r="U64" s="242">
        <v>0.77</v>
      </c>
      <c r="V64" s="243">
        <v>1</v>
      </c>
      <c r="W64" s="241">
        <v>0.47000000000000003</v>
      </c>
      <c r="X64" s="242">
        <v>0.55000000000000004</v>
      </c>
      <c r="Y64" s="242">
        <v>0.77</v>
      </c>
      <c r="Z64" s="243">
        <v>0.92</v>
      </c>
      <c r="AA64" s="241">
        <v>0.77</v>
      </c>
      <c r="AB64" s="242">
        <v>1</v>
      </c>
      <c r="AC64" s="242">
        <v>1</v>
      </c>
      <c r="AD64" s="243">
        <v>1</v>
      </c>
      <c r="AE64" s="241">
        <v>0.83</v>
      </c>
      <c r="AF64" s="242">
        <v>1</v>
      </c>
      <c r="AG64" s="242">
        <v>1</v>
      </c>
      <c r="AH64" s="243">
        <v>1</v>
      </c>
      <c r="AI64" s="241">
        <v>0</v>
      </c>
      <c r="AJ64" s="242">
        <v>1.5400000000000003</v>
      </c>
      <c r="AK64" s="242">
        <v>3.52</v>
      </c>
      <c r="AL64" s="243">
        <v>5.0600000000000005</v>
      </c>
      <c r="AM64" s="241">
        <v>0.19999999999999996</v>
      </c>
      <c r="AN64" s="242">
        <v>1.5400000000000003</v>
      </c>
      <c r="AO64" s="242">
        <v>3.52</v>
      </c>
      <c r="AP64" s="243">
        <v>4.6000000000000014</v>
      </c>
      <c r="AQ64" s="241">
        <v>2.2549999999999999</v>
      </c>
      <c r="AR64" s="242">
        <v>3.8500000000000005</v>
      </c>
      <c r="AS64" s="242">
        <v>6.16</v>
      </c>
      <c r="AT64" s="242">
        <v>9.1550000000000011</v>
      </c>
      <c r="AU64" s="241">
        <v>2.7399999999999993</v>
      </c>
      <c r="AV64" s="242">
        <v>3.8500000000000005</v>
      </c>
      <c r="AW64" s="242">
        <v>6.16</v>
      </c>
      <c r="AX64" s="243">
        <v>8.129999999999999</v>
      </c>
      <c r="AY64" s="241">
        <v>1.9649999999999999</v>
      </c>
      <c r="AZ64" s="242">
        <v>4.5</v>
      </c>
      <c r="BA64" s="242">
        <v>5.5</v>
      </c>
      <c r="BB64" s="242">
        <v>7</v>
      </c>
      <c r="BC64" s="241">
        <v>2.7349999999999994</v>
      </c>
      <c r="BD64" s="242">
        <v>4.5</v>
      </c>
      <c r="BE64" s="242">
        <v>5.5</v>
      </c>
      <c r="BF64" s="243">
        <v>6.5</v>
      </c>
      <c r="BG64" s="241">
        <f>AI64+AQ64+AY64</f>
        <v>4.22</v>
      </c>
      <c r="BH64" s="242">
        <f t="shared" ref="BH64:BN73" si="42">AJ64+AR64+AZ64</f>
        <v>9.89</v>
      </c>
      <c r="BI64" s="242">
        <f t="shared" si="42"/>
        <v>15.18</v>
      </c>
      <c r="BJ64" s="242">
        <f t="shared" si="42"/>
        <v>21.215000000000003</v>
      </c>
      <c r="BK64" s="241">
        <f t="shared" si="42"/>
        <v>5.6749999999999989</v>
      </c>
      <c r="BL64" s="242">
        <f t="shared" si="42"/>
        <v>9.89</v>
      </c>
      <c r="BM64" s="242">
        <f t="shared" si="42"/>
        <v>15.18</v>
      </c>
      <c r="BN64" s="242">
        <f t="shared" si="42"/>
        <v>19.23</v>
      </c>
      <c r="BO64" s="250">
        <f>BO$9*BH64+(1-BO$9)*BG64</f>
        <v>8.7560000000000002</v>
      </c>
      <c r="BP64" s="275">
        <f>BO$9*BI64+(1-BO$9)*BJ64</f>
        <v>16.387</v>
      </c>
      <c r="BQ64" s="250">
        <f>BO$9*BL64+(1-BO$9)*BK64</f>
        <v>9.0470000000000006</v>
      </c>
      <c r="BR64" s="276">
        <f>BO$9*BM64+(1-BO$9)*BN64</f>
        <v>15.989999999999998</v>
      </c>
      <c r="BS64" s="241">
        <f>(BO64+BP64)/2</f>
        <v>12.5715</v>
      </c>
      <c r="BT64" s="243">
        <f>(BQ64+BR64)/2</f>
        <v>12.5185</v>
      </c>
      <c r="BU64" s="277">
        <f>(BS64+BT64)/2</f>
        <v>12.545</v>
      </c>
    </row>
    <row r="65" spans="1:73" x14ac:dyDescent="0.25">
      <c r="A65" s="41" t="s">
        <v>1</v>
      </c>
      <c r="B65" s="41" t="s">
        <v>14</v>
      </c>
      <c r="C65" s="60" t="s">
        <v>29</v>
      </c>
      <c r="D65" s="92" t="s">
        <v>46</v>
      </c>
      <c r="E65" s="92" t="s">
        <v>46</v>
      </c>
      <c r="F65" s="92" t="s">
        <v>45</v>
      </c>
      <c r="G65" s="49">
        <f t="shared" ref="G65:G73" si="43">IF(D65=$A$77,$B$77,(IF(D65=$A$78,$B$78,IF(D65=$A$79,$B$79,$B$80))))</f>
        <v>0.33</v>
      </c>
      <c r="H65" s="49">
        <f t="shared" si="41"/>
        <v>0.33</v>
      </c>
      <c r="I65" s="49">
        <f t="shared" si="41"/>
        <v>0.66</v>
      </c>
      <c r="J65" s="83">
        <f t="shared" ref="J65:J73" si="44">G65*$D$91+H65*$D$92+I65*$D$93</f>
        <v>8.25</v>
      </c>
      <c r="K65" s="26">
        <v>0</v>
      </c>
      <c r="L65">
        <v>0.22000000000000003</v>
      </c>
      <c r="M65">
        <v>0.44</v>
      </c>
      <c r="N65" s="27">
        <v>0.55000000000000004</v>
      </c>
      <c r="O65" s="26">
        <v>0.06</v>
      </c>
      <c r="P65" s="245">
        <v>0.22000000000000003</v>
      </c>
      <c r="Q65" s="245">
        <v>0.44</v>
      </c>
      <c r="R65" s="246">
        <v>0.52</v>
      </c>
      <c r="S65" s="244">
        <v>0</v>
      </c>
      <c r="T65" s="245">
        <v>0.22000000000000003</v>
      </c>
      <c r="U65" s="245">
        <v>0.44</v>
      </c>
      <c r="V65" s="246">
        <v>0.55000000000000004</v>
      </c>
      <c r="W65" s="244">
        <v>0.06</v>
      </c>
      <c r="X65" s="245">
        <v>0.22000000000000003</v>
      </c>
      <c r="Y65" s="245">
        <v>0.44</v>
      </c>
      <c r="Z65" s="246">
        <v>0.52</v>
      </c>
      <c r="AA65" s="244">
        <v>0.44000000000000006</v>
      </c>
      <c r="AB65" s="245">
        <v>0.55000000000000004</v>
      </c>
      <c r="AC65" s="245">
        <v>0.77</v>
      </c>
      <c r="AD65" s="246">
        <v>1</v>
      </c>
      <c r="AE65" s="244">
        <v>0.47000000000000003</v>
      </c>
      <c r="AF65" s="245">
        <v>0.55000000000000004</v>
      </c>
      <c r="AG65" s="245">
        <v>0.77</v>
      </c>
      <c r="AH65" s="246">
        <v>0.92</v>
      </c>
      <c r="AI65" s="244">
        <v>0</v>
      </c>
      <c r="AJ65" s="245">
        <v>1.5400000000000003</v>
      </c>
      <c r="AK65" s="245">
        <v>3.52</v>
      </c>
      <c r="AL65" s="246">
        <v>5.0600000000000005</v>
      </c>
      <c r="AM65" s="244">
        <v>0.19999999999999996</v>
      </c>
      <c r="AN65" s="245">
        <v>1.5400000000000003</v>
      </c>
      <c r="AO65" s="245">
        <v>3.52</v>
      </c>
      <c r="AP65" s="246">
        <v>4.6000000000000014</v>
      </c>
      <c r="AQ65" s="244">
        <v>0</v>
      </c>
      <c r="AR65" s="245">
        <v>1.5400000000000003</v>
      </c>
      <c r="AS65" s="245">
        <v>3.52</v>
      </c>
      <c r="AT65" s="245">
        <v>5.0600000000000005</v>
      </c>
      <c r="AU65" s="244">
        <v>0.19999999999999996</v>
      </c>
      <c r="AV65" s="245">
        <v>1.5400000000000003</v>
      </c>
      <c r="AW65" s="245">
        <v>3.52</v>
      </c>
      <c r="AX65" s="246">
        <v>4.6000000000000014</v>
      </c>
      <c r="AY65" s="244">
        <v>1.1550000000000002</v>
      </c>
      <c r="AZ65" s="245">
        <v>2.4750000000000001</v>
      </c>
      <c r="BA65" s="245">
        <v>4.2350000000000003</v>
      </c>
      <c r="BB65" s="245">
        <v>6.6550000000000002</v>
      </c>
      <c r="BC65" s="244">
        <v>1.5650000000000008</v>
      </c>
      <c r="BD65" s="245">
        <v>2.4750000000000001</v>
      </c>
      <c r="BE65" s="245">
        <v>4.2350000000000003</v>
      </c>
      <c r="BF65" s="246">
        <v>5.830000000000001</v>
      </c>
      <c r="BG65" s="244">
        <f t="shared" ref="BG65:BG73" si="45">AI65+AQ65+AY65</f>
        <v>1.1550000000000002</v>
      </c>
      <c r="BH65" s="245">
        <f t="shared" si="42"/>
        <v>5.5550000000000006</v>
      </c>
      <c r="BI65" s="245">
        <f t="shared" si="42"/>
        <v>11.275</v>
      </c>
      <c r="BJ65" s="245">
        <f t="shared" si="42"/>
        <v>16.775000000000002</v>
      </c>
      <c r="BK65" s="244">
        <f t="shared" si="42"/>
        <v>1.9650000000000007</v>
      </c>
      <c r="BL65" s="245">
        <f t="shared" si="42"/>
        <v>5.5550000000000006</v>
      </c>
      <c r="BM65" s="245">
        <f t="shared" si="42"/>
        <v>11.275</v>
      </c>
      <c r="BN65" s="245">
        <f t="shared" si="42"/>
        <v>15.030000000000005</v>
      </c>
      <c r="BO65" s="251">
        <f t="shared" ref="BO65:BO73" si="46">BO$9*BH65+(1-BO$9)*BG65</f>
        <v>4.6750000000000007</v>
      </c>
      <c r="BP65" s="278">
        <f t="shared" ref="BP65:BP73" si="47">BO$9*BI65+(1-BO$9)*BJ65</f>
        <v>12.375</v>
      </c>
      <c r="BQ65" s="251">
        <f t="shared" ref="BQ65:BQ73" si="48">BO$9*BL65+(1-BO$9)*BK65</f>
        <v>4.8370000000000006</v>
      </c>
      <c r="BR65" s="279">
        <f t="shared" ref="BR65:BR73" si="49">BO$9*BM65+(1-BO$9)*BN65</f>
        <v>12.026000000000002</v>
      </c>
      <c r="BS65" s="244">
        <f t="shared" ref="BS65:BS73" si="50">(BO65+BP65)/2</f>
        <v>8.5250000000000004</v>
      </c>
      <c r="BT65" s="246">
        <f t="shared" ref="BT65:BT73" si="51">(BQ65+BR65)/2</f>
        <v>8.4315000000000015</v>
      </c>
      <c r="BU65" s="280">
        <f t="shared" ref="BU65:BU73" si="52">(BS65+BT65)/2</f>
        <v>8.478250000000001</v>
      </c>
    </row>
    <row r="66" spans="1:73" x14ac:dyDescent="0.25">
      <c r="A66" s="41" t="s">
        <v>2</v>
      </c>
      <c r="B66" s="41" t="s">
        <v>15</v>
      </c>
      <c r="C66" s="60" t="s">
        <v>30</v>
      </c>
      <c r="D66" s="92" t="s">
        <v>45</v>
      </c>
      <c r="E66" s="92" t="s">
        <v>44</v>
      </c>
      <c r="F66" s="92" t="s">
        <v>45</v>
      </c>
      <c r="G66" s="49">
        <f t="shared" si="43"/>
        <v>0.66</v>
      </c>
      <c r="H66" s="49">
        <f t="shared" si="41"/>
        <v>1</v>
      </c>
      <c r="I66" s="49">
        <f t="shared" si="41"/>
        <v>0.66</v>
      </c>
      <c r="J66" s="83">
        <f t="shared" si="44"/>
        <v>15.75</v>
      </c>
      <c r="K66" s="26">
        <v>0.44000000000000006</v>
      </c>
      <c r="L66">
        <v>0.55000000000000004</v>
      </c>
      <c r="M66">
        <v>0.77</v>
      </c>
      <c r="N66" s="27">
        <v>1</v>
      </c>
      <c r="O66" s="26">
        <v>0.47000000000000003</v>
      </c>
      <c r="P66" s="245">
        <v>0.55000000000000004</v>
      </c>
      <c r="Q66" s="245">
        <v>0.77</v>
      </c>
      <c r="R66" s="246">
        <v>0.92</v>
      </c>
      <c r="S66" s="244">
        <v>0.77</v>
      </c>
      <c r="T66" s="245">
        <v>1</v>
      </c>
      <c r="U66" s="245">
        <v>1</v>
      </c>
      <c r="V66" s="246">
        <v>1</v>
      </c>
      <c r="W66" s="244">
        <v>0.83</v>
      </c>
      <c r="X66" s="245">
        <v>1</v>
      </c>
      <c r="Y66" s="245">
        <v>1</v>
      </c>
      <c r="Z66" s="246">
        <v>1</v>
      </c>
      <c r="AA66" s="244">
        <v>0.44000000000000006</v>
      </c>
      <c r="AB66" s="245">
        <v>0.55000000000000004</v>
      </c>
      <c r="AC66" s="245">
        <v>0.77</v>
      </c>
      <c r="AD66" s="246">
        <v>1</v>
      </c>
      <c r="AE66" s="244">
        <v>0.47000000000000003</v>
      </c>
      <c r="AF66" s="245">
        <v>0.55000000000000004</v>
      </c>
      <c r="AG66" s="245">
        <v>0.77</v>
      </c>
      <c r="AH66" s="246">
        <v>0.92</v>
      </c>
      <c r="AI66" s="244">
        <v>2.2549999999999999</v>
      </c>
      <c r="AJ66" s="245">
        <v>3.8500000000000005</v>
      </c>
      <c r="AK66" s="245">
        <v>6.16</v>
      </c>
      <c r="AL66" s="246">
        <v>9.1550000000000011</v>
      </c>
      <c r="AM66" s="244">
        <v>2.7399999999999993</v>
      </c>
      <c r="AN66" s="245">
        <v>3.8500000000000005</v>
      </c>
      <c r="AO66" s="245">
        <v>6.16</v>
      </c>
      <c r="AP66" s="246">
        <v>8.129999999999999</v>
      </c>
      <c r="AQ66" s="244">
        <v>3.8900000000000006</v>
      </c>
      <c r="AR66" s="245">
        <v>7</v>
      </c>
      <c r="AS66" s="245">
        <v>8</v>
      </c>
      <c r="AT66" s="245">
        <v>9.5</v>
      </c>
      <c r="AU66" s="244">
        <v>4.8099999999999987</v>
      </c>
      <c r="AV66" s="245">
        <v>7</v>
      </c>
      <c r="AW66" s="245">
        <v>8</v>
      </c>
      <c r="AX66" s="246">
        <v>9</v>
      </c>
      <c r="AY66" s="244">
        <v>1.1550000000000002</v>
      </c>
      <c r="AZ66" s="245">
        <v>2.4750000000000001</v>
      </c>
      <c r="BA66" s="245">
        <v>4.2350000000000003</v>
      </c>
      <c r="BB66" s="245">
        <v>6.6550000000000002</v>
      </c>
      <c r="BC66" s="244">
        <v>1.5650000000000008</v>
      </c>
      <c r="BD66" s="245">
        <v>2.4750000000000001</v>
      </c>
      <c r="BE66" s="245">
        <v>4.2350000000000003</v>
      </c>
      <c r="BF66" s="246">
        <v>5.830000000000001</v>
      </c>
      <c r="BG66" s="244">
        <f t="shared" si="45"/>
        <v>7.3000000000000007</v>
      </c>
      <c r="BH66" s="245">
        <f t="shared" si="42"/>
        <v>13.325000000000001</v>
      </c>
      <c r="BI66" s="245">
        <f t="shared" si="42"/>
        <v>18.395</v>
      </c>
      <c r="BJ66" s="245">
        <f t="shared" si="42"/>
        <v>25.310000000000002</v>
      </c>
      <c r="BK66" s="244">
        <f t="shared" si="42"/>
        <v>9.1149999999999984</v>
      </c>
      <c r="BL66" s="245">
        <f t="shared" si="42"/>
        <v>13.325000000000001</v>
      </c>
      <c r="BM66" s="245">
        <f t="shared" si="42"/>
        <v>18.395</v>
      </c>
      <c r="BN66" s="245">
        <f t="shared" si="42"/>
        <v>22.96</v>
      </c>
      <c r="BO66" s="251">
        <f t="shared" si="46"/>
        <v>12.120000000000001</v>
      </c>
      <c r="BP66" s="278">
        <f t="shared" si="47"/>
        <v>19.777999999999999</v>
      </c>
      <c r="BQ66" s="251">
        <f t="shared" si="48"/>
        <v>12.483000000000001</v>
      </c>
      <c r="BR66" s="279">
        <f t="shared" si="49"/>
        <v>19.308</v>
      </c>
      <c r="BS66" s="244">
        <f t="shared" si="50"/>
        <v>15.949</v>
      </c>
      <c r="BT66" s="246">
        <f t="shared" si="51"/>
        <v>15.8955</v>
      </c>
      <c r="BU66" s="280">
        <f t="shared" si="52"/>
        <v>15.92225</v>
      </c>
    </row>
    <row r="67" spans="1:73" x14ac:dyDescent="0.25">
      <c r="A67" s="41" t="s">
        <v>6</v>
      </c>
      <c r="B67" s="41" t="s">
        <v>16</v>
      </c>
      <c r="C67" s="60" t="s">
        <v>17</v>
      </c>
      <c r="D67" s="92" t="s">
        <v>44</v>
      </c>
      <c r="E67" s="92" t="s">
        <v>45</v>
      </c>
      <c r="F67" s="92" t="s">
        <v>46</v>
      </c>
      <c r="G67" s="49">
        <f t="shared" si="43"/>
        <v>1</v>
      </c>
      <c r="H67" s="49">
        <f t="shared" si="41"/>
        <v>0.66</v>
      </c>
      <c r="I67" s="49">
        <f t="shared" si="41"/>
        <v>0.33</v>
      </c>
      <c r="J67" s="83">
        <f t="shared" si="44"/>
        <v>14.1</v>
      </c>
      <c r="K67" s="26">
        <v>0.77</v>
      </c>
      <c r="L67">
        <v>1</v>
      </c>
      <c r="M67">
        <v>1</v>
      </c>
      <c r="N67" s="27">
        <v>1</v>
      </c>
      <c r="O67" s="26">
        <v>0.83</v>
      </c>
      <c r="P67" s="245">
        <v>1</v>
      </c>
      <c r="Q67" s="245">
        <v>1</v>
      </c>
      <c r="R67" s="246">
        <v>1</v>
      </c>
      <c r="S67" s="244">
        <v>0.44000000000000006</v>
      </c>
      <c r="T67" s="245">
        <v>0.55000000000000004</v>
      </c>
      <c r="U67" s="245">
        <v>0.77</v>
      </c>
      <c r="V67" s="246">
        <v>1</v>
      </c>
      <c r="W67" s="244">
        <v>0.47000000000000003</v>
      </c>
      <c r="X67" s="245">
        <v>0.55000000000000004</v>
      </c>
      <c r="Y67" s="245">
        <v>0.77</v>
      </c>
      <c r="Z67" s="246">
        <v>0.92</v>
      </c>
      <c r="AA67" s="244">
        <v>0</v>
      </c>
      <c r="AB67" s="245">
        <v>0.22000000000000003</v>
      </c>
      <c r="AC67" s="245">
        <v>0.44</v>
      </c>
      <c r="AD67" s="246">
        <v>0.55000000000000004</v>
      </c>
      <c r="AE67" s="244">
        <v>0.06</v>
      </c>
      <c r="AF67" s="245">
        <v>0.22000000000000003</v>
      </c>
      <c r="AG67" s="245">
        <v>0.44</v>
      </c>
      <c r="AH67" s="246">
        <v>0.52</v>
      </c>
      <c r="AI67" s="244">
        <v>3.8900000000000006</v>
      </c>
      <c r="AJ67" s="245">
        <v>7</v>
      </c>
      <c r="AK67" s="245">
        <v>8</v>
      </c>
      <c r="AL67" s="246">
        <v>9.5</v>
      </c>
      <c r="AM67" s="244">
        <v>4.8099999999999987</v>
      </c>
      <c r="AN67" s="245">
        <v>7</v>
      </c>
      <c r="AO67" s="245">
        <v>8</v>
      </c>
      <c r="AP67" s="246">
        <v>9</v>
      </c>
      <c r="AQ67" s="244">
        <v>2.2549999999999999</v>
      </c>
      <c r="AR67" s="245">
        <v>3.8500000000000005</v>
      </c>
      <c r="AS67" s="245">
        <v>6.16</v>
      </c>
      <c r="AT67" s="245">
        <v>9.1550000000000011</v>
      </c>
      <c r="AU67" s="244">
        <v>2.7399999999999993</v>
      </c>
      <c r="AV67" s="245">
        <v>3.8500000000000005</v>
      </c>
      <c r="AW67" s="245">
        <v>6.16</v>
      </c>
      <c r="AX67" s="246">
        <v>8.129999999999999</v>
      </c>
      <c r="AY67" s="244">
        <v>0</v>
      </c>
      <c r="AZ67" s="245">
        <v>0.9900000000000001</v>
      </c>
      <c r="BA67" s="245">
        <v>2.42</v>
      </c>
      <c r="BB67" s="245">
        <v>3.6850000000000005</v>
      </c>
      <c r="BC67" s="244">
        <v>4.9999999999999933E-2</v>
      </c>
      <c r="BD67" s="245">
        <v>0.9900000000000001</v>
      </c>
      <c r="BE67" s="245">
        <v>2.42</v>
      </c>
      <c r="BF67" s="246">
        <v>3.3000000000000007</v>
      </c>
      <c r="BG67" s="244">
        <f t="shared" si="45"/>
        <v>6.1450000000000005</v>
      </c>
      <c r="BH67" s="245">
        <f t="shared" si="42"/>
        <v>11.840000000000002</v>
      </c>
      <c r="BI67" s="245">
        <f t="shared" si="42"/>
        <v>16.579999999999998</v>
      </c>
      <c r="BJ67" s="245">
        <f t="shared" si="42"/>
        <v>22.340000000000003</v>
      </c>
      <c r="BK67" s="244">
        <f t="shared" si="42"/>
        <v>7.5999999999999979</v>
      </c>
      <c r="BL67" s="245">
        <f t="shared" si="42"/>
        <v>11.840000000000002</v>
      </c>
      <c r="BM67" s="245">
        <f t="shared" si="42"/>
        <v>16.579999999999998</v>
      </c>
      <c r="BN67" s="245">
        <f t="shared" si="42"/>
        <v>20.43</v>
      </c>
      <c r="BO67" s="251">
        <f t="shared" si="46"/>
        <v>10.701000000000001</v>
      </c>
      <c r="BP67" s="278">
        <f t="shared" si="47"/>
        <v>17.731999999999999</v>
      </c>
      <c r="BQ67" s="251">
        <f t="shared" si="48"/>
        <v>10.992000000000001</v>
      </c>
      <c r="BR67" s="279">
        <f t="shared" si="49"/>
        <v>17.349999999999998</v>
      </c>
      <c r="BS67" s="244">
        <f t="shared" si="50"/>
        <v>14.2165</v>
      </c>
      <c r="BT67" s="246">
        <f t="shared" si="51"/>
        <v>14.170999999999999</v>
      </c>
      <c r="BU67" s="280">
        <f t="shared" si="52"/>
        <v>14.19375</v>
      </c>
    </row>
    <row r="68" spans="1:73" ht="30" x14ac:dyDescent="0.25">
      <c r="A68" s="41" t="s">
        <v>7</v>
      </c>
      <c r="B68" s="41" t="s">
        <v>18</v>
      </c>
      <c r="C68" s="60" t="s">
        <v>31</v>
      </c>
      <c r="D68" s="92" t="s">
        <v>45</v>
      </c>
      <c r="E68" s="92" t="s">
        <v>44</v>
      </c>
      <c r="F68" s="92" t="s">
        <v>45</v>
      </c>
      <c r="G68" s="49">
        <f t="shared" si="43"/>
        <v>0.66</v>
      </c>
      <c r="H68" s="49">
        <f t="shared" si="41"/>
        <v>1</v>
      </c>
      <c r="I68" s="49">
        <f t="shared" si="41"/>
        <v>0.66</v>
      </c>
      <c r="J68" s="83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 s="245">
        <v>0.55000000000000004</v>
      </c>
      <c r="Q68" s="245">
        <v>0.77</v>
      </c>
      <c r="R68" s="246">
        <v>0.92</v>
      </c>
      <c r="S68" s="244">
        <v>0.77</v>
      </c>
      <c r="T68" s="245">
        <v>1</v>
      </c>
      <c r="U68" s="245">
        <v>1</v>
      </c>
      <c r="V68" s="246">
        <v>1</v>
      </c>
      <c r="W68" s="244">
        <v>0.83</v>
      </c>
      <c r="X68" s="245">
        <v>1</v>
      </c>
      <c r="Y68" s="245">
        <v>1</v>
      </c>
      <c r="Z68" s="246">
        <v>1</v>
      </c>
      <c r="AA68" s="244">
        <v>0.44000000000000006</v>
      </c>
      <c r="AB68" s="245">
        <v>0.55000000000000004</v>
      </c>
      <c r="AC68" s="245">
        <v>0.77</v>
      </c>
      <c r="AD68" s="246">
        <v>1</v>
      </c>
      <c r="AE68" s="244">
        <v>0.47000000000000003</v>
      </c>
      <c r="AF68" s="245">
        <v>0.55000000000000004</v>
      </c>
      <c r="AG68" s="245">
        <v>0.77</v>
      </c>
      <c r="AH68" s="246">
        <v>0.92</v>
      </c>
      <c r="AI68" s="244">
        <v>2.2549999999999999</v>
      </c>
      <c r="AJ68" s="245">
        <v>3.8500000000000005</v>
      </c>
      <c r="AK68" s="245">
        <v>6.16</v>
      </c>
      <c r="AL68" s="246">
        <v>9.1550000000000011</v>
      </c>
      <c r="AM68" s="244">
        <v>2.7399999999999993</v>
      </c>
      <c r="AN68" s="245">
        <v>3.8500000000000005</v>
      </c>
      <c r="AO68" s="245">
        <v>6.16</v>
      </c>
      <c r="AP68" s="246">
        <v>8.129999999999999</v>
      </c>
      <c r="AQ68" s="244">
        <v>3.8900000000000006</v>
      </c>
      <c r="AR68" s="245">
        <v>7</v>
      </c>
      <c r="AS68" s="245">
        <v>8</v>
      </c>
      <c r="AT68" s="245">
        <v>9.5</v>
      </c>
      <c r="AU68" s="244">
        <v>4.8099999999999987</v>
      </c>
      <c r="AV68" s="245">
        <v>7</v>
      </c>
      <c r="AW68" s="245">
        <v>8</v>
      </c>
      <c r="AX68" s="246">
        <v>9</v>
      </c>
      <c r="AY68" s="244">
        <v>1.1550000000000002</v>
      </c>
      <c r="AZ68" s="245">
        <v>2.4750000000000001</v>
      </c>
      <c r="BA68" s="245">
        <v>4.2350000000000003</v>
      </c>
      <c r="BB68" s="245">
        <v>6.6550000000000002</v>
      </c>
      <c r="BC68" s="244">
        <v>1.5650000000000008</v>
      </c>
      <c r="BD68" s="245">
        <v>2.4750000000000001</v>
      </c>
      <c r="BE68" s="245">
        <v>4.2350000000000003</v>
      </c>
      <c r="BF68" s="246">
        <v>5.830000000000001</v>
      </c>
      <c r="BG68" s="244">
        <f t="shared" si="45"/>
        <v>7.3000000000000007</v>
      </c>
      <c r="BH68" s="245">
        <f t="shared" si="42"/>
        <v>13.325000000000001</v>
      </c>
      <c r="BI68" s="245">
        <f t="shared" si="42"/>
        <v>18.395</v>
      </c>
      <c r="BJ68" s="245">
        <f t="shared" si="42"/>
        <v>25.310000000000002</v>
      </c>
      <c r="BK68" s="244">
        <f t="shared" si="42"/>
        <v>9.1149999999999984</v>
      </c>
      <c r="BL68" s="245">
        <f t="shared" si="42"/>
        <v>13.325000000000001</v>
      </c>
      <c r="BM68" s="245">
        <f t="shared" si="42"/>
        <v>18.395</v>
      </c>
      <c r="BN68" s="245">
        <f t="shared" si="42"/>
        <v>22.96</v>
      </c>
      <c r="BO68" s="251">
        <f t="shared" si="46"/>
        <v>12.120000000000001</v>
      </c>
      <c r="BP68" s="278">
        <f t="shared" si="47"/>
        <v>19.777999999999999</v>
      </c>
      <c r="BQ68" s="251">
        <f t="shared" si="48"/>
        <v>12.483000000000001</v>
      </c>
      <c r="BR68" s="279">
        <f t="shared" si="49"/>
        <v>19.308</v>
      </c>
      <c r="BS68" s="244">
        <f t="shared" si="50"/>
        <v>15.949</v>
      </c>
      <c r="BT68" s="246">
        <f t="shared" si="51"/>
        <v>15.8955</v>
      </c>
      <c r="BU68" s="280">
        <f t="shared" si="52"/>
        <v>15.92225</v>
      </c>
    </row>
    <row r="69" spans="1:73" x14ac:dyDescent="0.25">
      <c r="A69" s="41" t="s">
        <v>8</v>
      </c>
      <c r="B69" s="41" t="s">
        <v>19</v>
      </c>
      <c r="C69" s="60" t="s">
        <v>32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 s="245">
        <v>1</v>
      </c>
      <c r="Q69" s="245">
        <v>1</v>
      </c>
      <c r="R69" s="246">
        <v>1</v>
      </c>
      <c r="S69" s="244">
        <v>0.44000000000000006</v>
      </c>
      <c r="T69" s="245">
        <v>0.55000000000000004</v>
      </c>
      <c r="U69" s="245">
        <v>0.77</v>
      </c>
      <c r="V69" s="246">
        <v>1</v>
      </c>
      <c r="W69" s="244">
        <v>0.47000000000000003</v>
      </c>
      <c r="X69" s="245">
        <v>0.55000000000000004</v>
      </c>
      <c r="Y69" s="245">
        <v>0.77</v>
      </c>
      <c r="Z69" s="246">
        <v>0.92</v>
      </c>
      <c r="AA69" s="244">
        <v>0</v>
      </c>
      <c r="AB69" s="245">
        <v>0.22000000000000003</v>
      </c>
      <c r="AC69" s="245">
        <v>0.44</v>
      </c>
      <c r="AD69" s="246">
        <v>0.55000000000000004</v>
      </c>
      <c r="AE69" s="244">
        <v>0.06</v>
      </c>
      <c r="AF69" s="245">
        <v>0.22000000000000003</v>
      </c>
      <c r="AG69" s="245">
        <v>0.44</v>
      </c>
      <c r="AH69" s="246">
        <v>0.52</v>
      </c>
      <c r="AI69" s="244">
        <v>3.8900000000000006</v>
      </c>
      <c r="AJ69" s="245">
        <v>7</v>
      </c>
      <c r="AK69" s="245">
        <v>8</v>
      </c>
      <c r="AL69" s="246">
        <v>9.5</v>
      </c>
      <c r="AM69" s="244">
        <v>4.8099999999999987</v>
      </c>
      <c r="AN69" s="245">
        <v>7</v>
      </c>
      <c r="AO69" s="245">
        <v>8</v>
      </c>
      <c r="AP69" s="246">
        <v>9</v>
      </c>
      <c r="AQ69" s="244">
        <v>2.2549999999999999</v>
      </c>
      <c r="AR69" s="245">
        <v>3.8500000000000005</v>
      </c>
      <c r="AS69" s="245">
        <v>6.16</v>
      </c>
      <c r="AT69" s="245">
        <v>9.1550000000000011</v>
      </c>
      <c r="AU69" s="244">
        <v>2.7399999999999993</v>
      </c>
      <c r="AV69" s="245">
        <v>3.8500000000000005</v>
      </c>
      <c r="AW69" s="245">
        <v>6.16</v>
      </c>
      <c r="AX69" s="246">
        <v>8.129999999999999</v>
      </c>
      <c r="AY69" s="244">
        <v>0</v>
      </c>
      <c r="AZ69" s="245">
        <v>0.9900000000000001</v>
      </c>
      <c r="BA69" s="245">
        <v>2.42</v>
      </c>
      <c r="BB69" s="245">
        <v>3.6850000000000005</v>
      </c>
      <c r="BC69" s="244">
        <v>4.9999999999999933E-2</v>
      </c>
      <c r="BD69" s="245">
        <v>0.9900000000000001</v>
      </c>
      <c r="BE69" s="245">
        <v>2.42</v>
      </c>
      <c r="BF69" s="246">
        <v>3.3000000000000007</v>
      </c>
      <c r="BG69" s="244">
        <f t="shared" si="45"/>
        <v>6.1450000000000005</v>
      </c>
      <c r="BH69" s="245">
        <f t="shared" si="42"/>
        <v>11.840000000000002</v>
      </c>
      <c r="BI69" s="245">
        <f t="shared" si="42"/>
        <v>16.579999999999998</v>
      </c>
      <c r="BJ69" s="245">
        <f t="shared" si="42"/>
        <v>22.340000000000003</v>
      </c>
      <c r="BK69" s="244">
        <f t="shared" si="42"/>
        <v>7.5999999999999979</v>
      </c>
      <c r="BL69" s="245">
        <f t="shared" si="42"/>
        <v>11.840000000000002</v>
      </c>
      <c r="BM69" s="245">
        <f t="shared" si="42"/>
        <v>16.579999999999998</v>
      </c>
      <c r="BN69" s="245">
        <f t="shared" si="42"/>
        <v>20.43</v>
      </c>
      <c r="BO69" s="251">
        <f t="shared" si="46"/>
        <v>10.701000000000001</v>
      </c>
      <c r="BP69" s="278">
        <f t="shared" si="47"/>
        <v>17.731999999999999</v>
      </c>
      <c r="BQ69" s="251">
        <f t="shared" si="48"/>
        <v>10.992000000000001</v>
      </c>
      <c r="BR69" s="279">
        <f t="shared" si="49"/>
        <v>17.349999999999998</v>
      </c>
      <c r="BS69" s="244">
        <f t="shared" si="50"/>
        <v>14.2165</v>
      </c>
      <c r="BT69" s="246">
        <f t="shared" si="51"/>
        <v>14.170999999999999</v>
      </c>
      <c r="BU69" s="280">
        <f t="shared" si="52"/>
        <v>14.19375</v>
      </c>
    </row>
    <row r="70" spans="1:73" ht="30" x14ac:dyDescent="0.25">
      <c r="A70" s="41" t="s">
        <v>9</v>
      </c>
      <c r="B70" s="41" t="s">
        <v>20</v>
      </c>
      <c r="C70" s="60" t="s">
        <v>33</v>
      </c>
      <c r="D70" s="92" t="s">
        <v>44</v>
      </c>
      <c r="E70" s="92" t="s">
        <v>45</v>
      </c>
      <c r="F70" s="92" t="s">
        <v>46</v>
      </c>
      <c r="G70" s="49">
        <f t="shared" si="43"/>
        <v>1</v>
      </c>
      <c r="H70" s="49">
        <f t="shared" si="41"/>
        <v>0.66</v>
      </c>
      <c r="I70" s="49">
        <f t="shared" si="41"/>
        <v>0.33</v>
      </c>
      <c r="J70" s="83">
        <f t="shared" si="44"/>
        <v>14.1</v>
      </c>
      <c r="K70" s="26">
        <v>0.77</v>
      </c>
      <c r="L70">
        <v>1</v>
      </c>
      <c r="M70">
        <v>1</v>
      </c>
      <c r="N70" s="27">
        <v>1</v>
      </c>
      <c r="O70" s="26">
        <v>0.83</v>
      </c>
      <c r="P70" s="245">
        <v>1</v>
      </c>
      <c r="Q70" s="245">
        <v>1</v>
      </c>
      <c r="R70" s="246">
        <v>1</v>
      </c>
      <c r="S70" s="244">
        <v>0.44000000000000006</v>
      </c>
      <c r="T70" s="245">
        <v>0.55000000000000004</v>
      </c>
      <c r="U70" s="245">
        <v>0.77</v>
      </c>
      <c r="V70" s="246">
        <v>1</v>
      </c>
      <c r="W70" s="244">
        <v>0.47000000000000003</v>
      </c>
      <c r="X70" s="245">
        <v>0.55000000000000004</v>
      </c>
      <c r="Y70" s="245">
        <v>0.77</v>
      </c>
      <c r="Z70" s="246">
        <v>0.92</v>
      </c>
      <c r="AA70" s="244">
        <v>0</v>
      </c>
      <c r="AB70" s="245">
        <v>0.22000000000000003</v>
      </c>
      <c r="AC70" s="245">
        <v>0.44</v>
      </c>
      <c r="AD70" s="246">
        <v>0.55000000000000004</v>
      </c>
      <c r="AE70" s="244">
        <v>0.06</v>
      </c>
      <c r="AF70" s="245">
        <v>0.22000000000000003</v>
      </c>
      <c r="AG70" s="245">
        <v>0.44</v>
      </c>
      <c r="AH70" s="246">
        <v>0.52</v>
      </c>
      <c r="AI70" s="244">
        <v>3.8900000000000006</v>
      </c>
      <c r="AJ70" s="245">
        <v>7</v>
      </c>
      <c r="AK70" s="245">
        <v>8</v>
      </c>
      <c r="AL70" s="246">
        <v>9.5</v>
      </c>
      <c r="AM70" s="244">
        <v>4.8099999999999987</v>
      </c>
      <c r="AN70" s="245">
        <v>7</v>
      </c>
      <c r="AO70" s="245">
        <v>8</v>
      </c>
      <c r="AP70" s="246">
        <v>9</v>
      </c>
      <c r="AQ70" s="244">
        <v>2.2549999999999999</v>
      </c>
      <c r="AR70" s="245">
        <v>3.8500000000000005</v>
      </c>
      <c r="AS70" s="245">
        <v>6.16</v>
      </c>
      <c r="AT70" s="245">
        <v>9.1550000000000011</v>
      </c>
      <c r="AU70" s="244">
        <v>2.7399999999999993</v>
      </c>
      <c r="AV70" s="245">
        <v>3.8500000000000005</v>
      </c>
      <c r="AW70" s="245">
        <v>6.16</v>
      </c>
      <c r="AX70" s="246">
        <v>8.129999999999999</v>
      </c>
      <c r="AY70" s="244">
        <v>0</v>
      </c>
      <c r="AZ70" s="245">
        <v>0.9900000000000001</v>
      </c>
      <c r="BA70" s="245">
        <v>2.42</v>
      </c>
      <c r="BB70" s="245">
        <v>3.6850000000000005</v>
      </c>
      <c r="BC70" s="244">
        <v>4.9999999999999933E-2</v>
      </c>
      <c r="BD70" s="245">
        <v>0.9900000000000001</v>
      </c>
      <c r="BE70" s="245">
        <v>2.42</v>
      </c>
      <c r="BF70" s="246">
        <v>3.3000000000000007</v>
      </c>
      <c r="BG70" s="244">
        <f t="shared" si="45"/>
        <v>6.1450000000000005</v>
      </c>
      <c r="BH70" s="245">
        <f t="shared" si="42"/>
        <v>11.840000000000002</v>
      </c>
      <c r="BI70" s="245">
        <f t="shared" si="42"/>
        <v>16.579999999999998</v>
      </c>
      <c r="BJ70" s="245">
        <f t="shared" si="42"/>
        <v>22.340000000000003</v>
      </c>
      <c r="BK70" s="244">
        <f t="shared" si="42"/>
        <v>7.5999999999999979</v>
      </c>
      <c r="BL70" s="245">
        <f t="shared" si="42"/>
        <v>11.840000000000002</v>
      </c>
      <c r="BM70" s="245">
        <f t="shared" si="42"/>
        <v>16.579999999999998</v>
      </c>
      <c r="BN70" s="245">
        <f t="shared" si="42"/>
        <v>20.43</v>
      </c>
      <c r="BO70" s="251">
        <f t="shared" si="46"/>
        <v>10.701000000000001</v>
      </c>
      <c r="BP70" s="278">
        <f t="shared" si="47"/>
        <v>17.731999999999999</v>
      </c>
      <c r="BQ70" s="251">
        <f t="shared" si="48"/>
        <v>10.992000000000001</v>
      </c>
      <c r="BR70" s="279">
        <f t="shared" si="49"/>
        <v>17.349999999999998</v>
      </c>
      <c r="BS70" s="244">
        <f t="shared" si="50"/>
        <v>14.2165</v>
      </c>
      <c r="BT70" s="246">
        <f t="shared" si="51"/>
        <v>14.170999999999999</v>
      </c>
      <c r="BU70" s="280">
        <f t="shared" si="52"/>
        <v>14.19375</v>
      </c>
    </row>
    <row r="71" spans="1:73" ht="30" x14ac:dyDescent="0.25">
      <c r="A71" s="41" t="s">
        <v>10</v>
      </c>
      <c r="B71" s="41" t="s">
        <v>21</v>
      </c>
      <c r="C71" s="60" t="s">
        <v>22</v>
      </c>
      <c r="D71" s="92" t="s">
        <v>45</v>
      </c>
      <c r="E71" s="92" t="s">
        <v>46</v>
      </c>
      <c r="F71" s="92" t="s">
        <v>44</v>
      </c>
      <c r="G71" s="49">
        <f t="shared" si="43"/>
        <v>0.66</v>
      </c>
      <c r="H71" s="49">
        <f t="shared" si="41"/>
        <v>0.33</v>
      </c>
      <c r="I71" s="49">
        <f t="shared" si="41"/>
        <v>1</v>
      </c>
      <c r="J71" s="83">
        <f t="shared" si="44"/>
        <v>12.425000000000001</v>
      </c>
      <c r="K71" s="26">
        <v>0.44000000000000006</v>
      </c>
      <c r="L71">
        <v>0.55000000000000004</v>
      </c>
      <c r="M71">
        <v>0.77</v>
      </c>
      <c r="N71" s="27">
        <v>1</v>
      </c>
      <c r="O71" s="26">
        <v>0.47000000000000003</v>
      </c>
      <c r="P71" s="245">
        <v>0.55000000000000004</v>
      </c>
      <c r="Q71" s="245">
        <v>0.77</v>
      </c>
      <c r="R71" s="246">
        <v>0.92</v>
      </c>
      <c r="S71" s="244">
        <v>0</v>
      </c>
      <c r="T71" s="245">
        <v>0.22000000000000003</v>
      </c>
      <c r="U71" s="245">
        <v>0.44</v>
      </c>
      <c r="V71" s="246">
        <v>0.55000000000000004</v>
      </c>
      <c r="W71" s="244">
        <v>0.06</v>
      </c>
      <c r="X71" s="245">
        <v>0.22000000000000003</v>
      </c>
      <c r="Y71" s="245">
        <v>0.44</v>
      </c>
      <c r="Z71" s="246">
        <v>0.52</v>
      </c>
      <c r="AA71" s="244">
        <v>0.77</v>
      </c>
      <c r="AB71" s="245">
        <v>1</v>
      </c>
      <c r="AC71" s="245">
        <v>1</v>
      </c>
      <c r="AD71" s="246">
        <v>1</v>
      </c>
      <c r="AE71" s="244">
        <v>0.83</v>
      </c>
      <c r="AF71" s="245">
        <v>1</v>
      </c>
      <c r="AG71" s="245">
        <v>1</v>
      </c>
      <c r="AH71" s="246">
        <v>1</v>
      </c>
      <c r="AI71" s="244">
        <v>2.2549999999999999</v>
      </c>
      <c r="AJ71" s="245">
        <v>3.8500000000000005</v>
      </c>
      <c r="AK71" s="245">
        <v>6.16</v>
      </c>
      <c r="AL71" s="246">
        <v>9.1550000000000011</v>
      </c>
      <c r="AM71" s="244">
        <v>2.7399999999999993</v>
      </c>
      <c r="AN71" s="245">
        <v>3.8500000000000005</v>
      </c>
      <c r="AO71" s="245">
        <v>6.16</v>
      </c>
      <c r="AP71" s="246">
        <v>8.129999999999999</v>
      </c>
      <c r="AQ71" s="244">
        <v>0</v>
      </c>
      <c r="AR71" s="245">
        <v>1.5400000000000003</v>
      </c>
      <c r="AS71" s="245">
        <v>3.52</v>
      </c>
      <c r="AT71" s="245">
        <v>5.0600000000000005</v>
      </c>
      <c r="AU71" s="244">
        <v>0.19999999999999996</v>
      </c>
      <c r="AV71" s="245">
        <v>1.5400000000000003</v>
      </c>
      <c r="AW71" s="245">
        <v>3.52</v>
      </c>
      <c r="AX71" s="246">
        <v>4.6000000000000014</v>
      </c>
      <c r="AY71" s="244">
        <v>1.9649999999999999</v>
      </c>
      <c r="AZ71" s="245">
        <v>4.5</v>
      </c>
      <c r="BA71" s="245">
        <v>5.5</v>
      </c>
      <c r="BB71" s="245">
        <v>7</v>
      </c>
      <c r="BC71" s="244">
        <v>2.7349999999999994</v>
      </c>
      <c r="BD71" s="245">
        <v>4.5</v>
      </c>
      <c r="BE71" s="245">
        <v>5.5</v>
      </c>
      <c r="BF71" s="246">
        <v>6.5</v>
      </c>
      <c r="BG71" s="244">
        <f t="shared" si="45"/>
        <v>4.22</v>
      </c>
      <c r="BH71" s="245">
        <f t="shared" si="42"/>
        <v>9.89</v>
      </c>
      <c r="BI71" s="245">
        <f t="shared" si="42"/>
        <v>15.18</v>
      </c>
      <c r="BJ71" s="245">
        <f t="shared" si="42"/>
        <v>21.215000000000003</v>
      </c>
      <c r="BK71" s="244">
        <f t="shared" si="42"/>
        <v>5.6749999999999989</v>
      </c>
      <c r="BL71" s="245">
        <f t="shared" si="42"/>
        <v>9.89</v>
      </c>
      <c r="BM71" s="245">
        <f t="shared" si="42"/>
        <v>15.18</v>
      </c>
      <c r="BN71" s="245">
        <f t="shared" si="42"/>
        <v>19.23</v>
      </c>
      <c r="BO71" s="251">
        <f t="shared" si="46"/>
        <v>8.7560000000000002</v>
      </c>
      <c r="BP71" s="278">
        <f t="shared" si="47"/>
        <v>16.387</v>
      </c>
      <c r="BQ71" s="251">
        <f t="shared" si="48"/>
        <v>9.0470000000000006</v>
      </c>
      <c r="BR71" s="279">
        <f t="shared" si="49"/>
        <v>15.989999999999998</v>
      </c>
      <c r="BS71" s="244">
        <f t="shared" si="50"/>
        <v>12.5715</v>
      </c>
      <c r="BT71" s="246">
        <f t="shared" si="51"/>
        <v>12.5185</v>
      </c>
      <c r="BU71" s="280">
        <f t="shared" si="52"/>
        <v>12.545</v>
      </c>
    </row>
    <row r="72" spans="1:73" ht="36.75" customHeight="1" x14ac:dyDescent="0.25">
      <c r="A72" s="41" t="s">
        <v>11</v>
      </c>
      <c r="B72" s="41" t="s">
        <v>23</v>
      </c>
      <c r="C72" s="60" t="s">
        <v>34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26">
        <v>0</v>
      </c>
      <c r="L72">
        <v>0.22000000000000003</v>
      </c>
      <c r="M72">
        <v>0.44</v>
      </c>
      <c r="N72" s="27">
        <v>0.55000000000000004</v>
      </c>
      <c r="O72" s="26">
        <v>0.06</v>
      </c>
      <c r="P72" s="245">
        <v>0.22000000000000003</v>
      </c>
      <c r="Q72" s="245">
        <v>0.44</v>
      </c>
      <c r="R72" s="246">
        <v>0.52</v>
      </c>
      <c r="S72" s="244">
        <v>0.77</v>
      </c>
      <c r="T72" s="245">
        <v>1</v>
      </c>
      <c r="U72" s="245">
        <v>1</v>
      </c>
      <c r="V72" s="246">
        <v>1</v>
      </c>
      <c r="W72" s="244">
        <v>0.83</v>
      </c>
      <c r="X72" s="245">
        <v>1</v>
      </c>
      <c r="Y72" s="245">
        <v>1</v>
      </c>
      <c r="Z72" s="246">
        <v>1</v>
      </c>
      <c r="AA72" s="244">
        <v>0.44000000000000006</v>
      </c>
      <c r="AB72" s="245">
        <v>0.55000000000000004</v>
      </c>
      <c r="AC72" s="245">
        <v>0.77</v>
      </c>
      <c r="AD72" s="246">
        <v>1</v>
      </c>
      <c r="AE72" s="244">
        <v>0.47000000000000003</v>
      </c>
      <c r="AF72" s="245">
        <v>0.55000000000000004</v>
      </c>
      <c r="AG72" s="245">
        <v>0.77</v>
      </c>
      <c r="AH72" s="246">
        <v>0.92</v>
      </c>
      <c r="AI72" s="244">
        <v>0</v>
      </c>
      <c r="AJ72" s="245">
        <v>1.5400000000000003</v>
      </c>
      <c r="AK72" s="245">
        <v>3.52</v>
      </c>
      <c r="AL72" s="246">
        <v>5.0600000000000005</v>
      </c>
      <c r="AM72" s="244">
        <v>0.19999999999999996</v>
      </c>
      <c r="AN72" s="245">
        <v>1.5400000000000003</v>
      </c>
      <c r="AO72" s="245">
        <v>3.52</v>
      </c>
      <c r="AP72" s="246">
        <v>4.6000000000000014</v>
      </c>
      <c r="AQ72" s="244">
        <v>3.8900000000000006</v>
      </c>
      <c r="AR72" s="245">
        <v>7</v>
      </c>
      <c r="AS72" s="245">
        <v>8</v>
      </c>
      <c r="AT72" s="245">
        <v>9.5</v>
      </c>
      <c r="AU72" s="244">
        <v>4.8099999999999987</v>
      </c>
      <c r="AV72" s="245">
        <v>7</v>
      </c>
      <c r="AW72" s="245">
        <v>8</v>
      </c>
      <c r="AX72" s="246">
        <v>9</v>
      </c>
      <c r="AY72" s="244">
        <v>1.1550000000000002</v>
      </c>
      <c r="AZ72" s="245">
        <v>2.4750000000000001</v>
      </c>
      <c r="BA72" s="245">
        <v>4.2350000000000003</v>
      </c>
      <c r="BB72" s="245">
        <v>6.6550000000000002</v>
      </c>
      <c r="BC72" s="244">
        <v>1.5650000000000008</v>
      </c>
      <c r="BD72" s="245">
        <v>2.4750000000000001</v>
      </c>
      <c r="BE72" s="245">
        <v>4.2350000000000003</v>
      </c>
      <c r="BF72" s="246">
        <v>5.830000000000001</v>
      </c>
      <c r="BG72" s="244">
        <f t="shared" si="45"/>
        <v>5.0450000000000008</v>
      </c>
      <c r="BH72" s="245">
        <f t="shared" si="42"/>
        <v>11.015000000000001</v>
      </c>
      <c r="BI72" s="245">
        <f t="shared" si="42"/>
        <v>15.754999999999999</v>
      </c>
      <c r="BJ72" s="245">
        <f t="shared" si="42"/>
        <v>21.215</v>
      </c>
      <c r="BK72" s="244">
        <f t="shared" si="42"/>
        <v>6.5749999999999993</v>
      </c>
      <c r="BL72" s="245">
        <f t="shared" si="42"/>
        <v>11.015000000000001</v>
      </c>
      <c r="BM72" s="245">
        <f t="shared" si="42"/>
        <v>15.754999999999999</v>
      </c>
      <c r="BN72" s="245">
        <f t="shared" si="42"/>
        <v>19.430000000000003</v>
      </c>
      <c r="BO72" s="251">
        <f t="shared" si="46"/>
        <v>9.8210000000000015</v>
      </c>
      <c r="BP72" s="278">
        <f t="shared" si="47"/>
        <v>16.846999999999998</v>
      </c>
      <c r="BQ72" s="251">
        <f t="shared" si="48"/>
        <v>10.127000000000001</v>
      </c>
      <c r="BR72" s="279">
        <f t="shared" si="49"/>
        <v>16.489999999999998</v>
      </c>
      <c r="BS72" s="244">
        <f t="shared" si="50"/>
        <v>13.334</v>
      </c>
      <c r="BT72" s="246">
        <f t="shared" si="51"/>
        <v>13.308499999999999</v>
      </c>
      <c r="BU72" s="280">
        <f t="shared" si="52"/>
        <v>13.321249999999999</v>
      </c>
    </row>
    <row r="73" spans="1:73" ht="30.75" thickBot="1" x14ac:dyDescent="0.3">
      <c r="A73" s="41" t="s">
        <v>12</v>
      </c>
      <c r="B73" s="41" t="s">
        <v>24</v>
      </c>
      <c r="C73" s="60" t="s">
        <v>35</v>
      </c>
      <c r="D73" s="92" t="s">
        <v>46</v>
      </c>
      <c r="E73" s="92" t="s">
        <v>44</v>
      </c>
      <c r="F73" s="92" t="s">
        <v>45</v>
      </c>
      <c r="G73" s="49">
        <f t="shared" si="43"/>
        <v>0.33</v>
      </c>
      <c r="H73" s="49">
        <f t="shared" si="41"/>
        <v>1</v>
      </c>
      <c r="I73" s="49">
        <f t="shared" si="41"/>
        <v>0.66</v>
      </c>
      <c r="J73" s="83">
        <f t="shared" si="44"/>
        <v>13.275</v>
      </c>
      <c r="K73" s="30">
        <v>0</v>
      </c>
      <c r="L73" s="32">
        <v>0.22000000000000003</v>
      </c>
      <c r="M73" s="32">
        <v>0.44</v>
      </c>
      <c r="N73" s="33">
        <v>0.55000000000000004</v>
      </c>
      <c r="O73" s="30">
        <v>0.06</v>
      </c>
      <c r="P73" s="248">
        <v>0.22000000000000003</v>
      </c>
      <c r="Q73" s="248">
        <v>0.44</v>
      </c>
      <c r="R73" s="249">
        <v>0.52</v>
      </c>
      <c r="S73" s="247">
        <v>0.77</v>
      </c>
      <c r="T73" s="248">
        <v>1</v>
      </c>
      <c r="U73" s="248">
        <v>1</v>
      </c>
      <c r="V73" s="249">
        <v>1</v>
      </c>
      <c r="W73" s="247">
        <v>0.83</v>
      </c>
      <c r="X73" s="248">
        <v>1</v>
      </c>
      <c r="Y73" s="248">
        <v>1</v>
      </c>
      <c r="Z73" s="249">
        <v>1</v>
      </c>
      <c r="AA73" s="247">
        <v>0.44000000000000006</v>
      </c>
      <c r="AB73" s="248">
        <v>0.55000000000000004</v>
      </c>
      <c r="AC73" s="248">
        <v>0.77</v>
      </c>
      <c r="AD73" s="249">
        <v>1</v>
      </c>
      <c r="AE73" s="247">
        <v>0.47000000000000003</v>
      </c>
      <c r="AF73" s="248">
        <v>0.55000000000000004</v>
      </c>
      <c r="AG73" s="248">
        <v>0.77</v>
      </c>
      <c r="AH73" s="249">
        <v>0.92</v>
      </c>
      <c r="AI73" s="247">
        <v>0</v>
      </c>
      <c r="AJ73" s="248">
        <v>1.5400000000000003</v>
      </c>
      <c r="AK73" s="248">
        <v>3.52</v>
      </c>
      <c r="AL73" s="249">
        <v>5.0600000000000005</v>
      </c>
      <c r="AM73" s="247">
        <v>0.19999999999999996</v>
      </c>
      <c r="AN73" s="248">
        <v>1.5400000000000003</v>
      </c>
      <c r="AO73" s="248">
        <v>3.52</v>
      </c>
      <c r="AP73" s="249">
        <v>4.6000000000000014</v>
      </c>
      <c r="AQ73" s="247">
        <v>3.8900000000000006</v>
      </c>
      <c r="AR73" s="248">
        <v>7</v>
      </c>
      <c r="AS73" s="248">
        <v>8</v>
      </c>
      <c r="AT73" s="248">
        <v>9.5</v>
      </c>
      <c r="AU73" s="247">
        <v>4.8099999999999987</v>
      </c>
      <c r="AV73" s="248">
        <v>7</v>
      </c>
      <c r="AW73" s="248">
        <v>8</v>
      </c>
      <c r="AX73" s="249">
        <v>9</v>
      </c>
      <c r="AY73" s="247">
        <v>1.1550000000000002</v>
      </c>
      <c r="AZ73" s="248">
        <v>2.4750000000000001</v>
      </c>
      <c r="BA73" s="248">
        <v>4.2350000000000003</v>
      </c>
      <c r="BB73" s="248">
        <v>6.6550000000000002</v>
      </c>
      <c r="BC73" s="247">
        <v>1.5650000000000008</v>
      </c>
      <c r="BD73" s="248">
        <v>2.4750000000000001</v>
      </c>
      <c r="BE73" s="248">
        <v>4.2350000000000003</v>
      </c>
      <c r="BF73" s="249">
        <v>5.830000000000001</v>
      </c>
      <c r="BG73" s="247">
        <f t="shared" si="45"/>
        <v>5.0450000000000008</v>
      </c>
      <c r="BH73" s="248">
        <f t="shared" si="42"/>
        <v>11.015000000000001</v>
      </c>
      <c r="BI73" s="248">
        <f t="shared" si="42"/>
        <v>15.754999999999999</v>
      </c>
      <c r="BJ73" s="248">
        <f t="shared" si="42"/>
        <v>21.215</v>
      </c>
      <c r="BK73" s="247">
        <f t="shared" si="42"/>
        <v>6.5749999999999993</v>
      </c>
      <c r="BL73" s="248">
        <f t="shared" si="42"/>
        <v>11.015000000000001</v>
      </c>
      <c r="BM73" s="248">
        <f t="shared" si="42"/>
        <v>15.754999999999999</v>
      </c>
      <c r="BN73" s="248">
        <f t="shared" si="42"/>
        <v>19.430000000000003</v>
      </c>
      <c r="BO73" s="252">
        <f t="shared" si="46"/>
        <v>9.8210000000000015</v>
      </c>
      <c r="BP73" s="281">
        <f t="shared" si="47"/>
        <v>16.846999999999998</v>
      </c>
      <c r="BQ73" s="252">
        <f t="shared" si="48"/>
        <v>10.127000000000001</v>
      </c>
      <c r="BR73" s="282">
        <f t="shared" si="49"/>
        <v>16.489999999999998</v>
      </c>
      <c r="BS73" s="247">
        <f t="shared" si="50"/>
        <v>13.334</v>
      </c>
      <c r="BT73" s="249">
        <f t="shared" si="51"/>
        <v>13.308499999999999</v>
      </c>
      <c r="BU73" s="283">
        <f t="shared" si="52"/>
        <v>13.321249999999999</v>
      </c>
    </row>
    <row r="74" spans="1:73" x14ac:dyDescent="0.25">
      <c r="BF74" s="284"/>
      <c r="BG74" s="285"/>
      <c r="BH74" s="285"/>
      <c r="BI74" s="285"/>
      <c r="BJ74" s="285"/>
      <c r="BK74" s="285"/>
    </row>
    <row r="75" spans="1:73" x14ac:dyDescent="0.25">
      <c r="A75" s="1" t="s">
        <v>124</v>
      </c>
      <c r="B75" s="1"/>
    </row>
    <row r="76" spans="1:73" ht="15.75" thickBot="1" x14ac:dyDescent="0.3">
      <c r="A76" s="46" t="s">
        <v>43</v>
      </c>
      <c r="B76" s="47" t="s">
        <v>55</v>
      </c>
      <c r="E76" s="51" t="s">
        <v>3</v>
      </c>
      <c r="I76" t="s">
        <v>4</v>
      </c>
    </row>
    <row r="77" spans="1:73" x14ac:dyDescent="0.25">
      <c r="A77" s="45" t="s">
        <v>47</v>
      </c>
      <c r="B77" s="2">
        <v>0</v>
      </c>
      <c r="C77" s="18">
        <v>0</v>
      </c>
      <c r="D77" s="19" t="s">
        <v>47</v>
      </c>
      <c r="E77" s="20">
        <v>0</v>
      </c>
      <c r="F77" s="21">
        <f>C77</f>
        <v>0</v>
      </c>
      <c r="G77" s="22">
        <v>0</v>
      </c>
      <c r="H77" s="23">
        <v>0.22</v>
      </c>
      <c r="I77" s="24">
        <v>0</v>
      </c>
      <c r="J77" s="22">
        <f>F77</f>
        <v>0</v>
      </c>
      <c r="K77" s="22">
        <f>G77</f>
        <v>0</v>
      </c>
      <c r="L77" s="25">
        <v>0.15</v>
      </c>
    </row>
    <row r="78" spans="1:73" x14ac:dyDescent="0.25">
      <c r="A78" s="45" t="s">
        <v>46</v>
      </c>
      <c r="B78" s="2">
        <v>0.33</v>
      </c>
      <c r="C78" s="18">
        <v>0.33</v>
      </c>
      <c r="D78" s="19" t="s">
        <v>46</v>
      </c>
      <c r="E78" s="26">
        <v>0</v>
      </c>
      <c r="F78" s="50">
        <f>C78-0.11</f>
        <v>0.22000000000000003</v>
      </c>
      <c r="G78">
        <f>C78+0.11</f>
        <v>0.44</v>
      </c>
      <c r="H78" s="27">
        <f t="shared" ref="H78" si="53">G78+0.11</f>
        <v>0.55000000000000004</v>
      </c>
      <c r="I78" s="28">
        <v>0.06</v>
      </c>
      <c r="J78">
        <f t="shared" ref="J78:K80" si="54">F78</f>
        <v>0.22000000000000003</v>
      </c>
      <c r="K78">
        <f t="shared" si="54"/>
        <v>0.44</v>
      </c>
      <c r="L78" s="29">
        <f t="shared" ref="L78" si="55">K78+0.08</f>
        <v>0.52</v>
      </c>
    </row>
    <row r="79" spans="1:73" x14ac:dyDescent="0.25">
      <c r="A79" s="45" t="s">
        <v>45</v>
      </c>
      <c r="B79" s="2">
        <v>0.66</v>
      </c>
      <c r="C79" s="18">
        <v>0.66</v>
      </c>
      <c r="D79" s="19" t="s">
        <v>45</v>
      </c>
      <c r="E79" s="26">
        <f t="shared" ref="E79" si="56">F79-0.11</f>
        <v>0.44000000000000006</v>
      </c>
      <c r="F79" s="50">
        <f t="shared" ref="F79" si="57">C79-0.11</f>
        <v>0.55000000000000004</v>
      </c>
      <c r="G79">
        <f t="shared" ref="G79" si="58">C79+0.11</f>
        <v>0.77</v>
      </c>
      <c r="H79" s="27">
        <v>1</v>
      </c>
      <c r="I79" s="28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29">
        <v>0.92</v>
      </c>
    </row>
    <row r="80" spans="1:73" ht="15.75" thickBot="1" x14ac:dyDescent="0.3">
      <c r="A80" s="45" t="s">
        <v>44</v>
      </c>
      <c r="B80" s="2">
        <v>1</v>
      </c>
      <c r="C80" s="18">
        <v>1</v>
      </c>
      <c r="D80" s="19" t="s">
        <v>44</v>
      </c>
      <c r="E80" s="30">
        <v>0.77</v>
      </c>
      <c r="F80" s="31">
        <v>1</v>
      </c>
      <c r="G80" s="32">
        <v>1</v>
      </c>
      <c r="H80" s="33">
        <v>1</v>
      </c>
      <c r="I80" s="34">
        <v>0.83</v>
      </c>
      <c r="J80" s="32">
        <f t="shared" si="54"/>
        <v>1</v>
      </c>
      <c r="K80" s="32">
        <f t="shared" si="54"/>
        <v>1</v>
      </c>
      <c r="L80" s="35">
        <v>1</v>
      </c>
    </row>
    <row r="81" spans="1:12" x14ac:dyDescent="0.25">
      <c r="A81" s="38"/>
    </row>
    <row r="82" spans="1:12" x14ac:dyDescent="0.25">
      <c r="A82" s="1" t="s">
        <v>125</v>
      </c>
    </row>
    <row r="83" spans="1:12" ht="15.75" thickBot="1" x14ac:dyDescent="0.3">
      <c r="A83" s="46" t="s">
        <v>43</v>
      </c>
      <c r="B83" s="47" t="s">
        <v>56</v>
      </c>
      <c r="E83" s="51" t="s">
        <v>3</v>
      </c>
      <c r="I83" t="s">
        <v>4</v>
      </c>
    </row>
    <row r="84" spans="1:12" x14ac:dyDescent="0.25">
      <c r="A84" s="45" t="s">
        <v>47</v>
      </c>
      <c r="B84" s="2">
        <v>1</v>
      </c>
      <c r="C84" s="18">
        <v>1</v>
      </c>
      <c r="D84" s="19" t="s">
        <v>47</v>
      </c>
      <c r="E84" s="20">
        <v>0</v>
      </c>
      <c r="F84" s="21">
        <v>0.5</v>
      </c>
      <c r="G84" s="22">
        <v>1.5</v>
      </c>
      <c r="H84" s="23">
        <v>2</v>
      </c>
      <c r="I84" s="24">
        <v>0</v>
      </c>
      <c r="J84" s="22">
        <f>F84</f>
        <v>0.5</v>
      </c>
      <c r="K84" s="22">
        <f>G84</f>
        <v>1.5</v>
      </c>
      <c r="L84" s="25">
        <v>1.8</v>
      </c>
    </row>
    <row r="85" spans="1:12" x14ac:dyDescent="0.25">
      <c r="A85" s="45" t="s">
        <v>46</v>
      </c>
      <c r="B85" s="2">
        <v>2.5</v>
      </c>
      <c r="C85" s="18">
        <v>2.5</v>
      </c>
      <c r="D85" s="19" t="s">
        <v>46</v>
      </c>
      <c r="E85" s="26">
        <v>1.5</v>
      </c>
      <c r="F85" s="50">
        <f>C85-0.5</f>
        <v>2</v>
      </c>
      <c r="G85">
        <f>C85+0.5</f>
        <v>3</v>
      </c>
      <c r="H85" s="27">
        <f t="shared" ref="H85:H87" si="60">G85+1.5</f>
        <v>4.5</v>
      </c>
      <c r="I85" s="28">
        <v>1.7</v>
      </c>
      <c r="J85">
        <f t="shared" ref="J85:K87" si="61">F85</f>
        <v>2</v>
      </c>
      <c r="K85">
        <f t="shared" si="61"/>
        <v>3</v>
      </c>
      <c r="L85" s="29">
        <f t="shared" ref="L85:L87" si="62">K85+1</f>
        <v>4</v>
      </c>
    </row>
    <row r="86" spans="1:12" x14ac:dyDescent="0.25">
      <c r="A86" s="45" t="s">
        <v>45</v>
      </c>
      <c r="B86" s="2">
        <v>5</v>
      </c>
      <c r="C86" s="18">
        <v>5</v>
      </c>
      <c r="D86" s="19" t="s">
        <v>45</v>
      </c>
      <c r="E86" s="26">
        <f t="shared" ref="E86:E87" si="63">F86-1.5</f>
        <v>3</v>
      </c>
      <c r="F86" s="50">
        <f>C86-0.5</f>
        <v>4.5</v>
      </c>
      <c r="G86">
        <f>C86+0.5</f>
        <v>5.5</v>
      </c>
      <c r="H86" s="27">
        <f t="shared" si="60"/>
        <v>7</v>
      </c>
      <c r="I86" s="28">
        <f t="shared" ref="I86:I87" si="64">J86-1</f>
        <v>3.5</v>
      </c>
      <c r="J86">
        <f t="shared" si="61"/>
        <v>4.5</v>
      </c>
      <c r="K86">
        <f t="shared" si="61"/>
        <v>5.5</v>
      </c>
      <c r="L86" s="29">
        <f t="shared" si="62"/>
        <v>6.5</v>
      </c>
    </row>
    <row r="87" spans="1:12" ht="15.75" thickBot="1" x14ac:dyDescent="0.3">
      <c r="A87" s="45" t="s">
        <v>44</v>
      </c>
      <c r="B87" s="2">
        <v>7.5</v>
      </c>
      <c r="C87" s="18">
        <v>7.5</v>
      </c>
      <c r="D87" s="19" t="s">
        <v>44</v>
      </c>
      <c r="E87" s="30">
        <f t="shared" si="63"/>
        <v>5.5</v>
      </c>
      <c r="F87" s="31">
        <f>C87-0.5</f>
        <v>7</v>
      </c>
      <c r="G87" s="32">
        <f>C87+0.5</f>
        <v>8</v>
      </c>
      <c r="H87" s="33">
        <f t="shared" si="60"/>
        <v>9.5</v>
      </c>
      <c r="I87" s="34">
        <f t="shared" si="64"/>
        <v>6</v>
      </c>
      <c r="J87" s="32">
        <f t="shared" si="61"/>
        <v>7</v>
      </c>
      <c r="K87" s="32">
        <f t="shared" si="61"/>
        <v>8</v>
      </c>
      <c r="L87" s="35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3" t="s">
        <v>53</v>
      </c>
      <c r="B90" s="52" t="s">
        <v>39</v>
      </c>
      <c r="C90" s="54" t="s">
        <v>48</v>
      </c>
      <c r="D90" s="55" t="s">
        <v>127</v>
      </c>
      <c r="E90" s="217" t="s">
        <v>57</v>
      </c>
      <c r="F90" s="218"/>
      <c r="G90" s="218"/>
      <c r="H90" s="218"/>
      <c r="I90" s="218"/>
      <c r="J90" s="218"/>
      <c r="K90" s="218"/>
      <c r="L90" s="219"/>
    </row>
    <row r="91" spans="1:12" x14ac:dyDescent="0.25">
      <c r="A91" s="64" t="s">
        <v>50</v>
      </c>
      <c r="B91" s="56" t="s">
        <v>40</v>
      </c>
      <c r="C91" s="57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x14ac:dyDescent="0.25">
      <c r="A92" s="65" t="s">
        <v>51</v>
      </c>
      <c r="B92" s="43" t="s">
        <v>41</v>
      </c>
      <c r="C92" s="2" t="s">
        <v>44</v>
      </c>
      <c r="D92" s="86">
        <v>7.5</v>
      </c>
      <c r="E92" s="26">
        <v>5.5</v>
      </c>
      <c r="F92" s="50">
        <v>7</v>
      </c>
      <c r="G92">
        <v>8</v>
      </c>
      <c r="H92" s="27">
        <v>9.5</v>
      </c>
      <c r="I92" s="28">
        <v>6</v>
      </c>
      <c r="J92">
        <v>7</v>
      </c>
      <c r="K92">
        <v>8</v>
      </c>
      <c r="L92" s="29">
        <v>9</v>
      </c>
    </row>
    <row r="93" spans="1:12" ht="15.75" thickBot="1" x14ac:dyDescent="0.3">
      <c r="A93" s="66" t="s">
        <v>52</v>
      </c>
      <c r="B93" s="58" t="s">
        <v>42</v>
      </c>
      <c r="C93" s="59" t="s">
        <v>45</v>
      </c>
      <c r="D93" s="86">
        <v>5</v>
      </c>
      <c r="E93" s="30">
        <v>3</v>
      </c>
      <c r="F93" s="31">
        <v>4.5</v>
      </c>
      <c r="G93" s="32">
        <v>5.5</v>
      </c>
      <c r="H93" s="33">
        <v>7</v>
      </c>
      <c r="I93" s="34">
        <v>3.5</v>
      </c>
      <c r="J93" s="32">
        <v>4.5</v>
      </c>
      <c r="K93" s="32">
        <v>5.5</v>
      </c>
      <c r="L93" s="35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7" t="s">
        <v>63</v>
      </c>
      <c r="B96" s="68" t="s">
        <v>64</v>
      </c>
      <c r="E96" s="217" t="s">
        <v>65</v>
      </c>
      <c r="F96" s="218"/>
      <c r="G96" s="218"/>
      <c r="H96" s="218"/>
      <c r="I96" s="218"/>
      <c r="J96" s="218"/>
      <c r="K96" s="218"/>
      <c r="L96" s="219"/>
    </row>
    <row r="97" spans="1:12" x14ac:dyDescent="0.25">
      <c r="A97" s="64" t="s">
        <v>60</v>
      </c>
      <c r="B97" s="69" t="s">
        <v>47</v>
      </c>
      <c r="D97" s="72" t="s">
        <v>69</v>
      </c>
      <c r="E97" s="241">
        <f>E77*F$91+E$91*F77-F77*F$91</f>
        <v>0</v>
      </c>
      <c r="F97" s="242">
        <f>F77*F$91</f>
        <v>0</v>
      </c>
      <c r="G97" s="242">
        <f>G77*G$91</f>
        <v>0</v>
      </c>
      <c r="H97" s="243">
        <f>G77*H$91+G$91*H77-G77*G$91</f>
        <v>1.76</v>
      </c>
      <c r="I97" s="241">
        <f>I77*J$91+I$91*J77-J77*J$91</f>
        <v>0</v>
      </c>
      <c r="J97" s="242">
        <f>J77*J$91</f>
        <v>0</v>
      </c>
      <c r="K97" s="242">
        <f>K77*K$91</f>
        <v>0</v>
      </c>
      <c r="L97" s="243">
        <f>K77*L$91+K$91*L77-K77*K$91</f>
        <v>1.2</v>
      </c>
    </row>
    <row r="98" spans="1:12" x14ac:dyDescent="0.25">
      <c r="A98" s="65" t="s">
        <v>60</v>
      </c>
      <c r="B98" s="70" t="s">
        <v>46</v>
      </c>
      <c r="D98" s="73" t="s">
        <v>68</v>
      </c>
      <c r="E98" s="244">
        <f>IF(E78*F$91+E$91*F78-F78*F$91&lt;0,0,E78*F$91+E$91*F78-F78*F$91)</f>
        <v>0</v>
      </c>
      <c r="F98" s="245">
        <f t="shared" ref="F98:G100" si="65">F78*F$91</f>
        <v>1.5400000000000003</v>
      </c>
      <c r="G98" s="245">
        <f t="shared" si="65"/>
        <v>3.52</v>
      </c>
      <c r="H98" s="246">
        <f t="shared" ref="H98:H100" si="66">G78*H$91+G$91*H78-G78*G$91</f>
        <v>5.0600000000000005</v>
      </c>
      <c r="I98" s="244">
        <f t="shared" ref="I98:I100" si="67">I78*J$91+I$91*J78-J78*J$91</f>
        <v>0.19999999999999996</v>
      </c>
      <c r="J98" s="245">
        <f t="shared" ref="J98:K100" si="68">J78*J$91</f>
        <v>1.5400000000000003</v>
      </c>
      <c r="K98" s="245">
        <f t="shared" si="68"/>
        <v>3.52</v>
      </c>
      <c r="L98" s="246">
        <f t="shared" ref="L98:L100" si="69">K78*L$91+K$91*L78-K78*K$91</f>
        <v>4.6000000000000014</v>
      </c>
    </row>
    <row r="99" spans="1:12" x14ac:dyDescent="0.25">
      <c r="A99" s="65" t="s">
        <v>60</v>
      </c>
      <c r="B99" s="70" t="s">
        <v>45</v>
      </c>
      <c r="D99" s="73" t="s">
        <v>67</v>
      </c>
      <c r="E99" s="244">
        <f t="shared" ref="E99:E100" si="70">E79*F$91+E$91*F79-F79*F$91</f>
        <v>2.2549999999999999</v>
      </c>
      <c r="F99" s="245">
        <f t="shared" si="65"/>
        <v>3.8500000000000005</v>
      </c>
      <c r="G99" s="245">
        <f t="shared" si="65"/>
        <v>6.16</v>
      </c>
      <c r="H99" s="246">
        <f t="shared" si="66"/>
        <v>9.1550000000000011</v>
      </c>
      <c r="I99" s="244">
        <f t="shared" si="67"/>
        <v>2.7399999999999993</v>
      </c>
      <c r="J99" s="245">
        <f t="shared" si="68"/>
        <v>3.8500000000000005</v>
      </c>
      <c r="K99" s="245">
        <f t="shared" si="68"/>
        <v>6.16</v>
      </c>
      <c r="L99" s="246">
        <f t="shared" si="69"/>
        <v>8.129999999999999</v>
      </c>
    </row>
    <row r="100" spans="1:12" ht="15.75" thickBot="1" x14ac:dyDescent="0.3">
      <c r="A100" s="66" t="s">
        <v>60</v>
      </c>
      <c r="B100" s="71" t="s">
        <v>44</v>
      </c>
      <c r="D100" s="74" t="s">
        <v>66</v>
      </c>
      <c r="E100" s="247">
        <f t="shared" si="70"/>
        <v>3.8900000000000006</v>
      </c>
      <c r="F100" s="248">
        <f t="shared" si="65"/>
        <v>7</v>
      </c>
      <c r="G100" s="248">
        <f t="shared" si="65"/>
        <v>8</v>
      </c>
      <c r="H100" s="249">
        <f t="shared" si="66"/>
        <v>9.5</v>
      </c>
      <c r="I100" s="247">
        <f t="shared" si="67"/>
        <v>4.8099999999999987</v>
      </c>
      <c r="J100" s="248">
        <f t="shared" si="68"/>
        <v>7</v>
      </c>
      <c r="K100" s="248">
        <f t="shared" si="68"/>
        <v>8</v>
      </c>
      <c r="L100" s="249">
        <f t="shared" si="69"/>
        <v>9</v>
      </c>
    </row>
    <row r="101" spans="1:12" x14ac:dyDescent="0.25">
      <c r="A101" s="64" t="s">
        <v>61</v>
      </c>
      <c r="B101" s="69" t="s">
        <v>47</v>
      </c>
      <c r="D101" s="72" t="s">
        <v>70</v>
      </c>
      <c r="E101" s="241">
        <f>E77*F$92+E$92*F77-F77*F$92</f>
        <v>0</v>
      </c>
      <c r="F101" s="242">
        <f>F77*F$92</f>
        <v>0</v>
      </c>
      <c r="G101" s="242">
        <f>G77*G$92</f>
        <v>0</v>
      </c>
      <c r="H101" s="243">
        <f>G77*H$92+G$92*H77-G77*G$92</f>
        <v>1.76</v>
      </c>
      <c r="I101" s="241">
        <f>I77*J$92+I$92*J77-J77*J$92</f>
        <v>0</v>
      </c>
      <c r="J101" s="242">
        <f>J77*J$92</f>
        <v>0</v>
      </c>
      <c r="K101" s="242">
        <f>K77*K$92</f>
        <v>0</v>
      </c>
      <c r="L101" s="243">
        <f>K77*L$92+K$92*L77-K77*K$92</f>
        <v>1.2</v>
      </c>
    </row>
    <row r="102" spans="1:12" x14ac:dyDescent="0.25">
      <c r="A102" s="65" t="s">
        <v>61</v>
      </c>
      <c r="B102" s="70" t="s">
        <v>46</v>
      </c>
      <c r="D102" s="73" t="s">
        <v>75</v>
      </c>
      <c r="E102" s="244">
        <f>IF(E78*F$92+E$92*F78-F78*F$92&lt;0,0,E78*F$92+E$92*F78-F78*F$92)</f>
        <v>0</v>
      </c>
      <c r="F102" s="245">
        <f t="shared" ref="F102:G104" si="71">F78*F$92</f>
        <v>1.5400000000000003</v>
      </c>
      <c r="G102" s="245">
        <f t="shared" si="71"/>
        <v>3.52</v>
      </c>
      <c r="H102" s="246">
        <f t="shared" ref="H102:H104" si="72">G78*H$92+G$92*H78-G78*G$92</f>
        <v>5.0600000000000005</v>
      </c>
      <c r="I102" s="244">
        <f t="shared" ref="I102:I104" si="73">I78*J$92+I$92*J78-J78*J$92</f>
        <v>0.19999999999999996</v>
      </c>
      <c r="J102" s="245">
        <f t="shared" ref="J102:K104" si="74">J78*J$92</f>
        <v>1.5400000000000003</v>
      </c>
      <c r="K102" s="245">
        <f t="shared" si="74"/>
        <v>3.52</v>
      </c>
      <c r="L102" s="246">
        <f t="shared" ref="L102:L104" si="75">K78*L$92+K$92*L78-K78*K$92</f>
        <v>4.6000000000000014</v>
      </c>
    </row>
    <row r="103" spans="1:12" x14ac:dyDescent="0.25">
      <c r="A103" s="65" t="s">
        <v>61</v>
      </c>
      <c r="B103" s="70" t="s">
        <v>45</v>
      </c>
      <c r="D103" s="73" t="s">
        <v>76</v>
      </c>
      <c r="E103" s="244">
        <f t="shared" ref="E103:E104" si="76">E79*F$92+E$92*F79-F79*F$92</f>
        <v>2.2549999999999999</v>
      </c>
      <c r="F103" s="245">
        <f t="shared" si="71"/>
        <v>3.8500000000000005</v>
      </c>
      <c r="G103" s="245">
        <f t="shared" si="71"/>
        <v>6.16</v>
      </c>
      <c r="H103" s="246">
        <f t="shared" si="72"/>
        <v>9.1550000000000011</v>
      </c>
      <c r="I103" s="244">
        <f t="shared" si="73"/>
        <v>2.7399999999999993</v>
      </c>
      <c r="J103" s="245">
        <f t="shared" si="74"/>
        <v>3.8500000000000005</v>
      </c>
      <c r="K103" s="245">
        <f t="shared" si="74"/>
        <v>6.16</v>
      </c>
      <c r="L103" s="246">
        <f t="shared" si="75"/>
        <v>8.129999999999999</v>
      </c>
    </row>
    <row r="104" spans="1:12" ht="15.75" thickBot="1" x14ac:dyDescent="0.3">
      <c r="A104" s="66" t="s">
        <v>61</v>
      </c>
      <c r="B104" s="71" t="s">
        <v>44</v>
      </c>
      <c r="D104" s="74" t="s">
        <v>77</v>
      </c>
      <c r="E104" s="247">
        <f t="shared" si="76"/>
        <v>3.8900000000000006</v>
      </c>
      <c r="F104" s="248">
        <f t="shared" si="71"/>
        <v>7</v>
      </c>
      <c r="G104" s="248">
        <f t="shared" si="71"/>
        <v>8</v>
      </c>
      <c r="H104" s="249">
        <f t="shared" si="72"/>
        <v>9.5</v>
      </c>
      <c r="I104" s="247">
        <f t="shared" si="73"/>
        <v>4.8099999999999987</v>
      </c>
      <c r="J104" s="248">
        <f t="shared" si="74"/>
        <v>7</v>
      </c>
      <c r="K104" s="248">
        <f t="shared" si="74"/>
        <v>8</v>
      </c>
      <c r="L104" s="249">
        <f t="shared" si="75"/>
        <v>9</v>
      </c>
    </row>
    <row r="105" spans="1:12" x14ac:dyDescent="0.25">
      <c r="A105" s="64" t="s">
        <v>62</v>
      </c>
      <c r="B105" s="69" t="s">
        <v>47</v>
      </c>
      <c r="D105" s="72" t="s">
        <v>72</v>
      </c>
      <c r="E105" s="241">
        <f>E77*F$93+E$93*F77-F77*F$93</f>
        <v>0</v>
      </c>
      <c r="F105" s="242">
        <f>F77*F$93</f>
        <v>0</v>
      </c>
      <c r="G105" s="242">
        <f>G77*G$93</f>
        <v>0</v>
      </c>
      <c r="H105" s="243">
        <f>G77*H$93+G$93*H77-G77*G$93</f>
        <v>1.21</v>
      </c>
      <c r="I105" s="241">
        <f>I77*J$93+I$93*J77-J77*J$93</f>
        <v>0</v>
      </c>
      <c r="J105" s="242">
        <f>J77*J$93</f>
        <v>0</v>
      </c>
      <c r="K105" s="242">
        <f>K77*K$93</f>
        <v>0</v>
      </c>
      <c r="L105" s="243">
        <f>K77*L$93+K$93*L77-K77*K$93</f>
        <v>0.82499999999999996</v>
      </c>
    </row>
    <row r="106" spans="1:12" x14ac:dyDescent="0.25">
      <c r="A106" s="65" t="s">
        <v>62</v>
      </c>
      <c r="B106" s="70" t="s">
        <v>46</v>
      </c>
      <c r="D106" s="73" t="s">
        <v>71</v>
      </c>
      <c r="E106" s="244">
        <f>IF(E78*F$93+E$93*F78-F78*F$93&lt;0,0,E78*F$93+E$93*F78-F78*F$93)</f>
        <v>0</v>
      </c>
      <c r="F106" s="245">
        <f t="shared" ref="F106:G108" si="77">F78*F$93</f>
        <v>0.9900000000000001</v>
      </c>
      <c r="G106" s="245">
        <f t="shared" si="77"/>
        <v>2.42</v>
      </c>
      <c r="H106" s="246">
        <f t="shared" ref="H106:H108" si="78">G78*H$93+G$93*H78-G78*G$93</f>
        <v>3.6850000000000005</v>
      </c>
      <c r="I106" s="244">
        <f t="shared" ref="I106:I108" si="79">I78*J$93+I$93*J78-J78*J$93</f>
        <v>4.9999999999999933E-2</v>
      </c>
      <c r="J106" s="245">
        <f t="shared" ref="J106:K108" si="80">J78*J$93</f>
        <v>0.9900000000000001</v>
      </c>
      <c r="K106" s="245">
        <f t="shared" si="80"/>
        <v>2.42</v>
      </c>
      <c r="L106" s="246">
        <f t="shared" ref="L106:L108" si="81">K78*L$93+K$93*L78-K78*K$93</f>
        <v>3.3000000000000007</v>
      </c>
    </row>
    <row r="107" spans="1:12" x14ac:dyDescent="0.25">
      <c r="A107" s="65" t="s">
        <v>62</v>
      </c>
      <c r="B107" s="70" t="s">
        <v>45</v>
      </c>
      <c r="D107" s="73" t="s">
        <v>73</v>
      </c>
      <c r="E107" s="244">
        <f t="shared" ref="E107:E108" si="82">E79*F$93+E$93*F79-F79*F$93</f>
        <v>1.1550000000000002</v>
      </c>
      <c r="F107" s="245">
        <f t="shared" si="77"/>
        <v>2.4750000000000001</v>
      </c>
      <c r="G107" s="245">
        <f t="shared" si="77"/>
        <v>4.2350000000000003</v>
      </c>
      <c r="H107" s="246">
        <f t="shared" si="78"/>
        <v>6.6550000000000002</v>
      </c>
      <c r="I107" s="244">
        <f t="shared" si="79"/>
        <v>1.5650000000000008</v>
      </c>
      <c r="J107" s="245">
        <f t="shared" si="80"/>
        <v>2.4750000000000001</v>
      </c>
      <c r="K107" s="245">
        <f t="shared" si="80"/>
        <v>4.2350000000000003</v>
      </c>
      <c r="L107" s="246">
        <f t="shared" si="81"/>
        <v>5.830000000000001</v>
      </c>
    </row>
    <row r="108" spans="1:12" ht="15.75" thickBot="1" x14ac:dyDescent="0.3">
      <c r="A108" s="66" t="s">
        <v>62</v>
      </c>
      <c r="B108" s="71" t="s">
        <v>44</v>
      </c>
      <c r="D108" s="74" t="s">
        <v>74</v>
      </c>
      <c r="E108" s="247">
        <f t="shared" si="82"/>
        <v>1.9649999999999999</v>
      </c>
      <c r="F108" s="248">
        <f t="shared" si="77"/>
        <v>4.5</v>
      </c>
      <c r="G108" s="248">
        <f t="shared" si="77"/>
        <v>5.5</v>
      </c>
      <c r="H108" s="249">
        <f t="shared" si="78"/>
        <v>7</v>
      </c>
      <c r="I108" s="247">
        <f t="shared" si="79"/>
        <v>2.7349999999999994</v>
      </c>
      <c r="J108" s="248">
        <f t="shared" si="80"/>
        <v>4.5</v>
      </c>
      <c r="K108" s="248">
        <f t="shared" si="80"/>
        <v>5.5</v>
      </c>
      <c r="L108" s="249">
        <f t="shared" si="81"/>
        <v>6.5</v>
      </c>
    </row>
    <row r="111" spans="1:12" ht="18.75" x14ac:dyDescent="0.3">
      <c r="A111" s="85" t="s">
        <v>93</v>
      </c>
      <c r="B111" s="38"/>
      <c r="C111" s="38"/>
    </row>
    <row r="112" spans="1:12" x14ac:dyDescent="0.25">
      <c r="A112" s="1" t="s">
        <v>49</v>
      </c>
      <c r="B112" s="38"/>
      <c r="C112" s="38"/>
    </row>
    <row r="113" spans="1:73" ht="15.75" thickBot="1" x14ac:dyDescent="0.3">
      <c r="A113" s="39" t="s">
        <v>100</v>
      </c>
      <c r="B113" s="38"/>
      <c r="C113" s="38"/>
      <c r="BO113" s="245">
        <v>0.8</v>
      </c>
    </row>
    <row r="114" spans="1:73" ht="86.25" customHeight="1" thickBot="1" x14ac:dyDescent="0.3">
      <c r="A114" s="222" t="s">
        <v>26</v>
      </c>
      <c r="B114" s="222" t="s">
        <v>27</v>
      </c>
      <c r="C114" s="223" t="s">
        <v>28</v>
      </c>
      <c r="D114" s="224" t="s">
        <v>58</v>
      </c>
      <c r="E114" s="225"/>
      <c r="F114" s="225"/>
      <c r="G114" s="225" t="s">
        <v>59</v>
      </c>
      <c r="H114" s="225"/>
      <c r="I114" s="225"/>
      <c r="J114" s="220" t="s">
        <v>88</v>
      </c>
      <c r="K114" s="210" t="s">
        <v>81</v>
      </c>
      <c r="L114" s="211"/>
      <c r="M114" s="211"/>
      <c r="N114" s="211"/>
      <c r="O114" s="211"/>
      <c r="P114" s="211"/>
      <c r="Q114" s="211"/>
      <c r="R114" s="212"/>
      <c r="S114" s="261" t="s">
        <v>79</v>
      </c>
      <c r="T114" s="262"/>
      <c r="U114" s="262"/>
      <c r="V114" s="262"/>
      <c r="W114" s="262"/>
      <c r="X114" s="262"/>
      <c r="Y114" s="262"/>
      <c r="Z114" s="263"/>
      <c r="AA114" s="261" t="s">
        <v>80</v>
      </c>
      <c r="AB114" s="262"/>
      <c r="AC114" s="262"/>
      <c r="AD114" s="262"/>
      <c r="AE114" s="262"/>
      <c r="AF114" s="262"/>
      <c r="AG114" s="262"/>
      <c r="AH114" s="263"/>
      <c r="AI114" s="261" t="s">
        <v>78</v>
      </c>
      <c r="AJ114" s="262"/>
      <c r="AK114" s="262"/>
      <c r="AL114" s="262"/>
      <c r="AM114" s="262"/>
      <c r="AN114" s="262"/>
      <c r="AO114" s="262"/>
      <c r="AP114" s="263"/>
      <c r="AQ114" s="261" t="s">
        <v>89</v>
      </c>
      <c r="AR114" s="262"/>
      <c r="AS114" s="262"/>
      <c r="AT114" s="262"/>
      <c r="AU114" s="262"/>
      <c r="AV114" s="262"/>
      <c r="AW114" s="262"/>
      <c r="AX114" s="263"/>
      <c r="AY114" s="261" t="s">
        <v>90</v>
      </c>
      <c r="AZ114" s="262"/>
      <c r="BA114" s="262"/>
      <c r="BB114" s="262"/>
      <c r="BC114" s="262"/>
      <c r="BD114" s="262"/>
      <c r="BE114" s="262"/>
      <c r="BF114" s="263"/>
      <c r="BG114" s="261" t="s">
        <v>134</v>
      </c>
      <c r="BH114" s="262"/>
      <c r="BI114" s="262"/>
      <c r="BJ114" s="262"/>
      <c r="BK114" s="262"/>
      <c r="BL114" s="262"/>
      <c r="BM114" s="262"/>
      <c r="BN114" s="263"/>
      <c r="BO114" s="264" t="s">
        <v>82</v>
      </c>
      <c r="BP114" s="265"/>
      <c r="BQ114" s="265"/>
      <c r="BR114" s="266"/>
      <c r="BS114" s="267" t="s">
        <v>84</v>
      </c>
      <c r="BT114" s="268"/>
      <c r="BU114" s="269" t="s">
        <v>87</v>
      </c>
    </row>
    <row r="115" spans="1:73" s="36" customFormat="1" ht="23.25" customHeight="1" thickBot="1" x14ac:dyDescent="0.3">
      <c r="A115" s="222"/>
      <c r="B115" s="222"/>
      <c r="C115" s="223"/>
      <c r="D115" s="61" t="s">
        <v>50</v>
      </c>
      <c r="E115" s="46" t="s">
        <v>51</v>
      </c>
      <c r="F115" s="46" t="s">
        <v>52</v>
      </c>
      <c r="G115" s="46" t="s">
        <v>50</v>
      </c>
      <c r="H115" s="46" t="s">
        <v>51</v>
      </c>
      <c r="I115" s="46" t="s">
        <v>52</v>
      </c>
      <c r="J115" s="221"/>
      <c r="K115" s="210" t="s">
        <v>3</v>
      </c>
      <c r="L115" s="211"/>
      <c r="M115" s="211"/>
      <c r="N115" s="212"/>
      <c r="O115" s="210" t="s">
        <v>4</v>
      </c>
      <c r="P115" s="211"/>
      <c r="Q115" s="211"/>
      <c r="R115" s="212"/>
      <c r="S115" s="261" t="s">
        <v>3</v>
      </c>
      <c r="T115" s="262"/>
      <c r="U115" s="262"/>
      <c r="V115" s="263"/>
      <c r="W115" s="261" t="s">
        <v>4</v>
      </c>
      <c r="X115" s="262"/>
      <c r="Y115" s="262"/>
      <c r="Z115" s="263"/>
      <c r="AA115" s="261" t="s">
        <v>3</v>
      </c>
      <c r="AB115" s="262"/>
      <c r="AC115" s="262"/>
      <c r="AD115" s="263"/>
      <c r="AE115" s="261" t="s">
        <v>4</v>
      </c>
      <c r="AF115" s="262"/>
      <c r="AG115" s="262"/>
      <c r="AH115" s="263"/>
      <c r="AI115" s="261" t="s">
        <v>3</v>
      </c>
      <c r="AJ115" s="262"/>
      <c r="AK115" s="262"/>
      <c r="AL115" s="263"/>
      <c r="AM115" s="261" t="s">
        <v>4</v>
      </c>
      <c r="AN115" s="262"/>
      <c r="AO115" s="262"/>
      <c r="AP115" s="263"/>
      <c r="AQ115" s="261" t="s">
        <v>3</v>
      </c>
      <c r="AR115" s="262"/>
      <c r="AS115" s="262"/>
      <c r="AT115" s="263"/>
      <c r="AU115" s="261" t="s">
        <v>4</v>
      </c>
      <c r="AV115" s="262"/>
      <c r="AW115" s="262"/>
      <c r="AX115" s="263"/>
      <c r="AY115" s="261" t="s">
        <v>3</v>
      </c>
      <c r="AZ115" s="262"/>
      <c r="BA115" s="262"/>
      <c r="BB115" s="263"/>
      <c r="BC115" s="261" t="s">
        <v>4</v>
      </c>
      <c r="BD115" s="262"/>
      <c r="BE115" s="262"/>
      <c r="BF115" s="263"/>
      <c r="BG115" s="261" t="s">
        <v>3</v>
      </c>
      <c r="BH115" s="262"/>
      <c r="BI115" s="262"/>
      <c r="BJ115" s="263"/>
      <c r="BK115" s="261" t="s">
        <v>4</v>
      </c>
      <c r="BL115" s="262"/>
      <c r="BM115" s="262"/>
      <c r="BN115" s="263"/>
      <c r="BO115" s="270" t="s">
        <v>83</v>
      </c>
      <c r="BP115" s="271"/>
      <c r="BQ115" s="270" t="s">
        <v>5</v>
      </c>
      <c r="BR115" s="272"/>
      <c r="BS115" s="273" t="s">
        <v>85</v>
      </c>
      <c r="BT115" s="273" t="s">
        <v>86</v>
      </c>
      <c r="BU115" s="274"/>
    </row>
    <row r="116" spans="1:73" ht="30" x14ac:dyDescent="0.25">
      <c r="A116" s="41" t="s">
        <v>0</v>
      </c>
      <c r="B116" s="41" t="s">
        <v>25</v>
      </c>
      <c r="C116" s="60" t="s">
        <v>13</v>
      </c>
      <c r="D116" s="92" t="s">
        <v>46</v>
      </c>
      <c r="E116" s="92" t="s">
        <v>45</v>
      </c>
      <c r="F116" s="92" t="s">
        <v>44</v>
      </c>
      <c r="G116" s="49">
        <f>IF(D116=$A$129,$B$129,(IF(D116=$A$130,$B$130,IF(D116=$A$131,$B$131,$B$132))))</f>
        <v>0.33</v>
      </c>
      <c r="H116" s="49">
        <f t="shared" ref="H116:I125" si="83">IF(E116=$A$129,$B$129,(IF(E116=$A$130,$B$130,IF(E116=$A$131,$B$131,$B$132))))</f>
        <v>0.66</v>
      </c>
      <c r="I116" s="49">
        <f t="shared" si="83"/>
        <v>1</v>
      </c>
      <c r="J116" s="83">
        <f>G116*$D$143+H116*$D$144+I116*$D$145</f>
        <v>11.625</v>
      </c>
      <c r="K116" s="20">
        <v>0</v>
      </c>
      <c r="L116" s="22">
        <v>0.22000000000000003</v>
      </c>
      <c r="M116" s="22">
        <v>0.44</v>
      </c>
      <c r="N116" s="23">
        <v>0.55000000000000004</v>
      </c>
      <c r="O116" s="20">
        <v>0.06</v>
      </c>
      <c r="P116" s="242">
        <v>0.22000000000000003</v>
      </c>
      <c r="Q116" s="242">
        <v>0.44</v>
      </c>
      <c r="R116" s="243">
        <v>0.52</v>
      </c>
      <c r="S116" s="241">
        <v>0.44000000000000006</v>
      </c>
      <c r="T116" s="242">
        <v>0.55000000000000004</v>
      </c>
      <c r="U116" s="242">
        <v>0.77</v>
      </c>
      <c r="V116" s="243">
        <v>1</v>
      </c>
      <c r="W116" s="241">
        <v>0.47000000000000003</v>
      </c>
      <c r="X116" s="242">
        <v>0.55000000000000004</v>
      </c>
      <c r="Y116" s="242">
        <v>0.77</v>
      </c>
      <c r="Z116" s="243">
        <v>0.92</v>
      </c>
      <c r="AA116" s="241">
        <v>0.77</v>
      </c>
      <c r="AB116" s="242">
        <v>1</v>
      </c>
      <c r="AC116" s="242">
        <v>1</v>
      </c>
      <c r="AD116" s="243">
        <v>1</v>
      </c>
      <c r="AE116" s="241">
        <v>0.83</v>
      </c>
      <c r="AF116" s="242">
        <v>1</v>
      </c>
      <c r="AG116" s="242">
        <v>1</v>
      </c>
      <c r="AH116" s="243">
        <v>1</v>
      </c>
      <c r="AI116" s="241">
        <v>0</v>
      </c>
      <c r="AJ116" s="242">
        <v>0.44000000000000006</v>
      </c>
      <c r="AK116" s="242">
        <v>1.32</v>
      </c>
      <c r="AL116" s="243">
        <v>2.3099999999999996</v>
      </c>
      <c r="AM116" s="241">
        <v>5.3999999999999992E-2</v>
      </c>
      <c r="AN116" s="242">
        <v>0.44000000000000006</v>
      </c>
      <c r="AO116" s="242">
        <v>1.32</v>
      </c>
      <c r="AP116" s="243">
        <v>2</v>
      </c>
      <c r="AQ116" s="241">
        <v>1.1550000000000002</v>
      </c>
      <c r="AR116" s="242">
        <v>2.4750000000000001</v>
      </c>
      <c r="AS116" s="242">
        <v>4.2350000000000003</v>
      </c>
      <c r="AT116" s="242">
        <v>6.6550000000000002</v>
      </c>
      <c r="AU116" s="241">
        <v>1.5650000000000008</v>
      </c>
      <c r="AV116" s="242">
        <v>2.4750000000000001</v>
      </c>
      <c r="AW116" s="242">
        <v>4.2350000000000003</v>
      </c>
      <c r="AX116" s="243">
        <v>5.830000000000001</v>
      </c>
      <c r="AY116" s="241">
        <v>3.8900000000000006</v>
      </c>
      <c r="AZ116" s="242">
        <v>7</v>
      </c>
      <c r="BA116" s="242">
        <v>8</v>
      </c>
      <c r="BB116" s="242">
        <v>9.5</v>
      </c>
      <c r="BC116" s="241">
        <v>4.8099999999999987</v>
      </c>
      <c r="BD116" s="242">
        <v>7</v>
      </c>
      <c r="BE116" s="242">
        <v>8</v>
      </c>
      <c r="BF116" s="243">
        <v>9</v>
      </c>
      <c r="BG116" s="241">
        <f>AI116+AQ116+AY116</f>
        <v>5.0450000000000008</v>
      </c>
      <c r="BH116" s="242">
        <f t="shared" ref="BH116:BN125" si="84">AJ116+AR116+AZ116</f>
        <v>9.9149999999999991</v>
      </c>
      <c r="BI116" s="242">
        <f t="shared" si="84"/>
        <v>13.555</v>
      </c>
      <c r="BJ116" s="242">
        <f t="shared" si="84"/>
        <v>18.465</v>
      </c>
      <c r="BK116" s="241">
        <f t="shared" si="84"/>
        <v>6.4289999999999994</v>
      </c>
      <c r="BL116" s="242">
        <f t="shared" si="84"/>
        <v>9.9149999999999991</v>
      </c>
      <c r="BM116" s="242">
        <f t="shared" si="84"/>
        <v>13.555</v>
      </c>
      <c r="BN116" s="242">
        <f t="shared" si="84"/>
        <v>16.830000000000002</v>
      </c>
      <c r="BO116" s="250">
        <f>BO$9*BH116+(1-BO$9)*BG116</f>
        <v>8.9409999999999989</v>
      </c>
      <c r="BP116" s="275">
        <f>BO$9*BI116+(1-BO$9)*BJ116</f>
        <v>14.537000000000001</v>
      </c>
      <c r="BQ116" s="250">
        <f>BO$9*BL116+(1-BO$9)*BK116</f>
        <v>9.2177999999999987</v>
      </c>
      <c r="BR116" s="276">
        <f>BO$9*BM116+(1-BO$9)*BN116</f>
        <v>14.21</v>
      </c>
      <c r="BS116" s="241">
        <f>(BO116+BP116)/2</f>
        <v>11.739000000000001</v>
      </c>
      <c r="BT116" s="243">
        <f>(BQ116+BR116)/2</f>
        <v>11.713899999999999</v>
      </c>
      <c r="BU116" s="277">
        <f>(BS116+BT116)/2</f>
        <v>11.72645</v>
      </c>
    </row>
    <row r="117" spans="1:73" x14ac:dyDescent="0.25">
      <c r="A117" s="41" t="s">
        <v>1</v>
      </c>
      <c r="B117" s="41" t="s">
        <v>14</v>
      </c>
      <c r="C117" s="60" t="s">
        <v>29</v>
      </c>
      <c r="D117" s="92" t="s">
        <v>45</v>
      </c>
      <c r="E117" s="92" t="s">
        <v>46</v>
      </c>
      <c r="F117" s="92" t="s">
        <v>46</v>
      </c>
      <c r="G117" s="49">
        <f t="shared" ref="G117:G125" si="85">IF(D117=$A$129,$B$129,(IF(D117=$A$130,$B$130,IF(D117=$A$131,$B$131,$B$132))))</f>
        <v>0.66</v>
      </c>
      <c r="H117" s="49">
        <f t="shared" si="83"/>
        <v>0.33</v>
      </c>
      <c r="I117" s="49">
        <f t="shared" si="83"/>
        <v>0.33</v>
      </c>
      <c r="J117" s="83">
        <f t="shared" ref="J117:J125" si="86">G117*$D$143+H117*$D$144+I117*$D$145</f>
        <v>5.7750000000000004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 s="245">
        <v>0.55000000000000004</v>
      </c>
      <c r="Q117" s="245">
        <v>0.77</v>
      </c>
      <c r="R117" s="246">
        <v>0.92</v>
      </c>
      <c r="S117" s="244">
        <v>0</v>
      </c>
      <c r="T117" s="245">
        <v>0.22000000000000003</v>
      </c>
      <c r="U117" s="245">
        <v>0.44</v>
      </c>
      <c r="V117" s="246">
        <v>0.55000000000000004</v>
      </c>
      <c r="W117" s="244">
        <v>0.06</v>
      </c>
      <c r="X117" s="245">
        <v>0.22000000000000003</v>
      </c>
      <c r="Y117" s="245">
        <v>0.44</v>
      </c>
      <c r="Z117" s="246">
        <v>0.52</v>
      </c>
      <c r="AA117" s="244">
        <v>0</v>
      </c>
      <c r="AB117" s="245">
        <v>0.22000000000000003</v>
      </c>
      <c r="AC117" s="245">
        <v>0.44</v>
      </c>
      <c r="AD117" s="246">
        <v>0.55000000000000004</v>
      </c>
      <c r="AE117" s="244">
        <v>0.06</v>
      </c>
      <c r="AF117" s="245">
        <v>0.22000000000000003</v>
      </c>
      <c r="AG117" s="245">
        <v>0.44</v>
      </c>
      <c r="AH117" s="246">
        <v>0.52</v>
      </c>
      <c r="AI117" s="244">
        <v>0.60499999999999998</v>
      </c>
      <c r="AJ117" s="245">
        <v>1.1000000000000001</v>
      </c>
      <c r="AK117" s="245">
        <v>2.31</v>
      </c>
      <c r="AL117" s="246">
        <v>4.1549999999999994</v>
      </c>
      <c r="AM117" s="244">
        <v>0.77499999999999991</v>
      </c>
      <c r="AN117" s="245">
        <v>1.1000000000000001</v>
      </c>
      <c r="AO117" s="245">
        <v>2.31</v>
      </c>
      <c r="AP117" s="246">
        <v>3.53</v>
      </c>
      <c r="AQ117" s="244">
        <v>0</v>
      </c>
      <c r="AR117" s="245">
        <v>0.9900000000000001</v>
      </c>
      <c r="AS117" s="245">
        <v>2.42</v>
      </c>
      <c r="AT117" s="245">
        <v>3.6850000000000005</v>
      </c>
      <c r="AU117" s="244">
        <v>4.9999999999999933E-2</v>
      </c>
      <c r="AV117" s="245">
        <v>0.9900000000000001</v>
      </c>
      <c r="AW117" s="245">
        <v>2.42</v>
      </c>
      <c r="AX117" s="246">
        <v>3.3000000000000007</v>
      </c>
      <c r="AY117" s="244">
        <v>0</v>
      </c>
      <c r="AZ117" s="245">
        <v>1.5400000000000003</v>
      </c>
      <c r="BA117" s="245">
        <v>3.52</v>
      </c>
      <c r="BB117" s="245">
        <v>5.0600000000000005</v>
      </c>
      <c r="BC117" s="244">
        <v>0.19999999999999996</v>
      </c>
      <c r="BD117" s="245">
        <v>1.5400000000000003</v>
      </c>
      <c r="BE117" s="245">
        <v>3.52</v>
      </c>
      <c r="BF117" s="246">
        <v>4.6000000000000014</v>
      </c>
      <c r="BG117" s="244">
        <f t="shared" ref="BG117:BG125" si="87">AI117+AQ117+AY117</f>
        <v>0.60499999999999998</v>
      </c>
      <c r="BH117" s="245">
        <f t="shared" si="84"/>
        <v>3.6300000000000008</v>
      </c>
      <c r="BI117" s="245">
        <f t="shared" si="84"/>
        <v>8.25</v>
      </c>
      <c r="BJ117" s="245">
        <f t="shared" si="84"/>
        <v>12.9</v>
      </c>
      <c r="BK117" s="244">
        <f t="shared" si="84"/>
        <v>1.0249999999999999</v>
      </c>
      <c r="BL117" s="245">
        <f t="shared" si="84"/>
        <v>3.6300000000000008</v>
      </c>
      <c r="BM117" s="245">
        <f t="shared" si="84"/>
        <v>8.25</v>
      </c>
      <c r="BN117" s="245">
        <f t="shared" si="84"/>
        <v>11.430000000000001</v>
      </c>
      <c r="BO117" s="251">
        <f t="shared" ref="BO117:BO125" si="88">BO$9*BH117+(1-BO$9)*BG117</f>
        <v>3.0250000000000008</v>
      </c>
      <c r="BP117" s="278">
        <f t="shared" ref="BP117:BP125" si="89">BO$9*BI117+(1-BO$9)*BJ117</f>
        <v>9.18</v>
      </c>
      <c r="BQ117" s="251">
        <f t="shared" ref="BQ117:BQ125" si="90">BO$9*BL117+(1-BO$9)*BK117</f>
        <v>3.1090000000000009</v>
      </c>
      <c r="BR117" s="279">
        <f t="shared" ref="BR117:BR125" si="91">BO$9*BM117+(1-BO$9)*BN117</f>
        <v>8.8859999999999992</v>
      </c>
      <c r="BS117" s="244">
        <f t="shared" ref="BS117:BS125" si="92">(BO117+BP117)/2</f>
        <v>6.1025</v>
      </c>
      <c r="BT117" s="246">
        <f t="shared" ref="BT117:BT125" si="93">(BQ117+BR117)/2</f>
        <v>5.9975000000000005</v>
      </c>
      <c r="BU117" s="280">
        <f t="shared" ref="BU117:BU125" si="94">(BS117+BT117)/2</f>
        <v>6.0500000000000007</v>
      </c>
    </row>
    <row r="118" spans="1:73" x14ac:dyDescent="0.25">
      <c r="A118" s="41" t="s">
        <v>2</v>
      </c>
      <c r="B118" s="41" t="s">
        <v>15</v>
      </c>
      <c r="C118" s="60" t="s">
        <v>30</v>
      </c>
      <c r="D118" s="92" t="s">
        <v>45</v>
      </c>
      <c r="E118" s="92" t="s">
        <v>44</v>
      </c>
      <c r="F118" s="92" t="s">
        <v>45</v>
      </c>
      <c r="G118" s="49">
        <f t="shared" si="85"/>
        <v>0.66</v>
      </c>
      <c r="H118" s="49">
        <f t="shared" si="83"/>
        <v>1</v>
      </c>
      <c r="I118" s="49">
        <f t="shared" si="83"/>
        <v>0.66</v>
      </c>
      <c r="J118" s="83">
        <f t="shared" si="86"/>
        <v>11.600000000000001</v>
      </c>
      <c r="K118" s="26">
        <v>0.44000000000000006</v>
      </c>
      <c r="L118">
        <v>0.55000000000000004</v>
      </c>
      <c r="M118">
        <v>0.77</v>
      </c>
      <c r="N118" s="27">
        <v>1</v>
      </c>
      <c r="O118" s="26">
        <v>0.47000000000000003</v>
      </c>
      <c r="P118" s="245">
        <v>0.55000000000000004</v>
      </c>
      <c r="Q118" s="245">
        <v>0.77</v>
      </c>
      <c r="R118" s="246">
        <v>0.92</v>
      </c>
      <c r="S118" s="244">
        <v>0.77</v>
      </c>
      <c r="T118" s="245">
        <v>1</v>
      </c>
      <c r="U118" s="245">
        <v>1</v>
      </c>
      <c r="V118" s="246">
        <v>1</v>
      </c>
      <c r="W118" s="244">
        <v>0.83</v>
      </c>
      <c r="X118" s="245">
        <v>1</v>
      </c>
      <c r="Y118" s="245">
        <v>1</v>
      </c>
      <c r="Z118" s="246">
        <v>1</v>
      </c>
      <c r="AA118" s="244">
        <v>0.44000000000000006</v>
      </c>
      <c r="AB118" s="245">
        <v>0.55000000000000004</v>
      </c>
      <c r="AC118" s="245">
        <v>0.77</v>
      </c>
      <c r="AD118" s="246">
        <v>1</v>
      </c>
      <c r="AE118" s="244">
        <v>0.47000000000000003</v>
      </c>
      <c r="AF118" s="245">
        <v>0.55000000000000004</v>
      </c>
      <c r="AG118" s="245">
        <v>0.77</v>
      </c>
      <c r="AH118" s="246">
        <v>0.92</v>
      </c>
      <c r="AI118" s="244">
        <v>0.60499999999999998</v>
      </c>
      <c r="AJ118" s="245">
        <v>1.1000000000000001</v>
      </c>
      <c r="AK118" s="245">
        <v>2.31</v>
      </c>
      <c r="AL118" s="246">
        <v>4.1549999999999994</v>
      </c>
      <c r="AM118" s="244">
        <v>0.77499999999999991</v>
      </c>
      <c r="AN118" s="245">
        <v>1.1000000000000001</v>
      </c>
      <c r="AO118" s="245">
        <v>2.31</v>
      </c>
      <c r="AP118" s="246">
        <v>3.53</v>
      </c>
      <c r="AQ118" s="244">
        <v>1.9649999999999999</v>
      </c>
      <c r="AR118" s="245">
        <v>4.5</v>
      </c>
      <c r="AS118" s="245">
        <v>5.5</v>
      </c>
      <c r="AT118" s="245">
        <v>7</v>
      </c>
      <c r="AU118" s="244">
        <v>2.7349999999999994</v>
      </c>
      <c r="AV118" s="245">
        <v>4.5</v>
      </c>
      <c r="AW118" s="245">
        <v>5.5</v>
      </c>
      <c r="AX118" s="246">
        <v>6.5</v>
      </c>
      <c r="AY118" s="244">
        <v>2.2549999999999999</v>
      </c>
      <c r="AZ118" s="245">
        <v>3.8500000000000005</v>
      </c>
      <c r="BA118" s="245">
        <v>6.16</v>
      </c>
      <c r="BB118" s="245">
        <v>9.1550000000000011</v>
      </c>
      <c r="BC118" s="244">
        <v>2.7399999999999993</v>
      </c>
      <c r="BD118" s="245">
        <v>3.8500000000000005</v>
      </c>
      <c r="BE118" s="245">
        <v>6.16</v>
      </c>
      <c r="BF118" s="246">
        <v>8.129999999999999</v>
      </c>
      <c r="BG118" s="244">
        <f t="shared" si="87"/>
        <v>4.8249999999999993</v>
      </c>
      <c r="BH118" s="245">
        <f t="shared" si="84"/>
        <v>9.4499999999999993</v>
      </c>
      <c r="BI118" s="245">
        <f t="shared" si="84"/>
        <v>13.97</v>
      </c>
      <c r="BJ118" s="245">
        <f t="shared" si="84"/>
        <v>20.310000000000002</v>
      </c>
      <c r="BK118" s="244">
        <f t="shared" si="84"/>
        <v>6.2499999999999982</v>
      </c>
      <c r="BL118" s="245">
        <f t="shared" si="84"/>
        <v>9.4499999999999993</v>
      </c>
      <c r="BM118" s="245">
        <f t="shared" si="84"/>
        <v>13.97</v>
      </c>
      <c r="BN118" s="245">
        <f t="shared" si="84"/>
        <v>18.159999999999997</v>
      </c>
      <c r="BO118" s="251">
        <f t="shared" si="88"/>
        <v>8.5249999999999986</v>
      </c>
      <c r="BP118" s="278">
        <f t="shared" si="89"/>
        <v>15.238000000000001</v>
      </c>
      <c r="BQ118" s="251">
        <f t="shared" si="90"/>
        <v>8.8099999999999987</v>
      </c>
      <c r="BR118" s="279">
        <f t="shared" si="91"/>
        <v>14.808</v>
      </c>
      <c r="BS118" s="244">
        <f t="shared" si="92"/>
        <v>11.881499999999999</v>
      </c>
      <c r="BT118" s="246">
        <f t="shared" si="93"/>
        <v>11.808999999999999</v>
      </c>
      <c r="BU118" s="280">
        <f t="shared" si="94"/>
        <v>11.84525</v>
      </c>
    </row>
    <row r="119" spans="1:73" x14ac:dyDescent="0.25">
      <c r="A119" s="41" t="s">
        <v>6</v>
      </c>
      <c r="B119" s="41" t="s">
        <v>16</v>
      </c>
      <c r="C119" s="60" t="s">
        <v>17</v>
      </c>
      <c r="D119" s="92" t="s">
        <v>44</v>
      </c>
      <c r="E119" s="92" t="s">
        <v>45</v>
      </c>
      <c r="F119" s="92" t="s">
        <v>46</v>
      </c>
      <c r="G119" s="49">
        <f t="shared" si="85"/>
        <v>1</v>
      </c>
      <c r="H119" s="49">
        <f t="shared" si="83"/>
        <v>0.66</v>
      </c>
      <c r="I119" s="49">
        <f t="shared" si="83"/>
        <v>0.33</v>
      </c>
      <c r="J119" s="83">
        <f t="shared" si="86"/>
        <v>8.2750000000000004</v>
      </c>
      <c r="K119" s="26">
        <v>0.77</v>
      </c>
      <c r="L119">
        <v>1</v>
      </c>
      <c r="M119">
        <v>1</v>
      </c>
      <c r="N119" s="27">
        <v>1</v>
      </c>
      <c r="O119" s="26">
        <v>0.83</v>
      </c>
      <c r="P119" s="245">
        <v>1</v>
      </c>
      <c r="Q119" s="245">
        <v>1</v>
      </c>
      <c r="R119" s="246">
        <v>1</v>
      </c>
      <c r="S119" s="244">
        <v>0.44000000000000006</v>
      </c>
      <c r="T119" s="245">
        <v>0.55000000000000004</v>
      </c>
      <c r="U119" s="245">
        <v>0.77</v>
      </c>
      <c r="V119" s="246">
        <v>1</v>
      </c>
      <c r="W119" s="244">
        <v>0.47000000000000003</v>
      </c>
      <c r="X119" s="245">
        <v>0.55000000000000004</v>
      </c>
      <c r="Y119" s="245">
        <v>0.77</v>
      </c>
      <c r="Z119" s="246">
        <v>0.92</v>
      </c>
      <c r="AA119" s="244">
        <v>0</v>
      </c>
      <c r="AB119" s="245">
        <v>0.22000000000000003</v>
      </c>
      <c r="AC119" s="245">
        <v>0.44</v>
      </c>
      <c r="AD119" s="246">
        <v>0.55000000000000004</v>
      </c>
      <c r="AE119" s="244">
        <v>0.06</v>
      </c>
      <c r="AF119" s="245">
        <v>0.22000000000000003</v>
      </c>
      <c r="AG119" s="245">
        <v>0.44</v>
      </c>
      <c r="AH119" s="246">
        <v>0.52</v>
      </c>
      <c r="AI119" s="244">
        <v>1.04</v>
      </c>
      <c r="AJ119" s="245">
        <v>2</v>
      </c>
      <c r="AK119" s="245">
        <v>3</v>
      </c>
      <c r="AL119" s="246">
        <v>4.5</v>
      </c>
      <c r="AM119" s="244">
        <v>1.3599999999999999</v>
      </c>
      <c r="AN119" s="245">
        <v>2</v>
      </c>
      <c r="AO119" s="245">
        <v>3</v>
      </c>
      <c r="AP119" s="246">
        <v>4</v>
      </c>
      <c r="AQ119" s="244">
        <v>1.1550000000000002</v>
      </c>
      <c r="AR119" s="245">
        <v>2.4750000000000001</v>
      </c>
      <c r="AS119" s="245">
        <v>4.2350000000000003</v>
      </c>
      <c r="AT119" s="245">
        <v>6.6550000000000002</v>
      </c>
      <c r="AU119" s="244">
        <v>1.5650000000000008</v>
      </c>
      <c r="AV119" s="245">
        <v>2.4750000000000001</v>
      </c>
      <c r="AW119" s="245">
        <v>4.2350000000000003</v>
      </c>
      <c r="AX119" s="246">
        <v>5.830000000000001</v>
      </c>
      <c r="AY119" s="244">
        <v>0</v>
      </c>
      <c r="AZ119" s="245">
        <v>1.5400000000000003</v>
      </c>
      <c r="BA119" s="245">
        <v>3.52</v>
      </c>
      <c r="BB119" s="245">
        <v>5.0600000000000005</v>
      </c>
      <c r="BC119" s="244">
        <v>0.19999999999999996</v>
      </c>
      <c r="BD119" s="245">
        <v>1.5400000000000003</v>
      </c>
      <c r="BE119" s="245">
        <v>3.52</v>
      </c>
      <c r="BF119" s="246">
        <v>4.6000000000000014</v>
      </c>
      <c r="BG119" s="244">
        <f t="shared" si="87"/>
        <v>2.1950000000000003</v>
      </c>
      <c r="BH119" s="245">
        <f t="shared" si="84"/>
        <v>6.0149999999999997</v>
      </c>
      <c r="BI119" s="245">
        <f t="shared" si="84"/>
        <v>10.755000000000001</v>
      </c>
      <c r="BJ119" s="245">
        <f t="shared" si="84"/>
        <v>16.215000000000003</v>
      </c>
      <c r="BK119" s="244">
        <f t="shared" si="84"/>
        <v>3.1250000000000009</v>
      </c>
      <c r="BL119" s="245">
        <f t="shared" si="84"/>
        <v>6.0149999999999997</v>
      </c>
      <c r="BM119" s="245">
        <f t="shared" si="84"/>
        <v>10.755000000000001</v>
      </c>
      <c r="BN119" s="245">
        <f t="shared" si="84"/>
        <v>14.430000000000003</v>
      </c>
      <c r="BO119" s="251">
        <f t="shared" si="88"/>
        <v>5.2510000000000003</v>
      </c>
      <c r="BP119" s="278">
        <f t="shared" si="89"/>
        <v>11.847000000000001</v>
      </c>
      <c r="BQ119" s="251">
        <f t="shared" si="90"/>
        <v>5.4370000000000003</v>
      </c>
      <c r="BR119" s="279">
        <f t="shared" si="91"/>
        <v>11.490000000000002</v>
      </c>
      <c r="BS119" s="244">
        <f t="shared" si="92"/>
        <v>8.5490000000000013</v>
      </c>
      <c r="BT119" s="246">
        <f t="shared" si="93"/>
        <v>8.4635000000000016</v>
      </c>
      <c r="BU119" s="280">
        <f t="shared" si="94"/>
        <v>8.5062500000000014</v>
      </c>
    </row>
    <row r="120" spans="1:73" ht="30" x14ac:dyDescent="0.25">
      <c r="A120" s="41" t="s">
        <v>7</v>
      </c>
      <c r="B120" s="41" t="s">
        <v>18</v>
      </c>
      <c r="C120" s="60" t="s">
        <v>31</v>
      </c>
      <c r="D120" s="92" t="s">
        <v>45</v>
      </c>
      <c r="E120" s="92" t="s">
        <v>44</v>
      </c>
      <c r="F120" s="92" t="s">
        <v>46</v>
      </c>
      <c r="G120" s="49">
        <f t="shared" si="85"/>
        <v>0.66</v>
      </c>
      <c r="H120" s="49">
        <f t="shared" si="83"/>
        <v>1</v>
      </c>
      <c r="I120" s="49">
        <f t="shared" si="83"/>
        <v>0.33</v>
      </c>
      <c r="J120" s="83">
        <f t="shared" si="86"/>
        <v>9.125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 s="245">
        <v>0.55000000000000004</v>
      </c>
      <c r="Q120" s="245">
        <v>0.77</v>
      </c>
      <c r="R120" s="246">
        <v>0.92</v>
      </c>
      <c r="S120" s="244">
        <v>0.77</v>
      </c>
      <c r="T120" s="245">
        <v>1</v>
      </c>
      <c r="U120" s="245">
        <v>1</v>
      </c>
      <c r="V120" s="246">
        <v>1</v>
      </c>
      <c r="W120" s="244">
        <v>0.83</v>
      </c>
      <c r="X120" s="245">
        <v>1</v>
      </c>
      <c r="Y120" s="245">
        <v>1</v>
      </c>
      <c r="Z120" s="246">
        <v>1</v>
      </c>
      <c r="AA120" s="244">
        <v>0</v>
      </c>
      <c r="AB120" s="245">
        <v>0.22000000000000003</v>
      </c>
      <c r="AC120" s="245">
        <v>0.44</v>
      </c>
      <c r="AD120" s="246">
        <v>0.55000000000000004</v>
      </c>
      <c r="AE120" s="244">
        <v>0.06</v>
      </c>
      <c r="AF120" s="245">
        <v>0.22000000000000003</v>
      </c>
      <c r="AG120" s="245">
        <v>0.44</v>
      </c>
      <c r="AH120" s="246">
        <v>0.52</v>
      </c>
      <c r="AI120" s="244">
        <v>0.60499999999999998</v>
      </c>
      <c r="AJ120" s="245">
        <v>1.1000000000000001</v>
      </c>
      <c r="AK120" s="245">
        <v>2.31</v>
      </c>
      <c r="AL120" s="246">
        <v>4.1549999999999994</v>
      </c>
      <c r="AM120" s="244">
        <v>0.77499999999999991</v>
      </c>
      <c r="AN120" s="245">
        <v>1.1000000000000001</v>
      </c>
      <c r="AO120" s="245">
        <v>2.31</v>
      </c>
      <c r="AP120" s="246">
        <v>3.53</v>
      </c>
      <c r="AQ120" s="244">
        <v>1.9649999999999999</v>
      </c>
      <c r="AR120" s="245">
        <v>4.5</v>
      </c>
      <c r="AS120" s="245">
        <v>5.5</v>
      </c>
      <c r="AT120" s="245">
        <v>7</v>
      </c>
      <c r="AU120" s="244">
        <v>2.7349999999999994</v>
      </c>
      <c r="AV120" s="245">
        <v>4.5</v>
      </c>
      <c r="AW120" s="245">
        <v>5.5</v>
      </c>
      <c r="AX120" s="246">
        <v>6.5</v>
      </c>
      <c r="AY120" s="244">
        <v>0</v>
      </c>
      <c r="AZ120" s="245">
        <v>1.5400000000000003</v>
      </c>
      <c r="BA120" s="245">
        <v>3.52</v>
      </c>
      <c r="BB120" s="245">
        <v>5.0600000000000005</v>
      </c>
      <c r="BC120" s="244">
        <v>0.19999999999999996</v>
      </c>
      <c r="BD120" s="245">
        <v>1.5400000000000003</v>
      </c>
      <c r="BE120" s="245">
        <v>3.52</v>
      </c>
      <c r="BF120" s="246">
        <v>4.6000000000000014</v>
      </c>
      <c r="BG120" s="244">
        <f t="shared" si="87"/>
        <v>2.57</v>
      </c>
      <c r="BH120" s="245">
        <f t="shared" si="84"/>
        <v>7.14</v>
      </c>
      <c r="BI120" s="245">
        <f t="shared" si="84"/>
        <v>11.33</v>
      </c>
      <c r="BJ120" s="245">
        <f t="shared" si="84"/>
        <v>16.215</v>
      </c>
      <c r="BK120" s="244">
        <f t="shared" si="84"/>
        <v>3.7099999999999991</v>
      </c>
      <c r="BL120" s="245">
        <f t="shared" si="84"/>
        <v>7.14</v>
      </c>
      <c r="BM120" s="245">
        <f t="shared" si="84"/>
        <v>11.33</v>
      </c>
      <c r="BN120" s="245">
        <f t="shared" si="84"/>
        <v>14.63</v>
      </c>
      <c r="BO120" s="251">
        <f t="shared" si="88"/>
        <v>6.226</v>
      </c>
      <c r="BP120" s="278">
        <f t="shared" si="89"/>
        <v>12.306999999999999</v>
      </c>
      <c r="BQ120" s="251">
        <f t="shared" si="90"/>
        <v>6.4539999999999997</v>
      </c>
      <c r="BR120" s="279">
        <f t="shared" si="91"/>
        <v>11.99</v>
      </c>
      <c r="BS120" s="244">
        <f t="shared" si="92"/>
        <v>9.2664999999999988</v>
      </c>
      <c r="BT120" s="246">
        <f t="shared" si="93"/>
        <v>9.2219999999999995</v>
      </c>
      <c r="BU120" s="280">
        <f t="shared" si="94"/>
        <v>9.2442499999999992</v>
      </c>
    </row>
    <row r="121" spans="1:73" x14ac:dyDescent="0.25">
      <c r="A121" s="41" t="s">
        <v>8</v>
      </c>
      <c r="B121" s="41" t="s">
        <v>19</v>
      </c>
      <c r="C121" s="60" t="s">
        <v>32</v>
      </c>
      <c r="D121" s="92" t="s">
        <v>46</v>
      </c>
      <c r="E121" s="92" t="s">
        <v>45</v>
      </c>
      <c r="F121" s="92" t="s">
        <v>46</v>
      </c>
      <c r="G121" s="49">
        <f t="shared" si="85"/>
        <v>0.33</v>
      </c>
      <c r="H121" s="49">
        <f t="shared" si="83"/>
        <v>0.66</v>
      </c>
      <c r="I121" s="49">
        <f t="shared" si="83"/>
        <v>0.33</v>
      </c>
      <c r="J121" s="83">
        <f t="shared" si="86"/>
        <v>6.6</v>
      </c>
      <c r="K121" s="26">
        <v>0</v>
      </c>
      <c r="L121">
        <v>0.22000000000000003</v>
      </c>
      <c r="M121">
        <v>0.44</v>
      </c>
      <c r="N121" s="27">
        <v>0.55000000000000004</v>
      </c>
      <c r="O121" s="26">
        <v>0.06</v>
      </c>
      <c r="P121" s="245">
        <v>0.22000000000000003</v>
      </c>
      <c r="Q121" s="245">
        <v>0.44</v>
      </c>
      <c r="R121" s="246">
        <v>0.52</v>
      </c>
      <c r="S121" s="244">
        <v>0.44000000000000006</v>
      </c>
      <c r="T121" s="245">
        <v>0.55000000000000004</v>
      </c>
      <c r="U121" s="245">
        <v>0.77</v>
      </c>
      <c r="V121" s="246">
        <v>1</v>
      </c>
      <c r="W121" s="244">
        <v>0.47000000000000003</v>
      </c>
      <c r="X121" s="245">
        <v>0.55000000000000004</v>
      </c>
      <c r="Y121" s="245">
        <v>0.77</v>
      </c>
      <c r="Z121" s="246">
        <v>0.92</v>
      </c>
      <c r="AA121" s="244">
        <v>0</v>
      </c>
      <c r="AB121" s="245">
        <v>0.22000000000000003</v>
      </c>
      <c r="AC121" s="245">
        <v>0.44</v>
      </c>
      <c r="AD121" s="246">
        <v>0.55000000000000004</v>
      </c>
      <c r="AE121" s="244">
        <v>0.06</v>
      </c>
      <c r="AF121" s="245">
        <v>0.22000000000000003</v>
      </c>
      <c r="AG121" s="245">
        <v>0.44</v>
      </c>
      <c r="AH121" s="246">
        <v>0.52</v>
      </c>
      <c r="AI121" s="244">
        <v>0</v>
      </c>
      <c r="AJ121" s="245">
        <v>0.44000000000000006</v>
      </c>
      <c r="AK121" s="245">
        <v>1.32</v>
      </c>
      <c r="AL121" s="246">
        <v>2.3099999999999996</v>
      </c>
      <c r="AM121" s="244">
        <v>5.3999999999999992E-2</v>
      </c>
      <c r="AN121" s="245">
        <v>0.44000000000000006</v>
      </c>
      <c r="AO121" s="245">
        <v>1.32</v>
      </c>
      <c r="AP121" s="246">
        <v>2</v>
      </c>
      <c r="AQ121" s="244">
        <v>1.1550000000000002</v>
      </c>
      <c r="AR121" s="245">
        <v>2.4750000000000001</v>
      </c>
      <c r="AS121" s="245">
        <v>4.2350000000000003</v>
      </c>
      <c r="AT121" s="245">
        <v>6.6550000000000002</v>
      </c>
      <c r="AU121" s="244">
        <v>1.5650000000000008</v>
      </c>
      <c r="AV121" s="245">
        <v>2.4750000000000001</v>
      </c>
      <c r="AW121" s="245">
        <v>4.2350000000000003</v>
      </c>
      <c r="AX121" s="246">
        <v>5.830000000000001</v>
      </c>
      <c r="AY121" s="244">
        <v>0</v>
      </c>
      <c r="AZ121" s="245">
        <v>1.5400000000000003</v>
      </c>
      <c r="BA121" s="245">
        <v>3.52</v>
      </c>
      <c r="BB121" s="245">
        <v>5.0600000000000005</v>
      </c>
      <c r="BC121" s="244">
        <v>0.19999999999999996</v>
      </c>
      <c r="BD121" s="245">
        <v>1.5400000000000003</v>
      </c>
      <c r="BE121" s="245">
        <v>3.52</v>
      </c>
      <c r="BF121" s="246">
        <v>4.6000000000000014</v>
      </c>
      <c r="BG121" s="244">
        <f t="shared" si="87"/>
        <v>1.1550000000000002</v>
      </c>
      <c r="BH121" s="245">
        <f t="shared" si="84"/>
        <v>4.4550000000000001</v>
      </c>
      <c r="BI121" s="245">
        <f t="shared" si="84"/>
        <v>9.0750000000000011</v>
      </c>
      <c r="BJ121" s="245">
        <f t="shared" si="84"/>
        <v>14.025</v>
      </c>
      <c r="BK121" s="244">
        <f t="shared" si="84"/>
        <v>1.8190000000000008</v>
      </c>
      <c r="BL121" s="245">
        <f t="shared" si="84"/>
        <v>4.4550000000000001</v>
      </c>
      <c r="BM121" s="245">
        <f t="shared" si="84"/>
        <v>9.0750000000000011</v>
      </c>
      <c r="BN121" s="245">
        <f t="shared" si="84"/>
        <v>12.430000000000003</v>
      </c>
      <c r="BO121" s="251">
        <f t="shared" si="88"/>
        <v>3.7949999999999999</v>
      </c>
      <c r="BP121" s="278">
        <f t="shared" si="89"/>
        <v>10.065000000000001</v>
      </c>
      <c r="BQ121" s="251">
        <f t="shared" si="90"/>
        <v>3.9278</v>
      </c>
      <c r="BR121" s="279">
        <f t="shared" si="91"/>
        <v>9.7460000000000022</v>
      </c>
      <c r="BS121" s="244">
        <f t="shared" si="92"/>
        <v>6.9300000000000006</v>
      </c>
      <c r="BT121" s="246">
        <f t="shared" si="93"/>
        <v>6.8369000000000009</v>
      </c>
      <c r="BU121" s="280">
        <f t="shared" si="94"/>
        <v>6.8834500000000007</v>
      </c>
    </row>
    <row r="122" spans="1:73" ht="30" x14ac:dyDescent="0.25">
      <c r="A122" s="41" t="s">
        <v>9</v>
      </c>
      <c r="B122" s="41" t="s">
        <v>20</v>
      </c>
      <c r="C122" s="60" t="s">
        <v>33</v>
      </c>
      <c r="D122" s="92" t="s">
        <v>44</v>
      </c>
      <c r="E122" s="92" t="s">
        <v>45</v>
      </c>
      <c r="F122" s="92" t="s">
        <v>46</v>
      </c>
      <c r="G122" s="49">
        <f t="shared" si="85"/>
        <v>1</v>
      </c>
      <c r="H122" s="49">
        <f t="shared" si="83"/>
        <v>0.66</v>
      </c>
      <c r="I122" s="49">
        <f t="shared" si="83"/>
        <v>0.33</v>
      </c>
      <c r="J122" s="83">
        <f t="shared" si="86"/>
        <v>8.2750000000000004</v>
      </c>
      <c r="K122" s="26">
        <v>0.77</v>
      </c>
      <c r="L122">
        <v>1</v>
      </c>
      <c r="M122">
        <v>1</v>
      </c>
      <c r="N122" s="27">
        <v>1</v>
      </c>
      <c r="O122" s="26">
        <v>0.83</v>
      </c>
      <c r="P122" s="245">
        <v>1</v>
      </c>
      <c r="Q122" s="245">
        <v>1</v>
      </c>
      <c r="R122" s="246">
        <v>1</v>
      </c>
      <c r="S122" s="244">
        <v>0.44000000000000006</v>
      </c>
      <c r="T122" s="245">
        <v>0.55000000000000004</v>
      </c>
      <c r="U122" s="245">
        <v>0.77</v>
      </c>
      <c r="V122" s="246">
        <v>1</v>
      </c>
      <c r="W122" s="244">
        <v>0.47000000000000003</v>
      </c>
      <c r="X122" s="245">
        <v>0.55000000000000004</v>
      </c>
      <c r="Y122" s="245">
        <v>0.77</v>
      </c>
      <c r="Z122" s="246">
        <v>0.92</v>
      </c>
      <c r="AA122" s="244">
        <v>0</v>
      </c>
      <c r="AB122" s="245">
        <v>0.22000000000000003</v>
      </c>
      <c r="AC122" s="245">
        <v>0.44</v>
      </c>
      <c r="AD122" s="246">
        <v>0.55000000000000004</v>
      </c>
      <c r="AE122" s="244">
        <v>0.06</v>
      </c>
      <c r="AF122" s="245">
        <v>0.22000000000000003</v>
      </c>
      <c r="AG122" s="245">
        <v>0.44</v>
      </c>
      <c r="AH122" s="246">
        <v>0.52</v>
      </c>
      <c r="AI122" s="244">
        <v>1.04</v>
      </c>
      <c r="AJ122" s="245">
        <v>2</v>
      </c>
      <c r="AK122" s="245">
        <v>3</v>
      </c>
      <c r="AL122" s="246">
        <v>4.5</v>
      </c>
      <c r="AM122" s="244">
        <v>1.3599999999999999</v>
      </c>
      <c r="AN122" s="245">
        <v>2</v>
      </c>
      <c r="AO122" s="245">
        <v>3</v>
      </c>
      <c r="AP122" s="246">
        <v>4</v>
      </c>
      <c r="AQ122" s="244">
        <v>1.1550000000000002</v>
      </c>
      <c r="AR122" s="245">
        <v>2.4750000000000001</v>
      </c>
      <c r="AS122" s="245">
        <v>4.2350000000000003</v>
      </c>
      <c r="AT122" s="245">
        <v>6.6550000000000002</v>
      </c>
      <c r="AU122" s="244">
        <v>1.5650000000000008</v>
      </c>
      <c r="AV122" s="245">
        <v>2.4750000000000001</v>
      </c>
      <c r="AW122" s="245">
        <v>4.2350000000000003</v>
      </c>
      <c r="AX122" s="246">
        <v>5.830000000000001</v>
      </c>
      <c r="AY122" s="244">
        <v>0</v>
      </c>
      <c r="AZ122" s="245">
        <v>1.5400000000000003</v>
      </c>
      <c r="BA122" s="245">
        <v>3.52</v>
      </c>
      <c r="BB122" s="245">
        <v>5.0600000000000005</v>
      </c>
      <c r="BC122" s="244">
        <v>0.19999999999999996</v>
      </c>
      <c r="BD122" s="245">
        <v>1.5400000000000003</v>
      </c>
      <c r="BE122" s="245">
        <v>3.52</v>
      </c>
      <c r="BF122" s="246">
        <v>4.6000000000000014</v>
      </c>
      <c r="BG122" s="244">
        <f t="shared" si="87"/>
        <v>2.1950000000000003</v>
      </c>
      <c r="BH122" s="245">
        <f t="shared" si="84"/>
        <v>6.0149999999999997</v>
      </c>
      <c r="BI122" s="245">
        <f t="shared" si="84"/>
        <v>10.755000000000001</v>
      </c>
      <c r="BJ122" s="245">
        <f t="shared" si="84"/>
        <v>16.215000000000003</v>
      </c>
      <c r="BK122" s="244">
        <f t="shared" si="84"/>
        <v>3.1250000000000009</v>
      </c>
      <c r="BL122" s="245">
        <f t="shared" si="84"/>
        <v>6.0149999999999997</v>
      </c>
      <c r="BM122" s="245">
        <f t="shared" si="84"/>
        <v>10.755000000000001</v>
      </c>
      <c r="BN122" s="245">
        <f t="shared" si="84"/>
        <v>14.430000000000003</v>
      </c>
      <c r="BO122" s="251">
        <f t="shared" si="88"/>
        <v>5.2510000000000003</v>
      </c>
      <c r="BP122" s="278">
        <f t="shared" si="89"/>
        <v>11.847000000000001</v>
      </c>
      <c r="BQ122" s="251">
        <f t="shared" si="90"/>
        <v>5.4370000000000003</v>
      </c>
      <c r="BR122" s="279">
        <f t="shared" si="91"/>
        <v>11.490000000000002</v>
      </c>
      <c r="BS122" s="244">
        <f t="shared" si="92"/>
        <v>8.5490000000000013</v>
      </c>
      <c r="BT122" s="246">
        <f t="shared" si="93"/>
        <v>8.4635000000000016</v>
      </c>
      <c r="BU122" s="280">
        <f t="shared" si="94"/>
        <v>8.5062500000000014</v>
      </c>
    </row>
    <row r="123" spans="1:73" ht="30" x14ac:dyDescent="0.25">
      <c r="A123" s="41" t="s">
        <v>10</v>
      </c>
      <c r="B123" s="41" t="s">
        <v>21</v>
      </c>
      <c r="C123" s="60" t="s">
        <v>22</v>
      </c>
      <c r="D123" s="92" t="s">
        <v>45</v>
      </c>
      <c r="E123" s="92" t="s">
        <v>46</v>
      </c>
      <c r="F123" s="92" t="s">
        <v>44</v>
      </c>
      <c r="G123" s="49">
        <f t="shared" si="85"/>
        <v>0.66</v>
      </c>
      <c r="H123" s="49">
        <f t="shared" si="83"/>
        <v>0.33</v>
      </c>
      <c r="I123" s="49">
        <f t="shared" si="83"/>
        <v>1</v>
      </c>
      <c r="J123" s="83">
        <f t="shared" si="86"/>
        <v>10.8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 s="245">
        <v>0.55000000000000004</v>
      </c>
      <c r="Q123" s="245">
        <v>0.77</v>
      </c>
      <c r="R123" s="246">
        <v>0.92</v>
      </c>
      <c r="S123" s="244">
        <v>0</v>
      </c>
      <c r="T123" s="245">
        <v>0.22000000000000003</v>
      </c>
      <c r="U123" s="245">
        <v>0.44</v>
      </c>
      <c r="V123" s="246">
        <v>0.55000000000000004</v>
      </c>
      <c r="W123" s="244">
        <v>0.06</v>
      </c>
      <c r="X123" s="245">
        <v>0.22000000000000003</v>
      </c>
      <c r="Y123" s="245">
        <v>0.44</v>
      </c>
      <c r="Z123" s="246">
        <v>0.52</v>
      </c>
      <c r="AA123" s="244">
        <v>0.77</v>
      </c>
      <c r="AB123" s="245">
        <v>1</v>
      </c>
      <c r="AC123" s="245">
        <v>1</v>
      </c>
      <c r="AD123" s="246">
        <v>1</v>
      </c>
      <c r="AE123" s="244">
        <v>0.83</v>
      </c>
      <c r="AF123" s="245">
        <v>1</v>
      </c>
      <c r="AG123" s="245">
        <v>1</v>
      </c>
      <c r="AH123" s="246">
        <v>1</v>
      </c>
      <c r="AI123" s="244">
        <v>0.60499999999999998</v>
      </c>
      <c r="AJ123" s="245">
        <v>1.1000000000000001</v>
      </c>
      <c r="AK123" s="245">
        <v>2.31</v>
      </c>
      <c r="AL123" s="246">
        <v>4.1549999999999994</v>
      </c>
      <c r="AM123" s="244">
        <v>0.77499999999999991</v>
      </c>
      <c r="AN123" s="245">
        <v>1.1000000000000001</v>
      </c>
      <c r="AO123" s="245">
        <v>2.31</v>
      </c>
      <c r="AP123" s="246">
        <v>3.53</v>
      </c>
      <c r="AQ123" s="244">
        <v>0</v>
      </c>
      <c r="AR123" s="245">
        <v>0.9900000000000001</v>
      </c>
      <c r="AS123" s="245">
        <v>2.42</v>
      </c>
      <c r="AT123" s="245">
        <v>3.6850000000000005</v>
      </c>
      <c r="AU123" s="244">
        <v>4.9999999999999933E-2</v>
      </c>
      <c r="AV123" s="245">
        <v>0.9900000000000001</v>
      </c>
      <c r="AW123" s="245">
        <v>2.42</v>
      </c>
      <c r="AX123" s="246">
        <v>3.3000000000000007</v>
      </c>
      <c r="AY123" s="244">
        <v>3.8900000000000006</v>
      </c>
      <c r="AZ123" s="245">
        <v>7</v>
      </c>
      <c r="BA123" s="245">
        <v>8</v>
      </c>
      <c r="BB123" s="245">
        <v>9.5</v>
      </c>
      <c r="BC123" s="244">
        <v>4.8099999999999987</v>
      </c>
      <c r="BD123" s="245">
        <v>7</v>
      </c>
      <c r="BE123" s="245">
        <v>8</v>
      </c>
      <c r="BF123" s="246">
        <v>9</v>
      </c>
      <c r="BG123" s="244">
        <f t="shared" si="87"/>
        <v>4.495000000000001</v>
      </c>
      <c r="BH123" s="245">
        <f t="shared" si="84"/>
        <v>9.09</v>
      </c>
      <c r="BI123" s="245">
        <f t="shared" si="84"/>
        <v>12.73</v>
      </c>
      <c r="BJ123" s="245">
        <f t="shared" si="84"/>
        <v>17.34</v>
      </c>
      <c r="BK123" s="244">
        <f t="shared" si="84"/>
        <v>5.6349999999999989</v>
      </c>
      <c r="BL123" s="245">
        <f t="shared" si="84"/>
        <v>9.09</v>
      </c>
      <c r="BM123" s="245">
        <f t="shared" si="84"/>
        <v>12.73</v>
      </c>
      <c r="BN123" s="245">
        <f t="shared" si="84"/>
        <v>15.83</v>
      </c>
      <c r="BO123" s="251">
        <f t="shared" si="88"/>
        <v>8.1709999999999994</v>
      </c>
      <c r="BP123" s="278">
        <f t="shared" si="89"/>
        <v>13.652000000000001</v>
      </c>
      <c r="BQ123" s="251">
        <f t="shared" si="90"/>
        <v>8.3989999999999991</v>
      </c>
      <c r="BR123" s="279">
        <f t="shared" si="91"/>
        <v>13.350000000000001</v>
      </c>
      <c r="BS123" s="244">
        <f t="shared" si="92"/>
        <v>10.9115</v>
      </c>
      <c r="BT123" s="246">
        <f t="shared" si="93"/>
        <v>10.874500000000001</v>
      </c>
      <c r="BU123" s="280">
        <f t="shared" si="94"/>
        <v>10.893000000000001</v>
      </c>
    </row>
    <row r="124" spans="1:73" ht="36.75" customHeight="1" x14ac:dyDescent="0.25">
      <c r="A124" s="41" t="s">
        <v>11</v>
      </c>
      <c r="B124" s="41" t="s">
        <v>23</v>
      </c>
      <c r="C124" s="60" t="s">
        <v>34</v>
      </c>
      <c r="D124" s="92" t="s">
        <v>45</v>
      </c>
      <c r="E124" s="92" t="s">
        <v>44</v>
      </c>
      <c r="F124" s="92" t="s">
        <v>46</v>
      </c>
      <c r="G124" s="49">
        <f t="shared" si="85"/>
        <v>0.66</v>
      </c>
      <c r="H124" s="49">
        <f t="shared" si="83"/>
        <v>1</v>
      </c>
      <c r="I124" s="49">
        <f t="shared" si="83"/>
        <v>0.33</v>
      </c>
      <c r="J124" s="83">
        <f t="shared" si="86"/>
        <v>9.125</v>
      </c>
      <c r="K124" s="26">
        <v>0.44000000000000006</v>
      </c>
      <c r="L124">
        <v>0.55000000000000004</v>
      </c>
      <c r="M124">
        <v>0.77</v>
      </c>
      <c r="N124" s="27">
        <v>1</v>
      </c>
      <c r="O124" s="26">
        <v>0.47000000000000003</v>
      </c>
      <c r="P124" s="245">
        <v>0.55000000000000004</v>
      </c>
      <c r="Q124" s="245">
        <v>0.77</v>
      </c>
      <c r="R124" s="246">
        <v>0.92</v>
      </c>
      <c r="S124" s="244">
        <v>0.77</v>
      </c>
      <c r="T124" s="245">
        <v>1</v>
      </c>
      <c r="U124" s="245">
        <v>1</v>
      </c>
      <c r="V124" s="246">
        <v>1</v>
      </c>
      <c r="W124" s="244">
        <v>0.83</v>
      </c>
      <c r="X124" s="245">
        <v>1</v>
      </c>
      <c r="Y124" s="245">
        <v>1</v>
      </c>
      <c r="Z124" s="246">
        <v>1</v>
      </c>
      <c r="AA124" s="244">
        <v>0</v>
      </c>
      <c r="AB124" s="245">
        <v>0.22000000000000003</v>
      </c>
      <c r="AC124" s="245">
        <v>0.44</v>
      </c>
      <c r="AD124" s="246">
        <v>0.55000000000000004</v>
      </c>
      <c r="AE124" s="244">
        <v>0.06</v>
      </c>
      <c r="AF124" s="245">
        <v>0.22000000000000003</v>
      </c>
      <c r="AG124" s="245">
        <v>0.44</v>
      </c>
      <c r="AH124" s="246">
        <v>0.52</v>
      </c>
      <c r="AI124" s="244">
        <v>0.60499999999999998</v>
      </c>
      <c r="AJ124" s="245">
        <v>1.1000000000000001</v>
      </c>
      <c r="AK124" s="245">
        <v>2.31</v>
      </c>
      <c r="AL124" s="246">
        <v>4.1549999999999994</v>
      </c>
      <c r="AM124" s="244">
        <v>0.77499999999999991</v>
      </c>
      <c r="AN124" s="245">
        <v>1.1000000000000001</v>
      </c>
      <c r="AO124" s="245">
        <v>2.31</v>
      </c>
      <c r="AP124" s="246">
        <v>3.53</v>
      </c>
      <c r="AQ124" s="244">
        <v>1.9649999999999999</v>
      </c>
      <c r="AR124" s="245">
        <v>4.5</v>
      </c>
      <c r="AS124" s="245">
        <v>5.5</v>
      </c>
      <c r="AT124" s="245">
        <v>7</v>
      </c>
      <c r="AU124" s="244">
        <v>2.7349999999999994</v>
      </c>
      <c r="AV124" s="245">
        <v>4.5</v>
      </c>
      <c r="AW124" s="245">
        <v>5.5</v>
      </c>
      <c r="AX124" s="246">
        <v>6.5</v>
      </c>
      <c r="AY124" s="244">
        <v>0</v>
      </c>
      <c r="AZ124" s="245">
        <v>1.5400000000000003</v>
      </c>
      <c r="BA124" s="245">
        <v>3.52</v>
      </c>
      <c r="BB124" s="245">
        <v>5.0600000000000005</v>
      </c>
      <c r="BC124" s="244">
        <v>0.19999999999999996</v>
      </c>
      <c r="BD124" s="245">
        <v>1.5400000000000003</v>
      </c>
      <c r="BE124" s="245">
        <v>3.52</v>
      </c>
      <c r="BF124" s="246">
        <v>4.6000000000000014</v>
      </c>
      <c r="BG124" s="244">
        <f t="shared" si="87"/>
        <v>2.57</v>
      </c>
      <c r="BH124" s="245">
        <f t="shared" si="84"/>
        <v>7.14</v>
      </c>
      <c r="BI124" s="245">
        <f t="shared" si="84"/>
        <v>11.33</v>
      </c>
      <c r="BJ124" s="245">
        <f t="shared" si="84"/>
        <v>16.215</v>
      </c>
      <c r="BK124" s="244">
        <f t="shared" si="84"/>
        <v>3.7099999999999991</v>
      </c>
      <c r="BL124" s="245">
        <f t="shared" si="84"/>
        <v>7.14</v>
      </c>
      <c r="BM124" s="245">
        <f t="shared" si="84"/>
        <v>11.33</v>
      </c>
      <c r="BN124" s="245">
        <f t="shared" si="84"/>
        <v>14.63</v>
      </c>
      <c r="BO124" s="251">
        <f t="shared" si="88"/>
        <v>6.226</v>
      </c>
      <c r="BP124" s="278">
        <f t="shared" si="89"/>
        <v>12.306999999999999</v>
      </c>
      <c r="BQ124" s="251">
        <f t="shared" si="90"/>
        <v>6.4539999999999997</v>
      </c>
      <c r="BR124" s="279">
        <f t="shared" si="91"/>
        <v>11.99</v>
      </c>
      <c r="BS124" s="244">
        <f t="shared" si="92"/>
        <v>9.2664999999999988</v>
      </c>
      <c r="BT124" s="246">
        <f t="shared" si="93"/>
        <v>9.2219999999999995</v>
      </c>
      <c r="BU124" s="280">
        <f t="shared" si="94"/>
        <v>9.2442499999999992</v>
      </c>
    </row>
    <row r="125" spans="1:73" ht="30.75" thickBot="1" x14ac:dyDescent="0.3">
      <c r="A125" s="41" t="s">
        <v>12</v>
      </c>
      <c r="B125" s="41" t="s">
        <v>24</v>
      </c>
      <c r="C125" s="60" t="s">
        <v>35</v>
      </c>
      <c r="D125" s="92" t="s">
        <v>46</v>
      </c>
      <c r="E125" s="92" t="s">
        <v>44</v>
      </c>
      <c r="F125" s="92" t="s">
        <v>45</v>
      </c>
      <c r="G125" s="49">
        <f t="shared" si="85"/>
        <v>0.33</v>
      </c>
      <c r="H125" s="49">
        <f t="shared" si="83"/>
        <v>1</v>
      </c>
      <c r="I125" s="49">
        <f t="shared" si="83"/>
        <v>0.66</v>
      </c>
      <c r="J125" s="83">
        <f t="shared" si="86"/>
        <v>10.775</v>
      </c>
      <c r="K125" s="30">
        <v>0</v>
      </c>
      <c r="L125" s="32">
        <v>0.22000000000000003</v>
      </c>
      <c r="M125" s="32">
        <v>0.44</v>
      </c>
      <c r="N125" s="33">
        <v>0.55000000000000004</v>
      </c>
      <c r="O125" s="30">
        <v>0.06</v>
      </c>
      <c r="P125" s="248">
        <v>0.22000000000000003</v>
      </c>
      <c r="Q125" s="248">
        <v>0.44</v>
      </c>
      <c r="R125" s="249">
        <v>0.52</v>
      </c>
      <c r="S125" s="247">
        <v>0.77</v>
      </c>
      <c r="T125" s="248">
        <v>1</v>
      </c>
      <c r="U125" s="248">
        <v>1</v>
      </c>
      <c r="V125" s="249">
        <v>1</v>
      </c>
      <c r="W125" s="247">
        <v>0.83</v>
      </c>
      <c r="X125" s="248">
        <v>1</v>
      </c>
      <c r="Y125" s="248">
        <v>1</v>
      </c>
      <c r="Z125" s="249">
        <v>1</v>
      </c>
      <c r="AA125" s="247">
        <v>0.44000000000000006</v>
      </c>
      <c r="AB125" s="248">
        <v>0.55000000000000004</v>
      </c>
      <c r="AC125" s="248">
        <v>0.77</v>
      </c>
      <c r="AD125" s="249">
        <v>1</v>
      </c>
      <c r="AE125" s="247">
        <v>0.47000000000000003</v>
      </c>
      <c r="AF125" s="248">
        <v>0.55000000000000004</v>
      </c>
      <c r="AG125" s="248">
        <v>0.77</v>
      </c>
      <c r="AH125" s="249">
        <v>0.92</v>
      </c>
      <c r="AI125" s="247">
        <v>0</v>
      </c>
      <c r="AJ125" s="248">
        <v>0.44000000000000006</v>
      </c>
      <c r="AK125" s="248">
        <v>1.32</v>
      </c>
      <c r="AL125" s="249">
        <v>2.3099999999999996</v>
      </c>
      <c r="AM125" s="247">
        <v>5.3999999999999992E-2</v>
      </c>
      <c r="AN125" s="248">
        <v>0.44000000000000006</v>
      </c>
      <c r="AO125" s="248">
        <v>1.32</v>
      </c>
      <c r="AP125" s="249">
        <v>2</v>
      </c>
      <c r="AQ125" s="247">
        <v>1.9649999999999999</v>
      </c>
      <c r="AR125" s="248">
        <v>4.5</v>
      </c>
      <c r="AS125" s="248">
        <v>5.5</v>
      </c>
      <c r="AT125" s="248">
        <v>7</v>
      </c>
      <c r="AU125" s="247">
        <v>2.7349999999999994</v>
      </c>
      <c r="AV125" s="248">
        <v>4.5</v>
      </c>
      <c r="AW125" s="248">
        <v>5.5</v>
      </c>
      <c r="AX125" s="249">
        <v>6.5</v>
      </c>
      <c r="AY125" s="247">
        <v>2.2549999999999999</v>
      </c>
      <c r="AZ125" s="248">
        <v>3.8500000000000005</v>
      </c>
      <c r="BA125" s="248">
        <v>6.16</v>
      </c>
      <c r="BB125" s="248">
        <v>9.1550000000000011</v>
      </c>
      <c r="BC125" s="247">
        <v>2.7399999999999993</v>
      </c>
      <c r="BD125" s="248">
        <v>3.8500000000000005</v>
      </c>
      <c r="BE125" s="248">
        <v>6.16</v>
      </c>
      <c r="BF125" s="249">
        <v>8.129999999999999</v>
      </c>
      <c r="BG125" s="247">
        <f t="shared" si="87"/>
        <v>4.22</v>
      </c>
      <c r="BH125" s="248">
        <f t="shared" si="84"/>
        <v>8.7900000000000009</v>
      </c>
      <c r="BI125" s="248">
        <f t="shared" si="84"/>
        <v>12.98</v>
      </c>
      <c r="BJ125" s="248">
        <f t="shared" si="84"/>
        <v>18.465</v>
      </c>
      <c r="BK125" s="247">
        <f t="shared" si="84"/>
        <v>5.5289999999999981</v>
      </c>
      <c r="BL125" s="248">
        <f t="shared" si="84"/>
        <v>8.7900000000000009</v>
      </c>
      <c r="BM125" s="248">
        <f t="shared" si="84"/>
        <v>12.98</v>
      </c>
      <c r="BN125" s="248">
        <f t="shared" si="84"/>
        <v>16.63</v>
      </c>
      <c r="BO125" s="252">
        <f t="shared" si="88"/>
        <v>7.8760000000000003</v>
      </c>
      <c r="BP125" s="281">
        <f t="shared" si="89"/>
        <v>14.077</v>
      </c>
      <c r="BQ125" s="252">
        <f t="shared" si="90"/>
        <v>8.1378000000000004</v>
      </c>
      <c r="BR125" s="282">
        <f t="shared" si="91"/>
        <v>13.709999999999999</v>
      </c>
      <c r="BS125" s="247">
        <f t="shared" si="92"/>
        <v>10.9765</v>
      </c>
      <c r="BT125" s="249">
        <f t="shared" si="93"/>
        <v>10.9239</v>
      </c>
      <c r="BU125" s="283">
        <f t="shared" si="94"/>
        <v>10.950199999999999</v>
      </c>
    </row>
    <row r="126" spans="1:73" x14ac:dyDescent="0.25">
      <c r="BF126" s="284"/>
      <c r="BG126" s="285"/>
      <c r="BH126" s="285"/>
      <c r="BI126" s="285"/>
      <c r="BJ126" s="285"/>
      <c r="BK126" s="285"/>
    </row>
    <row r="127" spans="1:73" x14ac:dyDescent="0.25">
      <c r="A127" s="1" t="s">
        <v>129</v>
      </c>
      <c r="B127" s="1"/>
    </row>
    <row r="128" spans="1:73" ht="15.75" thickBot="1" x14ac:dyDescent="0.3">
      <c r="A128" s="46" t="s">
        <v>43</v>
      </c>
      <c r="B128" s="47" t="s">
        <v>55</v>
      </c>
      <c r="E128" s="51" t="s">
        <v>3</v>
      </c>
      <c r="I128" t="s">
        <v>4</v>
      </c>
    </row>
    <row r="129" spans="1:12" x14ac:dyDescent="0.25">
      <c r="A129" s="45" t="s">
        <v>47</v>
      </c>
      <c r="B129" s="2">
        <v>0</v>
      </c>
      <c r="C129" s="18">
        <v>0</v>
      </c>
      <c r="D129" s="19" t="s">
        <v>47</v>
      </c>
      <c r="E129" s="20">
        <v>0</v>
      </c>
      <c r="F129" s="21">
        <f>C129</f>
        <v>0</v>
      </c>
      <c r="G129" s="22">
        <v>0</v>
      </c>
      <c r="H129" s="23">
        <v>0.22</v>
      </c>
      <c r="I129" s="24">
        <v>0</v>
      </c>
      <c r="J129" s="22">
        <f>F129</f>
        <v>0</v>
      </c>
      <c r="K129" s="22">
        <f>G129</f>
        <v>0</v>
      </c>
      <c r="L129" s="25">
        <v>0.15</v>
      </c>
    </row>
    <row r="130" spans="1:12" x14ac:dyDescent="0.25">
      <c r="A130" s="45" t="s">
        <v>46</v>
      </c>
      <c r="B130" s="2">
        <v>0.33</v>
      </c>
      <c r="C130" s="18">
        <v>0.33</v>
      </c>
      <c r="D130" s="19" t="s">
        <v>46</v>
      </c>
      <c r="E130" s="26">
        <v>0</v>
      </c>
      <c r="F130" s="50">
        <f>C130-0.11</f>
        <v>0.22000000000000003</v>
      </c>
      <c r="G130">
        <f>C130+0.11</f>
        <v>0.44</v>
      </c>
      <c r="H130" s="27">
        <f t="shared" ref="H130" si="95">G130+0.11</f>
        <v>0.55000000000000004</v>
      </c>
      <c r="I130" s="28">
        <v>0.06</v>
      </c>
      <c r="J130">
        <f t="shared" ref="J130:K132" si="96">F130</f>
        <v>0.22000000000000003</v>
      </c>
      <c r="K130">
        <f t="shared" si="96"/>
        <v>0.44</v>
      </c>
      <c r="L130" s="29">
        <f t="shared" ref="L130" si="97">K130+0.08</f>
        <v>0.52</v>
      </c>
    </row>
    <row r="131" spans="1:12" x14ac:dyDescent="0.25">
      <c r="A131" s="45" t="s">
        <v>45</v>
      </c>
      <c r="B131" s="2">
        <v>0.66</v>
      </c>
      <c r="C131" s="18">
        <v>0.66</v>
      </c>
      <c r="D131" s="19" t="s">
        <v>45</v>
      </c>
      <c r="E131" s="26">
        <f t="shared" ref="E131" si="98">F131-0.11</f>
        <v>0.44000000000000006</v>
      </c>
      <c r="F131" s="50">
        <f t="shared" ref="F131" si="99">C131-0.11</f>
        <v>0.55000000000000004</v>
      </c>
      <c r="G131">
        <f t="shared" ref="G131" si="100">C131+0.11</f>
        <v>0.77</v>
      </c>
      <c r="H131" s="27">
        <v>1</v>
      </c>
      <c r="I131" s="28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29">
        <v>0.92</v>
      </c>
    </row>
    <row r="132" spans="1:12" ht="15.75" thickBot="1" x14ac:dyDescent="0.3">
      <c r="A132" s="45" t="s">
        <v>44</v>
      </c>
      <c r="B132" s="2">
        <v>1</v>
      </c>
      <c r="C132" s="18">
        <v>1</v>
      </c>
      <c r="D132" s="19" t="s">
        <v>44</v>
      </c>
      <c r="E132" s="30">
        <v>0.77</v>
      </c>
      <c r="F132" s="31">
        <v>1</v>
      </c>
      <c r="G132" s="32">
        <v>1</v>
      </c>
      <c r="H132" s="33">
        <v>1</v>
      </c>
      <c r="I132" s="34">
        <v>0.83</v>
      </c>
      <c r="J132" s="32">
        <f t="shared" si="96"/>
        <v>1</v>
      </c>
      <c r="K132" s="32">
        <f t="shared" si="96"/>
        <v>1</v>
      </c>
      <c r="L132" s="35">
        <v>1</v>
      </c>
    </row>
    <row r="133" spans="1:12" x14ac:dyDescent="0.25">
      <c r="A133" s="38"/>
    </row>
    <row r="134" spans="1:12" x14ac:dyDescent="0.25">
      <c r="A134" s="1" t="s">
        <v>130</v>
      </c>
    </row>
    <row r="135" spans="1:12" ht="15.75" thickBot="1" x14ac:dyDescent="0.3">
      <c r="A135" s="46" t="s">
        <v>43</v>
      </c>
      <c r="B135" s="47" t="s">
        <v>56</v>
      </c>
      <c r="E135" s="51" t="s">
        <v>3</v>
      </c>
      <c r="I135" t="s">
        <v>4</v>
      </c>
    </row>
    <row r="136" spans="1:12" x14ac:dyDescent="0.25">
      <c r="A136" s="45" t="s">
        <v>47</v>
      </c>
      <c r="B136" s="2">
        <v>1</v>
      </c>
      <c r="C136" s="18">
        <v>1</v>
      </c>
      <c r="D136" s="19" t="s">
        <v>47</v>
      </c>
      <c r="E136" s="20">
        <v>0</v>
      </c>
      <c r="F136" s="21">
        <v>0.5</v>
      </c>
      <c r="G136" s="22">
        <v>1.5</v>
      </c>
      <c r="H136" s="23">
        <v>2</v>
      </c>
      <c r="I136" s="24">
        <v>0</v>
      </c>
      <c r="J136" s="22">
        <f>F136</f>
        <v>0.5</v>
      </c>
      <c r="K136" s="22">
        <f>G136</f>
        <v>1.5</v>
      </c>
      <c r="L136" s="25">
        <v>1.8</v>
      </c>
    </row>
    <row r="137" spans="1:12" x14ac:dyDescent="0.25">
      <c r="A137" s="45" t="s">
        <v>46</v>
      </c>
      <c r="B137" s="2">
        <v>2.5</v>
      </c>
      <c r="C137" s="18">
        <v>2.5</v>
      </c>
      <c r="D137" s="19" t="s">
        <v>46</v>
      </c>
      <c r="E137" s="26">
        <v>1.5</v>
      </c>
      <c r="F137" s="50">
        <f>C137-0.5</f>
        <v>2</v>
      </c>
      <c r="G137">
        <f>C137+0.5</f>
        <v>3</v>
      </c>
      <c r="H137" s="27">
        <f t="shared" ref="H137:H139" si="102">G137+1.5</f>
        <v>4.5</v>
      </c>
      <c r="I137" s="28">
        <v>1.7</v>
      </c>
      <c r="J137">
        <f t="shared" ref="J137:K139" si="103">F137</f>
        <v>2</v>
      </c>
      <c r="K137">
        <f t="shared" si="103"/>
        <v>3</v>
      </c>
      <c r="L137" s="29">
        <f t="shared" ref="L137:L139" si="104">K137+1</f>
        <v>4</v>
      </c>
    </row>
    <row r="138" spans="1:12" x14ac:dyDescent="0.25">
      <c r="A138" s="45" t="s">
        <v>45</v>
      </c>
      <c r="B138" s="2">
        <v>5</v>
      </c>
      <c r="C138" s="18">
        <v>5</v>
      </c>
      <c r="D138" s="19" t="s">
        <v>45</v>
      </c>
      <c r="E138" s="26">
        <f t="shared" ref="E138:E139" si="105">F138-1.5</f>
        <v>3</v>
      </c>
      <c r="F138" s="50">
        <f>C138-0.5</f>
        <v>4.5</v>
      </c>
      <c r="G138">
        <f>C138+0.5</f>
        <v>5.5</v>
      </c>
      <c r="H138" s="27">
        <f t="shared" si="102"/>
        <v>7</v>
      </c>
      <c r="I138" s="28">
        <f t="shared" ref="I138:I139" si="106">J138-1</f>
        <v>3.5</v>
      </c>
      <c r="J138">
        <f t="shared" si="103"/>
        <v>4.5</v>
      </c>
      <c r="K138">
        <f t="shared" si="103"/>
        <v>5.5</v>
      </c>
      <c r="L138" s="29">
        <f t="shared" si="104"/>
        <v>6.5</v>
      </c>
    </row>
    <row r="139" spans="1:12" ht="15.75" thickBot="1" x14ac:dyDescent="0.3">
      <c r="A139" s="45" t="s">
        <v>44</v>
      </c>
      <c r="B139" s="2">
        <v>7.5</v>
      </c>
      <c r="C139" s="18">
        <v>7.5</v>
      </c>
      <c r="D139" s="19" t="s">
        <v>44</v>
      </c>
      <c r="E139" s="30">
        <f t="shared" si="105"/>
        <v>5.5</v>
      </c>
      <c r="F139" s="31">
        <f>C139-0.5</f>
        <v>7</v>
      </c>
      <c r="G139" s="32">
        <f>C139+0.5</f>
        <v>8</v>
      </c>
      <c r="H139" s="33">
        <f t="shared" si="102"/>
        <v>9.5</v>
      </c>
      <c r="I139" s="34">
        <f t="shared" si="106"/>
        <v>6</v>
      </c>
      <c r="J139" s="32">
        <f t="shared" si="103"/>
        <v>7</v>
      </c>
      <c r="K139" s="32">
        <f t="shared" si="103"/>
        <v>8</v>
      </c>
      <c r="L139" s="35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3" t="s">
        <v>53</v>
      </c>
      <c r="B142" s="52" t="s">
        <v>39</v>
      </c>
      <c r="C142" s="54" t="s">
        <v>48</v>
      </c>
      <c r="D142" s="55" t="s">
        <v>132</v>
      </c>
      <c r="E142" s="217" t="s">
        <v>57</v>
      </c>
      <c r="F142" s="218"/>
      <c r="G142" s="218"/>
      <c r="H142" s="218"/>
      <c r="I142" s="218"/>
      <c r="J142" s="218"/>
      <c r="K142" s="218"/>
      <c r="L142" s="219"/>
    </row>
    <row r="143" spans="1:12" x14ac:dyDescent="0.25">
      <c r="A143" s="64" t="s">
        <v>50</v>
      </c>
      <c r="B143" s="56" t="s">
        <v>40</v>
      </c>
      <c r="C143" s="57" t="s">
        <v>46</v>
      </c>
      <c r="D143" s="86">
        <v>2.5</v>
      </c>
      <c r="E143" s="26">
        <v>1.5</v>
      </c>
      <c r="F143" s="50">
        <v>2</v>
      </c>
      <c r="G143">
        <v>3</v>
      </c>
      <c r="H143" s="27">
        <v>4.5</v>
      </c>
      <c r="I143" s="28">
        <v>1.7</v>
      </c>
      <c r="J143">
        <v>2</v>
      </c>
      <c r="K143">
        <v>3</v>
      </c>
      <c r="L143" s="29">
        <v>4</v>
      </c>
    </row>
    <row r="144" spans="1:12" x14ac:dyDescent="0.25">
      <c r="A144" s="65" t="s">
        <v>51</v>
      </c>
      <c r="B144" s="43" t="s">
        <v>41</v>
      </c>
      <c r="C144" s="2" t="s">
        <v>45</v>
      </c>
      <c r="D144" s="86">
        <v>5</v>
      </c>
      <c r="E144" s="26">
        <v>3</v>
      </c>
      <c r="F144" s="50">
        <v>4.5</v>
      </c>
      <c r="G144">
        <v>5.5</v>
      </c>
      <c r="H144" s="27">
        <v>7</v>
      </c>
      <c r="I144" s="28">
        <v>3.5</v>
      </c>
      <c r="J144">
        <v>4.5</v>
      </c>
      <c r="K144">
        <v>5.5</v>
      </c>
      <c r="L144" s="29">
        <v>6.5</v>
      </c>
    </row>
    <row r="145" spans="1:12" ht="15.75" thickBot="1" x14ac:dyDescent="0.3">
      <c r="A145" s="66" t="s">
        <v>52</v>
      </c>
      <c r="B145" s="58" t="s">
        <v>42</v>
      </c>
      <c r="C145" s="59" t="s">
        <v>44</v>
      </c>
      <c r="D145" s="86">
        <v>7.5</v>
      </c>
      <c r="E145" s="30">
        <v>5.5</v>
      </c>
      <c r="F145" s="31">
        <v>7</v>
      </c>
      <c r="G145" s="32">
        <v>8</v>
      </c>
      <c r="H145" s="33">
        <v>9.5</v>
      </c>
      <c r="I145" s="34">
        <v>6</v>
      </c>
      <c r="J145" s="32">
        <v>7</v>
      </c>
      <c r="K145" s="32">
        <v>8</v>
      </c>
      <c r="L145" s="35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05" t="s">
        <v>63</v>
      </c>
      <c r="B148" s="106" t="s">
        <v>64</v>
      </c>
      <c r="E148" s="217" t="s">
        <v>65</v>
      </c>
      <c r="F148" s="218"/>
      <c r="G148" s="218"/>
      <c r="H148" s="218"/>
      <c r="I148" s="218"/>
      <c r="J148" s="218"/>
      <c r="K148" s="218"/>
      <c r="L148" s="219"/>
    </row>
    <row r="149" spans="1:12" x14ac:dyDescent="0.25">
      <c r="A149" s="64" t="s">
        <v>60</v>
      </c>
      <c r="B149" s="69" t="s">
        <v>47</v>
      </c>
      <c r="D149" s="72" t="s">
        <v>69</v>
      </c>
      <c r="E149" s="241">
        <f>E129*F$143+E$143*F129-F129*F$143</f>
        <v>0</v>
      </c>
      <c r="F149" s="242">
        <f>F129*F$143</f>
        <v>0</v>
      </c>
      <c r="G149" s="242">
        <f>G129*G$143</f>
        <v>0</v>
      </c>
      <c r="H149" s="243">
        <f>G129*H$143+G$143*H129-G129*G$143</f>
        <v>0.66</v>
      </c>
      <c r="I149" s="241">
        <f>I129*J$143+I$143*J129-J129*J$143</f>
        <v>0</v>
      </c>
      <c r="J149" s="242">
        <f>J129*J$143</f>
        <v>0</v>
      </c>
      <c r="K149" s="242">
        <f>K129*K$143</f>
        <v>0</v>
      </c>
      <c r="L149" s="243">
        <f>K129*L$143+K$143*L129-K129*K$143</f>
        <v>0.44999999999999996</v>
      </c>
    </row>
    <row r="150" spans="1:12" x14ac:dyDescent="0.25">
      <c r="A150" s="65" t="s">
        <v>60</v>
      </c>
      <c r="B150" s="70" t="s">
        <v>46</v>
      </c>
      <c r="D150" s="73" t="s">
        <v>68</v>
      </c>
      <c r="E150" s="244">
        <f>IF(E130*F$143+E$143*F130-F130*F$143&lt;0,0,E130*F$143+E$143*F130-F130*F$143)</f>
        <v>0</v>
      </c>
      <c r="F150" s="245">
        <f t="shared" ref="F150:G152" si="107">F130*F$143</f>
        <v>0.44000000000000006</v>
      </c>
      <c r="G150" s="245">
        <f t="shared" si="107"/>
        <v>1.32</v>
      </c>
      <c r="H150" s="246">
        <f t="shared" ref="H150:H152" si="108">G130*H$143+G$143*H130-G130*G$143</f>
        <v>2.3099999999999996</v>
      </c>
      <c r="I150" s="244">
        <f t="shared" ref="I150:I152" si="109">I130*J$143+I$143*J130-J130*J$143</f>
        <v>5.3999999999999992E-2</v>
      </c>
      <c r="J150" s="245">
        <f t="shared" ref="J150:K152" si="110">J130*J$143</f>
        <v>0.44000000000000006</v>
      </c>
      <c r="K150" s="245">
        <f t="shared" si="110"/>
        <v>1.32</v>
      </c>
      <c r="L150" s="246">
        <f t="shared" ref="L150:L152" si="111">K130*L$143+K$143*L130-K130*K$143</f>
        <v>2</v>
      </c>
    </row>
    <row r="151" spans="1:12" x14ac:dyDescent="0.25">
      <c r="A151" s="65" t="s">
        <v>60</v>
      </c>
      <c r="B151" s="70" t="s">
        <v>45</v>
      </c>
      <c r="D151" s="73" t="s">
        <v>67</v>
      </c>
      <c r="E151" s="244">
        <f t="shared" ref="E151:E152" si="112">E131*F$143+E$143*F131-F131*F$143</f>
        <v>0.60499999999999998</v>
      </c>
      <c r="F151" s="245">
        <f t="shared" si="107"/>
        <v>1.1000000000000001</v>
      </c>
      <c r="G151" s="245">
        <f t="shared" si="107"/>
        <v>2.31</v>
      </c>
      <c r="H151" s="246">
        <f t="shared" si="108"/>
        <v>4.1549999999999994</v>
      </c>
      <c r="I151" s="244">
        <f t="shared" si="109"/>
        <v>0.77499999999999991</v>
      </c>
      <c r="J151" s="245">
        <f t="shared" si="110"/>
        <v>1.1000000000000001</v>
      </c>
      <c r="K151" s="245">
        <f t="shared" si="110"/>
        <v>2.31</v>
      </c>
      <c r="L151" s="246">
        <f t="shared" si="111"/>
        <v>3.53</v>
      </c>
    </row>
    <row r="152" spans="1:12" ht="15.75" thickBot="1" x14ac:dyDescent="0.3">
      <c r="A152" s="66" t="s">
        <v>60</v>
      </c>
      <c r="B152" s="71" t="s">
        <v>44</v>
      </c>
      <c r="D152" s="74" t="s">
        <v>66</v>
      </c>
      <c r="E152" s="247">
        <f t="shared" si="112"/>
        <v>1.04</v>
      </c>
      <c r="F152" s="248">
        <f t="shared" si="107"/>
        <v>2</v>
      </c>
      <c r="G152" s="248">
        <f t="shared" si="107"/>
        <v>3</v>
      </c>
      <c r="H152" s="249">
        <f t="shared" si="108"/>
        <v>4.5</v>
      </c>
      <c r="I152" s="247">
        <f t="shared" si="109"/>
        <v>1.3599999999999999</v>
      </c>
      <c r="J152" s="248">
        <f t="shared" si="110"/>
        <v>2</v>
      </c>
      <c r="K152" s="248">
        <f t="shared" si="110"/>
        <v>3</v>
      </c>
      <c r="L152" s="249">
        <f t="shared" si="111"/>
        <v>4</v>
      </c>
    </row>
    <row r="153" spans="1:12" x14ac:dyDescent="0.25">
      <c r="A153" s="64" t="s">
        <v>61</v>
      </c>
      <c r="B153" s="69" t="s">
        <v>47</v>
      </c>
      <c r="D153" s="72" t="s">
        <v>70</v>
      </c>
      <c r="E153" s="241">
        <f>E129*F$144+E$144*F129-F129*F$144</f>
        <v>0</v>
      </c>
      <c r="F153" s="242">
        <f>F129*F$144</f>
        <v>0</v>
      </c>
      <c r="G153" s="242">
        <f>G129*G$144</f>
        <v>0</v>
      </c>
      <c r="H153" s="243">
        <f>G129*H$144+G$144*H129-G129*G$144</f>
        <v>1.21</v>
      </c>
      <c r="I153" s="241">
        <f>I129*J$144+I$144*J129-J129*J$144</f>
        <v>0</v>
      </c>
      <c r="J153" s="242">
        <f>J129*J$144</f>
        <v>0</v>
      </c>
      <c r="K153" s="242">
        <f>K129*K$144</f>
        <v>0</v>
      </c>
      <c r="L153" s="243">
        <f>K129*L$144+K$144*L129-K129*K$144</f>
        <v>0.82499999999999996</v>
      </c>
    </row>
    <row r="154" spans="1:12" x14ac:dyDescent="0.25">
      <c r="A154" s="65" t="s">
        <v>61</v>
      </c>
      <c r="B154" s="70" t="s">
        <v>46</v>
      </c>
      <c r="D154" s="73" t="s">
        <v>75</v>
      </c>
      <c r="E154" s="244">
        <f>IF(E130*F$144+E$144*F130-F130*F$144&lt;0,0,E130*F$144+E$144*F130-F130*F$144)</f>
        <v>0</v>
      </c>
      <c r="F154" s="245">
        <f t="shared" ref="F154:G156" si="113">F130*F$144</f>
        <v>0.9900000000000001</v>
      </c>
      <c r="G154" s="245">
        <f t="shared" si="113"/>
        <v>2.42</v>
      </c>
      <c r="H154" s="246">
        <f t="shared" ref="H154:H156" si="114">G130*H$144+G$144*H130-G130*G$144</f>
        <v>3.6850000000000005</v>
      </c>
      <c r="I154" s="244">
        <f t="shared" ref="I154:I156" si="115">I130*J$144+I$144*J130-J130*J$144</f>
        <v>4.9999999999999933E-2</v>
      </c>
      <c r="J154" s="245">
        <f t="shared" ref="J154:K156" si="116">J130*J$144</f>
        <v>0.9900000000000001</v>
      </c>
      <c r="K154" s="245">
        <f t="shared" si="116"/>
        <v>2.42</v>
      </c>
      <c r="L154" s="246">
        <f t="shared" ref="L154:L156" si="117">K130*L$144+K$144*L130-K130*K$144</f>
        <v>3.3000000000000007</v>
      </c>
    </row>
    <row r="155" spans="1:12" x14ac:dyDescent="0.25">
      <c r="A155" s="65" t="s">
        <v>61</v>
      </c>
      <c r="B155" s="70" t="s">
        <v>45</v>
      </c>
      <c r="D155" s="73" t="s">
        <v>76</v>
      </c>
      <c r="E155" s="244">
        <f t="shared" ref="E155:E156" si="118">E131*F$144+E$144*F131-F131*F$144</f>
        <v>1.1550000000000002</v>
      </c>
      <c r="F155" s="245">
        <f t="shared" si="113"/>
        <v>2.4750000000000001</v>
      </c>
      <c r="G155" s="245">
        <f t="shared" si="113"/>
        <v>4.2350000000000003</v>
      </c>
      <c r="H155" s="246">
        <f t="shared" si="114"/>
        <v>6.6550000000000002</v>
      </c>
      <c r="I155" s="244">
        <f t="shared" si="115"/>
        <v>1.5650000000000008</v>
      </c>
      <c r="J155" s="245">
        <f t="shared" si="116"/>
        <v>2.4750000000000001</v>
      </c>
      <c r="K155" s="245">
        <f t="shared" si="116"/>
        <v>4.2350000000000003</v>
      </c>
      <c r="L155" s="246">
        <f t="shared" si="117"/>
        <v>5.830000000000001</v>
      </c>
    </row>
    <row r="156" spans="1:12" ht="15.75" thickBot="1" x14ac:dyDescent="0.3">
      <c r="A156" s="66" t="s">
        <v>61</v>
      </c>
      <c r="B156" s="71" t="s">
        <v>44</v>
      </c>
      <c r="D156" s="74" t="s">
        <v>77</v>
      </c>
      <c r="E156" s="247">
        <f t="shared" si="118"/>
        <v>1.9649999999999999</v>
      </c>
      <c r="F156" s="248">
        <f t="shared" si="113"/>
        <v>4.5</v>
      </c>
      <c r="G156" s="248">
        <f t="shared" si="113"/>
        <v>5.5</v>
      </c>
      <c r="H156" s="249">
        <f t="shared" si="114"/>
        <v>7</v>
      </c>
      <c r="I156" s="247">
        <f t="shared" si="115"/>
        <v>2.7349999999999994</v>
      </c>
      <c r="J156" s="248">
        <f t="shared" si="116"/>
        <v>4.5</v>
      </c>
      <c r="K156" s="248">
        <f t="shared" si="116"/>
        <v>5.5</v>
      </c>
      <c r="L156" s="249">
        <f t="shared" si="117"/>
        <v>6.5</v>
      </c>
    </row>
    <row r="157" spans="1:12" x14ac:dyDescent="0.25">
      <c r="A157" s="64" t="s">
        <v>62</v>
      </c>
      <c r="B157" s="69" t="s">
        <v>47</v>
      </c>
      <c r="D157" s="72" t="s">
        <v>72</v>
      </c>
      <c r="E157" s="241">
        <f>E129*F$145+E$145*F129-F129*F$145</f>
        <v>0</v>
      </c>
      <c r="F157" s="242">
        <f>F129*F$145</f>
        <v>0</v>
      </c>
      <c r="G157" s="242">
        <f>G129*G$145</f>
        <v>0</v>
      </c>
      <c r="H157" s="243">
        <f>G129*H$145+G$145*H129-G129*G$145</f>
        <v>1.76</v>
      </c>
      <c r="I157" s="241">
        <f>I129*J$145+I$145*J129-J129*J$145</f>
        <v>0</v>
      </c>
      <c r="J157" s="242">
        <f>J129*J$145</f>
        <v>0</v>
      </c>
      <c r="K157" s="242">
        <f>K129*K$145</f>
        <v>0</v>
      </c>
      <c r="L157" s="243">
        <f>K129*L$145+K$145*L129-K129*K$145</f>
        <v>1.2</v>
      </c>
    </row>
    <row r="158" spans="1:12" x14ac:dyDescent="0.25">
      <c r="A158" s="65" t="s">
        <v>62</v>
      </c>
      <c r="B158" s="70" t="s">
        <v>46</v>
      </c>
      <c r="D158" s="73" t="s">
        <v>71</v>
      </c>
      <c r="E158" s="244">
        <f>IF(E130*F$145+E$145*F130-F130*F$145&lt;0,0,E130*F$145+E$145*F130-F130*F$145)</f>
        <v>0</v>
      </c>
      <c r="F158" s="245">
        <f t="shared" ref="F158:G160" si="119">F130*F$145</f>
        <v>1.5400000000000003</v>
      </c>
      <c r="G158" s="245">
        <f t="shared" si="119"/>
        <v>3.52</v>
      </c>
      <c r="H158" s="246">
        <f t="shared" ref="H158:H160" si="120">G130*H$145+G$145*H130-G130*G$145</f>
        <v>5.0600000000000005</v>
      </c>
      <c r="I158" s="244">
        <f t="shared" ref="I158:I160" si="121">I130*J$145+I$145*J130-J130*J$145</f>
        <v>0.19999999999999996</v>
      </c>
      <c r="J158" s="245">
        <f t="shared" ref="J158:K160" si="122">J130*J$145</f>
        <v>1.5400000000000003</v>
      </c>
      <c r="K158" s="245">
        <f t="shared" si="122"/>
        <v>3.52</v>
      </c>
      <c r="L158" s="246">
        <f t="shared" ref="L158:L160" si="123">K130*L$145+K$145*L130-K130*K$145</f>
        <v>4.6000000000000014</v>
      </c>
    </row>
    <row r="159" spans="1:12" x14ac:dyDescent="0.25">
      <c r="A159" s="65" t="s">
        <v>62</v>
      </c>
      <c r="B159" s="70" t="s">
        <v>45</v>
      </c>
      <c r="D159" s="73" t="s">
        <v>73</v>
      </c>
      <c r="E159" s="244">
        <f t="shared" ref="E159:E160" si="124">E131*F$145+E$145*F131-F131*F$145</f>
        <v>2.2549999999999999</v>
      </c>
      <c r="F159" s="245">
        <f t="shared" si="119"/>
        <v>3.8500000000000005</v>
      </c>
      <c r="G159" s="245">
        <f t="shared" si="119"/>
        <v>6.16</v>
      </c>
      <c r="H159" s="246">
        <f t="shared" si="120"/>
        <v>9.1550000000000011</v>
      </c>
      <c r="I159" s="244">
        <f t="shared" si="121"/>
        <v>2.7399999999999993</v>
      </c>
      <c r="J159" s="245">
        <f t="shared" si="122"/>
        <v>3.8500000000000005</v>
      </c>
      <c r="K159" s="245">
        <f t="shared" si="122"/>
        <v>6.16</v>
      </c>
      <c r="L159" s="246">
        <f t="shared" si="123"/>
        <v>8.129999999999999</v>
      </c>
    </row>
    <row r="160" spans="1:12" ht="15.75" thickBot="1" x14ac:dyDescent="0.3">
      <c r="A160" s="66" t="s">
        <v>62</v>
      </c>
      <c r="B160" s="71" t="s">
        <v>44</v>
      </c>
      <c r="D160" s="74" t="s">
        <v>74</v>
      </c>
      <c r="E160" s="247">
        <f t="shared" si="124"/>
        <v>3.8900000000000006</v>
      </c>
      <c r="F160" s="248">
        <f t="shared" si="119"/>
        <v>7</v>
      </c>
      <c r="G160" s="248">
        <f t="shared" si="119"/>
        <v>8</v>
      </c>
      <c r="H160" s="249">
        <f t="shared" si="120"/>
        <v>9.5</v>
      </c>
      <c r="I160" s="247">
        <f t="shared" si="121"/>
        <v>4.8099999999999987</v>
      </c>
      <c r="J160" s="248">
        <f t="shared" si="122"/>
        <v>7</v>
      </c>
      <c r="K160" s="248">
        <f t="shared" si="122"/>
        <v>8</v>
      </c>
      <c r="L160" s="249">
        <f t="shared" si="123"/>
        <v>9</v>
      </c>
    </row>
    <row r="162" spans="1:3" x14ac:dyDescent="0.25">
      <c r="A162" s="1" t="s">
        <v>148</v>
      </c>
    </row>
    <row r="163" spans="1:3" ht="15.75" thickBot="1" x14ac:dyDescent="0.3">
      <c r="A163" s="1" t="s">
        <v>135</v>
      </c>
    </row>
    <row r="164" spans="1:3" ht="15.75" thickBot="1" x14ac:dyDescent="0.3">
      <c r="A164" s="104" t="s">
        <v>106</v>
      </c>
      <c r="B164" s="115" t="s">
        <v>151</v>
      </c>
      <c r="C164" s="115" t="s">
        <v>152</v>
      </c>
    </row>
    <row r="165" spans="1:3" x14ac:dyDescent="0.25">
      <c r="A165" s="114" t="s">
        <v>107</v>
      </c>
      <c r="B165" s="107">
        <v>1</v>
      </c>
      <c r="C165" s="108">
        <f>B165/B$167</f>
        <v>0.5</v>
      </c>
    </row>
    <row r="166" spans="1:3" ht="15.75" thickBot="1" x14ac:dyDescent="0.3">
      <c r="A166" s="13" t="s">
        <v>108</v>
      </c>
      <c r="B166" s="9">
        <v>1</v>
      </c>
      <c r="C166" s="10">
        <f>B166/B$167</f>
        <v>0.5</v>
      </c>
    </row>
    <row r="167" spans="1:3" ht="15.75" thickBot="1" x14ac:dyDescent="0.3">
      <c r="A167" s="14" t="s">
        <v>150</v>
      </c>
      <c r="B167" s="116">
        <f>SUM(B165:B166)</f>
        <v>2</v>
      </c>
      <c r="C167" s="117">
        <f>SUM(C165:C166)</f>
        <v>1</v>
      </c>
    </row>
    <row r="169" spans="1:3" x14ac:dyDescent="0.25">
      <c r="A169" s="1" t="s">
        <v>149</v>
      </c>
    </row>
    <row r="170" spans="1:3" ht="15.75" thickBot="1" x14ac:dyDescent="0.3">
      <c r="A170" s="1" t="s">
        <v>137</v>
      </c>
    </row>
    <row r="171" spans="1:3" ht="15" customHeight="1" thickBot="1" x14ac:dyDescent="0.3">
      <c r="A171" s="112" t="s">
        <v>106</v>
      </c>
      <c r="B171" s="53" t="s">
        <v>151</v>
      </c>
      <c r="C171" s="121" t="s">
        <v>152</v>
      </c>
    </row>
    <row r="172" spans="1:3" x14ac:dyDescent="0.25">
      <c r="A172" s="114" t="s">
        <v>107</v>
      </c>
      <c r="B172" s="11">
        <v>0.75</v>
      </c>
      <c r="C172" s="122">
        <f>B172/B$175</f>
        <v>0.3</v>
      </c>
    </row>
    <row r="173" spans="1:3" x14ac:dyDescent="0.25">
      <c r="A173" s="12" t="s">
        <v>108</v>
      </c>
      <c r="B173" s="12">
        <v>0.75</v>
      </c>
      <c r="C173" s="97">
        <f t="shared" ref="C173:C174" si="125">B173/B$175</f>
        <v>0.3</v>
      </c>
    </row>
    <row r="174" spans="1:3" ht="15.75" thickBot="1" x14ac:dyDescent="0.3">
      <c r="A174" s="118" t="s">
        <v>136</v>
      </c>
      <c r="B174" s="118">
        <v>1</v>
      </c>
      <c r="C174" s="98">
        <f t="shared" si="125"/>
        <v>0.4</v>
      </c>
    </row>
    <row r="175" spans="1:3" ht="15.75" thickBot="1" x14ac:dyDescent="0.3">
      <c r="A175" s="14" t="s">
        <v>150</v>
      </c>
      <c r="B175" s="119">
        <f>SUM(B172:B174)</f>
        <v>2.5</v>
      </c>
      <c r="C175" s="120">
        <f>SUM(C172:C174)</f>
        <v>1</v>
      </c>
    </row>
    <row r="177" spans="1:9" ht="15.75" thickBot="1" x14ac:dyDescent="0.3">
      <c r="A177" s="1" t="s">
        <v>175</v>
      </c>
    </row>
    <row r="178" spans="1:9" ht="15.75" thickBot="1" x14ac:dyDescent="0.3">
      <c r="A178" s="116" t="s">
        <v>179</v>
      </c>
      <c r="B178" s="117" t="s">
        <v>176</v>
      </c>
    </row>
    <row r="179" spans="1:9" x14ac:dyDescent="0.25">
      <c r="A179" s="131" t="s">
        <v>177</v>
      </c>
      <c r="B179" s="108">
        <v>0.8</v>
      </c>
    </row>
    <row r="180" spans="1:9" ht="15.75" thickBot="1" x14ac:dyDescent="0.3">
      <c r="A180" s="132" t="s">
        <v>178</v>
      </c>
      <c r="B180" s="63">
        <v>0.4</v>
      </c>
    </row>
    <row r="182" spans="1:9" x14ac:dyDescent="0.25">
      <c r="A182" s="229" t="s">
        <v>157</v>
      </c>
      <c r="B182" s="228"/>
      <c r="C182" s="228"/>
      <c r="D182" s="228"/>
      <c r="E182" s="228"/>
      <c r="F182" s="228"/>
      <c r="G182" s="228"/>
      <c r="H182" s="228"/>
      <c r="I182" s="228"/>
    </row>
    <row r="183" spans="1:9" x14ac:dyDescent="0.25">
      <c r="A183" s="230" t="s">
        <v>158</v>
      </c>
      <c r="B183" s="228"/>
      <c r="C183" s="228"/>
      <c r="D183" s="228"/>
      <c r="F183" s="230" t="s">
        <v>159</v>
      </c>
      <c r="G183" s="228"/>
      <c r="H183" s="228"/>
      <c r="I183" s="228"/>
    </row>
    <row r="185" spans="1:9" x14ac:dyDescent="0.25">
      <c r="A185" s="123" t="s">
        <v>25</v>
      </c>
      <c r="B185">
        <v>1</v>
      </c>
      <c r="C185">
        <v>0.755</v>
      </c>
      <c r="D185">
        <v>0.60299999999999998</v>
      </c>
      <c r="F185" s="123" t="s">
        <v>25</v>
      </c>
      <c r="G185">
        <v>1</v>
      </c>
      <c r="H185">
        <v>0.69599999999999995</v>
      </c>
      <c r="I185">
        <v>0.51200000000000001</v>
      </c>
    </row>
    <row r="186" spans="1:9" x14ac:dyDescent="0.25">
      <c r="B186">
        <v>0.755</v>
      </c>
      <c r="C186">
        <v>1</v>
      </c>
      <c r="D186">
        <v>0.76600000000000001</v>
      </c>
      <c r="G186">
        <v>0.69599999999999995</v>
      </c>
      <c r="H186">
        <v>1</v>
      </c>
      <c r="I186">
        <v>0.745</v>
      </c>
    </row>
    <row r="187" spans="1:9" x14ac:dyDescent="0.25">
      <c r="B187">
        <v>0.60299999999999998</v>
      </c>
      <c r="C187">
        <v>0.76600000000000001</v>
      </c>
      <c r="D187">
        <v>1</v>
      </c>
      <c r="G187">
        <v>0.51200000000000001</v>
      </c>
      <c r="H187">
        <v>0.745</v>
      </c>
      <c r="I187">
        <v>1</v>
      </c>
    </row>
    <row r="189" spans="1:9" x14ac:dyDescent="0.25">
      <c r="A189" s="123" t="s">
        <v>14</v>
      </c>
      <c r="B189">
        <v>1</v>
      </c>
      <c r="C189">
        <v>0.73</v>
      </c>
      <c r="D189">
        <v>0.82399999999999995</v>
      </c>
      <c r="F189" s="123" t="s">
        <v>14</v>
      </c>
      <c r="G189">
        <v>1</v>
      </c>
      <c r="H189">
        <v>0.69799999999999995</v>
      </c>
      <c r="I189">
        <v>0.79600000000000004</v>
      </c>
    </row>
    <row r="190" spans="1:9" x14ac:dyDescent="0.25">
      <c r="B190">
        <v>0.73</v>
      </c>
      <c r="C190">
        <v>1</v>
      </c>
      <c r="D190">
        <v>0.60599999999999998</v>
      </c>
      <c r="G190">
        <v>0.69799999999999995</v>
      </c>
      <c r="H190">
        <v>1</v>
      </c>
      <c r="I190">
        <v>0.56200000000000006</v>
      </c>
    </row>
    <row r="191" spans="1:9" x14ac:dyDescent="0.25">
      <c r="B191">
        <v>0.82399999999999995</v>
      </c>
      <c r="C191">
        <v>0.60599999999999998</v>
      </c>
      <c r="D191">
        <v>1</v>
      </c>
      <c r="G191">
        <v>0.79600000000000004</v>
      </c>
      <c r="H191">
        <v>0.56200000000000006</v>
      </c>
      <c r="I191">
        <v>1</v>
      </c>
    </row>
    <row r="193" spans="1:9" x14ac:dyDescent="0.25">
      <c r="A193" s="123" t="s">
        <v>15</v>
      </c>
      <c r="B193">
        <v>1</v>
      </c>
      <c r="C193">
        <v>0.375</v>
      </c>
      <c r="D193">
        <v>0.80500000000000005</v>
      </c>
      <c r="F193" s="123" t="s">
        <v>15</v>
      </c>
      <c r="G193">
        <v>1</v>
      </c>
      <c r="H193">
        <v>0.27100000000000002</v>
      </c>
      <c r="I193">
        <v>0.73899999999999999</v>
      </c>
    </row>
    <row r="194" spans="1:9" x14ac:dyDescent="0.25">
      <c r="B194">
        <v>0.375</v>
      </c>
      <c r="C194">
        <v>1</v>
      </c>
      <c r="D194">
        <v>0.46400000000000002</v>
      </c>
      <c r="G194">
        <v>0.27100000000000002</v>
      </c>
      <c r="H194">
        <v>1</v>
      </c>
      <c r="I194">
        <v>0.378</v>
      </c>
    </row>
    <row r="195" spans="1:9" x14ac:dyDescent="0.25">
      <c r="B195">
        <v>0.80500000000000005</v>
      </c>
      <c r="C195">
        <v>0.46400000000000002</v>
      </c>
      <c r="D195">
        <v>1</v>
      </c>
      <c r="G195">
        <v>0.73899999999999999</v>
      </c>
      <c r="H195">
        <v>0.378</v>
      </c>
      <c r="I195">
        <v>1</v>
      </c>
    </row>
    <row r="197" spans="1:9" x14ac:dyDescent="0.25">
      <c r="A197" s="123" t="s">
        <v>16</v>
      </c>
      <c r="B197">
        <v>1</v>
      </c>
      <c r="C197">
        <v>0.74299999999999999</v>
      </c>
      <c r="D197">
        <v>0.40300000000000002</v>
      </c>
      <c r="F197" s="123" t="s">
        <v>16</v>
      </c>
      <c r="G197">
        <v>1</v>
      </c>
      <c r="H197">
        <v>0.69799999999999995</v>
      </c>
      <c r="I197">
        <v>0.314</v>
      </c>
    </row>
    <row r="198" spans="1:9" x14ac:dyDescent="0.25">
      <c r="B198">
        <v>0.74299999999999999</v>
      </c>
      <c r="C198">
        <v>1</v>
      </c>
      <c r="D198">
        <v>0.29699999999999999</v>
      </c>
      <c r="G198">
        <v>0.69799999999999995</v>
      </c>
      <c r="H198">
        <v>1</v>
      </c>
      <c r="I198">
        <v>0.21299999999999999</v>
      </c>
    </row>
    <row r="199" spans="1:9" x14ac:dyDescent="0.25">
      <c r="B199">
        <v>0.40300000000000002</v>
      </c>
      <c r="C199">
        <v>0.29699999999999999</v>
      </c>
      <c r="D199">
        <v>1</v>
      </c>
      <c r="G199">
        <v>0.314</v>
      </c>
      <c r="H199">
        <v>0.21299999999999999</v>
      </c>
      <c r="I199">
        <v>1</v>
      </c>
    </row>
    <row r="201" spans="1:9" x14ac:dyDescent="0.25">
      <c r="A201" s="123" t="s">
        <v>18</v>
      </c>
      <c r="B201">
        <v>1</v>
      </c>
      <c r="C201">
        <v>0.42299999999999999</v>
      </c>
      <c r="D201">
        <v>0.61599999999999999</v>
      </c>
      <c r="F201" s="123" t="s">
        <v>18</v>
      </c>
      <c r="G201">
        <v>1</v>
      </c>
      <c r="H201">
        <v>0.32600000000000001</v>
      </c>
      <c r="I201">
        <v>0.58399999999999996</v>
      </c>
    </row>
    <row r="202" spans="1:9" x14ac:dyDescent="0.25">
      <c r="B202">
        <v>0.42299999999999999</v>
      </c>
      <c r="C202">
        <v>1</v>
      </c>
      <c r="D202">
        <v>0.217</v>
      </c>
      <c r="G202">
        <v>0.32600000000000001</v>
      </c>
      <c r="H202">
        <v>1</v>
      </c>
      <c r="I202">
        <v>0.13500000000000001</v>
      </c>
    </row>
    <row r="203" spans="1:9" x14ac:dyDescent="0.25">
      <c r="B203">
        <v>0.61599999999999999</v>
      </c>
      <c r="C203">
        <v>0.217</v>
      </c>
      <c r="D203">
        <v>1</v>
      </c>
      <c r="G203">
        <v>0.58399999999999996</v>
      </c>
      <c r="H203">
        <v>0.13500000000000001</v>
      </c>
      <c r="I203">
        <v>1</v>
      </c>
    </row>
    <row r="205" spans="1:9" x14ac:dyDescent="0.25">
      <c r="A205" s="123" t="s">
        <v>19</v>
      </c>
      <c r="B205">
        <v>1</v>
      </c>
      <c r="C205">
        <v>0.47699999999999998</v>
      </c>
      <c r="D205">
        <v>0.38900000000000001</v>
      </c>
      <c r="F205" s="123" t="s">
        <v>19</v>
      </c>
      <c r="G205">
        <v>1</v>
      </c>
      <c r="H205">
        <v>0.40899999999999997</v>
      </c>
      <c r="I205">
        <v>0.30399999999999999</v>
      </c>
    </row>
    <row r="206" spans="1:9" x14ac:dyDescent="0.25">
      <c r="B206">
        <v>0.47699999999999998</v>
      </c>
      <c r="C206">
        <v>1</v>
      </c>
      <c r="D206">
        <v>0.17899999999999999</v>
      </c>
      <c r="G206">
        <v>0.40899999999999997</v>
      </c>
      <c r="H206">
        <v>1</v>
      </c>
      <c r="I206">
        <v>0.10299999999999999</v>
      </c>
    </row>
    <row r="207" spans="1:9" x14ac:dyDescent="0.25">
      <c r="B207">
        <v>0.38900000000000001</v>
      </c>
      <c r="C207">
        <v>0.17899999999999999</v>
      </c>
      <c r="D207">
        <v>1</v>
      </c>
      <c r="G207">
        <v>0.30399999999999999</v>
      </c>
      <c r="H207">
        <v>0.10299999999999999</v>
      </c>
      <c r="I207">
        <v>1</v>
      </c>
    </row>
    <row r="209" spans="1:9" x14ac:dyDescent="0.25">
      <c r="A209" s="123" t="s">
        <v>20</v>
      </c>
      <c r="B209">
        <v>1</v>
      </c>
      <c r="C209">
        <v>0.47699999999999998</v>
      </c>
      <c r="D209">
        <v>0.61199999999999999</v>
      </c>
      <c r="F209" s="123" t="s">
        <v>20</v>
      </c>
      <c r="G209">
        <v>1</v>
      </c>
      <c r="H209">
        <v>0.40899999999999997</v>
      </c>
      <c r="I209">
        <v>0.53900000000000003</v>
      </c>
    </row>
    <row r="210" spans="1:9" x14ac:dyDescent="0.25">
      <c r="B210">
        <v>0.47699999999999998</v>
      </c>
      <c r="C210">
        <v>1</v>
      </c>
      <c r="D210">
        <v>0.29699999999999999</v>
      </c>
      <c r="G210">
        <v>0.40899999999999997</v>
      </c>
      <c r="H210">
        <v>1</v>
      </c>
      <c r="I210">
        <v>0.21299999999999999</v>
      </c>
    </row>
    <row r="211" spans="1:9" x14ac:dyDescent="0.25">
      <c r="B211">
        <v>0.61199999999999999</v>
      </c>
      <c r="C211">
        <v>0.29699999999999999</v>
      </c>
      <c r="D211">
        <v>1</v>
      </c>
      <c r="G211">
        <v>0.53900000000000003</v>
      </c>
      <c r="H211">
        <v>0.21299999999999999</v>
      </c>
      <c r="I211">
        <v>1</v>
      </c>
    </row>
    <row r="213" spans="1:9" x14ac:dyDescent="0.25">
      <c r="A213" s="123" t="s">
        <v>21</v>
      </c>
      <c r="B213">
        <v>1</v>
      </c>
      <c r="C213">
        <v>0.88400000000000001</v>
      </c>
      <c r="D213">
        <v>0.66500000000000004</v>
      </c>
      <c r="F213" s="123" t="s">
        <v>21</v>
      </c>
      <c r="G213">
        <v>1</v>
      </c>
      <c r="H213">
        <v>0.85499999999999998</v>
      </c>
      <c r="I213">
        <v>0.61299999999999999</v>
      </c>
    </row>
    <row r="214" spans="1:9" x14ac:dyDescent="0.25">
      <c r="B214">
        <v>0.88400000000000001</v>
      </c>
      <c r="C214">
        <v>1</v>
      </c>
      <c r="D214">
        <v>0.69399999999999995</v>
      </c>
      <c r="G214">
        <v>0.85499999999999998</v>
      </c>
      <c r="H214">
        <v>1</v>
      </c>
      <c r="I214">
        <v>0.66</v>
      </c>
    </row>
    <row r="215" spans="1:9" x14ac:dyDescent="0.25">
      <c r="B215">
        <v>0.66500000000000004</v>
      </c>
      <c r="C215">
        <v>0.69399999999999995</v>
      </c>
      <c r="D215">
        <v>1</v>
      </c>
      <c r="G215">
        <v>0.61299999999999999</v>
      </c>
      <c r="H215">
        <v>0.66</v>
      </c>
      <c r="I215">
        <v>1</v>
      </c>
    </row>
    <row r="217" spans="1:9" x14ac:dyDescent="0.25">
      <c r="A217" s="123" t="s">
        <v>23</v>
      </c>
      <c r="B217">
        <v>1</v>
      </c>
      <c r="C217">
        <v>0.72899999999999998</v>
      </c>
      <c r="D217">
        <v>0.61599999999999999</v>
      </c>
      <c r="F217" s="123" t="s">
        <v>23</v>
      </c>
      <c r="G217">
        <v>1</v>
      </c>
      <c r="H217">
        <v>0.64900000000000002</v>
      </c>
      <c r="I217">
        <v>0.58399999999999996</v>
      </c>
    </row>
    <row r="218" spans="1:9" x14ac:dyDescent="0.25">
      <c r="B218">
        <v>0.72899999999999998</v>
      </c>
      <c r="C218">
        <v>1</v>
      </c>
      <c r="D218">
        <v>0.42099999999999999</v>
      </c>
      <c r="G218">
        <v>0.64900000000000002</v>
      </c>
      <c r="H218">
        <v>1</v>
      </c>
      <c r="I218">
        <v>0.34399999999999997</v>
      </c>
    </row>
    <row r="219" spans="1:9" x14ac:dyDescent="0.25">
      <c r="B219">
        <v>0.61599999999999999</v>
      </c>
      <c r="C219">
        <v>0.42099999999999999</v>
      </c>
      <c r="D219">
        <v>1</v>
      </c>
      <c r="G219">
        <v>0.58399999999999996</v>
      </c>
      <c r="H219">
        <v>0.34399999999999997</v>
      </c>
      <c r="I219">
        <v>1</v>
      </c>
    </row>
    <row r="221" spans="1:9" x14ac:dyDescent="0.25">
      <c r="A221" s="123" t="s">
        <v>24</v>
      </c>
      <c r="B221">
        <v>1</v>
      </c>
      <c r="C221">
        <v>0.38</v>
      </c>
      <c r="D221">
        <v>0.60099999999999998</v>
      </c>
      <c r="F221" s="123" t="s">
        <v>24</v>
      </c>
      <c r="G221">
        <v>1</v>
      </c>
      <c r="H221">
        <v>0.29199999999999998</v>
      </c>
      <c r="I221">
        <v>0.53100000000000003</v>
      </c>
    </row>
    <row r="222" spans="1:9" x14ac:dyDescent="0.25">
      <c r="B222">
        <v>0.38</v>
      </c>
      <c r="C222">
        <v>1</v>
      </c>
      <c r="D222">
        <v>0.64200000000000002</v>
      </c>
      <c r="G222">
        <v>0.29199999999999998</v>
      </c>
      <c r="H222">
        <v>1</v>
      </c>
      <c r="I222">
        <v>0.57599999999999996</v>
      </c>
    </row>
    <row r="223" spans="1:9" x14ac:dyDescent="0.25">
      <c r="B223">
        <v>0.60099999999999998</v>
      </c>
      <c r="C223">
        <v>0.64200000000000002</v>
      </c>
      <c r="D223">
        <v>1</v>
      </c>
      <c r="G223">
        <v>0.53100000000000003</v>
      </c>
      <c r="H223">
        <v>0.57599999999999996</v>
      </c>
      <c r="I223">
        <v>1</v>
      </c>
    </row>
    <row r="225" spans="1:73" x14ac:dyDescent="0.25">
      <c r="A225" s="229" t="s">
        <v>160</v>
      </c>
      <c r="B225" s="228"/>
      <c r="C225" s="228"/>
      <c r="D225" s="228"/>
      <c r="E225" s="228"/>
      <c r="F225" s="228"/>
      <c r="G225" s="228"/>
      <c r="H225" s="228"/>
      <c r="I225" s="228"/>
    </row>
    <row r="226" spans="1:73" x14ac:dyDescent="0.25">
      <c r="A226" s="230" t="s">
        <v>180</v>
      </c>
      <c r="B226" s="228"/>
      <c r="C226" s="228"/>
      <c r="D226" s="228"/>
      <c r="F226" s="230" t="s">
        <v>181</v>
      </c>
      <c r="G226" s="228"/>
      <c r="H226" s="228"/>
      <c r="I226" s="228"/>
    </row>
    <row r="227" spans="1:73" s="133" customFormat="1" ht="30" x14ac:dyDescent="0.25">
      <c r="A227" s="134" t="s">
        <v>113</v>
      </c>
      <c r="B227" s="134" t="s">
        <v>107</v>
      </c>
      <c r="C227" s="134" t="s">
        <v>108</v>
      </c>
      <c r="D227" s="134" t="s">
        <v>136</v>
      </c>
      <c r="F227" s="134" t="s">
        <v>113</v>
      </c>
      <c r="G227" s="134" t="s">
        <v>107</v>
      </c>
      <c r="H227" s="134" t="s">
        <v>108</v>
      </c>
      <c r="I227" s="134" t="s">
        <v>136</v>
      </c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  <c r="AH227" s="286"/>
      <c r="AI227" s="286"/>
      <c r="AJ227" s="286"/>
      <c r="AK227" s="286"/>
      <c r="AL227" s="286"/>
      <c r="AM227" s="286"/>
      <c r="AN227" s="286"/>
      <c r="AO227" s="286"/>
      <c r="AP227" s="286"/>
      <c r="AQ227" s="286"/>
      <c r="AR227" s="286"/>
      <c r="AS227" s="286"/>
      <c r="AT227" s="286"/>
      <c r="AU227" s="286"/>
      <c r="AV227" s="286"/>
      <c r="AW227" s="286"/>
      <c r="AX227" s="286"/>
      <c r="AY227" s="286"/>
      <c r="AZ227" s="286"/>
      <c r="BA227" s="286"/>
      <c r="BB227" s="286"/>
      <c r="BC227" s="286"/>
      <c r="BD227" s="286"/>
      <c r="BE227" s="286"/>
      <c r="BF227" s="286"/>
      <c r="BG227" s="286"/>
      <c r="BH227" s="286"/>
      <c r="BI227" s="286"/>
      <c r="BJ227" s="286"/>
      <c r="BK227" s="286"/>
      <c r="BL227" s="286"/>
      <c r="BM227" s="286"/>
      <c r="BN227" s="286"/>
      <c r="BO227" s="286"/>
      <c r="BP227" s="286"/>
      <c r="BQ227" s="286"/>
      <c r="BR227" s="286"/>
      <c r="BS227" s="286"/>
      <c r="BT227" s="286"/>
      <c r="BU227" s="286"/>
    </row>
    <row r="228" spans="1:73" x14ac:dyDescent="0.25">
      <c r="A228" s="2" t="s">
        <v>25</v>
      </c>
      <c r="B228" s="2">
        <f>(C185+D185)/2</f>
        <v>0.67900000000000005</v>
      </c>
      <c r="C228" s="2">
        <f>(B186+D186)/2</f>
        <v>0.76049999999999995</v>
      </c>
      <c r="D228" s="2">
        <f>(B187+C187)/2</f>
        <v>0.6845</v>
      </c>
      <c r="F228" s="2" t="s">
        <v>25</v>
      </c>
      <c r="G228" s="2">
        <f>(H185+I185)/2</f>
        <v>0.60399999999999998</v>
      </c>
      <c r="H228" s="2">
        <f>(G186+I186)/2</f>
        <v>0.72049999999999992</v>
      </c>
      <c r="I228" s="2">
        <f>(G187+H187)/2</f>
        <v>0.62850000000000006</v>
      </c>
    </row>
    <row r="229" spans="1:73" x14ac:dyDescent="0.25">
      <c r="A229" s="2" t="s">
        <v>14</v>
      </c>
      <c r="B229" s="2">
        <f>(C189+D189)/2</f>
        <v>0.77699999999999991</v>
      </c>
      <c r="C229" s="2">
        <f>(B190+D190)/2</f>
        <v>0.66799999999999993</v>
      </c>
      <c r="D229" s="2">
        <f>(B191+C191)/2</f>
        <v>0.71499999999999997</v>
      </c>
      <c r="F229" s="2" t="s">
        <v>14</v>
      </c>
      <c r="G229" s="2">
        <f>(H189+I189)/2</f>
        <v>0.747</v>
      </c>
      <c r="H229" s="2">
        <f>(G190+I190)/2</f>
        <v>0.63</v>
      </c>
      <c r="I229" s="2">
        <f>(G191+H191)/2</f>
        <v>0.67900000000000005</v>
      </c>
    </row>
    <row r="230" spans="1:73" x14ac:dyDescent="0.25">
      <c r="A230" s="2" t="s">
        <v>15</v>
      </c>
      <c r="B230" s="2">
        <f>(C193+D193)/2</f>
        <v>0.59000000000000008</v>
      </c>
      <c r="C230" s="2">
        <f>(B194+D194)/2</f>
        <v>0.41949999999999998</v>
      </c>
      <c r="D230" s="2">
        <f>(B195+C195)/2</f>
        <v>0.63450000000000006</v>
      </c>
      <c r="F230" s="2" t="s">
        <v>15</v>
      </c>
      <c r="G230" s="2">
        <f>(H193+I193)/2</f>
        <v>0.505</v>
      </c>
      <c r="H230" s="2">
        <f>(G194+I194)/2</f>
        <v>0.32450000000000001</v>
      </c>
      <c r="I230" s="2">
        <f>(G195+H195)/2</f>
        <v>0.5585</v>
      </c>
    </row>
    <row r="231" spans="1:73" x14ac:dyDescent="0.25">
      <c r="A231" s="2" t="s">
        <v>16</v>
      </c>
      <c r="B231" s="2">
        <f>(C197+D197)/2</f>
        <v>0.57299999999999995</v>
      </c>
      <c r="C231" s="2">
        <f>(B198+D198)/2</f>
        <v>0.52</v>
      </c>
      <c r="D231" s="2">
        <f>(B199+C199)/2</f>
        <v>0.35</v>
      </c>
      <c r="F231" s="2" t="s">
        <v>16</v>
      </c>
      <c r="G231" s="2">
        <f>(H197+I197)/2</f>
        <v>0.50600000000000001</v>
      </c>
      <c r="H231" s="2">
        <f>(G198+I198)/2</f>
        <v>0.45549999999999996</v>
      </c>
      <c r="I231" s="2">
        <f>(G199+H199)/2</f>
        <v>0.26350000000000001</v>
      </c>
    </row>
    <row r="232" spans="1:73" x14ac:dyDescent="0.25">
      <c r="A232" s="2" t="s">
        <v>18</v>
      </c>
      <c r="B232" s="2">
        <f>(C201+D201)/2</f>
        <v>0.51949999999999996</v>
      </c>
      <c r="C232" s="2">
        <f>(B202+D202)/2</f>
        <v>0.32</v>
      </c>
      <c r="D232" s="2">
        <f>(B203+C203)/2</f>
        <v>0.41649999999999998</v>
      </c>
      <c r="F232" s="2" t="s">
        <v>18</v>
      </c>
      <c r="G232" s="2">
        <f>(H201+I201)/2</f>
        <v>0.45499999999999996</v>
      </c>
      <c r="H232" s="2">
        <f>(G202+I202)/2</f>
        <v>0.23050000000000001</v>
      </c>
      <c r="I232" s="2">
        <f>(G203+H203)/2</f>
        <v>0.35949999999999999</v>
      </c>
    </row>
    <row r="233" spans="1:73" x14ac:dyDescent="0.25">
      <c r="A233" s="2" t="s">
        <v>19</v>
      </c>
      <c r="B233" s="2">
        <f>(C205+D205)/2</f>
        <v>0.433</v>
      </c>
      <c r="C233" s="2">
        <f>(B206+D206)/2</f>
        <v>0.32799999999999996</v>
      </c>
      <c r="D233" s="2">
        <f>(B207+C207)/2</f>
        <v>0.28400000000000003</v>
      </c>
      <c r="F233" s="2" t="s">
        <v>19</v>
      </c>
      <c r="G233" s="2">
        <f>(H205+I205)/2</f>
        <v>0.35649999999999998</v>
      </c>
      <c r="H233" s="2">
        <f>(G206+I206)/2</f>
        <v>0.25600000000000001</v>
      </c>
      <c r="I233" s="2">
        <f>(G207+H207)/2</f>
        <v>0.20349999999999999</v>
      </c>
    </row>
    <row r="234" spans="1:73" x14ac:dyDescent="0.25">
      <c r="A234" s="2" t="s">
        <v>20</v>
      </c>
      <c r="B234" s="2">
        <f>(C209+D209)/2</f>
        <v>0.54449999999999998</v>
      </c>
      <c r="C234" s="2">
        <f>(B210+D210)/2</f>
        <v>0.38700000000000001</v>
      </c>
      <c r="D234" s="2">
        <f>(B211+C211)/2</f>
        <v>0.45450000000000002</v>
      </c>
      <c r="F234" s="2" t="s">
        <v>20</v>
      </c>
      <c r="G234" s="2">
        <f>(H209+I209)/2</f>
        <v>0.47399999999999998</v>
      </c>
      <c r="H234" s="2">
        <f>(G210+I210)/2</f>
        <v>0.311</v>
      </c>
      <c r="I234" s="2">
        <f>(G211+H211)/2</f>
        <v>0.376</v>
      </c>
    </row>
    <row r="235" spans="1:73" x14ac:dyDescent="0.25">
      <c r="A235" s="2" t="s">
        <v>21</v>
      </c>
      <c r="B235" s="2">
        <f>(C213+D213)/2</f>
        <v>0.77449999999999997</v>
      </c>
      <c r="C235" s="2">
        <f>(B214+D214)/2</f>
        <v>0.78899999999999992</v>
      </c>
      <c r="D235" s="2">
        <f>(B215+C215)/2</f>
        <v>0.67949999999999999</v>
      </c>
      <c r="F235" s="2" t="s">
        <v>21</v>
      </c>
      <c r="G235" s="2">
        <f>(H213+I213)/2</f>
        <v>0.73399999999999999</v>
      </c>
      <c r="H235" s="2">
        <f>(G214+I214)/2</f>
        <v>0.75750000000000006</v>
      </c>
      <c r="I235" s="2">
        <f>(G215+H215)/2</f>
        <v>0.63650000000000007</v>
      </c>
    </row>
    <row r="236" spans="1:73" x14ac:dyDescent="0.25">
      <c r="A236" s="2" t="s">
        <v>23</v>
      </c>
      <c r="B236" s="2">
        <f>(C217+D217)/2</f>
        <v>0.67249999999999999</v>
      </c>
      <c r="C236" s="2">
        <f>(B218+D218)/2</f>
        <v>0.57499999999999996</v>
      </c>
      <c r="D236" s="2">
        <f>(B219+C219)/2</f>
        <v>0.51849999999999996</v>
      </c>
      <c r="F236" s="2" t="s">
        <v>23</v>
      </c>
      <c r="G236" s="2">
        <f>(H217+I217)/2</f>
        <v>0.61650000000000005</v>
      </c>
      <c r="H236" s="2">
        <f>(G218+I218)/2</f>
        <v>0.4965</v>
      </c>
      <c r="I236" s="2">
        <f>(G219+H219)/2</f>
        <v>0.46399999999999997</v>
      </c>
    </row>
    <row r="237" spans="1:73" x14ac:dyDescent="0.25">
      <c r="A237" s="2" t="s">
        <v>24</v>
      </c>
      <c r="B237" s="2">
        <f>(C221+D221)/2</f>
        <v>0.49049999999999999</v>
      </c>
      <c r="C237" s="2">
        <f>(B222+D222)/2</f>
        <v>0.51100000000000001</v>
      </c>
      <c r="D237" s="2">
        <f>(B223+C223)/2</f>
        <v>0.62149999999999994</v>
      </c>
      <c r="F237" s="2" t="s">
        <v>24</v>
      </c>
      <c r="G237" s="2">
        <f>(H221+I221)/2</f>
        <v>0.41149999999999998</v>
      </c>
      <c r="H237" s="2">
        <f>(G222+I222)/2</f>
        <v>0.43399999999999994</v>
      </c>
      <c r="I237" s="2">
        <f>(G223+H223)/2</f>
        <v>0.55349999999999999</v>
      </c>
    </row>
    <row r="239" spans="1:73" x14ac:dyDescent="0.25">
      <c r="A239" s="167" t="s">
        <v>233</v>
      </c>
    </row>
    <row r="240" spans="1:73" x14ac:dyDescent="0.25">
      <c r="A240" s="134" t="s">
        <v>113</v>
      </c>
      <c r="B240" s="134" t="s">
        <v>107</v>
      </c>
      <c r="C240" s="134" t="s">
        <v>108</v>
      </c>
      <c r="D240" s="134" t="s">
        <v>136</v>
      </c>
      <c r="E240" s="133"/>
    </row>
    <row r="241" spans="1:5" x14ac:dyDescent="0.25">
      <c r="A241" s="2" t="s">
        <v>25</v>
      </c>
      <c r="B241" s="2">
        <f>(B228+G228)/2</f>
        <v>0.64149999999999996</v>
      </c>
      <c r="C241" s="2">
        <f t="shared" ref="C241:D250" si="126">(C228+H228)/2</f>
        <v>0.74049999999999994</v>
      </c>
      <c r="D241" s="2">
        <f t="shared" si="126"/>
        <v>0.65650000000000008</v>
      </c>
    </row>
    <row r="242" spans="1:5" x14ac:dyDescent="0.25">
      <c r="A242" s="2" t="s">
        <v>14</v>
      </c>
      <c r="B242" s="2">
        <f t="shared" ref="B242:B250" si="127">(B229+G229)/2</f>
        <v>0.76200000000000001</v>
      </c>
      <c r="C242" s="2">
        <f t="shared" si="126"/>
        <v>0.64900000000000002</v>
      </c>
      <c r="D242" s="2">
        <f t="shared" si="126"/>
        <v>0.69700000000000006</v>
      </c>
    </row>
    <row r="243" spans="1:5" x14ac:dyDescent="0.25">
      <c r="A243" s="2" t="s">
        <v>15</v>
      </c>
      <c r="B243" s="2">
        <f t="shared" si="127"/>
        <v>0.5475000000000001</v>
      </c>
      <c r="C243" s="2">
        <f t="shared" si="126"/>
        <v>0.372</v>
      </c>
      <c r="D243" s="2">
        <f t="shared" si="126"/>
        <v>0.59650000000000003</v>
      </c>
    </row>
    <row r="244" spans="1:5" x14ac:dyDescent="0.25">
      <c r="A244" s="2" t="s">
        <v>16</v>
      </c>
      <c r="B244" s="2">
        <f t="shared" si="127"/>
        <v>0.53949999999999998</v>
      </c>
      <c r="C244" s="2">
        <f t="shared" si="126"/>
        <v>0.48775000000000002</v>
      </c>
      <c r="D244" s="2">
        <f t="shared" si="126"/>
        <v>0.30674999999999997</v>
      </c>
    </row>
    <row r="245" spans="1:5" x14ac:dyDescent="0.25">
      <c r="A245" s="2" t="s">
        <v>18</v>
      </c>
      <c r="B245" s="2">
        <f t="shared" si="127"/>
        <v>0.48724999999999996</v>
      </c>
      <c r="C245" s="2">
        <f t="shared" si="126"/>
        <v>0.27524999999999999</v>
      </c>
      <c r="D245" s="2">
        <f t="shared" si="126"/>
        <v>0.38800000000000001</v>
      </c>
    </row>
    <row r="246" spans="1:5" x14ac:dyDescent="0.25">
      <c r="A246" s="2" t="s">
        <v>19</v>
      </c>
      <c r="B246" s="2">
        <f t="shared" si="127"/>
        <v>0.39474999999999999</v>
      </c>
      <c r="C246" s="2">
        <f t="shared" si="126"/>
        <v>0.29199999999999998</v>
      </c>
      <c r="D246" s="2">
        <f t="shared" si="126"/>
        <v>0.24375000000000002</v>
      </c>
    </row>
    <row r="247" spans="1:5" x14ac:dyDescent="0.25">
      <c r="A247" s="2" t="s">
        <v>20</v>
      </c>
      <c r="B247" s="2">
        <f t="shared" si="127"/>
        <v>0.50924999999999998</v>
      </c>
      <c r="C247" s="2">
        <f t="shared" si="126"/>
        <v>0.34899999999999998</v>
      </c>
      <c r="D247" s="2">
        <f t="shared" si="126"/>
        <v>0.41525000000000001</v>
      </c>
    </row>
    <row r="248" spans="1:5" x14ac:dyDescent="0.25">
      <c r="A248" s="2" t="s">
        <v>21</v>
      </c>
      <c r="B248" s="2">
        <f t="shared" si="127"/>
        <v>0.75424999999999998</v>
      </c>
      <c r="C248" s="2">
        <f t="shared" si="126"/>
        <v>0.77324999999999999</v>
      </c>
      <c r="D248" s="2">
        <f t="shared" si="126"/>
        <v>0.65800000000000003</v>
      </c>
    </row>
    <row r="249" spans="1:5" x14ac:dyDescent="0.25">
      <c r="A249" s="2" t="s">
        <v>23</v>
      </c>
      <c r="B249" s="2">
        <f t="shared" si="127"/>
        <v>0.64450000000000007</v>
      </c>
      <c r="C249" s="2">
        <f t="shared" si="126"/>
        <v>0.53574999999999995</v>
      </c>
      <c r="D249" s="2">
        <f t="shared" si="126"/>
        <v>0.49124999999999996</v>
      </c>
    </row>
    <row r="250" spans="1:5" x14ac:dyDescent="0.25">
      <c r="A250" s="2" t="s">
        <v>24</v>
      </c>
      <c r="B250" s="2">
        <f t="shared" si="127"/>
        <v>0.45099999999999996</v>
      </c>
      <c r="C250" s="2">
        <f t="shared" si="126"/>
        <v>0.47249999999999998</v>
      </c>
      <c r="D250" s="2">
        <f t="shared" si="126"/>
        <v>0.58749999999999991</v>
      </c>
    </row>
    <row r="252" spans="1:5" ht="15" customHeight="1" x14ac:dyDescent="0.25">
      <c r="A252" s="167" t="s">
        <v>182</v>
      </c>
      <c r="B252" s="167"/>
      <c r="C252" s="167"/>
      <c r="D252" s="167"/>
      <c r="E252" s="167"/>
    </row>
    <row r="253" spans="1:5" x14ac:dyDescent="0.25">
      <c r="A253" s="87" t="s">
        <v>113</v>
      </c>
      <c r="B253" s="3" t="s">
        <v>107</v>
      </c>
      <c r="C253" s="3" t="s">
        <v>108</v>
      </c>
      <c r="D253" s="3" t="s">
        <v>136</v>
      </c>
      <c r="E253" s="127" t="s">
        <v>161</v>
      </c>
    </row>
    <row r="254" spans="1:5" x14ac:dyDescent="0.25">
      <c r="A254" s="41" t="s">
        <v>25</v>
      </c>
      <c r="B254" s="124">
        <f>B241/SUM($B241:$D241)</f>
        <v>0.31469217561932794</v>
      </c>
      <c r="C254" s="124">
        <f t="shared" ref="C254:D254" si="128">C241/SUM($B241:$D241)</f>
        <v>0.36325729703213144</v>
      </c>
      <c r="D254" s="124">
        <f t="shared" si="128"/>
        <v>0.32205052734854062</v>
      </c>
      <c r="E254" s="126">
        <f>SUM(B254:D254)</f>
        <v>1</v>
      </c>
    </row>
    <row r="255" spans="1:5" x14ac:dyDescent="0.25">
      <c r="A255" s="41" t="s">
        <v>14</v>
      </c>
      <c r="B255" s="124">
        <f t="shared" ref="B255:D255" si="129">B242/SUM($B242:$D242)</f>
        <v>0.36148007590132825</v>
      </c>
      <c r="C255" s="124">
        <f t="shared" si="129"/>
        <v>0.30787476280834913</v>
      </c>
      <c r="D255" s="124">
        <f t="shared" si="129"/>
        <v>0.33064516129032262</v>
      </c>
      <c r="E255" s="126">
        <f t="shared" ref="E255:E263" si="130">SUM(B255:D255)</f>
        <v>1</v>
      </c>
    </row>
    <row r="256" spans="1:5" x14ac:dyDescent="0.25">
      <c r="A256" s="41" t="s">
        <v>15</v>
      </c>
      <c r="B256" s="124">
        <f t="shared" ref="B256:D256" si="131">B243/SUM($B243:$D243)</f>
        <v>0.36114775725593673</v>
      </c>
      <c r="C256" s="124">
        <f t="shared" si="131"/>
        <v>0.24538258575197888</v>
      </c>
      <c r="D256" s="124">
        <f t="shared" si="131"/>
        <v>0.39346965699208447</v>
      </c>
      <c r="E256" s="126">
        <f t="shared" si="130"/>
        <v>1</v>
      </c>
    </row>
    <row r="257" spans="1:5" x14ac:dyDescent="0.25">
      <c r="A257" s="41" t="s">
        <v>16</v>
      </c>
      <c r="B257" s="124">
        <f t="shared" ref="B257:D257" si="132">B244/SUM($B244:$D244)</f>
        <v>0.40442278860569714</v>
      </c>
      <c r="C257" s="124">
        <f t="shared" si="132"/>
        <v>0.36562968515742128</v>
      </c>
      <c r="D257" s="124">
        <f t="shared" si="132"/>
        <v>0.22994752623688153</v>
      </c>
      <c r="E257" s="126">
        <f t="shared" si="130"/>
        <v>1</v>
      </c>
    </row>
    <row r="258" spans="1:5" x14ac:dyDescent="0.25">
      <c r="A258" s="41" t="s">
        <v>18</v>
      </c>
      <c r="B258" s="124">
        <f t="shared" ref="B258:D258" si="133">B245/SUM($B245:$D245)</f>
        <v>0.42351151673185566</v>
      </c>
      <c r="C258" s="124">
        <f t="shared" si="133"/>
        <v>0.2392438070404172</v>
      </c>
      <c r="D258" s="124">
        <f t="shared" si="133"/>
        <v>0.33724467622772708</v>
      </c>
      <c r="E258" s="126">
        <f t="shared" si="130"/>
        <v>1</v>
      </c>
    </row>
    <row r="259" spans="1:5" x14ac:dyDescent="0.25">
      <c r="A259" s="41" t="s">
        <v>19</v>
      </c>
      <c r="B259" s="124">
        <f t="shared" ref="B259:D259" si="134">B246/SUM($B246:$D246)</f>
        <v>0.42423428264373991</v>
      </c>
      <c r="C259" s="124">
        <f t="shared" si="134"/>
        <v>0.31380977968833956</v>
      </c>
      <c r="D259" s="124">
        <f t="shared" si="134"/>
        <v>0.26195593766792052</v>
      </c>
      <c r="E259" s="126">
        <f t="shared" si="130"/>
        <v>1</v>
      </c>
    </row>
    <row r="260" spans="1:5" x14ac:dyDescent="0.25">
      <c r="A260" s="41" t="s">
        <v>20</v>
      </c>
      <c r="B260" s="124">
        <f t="shared" ref="B260:D260" si="135">B247/SUM($B247:$D247)</f>
        <v>0.39988221436984689</v>
      </c>
      <c r="C260" s="124">
        <f t="shared" si="135"/>
        <v>0.27404789948959563</v>
      </c>
      <c r="D260" s="124">
        <f t="shared" si="135"/>
        <v>0.32606988614055754</v>
      </c>
      <c r="E260" s="126">
        <f t="shared" si="130"/>
        <v>1</v>
      </c>
    </row>
    <row r="261" spans="1:5" x14ac:dyDescent="0.25">
      <c r="A261" s="41" t="s">
        <v>21</v>
      </c>
      <c r="B261" s="124">
        <f t="shared" ref="B261:D261" si="136">B248/SUM($B248:$D248)</f>
        <v>0.34511553420269964</v>
      </c>
      <c r="C261" s="124">
        <f t="shared" si="136"/>
        <v>0.35380919698009611</v>
      </c>
      <c r="D261" s="124">
        <f t="shared" si="136"/>
        <v>0.30107526881720437</v>
      </c>
      <c r="E261" s="126">
        <f t="shared" si="130"/>
        <v>1</v>
      </c>
    </row>
    <row r="262" spans="1:5" x14ac:dyDescent="0.25">
      <c r="A262" s="41" t="s">
        <v>23</v>
      </c>
      <c r="B262" s="124">
        <f t="shared" ref="B262:D262" si="137">B249/SUM($B249:$D249)</f>
        <v>0.3855818127430452</v>
      </c>
      <c r="C262" s="124">
        <f t="shared" si="137"/>
        <v>0.32052049057732573</v>
      </c>
      <c r="D262" s="124">
        <f t="shared" si="137"/>
        <v>0.29389769667962906</v>
      </c>
      <c r="E262" s="126">
        <f t="shared" si="130"/>
        <v>1</v>
      </c>
    </row>
    <row r="263" spans="1:5" x14ac:dyDescent="0.25">
      <c r="A263" s="41" t="s">
        <v>24</v>
      </c>
      <c r="B263" s="124">
        <f t="shared" ref="B263:D263" si="138">B250/SUM($B250:$D250)</f>
        <v>0.29847782925215088</v>
      </c>
      <c r="C263" s="124">
        <f t="shared" si="138"/>
        <v>0.3127068166776969</v>
      </c>
      <c r="D263" s="124">
        <f t="shared" si="138"/>
        <v>0.38881535407015216</v>
      </c>
      <c r="E263" s="126">
        <f t="shared" si="130"/>
        <v>1</v>
      </c>
    </row>
    <row r="264" spans="1:5" x14ac:dyDescent="0.25">
      <c r="A264" s="123"/>
    </row>
    <row r="265" spans="1:5" ht="15" customHeight="1" x14ac:dyDescent="0.25">
      <c r="A265" s="167" t="s">
        <v>163</v>
      </c>
      <c r="B265" s="167"/>
      <c r="C265" s="167"/>
      <c r="D265" s="167"/>
      <c r="E265" s="167"/>
    </row>
    <row r="266" spans="1:5" x14ac:dyDescent="0.25">
      <c r="A266" s="87" t="s">
        <v>113</v>
      </c>
      <c r="B266" s="3" t="s">
        <v>107</v>
      </c>
      <c r="C266" s="3" t="s">
        <v>108</v>
      </c>
      <c r="D266" s="3" t="s">
        <v>136</v>
      </c>
      <c r="E266" s="127" t="s">
        <v>161</v>
      </c>
    </row>
    <row r="267" spans="1:5" x14ac:dyDescent="0.25">
      <c r="A267" s="41" t="s">
        <v>25</v>
      </c>
      <c r="B267" s="124">
        <f t="shared" ref="B267:B276" si="139">$B$180*$C$172+(1-$B$180)*B254</f>
        <v>0.30881530537159674</v>
      </c>
      <c r="C267" s="124">
        <f t="shared" ref="C267:C276" si="140">$B$180*$C$173+(1-$B$180)*C254</f>
        <v>0.33795437821927887</v>
      </c>
      <c r="D267" s="124">
        <f t="shared" ref="D267:D276" si="141">$B$180*$C$174+(1-$B$180)*D254</f>
        <v>0.35323031640912439</v>
      </c>
      <c r="E267" s="126">
        <f>SUM(B267:D267)</f>
        <v>1</v>
      </c>
    </row>
    <row r="268" spans="1:5" x14ac:dyDescent="0.25">
      <c r="A268" s="41" t="s">
        <v>14</v>
      </c>
      <c r="B268" s="124">
        <f t="shared" si="139"/>
        <v>0.33688804554079693</v>
      </c>
      <c r="C268" s="124">
        <f t="shared" si="140"/>
        <v>0.30472485768500945</v>
      </c>
      <c r="D268" s="124">
        <f t="shared" si="141"/>
        <v>0.35838709677419356</v>
      </c>
      <c r="E268" s="126">
        <f t="shared" ref="E268:E276" si="142">SUM(B268:D268)</f>
        <v>1</v>
      </c>
    </row>
    <row r="269" spans="1:5" x14ac:dyDescent="0.25">
      <c r="A269" s="41" t="s">
        <v>15</v>
      </c>
      <c r="B269" s="124">
        <f t="shared" si="139"/>
        <v>0.33668865435356199</v>
      </c>
      <c r="C269" s="124">
        <f t="shared" si="140"/>
        <v>0.26722955145118732</v>
      </c>
      <c r="D269" s="124">
        <f t="shared" si="141"/>
        <v>0.39608179419525069</v>
      </c>
      <c r="E269" s="126">
        <f t="shared" si="142"/>
        <v>1</v>
      </c>
    </row>
    <row r="270" spans="1:5" x14ac:dyDescent="0.25">
      <c r="A270" s="41" t="s">
        <v>16</v>
      </c>
      <c r="B270" s="124">
        <f t="shared" si="139"/>
        <v>0.36265367316341823</v>
      </c>
      <c r="C270" s="124">
        <f t="shared" si="140"/>
        <v>0.33937781109445275</v>
      </c>
      <c r="D270" s="124">
        <f t="shared" si="141"/>
        <v>0.2979685157421289</v>
      </c>
      <c r="E270" s="126">
        <f t="shared" si="142"/>
        <v>0.99999999999999989</v>
      </c>
    </row>
    <row r="271" spans="1:5" x14ac:dyDescent="0.25">
      <c r="A271" s="41" t="s">
        <v>18</v>
      </c>
      <c r="B271" s="124">
        <f t="shared" si="139"/>
        <v>0.37410691003911339</v>
      </c>
      <c r="C271" s="124">
        <f t="shared" si="140"/>
        <v>0.2635462842242503</v>
      </c>
      <c r="D271" s="124">
        <f t="shared" si="141"/>
        <v>0.36234680573663625</v>
      </c>
      <c r="E271" s="126">
        <f t="shared" si="142"/>
        <v>0.99999999999999989</v>
      </c>
    </row>
    <row r="272" spans="1:5" x14ac:dyDescent="0.25">
      <c r="A272" s="41" t="s">
        <v>19</v>
      </c>
      <c r="B272" s="124">
        <f t="shared" si="139"/>
        <v>0.37454056958624393</v>
      </c>
      <c r="C272" s="124">
        <f t="shared" si="140"/>
        <v>0.30828586781300371</v>
      </c>
      <c r="D272" s="124">
        <f t="shared" si="141"/>
        <v>0.31717356260075236</v>
      </c>
      <c r="E272" s="126">
        <f t="shared" si="142"/>
        <v>1</v>
      </c>
    </row>
    <row r="273" spans="1:25" x14ac:dyDescent="0.25">
      <c r="A273" s="41" t="s">
        <v>20</v>
      </c>
      <c r="B273" s="124">
        <f t="shared" si="139"/>
        <v>0.35992932862190813</v>
      </c>
      <c r="C273" s="124">
        <f t="shared" si="140"/>
        <v>0.28442873969375737</v>
      </c>
      <c r="D273" s="124">
        <f t="shared" si="141"/>
        <v>0.35564193168433456</v>
      </c>
      <c r="E273" s="126">
        <f t="shared" si="142"/>
        <v>1</v>
      </c>
    </row>
    <row r="274" spans="1:25" x14ac:dyDescent="0.25">
      <c r="A274" s="41" t="s">
        <v>21</v>
      </c>
      <c r="B274" s="124">
        <f t="shared" si="139"/>
        <v>0.32706932052161974</v>
      </c>
      <c r="C274" s="124">
        <f t="shared" si="140"/>
        <v>0.33228551818805763</v>
      </c>
      <c r="D274" s="124">
        <f t="shared" si="141"/>
        <v>0.34064516129032263</v>
      </c>
      <c r="E274" s="126">
        <f t="shared" si="142"/>
        <v>1</v>
      </c>
    </row>
    <row r="275" spans="1:25" x14ac:dyDescent="0.25">
      <c r="A275" s="41" t="s">
        <v>23</v>
      </c>
      <c r="B275" s="124">
        <f t="shared" si="139"/>
        <v>0.35134908764582712</v>
      </c>
      <c r="C275" s="124">
        <f t="shared" si="140"/>
        <v>0.3123122943463954</v>
      </c>
      <c r="D275" s="124">
        <f t="shared" si="141"/>
        <v>0.33633861800777742</v>
      </c>
      <c r="E275" s="126">
        <f t="shared" si="142"/>
        <v>1</v>
      </c>
    </row>
    <row r="276" spans="1:25" x14ac:dyDescent="0.25">
      <c r="A276" s="41" t="s">
        <v>24</v>
      </c>
      <c r="B276" s="124">
        <f t="shared" si="139"/>
        <v>0.29908669755129053</v>
      </c>
      <c r="C276" s="124">
        <f t="shared" si="140"/>
        <v>0.30762409000661817</v>
      </c>
      <c r="D276" s="124">
        <f t="shared" si="141"/>
        <v>0.39328921244209131</v>
      </c>
      <c r="E276" s="126">
        <f t="shared" si="142"/>
        <v>1</v>
      </c>
    </row>
    <row r="278" spans="1:25" ht="15.75" thickBot="1" x14ac:dyDescent="0.3">
      <c r="A278" s="1" t="s">
        <v>183</v>
      </c>
    </row>
    <row r="279" spans="1:25" ht="15.75" thickBot="1" x14ac:dyDescent="0.3">
      <c r="A279" s="213" t="s">
        <v>27</v>
      </c>
      <c r="B279" s="209" t="s">
        <v>197</v>
      </c>
      <c r="C279" s="215"/>
      <c r="D279" s="215"/>
      <c r="E279" s="215"/>
      <c r="F279" s="215"/>
      <c r="G279" s="215"/>
      <c r="H279" s="215"/>
      <c r="I279" s="216"/>
      <c r="J279" s="209" t="s">
        <v>198</v>
      </c>
      <c r="K279" s="215"/>
      <c r="L279" s="215"/>
      <c r="M279" s="215"/>
      <c r="N279" s="215"/>
      <c r="O279" s="215"/>
      <c r="P279" s="215"/>
      <c r="Q279" s="216"/>
      <c r="R279" s="302" t="s">
        <v>199</v>
      </c>
      <c r="S279" s="303"/>
      <c r="T279" s="303"/>
      <c r="U279" s="303"/>
      <c r="V279" s="303"/>
      <c r="W279" s="303"/>
      <c r="X279" s="303"/>
      <c r="Y279" s="304"/>
    </row>
    <row r="280" spans="1:25" ht="33.75" customHeight="1" thickBot="1" x14ac:dyDescent="0.3">
      <c r="A280" s="214"/>
      <c r="B280" s="206" t="s">
        <v>3</v>
      </c>
      <c r="C280" s="207"/>
      <c r="D280" s="207"/>
      <c r="E280" s="208"/>
      <c r="F280" s="209" t="s">
        <v>4</v>
      </c>
      <c r="G280" s="207"/>
      <c r="H280" s="207"/>
      <c r="I280" s="208"/>
      <c r="J280" s="206" t="s">
        <v>3</v>
      </c>
      <c r="K280" s="207"/>
      <c r="L280" s="207"/>
      <c r="M280" s="208"/>
      <c r="N280" s="209" t="s">
        <v>4</v>
      </c>
      <c r="O280" s="207"/>
      <c r="P280" s="207"/>
      <c r="Q280" s="208"/>
      <c r="R280" s="305" t="s">
        <v>3</v>
      </c>
      <c r="S280" s="306"/>
      <c r="T280" s="306"/>
      <c r="U280" s="307"/>
      <c r="V280" s="302" t="s">
        <v>4</v>
      </c>
      <c r="W280" s="306"/>
      <c r="X280" s="306"/>
      <c r="Y280" s="307"/>
    </row>
    <row r="281" spans="1:25" x14ac:dyDescent="0.25">
      <c r="A281" s="103" t="s">
        <v>25</v>
      </c>
      <c r="B281" s="6">
        <f t="shared" ref="B281:B290" si="143">BG12</f>
        <v>6.4600000000000009</v>
      </c>
      <c r="C281" s="7">
        <f t="shared" ref="C281:C290" si="144">BH12</f>
        <v>12.6</v>
      </c>
      <c r="D281" s="7">
        <f t="shared" ref="D281:D290" si="145">BI12</f>
        <v>15.81</v>
      </c>
      <c r="E281" s="8">
        <f t="shared" ref="E281:E290" si="146">BJ12</f>
        <v>20.655000000000001</v>
      </c>
      <c r="F281" s="6">
        <f t="shared" ref="F281:F290" si="147">BK12</f>
        <v>8.3199999999999985</v>
      </c>
      <c r="G281" s="7">
        <f t="shared" ref="G281:G290" si="148">BL12</f>
        <v>12.6</v>
      </c>
      <c r="H281" s="7">
        <f t="shared" ref="H281:H290" si="149">BM12</f>
        <v>15.81</v>
      </c>
      <c r="I281" s="101">
        <f t="shared" ref="I281:I290" si="150">BN12</f>
        <v>19.03</v>
      </c>
      <c r="J281" s="6">
        <f t="shared" ref="J281:J290" si="151">BG64</f>
        <v>4.22</v>
      </c>
      <c r="K281" s="7">
        <f t="shared" ref="K281:K290" si="152">BH64</f>
        <v>9.89</v>
      </c>
      <c r="L281" s="7">
        <f t="shared" ref="L281:L290" si="153">BI64</f>
        <v>15.18</v>
      </c>
      <c r="M281" s="8">
        <f t="shared" ref="M281:M290" si="154">BJ64</f>
        <v>21.215000000000003</v>
      </c>
      <c r="N281" s="6">
        <f t="shared" ref="N281:N290" si="155">BK64</f>
        <v>5.6749999999999989</v>
      </c>
      <c r="O281" s="7">
        <f t="shared" ref="O281:O290" si="156">BL64</f>
        <v>9.89</v>
      </c>
      <c r="P281" s="253">
        <f t="shared" ref="P281:P290" si="157">BM64</f>
        <v>15.18</v>
      </c>
      <c r="Q281" s="254">
        <f t="shared" ref="Q281:Q290" si="158">BN64</f>
        <v>19.23</v>
      </c>
      <c r="R281" s="239">
        <f t="shared" ref="R281:R290" si="159">BG116</f>
        <v>5.0450000000000008</v>
      </c>
      <c r="S281" s="253">
        <f t="shared" ref="S281:S290" si="160">BH116</f>
        <v>9.9149999999999991</v>
      </c>
      <c r="T281" s="253">
        <f t="shared" ref="T281:T290" si="161">BI116</f>
        <v>13.555</v>
      </c>
      <c r="U281" s="254">
        <f t="shared" ref="U281:U290" si="162">BJ116</f>
        <v>18.465</v>
      </c>
      <c r="V281" s="239">
        <f t="shared" ref="V281:V290" si="163">BK116</f>
        <v>6.4289999999999994</v>
      </c>
      <c r="W281" s="253">
        <f t="shared" ref="W281:W290" si="164">BL116</f>
        <v>9.9149999999999991</v>
      </c>
      <c r="X281" s="253">
        <f t="shared" ref="X281:X290" si="165">BM116</f>
        <v>13.555</v>
      </c>
      <c r="Y281" s="254">
        <f t="shared" ref="Y281:Y290" si="166">BN116</f>
        <v>16.830000000000002</v>
      </c>
    </row>
    <row r="282" spans="1:25" x14ac:dyDescent="0.25">
      <c r="A282" s="99" t="s">
        <v>14</v>
      </c>
      <c r="B282" s="4">
        <f t="shared" si="143"/>
        <v>1.1550000000000002</v>
      </c>
      <c r="C282" s="2">
        <f t="shared" si="144"/>
        <v>4.4550000000000001</v>
      </c>
      <c r="D282" s="2">
        <f t="shared" si="145"/>
        <v>9.0749999999999993</v>
      </c>
      <c r="E282" s="5">
        <f t="shared" si="146"/>
        <v>14.025</v>
      </c>
      <c r="F282" s="4">
        <f t="shared" si="147"/>
        <v>1.8190000000000008</v>
      </c>
      <c r="G282" s="2">
        <f t="shared" si="148"/>
        <v>4.4550000000000001</v>
      </c>
      <c r="H282" s="2">
        <f t="shared" si="149"/>
        <v>9.0749999999999993</v>
      </c>
      <c r="I282" s="95">
        <f t="shared" si="150"/>
        <v>12.430000000000003</v>
      </c>
      <c r="J282" s="4">
        <f t="shared" si="151"/>
        <v>1.1550000000000002</v>
      </c>
      <c r="K282" s="2">
        <f t="shared" si="152"/>
        <v>5.5550000000000006</v>
      </c>
      <c r="L282" s="2">
        <f t="shared" si="153"/>
        <v>11.275</v>
      </c>
      <c r="M282" s="5">
        <f t="shared" si="154"/>
        <v>16.775000000000002</v>
      </c>
      <c r="N282" s="4">
        <f t="shared" si="155"/>
        <v>1.9650000000000007</v>
      </c>
      <c r="O282" s="2">
        <f t="shared" si="156"/>
        <v>5.5550000000000006</v>
      </c>
      <c r="P282" s="256">
        <f t="shared" si="157"/>
        <v>11.275</v>
      </c>
      <c r="Q282" s="257">
        <f t="shared" si="158"/>
        <v>15.030000000000005</v>
      </c>
      <c r="R282" s="255">
        <f t="shared" si="159"/>
        <v>0.60499999999999998</v>
      </c>
      <c r="S282" s="256">
        <f t="shared" si="160"/>
        <v>3.6300000000000008</v>
      </c>
      <c r="T282" s="256">
        <f t="shared" si="161"/>
        <v>8.25</v>
      </c>
      <c r="U282" s="257">
        <f t="shared" si="162"/>
        <v>12.9</v>
      </c>
      <c r="V282" s="255">
        <f t="shared" si="163"/>
        <v>1.0249999999999999</v>
      </c>
      <c r="W282" s="256">
        <f t="shared" si="164"/>
        <v>3.6300000000000008</v>
      </c>
      <c r="X282" s="256">
        <f t="shared" si="165"/>
        <v>8.25</v>
      </c>
      <c r="Y282" s="257">
        <f t="shared" si="166"/>
        <v>11.430000000000001</v>
      </c>
    </row>
    <row r="283" spans="1:25" x14ac:dyDescent="0.25">
      <c r="A283" s="99" t="s">
        <v>15</v>
      </c>
      <c r="B283" s="4">
        <f t="shared" si="143"/>
        <v>4.0150000000000006</v>
      </c>
      <c r="C283" s="2">
        <f t="shared" si="144"/>
        <v>7.4250000000000007</v>
      </c>
      <c r="D283" s="2">
        <f t="shared" si="145"/>
        <v>12.705000000000002</v>
      </c>
      <c r="E283" s="5">
        <f t="shared" si="146"/>
        <v>19.965</v>
      </c>
      <c r="F283" s="4">
        <f t="shared" si="147"/>
        <v>5.08</v>
      </c>
      <c r="G283" s="2">
        <f t="shared" si="148"/>
        <v>7.4250000000000007</v>
      </c>
      <c r="H283" s="2">
        <f t="shared" si="149"/>
        <v>12.705000000000002</v>
      </c>
      <c r="I283" s="95">
        <f t="shared" si="150"/>
        <v>17.489999999999998</v>
      </c>
      <c r="J283" s="4">
        <f t="shared" si="151"/>
        <v>7.3000000000000007</v>
      </c>
      <c r="K283" s="2">
        <f t="shared" si="152"/>
        <v>13.325000000000001</v>
      </c>
      <c r="L283" s="2">
        <f t="shared" si="153"/>
        <v>18.395</v>
      </c>
      <c r="M283" s="5">
        <f t="shared" si="154"/>
        <v>25.310000000000002</v>
      </c>
      <c r="N283" s="4">
        <f t="shared" si="155"/>
        <v>9.1149999999999984</v>
      </c>
      <c r="O283" s="2">
        <f t="shared" si="156"/>
        <v>13.325000000000001</v>
      </c>
      <c r="P283" s="256">
        <f t="shared" si="157"/>
        <v>18.395</v>
      </c>
      <c r="Q283" s="257">
        <f t="shared" si="158"/>
        <v>22.96</v>
      </c>
      <c r="R283" s="255">
        <f t="shared" si="159"/>
        <v>4.8249999999999993</v>
      </c>
      <c r="S283" s="256">
        <f t="shared" si="160"/>
        <v>9.4499999999999993</v>
      </c>
      <c r="T283" s="256">
        <f t="shared" si="161"/>
        <v>13.97</v>
      </c>
      <c r="U283" s="257">
        <f t="shared" si="162"/>
        <v>20.310000000000002</v>
      </c>
      <c r="V283" s="255">
        <f t="shared" si="163"/>
        <v>6.2499999999999982</v>
      </c>
      <c r="W283" s="256">
        <f t="shared" si="164"/>
        <v>9.4499999999999993</v>
      </c>
      <c r="X283" s="256">
        <f t="shared" si="165"/>
        <v>13.97</v>
      </c>
      <c r="Y283" s="257">
        <f t="shared" si="166"/>
        <v>18.159999999999997</v>
      </c>
    </row>
    <row r="284" spans="1:25" x14ac:dyDescent="0.25">
      <c r="A284" s="99" t="s">
        <v>16</v>
      </c>
      <c r="B284" s="4">
        <f t="shared" si="143"/>
        <v>5.6500000000000012</v>
      </c>
      <c r="C284" s="2">
        <f t="shared" si="144"/>
        <v>10.574999999999999</v>
      </c>
      <c r="D284" s="2">
        <f t="shared" si="145"/>
        <v>14.545000000000002</v>
      </c>
      <c r="E284" s="5">
        <f t="shared" si="146"/>
        <v>20.309999999999999</v>
      </c>
      <c r="F284" s="4">
        <f t="shared" si="147"/>
        <v>7.15</v>
      </c>
      <c r="G284" s="2">
        <f t="shared" si="148"/>
        <v>10.574999999999999</v>
      </c>
      <c r="H284" s="2">
        <f t="shared" si="149"/>
        <v>14.545000000000002</v>
      </c>
      <c r="I284" s="95">
        <f t="shared" si="150"/>
        <v>18.36</v>
      </c>
      <c r="J284" s="4">
        <f t="shared" si="151"/>
        <v>6.1450000000000005</v>
      </c>
      <c r="K284" s="2">
        <f t="shared" si="152"/>
        <v>11.840000000000002</v>
      </c>
      <c r="L284" s="2">
        <f t="shared" si="153"/>
        <v>16.579999999999998</v>
      </c>
      <c r="M284" s="5">
        <f t="shared" si="154"/>
        <v>22.340000000000003</v>
      </c>
      <c r="N284" s="4">
        <f t="shared" si="155"/>
        <v>7.5999999999999979</v>
      </c>
      <c r="O284" s="2">
        <f t="shared" si="156"/>
        <v>11.840000000000002</v>
      </c>
      <c r="P284" s="256">
        <f t="shared" si="157"/>
        <v>16.579999999999998</v>
      </c>
      <c r="Q284" s="257">
        <f t="shared" si="158"/>
        <v>20.43</v>
      </c>
      <c r="R284" s="255">
        <f t="shared" si="159"/>
        <v>2.1950000000000003</v>
      </c>
      <c r="S284" s="256">
        <f t="shared" si="160"/>
        <v>6.0149999999999997</v>
      </c>
      <c r="T284" s="256">
        <f t="shared" si="161"/>
        <v>10.755000000000001</v>
      </c>
      <c r="U284" s="257">
        <f t="shared" si="162"/>
        <v>16.215000000000003</v>
      </c>
      <c r="V284" s="255">
        <f t="shared" si="163"/>
        <v>3.1250000000000009</v>
      </c>
      <c r="W284" s="256">
        <f t="shared" si="164"/>
        <v>6.0149999999999997</v>
      </c>
      <c r="X284" s="256">
        <f t="shared" si="165"/>
        <v>10.755000000000001</v>
      </c>
      <c r="Y284" s="257">
        <f t="shared" si="166"/>
        <v>14.430000000000003</v>
      </c>
    </row>
    <row r="285" spans="1:25" x14ac:dyDescent="0.25">
      <c r="A285" s="99" t="s">
        <v>18</v>
      </c>
      <c r="B285" s="4">
        <f t="shared" si="143"/>
        <v>4.45</v>
      </c>
      <c r="C285" s="2">
        <f t="shared" si="144"/>
        <v>8.3250000000000011</v>
      </c>
      <c r="D285" s="2">
        <f t="shared" si="145"/>
        <v>13.395</v>
      </c>
      <c r="E285" s="5">
        <f t="shared" si="146"/>
        <v>20.310000000000002</v>
      </c>
      <c r="F285" s="4">
        <f t="shared" si="147"/>
        <v>5.6650000000000009</v>
      </c>
      <c r="G285" s="2">
        <f t="shared" si="148"/>
        <v>8.3250000000000011</v>
      </c>
      <c r="H285" s="2">
        <f t="shared" si="149"/>
        <v>13.395</v>
      </c>
      <c r="I285" s="95">
        <f t="shared" si="150"/>
        <v>17.96</v>
      </c>
      <c r="J285" s="4">
        <f t="shared" si="151"/>
        <v>7.3000000000000007</v>
      </c>
      <c r="K285" s="2">
        <f t="shared" si="152"/>
        <v>13.325000000000001</v>
      </c>
      <c r="L285" s="2">
        <f t="shared" si="153"/>
        <v>18.395</v>
      </c>
      <c r="M285" s="5">
        <f t="shared" si="154"/>
        <v>25.310000000000002</v>
      </c>
      <c r="N285" s="4">
        <f t="shared" si="155"/>
        <v>9.1149999999999984</v>
      </c>
      <c r="O285" s="2">
        <f t="shared" si="156"/>
        <v>13.325000000000001</v>
      </c>
      <c r="P285" s="256">
        <f t="shared" si="157"/>
        <v>18.395</v>
      </c>
      <c r="Q285" s="257">
        <f t="shared" si="158"/>
        <v>22.96</v>
      </c>
      <c r="R285" s="255">
        <f t="shared" si="159"/>
        <v>2.57</v>
      </c>
      <c r="S285" s="256">
        <f t="shared" si="160"/>
        <v>7.14</v>
      </c>
      <c r="T285" s="256">
        <f t="shared" si="161"/>
        <v>11.33</v>
      </c>
      <c r="U285" s="257">
        <f t="shared" si="162"/>
        <v>16.215</v>
      </c>
      <c r="V285" s="255">
        <f t="shared" si="163"/>
        <v>3.7099999999999991</v>
      </c>
      <c r="W285" s="256">
        <f t="shared" si="164"/>
        <v>7.14</v>
      </c>
      <c r="X285" s="256">
        <f t="shared" si="165"/>
        <v>11.33</v>
      </c>
      <c r="Y285" s="257">
        <f t="shared" si="166"/>
        <v>14.63</v>
      </c>
    </row>
    <row r="286" spans="1:25" x14ac:dyDescent="0.25">
      <c r="A286" s="99" t="s">
        <v>19</v>
      </c>
      <c r="B286" s="4">
        <f t="shared" si="143"/>
        <v>4.495000000000001</v>
      </c>
      <c r="C286" s="2">
        <f t="shared" si="144"/>
        <v>9.09</v>
      </c>
      <c r="D286" s="2">
        <f t="shared" si="145"/>
        <v>12.73</v>
      </c>
      <c r="E286" s="5">
        <f t="shared" si="146"/>
        <v>17.34</v>
      </c>
      <c r="F286" s="4">
        <f t="shared" si="147"/>
        <v>5.6349999999999989</v>
      </c>
      <c r="G286" s="2">
        <f t="shared" si="148"/>
        <v>9.09</v>
      </c>
      <c r="H286" s="2">
        <f t="shared" si="149"/>
        <v>12.73</v>
      </c>
      <c r="I286" s="95">
        <f t="shared" si="150"/>
        <v>15.83</v>
      </c>
      <c r="J286" s="4">
        <f t="shared" si="151"/>
        <v>6.1450000000000005</v>
      </c>
      <c r="K286" s="2">
        <f t="shared" si="152"/>
        <v>11.840000000000002</v>
      </c>
      <c r="L286" s="2">
        <f t="shared" si="153"/>
        <v>16.579999999999998</v>
      </c>
      <c r="M286" s="5">
        <f t="shared" si="154"/>
        <v>22.340000000000003</v>
      </c>
      <c r="N286" s="4">
        <f t="shared" si="155"/>
        <v>7.5999999999999979</v>
      </c>
      <c r="O286" s="2">
        <f t="shared" si="156"/>
        <v>11.840000000000002</v>
      </c>
      <c r="P286" s="256">
        <f t="shared" si="157"/>
        <v>16.579999999999998</v>
      </c>
      <c r="Q286" s="257">
        <f t="shared" si="158"/>
        <v>20.43</v>
      </c>
      <c r="R286" s="255">
        <f t="shared" si="159"/>
        <v>1.1550000000000002</v>
      </c>
      <c r="S286" s="256">
        <f t="shared" si="160"/>
        <v>4.4550000000000001</v>
      </c>
      <c r="T286" s="256">
        <f t="shared" si="161"/>
        <v>9.0750000000000011</v>
      </c>
      <c r="U286" s="257">
        <f t="shared" si="162"/>
        <v>14.025</v>
      </c>
      <c r="V286" s="255">
        <f t="shared" si="163"/>
        <v>1.8190000000000008</v>
      </c>
      <c r="W286" s="256">
        <f t="shared" si="164"/>
        <v>4.4550000000000001</v>
      </c>
      <c r="X286" s="256">
        <f t="shared" si="165"/>
        <v>9.0750000000000011</v>
      </c>
      <c r="Y286" s="257">
        <f t="shared" si="166"/>
        <v>12.430000000000003</v>
      </c>
    </row>
    <row r="287" spans="1:25" x14ac:dyDescent="0.25">
      <c r="A287" s="99" t="s">
        <v>20</v>
      </c>
      <c r="B287" s="4">
        <f t="shared" si="143"/>
        <v>4.495000000000001</v>
      </c>
      <c r="C287" s="2">
        <f t="shared" si="144"/>
        <v>9.09</v>
      </c>
      <c r="D287" s="2">
        <f t="shared" si="145"/>
        <v>12.73</v>
      </c>
      <c r="E287" s="5">
        <f t="shared" si="146"/>
        <v>17.34</v>
      </c>
      <c r="F287" s="4">
        <f t="shared" si="147"/>
        <v>5.6349999999999989</v>
      </c>
      <c r="G287" s="2">
        <f t="shared" si="148"/>
        <v>9.09</v>
      </c>
      <c r="H287" s="2">
        <f t="shared" si="149"/>
        <v>12.73</v>
      </c>
      <c r="I287" s="95">
        <f t="shared" si="150"/>
        <v>15.83</v>
      </c>
      <c r="J287" s="4">
        <f t="shared" si="151"/>
        <v>6.1450000000000005</v>
      </c>
      <c r="K287" s="2">
        <f t="shared" si="152"/>
        <v>11.840000000000002</v>
      </c>
      <c r="L287" s="2">
        <f t="shared" si="153"/>
        <v>16.579999999999998</v>
      </c>
      <c r="M287" s="5">
        <f t="shared" si="154"/>
        <v>22.340000000000003</v>
      </c>
      <c r="N287" s="4">
        <f t="shared" si="155"/>
        <v>7.5999999999999979</v>
      </c>
      <c r="O287" s="2">
        <f t="shared" si="156"/>
        <v>11.840000000000002</v>
      </c>
      <c r="P287" s="256">
        <f t="shared" si="157"/>
        <v>16.579999999999998</v>
      </c>
      <c r="Q287" s="257">
        <f t="shared" si="158"/>
        <v>20.43</v>
      </c>
      <c r="R287" s="255">
        <f t="shared" si="159"/>
        <v>2.1950000000000003</v>
      </c>
      <c r="S287" s="256">
        <f t="shared" si="160"/>
        <v>6.0149999999999997</v>
      </c>
      <c r="T287" s="256">
        <f t="shared" si="161"/>
        <v>10.755000000000001</v>
      </c>
      <c r="U287" s="257">
        <f t="shared" si="162"/>
        <v>16.215000000000003</v>
      </c>
      <c r="V287" s="255">
        <f t="shared" si="163"/>
        <v>3.1250000000000009</v>
      </c>
      <c r="W287" s="256">
        <f t="shared" si="164"/>
        <v>6.0149999999999997</v>
      </c>
      <c r="X287" s="256">
        <f t="shared" si="165"/>
        <v>10.755000000000001</v>
      </c>
      <c r="Y287" s="257">
        <f t="shared" si="166"/>
        <v>14.430000000000003</v>
      </c>
    </row>
    <row r="288" spans="1:25" x14ac:dyDescent="0.25">
      <c r="A288" s="99" t="s">
        <v>21</v>
      </c>
      <c r="B288" s="4">
        <f t="shared" si="143"/>
        <v>5.26</v>
      </c>
      <c r="C288" s="2">
        <f t="shared" si="144"/>
        <v>10.350000000000001</v>
      </c>
      <c r="D288" s="2">
        <f t="shared" si="145"/>
        <v>14.66</v>
      </c>
      <c r="E288" s="5">
        <f t="shared" si="146"/>
        <v>20.655000000000001</v>
      </c>
      <c r="F288" s="4">
        <f t="shared" si="147"/>
        <v>6.8349999999999991</v>
      </c>
      <c r="G288" s="2">
        <f t="shared" si="148"/>
        <v>10.350000000000001</v>
      </c>
      <c r="H288" s="2">
        <f t="shared" si="149"/>
        <v>14.66</v>
      </c>
      <c r="I288" s="95">
        <f t="shared" si="150"/>
        <v>18.63</v>
      </c>
      <c r="J288" s="4">
        <f t="shared" si="151"/>
        <v>4.22</v>
      </c>
      <c r="K288" s="2">
        <f t="shared" si="152"/>
        <v>9.89</v>
      </c>
      <c r="L288" s="2">
        <f t="shared" si="153"/>
        <v>15.18</v>
      </c>
      <c r="M288" s="5">
        <f t="shared" si="154"/>
        <v>21.215000000000003</v>
      </c>
      <c r="N288" s="4">
        <f t="shared" si="155"/>
        <v>5.6749999999999989</v>
      </c>
      <c r="O288" s="2">
        <f t="shared" si="156"/>
        <v>9.89</v>
      </c>
      <c r="P288" s="256">
        <f t="shared" si="157"/>
        <v>15.18</v>
      </c>
      <c r="Q288" s="257">
        <f t="shared" si="158"/>
        <v>19.23</v>
      </c>
      <c r="R288" s="255">
        <f t="shared" si="159"/>
        <v>4.495000000000001</v>
      </c>
      <c r="S288" s="256">
        <f t="shared" si="160"/>
        <v>9.09</v>
      </c>
      <c r="T288" s="256">
        <f t="shared" si="161"/>
        <v>12.73</v>
      </c>
      <c r="U288" s="257">
        <f t="shared" si="162"/>
        <v>17.34</v>
      </c>
      <c r="V288" s="255">
        <f t="shared" si="163"/>
        <v>5.6349999999999989</v>
      </c>
      <c r="W288" s="256">
        <f t="shared" si="164"/>
        <v>9.09</v>
      </c>
      <c r="X288" s="256">
        <f t="shared" si="165"/>
        <v>12.73</v>
      </c>
      <c r="Y288" s="257">
        <f t="shared" si="166"/>
        <v>15.83</v>
      </c>
    </row>
    <row r="289" spans="1:40" x14ac:dyDescent="0.25">
      <c r="A289" s="99" t="s">
        <v>23</v>
      </c>
      <c r="B289" s="4">
        <f t="shared" si="143"/>
        <v>4.45</v>
      </c>
      <c r="C289" s="2">
        <f t="shared" si="144"/>
        <v>8.3250000000000011</v>
      </c>
      <c r="D289" s="2">
        <f t="shared" si="145"/>
        <v>13.395</v>
      </c>
      <c r="E289" s="5">
        <f t="shared" si="146"/>
        <v>20.310000000000002</v>
      </c>
      <c r="F289" s="4">
        <f t="shared" si="147"/>
        <v>5.6650000000000009</v>
      </c>
      <c r="G289" s="2">
        <f t="shared" si="148"/>
        <v>8.3250000000000011</v>
      </c>
      <c r="H289" s="2">
        <f t="shared" si="149"/>
        <v>13.395</v>
      </c>
      <c r="I289" s="95">
        <f t="shared" si="150"/>
        <v>17.96</v>
      </c>
      <c r="J289" s="4">
        <f t="shared" si="151"/>
        <v>5.0450000000000008</v>
      </c>
      <c r="K289" s="2">
        <f t="shared" si="152"/>
        <v>11.015000000000001</v>
      </c>
      <c r="L289" s="2">
        <f t="shared" si="153"/>
        <v>15.754999999999999</v>
      </c>
      <c r="M289" s="5">
        <f t="shared" si="154"/>
        <v>21.215</v>
      </c>
      <c r="N289" s="4">
        <f t="shared" si="155"/>
        <v>6.5749999999999993</v>
      </c>
      <c r="O289" s="2">
        <f t="shared" si="156"/>
        <v>11.015000000000001</v>
      </c>
      <c r="P289" s="256">
        <f t="shared" si="157"/>
        <v>15.754999999999999</v>
      </c>
      <c r="Q289" s="257">
        <f t="shared" si="158"/>
        <v>19.430000000000003</v>
      </c>
      <c r="R289" s="255">
        <f t="shared" si="159"/>
        <v>2.57</v>
      </c>
      <c r="S289" s="256">
        <f t="shared" si="160"/>
        <v>7.14</v>
      </c>
      <c r="T289" s="256">
        <f t="shared" si="161"/>
        <v>11.33</v>
      </c>
      <c r="U289" s="257">
        <f t="shared" si="162"/>
        <v>16.215</v>
      </c>
      <c r="V289" s="255">
        <f t="shared" si="163"/>
        <v>3.7099999999999991</v>
      </c>
      <c r="W289" s="256">
        <f t="shared" si="164"/>
        <v>7.14</v>
      </c>
      <c r="X289" s="256">
        <f t="shared" si="165"/>
        <v>11.33</v>
      </c>
      <c r="Y289" s="257">
        <f t="shared" si="166"/>
        <v>14.63</v>
      </c>
    </row>
    <row r="290" spans="1:40" x14ac:dyDescent="0.25">
      <c r="A290" s="100" t="s">
        <v>24</v>
      </c>
      <c r="B290" s="96">
        <f t="shared" si="143"/>
        <v>2.1950000000000003</v>
      </c>
      <c r="C290" s="59">
        <f t="shared" si="144"/>
        <v>6.0150000000000006</v>
      </c>
      <c r="D290" s="59">
        <f t="shared" si="145"/>
        <v>10.754999999999999</v>
      </c>
      <c r="E290" s="63">
        <f t="shared" si="146"/>
        <v>16.215</v>
      </c>
      <c r="F290" s="96">
        <f t="shared" si="147"/>
        <v>3.1250000000000009</v>
      </c>
      <c r="G290" s="59">
        <f t="shared" si="148"/>
        <v>6.0150000000000006</v>
      </c>
      <c r="H290" s="59">
        <f t="shared" si="149"/>
        <v>10.754999999999999</v>
      </c>
      <c r="I290" s="102">
        <f t="shared" si="150"/>
        <v>14.430000000000003</v>
      </c>
      <c r="J290" s="96">
        <f t="shared" si="151"/>
        <v>5.0450000000000008</v>
      </c>
      <c r="K290" s="59">
        <f t="shared" si="152"/>
        <v>11.015000000000001</v>
      </c>
      <c r="L290" s="59">
        <f t="shared" si="153"/>
        <v>15.754999999999999</v>
      </c>
      <c r="M290" s="63">
        <f t="shared" si="154"/>
        <v>21.215</v>
      </c>
      <c r="N290" s="96">
        <f t="shared" si="155"/>
        <v>6.5749999999999993</v>
      </c>
      <c r="O290" s="59">
        <f t="shared" si="156"/>
        <v>11.015000000000001</v>
      </c>
      <c r="P290" s="259">
        <f t="shared" si="157"/>
        <v>15.754999999999999</v>
      </c>
      <c r="Q290" s="260">
        <f t="shared" si="158"/>
        <v>19.430000000000003</v>
      </c>
      <c r="R290" s="258">
        <f t="shared" si="159"/>
        <v>4.22</v>
      </c>
      <c r="S290" s="259">
        <f t="shared" si="160"/>
        <v>8.7900000000000009</v>
      </c>
      <c r="T290" s="259">
        <f t="shared" si="161"/>
        <v>12.98</v>
      </c>
      <c r="U290" s="260">
        <f t="shared" si="162"/>
        <v>18.465</v>
      </c>
      <c r="V290" s="258">
        <f t="shared" si="163"/>
        <v>5.5289999999999981</v>
      </c>
      <c r="W290" s="259">
        <f t="shared" si="164"/>
        <v>8.7900000000000009</v>
      </c>
      <c r="X290" s="259">
        <f t="shared" si="165"/>
        <v>12.98</v>
      </c>
      <c r="Y290" s="260">
        <f t="shared" si="166"/>
        <v>16.63</v>
      </c>
    </row>
    <row r="292" spans="1:40" x14ac:dyDescent="0.25">
      <c r="A292" s="1" t="s">
        <v>146</v>
      </c>
      <c r="AH292" s="245">
        <v>0.8</v>
      </c>
    </row>
    <row r="293" spans="1:40" x14ac:dyDescent="0.25">
      <c r="A293" s="213" t="s">
        <v>27</v>
      </c>
      <c r="B293" s="209" t="s">
        <v>143</v>
      </c>
      <c r="C293" s="215"/>
      <c r="D293" s="215"/>
      <c r="E293" s="215"/>
      <c r="F293" s="215"/>
      <c r="G293" s="215"/>
      <c r="H293" s="215"/>
      <c r="I293" s="216"/>
      <c r="J293" s="209" t="s">
        <v>144</v>
      </c>
      <c r="K293" s="215"/>
      <c r="L293" s="215"/>
      <c r="M293" s="215"/>
      <c r="N293" s="215"/>
      <c r="O293" s="215"/>
      <c r="P293" s="215"/>
      <c r="Q293" s="216"/>
      <c r="R293" s="302" t="s">
        <v>147</v>
      </c>
      <c r="S293" s="303"/>
      <c r="T293" s="303"/>
      <c r="U293" s="303"/>
      <c r="V293" s="303"/>
      <c r="W293" s="303"/>
      <c r="X293" s="303"/>
      <c r="Y293" s="304"/>
      <c r="Z293" s="261" t="s">
        <v>145</v>
      </c>
      <c r="AA293" s="262"/>
      <c r="AB293" s="262"/>
      <c r="AC293" s="262"/>
      <c r="AD293" s="262"/>
      <c r="AE293" s="262"/>
      <c r="AF293" s="262"/>
      <c r="AG293" s="263"/>
      <c r="AH293" s="264" t="s">
        <v>82</v>
      </c>
      <c r="AI293" s="265"/>
      <c r="AJ293" s="265"/>
      <c r="AK293" s="266"/>
      <c r="AL293" s="267" t="s">
        <v>84</v>
      </c>
      <c r="AM293" s="268"/>
      <c r="AN293" s="269" t="s">
        <v>87</v>
      </c>
    </row>
    <row r="294" spans="1:40" ht="31.5" customHeight="1" thickBot="1" x14ac:dyDescent="0.3">
      <c r="A294" s="214"/>
      <c r="B294" s="206" t="s">
        <v>3</v>
      </c>
      <c r="C294" s="207"/>
      <c r="D294" s="207"/>
      <c r="E294" s="208"/>
      <c r="F294" s="209" t="s">
        <v>4</v>
      </c>
      <c r="G294" s="207"/>
      <c r="H294" s="207"/>
      <c r="I294" s="208"/>
      <c r="J294" s="206" t="s">
        <v>3</v>
      </c>
      <c r="K294" s="207"/>
      <c r="L294" s="207"/>
      <c r="M294" s="208"/>
      <c r="N294" s="209" t="s">
        <v>4</v>
      </c>
      <c r="O294" s="207"/>
      <c r="P294" s="207"/>
      <c r="Q294" s="208"/>
      <c r="R294" s="305" t="s">
        <v>3</v>
      </c>
      <c r="S294" s="306"/>
      <c r="T294" s="306"/>
      <c r="U294" s="307"/>
      <c r="V294" s="302" t="s">
        <v>4</v>
      </c>
      <c r="W294" s="306"/>
      <c r="X294" s="306"/>
      <c r="Y294" s="307"/>
      <c r="Z294" s="261" t="s">
        <v>3</v>
      </c>
      <c r="AA294" s="262"/>
      <c r="AB294" s="262"/>
      <c r="AC294" s="263"/>
      <c r="AD294" s="261" t="s">
        <v>4</v>
      </c>
      <c r="AE294" s="262"/>
      <c r="AF294" s="262"/>
      <c r="AG294" s="263"/>
      <c r="AH294" s="270" t="s">
        <v>83</v>
      </c>
      <c r="AI294" s="271"/>
      <c r="AJ294" s="270" t="s">
        <v>5</v>
      </c>
      <c r="AK294" s="272"/>
      <c r="AL294" s="273" t="s">
        <v>85</v>
      </c>
      <c r="AM294" s="273" t="s">
        <v>86</v>
      </c>
      <c r="AN294" s="274"/>
    </row>
    <row r="295" spans="1:40" x14ac:dyDescent="0.25">
      <c r="A295" s="103" t="s">
        <v>25</v>
      </c>
      <c r="B295" s="15">
        <f>B281*$B267</f>
        <v>1.9949468727005153</v>
      </c>
      <c r="C295" s="16">
        <f t="shared" ref="C295:I295" si="167">C281*$B267</f>
        <v>3.8910728476821186</v>
      </c>
      <c r="D295" s="16">
        <f t="shared" si="167"/>
        <v>4.8823699779249443</v>
      </c>
      <c r="E295" s="17">
        <f t="shared" si="167"/>
        <v>6.3785801324503311</v>
      </c>
      <c r="F295" s="15">
        <f t="shared" si="167"/>
        <v>2.5693433406916846</v>
      </c>
      <c r="G295" s="16">
        <f t="shared" si="167"/>
        <v>3.8910728476821186</v>
      </c>
      <c r="H295" s="16">
        <f t="shared" si="167"/>
        <v>4.8823699779249443</v>
      </c>
      <c r="I295" s="135">
        <f t="shared" si="167"/>
        <v>5.8767552612214864</v>
      </c>
      <c r="J295" s="15">
        <f>J281*$C267</f>
        <v>1.4261674760853567</v>
      </c>
      <c r="K295" s="16">
        <f t="shared" ref="K295:Q295" si="168">K281*$C267</f>
        <v>3.3423688005886683</v>
      </c>
      <c r="L295" s="16">
        <f t="shared" si="168"/>
        <v>5.1301474613686535</v>
      </c>
      <c r="M295" s="17">
        <f t="shared" si="168"/>
        <v>7.1697021339220024</v>
      </c>
      <c r="N295" s="15">
        <f t="shared" si="168"/>
        <v>1.9178910963944071</v>
      </c>
      <c r="O295" s="16">
        <f t="shared" si="168"/>
        <v>3.3423688005886683</v>
      </c>
      <c r="P295" s="308">
        <f t="shared" si="168"/>
        <v>5.1301474613686535</v>
      </c>
      <c r="Q295" s="309">
        <f t="shared" si="168"/>
        <v>6.4988626931567328</v>
      </c>
      <c r="R295" s="310">
        <f>R281*$D267</f>
        <v>1.7820469462840329</v>
      </c>
      <c r="S295" s="308">
        <f t="shared" ref="S295:Y295" si="169">S281*$D267</f>
        <v>3.5022785871964679</v>
      </c>
      <c r="T295" s="308">
        <f t="shared" si="169"/>
        <v>4.7880369389256812</v>
      </c>
      <c r="U295" s="311">
        <f t="shared" si="169"/>
        <v>6.5223977924944814</v>
      </c>
      <c r="V295" s="310">
        <f>V281*$D267</f>
        <v>2.2709177041942605</v>
      </c>
      <c r="W295" s="308">
        <f t="shared" si="169"/>
        <v>3.5022785871964679</v>
      </c>
      <c r="X295" s="308">
        <f t="shared" si="169"/>
        <v>4.7880369389256812</v>
      </c>
      <c r="Y295" s="309">
        <f t="shared" si="169"/>
        <v>5.9448662251655637</v>
      </c>
      <c r="Z295" s="310">
        <f>B295+J295+R295</f>
        <v>5.2031612950699051</v>
      </c>
      <c r="AA295" s="308">
        <f t="shared" ref="AA295:AG304" si="170">C295+K295+S295</f>
        <v>10.735720235467255</v>
      </c>
      <c r="AB295" s="308">
        <f t="shared" si="170"/>
        <v>14.800554378219278</v>
      </c>
      <c r="AC295" s="311">
        <f t="shared" si="170"/>
        <v>20.070680058866813</v>
      </c>
      <c r="AD295" s="310">
        <f t="shared" si="170"/>
        <v>6.7581521412803518</v>
      </c>
      <c r="AE295" s="308">
        <f t="shared" si="170"/>
        <v>10.735720235467255</v>
      </c>
      <c r="AF295" s="308">
        <f t="shared" si="170"/>
        <v>14.800554378219278</v>
      </c>
      <c r="AG295" s="309">
        <f t="shared" si="170"/>
        <v>18.320484179543783</v>
      </c>
      <c r="AH295" s="288">
        <f>AH$292*AA295+(1-AH$292)*Z295</f>
        <v>9.6292084473877857</v>
      </c>
      <c r="AI295" s="287">
        <f>AH$292*AB295+(1-AH$292)*AC295</f>
        <v>15.854579514348785</v>
      </c>
      <c r="AJ295" s="288">
        <f>AH$292*AE295+(1-AH$292)*AD295</f>
        <v>9.9402066166298759</v>
      </c>
      <c r="AK295" s="287">
        <f>AH$292*AF295+(1-AH$292)*AG295</f>
        <v>15.50454033848418</v>
      </c>
      <c r="AL295" s="288">
        <f>(AH295+AI295)/2</f>
        <v>12.741893980868285</v>
      </c>
      <c r="AM295" s="287">
        <f>(AJ295+AK295)/2</f>
        <v>12.722373477557028</v>
      </c>
      <c r="AN295" s="289">
        <f>(AL295+AM295)/2</f>
        <v>12.732133729212656</v>
      </c>
    </row>
    <row r="296" spans="1:40" x14ac:dyDescent="0.25">
      <c r="A296" s="99" t="s">
        <v>14</v>
      </c>
      <c r="B296" s="136">
        <f t="shared" ref="B296:B304" si="171">B282*$B268</f>
        <v>0.38910569259962052</v>
      </c>
      <c r="C296" s="130">
        <f t="shared" ref="C296:I296" si="172">C282*$B268</f>
        <v>1.5008362428842503</v>
      </c>
      <c r="D296" s="130">
        <f t="shared" si="172"/>
        <v>3.057259013282732</v>
      </c>
      <c r="E296" s="137">
        <f t="shared" si="172"/>
        <v>4.7248548387096774</v>
      </c>
      <c r="F296" s="136">
        <f t="shared" si="172"/>
        <v>0.61279935483870995</v>
      </c>
      <c r="G296" s="130">
        <f t="shared" si="172"/>
        <v>1.5008362428842503</v>
      </c>
      <c r="H296" s="130">
        <f t="shared" si="172"/>
        <v>3.057259013282732</v>
      </c>
      <c r="I296" s="138">
        <f t="shared" si="172"/>
        <v>4.1875184060721073</v>
      </c>
      <c r="J296" s="136">
        <f t="shared" ref="J296:J304" si="173">J282*$C268</f>
        <v>0.35195721062618601</v>
      </c>
      <c r="K296" s="130">
        <f t="shared" ref="K296:Q296" si="174">K282*$C268</f>
        <v>1.6927465844402276</v>
      </c>
      <c r="L296" s="130">
        <f t="shared" si="174"/>
        <v>3.4357727703984815</v>
      </c>
      <c r="M296" s="137">
        <f t="shared" si="174"/>
        <v>5.1117594876660339</v>
      </c>
      <c r="N296" s="136">
        <f t="shared" si="174"/>
        <v>0.59878434535104386</v>
      </c>
      <c r="O296" s="130">
        <f t="shared" si="174"/>
        <v>1.6927465844402276</v>
      </c>
      <c r="P296" s="312">
        <f t="shared" si="174"/>
        <v>3.4357727703984815</v>
      </c>
      <c r="Q296" s="313">
        <f t="shared" si="174"/>
        <v>4.5800146110056934</v>
      </c>
      <c r="R296" s="314">
        <f t="shared" ref="R296:R304" si="175">R282*$D268</f>
        <v>0.21682419354838708</v>
      </c>
      <c r="S296" s="312">
        <f t="shared" ref="S296:Y296" si="176">S282*$D268</f>
        <v>1.3009451612903229</v>
      </c>
      <c r="T296" s="312">
        <f t="shared" si="176"/>
        <v>2.9566935483870971</v>
      </c>
      <c r="U296" s="315">
        <f t="shared" si="176"/>
        <v>4.6231935483870972</v>
      </c>
      <c r="V296" s="314">
        <f t="shared" si="176"/>
        <v>0.36734677419354839</v>
      </c>
      <c r="W296" s="312">
        <f t="shared" si="176"/>
        <v>1.3009451612903229</v>
      </c>
      <c r="X296" s="312">
        <f t="shared" si="176"/>
        <v>2.9566935483870971</v>
      </c>
      <c r="Y296" s="313">
        <f t="shared" si="176"/>
        <v>4.0963645161290332</v>
      </c>
      <c r="Z296" s="314">
        <f t="shared" ref="Z296:Z304" si="177">B296+J296+R296</f>
        <v>0.95788709677419359</v>
      </c>
      <c r="AA296" s="312">
        <f t="shared" si="170"/>
        <v>4.4945279886148004</v>
      </c>
      <c r="AB296" s="312">
        <f t="shared" si="170"/>
        <v>9.4497253320683114</v>
      </c>
      <c r="AC296" s="315">
        <f t="shared" si="170"/>
        <v>14.459807874762809</v>
      </c>
      <c r="AD296" s="314">
        <f t="shared" si="170"/>
        <v>1.5789304743833021</v>
      </c>
      <c r="AE296" s="312">
        <f t="shared" si="170"/>
        <v>4.4945279886148004</v>
      </c>
      <c r="AF296" s="312">
        <f t="shared" si="170"/>
        <v>9.4497253320683114</v>
      </c>
      <c r="AG296" s="313">
        <f t="shared" si="170"/>
        <v>12.863897533206835</v>
      </c>
      <c r="AH296" s="291">
        <f t="shared" ref="AH296:AH304" si="178">AH$292*AA296+(1-AH$292)*Z296</f>
        <v>3.7871998102466788</v>
      </c>
      <c r="AI296" s="290">
        <f t="shared" ref="AI296:AI304" si="179">AH$292*AB296+(1-AH$292)*AC296</f>
        <v>10.451741840607211</v>
      </c>
      <c r="AJ296" s="291">
        <f t="shared" ref="AJ296:AJ304" si="180">AH$292*AE296+(1-AH$292)*AD296</f>
        <v>3.9114084857685008</v>
      </c>
      <c r="AK296" s="290">
        <f t="shared" ref="AK296:AK304" si="181">AH$292*AF296+(1-AH$292)*AG296</f>
        <v>10.132559772296016</v>
      </c>
      <c r="AL296" s="291">
        <f t="shared" ref="AL296:AL304" si="182">(AH296+AI296)/2</f>
        <v>7.1194708254269443</v>
      </c>
      <c r="AM296" s="290">
        <f t="shared" ref="AM296:AM304" si="183">(AJ296+AK296)/2</f>
        <v>7.0219841290322584</v>
      </c>
      <c r="AN296" s="292">
        <f t="shared" ref="AN296:AN304" si="184">(AL296+AM296)/2</f>
        <v>7.0707274772296014</v>
      </c>
    </row>
    <row r="297" spans="1:40" x14ac:dyDescent="0.25">
      <c r="A297" s="99" t="s">
        <v>15</v>
      </c>
      <c r="B297" s="136">
        <f t="shared" si="171"/>
        <v>1.3518049472295515</v>
      </c>
      <c r="C297" s="130">
        <f t="shared" ref="C297:I297" si="185">C283*$B269</f>
        <v>2.499913258575198</v>
      </c>
      <c r="D297" s="130">
        <f t="shared" si="185"/>
        <v>4.2776293535620056</v>
      </c>
      <c r="E297" s="137">
        <f t="shared" si="185"/>
        <v>6.7219889841688651</v>
      </c>
      <c r="F297" s="136">
        <f t="shared" si="185"/>
        <v>1.710378364116095</v>
      </c>
      <c r="G297" s="130">
        <f t="shared" si="185"/>
        <v>2.499913258575198</v>
      </c>
      <c r="H297" s="130">
        <f t="shared" si="185"/>
        <v>4.2776293535620056</v>
      </c>
      <c r="I297" s="138">
        <f t="shared" si="185"/>
        <v>5.8886845646437989</v>
      </c>
      <c r="J297" s="136">
        <f t="shared" si="173"/>
        <v>1.9507757255936675</v>
      </c>
      <c r="K297" s="130">
        <f t="shared" ref="K297:Q297" si="186">K283*$C269</f>
        <v>3.5608337730870714</v>
      </c>
      <c r="L297" s="130">
        <f t="shared" si="186"/>
        <v>4.915687598944591</v>
      </c>
      <c r="M297" s="137">
        <f t="shared" si="186"/>
        <v>6.7635799472295517</v>
      </c>
      <c r="N297" s="136">
        <f t="shared" si="186"/>
        <v>2.4357973614775719</v>
      </c>
      <c r="O297" s="130">
        <f t="shared" si="186"/>
        <v>3.5608337730870714</v>
      </c>
      <c r="P297" s="312">
        <f t="shared" si="186"/>
        <v>4.915687598944591</v>
      </c>
      <c r="Q297" s="313">
        <f t="shared" si="186"/>
        <v>6.1355905013192613</v>
      </c>
      <c r="R297" s="314">
        <f t="shared" si="175"/>
        <v>1.9110946569920844</v>
      </c>
      <c r="S297" s="312">
        <f t="shared" ref="S297:Y297" si="187">S283*$D269</f>
        <v>3.742972955145119</v>
      </c>
      <c r="T297" s="312">
        <f t="shared" si="187"/>
        <v>5.5332626649076522</v>
      </c>
      <c r="U297" s="315">
        <f t="shared" si="187"/>
        <v>8.0444212401055424</v>
      </c>
      <c r="V297" s="314">
        <f t="shared" si="187"/>
        <v>2.4755112137203161</v>
      </c>
      <c r="W297" s="312">
        <f t="shared" si="187"/>
        <v>3.742972955145119</v>
      </c>
      <c r="X297" s="312">
        <f t="shared" si="187"/>
        <v>5.5332626649076522</v>
      </c>
      <c r="Y297" s="313">
        <f t="shared" si="187"/>
        <v>7.1928453825857508</v>
      </c>
      <c r="Z297" s="314">
        <f t="shared" si="177"/>
        <v>5.2136753298153033</v>
      </c>
      <c r="AA297" s="312">
        <f t="shared" si="170"/>
        <v>9.8037199868073888</v>
      </c>
      <c r="AB297" s="312">
        <f t="shared" si="170"/>
        <v>14.726579617414249</v>
      </c>
      <c r="AC297" s="315">
        <f t="shared" si="170"/>
        <v>21.529990171503961</v>
      </c>
      <c r="AD297" s="314">
        <f t="shared" si="170"/>
        <v>6.6216869393139826</v>
      </c>
      <c r="AE297" s="312">
        <f t="shared" si="170"/>
        <v>9.8037199868073888</v>
      </c>
      <c r="AF297" s="312">
        <f t="shared" si="170"/>
        <v>14.726579617414249</v>
      </c>
      <c r="AG297" s="313">
        <f t="shared" si="170"/>
        <v>19.217120448548812</v>
      </c>
      <c r="AH297" s="291">
        <f t="shared" si="178"/>
        <v>8.8857110554089722</v>
      </c>
      <c r="AI297" s="290">
        <f t="shared" si="179"/>
        <v>16.087261728232193</v>
      </c>
      <c r="AJ297" s="291">
        <f t="shared" si="180"/>
        <v>9.167313377308707</v>
      </c>
      <c r="AK297" s="290">
        <f t="shared" si="181"/>
        <v>15.624687783641162</v>
      </c>
      <c r="AL297" s="291">
        <f t="shared" si="182"/>
        <v>12.486486391820582</v>
      </c>
      <c r="AM297" s="290">
        <f t="shared" si="183"/>
        <v>12.396000580474935</v>
      </c>
      <c r="AN297" s="292">
        <f t="shared" si="184"/>
        <v>12.441243486147759</v>
      </c>
    </row>
    <row r="298" spans="1:40" x14ac:dyDescent="0.25">
      <c r="A298" s="99" t="s">
        <v>16</v>
      </c>
      <c r="B298" s="136">
        <f t="shared" si="171"/>
        <v>2.0489932533733133</v>
      </c>
      <c r="C298" s="130">
        <f t="shared" ref="C298:I298" si="188">C284*$B270</f>
        <v>3.8350625937031477</v>
      </c>
      <c r="D298" s="130">
        <f t="shared" si="188"/>
        <v>5.2747976761619189</v>
      </c>
      <c r="E298" s="137">
        <f t="shared" si="188"/>
        <v>7.3654961019490237</v>
      </c>
      <c r="F298" s="136">
        <f t="shared" si="188"/>
        <v>2.5929737631184406</v>
      </c>
      <c r="G298" s="130">
        <f t="shared" si="188"/>
        <v>3.8350625937031477</v>
      </c>
      <c r="H298" s="130">
        <f t="shared" si="188"/>
        <v>5.2747976761619189</v>
      </c>
      <c r="I298" s="138">
        <f t="shared" si="188"/>
        <v>6.6583214392803587</v>
      </c>
      <c r="J298" s="136">
        <f t="shared" si="173"/>
        <v>2.0854766491754124</v>
      </c>
      <c r="K298" s="130">
        <f t="shared" ref="K298:Q298" si="189">K284*$C270</f>
        <v>4.0182332833583212</v>
      </c>
      <c r="L298" s="130">
        <f t="shared" si="189"/>
        <v>5.6268841079460259</v>
      </c>
      <c r="M298" s="137">
        <f t="shared" si="189"/>
        <v>7.581700299850076</v>
      </c>
      <c r="N298" s="136">
        <f t="shared" si="189"/>
        <v>2.5792713643178402</v>
      </c>
      <c r="O298" s="130">
        <f t="shared" si="189"/>
        <v>4.0182332833583212</v>
      </c>
      <c r="P298" s="312">
        <f t="shared" si="189"/>
        <v>5.6268841079460259</v>
      </c>
      <c r="Q298" s="313">
        <f t="shared" si="189"/>
        <v>6.9334886806596696</v>
      </c>
      <c r="R298" s="314">
        <f t="shared" si="175"/>
        <v>0.65404089205397298</v>
      </c>
      <c r="S298" s="312">
        <f t="shared" ref="S298:Y298" si="190">S284*$D270</f>
        <v>1.7922806221889052</v>
      </c>
      <c r="T298" s="312">
        <f t="shared" si="190"/>
        <v>3.2046513868065967</v>
      </c>
      <c r="U298" s="315">
        <f t="shared" si="190"/>
        <v>4.831559482758621</v>
      </c>
      <c r="V298" s="314">
        <f t="shared" si="190"/>
        <v>0.93115161169415306</v>
      </c>
      <c r="W298" s="312">
        <f t="shared" si="190"/>
        <v>1.7922806221889052</v>
      </c>
      <c r="X298" s="312">
        <f t="shared" si="190"/>
        <v>3.2046513868065967</v>
      </c>
      <c r="Y298" s="313">
        <f t="shared" si="190"/>
        <v>4.2996856821589207</v>
      </c>
      <c r="Z298" s="314">
        <f t="shared" si="177"/>
        <v>4.7885107946026988</v>
      </c>
      <c r="AA298" s="312">
        <f t="shared" si="170"/>
        <v>9.6455764992503745</v>
      </c>
      <c r="AB298" s="312">
        <f t="shared" si="170"/>
        <v>14.106333170914542</v>
      </c>
      <c r="AC298" s="315">
        <f t="shared" si="170"/>
        <v>19.778755884557722</v>
      </c>
      <c r="AD298" s="314">
        <f t="shared" si="170"/>
        <v>6.1033967391304333</v>
      </c>
      <c r="AE298" s="312">
        <f t="shared" si="170"/>
        <v>9.6455764992503745</v>
      </c>
      <c r="AF298" s="312">
        <f t="shared" si="170"/>
        <v>14.106333170914542</v>
      </c>
      <c r="AG298" s="313">
        <f t="shared" si="170"/>
        <v>17.891495802098948</v>
      </c>
      <c r="AH298" s="291">
        <f t="shared" si="178"/>
        <v>8.6741633583208397</v>
      </c>
      <c r="AI298" s="290">
        <f t="shared" si="179"/>
        <v>15.240817713643178</v>
      </c>
      <c r="AJ298" s="291">
        <f t="shared" si="180"/>
        <v>8.9371405472263863</v>
      </c>
      <c r="AK298" s="290">
        <f t="shared" si="181"/>
        <v>14.863365697151423</v>
      </c>
      <c r="AL298" s="291">
        <f t="shared" si="182"/>
        <v>11.957490535982009</v>
      </c>
      <c r="AM298" s="290">
        <f t="shared" si="183"/>
        <v>11.900253122188904</v>
      </c>
      <c r="AN298" s="292">
        <f t="shared" si="184"/>
        <v>11.928871829085455</v>
      </c>
    </row>
    <row r="299" spans="1:40" x14ac:dyDescent="0.25">
      <c r="A299" s="99" t="s">
        <v>18</v>
      </c>
      <c r="B299" s="136">
        <f t="shared" si="171"/>
        <v>1.6647757496740547</v>
      </c>
      <c r="C299" s="130">
        <f t="shared" ref="C299:I299" si="191">C285*$B271</f>
        <v>3.1144400260756195</v>
      </c>
      <c r="D299" s="130">
        <f t="shared" si="191"/>
        <v>5.0111620599739242</v>
      </c>
      <c r="E299" s="137">
        <f t="shared" si="191"/>
        <v>7.598111342894394</v>
      </c>
      <c r="F299" s="136">
        <f t="shared" si="191"/>
        <v>2.1193156453715778</v>
      </c>
      <c r="G299" s="130">
        <f t="shared" si="191"/>
        <v>3.1144400260756195</v>
      </c>
      <c r="H299" s="130">
        <f t="shared" si="191"/>
        <v>5.0111620599739242</v>
      </c>
      <c r="I299" s="138">
        <f t="shared" si="191"/>
        <v>6.7189601043024769</v>
      </c>
      <c r="J299" s="136">
        <f t="shared" si="173"/>
        <v>1.9238878748370274</v>
      </c>
      <c r="K299" s="130">
        <f t="shared" ref="K299:Q299" si="192">K285*$C271</f>
        <v>3.5117542372881356</v>
      </c>
      <c r="L299" s="130">
        <f t="shared" si="192"/>
        <v>4.8479338983050839</v>
      </c>
      <c r="M299" s="137">
        <f t="shared" si="192"/>
        <v>6.670356453715776</v>
      </c>
      <c r="N299" s="136">
        <f t="shared" si="192"/>
        <v>2.4022243807040411</v>
      </c>
      <c r="O299" s="130">
        <f t="shared" si="192"/>
        <v>3.5117542372881356</v>
      </c>
      <c r="P299" s="312">
        <f t="shared" si="192"/>
        <v>4.8479338983050839</v>
      </c>
      <c r="Q299" s="313">
        <f t="shared" si="192"/>
        <v>6.0510226857887872</v>
      </c>
      <c r="R299" s="314">
        <f t="shared" si="175"/>
        <v>0.93123129074315514</v>
      </c>
      <c r="S299" s="312">
        <f t="shared" ref="S299:Y299" si="193">S285*$D271</f>
        <v>2.5871561929595828</v>
      </c>
      <c r="T299" s="312">
        <f t="shared" si="193"/>
        <v>4.1053893089960889</v>
      </c>
      <c r="U299" s="315">
        <f t="shared" si="193"/>
        <v>5.8754534550195565</v>
      </c>
      <c r="V299" s="314">
        <f t="shared" si="193"/>
        <v>1.3443066492829201</v>
      </c>
      <c r="W299" s="312">
        <f t="shared" si="193"/>
        <v>2.5871561929595828</v>
      </c>
      <c r="X299" s="312">
        <f t="shared" si="193"/>
        <v>4.1053893089960889</v>
      </c>
      <c r="Y299" s="313">
        <f t="shared" si="193"/>
        <v>5.3011337679269888</v>
      </c>
      <c r="Z299" s="314">
        <f t="shared" si="177"/>
        <v>4.5198949152542376</v>
      </c>
      <c r="AA299" s="312">
        <f t="shared" si="170"/>
        <v>9.2133504563233384</v>
      </c>
      <c r="AB299" s="312">
        <f t="shared" si="170"/>
        <v>13.964485267275098</v>
      </c>
      <c r="AC299" s="315">
        <f t="shared" si="170"/>
        <v>20.143921251629727</v>
      </c>
      <c r="AD299" s="314">
        <f t="shared" si="170"/>
        <v>5.8658466753585392</v>
      </c>
      <c r="AE299" s="312">
        <f t="shared" si="170"/>
        <v>9.2133504563233384</v>
      </c>
      <c r="AF299" s="312">
        <f t="shared" si="170"/>
        <v>13.964485267275098</v>
      </c>
      <c r="AG299" s="313">
        <f t="shared" si="170"/>
        <v>18.071116558018254</v>
      </c>
      <c r="AH299" s="291">
        <f t="shared" si="178"/>
        <v>8.2746593481095196</v>
      </c>
      <c r="AI299" s="290">
        <f t="shared" si="179"/>
        <v>15.200372464146024</v>
      </c>
      <c r="AJ299" s="291">
        <f t="shared" si="180"/>
        <v>8.5438497001303784</v>
      </c>
      <c r="AK299" s="290">
        <f t="shared" si="181"/>
        <v>14.78581152542373</v>
      </c>
      <c r="AL299" s="291">
        <f t="shared" si="182"/>
        <v>11.737515906127772</v>
      </c>
      <c r="AM299" s="290">
        <f t="shared" si="183"/>
        <v>11.664830612777054</v>
      </c>
      <c r="AN299" s="292">
        <f t="shared" si="184"/>
        <v>11.701173259452414</v>
      </c>
    </row>
    <row r="300" spans="1:40" x14ac:dyDescent="0.25">
      <c r="A300" s="99" t="s">
        <v>19</v>
      </c>
      <c r="B300" s="136">
        <f t="shared" si="171"/>
        <v>1.6835598602901669</v>
      </c>
      <c r="C300" s="130">
        <f t="shared" ref="C300:I300" si="194">C286*$B272</f>
        <v>3.4045737775389573</v>
      </c>
      <c r="D300" s="130">
        <f t="shared" si="194"/>
        <v>4.7679014508328859</v>
      </c>
      <c r="E300" s="137">
        <f t="shared" si="194"/>
        <v>6.4945334766254694</v>
      </c>
      <c r="F300" s="136">
        <f t="shared" si="194"/>
        <v>2.1105361096184843</v>
      </c>
      <c r="G300" s="130">
        <f t="shared" si="194"/>
        <v>3.4045737775389573</v>
      </c>
      <c r="H300" s="130">
        <f t="shared" si="194"/>
        <v>4.7679014508328859</v>
      </c>
      <c r="I300" s="138">
        <f t="shared" si="194"/>
        <v>5.9289772165502415</v>
      </c>
      <c r="J300" s="136">
        <f t="shared" si="173"/>
        <v>1.8944166577109078</v>
      </c>
      <c r="K300" s="130">
        <f t="shared" ref="K300:Q300" si="195">K286*$C272</f>
        <v>3.6501046749059642</v>
      </c>
      <c r="L300" s="130">
        <f t="shared" si="195"/>
        <v>5.1113796883396008</v>
      </c>
      <c r="M300" s="137">
        <f t="shared" si="195"/>
        <v>6.8871062869425037</v>
      </c>
      <c r="N300" s="136">
        <f t="shared" si="195"/>
        <v>2.3429725953788276</v>
      </c>
      <c r="O300" s="130">
        <f t="shared" si="195"/>
        <v>3.6501046749059642</v>
      </c>
      <c r="P300" s="312">
        <f t="shared" si="195"/>
        <v>5.1113796883396008</v>
      </c>
      <c r="Q300" s="313">
        <f t="shared" si="195"/>
        <v>6.2982802794196662</v>
      </c>
      <c r="R300" s="314">
        <f t="shared" si="175"/>
        <v>0.36633546480386903</v>
      </c>
      <c r="S300" s="312">
        <f t="shared" ref="S300:Y300" si="196">S286*$D272</f>
        <v>1.4130082213863517</v>
      </c>
      <c r="T300" s="312">
        <f t="shared" si="196"/>
        <v>2.8783500806018281</v>
      </c>
      <c r="U300" s="315">
        <f t="shared" si="196"/>
        <v>4.448359215475552</v>
      </c>
      <c r="V300" s="314">
        <f t="shared" si="196"/>
        <v>0.57693871037076883</v>
      </c>
      <c r="W300" s="312">
        <f t="shared" si="196"/>
        <v>1.4130082213863517</v>
      </c>
      <c r="X300" s="312">
        <f t="shared" si="196"/>
        <v>2.8783500806018281</v>
      </c>
      <c r="Y300" s="313">
        <f t="shared" si="196"/>
        <v>3.9424673831273527</v>
      </c>
      <c r="Z300" s="314">
        <f t="shared" si="177"/>
        <v>3.9443119828049436</v>
      </c>
      <c r="AA300" s="312">
        <f t="shared" si="170"/>
        <v>8.4676866738312739</v>
      </c>
      <c r="AB300" s="312">
        <f t="shared" si="170"/>
        <v>12.757631219774316</v>
      </c>
      <c r="AC300" s="315">
        <f t="shared" si="170"/>
        <v>17.829998979043523</v>
      </c>
      <c r="AD300" s="314">
        <f t="shared" si="170"/>
        <v>5.03044741536808</v>
      </c>
      <c r="AE300" s="312">
        <f t="shared" si="170"/>
        <v>8.4676866738312739</v>
      </c>
      <c r="AF300" s="312">
        <f t="shared" si="170"/>
        <v>12.757631219774316</v>
      </c>
      <c r="AG300" s="313">
        <f t="shared" si="170"/>
        <v>16.169724879097259</v>
      </c>
      <c r="AH300" s="291">
        <f t="shared" si="178"/>
        <v>7.5630117356260076</v>
      </c>
      <c r="AI300" s="290">
        <f t="shared" si="179"/>
        <v>13.772104771628157</v>
      </c>
      <c r="AJ300" s="291">
        <f t="shared" si="180"/>
        <v>7.7802388221386352</v>
      </c>
      <c r="AK300" s="290">
        <f t="shared" si="181"/>
        <v>13.440049951638905</v>
      </c>
      <c r="AL300" s="291">
        <f t="shared" si="182"/>
        <v>10.667558253627082</v>
      </c>
      <c r="AM300" s="290">
        <f t="shared" si="183"/>
        <v>10.61014438688877</v>
      </c>
      <c r="AN300" s="292">
        <f t="shared" si="184"/>
        <v>10.638851320257926</v>
      </c>
    </row>
    <row r="301" spans="1:40" x14ac:dyDescent="0.25">
      <c r="A301" s="99" t="s">
        <v>20</v>
      </c>
      <c r="B301" s="136">
        <f t="shared" si="171"/>
        <v>1.6178823321554774</v>
      </c>
      <c r="C301" s="130">
        <f t="shared" ref="C301:I301" si="197">C287*$B273</f>
        <v>3.2717575971731447</v>
      </c>
      <c r="D301" s="130">
        <f t="shared" si="197"/>
        <v>4.5819003533568905</v>
      </c>
      <c r="E301" s="137">
        <f t="shared" si="197"/>
        <v>6.2411745583038867</v>
      </c>
      <c r="F301" s="136">
        <f t="shared" si="197"/>
        <v>2.0282017667844521</v>
      </c>
      <c r="G301" s="130">
        <f t="shared" si="197"/>
        <v>3.2717575971731447</v>
      </c>
      <c r="H301" s="130">
        <f t="shared" si="197"/>
        <v>4.5819003533568905</v>
      </c>
      <c r="I301" s="138">
        <f t="shared" si="197"/>
        <v>5.6976812720848056</v>
      </c>
      <c r="J301" s="136">
        <f t="shared" si="173"/>
        <v>1.7478146054181392</v>
      </c>
      <c r="K301" s="130">
        <f t="shared" ref="K301:Q301" si="198">K287*$C273</f>
        <v>3.3676362779740878</v>
      </c>
      <c r="L301" s="130">
        <f t="shared" si="198"/>
        <v>4.7158285041224968</v>
      </c>
      <c r="M301" s="137">
        <f t="shared" si="198"/>
        <v>6.3541380447585407</v>
      </c>
      <c r="N301" s="136">
        <f t="shared" si="198"/>
        <v>2.1616584216725556</v>
      </c>
      <c r="O301" s="130">
        <f t="shared" si="198"/>
        <v>3.3676362779740878</v>
      </c>
      <c r="P301" s="312">
        <f t="shared" si="198"/>
        <v>4.7158285041224968</v>
      </c>
      <c r="Q301" s="313">
        <f t="shared" si="198"/>
        <v>5.8108791519434631</v>
      </c>
      <c r="R301" s="314">
        <f t="shared" si="175"/>
        <v>0.78063404004711445</v>
      </c>
      <c r="S301" s="312">
        <f t="shared" ref="S301:Y301" si="199">S287*$D273</f>
        <v>2.1391862190812723</v>
      </c>
      <c r="T301" s="312">
        <f t="shared" si="199"/>
        <v>3.8249289752650184</v>
      </c>
      <c r="U301" s="315">
        <f t="shared" si="199"/>
        <v>5.7667339222614862</v>
      </c>
      <c r="V301" s="314">
        <f t="shared" si="199"/>
        <v>1.1113810365135457</v>
      </c>
      <c r="W301" s="312">
        <f t="shared" si="199"/>
        <v>2.1391862190812723</v>
      </c>
      <c r="X301" s="312">
        <f t="shared" si="199"/>
        <v>3.8249289752650184</v>
      </c>
      <c r="Y301" s="313">
        <f t="shared" si="199"/>
        <v>5.1319130742049488</v>
      </c>
      <c r="Z301" s="314">
        <f t="shared" si="177"/>
        <v>4.1463309776207309</v>
      </c>
      <c r="AA301" s="312">
        <f t="shared" si="170"/>
        <v>8.7785800942285057</v>
      </c>
      <c r="AB301" s="312">
        <f t="shared" si="170"/>
        <v>13.122657832744407</v>
      </c>
      <c r="AC301" s="315">
        <f t="shared" si="170"/>
        <v>18.362046525323915</v>
      </c>
      <c r="AD301" s="314">
        <f t="shared" si="170"/>
        <v>5.3012412249705534</v>
      </c>
      <c r="AE301" s="312">
        <f t="shared" si="170"/>
        <v>8.7785800942285057</v>
      </c>
      <c r="AF301" s="312">
        <f t="shared" si="170"/>
        <v>13.122657832744407</v>
      </c>
      <c r="AG301" s="313">
        <f t="shared" si="170"/>
        <v>16.640473498233217</v>
      </c>
      <c r="AH301" s="291">
        <f>AH$292*AA301+(1-AH$292)*Z301</f>
        <v>7.8521302709069509</v>
      </c>
      <c r="AI301" s="290">
        <f t="shared" si="179"/>
        <v>14.170535571260309</v>
      </c>
      <c r="AJ301" s="291">
        <f t="shared" si="180"/>
        <v>8.083112320376916</v>
      </c>
      <c r="AK301" s="290">
        <f t="shared" si="181"/>
        <v>13.82622096584217</v>
      </c>
      <c r="AL301" s="291">
        <f t="shared" si="182"/>
        <v>11.01133292108363</v>
      </c>
      <c r="AM301" s="290">
        <f t="shared" si="183"/>
        <v>10.954666643109544</v>
      </c>
      <c r="AN301" s="292">
        <f t="shared" si="184"/>
        <v>10.982999782096588</v>
      </c>
    </row>
    <row r="302" spans="1:40" x14ac:dyDescent="0.25">
      <c r="A302" s="99" t="s">
        <v>21</v>
      </c>
      <c r="B302" s="136">
        <f t="shared" si="171"/>
        <v>1.7203846259437199</v>
      </c>
      <c r="C302" s="130">
        <f t="shared" ref="C302:I302" si="200">C288*$B274</f>
        <v>3.3851674673987646</v>
      </c>
      <c r="D302" s="130">
        <f t="shared" si="200"/>
        <v>4.7948362388469459</v>
      </c>
      <c r="E302" s="137">
        <f t="shared" si="200"/>
        <v>6.7556168153740561</v>
      </c>
      <c r="F302" s="136">
        <f t="shared" si="200"/>
        <v>2.2355188057652708</v>
      </c>
      <c r="G302" s="130">
        <f t="shared" si="200"/>
        <v>3.3851674673987646</v>
      </c>
      <c r="H302" s="130">
        <f t="shared" si="200"/>
        <v>4.7948362388469459</v>
      </c>
      <c r="I302" s="138">
        <f t="shared" si="200"/>
        <v>6.0933014413177755</v>
      </c>
      <c r="J302" s="136">
        <f t="shared" si="173"/>
        <v>1.402244886753603</v>
      </c>
      <c r="K302" s="130">
        <f t="shared" ref="K302:Q302" si="201">K288*$C274</f>
        <v>3.2863037748798902</v>
      </c>
      <c r="L302" s="130">
        <f t="shared" si="201"/>
        <v>5.0440941660947143</v>
      </c>
      <c r="M302" s="137">
        <f t="shared" si="201"/>
        <v>7.049437268359644</v>
      </c>
      <c r="N302" s="136">
        <f t="shared" si="201"/>
        <v>1.8857203157172266</v>
      </c>
      <c r="O302" s="130">
        <f t="shared" si="201"/>
        <v>3.2863037748798902</v>
      </c>
      <c r="P302" s="312">
        <f t="shared" si="201"/>
        <v>5.0440941660947143</v>
      </c>
      <c r="Q302" s="313">
        <f t="shared" si="201"/>
        <v>6.3898505147563487</v>
      </c>
      <c r="R302" s="314">
        <f t="shared" si="175"/>
        <v>1.5312000000000006</v>
      </c>
      <c r="S302" s="312">
        <f t="shared" ref="S302:Y302" si="202">S288*$D274</f>
        <v>3.0964645161290325</v>
      </c>
      <c r="T302" s="312">
        <f t="shared" si="202"/>
        <v>4.3364129032258072</v>
      </c>
      <c r="U302" s="315">
        <f t="shared" si="202"/>
        <v>5.9067870967741944</v>
      </c>
      <c r="V302" s="314">
        <f t="shared" si="202"/>
        <v>1.9195354838709677</v>
      </c>
      <c r="W302" s="312">
        <f t="shared" si="202"/>
        <v>3.0964645161290325</v>
      </c>
      <c r="X302" s="312">
        <f t="shared" si="202"/>
        <v>4.3364129032258072</v>
      </c>
      <c r="Y302" s="313">
        <f t="shared" si="202"/>
        <v>5.3924129032258072</v>
      </c>
      <c r="Z302" s="314">
        <f t="shared" si="177"/>
        <v>4.6538295126973228</v>
      </c>
      <c r="AA302" s="312">
        <f t="shared" si="170"/>
        <v>9.7679357584076865</v>
      </c>
      <c r="AB302" s="312">
        <f t="shared" si="170"/>
        <v>14.175343308167466</v>
      </c>
      <c r="AC302" s="315">
        <f t="shared" si="170"/>
        <v>19.711841180507896</v>
      </c>
      <c r="AD302" s="314">
        <f t="shared" si="170"/>
        <v>6.0407746053534659</v>
      </c>
      <c r="AE302" s="312">
        <f t="shared" si="170"/>
        <v>9.7679357584076865</v>
      </c>
      <c r="AF302" s="312">
        <f t="shared" si="170"/>
        <v>14.175343308167466</v>
      </c>
      <c r="AG302" s="313">
        <f t="shared" si="170"/>
        <v>17.875564859299931</v>
      </c>
      <c r="AH302" s="291">
        <f t="shared" si="178"/>
        <v>8.7451145092656137</v>
      </c>
      <c r="AI302" s="290">
        <f t="shared" si="179"/>
        <v>15.282642882635553</v>
      </c>
      <c r="AJ302" s="291">
        <f t="shared" si="180"/>
        <v>9.0225035277968431</v>
      </c>
      <c r="AK302" s="290">
        <f t="shared" si="181"/>
        <v>14.915387618393959</v>
      </c>
      <c r="AL302" s="291">
        <f t="shared" si="182"/>
        <v>12.013878695950584</v>
      </c>
      <c r="AM302" s="290">
        <f t="shared" si="183"/>
        <v>11.9689455730954</v>
      </c>
      <c r="AN302" s="292">
        <f t="shared" si="184"/>
        <v>11.991412134522992</v>
      </c>
    </row>
    <row r="303" spans="1:40" x14ac:dyDescent="0.25">
      <c r="A303" s="99" t="s">
        <v>23</v>
      </c>
      <c r="B303" s="136">
        <f t="shared" si="171"/>
        <v>1.5635034400239307</v>
      </c>
      <c r="C303" s="130">
        <f t="shared" ref="C303:I303" si="203">C289*$B275</f>
        <v>2.924981154651511</v>
      </c>
      <c r="D303" s="130">
        <f t="shared" si="203"/>
        <v>4.7063210290158537</v>
      </c>
      <c r="E303" s="137">
        <f t="shared" si="203"/>
        <v>7.1358999700867498</v>
      </c>
      <c r="F303" s="136">
        <f t="shared" si="203"/>
        <v>1.990392581513611</v>
      </c>
      <c r="G303" s="130">
        <f t="shared" si="203"/>
        <v>2.924981154651511</v>
      </c>
      <c r="H303" s="130">
        <f t="shared" si="203"/>
        <v>4.7063210290158537</v>
      </c>
      <c r="I303" s="138">
        <f t="shared" si="203"/>
        <v>6.3102296141190557</v>
      </c>
      <c r="J303" s="136">
        <f t="shared" si="173"/>
        <v>1.575615524977565</v>
      </c>
      <c r="K303" s="130">
        <f t="shared" ref="K303:Q303" si="204">K289*$C275</f>
        <v>3.4401199222255454</v>
      </c>
      <c r="L303" s="130">
        <f t="shared" si="204"/>
        <v>4.9204801974274597</v>
      </c>
      <c r="M303" s="137">
        <f t="shared" si="204"/>
        <v>6.625705324558778</v>
      </c>
      <c r="N303" s="136">
        <f t="shared" si="204"/>
        <v>2.0534533353275495</v>
      </c>
      <c r="O303" s="130">
        <f t="shared" si="204"/>
        <v>3.4401199222255454</v>
      </c>
      <c r="P303" s="312">
        <f t="shared" si="204"/>
        <v>4.9204801974274597</v>
      </c>
      <c r="Q303" s="313">
        <f t="shared" si="204"/>
        <v>6.0682278791504638</v>
      </c>
      <c r="R303" s="314">
        <f t="shared" si="175"/>
        <v>0.86439024827998789</v>
      </c>
      <c r="S303" s="312">
        <f t="shared" ref="S303:Y303" si="205">S289*$D275</f>
        <v>2.4014577325755306</v>
      </c>
      <c r="T303" s="312">
        <f t="shared" si="205"/>
        <v>3.8107165420281182</v>
      </c>
      <c r="U303" s="315">
        <f t="shared" si="205"/>
        <v>5.4537306909961112</v>
      </c>
      <c r="V303" s="314">
        <f t="shared" si="205"/>
        <v>1.247816272808854</v>
      </c>
      <c r="W303" s="312">
        <f t="shared" si="205"/>
        <v>2.4014577325755306</v>
      </c>
      <c r="X303" s="312">
        <f t="shared" si="205"/>
        <v>3.8107165420281182</v>
      </c>
      <c r="Y303" s="313">
        <f t="shared" si="205"/>
        <v>4.9206339814537836</v>
      </c>
      <c r="Z303" s="314">
        <f t="shared" si="177"/>
        <v>4.0035092132814833</v>
      </c>
      <c r="AA303" s="312">
        <f t="shared" si="170"/>
        <v>8.7665588094525866</v>
      </c>
      <c r="AB303" s="312">
        <f t="shared" si="170"/>
        <v>13.43751776847143</v>
      </c>
      <c r="AC303" s="315">
        <f t="shared" si="170"/>
        <v>19.215335985641637</v>
      </c>
      <c r="AD303" s="314">
        <f t="shared" si="170"/>
        <v>5.2916621896500144</v>
      </c>
      <c r="AE303" s="312">
        <f t="shared" si="170"/>
        <v>8.7665588094525866</v>
      </c>
      <c r="AF303" s="312">
        <f t="shared" si="170"/>
        <v>13.43751776847143</v>
      </c>
      <c r="AG303" s="313">
        <f t="shared" si="170"/>
        <v>17.299091474723301</v>
      </c>
      <c r="AH303" s="291">
        <f t="shared" si="178"/>
        <v>7.8139488902183665</v>
      </c>
      <c r="AI303" s="290">
        <f t="shared" si="179"/>
        <v>14.593081411905473</v>
      </c>
      <c r="AJ303" s="291">
        <f t="shared" si="180"/>
        <v>8.071579485492073</v>
      </c>
      <c r="AK303" s="290">
        <f t="shared" si="181"/>
        <v>14.209832509721805</v>
      </c>
      <c r="AL303" s="291">
        <f t="shared" si="182"/>
        <v>11.20351515106192</v>
      </c>
      <c r="AM303" s="290">
        <f t="shared" si="183"/>
        <v>11.14070599760694</v>
      </c>
      <c r="AN303" s="292">
        <f t="shared" si="184"/>
        <v>11.172110574334429</v>
      </c>
    </row>
    <row r="304" spans="1:40" x14ac:dyDescent="0.25">
      <c r="A304" s="100" t="s">
        <v>24</v>
      </c>
      <c r="B304" s="139">
        <f t="shared" si="171"/>
        <v>0.65649530112508281</v>
      </c>
      <c r="C304" s="140">
        <f t="shared" ref="C304:I304" si="206">C290*$B276</f>
        <v>1.7990064857710126</v>
      </c>
      <c r="D304" s="140">
        <f t="shared" si="206"/>
        <v>3.2166774321641292</v>
      </c>
      <c r="E304" s="141">
        <f t="shared" si="206"/>
        <v>4.8496908007941757</v>
      </c>
      <c r="F304" s="139">
        <f t="shared" si="206"/>
        <v>0.93464592984778316</v>
      </c>
      <c r="G304" s="140">
        <f t="shared" si="206"/>
        <v>1.7990064857710126</v>
      </c>
      <c r="H304" s="140">
        <f t="shared" si="206"/>
        <v>3.2166774321641292</v>
      </c>
      <c r="I304" s="142">
        <f t="shared" si="206"/>
        <v>4.3158210456651229</v>
      </c>
      <c r="J304" s="139">
        <f t="shared" si="173"/>
        <v>1.5519635340833888</v>
      </c>
      <c r="K304" s="140">
        <f t="shared" ref="K304:Q304" si="207">K290*$C276</f>
        <v>3.3884793514228995</v>
      </c>
      <c r="L304" s="140">
        <f t="shared" si="207"/>
        <v>4.8466175380542689</v>
      </c>
      <c r="M304" s="141">
        <f t="shared" si="207"/>
        <v>6.5262450694904039</v>
      </c>
      <c r="N304" s="139">
        <f t="shared" si="207"/>
        <v>2.0226283917935142</v>
      </c>
      <c r="O304" s="140">
        <f t="shared" si="207"/>
        <v>3.3884793514228995</v>
      </c>
      <c r="P304" s="316">
        <f t="shared" si="207"/>
        <v>4.8466175380542689</v>
      </c>
      <c r="Q304" s="317">
        <f t="shared" si="207"/>
        <v>5.9771360688285924</v>
      </c>
      <c r="R304" s="318">
        <f t="shared" si="175"/>
        <v>1.6596804765056252</v>
      </c>
      <c r="S304" s="316">
        <f t="shared" ref="S304:Y304" si="208">S290*$D276</f>
        <v>3.457012177365983</v>
      </c>
      <c r="T304" s="316">
        <f t="shared" si="208"/>
        <v>5.1048939774983451</v>
      </c>
      <c r="U304" s="319">
        <f t="shared" si="208"/>
        <v>7.2620853077432157</v>
      </c>
      <c r="V304" s="318">
        <f t="shared" si="208"/>
        <v>2.1744960555923223</v>
      </c>
      <c r="W304" s="316">
        <f t="shared" si="208"/>
        <v>3.457012177365983</v>
      </c>
      <c r="X304" s="316">
        <f t="shared" si="208"/>
        <v>5.1048939774983451</v>
      </c>
      <c r="Y304" s="317">
        <f t="shared" si="208"/>
        <v>6.540399602911978</v>
      </c>
      <c r="Z304" s="318">
        <f t="shared" si="177"/>
        <v>3.8681393117140965</v>
      </c>
      <c r="AA304" s="316">
        <f t="shared" si="170"/>
        <v>8.6444980145598951</v>
      </c>
      <c r="AB304" s="316">
        <f t="shared" si="170"/>
        <v>13.168188947716743</v>
      </c>
      <c r="AC304" s="319">
        <f t="shared" si="170"/>
        <v>18.638021178027795</v>
      </c>
      <c r="AD304" s="318">
        <f t="shared" si="170"/>
        <v>5.1317703772336198</v>
      </c>
      <c r="AE304" s="316">
        <f t="shared" si="170"/>
        <v>8.6444980145598951</v>
      </c>
      <c r="AF304" s="316">
        <f t="shared" si="170"/>
        <v>13.168188947716743</v>
      </c>
      <c r="AG304" s="317">
        <f t="shared" si="170"/>
        <v>16.833356717405692</v>
      </c>
      <c r="AH304" s="294">
        <f t="shared" si="178"/>
        <v>7.6892262739907355</v>
      </c>
      <c r="AI304" s="293">
        <f t="shared" si="179"/>
        <v>14.262155393778952</v>
      </c>
      <c r="AJ304" s="294">
        <f t="shared" si="180"/>
        <v>7.9419524870946407</v>
      </c>
      <c r="AK304" s="293">
        <f t="shared" si="181"/>
        <v>13.901222501654534</v>
      </c>
      <c r="AL304" s="294">
        <f t="shared" si="182"/>
        <v>10.975690833884844</v>
      </c>
      <c r="AM304" s="293">
        <f t="shared" si="183"/>
        <v>10.921587494374588</v>
      </c>
      <c r="AN304" s="295">
        <f t="shared" si="184"/>
        <v>10.948639164129716</v>
      </c>
    </row>
    <row r="306" spans="1:3" x14ac:dyDescent="0.25">
      <c r="A306" s="1" t="s">
        <v>184</v>
      </c>
    </row>
    <row r="307" spans="1:3" x14ac:dyDescent="0.25">
      <c r="A307" s="213" t="s">
        <v>27</v>
      </c>
      <c r="B307" s="213" t="s">
        <v>172</v>
      </c>
    </row>
    <row r="308" spans="1:3" ht="15.75" thickBot="1" x14ac:dyDescent="0.3">
      <c r="A308" s="231"/>
      <c r="B308" s="231"/>
      <c r="C308" t="s">
        <v>185</v>
      </c>
    </row>
    <row r="309" spans="1:3" x14ac:dyDescent="0.25">
      <c r="A309" s="184" t="s">
        <v>25</v>
      </c>
      <c r="B309" s="188">
        <v>12.732133729212656</v>
      </c>
      <c r="C309">
        <v>12.731999999999999</v>
      </c>
    </row>
    <row r="310" spans="1:3" x14ac:dyDescent="0.25">
      <c r="A310" s="99" t="s">
        <v>15</v>
      </c>
      <c r="B310" s="189">
        <v>12.441243486147759</v>
      </c>
      <c r="C310">
        <v>12.441000000000001</v>
      </c>
    </row>
    <row r="311" spans="1:3" x14ac:dyDescent="0.25">
      <c r="A311" s="99" t="s">
        <v>21</v>
      </c>
      <c r="B311" s="189">
        <v>11.991412134522992</v>
      </c>
      <c r="C311">
        <v>11.991</v>
      </c>
    </row>
    <row r="312" spans="1:3" x14ac:dyDescent="0.25">
      <c r="A312" s="99" t="s">
        <v>16</v>
      </c>
      <c r="B312" s="189">
        <v>11.928871829085455</v>
      </c>
      <c r="C312">
        <v>11.929</v>
      </c>
    </row>
    <row r="313" spans="1:3" x14ac:dyDescent="0.25">
      <c r="A313" s="99" t="s">
        <v>18</v>
      </c>
      <c r="B313" s="189">
        <v>11.701173259452414</v>
      </c>
      <c r="C313">
        <v>11.701000000000001</v>
      </c>
    </row>
    <row r="314" spans="1:3" x14ac:dyDescent="0.25">
      <c r="A314" s="99" t="s">
        <v>23</v>
      </c>
      <c r="B314" s="189">
        <v>11.172110574334429</v>
      </c>
      <c r="C314">
        <v>11.172000000000001</v>
      </c>
    </row>
    <row r="315" spans="1:3" x14ac:dyDescent="0.25">
      <c r="A315" s="99" t="s">
        <v>20</v>
      </c>
      <c r="B315" s="189">
        <v>10.982999782096588</v>
      </c>
      <c r="C315">
        <v>10.983000000000001</v>
      </c>
    </row>
    <row r="316" spans="1:3" x14ac:dyDescent="0.25">
      <c r="A316" s="99" t="s">
        <v>24</v>
      </c>
      <c r="B316" s="189">
        <v>10.948639164129716</v>
      </c>
      <c r="C316">
        <v>10.949</v>
      </c>
    </row>
    <row r="317" spans="1:3" x14ac:dyDescent="0.25">
      <c r="A317" s="99" t="s">
        <v>19</v>
      </c>
      <c r="B317" s="189">
        <v>10.638851320257926</v>
      </c>
      <c r="C317">
        <v>10.638999999999999</v>
      </c>
    </row>
    <row r="318" spans="1:3" ht="15.75" thickBot="1" x14ac:dyDescent="0.3">
      <c r="A318" s="100" t="s">
        <v>14</v>
      </c>
      <c r="B318" s="190">
        <v>7.0707274772296014</v>
      </c>
      <c r="C318">
        <v>7.0709999999999997</v>
      </c>
    </row>
    <row r="319" spans="1:3" x14ac:dyDescent="0.25">
      <c r="B319" s="129"/>
      <c r="C319" s="129"/>
    </row>
    <row r="320" spans="1:3" x14ac:dyDescent="0.25">
      <c r="B320" s="129"/>
      <c r="C320" s="129"/>
    </row>
    <row r="321" spans="1:3" ht="30" x14ac:dyDescent="0.25">
      <c r="A321" s="183" t="s">
        <v>195</v>
      </c>
      <c r="B321" s="182" t="s">
        <v>234</v>
      </c>
      <c r="C321" s="129"/>
    </row>
    <row r="322" spans="1:3" x14ac:dyDescent="0.25">
      <c r="A322" s="41" t="s">
        <v>25</v>
      </c>
      <c r="B322" s="124">
        <f>((AB295-AA295)+(AC295-Z295))/2</f>
        <v>9.4661764532744659</v>
      </c>
      <c r="C322" s="129"/>
    </row>
    <row r="323" spans="1:3" x14ac:dyDescent="0.25">
      <c r="A323" s="41" t="s">
        <v>14</v>
      </c>
      <c r="B323" s="124">
        <f t="shared" ref="B323:B331" si="209">((AB296-AA296)+(AC296-Z296))/2</f>
        <v>9.2285590607210644</v>
      </c>
      <c r="C323" s="129"/>
    </row>
    <row r="324" spans="1:3" x14ac:dyDescent="0.25">
      <c r="A324" s="41" t="s">
        <v>15</v>
      </c>
      <c r="B324" s="124">
        <f t="shared" si="209"/>
        <v>10.619587236147758</v>
      </c>
      <c r="C324" s="129"/>
    </row>
    <row r="325" spans="1:3" x14ac:dyDescent="0.25">
      <c r="A325" s="41" t="s">
        <v>16</v>
      </c>
      <c r="B325" s="124">
        <f t="shared" si="209"/>
        <v>9.7255008808095944</v>
      </c>
      <c r="C325" s="129"/>
    </row>
    <row r="326" spans="1:3" x14ac:dyDescent="0.25">
      <c r="A326" s="41" t="s">
        <v>18</v>
      </c>
      <c r="B326" s="124">
        <f t="shared" si="209"/>
        <v>10.187580573663624</v>
      </c>
      <c r="C326" s="129"/>
    </row>
    <row r="327" spans="1:3" x14ac:dyDescent="0.25">
      <c r="A327" s="41" t="s">
        <v>19</v>
      </c>
      <c r="B327" s="124">
        <f t="shared" si="209"/>
        <v>9.0878157710908098</v>
      </c>
      <c r="C327" s="129"/>
    </row>
    <row r="328" spans="1:3" x14ac:dyDescent="0.25">
      <c r="A328" s="41" t="s">
        <v>20</v>
      </c>
      <c r="B328" s="124">
        <f t="shared" si="209"/>
        <v>9.2798966431095415</v>
      </c>
      <c r="C328" s="129"/>
    </row>
    <row r="329" spans="1:3" x14ac:dyDescent="0.25">
      <c r="A329" s="41" t="s">
        <v>21</v>
      </c>
      <c r="B329" s="124">
        <f t="shared" si="209"/>
        <v>9.7327096087851768</v>
      </c>
      <c r="C329" s="129"/>
    </row>
    <row r="330" spans="1:3" x14ac:dyDescent="0.25">
      <c r="A330" s="41" t="s">
        <v>23</v>
      </c>
      <c r="B330" s="124">
        <f t="shared" si="209"/>
        <v>9.9413928656894992</v>
      </c>
      <c r="C330" s="129"/>
    </row>
    <row r="331" spans="1:3" x14ac:dyDescent="0.25">
      <c r="A331" s="41" t="s">
        <v>24</v>
      </c>
      <c r="B331" s="124">
        <f t="shared" si="209"/>
        <v>9.646786399735273</v>
      </c>
      <c r="C331" s="129"/>
    </row>
    <row r="332" spans="1:3" x14ac:dyDescent="0.25">
      <c r="C332" s="129"/>
    </row>
    <row r="333" spans="1:3" x14ac:dyDescent="0.25">
      <c r="A333" s="44" t="s">
        <v>196</v>
      </c>
      <c r="B333" s="182" t="s">
        <v>234</v>
      </c>
      <c r="C333" s="129"/>
    </row>
    <row r="334" spans="1:3" x14ac:dyDescent="0.25">
      <c r="A334" s="41" t="s">
        <v>25</v>
      </c>
      <c r="B334" s="130">
        <f>AC295-Z295</f>
        <v>14.867518763796909</v>
      </c>
      <c r="C334" s="129"/>
    </row>
    <row r="335" spans="1:3" x14ac:dyDescent="0.25">
      <c r="A335" s="41" t="s">
        <v>14</v>
      </c>
      <c r="B335" s="130">
        <f t="shared" ref="B335:B343" si="210">AC296-Z296</f>
        <v>13.501920777988616</v>
      </c>
      <c r="C335" s="129"/>
    </row>
    <row r="336" spans="1:3" x14ac:dyDescent="0.25">
      <c r="A336" s="41" t="s">
        <v>15</v>
      </c>
      <c r="B336" s="130">
        <f t="shared" si="210"/>
        <v>16.316314841688659</v>
      </c>
      <c r="C336" s="129"/>
    </row>
    <row r="337" spans="1:3" x14ac:dyDescent="0.25">
      <c r="A337" s="41" t="s">
        <v>16</v>
      </c>
      <c r="B337" s="130">
        <f t="shared" si="210"/>
        <v>14.990245089955023</v>
      </c>
      <c r="C337" s="129"/>
    </row>
    <row r="338" spans="1:3" x14ac:dyDescent="0.25">
      <c r="A338" s="41" t="s">
        <v>18</v>
      </c>
      <c r="B338" s="130">
        <f t="shared" si="210"/>
        <v>15.62402633637549</v>
      </c>
      <c r="C338" s="129"/>
    </row>
    <row r="339" spans="1:3" x14ac:dyDescent="0.25">
      <c r="A339" s="41" t="s">
        <v>19</v>
      </c>
      <c r="B339" s="130">
        <f t="shared" si="210"/>
        <v>13.885686996238579</v>
      </c>
      <c r="C339" s="129"/>
    </row>
    <row r="340" spans="1:3" x14ac:dyDescent="0.25">
      <c r="A340" s="41" t="s">
        <v>20</v>
      </c>
      <c r="B340" s="130">
        <f t="shared" si="210"/>
        <v>14.215715547703184</v>
      </c>
      <c r="C340" s="129"/>
    </row>
    <row r="341" spans="1:3" x14ac:dyDescent="0.25">
      <c r="A341" s="41" t="s">
        <v>21</v>
      </c>
      <c r="B341" s="130">
        <f t="shared" si="210"/>
        <v>15.058011667810574</v>
      </c>
      <c r="C341" s="129"/>
    </row>
    <row r="342" spans="1:3" x14ac:dyDescent="0.25">
      <c r="A342" s="41" t="s">
        <v>23</v>
      </c>
      <c r="B342" s="130">
        <f t="shared" si="210"/>
        <v>15.211826772360155</v>
      </c>
      <c r="C342" s="129"/>
    </row>
    <row r="343" spans="1:3" x14ac:dyDescent="0.25">
      <c r="A343" s="41" t="s">
        <v>24</v>
      </c>
      <c r="B343" s="130">
        <f t="shared" si="210"/>
        <v>14.7698818663137</v>
      </c>
      <c r="C343" s="129"/>
    </row>
    <row r="344" spans="1:3" x14ac:dyDescent="0.25">
      <c r="C344" s="129"/>
    </row>
  </sheetData>
  <sortState xmlns:xlrd2="http://schemas.microsoft.com/office/spreadsheetml/2017/richdata2" ref="A309:C318">
    <sortCondition descending="1" ref="B309:B318"/>
  </sortState>
  <mergeCells count="140">
    <mergeCell ref="A307:A308"/>
    <mergeCell ref="B307:B308"/>
    <mergeCell ref="AL293:AM293"/>
    <mergeCell ref="AN293:AN294"/>
    <mergeCell ref="B294:E294"/>
    <mergeCell ref="F294:I294"/>
    <mergeCell ref="J294:M294"/>
    <mergeCell ref="N294:Q294"/>
    <mergeCell ref="R294:U294"/>
    <mergeCell ref="V294:Y294"/>
    <mergeCell ref="Z294:AC294"/>
    <mergeCell ref="AD294:AG294"/>
    <mergeCell ref="A293:A294"/>
    <mergeCell ref="B293:I293"/>
    <mergeCell ref="J293:Q293"/>
    <mergeCell ref="R293:Y293"/>
    <mergeCell ref="Z293:AG293"/>
    <mergeCell ref="AH293:AK293"/>
    <mergeCell ref="AH294:AI294"/>
    <mergeCell ref="AJ294:AK294"/>
    <mergeCell ref="A279:A280"/>
    <mergeCell ref="B279:I279"/>
    <mergeCell ref="J279:Q279"/>
    <mergeCell ref="R279:Y279"/>
    <mergeCell ref="B280:E280"/>
    <mergeCell ref="F280:I280"/>
    <mergeCell ref="J280:M280"/>
    <mergeCell ref="N280:Q280"/>
    <mergeCell ref="R280:U280"/>
    <mergeCell ref="V280:Y280"/>
    <mergeCell ref="A182:I182"/>
    <mergeCell ref="A183:D183"/>
    <mergeCell ref="F183:I183"/>
    <mergeCell ref="A225:I225"/>
    <mergeCell ref="A226:D226"/>
    <mergeCell ref="F226:I226"/>
    <mergeCell ref="BG115:BJ115"/>
    <mergeCell ref="BK115:BN115"/>
    <mergeCell ref="BO115:BP115"/>
    <mergeCell ref="A114:A115"/>
    <mergeCell ref="B114:B115"/>
    <mergeCell ref="C114:C115"/>
    <mergeCell ref="D114:F114"/>
    <mergeCell ref="G114:I114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J114:J115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BG114:BN114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G63:BJ63"/>
    <mergeCell ref="BK63:BN63"/>
    <mergeCell ref="BO63:BP63"/>
    <mergeCell ref="BQ63:BR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1B632268-E00B-4ED1-9893-24DA965286E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U366"/>
  <sheetViews>
    <sheetView topLeftCell="O16" zoomScaleNormal="100" workbookViewId="0">
      <selection activeCell="E97" sqref="E97:L108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17" width="9.140625" customWidth="1"/>
    <col min="18" max="30" width="9.140625" style="245" customWidth="1"/>
    <col min="31" max="31" width="9.140625" customWidth="1"/>
    <col min="32" max="32" width="15.7109375" customWidth="1"/>
    <col min="33" max="34" width="9.140625" customWidth="1"/>
    <col min="35" max="39" width="9.140625" style="245" customWidth="1"/>
    <col min="40" max="40" width="15.7109375" style="245" customWidth="1"/>
    <col min="41" max="67" width="9.140625" style="245" customWidth="1"/>
    <col min="68" max="68" width="13.140625" style="245" customWidth="1"/>
    <col min="69" max="69" width="9.140625" style="245" customWidth="1"/>
    <col min="70" max="70" width="12.42578125" style="24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7"/>
      <c r="C1" s="37"/>
    </row>
    <row r="2" spans="1:73" x14ac:dyDescent="0.25">
      <c r="A2" s="1" t="s">
        <v>188</v>
      </c>
      <c r="B2" s="40" t="s">
        <v>38</v>
      </c>
      <c r="C2" s="37"/>
    </row>
    <row r="3" spans="1:73" ht="30" customHeight="1" x14ac:dyDescent="0.25">
      <c r="A3" s="226" t="s">
        <v>230</v>
      </c>
      <c r="B3" s="227"/>
      <c r="C3" s="227"/>
      <c r="D3" s="228"/>
      <c r="E3" s="228"/>
    </row>
    <row r="4" spans="1:73" ht="31.5" x14ac:dyDescent="0.25">
      <c r="A4" s="147" t="s">
        <v>186</v>
      </c>
      <c r="B4" s="148" t="s">
        <v>189</v>
      </c>
      <c r="C4" s="38"/>
    </row>
    <row r="5" spans="1:73" x14ac:dyDescent="0.25">
      <c r="A5" s="226" t="s">
        <v>231</v>
      </c>
      <c r="B5" s="227"/>
      <c r="C5" s="227"/>
      <c r="D5" s="228"/>
      <c r="E5" s="228"/>
    </row>
    <row r="6" spans="1:73" ht="15.75" x14ac:dyDescent="0.25">
      <c r="A6" s="82"/>
      <c r="B6" s="38"/>
      <c r="C6" s="38"/>
    </row>
    <row r="7" spans="1:73" ht="18.75" x14ac:dyDescent="0.3">
      <c r="A7" s="85" t="s">
        <v>91</v>
      </c>
      <c r="B7" s="38"/>
      <c r="C7" s="38"/>
    </row>
    <row r="8" spans="1:73" x14ac:dyDescent="0.25">
      <c r="A8" s="1" t="s">
        <v>49</v>
      </c>
      <c r="B8" s="38"/>
      <c r="C8" s="38"/>
    </row>
    <row r="9" spans="1:73" ht="15.75" thickBot="1" x14ac:dyDescent="0.3">
      <c r="A9" s="39" t="s">
        <v>94</v>
      </c>
      <c r="B9" s="38"/>
      <c r="C9" s="38"/>
      <c r="BO9" s="245">
        <v>0.8</v>
      </c>
    </row>
    <row r="10" spans="1:73" ht="86.25" customHeight="1" thickBot="1" x14ac:dyDescent="0.3">
      <c r="A10" s="222" t="s">
        <v>26</v>
      </c>
      <c r="B10" s="222" t="s">
        <v>27</v>
      </c>
      <c r="C10" s="223" t="s">
        <v>28</v>
      </c>
      <c r="D10" s="224" t="s">
        <v>58</v>
      </c>
      <c r="E10" s="225"/>
      <c r="F10" s="225"/>
      <c r="G10" s="225" t="s">
        <v>59</v>
      </c>
      <c r="H10" s="225"/>
      <c r="I10" s="225"/>
      <c r="J10" s="220" t="s">
        <v>88</v>
      </c>
      <c r="K10" s="210" t="s">
        <v>81</v>
      </c>
      <c r="L10" s="211"/>
      <c r="M10" s="211"/>
      <c r="N10" s="211"/>
      <c r="O10" s="211"/>
      <c r="P10" s="211"/>
      <c r="Q10" s="211"/>
      <c r="R10" s="212"/>
      <c r="S10" s="261" t="s">
        <v>79</v>
      </c>
      <c r="T10" s="262"/>
      <c r="U10" s="262"/>
      <c r="V10" s="262"/>
      <c r="W10" s="262"/>
      <c r="X10" s="262"/>
      <c r="Y10" s="262"/>
      <c r="Z10" s="263"/>
      <c r="AA10" s="210" t="s">
        <v>80</v>
      </c>
      <c r="AB10" s="211"/>
      <c r="AC10" s="211"/>
      <c r="AD10" s="211"/>
      <c r="AE10" s="211"/>
      <c r="AF10" s="211"/>
      <c r="AG10" s="211"/>
      <c r="AH10" s="212"/>
      <c r="AI10" s="261" t="s">
        <v>78</v>
      </c>
      <c r="AJ10" s="262"/>
      <c r="AK10" s="262"/>
      <c r="AL10" s="262"/>
      <c r="AM10" s="262"/>
      <c r="AN10" s="262"/>
      <c r="AO10" s="262"/>
      <c r="AP10" s="263"/>
      <c r="AQ10" s="261" t="s">
        <v>89</v>
      </c>
      <c r="AR10" s="262"/>
      <c r="AS10" s="262"/>
      <c r="AT10" s="262"/>
      <c r="AU10" s="262"/>
      <c r="AV10" s="262"/>
      <c r="AW10" s="262"/>
      <c r="AX10" s="263"/>
      <c r="AY10" s="261" t="s">
        <v>90</v>
      </c>
      <c r="AZ10" s="262"/>
      <c r="BA10" s="262"/>
      <c r="BB10" s="262"/>
      <c r="BC10" s="262"/>
      <c r="BD10" s="262"/>
      <c r="BE10" s="262"/>
      <c r="BF10" s="263"/>
      <c r="BG10" s="261" t="s">
        <v>134</v>
      </c>
      <c r="BH10" s="262"/>
      <c r="BI10" s="262"/>
      <c r="BJ10" s="262"/>
      <c r="BK10" s="262"/>
      <c r="BL10" s="262"/>
      <c r="BM10" s="262"/>
      <c r="BN10" s="263"/>
      <c r="BO10" s="264" t="s">
        <v>82</v>
      </c>
      <c r="BP10" s="265"/>
      <c r="BQ10" s="265"/>
      <c r="BR10" s="266"/>
      <c r="BS10" s="202" t="s">
        <v>84</v>
      </c>
      <c r="BT10" s="203"/>
      <c r="BU10" s="204" t="s">
        <v>87</v>
      </c>
    </row>
    <row r="11" spans="1:73" s="36" customFormat="1" ht="23.25" customHeight="1" thickBot="1" x14ac:dyDescent="0.3">
      <c r="A11" s="222"/>
      <c r="B11" s="222"/>
      <c r="C11" s="223"/>
      <c r="D11" s="61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21"/>
      <c r="K11" s="210" t="s">
        <v>3</v>
      </c>
      <c r="L11" s="211"/>
      <c r="M11" s="211"/>
      <c r="N11" s="212"/>
      <c r="O11" s="210" t="s">
        <v>4</v>
      </c>
      <c r="P11" s="211"/>
      <c r="Q11" s="211"/>
      <c r="R11" s="212"/>
      <c r="S11" s="261" t="s">
        <v>3</v>
      </c>
      <c r="T11" s="262"/>
      <c r="U11" s="262"/>
      <c r="V11" s="263"/>
      <c r="W11" s="261" t="s">
        <v>4</v>
      </c>
      <c r="X11" s="262"/>
      <c r="Y11" s="262"/>
      <c r="Z11" s="263"/>
      <c r="AA11" s="261" t="s">
        <v>3</v>
      </c>
      <c r="AB11" s="262"/>
      <c r="AC11" s="262"/>
      <c r="AD11" s="263"/>
      <c r="AE11" s="210" t="s">
        <v>4</v>
      </c>
      <c r="AF11" s="211"/>
      <c r="AG11" s="211"/>
      <c r="AH11" s="212"/>
      <c r="AI11" s="261" t="s">
        <v>3</v>
      </c>
      <c r="AJ11" s="262"/>
      <c r="AK11" s="262"/>
      <c r="AL11" s="263"/>
      <c r="AM11" s="261" t="s">
        <v>4</v>
      </c>
      <c r="AN11" s="262"/>
      <c r="AO11" s="262"/>
      <c r="AP11" s="263"/>
      <c r="AQ11" s="261" t="s">
        <v>3</v>
      </c>
      <c r="AR11" s="262"/>
      <c r="AS11" s="262"/>
      <c r="AT11" s="263"/>
      <c r="AU11" s="261" t="s">
        <v>4</v>
      </c>
      <c r="AV11" s="262"/>
      <c r="AW11" s="262"/>
      <c r="AX11" s="263"/>
      <c r="AY11" s="261" t="s">
        <v>3</v>
      </c>
      <c r="AZ11" s="262"/>
      <c r="BA11" s="262"/>
      <c r="BB11" s="263"/>
      <c r="BC11" s="261" t="s">
        <v>4</v>
      </c>
      <c r="BD11" s="262"/>
      <c r="BE11" s="262"/>
      <c r="BF11" s="263"/>
      <c r="BG11" s="261" t="s">
        <v>3</v>
      </c>
      <c r="BH11" s="262"/>
      <c r="BI11" s="262"/>
      <c r="BJ11" s="263"/>
      <c r="BK11" s="261" t="s">
        <v>4</v>
      </c>
      <c r="BL11" s="262"/>
      <c r="BM11" s="262"/>
      <c r="BN11" s="263"/>
      <c r="BO11" s="270" t="s">
        <v>83</v>
      </c>
      <c r="BP11" s="271"/>
      <c r="BQ11" s="270" t="s">
        <v>5</v>
      </c>
      <c r="BR11" s="272"/>
      <c r="BS11" s="81" t="s">
        <v>85</v>
      </c>
      <c r="BT11" s="81" t="s">
        <v>86</v>
      </c>
      <c r="BU11" s="205"/>
    </row>
    <row r="12" spans="1:73" ht="30" x14ac:dyDescent="0.25">
      <c r="A12" s="41" t="s">
        <v>0</v>
      </c>
      <c r="B12" s="41" t="s">
        <v>25</v>
      </c>
      <c r="C12" s="60" t="s">
        <v>13</v>
      </c>
      <c r="D12" s="91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G12:I21" si="0">IF(E12=$A$25,$B$25,(IF(E12=$A$26,$B$26,IF(E12=$A$27,$B$27,$B$28))))</f>
        <v>0.66</v>
      </c>
      <c r="I12" s="49">
        <f t="shared" si="0"/>
        <v>1</v>
      </c>
      <c r="J12" s="83">
        <f>G12*$D$39+H12*$D$40+I12*$D$41</f>
        <v>14.15</v>
      </c>
      <c r="K12" s="20">
        <v>0.77</v>
      </c>
      <c r="L12" s="22">
        <v>1</v>
      </c>
      <c r="M12" s="22">
        <v>1</v>
      </c>
      <c r="N12" s="23">
        <v>1</v>
      </c>
      <c r="O12" s="20">
        <v>0.83</v>
      </c>
      <c r="P12" s="22">
        <v>1</v>
      </c>
      <c r="Q12" s="22">
        <v>1</v>
      </c>
      <c r="R12" s="243">
        <v>1</v>
      </c>
      <c r="S12" s="241">
        <v>0.44000000000000006</v>
      </c>
      <c r="T12" s="242">
        <v>0.55000000000000004</v>
      </c>
      <c r="U12" s="242">
        <v>0.77</v>
      </c>
      <c r="V12" s="243">
        <v>1</v>
      </c>
      <c r="W12" s="241">
        <v>0.47000000000000003</v>
      </c>
      <c r="X12" s="242">
        <v>0.55000000000000004</v>
      </c>
      <c r="Y12" s="242">
        <v>0.77</v>
      </c>
      <c r="Z12" s="243">
        <v>0.92</v>
      </c>
      <c r="AA12" s="241">
        <v>0.77</v>
      </c>
      <c r="AB12" s="242">
        <v>1</v>
      </c>
      <c r="AC12" s="242">
        <v>1</v>
      </c>
      <c r="AD12" s="243">
        <v>1</v>
      </c>
      <c r="AE12" s="20">
        <v>0.83</v>
      </c>
      <c r="AF12" s="22">
        <v>1</v>
      </c>
      <c r="AG12" s="22">
        <v>1</v>
      </c>
      <c r="AH12" s="23">
        <v>1</v>
      </c>
      <c r="AI12" s="241">
        <v>3.8900000000000006</v>
      </c>
      <c r="AJ12" s="242">
        <v>7</v>
      </c>
      <c r="AK12" s="242">
        <v>8</v>
      </c>
      <c r="AL12" s="243">
        <v>9.5</v>
      </c>
      <c r="AM12" s="241">
        <v>4.8099999999999987</v>
      </c>
      <c r="AN12" s="242">
        <v>7</v>
      </c>
      <c r="AO12" s="242">
        <v>8</v>
      </c>
      <c r="AP12" s="243">
        <v>9</v>
      </c>
      <c r="AQ12" s="241">
        <v>0.60499999999999998</v>
      </c>
      <c r="AR12" s="242">
        <v>1.1000000000000001</v>
      </c>
      <c r="AS12" s="242">
        <v>2.31</v>
      </c>
      <c r="AT12" s="242">
        <v>4.1549999999999994</v>
      </c>
      <c r="AU12" s="241">
        <v>0.77499999999999991</v>
      </c>
      <c r="AV12" s="242">
        <v>1.1000000000000001</v>
      </c>
      <c r="AW12" s="242">
        <v>2.31</v>
      </c>
      <c r="AX12" s="243">
        <v>3.53</v>
      </c>
      <c r="AY12" s="241">
        <v>1.9649999999999999</v>
      </c>
      <c r="AZ12" s="242">
        <v>4.5</v>
      </c>
      <c r="BA12" s="242">
        <v>5.5</v>
      </c>
      <c r="BB12" s="242">
        <v>7</v>
      </c>
      <c r="BC12" s="241">
        <v>2.7349999999999994</v>
      </c>
      <c r="BD12" s="242">
        <v>4.5</v>
      </c>
      <c r="BE12" s="242">
        <v>5.5</v>
      </c>
      <c r="BF12" s="243">
        <v>6.5</v>
      </c>
      <c r="BG12" s="241">
        <f>AI12+AQ12+AY12</f>
        <v>6.4600000000000009</v>
      </c>
      <c r="BH12" s="242">
        <f t="shared" ref="BH12:BN21" si="1">AJ12+AR12+AZ12</f>
        <v>12.6</v>
      </c>
      <c r="BI12" s="242">
        <f t="shared" si="1"/>
        <v>15.81</v>
      </c>
      <c r="BJ12" s="242">
        <f t="shared" si="1"/>
        <v>20.655000000000001</v>
      </c>
      <c r="BK12" s="241">
        <f t="shared" si="1"/>
        <v>8.3199999999999985</v>
      </c>
      <c r="BL12" s="242">
        <f t="shared" si="1"/>
        <v>12.6</v>
      </c>
      <c r="BM12" s="242">
        <f t="shared" si="1"/>
        <v>15.81</v>
      </c>
      <c r="BN12" s="242">
        <f t="shared" si="1"/>
        <v>19.03</v>
      </c>
      <c r="BO12" s="250">
        <f>BO$9*BH12+(1-BO$9)*BG12</f>
        <v>11.372</v>
      </c>
      <c r="BP12" s="275">
        <f>BO$9*BI12+(1-BO$9)*BJ12</f>
        <v>16.779</v>
      </c>
      <c r="BQ12" s="250">
        <f>BO$9*BL12+(1-BO$9)*BK12</f>
        <v>11.744</v>
      </c>
      <c r="BR12" s="276">
        <f>BO$9*BM12+(1-BO$9)*BN12</f>
        <v>16.454000000000001</v>
      </c>
      <c r="BS12" s="20">
        <f>(BO12+BP12)/2</f>
        <v>14.0755</v>
      </c>
      <c r="BT12" s="23">
        <f>(BQ12+BR12)/2</f>
        <v>14.099</v>
      </c>
      <c r="BU12" s="72">
        <f>(BS12+BT12)/2</f>
        <v>14.087250000000001</v>
      </c>
    </row>
    <row r="13" spans="1:73" x14ac:dyDescent="0.25">
      <c r="A13" s="41" t="s">
        <v>1</v>
      </c>
      <c r="B13" s="41" t="s">
        <v>14</v>
      </c>
      <c r="C13" s="60" t="s">
        <v>29</v>
      </c>
      <c r="D13" s="91" t="s">
        <v>46</v>
      </c>
      <c r="E13" s="92" t="s">
        <v>46</v>
      </c>
      <c r="F13" s="92" t="s">
        <v>45</v>
      </c>
      <c r="G13" s="49">
        <f t="shared" si="0"/>
        <v>0.33</v>
      </c>
      <c r="H13" s="49">
        <f t="shared" si="0"/>
        <v>0.33</v>
      </c>
      <c r="I13" s="49">
        <f t="shared" si="0"/>
        <v>0.66</v>
      </c>
      <c r="J13" s="83">
        <f t="shared" ref="J13:J21" si="2">G13*$D$39+H13*$D$40+I13*$D$41</f>
        <v>6.6000000000000005</v>
      </c>
      <c r="K13" s="26">
        <v>0</v>
      </c>
      <c r="L13">
        <v>0.22000000000000003</v>
      </c>
      <c r="M13">
        <v>0.44</v>
      </c>
      <c r="N13" s="27">
        <v>0.55000000000000004</v>
      </c>
      <c r="O13" s="26">
        <v>0.06</v>
      </c>
      <c r="P13">
        <v>0.22000000000000003</v>
      </c>
      <c r="Q13">
        <v>0.44</v>
      </c>
      <c r="R13" s="246">
        <v>0.52</v>
      </c>
      <c r="S13" s="244">
        <v>0</v>
      </c>
      <c r="T13" s="245">
        <v>0.22000000000000003</v>
      </c>
      <c r="U13" s="245">
        <v>0.44</v>
      </c>
      <c r="V13" s="246">
        <v>0.55000000000000004</v>
      </c>
      <c r="W13" s="244">
        <v>0.06</v>
      </c>
      <c r="X13" s="245">
        <v>0.22000000000000003</v>
      </c>
      <c r="Y13" s="245">
        <v>0.44</v>
      </c>
      <c r="Z13" s="246">
        <v>0.52</v>
      </c>
      <c r="AA13" s="244">
        <v>0.44000000000000006</v>
      </c>
      <c r="AB13" s="245">
        <v>0.55000000000000004</v>
      </c>
      <c r="AC13" s="245">
        <v>0.77</v>
      </c>
      <c r="AD13" s="246">
        <v>1</v>
      </c>
      <c r="AE13" s="26">
        <v>0.47000000000000003</v>
      </c>
      <c r="AF13">
        <v>0.55000000000000004</v>
      </c>
      <c r="AG13">
        <v>0.77</v>
      </c>
      <c r="AH13" s="27">
        <v>0.92</v>
      </c>
      <c r="AI13" s="244">
        <v>0</v>
      </c>
      <c r="AJ13" s="245">
        <v>1.5400000000000003</v>
      </c>
      <c r="AK13" s="245">
        <v>3.52</v>
      </c>
      <c r="AL13" s="246">
        <v>5.0600000000000005</v>
      </c>
      <c r="AM13" s="244">
        <v>0.19999999999999996</v>
      </c>
      <c r="AN13" s="245">
        <v>1.5400000000000003</v>
      </c>
      <c r="AO13" s="245">
        <v>3.52</v>
      </c>
      <c r="AP13" s="246">
        <v>4.6000000000000014</v>
      </c>
      <c r="AQ13" s="244">
        <v>0</v>
      </c>
      <c r="AR13" s="245">
        <v>0.44000000000000006</v>
      </c>
      <c r="AS13" s="245">
        <v>1.32</v>
      </c>
      <c r="AT13" s="245">
        <v>2.3099999999999996</v>
      </c>
      <c r="AU13" s="244">
        <v>5.3999999999999992E-2</v>
      </c>
      <c r="AV13" s="245">
        <v>0.44000000000000006</v>
      </c>
      <c r="AW13" s="245">
        <v>1.32</v>
      </c>
      <c r="AX13" s="246">
        <v>2</v>
      </c>
      <c r="AY13" s="244">
        <v>1.1550000000000002</v>
      </c>
      <c r="AZ13" s="245">
        <v>2.4750000000000001</v>
      </c>
      <c r="BA13" s="245">
        <v>4.2350000000000003</v>
      </c>
      <c r="BB13" s="245">
        <v>6.6550000000000002</v>
      </c>
      <c r="BC13" s="244">
        <v>1.5650000000000008</v>
      </c>
      <c r="BD13" s="245">
        <v>2.4750000000000001</v>
      </c>
      <c r="BE13" s="245">
        <v>4.2350000000000003</v>
      </c>
      <c r="BF13" s="246">
        <v>5.830000000000001</v>
      </c>
      <c r="BG13" s="244">
        <f t="shared" ref="BG13:BG21" si="3">AI13+AQ13+AY13</f>
        <v>1.1550000000000002</v>
      </c>
      <c r="BH13" s="245">
        <f t="shared" si="1"/>
        <v>4.4550000000000001</v>
      </c>
      <c r="BI13" s="245">
        <f t="shared" si="1"/>
        <v>9.0749999999999993</v>
      </c>
      <c r="BJ13" s="245">
        <f t="shared" si="1"/>
        <v>14.025</v>
      </c>
      <c r="BK13" s="244">
        <f t="shared" si="1"/>
        <v>1.8190000000000008</v>
      </c>
      <c r="BL13" s="245">
        <f t="shared" si="1"/>
        <v>4.4550000000000001</v>
      </c>
      <c r="BM13" s="245">
        <f t="shared" si="1"/>
        <v>9.0749999999999993</v>
      </c>
      <c r="BN13" s="245">
        <f t="shared" si="1"/>
        <v>12.430000000000003</v>
      </c>
      <c r="BO13" s="251">
        <f t="shared" ref="BO13:BO21" si="4">BO$9*BH13+(1-BO$9)*BG13</f>
        <v>3.7949999999999999</v>
      </c>
      <c r="BP13" s="278">
        <f t="shared" ref="BP13:BP21" si="5">BO$9*BI13+(1-BO$9)*BJ13</f>
        <v>10.065</v>
      </c>
      <c r="BQ13" s="251">
        <f t="shared" ref="BQ13:BQ21" si="6">BO$9*BL13+(1-BO$9)*BK13</f>
        <v>3.9278</v>
      </c>
      <c r="BR13" s="279">
        <f t="shared" ref="BR13:BR21" si="7">BO$9*BM13+(1-BO$9)*BN13</f>
        <v>9.7460000000000004</v>
      </c>
      <c r="BS13" s="26">
        <f t="shared" ref="BS13:BS21" si="8">(BO13+BP13)/2</f>
        <v>6.93</v>
      </c>
      <c r="BT13" s="27">
        <f t="shared" ref="BT13:BT21" si="9">(BQ13+BR13)/2</f>
        <v>6.8369</v>
      </c>
      <c r="BU13" s="73">
        <f t="shared" ref="BU13:BU21" si="10">(BS13+BT13)/2</f>
        <v>6.8834499999999998</v>
      </c>
    </row>
    <row r="14" spans="1:73" x14ac:dyDescent="0.25">
      <c r="A14" s="41" t="s">
        <v>2</v>
      </c>
      <c r="B14" s="41" t="s">
        <v>15</v>
      </c>
      <c r="C14" s="60" t="s">
        <v>30</v>
      </c>
      <c r="D14" s="91" t="s">
        <v>45</v>
      </c>
      <c r="E14" s="92" t="s">
        <v>45</v>
      </c>
      <c r="F14" s="92" t="s">
        <v>45</v>
      </c>
      <c r="G14" s="49">
        <f t="shared" si="0"/>
        <v>0.66</v>
      </c>
      <c r="H14" s="49">
        <f t="shared" si="0"/>
        <v>0.66</v>
      </c>
      <c r="I14" s="49">
        <f t="shared" si="0"/>
        <v>0.66</v>
      </c>
      <c r="J14" s="83">
        <f t="shared" si="2"/>
        <v>9.9</v>
      </c>
      <c r="K14" s="26">
        <v>0.44000000000000006</v>
      </c>
      <c r="L14">
        <v>0.55000000000000004</v>
      </c>
      <c r="M14">
        <v>0.77</v>
      </c>
      <c r="N14" s="27">
        <v>1</v>
      </c>
      <c r="O14" s="26">
        <v>0.47000000000000003</v>
      </c>
      <c r="P14">
        <v>0.55000000000000004</v>
      </c>
      <c r="Q14">
        <v>0.77</v>
      </c>
      <c r="R14" s="246">
        <v>0.92</v>
      </c>
      <c r="S14" s="244">
        <v>0.44000000000000006</v>
      </c>
      <c r="T14" s="245">
        <v>0.55000000000000004</v>
      </c>
      <c r="U14" s="245">
        <v>0.77</v>
      </c>
      <c r="V14" s="246">
        <v>1</v>
      </c>
      <c r="W14" s="244">
        <v>0.47000000000000003</v>
      </c>
      <c r="X14" s="245">
        <v>0.55000000000000004</v>
      </c>
      <c r="Y14" s="245">
        <v>0.77</v>
      </c>
      <c r="Z14" s="246">
        <v>0.92</v>
      </c>
      <c r="AA14" s="244">
        <v>0.44000000000000006</v>
      </c>
      <c r="AB14" s="245">
        <v>0.55000000000000004</v>
      </c>
      <c r="AC14" s="245">
        <v>0.77</v>
      </c>
      <c r="AD14" s="246">
        <v>1</v>
      </c>
      <c r="AE14" s="26">
        <v>0.47000000000000003</v>
      </c>
      <c r="AF14">
        <v>0.55000000000000004</v>
      </c>
      <c r="AG14">
        <v>0.77</v>
      </c>
      <c r="AH14" s="27">
        <v>0.92</v>
      </c>
      <c r="AI14" s="244">
        <v>2.2549999999999999</v>
      </c>
      <c r="AJ14" s="245">
        <v>3.8500000000000005</v>
      </c>
      <c r="AK14" s="245">
        <v>6.16</v>
      </c>
      <c r="AL14" s="246">
        <v>9.1550000000000011</v>
      </c>
      <c r="AM14" s="244">
        <v>2.7399999999999993</v>
      </c>
      <c r="AN14" s="245">
        <v>3.8500000000000005</v>
      </c>
      <c r="AO14" s="245">
        <v>6.16</v>
      </c>
      <c r="AP14" s="246">
        <v>8.129999999999999</v>
      </c>
      <c r="AQ14" s="244">
        <v>0.60499999999999998</v>
      </c>
      <c r="AR14" s="245">
        <v>1.1000000000000001</v>
      </c>
      <c r="AS14" s="245">
        <v>2.31</v>
      </c>
      <c r="AT14" s="245">
        <v>4.1549999999999994</v>
      </c>
      <c r="AU14" s="244">
        <v>0.77499999999999991</v>
      </c>
      <c r="AV14" s="245">
        <v>1.1000000000000001</v>
      </c>
      <c r="AW14" s="245">
        <v>2.31</v>
      </c>
      <c r="AX14" s="246">
        <v>3.53</v>
      </c>
      <c r="AY14" s="244">
        <v>1.1550000000000002</v>
      </c>
      <c r="AZ14" s="245">
        <v>2.4750000000000001</v>
      </c>
      <c r="BA14" s="245">
        <v>4.2350000000000003</v>
      </c>
      <c r="BB14" s="245">
        <v>6.6550000000000002</v>
      </c>
      <c r="BC14" s="244">
        <v>1.5650000000000008</v>
      </c>
      <c r="BD14" s="245">
        <v>2.4750000000000001</v>
      </c>
      <c r="BE14" s="245">
        <v>4.2350000000000003</v>
      </c>
      <c r="BF14" s="246">
        <v>5.830000000000001</v>
      </c>
      <c r="BG14" s="244">
        <f t="shared" si="3"/>
        <v>4.0150000000000006</v>
      </c>
      <c r="BH14" s="245">
        <f t="shared" si="1"/>
        <v>7.4250000000000007</v>
      </c>
      <c r="BI14" s="245">
        <f t="shared" si="1"/>
        <v>12.705000000000002</v>
      </c>
      <c r="BJ14" s="245">
        <f t="shared" si="1"/>
        <v>19.965</v>
      </c>
      <c r="BK14" s="244">
        <f t="shared" si="1"/>
        <v>5.08</v>
      </c>
      <c r="BL14" s="245">
        <f t="shared" si="1"/>
        <v>7.4250000000000007</v>
      </c>
      <c r="BM14" s="245">
        <f t="shared" si="1"/>
        <v>12.705000000000002</v>
      </c>
      <c r="BN14" s="245">
        <f t="shared" si="1"/>
        <v>17.489999999999998</v>
      </c>
      <c r="BO14" s="251">
        <f t="shared" si="4"/>
        <v>6.7430000000000012</v>
      </c>
      <c r="BP14" s="278">
        <f t="shared" si="5"/>
        <v>14.157</v>
      </c>
      <c r="BQ14" s="251">
        <f t="shared" si="6"/>
        <v>6.9560000000000013</v>
      </c>
      <c r="BR14" s="279">
        <f t="shared" si="7"/>
        <v>13.662000000000001</v>
      </c>
      <c r="BS14" s="26">
        <f t="shared" si="8"/>
        <v>10.450000000000001</v>
      </c>
      <c r="BT14" s="27">
        <f t="shared" si="9"/>
        <v>10.309000000000001</v>
      </c>
      <c r="BU14" s="73">
        <f t="shared" si="10"/>
        <v>10.3795</v>
      </c>
    </row>
    <row r="15" spans="1:73" x14ac:dyDescent="0.25">
      <c r="A15" s="41" t="s">
        <v>6</v>
      </c>
      <c r="B15" s="41" t="s">
        <v>16</v>
      </c>
      <c r="C15" s="60" t="s">
        <v>17</v>
      </c>
      <c r="D15" s="91" t="s">
        <v>44</v>
      </c>
      <c r="E15" s="92" t="s">
        <v>45</v>
      </c>
      <c r="F15" s="92" t="s">
        <v>45</v>
      </c>
      <c r="G15" s="49">
        <f t="shared" si="0"/>
        <v>1</v>
      </c>
      <c r="H15" s="49">
        <f t="shared" si="0"/>
        <v>0.66</v>
      </c>
      <c r="I15" s="49">
        <f t="shared" si="0"/>
        <v>0.66</v>
      </c>
      <c r="J15" s="83">
        <f t="shared" si="2"/>
        <v>12.450000000000001</v>
      </c>
      <c r="K15" s="26">
        <v>0.77</v>
      </c>
      <c r="L15">
        <v>1</v>
      </c>
      <c r="M15">
        <v>1</v>
      </c>
      <c r="N15" s="27">
        <v>1</v>
      </c>
      <c r="O15" s="26">
        <v>0.83</v>
      </c>
      <c r="P15">
        <v>1</v>
      </c>
      <c r="Q15">
        <v>1</v>
      </c>
      <c r="R15" s="246">
        <v>1</v>
      </c>
      <c r="S15" s="244">
        <v>0.44000000000000006</v>
      </c>
      <c r="T15" s="245">
        <v>0.55000000000000004</v>
      </c>
      <c r="U15" s="245">
        <v>0.77</v>
      </c>
      <c r="V15" s="246">
        <v>1</v>
      </c>
      <c r="W15" s="244">
        <v>0.47000000000000003</v>
      </c>
      <c r="X15" s="245">
        <v>0.55000000000000004</v>
      </c>
      <c r="Y15" s="245">
        <v>0.77</v>
      </c>
      <c r="Z15" s="246">
        <v>0.92</v>
      </c>
      <c r="AA15" s="244">
        <v>0.44000000000000006</v>
      </c>
      <c r="AB15" s="245">
        <v>0.55000000000000004</v>
      </c>
      <c r="AC15" s="245">
        <v>0.77</v>
      </c>
      <c r="AD15" s="246">
        <v>1</v>
      </c>
      <c r="AE15" s="26">
        <v>0.47000000000000003</v>
      </c>
      <c r="AF15">
        <v>0.55000000000000004</v>
      </c>
      <c r="AG15">
        <v>0.77</v>
      </c>
      <c r="AH15" s="27">
        <v>0.92</v>
      </c>
      <c r="AI15" s="244">
        <v>3.8900000000000006</v>
      </c>
      <c r="AJ15" s="245">
        <v>7</v>
      </c>
      <c r="AK15" s="245">
        <v>8</v>
      </c>
      <c r="AL15" s="246">
        <v>9.5</v>
      </c>
      <c r="AM15" s="244">
        <v>4.8099999999999987</v>
      </c>
      <c r="AN15" s="245">
        <v>7</v>
      </c>
      <c r="AO15" s="245">
        <v>8</v>
      </c>
      <c r="AP15" s="246">
        <v>9</v>
      </c>
      <c r="AQ15" s="244">
        <v>0.60499999999999998</v>
      </c>
      <c r="AR15" s="245">
        <v>1.1000000000000001</v>
      </c>
      <c r="AS15" s="245">
        <v>2.31</v>
      </c>
      <c r="AT15" s="245">
        <v>4.1549999999999994</v>
      </c>
      <c r="AU15" s="244">
        <v>0.77499999999999991</v>
      </c>
      <c r="AV15" s="245">
        <v>1.1000000000000001</v>
      </c>
      <c r="AW15" s="245">
        <v>2.31</v>
      </c>
      <c r="AX15" s="246">
        <v>3.53</v>
      </c>
      <c r="AY15" s="244">
        <v>1.1550000000000002</v>
      </c>
      <c r="AZ15" s="245">
        <v>2.4750000000000001</v>
      </c>
      <c r="BA15" s="245">
        <v>4.2350000000000003</v>
      </c>
      <c r="BB15" s="245">
        <v>6.6550000000000002</v>
      </c>
      <c r="BC15" s="244">
        <v>1.5650000000000008</v>
      </c>
      <c r="BD15" s="245">
        <v>2.4750000000000001</v>
      </c>
      <c r="BE15" s="245">
        <v>4.2350000000000003</v>
      </c>
      <c r="BF15" s="246">
        <v>5.830000000000001</v>
      </c>
      <c r="BG15" s="244">
        <f t="shared" si="3"/>
        <v>5.6500000000000012</v>
      </c>
      <c r="BH15" s="245">
        <f t="shared" si="1"/>
        <v>10.574999999999999</v>
      </c>
      <c r="BI15" s="245">
        <f t="shared" si="1"/>
        <v>14.545000000000002</v>
      </c>
      <c r="BJ15" s="245">
        <f t="shared" si="1"/>
        <v>20.309999999999999</v>
      </c>
      <c r="BK15" s="244">
        <f t="shared" si="1"/>
        <v>7.15</v>
      </c>
      <c r="BL15" s="245">
        <f t="shared" si="1"/>
        <v>10.574999999999999</v>
      </c>
      <c r="BM15" s="245">
        <f t="shared" si="1"/>
        <v>14.545000000000002</v>
      </c>
      <c r="BN15" s="245">
        <f t="shared" si="1"/>
        <v>18.36</v>
      </c>
      <c r="BO15" s="251">
        <f t="shared" si="4"/>
        <v>9.59</v>
      </c>
      <c r="BP15" s="278">
        <f t="shared" si="5"/>
        <v>15.698</v>
      </c>
      <c r="BQ15" s="251">
        <f t="shared" si="6"/>
        <v>9.8899999999999988</v>
      </c>
      <c r="BR15" s="279">
        <f t="shared" si="7"/>
        <v>15.308000000000002</v>
      </c>
      <c r="BS15" s="26">
        <f t="shared" si="8"/>
        <v>12.644</v>
      </c>
      <c r="BT15" s="27">
        <f t="shared" si="9"/>
        <v>12.599</v>
      </c>
      <c r="BU15" s="73">
        <f t="shared" si="10"/>
        <v>12.621500000000001</v>
      </c>
    </row>
    <row r="16" spans="1:73" ht="30" x14ac:dyDescent="0.25">
      <c r="A16" s="41" t="s">
        <v>7</v>
      </c>
      <c r="B16" s="41" t="s">
        <v>18</v>
      </c>
      <c r="C16" s="60" t="s">
        <v>31</v>
      </c>
      <c r="D16" s="91" t="s">
        <v>45</v>
      </c>
      <c r="E16" s="92" t="s">
        <v>44</v>
      </c>
      <c r="F16" s="92" t="s">
        <v>45</v>
      </c>
      <c r="G16" s="49">
        <f t="shared" si="0"/>
        <v>0.66</v>
      </c>
      <c r="H16" s="49">
        <f t="shared" si="0"/>
        <v>1</v>
      </c>
      <c r="I16" s="49">
        <f t="shared" si="0"/>
        <v>0.66</v>
      </c>
      <c r="J16" s="83">
        <f t="shared" si="2"/>
        <v>10.75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>
        <v>0.77</v>
      </c>
      <c r="R16" s="246">
        <v>0.92</v>
      </c>
      <c r="S16" s="244">
        <v>0.77</v>
      </c>
      <c r="T16" s="245">
        <v>1</v>
      </c>
      <c r="U16" s="245">
        <v>1</v>
      </c>
      <c r="V16" s="246">
        <v>1</v>
      </c>
      <c r="W16" s="244">
        <v>0.83</v>
      </c>
      <c r="X16" s="245">
        <v>1</v>
      </c>
      <c r="Y16" s="245">
        <v>1</v>
      </c>
      <c r="Z16" s="246">
        <v>1</v>
      </c>
      <c r="AA16" s="244">
        <v>0.44000000000000006</v>
      </c>
      <c r="AB16" s="245">
        <v>0.55000000000000004</v>
      </c>
      <c r="AC16" s="245">
        <v>0.77</v>
      </c>
      <c r="AD16" s="246">
        <v>1</v>
      </c>
      <c r="AE16" s="26">
        <v>0.47000000000000003</v>
      </c>
      <c r="AF16">
        <v>0.55000000000000004</v>
      </c>
      <c r="AG16">
        <v>0.77</v>
      </c>
      <c r="AH16" s="27">
        <v>0.92</v>
      </c>
      <c r="AI16" s="244">
        <v>2.2549999999999999</v>
      </c>
      <c r="AJ16" s="245">
        <v>3.8500000000000005</v>
      </c>
      <c r="AK16" s="245">
        <v>6.16</v>
      </c>
      <c r="AL16" s="246">
        <v>9.1550000000000011</v>
      </c>
      <c r="AM16" s="244">
        <v>2.7399999999999993</v>
      </c>
      <c r="AN16" s="245">
        <v>3.8500000000000005</v>
      </c>
      <c r="AO16" s="245">
        <v>6.16</v>
      </c>
      <c r="AP16" s="246">
        <v>8.129999999999999</v>
      </c>
      <c r="AQ16" s="244">
        <v>1.04</v>
      </c>
      <c r="AR16" s="245">
        <v>2</v>
      </c>
      <c r="AS16" s="245">
        <v>3</v>
      </c>
      <c r="AT16" s="245">
        <v>4.5</v>
      </c>
      <c r="AU16" s="244">
        <v>1.3599999999999999</v>
      </c>
      <c r="AV16" s="245">
        <v>2</v>
      </c>
      <c r="AW16" s="245">
        <v>3</v>
      </c>
      <c r="AX16" s="246">
        <v>4</v>
      </c>
      <c r="AY16" s="244">
        <v>1.1550000000000002</v>
      </c>
      <c r="AZ16" s="245">
        <v>2.4750000000000001</v>
      </c>
      <c r="BA16" s="245">
        <v>4.2350000000000003</v>
      </c>
      <c r="BB16" s="245">
        <v>6.6550000000000002</v>
      </c>
      <c r="BC16" s="244">
        <v>1.5650000000000008</v>
      </c>
      <c r="BD16" s="245">
        <v>2.4750000000000001</v>
      </c>
      <c r="BE16" s="245">
        <v>4.2350000000000003</v>
      </c>
      <c r="BF16" s="246">
        <v>5.830000000000001</v>
      </c>
      <c r="BG16" s="244">
        <f t="shared" si="3"/>
        <v>4.45</v>
      </c>
      <c r="BH16" s="245">
        <f t="shared" si="1"/>
        <v>8.3250000000000011</v>
      </c>
      <c r="BI16" s="245">
        <f t="shared" si="1"/>
        <v>13.395</v>
      </c>
      <c r="BJ16" s="245">
        <f t="shared" si="1"/>
        <v>20.310000000000002</v>
      </c>
      <c r="BK16" s="244">
        <f t="shared" si="1"/>
        <v>5.6650000000000009</v>
      </c>
      <c r="BL16" s="245">
        <f t="shared" si="1"/>
        <v>8.3250000000000011</v>
      </c>
      <c r="BM16" s="245">
        <f t="shared" si="1"/>
        <v>13.395</v>
      </c>
      <c r="BN16" s="245">
        <f t="shared" si="1"/>
        <v>17.96</v>
      </c>
      <c r="BO16" s="251">
        <f t="shared" si="4"/>
        <v>7.5500000000000007</v>
      </c>
      <c r="BP16" s="278">
        <f t="shared" si="5"/>
        <v>14.778</v>
      </c>
      <c r="BQ16" s="251">
        <f t="shared" si="6"/>
        <v>7.793000000000001</v>
      </c>
      <c r="BR16" s="279">
        <f t="shared" si="7"/>
        <v>14.308</v>
      </c>
      <c r="BS16" s="26">
        <f t="shared" si="8"/>
        <v>11.164000000000001</v>
      </c>
      <c r="BT16" s="27">
        <f t="shared" si="9"/>
        <v>11.0505</v>
      </c>
      <c r="BU16" s="73">
        <f t="shared" si="10"/>
        <v>11.107250000000001</v>
      </c>
    </row>
    <row r="17" spans="1:73" x14ac:dyDescent="0.25">
      <c r="A17" s="41" t="s">
        <v>8</v>
      </c>
      <c r="B17" s="41" t="s">
        <v>19</v>
      </c>
      <c r="C17" s="60" t="s">
        <v>32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>
        <v>1</v>
      </c>
      <c r="R17" s="246">
        <v>1</v>
      </c>
      <c r="S17" s="244">
        <v>0.44000000000000006</v>
      </c>
      <c r="T17" s="245">
        <v>0.55000000000000004</v>
      </c>
      <c r="U17" s="245">
        <v>0.77</v>
      </c>
      <c r="V17" s="246">
        <v>1</v>
      </c>
      <c r="W17" s="244">
        <v>0.47000000000000003</v>
      </c>
      <c r="X17" s="245">
        <v>0.55000000000000004</v>
      </c>
      <c r="Y17" s="245">
        <v>0.77</v>
      </c>
      <c r="Z17" s="246">
        <v>0.92</v>
      </c>
      <c r="AA17" s="244">
        <v>0</v>
      </c>
      <c r="AB17" s="245">
        <v>0.22000000000000003</v>
      </c>
      <c r="AC17" s="245">
        <v>0.44</v>
      </c>
      <c r="AD17" s="246">
        <v>0.55000000000000004</v>
      </c>
      <c r="AE17" s="26">
        <v>0.06</v>
      </c>
      <c r="AF17">
        <v>0.22000000000000003</v>
      </c>
      <c r="AG17">
        <v>0.44</v>
      </c>
      <c r="AH17" s="27">
        <v>0.52</v>
      </c>
      <c r="AI17" s="244">
        <v>3.8900000000000006</v>
      </c>
      <c r="AJ17" s="245">
        <v>7</v>
      </c>
      <c r="AK17" s="245">
        <v>8</v>
      </c>
      <c r="AL17" s="246">
        <v>9.5</v>
      </c>
      <c r="AM17" s="244">
        <v>4.8099999999999987</v>
      </c>
      <c r="AN17" s="245">
        <v>7</v>
      </c>
      <c r="AO17" s="245">
        <v>8</v>
      </c>
      <c r="AP17" s="246">
        <v>9</v>
      </c>
      <c r="AQ17" s="244">
        <v>0.60499999999999998</v>
      </c>
      <c r="AR17" s="245">
        <v>1.1000000000000001</v>
      </c>
      <c r="AS17" s="245">
        <v>2.31</v>
      </c>
      <c r="AT17" s="245">
        <v>4.1549999999999994</v>
      </c>
      <c r="AU17" s="244">
        <v>0.77499999999999991</v>
      </c>
      <c r="AV17" s="245">
        <v>1.1000000000000001</v>
      </c>
      <c r="AW17" s="245">
        <v>2.31</v>
      </c>
      <c r="AX17" s="246">
        <v>3.53</v>
      </c>
      <c r="AY17" s="244">
        <v>0</v>
      </c>
      <c r="AZ17" s="245">
        <v>0.9900000000000001</v>
      </c>
      <c r="BA17" s="245">
        <v>2.42</v>
      </c>
      <c r="BB17" s="245">
        <v>3.6850000000000005</v>
      </c>
      <c r="BC17" s="244">
        <v>4.9999999999999933E-2</v>
      </c>
      <c r="BD17" s="245">
        <v>0.9900000000000001</v>
      </c>
      <c r="BE17" s="245">
        <v>2.42</v>
      </c>
      <c r="BF17" s="246">
        <v>3.3000000000000007</v>
      </c>
      <c r="BG17" s="244">
        <f t="shared" si="3"/>
        <v>4.495000000000001</v>
      </c>
      <c r="BH17" s="245">
        <f t="shared" si="1"/>
        <v>9.09</v>
      </c>
      <c r="BI17" s="245">
        <f t="shared" si="1"/>
        <v>12.73</v>
      </c>
      <c r="BJ17" s="245">
        <f t="shared" si="1"/>
        <v>17.34</v>
      </c>
      <c r="BK17" s="244">
        <f t="shared" si="1"/>
        <v>5.6349999999999989</v>
      </c>
      <c r="BL17" s="245">
        <f t="shared" si="1"/>
        <v>9.09</v>
      </c>
      <c r="BM17" s="245">
        <f t="shared" si="1"/>
        <v>12.73</v>
      </c>
      <c r="BN17" s="245">
        <f t="shared" si="1"/>
        <v>15.83</v>
      </c>
      <c r="BO17" s="251">
        <f t="shared" si="4"/>
        <v>8.1709999999999994</v>
      </c>
      <c r="BP17" s="278">
        <f t="shared" si="5"/>
        <v>13.652000000000001</v>
      </c>
      <c r="BQ17" s="251">
        <f t="shared" si="6"/>
        <v>8.3989999999999991</v>
      </c>
      <c r="BR17" s="279">
        <f t="shared" si="7"/>
        <v>13.350000000000001</v>
      </c>
      <c r="BS17" s="26">
        <f t="shared" si="8"/>
        <v>10.9115</v>
      </c>
      <c r="BT17" s="27">
        <f t="shared" si="9"/>
        <v>10.874500000000001</v>
      </c>
      <c r="BU17" s="73">
        <f t="shared" si="10"/>
        <v>10.893000000000001</v>
      </c>
    </row>
    <row r="18" spans="1:73" ht="30" x14ac:dyDescent="0.25">
      <c r="A18" s="41" t="s">
        <v>9</v>
      </c>
      <c r="B18" s="41" t="s">
        <v>20</v>
      </c>
      <c r="C18" s="60" t="s">
        <v>33</v>
      </c>
      <c r="D18" s="91" t="s">
        <v>44</v>
      </c>
      <c r="E18" s="92" t="s">
        <v>45</v>
      </c>
      <c r="F18" s="92" t="s">
        <v>46</v>
      </c>
      <c r="G18" s="49">
        <f t="shared" si="0"/>
        <v>1</v>
      </c>
      <c r="H18" s="49">
        <f t="shared" si="0"/>
        <v>0.66</v>
      </c>
      <c r="I18" s="49">
        <f t="shared" si="0"/>
        <v>0.33</v>
      </c>
      <c r="J18" s="83">
        <f t="shared" si="2"/>
        <v>10.8</v>
      </c>
      <c r="K18" s="26">
        <v>0.77</v>
      </c>
      <c r="L18">
        <v>1</v>
      </c>
      <c r="M18">
        <v>1</v>
      </c>
      <c r="N18" s="27">
        <v>1</v>
      </c>
      <c r="O18" s="26">
        <v>0.83</v>
      </c>
      <c r="P18">
        <v>1</v>
      </c>
      <c r="Q18">
        <v>1</v>
      </c>
      <c r="R18" s="246">
        <v>1</v>
      </c>
      <c r="S18" s="244">
        <v>0.44000000000000006</v>
      </c>
      <c r="T18" s="245">
        <v>0.55000000000000004</v>
      </c>
      <c r="U18" s="245">
        <v>0.77</v>
      </c>
      <c r="V18" s="246">
        <v>1</v>
      </c>
      <c r="W18" s="244">
        <v>0.47000000000000003</v>
      </c>
      <c r="X18" s="245">
        <v>0.55000000000000004</v>
      </c>
      <c r="Y18" s="245">
        <v>0.77</v>
      </c>
      <c r="Z18" s="246">
        <v>0.92</v>
      </c>
      <c r="AA18" s="244">
        <v>0</v>
      </c>
      <c r="AB18" s="245">
        <v>0.22000000000000003</v>
      </c>
      <c r="AC18" s="245">
        <v>0.44</v>
      </c>
      <c r="AD18" s="246">
        <v>0.55000000000000004</v>
      </c>
      <c r="AE18" s="26">
        <v>0.06</v>
      </c>
      <c r="AF18">
        <v>0.22000000000000003</v>
      </c>
      <c r="AG18">
        <v>0.44</v>
      </c>
      <c r="AH18" s="27">
        <v>0.52</v>
      </c>
      <c r="AI18" s="244">
        <v>3.8900000000000006</v>
      </c>
      <c r="AJ18" s="245">
        <v>7</v>
      </c>
      <c r="AK18" s="245">
        <v>8</v>
      </c>
      <c r="AL18" s="246">
        <v>9.5</v>
      </c>
      <c r="AM18" s="244">
        <v>4.8099999999999987</v>
      </c>
      <c r="AN18" s="245">
        <v>7</v>
      </c>
      <c r="AO18" s="245">
        <v>8</v>
      </c>
      <c r="AP18" s="246">
        <v>9</v>
      </c>
      <c r="AQ18" s="244">
        <v>0.60499999999999998</v>
      </c>
      <c r="AR18" s="245">
        <v>1.1000000000000001</v>
      </c>
      <c r="AS18" s="245">
        <v>2.31</v>
      </c>
      <c r="AT18" s="245">
        <v>4.1549999999999994</v>
      </c>
      <c r="AU18" s="244">
        <v>0.77499999999999991</v>
      </c>
      <c r="AV18" s="245">
        <v>1.1000000000000001</v>
      </c>
      <c r="AW18" s="245">
        <v>2.31</v>
      </c>
      <c r="AX18" s="246">
        <v>3.53</v>
      </c>
      <c r="AY18" s="244">
        <v>0</v>
      </c>
      <c r="AZ18" s="245">
        <v>0.9900000000000001</v>
      </c>
      <c r="BA18" s="245">
        <v>2.42</v>
      </c>
      <c r="BB18" s="245">
        <v>3.6850000000000005</v>
      </c>
      <c r="BC18" s="244">
        <v>4.9999999999999933E-2</v>
      </c>
      <c r="BD18" s="245">
        <v>0.9900000000000001</v>
      </c>
      <c r="BE18" s="245">
        <v>2.42</v>
      </c>
      <c r="BF18" s="246">
        <v>3.3000000000000007</v>
      </c>
      <c r="BG18" s="244">
        <f t="shared" si="3"/>
        <v>4.495000000000001</v>
      </c>
      <c r="BH18" s="245">
        <f t="shared" si="1"/>
        <v>9.09</v>
      </c>
      <c r="BI18" s="245">
        <f t="shared" si="1"/>
        <v>12.73</v>
      </c>
      <c r="BJ18" s="245">
        <f t="shared" si="1"/>
        <v>17.34</v>
      </c>
      <c r="BK18" s="244">
        <f t="shared" si="1"/>
        <v>5.6349999999999989</v>
      </c>
      <c r="BL18" s="245">
        <f t="shared" si="1"/>
        <v>9.09</v>
      </c>
      <c r="BM18" s="245">
        <f t="shared" si="1"/>
        <v>12.73</v>
      </c>
      <c r="BN18" s="245">
        <f t="shared" si="1"/>
        <v>15.83</v>
      </c>
      <c r="BO18" s="251">
        <f t="shared" si="4"/>
        <v>8.1709999999999994</v>
      </c>
      <c r="BP18" s="278">
        <f t="shared" si="5"/>
        <v>13.652000000000001</v>
      </c>
      <c r="BQ18" s="251">
        <f t="shared" si="6"/>
        <v>8.3989999999999991</v>
      </c>
      <c r="BR18" s="279">
        <f t="shared" si="7"/>
        <v>13.350000000000001</v>
      </c>
      <c r="BS18" s="26">
        <f t="shared" si="8"/>
        <v>10.9115</v>
      </c>
      <c r="BT18" s="27">
        <f t="shared" si="9"/>
        <v>10.874500000000001</v>
      </c>
      <c r="BU18" s="73">
        <f t="shared" si="10"/>
        <v>10.893000000000001</v>
      </c>
    </row>
    <row r="19" spans="1:73" ht="30" x14ac:dyDescent="0.25">
      <c r="A19" s="41" t="s">
        <v>10</v>
      </c>
      <c r="B19" s="41" t="s">
        <v>21</v>
      </c>
      <c r="C19" s="60" t="s">
        <v>22</v>
      </c>
      <c r="D19" s="91" t="s">
        <v>45</v>
      </c>
      <c r="E19" s="92" t="s">
        <v>44</v>
      </c>
      <c r="F19" s="92" t="s">
        <v>44</v>
      </c>
      <c r="G19" s="49">
        <f t="shared" si="0"/>
        <v>0.66</v>
      </c>
      <c r="H19" s="49">
        <f t="shared" si="0"/>
        <v>1</v>
      </c>
      <c r="I19" s="49">
        <f t="shared" si="0"/>
        <v>1</v>
      </c>
      <c r="J19" s="83">
        <f t="shared" si="2"/>
        <v>12.45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>
        <v>0.55000000000000004</v>
      </c>
      <c r="Q19">
        <v>0.77</v>
      </c>
      <c r="R19" s="246">
        <v>0.92</v>
      </c>
      <c r="S19" s="244">
        <v>0.77</v>
      </c>
      <c r="T19" s="245">
        <v>1</v>
      </c>
      <c r="U19" s="245">
        <v>1</v>
      </c>
      <c r="V19" s="246">
        <v>1</v>
      </c>
      <c r="W19" s="244">
        <v>0.83</v>
      </c>
      <c r="X19" s="245">
        <v>1</v>
      </c>
      <c r="Y19" s="245">
        <v>1</v>
      </c>
      <c r="Z19" s="246">
        <v>1</v>
      </c>
      <c r="AA19" s="244">
        <v>0.77</v>
      </c>
      <c r="AB19" s="245">
        <v>1</v>
      </c>
      <c r="AC19" s="245">
        <v>1</v>
      </c>
      <c r="AD19" s="246">
        <v>1</v>
      </c>
      <c r="AE19" s="26">
        <v>0.83</v>
      </c>
      <c r="AF19">
        <v>1</v>
      </c>
      <c r="AG19">
        <v>1</v>
      </c>
      <c r="AH19" s="27">
        <v>1</v>
      </c>
      <c r="AI19" s="244">
        <v>2.2549999999999999</v>
      </c>
      <c r="AJ19" s="245">
        <v>3.8500000000000005</v>
      </c>
      <c r="AK19" s="245">
        <v>6.16</v>
      </c>
      <c r="AL19" s="246">
        <v>9.1550000000000011</v>
      </c>
      <c r="AM19" s="244">
        <v>2.7399999999999993</v>
      </c>
      <c r="AN19" s="245">
        <v>3.8500000000000005</v>
      </c>
      <c r="AO19" s="245">
        <v>6.16</v>
      </c>
      <c r="AP19" s="246">
        <v>8.129999999999999</v>
      </c>
      <c r="AQ19" s="244">
        <v>1.04</v>
      </c>
      <c r="AR19" s="245">
        <v>2</v>
      </c>
      <c r="AS19" s="245">
        <v>3</v>
      </c>
      <c r="AT19" s="245">
        <v>4.5</v>
      </c>
      <c r="AU19" s="244">
        <v>1.3599999999999999</v>
      </c>
      <c r="AV19" s="245">
        <v>2</v>
      </c>
      <c r="AW19" s="245">
        <v>3</v>
      </c>
      <c r="AX19" s="246">
        <v>4</v>
      </c>
      <c r="AY19" s="244">
        <v>1.9649999999999999</v>
      </c>
      <c r="AZ19" s="245">
        <v>4.5</v>
      </c>
      <c r="BA19" s="245">
        <v>5.5</v>
      </c>
      <c r="BB19" s="245">
        <v>7</v>
      </c>
      <c r="BC19" s="244">
        <v>2.7349999999999994</v>
      </c>
      <c r="BD19" s="245">
        <v>4.5</v>
      </c>
      <c r="BE19" s="245">
        <v>5.5</v>
      </c>
      <c r="BF19" s="246">
        <v>6.5</v>
      </c>
      <c r="BG19" s="244">
        <f t="shared" si="3"/>
        <v>5.26</v>
      </c>
      <c r="BH19" s="245">
        <f t="shared" si="1"/>
        <v>10.350000000000001</v>
      </c>
      <c r="BI19" s="245">
        <f t="shared" si="1"/>
        <v>14.66</v>
      </c>
      <c r="BJ19" s="245">
        <f t="shared" si="1"/>
        <v>20.655000000000001</v>
      </c>
      <c r="BK19" s="244">
        <f t="shared" si="1"/>
        <v>6.8349999999999991</v>
      </c>
      <c r="BL19" s="245">
        <f t="shared" si="1"/>
        <v>10.350000000000001</v>
      </c>
      <c r="BM19" s="245">
        <f t="shared" si="1"/>
        <v>14.66</v>
      </c>
      <c r="BN19" s="245">
        <f t="shared" si="1"/>
        <v>18.63</v>
      </c>
      <c r="BO19" s="251">
        <f t="shared" si="4"/>
        <v>9.3320000000000007</v>
      </c>
      <c r="BP19" s="278">
        <f t="shared" si="5"/>
        <v>15.859000000000002</v>
      </c>
      <c r="BQ19" s="251">
        <f t="shared" si="6"/>
        <v>9.6470000000000002</v>
      </c>
      <c r="BR19" s="279">
        <f t="shared" si="7"/>
        <v>15.454000000000001</v>
      </c>
      <c r="BS19" s="26">
        <f t="shared" si="8"/>
        <v>12.595500000000001</v>
      </c>
      <c r="BT19" s="27">
        <f t="shared" si="9"/>
        <v>12.5505</v>
      </c>
      <c r="BU19" s="73">
        <f t="shared" si="10"/>
        <v>12.573</v>
      </c>
    </row>
    <row r="20" spans="1:73" ht="36.75" customHeight="1" x14ac:dyDescent="0.25">
      <c r="A20" s="41" t="s">
        <v>11</v>
      </c>
      <c r="B20" s="41" t="s">
        <v>23</v>
      </c>
      <c r="C20" s="60" t="s">
        <v>34</v>
      </c>
      <c r="D20" s="91" t="s">
        <v>45</v>
      </c>
      <c r="E20" s="92" t="s">
        <v>44</v>
      </c>
      <c r="F20" s="92" t="s">
        <v>45</v>
      </c>
      <c r="G20" s="49">
        <f t="shared" si="0"/>
        <v>0.66</v>
      </c>
      <c r="H20" s="49">
        <f t="shared" si="0"/>
        <v>1</v>
      </c>
      <c r="I20" s="49">
        <f t="shared" si="0"/>
        <v>0.66</v>
      </c>
      <c r="J20" s="83">
        <f t="shared" si="2"/>
        <v>10.75</v>
      </c>
      <c r="K20" s="26">
        <v>0.44000000000000006</v>
      </c>
      <c r="L20">
        <v>0.55000000000000004</v>
      </c>
      <c r="M20">
        <v>0.77</v>
      </c>
      <c r="N20" s="27">
        <v>1</v>
      </c>
      <c r="O20" s="26">
        <v>0.47000000000000003</v>
      </c>
      <c r="P20">
        <v>0.55000000000000004</v>
      </c>
      <c r="Q20">
        <v>0.77</v>
      </c>
      <c r="R20" s="246">
        <v>0.92</v>
      </c>
      <c r="S20" s="244">
        <v>0.77</v>
      </c>
      <c r="T20" s="245">
        <v>1</v>
      </c>
      <c r="U20" s="245">
        <v>1</v>
      </c>
      <c r="V20" s="246">
        <v>1</v>
      </c>
      <c r="W20" s="244">
        <v>0.83</v>
      </c>
      <c r="X20" s="245">
        <v>1</v>
      </c>
      <c r="Y20" s="245">
        <v>1</v>
      </c>
      <c r="Z20" s="246">
        <v>1</v>
      </c>
      <c r="AA20" s="244">
        <v>0.44000000000000006</v>
      </c>
      <c r="AB20" s="245">
        <v>0.55000000000000004</v>
      </c>
      <c r="AC20" s="245">
        <v>0.77</v>
      </c>
      <c r="AD20" s="246">
        <v>1</v>
      </c>
      <c r="AE20" s="26">
        <v>0.47000000000000003</v>
      </c>
      <c r="AF20">
        <v>0.55000000000000004</v>
      </c>
      <c r="AG20">
        <v>0.77</v>
      </c>
      <c r="AH20" s="27">
        <v>0.92</v>
      </c>
      <c r="AI20" s="244">
        <v>2.2549999999999999</v>
      </c>
      <c r="AJ20" s="245">
        <v>3.8500000000000005</v>
      </c>
      <c r="AK20" s="245">
        <v>6.16</v>
      </c>
      <c r="AL20" s="246">
        <v>9.1550000000000011</v>
      </c>
      <c r="AM20" s="244">
        <v>2.7399999999999993</v>
      </c>
      <c r="AN20" s="245">
        <v>3.8500000000000005</v>
      </c>
      <c r="AO20" s="245">
        <v>6.16</v>
      </c>
      <c r="AP20" s="246">
        <v>8.129999999999999</v>
      </c>
      <c r="AQ20" s="244">
        <v>1.04</v>
      </c>
      <c r="AR20" s="245">
        <v>2</v>
      </c>
      <c r="AS20" s="245">
        <v>3</v>
      </c>
      <c r="AT20" s="245">
        <v>4.5</v>
      </c>
      <c r="AU20" s="244">
        <v>1.3599999999999999</v>
      </c>
      <c r="AV20" s="245">
        <v>2</v>
      </c>
      <c r="AW20" s="245">
        <v>3</v>
      </c>
      <c r="AX20" s="246">
        <v>4</v>
      </c>
      <c r="AY20" s="244">
        <v>1.1550000000000002</v>
      </c>
      <c r="AZ20" s="245">
        <v>2.4750000000000001</v>
      </c>
      <c r="BA20" s="245">
        <v>4.2350000000000003</v>
      </c>
      <c r="BB20" s="245">
        <v>6.6550000000000002</v>
      </c>
      <c r="BC20" s="244">
        <v>1.5650000000000008</v>
      </c>
      <c r="BD20" s="245">
        <v>2.4750000000000001</v>
      </c>
      <c r="BE20" s="245">
        <v>4.2350000000000003</v>
      </c>
      <c r="BF20" s="246">
        <v>5.830000000000001</v>
      </c>
      <c r="BG20" s="244">
        <f t="shared" si="3"/>
        <v>4.45</v>
      </c>
      <c r="BH20" s="245">
        <f t="shared" si="1"/>
        <v>8.3250000000000011</v>
      </c>
      <c r="BI20" s="245">
        <f t="shared" si="1"/>
        <v>13.395</v>
      </c>
      <c r="BJ20" s="245">
        <f t="shared" si="1"/>
        <v>20.310000000000002</v>
      </c>
      <c r="BK20" s="244">
        <f t="shared" si="1"/>
        <v>5.6650000000000009</v>
      </c>
      <c r="BL20" s="245">
        <f t="shared" si="1"/>
        <v>8.3250000000000011</v>
      </c>
      <c r="BM20" s="245">
        <f t="shared" si="1"/>
        <v>13.395</v>
      </c>
      <c r="BN20" s="245">
        <f t="shared" si="1"/>
        <v>17.96</v>
      </c>
      <c r="BO20" s="251">
        <f t="shared" si="4"/>
        <v>7.5500000000000007</v>
      </c>
      <c r="BP20" s="278">
        <f t="shared" si="5"/>
        <v>14.778</v>
      </c>
      <c r="BQ20" s="251">
        <f t="shared" si="6"/>
        <v>7.793000000000001</v>
      </c>
      <c r="BR20" s="279">
        <f t="shared" si="7"/>
        <v>14.308</v>
      </c>
      <c r="BS20" s="26">
        <f t="shared" si="8"/>
        <v>11.164000000000001</v>
      </c>
      <c r="BT20" s="27">
        <f t="shared" si="9"/>
        <v>11.0505</v>
      </c>
      <c r="BU20" s="73">
        <f t="shared" si="10"/>
        <v>11.107250000000001</v>
      </c>
    </row>
    <row r="21" spans="1:73" ht="30.75" thickBot="1" x14ac:dyDescent="0.3">
      <c r="A21" s="41" t="s">
        <v>12</v>
      </c>
      <c r="B21" s="41" t="s">
        <v>24</v>
      </c>
      <c r="C21" s="60" t="s">
        <v>35</v>
      </c>
      <c r="D21" s="93" t="s">
        <v>46</v>
      </c>
      <c r="E21" s="94" t="s">
        <v>44</v>
      </c>
      <c r="F21" s="94" t="s">
        <v>45</v>
      </c>
      <c r="G21" s="62">
        <f t="shared" si="0"/>
        <v>0.33</v>
      </c>
      <c r="H21" s="62">
        <f t="shared" si="0"/>
        <v>1</v>
      </c>
      <c r="I21" s="62">
        <f t="shared" si="0"/>
        <v>0.66</v>
      </c>
      <c r="J21" s="84">
        <f t="shared" si="2"/>
        <v>8.2750000000000004</v>
      </c>
      <c r="K21" s="30">
        <v>0</v>
      </c>
      <c r="L21" s="32">
        <v>0.22000000000000003</v>
      </c>
      <c r="M21" s="32">
        <v>0.44</v>
      </c>
      <c r="N21" s="33">
        <v>0.55000000000000004</v>
      </c>
      <c r="O21" s="30">
        <v>0.06</v>
      </c>
      <c r="P21" s="32">
        <v>0.22000000000000003</v>
      </c>
      <c r="Q21" s="32">
        <v>0.44</v>
      </c>
      <c r="R21" s="249">
        <v>0.52</v>
      </c>
      <c r="S21" s="247">
        <v>0.77</v>
      </c>
      <c r="T21" s="248">
        <v>1</v>
      </c>
      <c r="U21" s="248">
        <v>1</v>
      </c>
      <c r="V21" s="249">
        <v>1</v>
      </c>
      <c r="W21" s="247">
        <v>0.83</v>
      </c>
      <c r="X21" s="248">
        <v>1</v>
      </c>
      <c r="Y21" s="248">
        <v>1</v>
      </c>
      <c r="Z21" s="249">
        <v>1</v>
      </c>
      <c r="AA21" s="247">
        <v>0.44000000000000006</v>
      </c>
      <c r="AB21" s="248">
        <v>0.55000000000000004</v>
      </c>
      <c r="AC21" s="248">
        <v>0.77</v>
      </c>
      <c r="AD21" s="249">
        <v>1</v>
      </c>
      <c r="AE21" s="30">
        <v>0.47000000000000003</v>
      </c>
      <c r="AF21" s="32">
        <v>0.55000000000000004</v>
      </c>
      <c r="AG21" s="32">
        <v>0.77</v>
      </c>
      <c r="AH21" s="33">
        <v>0.92</v>
      </c>
      <c r="AI21" s="247">
        <v>0</v>
      </c>
      <c r="AJ21" s="248">
        <v>1.5400000000000003</v>
      </c>
      <c r="AK21" s="248">
        <v>3.52</v>
      </c>
      <c r="AL21" s="249">
        <v>5.0600000000000005</v>
      </c>
      <c r="AM21" s="247">
        <v>0.19999999999999996</v>
      </c>
      <c r="AN21" s="248">
        <v>1.5400000000000003</v>
      </c>
      <c r="AO21" s="248">
        <v>3.52</v>
      </c>
      <c r="AP21" s="249">
        <v>4.6000000000000014</v>
      </c>
      <c r="AQ21" s="247">
        <v>1.04</v>
      </c>
      <c r="AR21" s="248">
        <v>2</v>
      </c>
      <c r="AS21" s="248">
        <v>3</v>
      </c>
      <c r="AT21" s="248">
        <v>4.5</v>
      </c>
      <c r="AU21" s="247">
        <v>1.3599999999999999</v>
      </c>
      <c r="AV21" s="248">
        <v>2</v>
      </c>
      <c r="AW21" s="248">
        <v>3</v>
      </c>
      <c r="AX21" s="249">
        <v>4</v>
      </c>
      <c r="AY21" s="247">
        <v>1.1550000000000002</v>
      </c>
      <c r="AZ21" s="248">
        <v>2.4750000000000001</v>
      </c>
      <c r="BA21" s="248">
        <v>4.2350000000000003</v>
      </c>
      <c r="BB21" s="248">
        <v>6.6550000000000002</v>
      </c>
      <c r="BC21" s="247">
        <v>1.5650000000000008</v>
      </c>
      <c r="BD21" s="248">
        <v>2.4750000000000001</v>
      </c>
      <c r="BE21" s="248">
        <v>4.2350000000000003</v>
      </c>
      <c r="BF21" s="249">
        <v>5.830000000000001</v>
      </c>
      <c r="BG21" s="247">
        <f t="shared" si="3"/>
        <v>2.1950000000000003</v>
      </c>
      <c r="BH21" s="248">
        <f t="shared" si="1"/>
        <v>6.0150000000000006</v>
      </c>
      <c r="BI21" s="248">
        <f t="shared" si="1"/>
        <v>10.754999999999999</v>
      </c>
      <c r="BJ21" s="248">
        <f t="shared" si="1"/>
        <v>16.215</v>
      </c>
      <c r="BK21" s="247">
        <f t="shared" si="1"/>
        <v>3.1250000000000009</v>
      </c>
      <c r="BL21" s="248">
        <f t="shared" si="1"/>
        <v>6.0150000000000006</v>
      </c>
      <c r="BM21" s="248">
        <f t="shared" si="1"/>
        <v>10.754999999999999</v>
      </c>
      <c r="BN21" s="248">
        <f t="shared" si="1"/>
        <v>14.430000000000003</v>
      </c>
      <c r="BO21" s="252">
        <f t="shared" si="4"/>
        <v>5.2510000000000012</v>
      </c>
      <c r="BP21" s="281">
        <f t="shared" si="5"/>
        <v>11.846999999999998</v>
      </c>
      <c r="BQ21" s="252">
        <f t="shared" si="6"/>
        <v>5.4370000000000012</v>
      </c>
      <c r="BR21" s="282">
        <f t="shared" si="7"/>
        <v>11.489999999999998</v>
      </c>
      <c r="BS21" s="30">
        <f t="shared" si="8"/>
        <v>8.5489999999999995</v>
      </c>
      <c r="BT21" s="33">
        <f t="shared" si="9"/>
        <v>8.4634999999999998</v>
      </c>
      <c r="BU21" s="74">
        <f t="shared" si="10"/>
        <v>8.5062499999999996</v>
      </c>
    </row>
    <row r="22" spans="1:73" x14ac:dyDescent="0.25">
      <c r="BF22" s="284"/>
      <c r="BG22" s="285"/>
      <c r="BH22" s="285"/>
      <c r="BI22" s="285"/>
      <c r="BJ22" s="285"/>
      <c r="BK22" s="285"/>
    </row>
    <row r="23" spans="1:73" x14ac:dyDescent="0.25">
      <c r="A23" s="1" t="s">
        <v>119</v>
      </c>
      <c r="B23" s="1"/>
    </row>
    <row r="24" spans="1:73" ht="15.75" thickBot="1" x14ac:dyDescent="0.3">
      <c r="A24" s="46" t="s">
        <v>43</v>
      </c>
      <c r="B24" s="47" t="s">
        <v>55</v>
      </c>
      <c r="E24" s="51" t="s">
        <v>3</v>
      </c>
      <c r="I24" t="s">
        <v>4</v>
      </c>
    </row>
    <row r="25" spans="1:73" x14ac:dyDescent="0.25">
      <c r="A25" s="45" t="s">
        <v>47</v>
      </c>
      <c r="B25" s="2">
        <v>0</v>
      </c>
      <c r="C25" s="18">
        <v>0</v>
      </c>
      <c r="D25" s="19" t="s">
        <v>47</v>
      </c>
      <c r="E25" s="20">
        <v>0</v>
      </c>
      <c r="F25" s="21">
        <f>C25</f>
        <v>0</v>
      </c>
      <c r="G25" s="22">
        <v>0</v>
      </c>
      <c r="H25" s="23">
        <v>0.22</v>
      </c>
      <c r="I25" s="24">
        <v>0</v>
      </c>
      <c r="J25" s="22">
        <f>F25</f>
        <v>0</v>
      </c>
      <c r="K25" s="22">
        <f>G25</f>
        <v>0</v>
      </c>
      <c r="L25" s="25">
        <v>0.15</v>
      </c>
    </row>
    <row r="26" spans="1:73" x14ac:dyDescent="0.25">
      <c r="A26" s="45" t="s">
        <v>46</v>
      </c>
      <c r="B26" s="2">
        <v>0.33</v>
      </c>
      <c r="C26" s="18">
        <v>0.33</v>
      </c>
      <c r="D26" s="19" t="s">
        <v>46</v>
      </c>
      <c r="E26" s="26">
        <v>0</v>
      </c>
      <c r="F26" s="50">
        <f>C26-0.11</f>
        <v>0.22000000000000003</v>
      </c>
      <c r="G26">
        <f>C26+0.11</f>
        <v>0.44</v>
      </c>
      <c r="H26" s="27">
        <f t="shared" ref="H26" si="11">G26+0.11</f>
        <v>0.55000000000000004</v>
      </c>
      <c r="I26" s="28">
        <v>0.06</v>
      </c>
      <c r="J26">
        <f t="shared" ref="J26:K28" si="12">F26</f>
        <v>0.22000000000000003</v>
      </c>
      <c r="K26">
        <f t="shared" si="12"/>
        <v>0.44</v>
      </c>
      <c r="L26" s="29">
        <f t="shared" ref="L26" si="13">K26+0.08</f>
        <v>0.52</v>
      </c>
    </row>
    <row r="27" spans="1:73" x14ac:dyDescent="0.25">
      <c r="A27" s="45" t="s">
        <v>45</v>
      </c>
      <c r="B27" s="2">
        <v>0.66</v>
      </c>
      <c r="C27" s="18">
        <v>0.66</v>
      </c>
      <c r="D27" s="19" t="s">
        <v>45</v>
      </c>
      <c r="E27" s="26">
        <f t="shared" ref="E27" si="14">F27-0.11</f>
        <v>0.44000000000000006</v>
      </c>
      <c r="F27" s="50">
        <f t="shared" ref="F27" si="15">C27-0.11</f>
        <v>0.55000000000000004</v>
      </c>
      <c r="G27">
        <f t="shared" ref="G27" si="16">C27+0.11</f>
        <v>0.77</v>
      </c>
      <c r="H27" s="27">
        <v>1</v>
      </c>
      <c r="I27" s="28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29">
        <v>0.92</v>
      </c>
    </row>
    <row r="28" spans="1:73" ht="15.75" thickBot="1" x14ac:dyDescent="0.3">
      <c r="A28" s="45" t="s">
        <v>44</v>
      </c>
      <c r="B28" s="2">
        <v>1</v>
      </c>
      <c r="C28" s="18">
        <v>1</v>
      </c>
      <c r="D28" s="19" t="s">
        <v>44</v>
      </c>
      <c r="E28" s="30">
        <v>0.77</v>
      </c>
      <c r="F28" s="31">
        <v>1</v>
      </c>
      <c r="G28" s="32">
        <v>1</v>
      </c>
      <c r="H28" s="33">
        <v>1</v>
      </c>
      <c r="I28" s="34">
        <v>0.83</v>
      </c>
      <c r="J28" s="32">
        <f t="shared" si="12"/>
        <v>1</v>
      </c>
      <c r="K28" s="32">
        <f t="shared" si="12"/>
        <v>1</v>
      </c>
      <c r="L28" s="35">
        <v>1</v>
      </c>
    </row>
    <row r="29" spans="1:73" x14ac:dyDescent="0.25">
      <c r="A29" s="38"/>
    </row>
    <row r="30" spans="1:73" x14ac:dyDescent="0.25">
      <c r="A30" s="1" t="s">
        <v>121</v>
      </c>
    </row>
    <row r="31" spans="1:73" ht="15.75" thickBot="1" x14ac:dyDescent="0.3">
      <c r="A31" s="46" t="s">
        <v>43</v>
      </c>
      <c r="B31" s="47" t="s">
        <v>56</v>
      </c>
      <c r="E31" s="51" t="s">
        <v>3</v>
      </c>
      <c r="I31" t="s">
        <v>4</v>
      </c>
    </row>
    <row r="32" spans="1:73" x14ac:dyDescent="0.25">
      <c r="A32" s="45" t="s">
        <v>47</v>
      </c>
      <c r="B32" s="2">
        <v>1</v>
      </c>
      <c r="C32" s="18">
        <v>1</v>
      </c>
      <c r="D32" s="19" t="s">
        <v>47</v>
      </c>
      <c r="E32" s="20">
        <v>0</v>
      </c>
      <c r="F32" s="21">
        <v>0.5</v>
      </c>
      <c r="G32" s="22">
        <v>1.5</v>
      </c>
      <c r="H32" s="23">
        <v>2</v>
      </c>
      <c r="I32" s="24">
        <v>0</v>
      </c>
      <c r="J32" s="22">
        <f>F32</f>
        <v>0.5</v>
      </c>
      <c r="K32" s="22">
        <f>G32</f>
        <v>1.5</v>
      </c>
      <c r="L32" s="25">
        <v>1.8</v>
      </c>
    </row>
    <row r="33" spans="1:12" x14ac:dyDescent="0.25">
      <c r="A33" s="45" t="s">
        <v>46</v>
      </c>
      <c r="B33" s="2">
        <v>2.5</v>
      </c>
      <c r="C33" s="18">
        <v>2.5</v>
      </c>
      <c r="D33" s="19" t="s">
        <v>46</v>
      </c>
      <c r="E33" s="26">
        <v>1.5</v>
      </c>
      <c r="F33" s="50">
        <f>C33-0.5</f>
        <v>2</v>
      </c>
      <c r="G33">
        <f>C33+0.5</f>
        <v>3</v>
      </c>
      <c r="H33" s="27">
        <f t="shared" ref="H33:H35" si="18">G33+1.5</f>
        <v>4.5</v>
      </c>
      <c r="I33" s="28">
        <v>1.7</v>
      </c>
      <c r="J33">
        <f t="shared" ref="J33:K35" si="19">F33</f>
        <v>2</v>
      </c>
      <c r="K33">
        <f t="shared" si="19"/>
        <v>3</v>
      </c>
      <c r="L33" s="29">
        <f t="shared" ref="L33:L35" si="20">K33+1</f>
        <v>4</v>
      </c>
    </row>
    <row r="34" spans="1:12" x14ac:dyDescent="0.25">
      <c r="A34" s="45" t="s">
        <v>45</v>
      </c>
      <c r="B34" s="2">
        <v>5</v>
      </c>
      <c r="C34" s="18">
        <v>5</v>
      </c>
      <c r="D34" s="19" t="s">
        <v>45</v>
      </c>
      <c r="E34" s="26">
        <f t="shared" ref="E34:E35" si="21">F34-1.5</f>
        <v>3</v>
      </c>
      <c r="F34" s="50">
        <f>C34-0.5</f>
        <v>4.5</v>
      </c>
      <c r="G34">
        <f>C34+0.5</f>
        <v>5.5</v>
      </c>
      <c r="H34" s="27">
        <f t="shared" si="18"/>
        <v>7</v>
      </c>
      <c r="I34" s="28">
        <f t="shared" ref="I34:I35" si="22">J34-1</f>
        <v>3.5</v>
      </c>
      <c r="J34">
        <f t="shared" si="19"/>
        <v>4.5</v>
      </c>
      <c r="K34">
        <f t="shared" si="19"/>
        <v>5.5</v>
      </c>
      <c r="L34" s="29">
        <f t="shared" si="20"/>
        <v>6.5</v>
      </c>
    </row>
    <row r="35" spans="1:12" ht="15.75" thickBot="1" x14ac:dyDescent="0.3">
      <c r="A35" s="45" t="s">
        <v>44</v>
      </c>
      <c r="B35" s="2">
        <v>7.5</v>
      </c>
      <c r="C35" s="18">
        <v>7.5</v>
      </c>
      <c r="D35" s="19" t="s">
        <v>44</v>
      </c>
      <c r="E35" s="30">
        <f t="shared" si="21"/>
        <v>5.5</v>
      </c>
      <c r="F35" s="31">
        <f>C35-0.5</f>
        <v>7</v>
      </c>
      <c r="G35" s="32">
        <f>C35+0.5</f>
        <v>8</v>
      </c>
      <c r="H35" s="33">
        <f t="shared" si="18"/>
        <v>9.5</v>
      </c>
      <c r="I35" s="34">
        <f t="shared" si="22"/>
        <v>6</v>
      </c>
      <c r="J35" s="32">
        <f t="shared" si="19"/>
        <v>7</v>
      </c>
      <c r="K35" s="32">
        <f t="shared" si="19"/>
        <v>8</v>
      </c>
      <c r="L35" s="35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3" t="s">
        <v>53</v>
      </c>
      <c r="B38" s="52" t="s">
        <v>39</v>
      </c>
      <c r="C38" s="54" t="s">
        <v>48</v>
      </c>
      <c r="D38" s="55" t="s">
        <v>120</v>
      </c>
      <c r="E38" s="217" t="s">
        <v>57</v>
      </c>
      <c r="F38" s="218"/>
      <c r="G38" s="218"/>
      <c r="H38" s="218"/>
      <c r="I38" s="218"/>
      <c r="J38" s="218"/>
      <c r="K38" s="218"/>
      <c r="L38" s="219"/>
    </row>
    <row r="39" spans="1:12" x14ac:dyDescent="0.25">
      <c r="A39" s="64" t="s">
        <v>50</v>
      </c>
      <c r="B39" s="56" t="s">
        <v>40</v>
      </c>
      <c r="C39" s="57" t="s">
        <v>44</v>
      </c>
      <c r="D39" s="88">
        <v>7.5</v>
      </c>
      <c r="E39" s="26">
        <v>5.5</v>
      </c>
      <c r="F39" s="50">
        <v>7</v>
      </c>
      <c r="G39">
        <v>8</v>
      </c>
      <c r="H39" s="27">
        <v>9.5</v>
      </c>
      <c r="I39" s="28">
        <v>6</v>
      </c>
      <c r="J39">
        <v>7</v>
      </c>
      <c r="K39">
        <v>8</v>
      </c>
      <c r="L39" s="29">
        <v>9</v>
      </c>
    </row>
    <row r="40" spans="1:12" x14ac:dyDescent="0.25">
      <c r="A40" s="65" t="s">
        <v>51</v>
      </c>
      <c r="B40" s="43" t="s">
        <v>41</v>
      </c>
      <c r="C40" s="2" t="s">
        <v>46</v>
      </c>
      <c r="D40" s="89">
        <v>2.5</v>
      </c>
      <c r="E40" s="26">
        <v>1.5</v>
      </c>
      <c r="F40" s="50">
        <v>2</v>
      </c>
      <c r="G40">
        <v>3</v>
      </c>
      <c r="H40" s="27">
        <v>4.5</v>
      </c>
      <c r="I40" s="28">
        <v>1.7</v>
      </c>
      <c r="J40">
        <v>2</v>
      </c>
      <c r="K40">
        <v>3</v>
      </c>
      <c r="L40" s="29">
        <v>4</v>
      </c>
    </row>
    <row r="41" spans="1:12" ht="15.75" thickBot="1" x14ac:dyDescent="0.3">
      <c r="A41" s="66" t="s">
        <v>52</v>
      </c>
      <c r="B41" s="58" t="s">
        <v>42</v>
      </c>
      <c r="C41" s="59" t="s">
        <v>45</v>
      </c>
      <c r="D41" s="90">
        <v>5</v>
      </c>
      <c r="E41" s="30">
        <v>3</v>
      </c>
      <c r="F41" s="31">
        <v>4.5</v>
      </c>
      <c r="G41" s="32">
        <v>5.5</v>
      </c>
      <c r="H41" s="33">
        <v>7</v>
      </c>
      <c r="I41" s="34">
        <v>3.5</v>
      </c>
      <c r="J41" s="32">
        <v>4.5</v>
      </c>
      <c r="K41" s="32">
        <v>5.5</v>
      </c>
      <c r="L41" s="35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7" t="s">
        <v>63</v>
      </c>
      <c r="B44" s="68" t="s">
        <v>64</v>
      </c>
      <c r="E44" s="217" t="s">
        <v>65</v>
      </c>
      <c r="F44" s="218"/>
      <c r="G44" s="218"/>
      <c r="H44" s="218"/>
      <c r="I44" s="218"/>
      <c r="J44" s="218"/>
      <c r="K44" s="218"/>
      <c r="L44" s="219"/>
    </row>
    <row r="45" spans="1:12" x14ac:dyDescent="0.25">
      <c r="A45" s="64" t="s">
        <v>60</v>
      </c>
      <c r="B45" s="69" t="s">
        <v>47</v>
      </c>
      <c r="D45" s="72" t="s">
        <v>69</v>
      </c>
      <c r="E45" s="241">
        <f>E25*F$39+E$39*F25-F25*F$39</f>
        <v>0</v>
      </c>
      <c r="F45" s="242">
        <f>F25*F$39</f>
        <v>0</v>
      </c>
      <c r="G45" s="242">
        <f>G25*G$39</f>
        <v>0</v>
      </c>
      <c r="H45" s="243">
        <f>G25*H$39+G$39*H25-G25*G$39</f>
        <v>1.76</v>
      </c>
      <c r="I45" s="241">
        <f>I25*J$39+I$39*J25-J25*J$39</f>
        <v>0</v>
      </c>
      <c r="J45" s="242">
        <f>J25*J$39</f>
        <v>0</v>
      </c>
      <c r="K45" s="242">
        <f>K25*K$39</f>
        <v>0</v>
      </c>
      <c r="L45" s="243">
        <f>K25*L$39+K$39*L25-K25*K$39</f>
        <v>1.2</v>
      </c>
    </row>
    <row r="46" spans="1:12" x14ac:dyDescent="0.25">
      <c r="A46" s="65" t="s">
        <v>60</v>
      </c>
      <c r="B46" s="70" t="s">
        <v>46</v>
      </c>
      <c r="D46" s="73" t="s">
        <v>68</v>
      </c>
      <c r="E46" s="244">
        <f>IF(E26*F$39+E$39*F26-F26*F$39&lt;0,0,E26*F$39+E$39*F26-F26*F$39)</f>
        <v>0</v>
      </c>
      <c r="F46" s="245">
        <f t="shared" ref="F46:G48" si="23">F26*F$39</f>
        <v>1.5400000000000003</v>
      </c>
      <c r="G46" s="245">
        <f t="shared" si="23"/>
        <v>3.52</v>
      </c>
      <c r="H46" s="246">
        <f t="shared" ref="H46:H48" si="24">G26*H$39+G$39*H26-G26*G$39</f>
        <v>5.0600000000000005</v>
      </c>
      <c r="I46" s="244">
        <f t="shared" ref="I46:I48" si="25">I26*J$39+I$39*J26-J26*J$39</f>
        <v>0.19999999999999996</v>
      </c>
      <c r="J46" s="245">
        <f t="shared" ref="J46:K48" si="26">J26*J$39</f>
        <v>1.5400000000000003</v>
      </c>
      <c r="K46" s="245">
        <f t="shared" si="26"/>
        <v>3.52</v>
      </c>
      <c r="L46" s="246">
        <f t="shared" ref="L46:L48" si="27">K26*L$39+K$39*L26-K26*K$39</f>
        <v>4.6000000000000014</v>
      </c>
    </row>
    <row r="47" spans="1:12" x14ac:dyDescent="0.25">
      <c r="A47" s="65" t="s">
        <v>60</v>
      </c>
      <c r="B47" s="70" t="s">
        <v>45</v>
      </c>
      <c r="D47" s="73" t="s">
        <v>67</v>
      </c>
      <c r="E47" s="244">
        <f t="shared" ref="E47:E48" si="28">E27*F$39+E$39*F27-F27*F$39</f>
        <v>2.2549999999999999</v>
      </c>
      <c r="F47" s="245">
        <f t="shared" si="23"/>
        <v>3.8500000000000005</v>
      </c>
      <c r="G47" s="245">
        <f t="shared" si="23"/>
        <v>6.16</v>
      </c>
      <c r="H47" s="246">
        <f t="shared" si="24"/>
        <v>9.1550000000000011</v>
      </c>
      <c r="I47" s="244">
        <f t="shared" si="25"/>
        <v>2.7399999999999993</v>
      </c>
      <c r="J47" s="245">
        <f t="shared" si="26"/>
        <v>3.8500000000000005</v>
      </c>
      <c r="K47" s="245">
        <f t="shared" si="26"/>
        <v>6.16</v>
      </c>
      <c r="L47" s="246">
        <f t="shared" si="27"/>
        <v>8.129999999999999</v>
      </c>
    </row>
    <row r="48" spans="1:12" ht="15.75" thickBot="1" x14ac:dyDescent="0.3">
      <c r="A48" s="66" t="s">
        <v>60</v>
      </c>
      <c r="B48" s="71" t="s">
        <v>44</v>
      </c>
      <c r="D48" s="74" t="s">
        <v>66</v>
      </c>
      <c r="E48" s="247">
        <f t="shared" si="28"/>
        <v>3.8900000000000006</v>
      </c>
      <c r="F48" s="248">
        <f t="shared" si="23"/>
        <v>7</v>
      </c>
      <c r="G48" s="248">
        <f t="shared" si="23"/>
        <v>8</v>
      </c>
      <c r="H48" s="249">
        <f t="shared" si="24"/>
        <v>9.5</v>
      </c>
      <c r="I48" s="247">
        <f t="shared" si="25"/>
        <v>4.8099999999999987</v>
      </c>
      <c r="J48" s="248">
        <f t="shared" si="26"/>
        <v>7</v>
      </c>
      <c r="K48" s="248">
        <f t="shared" si="26"/>
        <v>8</v>
      </c>
      <c r="L48" s="249">
        <f t="shared" si="27"/>
        <v>9</v>
      </c>
    </row>
    <row r="49" spans="1:73" x14ac:dyDescent="0.25">
      <c r="A49" s="64" t="s">
        <v>61</v>
      </c>
      <c r="B49" s="69" t="s">
        <v>47</v>
      </c>
      <c r="D49" s="72" t="s">
        <v>70</v>
      </c>
      <c r="E49" s="241">
        <f>E25*F$40+E$40*F25-F25*F$40</f>
        <v>0</v>
      </c>
      <c r="F49" s="242">
        <f>F25*F$40</f>
        <v>0</v>
      </c>
      <c r="G49" s="242">
        <f>G25*G$40</f>
        <v>0</v>
      </c>
      <c r="H49" s="243">
        <f>G25*H$40+G$40*H25-G25*G$40</f>
        <v>0.66</v>
      </c>
      <c r="I49" s="241">
        <f>I25*J$40+I$40*J25-J25*J$40</f>
        <v>0</v>
      </c>
      <c r="J49" s="242">
        <f>J25*J$40</f>
        <v>0</v>
      </c>
      <c r="K49" s="242">
        <f>K25*K$40</f>
        <v>0</v>
      </c>
      <c r="L49" s="243">
        <f>K25*L$40+K$40*L25-K25*K$40</f>
        <v>0.44999999999999996</v>
      </c>
    </row>
    <row r="50" spans="1:73" x14ac:dyDescent="0.25">
      <c r="A50" s="65" t="s">
        <v>61</v>
      </c>
      <c r="B50" s="70" t="s">
        <v>46</v>
      </c>
      <c r="D50" s="73" t="s">
        <v>75</v>
      </c>
      <c r="E50" s="244">
        <f>IF(E26*F$40+E$40*F26-F26*F$40&lt;0,0,E26*F$40+E$40*F26-F26*F$40)</f>
        <v>0</v>
      </c>
      <c r="F50" s="245">
        <f t="shared" ref="F50:G52" si="29">F26*F$40</f>
        <v>0.44000000000000006</v>
      </c>
      <c r="G50" s="245">
        <f t="shared" si="29"/>
        <v>1.32</v>
      </c>
      <c r="H50" s="246">
        <f t="shared" ref="H50:H52" si="30">G26*H$40+G$40*H26-G26*G$40</f>
        <v>2.3099999999999996</v>
      </c>
      <c r="I50" s="244">
        <f t="shared" ref="I50:I52" si="31">I26*J$40+I$40*J26-J26*J$40</f>
        <v>5.3999999999999992E-2</v>
      </c>
      <c r="J50" s="245">
        <f t="shared" ref="J50:K52" si="32">J26*J$40</f>
        <v>0.44000000000000006</v>
      </c>
      <c r="K50" s="245">
        <f t="shared" si="32"/>
        <v>1.32</v>
      </c>
      <c r="L50" s="246">
        <f t="shared" ref="L50:L52" si="33">K26*L$40+K$40*L26-K26*K$40</f>
        <v>2</v>
      </c>
    </row>
    <row r="51" spans="1:73" x14ac:dyDescent="0.25">
      <c r="A51" s="65" t="s">
        <v>61</v>
      </c>
      <c r="B51" s="70" t="s">
        <v>45</v>
      </c>
      <c r="D51" s="73" t="s">
        <v>76</v>
      </c>
      <c r="E51" s="244">
        <f t="shared" ref="E51:E52" si="34">E27*F$40+E$40*F27-F27*F$40</f>
        <v>0.60499999999999998</v>
      </c>
      <c r="F51" s="245">
        <f t="shared" si="29"/>
        <v>1.1000000000000001</v>
      </c>
      <c r="G51" s="245">
        <f t="shared" si="29"/>
        <v>2.31</v>
      </c>
      <c r="H51" s="246">
        <f t="shared" si="30"/>
        <v>4.1549999999999994</v>
      </c>
      <c r="I51" s="244">
        <f t="shared" si="31"/>
        <v>0.77499999999999991</v>
      </c>
      <c r="J51" s="245">
        <f t="shared" si="32"/>
        <v>1.1000000000000001</v>
      </c>
      <c r="K51" s="245">
        <f t="shared" si="32"/>
        <v>2.31</v>
      </c>
      <c r="L51" s="246">
        <f t="shared" si="33"/>
        <v>3.53</v>
      </c>
    </row>
    <row r="52" spans="1:73" ht="15.75" thickBot="1" x14ac:dyDescent="0.3">
      <c r="A52" s="66" t="s">
        <v>61</v>
      </c>
      <c r="B52" s="71" t="s">
        <v>44</v>
      </c>
      <c r="D52" s="74" t="s">
        <v>77</v>
      </c>
      <c r="E52" s="247">
        <f t="shared" si="34"/>
        <v>1.04</v>
      </c>
      <c r="F52" s="248">
        <f t="shared" si="29"/>
        <v>2</v>
      </c>
      <c r="G52" s="248">
        <f t="shared" si="29"/>
        <v>3</v>
      </c>
      <c r="H52" s="249">
        <f t="shared" si="30"/>
        <v>4.5</v>
      </c>
      <c r="I52" s="247">
        <f t="shared" si="31"/>
        <v>1.3599999999999999</v>
      </c>
      <c r="J52" s="248">
        <f t="shared" si="32"/>
        <v>2</v>
      </c>
      <c r="K52" s="248">
        <f t="shared" si="32"/>
        <v>3</v>
      </c>
      <c r="L52" s="249">
        <f t="shared" si="33"/>
        <v>4</v>
      </c>
    </row>
    <row r="53" spans="1:73" x14ac:dyDescent="0.25">
      <c r="A53" s="64" t="s">
        <v>62</v>
      </c>
      <c r="B53" s="69" t="s">
        <v>47</v>
      </c>
      <c r="D53" s="72" t="s">
        <v>72</v>
      </c>
      <c r="E53" s="244">
        <f>E25*F$41+E$41*F25-F25*F$41</f>
        <v>0</v>
      </c>
      <c r="F53" s="245">
        <f>F25*F$41</f>
        <v>0</v>
      </c>
      <c r="G53" s="245">
        <f>G25*G$41</f>
        <v>0</v>
      </c>
      <c r="H53" s="246">
        <f>G25*H$41+G$41*H25-G25*G$41</f>
        <v>1.21</v>
      </c>
      <c r="I53" s="244">
        <f>I25*J$41+I$41*J25-J25*J$41</f>
        <v>0</v>
      </c>
      <c r="J53" s="245">
        <f>J25*J$41</f>
        <v>0</v>
      </c>
      <c r="K53" s="245">
        <f>K25*K$41</f>
        <v>0</v>
      </c>
      <c r="L53" s="246">
        <f>K25*L$41+K$41*L25-K25*K$41</f>
        <v>0.82499999999999996</v>
      </c>
    </row>
    <row r="54" spans="1:73" x14ac:dyDescent="0.25">
      <c r="A54" s="65" t="s">
        <v>62</v>
      </c>
      <c r="B54" s="70" t="s">
        <v>46</v>
      </c>
      <c r="D54" s="73" t="s">
        <v>71</v>
      </c>
      <c r="E54" s="244">
        <f>IF(E26*F$41+E$41*F26-F26*F$41&lt;0,0,E26*F$41+E$41*F26-F26*F$41)</f>
        <v>0</v>
      </c>
      <c r="F54" s="245">
        <f t="shared" ref="F54:G56" si="35">F26*F$41</f>
        <v>0.9900000000000001</v>
      </c>
      <c r="G54" s="245">
        <f t="shared" si="35"/>
        <v>2.42</v>
      </c>
      <c r="H54" s="246">
        <f t="shared" ref="H54:H56" si="36">G26*H$41+G$41*H26-G26*G$41</f>
        <v>3.6850000000000005</v>
      </c>
      <c r="I54" s="244">
        <f t="shared" ref="I54:I56" si="37">I26*J$41+I$41*J26-J26*J$41</f>
        <v>4.9999999999999933E-2</v>
      </c>
      <c r="J54" s="245">
        <f t="shared" ref="J54:K56" si="38">J26*J$41</f>
        <v>0.9900000000000001</v>
      </c>
      <c r="K54" s="245">
        <f t="shared" si="38"/>
        <v>2.42</v>
      </c>
      <c r="L54" s="246">
        <f t="shared" ref="L54:L56" si="39">K26*L$41+K$41*L26-K26*K$41</f>
        <v>3.3000000000000007</v>
      </c>
    </row>
    <row r="55" spans="1:73" x14ac:dyDescent="0.25">
      <c r="A55" s="65" t="s">
        <v>62</v>
      </c>
      <c r="B55" s="70" t="s">
        <v>45</v>
      </c>
      <c r="D55" s="73" t="s">
        <v>73</v>
      </c>
      <c r="E55" s="244">
        <f t="shared" ref="E55:E56" si="40">E27*F$41+E$41*F27-F27*F$41</f>
        <v>1.1550000000000002</v>
      </c>
      <c r="F55" s="245">
        <f t="shared" si="35"/>
        <v>2.4750000000000001</v>
      </c>
      <c r="G55" s="245">
        <f t="shared" si="35"/>
        <v>4.2350000000000003</v>
      </c>
      <c r="H55" s="246">
        <f t="shared" si="36"/>
        <v>6.6550000000000002</v>
      </c>
      <c r="I55" s="244">
        <f t="shared" si="37"/>
        <v>1.5650000000000008</v>
      </c>
      <c r="J55" s="245">
        <f t="shared" si="38"/>
        <v>2.4750000000000001</v>
      </c>
      <c r="K55" s="245">
        <f t="shared" si="38"/>
        <v>4.2350000000000003</v>
      </c>
      <c r="L55" s="246">
        <f t="shared" si="39"/>
        <v>5.830000000000001</v>
      </c>
    </row>
    <row r="56" spans="1:73" ht="15.75" thickBot="1" x14ac:dyDescent="0.3">
      <c r="A56" s="66" t="s">
        <v>62</v>
      </c>
      <c r="B56" s="71" t="s">
        <v>44</v>
      </c>
      <c r="D56" s="74" t="s">
        <v>74</v>
      </c>
      <c r="E56" s="247">
        <f t="shared" si="40"/>
        <v>1.9649999999999999</v>
      </c>
      <c r="F56" s="248">
        <f t="shared" si="35"/>
        <v>4.5</v>
      </c>
      <c r="G56" s="248">
        <f t="shared" si="35"/>
        <v>5.5</v>
      </c>
      <c r="H56" s="249">
        <f t="shared" si="36"/>
        <v>7</v>
      </c>
      <c r="I56" s="247">
        <f t="shared" si="37"/>
        <v>2.7349999999999994</v>
      </c>
      <c r="J56" s="248">
        <f t="shared" si="38"/>
        <v>4.5</v>
      </c>
      <c r="K56" s="248">
        <f t="shared" si="38"/>
        <v>5.5</v>
      </c>
      <c r="L56" s="249">
        <f t="shared" si="39"/>
        <v>6.5</v>
      </c>
    </row>
    <row r="59" spans="1:73" ht="18.75" x14ac:dyDescent="0.3">
      <c r="A59" s="85" t="s">
        <v>92</v>
      </c>
      <c r="B59" s="38"/>
      <c r="C59" s="38"/>
    </row>
    <row r="60" spans="1:73" x14ac:dyDescent="0.25">
      <c r="A60" s="1" t="s">
        <v>49</v>
      </c>
      <c r="B60" s="38"/>
      <c r="C60" s="38"/>
    </row>
    <row r="61" spans="1:73" ht="15.75" thickBot="1" x14ac:dyDescent="0.3">
      <c r="A61" s="39" t="s">
        <v>97</v>
      </c>
      <c r="B61" s="38"/>
      <c r="C61" s="38"/>
      <c r="BO61" s="245">
        <v>0.8</v>
      </c>
    </row>
    <row r="62" spans="1:73" ht="86.25" customHeight="1" thickBot="1" x14ac:dyDescent="0.3">
      <c r="A62" s="222" t="s">
        <v>26</v>
      </c>
      <c r="B62" s="222" t="s">
        <v>27</v>
      </c>
      <c r="C62" s="223" t="s">
        <v>28</v>
      </c>
      <c r="D62" s="224" t="s">
        <v>58</v>
      </c>
      <c r="E62" s="225"/>
      <c r="F62" s="225"/>
      <c r="G62" s="225" t="s">
        <v>59</v>
      </c>
      <c r="H62" s="225"/>
      <c r="I62" s="225"/>
      <c r="J62" s="220" t="s">
        <v>88</v>
      </c>
      <c r="K62" s="210" t="s">
        <v>81</v>
      </c>
      <c r="L62" s="211"/>
      <c r="M62" s="211"/>
      <c r="N62" s="211"/>
      <c r="O62" s="211"/>
      <c r="P62" s="211"/>
      <c r="Q62" s="211"/>
      <c r="R62" s="212"/>
      <c r="S62" s="261" t="s">
        <v>79</v>
      </c>
      <c r="T62" s="262"/>
      <c r="U62" s="262"/>
      <c r="V62" s="262"/>
      <c r="W62" s="262"/>
      <c r="X62" s="262"/>
      <c r="Y62" s="262"/>
      <c r="Z62" s="263"/>
      <c r="AA62" s="210" t="s">
        <v>80</v>
      </c>
      <c r="AB62" s="211"/>
      <c r="AC62" s="211"/>
      <c r="AD62" s="211"/>
      <c r="AE62" s="211"/>
      <c r="AF62" s="211"/>
      <c r="AG62" s="211"/>
      <c r="AH62" s="212"/>
      <c r="AI62" s="261" t="s">
        <v>78</v>
      </c>
      <c r="AJ62" s="262"/>
      <c r="AK62" s="262"/>
      <c r="AL62" s="262"/>
      <c r="AM62" s="262"/>
      <c r="AN62" s="262"/>
      <c r="AO62" s="262"/>
      <c r="AP62" s="263"/>
      <c r="AQ62" s="261" t="s">
        <v>89</v>
      </c>
      <c r="AR62" s="262"/>
      <c r="AS62" s="262"/>
      <c r="AT62" s="262"/>
      <c r="AU62" s="262"/>
      <c r="AV62" s="262"/>
      <c r="AW62" s="262"/>
      <c r="AX62" s="263"/>
      <c r="AY62" s="261" t="s">
        <v>90</v>
      </c>
      <c r="AZ62" s="262"/>
      <c r="BA62" s="262"/>
      <c r="BB62" s="262"/>
      <c r="BC62" s="262"/>
      <c r="BD62" s="262"/>
      <c r="BE62" s="262"/>
      <c r="BF62" s="263"/>
      <c r="BG62" s="261" t="s">
        <v>134</v>
      </c>
      <c r="BH62" s="262"/>
      <c r="BI62" s="262"/>
      <c r="BJ62" s="262"/>
      <c r="BK62" s="262"/>
      <c r="BL62" s="262"/>
      <c r="BM62" s="262"/>
      <c r="BN62" s="263"/>
      <c r="BO62" s="264" t="s">
        <v>82</v>
      </c>
      <c r="BP62" s="265"/>
      <c r="BQ62" s="265"/>
      <c r="BR62" s="266"/>
      <c r="BS62" s="202" t="s">
        <v>84</v>
      </c>
      <c r="BT62" s="203"/>
      <c r="BU62" s="204" t="s">
        <v>87</v>
      </c>
    </row>
    <row r="63" spans="1:73" s="36" customFormat="1" ht="23.25" customHeight="1" thickBot="1" x14ac:dyDescent="0.3">
      <c r="A63" s="222"/>
      <c r="B63" s="222"/>
      <c r="C63" s="223"/>
      <c r="D63" s="61" t="s">
        <v>50</v>
      </c>
      <c r="E63" s="46" t="s">
        <v>51</v>
      </c>
      <c r="F63" s="46" t="s">
        <v>52</v>
      </c>
      <c r="G63" s="46" t="s">
        <v>50</v>
      </c>
      <c r="H63" s="46" t="s">
        <v>51</v>
      </c>
      <c r="I63" s="46" t="s">
        <v>52</v>
      </c>
      <c r="J63" s="221"/>
      <c r="K63" s="210" t="s">
        <v>3</v>
      </c>
      <c r="L63" s="211"/>
      <c r="M63" s="211"/>
      <c r="N63" s="212"/>
      <c r="O63" s="210" t="s">
        <v>4</v>
      </c>
      <c r="P63" s="211"/>
      <c r="Q63" s="211"/>
      <c r="R63" s="212"/>
      <c r="S63" s="261" t="s">
        <v>3</v>
      </c>
      <c r="T63" s="262"/>
      <c r="U63" s="262"/>
      <c r="V63" s="263"/>
      <c r="W63" s="261" t="s">
        <v>4</v>
      </c>
      <c r="X63" s="262"/>
      <c r="Y63" s="262"/>
      <c r="Z63" s="263"/>
      <c r="AA63" s="261" t="s">
        <v>3</v>
      </c>
      <c r="AB63" s="262"/>
      <c r="AC63" s="262"/>
      <c r="AD63" s="263"/>
      <c r="AE63" s="210" t="s">
        <v>4</v>
      </c>
      <c r="AF63" s="211"/>
      <c r="AG63" s="211"/>
      <c r="AH63" s="212"/>
      <c r="AI63" s="261" t="s">
        <v>3</v>
      </c>
      <c r="AJ63" s="262"/>
      <c r="AK63" s="262"/>
      <c r="AL63" s="263"/>
      <c r="AM63" s="261" t="s">
        <v>4</v>
      </c>
      <c r="AN63" s="262"/>
      <c r="AO63" s="262"/>
      <c r="AP63" s="263"/>
      <c r="AQ63" s="261" t="s">
        <v>3</v>
      </c>
      <c r="AR63" s="262"/>
      <c r="AS63" s="262"/>
      <c r="AT63" s="263"/>
      <c r="AU63" s="261" t="s">
        <v>4</v>
      </c>
      <c r="AV63" s="262"/>
      <c r="AW63" s="262"/>
      <c r="AX63" s="263"/>
      <c r="AY63" s="261" t="s">
        <v>3</v>
      </c>
      <c r="AZ63" s="262"/>
      <c r="BA63" s="262"/>
      <c r="BB63" s="263"/>
      <c r="BC63" s="261" t="s">
        <v>4</v>
      </c>
      <c r="BD63" s="262"/>
      <c r="BE63" s="262"/>
      <c r="BF63" s="263"/>
      <c r="BG63" s="261" t="s">
        <v>3</v>
      </c>
      <c r="BH63" s="262"/>
      <c r="BI63" s="262"/>
      <c r="BJ63" s="263"/>
      <c r="BK63" s="261" t="s">
        <v>4</v>
      </c>
      <c r="BL63" s="262"/>
      <c r="BM63" s="262"/>
      <c r="BN63" s="263"/>
      <c r="BO63" s="270" t="s">
        <v>83</v>
      </c>
      <c r="BP63" s="271"/>
      <c r="BQ63" s="270" t="s">
        <v>5</v>
      </c>
      <c r="BR63" s="272"/>
      <c r="BS63" s="81" t="s">
        <v>85</v>
      </c>
      <c r="BT63" s="81" t="s">
        <v>86</v>
      </c>
      <c r="BU63" s="205"/>
    </row>
    <row r="64" spans="1:73" ht="30" x14ac:dyDescent="0.25">
      <c r="A64" s="41" t="s">
        <v>0</v>
      </c>
      <c r="B64" s="41" t="s">
        <v>25</v>
      </c>
      <c r="C64" s="60" t="s">
        <v>13</v>
      </c>
      <c r="D64" s="92" t="s">
        <v>46</v>
      </c>
      <c r="E64" s="92" t="s">
        <v>45</v>
      </c>
      <c r="F64" s="92" t="s">
        <v>44</v>
      </c>
      <c r="G64" s="49">
        <f>IF(D64=$A$77,$B$77,(IF(D64=$A$78,$B$78,IF(D64=$A$79,$B$79,$B$80))))</f>
        <v>0.33</v>
      </c>
      <c r="H64" s="49">
        <f t="shared" ref="H64:I73" si="41">IF(E64=$A$77,$B$77,(IF(E64=$A$78,$B$78,IF(E64=$A$79,$B$79,$B$80))))</f>
        <v>0.66</v>
      </c>
      <c r="I64" s="49">
        <f t="shared" si="41"/>
        <v>1</v>
      </c>
      <c r="J64" s="83">
        <f>G64*$D$91+H64*$D$92+I64*$D$93</f>
        <v>12.425000000000001</v>
      </c>
      <c r="K64" s="20">
        <v>0</v>
      </c>
      <c r="L64" s="22">
        <v>0.22000000000000003</v>
      </c>
      <c r="M64" s="22">
        <v>0.44</v>
      </c>
      <c r="N64" s="23">
        <v>0.55000000000000004</v>
      </c>
      <c r="O64" s="20">
        <v>0.06</v>
      </c>
      <c r="P64" s="22">
        <v>0.22000000000000003</v>
      </c>
      <c r="Q64" s="22">
        <v>0.44</v>
      </c>
      <c r="R64" s="243">
        <v>0.52</v>
      </c>
      <c r="S64" s="241">
        <v>0.44000000000000006</v>
      </c>
      <c r="T64" s="242">
        <v>0.55000000000000004</v>
      </c>
      <c r="U64" s="242">
        <v>0.77</v>
      </c>
      <c r="V64" s="243">
        <v>1</v>
      </c>
      <c r="W64" s="241">
        <v>0.47000000000000003</v>
      </c>
      <c r="X64" s="242">
        <v>0.55000000000000004</v>
      </c>
      <c r="Y64" s="242">
        <v>0.77</v>
      </c>
      <c r="Z64" s="243">
        <v>0.92</v>
      </c>
      <c r="AA64" s="241">
        <v>0.77</v>
      </c>
      <c r="AB64" s="242">
        <v>1</v>
      </c>
      <c r="AC64" s="242">
        <v>1</v>
      </c>
      <c r="AD64" s="243">
        <v>1</v>
      </c>
      <c r="AE64" s="20">
        <v>0.83</v>
      </c>
      <c r="AF64" s="22">
        <v>1</v>
      </c>
      <c r="AG64" s="22">
        <v>1</v>
      </c>
      <c r="AH64" s="23">
        <v>1</v>
      </c>
      <c r="AI64" s="241">
        <v>0</v>
      </c>
      <c r="AJ64" s="242">
        <v>1.5400000000000003</v>
      </c>
      <c r="AK64" s="242">
        <v>3.52</v>
      </c>
      <c r="AL64" s="243">
        <v>5.0600000000000005</v>
      </c>
      <c r="AM64" s="241">
        <v>0.19999999999999996</v>
      </c>
      <c r="AN64" s="242">
        <v>1.5400000000000003</v>
      </c>
      <c r="AO64" s="242">
        <v>3.52</v>
      </c>
      <c r="AP64" s="243">
        <v>4.6000000000000014</v>
      </c>
      <c r="AQ64" s="241">
        <v>2.2549999999999999</v>
      </c>
      <c r="AR64" s="242">
        <v>3.8500000000000005</v>
      </c>
      <c r="AS64" s="242">
        <v>6.16</v>
      </c>
      <c r="AT64" s="242">
        <v>9.1550000000000011</v>
      </c>
      <c r="AU64" s="241">
        <v>2.7399999999999993</v>
      </c>
      <c r="AV64" s="242">
        <v>3.8500000000000005</v>
      </c>
      <c r="AW64" s="242">
        <v>6.16</v>
      </c>
      <c r="AX64" s="243">
        <v>8.129999999999999</v>
      </c>
      <c r="AY64" s="241">
        <v>1.9649999999999999</v>
      </c>
      <c r="AZ64" s="242">
        <v>4.5</v>
      </c>
      <c r="BA64" s="242">
        <v>5.5</v>
      </c>
      <c r="BB64" s="242">
        <v>7</v>
      </c>
      <c r="BC64" s="241">
        <v>2.7349999999999994</v>
      </c>
      <c r="BD64" s="242">
        <v>4.5</v>
      </c>
      <c r="BE64" s="242">
        <v>5.5</v>
      </c>
      <c r="BF64" s="243">
        <v>6.5</v>
      </c>
      <c r="BG64" s="241">
        <f>AI64+AQ64+AY64</f>
        <v>4.22</v>
      </c>
      <c r="BH64" s="242">
        <f t="shared" ref="BH64:BN73" si="42">AJ64+AR64+AZ64</f>
        <v>9.89</v>
      </c>
      <c r="BI64" s="242">
        <f t="shared" si="42"/>
        <v>15.18</v>
      </c>
      <c r="BJ64" s="242">
        <f t="shared" si="42"/>
        <v>21.215000000000003</v>
      </c>
      <c r="BK64" s="241">
        <f t="shared" si="42"/>
        <v>5.6749999999999989</v>
      </c>
      <c r="BL64" s="242">
        <f t="shared" si="42"/>
        <v>9.89</v>
      </c>
      <c r="BM64" s="242">
        <f t="shared" si="42"/>
        <v>15.18</v>
      </c>
      <c r="BN64" s="242">
        <f t="shared" si="42"/>
        <v>19.23</v>
      </c>
      <c r="BO64" s="250">
        <f>BO$9*BH64+(1-BO$9)*BG64</f>
        <v>8.7560000000000002</v>
      </c>
      <c r="BP64" s="275">
        <f>BO$9*BI64+(1-BO$9)*BJ64</f>
        <v>16.387</v>
      </c>
      <c r="BQ64" s="250">
        <f>BO$9*BL64+(1-BO$9)*BK64</f>
        <v>9.0470000000000006</v>
      </c>
      <c r="BR64" s="276">
        <f>BO$9*BM64+(1-BO$9)*BN64</f>
        <v>15.989999999999998</v>
      </c>
      <c r="BS64" s="20">
        <f>(BO64+BP64)/2</f>
        <v>12.5715</v>
      </c>
      <c r="BT64" s="23">
        <f>(BQ64+BR64)/2</f>
        <v>12.5185</v>
      </c>
      <c r="BU64" s="72">
        <f>(BS64+BT64)/2</f>
        <v>12.545</v>
      </c>
    </row>
    <row r="65" spans="1:73" x14ac:dyDescent="0.25">
      <c r="A65" s="41" t="s">
        <v>1</v>
      </c>
      <c r="B65" s="41" t="s">
        <v>14</v>
      </c>
      <c r="C65" s="60" t="s">
        <v>29</v>
      </c>
      <c r="D65" s="92" t="s">
        <v>46</v>
      </c>
      <c r="E65" s="92" t="s">
        <v>46</v>
      </c>
      <c r="F65" s="92" t="s">
        <v>45</v>
      </c>
      <c r="G65" s="49">
        <f t="shared" ref="G65:G73" si="43">IF(D65=$A$77,$B$77,(IF(D65=$A$78,$B$78,IF(D65=$A$79,$B$79,$B$80))))</f>
        <v>0.33</v>
      </c>
      <c r="H65" s="49">
        <f t="shared" si="41"/>
        <v>0.33</v>
      </c>
      <c r="I65" s="49">
        <f t="shared" si="41"/>
        <v>0.66</v>
      </c>
      <c r="J65" s="83">
        <f t="shared" ref="J65:J73" si="44">G65*$D$91+H65*$D$92+I65*$D$93</f>
        <v>8.25</v>
      </c>
      <c r="K65" s="26">
        <v>0</v>
      </c>
      <c r="L65">
        <v>0.22000000000000003</v>
      </c>
      <c r="M65">
        <v>0.44</v>
      </c>
      <c r="N65" s="27">
        <v>0.55000000000000004</v>
      </c>
      <c r="O65" s="26">
        <v>0.06</v>
      </c>
      <c r="P65">
        <v>0.22000000000000003</v>
      </c>
      <c r="Q65">
        <v>0.44</v>
      </c>
      <c r="R65" s="246">
        <v>0.52</v>
      </c>
      <c r="S65" s="244">
        <v>0</v>
      </c>
      <c r="T65" s="245">
        <v>0.22000000000000003</v>
      </c>
      <c r="U65" s="245">
        <v>0.44</v>
      </c>
      <c r="V65" s="246">
        <v>0.55000000000000004</v>
      </c>
      <c r="W65" s="244">
        <v>0.06</v>
      </c>
      <c r="X65" s="245">
        <v>0.22000000000000003</v>
      </c>
      <c r="Y65" s="245">
        <v>0.44</v>
      </c>
      <c r="Z65" s="246">
        <v>0.52</v>
      </c>
      <c r="AA65" s="244">
        <v>0.44000000000000006</v>
      </c>
      <c r="AB65" s="245">
        <v>0.55000000000000004</v>
      </c>
      <c r="AC65" s="245">
        <v>0.77</v>
      </c>
      <c r="AD65" s="246">
        <v>1</v>
      </c>
      <c r="AE65" s="26">
        <v>0.47000000000000003</v>
      </c>
      <c r="AF65">
        <v>0.55000000000000004</v>
      </c>
      <c r="AG65">
        <v>0.77</v>
      </c>
      <c r="AH65" s="27">
        <v>0.92</v>
      </c>
      <c r="AI65" s="244">
        <v>0</v>
      </c>
      <c r="AJ65" s="245">
        <v>1.5400000000000003</v>
      </c>
      <c r="AK65" s="245">
        <v>3.52</v>
      </c>
      <c r="AL65" s="246">
        <v>5.0600000000000005</v>
      </c>
      <c r="AM65" s="244">
        <v>0.19999999999999996</v>
      </c>
      <c r="AN65" s="245">
        <v>1.5400000000000003</v>
      </c>
      <c r="AO65" s="245">
        <v>3.52</v>
      </c>
      <c r="AP65" s="246">
        <v>4.6000000000000014</v>
      </c>
      <c r="AQ65" s="244">
        <v>0</v>
      </c>
      <c r="AR65" s="245">
        <v>1.5400000000000003</v>
      </c>
      <c r="AS65" s="245">
        <v>3.52</v>
      </c>
      <c r="AT65" s="245">
        <v>5.0600000000000005</v>
      </c>
      <c r="AU65" s="244">
        <v>0.19999999999999996</v>
      </c>
      <c r="AV65" s="245">
        <v>1.5400000000000003</v>
      </c>
      <c r="AW65" s="245">
        <v>3.52</v>
      </c>
      <c r="AX65" s="246">
        <v>4.6000000000000014</v>
      </c>
      <c r="AY65" s="244">
        <v>1.1550000000000002</v>
      </c>
      <c r="AZ65" s="245">
        <v>2.4750000000000001</v>
      </c>
      <c r="BA65" s="245">
        <v>4.2350000000000003</v>
      </c>
      <c r="BB65" s="245">
        <v>6.6550000000000002</v>
      </c>
      <c r="BC65" s="244">
        <v>1.5650000000000008</v>
      </c>
      <c r="BD65" s="245">
        <v>2.4750000000000001</v>
      </c>
      <c r="BE65" s="245">
        <v>4.2350000000000003</v>
      </c>
      <c r="BF65" s="246">
        <v>5.830000000000001</v>
      </c>
      <c r="BG65" s="244">
        <f t="shared" ref="BG65:BG73" si="45">AI65+AQ65+AY65</f>
        <v>1.1550000000000002</v>
      </c>
      <c r="BH65" s="245">
        <f t="shared" si="42"/>
        <v>5.5550000000000006</v>
      </c>
      <c r="BI65" s="245">
        <f t="shared" si="42"/>
        <v>11.275</v>
      </c>
      <c r="BJ65" s="245">
        <f t="shared" si="42"/>
        <v>16.775000000000002</v>
      </c>
      <c r="BK65" s="244">
        <f t="shared" si="42"/>
        <v>1.9650000000000007</v>
      </c>
      <c r="BL65" s="245">
        <f t="shared" si="42"/>
        <v>5.5550000000000006</v>
      </c>
      <c r="BM65" s="245">
        <f t="shared" si="42"/>
        <v>11.275</v>
      </c>
      <c r="BN65" s="245">
        <f t="shared" si="42"/>
        <v>15.030000000000005</v>
      </c>
      <c r="BO65" s="251">
        <f t="shared" ref="BO65:BO73" si="46">BO$9*BH65+(1-BO$9)*BG65</f>
        <v>4.6750000000000007</v>
      </c>
      <c r="BP65" s="278">
        <f t="shared" ref="BP65:BP73" si="47">BO$9*BI65+(1-BO$9)*BJ65</f>
        <v>12.375</v>
      </c>
      <c r="BQ65" s="251">
        <f t="shared" ref="BQ65:BQ73" si="48">BO$9*BL65+(1-BO$9)*BK65</f>
        <v>4.8370000000000006</v>
      </c>
      <c r="BR65" s="279">
        <f t="shared" ref="BR65:BR73" si="49">BO$9*BM65+(1-BO$9)*BN65</f>
        <v>12.026000000000002</v>
      </c>
      <c r="BS65" s="26">
        <f t="shared" ref="BS65:BS73" si="50">(BO65+BP65)/2</f>
        <v>8.5250000000000004</v>
      </c>
      <c r="BT65" s="27">
        <f t="shared" ref="BT65:BT73" si="51">(BQ65+BR65)/2</f>
        <v>8.4315000000000015</v>
      </c>
      <c r="BU65" s="73">
        <f t="shared" ref="BU65:BU73" si="52">(BS65+BT65)/2</f>
        <v>8.478250000000001</v>
      </c>
    </row>
    <row r="66" spans="1:73" x14ac:dyDescent="0.25">
      <c r="A66" s="41" t="s">
        <v>2</v>
      </c>
      <c r="B66" s="41" t="s">
        <v>15</v>
      </c>
      <c r="C66" s="60" t="s">
        <v>30</v>
      </c>
      <c r="D66" s="92" t="s">
        <v>45</v>
      </c>
      <c r="E66" s="92" t="s">
        <v>44</v>
      </c>
      <c r="F66" s="92" t="s">
        <v>45</v>
      </c>
      <c r="G66" s="49">
        <f t="shared" si="43"/>
        <v>0.66</v>
      </c>
      <c r="H66" s="49">
        <f t="shared" si="41"/>
        <v>1</v>
      </c>
      <c r="I66" s="49">
        <f t="shared" si="41"/>
        <v>0.66</v>
      </c>
      <c r="J66" s="83">
        <f t="shared" si="44"/>
        <v>15.75</v>
      </c>
      <c r="K66" s="26">
        <v>0.44000000000000006</v>
      </c>
      <c r="L66">
        <v>0.55000000000000004</v>
      </c>
      <c r="M66">
        <v>0.77</v>
      </c>
      <c r="N66" s="27">
        <v>1</v>
      </c>
      <c r="O66" s="26">
        <v>0.47000000000000003</v>
      </c>
      <c r="P66">
        <v>0.55000000000000004</v>
      </c>
      <c r="Q66">
        <v>0.77</v>
      </c>
      <c r="R66" s="246">
        <v>0.92</v>
      </c>
      <c r="S66" s="244">
        <v>0.77</v>
      </c>
      <c r="T66" s="245">
        <v>1</v>
      </c>
      <c r="U66" s="245">
        <v>1</v>
      </c>
      <c r="V66" s="246">
        <v>1</v>
      </c>
      <c r="W66" s="244">
        <v>0.83</v>
      </c>
      <c r="X66" s="245">
        <v>1</v>
      </c>
      <c r="Y66" s="245">
        <v>1</v>
      </c>
      <c r="Z66" s="246">
        <v>1</v>
      </c>
      <c r="AA66" s="244">
        <v>0.44000000000000006</v>
      </c>
      <c r="AB66" s="245">
        <v>0.55000000000000004</v>
      </c>
      <c r="AC66" s="245">
        <v>0.77</v>
      </c>
      <c r="AD66" s="246">
        <v>1</v>
      </c>
      <c r="AE66" s="26">
        <v>0.47000000000000003</v>
      </c>
      <c r="AF66">
        <v>0.55000000000000004</v>
      </c>
      <c r="AG66">
        <v>0.77</v>
      </c>
      <c r="AH66" s="27">
        <v>0.92</v>
      </c>
      <c r="AI66" s="244">
        <v>2.2549999999999999</v>
      </c>
      <c r="AJ66" s="245">
        <v>3.8500000000000005</v>
      </c>
      <c r="AK66" s="245">
        <v>6.16</v>
      </c>
      <c r="AL66" s="246">
        <v>9.1550000000000011</v>
      </c>
      <c r="AM66" s="244">
        <v>2.7399999999999993</v>
      </c>
      <c r="AN66" s="245">
        <v>3.8500000000000005</v>
      </c>
      <c r="AO66" s="245">
        <v>6.16</v>
      </c>
      <c r="AP66" s="246">
        <v>8.129999999999999</v>
      </c>
      <c r="AQ66" s="244">
        <v>3.8900000000000006</v>
      </c>
      <c r="AR66" s="245">
        <v>7</v>
      </c>
      <c r="AS66" s="245">
        <v>8</v>
      </c>
      <c r="AT66" s="245">
        <v>9.5</v>
      </c>
      <c r="AU66" s="244">
        <v>4.8099999999999987</v>
      </c>
      <c r="AV66" s="245">
        <v>7</v>
      </c>
      <c r="AW66" s="245">
        <v>8</v>
      </c>
      <c r="AX66" s="246">
        <v>9</v>
      </c>
      <c r="AY66" s="244">
        <v>1.1550000000000002</v>
      </c>
      <c r="AZ66" s="245">
        <v>2.4750000000000001</v>
      </c>
      <c r="BA66" s="245">
        <v>4.2350000000000003</v>
      </c>
      <c r="BB66" s="245">
        <v>6.6550000000000002</v>
      </c>
      <c r="BC66" s="244">
        <v>1.5650000000000008</v>
      </c>
      <c r="BD66" s="245">
        <v>2.4750000000000001</v>
      </c>
      <c r="BE66" s="245">
        <v>4.2350000000000003</v>
      </c>
      <c r="BF66" s="246">
        <v>5.830000000000001</v>
      </c>
      <c r="BG66" s="244">
        <f t="shared" si="45"/>
        <v>7.3000000000000007</v>
      </c>
      <c r="BH66" s="245">
        <f t="shared" si="42"/>
        <v>13.325000000000001</v>
      </c>
      <c r="BI66" s="245">
        <f t="shared" si="42"/>
        <v>18.395</v>
      </c>
      <c r="BJ66" s="245">
        <f t="shared" si="42"/>
        <v>25.310000000000002</v>
      </c>
      <c r="BK66" s="244">
        <f t="shared" si="42"/>
        <v>9.1149999999999984</v>
      </c>
      <c r="BL66" s="245">
        <f t="shared" si="42"/>
        <v>13.325000000000001</v>
      </c>
      <c r="BM66" s="245">
        <f t="shared" si="42"/>
        <v>18.395</v>
      </c>
      <c r="BN66" s="245">
        <f t="shared" si="42"/>
        <v>22.96</v>
      </c>
      <c r="BO66" s="251">
        <f t="shared" si="46"/>
        <v>12.120000000000001</v>
      </c>
      <c r="BP66" s="278">
        <f t="shared" si="47"/>
        <v>19.777999999999999</v>
      </c>
      <c r="BQ66" s="251">
        <f t="shared" si="48"/>
        <v>12.483000000000001</v>
      </c>
      <c r="BR66" s="279">
        <f t="shared" si="49"/>
        <v>19.308</v>
      </c>
      <c r="BS66" s="26">
        <f t="shared" si="50"/>
        <v>15.949</v>
      </c>
      <c r="BT66" s="27">
        <f t="shared" si="51"/>
        <v>15.8955</v>
      </c>
      <c r="BU66" s="73">
        <f t="shared" si="52"/>
        <v>15.92225</v>
      </c>
    </row>
    <row r="67" spans="1:73" x14ac:dyDescent="0.25">
      <c r="A67" s="41" t="s">
        <v>6</v>
      </c>
      <c r="B67" s="41" t="s">
        <v>16</v>
      </c>
      <c r="C67" s="60" t="s">
        <v>17</v>
      </c>
      <c r="D67" s="92" t="s">
        <v>44</v>
      </c>
      <c r="E67" s="92" t="s">
        <v>45</v>
      </c>
      <c r="F67" s="92" t="s">
        <v>46</v>
      </c>
      <c r="G67" s="49">
        <f t="shared" si="43"/>
        <v>1</v>
      </c>
      <c r="H67" s="49">
        <f t="shared" si="41"/>
        <v>0.66</v>
      </c>
      <c r="I67" s="49">
        <f t="shared" si="41"/>
        <v>0.33</v>
      </c>
      <c r="J67" s="83">
        <f t="shared" si="44"/>
        <v>14.1</v>
      </c>
      <c r="K67" s="26">
        <v>0.77</v>
      </c>
      <c r="L67">
        <v>1</v>
      </c>
      <c r="M67">
        <v>1</v>
      </c>
      <c r="N67" s="27">
        <v>1</v>
      </c>
      <c r="O67" s="26">
        <v>0.83</v>
      </c>
      <c r="P67">
        <v>1</v>
      </c>
      <c r="Q67">
        <v>1</v>
      </c>
      <c r="R67" s="246">
        <v>1</v>
      </c>
      <c r="S67" s="244">
        <v>0.44000000000000006</v>
      </c>
      <c r="T67" s="245">
        <v>0.55000000000000004</v>
      </c>
      <c r="U67" s="245">
        <v>0.77</v>
      </c>
      <c r="V67" s="246">
        <v>1</v>
      </c>
      <c r="W67" s="244">
        <v>0.47000000000000003</v>
      </c>
      <c r="X67" s="245">
        <v>0.55000000000000004</v>
      </c>
      <c r="Y67" s="245">
        <v>0.77</v>
      </c>
      <c r="Z67" s="246">
        <v>0.92</v>
      </c>
      <c r="AA67" s="244">
        <v>0</v>
      </c>
      <c r="AB67" s="245">
        <v>0.22000000000000003</v>
      </c>
      <c r="AC67" s="245">
        <v>0.44</v>
      </c>
      <c r="AD67" s="246">
        <v>0.55000000000000004</v>
      </c>
      <c r="AE67" s="26">
        <v>0.06</v>
      </c>
      <c r="AF67">
        <v>0.22000000000000003</v>
      </c>
      <c r="AG67">
        <v>0.44</v>
      </c>
      <c r="AH67" s="27">
        <v>0.52</v>
      </c>
      <c r="AI67" s="244">
        <v>3.8900000000000006</v>
      </c>
      <c r="AJ67" s="245">
        <v>7</v>
      </c>
      <c r="AK67" s="245">
        <v>8</v>
      </c>
      <c r="AL67" s="246">
        <v>9.5</v>
      </c>
      <c r="AM67" s="244">
        <v>4.8099999999999987</v>
      </c>
      <c r="AN67" s="245">
        <v>7</v>
      </c>
      <c r="AO67" s="245">
        <v>8</v>
      </c>
      <c r="AP67" s="246">
        <v>9</v>
      </c>
      <c r="AQ67" s="244">
        <v>2.2549999999999999</v>
      </c>
      <c r="AR67" s="245">
        <v>3.8500000000000005</v>
      </c>
      <c r="AS67" s="245">
        <v>6.16</v>
      </c>
      <c r="AT67" s="245">
        <v>9.1550000000000011</v>
      </c>
      <c r="AU67" s="244">
        <v>2.7399999999999993</v>
      </c>
      <c r="AV67" s="245">
        <v>3.8500000000000005</v>
      </c>
      <c r="AW67" s="245">
        <v>6.16</v>
      </c>
      <c r="AX67" s="246">
        <v>8.129999999999999</v>
      </c>
      <c r="AY67" s="244">
        <v>0</v>
      </c>
      <c r="AZ67" s="245">
        <v>0.9900000000000001</v>
      </c>
      <c r="BA67" s="245">
        <v>2.42</v>
      </c>
      <c r="BB67" s="245">
        <v>3.6850000000000005</v>
      </c>
      <c r="BC67" s="244">
        <v>4.9999999999999933E-2</v>
      </c>
      <c r="BD67" s="245">
        <v>0.9900000000000001</v>
      </c>
      <c r="BE67" s="245">
        <v>2.42</v>
      </c>
      <c r="BF67" s="246">
        <v>3.3000000000000007</v>
      </c>
      <c r="BG67" s="244">
        <f t="shared" si="45"/>
        <v>6.1450000000000005</v>
      </c>
      <c r="BH67" s="245">
        <f t="shared" si="42"/>
        <v>11.840000000000002</v>
      </c>
      <c r="BI67" s="245">
        <f t="shared" si="42"/>
        <v>16.579999999999998</v>
      </c>
      <c r="BJ67" s="245">
        <f t="shared" si="42"/>
        <v>22.340000000000003</v>
      </c>
      <c r="BK67" s="244">
        <f t="shared" si="42"/>
        <v>7.5999999999999979</v>
      </c>
      <c r="BL67" s="245">
        <f t="shared" si="42"/>
        <v>11.840000000000002</v>
      </c>
      <c r="BM67" s="245">
        <f t="shared" si="42"/>
        <v>16.579999999999998</v>
      </c>
      <c r="BN67" s="245">
        <f t="shared" si="42"/>
        <v>20.43</v>
      </c>
      <c r="BO67" s="251">
        <f t="shared" si="46"/>
        <v>10.701000000000001</v>
      </c>
      <c r="BP67" s="278">
        <f t="shared" si="47"/>
        <v>17.731999999999999</v>
      </c>
      <c r="BQ67" s="251">
        <f t="shared" si="48"/>
        <v>10.992000000000001</v>
      </c>
      <c r="BR67" s="279">
        <f t="shared" si="49"/>
        <v>17.349999999999998</v>
      </c>
      <c r="BS67" s="26">
        <f t="shared" si="50"/>
        <v>14.2165</v>
      </c>
      <c r="BT67" s="27">
        <f t="shared" si="51"/>
        <v>14.170999999999999</v>
      </c>
      <c r="BU67" s="73">
        <f t="shared" si="52"/>
        <v>14.19375</v>
      </c>
    </row>
    <row r="68" spans="1:73" ht="30" x14ac:dyDescent="0.25">
      <c r="A68" s="41" t="s">
        <v>7</v>
      </c>
      <c r="B68" s="41" t="s">
        <v>18</v>
      </c>
      <c r="C68" s="60" t="s">
        <v>31</v>
      </c>
      <c r="D68" s="92" t="s">
        <v>45</v>
      </c>
      <c r="E68" s="92" t="s">
        <v>44</v>
      </c>
      <c r="F68" s="92" t="s">
        <v>45</v>
      </c>
      <c r="G68" s="49">
        <f t="shared" si="43"/>
        <v>0.66</v>
      </c>
      <c r="H68" s="49">
        <f t="shared" si="41"/>
        <v>1</v>
      </c>
      <c r="I68" s="49">
        <f t="shared" si="41"/>
        <v>0.66</v>
      </c>
      <c r="J68" s="83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>
        <v>0.77</v>
      </c>
      <c r="R68" s="246">
        <v>0.92</v>
      </c>
      <c r="S68" s="244">
        <v>0.77</v>
      </c>
      <c r="T68" s="245">
        <v>1</v>
      </c>
      <c r="U68" s="245">
        <v>1</v>
      </c>
      <c r="V68" s="246">
        <v>1</v>
      </c>
      <c r="W68" s="244">
        <v>0.83</v>
      </c>
      <c r="X68" s="245">
        <v>1</v>
      </c>
      <c r="Y68" s="245">
        <v>1</v>
      </c>
      <c r="Z68" s="246">
        <v>1</v>
      </c>
      <c r="AA68" s="244">
        <v>0.44000000000000006</v>
      </c>
      <c r="AB68" s="245">
        <v>0.55000000000000004</v>
      </c>
      <c r="AC68" s="245">
        <v>0.77</v>
      </c>
      <c r="AD68" s="246">
        <v>1</v>
      </c>
      <c r="AE68" s="26">
        <v>0.47000000000000003</v>
      </c>
      <c r="AF68">
        <v>0.55000000000000004</v>
      </c>
      <c r="AG68">
        <v>0.77</v>
      </c>
      <c r="AH68" s="27">
        <v>0.92</v>
      </c>
      <c r="AI68" s="244">
        <v>2.2549999999999999</v>
      </c>
      <c r="AJ68" s="245">
        <v>3.8500000000000005</v>
      </c>
      <c r="AK68" s="245">
        <v>6.16</v>
      </c>
      <c r="AL68" s="246">
        <v>9.1550000000000011</v>
      </c>
      <c r="AM68" s="244">
        <v>2.7399999999999993</v>
      </c>
      <c r="AN68" s="245">
        <v>3.8500000000000005</v>
      </c>
      <c r="AO68" s="245">
        <v>6.16</v>
      </c>
      <c r="AP68" s="246">
        <v>8.129999999999999</v>
      </c>
      <c r="AQ68" s="244">
        <v>3.8900000000000006</v>
      </c>
      <c r="AR68" s="245">
        <v>7</v>
      </c>
      <c r="AS68" s="245">
        <v>8</v>
      </c>
      <c r="AT68" s="245">
        <v>9.5</v>
      </c>
      <c r="AU68" s="244">
        <v>4.8099999999999987</v>
      </c>
      <c r="AV68" s="245">
        <v>7</v>
      </c>
      <c r="AW68" s="245">
        <v>8</v>
      </c>
      <c r="AX68" s="246">
        <v>9</v>
      </c>
      <c r="AY68" s="244">
        <v>1.1550000000000002</v>
      </c>
      <c r="AZ68" s="245">
        <v>2.4750000000000001</v>
      </c>
      <c r="BA68" s="245">
        <v>4.2350000000000003</v>
      </c>
      <c r="BB68" s="245">
        <v>6.6550000000000002</v>
      </c>
      <c r="BC68" s="244">
        <v>1.5650000000000008</v>
      </c>
      <c r="BD68" s="245">
        <v>2.4750000000000001</v>
      </c>
      <c r="BE68" s="245">
        <v>4.2350000000000003</v>
      </c>
      <c r="BF68" s="246">
        <v>5.830000000000001</v>
      </c>
      <c r="BG68" s="244">
        <f t="shared" si="45"/>
        <v>7.3000000000000007</v>
      </c>
      <c r="BH68" s="245">
        <f t="shared" si="42"/>
        <v>13.325000000000001</v>
      </c>
      <c r="BI68" s="245">
        <f t="shared" si="42"/>
        <v>18.395</v>
      </c>
      <c r="BJ68" s="245">
        <f t="shared" si="42"/>
        <v>25.310000000000002</v>
      </c>
      <c r="BK68" s="244">
        <f t="shared" si="42"/>
        <v>9.1149999999999984</v>
      </c>
      <c r="BL68" s="245">
        <f t="shared" si="42"/>
        <v>13.325000000000001</v>
      </c>
      <c r="BM68" s="245">
        <f t="shared" si="42"/>
        <v>18.395</v>
      </c>
      <c r="BN68" s="245">
        <f t="shared" si="42"/>
        <v>22.96</v>
      </c>
      <c r="BO68" s="251">
        <f t="shared" si="46"/>
        <v>12.120000000000001</v>
      </c>
      <c r="BP68" s="278">
        <f t="shared" si="47"/>
        <v>19.777999999999999</v>
      </c>
      <c r="BQ68" s="251">
        <f t="shared" si="48"/>
        <v>12.483000000000001</v>
      </c>
      <c r="BR68" s="279">
        <f t="shared" si="49"/>
        <v>19.308</v>
      </c>
      <c r="BS68" s="26">
        <f t="shared" si="50"/>
        <v>15.949</v>
      </c>
      <c r="BT68" s="27">
        <f t="shared" si="51"/>
        <v>15.8955</v>
      </c>
      <c r="BU68" s="73">
        <f t="shared" si="52"/>
        <v>15.92225</v>
      </c>
    </row>
    <row r="69" spans="1:73" x14ac:dyDescent="0.25">
      <c r="A69" s="41" t="s">
        <v>8</v>
      </c>
      <c r="B69" s="41" t="s">
        <v>19</v>
      </c>
      <c r="C69" s="60" t="s">
        <v>32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>
        <v>1</v>
      </c>
      <c r="R69" s="246">
        <v>1</v>
      </c>
      <c r="S69" s="244">
        <v>0.44000000000000006</v>
      </c>
      <c r="T69" s="245">
        <v>0.55000000000000004</v>
      </c>
      <c r="U69" s="245">
        <v>0.77</v>
      </c>
      <c r="V69" s="246">
        <v>1</v>
      </c>
      <c r="W69" s="244">
        <v>0.47000000000000003</v>
      </c>
      <c r="X69" s="245">
        <v>0.55000000000000004</v>
      </c>
      <c r="Y69" s="245">
        <v>0.77</v>
      </c>
      <c r="Z69" s="246">
        <v>0.92</v>
      </c>
      <c r="AA69" s="244">
        <v>0</v>
      </c>
      <c r="AB69" s="245">
        <v>0.22000000000000003</v>
      </c>
      <c r="AC69" s="245">
        <v>0.44</v>
      </c>
      <c r="AD69" s="246">
        <v>0.55000000000000004</v>
      </c>
      <c r="AE69" s="26">
        <v>0.06</v>
      </c>
      <c r="AF69">
        <v>0.22000000000000003</v>
      </c>
      <c r="AG69">
        <v>0.44</v>
      </c>
      <c r="AH69" s="27">
        <v>0.52</v>
      </c>
      <c r="AI69" s="244">
        <v>3.8900000000000006</v>
      </c>
      <c r="AJ69" s="245">
        <v>7</v>
      </c>
      <c r="AK69" s="245">
        <v>8</v>
      </c>
      <c r="AL69" s="246">
        <v>9.5</v>
      </c>
      <c r="AM69" s="244">
        <v>4.8099999999999987</v>
      </c>
      <c r="AN69" s="245">
        <v>7</v>
      </c>
      <c r="AO69" s="245">
        <v>8</v>
      </c>
      <c r="AP69" s="246">
        <v>9</v>
      </c>
      <c r="AQ69" s="244">
        <v>2.2549999999999999</v>
      </c>
      <c r="AR69" s="245">
        <v>3.8500000000000005</v>
      </c>
      <c r="AS69" s="245">
        <v>6.16</v>
      </c>
      <c r="AT69" s="245">
        <v>9.1550000000000011</v>
      </c>
      <c r="AU69" s="244">
        <v>2.7399999999999993</v>
      </c>
      <c r="AV69" s="245">
        <v>3.8500000000000005</v>
      </c>
      <c r="AW69" s="245">
        <v>6.16</v>
      </c>
      <c r="AX69" s="246">
        <v>8.129999999999999</v>
      </c>
      <c r="AY69" s="244">
        <v>0</v>
      </c>
      <c r="AZ69" s="245">
        <v>0.9900000000000001</v>
      </c>
      <c r="BA69" s="245">
        <v>2.42</v>
      </c>
      <c r="BB69" s="245">
        <v>3.6850000000000005</v>
      </c>
      <c r="BC69" s="244">
        <v>4.9999999999999933E-2</v>
      </c>
      <c r="BD69" s="245">
        <v>0.9900000000000001</v>
      </c>
      <c r="BE69" s="245">
        <v>2.42</v>
      </c>
      <c r="BF69" s="246">
        <v>3.3000000000000007</v>
      </c>
      <c r="BG69" s="244">
        <f t="shared" si="45"/>
        <v>6.1450000000000005</v>
      </c>
      <c r="BH69" s="245">
        <f t="shared" si="42"/>
        <v>11.840000000000002</v>
      </c>
      <c r="BI69" s="245">
        <f t="shared" si="42"/>
        <v>16.579999999999998</v>
      </c>
      <c r="BJ69" s="245">
        <f t="shared" si="42"/>
        <v>22.340000000000003</v>
      </c>
      <c r="BK69" s="244">
        <f t="shared" si="42"/>
        <v>7.5999999999999979</v>
      </c>
      <c r="BL69" s="245">
        <f t="shared" si="42"/>
        <v>11.840000000000002</v>
      </c>
      <c r="BM69" s="245">
        <f t="shared" si="42"/>
        <v>16.579999999999998</v>
      </c>
      <c r="BN69" s="245">
        <f t="shared" si="42"/>
        <v>20.43</v>
      </c>
      <c r="BO69" s="251">
        <f t="shared" si="46"/>
        <v>10.701000000000001</v>
      </c>
      <c r="BP69" s="278">
        <f t="shared" si="47"/>
        <v>17.731999999999999</v>
      </c>
      <c r="BQ69" s="251">
        <f t="shared" si="48"/>
        <v>10.992000000000001</v>
      </c>
      <c r="BR69" s="279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3">
        <f t="shared" si="52"/>
        <v>14.19375</v>
      </c>
    </row>
    <row r="70" spans="1:73" ht="30" x14ac:dyDescent="0.25">
      <c r="A70" s="41" t="s">
        <v>9</v>
      </c>
      <c r="B70" s="41" t="s">
        <v>20</v>
      </c>
      <c r="C70" s="60" t="s">
        <v>33</v>
      </c>
      <c r="D70" s="92" t="s">
        <v>44</v>
      </c>
      <c r="E70" s="92" t="s">
        <v>45</v>
      </c>
      <c r="F70" s="92" t="s">
        <v>46</v>
      </c>
      <c r="G70" s="49">
        <f t="shared" si="43"/>
        <v>1</v>
      </c>
      <c r="H70" s="49">
        <f t="shared" si="41"/>
        <v>0.66</v>
      </c>
      <c r="I70" s="49">
        <f t="shared" si="41"/>
        <v>0.33</v>
      </c>
      <c r="J70" s="83">
        <f t="shared" si="44"/>
        <v>14.1</v>
      </c>
      <c r="K70" s="26">
        <v>0.77</v>
      </c>
      <c r="L70">
        <v>1</v>
      </c>
      <c r="M70">
        <v>1</v>
      </c>
      <c r="N70" s="27">
        <v>1</v>
      </c>
      <c r="O70" s="26">
        <v>0.83</v>
      </c>
      <c r="P70">
        <v>1</v>
      </c>
      <c r="Q70">
        <v>1</v>
      </c>
      <c r="R70" s="246">
        <v>1</v>
      </c>
      <c r="S70" s="244">
        <v>0.44000000000000006</v>
      </c>
      <c r="T70" s="245">
        <v>0.55000000000000004</v>
      </c>
      <c r="U70" s="245">
        <v>0.77</v>
      </c>
      <c r="V70" s="246">
        <v>1</v>
      </c>
      <c r="W70" s="244">
        <v>0.47000000000000003</v>
      </c>
      <c r="X70" s="245">
        <v>0.55000000000000004</v>
      </c>
      <c r="Y70" s="245">
        <v>0.77</v>
      </c>
      <c r="Z70" s="246">
        <v>0.92</v>
      </c>
      <c r="AA70" s="244">
        <v>0</v>
      </c>
      <c r="AB70" s="245">
        <v>0.22000000000000003</v>
      </c>
      <c r="AC70" s="245">
        <v>0.44</v>
      </c>
      <c r="AD70" s="246">
        <v>0.55000000000000004</v>
      </c>
      <c r="AE70" s="26">
        <v>0.06</v>
      </c>
      <c r="AF70">
        <v>0.22000000000000003</v>
      </c>
      <c r="AG70">
        <v>0.44</v>
      </c>
      <c r="AH70" s="27">
        <v>0.52</v>
      </c>
      <c r="AI70" s="244">
        <v>3.8900000000000006</v>
      </c>
      <c r="AJ70" s="245">
        <v>7</v>
      </c>
      <c r="AK70" s="245">
        <v>8</v>
      </c>
      <c r="AL70" s="246">
        <v>9.5</v>
      </c>
      <c r="AM70" s="244">
        <v>4.8099999999999987</v>
      </c>
      <c r="AN70" s="245">
        <v>7</v>
      </c>
      <c r="AO70" s="245">
        <v>8</v>
      </c>
      <c r="AP70" s="246">
        <v>9</v>
      </c>
      <c r="AQ70" s="244">
        <v>2.2549999999999999</v>
      </c>
      <c r="AR70" s="245">
        <v>3.8500000000000005</v>
      </c>
      <c r="AS70" s="245">
        <v>6.16</v>
      </c>
      <c r="AT70" s="245">
        <v>9.1550000000000011</v>
      </c>
      <c r="AU70" s="244">
        <v>2.7399999999999993</v>
      </c>
      <c r="AV70" s="245">
        <v>3.8500000000000005</v>
      </c>
      <c r="AW70" s="245">
        <v>6.16</v>
      </c>
      <c r="AX70" s="246">
        <v>8.129999999999999</v>
      </c>
      <c r="AY70" s="244">
        <v>0</v>
      </c>
      <c r="AZ70" s="245">
        <v>0.9900000000000001</v>
      </c>
      <c r="BA70" s="245">
        <v>2.42</v>
      </c>
      <c r="BB70" s="245">
        <v>3.6850000000000005</v>
      </c>
      <c r="BC70" s="244">
        <v>4.9999999999999933E-2</v>
      </c>
      <c r="BD70" s="245">
        <v>0.9900000000000001</v>
      </c>
      <c r="BE70" s="245">
        <v>2.42</v>
      </c>
      <c r="BF70" s="246">
        <v>3.3000000000000007</v>
      </c>
      <c r="BG70" s="244">
        <f t="shared" si="45"/>
        <v>6.1450000000000005</v>
      </c>
      <c r="BH70" s="245">
        <f t="shared" si="42"/>
        <v>11.840000000000002</v>
      </c>
      <c r="BI70" s="245">
        <f t="shared" si="42"/>
        <v>16.579999999999998</v>
      </c>
      <c r="BJ70" s="245">
        <f t="shared" si="42"/>
        <v>22.340000000000003</v>
      </c>
      <c r="BK70" s="244">
        <f t="shared" si="42"/>
        <v>7.5999999999999979</v>
      </c>
      <c r="BL70" s="245">
        <f t="shared" si="42"/>
        <v>11.840000000000002</v>
      </c>
      <c r="BM70" s="245">
        <f t="shared" si="42"/>
        <v>16.579999999999998</v>
      </c>
      <c r="BN70" s="245">
        <f t="shared" si="42"/>
        <v>20.43</v>
      </c>
      <c r="BO70" s="251">
        <f t="shared" si="46"/>
        <v>10.701000000000001</v>
      </c>
      <c r="BP70" s="278">
        <f t="shared" si="47"/>
        <v>17.731999999999999</v>
      </c>
      <c r="BQ70" s="251">
        <f t="shared" si="48"/>
        <v>10.992000000000001</v>
      </c>
      <c r="BR70" s="279">
        <f t="shared" si="49"/>
        <v>17.349999999999998</v>
      </c>
      <c r="BS70" s="26">
        <f t="shared" si="50"/>
        <v>14.2165</v>
      </c>
      <c r="BT70" s="27">
        <f t="shared" si="51"/>
        <v>14.170999999999999</v>
      </c>
      <c r="BU70" s="73">
        <f t="shared" si="52"/>
        <v>14.19375</v>
      </c>
    </row>
    <row r="71" spans="1:73" ht="30" x14ac:dyDescent="0.25">
      <c r="A71" s="41" t="s">
        <v>10</v>
      </c>
      <c r="B71" s="41" t="s">
        <v>21</v>
      </c>
      <c r="C71" s="60" t="s">
        <v>22</v>
      </c>
      <c r="D71" s="92" t="s">
        <v>45</v>
      </c>
      <c r="E71" s="92" t="s">
        <v>46</v>
      </c>
      <c r="F71" s="92" t="s">
        <v>44</v>
      </c>
      <c r="G71" s="49">
        <f t="shared" si="43"/>
        <v>0.66</v>
      </c>
      <c r="H71" s="49">
        <f t="shared" si="41"/>
        <v>0.33</v>
      </c>
      <c r="I71" s="49">
        <f t="shared" si="41"/>
        <v>1</v>
      </c>
      <c r="J71" s="83">
        <f t="shared" si="44"/>
        <v>12.425000000000001</v>
      </c>
      <c r="K71" s="26">
        <v>0.44000000000000006</v>
      </c>
      <c r="L71">
        <v>0.55000000000000004</v>
      </c>
      <c r="M71">
        <v>0.77</v>
      </c>
      <c r="N71" s="27">
        <v>1</v>
      </c>
      <c r="O71" s="26">
        <v>0.47000000000000003</v>
      </c>
      <c r="P71">
        <v>0.55000000000000004</v>
      </c>
      <c r="Q71">
        <v>0.77</v>
      </c>
      <c r="R71" s="246">
        <v>0.92</v>
      </c>
      <c r="S71" s="244">
        <v>0</v>
      </c>
      <c r="T71" s="245">
        <v>0.22000000000000003</v>
      </c>
      <c r="U71" s="245">
        <v>0.44</v>
      </c>
      <c r="V71" s="246">
        <v>0.55000000000000004</v>
      </c>
      <c r="W71" s="244">
        <v>0.06</v>
      </c>
      <c r="X71" s="245">
        <v>0.22000000000000003</v>
      </c>
      <c r="Y71" s="245">
        <v>0.44</v>
      </c>
      <c r="Z71" s="246">
        <v>0.52</v>
      </c>
      <c r="AA71" s="244">
        <v>0.77</v>
      </c>
      <c r="AB71" s="245">
        <v>1</v>
      </c>
      <c r="AC71" s="245">
        <v>1</v>
      </c>
      <c r="AD71" s="246">
        <v>1</v>
      </c>
      <c r="AE71" s="26">
        <v>0.83</v>
      </c>
      <c r="AF71">
        <v>1</v>
      </c>
      <c r="AG71">
        <v>1</v>
      </c>
      <c r="AH71" s="27">
        <v>1</v>
      </c>
      <c r="AI71" s="244">
        <v>2.2549999999999999</v>
      </c>
      <c r="AJ71" s="245">
        <v>3.8500000000000005</v>
      </c>
      <c r="AK71" s="245">
        <v>6.16</v>
      </c>
      <c r="AL71" s="246">
        <v>9.1550000000000011</v>
      </c>
      <c r="AM71" s="244">
        <v>2.7399999999999993</v>
      </c>
      <c r="AN71" s="245">
        <v>3.8500000000000005</v>
      </c>
      <c r="AO71" s="245">
        <v>6.16</v>
      </c>
      <c r="AP71" s="246">
        <v>8.129999999999999</v>
      </c>
      <c r="AQ71" s="244">
        <v>0</v>
      </c>
      <c r="AR71" s="245">
        <v>1.5400000000000003</v>
      </c>
      <c r="AS71" s="245">
        <v>3.52</v>
      </c>
      <c r="AT71" s="245">
        <v>5.0600000000000005</v>
      </c>
      <c r="AU71" s="244">
        <v>0.19999999999999996</v>
      </c>
      <c r="AV71" s="245">
        <v>1.5400000000000003</v>
      </c>
      <c r="AW71" s="245">
        <v>3.52</v>
      </c>
      <c r="AX71" s="246">
        <v>4.6000000000000014</v>
      </c>
      <c r="AY71" s="244">
        <v>1.9649999999999999</v>
      </c>
      <c r="AZ71" s="245">
        <v>4.5</v>
      </c>
      <c r="BA71" s="245">
        <v>5.5</v>
      </c>
      <c r="BB71" s="245">
        <v>7</v>
      </c>
      <c r="BC71" s="244">
        <v>2.7349999999999994</v>
      </c>
      <c r="BD71" s="245">
        <v>4.5</v>
      </c>
      <c r="BE71" s="245">
        <v>5.5</v>
      </c>
      <c r="BF71" s="246">
        <v>6.5</v>
      </c>
      <c r="BG71" s="244">
        <f t="shared" si="45"/>
        <v>4.22</v>
      </c>
      <c r="BH71" s="245">
        <f t="shared" si="42"/>
        <v>9.89</v>
      </c>
      <c r="BI71" s="245">
        <f t="shared" si="42"/>
        <v>15.18</v>
      </c>
      <c r="BJ71" s="245">
        <f t="shared" si="42"/>
        <v>21.215000000000003</v>
      </c>
      <c r="BK71" s="244">
        <f t="shared" si="42"/>
        <v>5.6749999999999989</v>
      </c>
      <c r="BL71" s="245">
        <f t="shared" si="42"/>
        <v>9.89</v>
      </c>
      <c r="BM71" s="245">
        <f t="shared" si="42"/>
        <v>15.18</v>
      </c>
      <c r="BN71" s="245">
        <f t="shared" si="42"/>
        <v>19.23</v>
      </c>
      <c r="BO71" s="251">
        <f t="shared" si="46"/>
        <v>8.7560000000000002</v>
      </c>
      <c r="BP71" s="278">
        <f t="shared" si="47"/>
        <v>16.387</v>
      </c>
      <c r="BQ71" s="251">
        <f t="shared" si="48"/>
        <v>9.0470000000000006</v>
      </c>
      <c r="BR71" s="279">
        <f t="shared" si="49"/>
        <v>15.989999999999998</v>
      </c>
      <c r="BS71" s="26">
        <f t="shared" si="50"/>
        <v>12.5715</v>
      </c>
      <c r="BT71" s="27">
        <f t="shared" si="51"/>
        <v>12.5185</v>
      </c>
      <c r="BU71" s="73">
        <f t="shared" si="52"/>
        <v>12.545</v>
      </c>
    </row>
    <row r="72" spans="1:73" ht="36.75" customHeight="1" x14ac:dyDescent="0.25">
      <c r="A72" s="41" t="s">
        <v>11</v>
      </c>
      <c r="B72" s="41" t="s">
        <v>23</v>
      </c>
      <c r="C72" s="60" t="s">
        <v>34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26">
        <v>0</v>
      </c>
      <c r="L72">
        <v>0.22000000000000003</v>
      </c>
      <c r="M72">
        <v>0.44</v>
      </c>
      <c r="N72" s="27">
        <v>0.55000000000000004</v>
      </c>
      <c r="O72" s="26">
        <v>0.06</v>
      </c>
      <c r="P72">
        <v>0.22000000000000003</v>
      </c>
      <c r="Q72">
        <v>0.44</v>
      </c>
      <c r="R72" s="246">
        <v>0.52</v>
      </c>
      <c r="S72" s="244">
        <v>0.77</v>
      </c>
      <c r="T72" s="245">
        <v>1</v>
      </c>
      <c r="U72" s="245">
        <v>1</v>
      </c>
      <c r="V72" s="246">
        <v>1</v>
      </c>
      <c r="W72" s="244">
        <v>0.83</v>
      </c>
      <c r="X72" s="245">
        <v>1</v>
      </c>
      <c r="Y72" s="245">
        <v>1</v>
      </c>
      <c r="Z72" s="246">
        <v>1</v>
      </c>
      <c r="AA72" s="244">
        <v>0.44000000000000006</v>
      </c>
      <c r="AB72" s="245">
        <v>0.55000000000000004</v>
      </c>
      <c r="AC72" s="245">
        <v>0.77</v>
      </c>
      <c r="AD72" s="246">
        <v>1</v>
      </c>
      <c r="AE72" s="26">
        <v>0.47000000000000003</v>
      </c>
      <c r="AF72">
        <v>0.55000000000000004</v>
      </c>
      <c r="AG72">
        <v>0.77</v>
      </c>
      <c r="AH72" s="27">
        <v>0.92</v>
      </c>
      <c r="AI72" s="244">
        <v>0</v>
      </c>
      <c r="AJ72" s="245">
        <v>1.5400000000000003</v>
      </c>
      <c r="AK72" s="245">
        <v>3.52</v>
      </c>
      <c r="AL72" s="246">
        <v>5.0600000000000005</v>
      </c>
      <c r="AM72" s="244">
        <v>0.19999999999999996</v>
      </c>
      <c r="AN72" s="245">
        <v>1.5400000000000003</v>
      </c>
      <c r="AO72" s="245">
        <v>3.52</v>
      </c>
      <c r="AP72" s="246">
        <v>4.6000000000000014</v>
      </c>
      <c r="AQ72" s="244">
        <v>3.8900000000000006</v>
      </c>
      <c r="AR72" s="245">
        <v>7</v>
      </c>
      <c r="AS72" s="245">
        <v>8</v>
      </c>
      <c r="AT72" s="245">
        <v>9.5</v>
      </c>
      <c r="AU72" s="244">
        <v>4.8099999999999987</v>
      </c>
      <c r="AV72" s="245">
        <v>7</v>
      </c>
      <c r="AW72" s="245">
        <v>8</v>
      </c>
      <c r="AX72" s="246">
        <v>9</v>
      </c>
      <c r="AY72" s="244">
        <v>1.1550000000000002</v>
      </c>
      <c r="AZ72" s="245">
        <v>2.4750000000000001</v>
      </c>
      <c r="BA72" s="245">
        <v>4.2350000000000003</v>
      </c>
      <c r="BB72" s="245">
        <v>6.6550000000000002</v>
      </c>
      <c r="BC72" s="244">
        <v>1.5650000000000008</v>
      </c>
      <c r="BD72" s="245">
        <v>2.4750000000000001</v>
      </c>
      <c r="BE72" s="245">
        <v>4.2350000000000003</v>
      </c>
      <c r="BF72" s="246">
        <v>5.830000000000001</v>
      </c>
      <c r="BG72" s="244">
        <f t="shared" si="45"/>
        <v>5.0450000000000008</v>
      </c>
      <c r="BH72" s="245">
        <f t="shared" si="42"/>
        <v>11.015000000000001</v>
      </c>
      <c r="BI72" s="245">
        <f t="shared" si="42"/>
        <v>15.754999999999999</v>
      </c>
      <c r="BJ72" s="245">
        <f t="shared" si="42"/>
        <v>21.215</v>
      </c>
      <c r="BK72" s="244">
        <f t="shared" si="42"/>
        <v>6.5749999999999993</v>
      </c>
      <c r="BL72" s="245">
        <f t="shared" si="42"/>
        <v>11.015000000000001</v>
      </c>
      <c r="BM72" s="245">
        <f t="shared" si="42"/>
        <v>15.754999999999999</v>
      </c>
      <c r="BN72" s="245">
        <f t="shared" si="42"/>
        <v>19.430000000000003</v>
      </c>
      <c r="BO72" s="251">
        <f t="shared" si="46"/>
        <v>9.8210000000000015</v>
      </c>
      <c r="BP72" s="278">
        <f t="shared" si="47"/>
        <v>16.846999999999998</v>
      </c>
      <c r="BQ72" s="251">
        <f t="shared" si="48"/>
        <v>10.127000000000001</v>
      </c>
      <c r="BR72" s="279">
        <f t="shared" si="49"/>
        <v>16.489999999999998</v>
      </c>
      <c r="BS72" s="26">
        <f t="shared" si="50"/>
        <v>13.334</v>
      </c>
      <c r="BT72" s="27">
        <f t="shared" si="51"/>
        <v>13.308499999999999</v>
      </c>
      <c r="BU72" s="73">
        <f t="shared" si="52"/>
        <v>13.321249999999999</v>
      </c>
    </row>
    <row r="73" spans="1:73" ht="30.75" thickBot="1" x14ac:dyDescent="0.3">
      <c r="A73" s="41" t="s">
        <v>12</v>
      </c>
      <c r="B73" s="41" t="s">
        <v>24</v>
      </c>
      <c r="C73" s="60" t="s">
        <v>35</v>
      </c>
      <c r="D73" s="92" t="s">
        <v>46</v>
      </c>
      <c r="E73" s="92" t="s">
        <v>44</v>
      </c>
      <c r="F73" s="92" t="s">
        <v>45</v>
      </c>
      <c r="G73" s="49">
        <f t="shared" si="43"/>
        <v>0.33</v>
      </c>
      <c r="H73" s="49">
        <f t="shared" si="41"/>
        <v>1</v>
      </c>
      <c r="I73" s="49">
        <f t="shared" si="41"/>
        <v>0.66</v>
      </c>
      <c r="J73" s="83">
        <f t="shared" si="44"/>
        <v>13.275</v>
      </c>
      <c r="K73" s="30">
        <v>0</v>
      </c>
      <c r="L73" s="32">
        <v>0.22000000000000003</v>
      </c>
      <c r="M73" s="32">
        <v>0.44</v>
      </c>
      <c r="N73" s="33">
        <v>0.55000000000000004</v>
      </c>
      <c r="O73" s="30">
        <v>0.06</v>
      </c>
      <c r="P73" s="32">
        <v>0.22000000000000003</v>
      </c>
      <c r="Q73" s="32">
        <v>0.44</v>
      </c>
      <c r="R73" s="249">
        <v>0.52</v>
      </c>
      <c r="S73" s="247">
        <v>0.77</v>
      </c>
      <c r="T73" s="248">
        <v>1</v>
      </c>
      <c r="U73" s="248">
        <v>1</v>
      </c>
      <c r="V73" s="249">
        <v>1</v>
      </c>
      <c r="W73" s="247">
        <v>0.83</v>
      </c>
      <c r="X73" s="248">
        <v>1</v>
      </c>
      <c r="Y73" s="248">
        <v>1</v>
      </c>
      <c r="Z73" s="249">
        <v>1</v>
      </c>
      <c r="AA73" s="247">
        <v>0.44000000000000006</v>
      </c>
      <c r="AB73" s="248">
        <v>0.55000000000000004</v>
      </c>
      <c r="AC73" s="248">
        <v>0.77</v>
      </c>
      <c r="AD73" s="249">
        <v>1</v>
      </c>
      <c r="AE73" s="30">
        <v>0.47000000000000003</v>
      </c>
      <c r="AF73" s="32">
        <v>0.55000000000000004</v>
      </c>
      <c r="AG73" s="32">
        <v>0.77</v>
      </c>
      <c r="AH73" s="33">
        <v>0.92</v>
      </c>
      <c r="AI73" s="247">
        <v>0</v>
      </c>
      <c r="AJ73" s="248">
        <v>1.5400000000000003</v>
      </c>
      <c r="AK73" s="248">
        <v>3.52</v>
      </c>
      <c r="AL73" s="249">
        <v>5.0600000000000005</v>
      </c>
      <c r="AM73" s="247">
        <v>0.19999999999999996</v>
      </c>
      <c r="AN73" s="248">
        <v>1.5400000000000003</v>
      </c>
      <c r="AO73" s="248">
        <v>3.52</v>
      </c>
      <c r="AP73" s="249">
        <v>4.6000000000000014</v>
      </c>
      <c r="AQ73" s="247">
        <v>3.8900000000000006</v>
      </c>
      <c r="AR73" s="248">
        <v>7</v>
      </c>
      <c r="AS73" s="248">
        <v>8</v>
      </c>
      <c r="AT73" s="248">
        <v>9.5</v>
      </c>
      <c r="AU73" s="247">
        <v>4.8099999999999987</v>
      </c>
      <c r="AV73" s="248">
        <v>7</v>
      </c>
      <c r="AW73" s="248">
        <v>8</v>
      </c>
      <c r="AX73" s="249">
        <v>9</v>
      </c>
      <c r="AY73" s="247">
        <v>1.1550000000000002</v>
      </c>
      <c r="AZ73" s="248">
        <v>2.4750000000000001</v>
      </c>
      <c r="BA73" s="248">
        <v>4.2350000000000003</v>
      </c>
      <c r="BB73" s="248">
        <v>6.6550000000000002</v>
      </c>
      <c r="BC73" s="247">
        <v>1.5650000000000008</v>
      </c>
      <c r="BD73" s="248">
        <v>2.4750000000000001</v>
      </c>
      <c r="BE73" s="248">
        <v>4.2350000000000003</v>
      </c>
      <c r="BF73" s="249">
        <v>5.830000000000001</v>
      </c>
      <c r="BG73" s="247">
        <f t="shared" si="45"/>
        <v>5.0450000000000008</v>
      </c>
      <c r="BH73" s="248">
        <f t="shared" si="42"/>
        <v>11.015000000000001</v>
      </c>
      <c r="BI73" s="248">
        <f t="shared" si="42"/>
        <v>15.754999999999999</v>
      </c>
      <c r="BJ73" s="248">
        <f t="shared" si="42"/>
        <v>21.215</v>
      </c>
      <c r="BK73" s="247">
        <f t="shared" si="42"/>
        <v>6.5749999999999993</v>
      </c>
      <c r="BL73" s="248">
        <f t="shared" si="42"/>
        <v>11.015000000000001</v>
      </c>
      <c r="BM73" s="248">
        <f t="shared" si="42"/>
        <v>15.754999999999999</v>
      </c>
      <c r="BN73" s="248">
        <f t="shared" si="42"/>
        <v>19.430000000000003</v>
      </c>
      <c r="BO73" s="252">
        <f t="shared" si="46"/>
        <v>9.8210000000000015</v>
      </c>
      <c r="BP73" s="281">
        <f t="shared" si="47"/>
        <v>16.846999999999998</v>
      </c>
      <c r="BQ73" s="252">
        <f t="shared" si="48"/>
        <v>10.127000000000001</v>
      </c>
      <c r="BR73" s="282">
        <f t="shared" si="49"/>
        <v>16.489999999999998</v>
      </c>
      <c r="BS73" s="30">
        <f t="shared" si="50"/>
        <v>13.334</v>
      </c>
      <c r="BT73" s="33">
        <f t="shared" si="51"/>
        <v>13.308499999999999</v>
      </c>
      <c r="BU73" s="74">
        <f t="shared" si="52"/>
        <v>13.321249999999999</v>
      </c>
    </row>
    <row r="74" spans="1:73" x14ac:dyDescent="0.25">
      <c r="BF74" s="284"/>
      <c r="BG74" s="285"/>
      <c r="BH74" s="285"/>
      <c r="BI74" s="285"/>
      <c r="BJ74" s="285"/>
      <c r="BK74" s="285"/>
    </row>
    <row r="75" spans="1:73" x14ac:dyDescent="0.25">
      <c r="A75" s="1" t="s">
        <v>124</v>
      </c>
      <c r="B75" s="1"/>
    </row>
    <row r="76" spans="1:73" ht="15.75" thickBot="1" x14ac:dyDescent="0.3">
      <c r="A76" s="46" t="s">
        <v>43</v>
      </c>
      <c r="B76" s="47" t="s">
        <v>55</v>
      </c>
      <c r="E76" s="51" t="s">
        <v>3</v>
      </c>
      <c r="I76" t="s">
        <v>4</v>
      </c>
    </row>
    <row r="77" spans="1:73" x14ac:dyDescent="0.25">
      <c r="A77" s="45" t="s">
        <v>47</v>
      </c>
      <c r="B77" s="2">
        <v>0</v>
      </c>
      <c r="C77" s="18">
        <v>0</v>
      </c>
      <c r="D77" s="19" t="s">
        <v>47</v>
      </c>
      <c r="E77" s="20">
        <v>0</v>
      </c>
      <c r="F77" s="21">
        <f>C77</f>
        <v>0</v>
      </c>
      <c r="G77" s="22">
        <v>0</v>
      </c>
      <c r="H77" s="23">
        <v>0.22</v>
      </c>
      <c r="I77" s="24">
        <v>0</v>
      </c>
      <c r="J77" s="22">
        <f>F77</f>
        <v>0</v>
      </c>
      <c r="K77" s="22">
        <f>G77</f>
        <v>0</v>
      </c>
      <c r="L77" s="25">
        <v>0.15</v>
      </c>
    </row>
    <row r="78" spans="1:73" x14ac:dyDescent="0.25">
      <c r="A78" s="45" t="s">
        <v>46</v>
      </c>
      <c r="B78" s="2">
        <v>0.33</v>
      </c>
      <c r="C78" s="18">
        <v>0.33</v>
      </c>
      <c r="D78" s="19" t="s">
        <v>46</v>
      </c>
      <c r="E78" s="26">
        <v>0</v>
      </c>
      <c r="F78" s="50">
        <f>C78-0.11</f>
        <v>0.22000000000000003</v>
      </c>
      <c r="G78">
        <f>C78+0.11</f>
        <v>0.44</v>
      </c>
      <c r="H78" s="27">
        <f t="shared" ref="H78" si="53">G78+0.11</f>
        <v>0.55000000000000004</v>
      </c>
      <c r="I78" s="28">
        <v>0.06</v>
      </c>
      <c r="J78">
        <f t="shared" ref="J78:K80" si="54">F78</f>
        <v>0.22000000000000003</v>
      </c>
      <c r="K78">
        <f t="shared" si="54"/>
        <v>0.44</v>
      </c>
      <c r="L78" s="29">
        <f t="shared" ref="L78" si="55">K78+0.08</f>
        <v>0.52</v>
      </c>
    </row>
    <row r="79" spans="1:73" x14ac:dyDescent="0.25">
      <c r="A79" s="45" t="s">
        <v>45</v>
      </c>
      <c r="B79" s="2">
        <v>0.66</v>
      </c>
      <c r="C79" s="18">
        <v>0.66</v>
      </c>
      <c r="D79" s="19" t="s">
        <v>45</v>
      </c>
      <c r="E79" s="26">
        <f t="shared" ref="E79" si="56">F79-0.11</f>
        <v>0.44000000000000006</v>
      </c>
      <c r="F79" s="50">
        <f t="shared" ref="F79" si="57">C79-0.11</f>
        <v>0.55000000000000004</v>
      </c>
      <c r="G79">
        <f t="shared" ref="G79" si="58">C79+0.11</f>
        <v>0.77</v>
      </c>
      <c r="H79" s="27">
        <v>1</v>
      </c>
      <c r="I79" s="28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29">
        <v>0.92</v>
      </c>
    </row>
    <row r="80" spans="1:73" ht="15.75" thickBot="1" x14ac:dyDescent="0.3">
      <c r="A80" s="45" t="s">
        <v>44</v>
      </c>
      <c r="B80" s="2">
        <v>1</v>
      </c>
      <c r="C80" s="18">
        <v>1</v>
      </c>
      <c r="D80" s="19" t="s">
        <v>44</v>
      </c>
      <c r="E80" s="30">
        <v>0.77</v>
      </c>
      <c r="F80" s="31">
        <v>1</v>
      </c>
      <c r="G80" s="32">
        <v>1</v>
      </c>
      <c r="H80" s="33">
        <v>1</v>
      </c>
      <c r="I80" s="34">
        <v>0.83</v>
      </c>
      <c r="J80" s="32">
        <f t="shared" si="54"/>
        <v>1</v>
      </c>
      <c r="K80" s="32">
        <f t="shared" si="54"/>
        <v>1</v>
      </c>
      <c r="L80" s="35">
        <v>1</v>
      </c>
    </row>
    <row r="81" spans="1:12" x14ac:dyDescent="0.25">
      <c r="A81" s="38"/>
    </row>
    <row r="82" spans="1:12" x14ac:dyDescent="0.25">
      <c r="A82" s="1" t="s">
        <v>125</v>
      </c>
    </row>
    <row r="83" spans="1:12" ht="15.75" thickBot="1" x14ac:dyDescent="0.3">
      <c r="A83" s="46" t="s">
        <v>43</v>
      </c>
      <c r="B83" s="47" t="s">
        <v>56</v>
      </c>
      <c r="E83" s="51" t="s">
        <v>3</v>
      </c>
      <c r="I83" t="s">
        <v>4</v>
      </c>
    </row>
    <row r="84" spans="1:12" x14ac:dyDescent="0.25">
      <c r="A84" s="45" t="s">
        <v>47</v>
      </c>
      <c r="B84" s="2">
        <v>1</v>
      </c>
      <c r="C84" s="18">
        <v>1</v>
      </c>
      <c r="D84" s="19" t="s">
        <v>47</v>
      </c>
      <c r="E84" s="20">
        <v>0</v>
      </c>
      <c r="F84" s="21">
        <v>0.5</v>
      </c>
      <c r="G84" s="22">
        <v>1.5</v>
      </c>
      <c r="H84" s="23">
        <v>2</v>
      </c>
      <c r="I84" s="24">
        <v>0</v>
      </c>
      <c r="J84" s="22">
        <f>F84</f>
        <v>0.5</v>
      </c>
      <c r="K84" s="22">
        <f>G84</f>
        <v>1.5</v>
      </c>
      <c r="L84" s="25">
        <v>1.8</v>
      </c>
    </row>
    <row r="85" spans="1:12" x14ac:dyDescent="0.25">
      <c r="A85" s="45" t="s">
        <v>46</v>
      </c>
      <c r="B85" s="2">
        <v>2.5</v>
      </c>
      <c r="C85" s="18">
        <v>2.5</v>
      </c>
      <c r="D85" s="19" t="s">
        <v>46</v>
      </c>
      <c r="E85" s="26">
        <v>1.5</v>
      </c>
      <c r="F85" s="50">
        <f>C85-0.5</f>
        <v>2</v>
      </c>
      <c r="G85">
        <f>C85+0.5</f>
        <v>3</v>
      </c>
      <c r="H85" s="27">
        <f t="shared" ref="H85:H87" si="60">G85+1.5</f>
        <v>4.5</v>
      </c>
      <c r="I85" s="28">
        <v>1.7</v>
      </c>
      <c r="J85">
        <f t="shared" ref="J85:K87" si="61">F85</f>
        <v>2</v>
      </c>
      <c r="K85">
        <f t="shared" si="61"/>
        <v>3</v>
      </c>
      <c r="L85" s="29">
        <f t="shared" ref="L85:L87" si="62">K85+1</f>
        <v>4</v>
      </c>
    </row>
    <row r="86" spans="1:12" x14ac:dyDescent="0.25">
      <c r="A86" s="45" t="s">
        <v>45</v>
      </c>
      <c r="B86" s="2">
        <v>5</v>
      </c>
      <c r="C86" s="18">
        <v>5</v>
      </c>
      <c r="D86" s="19" t="s">
        <v>45</v>
      </c>
      <c r="E86" s="26">
        <f t="shared" ref="E86:E87" si="63">F86-1.5</f>
        <v>3</v>
      </c>
      <c r="F86" s="50">
        <f>C86-0.5</f>
        <v>4.5</v>
      </c>
      <c r="G86">
        <f>C86+0.5</f>
        <v>5.5</v>
      </c>
      <c r="H86" s="27">
        <f t="shared" si="60"/>
        <v>7</v>
      </c>
      <c r="I86" s="28">
        <f t="shared" ref="I86:I87" si="64">J86-1</f>
        <v>3.5</v>
      </c>
      <c r="J86">
        <f t="shared" si="61"/>
        <v>4.5</v>
      </c>
      <c r="K86">
        <f t="shared" si="61"/>
        <v>5.5</v>
      </c>
      <c r="L86" s="29">
        <f t="shared" si="62"/>
        <v>6.5</v>
      </c>
    </row>
    <row r="87" spans="1:12" ht="15.75" thickBot="1" x14ac:dyDescent="0.3">
      <c r="A87" s="45" t="s">
        <v>44</v>
      </c>
      <c r="B87" s="2">
        <v>7.5</v>
      </c>
      <c r="C87" s="18">
        <v>7.5</v>
      </c>
      <c r="D87" s="19" t="s">
        <v>44</v>
      </c>
      <c r="E87" s="30">
        <f t="shared" si="63"/>
        <v>5.5</v>
      </c>
      <c r="F87" s="31">
        <f>C87-0.5</f>
        <v>7</v>
      </c>
      <c r="G87" s="32">
        <f>C87+0.5</f>
        <v>8</v>
      </c>
      <c r="H87" s="33">
        <f t="shared" si="60"/>
        <v>9.5</v>
      </c>
      <c r="I87" s="34">
        <f t="shared" si="64"/>
        <v>6</v>
      </c>
      <c r="J87" s="32">
        <f t="shared" si="61"/>
        <v>7</v>
      </c>
      <c r="K87" s="32">
        <f t="shared" si="61"/>
        <v>8</v>
      </c>
      <c r="L87" s="35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3" t="s">
        <v>53</v>
      </c>
      <c r="B90" s="52" t="s">
        <v>39</v>
      </c>
      <c r="C90" s="54" t="s">
        <v>48</v>
      </c>
      <c r="D90" s="55" t="s">
        <v>127</v>
      </c>
      <c r="E90" s="217" t="s">
        <v>57</v>
      </c>
      <c r="F90" s="218"/>
      <c r="G90" s="218"/>
      <c r="H90" s="218"/>
      <c r="I90" s="218"/>
      <c r="J90" s="218"/>
      <c r="K90" s="218"/>
      <c r="L90" s="219"/>
    </row>
    <row r="91" spans="1:12" x14ac:dyDescent="0.25">
      <c r="A91" s="64" t="s">
        <v>50</v>
      </c>
      <c r="B91" s="56" t="s">
        <v>40</v>
      </c>
      <c r="C91" s="57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x14ac:dyDescent="0.25">
      <c r="A92" s="65" t="s">
        <v>51</v>
      </c>
      <c r="B92" s="43" t="s">
        <v>41</v>
      </c>
      <c r="C92" s="2" t="s">
        <v>44</v>
      </c>
      <c r="D92" s="86">
        <v>7.5</v>
      </c>
      <c r="E92" s="26">
        <v>5.5</v>
      </c>
      <c r="F92" s="50">
        <v>7</v>
      </c>
      <c r="G92">
        <v>8</v>
      </c>
      <c r="H92" s="27">
        <v>9.5</v>
      </c>
      <c r="I92" s="28">
        <v>6</v>
      </c>
      <c r="J92">
        <v>7</v>
      </c>
      <c r="K92">
        <v>8</v>
      </c>
      <c r="L92" s="29">
        <v>9</v>
      </c>
    </row>
    <row r="93" spans="1:12" ht="15.75" thickBot="1" x14ac:dyDescent="0.3">
      <c r="A93" s="66" t="s">
        <v>52</v>
      </c>
      <c r="B93" s="58" t="s">
        <v>42</v>
      </c>
      <c r="C93" s="59" t="s">
        <v>45</v>
      </c>
      <c r="D93" s="86">
        <v>5</v>
      </c>
      <c r="E93" s="30">
        <v>3</v>
      </c>
      <c r="F93" s="31">
        <v>4.5</v>
      </c>
      <c r="G93" s="32">
        <v>5.5</v>
      </c>
      <c r="H93" s="33">
        <v>7</v>
      </c>
      <c r="I93" s="34">
        <v>3.5</v>
      </c>
      <c r="J93" s="32">
        <v>4.5</v>
      </c>
      <c r="K93" s="32">
        <v>5.5</v>
      </c>
      <c r="L93" s="35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7" t="s">
        <v>63</v>
      </c>
      <c r="B96" s="68" t="s">
        <v>64</v>
      </c>
      <c r="E96" s="217" t="s">
        <v>65</v>
      </c>
      <c r="F96" s="218"/>
      <c r="G96" s="218"/>
      <c r="H96" s="218"/>
      <c r="I96" s="218"/>
      <c r="J96" s="218"/>
      <c r="K96" s="218"/>
      <c r="L96" s="219"/>
    </row>
    <row r="97" spans="1:12" x14ac:dyDescent="0.25">
      <c r="A97" s="64" t="s">
        <v>60</v>
      </c>
      <c r="B97" s="69" t="s">
        <v>47</v>
      </c>
      <c r="D97" s="72" t="s">
        <v>69</v>
      </c>
      <c r="E97" s="241">
        <f>E77*F$91+E$91*F77-F77*F$91</f>
        <v>0</v>
      </c>
      <c r="F97" s="242">
        <f>F77*F$91</f>
        <v>0</v>
      </c>
      <c r="G97" s="242">
        <f>G77*G$91</f>
        <v>0</v>
      </c>
      <c r="H97" s="243">
        <f>G77*H$91+G$91*H77-G77*G$91</f>
        <v>1.76</v>
      </c>
      <c r="I97" s="241">
        <f>I77*J$91+I$91*J77-J77*J$91</f>
        <v>0</v>
      </c>
      <c r="J97" s="242">
        <f>J77*J$91</f>
        <v>0</v>
      </c>
      <c r="K97" s="242">
        <f>K77*K$91</f>
        <v>0</v>
      </c>
      <c r="L97" s="243">
        <f>K77*L$91+K$91*L77-K77*K$91</f>
        <v>1.2</v>
      </c>
    </row>
    <row r="98" spans="1:12" x14ac:dyDescent="0.25">
      <c r="A98" s="65" t="s">
        <v>60</v>
      </c>
      <c r="B98" s="70" t="s">
        <v>46</v>
      </c>
      <c r="D98" s="73" t="s">
        <v>68</v>
      </c>
      <c r="E98" s="244">
        <f>IF(E78*F$91+E$91*F78-F78*F$91&lt;0,0,E78*F$91+E$91*F78-F78*F$91)</f>
        <v>0</v>
      </c>
      <c r="F98" s="245">
        <f t="shared" ref="F98:G100" si="65">F78*F$91</f>
        <v>1.5400000000000003</v>
      </c>
      <c r="G98" s="245">
        <f t="shared" si="65"/>
        <v>3.52</v>
      </c>
      <c r="H98" s="246">
        <f t="shared" ref="H98:H100" si="66">G78*H$91+G$91*H78-G78*G$91</f>
        <v>5.0600000000000005</v>
      </c>
      <c r="I98" s="244">
        <f t="shared" ref="I98:I100" si="67">I78*J$91+I$91*J78-J78*J$91</f>
        <v>0.19999999999999996</v>
      </c>
      <c r="J98" s="245">
        <f t="shared" ref="J98:K100" si="68">J78*J$91</f>
        <v>1.5400000000000003</v>
      </c>
      <c r="K98" s="245">
        <f t="shared" si="68"/>
        <v>3.52</v>
      </c>
      <c r="L98" s="246">
        <f t="shared" ref="L98:L100" si="69">K78*L$91+K$91*L78-K78*K$91</f>
        <v>4.6000000000000014</v>
      </c>
    </row>
    <row r="99" spans="1:12" x14ac:dyDescent="0.25">
      <c r="A99" s="65" t="s">
        <v>60</v>
      </c>
      <c r="B99" s="70" t="s">
        <v>45</v>
      </c>
      <c r="D99" s="73" t="s">
        <v>67</v>
      </c>
      <c r="E99" s="244">
        <f t="shared" ref="E99:E100" si="70">E79*F$91+E$91*F79-F79*F$91</f>
        <v>2.2549999999999999</v>
      </c>
      <c r="F99" s="245">
        <f t="shared" si="65"/>
        <v>3.8500000000000005</v>
      </c>
      <c r="G99" s="245">
        <f t="shared" si="65"/>
        <v>6.16</v>
      </c>
      <c r="H99" s="246">
        <f t="shared" si="66"/>
        <v>9.1550000000000011</v>
      </c>
      <c r="I99" s="244">
        <f t="shared" si="67"/>
        <v>2.7399999999999993</v>
      </c>
      <c r="J99" s="245">
        <f t="shared" si="68"/>
        <v>3.8500000000000005</v>
      </c>
      <c r="K99" s="245">
        <f t="shared" si="68"/>
        <v>6.16</v>
      </c>
      <c r="L99" s="246">
        <f t="shared" si="69"/>
        <v>8.129999999999999</v>
      </c>
    </row>
    <row r="100" spans="1:12" ht="15.75" thickBot="1" x14ac:dyDescent="0.3">
      <c r="A100" s="66" t="s">
        <v>60</v>
      </c>
      <c r="B100" s="71" t="s">
        <v>44</v>
      </c>
      <c r="D100" s="74" t="s">
        <v>66</v>
      </c>
      <c r="E100" s="247">
        <f t="shared" si="70"/>
        <v>3.8900000000000006</v>
      </c>
      <c r="F100" s="248">
        <f t="shared" si="65"/>
        <v>7</v>
      </c>
      <c r="G100" s="248">
        <f t="shared" si="65"/>
        <v>8</v>
      </c>
      <c r="H100" s="249">
        <f t="shared" si="66"/>
        <v>9.5</v>
      </c>
      <c r="I100" s="247">
        <f t="shared" si="67"/>
        <v>4.8099999999999987</v>
      </c>
      <c r="J100" s="248">
        <f t="shared" si="68"/>
        <v>7</v>
      </c>
      <c r="K100" s="248">
        <f t="shared" si="68"/>
        <v>8</v>
      </c>
      <c r="L100" s="249">
        <f t="shared" si="69"/>
        <v>9</v>
      </c>
    </row>
    <row r="101" spans="1:12" x14ac:dyDescent="0.25">
      <c r="A101" s="64" t="s">
        <v>61</v>
      </c>
      <c r="B101" s="69" t="s">
        <v>47</v>
      </c>
      <c r="D101" s="72" t="s">
        <v>70</v>
      </c>
      <c r="E101" s="241">
        <f>E77*F$92+E$92*F77-F77*F$92</f>
        <v>0</v>
      </c>
      <c r="F101" s="242">
        <f>F77*F$92</f>
        <v>0</v>
      </c>
      <c r="G101" s="242">
        <f>G77*G$92</f>
        <v>0</v>
      </c>
      <c r="H101" s="243">
        <f>G77*H$92+G$92*H77-G77*G$92</f>
        <v>1.76</v>
      </c>
      <c r="I101" s="241">
        <f>I77*J$92+I$92*J77-J77*J$92</f>
        <v>0</v>
      </c>
      <c r="J101" s="242">
        <f>J77*J$92</f>
        <v>0</v>
      </c>
      <c r="K101" s="242">
        <f>K77*K$92</f>
        <v>0</v>
      </c>
      <c r="L101" s="243">
        <f>K77*L$92+K$92*L77-K77*K$92</f>
        <v>1.2</v>
      </c>
    </row>
    <row r="102" spans="1:12" x14ac:dyDescent="0.25">
      <c r="A102" s="65" t="s">
        <v>61</v>
      </c>
      <c r="B102" s="70" t="s">
        <v>46</v>
      </c>
      <c r="D102" s="73" t="s">
        <v>75</v>
      </c>
      <c r="E102" s="244">
        <f>IF(E78*F$92+E$92*F78-F78*F$92&lt;0,0,E78*F$92+E$92*F78-F78*F$92)</f>
        <v>0</v>
      </c>
      <c r="F102" s="245">
        <f t="shared" ref="F102:G104" si="71">F78*F$92</f>
        <v>1.5400000000000003</v>
      </c>
      <c r="G102" s="245">
        <f t="shared" si="71"/>
        <v>3.52</v>
      </c>
      <c r="H102" s="246">
        <f t="shared" ref="H102:H104" si="72">G78*H$92+G$92*H78-G78*G$92</f>
        <v>5.0600000000000005</v>
      </c>
      <c r="I102" s="244">
        <f t="shared" ref="I102:I104" si="73">I78*J$92+I$92*J78-J78*J$92</f>
        <v>0.19999999999999996</v>
      </c>
      <c r="J102" s="245">
        <f t="shared" ref="J102:K104" si="74">J78*J$92</f>
        <v>1.5400000000000003</v>
      </c>
      <c r="K102" s="245">
        <f t="shared" si="74"/>
        <v>3.52</v>
      </c>
      <c r="L102" s="246">
        <f t="shared" ref="L102:L104" si="75">K78*L$92+K$92*L78-K78*K$92</f>
        <v>4.6000000000000014</v>
      </c>
    </row>
    <row r="103" spans="1:12" x14ac:dyDescent="0.25">
      <c r="A103" s="65" t="s">
        <v>61</v>
      </c>
      <c r="B103" s="70" t="s">
        <v>45</v>
      </c>
      <c r="D103" s="73" t="s">
        <v>76</v>
      </c>
      <c r="E103" s="244">
        <f t="shared" ref="E103:E104" si="76">E79*F$92+E$92*F79-F79*F$92</f>
        <v>2.2549999999999999</v>
      </c>
      <c r="F103" s="245">
        <f t="shared" si="71"/>
        <v>3.8500000000000005</v>
      </c>
      <c r="G103" s="245">
        <f t="shared" si="71"/>
        <v>6.16</v>
      </c>
      <c r="H103" s="246">
        <f t="shared" si="72"/>
        <v>9.1550000000000011</v>
      </c>
      <c r="I103" s="244">
        <f t="shared" si="73"/>
        <v>2.7399999999999993</v>
      </c>
      <c r="J103" s="245">
        <f t="shared" si="74"/>
        <v>3.8500000000000005</v>
      </c>
      <c r="K103" s="245">
        <f t="shared" si="74"/>
        <v>6.16</v>
      </c>
      <c r="L103" s="246">
        <f t="shared" si="75"/>
        <v>8.129999999999999</v>
      </c>
    </row>
    <row r="104" spans="1:12" ht="15.75" thickBot="1" x14ac:dyDescent="0.3">
      <c r="A104" s="66" t="s">
        <v>61</v>
      </c>
      <c r="B104" s="71" t="s">
        <v>44</v>
      </c>
      <c r="D104" s="74" t="s">
        <v>77</v>
      </c>
      <c r="E104" s="247">
        <f t="shared" si="76"/>
        <v>3.8900000000000006</v>
      </c>
      <c r="F104" s="248">
        <f t="shared" si="71"/>
        <v>7</v>
      </c>
      <c r="G104" s="248">
        <f t="shared" si="71"/>
        <v>8</v>
      </c>
      <c r="H104" s="249">
        <f t="shared" si="72"/>
        <v>9.5</v>
      </c>
      <c r="I104" s="247">
        <f t="shared" si="73"/>
        <v>4.8099999999999987</v>
      </c>
      <c r="J104" s="248">
        <f t="shared" si="74"/>
        <v>7</v>
      </c>
      <c r="K104" s="248">
        <f t="shared" si="74"/>
        <v>8</v>
      </c>
      <c r="L104" s="249">
        <f t="shared" si="75"/>
        <v>9</v>
      </c>
    </row>
    <row r="105" spans="1:12" x14ac:dyDescent="0.25">
      <c r="A105" s="64" t="s">
        <v>62</v>
      </c>
      <c r="B105" s="69" t="s">
        <v>47</v>
      </c>
      <c r="D105" s="72" t="s">
        <v>72</v>
      </c>
      <c r="E105" s="241">
        <f>E77*F$93+E$93*F77-F77*F$93</f>
        <v>0</v>
      </c>
      <c r="F105" s="242">
        <f>F77*F$93</f>
        <v>0</v>
      </c>
      <c r="G105" s="242">
        <f>G77*G$93</f>
        <v>0</v>
      </c>
      <c r="H105" s="243">
        <f>G77*H$93+G$93*H77-G77*G$93</f>
        <v>1.21</v>
      </c>
      <c r="I105" s="241">
        <f>I77*J$93+I$93*J77-J77*J$93</f>
        <v>0</v>
      </c>
      <c r="J105" s="242">
        <f>J77*J$93</f>
        <v>0</v>
      </c>
      <c r="K105" s="242">
        <f>K77*K$93</f>
        <v>0</v>
      </c>
      <c r="L105" s="243">
        <f>K77*L$93+K$93*L77-K77*K$93</f>
        <v>0.82499999999999996</v>
      </c>
    </row>
    <row r="106" spans="1:12" x14ac:dyDescent="0.25">
      <c r="A106" s="65" t="s">
        <v>62</v>
      </c>
      <c r="B106" s="70" t="s">
        <v>46</v>
      </c>
      <c r="D106" s="73" t="s">
        <v>71</v>
      </c>
      <c r="E106" s="244">
        <f>IF(E78*F$93+E$93*F78-F78*F$93&lt;0,0,E78*F$93+E$93*F78-F78*F$93)</f>
        <v>0</v>
      </c>
      <c r="F106" s="245">
        <f t="shared" ref="F106:G108" si="77">F78*F$93</f>
        <v>0.9900000000000001</v>
      </c>
      <c r="G106" s="245">
        <f t="shared" si="77"/>
        <v>2.42</v>
      </c>
      <c r="H106" s="246">
        <f t="shared" ref="H106:H108" si="78">G78*H$93+G$93*H78-G78*G$93</f>
        <v>3.6850000000000005</v>
      </c>
      <c r="I106" s="244">
        <f t="shared" ref="I106:I108" si="79">I78*J$93+I$93*J78-J78*J$93</f>
        <v>4.9999999999999933E-2</v>
      </c>
      <c r="J106" s="245">
        <f t="shared" ref="J106:K108" si="80">J78*J$93</f>
        <v>0.9900000000000001</v>
      </c>
      <c r="K106" s="245">
        <f t="shared" si="80"/>
        <v>2.42</v>
      </c>
      <c r="L106" s="246">
        <f t="shared" ref="L106:L108" si="81">K78*L$93+K$93*L78-K78*K$93</f>
        <v>3.3000000000000007</v>
      </c>
    </row>
    <row r="107" spans="1:12" x14ac:dyDescent="0.25">
      <c r="A107" s="65" t="s">
        <v>62</v>
      </c>
      <c r="B107" s="70" t="s">
        <v>45</v>
      </c>
      <c r="D107" s="73" t="s">
        <v>73</v>
      </c>
      <c r="E107" s="244">
        <f t="shared" ref="E107:E108" si="82">E79*F$93+E$93*F79-F79*F$93</f>
        <v>1.1550000000000002</v>
      </c>
      <c r="F107" s="245">
        <f t="shared" si="77"/>
        <v>2.4750000000000001</v>
      </c>
      <c r="G107" s="245">
        <f t="shared" si="77"/>
        <v>4.2350000000000003</v>
      </c>
      <c r="H107" s="246">
        <f t="shared" si="78"/>
        <v>6.6550000000000002</v>
      </c>
      <c r="I107" s="244">
        <f t="shared" si="79"/>
        <v>1.5650000000000008</v>
      </c>
      <c r="J107" s="245">
        <f t="shared" si="80"/>
        <v>2.4750000000000001</v>
      </c>
      <c r="K107" s="245">
        <f t="shared" si="80"/>
        <v>4.2350000000000003</v>
      </c>
      <c r="L107" s="246">
        <f t="shared" si="81"/>
        <v>5.830000000000001</v>
      </c>
    </row>
    <row r="108" spans="1:12" ht="15.75" thickBot="1" x14ac:dyDescent="0.3">
      <c r="A108" s="66" t="s">
        <v>62</v>
      </c>
      <c r="B108" s="71" t="s">
        <v>44</v>
      </c>
      <c r="D108" s="74" t="s">
        <v>74</v>
      </c>
      <c r="E108" s="247">
        <f t="shared" si="82"/>
        <v>1.9649999999999999</v>
      </c>
      <c r="F108" s="248">
        <f t="shared" si="77"/>
        <v>4.5</v>
      </c>
      <c r="G108" s="248">
        <f t="shared" si="77"/>
        <v>5.5</v>
      </c>
      <c r="H108" s="249">
        <f t="shared" si="78"/>
        <v>7</v>
      </c>
      <c r="I108" s="247">
        <f t="shared" si="79"/>
        <v>2.7349999999999994</v>
      </c>
      <c r="J108" s="248">
        <f t="shared" si="80"/>
        <v>4.5</v>
      </c>
      <c r="K108" s="248">
        <f t="shared" si="80"/>
        <v>5.5</v>
      </c>
      <c r="L108" s="249">
        <f t="shared" si="81"/>
        <v>6.5</v>
      </c>
    </row>
    <row r="111" spans="1:12" ht="18.75" x14ac:dyDescent="0.3">
      <c r="A111" s="85" t="s">
        <v>93</v>
      </c>
      <c r="B111" s="38"/>
      <c r="C111" s="38"/>
    </row>
    <row r="112" spans="1:12" x14ac:dyDescent="0.25">
      <c r="A112" s="1" t="s">
        <v>49</v>
      </c>
      <c r="B112" s="38"/>
      <c r="C112" s="38"/>
    </row>
    <row r="113" spans="1:73" ht="15.75" thickBot="1" x14ac:dyDescent="0.3">
      <c r="A113" s="39" t="s">
        <v>100</v>
      </c>
      <c r="B113" s="38"/>
      <c r="C113" s="38"/>
      <c r="BO113" s="245">
        <v>0.8</v>
      </c>
    </row>
    <row r="114" spans="1:73" ht="86.25" customHeight="1" thickBot="1" x14ac:dyDescent="0.3">
      <c r="A114" s="222" t="s">
        <v>26</v>
      </c>
      <c r="B114" s="222" t="s">
        <v>27</v>
      </c>
      <c r="C114" s="223" t="s">
        <v>28</v>
      </c>
      <c r="D114" s="224" t="s">
        <v>58</v>
      </c>
      <c r="E114" s="225"/>
      <c r="F114" s="225"/>
      <c r="G114" s="225" t="s">
        <v>59</v>
      </c>
      <c r="H114" s="225"/>
      <c r="I114" s="225"/>
      <c r="J114" s="220" t="s">
        <v>88</v>
      </c>
      <c r="K114" s="210" t="s">
        <v>81</v>
      </c>
      <c r="L114" s="211"/>
      <c r="M114" s="211"/>
      <c r="N114" s="211"/>
      <c r="O114" s="211"/>
      <c r="P114" s="211"/>
      <c r="Q114" s="211"/>
      <c r="R114" s="212"/>
      <c r="S114" s="261" t="s">
        <v>79</v>
      </c>
      <c r="T114" s="262"/>
      <c r="U114" s="262"/>
      <c r="V114" s="262"/>
      <c r="W114" s="262"/>
      <c r="X114" s="262"/>
      <c r="Y114" s="262"/>
      <c r="Z114" s="263"/>
      <c r="AA114" s="210" t="s">
        <v>80</v>
      </c>
      <c r="AB114" s="211"/>
      <c r="AC114" s="211"/>
      <c r="AD114" s="211"/>
      <c r="AE114" s="211"/>
      <c r="AF114" s="211"/>
      <c r="AG114" s="211"/>
      <c r="AH114" s="212"/>
      <c r="AI114" s="261" t="s">
        <v>78</v>
      </c>
      <c r="AJ114" s="262"/>
      <c r="AK114" s="262"/>
      <c r="AL114" s="262"/>
      <c r="AM114" s="262"/>
      <c r="AN114" s="262"/>
      <c r="AO114" s="262"/>
      <c r="AP114" s="263"/>
      <c r="AQ114" s="261" t="s">
        <v>89</v>
      </c>
      <c r="AR114" s="262"/>
      <c r="AS114" s="262"/>
      <c r="AT114" s="262"/>
      <c r="AU114" s="262"/>
      <c r="AV114" s="262"/>
      <c r="AW114" s="262"/>
      <c r="AX114" s="263"/>
      <c r="AY114" s="261" t="s">
        <v>90</v>
      </c>
      <c r="AZ114" s="262"/>
      <c r="BA114" s="262"/>
      <c r="BB114" s="262"/>
      <c r="BC114" s="262"/>
      <c r="BD114" s="262"/>
      <c r="BE114" s="262"/>
      <c r="BF114" s="263"/>
      <c r="BG114" s="261" t="s">
        <v>134</v>
      </c>
      <c r="BH114" s="262"/>
      <c r="BI114" s="262"/>
      <c r="BJ114" s="262"/>
      <c r="BK114" s="262"/>
      <c r="BL114" s="262"/>
      <c r="BM114" s="262"/>
      <c r="BN114" s="263"/>
      <c r="BO114" s="264" t="s">
        <v>82</v>
      </c>
      <c r="BP114" s="265"/>
      <c r="BQ114" s="265"/>
      <c r="BR114" s="266"/>
      <c r="BS114" s="202" t="s">
        <v>84</v>
      </c>
      <c r="BT114" s="203"/>
      <c r="BU114" s="204" t="s">
        <v>87</v>
      </c>
    </row>
    <row r="115" spans="1:73" s="36" customFormat="1" ht="23.25" customHeight="1" thickBot="1" x14ac:dyDescent="0.3">
      <c r="A115" s="222"/>
      <c r="B115" s="222"/>
      <c r="C115" s="223"/>
      <c r="D115" s="61" t="s">
        <v>50</v>
      </c>
      <c r="E115" s="46" t="s">
        <v>51</v>
      </c>
      <c r="F115" s="46" t="s">
        <v>52</v>
      </c>
      <c r="G115" s="46" t="s">
        <v>50</v>
      </c>
      <c r="H115" s="46" t="s">
        <v>51</v>
      </c>
      <c r="I115" s="46" t="s">
        <v>52</v>
      </c>
      <c r="J115" s="221"/>
      <c r="K115" s="210" t="s">
        <v>3</v>
      </c>
      <c r="L115" s="211"/>
      <c r="M115" s="211"/>
      <c r="N115" s="212"/>
      <c r="O115" s="210" t="s">
        <v>4</v>
      </c>
      <c r="P115" s="211"/>
      <c r="Q115" s="211"/>
      <c r="R115" s="212"/>
      <c r="S115" s="261" t="s">
        <v>3</v>
      </c>
      <c r="T115" s="262"/>
      <c r="U115" s="262"/>
      <c r="V115" s="263"/>
      <c r="W115" s="261" t="s">
        <v>4</v>
      </c>
      <c r="X115" s="262"/>
      <c r="Y115" s="262"/>
      <c r="Z115" s="263"/>
      <c r="AA115" s="261" t="s">
        <v>3</v>
      </c>
      <c r="AB115" s="262"/>
      <c r="AC115" s="262"/>
      <c r="AD115" s="263"/>
      <c r="AE115" s="210" t="s">
        <v>4</v>
      </c>
      <c r="AF115" s="211"/>
      <c r="AG115" s="211"/>
      <c r="AH115" s="212"/>
      <c r="AI115" s="261" t="s">
        <v>3</v>
      </c>
      <c r="AJ115" s="262"/>
      <c r="AK115" s="262"/>
      <c r="AL115" s="263"/>
      <c r="AM115" s="261" t="s">
        <v>4</v>
      </c>
      <c r="AN115" s="262"/>
      <c r="AO115" s="262"/>
      <c r="AP115" s="263"/>
      <c r="AQ115" s="261" t="s">
        <v>3</v>
      </c>
      <c r="AR115" s="262"/>
      <c r="AS115" s="262"/>
      <c r="AT115" s="263"/>
      <c r="AU115" s="261" t="s">
        <v>4</v>
      </c>
      <c r="AV115" s="262"/>
      <c r="AW115" s="262"/>
      <c r="AX115" s="263"/>
      <c r="AY115" s="261" t="s">
        <v>3</v>
      </c>
      <c r="AZ115" s="262"/>
      <c r="BA115" s="262"/>
      <c r="BB115" s="263"/>
      <c r="BC115" s="261" t="s">
        <v>4</v>
      </c>
      <c r="BD115" s="262"/>
      <c r="BE115" s="262"/>
      <c r="BF115" s="263"/>
      <c r="BG115" s="261" t="s">
        <v>3</v>
      </c>
      <c r="BH115" s="262"/>
      <c r="BI115" s="262"/>
      <c r="BJ115" s="263"/>
      <c r="BK115" s="261" t="s">
        <v>4</v>
      </c>
      <c r="BL115" s="262"/>
      <c r="BM115" s="262"/>
      <c r="BN115" s="263"/>
      <c r="BO115" s="270" t="s">
        <v>83</v>
      </c>
      <c r="BP115" s="271"/>
      <c r="BQ115" s="270" t="s">
        <v>5</v>
      </c>
      <c r="BR115" s="272"/>
      <c r="BS115" s="81" t="s">
        <v>85</v>
      </c>
      <c r="BT115" s="81" t="s">
        <v>86</v>
      </c>
      <c r="BU115" s="205"/>
    </row>
    <row r="116" spans="1:73" ht="30" x14ac:dyDescent="0.25">
      <c r="A116" s="41" t="s">
        <v>0</v>
      </c>
      <c r="B116" s="41" t="s">
        <v>25</v>
      </c>
      <c r="C116" s="60" t="s">
        <v>13</v>
      </c>
      <c r="D116" s="92" t="s">
        <v>46</v>
      </c>
      <c r="E116" s="92" t="s">
        <v>45</v>
      </c>
      <c r="F116" s="92" t="s">
        <v>44</v>
      </c>
      <c r="G116" s="49">
        <f>IF(D116=$A$129,$B$129,(IF(D116=$A$130,$B$130,IF(D116=$A$131,$B$131,$B$132))))</f>
        <v>0.33</v>
      </c>
      <c r="H116" s="49">
        <f t="shared" ref="H116:I125" si="83">IF(E116=$A$129,$B$129,(IF(E116=$A$130,$B$130,IF(E116=$A$131,$B$131,$B$132))))</f>
        <v>0.66</v>
      </c>
      <c r="I116" s="49">
        <f t="shared" si="83"/>
        <v>1</v>
      </c>
      <c r="J116" s="83">
        <f>G116*$D$143+H116*$D$144+I116*$D$145</f>
        <v>11.625</v>
      </c>
      <c r="K116" s="20">
        <v>0</v>
      </c>
      <c r="L116" s="22">
        <v>0.22000000000000003</v>
      </c>
      <c r="M116" s="22">
        <v>0.44</v>
      </c>
      <c r="N116" s="23">
        <v>0.55000000000000004</v>
      </c>
      <c r="O116" s="20">
        <v>0.06</v>
      </c>
      <c r="P116" s="22">
        <v>0.22000000000000003</v>
      </c>
      <c r="Q116" s="22">
        <v>0.44</v>
      </c>
      <c r="R116" s="243">
        <v>0.52</v>
      </c>
      <c r="S116" s="241">
        <v>0.44000000000000006</v>
      </c>
      <c r="T116" s="242">
        <v>0.55000000000000004</v>
      </c>
      <c r="U116" s="242">
        <v>0.77</v>
      </c>
      <c r="V116" s="243">
        <v>1</v>
      </c>
      <c r="W116" s="241">
        <v>0.47000000000000003</v>
      </c>
      <c r="X116" s="242">
        <v>0.55000000000000004</v>
      </c>
      <c r="Y116" s="242">
        <v>0.77</v>
      </c>
      <c r="Z116" s="243">
        <v>0.92</v>
      </c>
      <c r="AA116" s="241">
        <v>0.77</v>
      </c>
      <c r="AB116" s="242">
        <v>1</v>
      </c>
      <c r="AC116" s="242">
        <v>1</v>
      </c>
      <c r="AD116" s="243">
        <v>1</v>
      </c>
      <c r="AE116" s="20">
        <v>0.83</v>
      </c>
      <c r="AF116" s="22">
        <v>1</v>
      </c>
      <c r="AG116" s="22">
        <v>1</v>
      </c>
      <c r="AH116" s="23">
        <v>1</v>
      </c>
      <c r="AI116" s="241">
        <v>0</v>
      </c>
      <c r="AJ116" s="242">
        <v>0.44000000000000006</v>
      </c>
      <c r="AK116" s="242">
        <v>1.32</v>
      </c>
      <c r="AL116" s="243">
        <v>2.3099999999999996</v>
      </c>
      <c r="AM116" s="241">
        <v>5.3999999999999992E-2</v>
      </c>
      <c r="AN116" s="242">
        <v>0.44000000000000006</v>
      </c>
      <c r="AO116" s="242">
        <v>1.32</v>
      </c>
      <c r="AP116" s="243">
        <v>2</v>
      </c>
      <c r="AQ116" s="241">
        <v>1.1550000000000002</v>
      </c>
      <c r="AR116" s="242">
        <v>2.4750000000000001</v>
      </c>
      <c r="AS116" s="242">
        <v>4.2350000000000003</v>
      </c>
      <c r="AT116" s="242">
        <v>6.6550000000000002</v>
      </c>
      <c r="AU116" s="241">
        <v>1.5650000000000008</v>
      </c>
      <c r="AV116" s="242">
        <v>2.4750000000000001</v>
      </c>
      <c r="AW116" s="242">
        <v>4.2350000000000003</v>
      </c>
      <c r="AX116" s="243">
        <v>5.830000000000001</v>
      </c>
      <c r="AY116" s="241">
        <v>3.8900000000000006</v>
      </c>
      <c r="AZ116" s="242">
        <v>7</v>
      </c>
      <c r="BA116" s="242">
        <v>8</v>
      </c>
      <c r="BB116" s="242">
        <v>9.5</v>
      </c>
      <c r="BC116" s="241">
        <v>4.8099999999999987</v>
      </c>
      <c r="BD116" s="242">
        <v>7</v>
      </c>
      <c r="BE116" s="242">
        <v>8</v>
      </c>
      <c r="BF116" s="243">
        <v>9</v>
      </c>
      <c r="BG116" s="241">
        <f>AI116+AQ116+AY116</f>
        <v>5.0450000000000008</v>
      </c>
      <c r="BH116" s="242">
        <f t="shared" ref="BH116:BN125" si="84">AJ116+AR116+AZ116</f>
        <v>9.9149999999999991</v>
      </c>
      <c r="BI116" s="242">
        <f t="shared" si="84"/>
        <v>13.555</v>
      </c>
      <c r="BJ116" s="242">
        <f t="shared" si="84"/>
        <v>18.465</v>
      </c>
      <c r="BK116" s="241">
        <f t="shared" si="84"/>
        <v>6.4289999999999994</v>
      </c>
      <c r="BL116" s="242">
        <f t="shared" si="84"/>
        <v>9.9149999999999991</v>
      </c>
      <c r="BM116" s="242">
        <f t="shared" si="84"/>
        <v>13.555</v>
      </c>
      <c r="BN116" s="242">
        <f t="shared" si="84"/>
        <v>16.830000000000002</v>
      </c>
      <c r="BO116" s="250">
        <f>BO$9*BH116+(1-BO$9)*BG116</f>
        <v>8.9409999999999989</v>
      </c>
      <c r="BP116" s="275">
        <f>BO$9*BI116+(1-BO$9)*BJ116</f>
        <v>14.537000000000001</v>
      </c>
      <c r="BQ116" s="250">
        <f>BO$9*BL116+(1-BO$9)*BK116</f>
        <v>9.2177999999999987</v>
      </c>
      <c r="BR116" s="276">
        <f>BO$9*BM116+(1-BO$9)*BN116</f>
        <v>14.21</v>
      </c>
      <c r="BS116" s="20">
        <f>(BO116+BP116)/2</f>
        <v>11.739000000000001</v>
      </c>
      <c r="BT116" s="23">
        <f>(BQ116+BR116)/2</f>
        <v>11.713899999999999</v>
      </c>
      <c r="BU116" s="72">
        <f>(BS116+BT116)/2</f>
        <v>11.72645</v>
      </c>
    </row>
    <row r="117" spans="1:73" x14ac:dyDescent="0.25">
      <c r="A117" s="41" t="s">
        <v>1</v>
      </c>
      <c r="B117" s="41" t="s">
        <v>14</v>
      </c>
      <c r="C117" s="60" t="s">
        <v>29</v>
      </c>
      <c r="D117" s="92" t="s">
        <v>45</v>
      </c>
      <c r="E117" s="92" t="s">
        <v>46</v>
      </c>
      <c r="F117" s="92" t="s">
        <v>46</v>
      </c>
      <c r="G117" s="49">
        <f t="shared" ref="G117:G125" si="85">IF(D117=$A$129,$B$129,(IF(D117=$A$130,$B$130,IF(D117=$A$131,$B$131,$B$132))))</f>
        <v>0.66</v>
      </c>
      <c r="H117" s="49">
        <f t="shared" si="83"/>
        <v>0.33</v>
      </c>
      <c r="I117" s="49">
        <f t="shared" si="83"/>
        <v>0.33</v>
      </c>
      <c r="J117" s="83">
        <f t="shared" ref="J117:J125" si="86">G117*$D$143+H117*$D$144+I117*$D$145</f>
        <v>5.7750000000000004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>
        <v>0.55000000000000004</v>
      </c>
      <c r="Q117">
        <v>0.77</v>
      </c>
      <c r="R117" s="246">
        <v>0.92</v>
      </c>
      <c r="S117" s="244">
        <v>0</v>
      </c>
      <c r="T117" s="245">
        <v>0.22000000000000003</v>
      </c>
      <c r="U117" s="245">
        <v>0.44</v>
      </c>
      <c r="V117" s="246">
        <v>0.55000000000000004</v>
      </c>
      <c r="W117" s="244">
        <v>0.06</v>
      </c>
      <c r="X117" s="245">
        <v>0.22000000000000003</v>
      </c>
      <c r="Y117" s="245">
        <v>0.44</v>
      </c>
      <c r="Z117" s="246">
        <v>0.52</v>
      </c>
      <c r="AA117" s="244">
        <v>0</v>
      </c>
      <c r="AB117" s="245">
        <v>0.22000000000000003</v>
      </c>
      <c r="AC117" s="245">
        <v>0.44</v>
      </c>
      <c r="AD117" s="246">
        <v>0.55000000000000004</v>
      </c>
      <c r="AE117" s="26">
        <v>0.06</v>
      </c>
      <c r="AF117">
        <v>0.22000000000000003</v>
      </c>
      <c r="AG117">
        <v>0.44</v>
      </c>
      <c r="AH117" s="27">
        <v>0.52</v>
      </c>
      <c r="AI117" s="244">
        <v>0.60499999999999998</v>
      </c>
      <c r="AJ117" s="245">
        <v>1.1000000000000001</v>
      </c>
      <c r="AK117" s="245">
        <v>2.31</v>
      </c>
      <c r="AL117" s="246">
        <v>4.1549999999999994</v>
      </c>
      <c r="AM117" s="244">
        <v>0.77499999999999991</v>
      </c>
      <c r="AN117" s="245">
        <v>1.1000000000000001</v>
      </c>
      <c r="AO117" s="245">
        <v>2.31</v>
      </c>
      <c r="AP117" s="246">
        <v>3.53</v>
      </c>
      <c r="AQ117" s="244">
        <v>0</v>
      </c>
      <c r="AR117" s="245">
        <v>0.9900000000000001</v>
      </c>
      <c r="AS117" s="245">
        <v>2.42</v>
      </c>
      <c r="AT117" s="245">
        <v>3.6850000000000005</v>
      </c>
      <c r="AU117" s="244">
        <v>4.9999999999999933E-2</v>
      </c>
      <c r="AV117" s="245">
        <v>0.9900000000000001</v>
      </c>
      <c r="AW117" s="245">
        <v>2.42</v>
      </c>
      <c r="AX117" s="246">
        <v>3.3000000000000007</v>
      </c>
      <c r="AY117" s="244">
        <v>0</v>
      </c>
      <c r="AZ117" s="245">
        <v>1.5400000000000003</v>
      </c>
      <c r="BA117" s="245">
        <v>3.52</v>
      </c>
      <c r="BB117" s="245">
        <v>5.0600000000000005</v>
      </c>
      <c r="BC117" s="244">
        <v>0.19999999999999996</v>
      </c>
      <c r="BD117" s="245">
        <v>1.5400000000000003</v>
      </c>
      <c r="BE117" s="245">
        <v>3.52</v>
      </c>
      <c r="BF117" s="246">
        <v>4.6000000000000014</v>
      </c>
      <c r="BG117" s="244">
        <f t="shared" ref="BG117:BG125" si="87">AI117+AQ117+AY117</f>
        <v>0.60499999999999998</v>
      </c>
      <c r="BH117" s="245">
        <f t="shared" si="84"/>
        <v>3.6300000000000008</v>
      </c>
      <c r="BI117" s="245">
        <f t="shared" si="84"/>
        <v>8.25</v>
      </c>
      <c r="BJ117" s="245">
        <f t="shared" si="84"/>
        <v>12.9</v>
      </c>
      <c r="BK117" s="244">
        <f t="shared" si="84"/>
        <v>1.0249999999999999</v>
      </c>
      <c r="BL117" s="245">
        <f t="shared" si="84"/>
        <v>3.6300000000000008</v>
      </c>
      <c r="BM117" s="245">
        <f t="shared" si="84"/>
        <v>8.25</v>
      </c>
      <c r="BN117" s="245">
        <f t="shared" si="84"/>
        <v>11.430000000000001</v>
      </c>
      <c r="BO117" s="251">
        <f t="shared" ref="BO117:BO125" si="88">BO$9*BH117+(1-BO$9)*BG117</f>
        <v>3.0250000000000008</v>
      </c>
      <c r="BP117" s="278">
        <f t="shared" ref="BP117:BP125" si="89">BO$9*BI117+(1-BO$9)*BJ117</f>
        <v>9.18</v>
      </c>
      <c r="BQ117" s="251">
        <f t="shared" ref="BQ117:BQ125" si="90">BO$9*BL117+(1-BO$9)*BK117</f>
        <v>3.1090000000000009</v>
      </c>
      <c r="BR117" s="279">
        <f t="shared" ref="BR117:BR125" si="91">BO$9*BM117+(1-BO$9)*BN117</f>
        <v>8.8859999999999992</v>
      </c>
      <c r="BS117" s="26">
        <f t="shared" ref="BS117:BS125" si="92">(BO117+BP117)/2</f>
        <v>6.1025</v>
      </c>
      <c r="BT117" s="27">
        <f t="shared" ref="BT117:BT125" si="93">(BQ117+BR117)/2</f>
        <v>5.9975000000000005</v>
      </c>
      <c r="BU117" s="73">
        <f t="shared" ref="BU117:BU125" si="94">(BS117+BT117)/2</f>
        <v>6.0500000000000007</v>
      </c>
    </row>
    <row r="118" spans="1:73" x14ac:dyDescent="0.25">
      <c r="A118" s="41" t="s">
        <v>2</v>
      </c>
      <c r="B118" s="41" t="s">
        <v>15</v>
      </c>
      <c r="C118" s="60" t="s">
        <v>30</v>
      </c>
      <c r="D118" s="92" t="s">
        <v>45</v>
      </c>
      <c r="E118" s="92" t="s">
        <v>44</v>
      </c>
      <c r="F118" s="92" t="s">
        <v>45</v>
      </c>
      <c r="G118" s="49">
        <f t="shared" si="85"/>
        <v>0.66</v>
      </c>
      <c r="H118" s="49">
        <f t="shared" si="83"/>
        <v>1</v>
      </c>
      <c r="I118" s="49">
        <f t="shared" si="83"/>
        <v>0.66</v>
      </c>
      <c r="J118" s="83">
        <f t="shared" si="86"/>
        <v>11.600000000000001</v>
      </c>
      <c r="K118" s="26">
        <v>0.44000000000000006</v>
      </c>
      <c r="L118">
        <v>0.55000000000000004</v>
      </c>
      <c r="M118">
        <v>0.77</v>
      </c>
      <c r="N118" s="27">
        <v>1</v>
      </c>
      <c r="O118" s="26">
        <v>0.47000000000000003</v>
      </c>
      <c r="P118">
        <v>0.55000000000000004</v>
      </c>
      <c r="Q118">
        <v>0.77</v>
      </c>
      <c r="R118" s="246">
        <v>0.92</v>
      </c>
      <c r="S118" s="244">
        <v>0.77</v>
      </c>
      <c r="T118" s="245">
        <v>1</v>
      </c>
      <c r="U118" s="245">
        <v>1</v>
      </c>
      <c r="V118" s="246">
        <v>1</v>
      </c>
      <c r="W118" s="244">
        <v>0.83</v>
      </c>
      <c r="X118" s="245">
        <v>1</v>
      </c>
      <c r="Y118" s="245">
        <v>1</v>
      </c>
      <c r="Z118" s="246">
        <v>1</v>
      </c>
      <c r="AA118" s="244">
        <v>0.44000000000000006</v>
      </c>
      <c r="AB118" s="245">
        <v>0.55000000000000004</v>
      </c>
      <c r="AC118" s="245">
        <v>0.77</v>
      </c>
      <c r="AD118" s="246">
        <v>1</v>
      </c>
      <c r="AE118" s="26">
        <v>0.47000000000000003</v>
      </c>
      <c r="AF118">
        <v>0.55000000000000004</v>
      </c>
      <c r="AG118">
        <v>0.77</v>
      </c>
      <c r="AH118" s="27">
        <v>0.92</v>
      </c>
      <c r="AI118" s="244">
        <v>0.60499999999999998</v>
      </c>
      <c r="AJ118" s="245">
        <v>1.1000000000000001</v>
      </c>
      <c r="AK118" s="245">
        <v>2.31</v>
      </c>
      <c r="AL118" s="246">
        <v>4.1549999999999994</v>
      </c>
      <c r="AM118" s="244">
        <v>0.77499999999999991</v>
      </c>
      <c r="AN118" s="245">
        <v>1.1000000000000001</v>
      </c>
      <c r="AO118" s="245">
        <v>2.31</v>
      </c>
      <c r="AP118" s="246">
        <v>3.53</v>
      </c>
      <c r="AQ118" s="244">
        <v>1.9649999999999999</v>
      </c>
      <c r="AR118" s="245">
        <v>4.5</v>
      </c>
      <c r="AS118" s="245">
        <v>5.5</v>
      </c>
      <c r="AT118" s="245">
        <v>7</v>
      </c>
      <c r="AU118" s="244">
        <v>2.7349999999999994</v>
      </c>
      <c r="AV118" s="245">
        <v>4.5</v>
      </c>
      <c r="AW118" s="245">
        <v>5.5</v>
      </c>
      <c r="AX118" s="246">
        <v>6.5</v>
      </c>
      <c r="AY118" s="244">
        <v>2.2549999999999999</v>
      </c>
      <c r="AZ118" s="245">
        <v>3.8500000000000005</v>
      </c>
      <c r="BA118" s="245">
        <v>6.16</v>
      </c>
      <c r="BB118" s="245">
        <v>9.1550000000000011</v>
      </c>
      <c r="BC118" s="244">
        <v>2.7399999999999993</v>
      </c>
      <c r="BD118" s="245">
        <v>3.8500000000000005</v>
      </c>
      <c r="BE118" s="245">
        <v>6.16</v>
      </c>
      <c r="BF118" s="246">
        <v>8.129999999999999</v>
      </c>
      <c r="BG118" s="244">
        <f t="shared" si="87"/>
        <v>4.8249999999999993</v>
      </c>
      <c r="BH118" s="245">
        <f t="shared" si="84"/>
        <v>9.4499999999999993</v>
      </c>
      <c r="BI118" s="245">
        <f t="shared" si="84"/>
        <v>13.97</v>
      </c>
      <c r="BJ118" s="245">
        <f t="shared" si="84"/>
        <v>20.310000000000002</v>
      </c>
      <c r="BK118" s="244">
        <f t="shared" si="84"/>
        <v>6.2499999999999982</v>
      </c>
      <c r="BL118" s="245">
        <f t="shared" si="84"/>
        <v>9.4499999999999993</v>
      </c>
      <c r="BM118" s="245">
        <f t="shared" si="84"/>
        <v>13.97</v>
      </c>
      <c r="BN118" s="245">
        <f t="shared" si="84"/>
        <v>18.159999999999997</v>
      </c>
      <c r="BO118" s="251">
        <f t="shared" si="88"/>
        <v>8.5249999999999986</v>
      </c>
      <c r="BP118" s="278">
        <f t="shared" si="89"/>
        <v>15.238000000000001</v>
      </c>
      <c r="BQ118" s="251">
        <f t="shared" si="90"/>
        <v>8.8099999999999987</v>
      </c>
      <c r="BR118" s="279">
        <f t="shared" si="91"/>
        <v>14.808</v>
      </c>
      <c r="BS118" s="26">
        <f t="shared" si="92"/>
        <v>11.881499999999999</v>
      </c>
      <c r="BT118" s="27">
        <f t="shared" si="93"/>
        <v>11.808999999999999</v>
      </c>
      <c r="BU118" s="73">
        <f t="shared" si="94"/>
        <v>11.84525</v>
      </c>
    </row>
    <row r="119" spans="1:73" x14ac:dyDescent="0.25">
      <c r="A119" s="41" t="s">
        <v>6</v>
      </c>
      <c r="B119" s="41" t="s">
        <v>16</v>
      </c>
      <c r="C119" s="60" t="s">
        <v>17</v>
      </c>
      <c r="D119" s="92" t="s">
        <v>44</v>
      </c>
      <c r="E119" s="92" t="s">
        <v>45</v>
      </c>
      <c r="F119" s="92" t="s">
        <v>46</v>
      </c>
      <c r="G119" s="49">
        <f t="shared" si="85"/>
        <v>1</v>
      </c>
      <c r="H119" s="49">
        <f t="shared" si="83"/>
        <v>0.66</v>
      </c>
      <c r="I119" s="49">
        <f t="shared" si="83"/>
        <v>0.33</v>
      </c>
      <c r="J119" s="83">
        <f t="shared" si="86"/>
        <v>8.2750000000000004</v>
      </c>
      <c r="K119" s="26">
        <v>0.77</v>
      </c>
      <c r="L119">
        <v>1</v>
      </c>
      <c r="M119">
        <v>1</v>
      </c>
      <c r="N119" s="27">
        <v>1</v>
      </c>
      <c r="O119" s="26">
        <v>0.83</v>
      </c>
      <c r="P119">
        <v>1</v>
      </c>
      <c r="Q119">
        <v>1</v>
      </c>
      <c r="R119" s="246">
        <v>1</v>
      </c>
      <c r="S119" s="244">
        <v>0.44000000000000006</v>
      </c>
      <c r="T119" s="245">
        <v>0.55000000000000004</v>
      </c>
      <c r="U119" s="245">
        <v>0.77</v>
      </c>
      <c r="V119" s="246">
        <v>1</v>
      </c>
      <c r="W119" s="244">
        <v>0.47000000000000003</v>
      </c>
      <c r="X119" s="245">
        <v>0.55000000000000004</v>
      </c>
      <c r="Y119" s="245">
        <v>0.77</v>
      </c>
      <c r="Z119" s="246">
        <v>0.92</v>
      </c>
      <c r="AA119" s="244">
        <v>0</v>
      </c>
      <c r="AB119" s="245">
        <v>0.22000000000000003</v>
      </c>
      <c r="AC119" s="245">
        <v>0.44</v>
      </c>
      <c r="AD119" s="246">
        <v>0.55000000000000004</v>
      </c>
      <c r="AE119" s="26">
        <v>0.06</v>
      </c>
      <c r="AF119">
        <v>0.22000000000000003</v>
      </c>
      <c r="AG119">
        <v>0.44</v>
      </c>
      <c r="AH119" s="27">
        <v>0.52</v>
      </c>
      <c r="AI119" s="244">
        <v>1.04</v>
      </c>
      <c r="AJ119" s="245">
        <v>2</v>
      </c>
      <c r="AK119" s="245">
        <v>3</v>
      </c>
      <c r="AL119" s="246">
        <v>4.5</v>
      </c>
      <c r="AM119" s="244">
        <v>1.3599999999999999</v>
      </c>
      <c r="AN119" s="245">
        <v>2</v>
      </c>
      <c r="AO119" s="245">
        <v>3</v>
      </c>
      <c r="AP119" s="246">
        <v>4</v>
      </c>
      <c r="AQ119" s="244">
        <v>1.1550000000000002</v>
      </c>
      <c r="AR119" s="245">
        <v>2.4750000000000001</v>
      </c>
      <c r="AS119" s="245">
        <v>4.2350000000000003</v>
      </c>
      <c r="AT119" s="245">
        <v>6.6550000000000002</v>
      </c>
      <c r="AU119" s="244">
        <v>1.5650000000000008</v>
      </c>
      <c r="AV119" s="245">
        <v>2.4750000000000001</v>
      </c>
      <c r="AW119" s="245">
        <v>4.2350000000000003</v>
      </c>
      <c r="AX119" s="246">
        <v>5.830000000000001</v>
      </c>
      <c r="AY119" s="244">
        <v>0</v>
      </c>
      <c r="AZ119" s="245">
        <v>1.5400000000000003</v>
      </c>
      <c r="BA119" s="245">
        <v>3.52</v>
      </c>
      <c r="BB119" s="245">
        <v>5.0600000000000005</v>
      </c>
      <c r="BC119" s="244">
        <v>0.19999999999999996</v>
      </c>
      <c r="BD119" s="245">
        <v>1.5400000000000003</v>
      </c>
      <c r="BE119" s="245">
        <v>3.52</v>
      </c>
      <c r="BF119" s="246">
        <v>4.6000000000000014</v>
      </c>
      <c r="BG119" s="244">
        <f t="shared" si="87"/>
        <v>2.1950000000000003</v>
      </c>
      <c r="BH119" s="245">
        <f t="shared" si="84"/>
        <v>6.0149999999999997</v>
      </c>
      <c r="BI119" s="245">
        <f t="shared" si="84"/>
        <v>10.755000000000001</v>
      </c>
      <c r="BJ119" s="245">
        <f t="shared" si="84"/>
        <v>16.215000000000003</v>
      </c>
      <c r="BK119" s="244">
        <f t="shared" si="84"/>
        <v>3.1250000000000009</v>
      </c>
      <c r="BL119" s="245">
        <f t="shared" si="84"/>
        <v>6.0149999999999997</v>
      </c>
      <c r="BM119" s="245">
        <f t="shared" si="84"/>
        <v>10.755000000000001</v>
      </c>
      <c r="BN119" s="245">
        <f t="shared" si="84"/>
        <v>14.430000000000003</v>
      </c>
      <c r="BO119" s="251">
        <f t="shared" si="88"/>
        <v>5.2510000000000003</v>
      </c>
      <c r="BP119" s="278">
        <f t="shared" si="89"/>
        <v>11.847000000000001</v>
      </c>
      <c r="BQ119" s="251">
        <f t="shared" si="90"/>
        <v>5.4370000000000003</v>
      </c>
      <c r="BR119" s="279">
        <f t="shared" si="91"/>
        <v>11.490000000000002</v>
      </c>
      <c r="BS119" s="26">
        <f t="shared" si="92"/>
        <v>8.5490000000000013</v>
      </c>
      <c r="BT119" s="27">
        <f t="shared" si="93"/>
        <v>8.4635000000000016</v>
      </c>
      <c r="BU119" s="73">
        <f t="shared" si="94"/>
        <v>8.5062500000000014</v>
      </c>
    </row>
    <row r="120" spans="1:73" ht="30" x14ac:dyDescent="0.25">
      <c r="A120" s="41" t="s">
        <v>7</v>
      </c>
      <c r="B120" s="41" t="s">
        <v>18</v>
      </c>
      <c r="C120" s="60" t="s">
        <v>31</v>
      </c>
      <c r="D120" s="92" t="s">
        <v>45</v>
      </c>
      <c r="E120" s="92" t="s">
        <v>44</v>
      </c>
      <c r="F120" s="92" t="s">
        <v>46</v>
      </c>
      <c r="G120" s="49">
        <f t="shared" si="85"/>
        <v>0.66</v>
      </c>
      <c r="H120" s="49">
        <f t="shared" si="83"/>
        <v>1</v>
      </c>
      <c r="I120" s="49">
        <f t="shared" si="83"/>
        <v>0.33</v>
      </c>
      <c r="J120" s="83">
        <f t="shared" si="86"/>
        <v>9.125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>
        <v>0.77</v>
      </c>
      <c r="R120" s="246">
        <v>0.92</v>
      </c>
      <c r="S120" s="244">
        <v>0.77</v>
      </c>
      <c r="T120" s="245">
        <v>1</v>
      </c>
      <c r="U120" s="245">
        <v>1</v>
      </c>
      <c r="V120" s="246">
        <v>1</v>
      </c>
      <c r="W120" s="244">
        <v>0.83</v>
      </c>
      <c r="X120" s="245">
        <v>1</v>
      </c>
      <c r="Y120" s="245">
        <v>1</v>
      </c>
      <c r="Z120" s="246">
        <v>1</v>
      </c>
      <c r="AA120" s="244">
        <v>0</v>
      </c>
      <c r="AB120" s="245">
        <v>0.22000000000000003</v>
      </c>
      <c r="AC120" s="245">
        <v>0.44</v>
      </c>
      <c r="AD120" s="246">
        <v>0.55000000000000004</v>
      </c>
      <c r="AE120" s="26">
        <v>0.06</v>
      </c>
      <c r="AF120">
        <v>0.22000000000000003</v>
      </c>
      <c r="AG120">
        <v>0.44</v>
      </c>
      <c r="AH120" s="27">
        <v>0.52</v>
      </c>
      <c r="AI120" s="244">
        <v>0.60499999999999998</v>
      </c>
      <c r="AJ120" s="245">
        <v>1.1000000000000001</v>
      </c>
      <c r="AK120" s="245">
        <v>2.31</v>
      </c>
      <c r="AL120" s="246">
        <v>4.1549999999999994</v>
      </c>
      <c r="AM120" s="244">
        <v>0.77499999999999991</v>
      </c>
      <c r="AN120" s="245">
        <v>1.1000000000000001</v>
      </c>
      <c r="AO120" s="245">
        <v>2.31</v>
      </c>
      <c r="AP120" s="246">
        <v>3.53</v>
      </c>
      <c r="AQ120" s="244">
        <v>1.9649999999999999</v>
      </c>
      <c r="AR120" s="245">
        <v>4.5</v>
      </c>
      <c r="AS120" s="245">
        <v>5.5</v>
      </c>
      <c r="AT120" s="245">
        <v>7</v>
      </c>
      <c r="AU120" s="244">
        <v>2.7349999999999994</v>
      </c>
      <c r="AV120" s="245">
        <v>4.5</v>
      </c>
      <c r="AW120" s="245">
        <v>5.5</v>
      </c>
      <c r="AX120" s="246">
        <v>6.5</v>
      </c>
      <c r="AY120" s="244">
        <v>0</v>
      </c>
      <c r="AZ120" s="245">
        <v>1.5400000000000003</v>
      </c>
      <c r="BA120" s="245">
        <v>3.52</v>
      </c>
      <c r="BB120" s="245">
        <v>5.0600000000000005</v>
      </c>
      <c r="BC120" s="244">
        <v>0.19999999999999996</v>
      </c>
      <c r="BD120" s="245">
        <v>1.5400000000000003</v>
      </c>
      <c r="BE120" s="245">
        <v>3.52</v>
      </c>
      <c r="BF120" s="246">
        <v>4.6000000000000014</v>
      </c>
      <c r="BG120" s="244">
        <f t="shared" si="87"/>
        <v>2.57</v>
      </c>
      <c r="BH120" s="245">
        <f t="shared" si="84"/>
        <v>7.14</v>
      </c>
      <c r="BI120" s="245">
        <f t="shared" si="84"/>
        <v>11.33</v>
      </c>
      <c r="BJ120" s="245">
        <f t="shared" si="84"/>
        <v>16.215</v>
      </c>
      <c r="BK120" s="244">
        <f t="shared" si="84"/>
        <v>3.7099999999999991</v>
      </c>
      <c r="BL120" s="245">
        <f t="shared" si="84"/>
        <v>7.14</v>
      </c>
      <c r="BM120" s="245">
        <f t="shared" si="84"/>
        <v>11.33</v>
      </c>
      <c r="BN120" s="245">
        <f t="shared" si="84"/>
        <v>14.63</v>
      </c>
      <c r="BO120" s="251">
        <f t="shared" si="88"/>
        <v>6.226</v>
      </c>
      <c r="BP120" s="278">
        <f t="shared" si="89"/>
        <v>12.306999999999999</v>
      </c>
      <c r="BQ120" s="251">
        <f t="shared" si="90"/>
        <v>6.4539999999999997</v>
      </c>
      <c r="BR120" s="279">
        <f t="shared" si="91"/>
        <v>11.99</v>
      </c>
      <c r="BS120" s="26">
        <f t="shared" si="92"/>
        <v>9.2664999999999988</v>
      </c>
      <c r="BT120" s="27">
        <f t="shared" si="93"/>
        <v>9.2219999999999995</v>
      </c>
      <c r="BU120" s="73">
        <f t="shared" si="94"/>
        <v>9.2442499999999992</v>
      </c>
    </row>
    <row r="121" spans="1:73" x14ac:dyDescent="0.25">
      <c r="A121" s="41" t="s">
        <v>8</v>
      </c>
      <c r="B121" s="41" t="s">
        <v>19</v>
      </c>
      <c r="C121" s="60" t="s">
        <v>32</v>
      </c>
      <c r="D121" s="92" t="s">
        <v>46</v>
      </c>
      <c r="E121" s="92" t="s">
        <v>45</v>
      </c>
      <c r="F121" s="92" t="s">
        <v>46</v>
      </c>
      <c r="G121" s="49">
        <f t="shared" si="85"/>
        <v>0.33</v>
      </c>
      <c r="H121" s="49">
        <f t="shared" si="83"/>
        <v>0.66</v>
      </c>
      <c r="I121" s="49">
        <f t="shared" si="83"/>
        <v>0.33</v>
      </c>
      <c r="J121" s="83">
        <f t="shared" si="86"/>
        <v>6.6</v>
      </c>
      <c r="K121" s="26">
        <v>0</v>
      </c>
      <c r="L121">
        <v>0.22000000000000003</v>
      </c>
      <c r="M121">
        <v>0.44</v>
      </c>
      <c r="N121" s="27">
        <v>0.55000000000000004</v>
      </c>
      <c r="O121" s="26">
        <v>0.06</v>
      </c>
      <c r="P121">
        <v>0.22000000000000003</v>
      </c>
      <c r="Q121">
        <v>0.44</v>
      </c>
      <c r="R121" s="246">
        <v>0.52</v>
      </c>
      <c r="S121" s="244">
        <v>0.44000000000000006</v>
      </c>
      <c r="T121" s="245">
        <v>0.55000000000000004</v>
      </c>
      <c r="U121" s="245">
        <v>0.77</v>
      </c>
      <c r="V121" s="246">
        <v>1</v>
      </c>
      <c r="W121" s="244">
        <v>0.47000000000000003</v>
      </c>
      <c r="X121" s="245">
        <v>0.55000000000000004</v>
      </c>
      <c r="Y121" s="245">
        <v>0.77</v>
      </c>
      <c r="Z121" s="246">
        <v>0.92</v>
      </c>
      <c r="AA121" s="244">
        <v>0</v>
      </c>
      <c r="AB121" s="245">
        <v>0.22000000000000003</v>
      </c>
      <c r="AC121" s="245">
        <v>0.44</v>
      </c>
      <c r="AD121" s="246">
        <v>0.55000000000000004</v>
      </c>
      <c r="AE121" s="26">
        <v>0.06</v>
      </c>
      <c r="AF121">
        <v>0.22000000000000003</v>
      </c>
      <c r="AG121">
        <v>0.44</v>
      </c>
      <c r="AH121" s="27">
        <v>0.52</v>
      </c>
      <c r="AI121" s="244">
        <v>0</v>
      </c>
      <c r="AJ121" s="245">
        <v>0.44000000000000006</v>
      </c>
      <c r="AK121" s="245">
        <v>1.32</v>
      </c>
      <c r="AL121" s="246">
        <v>2.3099999999999996</v>
      </c>
      <c r="AM121" s="244">
        <v>5.3999999999999992E-2</v>
      </c>
      <c r="AN121" s="245">
        <v>0.44000000000000006</v>
      </c>
      <c r="AO121" s="245">
        <v>1.32</v>
      </c>
      <c r="AP121" s="246">
        <v>2</v>
      </c>
      <c r="AQ121" s="244">
        <v>1.1550000000000002</v>
      </c>
      <c r="AR121" s="245">
        <v>2.4750000000000001</v>
      </c>
      <c r="AS121" s="245">
        <v>4.2350000000000003</v>
      </c>
      <c r="AT121" s="245">
        <v>6.6550000000000002</v>
      </c>
      <c r="AU121" s="244">
        <v>1.5650000000000008</v>
      </c>
      <c r="AV121" s="245">
        <v>2.4750000000000001</v>
      </c>
      <c r="AW121" s="245">
        <v>4.2350000000000003</v>
      </c>
      <c r="AX121" s="246">
        <v>5.830000000000001</v>
      </c>
      <c r="AY121" s="244">
        <v>0</v>
      </c>
      <c r="AZ121" s="245">
        <v>1.5400000000000003</v>
      </c>
      <c r="BA121" s="245">
        <v>3.52</v>
      </c>
      <c r="BB121" s="245">
        <v>5.0600000000000005</v>
      </c>
      <c r="BC121" s="244">
        <v>0.19999999999999996</v>
      </c>
      <c r="BD121" s="245">
        <v>1.5400000000000003</v>
      </c>
      <c r="BE121" s="245">
        <v>3.52</v>
      </c>
      <c r="BF121" s="246">
        <v>4.6000000000000014</v>
      </c>
      <c r="BG121" s="244">
        <f t="shared" si="87"/>
        <v>1.1550000000000002</v>
      </c>
      <c r="BH121" s="245">
        <f t="shared" si="84"/>
        <v>4.4550000000000001</v>
      </c>
      <c r="BI121" s="245">
        <f t="shared" si="84"/>
        <v>9.0750000000000011</v>
      </c>
      <c r="BJ121" s="245">
        <f t="shared" si="84"/>
        <v>14.025</v>
      </c>
      <c r="BK121" s="244">
        <f t="shared" si="84"/>
        <v>1.8190000000000008</v>
      </c>
      <c r="BL121" s="245">
        <f t="shared" si="84"/>
        <v>4.4550000000000001</v>
      </c>
      <c r="BM121" s="245">
        <f t="shared" si="84"/>
        <v>9.0750000000000011</v>
      </c>
      <c r="BN121" s="245">
        <f t="shared" si="84"/>
        <v>12.430000000000003</v>
      </c>
      <c r="BO121" s="251">
        <f t="shared" si="88"/>
        <v>3.7949999999999999</v>
      </c>
      <c r="BP121" s="278">
        <f t="shared" si="89"/>
        <v>10.065000000000001</v>
      </c>
      <c r="BQ121" s="251">
        <f t="shared" si="90"/>
        <v>3.9278</v>
      </c>
      <c r="BR121" s="279">
        <f t="shared" si="91"/>
        <v>9.7460000000000022</v>
      </c>
      <c r="BS121" s="26">
        <f t="shared" si="92"/>
        <v>6.9300000000000006</v>
      </c>
      <c r="BT121" s="27">
        <f t="shared" si="93"/>
        <v>6.8369000000000009</v>
      </c>
      <c r="BU121" s="73">
        <f t="shared" si="94"/>
        <v>6.8834500000000007</v>
      </c>
    </row>
    <row r="122" spans="1:73" ht="30" x14ac:dyDescent="0.25">
      <c r="A122" s="41" t="s">
        <v>9</v>
      </c>
      <c r="B122" s="41" t="s">
        <v>20</v>
      </c>
      <c r="C122" s="60" t="s">
        <v>33</v>
      </c>
      <c r="D122" s="92" t="s">
        <v>44</v>
      </c>
      <c r="E122" s="92" t="s">
        <v>45</v>
      </c>
      <c r="F122" s="92" t="s">
        <v>46</v>
      </c>
      <c r="G122" s="49">
        <f t="shared" si="85"/>
        <v>1</v>
      </c>
      <c r="H122" s="49">
        <f t="shared" si="83"/>
        <v>0.66</v>
      </c>
      <c r="I122" s="49">
        <f t="shared" si="83"/>
        <v>0.33</v>
      </c>
      <c r="J122" s="83">
        <f t="shared" si="86"/>
        <v>8.2750000000000004</v>
      </c>
      <c r="K122" s="26">
        <v>0.77</v>
      </c>
      <c r="L122">
        <v>1</v>
      </c>
      <c r="M122">
        <v>1</v>
      </c>
      <c r="N122" s="27">
        <v>1</v>
      </c>
      <c r="O122" s="26">
        <v>0.83</v>
      </c>
      <c r="P122">
        <v>1</v>
      </c>
      <c r="Q122">
        <v>1</v>
      </c>
      <c r="R122" s="246">
        <v>1</v>
      </c>
      <c r="S122" s="244">
        <v>0.44000000000000006</v>
      </c>
      <c r="T122" s="245">
        <v>0.55000000000000004</v>
      </c>
      <c r="U122" s="245">
        <v>0.77</v>
      </c>
      <c r="V122" s="246">
        <v>1</v>
      </c>
      <c r="W122" s="244">
        <v>0.47000000000000003</v>
      </c>
      <c r="X122" s="245">
        <v>0.55000000000000004</v>
      </c>
      <c r="Y122" s="245">
        <v>0.77</v>
      </c>
      <c r="Z122" s="246">
        <v>0.92</v>
      </c>
      <c r="AA122" s="244">
        <v>0</v>
      </c>
      <c r="AB122" s="245">
        <v>0.22000000000000003</v>
      </c>
      <c r="AC122" s="245">
        <v>0.44</v>
      </c>
      <c r="AD122" s="246">
        <v>0.55000000000000004</v>
      </c>
      <c r="AE122" s="26">
        <v>0.06</v>
      </c>
      <c r="AF122">
        <v>0.22000000000000003</v>
      </c>
      <c r="AG122">
        <v>0.44</v>
      </c>
      <c r="AH122" s="27">
        <v>0.52</v>
      </c>
      <c r="AI122" s="244">
        <v>1.04</v>
      </c>
      <c r="AJ122" s="245">
        <v>2</v>
      </c>
      <c r="AK122" s="245">
        <v>3</v>
      </c>
      <c r="AL122" s="246">
        <v>4.5</v>
      </c>
      <c r="AM122" s="244">
        <v>1.3599999999999999</v>
      </c>
      <c r="AN122" s="245">
        <v>2</v>
      </c>
      <c r="AO122" s="245">
        <v>3</v>
      </c>
      <c r="AP122" s="246">
        <v>4</v>
      </c>
      <c r="AQ122" s="244">
        <v>1.1550000000000002</v>
      </c>
      <c r="AR122" s="245">
        <v>2.4750000000000001</v>
      </c>
      <c r="AS122" s="245">
        <v>4.2350000000000003</v>
      </c>
      <c r="AT122" s="245">
        <v>6.6550000000000002</v>
      </c>
      <c r="AU122" s="244">
        <v>1.5650000000000008</v>
      </c>
      <c r="AV122" s="245">
        <v>2.4750000000000001</v>
      </c>
      <c r="AW122" s="245">
        <v>4.2350000000000003</v>
      </c>
      <c r="AX122" s="246">
        <v>5.830000000000001</v>
      </c>
      <c r="AY122" s="244">
        <v>0</v>
      </c>
      <c r="AZ122" s="245">
        <v>1.5400000000000003</v>
      </c>
      <c r="BA122" s="245">
        <v>3.52</v>
      </c>
      <c r="BB122" s="245">
        <v>5.0600000000000005</v>
      </c>
      <c r="BC122" s="244">
        <v>0.19999999999999996</v>
      </c>
      <c r="BD122" s="245">
        <v>1.5400000000000003</v>
      </c>
      <c r="BE122" s="245">
        <v>3.52</v>
      </c>
      <c r="BF122" s="246">
        <v>4.6000000000000014</v>
      </c>
      <c r="BG122" s="244">
        <f t="shared" si="87"/>
        <v>2.1950000000000003</v>
      </c>
      <c r="BH122" s="245">
        <f t="shared" si="84"/>
        <v>6.0149999999999997</v>
      </c>
      <c r="BI122" s="245">
        <f t="shared" si="84"/>
        <v>10.755000000000001</v>
      </c>
      <c r="BJ122" s="245">
        <f t="shared" si="84"/>
        <v>16.215000000000003</v>
      </c>
      <c r="BK122" s="244">
        <f t="shared" si="84"/>
        <v>3.1250000000000009</v>
      </c>
      <c r="BL122" s="245">
        <f t="shared" si="84"/>
        <v>6.0149999999999997</v>
      </c>
      <c r="BM122" s="245">
        <f t="shared" si="84"/>
        <v>10.755000000000001</v>
      </c>
      <c r="BN122" s="245">
        <f t="shared" si="84"/>
        <v>14.430000000000003</v>
      </c>
      <c r="BO122" s="251">
        <f t="shared" si="88"/>
        <v>5.2510000000000003</v>
      </c>
      <c r="BP122" s="278">
        <f t="shared" si="89"/>
        <v>11.847000000000001</v>
      </c>
      <c r="BQ122" s="251">
        <f t="shared" si="90"/>
        <v>5.4370000000000003</v>
      </c>
      <c r="BR122" s="279">
        <f t="shared" si="91"/>
        <v>11.490000000000002</v>
      </c>
      <c r="BS122" s="26">
        <f t="shared" si="92"/>
        <v>8.5490000000000013</v>
      </c>
      <c r="BT122" s="27">
        <f t="shared" si="93"/>
        <v>8.4635000000000016</v>
      </c>
      <c r="BU122" s="73">
        <f t="shared" si="94"/>
        <v>8.5062500000000014</v>
      </c>
    </row>
    <row r="123" spans="1:73" ht="30" x14ac:dyDescent="0.25">
      <c r="A123" s="41" t="s">
        <v>10</v>
      </c>
      <c r="B123" s="41" t="s">
        <v>21</v>
      </c>
      <c r="C123" s="60" t="s">
        <v>22</v>
      </c>
      <c r="D123" s="92" t="s">
        <v>45</v>
      </c>
      <c r="E123" s="92" t="s">
        <v>46</v>
      </c>
      <c r="F123" s="92" t="s">
        <v>44</v>
      </c>
      <c r="G123" s="49">
        <f t="shared" si="85"/>
        <v>0.66</v>
      </c>
      <c r="H123" s="49">
        <f t="shared" si="83"/>
        <v>0.33</v>
      </c>
      <c r="I123" s="49">
        <f t="shared" si="83"/>
        <v>1</v>
      </c>
      <c r="J123" s="83">
        <f t="shared" si="86"/>
        <v>10.8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>
        <v>0.55000000000000004</v>
      </c>
      <c r="Q123">
        <v>0.77</v>
      </c>
      <c r="R123" s="246">
        <v>0.92</v>
      </c>
      <c r="S123" s="244">
        <v>0</v>
      </c>
      <c r="T123" s="245">
        <v>0.22000000000000003</v>
      </c>
      <c r="U123" s="245">
        <v>0.44</v>
      </c>
      <c r="V123" s="246">
        <v>0.55000000000000004</v>
      </c>
      <c r="W123" s="244">
        <v>0.06</v>
      </c>
      <c r="X123" s="245">
        <v>0.22000000000000003</v>
      </c>
      <c r="Y123" s="245">
        <v>0.44</v>
      </c>
      <c r="Z123" s="246">
        <v>0.52</v>
      </c>
      <c r="AA123" s="244">
        <v>0.77</v>
      </c>
      <c r="AB123" s="245">
        <v>1</v>
      </c>
      <c r="AC123" s="245">
        <v>1</v>
      </c>
      <c r="AD123" s="246">
        <v>1</v>
      </c>
      <c r="AE123" s="26">
        <v>0.83</v>
      </c>
      <c r="AF123">
        <v>1</v>
      </c>
      <c r="AG123">
        <v>1</v>
      </c>
      <c r="AH123" s="27">
        <v>1</v>
      </c>
      <c r="AI123" s="244">
        <v>0.60499999999999998</v>
      </c>
      <c r="AJ123" s="245">
        <v>1.1000000000000001</v>
      </c>
      <c r="AK123" s="245">
        <v>2.31</v>
      </c>
      <c r="AL123" s="246">
        <v>4.1549999999999994</v>
      </c>
      <c r="AM123" s="244">
        <v>0.77499999999999991</v>
      </c>
      <c r="AN123" s="245">
        <v>1.1000000000000001</v>
      </c>
      <c r="AO123" s="245">
        <v>2.31</v>
      </c>
      <c r="AP123" s="246">
        <v>3.53</v>
      </c>
      <c r="AQ123" s="244">
        <v>0</v>
      </c>
      <c r="AR123" s="245">
        <v>0.9900000000000001</v>
      </c>
      <c r="AS123" s="245">
        <v>2.42</v>
      </c>
      <c r="AT123" s="245">
        <v>3.6850000000000005</v>
      </c>
      <c r="AU123" s="244">
        <v>4.9999999999999933E-2</v>
      </c>
      <c r="AV123" s="245">
        <v>0.9900000000000001</v>
      </c>
      <c r="AW123" s="245">
        <v>2.42</v>
      </c>
      <c r="AX123" s="246">
        <v>3.3000000000000007</v>
      </c>
      <c r="AY123" s="244">
        <v>3.8900000000000006</v>
      </c>
      <c r="AZ123" s="245">
        <v>7</v>
      </c>
      <c r="BA123" s="245">
        <v>8</v>
      </c>
      <c r="BB123" s="245">
        <v>9.5</v>
      </c>
      <c r="BC123" s="244">
        <v>4.8099999999999987</v>
      </c>
      <c r="BD123" s="245">
        <v>7</v>
      </c>
      <c r="BE123" s="245">
        <v>8</v>
      </c>
      <c r="BF123" s="246">
        <v>9</v>
      </c>
      <c r="BG123" s="244">
        <f t="shared" si="87"/>
        <v>4.495000000000001</v>
      </c>
      <c r="BH123" s="245">
        <f t="shared" si="84"/>
        <v>9.09</v>
      </c>
      <c r="BI123" s="245">
        <f t="shared" si="84"/>
        <v>12.73</v>
      </c>
      <c r="BJ123" s="245">
        <f t="shared" si="84"/>
        <v>17.34</v>
      </c>
      <c r="BK123" s="244">
        <f t="shared" si="84"/>
        <v>5.6349999999999989</v>
      </c>
      <c r="BL123" s="245">
        <f t="shared" si="84"/>
        <v>9.09</v>
      </c>
      <c r="BM123" s="245">
        <f t="shared" si="84"/>
        <v>12.73</v>
      </c>
      <c r="BN123" s="245">
        <f t="shared" si="84"/>
        <v>15.83</v>
      </c>
      <c r="BO123" s="251">
        <f t="shared" si="88"/>
        <v>8.1709999999999994</v>
      </c>
      <c r="BP123" s="278">
        <f t="shared" si="89"/>
        <v>13.652000000000001</v>
      </c>
      <c r="BQ123" s="251">
        <f t="shared" si="90"/>
        <v>8.3989999999999991</v>
      </c>
      <c r="BR123" s="279">
        <f t="shared" si="91"/>
        <v>13.350000000000001</v>
      </c>
      <c r="BS123" s="26">
        <f t="shared" si="92"/>
        <v>10.9115</v>
      </c>
      <c r="BT123" s="27">
        <f t="shared" si="93"/>
        <v>10.874500000000001</v>
      </c>
      <c r="BU123" s="73">
        <f t="shared" si="94"/>
        <v>10.893000000000001</v>
      </c>
    </row>
    <row r="124" spans="1:73" ht="36.75" customHeight="1" x14ac:dyDescent="0.25">
      <c r="A124" s="41" t="s">
        <v>11</v>
      </c>
      <c r="B124" s="41" t="s">
        <v>23</v>
      </c>
      <c r="C124" s="60" t="s">
        <v>34</v>
      </c>
      <c r="D124" s="92" t="s">
        <v>45</v>
      </c>
      <c r="E124" s="92" t="s">
        <v>44</v>
      </c>
      <c r="F124" s="92" t="s">
        <v>46</v>
      </c>
      <c r="G124" s="49">
        <f t="shared" si="85"/>
        <v>0.66</v>
      </c>
      <c r="H124" s="49">
        <f t="shared" si="83"/>
        <v>1</v>
      </c>
      <c r="I124" s="49">
        <f t="shared" si="83"/>
        <v>0.33</v>
      </c>
      <c r="J124" s="83">
        <f t="shared" si="86"/>
        <v>9.125</v>
      </c>
      <c r="K124" s="26">
        <v>0.44000000000000006</v>
      </c>
      <c r="L124">
        <v>0.55000000000000004</v>
      </c>
      <c r="M124">
        <v>0.77</v>
      </c>
      <c r="N124" s="27">
        <v>1</v>
      </c>
      <c r="O124" s="26">
        <v>0.47000000000000003</v>
      </c>
      <c r="P124">
        <v>0.55000000000000004</v>
      </c>
      <c r="Q124">
        <v>0.77</v>
      </c>
      <c r="R124" s="246">
        <v>0.92</v>
      </c>
      <c r="S124" s="244">
        <v>0.77</v>
      </c>
      <c r="T124" s="245">
        <v>1</v>
      </c>
      <c r="U124" s="245">
        <v>1</v>
      </c>
      <c r="V124" s="246">
        <v>1</v>
      </c>
      <c r="W124" s="244">
        <v>0.83</v>
      </c>
      <c r="X124" s="245">
        <v>1</v>
      </c>
      <c r="Y124" s="245">
        <v>1</v>
      </c>
      <c r="Z124" s="246">
        <v>1</v>
      </c>
      <c r="AA124" s="244">
        <v>0</v>
      </c>
      <c r="AB124" s="245">
        <v>0.22000000000000003</v>
      </c>
      <c r="AC124" s="245">
        <v>0.44</v>
      </c>
      <c r="AD124" s="246">
        <v>0.55000000000000004</v>
      </c>
      <c r="AE124" s="26">
        <v>0.06</v>
      </c>
      <c r="AF124">
        <v>0.22000000000000003</v>
      </c>
      <c r="AG124">
        <v>0.44</v>
      </c>
      <c r="AH124" s="27">
        <v>0.52</v>
      </c>
      <c r="AI124" s="244">
        <v>0.60499999999999998</v>
      </c>
      <c r="AJ124" s="245">
        <v>1.1000000000000001</v>
      </c>
      <c r="AK124" s="245">
        <v>2.31</v>
      </c>
      <c r="AL124" s="246">
        <v>4.1549999999999994</v>
      </c>
      <c r="AM124" s="244">
        <v>0.77499999999999991</v>
      </c>
      <c r="AN124" s="245">
        <v>1.1000000000000001</v>
      </c>
      <c r="AO124" s="245">
        <v>2.31</v>
      </c>
      <c r="AP124" s="246">
        <v>3.53</v>
      </c>
      <c r="AQ124" s="244">
        <v>1.9649999999999999</v>
      </c>
      <c r="AR124" s="245">
        <v>4.5</v>
      </c>
      <c r="AS124" s="245">
        <v>5.5</v>
      </c>
      <c r="AT124" s="245">
        <v>7</v>
      </c>
      <c r="AU124" s="244">
        <v>2.7349999999999994</v>
      </c>
      <c r="AV124" s="245">
        <v>4.5</v>
      </c>
      <c r="AW124" s="245">
        <v>5.5</v>
      </c>
      <c r="AX124" s="246">
        <v>6.5</v>
      </c>
      <c r="AY124" s="244">
        <v>0</v>
      </c>
      <c r="AZ124" s="245">
        <v>1.5400000000000003</v>
      </c>
      <c r="BA124" s="245">
        <v>3.52</v>
      </c>
      <c r="BB124" s="245">
        <v>5.0600000000000005</v>
      </c>
      <c r="BC124" s="244">
        <v>0.19999999999999996</v>
      </c>
      <c r="BD124" s="245">
        <v>1.5400000000000003</v>
      </c>
      <c r="BE124" s="245">
        <v>3.52</v>
      </c>
      <c r="BF124" s="246">
        <v>4.6000000000000014</v>
      </c>
      <c r="BG124" s="244">
        <f t="shared" si="87"/>
        <v>2.57</v>
      </c>
      <c r="BH124" s="245">
        <f t="shared" si="84"/>
        <v>7.14</v>
      </c>
      <c r="BI124" s="245">
        <f t="shared" si="84"/>
        <v>11.33</v>
      </c>
      <c r="BJ124" s="245">
        <f t="shared" si="84"/>
        <v>16.215</v>
      </c>
      <c r="BK124" s="244">
        <f t="shared" si="84"/>
        <v>3.7099999999999991</v>
      </c>
      <c r="BL124" s="245">
        <f t="shared" si="84"/>
        <v>7.14</v>
      </c>
      <c r="BM124" s="245">
        <f t="shared" si="84"/>
        <v>11.33</v>
      </c>
      <c r="BN124" s="245">
        <f t="shared" si="84"/>
        <v>14.63</v>
      </c>
      <c r="BO124" s="251">
        <f t="shared" si="88"/>
        <v>6.226</v>
      </c>
      <c r="BP124" s="278">
        <f t="shared" si="89"/>
        <v>12.306999999999999</v>
      </c>
      <c r="BQ124" s="251">
        <f t="shared" si="90"/>
        <v>6.4539999999999997</v>
      </c>
      <c r="BR124" s="279">
        <f t="shared" si="91"/>
        <v>11.99</v>
      </c>
      <c r="BS124" s="26">
        <f t="shared" si="92"/>
        <v>9.2664999999999988</v>
      </c>
      <c r="BT124" s="27">
        <f t="shared" si="93"/>
        <v>9.2219999999999995</v>
      </c>
      <c r="BU124" s="73">
        <f t="shared" si="94"/>
        <v>9.2442499999999992</v>
      </c>
    </row>
    <row r="125" spans="1:73" ht="30.75" thickBot="1" x14ac:dyDescent="0.3">
      <c r="A125" s="41" t="s">
        <v>12</v>
      </c>
      <c r="B125" s="41" t="s">
        <v>24</v>
      </c>
      <c r="C125" s="60" t="s">
        <v>35</v>
      </c>
      <c r="D125" s="92" t="s">
        <v>46</v>
      </c>
      <c r="E125" s="92" t="s">
        <v>44</v>
      </c>
      <c r="F125" s="92" t="s">
        <v>45</v>
      </c>
      <c r="G125" s="49">
        <f t="shared" si="85"/>
        <v>0.33</v>
      </c>
      <c r="H125" s="49">
        <f t="shared" si="83"/>
        <v>1</v>
      </c>
      <c r="I125" s="49">
        <f t="shared" si="83"/>
        <v>0.66</v>
      </c>
      <c r="J125" s="83">
        <f t="shared" si="86"/>
        <v>10.775</v>
      </c>
      <c r="K125" s="30">
        <v>0</v>
      </c>
      <c r="L125" s="32">
        <v>0.22000000000000003</v>
      </c>
      <c r="M125" s="32">
        <v>0.44</v>
      </c>
      <c r="N125" s="33">
        <v>0.55000000000000004</v>
      </c>
      <c r="O125" s="30">
        <v>0.06</v>
      </c>
      <c r="P125" s="32">
        <v>0.22000000000000003</v>
      </c>
      <c r="Q125" s="32">
        <v>0.44</v>
      </c>
      <c r="R125" s="249">
        <v>0.52</v>
      </c>
      <c r="S125" s="247">
        <v>0.77</v>
      </c>
      <c r="T125" s="248">
        <v>1</v>
      </c>
      <c r="U125" s="248">
        <v>1</v>
      </c>
      <c r="V125" s="249">
        <v>1</v>
      </c>
      <c r="W125" s="247">
        <v>0.83</v>
      </c>
      <c r="X125" s="248">
        <v>1</v>
      </c>
      <c r="Y125" s="248">
        <v>1</v>
      </c>
      <c r="Z125" s="249">
        <v>1</v>
      </c>
      <c r="AA125" s="247">
        <v>0.44000000000000006</v>
      </c>
      <c r="AB125" s="248">
        <v>0.55000000000000004</v>
      </c>
      <c r="AC125" s="248">
        <v>0.77</v>
      </c>
      <c r="AD125" s="249">
        <v>1</v>
      </c>
      <c r="AE125" s="30">
        <v>0.47000000000000003</v>
      </c>
      <c r="AF125" s="32">
        <v>0.55000000000000004</v>
      </c>
      <c r="AG125" s="32">
        <v>0.77</v>
      </c>
      <c r="AH125" s="33">
        <v>0.92</v>
      </c>
      <c r="AI125" s="247">
        <v>0</v>
      </c>
      <c r="AJ125" s="248">
        <v>0.44000000000000006</v>
      </c>
      <c r="AK125" s="248">
        <v>1.32</v>
      </c>
      <c r="AL125" s="249">
        <v>2.3099999999999996</v>
      </c>
      <c r="AM125" s="247">
        <v>5.3999999999999992E-2</v>
      </c>
      <c r="AN125" s="248">
        <v>0.44000000000000006</v>
      </c>
      <c r="AO125" s="248">
        <v>1.32</v>
      </c>
      <c r="AP125" s="249">
        <v>2</v>
      </c>
      <c r="AQ125" s="247">
        <v>1.9649999999999999</v>
      </c>
      <c r="AR125" s="248">
        <v>4.5</v>
      </c>
      <c r="AS125" s="248">
        <v>5.5</v>
      </c>
      <c r="AT125" s="248">
        <v>7</v>
      </c>
      <c r="AU125" s="247">
        <v>2.7349999999999994</v>
      </c>
      <c r="AV125" s="248">
        <v>4.5</v>
      </c>
      <c r="AW125" s="248">
        <v>5.5</v>
      </c>
      <c r="AX125" s="249">
        <v>6.5</v>
      </c>
      <c r="AY125" s="247">
        <v>2.2549999999999999</v>
      </c>
      <c r="AZ125" s="248">
        <v>3.8500000000000005</v>
      </c>
      <c r="BA125" s="248">
        <v>6.16</v>
      </c>
      <c r="BB125" s="248">
        <v>9.1550000000000011</v>
      </c>
      <c r="BC125" s="247">
        <v>2.7399999999999993</v>
      </c>
      <c r="BD125" s="248">
        <v>3.8500000000000005</v>
      </c>
      <c r="BE125" s="248">
        <v>6.16</v>
      </c>
      <c r="BF125" s="249">
        <v>8.129999999999999</v>
      </c>
      <c r="BG125" s="247">
        <f t="shared" si="87"/>
        <v>4.22</v>
      </c>
      <c r="BH125" s="248">
        <f t="shared" si="84"/>
        <v>8.7900000000000009</v>
      </c>
      <c r="BI125" s="248">
        <f t="shared" si="84"/>
        <v>12.98</v>
      </c>
      <c r="BJ125" s="248">
        <f t="shared" si="84"/>
        <v>18.465</v>
      </c>
      <c r="BK125" s="247">
        <f t="shared" si="84"/>
        <v>5.5289999999999981</v>
      </c>
      <c r="BL125" s="248">
        <f t="shared" si="84"/>
        <v>8.7900000000000009</v>
      </c>
      <c r="BM125" s="248">
        <f t="shared" si="84"/>
        <v>12.98</v>
      </c>
      <c r="BN125" s="248">
        <f t="shared" si="84"/>
        <v>16.63</v>
      </c>
      <c r="BO125" s="252">
        <f t="shared" si="88"/>
        <v>7.8760000000000003</v>
      </c>
      <c r="BP125" s="281">
        <f t="shared" si="89"/>
        <v>14.077</v>
      </c>
      <c r="BQ125" s="252">
        <f t="shared" si="90"/>
        <v>8.1378000000000004</v>
      </c>
      <c r="BR125" s="282">
        <f t="shared" si="91"/>
        <v>13.709999999999999</v>
      </c>
      <c r="BS125" s="30">
        <f t="shared" si="92"/>
        <v>10.9765</v>
      </c>
      <c r="BT125" s="33">
        <f t="shared" si="93"/>
        <v>10.9239</v>
      </c>
      <c r="BU125" s="74">
        <f t="shared" si="94"/>
        <v>10.950199999999999</v>
      </c>
    </row>
    <row r="126" spans="1:73" x14ac:dyDescent="0.25">
      <c r="BF126" s="284"/>
      <c r="BG126" s="285"/>
      <c r="BH126" s="285"/>
      <c r="BI126" s="285"/>
      <c r="BJ126" s="285"/>
      <c r="BK126" s="285"/>
    </row>
    <row r="127" spans="1:73" x14ac:dyDescent="0.25">
      <c r="A127" s="1" t="s">
        <v>129</v>
      </c>
      <c r="B127" s="1"/>
    </row>
    <row r="128" spans="1:73" ht="15.75" thickBot="1" x14ac:dyDescent="0.3">
      <c r="A128" s="46" t="s">
        <v>43</v>
      </c>
      <c r="B128" s="47" t="s">
        <v>55</v>
      </c>
      <c r="E128" s="51" t="s">
        <v>3</v>
      </c>
      <c r="I128" t="s">
        <v>4</v>
      </c>
    </row>
    <row r="129" spans="1:12" x14ac:dyDescent="0.25">
      <c r="A129" s="45" t="s">
        <v>47</v>
      </c>
      <c r="B129" s="2">
        <v>0</v>
      </c>
      <c r="C129" s="18">
        <v>0</v>
      </c>
      <c r="D129" s="19" t="s">
        <v>47</v>
      </c>
      <c r="E129" s="20">
        <v>0</v>
      </c>
      <c r="F129" s="21">
        <f>C129</f>
        <v>0</v>
      </c>
      <c r="G129" s="22">
        <v>0</v>
      </c>
      <c r="H129" s="23">
        <v>0.22</v>
      </c>
      <c r="I129" s="24">
        <v>0</v>
      </c>
      <c r="J129" s="22">
        <f>F129</f>
        <v>0</v>
      </c>
      <c r="K129" s="22">
        <f>G129</f>
        <v>0</v>
      </c>
      <c r="L129" s="25">
        <v>0.15</v>
      </c>
    </row>
    <row r="130" spans="1:12" x14ac:dyDescent="0.25">
      <c r="A130" s="45" t="s">
        <v>46</v>
      </c>
      <c r="B130" s="2">
        <v>0.33</v>
      </c>
      <c r="C130" s="18">
        <v>0.33</v>
      </c>
      <c r="D130" s="19" t="s">
        <v>46</v>
      </c>
      <c r="E130" s="26">
        <v>0</v>
      </c>
      <c r="F130" s="50">
        <f>C130-0.11</f>
        <v>0.22000000000000003</v>
      </c>
      <c r="G130">
        <f>C130+0.11</f>
        <v>0.44</v>
      </c>
      <c r="H130" s="27">
        <f t="shared" ref="H130" si="95">G130+0.11</f>
        <v>0.55000000000000004</v>
      </c>
      <c r="I130" s="28">
        <v>0.06</v>
      </c>
      <c r="J130">
        <f t="shared" ref="J130:K132" si="96">F130</f>
        <v>0.22000000000000003</v>
      </c>
      <c r="K130">
        <f t="shared" si="96"/>
        <v>0.44</v>
      </c>
      <c r="L130" s="29">
        <f t="shared" ref="L130" si="97">K130+0.08</f>
        <v>0.52</v>
      </c>
    </row>
    <row r="131" spans="1:12" x14ac:dyDescent="0.25">
      <c r="A131" s="45" t="s">
        <v>45</v>
      </c>
      <c r="B131" s="2">
        <v>0.66</v>
      </c>
      <c r="C131" s="18">
        <v>0.66</v>
      </c>
      <c r="D131" s="19" t="s">
        <v>45</v>
      </c>
      <c r="E131" s="26">
        <f t="shared" ref="E131" si="98">F131-0.11</f>
        <v>0.44000000000000006</v>
      </c>
      <c r="F131" s="50">
        <f t="shared" ref="F131" si="99">C131-0.11</f>
        <v>0.55000000000000004</v>
      </c>
      <c r="G131">
        <f t="shared" ref="G131" si="100">C131+0.11</f>
        <v>0.77</v>
      </c>
      <c r="H131" s="27">
        <v>1</v>
      </c>
      <c r="I131" s="28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29">
        <v>0.92</v>
      </c>
    </row>
    <row r="132" spans="1:12" ht="15.75" thickBot="1" x14ac:dyDescent="0.3">
      <c r="A132" s="45" t="s">
        <v>44</v>
      </c>
      <c r="B132" s="2">
        <v>1</v>
      </c>
      <c r="C132" s="18">
        <v>1</v>
      </c>
      <c r="D132" s="19" t="s">
        <v>44</v>
      </c>
      <c r="E132" s="30">
        <v>0.77</v>
      </c>
      <c r="F132" s="31">
        <v>1</v>
      </c>
      <c r="G132" s="32">
        <v>1</v>
      </c>
      <c r="H132" s="33">
        <v>1</v>
      </c>
      <c r="I132" s="34">
        <v>0.83</v>
      </c>
      <c r="J132" s="32">
        <f t="shared" si="96"/>
        <v>1</v>
      </c>
      <c r="K132" s="32">
        <f t="shared" si="96"/>
        <v>1</v>
      </c>
      <c r="L132" s="35">
        <v>1</v>
      </c>
    </row>
    <row r="133" spans="1:12" x14ac:dyDescent="0.25">
      <c r="A133" s="38"/>
    </row>
    <row r="134" spans="1:12" x14ac:dyDescent="0.25">
      <c r="A134" s="1" t="s">
        <v>130</v>
      </c>
    </row>
    <row r="135" spans="1:12" ht="15.75" thickBot="1" x14ac:dyDescent="0.3">
      <c r="A135" s="46" t="s">
        <v>43</v>
      </c>
      <c r="B135" s="47" t="s">
        <v>56</v>
      </c>
      <c r="E135" s="51" t="s">
        <v>3</v>
      </c>
      <c r="I135" t="s">
        <v>4</v>
      </c>
    </row>
    <row r="136" spans="1:12" x14ac:dyDescent="0.25">
      <c r="A136" s="45" t="s">
        <v>47</v>
      </c>
      <c r="B136" s="2">
        <v>1</v>
      </c>
      <c r="C136" s="18">
        <v>1</v>
      </c>
      <c r="D136" s="19" t="s">
        <v>47</v>
      </c>
      <c r="E136" s="20">
        <v>0</v>
      </c>
      <c r="F136" s="21">
        <v>0.5</v>
      </c>
      <c r="G136" s="22">
        <v>1.5</v>
      </c>
      <c r="H136" s="23">
        <v>2</v>
      </c>
      <c r="I136" s="24">
        <v>0</v>
      </c>
      <c r="J136" s="22">
        <f>F136</f>
        <v>0.5</v>
      </c>
      <c r="K136" s="22">
        <f>G136</f>
        <v>1.5</v>
      </c>
      <c r="L136" s="25">
        <v>1.8</v>
      </c>
    </row>
    <row r="137" spans="1:12" x14ac:dyDescent="0.25">
      <c r="A137" s="45" t="s">
        <v>46</v>
      </c>
      <c r="B137" s="2">
        <v>2.5</v>
      </c>
      <c r="C137" s="18">
        <v>2.5</v>
      </c>
      <c r="D137" s="19" t="s">
        <v>46</v>
      </c>
      <c r="E137" s="26">
        <v>1.5</v>
      </c>
      <c r="F137" s="50">
        <f>C137-0.5</f>
        <v>2</v>
      </c>
      <c r="G137">
        <f>C137+0.5</f>
        <v>3</v>
      </c>
      <c r="H137" s="27">
        <f t="shared" ref="H137:H139" si="102">G137+1.5</f>
        <v>4.5</v>
      </c>
      <c r="I137" s="28">
        <v>1.7</v>
      </c>
      <c r="J137">
        <f t="shared" ref="J137:K139" si="103">F137</f>
        <v>2</v>
      </c>
      <c r="K137">
        <f t="shared" si="103"/>
        <v>3</v>
      </c>
      <c r="L137" s="29">
        <f t="shared" ref="L137:L139" si="104">K137+1</f>
        <v>4</v>
      </c>
    </row>
    <row r="138" spans="1:12" x14ac:dyDescent="0.25">
      <c r="A138" s="45" t="s">
        <v>45</v>
      </c>
      <c r="B138" s="2">
        <v>5</v>
      </c>
      <c r="C138" s="18">
        <v>5</v>
      </c>
      <c r="D138" s="19" t="s">
        <v>45</v>
      </c>
      <c r="E138" s="26">
        <f t="shared" ref="E138:E139" si="105">F138-1.5</f>
        <v>3</v>
      </c>
      <c r="F138" s="50">
        <f>C138-0.5</f>
        <v>4.5</v>
      </c>
      <c r="G138">
        <f>C138+0.5</f>
        <v>5.5</v>
      </c>
      <c r="H138" s="27">
        <f t="shared" si="102"/>
        <v>7</v>
      </c>
      <c r="I138" s="28">
        <f t="shared" ref="I138:I139" si="106">J138-1</f>
        <v>3.5</v>
      </c>
      <c r="J138">
        <f t="shared" si="103"/>
        <v>4.5</v>
      </c>
      <c r="K138">
        <f t="shared" si="103"/>
        <v>5.5</v>
      </c>
      <c r="L138" s="29">
        <f t="shared" si="104"/>
        <v>6.5</v>
      </c>
    </row>
    <row r="139" spans="1:12" ht="15.75" thickBot="1" x14ac:dyDescent="0.3">
      <c r="A139" s="45" t="s">
        <v>44</v>
      </c>
      <c r="B139" s="2">
        <v>7.5</v>
      </c>
      <c r="C139" s="18">
        <v>7.5</v>
      </c>
      <c r="D139" s="19" t="s">
        <v>44</v>
      </c>
      <c r="E139" s="30">
        <f t="shared" si="105"/>
        <v>5.5</v>
      </c>
      <c r="F139" s="31">
        <f>C139-0.5</f>
        <v>7</v>
      </c>
      <c r="G139" s="32">
        <f>C139+0.5</f>
        <v>8</v>
      </c>
      <c r="H139" s="33">
        <f t="shared" si="102"/>
        <v>9.5</v>
      </c>
      <c r="I139" s="34">
        <f t="shared" si="106"/>
        <v>6</v>
      </c>
      <c r="J139" s="32">
        <f t="shared" si="103"/>
        <v>7</v>
      </c>
      <c r="K139" s="32">
        <f t="shared" si="103"/>
        <v>8</v>
      </c>
      <c r="L139" s="35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3" t="s">
        <v>53</v>
      </c>
      <c r="B142" s="52" t="s">
        <v>39</v>
      </c>
      <c r="C142" s="54" t="s">
        <v>48</v>
      </c>
      <c r="D142" s="55" t="s">
        <v>132</v>
      </c>
      <c r="E142" s="217" t="s">
        <v>57</v>
      </c>
      <c r="F142" s="218"/>
      <c r="G142" s="218"/>
      <c r="H142" s="218"/>
      <c r="I142" s="218"/>
      <c r="J142" s="218"/>
      <c r="K142" s="218"/>
      <c r="L142" s="219"/>
    </row>
    <row r="143" spans="1:12" x14ac:dyDescent="0.25">
      <c r="A143" s="64" t="s">
        <v>50</v>
      </c>
      <c r="B143" s="56" t="s">
        <v>40</v>
      </c>
      <c r="C143" s="57" t="s">
        <v>46</v>
      </c>
      <c r="D143" s="86">
        <v>2.5</v>
      </c>
      <c r="E143" s="26">
        <v>1.5</v>
      </c>
      <c r="F143" s="50">
        <v>2</v>
      </c>
      <c r="G143">
        <v>3</v>
      </c>
      <c r="H143" s="27">
        <v>4.5</v>
      </c>
      <c r="I143" s="28">
        <v>1.7</v>
      </c>
      <c r="J143">
        <v>2</v>
      </c>
      <c r="K143">
        <v>3</v>
      </c>
      <c r="L143" s="29">
        <v>4</v>
      </c>
    </row>
    <row r="144" spans="1:12" x14ac:dyDescent="0.25">
      <c r="A144" s="65" t="s">
        <v>51</v>
      </c>
      <c r="B144" s="43" t="s">
        <v>41</v>
      </c>
      <c r="C144" s="2" t="s">
        <v>45</v>
      </c>
      <c r="D144" s="86">
        <v>5</v>
      </c>
      <c r="E144" s="26">
        <v>3</v>
      </c>
      <c r="F144" s="50">
        <v>4.5</v>
      </c>
      <c r="G144">
        <v>5.5</v>
      </c>
      <c r="H144" s="27">
        <v>7</v>
      </c>
      <c r="I144" s="28">
        <v>3.5</v>
      </c>
      <c r="J144">
        <v>4.5</v>
      </c>
      <c r="K144">
        <v>5.5</v>
      </c>
      <c r="L144" s="29">
        <v>6.5</v>
      </c>
    </row>
    <row r="145" spans="1:12" ht="15.75" thickBot="1" x14ac:dyDescent="0.3">
      <c r="A145" s="66" t="s">
        <v>52</v>
      </c>
      <c r="B145" s="58" t="s">
        <v>42</v>
      </c>
      <c r="C145" s="59" t="s">
        <v>44</v>
      </c>
      <c r="D145" s="86">
        <v>7.5</v>
      </c>
      <c r="E145" s="30">
        <v>5.5</v>
      </c>
      <c r="F145" s="31">
        <v>7</v>
      </c>
      <c r="G145" s="32">
        <v>8</v>
      </c>
      <c r="H145" s="33">
        <v>9.5</v>
      </c>
      <c r="I145" s="34">
        <v>6</v>
      </c>
      <c r="J145" s="32">
        <v>7</v>
      </c>
      <c r="K145" s="32">
        <v>8</v>
      </c>
      <c r="L145" s="35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05" t="s">
        <v>63</v>
      </c>
      <c r="B148" s="106" t="s">
        <v>64</v>
      </c>
      <c r="E148" s="217" t="s">
        <v>65</v>
      </c>
      <c r="F148" s="218"/>
      <c r="G148" s="218"/>
      <c r="H148" s="218"/>
      <c r="I148" s="218"/>
      <c r="J148" s="218"/>
      <c r="K148" s="218"/>
      <c r="L148" s="219"/>
    </row>
    <row r="149" spans="1:12" x14ac:dyDescent="0.25">
      <c r="A149" s="64" t="s">
        <v>60</v>
      </c>
      <c r="B149" s="69" t="s">
        <v>47</v>
      </c>
      <c r="D149" s="72" t="s">
        <v>69</v>
      </c>
      <c r="E149" s="241">
        <f>E129*F$143+E$143*F129-F129*F$143</f>
        <v>0</v>
      </c>
      <c r="F149" s="242">
        <f>F129*F$143</f>
        <v>0</v>
      </c>
      <c r="G149" s="242">
        <f>G129*G$143</f>
        <v>0</v>
      </c>
      <c r="H149" s="243">
        <f>G129*H$143+G$143*H129-G129*G$143</f>
        <v>0.66</v>
      </c>
      <c r="I149" s="241">
        <f>I129*J$143+I$143*J129-J129*J$143</f>
        <v>0</v>
      </c>
      <c r="J149" s="242">
        <f>J129*J$143</f>
        <v>0</v>
      </c>
      <c r="K149" s="242">
        <f>K129*K$143</f>
        <v>0</v>
      </c>
      <c r="L149" s="243">
        <f>K129*L$143+K$143*L129-K129*K$143</f>
        <v>0.44999999999999996</v>
      </c>
    </row>
    <row r="150" spans="1:12" x14ac:dyDescent="0.25">
      <c r="A150" s="65" t="s">
        <v>60</v>
      </c>
      <c r="B150" s="70" t="s">
        <v>46</v>
      </c>
      <c r="D150" s="73" t="s">
        <v>68</v>
      </c>
      <c r="E150" s="244">
        <f>IF(E130*F$143+E$143*F130-F130*F$143&lt;0,0,E130*F$143+E$143*F130-F130*F$143)</f>
        <v>0</v>
      </c>
      <c r="F150" s="245">
        <f t="shared" ref="F150:G152" si="107">F130*F$143</f>
        <v>0.44000000000000006</v>
      </c>
      <c r="G150" s="245">
        <f t="shared" si="107"/>
        <v>1.32</v>
      </c>
      <c r="H150" s="246">
        <f t="shared" ref="H150:H152" si="108">G130*H$143+G$143*H130-G130*G$143</f>
        <v>2.3099999999999996</v>
      </c>
      <c r="I150" s="244">
        <f t="shared" ref="I150:I152" si="109">I130*J$143+I$143*J130-J130*J$143</f>
        <v>5.3999999999999992E-2</v>
      </c>
      <c r="J150" s="245">
        <f t="shared" ref="J150:K152" si="110">J130*J$143</f>
        <v>0.44000000000000006</v>
      </c>
      <c r="K150" s="245">
        <f t="shared" si="110"/>
        <v>1.32</v>
      </c>
      <c r="L150" s="246">
        <f t="shared" ref="L150:L152" si="111">K130*L$143+K$143*L130-K130*K$143</f>
        <v>2</v>
      </c>
    </row>
    <row r="151" spans="1:12" x14ac:dyDescent="0.25">
      <c r="A151" s="65" t="s">
        <v>60</v>
      </c>
      <c r="B151" s="70" t="s">
        <v>45</v>
      </c>
      <c r="D151" s="73" t="s">
        <v>67</v>
      </c>
      <c r="E151" s="244">
        <f t="shared" ref="E151:E152" si="112">E131*F$143+E$143*F131-F131*F$143</f>
        <v>0.60499999999999998</v>
      </c>
      <c r="F151" s="245">
        <f t="shared" si="107"/>
        <v>1.1000000000000001</v>
      </c>
      <c r="G151" s="245">
        <f t="shared" si="107"/>
        <v>2.31</v>
      </c>
      <c r="H151" s="246">
        <f t="shared" si="108"/>
        <v>4.1549999999999994</v>
      </c>
      <c r="I151" s="244">
        <f t="shared" si="109"/>
        <v>0.77499999999999991</v>
      </c>
      <c r="J151" s="245">
        <f t="shared" si="110"/>
        <v>1.1000000000000001</v>
      </c>
      <c r="K151" s="245">
        <f t="shared" si="110"/>
        <v>2.31</v>
      </c>
      <c r="L151" s="246">
        <f t="shared" si="111"/>
        <v>3.53</v>
      </c>
    </row>
    <row r="152" spans="1:12" ht="15.75" thickBot="1" x14ac:dyDescent="0.3">
      <c r="A152" s="66" t="s">
        <v>60</v>
      </c>
      <c r="B152" s="71" t="s">
        <v>44</v>
      </c>
      <c r="D152" s="74" t="s">
        <v>66</v>
      </c>
      <c r="E152" s="247">
        <f t="shared" si="112"/>
        <v>1.04</v>
      </c>
      <c r="F152" s="248">
        <f t="shared" si="107"/>
        <v>2</v>
      </c>
      <c r="G152" s="248">
        <f t="shared" si="107"/>
        <v>3</v>
      </c>
      <c r="H152" s="249">
        <f t="shared" si="108"/>
        <v>4.5</v>
      </c>
      <c r="I152" s="247">
        <f t="shared" si="109"/>
        <v>1.3599999999999999</v>
      </c>
      <c r="J152" s="248">
        <f t="shared" si="110"/>
        <v>2</v>
      </c>
      <c r="K152" s="248">
        <f t="shared" si="110"/>
        <v>3</v>
      </c>
      <c r="L152" s="249">
        <f t="shared" si="111"/>
        <v>4</v>
      </c>
    </row>
    <row r="153" spans="1:12" x14ac:dyDescent="0.25">
      <c r="A153" s="64" t="s">
        <v>61</v>
      </c>
      <c r="B153" s="69" t="s">
        <v>47</v>
      </c>
      <c r="D153" s="72" t="s">
        <v>70</v>
      </c>
      <c r="E153" s="241">
        <f>E129*F$144+E$144*F129-F129*F$144</f>
        <v>0</v>
      </c>
      <c r="F153" s="242">
        <f>F129*F$144</f>
        <v>0</v>
      </c>
      <c r="G153" s="242">
        <f>G129*G$144</f>
        <v>0</v>
      </c>
      <c r="H153" s="243">
        <f>G129*H$144+G$144*H129-G129*G$144</f>
        <v>1.21</v>
      </c>
      <c r="I153" s="241">
        <f>I129*J$144+I$144*J129-J129*J$144</f>
        <v>0</v>
      </c>
      <c r="J153" s="242">
        <f>J129*J$144</f>
        <v>0</v>
      </c>
      <c r="K153" s="242">
        <f>K129*K$144</f>
        <v>0</v>
      </c>
      <c r="L153" s="243">
        <f>K129*L$144+K$144*L129-K129*K$144</f>
        <v>0.82499999999999996</v>
      </c>
    </row>
    <row r="154" spans="1:12" x14ac:dyDescent="0.25">
      <c r="A154" s="65" t="s">
        <v>61</v>
      </c>
      <c r="B154" s="70" t="s">
        <v>46</v>
      </c>
      <c r="D154" s="73" t="s">
        <v>75</v>
      </c>
      <c r="E154" s="244">
        <f>IF(E130*F$144+E$144*F130-F130*F$144&lt;0,0,E130*F$144+E$144*F130-F130*F$144)</f>
        <v>0</v>
      </c>
      <c r="F154" s="245">
        <f t="shared" ref="F154:G156" si="113">F130*F$144</f>
        <v>0.9900000000000001</v>
      </c>
      <c r="G154" s="245">
        <f t="shared" si="113"/>
        <v>2.42</v>
      </c>
      <c r="H154" s="246">
        <f t="shared" ref="H154:H156" si="114">G130*H$144+G$144*H130-G130*G$144</f>
        <v>3.6850000000000005</v>
      </c>
      <c r="I154" s="244">
        <f t="shared" ref="I154:I156" si="115">I130*J$144+I$144*J130-J130*J$144</f>
        <v>4.9999999999999933E-2</v>
      </c>
      <c r="J154" s="245">
        <f t="shared" ref="J154:K156" si="116">J130*J$144</f>
        <v>0.9900000000000001</v>
      </c>
      <c r="K154" s="245">
        <f t="shared" si="116"/>
        <v>2.42</v>
      </c>
      <c r="L154" s="246">
        <f t="shared" ref="L154:L156" si="117">K130*L$144+K$144*L130-K130*K$144</f>
        <v>3.3000000000000007</v>
      </c>
    </row>
    <row r="155" spans="1:12" x14ac:dyDescent="0.25">
      <c r="A155" s="65" t="s">
        <v>61</v>
      </c>
      <c r="B155" s="70" t="s">
        <v>45</v>
      </c>
      <c r="D155" s="73" t="s">
        <v>76</v>
      </c>
      <c r="E155" s="244">
        <f t="shared" ref="E155:E156" si="118">E131*F$144+E$144*F131-F131*F$144</f>
        <v>1.1550000000000002</v>
      </c>
      <c r="F155" s="245">
        <f t="shared" si="113"/>
        <v>2.4750000000000001</v>
      </c>
      <c r="G155" s="245">
        <f t="shared" si="113"/>
        <v>4.2350000000000003</v>
      </c>
      <c r="H155" s="246">
        <f t="shared" si="114"/>
        <v>6.6550000000000002</v>
      </c>
      <c r="I155" s="244">
        <f t="shared" si="115"/>
        <v>1.5650000000000008</v>
      </c>
      <c r="J155" s="245">
        <f t="shared" si="116"/>
        <v>2.4750000000000001</v>
      </c>
      <c r="K155" s="245">
        <f t="shared" si="116"/>
        <v>4.2350000000000003</v>
      </c>
      <c r="L155" s="246">
        <f t="shared" si="117"/>
        <v>5.830000000000001</v>
      </c>
    </row>
    <row r="156" spans="1:12" ht="15.75" thickBot="1" x14ac:dyDescent="0.3">
      <c r="A156" s="66" t="s">
        <v>61</v>
      </c>
      <c r="B156" s="71" t="s">
        <v>44</v>
      </c>
      <c r="D156" s="74" t="s">
        <v>77</v>
      </c>
      <c r="E156" s="247">
        <f t="shared" si="118"/>
        <v>1.9649999999999999</v>
      </c>
      <c r="F156" s="248">
        <f t="shared" si="113"/>
        <v>4.5</v>
      </c>
      <c r="G156" s="248">
        <f t="shared" si="113"/>
        <v>5.5</v>
      </c>
      <c r="H156" s="249">
        <f t="shared" si="114"/>
        <v>7</v>
      </c>
      <c r="I156" s="247">
        <f t="shared" si="115"/>
        <v>2.7349999999999994</v>
      </c>
      <c r="J156" s="248">
        <f t="shared" si="116"/>
        <v>4.5</v>
      </c>
      <c r="K156" s="248">
        <f t="shared" si="116"/>
        <v>5.5</v>
      </c>
      <c r="L156" s="249">
        <f t="shared" si="117"/>
        <v>6.5</v>
      </c>
    </row>
    <row r="157" spans="1:12" x14ac:dyDescent="0.25">
      <c r="A157" s="64" t="s">
        <v>62</v>
      </c>
      <c r="B157" s="69" t="s">
        <v>47</v>
      </c>
      <c r="D157" s="72" t="s">
        <v>72</v>
      </c>
      <c r="E157" s="241">
        <f>E129*F$145+E$145*F129-F129*F$145</f>
        <v>0</v>
      </c>
      <c r="F157" s="242">
        <f>F129*F$145</f>
        <v>0</v>
      </c>
      <c r="G157" s="242">
        <f>G129*G$145</f>
        <v>0</v>
      </c>
      <c r="H157" s="243">
        <f>G129*H$145+G$145*H129-G129*G$145</f>
        <v>1.76</v>
      </c>
      <c r="I157" s="241">
        <f>I129*J$145+I$145*J129-J129*J$145</f>
        <v>0</v>
      </c>
      <c r="J157" s="242">
        <f>J129*J$145</f>
        <v>0</v>
      </c>
      <c r="K157" s="242">
        <f>K129*K$145</f>
        <v>0</v>
      </c>
      <c r="L157" s="243">
        <f>K129*L$145+K$145*L129-K129*K$145</f>
        <v>1.2</v>
      </c>
    </row>
    <row r="158" spans="1:12" x14ac:dyDescent="0.25">
      <c r="A158" s="65" t="s">
        <v>62</v>
      </c>
      <c r="B158" s="70" t="s">
        <v>46</v>
      </c>
      <c r="D158" s="73" t="s">
        <v>71</v>
      </c>
      <c r="E158" s="244">
        <f>IF(E130*F$145+E$145*F130-F130*F$145&lt;0,0,E130*F$145+E$145*F130-F130*F$145)</f>
        <v>0</v>
      </c>
      <c r="F158" s="245">
        <f t="shared" ref="F158:G160" si="119">F130*F$145</f>
        <v>1.5400000000000003</v>
      </c>
      <c r="G158" s="245">
        <f t="shared" si="119"/>
        <v>3.52</v>
      </c>
      <c r="H158" s="246">
        <f t="shared" ref="H158:H160" si="120">G130*H$145+G$145*H130-G130*G$145</f>
        <v>5.0600000000000005</v>
      </c>
      <c r="I158" s="244">
        <f t="shared" ref="I158:I160" si="121">I130*J$145+I$145*J130-J130*J$145</f>
        <v>0.19999999999999996</v>
      </c>
      <c r="J158" s="245">
        <f t="shared" ref="J158:K160" si="122">J130*J$145</f>
        <v>1.5400000000000003</v>
      </c>
      <c r="K158" s="245">
        <f t="shared" si="122"/>
        <v>3.52</v>
      </c>
      <c r="L158" s="246">
        <f t="shared" ref="L158:L160" si="123">K130*L$145+K$145*L130-K130*K$145</f>
        <v>4.6000000000000014</v>
      </c>
    </row>
    <row r="159" spans="1:12" x14ac:dyDescent="0.25">
      <c r="A159" s="65" t="s">
        <v>62</v>
      </c>
      <c r="B159" s="70" t="s">
        <v>45</v>
      </c>
      <c r="D159" s="73" t="s">
        <v>73</v>
      </c>
      <c r="E159" s="244">
        <f t="shared" ref="E159:E160" si="124">E131*F$145+E$145*F131-F131*F$145</f>
        <v>2.2549999999999999</v>
      </c>
      <c r="F159" s="245">
        <f t="shared" si="119"/>
        <v>3.8500000000000005</v>
      </c>
      <c r="G159" s="245">
        <f t="shared" si="119"/>
        <v>6.16</v>
      </c>
      <c r="H159" s="246">
        <f t="shared" si="120"/>
        <v>9.1550000000000011</v>
      </c>
      <c r="I159" s="244">
        <f t="shared" si="121"/>
        <v>2.7399999999999993</v>
      </c>
      <c r="J159" s="245">
        <f t="shared" si="122"/>
        <v>3.8500000000000005</v>
      </c>
      <c r="K159" s="245">
        <f t="shared" si="122"/>
        <v>6.16</v>
      </c>
      <c r="L159" s="246">
        <f t="shared" si="123"/>
        <v>8.129999999999999</v>
      </c>
    </row>
    <row r="160" spans="1:12" ht="15.75" thickBot="1" x14ac:dyDescent="0.3">
      <c r="A160" s="66" t="s">
        <v>62</v>
      </c>
      <c r="B160" s="71" t="s">
        <v>44</v>
      </c>
      <c r="D160" s="74" t="s">
        <v>74</v>
      </c>
      <c r="E160" s="247">
        <f t="shared" si="124"/>
        <v>3.8900000000000006</v>
      </c>
      <c r="F160" s="248">
        <f t="shared" si="119"/>
        <v>7</v>
      </c>
      <c r="G160" s="248">
        <f t="shared" si="119"/>
        <v>8</v>
      </c>
      <c r="H160" s="249">
        <f t="shared" si="120"/>
        <v>9.5</v>
      </c>
      <c r="I160" s="247">
        <f t="shared" si="121"/>
        <v>4.8099999999999987</v>
      </c>
      <c r="J160" s="248">
        <f t="shared" si="122"/>
        <v>7</v>
      </c>
      <c r="K160" s="248">
        <f t="shared" si="122"/>
        <v>8</v>
      </c>
      <c r="L160" s="249">
        <f t="shared" si="123"/>
        <v>9</v>
      </c>
    </row>
    <row r="162" spans="1:25" ht="15.75" thickBot="1" x14ac:dyDescent="0.3">
      <c r="A162" s="1" t="s">
        <v>209</v>
      </c>
    </row>
    <row r="163" spans="1:25" ht="15.75" thickBot="1" x14ac:dyDescent="0.3">
      <c r="A163" s="213" t="s">
        <v>27</v>
      </c>
      <c r="B163" s="209" t="s">
        <v>138</v>
      </c>
      <c r="C163" s="215"/>
      <c r="D163" s="215"/>
      <c r="E163" s="215"/>
      <c r="F163" s="215"/>
      <c r="G163" s="215"/>
      <c r="H163" s="215"/>
      <c r="I163" s="216"/>
      <c r="J163" s="209" t="s">
        <v>139</v>
      </c>
      <c r="K163" s="215"/>
      <c r="L163" s="215"/>
      <c r="M163" s="215"/>
      <c r="N163" s="215"/>
      <c r="O163" s="215"/>
      <c r="P163" s="215"/>
      <c r="Q163" s="216"/>
      <c r="R163" s="302" t="s">
        <v>140</v>
      </c>
      <c r="S163" s="303"/>
      <c r="T163" s="303"/>
      <c r="U163" s="303"/>
      <c r="V163" s="303"/>
      <c r="W163" s="303"/>
      <c r="X163" s="303"/>
      <c r="Y163" s="304"/>
    </row>
    <row r="164" spans="1:25" ht="33.75" customHeight="1" thickBot="1" x14ac:dyDescent="0.3">
      <c r="A164" s="214"/>
      <c r="B164" s="206" t="s">
        <v>3</v>
      </c>
      <c r="C164" s="207"/>
      <c r="D164" s="207"/>
      <c r="E164" s="208"/>
      <c r="F164" s="209" t="s">
        <v>4</v>
      </c>
      <c r="G164" s="207"/>
      <c r="H164" s="207"/>
      <c r="I164" s="208"/>
      <c r="J164" s="206" t="s">
        <v>3</v>
      </c>
      <c r="K164" s="207"/>
      <c r="L164" s="207"/>
      <c r="M164" s="208"/>
      <c r="N164" s="209" t="s">
        <v>4</v>
      </c>
      <c r="O164" s="207"/>
      <c r="P164" s="207"/>
      <c r="Q164" s="208"/>
      <c r="R164" s="305" t="s">
        <v>3</v>
      </c>
      <c r="S164" s="306"/>
      <c r="T164" s="306"/>
      <c r="U164" s="307"/>
      <c r="V164" s="302" t="s">
        <v>4</v>
      </c>
      <c r="W164" s="306"/>
      <c r="X164" s="306"/>
      <c r="Y164" s="307"/>
    </row>
    <row r="165" spans="1:25" x14ac:dyDescent="0.25">
      <c r="A165" s="103" t="s">
        <v>25</v>
      </c>
      <c r="B165" s="6">
        <f>BG12</f>
        <v>6.4600000000000009</v>
      </c>
      <c r="C165" s="7">
        <f t="shared" ref="C165:I174" si="125">BH12</f>
        <v>12.6</v>
      </c>
      <c r="D165" s="7">
        <f t="shared" si="125"/>
        <v>15.81</v>
      </c>
      <c r="E165" s="8">
        <f t="shared" si="125"/>
        <v>20.655000000000001</v>
      </c>
      <c r="F165" s="6">
        <f t="shared" si="125"/>
        <v>8.3199999999999985</v>
      </c>
      <c r="G165" s="7">
        <f t="shared" si="125"/>
        <v>12.6</v>
      </c>
      <c r="H165" s="7">
        <f t="shared" si="125"/>
        <v>15.81</v>
      </c>
      <c r="I165" s="8">
        <f t="shared" si="125"/>
        <v>19.03</v>
      </c>
      <c r="J165" s="6">
        <f>BG64</f>
        <v>4.22</v>
      </c>
      <c r="K165" s="7">
        <f t="shared" ref="K165:Q174" si="126">BH64</f>
        <v>9.89</v>
      </c>
      <c r="L165" s="7">
        <f t="shared" si="126"/>
        <v>15.18</v>
      </c>
      <c r="M165" s="8">
        <f t="shared" si="126"/>
        <v>21.215000000000003</v>
      </c>
      <c r="N165" s="6">
        <f t="shared" si="126"/>
        <v>5.6749999999999989</v>
      </c>
      <c r="O165" s="7">
        <f t="shared" si="126"/>
        <v>9.89</v>
      </c>
      <c r="P165" s="7">
        <f t="shared" si="126"/>
        <v>15.18</v>
      </c>
      <c r="Q165" s="8">
        <f t="shared" si="126"/>
        <v>19.23</v>
      </c>
      <c r="R165" s="239">
        <f>BG116</f>
        <v>5.0450000000000008</v>
      </c>
      <c r="S165" s="253">
        <f t="shared" ref="S165:Y174" si="127">BH116</f>
        <v>9.9149999999999991</v>
      </c>
      <c r="T165" s="253">
        <f t="shared" si="127"/>
        <v>13.555</v>
      </c>
      <c r="U165" s="254">
        <f t="shared" si="127"/>
        <v>18.465</v>
      </c>
      <c r="V165" s="239">
        <f t="shared" si="127"/>
        <v>6.4289999999999994</v>
      </c>
      <c r="W165" s="253">
        <f t="shared" si="127"/>
        <v>9.9149999999999991</v>
      </c>
      <c r="X165" s="253">
        <f t="shared" si="127"/>
        <v>13.555</v>
      </c>
      <c r="Y165" s="254">
        <f t="shared" si="127"/>
        <v>16.830000000000002</v>
      </c>
    </row>
    <row r="166" spans="1:25" x14ac:dyDescent="0.25">
      <c r="A166" s="99" t="s">
        <v>14</v>
      </c>
      <c r="B166" s="4">
        <f t="shared" ref="B166:B174" si="128">BG13</f>
        <v>1.1550000000000002</v>
      </c>
      <c r="C166" s="2">
        <f t="shared" si="125"/>
        <v>4.4550000000000001</v>
      </c>
      <c r="D166" s="2">
        <f t="shared" si="125"/>
        <v>9.0749999999999993</v>
      </c>
      <c r="E166" s="5">
        <f t="shared" si="125"/>
        <v>14.025</v>
      </c>
      <c r="F166" s="4">
        <f t="shared" si="125"/>
        <v>1.8190000000000008</v>
      </c>
      <c r="G166" s="2">
        <f t="shared" si="125"/>
        <v>4.4550000000000001</v>
      </c>
      <c r="H166" s="2">
        <f t="shared" si="125"/>
        <v>9.0749999999999993</v>
      </c>
      <c r="I166" s="5">
        <f t="shared" si="125"/>
        <v>12.430000000000003</v>
      </c>
      <c r="J166" s="4">
        <f t="shared" ref="J166:J174" si="129">BG65</f>
        <v>1.1550000000000002</v>
      </c>
      <c r="K166" s="2">
        <f t="shared" si="126"/>
        <v>5.5550000000000006</v>
      </c>
      <c r="L166" s="2">
        <f t="shared" si="126"/>
        <v>11.275</v>
      </c>
      <c r="M166" s="5">
        <f t="shared" si="126"/>
        <v>16.775000000000002</v>
      </c>
      <c r="N166" s="4">
        <f t="shared" si="126"/>
        <v>1.9650000000000007</v>
      </c>
      <c r="O166" s="2">
        <f t="shared" si="126"/>
        <v>5.5550000000000006</v>
      </c>
      <c r="P166" s="2">
        <f t="shared" si="126"/>
        <v>11.275</v>
      </c>
      <c r="Q166" s="5">
        <f t="shared" si="126"/>
        <v>15.030000000000005</v>
      </c>
      <c r="R166" s="255">
        <f t="shared" ref="R166:R174" si="130">BG117</f>
        <v>0.60499999999999998</v>
      </c>
      <c r="S166" s="256">
        <f t="shared" si="127"/>
        <v>3.6300000000000008</v>
      </c>
      <c r="T166" s="256">
        <f t="shared" si="127"/>
        <v>8.25</v>
      </c>
      <c r="U166" s="257">
        <f t="shared" si="127"/>
        <v>12.9</v>
      </c>
      <c r="V166" s="255">
        <f t="shared" si="127"/>
        <v>1.0249999999999999</v>
      </c>
      <c r="W166" s="256">
        <f t="shared" si="127"/>
        <v>3.6300000000000008</v>
      </c>
      <c r="X166" s="256">
        <f t="shared" si="127"/>
        <v>8.25</v>
      </c>
      <c r="Y166" s="257">
        <f t="shared" si="127"/>
        <v>11.430000000000001</v>
      </c>
    </row>
    <row r="167" spans="1:25" x14ac:dyDescent="0.25">
      <c r="A167" s="99" t="s">
        <v>15</v>
      </c>
      <c r="B167" s="4">
        <f t="shared" si="128"/>
        <v>4.0150000000000006</v>
      </c>
      <c r="C167" s="2">
        <f t="shared" si="125"/>
        <v>7.4250000000000007</v>
      </c>
      <c r="D167" s="2">
        <f t="shared" si="125"/>
        <v>12.705000000000002</v>
      </c>
      <c r="E167" s="5">
        <f t="shared" si="125"/>
        <v>19.965</v>
      </c>
      <c r="F167" s="4">
        <f t="shared" si="125"/>
        <v>5.08</v>
      </c>
      <c r="G167" s="2">
        <f t="shared" si="125"/>
        <v>7.4250000000000007</v>
      </c>
      <c r="H167" s="2">
        <f t="shared" si="125"/>
        <v>12.705000000000002</v>
      </c>
      <c r="I167" s="5">
        <f t="shared" si="125"/>
        <v>17.489999999999998</v>
      </c>
      <c r="J167" s="4">
        <f t="shared" si="129"/>
        <v>7.3000000000000007</v>
      </c>
      <c r="K167" s="2">
        <f t="shared" si="126"/>
        <v>13.325000000000001</v>
      </c>
      <c r="L167" s="2">
        <f t="shared" si="126"/>
        <v>18.395</v>
      </c>
      <c r="M167" s="5">
        <f t="shared" si="126"/>
        <v>25.310000000000002</v>
      </c>
      <c r="N167" s="4">
        <f t="shared" si="126"/>
        <v>9.1149999999999984</v>
      </c>
      <c r="O167" s="2">
        <f t="shared" si="126"/>
        <v>13.325000000000001</v>
      </c>
      <c r="P167" s="2">
        <f t="shared" si="126"/>
        <v>18.395</v>
      </c>
      <c r="Q167" s="5">
        <f t="shared" si="126"/>
        <v>22.96</v>
      </c>
      <c r="R167" s="255">
        <f t="shared" si="130"/>
        <v>4.8249999999999993</v>
      </c>
      <c r="S167" s="256">
        <f t="shared" si="127"/>
        <v>9.4499999999999993</v>
      </c>
      <c r="T167" s="256">
        <f t="shared" si="127"/>
        <v>13.97</v>
      </c>
      <c r="U167" s="257">
        <f t="shared" si="127"/>
        <v>20.310000000000002</v>
      </c>
      <c r="V167" s="255">
        <f t="shared" si="127"/>
        <v>6.2499999999999982</v>
      </c>
      <c r="W167" s="256">
        <f t="shared" si="127"/>
        <v>9.4499999999999993</v>
      </c>
      <c r="X167" s="256">
        <f t="shared" si="127"/>
        <v>13.97</v>
      </c>
      <c r="Y167" s="257">
        <f t="shared" si="127"/>
        <v>18.159999999999997</v>
      </c>
    </row>
    <row r="168" spans="1:25" x14ac:dyDescent="0.25">
      <c r="A168" s="99" t="s">
        <v>16</v>
      </c>
      <c r="B168" s="4">
        <f t="shared" si="128"/>
        <v>5.6500000000000012</v>
      </c>
      <c r="C168" s="2">
        <f t="shared" si="125"/>
        <v>10.574999999999999</v>
      </c>
      <c r="D168" s="2">
        <f t="shared" si="125"/>
        <v>14.545000000000002</v>
      </c>
      <c r="E168" s="5">
        <f t="shared" si="125"/>
        <v>20.309999999999999</v>
      </c>
      <c r="F168" s="4">
        <f t="shared" si="125"/>
        <v>7.15</v>
      </c>
      <c r="G168" s="2">
        <f t="shared" si="125"/>
        <v>10.574999999999999</v>
      </c>
      <c r="H168" s="2">
        <f t="shared" si="125"/>
        <v>14.545000000000002</v>
      </c>
      <c r="I168" s="5">
        <f t="shared" si="125"/>
        <v>18.36</v>
      </c>
      <c r="J168" s="4">
        <f t="shared" si="129"/>
        <v>6.1450000000000005</v>
      </c>
      <c r="K168" s="2">
        <f t="shared" si="126"/>
        <v>11.840000000000002</v>
      </c>
      <c r="L168" s="2">
        <f t="shared" si="126"/>
        <v>16.579999999999998</v>
      </c>
      <c r="M168" s="5">
        <f t="shared" si="126"/>
        <v>22.340000000000003</v>
      </c>
      <c r="N168" s="4">
        <f t="shared" si="126"/>
        <v>7.5999999999999979</v>
      </c>
      <c r="O168" s="2">
        <f t="shared" si="126"/>
        <v>11.840000000000002</v>
      </c>
      <c r="P168" s="2">
        <f t="shared" si="126"/>
        <v>16.579999999999998</v>
      </c>
      <c r="Q168" s="5">
        <f t="shared" si="126"/>
        <v>20.43</v>
      </c>
      <c r="R168" s="255">
        <f t="shared" si="130"/>
        <v>2.1950000000000003</v>
      </c>
      <c r="S168" s="256">
        <f t="shared" si="127"/>
        <v>6.0149999999999997</v>
      </c>
      <c r="T168" s="256">
        <f t="shared" si="127"/>
        <v>10.755000000000001</v>
      </c>
      <c r="U168" s="257">
        <f t="shared" si="127"/>
        <v>16.215000000000003</v>
      </c>
      <c r="V168" s="255">
        <f t="shared" si="127"/>
        <v>3.1250000000000009</v>
      </c>
      <c r="W168" s="256">
        <f t="shared" si="127"/>
        <v>6.0149999999999997</v>
      </c>
      <c r="X168" s="256">
        <f t="shared" si="127"/>
        <v>10.755000000000001</v>
      </c>
      <c r="Y168" s="257">
        <f t="shared" si="127"/>
        <v>14.430000000000003</v>
      </c>
    </row>
    <row r="169" spans="1:25" x14ac:dyDescent="0.25">
      <c r="A169" s="99" t="s">
        <v>18</v>
      </c>
      <c r="B169" s="4">
        <f t="shared" si="128"/>
        <v>4.45</v>
      </c>
      <c r="C169" s="2">
        <f t="shared" si="125"/>
        <v>8.3250000000000011</v>
      </c>
      <c r="D169" s="2">
        <f t="shared" si="125"/>
        <v>13.395</v>
      </c>
      <c r="E169" s="5">
        <f t="shared" si="125"/>
        <v>20.310000000000002</v>
      </c>
      <c r="F169" s="4">
        <f t="shared" si="125"/>
        <v>5.6650000000000009</v>
      </c>
      <c r="G169" s="2">
        <f t="shared" si="125"/>
        <v>8.3250000000000011</v>
      </c>
      <c r="H169" s="2">
        <f t="shared" si="125"/>
        <v>13.395</v>
      </c>
      <c r="I169" s="5">
        <f t="shared" si="125"/>
        <v>17.96</v>
      </c>
      <c r="J169" s="4">
        <f t="shared" si="129"/>
        <v>7.3000000000000007</v>
      </c>
      <c r="K169" s="2">
        <f t="shared" si="126"/>
        <v>13.325000000000001</v>
      </c>
      <c r="L169" s="2">
        <f t="shared" si="126"/>
        <v>18.395</v>
      </c>
      <c r="M169" s="5">
        <f t="shared" si="126"/>
        <v>25.310000000000002</v>
      </c>
      <c r="N169" s="4">
        <f t="shared" si="126"/>
        <v>9.1149999999999984</v>
      </c>
      <c r="O169" s="2">
        <f t="shared" si="126"/>
        <v>13.325000000000001</v>
      </c>
      <c r="P169" s="2">
        <f t="shared" si="126"/>
        <v>18.395</v>
      </c>
      <c r="Q169" s="5">
        <f t="shared" si="126"/>
        <v>22.96</v>
      </c>
      <c r="R169" s="255">
        <f t="shared" si="130"/>
        <v>2.57</v>
      </c>
      <c r="S169" s="256">
        <f t="shared" si="127"/>
        <v>7.14</v>
      </c>
      <c r="T169" s="256">
        <f t="shared" si="127"/>
        <v>11.33</v>
      </c>
      <c r="U169" s="257">
        <f t="shared" si="127"/>
        <v>16.215</v>
      </c>
      <c r="V169" s="255">
        <f t="shared" si="127"/>
        <v>3.7099999999999991</v>
      </c>
      <c r="W169" s="256">
        <f t="shared" si="127"/>
        <v>7.14</v>
      </c>
      <c r="X169" s="256">
        <f t="shared" si="127"/>
        <v>11.33</v>
      </c>
      <c r="Y169" s="257">
        <f t="shared" si="127"/>
        <v>14.63</v>
      </c>
    </row>
    <row r="170" spans="1:25" x14ac:dyDescent="0.25">
      <c r="A170" s="99" t="s">
        <v>19</v>
      </c>
      <c r="B170" s="4">
        <f t="shared" si="128"/>
        <v>4.495000000000001</v>
      </c>
      <c r="C170" s="2">
        <f t="shared" si="125"/>
        <v>9.09</v>
      </c>
      <c r="D170" s="2">
        <f t="shared" si="125"/>
        <v>12.73</v>
      </c>
      <c r="E170" s="5">
        <f t="shared" si="125"/>
        <v>17.34</v>
      </c>
      <c r="F170" s="4">
        <f t="shared" si="125"/>
        <v>5.6349999999999989</v>
      </c>
      <c r="G170" s="2">
        <f t="shared" si="125"/>
        <v>9.09</v>
      </c>
      <c r="H170" s="2">
        <f t="shared" si="125"/>
        <v>12.73</v>
      </c>
      <c r="I170" s="5">
        <f t="shared" si="125"/>
        <v>15.83</v>
      </c>
      <c r="J170" s="4">
        <f t="shared" si="129"/>
        <v>6.1450000000000005</v>
      </c>
      <c r="K170" s="2">
        <f t="shared" si="126"/>
        <v>11.840000000000002</v>
      </c>
      <c r="L170" s="2">
        <f t="shared" si="126"/>
        <v>16.579999999999998</v>
      </c>
      <c r="M170" s="5">
        <f t="shared" si="126"/>
        <v>22.340000000000003</v>
      </c>
      <c r="N170" s="4">
        <f t="shared" si="126"/>
        <v>7.5999999999999979</v>
      </c>
      <c r="O170" s="2">
        <f t="shared" si="126"/>
        <v>11.840000000000002</v>
      </c>
      <c r="P170" s="2">
        <f t="shared" si="126"/>
        <v>16.579999999999998</v>
      </c>
      <c r="Q170" s="5">
        <f t="shared" si="126"/>
        <v>20.43</v>
      </c>
      <c r="R170" s="255">
        <f t="shared" si="130"/>
        <v>1.1550000000000002</v>
      </c>
      <c r="S170" s="256">
        <f t="shared" si="127"/>
        <v>4.4550000000000001</v>
      </c>
      <c r="T170" s="256">
        <f t="shared" si="127"/>
        <v>9.0750000000000011</v>
      </c>
      <c r="U170" s="257">
        <f t="shared" si="127"/>
        <v>14.025</v>
      </c>
      <c r="V170" s="255">
        <f t="shared" si="127"/>
        <v>1.8190000000000008</v>
      </c>
      <c r="W170" s="256">
        <f t="shared" si="127"/>
        <v>4.4550000000000001</v>
      </c>
      <c r="X170" s="256">
        <f t="shared" si="127"/>
        <v>9.0750000000000011</v>
      </c>
      <c r="Y170" s="257">
        <f t="shared" si="127"/>
        <v>12.430000000000003</v>
      </c>
    </row>
    <row r="171" spans="1:25" x14ac:dyDescent="0.25">
      <c r="A171" s="99" t="s">
        <v>20</v>
      </c>
      <c r="B171" s="4">
        <f t="shared" si="128"/>
        <v>4.495000000000001</v>
      </c>
      <c r="C171" s="2">
        <f t="shared" si="125"/>
        <v>9.09</v>
      </c>
      <c r="D171" s="2">
        <f t="shared" si="125"/>
        <v>12.73</v>
      </c>
      <c r="E171" s="5">
        <f t="shared" si="125"/>
        <v>17.34</v>
      </c>
      <c r="F171" s="4">
        <f t="shared" si="125"/>
        <v>5.6349999999999989</v>
      </c>
      <c r="G171" s="2">
        <f t="shared" si="125"/>
        <v>9.09</v>
      </c>
      <c r="H171" s="2">
        <f t="shared" si="125"/>
        <v>12.73</v>
      </c>
      <c r="I171" s="5">
        <f t="shared" si="125"/>
        <v>15.83</v>
      </c>
      <c r="J171" s="4">
        <f t="shared" si="129"/>
        <v>6.1450000000000005</v>
      </c>
      <c r="K171" s="2">
        <f t="shared" si="126"/>
        <v>11.840000000000002</v>
      </c>
      <c r="L171" s="2">
        <f t="shared" si="126"/>
        <v>16.579999999999998</v>
      </c>
      <c r="M171" s="5">
        <f t="shared" si="126"/>
        <v>22.340000000000003</v>
      </c>
      <c r="N171" s="4">
        <f t="shared" si="126"/>
        <v>7.5999999999999979</v>
      </c>
      <c r="O171" s="2">
        <f t="shared" si="126"/>
        <v>11.840000000000002</v>
      </c>
      <c r="P171" s="2">
        <f t="shared" si="126"/>
        <v>16.579999999999998</v>
      </c>
      <c r="Q171" s="5">
        <f t="shared" si="126"/>
        <v>20.43</v>
      </c>
      <c r="R171" s="255">
        <f t="shared" si="130"/>
        <v>2.1950000000000003</v>
      </c>
      <c r="S171" s="256">
        <f t="shared" si="127"/>
        <v>6.0149999999999997</v>
      </c>
      <c r="T171" s="256">
        <f t="shared" si="127"/>
        <v>10.755000000000001</v>
      </c>
      <c r="U171" s="257">
        <f t="shared" si="127"/>
        <v>16.215000000000003</v>
      </c>
      <c r="V171" s="255">
        <f t="shared" si="127"/>
        <v>3.1250000000000009</v>
      </c>
      <c r="W171" s="256">
        <f t="shared" si="127"/>
        <v>6.0149999999999997</v>
      </c>
      <c r="X171" s="256">
        <f t="shared" si="127"/>
        <v>10.755000000000001</v>
      </c>
      <c r="Y171" s="257">
        <f t="shared" si="127"/>
        <v>14.430000000000003</v>
      </c>
    </row>
    <row r="172" spans="1:25" x14ac:dyDescent="0.25">
      <c r="A172" s="99" t="s">
        <v>21</v>
      </c>
      <c r="B172" s="4">
        <f t="shared" si="128"/>
        <v>5.26</v>
      </c>
      <c r="C172" s="2">
        <f t="shared" si="125"/>
        <v>10.350000000000001</v>
      </c>
      <c r="D172" s="2">
        <f t="shared" si="125"/>
        <v>14.66</v>
      </c>
      <c r="E172" s="5">
        <f t="shared" si="125"/>
        <v>20.655000000000001</v>
      </c>
      <c r="F172" s="4">
        <f t="shared" si="125"/>
        <v>6.8349999999999991</v>
      </c>
      <c r="G172" s="2">
        <f t="shared" si="125"/>
        <v>10.350000000000001</v>
      </c>
      <c r="H172" s="2">
        <f t="shared" si="125"/>
        <v>14.66</v>
      </c>
      <c r="I172" s="5">
        <f t="shared" si="125"/>
        <v>18.63</v>
      </c>
      <c r="J172" s="4">
        <f t="shared" si="129"/>
        <v>4.22</v>
      </c>
      <c r="K172" s="2">
        <f t="shared" si="126"/>
        <v>9.89</v>
      </c>
      <c r="L172" s="2">
        <f t="shared" si="126"/>
        <v>15.18</v>
      </c>
      <c r="M172" s="5">
        <f t="shared" si="126"/>
        <v>21.215000000000003</v>
      </c>
      <c r="N172" s="4">
        <f t="shared" si="126"/>
        <v>5.6749999999999989</v>
      </c>
      <c r="O172" s="2">
        <f t="shared" si="126"/>
        <v>9.89</v>
      </c>
      <c r="P172" s="2">
        <f t="shared" si="126"/>
        <v>15.18</v>
      </c>
      <c r="Q172" s="5">
        <f t="shared" si="126"/>
        <v>19.23</v>
      </c>
      <c r="R172" s="255">
        <f t="shared" si="130"/>
        <v>4.495000000000001</v>
      </c>
      <c r="S172" s="256">
        <f t="shared" si="127"/>
        <v>9.09</v>
      </c>
      <c r="T172" s="256">
        <f t="shared" si="127"/>
        <v>12.73</v>
      </c>
      <c r="U172" s="257">
        <f t="shared" si="127"/>
        <v>17.34</v>
      </c>
      <c r="V172" s="255">
        <f t="shared" si="127"/>
        <v>5.6349999999999989</v>
      </c>
      <c r="W172" s="256">
        <f t="shared" si="127"/>
        <v>9.09</v>
      </c>
      <c r="X172" s="256">
        <f t="shared" si="127"/>
        <v>12.73</v>
      </c>
      <c r="Y172" s="257">
        <f t="shared" si="127"/>
        <v>15.83</v>
      </c>
    </row>
    <row r="173" spans="1:25" x14ac:dyDescent="0.25">
      <c r="A173" s="99" t="s">
        <v>23</v>
      </c>
      <c r="B173" s="4">
        <f t="shared" si="128"/>
        <v>4.45</v>
      </c>
      <c r="C173" s="2">
        <f t="shared" si="125"/>
        <v>8.3250000000000011</v>
      </c>
      <c r="D173" s="2">
        <f t="shared" si="125"/>
        <v>13.395</v>
      </c>
      <c r="E173" s="5">
        <f t="shared" si="125"/>
        <v>20.310000000000002</v>
      </c>
      <c r="F173" s="4">
        <f t="shared" si="125"/>
        <v>5.6650000000000009</v>
      </c>
      <c r="G173" s="2">
        <f t="shared" si="125"/>
        <v>8.3250000000000011</v>
      </c>
      <c r="H173" s="2">
        <f t="shared" si="125"/>
        <v>13.395</v>
      </c>
      <c r="I173" s="5">
        <f t="shared" si="125"/>
        <v>17.96</v>
      </c>
      <c r="J173" s="4">
        <f t="shared" si="129"/>
        <v>5.0450000000000008</v>
      </c>
      <c r="K173" s="2">
        <f t="shared" si="126"/>
        <v>11.015000000000001</v>
      </c>
      <c r="L173" s="2">
        <f t="shared" si="126"/>
        <v>15.754999999999999</v>
      </c>
      <c r="M173" s="5">
        <f t="shared" si="126"/>
        <v>21.215</v>
      </c>
      <c r="N173" s="4">
        <f t="shared" si="126"/>
        <v>6.5749999999999993</v>
      </c>
      <c r="O173" s="2">
        <f t="shared" si="126"/>
        <v>11.015000000000001</v>
      </c>
      <c r="P173" s="2">
        <f t="shared" si="126"/>
        <v>15.754999999999999</v>
      </c>
      <c r="Q173" s="5">
        <f t="shared" si="126"/>
        <v>19.430000000000003</v>
      </c>
      <c r="R173" s="255">
        <f t="shared" si="130"/>
        <v>2.57</v>
      </c>
      <c r="S173" s="256">
        <f t="shared" si="127"/>
        <v>7.14</v>
      </c>
      <c r="T173" s="256">
        <f t="shared" si="127"/>
        <v>11.33</v>
      </c>
      <c r="U173" s="257">
        <f t="shared" si="127"/>
        <v>16.215</v>
      </c>
      <c r="V173" s="255">
        <f t="shared" si="127"/>
        <v>3.7099999999999991</v>
      </c>
      <c r="W173" s="256">
        <f t="shared" si="127"/>
        <v>7.14</v>
      </c>
      <c r="X173" s="256">
        <f t="shared" si="127"/>
        <v>11.33</v>
      </c>
      <c r="Y173" s="257">
        <f t="shared" si="127"/>
        <v>14.63</v>
      </c>
    </row>
    <row r="174" spans="1:25" ht="15.75" thickBot="1" x14ac:dyDescent="0.3">
      <c r="A174" s="100" t="s">
        <v>24</v>
      </c>
      <c r="B174" s="96">
        <f t="shared" si="128"/>
        <v>2.1950000000000003</v>
      </c>
      <c r="C174" s="59">
        <f t="shared" si="125"/>
        <v>6.0150000000000006</v>
      </c>
      <c r="D174" s="59">
        <f t="shared" si="125"/>
        <v>10.754999999999999</v>
      </c>
      <c r="E174" s="63">
        <f t="shared" si="125"/>
        <v>16.215</v>
      </c>
      <c r="F174" s="96">
        <f t="shared" si="125"/>
        <v>3.1250000000000009</v>
      </c>
      <c r="G174" s="59">
        <f t="shared" si="125"/>
        <v>6.0150000000000006</v>
      </c>
      <c r="H174" s="59">
        <f t="shared" si="125"/>
        <v>10.754999999999999</v>
      </c>
      <c r="I174" s="63">
        <f t="shared" si="125"/>
        <v>14.430000000000003</v>
      </c>
      <c r="J174" s="96">
        <f t="shared" si="129"/>
        <v>5.0450000000000008</v>
      </c>
      <c r="K174" s="59">
        <f t="shared" si="126"/>
        <v>11.015000000000001</v>
      </c>
      <c r="L174" s="59">
        <f t="shared" si="126"/>
        <v>15.754999999999999</v>
      </c>
      <c r="M174" s="63">
        <f t="shared" si="126"/>
        <v>21.215</v>
      </c>
      <c r="N174" s="96">
        <f t="shared" si="126"/>
        <v>6.5749999999999993</v>
      </c>
      <c r="O174" s="59">
        <f t="shared" si="126"/>
        <v>11.015000000000001</v>
      </c>
      <c r="P174" s="59">
        <f t="shared" si="126"/>
        <v>15.754999999999999</v>
      </c>
      <c r="Q174" s="63">
        <f t="shared" si="126"/>
        <v>19.430000000000003</v>
      </c>
      <c r="R174" s="258">
        <f t="shared" si="130"/>
        <v>4.22</v>
      </c>
      <c r="S174" s="259">
        <f t="shared" si="127"/>
        <v>8.7900000000000009</v>
      </c>
      <c r="T174" s="259">
        <f t="shared" si="127"/>
        <v>12.98</v>
      </c>
      <c r="U174" s="260">
        <f t="shared" si="127"/>
        <v>18.465</v>
      </c>
      <c r="V174" s="258">
        <f t="shared" si="127"/>
        <v>5.5289999999999981</v>
      </c>
      <c r="W174" s="259">
        <f t="shared" si="127"/>
        <v>8.7900000000000009</v>
      </c>
      <c r="X174" s="259">
        <f t="shared" si="127"/>
        <v>12.98</v>
      </c>
      <c r="Y174" s="260">
        <f t="shared" si="127"/>
        <v>16.63</v>
      </c>
    </row>
    <row r="176" spans="1:25" x14ac:dyDescent="0.25">
      <c r="A176" s="1" t="s">
        <v>149</v>
      </c>
    </row>
    <row r="177" spans="1:25" ht="15.75" thickBot="1" x14ac:dyDescent="0.3">
      <c r="A177" s="1" t="s">
        <v>137</v>
      </c>
    </row>
    <row r="178" spans="1:25" ht="15" customHeight="1" thickBot="1" x14ac:dyDescent="0.3">
      <c r="A178" s="112" t="s">
        <v>106</v>
      </c>
      <c r="B178" s="53" t="s">
        <v>151</v>
      </c>
      <c r="C178" s="121" t="s">
        <v>152</v>
      </c>
    </row>
    <row r="179" spans="1:25" x14ac:dyDescent="0.25">
      <c r="A179" s="114" t="s">
        <v>107</v>
      </c>
      <c r="B179" s="11">
        <v>0.75</v>
      </c>
      <c r="C179" s="122">
        <f>B179/B$182</f>
        <v>0.3</v>
      </c>
    </row>
    <row r="180" spans="1:25" x14ac:dyDescent="0.25">
      <c r="A180" s="12" t="s">
        <v>108</v>
      </c>
      <c r="B180" s="12">
        <v>0.75</v>
      </c>
      <c r="C180" s="97">
        <f t="shared" ref="C180:C181" si="131">B180/B$182</f>
        <v>0.3</v>
      </c>
    </row>
    <row r="181" spans="1:25" ht="15.75" thickBot="1" x14ac:dyDescent="0.3">
      <c r="A181" s="118" t="s">
        <v>136</v>
      </c>
      <c r="B181" s="118">
        <v>1</v>
      </c>
      <c r="C181" s="98">
        <f t="shared" si="131"/>
        <v>0.4</v>
      </c>
    </row>
    <row r="182" spans="1:25" ht="15.75" thickBot="1" x14ac:dyDescent="0.3">
      <c r="A182" s="14" t="s">
        <v>150</v>
      </c>
      <c r="B182" s="119">
        <f>SUM(B179:B181)</f>
        <v>2.5</v>
      </c>
      <c r="C182" s="120">
        <f>SUM(C179:C181)</f>
        <v>1</v>
      </c>
    </row>
    <row r="184" spans="1:25" ht="15.75" thickBot="1" x14ac:dyDescent="0.3">
      <c r="A184" s="1" t="s">
        <v>175</v>
      </c>
    </row>
    <row r="185" spans="1:25" ht="15.75" thickBot="1" x14ac:dyDescent="0.3">
      <c r="A185" s="151" t="s">
        <v>179</v>
      </c>
      <c r="B185" s="152" t="s">
        <v>176</v>
      </c>
      <c r="C185" s="152" t="s">
        <v>206</v>
      </c>
    </row>
    <row r="186" spans="1:25" ht="30" x14ac:dyDescent="0.25">
      <c r="A186" s="149" t="s">
        <v>191</v>
      </c>
      <c r="B186" s="57">
        <v>0.9</v>
      </c>
      <c r="C186" s="155">
        <f>B186/(B186+B187)</f>
        <v>0.6</v>
      </c>
    </row>
    <row r="187" spans="1:25" ht="30.75" thickBot="1" x14ac:dyDescent="0.3">
      <c r="A187" s="150" t="s">
        <v>192</v>
      </c>
      <c r="B187" s="59">
        <v>0.6</v>
      </c>
      <c r="C187" s="158">
        <f>B187/(B186+B187)</f>
        <v>0.39999999999999997</v>
      </c>
    </row>
    <row r="188" spans="1:25" ht="30" x14ac:dyDescent="0.25">
      <c r="A188" s="157" t="s">
        <v>193</v>
      </c>
      <c r="B188" s="253">
        <f>MAX(B165:Y174)</f>
        <v>25.310000000000002</v>
      </c>
      <c r="C188" s="8"/>
    </row>
    <row r="189" spans="1:25" ht="15.75" thickBot="1" x14ac:dyDescent="0.3">
      <c r="A189" s="132" t="s">
        <v>177</v>
      </c>
      <c r="B189" s="59">
        <v>0.8</v>
      </c>
      <c r="C189" s="63"/>
    </row>
    <row r="190" spans="1:25" x14ac:dyDescent="0.25">
      <c r="A190" s="1"/>
    </row>
    <row r="191" spans="1:25" ht="15.75" thickBot="1" x14ac:dyDescent="0.3">
      <c r="A191" s="1" t="s">
        <v>183</v>
      </c>
    </row>
    <row r="192" spans="1:25" ht="15.75" thickBot="1" x14ac:dyDescent="0.3">
      <c r="A192" s="213" t="s">
        <v>27</v>
      </c>
      <c r="B192" s="209" t="s">
        <v>138</v>
      </c>
      <c r="C192" s="215"/>
      <c r="D192" s="215"/>
      <c r="E192" s="215"/>
      <c r="F192" s="215"/>
      <c r="G192" s="215"/>
      <c r="H192" s="215"/>
      <c r="I192" s="216"/>
      <c r="J192" s="209" t="s">
        <v>139</v>
      </c>
      <c r="K192" s="215"/>
      <c r="L192" s="215"/>
      <c r="M192" s="215"/>
      <c r="N192" s="215"/>
      <c r="O192" s="215"/>
      <c r="P192" s="215"/>
      <c r="Q192" s="216"/>
      <c r="R192" s="302" t="s">
        <v>140</v>
      </c>
      <c r="S192" s="303"/>
      <c r="T192" s="303"/>
      <c r="U192" s="303"/>
      <c r="V192" s="303"/>
      <c r="W192" s="303"/>
      <c r="X192" s="303"/>
      <c r="Y192" s="304"/>
    </row>
    <row r="193" spans="1:25" ht="33.75" customHeight="1" thickBot="1" x14ac:dyDescent="0.3">
      <c r="A193" s="214"/>
      <c r="B193" s="206" t="s">
        <v>3</v>
      </c>
      <c r="C193" s="207"/>
      <c r="D193" s="207"/>
      <c r="E193" s="208"/>
      <c r="F193" s="209" t="s">
        <v>4</v>
      </c>
      <c r="G193" s="207"/>
      <c r="H193" s="207"/>
      <c r="I193" s="208"/>
      <c r="J193" s="206" t="s">
        <v>3</v>
      </c>
      <c r="K193" s="207"/>
      <c r="L193" s="207"/>
      <c r="M193" s="208"/>
      <c r="N193" s="209" t="s">
        <v>4</v>
      </c>
      <c r="O193" s="207"/>
      <c r="P193" s="207"/>
      <c r="Q193" s="208"/>
      <c r="R193" s="305" t="s">
        <v>3</v>
      </c>
      <c r="S193" s="306"/>
      <c r="T193" s="306"/>
      <c r="U193" s="307"/>
      <c r="V193" s="302" t="s">
        <v>4</v>
      </c>
      <c r="W193" s="306"/>
      <c r="X193" s="306"/>
      <c r="Y193" s="307"/>
    </row>
    <row r="194" spans="1:25" x14ac:dyDescent="0.25">
      <c r="A194" s="103" t="s">
        <v>25</v>
      </c>
      <c r="B194" s="15">
        <f>B165/$B$188</f>
        <v>0.25523508494666142</v>
      </c>
      <c r="C194" s="16">
        <f t="shared" ref="C194:Y203" si="132">C165/$B$188</f>
        <v>0.49782694587119708</v>
      </c>
      <c r="D194" s="16">
        <f t="shared" si="132"/>
        <v>0.62465428684314495</v>
      </c>
      <c r="E194" s="17">
        <f t="shared" si="132"/>
        <v>0.81608060055314102</v>
      </c>
      <c r="F194" s="15">
        <f t="shared" si="132"/>
        <v>0.32872382457526661</v>
      </c>
      <c r="G194" s="16">
        <f t="shared" si="132"/>
        <v>0.49782694587119708</v>
      </c>
      <c r="H194" s="16">
        <f t="shared" si="132"/>
        <v>0.62465428684314495</v>
      </c>
      <c r="I194" s="17">
        <f t="shared" si="132"/>
        <v>0.75187672856578425</v>
      </c>
      <c r="J194" s="15">
        <f t="shared" si="132"/>
        <v>0.16673251679178189</v>
      </c>
      <c r="K194" s="16">
        <f t="shared" si="132"/>
        <v>0.39075464243382063</v>
      </c>
      <c r="L194" s="16">
        <f t="shared" si="132"/>
        <v>0.59976293954958504</v>
      </c>
      <c r="M194" s="17">
        <f t="shared" si="132"/>
        <v>0.83820624259186094</v>
      </c>
      <c r="N194" s="15">
        <f t="shared" si="132"/>
        <v>0.22421967601738438</v>
      </c>
      <c r="O194" s="16">
        <f t="shared" si="132"/>
        <v>0.39075464243382063</v>
      </c>
      <c r="P194" s="16">
        <f t="shared" si="132"/>
        <v>0.59976293954958504</v>
      </c>
      <c r="Q194" s="17">
        <f t="shared" si="132"/>
        <v>0.75977874357961273</v>
      </c>
      <c r="R194" s="310">
        <f t="shared" si="132"/>
        <v>0.19932832872382458</v>
      </c>
      <c r="S194" s="308">
        <f t="shared" si="132"/>
        <v>0.39174239431054914</v>
      </c>
      <c r="T194" s="308">
        <f t="shared" si="132"/>
        <v>0.53555906756222826</v>
      </c>
      <c r="U194" s="311">
        <f t="shared" si="132"/>
        <v>0.72955353615171858</v>
      </c>
      <c r="V194" s="310">
        <f t="shared" si="132"/>
        <v>0.25401027261951792</v>
      </c>
      <c r="W194" s="308">
        <f t="shared" si="132"/>
        <v>0.39174239431054914</v>
      </c>
      <c r="X194" s="308">
        <f t="shared" si="132"/>
        <v>0.53555906756222826</v>
      </c>
      <c r="Y194" s="311">
        <f t="shared" si="132"/>
        <v>0.66495456341367054</v>
      </c>
    </row>
    <row r="195" spans="1:25" x14ac:dyDescent="0.25">
      <c r="A195" s="99" t="s">
        <v>14</v>
      </c>
      <c r="B195" s="136">
        <f t="shared" ref="B195:Q203" si="133">B166/$B$188</f>
        <v>4.5634136704859746E-2</v>
      </c>
      <c r="C195" s="130">
        <f t="shared" si="133"/>
        <v>0.17601738443303042</v>
      </c>
      <c r="D195" s="130">
        <f t="shared" si="133"/>
        <v>0.35855393125246932</v>
      </c>
      <c r="E195" s="137">
        <f t="shared" si="133"/>
        <v>0.55412880284472532</v>
      </c>
      <c r="F195" s="136">
        <f t="shared" si="133"/>
        <v>7.1868826550770468E-2</v>
      </c>
      <c r="G195" s="130">
        <f t="shared" si="133"/>
        <v>0.17601738443303042</v>
      </c>
      <c r="H195" s="130">
        <f t="shared" si="133"/>
        <v>0.35855393125246932</v>
      </c>
      <c r="I195" s="137">
        <f t="shared" si="133"/>
        <v>0.49111023310944302</v>
      </c>
      <c r="J195" s="136">
        <f t="shared" si="133"/>
        <v>4.5634136704859746E-2</v>
      </c>
      <c r="K195" s="130">
        <f t="shared" si="133"/>
        <v>0.21947846700908732</v>
      </c>
      <c r="L195" s="130">
        <f t="shared" si="133"/>
        <v>0.44547609640458313</v>
      </c>
      <c r="M195" s="137">
        <f t="shared" si="133"/>
        <v>0.66278150928486768</v>
      </c>
      <c r="N195" s="136">
        <f t="shared" si="133"/>
        <v>7.7637297510865289E-2</v>
      </c>
      <c r="O195" s="130">
        <f t="shared" si="133"/>
        <v>0.21947846700908732</v>
      </c>
      <c r="P195" s="130">
        <f t="shared" si="133"/>
        <v>0.44547609640458313</v>
      </c>
      <c r="Q195" s="137">
        <f t="shared" si="133"/>
        <v>0.5938364282892139</v>
      </c>
      <c r="R195" s="314">
        <f t="shared" si="132"/>
        <v>2.3903595416831288E-2</v>
      </c>
      <c r="S195" s="312">
        <f t="shared" si="132"/>
        <v>0.14342157250098778</v>
      </c>
      <c r="T195" s="312">
        <f t="shared" si="132"/>
        <v>0.32595811932042668</v>
      </c>
      <c r="U195" s="315">
        <f t="shared" si="132"/>
        <v>0.50967996839193996</v>
      </c>
      <c r="V195" s="314">
        <f t="shared" si="132"/>
        <v>4.0497826945871188E-2</v>
      </c>
      <c r="W195" s="312">
        <f t="shared" si="132"/>
        <v>0.14342157250098778</v>
      </c>
      <c r="X195" s="312">
        <f t="shared" si="132"/>
        <v>0.32595811932042668</v>
      </c>
      <c r="Y195" s="315">
        <f t="shared" si="132"/>
        <v>0.45160015804030029</v>
      </c>
    </row>
    <row r="196" spans="1:25" x14ac:dyDescent="0.25">
      <c r="A196" s="99" t="s">
        <v>15</v>
      </c>
      <c r="B196" s="136">
        <f t="shared" si="133"/>
        <v>0.15863295140260766</v>
      </c>
      <c r="C196" s="130">
        <f t="shared" si="132"/>
        <v>0.29336230738838404</v>
      </c>
      <c r="D196" s="130">
        <f t="shared" si="132"/>
        <v>0.50197550375345712</v>
      </c>
      <c r="E196" s="137">
        <f t="shared" si="132"/>
        <v>0.78881864875543251</v>
      </c>
      <c r="F196" s="136">
        <f t="shared" si="132"/>
        <v>0.20071118135124455</v>
      </c>
      <c r="G196" s="130">
        <f t="shared" si="132"/>
        <v>0.29336230738838404</v>
      </c>
      <c r="H196" s="130">
        <f t="shared" si="132"/>
        <v>0.50197550375345712</v>
      </c>
      <c r="I196" s="137">
        <f t="shared" si="132"/>
        <v>0.69103121295930447</v>
      </c>
      <c r="J196" s="136">
        <f t="shared" si="132"/>
        <v>0.28842354800474124</v>
      </c>
      <c r="K196" s="130">
        <f t="shared" si="132"/>
        <v>0.52647175029632554</v>
      </c>
      <c r="L196" s="130">
        <f t="shared" si="132"/>
        <v>0.72678783089687859</v>
      </c>
      <c r="M196" s="137">
        <f t="shared" si="132"/>
        <v>1</v>
      </c>
      <c r="N196" s="136">
        <f t="shared" si="132"/>
        <v>0.360134334255235</v>
      </c>
      <c r="O196" s="130">
        <f t="shared" si="132"/>
        <v>0.52647175029632554</v>
      </c>
      <c r="P196" s="130">
        <f t="shared" si="132"/>
        <v>0.72678783089687859</v>
      </c>
      <c r="Q196" s="137">
        <f t="shared" si="132"/>
        <v>0.90715132358751482</v>
      </c>
      <c r="R196" s="314">
        <f t="shared" si="132"/>
        <v>0.19063611220861315</v>
      </c>
      <c r="S196" s="312">
        <f t="shared" si="132"/>
        <v>0.37337020940339782</v>
      </c>
      <c r="T196" s="312">
        <f t="shared" si="132"/>
        <v>0.55195574871592257</v>
      </c>
      <c r="U196" s="315">
        <f t="shared" si="132"/>
        <v>0.80244962465428682</v>
      </c>
      <c r="V196" s="314">
        <f t="shared" si="132"/>
        <v>0.24693796918214136</v>
      </c>
      <c r="W196" s="312">
        <f t="shared" si="132"/>
        <v>0.37337020940339782</v>
      </c>
      <c r="X196" s="312">
        <f t="shared" si="132"/>
        <v>0.55195574871592257</v>
      </c>
      <c r="Y196" s="315">
        <f t="shared" si="132"/>
        <v>0.71750296325563001</v>
      </c>
    </row>
    <row r="197" spans="1:25" x14ac:dyDescent="0.25">
      <c r="A197" s="99" t="s">
        <v>16</v>
      </c>
      <c r="B197" s="136">
        <f t="shared" si="133"/>
        <v>0.2232319241406559</v>
      </c>
      <c r="C197" s="130">
        <f t="shared" si="132"/>
        <v>0.41781904385618324</v>
      </c>
      <c r="D197" s="130">
        <f t="shared" si="132"/>
        <v>0.57467404188067961</v>
      </c>
      <c r="E197" s="137">
        <f t="shared" si="132"/>
        <v>0.80244962465428671</v>
      </c>
      <c r="F197" s="136">
        <f t="shared" si="132"/>
        <v>0.28249703674436982</v>
      </c>
      <c r="G197" s="130">
        <f t="shared" si="132"/>
        <v>0.41781904385618324</v>
      </c>
      <c r="H197" s="130">
        <f t="shared" si="132"/>
        <v>0.57467404188067961</v>
      </c>
      <c r="I197" s="137">
        <f t="shared" si="132"/>
        <v>0.7254049782694586</v>
      </c>
      <c r="J197" s="136">
        <f t="shared" si="132"/>
        <v>0.24278941129988146</v>
      </c>
      <c r="K197" s="130">
        <f t="shared" si="132"/>
        <v>0.4677992888186488</v>
      </c>
      <c r="L197" s="130">
        <f t="shared" si="132"/>
        <v>0.65507704464638472</v>
      </c>
      <c r="M197" s="137">
        <f t="shared" si="132"/>
        <v>0.88265507704464641</v>
      </c>
      <c r="N197" s="136">
        <f t="shared" si="132"/>
        <v>0.3002765705254839</v>
      </c>
      <c r="O197" s="130">
        <f t="shared" si="132"/>
        <v>0.4677992888186488</v>
      </c>
      <c r="P197" s="130">
        <f t="shared" si="132"/>
        <v>0.65507704464638472</v>
      </c>
      <c r="Q197" s="137">
        <f t="shared" si="132"/>
        <v>0.80719083366258393</v>
      </c>
      <c r="R197" s="314">
        <f t="shared" si="132"/>
        <v>8.6724614776768086E-2</v>
      </c>
      <c r="S197" s="312">
        <f t="shared" si="132"/>
        <v>0.23765310154089289</v>
      </c>
      <c r="T197" s="312">
        <f t="shared" si="132"/>
        <v>0.42493085736862901</v>
      </c>
      <c r="U197" s="315">
        <f t="shared" si="132"/>
        <v>0.64065586724614787</v>
      </c>
      <c r="V197" s="314">
        <f t="shared" si="132"/>
        <v>0.12346898459107075</v>
      </c>
      <c r="W197" s="312">
        <f t="shared" si="132"/>
        <v>0.23765310154089289</v>
      </c>
      <c r="X197" s="312">
        <f t="shared" si="132"/>
        <v>0.42493085736862901</v>
      </c>
      <c r="Y197" s="315">
        <f t="shared" si="132"/>
        <v>0.57013038324772825</v>
      </c>
    </row>
    <row r="198" spans="1:25" x14ac:dyDescent="0.25">
      <c r="A198" s="99" t="s">
        <v>18</v>
      </c>
      <c r="B198" s="136">
        <f t="shared" si="133"/>
        <v>0.1758198340576847</v>
      </c>
      <c r="C198" s="130">
        <f t="shared" si="132"/>
        <v>0.32892137495061241</v>
      </c>
      <c r="D198" s="130">
        <f t="shared" si="132"/>
        <v>0.52923745555116553</v>
      </c>
      <c r="E198" s="137">
        <f t="shared" si="132"/>
        <v>0.80244962465428682</v>
      </c>
      <c r="F198" s="136">
        <f t="shared" si="132"/>
        <v>0.22382457526669303</v>
      </c>
      <c r="G198" s="130">
        <f t="shared" si="132"/>
        <v>0.32892137495061241</v>
      </c>
      <c r="H198" s="130">
        <f t="shared" si="132"/>
        <v>0.52923745555116553</v>
      </c>
      <c r="I198" s="137">
        <f t="shared" si="132"/>
        <v>0.70960094824180164</v>
      </c>
      <c r="J198" s="136">
        <f t="shared" si="132"/>
        <v>0.28842354800474124</v>
      </c>
      <c r="K198" s="130">
        <f t="shared" si="132"/>
        <v>0.52647175029632554</v>
      </c>
      <c r="L198" s="130">
        <f t="shared" si="132"/>
        <v>0.72678783089687859</v>
      </c>
      <c r="M198" s="137">
        <f t="shared" si="132"/>
        <v>1</v>
      </c>
      <c r="N198" s="136">
        <f t="shared" si="132"/>
        <v>0.360134334255235</v>
      </c>
      <c r="O198" s="130">
        <f t="shared" si="132"/>
        <v>0.52647175029632554</v>
      </c>
      <c r="P198" s="130">
        <f t="shared" si="132"/>
        <v>0.72678783089687859</v>
      </c>
      <c r="Q198" s="137">
        <f t="shared" si="132"/>
        <v>0.90715132358751482</v>
      </c>
      <c r="R198" s="314">
        <f t="shared" si="132"/>
        <v>0.10154089292769655</v>
      </c>
      <c r="S198" s="312">
        <f t="shared" si="132"/>
        <v>0.28210193599367833</v>
      </c>
      <c r="T198" s="312">
        <f t="shared" si="132"/>
        <v>0.447649150533386</v>
      </c>
      <c r="U198" s="315">
        <f t="shared" si="132"/>
        <v>0.64065586724614776</v>
      </c>
      <c r="V198" s="314">
        <f t="shared" si="132"/>
        <v>0.14658237850651912</v>
      </c>
      <c r="W198" s="312">
        <f t="shared" si="132"/>
        <v>0.28210193599367833</v>
      </c>
      <c r="X198" s="312">
        <f t="shared" si="132"/>
        <v>0.447649150533386</v>
      </c>
      <c r="Y198" s="315">
        <f t="shared" si="132"/>
        <v>0.57803239826155672</v>
      </c>
    </row>
    <row r="199" spans="1:25" x14ac:dyDescent="0.25">
      <c r="A199" s="99" t="s">
        <v>19</v>
      </c>
      <c r="B199" s="136">
        <f t="shared" si="133"/>
        <v>0.17759778743579616</v>
      </c>
      <c r="C199" s="130">
        <f t="shared" si="132"/>
        <v>0.3591465823785065</v>
      </c>
      <c r="D199" s="130">
        <f t="shared" si="132"/>
        <v>0.50296325563018562</v>
      </c>
      <c r="E199" s="137">
        <f t="shared" si="132"/>
        <v>0.68510470169893312</v>
      </c>
      <c r="F199" s="136">
        <f t="shared" si="132"/>
        <v>0.22263927301461867</v>
      </c>
      <c r="G199" s="130">
        <f t="shared" si="132"/>
        <v>0.3591465823785065</v>
      </c>
      <c r="H199" s="130">
        <f t="shared" si="132"/>
        <v>0.50296325563018562</v>
      </c>
      <c r="I199" s="137">
        <f t="shared" si="132"/>
        <v>0.62544448834452782</v>
      </c>
      <c r="J199" s="136">
        <f t="shared" si="132"/>
        <v>0.24278941129988146</v>
      </c>
      <c r="K199" s="130">
        <f t="shared" si="132"/>
        <v>0.4677992888186488</v>
      </c>
      <c r="L199" s="130">
        <f t="shared" si="132"/>
        <v>0.65507704464638472</v>
      </c>
      <c r="M199" s="137">
        <f t="shared" si="132"/>
        <v>0.88265507704464641</v>
      </c>
      <c r="N199" s="136">
        <f t="shared" si="132"/>
        <v>0.3002765705254839</v>
      </c>
      <c r="O199" s="130">
        <f t="shared" si="132"/>
        <v>0.4677992888186488</v>
      </c>
      <c r="P199" s="130">
        <f t="shared" si="132"/>
        <v>0.65507704464638472</v>
      </c>
      <c r="Q199" s="137">
        <f t="shared" si="132"/>
        <v>0.80719083366258393</v>
      </c>
      <c r="R199" s="314">
        <f t="shared" si="132"/>
        <v>4.5634136704859746E-2</v>
      </c>
      <c r="S199" s="312">
        <f t="shared" si="132"/>
        <v>0.17601738443303042</v>
      </c>
      <c r="T199" s="312">
        <f t="shared" si="132"/>
        <v>0.35855393125246937</v>
      </c>
      <c r="U199" s="315">
        <f t="shared" si="132"/>
        <v>0.55412880284472532</v>
      </c>
      <c r="V199" s="314">
        <f t="shared" si="132"/>
        <v>7.1868826550770468E-2</v>
      </c>
      <c r="W199" s="312">
        <f t="shared" si="132"/>
        <v>0.17601738443303042</v>
      </c>
      <c r="X199" s="312">
        <f t="shared" si="132"/>
        <v>0.35855393125246937</v>
      </c>
      <c r="Y199" s="315">
        <f t="shared" si="132"/>
        <v>0.49111023310944302</v>
      </c>
    </row>
    <row r="200" spans="1:25" x14ac:dyDescent="0.25">
      <c r="A200" s="99" t="s">
        <v>20</v>
      </c>
      <c r="B200" s="136">
        <f t="shared" si="133"/>
        <v>0.17759778743579616</v>
      </c>
      <c r="C200" s="130">
        <f t="shared" si="132"/>
        <v>0.3591465823785065</v>
      </c>
      <c r="D200" s="130">
        <f t="shared" si="132"/>
        <v>0.50296325563018562</v>
      </c>
      <c r="E200" s="137">
        <f t="shared" si="132"/>
        <v>0.68510470169893312</v>
      </c>
      <c r="F200" s="136">
        <f t="shared" si="132"/>
        <v>0.22263927301461867</v>
      </c>
      <c r="G200" s="130">
        <f t="shared" si="132"/>
        <v>0.3591465823785065</v>
      </c>
      <c r="H200" s="130">
        <f t="shared" si="132"/>
        <v>0.50296325563018562</v>
      </c>
      <c r="I200" s="137">
        <f t="shared" si="132"/>
        <v>0.62544448834452782</v>
      </c>
      <c r="J200" s="136">
        <f t="shared" si="132"/>
        <v>0.24278941129988146</v>
      </c>
      <c r="K200" s="130">
        <f t="shared" si="132"/>
        <v>0.4677992888186488</v>
      </c>
      <c r="L200" s="130">
        <f t="shared" si="132"/>
        <v>0.65507704464638472</v>
      </c>
      <c r="M200" s="137">
        <f t="shared" si="132"/>
        <v>0.88265507704464641</v>
      </c>
      <c r="N200" s="136">
        <f t="shared" si="132"/>
        <v>0.3002765705254839</v>
      </c>
      <c r="O200" s="130">
        <f t="shared" si="132"/>
        <v>0.4677992888186488</v>
      </c>
      <c r="P200" s="130">
        <f t="shared" si="132"/>
        <v>0.65507704464638472</v>
      </c>
      <c r="Q200" s="137">
        <f t="shared" si="132"/>
        <v>0.80719083366258393</v>
      </c>
      <c r="R200" s="314">
        <f t="shared" si="132"/>
        <v>8.6724614776768086E-2</v>
      </c>
      <c r="S200" s="312">
        <f t="shared" si="132"/>
        <v>0.23765310154089289</v>
      </c>
      <c r="T200" s="312">
        <f t="shared" si="132"/>
        <v>0.42493085736862901</v>
      </c>
      <c r="U200" s="315">
        <f t="shared" si="132"/>
        <v>0.64065586724614787</v>
      </c>
      <c r="V200" s="314">
        <f t="shared" si="132"/>
        <v>0.12346898459107075</v>
      </c>
      <c r="W200" s="312">
        <f t="shared" si="132"/>
        <v>0.23765310154089289</v>
      </c>
      <c r="X200" s="312">
        <f t="shared" si="132"/>
        <v>0.42493085736862901</v>
      </c>
      <c r="Y200" s="315">
        <f t="shared" si="132"/>
        <v>0.57013038324772825</v>
      </c>
    </row>
    <row r="201" spans="1:25" x14ac:dyDescent="0.25">
      <c r="A201" s="99" t="s">
        <v>21</v>
      </c>
      <c r="B201" s="136">
        <f t="shared" si="133"/>
        <v>0.20782299486369021</v>
      </c>
      <c r="C201" s="130">
        <f t="shared" si="132"/>
        <v>0.40892927696562625</v>
      </c>
      <c r="D201" s="130">
        <f t="shared" si="132"/>
        <v>0.57921770051363097</v>
      </c>
      <c r="E201" s="137">
        <f t="shared" si="132"/>
        <v>0.81608060055314102</v>
      </c>
      <c r="F201" s="136">
        <f t="shared" si="132"/>
        <v>0.27005136309758981</v>
      </c>
      <c r="G201" s="130">
        <f t="shared" si="132"/>
        <v>0.40892927696562625</v>
      </c>
      <c r="H201" s="130">
        <f t="shared" si="132"/>
        <v>0.57921770051363097</v>
      </c>
      <c r="I201" s="137">
        <f t="shared" si="132"/>
        <v>0.73607269853812707</v>
      </c>
      <c r="J201" s="136">
        <f t="shared" si="132"/>
        <v>0.16673251679178189</v>
      </c>
      <c r="K201" s="130">
        <f t="shared" si="132"/>
        <v>0.39075464243382063</v>
      </c>
      <c r="L201" s="130">
        <f t="shared" si="132"/>
        <v>0.59976293954958504</v>
      </c>
      <c r="M201" s="137">
        <f t="shared" si="132"/>
        <v>0.83820624259186094</v>
      </c>
      <c r="N201" s="136">
        <f t="shared" si="132"/>
        <v>0.22421967601738438</v>
      </c>
      <c r="O201" s="130">
        <f t="shared" si="132"/>
        <v>0.39075464243382063</v>
      </c>
      <c r="P201" s="130">
        <f t="shared" si="132"/>
        <v>0.59976293954958504</v>
      </c>
      <c r="Q201" s="137">
        <f t="shared" si="132"/>
        <v>0.75977874357961273</v>
      </c>
      <c r="R201" s="314">
        <f t="shared" si="132"/>
        <v>0.17759778743579616</v>
      </c>
      <c r="S201" s="312">
        <f t="shared" si="132"/>
        <v>0.3591465823785065</v>
      </c>
      <c r="T201" s="312">
        <f t="shared" si="132"/>
        <v>0.50296325563018562</v>
      </c>
      <c r="U201" s="315">
        <f t="shared" si="132"/>
        <v>0.68510470169893312</v>
      </c>
      <c r="V201" s="314">
        <f t="shared" si="132"/>
        <v>0.22263927301461867</v>
      </c>
      <c r="W201" s="312">
        <f t="shared" si="132"/>
        <v>0.3591465823785065</v>
      </c>
      <c r="X201" s="312">
        <f t="shared" si="132"/>
        <v>0.50296325563018562</v>
      </c>
      <c r="Y201" s="315">
        <f t="shared" si="132"/>
        <v>0.62544448834452782</v>
      </c>
    </row>
    <row r="202" spans="1:25" x14ac:dyDescent="0.25">
      <c r="A202" s="99" t="s">
        <v>23</v>
      </c>
      <c r="B202" s="136">
        <f t="shared" si="133"/>
        <v>0.1758198340576847</v>
      </c>
      <c r="C202" s="130">
        <f t="shared" si="132"/>
        <v>0.32892137495061241</v>
      </c>
      <c r="D202" s="130">
        <f t="shared" si="132"/>
        <v>0.52923745555116553</v>
      </c>
      <c r="E202" s="137">
        <f t="shared" si="132"/>
        <v>0.80244962465428682</v>
      </c>
      <c r="F202" s="136">
        <f t="shared" si="132"/>
        <v>0.22382457526669303</v>
      </c>
      <c r="G202" s="130">
        <f t="shared" si="132"/>
        <v>0.32892137495061241</v>
      </c>
      <c r="H202" s="130">
        <f t="shared" si="132"/>
        <v>0.52923745555116553</v>
      </c>
      <c r="I202" s="137">
        <f t="shared" si="132"/>
        <v>0.70960094824180164</v>
      </c>
      <c r="J202" s="136">
        <f t="shared" si="132"/>
        <v>0.19932832872382458</v>
      </c>
      <c r="K202" s="130">
        <f t="shared" si="132"/>
        <v>0.43520347688660604</v>
      </c>
      <c r="L202" s="130">
        <f t="shared" si="132"/>
        <v>0.62248123271434208</v>
      </c>
      <c r="M202" s="137">
        <f t="shared" si="132"/>
        <v>0.83820624259186083</v>
      </c>
      <c r="N202" s="136">
        <f t="shared" si="132"/>
        <v>0.25977874357961273</v>
      </c>
      <c r="O202" s="130">
        <f t="shared" si="132"/>
        <v>0.43520347688660604</v>
      </c>
      <c r="P202" s="130">
        <f t="shared" si="132"/>
        <v>0.62248123271434208</v>
      </c>
      <c r="Q202" s="137">
        <f t="shared" si="132"/>
        <v>0.76768075859344143</v>
      </c>
      <c r="R202" s="314">
        <f t="shared" si="132"/>
        <v>0.10154089292769655</v>
      </c>
      <c r="S202" s="312">
        <f t="shared" si="132"/>
        <v>0.28210193599367833</v>
      </c>
      <c r="T202" s="312">
        <f t="shared" si="132"/>
        <v>0.447649150533386</v>
      </c>
      <c r="U202" s="315">
        <f t="shared" si="132"/>
        <v>0.64065586724614776</v>
      </c>
      <c r="V202" s="314">
        <f t="shared" si="132"/>
        <v>0.14658237850651912</v>
      </c>
      <c r="W202" s="312">
        <f t="shared" si="132"/>
        <v>0.28210193599367833</v>
      </c>
      <c r="X202" s="312">
        <f t="shared" si="132"/>
        <v>0.447649150533386</v>
      </c>
      <c r="Y202" s="315">
        <f t="shared" si="132"/>
        <v>0.57803239826155672</v>
      </c>
    </row>
    <row r="203" spans="1:25" ht="15.75" thickBot="1" x14ac:dyDescent="0.3">
      <c r="A203" s="100" t="s">
        <v>24</v>
      </c>
      <c r="B203" s="139">
        <f t="shared" si="133"/>
        <v>8.6724614776768086E-2</v>
      </c>
      <c r="C203" s="140">
        <f t="shared" si="132"/>
        <v>0.23765310154089292</v>
      </c>
      <c r="D203" s="140">
        <f t="shared" si="132"/>
        <v>0.4249308573686289</v>
      </c>
      <c r="E203" s="141">
        <f t="shared" si="132"/>
        <v>0.64065586724614776</v>
      </c>
      <c r="F203" s="139">
        <f t="shared" si="132"/>
        <v>0.12346898459107075</v>
      </c>
      <c r="G203" s="140">
        <f t="shared" si="132"/>
        <v>0.23765310154089292</v>
      </c>
      <c r="H203" s="140">
        <f t="shared" si="132"/>
        <v>0.4249308573686289</v>
      </c>
      <c r="I203" s="141">
        <f t="shared" si="132"/>
        <v>0.57013038324772825</v>
      </c>
      <c r="J203" s="139">
        <f t="shared" si="132"/>
        <v>0.19932832872382458</v>
      </c>
      <c r="K203" s="140">
        <f t="shared" si="132"/>
        <v>0.43520347688660604</v>
      </c>
      <c r="L203" s="140">
        <f t="shared" si="132"/>
        <v>0.62248123271434208</v>
      </c>
      <c r="M203" s="141">
        <f t="shared" si="132"/>
        <v>0.83820624259186083</v>
      </c>
      <c r="N203" s="139">
        <f t="shared" si="132"/>
        <v>0.25977874357961273</v>
      </c>
      <c r="O203" s="140">
        <f t="shared" si="132"/>
        <v>0.43520347688660604</v>
      </c>
      <c r="P203" s="140">
        <f t="shared" si="132"/>
        <v>0.62248123271434208</v>
      </c>
      <c r="Q203" s="141">
        <f t="shared" si="132"/>
        <v>0.76768075859344143</v>
      </c>
      <c r="R203" s="318">
        <f t="shared" si="132"/>
        <v>0.16673251679178189</v>
      </c>
      <c r="S203" s="316">
        <f t="shared" si="132"/>
        <v>0.34729355985776372</v>
      </c>
      <c r="T203" s="316">
        <f t="shared" si="132"/>
        <v>0.51284077439747133</v>
      </c>
      <c r="U203" s="319">
        <f t="shared" si="132"/>
        <v>0.72955353615171858</v>
      </c>
      <c r="V203" s="318">
        <f t="shared" si="132"/>
        <v>0.21845120505728952</v>
      </c>
      <c r="W203" s="316">
        <f t="shared" si="132"/>
        <v>0.34729355985776372</v>
      </c>
      <c r="X203" s="316">
        <f t="shared" si="132"/>
        <v>0.51284077439747133</v>
      </c>
      <c r="Y203" s="319">
        <f t="shared" si="132"/>
        <v>0.65705254839984184</v>
      </c>
    </row>
    <row r="204" spans="1:25" x14ac:dyDescent="0.25">
      <c r="A204" s="1"/>
    </row>
    <row r="206" spans="1:25" x14ac:dyDescent="0.25">
      <c r="A206" s="229" t="s">
        <v>157</v>
      </c>
      <c r="B206" s="228"/>
      <c r="C206" s="228"/>
      <c r="D206" s="228"/>
      <c r="E206" s="228"/>
      <c r="F206" s="228"/>
      <c r="G206" s="228"/>
      <c r="H206" s="228"/>
      <c r="I206" s="228"/>
    </row>
    <row r="207" spans="1:25" x14ac:dyDescent="0.25">
      <c r="A207" s="230" t="s">
        <v>158</v>
      </c>
      <c r="B207" s="228"/>
      <c r="C207" s="228"/>
      <c r="D207" s="228"/>
      <c r="F207" s="230" t="s">
        <v>159</v>
      </c>
      <c r="G207" s="230"/>
      <c r="H207" s="230"/>
      <c r="I207" s="230"/>
      <c r="J207" s="228"/>
    </row>
    <row r="209" spans="1:9" x14ac:dyDescent="0.25">
      <c r="A209" s="123" t="s">
        <v>25</v>
      </c>
      <c r="B209" s="129">
        <f>1-(ABS(B194-B194)+ABS(C194-C194)+ABS(D194-D194)+ABS(E194-E194))/4</f>
        <v>1</v>
      </c>
      <c r="C209" s="129">
        <f>1-(ABS(B194-J194)+ABS(C194-K194)+ABS(D194-L194)+ABS(E194-M194))/4</f>
        <v>0.93935203476886608</v>
      </c>
      <c r="D209" s="129">
        <f>1-(ABS(B194-R194)+ABS(C194-S194)+ABS(D194-T194)+ABS(E194-U194))/4</f>
        <v>0.91559660213354399</v>
      </c>
      <c r="F209" s="123" t="s">
        <v>25</v>
      </c>
      <c r="G209" s="129">
        <f>1-(ABS(F194-F194)+ABS(G194-G194)+ABS(H194-H194)+ABS(I194-I194))/4</f>
        <v>1</v>
      </c>
      <c r="H209" s="129">
        <f>1-(ABS(F194-N194)+ABS(G194-O194)+ABS(H194-P194)+ABS(I194-Q194))/4</f>
        <v>0.93890754642433827</v>
      </c>
      <c r="I209" s="129">
        <f>1-(ABS(F194-V194)+ABS(G194-W194)+ABS(H194-X194)+ABS(I194-Y194))/4</f>
        <v>0.9107961280126432</v>
      </c>
    </row>
    <row r="210" spans="1:9" x14ac:dyDescent="0.25">
      <c r="B210" s="129">
        <f>1-(ABS(J194-B194)+ABS(K194-C194)+ABS(L194-D194)+ABS(M194-E194))/4</f>
        <v>0.93935203476886608</v>
      </c>
      <c r="C210" s="129">
        <f>1-(ABS(J194-J194)+ABS(K194-K194)+ABS(L194-L194)+ABS(M194-M194))/4</f>
        <v>1</v>
      </c>
      <c r="D210" s="129">
        <f>1-(ABS(J194-R194)+ABS(K194-S194)+ABS(L194-T194)+ABS(M194-U194))/4</f>
        <v>0.94838996444093238</v>
      </c>
      <c r="G210" s="129">
        <f>1-(ABS(N194-F194)+ABS(O194-G194)+ABS(P194-H194)+ABS(Q194-I194))/4</f>
        <v>0.93890754642433827</v>
      </c>
      <c r="H210" s="129">
        <f>1-(ABS(N194-N194)+ABS(O194-O194)+ABS(P194-P194)+ABS(Q194-Q194))/4</f>
        <v>1</v>
      </c>
      <c r="I210" s="129">
        <f>1-(ABS(N194-V194)+ABS(O194-W194)+ABS(P194-X194)+ABS(Q194-Y194))/4</f>
        <v>0.95254839984195971</v>
      </c>
    </row>
    <row r="211" spans="1:9" x14ac:dyDescent="0.25">
      <c r="B211" s="129">
        <f>1-(ABS(R194-B194)+ABS(S194-C194)+ABS(T194-D194)+ABS(U194-E194))/4</f>
        <v>0.91559660213354399</v>
      </c>
      <c r="C211" s="129">
        <f>1-(ABS(R194-J194)+ABS(S194-K194)+ABS(T194-L194)+ABS(U194-M194))/4</f>
        <v>0.94838996444093238</v>
      </c>
      <c r="D211" s="129">
        <f>1-(ABS(R194-R194)+ABS(S194-S194)+ABS(T194-T194)+ABS(U194-U194))/4</f>
        <v>1</v>
      </c>
      <c r="G211" s="129">
        <f>1-(ABS(V194-F194)+ABS(W194-G194)+ABS(X194-H194)+ABS(Y194-I194))/4</f>
        <v>0.9107961280126432</v>
      </c>
      <c r="H211" s="129">
        <f>1-(ABS(V194-N194)+ABS(W194-O194)+ABS(X194-P194)+ABS(Y194-Q194))/4</f>
        <v>0.95254839984195971</v>
      </c>
      <c r="I211" s="129">
        <f>1-(ABS(V194-V194)+ABS(W194-W194)+ABS(X194-X194)+ABS(Y194-Y194))/4</f>
        <v>1</v>
      </c>
    </row>
    <row r="212" spans="1:9" x14ac:dyDescent="0.25">
      <c r="B212" s="129"/>
      <c r="C212" s="129"/>
      <c r="D212" s="129"/>
      <c r="G212" s="129"/>
      <c r="H212" s="129"/>
      <c r="I212" s="129"/>
    </row>
    <row r="213" spans="1:9" x14ac:dyDescent="0.25">
      <c r="A213" s="123" t="s">
        <v>14</v>
      </c>
      <c r="B213" s="129">
        <f>1-(ABS(B195-B195)+ABS(C195-C195)+ABS(D195-D195)+ABS(E195-E195))/4</f>
        <v>1</v>
      </c>
      <c r="C213" s="129">
        <f>1-(ABS(B195-J195)+ABS(C195-K195)+ABS(D195-L195)+ABS(E195-M195))/4</f>
        <v>0.94024101145792172</v>
      </c>
      <c r="D213" s="129">
        <f>1-(ABS(B195-R195)+ABS(C195-S195)+ABS(D195-T195)+ABS(E195-U195))/4</f>
        <v>0.96715725009877518</v>
      </c>
      <c r="F213" s="123" t="s">
        <v>14</v>
      </c>
      <c r="G213" s="129">
        <f>1-(ABS(F195-F195)+ABS(G195-G195)+ABS(H195-H195)+ABS(I195-I195))/4</f>
        <v>1</v>
      </c>
      <c r="H213" s="129">
        <f>1-(ABS(F195-N195)+ABS(G195-O195)+ABS(H195-P195)+ABS(I195-Q195))/4</f>
        <v>0.94028052153299091</v>
      </c>
      <c r="I213" s="129">
        <f>1-(ABS(F195-V195)+ABS(G195-W195)+ABS(H195-X195)+ABS(I195-Y195))/4</f>
        <v>0.96598182536546817</v>
      </c>
    </row>
    <row r="214" spans="1:9" x14ac:dyDescent="0.25">
      <c r="B214" s="129">
        <f>1-(ABS(J195-B195)+ABS(K195-C195)+ABS(L195-D195)+ABS(M195-E195))/4</f>
        <v>0.94024101145792172</v>
      </c>
      <c r="C214" s="129">
        <f>1-(ABS(J195-J195)+ABS(K195-K195)+ABS(L195-L195)+ABS(M195-M195))/4</f>
        <v>1</v>
      </c>
      <c r="D214" s="129">
        <f>1-(ABS(J195-R195)+ABS(K195-S195)+ABS(L195-T195)+ABS(M195-U195))/4</f>
        <v>0.90739826155669689</v>
      </c>
      <c r="G214" s="129">
        <f>1-(ABS(N195-F195)+ABS(O195-G195)+ABS(P195-H195)+ABS(Q195-I195))/4</f>
        <v>0.94028052153299091</v>
      </c>
      <c r="H214" s="129">
        <f>1-(ABS(N195-N195)+ABS(O195-O195)+ABS(P195-P195)+ABS(Q195-Q195))/4</f>
        <v>1</v>
      </c>
      <c r="I214" s="129">
        <f>1-(ABS(N195-V195)+ABS(O195-W195)+ABS(P195-X195)+ABS(Q195-Y195))/4</f>
        <v>0.90626234689845908</v>
      </c>
    </row>
    <row r="215" spans="1:9" x14ac:dyDescent="0.25">
      <c r="B215" s="129">
        <f>1-(ABS(R195-B195)+ABS(S195-C195)+ABS(T195-D195)+ABS(U195-E195))/4</f>
        <v>0.96715725009877518</v>
      </c>
      <c r="C215" s="129">
        <f>1-(ABS(R195-J195)+ABS(S195-K195)+ABS(T195-L195)+ABS(U195-M195))/4</f>
        <v>0.90739826155669689</v>
      </c>
      <c r="D215" s="129">
        <f>1-(ABS(R195-R195)+ABS(S195-S195)+ABS(T195-T195)+ABS(U195-U195))/4</f>
        <v>1</v>
      </c>
      <c r="G215" s="129">
        <f>1-(ABS(V195-F195)+ABS(W195-G195)+ABS(X195-H195)+ABS(Y195-I195))/4</f>
        <v>0.96598182536546817</v>
      </c>
      <c r="H215" s="129">
        <f>1-(ABS(V195-N195)+ABS(W195-O195)+ABS(X195-P195)+ABS(Y195-Q195))/4</f>
        <v>0.90626234689845908</v>
      </c>
      <c r="I215" s="129">
        <f>1-(ABS(V195-V195)+ABS(W195-W195)+ABS(X195-X195)+ABS(Y195-Y195))/4</f>
        <v>1</v>
      </c>
    </row>
    <row r="216" spans="1:9" x14ac:dyDescent="0.25">
      <c r="B216" s="129"/>
      <c r="C216" s="129"/>
      <c r="D216" s="129"/>
      <c r="G216" s="129"/>
      <c r="H216" s="129"/>
      <c r="I216" s="129"/>
    </row>
    <row r="217" spans="1:9" x14ac:dyDescent="0.25">
      <c r="A217" s="123" t="s">
        <v>15</v>
      </c>
      <c r="B217" s="129">
        <f>1-(ABS(B196-B196)+ABS(C196-C196)+ABS(D196-D196)+ABS(E196-E196))/4</f>
        <v>1</v>
      </c>
      <c r="C217" s="129">
        <f>1-(ABS(B196-J196)+ABS(C196-K196)+ABS(D196-L196)+ABS(E196-M196))/4</f>
        <v>0.80027657052548395</v>
      </c>
      <c r="D217" s="129">
        <f>1-(ABS(B196-R196)+ABS(C196-S196)+ABS(D196-T196)+ABS(E196-U196))/4</f>
        <v>0.95609442907941522</v>
      </c>
      <c r="F217" s="123" t="s">
        <v>15</v>
      </c>
      <c r="G217" s="129">
        <f>1-(ABS(F196-F196)+ABS(G196-G196)+ABS(H196-H196)+ABS(I196-I196))/4</f>
        <v>1</v>
      </c>
      <c r="H217" s="129">
        <f>1-(ABS(F196-N196)+ABS(G196-O196)+ABS(H196-P196)+ABS(I196-Q196))/4</f>
        <v>0.79163374160410904</v>
      </c>
      <c r="I217" s="129">
        <f>1-(ABS(F196-V196)+ABS(G196-W196)+ABS(H196-X196)+ABS(I196-Y196))/4</f>
        <v>0.94932832872382455</v>
      </c>
    </row>
    <row r="218" spans="1:9" x14ac:dyDescent="0.25">
      <c r="B218" s="129">
        <f>1-(ABS(J196-B196)+ABS(K196-C196)+ABS(L196-D196)+ABS(M196-E196))/4</f>
        <v>0.80027657052548395</v>
      </c>
      <c r="C218" s="129">
        <f>1-(ABS(J196-J196)+ABS(K196-K196)+ABS(L196-L196)+ABS(M196-M196))/4</f>
        <v>1</v>
      </c>
      <c r="D218" s="129">
        <f>1-(ABS(J196-R196)+ABS(K196-S196)+ABS(L196-T196)+ABS(M196-U196))/4</f>
        <v>0.84418214144606873</v>
      </c>
      <c r="G218" s="129">
        <f>1-(ABS(N196-F196)+ABS(O196-G196)+ABS(P196-H196)+ABS(Q196-I196))/4</f>
        <v>0.79163374160410904</v>
      </c>
      <c r="H218" s="129">
        <f>1-(ABS(N196-N196)+ABS(O196-O196)+ABS(P196-P196)+ABS(Q196-Q196))/4</f>
        <v>1</v>
      </c>
      <c r="I218" s="129">
        <f>1-(ABS(N196-V196)+ABS(O196-W196)+ABS(P196-X196)+ABS(Q196-Y196))/4</f>
        <v>0.84230541288028449</v>
      </c>
    </row>
    <row r="219" spans="1:9" x14ac:dyDescent="0.25">
      <c r="B219" s="129">
        <f>1-(ABS(R196-B196)+ABS(S196-C196)+ABS(T196-D196)+ABS(U196-E196))/4</f>
        <v>0.95609442907941522</v>
      </c>
      <c r="C219" s="129">
        <f>1-(ABS(R196-J196)+ABS(S196-K196)+ABS(T196-L196)+ABS(U196-M196))/4</f>
        <v>0.84418214144606873</v>
      </c>
      <c r="D219" s="129">
        <f>1-(ABS(R196-R196)+ABS(S196-S196)+ABS(T196-T196)+ABS(U196-U196))/4</f>
        <v>1</v>
      </c>
      <c r="G219" s="129">
        <f>1-(ABS(V196-F196)+ABS(W196-G196)+ABS(X196-H196)+ABS(Y196-I196))/4</f>
        <v>0.94932832872382455</v>
      </c>
      <c r="H219" s="129">
        <f>1-(ABS(V196-N196)+ABS(W196-O196)+ABS(X196-P196)+ABS(Y196-Q196))/4</f>
        <v>0.84230541288028449</v>
      </c>
      <c r="I219" s="129">
        <f>1-(ABS(V196-V196)+ABS(W196-W196)+ABS(X196-X196)+ABS(Y196-Y196))/4</f>
        <v>1</v>
      </c>
    </row>
    <row r="220" spans="1:9" x14ac:dyDescent="0.25">
      <c r="B220" s="129"/>
      <c r="C220" s="129"/>
      <c r="D220" s="129"/>
      <c r="G220" s="129"/>
      <c r="H220" s="129"/>
      <c r="I220" s="129"/>
    </row>
    <row r="221" spans="1:9" x14ac:dyDescent="0.25">
      <c r="A221" s="123" t="s">
        <v>16</v>
      </c>
      <c r="B221" s="129">
        <f>1-(ABS(B197-B197)+ABS(C197-C197)+ABS(D197-D197)+ABS(E197-E197))/4</f>
        <v>1</v>
      </c>
      <c r="C221" s="129">
        <f>1-(ABS(B197-J197)+ABS(C197-K197)+ABS(D197-L197)+ABS(E197-M197))/4</f>
        <v>0.94246345318056102</v>
      </c>
      <c r="D221" s="129">
        <f>1-(ABS(B197-R197)+ABS(C197-S197)+ABS(D197-T197)+ABS(E197-U197))/4</f>
        <v>0.84294745160015805</v>
      </c>
      <c r="F221" s="123" t="s">
        <v>16</v>
      </c>
      <c r="G221" s="129">
        <f>1-(ABS(F197-F197)+ABS(G197-G197)+ABS(H197-H197)+ABS(I197-I197))/4</f>
        <v>1</v>
      </c>
      <c r="H221" s="129">
        <f>1-(ABS(F197-N197)+ABS(G197-O197)+ABS(H197-P197)+ABS(I197-Q197))/4</f>
        <v>0.94251284077439745</v>
      </c>
      <c r="I221" s="129">
        <f>1-(ABS(F197-V197)+ABS(G197-W197)+ABS(H197-X197)+ABS(I197-Y197))/4</f>
        <v>0.83894705649940737</v>
      </c>
    </row>
    <row r="222" spans="1:9" x14ac:dyDescent="0.25">
      <c r="B222" s="129">
        <f>1-(ABS(J197-B197)+ABS(K197-C197)+ABS(L197-D197)+ABS(M197-E197))/4</f>
        <v>0.94246345318056102</v>
      </c>
      <c r="C222" s="129">
        <f>1-(ABS(J197-J197)+ABS(K197-K197)+ABS(L197-L197)+ABS(M197-M197))/4</f>
        <v>1</v>
      </c>
      <c r="D222" s="129">
        <f>1-(ABS(J197-R197)+ABS(K197-S197)+ABS(L197-T197)+ABS(M197-U197))/4</f>
        <v>0.78541090478071918</v>
      </c>
      <c r="G222" s="129">
        <f>1-(ABS(N197-F197)+ABS(O197-G197)+ABS(P197-H197)+ABS(Q197-I197))/4</f>
        <v>0.94251284077439745</v>
      </c>
      <c r="H222" s="129">
        <f>1-(ABS(N197-N197)+ABS(O197-O197)+ABS(P197-P197)+ABS(Q197-Q197))/4</f>
        <v>1</v>
      </c>
      <c r="I222" s="129">
        <f>1-(ABS(N197-V197)+ABS(O197-W197)+ABS(P197-X197)+ABS(Q197-Y197))/4</f>
        <v>0.78145989727380494</v>
      </c>
    </row>
    <row r="223" spans="1:9" x14ac:dyDescent="0.25">
      <c r="B223" s="129">
        <f>1-(ABS(R197-B197)+ABS(S197-C197)+ABS(T197-D197)+ABS(U197-E197))/4</f>
        <v>0.84294745160015805</v>
      </c>
      <c r="C223" s="129">
        <f>1-(ABS(R197-J197)+ABS(S197-K197)+ABS(T197-L197)+ABS(U197-M197))/4</f>
        <v>0.78541090478071918</v>
      </c>
      <c r="D223" s="129">
        <f>1-(ABS(R197-R197)+ABS(S197-S197)+ABS(T197-T197)+ABS(U197-U197))/4</f>
        <v>1</v>
      </c>
      <c r="G223" s="129">
        <f>1-(ABS(V197-F197)+ABS(W197-G197)+ABS(X197-H197)+ABS(Y197-I197))/4</f>
        <v>0.83894705649940737</v>
      </c>
      <c r="H223" s="129">
        <f>1-(ABS(V197-N197)+ABS(W197-O197)+ABS(X197-P197)+ABS(Y197-Q197))/4</f>
        <v>0.78145989727380494</v>
      </c>
      <c r="I223" s="129">
        <f>1-(ABS(V197-V197)+ABS(W197-W197)+ABS(X197-X197)+ABS(Y197-Y197))/4</f>
        <v>1</v>
      </c>
    </row>
    <row r="224" spans="1:9" x14ac:dyDescent="0.25">
      <c r="B224" s="129"/>
      <c r="C224" s="129"/>
      <c r="D224" s="129"/>
      <c r="G224" s="129"/>
      <c r="H224" s="129"/>
      <c r="I224" s="129"/>
    </row>
    <row r="225" spans="1:9" x14ac:dyDescent="0.25">
      <c r="A225" s="123" t="s">
        <v>18</v>
      </c>
      <c r="B225" s="129">
        <f>1-(ABS(B198-B198)+ABS(C198-C198)+ABS(D198-D198)+ABS(E198-E198))/4</f>
        <v>1</v>
      </c>
      <c r="C225" s="129">
        <f>1-(ABS(B198-J198)+ABS(C198-K198)+ABS(D198-L198)+ABS(E198-M198))/4</f>
        <v>0.82368629000395099</v>
      </c>
      <c r="D225" s="129">
        <f>1-(ABS(B198-R198)+ABS(C198-S198)+ABS(D198-T198)+ABS(E198-U198))/4</f>
        <v>0.90887988937178976</v>
      </c>
      <c r="F225" s="123" t="s">
        <v>18</v>
      </c>
      <c r="G225" s="129">
        <f>1-(ABS(F198-F198)+ABS(G198-G198)+ABS(H198-H198)+ABS(I198-I198))/4</f>
        <v>1</v>
      </c>
      <c r="H225" s="129">
        <f>1-(ABS(F198-N198)+ABS(G198-O198)+ABS(H198-P198)+ABS(I198-Q198))/4</f>
        <v>0.81775977874357964</v>
      </c>
      <c r="I225" s="129">
        <f>1-(ABS(F198-V198)+ABS(G198-W198)+ABS(H198-X198)+ABS(I198-Y198))/4</f>
        <v>0.91569537732121686</v>
      </c>
    </row>
    <row r="226" spans="1:9" x14ac:dyDescent="0.25">
      <c r="B226" s="129">
        <f>1-(ABS(J198-B198)+ABS(K198-C198)+ABS(L198-D198)+ABS(M198-E198))/4</f>
        <v>0.82368629000395099</v>
      </c>
      <c r="C226" s="129">
        <f>1-(ABS(J198-J198)+ABS(K198-K198)+ABS(L198-L198)+ABS(M198-M198))/4</f>
        <v>1</v>
      </c>
      <c r="D226" s="129">
        <f>1-(ABS(J198-R198)+ABS(K198-S198)+ABS(L198-T198)+ABS(M198-U198))/4</f>
        <v>0.73256617937574076</v>
      </c>
      <c r="G226" s="129">
        <f>1-(ABS(N198-F198)+ABS(O198-G198)+ABS(P198-H198)+ABS(Q198-I198))/4</f>
        <v>0.81775977874357964</v>
      </c>
      <c r="H226" s="129">
        <f>1-(ABS(N198-N198)+ABS(O198-O198)+ABS(P198-P198)+ABS(Q198-Q198))/4</f>
        <v>1</v>
      </c>
      <c r="I226" s="129">
        <f>1-(ABS(N198-V198)+ABS(O198-W198)+ABS(P198-X198)+ABS(Q198-Y198))/4</f>
        <v>0.73345515606479661</v>
      </c>
    </row>
    <row r="227" spans="1:9" x14ac:dyDescent="0.25">
      <c r="B227" s="129">
        <f>1-(ABS(R198-B198)+ABS(S198-C198)+ABS(T198-D198)+ABS(U198-E198))/4</f>
        <v>0.90887988937178976</v>
      </c>
      <c r="C227" s="129">
        <f>1-(ABS(R198-J198)+ABS(S198-K198)+ABS(T198-L198)+ABS(U198-M198))/4</f>
        <v>0.73256617937574076</v>
      </c>
      <c r="D227" s="129">
        <f>1-(ABS(R198-R198)+ABS(S198-S198)+ABS(T198-T198)+ABS(U198-U198))/4</f>
        <v>1</v>
      </c>
      <c r="G227" s="129">
        <f>1-(ABS(V198-F198)+ABS(W198-G198)+ABS(X198-H198)+ABS(Y198-I198))/4</f>
        <v>0.91569537732121686</v>
      </c>
      <c r="H227" s="129">
        <f>1-(ABS(V198-N198)+ABS(W198-O198)+ABS(X198-P198)+ABS(Y198-Q198))/4</f>
        <v>0.73345515606479661</v>
      </c>
      <c r="I227" s="129">
        <f>1-(ABS(V198-V198)+ABS(W198-W198)+ABS(X198-X198)+ABS(Y198-Y198))/4</f>
        <v>1</v>
      </c>
    </row>
    <row r="228" spans="1:9" x14ac:dyDescent="0.25">
      <c r="B228" s="129"/>
      <c r="C228" s="129"/>
      <c r="D228" s="129"/>
      <c r="G228" s="129"/>
      <c r="H228" s="129"/>
      <c r="I228" s="129"/>
    </row>
    <row r="229" spans="1:9" x14ac:dyDescent="0.25">
      <c r="A229" s="123" t="s">
        <v>19</v>
      </c>
      <c r="B229" s="129">
        <f>1-(ABS(B199-B199)+ABS(C199-C199)+ABS(D199-D199)+ABS(E199-E199))/4</f>
        <v>1</v>
      </c>
      <c r="C229" s="129">
        <f>1-(ABS(B199-J199)+ABS(C199-K199)+ABS(D199-L199)+ABS(E199-M199))/4</f>
        <v>0.86912287633346497</v>
      </c>
      <c r="D229" s="129">
        <f>1-(ABS(B199-R199)+ABS(C199-S199)+ABS(D199-T199)+ABS(E199-U199))/4</f>
        <v>0.85238048202291583</v>
      </c>
      <c r="F229" s="123" t="s">
        <v>19</v>
      </c>
      <c r="G229" s="129">
        <f>1-(ABS(F199-F199)+ABS(G199-G199)+ABS(H199-H199)+ABS(I199-I199))/4</f>
        <v>1</v>
      </c>
      <c r="H229" s="129">
        <f>1-(ABS(F199-N199)+ABS(G199-O199)+ABS(H199-P199)+ABS(I199-Q199))/4</f>
        <v>0.86996246542868438</v>
      </c>
      <c r="I229" s="129">
        <f>1-(ABS(F199-V199)+ABS(G199-W199)+ABS(H199-X199)+ABS(I199-Y199))/4</f>
        <v>0.84683919399446861</v>
      </c>
    </row>
    <row r="230" spans="1:9" x14ac:dyDescent="0.25">
      <c r="B230" s="129">
        <f>1-(ABS(J199-B199)+ABS(K199-C199)+ABS(L199-D199)+ABS(M199-E199))/4</f>
        <v>0.86912287633346497</v>
      </c>
      <c r="C230" s="129">
        <f>1-(ABS(J199-J199)+ABS(K199-K199)+ABS(L199-L199)+ABS(M199-M199))/4</f>
        <v>1</v>
      </c>
      <c r="D230" s="129">
        <f>1-(ABS(J199-R199)+ABS(K199-S199)+ABS(L199-T199)+ABS(M199-U199))/4</f>
        <v>0.72150335835638091</v>
      </c>
      <c r="G230" s="129">
        <f>1-(ABS(N199-F199)+ABS(O199-G199)+ABS(P199-H199)+ABS(Q199-I199))/4</f>
        <v>0.86996246542868438</v>
      </c>
      <c r="H230" s="129">
        <f>1-(ABS(N199-N199)+ABS(O199-O199)+ABS(P199-P199)+ABS(Q199-Q199))/4</f>
        <v>1</v>
      </c>
      <c r="I230" s="129">
        <f>1-(ABS(N199-V199)+ABS(O199-W199)+ABS(P199-X199)+ABS(Q199-Y199))/4</f>
        <v>0.71680165942315299</v>
      </c>
    </row>
    <row r="231" spans="1:9" x14ac:dyDescent="0.25">
      <c r="B231" s="129">
        <f>1-(ABS(R199-B199)+ABS(S199-C199)+ABS(T199-D199)+ABS(U199-E199))/4</f>
        <v>0.85238048202291583</v>
      </c>
      <c r="C231" s="129">
        <f>1-(ABS(R199-J199)+ABS(S199-K199)+ABS(T199-L199)+ABS(U199-M199))/4</f>
        <v>0.72150335835638091</v>
      </c>
      <c r="D231" s="129">
        <f>1-(ABS(R199-R199)+ABS(S199-S199)+ABS(T199-T199)+ABS(U199-U199))/4</f>
        <v>1</v>
      </c>
      <c r="G231" s="129">
        <f>1-(ABS(V199-F199)+ABS(W199-G199)+ABS(X199-H199)+ABS(Y199-I199))/4</f>
        <v>0.84683919399446861</v>
      </c>
      <c r="H231" s="129">
        <f>1-(ABS(V199-N199)+ABS(W199-O199)+ABS(X199-P199)+ABS(Y199-Q199))/4</f>
        <v>0.71680165942315299</v>
      </c>
      <c r="I231" s="129">
        <f>1-(ABS(V199-V199)+ABS(W199-W199)+ABS(X199-X199)+ABS(Y199-Y199))/4</f>
        <v>1</v>
      </c>
    </row>
    <row r="232" spans="1:9" x14ac:dyDescent="0.25">
      <c r="B232" s="129"/>
      <c r="C232" s="129"/>
      <c r="D232" s="129"/>
      <c r="G232" s="129"/>
      <c r="H232" s="129"/>
      <c r="I232" s="129"/>
    </row>
    <row r="233" spans="1:9" x14ac:dyDescent="0.25">
      <c r="A233" s="123" t="s">
        <v>20</v>
      </c>
      <c r="B233" s="129">
        <f>1-(ABS(B200-B200)+ABS(C200-C200)+ABS(D200-D200)+ABS(E200-E200))/4</f>
        <v>1</v>
      </c>
      <c r="C233" s="129">
        <f>1-(ABS(B200-J200)+ABS(C200-K200)+ABS(D200-L200)+ABS(E200-M200))/4</f>
        <v>0.86912287633346497</v>
      </c>
      <c r="D233" s="129">
        <f>1-(ABS(B200-R200)+ABS(C200-S200)+ABS(D200-T200)+ABS(E200-U200))/4</f>
        <v>0.9162880284472541</v>
      </c>
      <c r="F233" s="123" t="s">
        <v>20</v>
      </c>
      <c r="G233" s="129">
        <f>1-(ABS(F200-F200)+ABS(G200-G200)+ABS(H200-H200)+ABS(I200-I200))/4</f>
        <v>1</v>
      </c>
      <c r="H233" s="129">
        <f>1-(ABS(F200-N200)+ABS(G200-O200)+ABS(H200-P200)+ABS(I200-Q200))/4</f>
        <v>0.86996246542868438</v>
      </c>
      <c r="I233" s="129">
        <f>1-(ABS(F200-V200)+ABS(G200-W200)+ABS(H200-X200)+ABS(I200-Y200))/4</f>
        <v>0.91149743184512055</v>
      </c>
    </row>
    <row r="234" spans="1:9" x14ac:dyDescent="0.25">
      <c r="B234" s="129">
        <f>1-(ABS(J200-B200)+ABS(K200-C200)+ABS(L200-D200)+ABS(M200-E200))/4</f>
        <v>0.86912287633346497</v>
      </c>
      <c r="C234" s="129">
        <f>1-(ABS(J200-J200)+ABS(K200-K200)+ABS(L200-L200)+ABS(M200-M200))/4</f>
        <v>1</v>
      </c>
      <c r="D234" s="129">
        <f>1-(ABS(J200-R200)+ABS(K200-S200)+ABS(L200-T200)+ABS(M200-U200))/4</f>
        <v>0.78541090478071918</v>
      </c>
      <c r="G234" s="129">
        <f>1-(ABS(N200-F200)+ABS(O200-G200)+ABS(P200-H200)+ABS(Q200-I200))/4</f>
        <v>0.86996246542868438</v>
      </c>
      <c r="H234" s="129">
        <f>1-(ABS(N200-N200)+ABS(O200-O200)+ABS(P200-P200)+ABS(Q200-Q200))/4</f>
        <v>1</v>
      </c>
      <c r="I234" s="129">
        <f>1-(ABS(N200-V200)+ABS(O200-W200)+ABS(P200-X200)+ABS(Q200-Y200))/4</f>
        <v>0.78145989727380494</v>
      </c>
    </row>
    <row r="235" spans="1:9" x14ac:dyDescent="0.25">
      <c r="B235" s="129">
        <f>1-(ABS(R200-B200)+ABS(S200-C200)+ABS(T200-D200)+ABS(U200-E200))/4</f>
        <v>0.9162880284472541</v>
      </c>
      <c r="C235" s="129">
        <f>1-(ABS(R200-J200)+ABS(S200-K200)+ABS(T200-L200)+ABS(U200-M200))/4</f>
        <v>0.78541090478071918</v>
      </c>
      <c r="D235" s="129">
        <f>1-(ABS(R200-R200)+ABS(S200-S200)+ABS(T200-T200)+ABS(U200-U200))/4</f>
        <v>1</v>
      </c>
      <c r="G235" s="129">
        <f>1-(ABS(V200-F200)+ABS(W200-G200)+ABS(X200-H200)+ABS(Y200-I200))/4</f>
        <v>0.91149743184512055</v>
      </c>
      <c r="H235" s="129">
        <f>1-(ABS(V200-N200)+ABS(W200-O200)+ABS(X200-P200)+ABS(Y200-Q200))/4</f>
        <v>0.78145989727380494</v>
      </c>
      <c r="I235" s="129">
        <f>1-(ABS(V200-V200)+ABS(W200-W200)+ABS(X200-X200)+ABS(Y200-Y200))/4</f>
        <v>1</v>
      </c>
    </row>
    <row r="236" spans="1:9" x14ac:dyDescent="0.25">
      <c r="B236" s="129"/>
      <c r="C236" s="129"/>
      <c r="D236" s="129"/>
      <c r="G236" s="129"/>
      <c r="H236" s="129"/>
      <c r="I236" s="129"/>
    </row>
    <row r="237" spans="1:9" x14ac:dyDescent="0.25">
      <c r="A237" s="123" t="s">
        <v>21</v>
      </c>
      <c r="B237" s="129">
        <f>1-(ABS(B201-B201)+ABS(C201-C201)+ABS(D201-D201)+ABS(E201-E201))/4</f>
        <v>1</v>
      </c>
      <c r="C237" s="129">
        <f>1-(ABS(B201-J201)+ABS(C201-K201)+ABS(D201-L201)+ABS(E201-M201))/4</f>
        <v>0.97451600158040297</v>
      </c>
      <c r="D237" s="129">
        <f>1-(ABS(B201-R201)+ABS(C201-S201)+ABS(D201-T201)+ABS(E201-U201))/4</f>
        <v>0.92819043856183325</v>
      </c>
      <c r="F237" s="123" t="s">
        <v>21</v>
      </c>
      <c r="G237" s="129">
        <f>1-(ABS(F201-F201)+ABS(G201-G201)+ABS(H201-H201)+ABS(I201-I201))/4</f>
        <v>1</v>
      </c>
      <c r="H237" s="129">
        <f>1-(ABS(F201-N201)+ABS(G201-O201)+ABS(H201-P201)+ABS(I201-Q201))/4</f>
        <v>0.97293559857763734</v>
      </c>
      <c r="I237" s="129">
        <f>1-(ABS(F201-V201)+ABS(G201-W201)+ABS(H201-X201)+ABS(I201-Y201))/4</f>
        <v>0.92898064006321612</v>
      </c>
    </row>
    <row r="238" spans="1:9" x14ac:dyDescent="0.25">
      <c r="B238" s="129">
        <f>1-(ABS(J201-B201)+ABS(K201-C201)+ABS(L201-D201)+ABS(M201-E201))/4</f>
        <v>0.97451600158040297</v>
      </c>
      <c r="C238" s="129">
        <f>1-(ABS(J201-J201)+ABS(K201-K201)+ABS(L201-L201)+ABS(M201-M201))/4</f>
        <v>1</v>
      </c>
      <c r="D238" s="129">
        <f>1-(ABS(J201-R201)+ABS(K201-S201)+ABS(L201-T201)+ABS(M201-U201))/4</f>
        <v>0.92690636112208613</v>
      </c>
      <c r="G238" s="129">
        <f>1-(ABS(N201-F201)+ABS(O201-G201)+ABS(P201-H201)+ABS(Q201-I201))/4</f>
        <v>0.97293559857763734</v>
      </c>
      <c r="H238" s="129">
        <f>1-(ABS(N201-N201)+ABS(O201-O201)+ABS(P201-P201)+ABS(Q201-Q201))/4</f>
        <v>1</v>
      </c>
      <c r="I238" s="129">
        <f>1-(ABS(N201-V201)+ABS(O201-W201)+ABS(P201-X201)+ABS(Q201-Y201))/4</f>
        <v>0.93391939944685898</v>
      </c>
    </row>
    <row r="239" spans="1:9" x14ac:dyDescent="0.25">
      <c r="B239" s="129">
        <f>1-(ABS(R201-B201)+ABS(S201-C201)+ABS(T201-D201)+ABS(U201-E201))/4</f>
        <v>0.92819043856183325</v>
      </c>
      <c r="C239" s="129">
        <f>1-(ABS(R201-J201)+ABS(S201-K201)+ABS(T201-L201)+ABS(U201-M201))/4</f>
        <v>0.92690636112208613</v>
      </c>
      <c r="D239" s="129">
        <f>1-(ABS(R201-R201)+ABS(S201-S201)+ABS(T201-T201)+ABS(U201-U201))/4</f>
        <v>1</v>
      </c>
      <c r="G239" s="129">
        <f>1-(ABS(V201-F201)+ABS(W201-G201)+ABS(X201-H201)+ABS(Y201-I201))/4</f>
        <v>0.92898064006321612</v>
      </c>
      <c r="H239" s="129">
        <f>1-(ABS(V201-N201)+ABS(W201-O201)+ABS(X201-P201)+ABS(Y201-Q201))/4</f>
        <v>0.93391939944685898</v>
      </c>
      <c r="I239" s="129">
        <f>1-(ABS(V201-V201)+ABS(W201-W201)+ABS(X201-X201)+ABS(Y201-Y201))/4</f>
        <v>1</v>
      </c>
    </row>
    <row r="240" spans="1:9" x14ac:dyDescent="0.25">
      <c r="B240" s="129"/>
      <c r="C240" s="129"/>
      <c r="D240" s="129"/>
      <c r="G240" s="129"/>
      <c r="H240" s="129"/>
      <c r="I240" s="129"/>
    </row>
    <row r="241" spans="1:70" x14ac:dyDescent="0.25">
      <c r="A241" s="123" t="s">
        <v>23</v>
      </c>
      <c r="B241" s="129">
        <f>1-(ABS(B202-B202)+ABS(C202-C202)+ABS(D202-D202)+ABS(E202-E202))/4</f>
        <v>1</v>
      </c>
      <c r="C241" s="129">
        <f>1-(ABS(B202-J202)+ABS(C202-K202)+ABS(D202-L202)+ABS(E202-M202))/4</f>
        <v>0.93530225207427897</v>
      </c>
      <c r="D241" s="129">
        <f>1-(ABS(B202-R202)+ABS(C202-S202)+ABS(D202-T202)+ABS(E202-U202))/4</f>
        <v>0.90887988937178976</v>
      </c>
      <c r="F241" s="123" t="s">
        <v>23</v>
      </c>
      <c r="G241" s="129">
        <f>1-(ABS(F202-F202)+ABS(G202-G202)+ABS(H202-H202)+ABS(I202-I202))/4</f>
        <v>1</v>
      </c>
      <c r="H241" s="129">
        <f>1-(ABS(F202-N202)+ABS(G202-O202)+ABS(H202-P202)+ABS(I202-Q202))/4</f>
        <v>0.92661003555906762</v>
      </c>
      <c r="I241" s="129">
        <f>1-(ABS(F202-V202)+ABS(G202-W202)+ABS(H202-X202)+ABS(I202-Y202))/4</f>
        <v>0.91569537732121686</v>
      </c>
    </row>
    <row r="242" spans="1:70" x14ac:dyDescent="0.25">
      <c r="B242" s="129">
        <f>1-(ABS(J202-B202)+ABS(K202-C202)+ABS(L202-D202)+ABS(M202-E202))/4</f>
        <v>0.93530225207427897</v>
      </c>
      <c r="C242" s="129">
        <f>1-(ABS(J202-J202)+ABS(K202-K202)+ABS(L202-L202)+ABS(M202-M202))/4</f>
        <v>1</v>
      </c>
      <c r="D242" s="129">
        <f>1-(ABS(J202-R202)+ABS(K202-S202)+ABS(L202-T202)+ABS(M202-U202))/4</f>
        <v>0.84418214144606885</v>
      </c>
      <c r="G242" s="129">
        <f>1-(ABS(N202-F202)+ABS(O202-G202)+ABS(P202-H202)+ABS(Q202-I202))/4</f>
        <v>0.92661003555906762</v>
      </c>
      <c r="H242" s="129">
        <f>1-(ABS(N202-N202)+ABS(O202-O202)+ABS(P202-P202)+ABS(Q202-Q202))/4</f>
        <v>1</v>
      </c>
      <c r="I242" s="129">
        <f>1-(ABS(N202-V202)+ABS(O202-W202)+ABS(P202-X202)+ABS(Q202-Y202))/4</f>
        <v>0.84230541288028449</v>
      </c>
    </row>
    <row r="243" spans="1:70" x14ac:dyDescent="0.25">
      <c r="B243" s="129">
        <f>1-(ABS(R202-B202)+ABS(S202-C202)+ABS(T202-D202)+ABS(U202-E202))/4</f>
        <v>0.90887988937178976</v>
      </c>
      <c r="C243" s="129">
        <f>1-(ABS(R202-J202)+ABS(S202-K202)+ABS(T202-L202)+ABS(U202-M202))/4</f>
        <v>0.84418214144606885</v>
      </c>
      <c r="D243" s="129">
        <f>1-(ABS(R205-R205)+ABS(S205-S205)+ABS(T205-T205)+ABS(U205-U205))/4</f>
        <v>1</v>
      </c>
      <c r="G243" s="129">
        <f>1-(ABS(V202-F202)+ABS(W202-G202)+ABS(X202-H202)+ABS(Y202-I202))/4</f>
        <v>0.91569537732121686</v>
      </c>
      <c r="H243" s="129">
        <f>1-(ABS(V202-N202)+ABS(W202-O202)+ABS(X202-P202)+ABS(Y202-Q202))/4</f>
        <v>0.84230541288028449</v>
      </c>
      <c r="I243" s="129">
        <f>1-(ABS(V205-V205)+ABS(W205-W205)+ABS(X205-X205)+ABS(Y205-Y205))/4</f>
        <v>1</v>
      </c>
    </row>
    <row r="244" spans="1:70" x14ac:dyDescent="0.25">
      <c r="B244" s="129"/>
      <c r="C244" s="129"/>
      <c r="D244" s="129"/>
      <c r="G244" s="129"/>
      <c r="H244" s="129"/>
      <c r="I244" s="129"/>
    </row>
    <row r="245" spans="1:70" x14ac:dyDescent="0.25">
      <c r="A245" s="123" t="s">
        <v>24</v>
      </c>
      <c r="B245" s="129">
        <f>1-(ABS(B203-B203)+ABS(C203-C203)+ABS(D203-D203)+ABS(E203-E203))/4</f>
        <v>1</v>
      </c>
      <c r="C245" s="129">
        <f>1-(ABS(B203-J203)+ABS(C203-K203)+ABS(D203-L203)+ABS(E203-M203))/4</f>
        <v>0.82368629000395099</v>
      </c>
      <c r="D245" s="129">
        <f>1-(ABS(B203-R203)+ABS(C203-S203)+ABS(D203-T203)+ABS(E203-U203))/4</f>
        <v>0.90838601343342551</v>
      </c>
      <c r="F245" s="123" t="s">
        <v>24</v>
      </c>
      <c r="G245" s="129">
        <f>1-(ABS(F203-F203)+ABS(G203-G203)+ABS(H203-H203)+ABS(I203-I203))/4</f>
        <v>1</v>
      </c>
      <c r="H245" s="129">
        <f>1-(ABS(F203-N203)+ABS(G203-O203)+ABS(H203-P203)+ABS(I203-Q203))/4</f>
        <v>0.81775977874357964</v>
      </c>
      <c r="I245" s="129">
        <f>1-(ABS(F203-V203)+ABS(G203-W203)+ABS(H203-X203)+ABS(I203-Y203))/4</f>
        <v>0.90513630975898862</v>
      </c>
    </row>
    <row r="246" spans="1:70" x14ac:dyDescent="0.25">
      <c r="B246" s="129">
        <f>1-(ABS(J203-B203)+ABS(K203-C203)+ABS(L203-D203)+ABS(M203-E203))/4</f>
        <v>0.82368629000395099</v>
      </c>
      <c r="C246" s="129">
        <f>1-(ABS(J203-J203)+ABS(K203-K203)+ABS(L203-L203)+ABS(M203-M203))/4</f>
        <v>1</v>
      </c>
      <c r="D246" s="129">
        <f>1-(ABS(J203-R203)+ABS(K203-S203)+ABS(L203-T203)+ABS(M203-U203))/4</f>
        <v>0.91530027657052548</v>
      </c>
      <c r="G246" s="129">
        <f>1-(ABS(N203-F203)+ABS(O203-G203)+ABS(P203-H203)+ABS(Q203-I203))/4</f>
        <v>0.81775977874357964</v>
      </c>
      <c r="H246" s="129">
        <f>1-(ABS(N203-N203)+ABS(O203-O203)+ABS(P203-P203)+ABS(Q203-Q203))/4</f>
        <v>1</v>
      </c>
      <c r="I246" s="129">
        <f>1-(ABS(N203-V203)+ABS(O203-W203)+ABS(P203-X203)+ABS(Q203-Y203))/4</f>
        <v>0.91262346898459101</v>
      </c>
    </row>
    <row r="247" spans="1:70" x14ac:dyDescent="0.25">
      <c r="B247" s="129">
        <f>1-(ABS(R203-B203)+ABS(S203-C203)+ABS(T203-D203)+ABS(U203-E203))/4</f>
        <v>0.90838601343342551</v>
      </c>
      <c r="C247" s="129">
        <f>1-(ABS(R203-J203)+ABS(S203-K203)+ABS(T203-L203)+ABS(U203-M203))/4</f>
        <v>0.91530027657052548</v>
      </c>
      <c r="D247" s="129">
        <f>1-(ABS(R203-R203)+ABS(S203-S203)+ABS(T203-T203)+ABS(U203-U203))/4</f>
        <v>1</v>
      </c>
      <c r="G247" s="129">
        <f>1-(ABS(V203-F203)+ABS(W203-G203)+ABS(X203-H203)+ABS(Y203-I203))/4</f>
        <v>0.90513630975898862</v>
      </c>
      <c r="H247" s="129">
        <f>1-(ABS(V203-N203)+ABS(W203-O203)+ABS(X203-P203)+ABS(Y203-Q203))/4</f>
        <v>0.91262346898459101</v>
      </c>
      <c r="I247" s="129">
        <f>1-(ABS(V203-V203)+ABS(W203-W203)+ABS(X203-X203)+ABS(Y203-Y203))/4</f>
        <v>1</v>
      </c>
    </row>
    <row r="249" spans="1:70" x14ac:dyDescent="0.25">
      <c r="A249" s="229" t="s">
        <v>160</v>
      </c>
      <c r="B249" s="228"/>
      <c r="C249" s="228"/>
      <c r="D249" s="228"/>
      <c r="E249" s="228"/>
      <c r="F249" s="228"/>
      <c r="G249" s="228"/>
      <c r="H249" s="228"/>
      <c r="I249" s="228"/>
    </row>
    <row r="250" spans="1:70" x14ac:dyDescent="0.25">
      <c r="A250" s="230" t="s">
        <v>180</v>
      </c>
      <c r="B250" s="228"/>
      <c r="C250" s="228"/>
      <c r="D250" s="228"/>
      <c r="F250" s="230" t="s">
        <v>181</v>
      </c>
      <c r="G250" s="228"/>
      <c r="H250" s="228"/>
      <c r="I250" s="228"/>
    </row>
    <row r="251" spans="1:70" s="133" customFormat="1" ht="30" x14ac:dyDescent="0.25">
      <c r="A251" s="134" t="s">
        <v>113</v>
      </c>
      <c r="B251" s="134" t="s">
        <v>107</v>
      </c>
      <c r="C251" s="134" t="s">
        <v>108</v>
      </c>
      <c r="D251" s="134" t="s">
        <v>136</v>
      </c>
      <c r="F251" s="134" t="s">
        <v>113</v>
      </c>
      <c r="G251" s="134" t="s">
        <v>107</v>
      </c>
      <c r="H251" s="134" t="s">
        <v>108</v>
      </c>
      <c r="I251" s="134" t="s">
        <v>136</v>
      </c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  <c r="AI251" s="286"/>
      <c r="AJ251" s="286"/>
      <c r="AK251" s="286"/>
      <c r="AL251" s="286"/>
      <c r="AM251" s="286"/>
      <c r="AN251" s="286"/>
      <c r="AO251" s="286"/>
      <c r="AP251" s="286"/>
      <c r="AQ251" s="286"/>
      <c r="AR251" s="286"/>
      <c r="AS251" s="286"/>
      <c r="AT251" s="286"/>
      <c r="AU251" s="286"/>
      <c r="AV251" s="286"/>
      <c r="AW251" s="286"/>
      <c r="AX251" s="286"/>
      <c r="AY251" s="286"/>
      <c r="AZ251" s="286"/>
      <c r="BA251" s="286"/>
      <c r="BB251" s="286"/>
      <c r="BC251" s="286"/>
      <c r="BD251" s="286"/>
      <c r="BE251" s="286"/>
      <c r="BF251" s="286"/>
      <c r="BG251" s="286"/>
      <c r="BH251" s="286"/>
      <c r="BI251" s="286"/>
      <c r="BJ251" s="286"/>
      <c r="BK251" s="286"/>
      <c r="BL251" s="286"/>
      <c r="BM251" s="286"/>
      <c r="BN251" s="286"/>
      <c r="BO251" s="286"/>
      <c r="BP251" s="286"/>
      <c r="BQ251" s="286"/>
      <c r="BR251" s="286"/>
    </row>
    <row r="252" spans="1:70" x14ac:dyDescent="0.25">
      <c r="A252" s="2" t="s">
        <v>25</v>
      </c>
      <c r="B252" s="2">
        <f>(C209+D209)/2</f>
        <v>0.92747431845120509</v>
      </c>
      <c r="C252" s="2">
        <f>(B210+D210)/2</f>
        <v>0.94387099960489929</v>
      </c>
      <c r="D252" s="2">
        <f>(B211+C211)/2</f>
        <v>0.93199328328723818</v>
      </c>
      <c r="F252" s="2" t="s">
        <v>25</v>
      </c>
      <c r="G252" s="2">
        <f>(H209+I209)/2</f>
        <v>0.92485183721849074</v>
      </c>
      <c r="H252" s="2">
        <f>(G210+I210)/2</f>
        <v>0.94572797313314894</v>
      </c>
      <c r="I252" s="2">
        <f>(G211+H211)/2</f>
        <v>0.9316722639273014</v>
      </c>
    </row>
    <row r="253" spans="1:70" x14ac:dyDescent="0.25">
      <c r="A253" s="2" t="s">
        <v>14</v>
      </c>
      <c r="B253" s="2">
        <f>(C213+D213)/2</f>
        <v>0.95369913077834845</v>
      </c>
      <c r="C253" s="2">
        <f>(B214+D214)/2</f>
        <v>0.92381963650730925</v>
      </c>
      <c r="D253" s="2">
        <f>(B215+C215)/2</f>
        <v>0.93727775582773609</v>
      </c>
      <c r="F253" s="2" t="s">
        <v>14</v>
      </c>
      <c r="G253" s="2">
        <f>(H213+I213)/2</f>
        <v>0.9531311734492296</v>
      </c>
      <c r="H253" s="2">
        <f>(G214+I214)/2</f>
        <v>0.923271434215725</v>
      </c>
      <c r="I253" s="2">
        <f>(G215+H215)/2</f>
        <v>0.93612208613196368</v>
      </c>
    </row>
    <row r="254" spans="1:70" x14ac:dyDescent="0.25">
      <c r="A254" s="2" t="s">
        <v>15</v>
      </c>
      <c r="B254" s="2">
        <f>(C217+D217)/2</f>
        <v>0.87818549980244964</v>
      </c>
      <c r="C254" s="2">
        <f>(B218+D218)/2</f>
        <v>0.82222935598577629</v>
      </c>
      <c r="D254" s="2">
        <f>(B219+C219)/2</f>
        <v>0.90013828526274198</v>
      </c>
      <c r="F254" s="2" t="s">
        <v>15</v>
      </c>
      <c r="G254" s="2">
        <f>(H217+I217)/2</f>
        <v>0.8704810351639668</v>
      </c>
      <c r="H254" s="2">
        <f>(G218+I218)/2</f>
        <v>0.81696957724219676</v>
      </c>
      <c r="I254" s="2">
        <f>(G219+H219)/2</f>
        <v>0.89581687080205452</v>
      </c>
    </row>
    <row r="255" spans="1:70" x14ac:dyDescent="0.25">
      <c r="A255" s="2" t="s">
        <v>16</v>
      </c>
      <c r="B255" s="2">
        <f>(C221+D221)/2</f>
        <v>0.89270545239035948</v>
      </c>
      <c r="C255" s="2">
        <f>(B222+D222)/2</f>
        <v>0.86393717898064004</v>
      </c>
      <c r="D255" s="2">
        <f>(B223+C223)/2</f>
        <v>0.81417917819043861</v>
      </c>
      <c r="F255" s="2" t="s">
        <v>16</v>
      </c>
      <c r="G255" s="2">
        <f>(H221+I221)/2</f>
        <v>0.89072994863690247</v>
      </c>
      <c r="H255" s="2">
        <f>(G222+I222)/2</f>
        <v>0.8619863690241012</v>
      </c>
      <c r="I255" s="2">
        <f>(G223+H223)/2</f>
        <v>0.81020347688660621</v>
      </c>
    </row>
    <row r="256" spans="1:70" x14ac:dyDescent="0.25">
      <c r="A256" s="2" t="s">
        <v>18</v>
      </c>
      <c r="B256" s="2">
        <f>(C225+D225)/2</f>
        <v>0.86628308968787038</v>
      </c>
      <c r="C256" s="2">
        <f>(B226+D226)/2</f>
        <v>0.77812623468984587</v>
      </c>
      <c r="D256" s="2">
        <f>(B227+C227)/2</f>
        <v>0.82072303437376526</v>
      </c>
      <c r="F256" s="2" t="s">
        <v>18</v>
      </c>
      <c r="G256" s="2">
        <f>(H225+I225)/2</f>
        <v>0.86672757803239819</v>
      </c>
      <c r="H256" s="2">
        <f>(G226+I226)/2</f>
        <v>0.77560746740418818</v>
      </c>
      <c r="I256" s="2">
        <f>(G227+H227)/2</f>
        <v>0.82457526669300674</v>
      </c>
    </row>
    <row r="257" spans="1:9" x14ac:dyDescent="0.25">
      <c r="A257" s="2" t="s">
        <v>19</v>
      </c>
      <c r="B257" s="2">
        <f>(C229+D229)/2</f>
        <v>0.8607516791781904</v>
      </c>
      <c r="C257" s="2">
        <f>(B230+D230)/2</f>
        <v>0.79531311734492294</v>
      </c>
      <c r="D257" s="2">
        <f>(B231+C231)/2</f>
        <v>0.78694192018964837</v>
      </c>
      <c r="F257" s="2" t="s">
        <v>19</v>
      </c>
      <c r="G257" s="2">
        <f>(H229+I229)/2</f>
        <v>0.8584008297115765</v>
      </c>
      <c r="H257" s="2">
        <f>(G230+I230)/2</f>
        <v>0.79338206242591869</v>
      </c>
      <c r="I257" s="2">
        <f>(G231+H231)/2</f>
        <v>0.7818204267088108</v>
      </c>
    </row>
    <row r="258" spans="1:9" x14ac:dyDescent="0.25">
      <c r="A258" s="2" t="s">
        <v>20</v>
      </c>
      <c r="B258" s="2">
        <f>(C233+D233)/2</f>
        <v>0.89270545239035948</v>
      </c>
      <c r="C258" s="2">
        <f>(B234+D234)/2</f>
        <v>0.82726689055709213</v>
      </c>
      <c r="D258" s="2">
        <f>(B235+C235)/2</f>
        <v>0.85084946661398664</v>
      </c>
      <c r="F258" s="2" t="s">
        <v>20</v>
      </c>
      <c r="G258" s="2">
        <f>(H233+I233)/2</f>
        <v>0.89072994863690247</v>
      </c>
      <c r="H258" s="2">
        <f>(G234+I234)/2</f>
        <v>0.82571118135124466</v>
      </c>
      <c r="I258" s="2">
        <f>(G235+H235)/2</f>
        <v>0.84647866455946275</v>
      </c>
    </row>
    <row r="259" spans="1:9" x14ac:dyDescent="0.25">
      <c r="A259" s="2" t="s">
        <v>21</v>
      </c>
      <c r="B259" s="2">
        <f>(C237+D237)/2</f>
        <v>0.95135322007111811</v>
      </c>
      <c r="C259" s="2">
        <f>(B238+D238)/2</f>
        <v>0.95071118135124455</v>
      </c>
      <c r="D259" s="2">
        <f>(B239+C239)/2</f>
        <v>0.92754839984195969</v>
      </c>
      <c r="F259" s="2" t="s">
        <v>21</v>
      </c>
      <c r="G259" s="2">
        <f>(H237+I237)/2</f>
        <v>0.95095811932042673</v>
      </c>
      <c r="H259" s="2">
        <f>(G238+I238)/2</f>
        <v>0.95342749901224821</v>
      </c>
      <c r="I259" s="2">
        <f>(G239+H239)/2</f>
        <v>0.93145001975503749</v>
      </c>
    </row>
    <row r="260" spans="1:9" x14ac:dyDescent="0.25">
      <c r="A260" s="2" t="s">
        <v>23</v>
      </c>
      <c r="B260" s="2">
        <f>(C241+D241)/2</f>
        <v>0.92209107072303431</v>
      </c>
      <c r="C260" s="2">
        <f>(B242+D242)/2</f>
        <v>0.88974219676017396</v>
      </c>
      <c r="D260" s="2">
        <f>(B243+C243)/2</f>
        <v>0.8765310154089293</v>
      </c>
      <c r="F260" s="2" t="s">
        <v>23</v>
      </c>
      <c r="G260" s="2">
        <f>(H241+I241)/2</f>
        <v>0.92115270644014224</v>
      </c>
      <c r="H260" s="2">
        <f>(G242+I242)/2</f>
        <v>0.88445772421967606</v>
      </c>
      <c r="I260" s="2">
        <f>(G243+H243)/2</f>
        <v>0.87900039510075068</v>
      </c>
    </row>
    <row r="261" spans="1:9" x14ac:dyDescent="0.25">
      <c r="A261" s="2" t="s">
        <v>24</v>
      </c>
      <c r="B261" s="2">
        <f>(C245+D245)/2</f>
        <v>0.86603615171868831</v>
      </c>
      <c r="C261" s="2">
        <f>(B246+D246)/2</f>
        <v>0.86949328328723818</v>
      </c>
      <c r="D261" s="2">
        <f>(B247+C247)/2</f>
        <v>0.9118431450019755</v>
      </c>
      <c r="F261" s="2" t="s">
        <v>24</v>
      </c>
      <c r="G261" s="2">
        <f>(H245+I245)/2</f>
        <v>0.86144804425128418</v>
      </c>
      <c r="H261" s="2">
        <f>(G246+I246)/2</f>
        <v>0.86519162386408532</v>
      </c>
      <c r="I261" s="2">
        <f>(G247+H247)/2</f>
        <v>0.90887988937178976</v>
      </c>
    </row>
    <row r="263" spans="1:9" x14ac:dyDescent="0.25">
      <c r="A263" s="1" t="s">
        <v>233</v>
      </c>
    </row>
    <row r="264" spans="1:9" x14ac:dyDescent="0.25">
      <c r="A264" s="134" t="s">
        <v>113</v>
      </c>
      <c r="B264" s="134" t="s">
        <v>107</v>
      </c>
      <c r="C264" s="134" t="s">
        <v>108</v>
      </c>
      <c r="D264" s="134" t="s">
        <v>136</v>
      </c>
    </row>
    <row r="265" spans="1:9" x14ac:dyDescent="0.25">
      <c r="A265" s="2" t="s">
        <v>25</v>
      </c>
      <c r="B265" s="2">
        <f>(B252+G252)/2</f>
        <v>0.92616307783484797</v>
      </c>
      <c r="C265" s="2">
        <f t="shared" ref="C265:D274" si="134">(C252+H252)/2</f>
        <v>0.94479948636902411</v>
      </c>
      <c r="D265" s="2">
        <f t="shared" si="134"/>
        <v>0.93183277360726979</v>
      </c>
    </row>
    <row r="266" spans="1:9" x14ac:dyDescent="0.25">
      <c r="A266" s="2" t="s">
        <v>14</v>
      </c>
      <c r="B266" s="2">
        <f t="shared" ref="B266:B274" si="135">(B253+G253)/2</f>
        <v>0.95341515211378902</v>
      </c>
      <c r="C266" s="2">
        <f t="shared" si="134"/>
        <v>0.92354553536151718</v>
      </c>
      <c r="D266" s="2">
        <f t="shared" si="134"/>
        <v>0.93669992097984989</v>
      </c>
    </row>
    <row r="267" spans="1:9" x14ac:dyDescent="0.25">
      <c r="A267" s="2" t="s">
        <v>15</v>
      </c>
      <c r="B267" s="2">
        <f t="shared" si="135"/>
        <v>0.87433326748320828</v>
      </c>
      <c r="C267" s="2">
        <f t="shared" si="134"/>
        <v>0.81959946661398653</v>
      </c>
      <c r="D267" s="2">
        <f t="shared" si="134"/>
        <v>0.89797757803239819</v>
      </c>
    </row>
    <row r="268" spans="1:9" x14ac:dyDescent="0.25">
      <c r="A268" s="2" t="s">
        <v>16</v>
      </c>
      <c r="B268" s="2">
        <f t="shared" si="135"/>
        <v>0.89171770051363097</v>
      </c>
      <c r="C268" s="2">
        <f t="shared" si="134"/>
        <v>0.86296177400237062</v>
      </c>
      <c r="D268" s="2">
        <f t="shared" si="134"/>
        <v>0.81219132753852241</v>
      </c>
    </row>
    <row r="269" spans="1:9" x14ac:dyDescent="0.25">
      <c r="A269" s="2" t="s">
        <v>18</v>
      </c>
      <c r="B269" s="2">
        <f t="shared" si="135"/>
        <v>0.86650533386013429</v>
      </c>
      <c r="C269" s="2">
        <f t="shared" si="134"/>
        <v>0.77686685104701703</v>
      </c>
      <c r="D269" s="2">
        <f t="shared" si="134"/>
        <v>0.82264915053338594</v>
      </c>
    </row>
    <row r="270" spans="1:9" x14ac:dyDescent="0.25">
      <c r="A270" s="2" t="s">
        <v>19</v>
      </c>
      <c r="B270" s="2">
        <f t="shared" si="135"/>
        <v>0.8595762544448835</v>
      </c>
      <c r="C270" s="2">
        <f t="shared" si="134"/>
        <v>0.79434758988542087</v>
      </c>
      <c r="D270" s="2">
        <f t="shared" si="134"/>
        <v>0.78438117344922964</v>
      </c>
    </row>
    <row r="271" spans="1:9" x14ac:dyDescent="0.25">
      <c r="A271" s="2" t="s">
        <v>20</v>
      </c>
      <c r="B271" s="2">
        <f t="shared" si="135"/>
        <v>0.89171770051363097</v>
      </c>
      <c r="C271" s="2">
        <f t="shared" si="134"/>
        <v>0.82648903595416834</v>
      </c>
      <c r="D271" s="2">
        <f t="shared" si="134"/>
        <v>0.84866406558672469</v>
      </c>
    </row>
    <row r="272" spans="1:9" x14ac:dyDescent="0.25">
      <c r="A272" s="2" t="s">
        <v>21</v>
      </c>
      <c r="B272" s="2">
        <f t="shared" si="135"/>
        <v>0.95115566969577237</v>
      </c>
      <c r="C272" s="2">
        <f t="shared" si="134"/>
        <v>0.95206934018174638</v>
      </c>
      <c r="D272" s="2">
        <f t="shared" si="134"/>
        <v>0.92949920979849865</v>
      </c>
    </row>
    <row r="273" spans="1:5" x14ac:dyDescent="0.25">
      <c r="A273" s="2" t="s">
        <v>23</v>
      </c>
      <c r="B273" s="2">
        <f t="shared" si="135"/>
        <v>0.92162188858158833</v>
      </c>
      <c r="C273" s="2">
        <f t="shared" si="134"/>
        <v>0.88709996048992501</v>
      </c>
      <c r="D273" s="2">
        <f t="shared" si="134"/>
        <v>0.87776570525483999</v>
      </c>
    </row>
    <row r="274" spans="1:5" x14ac:dyDescent="0.25">
      <c r="A274" s="2" t="s">
        <v>24</v>
      </c>
      <c r="B274" s="2">
        <f t="shared" si="135"/>
        <v>0.86374209798498625</v>
      </c>
      <c r="C274" s="2">
        <f t="shared" si="134"/>
        <v>0.86734245357566175</v>
      </c>
      <c r="D274" s="2">
        <f t="shared" si="134"/>
        <v>0.91036151718688263</v>
      </c>
    </row>
    <row r="276" spans="1:5" x14ac:dyDescent="0.25">
      <c r="A276" s="167" t="s">
        <v>182</v>
      </c>
      <c r="B276" s="165"/>
      <c r="C276" s="165"/>
      <c r="D276" s="165"/>
      <c r="E276" s="165"/>
    </row>
    <row r="277" spans="1:5" x14ac:dyDescent="0.25">
      <c r="A277" s="87" t="s">
        <v>113</v>
      </c>
      <c r="B277" s="3" t="s">
        <v>107</v>
      </c>
      <c r="C277" s="3" t="s">
        <v>108</v>
      </c>
      <c r="D277" s="3" t="s">
        <v>136</v>
      </c>
      <c r="E277" s="127" t="s">
        <v>161</v>
      </c>
    </row>
    <row r="278" spans="1:5" x14ac:dyDescent="0.25">
      <c r="A278" s="41" t="s">
        <v>25</v>
      </c>
      <c r="B278" s="124">
        <f>B265/SUM($B265:$D265)</f>
        <v>0.33044263537206398</v>
      </c>
      <c r="C278" s="124">
        <f t="shared" ref="C278:D278" si="136">C265/SUM($B265:$D265)</f>
        <v>0.33709185741220421</v>
      </c>
      <c r="D278" s="124">
        <f t="shared" si="136"/>
        <v>0.33246550721573187</v>
      </c>
      <c r="E278" s="126">
        <f>SUM(B278:D278)</f>
        <v>1</v>
      </c>
    </row>
    <row r="279" spans="1:5" x14ac:dyDescent="0.25">
      <c r="A279" s="41" t="s">
        <v>14</v>
      </c>
      <c r="B279" s="124">
        <f t="shared" ref="B279:D279" si="137">B266/SUM($B266:$D266)</f>
        <v>0.3388522230608555</v>
      </c>
      <c r="C279" s="124">
        <f t="shared" si="137"/>
        <v>0.32823629565919504</v>
      </c>
      <c r="D279" s="124">
        <f t="shared" si="137"/>
        <v>0.33291148127994946</v>
      </c>
      <c r="E279" s="126">
        <f t="shared" ref="E279:E287" si="138">SUM(B279:D279)</f>
        <v>1</v>
      </c>
    </row>
    <row r="280" spans="1:5" x14ac:dyDescent="0.25">
      <c r="A280" s="41" t="s">
        <v>15</v>
      </c>
      <c r="B280" s="124">
        <f t="shared" ref="B280:D280" si="139">B267/SUM($B267:$D267)</f>
        <v>0.33733160572397636</v>
      </c>
      <c r="C280" s="124">
        <f t="shared" si="139"/>
        <v>0.31621443951144224</v>
      </c>
      <c r="D280" s="124">
        <f t="shared" si="139"/>
        <v>0.34645395476458146</v>
      </c>
      <c r="E280" s="126">
        <f t="shared" si="138"/>
        <v>1</v>
      </c>
    </row>
    <row r="281" spans="1:5" x14ac:dyDescent="0.25">
      <c r="A281" s="41" t="s">
        <v>16</v>
      </c>
      <c r="B281" s="124">
        <f t="shared" ref="B281:D281" si="140">B268/SUM($B268:$D268)</f>
        <v>0.34739485127178976</v>
      </c>
      <c r="C281" s="124">
        <f t="shared" si="140"/>
        <v>0.33619213452880287</v>
      </c>
      <c r="D281" s="124">
        <f t="shared" si="140"/>
        <v>0.31641301419940743</v>
      </c>
      <c r="E281" s="126">
        <f t="shared" si="138"/>
        <v>1</v>
      </c>
    </row>
    <row r="282" spans="1:5" x14ac:dyDescent="0.25">
      <c r="A282" s="41" t="s">
        <v>18</v>
      </c>
      <c r="B282" s="124">
        <f t="shared" ref="B282:D282" si="141">B269/SUM($B269:$D269)</f>
        <v>0.3513778739085156</v>
      </c>
      <c r="C282" s="124">
        <f t="shared" si="141"/>
        <v>0.31502843867660024</v>
      </c>
      <c r="D282" s="124">
        <f t="shared" si="141"/>
        <v>0.33359368741488427</v>
      </c>
      <c r="E282" s="126">
        <f t="shared" si="138"/>
        <v>1</v>
      </c>
    </row>
    <row r="283" spans="1:5" x14ac:dyDescent="0.25">
      <c r="A283" s="41" t="s">
        <v>19</v>
      </c>
      <c r="B283" s="124">
        <f t="shared" ref="B283:D283" si="142">B270/SUM($B270:$D270)</f>
        <v>0.35253024054704402</v>
      </c>
      <c r="C283" s="124">
        <f t="shared" si="142"/>
        <v>0.32577859787566743</v>
      </c>
      <c r="D283" s="124">
        <f t="shared" si="142"/>
        <v>0.32169116157728861</v>
      </c>
      <c r="E283" s="126">
        <f t="shared" si="138"/>
        <v>1</v>
      </c>
    </row>
    <row r="284" spans="1:5" x14ac:dyDescent="0.25">
      <c r="A284" s="41" t="s">
        <v>20</v>
      </c>
      <c r="B284" s="124">
        <f t="shared" ref="B284:D284" si="143">B271/SUM($B271:$D271)</f>
        <v>0.34739485127178976</v>
      </c>
      <c r="C284" s="124">
        <f t="shared" si="143"/>
        <v>0.32198310693808446</v>
      </c>
      <c r="D284" s="124">
        <f t="shared" si="143"/>
        <v>0.33062204179012589</v>
      </c>
      <c r="E284" s="126">
        <f t="shared" si="138"/>
        <v>1</v>
      </c>
    </row>
    <row r="285" spans="1:5" x14ac:dyDescent="0.25">
      <c r="A285" s="41" t="s">
        <v>21</v>
      </c>
      <c r="B285" s="124">
        <f t="shared" ref="B285:D285" si="144">B272/SUM($B272:$D272)</f>
        <v>0.3357741862370765</v>
      </c>
      <c r="C285" s="124">
        <f t="shared" si="144"/>
        <v>0.33609672751364261</v>
      </c>
      <c r="D285" s="124">
        <f t="shared" si="144"/>
        <v>0.32812908624928078</v>
      </c>
      <c r="E285" s="126">
        <f t="shared" si="138"/>
        <v>0.99999999999999978</v>
      </c>
    </row>
    <row r="286" spans="1:5" x14ac:dyDescent="0.25">
      <c r="A286" s="41" t="s">
        <v>23</v>
      </c>
      <c r="B286" s="124">
        <f t="shared" ref="B286:D286" si="145">B273/SUM($B273:$D273)</f>
        <v>0.34305831311125817</v>
      </c>
      <c r="C286" s="124">
        <f t="shared" si="145"/>
        <v>0.33020810353702479</v>
      </c>
      <c r="D286" s="124">
        <f t="shared" si="145"/>
        <v>0.32673358335171704</v>
      </c>
      <c r="E286" s="126">
        <f t="shared" si="138"/>
        <v>1</v>
      </c>
    </row>
    <row r="287" spans="1:5" x14ac:dyDescent="0.25">
      <c r="A287" s="41" t="s">
        <v>24</v>
      </c>
      <c r="B287" s="124">
        <f t="shared" ref="B287:D287" si="146">B274/SUM($B274:$D274)</f>
        <v>0.32699592401465866</v>
      </c>
      <c r="C287" s="124">
        <f t="shared" si="146"/>
        <v>0.32835894847057062</v>
      </c>
      <c r="D287" s="124">
        <f t="shared" si="146"/>
        <v>0.34464512751477078</v>
      </c>
      <c r="E287" s="126">
        <f t="shared" si="138"/>
        <v>1</v>
      </c>
    </row>
    <row r="288" spans="1:5" x14ac:dyDescent="0.25">
      <c r="A288" s="123"/>
    </row>
    <row r="289" spans="1:25" x14ac:dyDescent="0.25">
      <c r="A289" s="167" t="s">
        <v>194</v>
      </c>
      <c r="B289" s="165"/>
      <c r="C289" s="165"/>
      <c r="D289" s="165"/>
      <c r="E289" s="165"/>
    </row>
    <row r="290" spans="1:25" x14ac:dyDescent="0.25">
      <c r="A290" s="87" t="s">
        <v>113</v>
      </c>
      <c r="B290" s="3" t="s">
        <v>107</v>
      </c>
      <c r="C290" s="3" t="s">
        <v>108</v>
      </c>
      <c r="D290" s="3" t="s">
        <v>136</v>
      </c>
      <c r="E290" s="127" t="s">
        <v>161</v>
      </c>
    </row>
    <row r="291" spans="1:25" x14ac:dyDescent="0.25">
      <c r="A291" s="41" t="s">
        <v>25</v>
      </c>
      <c r="B291" s="124">
        <f t="shared" ref="B291:B300" si="147">$C$186*$C$179+$C$187*B278</f>
        <v>0.31217705414882557</v>
      </c>
      <c r="C291" s="124">
        <f t="shared" ref="C291:C300" si="148">$C$186*$C$180+$C$187*C278</f>
        <v>0.31483674296488168</v>
      </c>
      <c r="D291" s="124">
        <f t="shared" ref="D291:D300" si="149">$C$186*$C$181+$C$187*D278</f>
        <v>0.37298620288629269</v>
      </c>
      <c r="E291" s="126">
        <f>SUM(B291:D291)</f>
        <v>1</v>
      </c>
    </row>
    <row r="292" spans="1:25" x14ac:dyDescent="0.25">
      <c r="A292" s="41" t="s">
        <v>14</v>
      </c>
      <c r="B292" s="124">
        <f t="shared" si="147"/>
        <v>0.3155408892243422</v>
      </c>
      <c r="C292" s="124">
        <f t="shared" si="148"/>
        <v>0.31129451826367799</v>
      </c>
      <c r="D292" s="124">
        <f t="shared" si="149"/>
        <v>0.37316459251197975</v>
      </c>
      <c r="E292" s="126">
        <f t="shared" ref="E292:E300" si="150">SUM(B292:D292)</f>
        <v>1</v>
      </c>
    </row>
    <row r="293" spans="1:25" x14ac:dyDescent="0.25">
      <c r="A293" s="41" t="s">
        <v>15</v>
      </c>
      <c r="B293" s="124">
        <f t="shared" si="147"/>
        <v>0.3149326422895905</v>
      </c>
      <c r="C293" s="124">
        <f t="shared" si="148"/>
        <v>0.30648577580457687</v>
      </c>
      <c r="D293" s="124">
        <f t="shared" si="149"/>
        <v>0.37858158190583258</v>
      </c>
      <c r="E293" s="126">
        <f t="shared" si="150"/>
        <v>0.99999999999999989</v>
      </c>
    </row>
    <row r="294" spans="1:25" x14ac:dyDescent="0.25">
      <c r="A294" s="41" t="s">
        <v>16</v>
      </c>
      <c r="B294" s="124">
        <f t="shared" si="147"/>
        <v>0.3189579405087159</v>
      </c>
      <c r="C294" s="124">
        <f t="shared" si="148"/>
        <v>0.31447685381152113</v>
      </c>
      <c r="D294" s="124">
        <f t="shared" si="149"/>
        <v>0.36656520567976292</v>
      </c>
      <c r="E294" s="126">
        <f t="shared" si="150"/>
        <v>0.99999999999999989</v>
      </c>
    </row>
    <row r="295" spans="1:25" x14ac:dyDescent="0.25">
      <c r="A295" s="41" t="s">
        <v>18</v>
      </c>
      <c r="B295" s="124">
        <f t="shared" si="147"/>
        <v>0.32055114956340625</v>
      </c>
      <c r="C295" s="124">
        <f t="shared" si="148"/>
        <v>0.30601137547064006</v>
      </c>
      <c r="D295" s="124">
        <f t="shared" si="149"/>
        <v>0.3734374749659537</v>
      </c>
      <c r="E295" s="126">
        <f t="shared" si="150"/>
        <v>1</v>
      </c>
    </row>
    <row r="296" spans="1:25" x14ac:dyDescent="0.25">
      <c r="A296" s="41" t="s">
        <v>19</v>
      </c>
      <c r="B296" s="124">
        <f t="shared" si="147"/>
        <v>0.3210120962188176</v>
      </c>
      <c r="C296" s="124">
        <f t="shared" si="148"/>
        <v>0.31031143915026693</v>
      </c>
      <c r="D296" s="124">
        <f t="shared" si="149"/>
        <v>0.36867646463091541</v>
      </c>
      <c r="E296" s="126">
        <f t="shared" si="150"/>
        <v>0.99999999999999989</v>
      </c>
    </row>
    <row r="297" spans="1:25" x14ac:dyDescent="0.25">
      <c r="A297" s="41" t="s">
        <v>20</v>
      </c>
      <c r="B297" s="124">
        <f t="shared" si="147"/>
        <v>0.3189579405087159</v>
      </c>
      <c r="C297" s="124">
        <f t="shared" si="148"/>
        <v>0.30879324277523379</v>
      </c>
      <c r="D297" s="124">
        <f t="shared" si="149"/>
        <v>0.37224881671605037</v>
      </c>
      <c r="E297" s="126">
        <f t="shared" si="150"/>
        <v>1</v>
      </c>
    </row>
    <row r="298" spans="1:25" x14ac:dyDescent="0.25">
      <c r="A298" s="41" t="s">
        <v>21</v>
      </c>
      <c r="B298" s="124">
        <f t="shared" si="147"/>
        <v>0.3143096744948306</v>
      </c>
      <c r="C298" s="124">
        <f t="shared" si="148"/>
        <v>0.31443869100545702</v>
      </c>
      <c r="D298" s="124">
        <f t="shared" si="149"/>
        <v>0.37125163449971232</v>
      </c>
      <c r="E298" s="126">
        <f t="shared" si="150"/>
        <v>1</v>
      </c>
    </row>
    <row r="299" spans="1:25" x14ac:dyDescent="0.25">
      <c r="A299" s="41" t="s">
        <v>23</v>
      </c>
      <c r="B299" s="124">
        <f t="shared" si="147"/>
        <v>0.31722332524450325</v>
      </c>
      <c r="C299" s="124">
        <f t="shared" si="148"/>
        <v>0.31208324141480992</v>
      </c>
      <c r="D299" s="124">
        <f t="shared" si="149"/>
        <v>0.37069343334068683</v>
      </c>
      <c r="E299" s="126">
        <f t="shared" si="150"/>
        <v>1</v>
      </c>
    </row>
    <row r="300" spans="1:25" x14ac:dyDescent="0.25">
      <c r="A300" s="41" t="s">
        <v>24</v>
      </c>
      <c r="B300" s="124">
        <f t="shared" si="147"/>
        <v>0.31079836960586343</v>
      </c>
      <c r="C300" s="124">
        <f t="shared" si="148"/>
        <v>0.31134357938822821</v>
      </c>
      <c r="D300" s="124">
        <f t="shared" si="149"/>
        <v>0.3778580510059083</v>
      </c>
      <c r="E300" s="126">
        <f t="shared" si="150"/>
        <v>0.99999999999999989</v>
      </c>
    </row>
    <row r="302" spans="1:25" ht="15.75" thickBot="1" x14ac:dyDescent="0.3">
      <c r="A302" s="1" t="s">
        <v>183</v>
      </c>
    </row>
    <row r="303" spans="1:25" ht="15.75" thickBot="1" x14ac:dyDescent="0.3">
      <c r="A303" s="213" t="s">
        <v>27</v>
      </c>
      <c r="B303" s="209" t="s">
        <v>138</v>
      </c>
      <c r="C303" s="215"/>
      <c r="D303" s="215"/>
      <c r="E303" s="215"/>
      <c r="F303" s="215"/>
      <c r="G303" s="215"/>
      <c r="H303" s="215"/>
      <c r="I303" s="216"/>
      <c r="J303" s="209" t="s">
        <v>139</v>
      </c>
      <c r="K303" s="215"/>
      <c r="L303" s="215"/>
      <c r="M303" s="215"/>
      <c r="N303" s="215"/>
      <c r="O303" s="215"/>
      <c r="P303" s="215"/>
      <c r="Q303" s="216"/>
      <c r="R303" s="302" t="s">
        <v>140</v>
      </c>
      <c r="S303" s="303"/>
      <c r="T303" s="303"/>
      <c r="U303" s="303"/>
      <c r="V303" s="303"/>
      <c r="W303" s="303"/>
      <c r="X303" s="303"/>
      <c r="Y303" s="304"/>
    </row>
    <row r="304" spans="1:25" ht="33.75" customHeight="1" thickBot="1" x14ac:dyDescent="0.3">
      <c r="A304" s="214"/>
      <c r="B304" s="206" t="s">
        <v>3</v>
      </c>
      <c r="C304" s="207"/>
      <c r="D304" s="207"/>
      <c r="E304" s="208"/>
      <c r="F304" s="209" t="s">
        <v>4</v>
      </c>
      <c r="G304" s="207"/>
      <c r="H304" s="207"/>
      <c r="I304" s="208"/>
      <c r="J304" s="206" t="s">
        <v>3</v>
      </c>
      <c r="K304" s="207"/>
      <c r="L304" s="207"/>
      <c r="M304" s="208"/>
      <c r="N304" s="209" t="s">
        <v>4</v>
      </c>
      <c r="O304" s="207"/>
      <c r="P304" s="207"/>
      <c r="Q304" s="208"/>
      <c r="R304" s="305" t="s">
        <v>3</v>
      </c>
      <c r="S304" s="306"/>
      <c r="T304" s="306"/>
      <c r="U304" s="307"/>
      <c r="V304" s="302" t="s">
        <v>4</v>
      </c>
      <c r="W304" s="306"/>
      <c r="X304" s="306"/>
      <c r="Y304" s="307"/>
    </row>
    <row r="305" spans="1:40" x14ac:dyDescent="0.25">
      <c r="A305" s="103" t="s">
        <v>25</v>
      </c>
      <c r="B305" s="6">
        <f t="shared" ref="B305:B314" si="151">BG12</f>
        <v>6.4600000000000009</v>
      </c>
      <c r="C305" s="7">
        <f t="shared" ref="C305:C314" si="152">BH12</f>
        <v>12.6</v>
      </c>
      <c r="D305" s="7">
        <f t="shared" ref="D305:D314" si="153">BI12</f>
        <v>15.81</v>
      </c>
      <c r="E305" s="8">
        <f t="shared" ref="E305:E314" si="154">BJ12</f>
        <v>20.655000000000001</v>
      </c>
      <c r="F305" s="6">
        <f t="shared" ref="F305:F314" si="155">BK12</f>
        <v>8.3199999999999985</v>
      </c>
      <c r="G305" s="7">
        <f t="shared" ref="G305:G314" si="156">BL12</f>
        <v>12.6</v>
      </c>
      <c r="H305" s="7">
        <f t="shared" ref="H305:H314" si="157">BM12</f>
        <v>15.81</v>
      </c>
      <c r="I305" s="101">
        <f t="shared" ref="I305:I314" si="158">BN12</f>
        <v>19.03</v>
      </c>
      <c r="J305" s="6">
        <f t="shared" ref="J305:J314" si="159">BG64</f>
        <v>4.22</v>
      </c>
      <c r="K305" s="7">
        <f t="shared" ref="K305:K314" si="160">BH64</f>
        <v>9.89</v>
      </c>
      <c r="L305" s="7">
        <f t="shared" ref="L305:L314" si="161">BI64</f>
        <v>15.18</v>
      </c>
      <c r="M305" s="8">
        <f t="shared" ref="M305:M314" si="162">BJ64</f>
        <v>21.215000000000003</v>
      </c>
      <c r="N305" s="6">
        <f t="shared" ref="N305:N314" si="163">BK64</f>
        <v>5.6749999999999989</v>
      </c>
      <c r="O305" s="7">
        <f t="shared" ref="O305:O314" si="164">BL64</f>
        <v>9.89</v>
      </c>
      <c r="P305" s="7">
        <f t="shared" ref="P305:P314" si="165">BM64</f>
        <v>15.18</v>
      </c>
      <c r="Q305" s="8">
        <f t="shared" ref="Q305:Q314" si="166">BN64</f>
        <v>19.23</v>
      </c>
      <c r="R305" s="239">
        <f t="shared" ref="R305:R314" si="167">BG116</f>
        <v>5.0450000000000008</v>
      </c>
      <c r="S305" s="253">
        <f t="shared" ref="S305:S314" si="168">BH116</f>
        <v>9.9149999999999991</v>
      </c>
      <c r="T305" s="253">
        <f t="shared" ref="T305:T314" si="169">BI116</f>
        <v>13.555</v>
      </c>
      <c r="U305" s="254">
        <f t="shared" ref="U305:U314" si="170">BJ116</f>
        <v>18.465</v>
      </c>
      <c r="V305" s="239">
        <f t="shared" ref="V305:V314" si="171">BK116</f>
        <v>6.4289999999999994</v>
      </c>
      <c r="W305" s="253">
        <f t="shared" ref="W305:W314" si="172">BL116</f>
        <v>9.9149999999999991</v>
      </c>
      <c r="X305" s="253">
        <f t="shared" ref="X305:X314" si="173">BM116</f>
        <v>13.555</v>
      </c>
      <c r="Y305" s="254">
        <f t="shared" ref="Y305:Y314" si="174">BN116</f>
        <v>16.830000000000002</v>
      </c>
    </row>
    <row r="306" spans="1:40" x14ac:dyDescent="0.25">
      <c r="A306" s="99" t="s">
        <v>14</v>
      </c>
      <c r="B306" s="4">
        <f t="shared" si="151"/>
        <v>1.1550000000000002</v>
      </c>
      <c r="C306" s="2">
        <f t="shared" si="152"/>
        <v>4.4550000000000001</v>
      </c>
      <c r="D306" s="2">
        <f t="shared" si="153"/>
        <v>9.0749999999999993</v>
      </c>
      <c r="E306" s="5">
        <f t="shared" si="154"/>
        <v>14.025</v>
      </c>
      <c r="F306" s="4">
        <f t="shared" si="155"/>
        <v>1.8190000000000008</v>
      </c>
      <c r="G306" s="2">
        <f t="shared" si="156"/>
        <v>4.4550000000000001</v>
      </c>
      <c r="H306" s="2">
        <f t="shared" si="157"/>
        <v>9.0749999999999993</v>
      </c>
      <c r="I306" s="95">
        <f t="shared" si="158"/>
        <v>12.430000000000003</v>
      </c>
      <c r="J306" s="4">
        <f t="shared" si="159"/>
        <v>1.1550000000000002</v>
      </c>
      <c r="K306" s="2">
        <f t="shared" si="160"/>
        <v>5.5550000000000006</v>
      </c>
      <c r="L306" s="2">
        <f t="shared" si="161"/>
        <v>11.275</v>
      </c>
      <c r="M306" s="5">
        <f t="shared" si="162"/>
        <v>16.775000000000002</v>
      </c>
      <c r="N306" s="4">
        <f t="shared" si="163"/>
        <v>1.9650000000000007</v>
      </c>
      <c r="O306" s="2">
        <f t="shared" si="164"/>
        <v>5.5550000000000006</v>
      </c>
      <c r="P306" s="2">
        <f t="shared" si="165"/>
        <v>11.275</v>
      </c>
      <c r="Q306" s="5">
        <f t="shared" si="166"/>
        <v>15.030000000000005</v>
      </c>
      <c r="R306" s="255">
        <f t="shared" si="167"/>
        <v>0.60499999999999998</v>
      </c>
      <c r="S306" s="256">
        <f t="shared" si="168"/>
        <v>3.6300000000000008</v>
      </c>
      <c r="T306" s="256">
        <f t="shared" si="169"/>
        <v>8.25</v>
      </c>
      <c r="U306" s="257">
        <f t="shared" si="170"/>
        <v>12.9</v>
      </c>
      <c r="V306" s="255">
        <f t="shared" si="171"/>
        <v>1.0249999999999999</v>
      </c>
      <c r="W306" s="256">
        <f t="shared" si="172"/>
        <v>3.6300000000000008</v>
      </c>
      <c r="X306" s="256">
        <f t="shared" si="173"/>
        <v>8.25</v>
      </c>
      <c r="Y306" s="257">
        <f t="shared" si="174"/>
        <v>11.430000000000001</v>
      </c>
    </row>
    <row r="307" spans="1:40" x14ac:dyDescent="0.25">
      <c r="A307" s="99" t="s">
        <v>15</v>
      </c>
      <c r="B307" s="4">
        <f t="shared" si="151"/>
        <v>4.0150000000000006</v>
      </c>
      <c r="C307" s="2">
        <f t="shared" si="152"/>
        <v>7.4250000000000007</v>
      </c>
      <c r="D307" s="2">
        <f t="shared" si="153"/>
        <v>12.705000000000002</v>
      </c>
      <c r="E307" s="5">
        <f t="shared" si="154"/>
        <v>19.965</v>
      </c>
      <c r="F307" s="4">
        <f t="shared" si="155"/>
        <v>5.08</v>
      </c>
      <c r="G307" s="2">
        <f t="shared" si="156"/>
        <v>7.4250000000000007</v>
      </c>
      <c r="H307" s="2">
        <f t="shared" si="157"/>
        <v>12.705000000000002</v>
      </c>
      <c r="I307" s="95">
        <f t="shared" si="158"/>
        <v>17.489999999999998</v>
      </c>
      <c r="J307" s="4">
        <f t="shared" si="159"/>
        <v>7.3000000000000007</v>
      </c>
      <c r="K307" s="2">
        <f t="shared" si="160"/>
        <v>13.325000000000001</v>
      </c>
      <c r="L307" s="2">
        <f t="shared" si="161"/>
        <v>18.395</v>
      </c>
      <c r="M307" s="5">
        <f t="shared" si="162"/>
        <v>25.310000000000002</v>
      </c>
      <c r="N307" s="4">
        <f t="shared" si="163"/>
        <v>9.1149999999999984</v>
      </c>
      <c r="O307" s="2">
        <f t="shared" si="164"/>
        <v>13.325000000000001</v>
      </c>
      <c r="P307" s="2">
        <f t="shared" si="165"/>
        <v>18.395</v>
      </c>
      <c r="Q307" s="5">
        <f t="shared" si="166"/>
        <v>22.96</v>
      </c>
      <c r="R307" s="255">
        <f t="shared" si="167"/>
        <v>4.8249999999999993</v>
      </c>
      <c r="S307" s="256">
        <f t="shared" si="168"/>
        <v>9.4499999999999993</v>
      </c>
      <c r="T307" s="256">
        <f t="shared" si="169"/>
        <v>13.97</v>
      </c>
      <c r="U307" s="257">
        <f t="shared" si="170"/>
        <v>20.310000000000002</v>
      </c>
      <c r="V307" s="255">
        <f t="shared" si="171"/>
        <v>6.2499999999999982</v>
      </c>
      <c r="W307" s="256">
        <f t="shared" si="172"/>
        <v>9.4499999999999993</v>
      </c>
      <c r="X307" s="256">
        <f t="shared" si="173"/>
        <v>13.97</v>
      </c>
      <c r="Y307" s="257">
        <f t="shared" si="174"/>
        <v>18.159999999999997</v>
      </c>
    </row>
    <row r="308" spans="1:40" x14ac:dyDescent="0.25">
      <c r="A308" s="99" t="s">
        <v>16</v>
      </c>
      <c r="B308" s="4">
        <f t="shared" si="151"/>
        <v>5.6500000000000012</v>
      </c>
      <c r="C308" s="2">
        <f t="shared" si="152"/>
        <v>10.574999999999999</v>
      </c>
      <c r="D308" s="2">
        <f t="shared" si="153"/>
        <v>14.545000000000002</v>
      </c>
      <c r="E308" s="5">
        <f t="shared" si="154"/>
        <v>20.309999999999999</v>
      </c>
      <c r="F308" s="4">
        <f t="shared" si="155"/>
        <v>7.15</v>
      </c>
      <c r="G308" s="2">
        <f t="shared" si="156"/>
        <v>10.574999999999999</v>
      </c>
      <c r="H308" s="2">
        <f t="shared" si="157"/>
        <v>14.545000000000002</v>
      </c>
      <c r="I308" s="95">
        <f t="shared" si="158"/>
        <v>18.36</v>
      </c>
      <c r="J308" s="4">
        <f t="shared" si="159"/>
        <v>6.1450000000000005</v>
      </c>
      <c r="K308" s="2">
        <f t="shared" si="160"/>
        <v>11.840000000000002</v>
      </c>
      <c r="L308" s="2">
        <f t="shared" si="161"/>
        <v>16.579999999999998</v>
      </c>
      <c r="M308" s="5">
        <f t="shared" si="162"/>
        <v>22.340000000000003</v>
      </c>
      <c r="N308" s="4">
        <f t="shared" si="163"/>
        <v>7.5999999999999979</v>
      </c>
      <c r="O308" s="2">
        <f t="shared" si="164"/>
        <v>11.840000000000002</v>
      </c>
      <c r="P308" s="2">
        <f t="shared" si="165"/>
        <v>16.579999999999998</v>
      </c>
      <c r="Q308" s="5">
        <f t="shared" si="166"/>
        <v>20.43</v>
      </c>
      <c r="R308" s="255">
        <f t="shared" si="167"/>
        <v>2.1950000000000003</v>
      </c>
      <c r="S308" s="256">
        <f t="shared" si="168"/>
        <v>6.0149999999999997</v>
      </c>
      <c r="T308" s="256">
        <f t="shared" si="169"/>
        <v>10.755000000000001</v>
      </c>
      <c r="U308" s="257">
        <f t="shared" si="170"/>
        <v>16.215000000000003</v>
      </c>
      <c r="V308" s="255">
        <f t="shared" si="171"/>
        <v>3.1250000000000009</v>
      </c>
      <c r="W308" s="256">
        <f t="shared" si="172"/>
        <v>6.0149999999999997</v>
      </c>
      <c r="X308" s="256">
        <f t="shared" si="173"/>
        <v>10.755000000000001</v>
      </c>
      <c r="Y308" s="257">
        <f t="shared" si="174"/>
        <v>14.430000000000003</v>
      </c>
    </row>
    <row r="309" spans="1:40" x14ac:dyDescent="0.25">
      <c r="A309" s="99" t="s">
        <v>18</v>
      </c>
      <c r="B309" s="4">
        <f t="shared" si="151"/>
        <v>4.45</v>
      </c>
      <c r="C309" s="2">
        <f t="shared" si="152"/>
        <v>8.3250000000000011</v>
      </c>
      <c r="D309" s="2">
        <f t="shared" si="153"/>
        <v>13.395</v>
      </c>
      <c r="E309" s="5">
        <f t="shared" si="154"/>
        <v>20.310000000000002</v>
      </c>
      <c r="F309" s="4">
        <f t="shared" si="155"/>
        <v>5.6650000000000009</v>
      </c>
      <c r="G309" s="2">
        <f t="shared" si="156"/>
        <v>8.3250000000000011</v>
      </c>
      <c r="H309" s="2">
        <f t="shared" si="157"/>
        <v>13.395</v>
      </c>
      <c r="I309" s="95">
        <f t="shared" si="158"/>
        <v>17.96</v>
      </c>
      <c r="J309" s="4">
        <f t="shared" si="159"/>
        <v>7.3000000000000007</v>
      </c>
      <c r="K309" s="2">
        <f t="shared" si="160"/>
        <v>13.325000000000001</v>
      </c>
      <c r="L309" s="2">
        <f t="shared" si="161"/>
        <v>18.395</v>
      </c>
      <c r="M309" s="5">
        <f t="shared" si="162"/>
        <v>25.310000000000002</v>
      </c>
      <c r="N309" s="4">
        <f t="shared" si="163"/>
        <v>9.1149999999999984</v>
      </c>
      <c r="O309" s="2">
        <f t="shared" si="164"/>
        <v>13.325000000000001</v>
      </c>
      <c r="P309" s="2">
        <f t="shared" si="165"/>
        <v>18.395</v>
      </c>
      <c r="Q309" s="5">
        <f t="shared" si="166"/>
        <v>22.96</v>
      </c>
      <c r="R309" s="255">
        <f t="shared" si="167"/>
        <v>2.57</v>
      </c>
      <c r="S309" s="256">
        <f t="shared" si="168"/>
        <v>7.14</v>
      </c>
      <c r="T309" s="256">
        <f t="shared" si="169"/>
        <v>11.33</v>
      </c>
      <c r="U309" s="257">
        <f t="shared" si="170"/>
        <v>16.215</v>
      </c>
      <c r="V309" s="255">
        <f t="shared" si="171"/>
        <v>3.7099999999999991</v>
      </c>
      <c r="W309" s="256">
        <f t="shared" si="172"/>
        <v>7.14</v>
      </c>
      <c r="X309" s="256">
        <f t="shared" si="173"/>
        <v>11.33</v>
      </c>
      <c r="Y309" s="257">
        <f t="shared" si="174"/>
        <v>14.63</v>
      </c>
    </row>
    <row r="310" spans="1:40" x14ac:dyDescent="0.25">
      <c r="A310" s="99" t="s">
        <v>19</v>
      </c>
      <c r="B310" s="4">
        <f t="shared" si="151"/>
        <v>4.495000000000001</v>
      </c>
      <c r="C310" s="2">
        <f t="shared" si="152"/>
        <v>9.09</v>
      </c>
      <c r="D310" s="2">
        <f t="shared" si="153"/>
        <v>12.73</v>
      </c>
      <c r="E310" s="5">
        <f t="shared" si="154"/>
        <v>17.34</v>
      </c>
      <c r="F310" s="4">
        <f t="shared" si="155"/>
        <v>5.6349999999999989</v>
      </c>
      <c r="G310" s="2">
        <f t="shared" si="156"/>
        <v>9.09</v>
      </c>
      <c r="H310" s="2">
        <f t="shared" si="157"/>
        <v>12.73</v>
      </c>
      <c r="I310" s="95">
        <f t="shared" si="158"/>
        <v>15.83</v>
      </c>
      <c r="J310" s="4">
        <f t="shared" si="159"/>
        <v>6.1450000000000005</v>
      </c>
      <c r="K310" s="2">
        <f t="shared" si="160"/>
        <v>11.840000000000002</v>
      </c>
      <c r="L310" s="2">
        <f t="shared" si="161"/>
        <v>16.579999999999998</v>
      </c>
      <c r="M310" s="5">
        <f t="shared" si="162"/>
        <v>22.340000000000003</v>
      </c>
      <c r="N310" s="4">
        <f t="shared" si="163"/>
        <v>7.5999999999999979</v>
      </c>
      <c r="O310" s="2">
        <f t="shared" si="164"/>
        <v>11.840000000000002</v>
      </c>
      <c r="P310" s="2">
        <f t="shared" si="165"/>
        <v>16.579999999999998</v>
      </c>
      <c r="Q310" s="5">
        <f t="shared" si="166"/>
        <v>20.43</v>
      </c>
      <c r="R310" s="255">
        <f t="shared" si="167"/>
        <v>1.1550000000000002</v>
      </c>
      <c r="S310" s="256">
        <f t="shared" si="168"/>
        <v>4.4550000000000001</v>
      </c>
      <c r="T310" s="256">
        <f t="shared" si="169"/>
        <v>9.0750000000000011</v>
      </c>
      <c r="U310" s="257">
        <f t="shared" si="170"/>
        <v>14.025</v>
      </c>
      <c r="V310" s="255">
        <f t="shared" si="171"/>
        <v>1.8190000000000008</v>
      </c>
      <c r="W310" s="256">
        <f t="shared" si="172"/>
        <v>4.4550000000000001</v>
      </c>
      <c r="X310" s="256">
        <f t="shared" si="173"/>
        <v>9.0750000000000011</v>
      </c>
      <c r="Y310" s="257">
        <f t="shared" si="174"/>
        <v>12.430000000000003</v>
      </c>
    </row>
    <row r="311" spans="1:40" x14ac:dyDescent="0.25">
      <c r="A311" s="99" t="s">
        <v>20</v>
      </c>
      <c r="B311" s="4">
        <f t="shared" si="151"/>
        <v>4.495000000000001</v>
      </c>
      <c r="C311" s="2">
        <f t="shared" si="152"/>
        <v>9.09</v>
      </c>
      <c r="D311" s="2">
        <f t="shared" si="153"/>
        <v>12.73</v>
      </c>
      <c r="E311" s="5">
        <f t="shared" si="154"/>
        <v>17.34</v>
      </c>
      <c r="F311" s="4">
        <f t="shared" si="155"/>
        <v>5.6349999999999989</v>
      </c>
      <c r="G311" s="2">
        <f t="shared" si="156"/>
        <v>9.09</v>
      </c>
      <c r="H311" s="2">
        <f t="shared" si="157"/>
        <v>12.73</v>
      </c>
      <c r="I311" s="95">
        <f t="shared" si="158"/>
        <v>15.83</v>
      </c>
      <c r="J311" s="4">
        <f t="shared" si="159"/>
        <v>6.1450000000000005</v>
      </c>
      <c r="K311" s="2">
        <f t="shared" si="160"/>
        <v>11.840000000000002</v>
      </c>
      <c r="L311" s="2">
        <f t="shared" si="161"/>
        <v>16.579999999999998</v>
      </c>
      <c r="M311" s="5">
        <f t="shared" si="162"/>
        <v>22.340000000000003</v>
      </c>
      <c r="N311" s="4">
        <f t="shared" si="163"/>
        <v>7.5999999999999979</v>
      </c>
      <c r="O311" s="2">
        <f t="shared" si="164"/>
        <v>11.840000000000002</v>
      </c>
      <c r="P311" s="2">
        <f t="shared" si="165"/>
        <v>16.579999999999998</v>
      </c>
      <c r="Q311" s="5">
        <f t="shared" si="166"/>
        <v>20.43</v>
      </c>
      <c r="R311" s="255">
        <f t="shared" si="167"/>
        <v>2.1950000000000003</v>
      </c>
      <c r="S311" s="256">
        <f t="shared" si="168"/>
        <v>6.0149999999999997</v>
      </c>
      <c r="T311" s="256">
        <f t="shared" si="169"/>
        <v>10.755000000000001</v>
      </c>
      <c r="U311" s="257">
        <f t="shared" si="170"/>
        <v>16.215000000000003</v>
      </c>
      <c r="V311" s="255">
        <f t="shared" si="171"/>
        <v>3.1250000000000009</v>
      </c>
      <c r="W311" s="256">
        <f t="shared" si="172"/>
        <v>6.0149999999999997</v>
      </c>
      <c r="X311" s="256">
        <f t="shared" si="173"/>
        <v>10.755000000000001</v>
      </c>
      <c r="Y311" s="257">
        <f t="shared" si="174"/>
        <v>14.430000000000003</v>
      </c>
    </row>
    <row r="312" spans="1:40" x14ac:dyDescent="0.25">
      <c r="A312" s="99" t="s">
        <v>21</v>
      </c>
      <c r="B312" s="4">
        <f t="shared" si="151"/>
        <v>5.26</v>
      </c>
      <c r="C312" s="2">
        <f t="shared" si="152"/>
        <v>10.350000000000001</v>
      </c>
      <c r="D312" s="2">
        <f t="shared" si="153"/>
        <v>14.66</v>
      </c>
      <c r="E312" s="5">
        <f t="shared" si="154"/>
        <v>20.655000000000001</v>
      </c>
      <c r="F312" s="4">
        <f t="shared" si="155"/>
        <v>6.8349999999999991</v>
      </c>
      <c r="G312" s="2">
        <f t="shared" si="156"/>
        <v>10.350000000000001</v>
      </c>
      <c r="H312" s="2">
        <f t="shared" si="157"/>
        <v>14.66</v>
      </c>
      <c r="I312" s="95">
        <f t="shared" si="158"/>
        <v>18.63</v>
      </c>
      <c r="J312" s="4">
        <f t="shared" si="159"/>
        <v>4.22</v>
      </c>
      <c r="K312" s="2">
        <f t="shared" si="160"/>
        <v>9.89</v>
      </c>
      <c r="L312" s="2">
        <f t="shared" si="161"/>
        <v>15.18</v>
      </c>
      <c r="M312" s="5">
        <f t="shared" si="162"/>
        <v>21.215000000000003</v>
      </c>
      <c r="N312" s="4">
        <f t="shared" si="163"/>
        <v>5.6749999999999989</v>
      </c>
      <c r="O312" s="2">
        <f t="shared" si="164"/>
        <v>9.89</v>
      </c>
      <c r="P312" s="2">
        <f t="shared" si="165"/>
        <v>15.18</v>
      </c>
      <c r="Q312" s="5">
        <f t="shared" si="166"/>
        <v>19.23</v>
      </c>
      <c r="R312" s="255">
        <f t="shared" si="167"/>
        <v>4.495000000000001</v>
      </c>
      <c r="S312" s="256">
        <f t="shared" si="168"/>
        <v>9.09</v>
      </c>
      <c r="T312" s="256">
        <f t="shared" si="169"/>
        <v>12.73</v>
      </c>
      <c r="U312" s="257">
        <f t="shared" si="170"/>
        <v>17.34</v>
      </c>
      <c r="V312" s="255">
        <f t="shared" si="171"/>
        <v>5.6349999999999989</v>
      </c>
      <c r="W312" s="256">
        <f t="shared" si="172"/>
        <v>9.09</v>
      </c>
      <c r="X312" s="256">
        <f t="shared" si="173"/>
        <v>12.73</v>
      </c>
      <c r="Y312" s="257">
        <f t="shared" si="174"/>
        <v>15.83</v>
      </c>
    </row>
    <row r="313" spans="1:40" x14ac:dyDescent="0.25">
      <c r="A313" s="99" t="s">
        <v>23</v>
      </c>
      <c r="B313" s="4">
        <f t="shared" si="151"/>
        <v>4.45</v>
      </c>
      <c r="C313" s="2">
        <f t="shared" si="152"/>
        <v>8.3250000000000011</v>
      </c>
      <c r="D313" s="2">
        <f t="shared" si="153"/>
        <v>13.395</v>
      </c>
      <c r="E313" s="5">
        <f t="shared" si="154"/>
        <v>20.310000000000002</v>
      </c>
      <c r="F313" s="4">
        <f t="shared" si="155"/>
        <v>5.6650000000000009</v>
      </c>
      <c r="G313" s="2">
        <f t="shared" si="156"/>
        <v>8.3250000000000011</v>
      </c>
      <c r="H313" s="2">
        <f t="shared" si="157"/>
        <v>13.395</v>
      </c>
      <c r="I313" s="95">
        <f t="shared" si="158"/>
        <v>17.96</v>
      </c>
      <c r="J313" s="4">
        <f t="shared" si="159"/>
        <v>5.0450000000000008</v>
      </c>
      <c r="K313" s="2">
        <f t="shared" si="160"/>
        <v>11.015000000000001</v>
      </c>
      <c r="L313" s="2">
        <f t="shared" si="161"/>
        <v>15.754999999999999</v>
      </c>
      <c r="M313" s="5">
        <f t="shared" si="162"/>
        <v>21.215</v>
      </c>
      <c r="N313" s="4">
        <f t="shared" si="163"/>
        <v>6.5749999999999993</v>
      </c>
      <c r="O313" s="2">
        <f t="shared" si="164"/>
        <v>11.015000000000001</v>
      </c>
      <c r="P313" s="2">
        <f t="shared" si="165"/>
        <v>15.754999999999999</v>
      </c>
      <c r="Q313" s="5">
        <f t="shared" si="166"/>
        <v>19.430000000000003</v>
      </c>
      <c r="R313" s="255">
        <f t="shared" si="167"/>
        <v>2.57</v>
      </c>
      <c r="S313" s="256">
        <f t="shared" si="168"/>
        <v>7.14</v>
      </c>
      <c r="T313" s="256">
        <f t="shared" si="169"/>
        <v>11.33</v>
      </c>
      <c r="U313" s="257">
        <f t="shared" si="170"/>
        <v>16.215</v>
      </c>
      <c r="V313" s="255">
        <f t="shared" si="171"/>
        <v>3.7099999999999991</v>
      </c>
      <c r="W313" s="256">
        <f t="shared" si="172"/>
        <v>7.14</v>
      </c>
      <c r="X313" s="256">
        <f t="shared" si="173"/>
        <v>11.33</v>
      </c>
      <c r="Y313" s="257">
        <f t="shared" si="174"/>
        <v>14.63</v>
      </c>
    </row>
    <row r="314" spans="1:40" ht="15.75" thickBot="1" x14ac:dyDescent="0.3">
      <c r="A314" s="100" t="s">
        <v>24</v>
      </c>
      <c r="B314" s="96">
        <f t="shared" si="151"/>
        <v>2.1950000000000003</v>
      </c>
      <c r="C314" s="59">
        <f t="shared" si="152"/>
        <v>6.0150000000000006</v>
      </c>
      <c r="D314" s="59">
        <f t="shared" si="153"/>
        <v>10.754999999999999</v>
      </c>
      <c r="E314" s="63">
        <f t="shared" si="154"/>
        <v>16.215</v>
      </c>
      <c r="F314" s="96">
        <f t="shared" si="155"/>
        <v>3.1250000000000009</v>
      </c>
      <c r="G314" s="59">
        <f t="shared" si="156"/>
        <v>6.0150000000000006</v>
      </c>
      <c r="H314" s="59">
        <f t="shared" si="157"/>
        <v>10.754999999999999</v>
      </c>
      <c r="I314" s="102">
        <f t="shared" si="158"/>
        <v>14.430000000000003</v>
      </c>
      <c r="J314" s="96">
        <f t="shared" si="159"/>
        <v>5.0450000000000008</v>
      </c>
      <c r="K314" s="59">
        <f t="shared" si="160"/>
        <v>11.015000000000001</v>
      </c>
      <c r="L314" s="59">
        <f t="shared" si="161"/>
        <v>15.754999999999999</v>
      </c>
      <c r="M314" s="63">
        <f t="shared" si="162"/>
        <v>21.215</v>
      </c>
      <c r="N314" s="96">
        <f t="shared" si="163"/>
        <v>6.5749999999999993</v>
      </c>
      <c r="O314" s="59">
        <f t="shared" si="164"/>
        <v>11.015000000000001</v>
      </c>
      <c r="P314" s="59">
        <f t="shared" si="165"/>
        <v>15.754999999999999</v>
      </c>
      <c r="Q314" s="63">
        <f t="shared" si="166"/>
        <v>19.430000000000003</v>
      </c>
      <c r="R314" s="258">
        <f t="shared" si="167"/>
        <v>4.22</v>
      </c>
      <c r="S314" s="259">
        <f t="shared" si="168"/>
        <v>8.7900000000000009</v>
      </c>
      <c r="T314" s="259">
        <f t="shared" si="169"/>
        <v>12.98</v>
      </c>
      <c r="U314" s="260">
        <f t="shared" si="170"/>
        <v>18.465</v>
      </c>
      <c r="V314" s="258">
        <f t="shared" si="171"/>
        <v>5.5289999999999981</v>
      </c>
      <c r="W314" s="259">
        <f t="shared" si="172"/>
        <v>8.7900000000000009</v>
      </c>
      <c r="X314" s="259">
        <f t="shared" si="173"/>
        <v>12.98</v>
      </c>
      <c r="Y314" s="260">
        <f t="shared" si="174"/>
        <v>16.63</v>
      </c>
    </row>
    <row r="316" spans="1:40" ht="15.75" thickBot="1" x14ac:dyDescent="0.3">
      <c r="A316" s="1" t="s">
        <v>146</v>
      </c>
      <c r="AH316">
        <v>0.8</v>
      </c>
    </row>
    <row r="317" spans="1:40" ht="15.75" thickBot="1" x14ac:dyDescent="0.3">
      <c r="A317" s="213" t="s">
        <v>27</v>
      </c>
      <c r="B317" s="209" t="s">
        <v>143</v>
      </c>
      <c r="C317" s="215"/>
      <c r="D317" s="215"/>
      <c r="E317" s="215"/>
      <c r="F317" s="215"/>
      <c r="G317" s="215"/>
      <c r="H317" s="215"/>
      <c r="I317" s="216"/>
      <c r="J317" s="209" t="s">
        <v>144</v>
      </c>
      <c r="K317" s="215"/>
      <c r="L317" s="215"/>
      <c r="M317" s="215"/>
      <c r="N317" s="215"/>
      <c r="O317" s="215"/>
      <c r="P317" s="215"/>
      <c r="Q317" s="216"/>
      <c r="R317" s="302" t="s">
        <v>147</v>
      </c>
      <c r="S317" s="303"/>
      <c r="T317" s="303"/>
      <c r="U317" s="303"/>
      <c r="V317" s="303"/>
      <c r="W317" s="303"/>
      <c r="X317" s="303"/>
      <c r="Y317" s="304"/>
      <c r="Z317" s="210" t="s">
        <v>145</v>
      </c>
      <c r="AA317" s="211"/>
      <c r="AB317" s="211"/>
      <c r="AC317" s="211"/>
      <c r="AD317" s="211"/>
      <c r="AE317" s="211"/>
      <c r="AF317" s="211"/>
      <c r="AG317" s="212"/>
      <c r="AH317" s="199" t="s">
        <v>82</v>
      </c>
      <c r="AI317" s="200"/>
      <c r="AJ317" s="200"/>
      <c r="AK317" s="201"/>
      <c r="AL317" s="267" t="s">
        <v>84</v>
      </c>
      <c r="AM317" s="268"/>
      <c r="AN317" s="269" t="s">
        <v>87</v>
      </c>
    </row>
    <row r="318" spans="1:40" ht="31.5" customHeight="1" thickBot="1" x14ac:dyDescent="0.3">
      <c r="A318" s="214"/>
      <c r="B318" s="206" t="s">
        <v>3</v>
      </c>
      <c r="C318" s="207"/>
      <c r="D318" s="207"/>
      <c r="E318" s="208"/>
      <c r="F318" s="209" t="s">
        <v>4</v>
      </c>
      <c r="G318" s="207"/>
      <c r="H318" s="207"/>
      <c r="I318" s="208"/>
      <c r="J318" s="206" t="s">
        <v>3</v>
      </c>
      <c r="K318" s="232"/>
      <c r="L318" s="232"/>
      <c r="M318" s="233"/>
      <c r="N318" s="209" t="s">
        <v>4</v>
      </c>
      <c r="O318" s="207"/>
      <c r="P318" s="207"/>
      <c r="Q318" s="208"/>
      <c r="R318" s="305" t="s">
        <v>3</v>
      </c>
      <c r="S318" s="306"/>
      <c r="T318" s="306"/>
      <c r="U318" s="307"/>
      <c r="V318" s="302" t="s">
        <v>4</v>
      </c>
      <c r="W318" s="306"/>
      <c r="X318" s="306"/>
      <c r="Y318" s="307"/>
      <c r="Z318" s="261" t="s">
        <v>3</v>
      </c>
      <c r="AA318" s="262"/>
      <c r="AB318" s="262"/>
      <c r="AC318" s="263"/>
      <c r="AD318" s="210" t="s">
        <v>4</v>
      </c>
      <c r="AE318" s="211"/>
      <c r="AF318" s="211"/>
      <c r="AG318" s="212"/>
      <c r="AH318" s="196" t="s">
        <v>83</v>
      </c>
      <c r="AI318" s="197"/>
      <c r="AJ318" s="270" t="s">
        <v>5</v>
      </c>
      <c r="AK318" s="272"/>
      <c r="AL318" s="273" t="s">
        <v>85</v>
      </c>
      <c r="AM318" s="273" t="s">
        <v>86</v>
      </c>
      <c r="AN318" s="274"/>
    </row>
    <row r="319" spans="1:40" x14ac:dyDescent="0.25">
      <c r="A319" s="103" t="s">
        <v>25</v>
      </c>
      <c r="B319" s="15">
        <f>B305*$B291</f>
        <v>2.0166637698014136</v>
      </c>
      <c r="C319" s="16">
        <f t="shared" ref="C319:I319" si="175">C305*$B291</f>
        <v>3.9334308822752022</v>
      </c>
      <c r="D319" s="16">
        <f t="shared" si="175"/>
        <v>4.9355192260929321</v>
      </c>
      <c r="E319" s="17">
        <f t="shared" si="175"/>
        <v>6.4480170534439925</v>
      </c>
      <c r="F319" s="15">
        <f t="shared" si="175"/>
        <v>2.5973130905182282</v>
      </c>
      <c r="G319" s="16">
        <f t="shared" si="175"/>
        <v>3.9334308822752022</v>
      </c>
      <c r="H319" s="16">
        <f t="shared" si="175"/>
        <v>4.9355192260929321</v>
      </c>
      <c r="I319" s="17">
        <f t="shared" si="175"/>
        <v>5.9407293404521511</v>
      </c>
      <c r="J319" s="15">
        <f>J305*$C291</f>
        <v>1.3286110553118007</v>
      </c>
      <c r="K319" s="16">
        <f t="shared" ref="K319:Q319" si="176">K305*$C291</f>
        <v>3.1137353879226799</v>
      </c>
      <c r="L319" s="16">
        <f t="shared" si="176"/>
        <v>4.7792217582069041</v>
      </c>
      <c r="M319" s="17">
        <f t="shared" si="176"/>
        <v>6.6792615019999655</v>
      </c>
      <c r="N319" s="15">
        <f t="shared" si="176"/>
        <v>1.7866985163257032</v>
      </c>
      <c r="O319" s="16">
        <f t="shared" si="176"/>
        <v>3.1137353879226799</v>
      </c>
      <c r="P319" s="16">
        <f t="shared" si="176"/>
        <v>4.7792217582069041</v>
      </c>
      <c r="Q319" s="17">
        <f t="shared" si="176"/>
        <v>6.0543105672146744</v>
      </c>
      <c r="R319" s="310">
        <f>R305*$D291</f>
        <v>1.8817153935613469</v>
      </c>
      <c r="S319" s="308">
        <f t="shared" ref="S319:Y319" si="177">S305*$D291</f>
        <v>3.6981582016175918</v>
      </c>
      <c r="T319" s="308">
        <f t="shared" si="177"/>
        <v>5.0558279801236976</v>
      </c>
      <c r="U319" s="311">
        <f t="shared" si="177"/>
        <v>6.8871902362953943</v>
      </c>
      <c r="V319" s="310">
        <f t="shared" si="177"/>
        <v>2.3979282983559753</v>
      </c>
      <c r="W319" s="308">
        <f t="shared" si="177"/>
        <v>3.6981582016175918</v>
      </c>
      <c r="X319" s="308">
        <f t="shared" si="177"/>
        <v>5.0558279801236976</v>
      </c>
      <c r="Y319" s="311">
        <f t="shared" si="177"/>
        <v>6.2773577945763064</v>
      </c>
      <c r="Z319" s="320">
        <f>B319+J319+R319</f>
        <v>5.2269902186745609</v>
      </c>
      <c r="AA319" s="321">
        <f t="shared" ref="AA319:AG328" si="178">C319+K319+S319</f>
        <v>10.745324471815474</v>
      </c>
      <c r="AB319" s="321">
        <f t="shared" si="178"/>
        <v>14.770568964423536</v>
      </c>
      <c r="AC319" s="322">
        <f t="shared" si="178"/>
        <v>20.014468791739354</v>
      </c>
      <c r="AD319" s="320">
        <f t="shared" si="178"/>
        <v>6.7819399051999074</v>
      </c>
      <c r="AE319" s="162">
        <f t="shared" si="178"/>
        <v>10.745324471815474</v>
      </c>
      <c r="AF319" s="162">
        <f t="shared" si="178"/>
        <v>14.770568964423536</v>
      </c>
      <c r="AG319" s="163">
        <f t="shared" si="178"/>
        <v>18.272397702243133</v>
      </c>
      <c r="AH319" s="143">
        <f>AH$316*AA319+(1-AH$316)*Z319</f>
        <v>9.6416576211872904</v>
      </c>
      <c r="AI319" s="287">
        <f>AH$316*AB319+(1-AH$316)*AC319</f>
        <v>15.819348929886699</v>
      </c>
      <c r="AJ319" s="288">
        <f>AH$316*AE319+(1-AH$316)*AD319</f>
        <v>9.9526475584923606</v>
      </c>
      <c r="AK319" s="287">
        <f>AH$316*AF319+(1-AH$316)*AG319</f>
        <v>15.470934711987454</v>
      </c>
      <c r="AL319" s="288">
        <f>(AH319+AI319)/2</f>
        <v>12.730503275536995</v>
      </c>
      <c r="AM319" s="287">
        <f>(AJ319+AK319)/2</f>
        <v>12.711791135239906</v>
      </c>
      <c r="AN319" s="289">
        <f>(AL319+AM319)/2</f>
        <v>12.721147205388451</v>
      </c>
    </row>
    <row r="320" spans="1:40" x14ac:dyDescent="0.25">
      <c r="A320" s="99" t="s">
        <v>14</v>
      </c>
      <c r="B320" s="136">
        <f t="shared" ref="B320:B328" si="179">B306*$B292</f>
        <v>0.36444972705411532</v>
      </c>
      <c r="C320" s="130">
        <f t="shared" ref="C320:I320" si="180">C306*$B292</f>
        <v>1.4057346614944446</v>
      </c>
      <c r="D320" s="130">
        <f t="shared" si="180"/>
        <v>2.8635335697109054</v>
      </c>
      <c r="E320" s="137">
        <f t="shared" si="180"/>
        <v>4.4254609713713995</v>
      </c>
      <c r="F320" s="136">
        <f t="shared" si="180"/>
        <v>0.57396887749907877</v>
      </c>
      <c r="G320" s="130">
        <f t="shared" si="180"/>
        <v>1.4057346614944446</v>
      </c>
      <c r="H320" s="130">
        <f t="shared" si="180"/>
        <v>2.8635335697109054</v>
      </c>
      <c r="I320" s="137">
        <f t="shared" si="180"/>
        <v>3.9221732530585744</v>
      </c>
      <c r="J320" s="136">
        <f t="shared" ref="J320:J328" si="181">J306*$C292</f>
        <v>0.35954516859454816</v>
      </c>
      <c r="K320" s="130">
        <f t="shared" ref="K320:Q320" si="182">K306*$C292</f>
        <v>1.7292410489547314</v>
      </c>
      <c r="L320" s="130">
        <f t="shared" si="182"/>
        <v>3.5098456934229696</v>
      </c>
      <c r="M320" s="137">
        <f t="shared" si="182"/>
        <v>5.2219655438731989</v>
      </c>
      <c r="N320" s="136">
        <f t="shared" si="182"/>
        <v>0.61169372838812752</v>
      </c>
      <c r="O320" s="130">
        <f t="shared" si="182"/>
        <v>1.7292410489547314</v>
      </c>
      <c r="P320" s="130">
        <f t="shared" si="182"/>
        <v>3.5098456934229696</v>
      </c>
      <c r="Q320" s="137">
        <f t="shared" si="182"/>
        <v>4.6787566095030817</v>
      </c>
      <c r="R320" s="314">
        <f t="shared" ref="R320:R328" si="183">R306*$D292</f>
        <v>0.22576457846974773</v>
      </c>
      <c r="S320" s="312">
        <f t="shared" ref="S320:Y320" si="184">S306*$D292</f>
        <v>1.3545874708184868</v>
      </c>
      <c r="T320" s="312">
        <f t="shared" si="184"/>
        <v>3.078607888223833</v>
      </c>
      <c r="U320" s="315">
        <f t="shared" si="184"/>
        <v>4.8138232434045394</v>
      </c>
      <c r="V320" s="314">
        <f t="shared" si="184"/>
        <v>0.38249370732477922</v>
      </c>
      <c r="W320" s="312">
        <f t="shared" si="184"/>
        <v>1.3545874708184868</v>
      </c>
      <c r="X320" s="312">
        <f t="shared" si="184"/>
        <v>3.078607888223833</v>
      </c>
      <c r="Y320" s="315">
        <f t="shared" si="184"/>
        <v>4.2652712924119287</v>
      </c>
      <c r="Z320" s="314">
        <f t="shared" ref="Z320:Z328" si="185">B320+J320+R320</f>
        <v>0.94975947411841122</v>
      </c>
      <c r="AA320" s="312">
        <f t="shared" si="178"/>
        <v>4.4895631812676626</v>
      </c>
      <c r="AB320" s="312">
        <f t="shared" si="178"/>
        <v>9.4519871513577094</v>
      </c>
      <c r="AC320" s="315">
        <f t="shared" si="178"/>
        <v>14.461249758649139</v>
      </c>
      <c r="AD320" s="314">
        <f t="shared" si="178"/>
        <v>1.5681563132119856</v>
      </c>
      <c r="AE320" s="130">
        <f t="shared" si="178"/>
        <v>4.4895631812676626</v>
      </c>
      <c r="AF320" s="130">
        <f t="shared" si="178"/>
        <v>9.4519871513577094</v>
      </c>
      <c r="AG320" s="138">
        <f t="shared" si="178"/>
        <v>12.866201154973584</v>
      </c>
      <c r="AH320" s="144">
        <f t="shared" ref="AH320:AH328" si="186">AH$316*AA320+(1-AH$316)*Z320</f>
        <v>3.7816024398378123</v>
      </c>
      <c r="AI320" s="290">
        <f t="shared" ref="AI320:AI328" si="187">AH$316*AB320+(1-AH$316)*AC320</f>
        <v>10.453839672815995</v>
      </c>
      <c r="AJ320" s="291">
        <f t="shared" ref="AJ320:AJ328" si="188">AH$316*AE320+(1-AH$316)*AD320</f>
        <v>3.9052818076565274</v>
      </c>
      <c r="AK320" s="290">
        <f t="shared" ref="AK320:AK328" si="189">AH$316*AF320+(1-AH$316)*AG320</f>
        <v>10.134829952080885</v>
      </c>
      <c r="AL320" s="291">
        <f t="shared" ref="AL320:AL328" si="190">(AH320+AI320)/2</f>
        <v>7.1177210563269036</v>
      </c>
      <c r="AM320" s="290">
        <f t="shared" ref="AM320:AM328" si="191">(AJ320+AK320)/2</f>
        <v>7.0200558798687061</v>
      </c>
      <c r="AN320" s="292">
        <f t="shared" ref="AN320:AN328" si="192">(AL320+AM320)/2</f>
        <v>7.0688884680978052</v>
      </c>
    </row>
    <row r="321" spans="1:40" x14ac:dyDescent="0.25">
      <c r="A321" s="99" t="s">
        <v>15</v>
      </c>
      <c r="B321" s="136">
        <f t="shared" si="179"/>
        <v>1.2644545587927061</v>
      </c>
      <c r="C321" s="130">
        <f t="shared" ref="C321:I321" si="193">C307*$B293</f>
        <v>2.3383748690002095</v>
      </c>
      <c r="D321" s="130">
        <f t="shared" si="193"/>
        <v>4.001219220289248</v>
      </c>
      <c r="E321" s="137">
        <f t="shared" si="193"/>
        <v>6.2876302033116742</v>
      </c>
      <c r="F321" s="136">
        <f t="shared" si="193"/>
        <v>1.5998578228311198</v>
      </c>
      <c r="G321" s="130">
        <f t="shared" si="193"/>
        <v>2.3383748690002095</v>
      </c>
      <c r="H321" s="130">
        <f t="shared" si="193"/>
        <v>4.001219220289248</v>
      </c>
      <c r="I321" s="137">
        <f t="shared" si="193"/>
        <v>5.5081719136449374</v>
      </c>
      <c r="J321" s="136">
        <f t="shared" si="181"/>
        <v>2.2373461633734113</v>
      </c>
      <c r="K321" s="130">
        <f t="shared" ref="K321:Q321" si="194">K307*$C293</f>
        <v>4.0839229625959872</v>
      </c>
      <c r="L321" s="130">
        <f t="shared" si="194"/>
        <v>5.6378058459251914</v>
      </c>
      <c r="M321" s="137">
        <f t="shared" si="194"/>
        <v>7.7571549856138411</v>
      </c>
      <c r="N321" s="136">
        <f t="shared" si="194"/>
        <v>2.7936178464587176</v>
      </c>
      <c r="O321" s="130">
        <f t="shared" si="194"/>
        <v>4.0839229625959872</v>
      </c>
      <c r="P321" s="130">
        <f t="shared" si="194"/>
        <v>5.6378058459251914</v>
      </c>
      <c r="Q321" s="137">
        <f t="shared" si="194"/>
        <v>7.0369134124730852</v>
      </c>
      <c r="R321" s="314">
        <f t="shared" si="183"/>
        <v>1.8266561326956419</v>
      </c>
      <c r="S321" s="312">
        <f t="shared" ref="S321:Y321" si="195">S307*$D293</f>
        <v>3.5775959490101177</v>
      </c>
      <c r="T321" s="312">
        <f t="shared" si="195"/>
        <v>5.2887846992244816</v>
      </c>
      <c r="U321" s="315">
        <f t="shared" si="195"/>
        <v>7.6889919285074608</v>
      </c>
      <c r="V321" s="314">
        <f t="shared" si="195"/>
        <v>2.3661348869114529</v>
      </c>
      <c r="W321" s="312">
        <f t="shared" si="195"/>
        <v>3.5775959490101177</v>
      </c>
      <c r="X321" s="312">
        <f t="shared" si="195"/>
        <v>5.2887846992244816</v>
      </c>
      <c r="Y321" s="315">
        <f t="shared" si="195"/>
        <v>6.8750415274099179</v>
      </c>
      <c r="Z321" s="314">
        <f t="shared" si="185"/>
        <v>5.3284568548617592</v>
      </c>
      <c r="AA321" s="312">
        <f t="shared" si="178"/>
        <v>9.999893780606314</v>
      </c>
      <c r="AB321" s="312">
        <f t="shared" si="178"/>
        <v>14.927809765438923</v>
      </c>
      <c r="AC321" s="315">
        <f t="shared" si="178"/>
        <v>21.733777117432979</v>
      </c>
      <c r="AD321" s="314">
        <f t="shared" si="178"/>
        <v>6.7596105562012898</v>
      </c>
      <c r="AE321" s="130">
        <f t="shared" si="178"/>
        <v>9.999893780606314</v>
      </c>
      <c r="AF321" s="130">
        <f t="shared" si="178"/>
        <v>14.927809765438923</v>
      </c>
      <c r="AG321" s="138">
        <f t="shared" si="178"/>
        <v>19.42012685352794</v>
      </c>
      <c r="AH321" s="144">
        <f t="shared" si="186"/>
        <v>9.0656063954574044</v>
      </c>
      <c r="AI321" s="290">
        <f t="shared" si="187"/>
        <v>16.289003235837733</v>
      </c>
      <c r="AJ321" s="291">
        <f t="shared" si="188"/>
        <v>9.3518371357253098</v>
      </c>
      <c r="AK321" s="290">
        <f t="shared" si="189"/>
        <v>15.826273183056726</v>
      </c>
      <c r="AL321" s="291">
        <f t="shared" si="190"/>
        <v>12.677304815647569</v>
      </c>
      <c r="AM321" s="290">
        <f t="shared" si="191"/>
        <v>12.589055159391018</v>
      </c>
      <c r="AN321" s="292">
        <f t="shared" si="192"/>
        <v>12.633179987519293</v>
      </c>
    </row>
    <row r="322" spans="1:40" x14ac:dyDescent="0.25">
      <c r="A322" s="99" t="s">
        <v>16</v>
      </c>
      <c r="B322" s="136">
        <f t="shared" si="179"/>
        <v>1.8021123638742451</v>
      </c>
      <c r="C322" s="130">
        <f t="shared" ref="C322:I322" si="196">C308*$B294</f>
        <v>3.3729802208796702</v>
      </c>
      <c r="D322" s="130">
        <f t="shared" si="196"/>
        <v>4.6392432446992729</v>
      </c>
      <c r="E322" s="137">
        <f t="shared" si="196"/>
        <v>6.4780357717320198</v>
      </c>
      <c r="F322" s="136">
        <f t="shared" si="196"/>
        <v>2.2805492746373188</v>
      </c>
      <c r="G322" s="130">
        <f t="shared" si="196"/>
        <v>3.3729802208796702</v>
      </c>
      <c r="H322" s="130">
        <f t="shared" si="196"/>
        <v>4.6392432446992729</v>
      </c>
      <c r="I322" s="137">
        <f t="shared" si="196"/>
        <v>5.8560677877400238</v>
      </c>
      <c r="J322" s="136">
        <f t="shared" si="181"/>
        <v>1.9324602666717974</v>
      </c>
      <c r="K322" s="130">
        <f t="shared" ref="K322:Q322" si="197">K308*$C294</f>
        <v>3.7234059491284106</v>
      </c>
      <c r="L322" s="130">
        <f t="shared" si="197"/>
        <v>5.2140262361950196</v>
      </c>
      <c r="M322" s="137">
        <f t="shared" si="197"/>
        <v>7.0254129141493831</v>
      </c>
      <c r="N322" s="136">
        <f t="shared" si="197"/>
        <v>2.3900240889675599</v>
      </c>
      <c r="O322" s="130">
        <f t="shared" si="197"/>
        <v>3.7234059491284106</v>
      </c>
      <c r="P322" s="130">
        <f t="shared" si="197"/>
        <v>5.2140262361950196</v>
      </c>
      <c r="Q322" s="137">
        <f t="shared" si="197"/>
        <v>6.4247621233693764</v>
      </c>
      <c r="R322" s="314">
        <f t="shared" si="183"/>
        <v>0.8046106264670797</v>
      </c>
      <c r="S322" s="312">
        <f t="shared" ref="S322:Y322" si="198">S308*$D294</f>
        <v>2.2048897121637738</v>
      </c>
      <c r="T322" s="312">
        <f t="shared" si="198"/>
        <v>3.9424087870858506</v>
      </c>
      <c r="U322" s="315">
        <f t="shared" si="198"/>
        <v>5.9438548100973572</v>
      </c>
      <c r="V322" s="314">
        <f t="shared" si="198"/>
        <v>1.1455162677492594</v>
      </c>
      <c r="W322" s="312">
        <f t="shared" si="198"/>
        <v>2.2048897121637738</v>
      </c>
      <c r="X322" s="312">
        <f t="shared" si="198"/>
        <v>3.9424087870858506</v>
      </c>
      <c r="Y322" s="315">
        <f t="shared" si="198"/>
        <v>5.2895359179589798</v>
      </c>
      <c r="Z322" s="314">
        <f t="shared" si="185"/>
        <v>4.5391832570131223</v>
      </c>
      <c r="AA322" s="312">
        <f t="shared" si="178"/>
        <v>9.3012758821718542</v>
      </c>
      <c r="AB322" s="312">
        <f t="shared" si="178"/>
        <v>13.795678267980144</v>
      </c>
      <c r="AC322" s="315">
        <f t="shared" si="178"/>
        <v>19.447303495978758</v>
      </c>
      <c r="AD322" s="314">
        <f t="shared" si="178"/>
        <v>5.8160896313541386</v>
      </c>
      <c r="AE322" s="130">
        <f t="shared" si="178"/>
        <v>9.3012758821718542</v>
      </c>
      <c r="AF322" s="130">
        <f t="shared" si="178"/>
        <v>13.795678267980144</v>
      </c>
      <c r="AG322" s="138">
        <f t="shared" si="178"/>
        <v>17.570365829068379</v>
      </c>
      <c r="AH322" s="144">
        <f t="shared" si="186"/>
        <v>8.3488573571401083</v>
      </c>
      <c r="AI322" s="290">
        <f t="shared" si="187"/>
        <v>14.926003313579866</v>
      </c>
      <c r="AJ322" s="291">
        <f t="shared" si="188"/>
        <v>8.6042386320083111</v>
      </c>
      <c r="AK322" s="290">
        <f t="shared" si="189"/>
        <v>14.550615780197791</v>
      </c>
      <c r="AL322" s="291">
        <f t="shared" si="190"/>
        <v>11.637430335359987</v>
      </c>
      <c r="AM322" s="290">
        <f t="shared" si="191"/>
        <v>11.577427206103051</v>
      </c>
      <c r="AN322" s="292">
        <f t="shared" si="192"/>
        <v>11.60742877073152</v>
      </c>
    </row>
    <row r="323" spans="1:40" x14ac:dyDescent="0.25">
      <c r="A323" s="99" t="s">
        <v>18</v>
      </c>
      <c r="B323" s="136">
        <f t="shared" si="179"/>
        <v>1.4264526155571577</v>
      </c>
      <c r="C323" s="130">
        <f t="shared" ref="C323:I323" si="199">C309*$B295</f>
        <v>2.6685883201153575</v>
      </c>
      <c r="D323" s="130">
        <f t="shared" si="199"/>
        <v>4.2937826484018267</v>
      </c>
      <c r="E323" s="137">
        <f t="shared" si="199"/>
        <v>6.5103938476327814</v>
      </c>
      <c r="F323" s="136">
        <f t="shared" si="199"/>
        <v>1.8159222622766966</v>
      </c>
      <c r="G323" s="130">
        <f t="shared" si="199"/>
        <v>2.6685883201153575</v>
      </c>
      <c r="H323" s="130">
        <f t="shared" si="199"/>
        <v>4.2937826484018267</v>
      </c>
      <c r="I323" s="137">
        <f t="shared" si="199"/>
        <v>5.7570986461587763</v>
      </c>
      <c r="J323" s="136">
        <f t="shared" si="181"/>
        <v>2.2338830409356727</v>
      </c>
      <c r="K323" s="130">
        <f t="shared" ref="K323:Q323" si="200">K309*$C295</f>
        <v>4.0776015781462789</v>
      </c>
      <c r="L323" s="130">
        <f t="shared" si="200"/>
        <v>5.6290792517824233</v>
      </c>
      <c r="M323" s="137">
        <f t="shared" si="200"/>
        <v>7.7451479131619001</v>
      </c>
      <c r="N323" s="136">
        <f t="shared" si="200"/>
        <v>2.7892936874148835</v>
      </c>
      <c r="O323" s="130">
        <f t="shared" si="200"/>
        <v>4.0776015781462789</v>
      </c>
      <c r="P323" s="130">
        <f t="shared" si="200"/>
        <v>5.6290792517824233</v>
      </c>
      <c r="Q323" s="137">
        <f t="shared" si="200"/>
        <v>7.0260211808058957</v>
      </c>
      <c r="R323" s="314">
        <f t="shared" si="183"/>
        <v>0.95973431066250092</v>
      </c>
      <c r="S323" s="312">
        <f t="shared" ref="S323:Y323" si="201">S309*$D295</f>
        <v>2.6663435712569092</v>
      </c>
      <c r="T323" s="312">
        <f t="shared" si="201"/>
        <v>4.2310465913642554</v>
      </c>
      <c r="U323" s="315">
        <f t="shared" si="201"/>
        <v>6.0552886565729391</v>
      </c>
      <c r="V323" s="314">
        <f t="shared" si="201"/>
        <v>1.385453032123688</v>
      </c>
      <c r="W323" s="312">
        <f t="shared" si="201"/>
        <v>2.6663435712569092</v>
      </c>
      <c r="X323" s="312">
        <f t="shared" si="201"/>
        <v>4.2310465913642554</v>
      </c>
      <c r="Y323" s="315">
        <f t="shared" si="201"/>
        <v>5.463390258751903</v>
      </c>
      <c r="Z323" s="314">
        <f t="shared" si="185"/>
        <v>4.6200699671553318</v>
      </c>
      <c r="AA323" s="312">
        <f t="shared" si="178"/>
        <v>9.4125334695185465</v>
      </c>
      <c r="AB323" s="312">
        <f t="shared" si="178"/>
        <v>14.153908491548506</v>
      </c>
      <c r="AC323" s="315">
        <f t="shared" si="178"/>
        <v>20.310830417367619</v>
      </c>
      <c r="AD323" s="314">
        <f t="shared" si="178"/>
        <v>5.9906689818152676</v>
      </c>
      <c r="AE323" s="130">
        <f t="shared" si="178"/>
        <v>9.4125334695185465</v>
      </c>
      <c r="AF323" s="130">
        <f t="shared" si="178"/>
        <v>14.153908491548506</v>
      </c>
      <c r="AG323" s="138">
        <f t="shared" si="178"/>
        <v>18.246510085716576</v>
      </c>
      <c r="AH323" s="144">
        <f t="shared" si="186"/>
        <v>8.4540407690459034</v>
      </c>
      <c r="AI323" s="290">
        <f t="shared" si="187"/>
        <v>15.385292876712329</v>
      </c>
      <c r="AJ323" s="291">
        <f t="shared" si="188"/>
        <v>8.7281605719778916</v>
      </c>
      <c r="AK323" s="290">
        <f t="shared" si="189"/>
        <v>14.972428810382121</v>
      </c>
      <c r="AL323" s="291">
        <f t="shared" si="190"/>
        <v>11.919666822879115</v>
      </c>
      <c r="AM323" s="290">
        <f t="shared" si="191"/>
        <v>11.850294691180007</v>
      </c>
      <c r="AN323" s="292">
        <f t="shared" si="192"/>
        <v>11.884980757029561</v>
      </c>
    </row>
    <row r="324" spans="1:40" x14ac:dyDescent="0.25">
      <c r="A324" s="99" t="s">
        <v>19</v>
      </c>
      <c r="B324" s="136">
        <f t="shared" si="179"/>
        <v>1.4429493725035853</v>
      </c>
      <c r="C324" s="130">
        <f t="shared" ref="C324:I324" si="202">C310*$B296</f>
        <v>2.9179999546290518</v>
      </c>
      <c r="D324" s="130">
        <f t="shared" si="202"/>
        <v>4.0864839848655485</v>
      </c>
      <c r="E324" s="137">
        <f t="shared" si="202"/>
        <v>5.5663497484342974</v>
      </c>
      <c r="F324" s="136">
        <f t="shared" si="202"/>
        <v>1.8089031621930369</v>
      </c>
      <c r="G324" s="130">
        <f t="shared" si="202"/>
        <v>2.9179999546290518</v>
      </c>
      <c r="H324" s="130">
        <f t="shared" si="202"/>
        <v>4.0864839848655485</v>
      </c>
      <c r="I324" s="137">
        <f t="shared" si="202"/>
        <v>5.0816214831438824</v>
      </c>
      <c r="J324" s="136">
        <f t="shared" si="181"/>
        <v>1.9068637935783905</v>
      </c>
      <c r="K324" s="130">
        <f t="shared" ref="K324:Q324" si="203">K310*$C296</f>
        <v>3.6740874395391612</v>
      </c>
      <c r="L324" s="130">
        <f t="shared" si="203"/>
        <v>5.1449636611114249</v>
      </c>
      <c r="M324" s="137">
        <f t="shared" si="203"/>
        <v>6.9323575506169641</v>
      </c>
      <c r="N324" s="136">
        <f t="shared" si="203"/>
        <v>2.3583669375420282</v>
      </c>
      <c r="O324" s="130">
        <f t="shared" si="203"/>
        <v>3.6740874395391612</v>
      </c>
      <c r="P324" s="130">
        <f t="shared" si="203"/>
        <v>5.1449636611114249</v>
      </c>
      <c r="Q324" s="137">
        <f t="shared" si="203"/>
        <v>6.339662701839953</v>
      </c>
      <c r="R324" s="314">
        <f t="shared" si="183"/>
        <v>0.42582131664870737</v>
      </c>
      <c r="S324" s="312">
        <f t="shared" ref="S324:Y324" si="204">S310*$D296</f>
        <v>1.6424536499307283</v>
      </c>
      <c r="T324" s="312">
        <f t="shared" si="204"/>
        <v>3.3457389165255575</v>
      </c>
      <c r="U324" s="315">
        <f t="shared" si="204"/>
        <v>5.1706874164485885</v>
      </c>
      <c r="V324" s="314">
        <f t="shared" si="204"/>
        <v>0.67062248916363543</v>
      </c>
      <c r="W324" s="312">
        <f t="shared" si="204"/>
        <v>1.6424536499307283</v>
      </c>
      <c r="X324" s="312">
        <f t="shared" si="204"/>
        <v>3.3457389165255575</v>
      </c>
      <c r="Y324" s="315">
        <f t="shared" si="204"/>
        <v>4.5826484553622802</v>
      </c>
      <c r="Z324" s="314">
        <f t="shared" si="185"/>
        <v>3.7756344827306831</v>
      </c>
      <c r="AA324" s="312">
        <f t="shared" si="178"/>
        <v>8.2345410440989415</v>
      </c>
      <c r="AB324" s="312">
        <f t="shared" si="178"/>
        <v>12.577186562502533</v>
      </c>
      <c r="AC324" s="315">
        <f t="shared" si="178"/>
        <v>17.669394715499848</v>
      </c>
      <c r="AD324" s="314">
        <f t="shared" si="178"/>
        <v>4.8378925888987006</v>
      </c>
      <c r="AE324" s="130">
        <f t="shared" si="178"/>
        <v>8.2345410440989415</v>
      </c>
      <c r="AF324" s="130">
        <f t="shared" si="178"/>
        <v>12.577186562502533</v>
      </c>
      <c r="AG324" s="138">
        <f t="shared" si="178"/>
        <v>16.003932640346115</v>
      </c>
      <c r="AH324" s="144">
        <f t="shared" si="186"/>
        <v>7.3427597318252902</v>
      </c>
      <c r="AI324" s="290">
        <f t="shared" si="187"/>
        <v>13.595628193101996</v>
      </c>
      <c r="AJ324" s="291">
        <f t="shared" si="188"/>
        <v>7.5552113530588931</v>
      </c>
      <c r="AK324" s="290">
        <f t="shared" si="189"/>
        <v>13.26253577807125</v>
      </c>
      <c r="AL324" s="291">
        <f t="shared" si="190"/>
        <v>10.469193962463644</v>
      </c>
      <c r="AM324" s="290">
        <f t="shared" si="191"/>
        <v>10.408873565565072</v>
      </c>
      <c r="AN324" s="292">
        <f t="shared" si="192"/>
        <v>10.439033764014358</v>
      </c>
    </row>
    <row r="325" spans="1:40" x14ac:dyDescent="0.25">
      <c r="A325" s="99" t="s">
        <v>20</v>
      </c>
      <c r="B325" s="136">
        <f t="shared" si="179"/>
        <v>1.4337159425866783</v>
      </c>
      <c r="C325" s="130">
        <f t="shared" ref="C325:I325" si="205">C311*$B297</f>
        <v>2.8993276792242275</v>
      </c>
      <c r="D325" s="130">
        <f t="shared" si="205"/>
        <v>4.0603345826759538</v>
      </c>
      <c r="E325" s="137">
        <f t="shared" si="205"/>
        <v>5.5307306884211336</v>
      </c>
      <c r="F325" s="136">
        <f t="shared" si="205"/>
        <v>1.7973279947666136</v>
      </c>
      <c r="G325" s="130">
        <f t="shared" si="205"/>
        <v>2.8993276792242275</v>
      </c>
      <c r="H325" s="130">
        <f t="shared" si="205"/>
        <v>4.0603345826759538</v>
      </c>
      <c r="I325" s="137">
        <f t="shared" si="205"/>
        <v>5.049104198252973</v>
      </c>
      <c r="J325" s="136">
        <f t="shared" si="181"/>
        <v>1.8975344768538118</v>
      </c>
      <c r="K325" s="130">
        <f t="shared" ref="K325:Q325" si="206">K311*$C297</f>
        <v>3.6561119944587688</v>
      </c>
      <c r="L325" s="130">
        <f t="shared" si="206"/>
        <v>5.1197919652133761</v>
      </c>
      <c r="M325" s="137">
        <f t="shared" si="206"/>
        <v>6.8984410435987238</v>
      </c>
      <c r="N325" s="136">
        <f t="shared" si="206"/>
        <v>2.3468286450917764</v>
      </c>
      <c r="O325" s="130">
        <f t="shared" si="206"/>
        <v>3.6561119944587688</v>
      </c>
      <c r="P325" s="130">
        <f t="shared" si="206"/>
        <v>5.1197919652133761</v>
      </c>
      <c r="Q325" s="137">
        <f t="shared" si="206"/>
        <v>6.3086459498980263</v>
      </c>
      <c r="R325" s="314">
        <f t="shared" si="183"/>
        <v>0.81708615269173068</v>
      </c>
      <c r="S325" s="312">
        <f t="shared" ref="S325:Y325" si="207">S311*$D297</f>
        <v>2.239076632547043</v>
      </c>
      <c r="T325" s="312">
        <f t="shared" si="207"/>
        <v>4.0035360237811224</v>
      </c>
      <c r="U325" s="315">
        <f t="shared" si="207"/>
        <v>6.0360145630507578</v>
      </c>
      <c r="V325" s="314">
        <f t="shared" si="207"/>
        <v>1.1632775522376577</v>
      </c>
      <c r="W325" s="312">
        <f t="shared" si="207"/>
        <v>2.239076632547043</v>
      </c>
      <c r="X325" s="312">
        <f t="shared" si="207"/>
        <v>4.0035360237811224</v>
      </c>
      <c r="Y325" s="315">
        <f t="shared" si="207"/>
        <v>5.3715504252126083</v>
      </c>
      <c r="Z325" s="314">
        <f t="shared" si="185"/>
        <v>4.1483365721322212</v>
      </c>
      <c r="AA325" s="312">
        <f t="shared" si="178"/>
        <v>8.7945163062300402</v>
      </c>
      <c r="AB325" s="312">
        <f t="shared" si="178"/>
        <v>13.183662571670453</v>
      </c>
      <c r="AC325" s="315">
        <f t="shared" si="178"/>
        <v>18.465186295070616</v>
      </c>
      <c r="AD325" s="314">
        <f t="shared" si="178"/>
        <v>5.3074341920960482</v>
      </c>
      <c r="AE325" s="130">
        <f t="shared" si="178"/>
        <v>8.7945163062300402</v>
      </c>
      <c r="AF325" s="130">
        <f t="shared" si="178"/>
        <v>13.183662571670453</v>
      </c>
      <c r="AG325" s="138">
        <f t="shared" si="178"/>
        <v>16.729300573363606</v>
      </c>
      <c r="AH325" s="144">
        <f>AH$316*AA325+(1-AH$316)*Z325</f>
        <v>7.8652803594104759</v>
      </c>
      <c r="AI325" s="290">
        <f t="shared" si="187"/>
        <v>14.239967316350485</v>
      </c>
      <c r="AJ325" s="291">
        <f t="shared" si="188"/>
        <v>8.0970998834032422</v>
      </c>
      <c r="AK325" s="290">
        <f t="shared" si="189"/>
        <v>13.892790172009082</v>
      </c>
      <c r="AL325" s="291">
        <f t="shared" si="190"/>
        <v>11.05262383788048</v>
      </c>
      <c r="AM325" s="290">
        <f t="shared" si="191"/>
        <v>10.994945027706162</v>
      </c>
      <c r="AN325" s="292">
        <f t="shared" si="192"/>
        <v>11.02378443279332</v>
      </c>
    </row>
    <row r="326" spans="1:40" x14ac:dyDescent="0.25">
      <c r="A326" s="99" t="s">
        <v>21</v>
      </c>
      <c r="B326" s="136">
        <f t="shared" si="179"/>
        <v>1.653268887842809</v>
      </c>
      <c r="C326" s="130">
        <f t="shared" ref="C326:I326" si="208">C312*$B298</f>
        <v>3.2531051310214973</v>
      </c>
      <c r="D326" s="130">
        <f t="shared" si="208"/>
        <v>4.607779828094217</v>
      </c>
      <c r="E326" s="137">
        <f t="shared" si="208"/>
        <v>6.4920663266907264</v>
      </c>
      <c r="F326" s="136">
        <f t="shared" si="208"/>
        <v>2.1483066251721668</v>
      </c>
      <c r="G326" s="130">
        <f t="shared" si="208"/>
        <v>3.2531051310214973</v>
      </c>
      <c r="H326" s="130">
        <f t="shared" si="208"/>
        <v>4.607779828094217</v>
      </c>
      <c r="I326" s="137">
        <f t="shared" si="208"/>
        <v>5.8555892358386936</v>
      </c>
      <c r="J326" s="136">
        <f t="shared" si="181"/>
        <v>1.3269312760430285</v>
      </c>
      <c r="K326" s="130">
        <f t="shared" ref="K326:Q326" si="209">K312*$C298</f>
        <v>3.1097986540439702</v>
      </c>
      <c r="L326" s="130">
        <f t="shared" si="209"/>
        <v>4.7731793294628373</v>
      </c>
      <c r="M326" s="137">
        <f t="shared" si="209"/>
        <v>6.6708168296807715</v>
      </c>
      <c r="N326" s="136">
        <f t="shared" si="209"/>
        <v>1.7844395714559682</v>
      </c>
      <c r="O326" s="130">
        <f t="shared" si="209"/>
        <v>3.1097986540439702</v>
      </c>
      <c r="P326" s="130">
        <f t="shared" si="209"/>
        <v>4.7731793294628373</v>
      </c>
      <c r="Q326" s="137">
        <f t="shared" si="209"/>
        <v>6.0466560280349384</v>
      </c>
      <c r="R326" s="314">
        <f t="shared" si="183"/>
        <v>1.6687760970762073</v>
      </c>
      <c r="S326" s="312">
        <f t="shared" ref="S326:Y326" si="210">S312*$D298</f>
        <v>3.3746773576023852</v>
      </c>
      <c r="T326" s="312">
        <f t="shared" si="210"/>
        <v>4.7260333071813383</v>
      </c>
      <c r="U326" s="315">
        <f t="shared" si="210"/>
        <v>6.4375033422250114</v>
      </c>
      <c r="V326" s="314">
        <f t="shared" si="210"/>
        <v>2.0920029604058787</v>
      </c>
      <c r="W326" s="312">
        <f t="shared" si="210"/>
        <v>3.3746773576023852</v>
      </c>
      <c r="X326" s="312">
        <f t="shared" si="210"/>
        <v>4.7260333071813383</v>
      </c>
      <c r="Y326" s="315">
        <f t="shared" si="210"/>
        <v>5.8769133741304458</v>
      </c>
      <c r="Z326" s="314">
        <f t="shared" si="185"/>
        <v>4.6489762609620442</v>
      </c>
      <c r="AA326" s="312">
        <f t="shared" si="178"/>
        <v>9.7375811426678531</v>
      </c>
      <c r="AB326" s="312">
        <f t="shared" si="178"/>
        <v>14.106992464738394</v>
      </c>
      <c r="AC326" s="315">
        <f t="shared" si="178"/>
        <v>19.60038649859651</v>
      </c>
      <c r="AD326" s="314">
        <f t="shared" si="178"/>
        <v>6.0247491570340141</v>
      </c>
      <c r="AE326" s="130">
        <f t="shared" si="178"/>
        <v>9.7375811426678531</v>
      </c>
      <c r="AF326" s="130">
        <f t="shared" si="178"/>
        <v>14.106992464738394</v>
      </c>
      <c r="AG326" s="138">
        <f t="shared" si="178"/>
        <v>17.779158638004077</v>
      </c>
      <c r="AH326" s="144">
        <f t="shared" si="186"/>
        <v>8.7198601663266917</v>
      </c>
      <c r="AI326" s="290">
        <f t="shared" si="187"/>
        <v>15.205671271510017</v>
      </c>
      <c r="AJ326" s="291">
        <f t="shared" si="188"/>
        <v>8.995014745541086</v>
      </c>
      <c r="AK326" s="290">
        <f t="shared" si="189"/>
        <v>14.841425699391531</v>
      </c>
      <c r="AL326" s="291">
        <f t="shared" si="190"/>
        <v>11.962765718918355</v>
      </c>
      <c r="AM326" s="290">
        <f t="shared" si="191"/>
        <v>11.918220222466308</v>
      </c>
      <c r="AN326" s="292">
        <f t="shared" si="192"/>
        <v>11.940492970692333</v>
      </c>
    </row>
    <row r="327" spans="1:40" x14ac:dyDescent="0.25">
      <c r="A327" s="99" t="s">
        <v>23</v>
      </c>
      <c r="B327" s="136">
        <f t="shared" si="179"/>
        <v>1.4116437973380396</v>
      </c>
      <c r="C327" s="130">
        <f t="shared" ref="C327:I327" si="211">C313*$B299</f>
        <v>2.6408841826604901</v>
      </c>
      <c r="D327" s="130">
        <f t="shared" si="211"/>
        <v>4.249206441650121</v>
      </c>
      <c r="E327" s="137">
        <f t="shared" si="211"/>
        <v>6.4428057357158615</v>
      </c>
      <c r="F327" s="136">
        <f t="shared" si="211"/>
        <v>1.7970701375101112</v>
      </c>
      <c r="G327" s="130">
        <f t="shared" si="211"/>
        <v>2.6408841826604901</v>
      </c>
      <c r="H327" s="130">
        <f t="shared" si="211"/>
        <v>4.249206441650121</v>
      </c>
      <c r="I327" s="137">
        <f t="shared" si="211"/>
        <v>5.6973309213912788</v>
      </c>
      <c r="J327" s="136">
        <f t="shared" si="181"/>
        <v>1.5744599529377163</v>
      </c>
      <c r="K327" s="130">
        <f t="shared" ref="K327:Q327" si="212">K313*$C299</f>
        <v>3.4375969041841317</v>
      </c>
      <c r="L327" s="130">
        <f t="shared" si="212"/>
        <v>4.9168714684903296</v>
      </c>
      <c r="M327" s="137">
        <f t="shared" si="212"/>
        <v>6.6208459666151924</v>
      </c>
      <c r="N327" s="136">
        <f t="shared" si="212"/>
        <v>2.0519473123023748</v>
      </c>
      <c r="O327" s="130">
        <f t="shared" si="212"/>
        <v>3.4375969041841317</v>
      </c>
      <c r="P327" s="130">
        <f t="shared" si="212"/>
        <v>4.9168714684903296</v>
      </c>
      <c r="Q327" s="137">
        <f t="shared" si="212"/>
        <v>6.0637773806897579</v>
      </c>
      <c r="R327" s="314">
        <f t="shared" si="183"/>
        <v>0.95268212368556504</v>
      </c>
      <c r="S327" s="312">
        <f t="shared" ref="S327:Y327" si="213">S313*$D299</f>
        <v>2.646751114052504</v>
      </c>
      <c r="T327" s="312">
        <f t="shared" si="213"/>
        <v>4.1999565997499815</v>
      </c>
      <c r="U327" s="315">
        <f t="shared" si="213"/>
        <v>6.0107940216192368</v>
      </c>
      <c r="V327" s="314">
        <f t="shared" si="213"/>
        <v>1.3752726376939477</v>
      </c>
      <c r="W327" s="312">
        <f t="shared" si="213"/>
        <v>2.646751114052504</v>
      </c>
      <c r="X327" s="312">
        <f t="shared" si="213"/>
        <v>4.1999565997499815</v>
      </c>
      <c r="Y327" s="315">
        <f t="shared" si="213"/>
        <v>5.4232449297742482</v>
      </c>
      <c r="Z327" s="314">
        <f t="shared" si="185"/>
        <v>3.9387858739613213</v>
      </c>
      <c r="AA327" s="312">
        <f t="shared" si="178"/>
        <v>8.7252322008971266</v>
      </c>
      <c r="AB327" s="312">
        <f t="shared" si="178"/>
        <v>13.366034509890433</v>
      </c>
      <c r="AC327" s="315">
        <f t="shared" si="178"/>
        <v>19.074445723950291</v>
      </c>
      <c r="AD327" s="314">
        <f t="shared" si="178"/>
        <v>5.224290087506434</v>
      </c>
      <c r="AE327" s="130">
        <f t="shared" si="178"/>
        <v>8.7252322008971266</v>
      </c>
      <c r="AF327" s="130">
        <f t="shared" si="178"/>
        <v>13.366034509890433</v>
      </c>
      <c r="AG327" s="138">
        <f t="shared" si="178"/>
        <v>17.184353231855287</v>
      </c>
      <c r="AH327" s="144">
        <f t="shared" si="186"/>
        <v>7.7679429355099661</v>
      </c>
      <c r="AI327" s="290">
        <f t="shared" si="187"/>
        <v>14.507716752702404</v>
      </c>
      <c r="AJ327" s="291">
        <f t="shared" si="188"/>
        <v>8.0250437782189881</v>
      </c>
      <c r="AK327" s="290">
        <f t="shared" si="189"/>
        <v>14.129698254283404</v>
      </c>
      <c r="AL327" s="291">
        <f t="shared" si="190"/>
        <v>11.137829844106186</v>
      </c>
      <c r="AM327" s="290">
        <f t="shared" si="191"/>
        <v>11.077371016251195</v>
      </c>
      <c r="AN327" s="292">
        <f t="shared" si="192"/>
        <v>11.107600430178691</v>
      </c>
    </row>
    <row r="328" spans="1:40" ht="15.75" thickBot="1" x14ac:dyDescent="0.3">
      <c r="A328" s="100" t="s">
        <v>24</v>
      </c>
      <c r="B328" s="139">
        <f t="shared" si="179"/>
        <v>0.6822024212848703</v>
      </c>
      <c r="C328" s="140">
        <f t="shared" ref="C328:I328" si="214">C314*$B300</f>
        <v>1.8694521931792687</v>
      </c>
      <c r="D328" s="140">
        <f t="shared" si="214"/>
        <v>3.3426364651110609</v>
      </c>
      <c r="E328" s="141">
        <f t="shared" si="214"/>
        <v>5.0395955631590752</v>
      </c>
      <c r="F328" s="139">
        <f t="shared" si="214"/>
        <v>0.9712449050183235</v>
      </c>
      <c r="G328" s="140">
        <f t="shared" si="214"/>
        <v>1.8694521931792687</v>
      </c>
      <c r="H328" s="140">
        <f t="shared" si="214"/>
        <v>3.3426364651110609</v>
      </c>
      <c r="I328" s="141">
        <f t="shared" si="214"/>
        <v>4.4848204734126105</v>
      </c>
      <c r="J328" s="139">
        <f t="shared" si="181"/>
        <v>1.5707283580136115</v>
      </c>
      <c r="K328" s="140">
        <f t="shared" ref="K328:Q328" si="215">K314*$C300</f>
        <v>3.4294495269613341</v>
      </c>
      <c r="L328" s="140">
        <f t="shared" si="215"/>
        <v>4.905218093261535</v>
      </c>
      <c r="M328" s="141">
        <f t="shared" si="215"/>
        <v>6.6051540367212613</v>
      </c>
      <c r="N328" s="139">
        <f t="shared" si="215"/>
        <v>2.0470840344776002</v>
      </c>
      <c r="O328" s="140">
        <f t="shared" si="215"/>
        <v>3.4294495269613341</v>
      </c>
      <c r="P328" s="140">
        <f t="shared" si="215"/>
        <v>4.905218093261535</v>
      </c>
      <c r="Q328" s="141">
        <f t="shared" si="215"/>
        <v>6.0494057475132754</v>
      </c>
      <c r="R328" s="318">
        <f t="shared" si="183"/>
        <v>1.594560975244933</v>
      </c>
      <c r="S328" s="316">
        <f t="shared" ref="S328:Y328" si="216">S314*$D300</f>
        <v>3.3213722683419342</v>
      </c>
      <c r="T328" s="316">
        <f t="shared" si="216"/>
        <v>4.9045975020566903</v>
      </c>
      <c r="U328" s="319">
        <f t="shared" si="216"/>
        <v>6.9771489118240968</v>
      </c>
      <c r="V328" s="318">
        <f t="shared" si="216"/>
        <v>2.0891771640116663</v>
      </c>
      <c r="W328" s="316">
        <f t="shared" si="216"/>
        <v>3.3213722683419342</v>
      </c>
      <c r="X328" s="316">
        <f t="shared" si="216"/>
        <v>4.9045975020566903</v>
      </c>
      <c r="Y328" s="319">
        <f t="shared" si="216"/>
        <v>6.2837793882282549</v>
      </c>
      <c r="Z328" s="318">
        <f t="shared" si="185"/>
        <v>3.8474917545434151</v>
      </c>
      <c r="AA328" s="316">
        <f t="shared" si="178"/>
        <v>8.6202739884825377</v>
      </c>
      <c r="AB328" s="316">
        <f t="shared" si="178"/>
        <v>13.152452060429287</v>
      </c>
      <c r="AC328" s="319">
        <f t="shared" si="178"/>
        <v>18.621898511704433</v>
      </c>
      <c r="AD328" s="318">
        <f t="shared" si="178"/>
        <v>5.1075061035075899</v>
      </c>
      <c r="AE328" s="140">
        <f t="shared" si="178"/>
        <v>8.6202739884825377</v>
      </c>
      <c r="AF328" s="140">
        <f t="shared" si="178"/>
        <v>13.152452060429287</v>
      </c>
      <c r="AG328" s="142">
        <f t="shared" si="178"/>
        <v>16.818005609154142</v>
      </c>
      <c r="AH328" s="145">
        <f t="shared" si="186"/>
        <v>7.6657175416947139</v>
      </c>
      <c r="AI328" s="293">
        <f t="shared" si="187"/>
        <v>14.246341350684315</v>
      </c>
      <c r="AJ328" s="294">
        <f t="shared" si="188"/>
        <v>7.917720411487549</v>
      </c>
      <c r="AK328" s="293">
        <f t="shared" si="189"/>
        <v>13.885562770174257</v>
      </c>
      <c r="AL328" s="294">
        <f t="shared" si="190"/>
        <v>10.956029446189515</v>
      </c>
      <c r="AM328" s="293">
        <f t="shared" si="191"/>
        <v>10.901641590830902</v>
      </c>
      <c r="AN328" s="295">
        <f t="shared" si="192"/>
        <v>10.928835518510208</v>
      </c>
    </row>
    <row r="330" spans="1:40" ht="15.75" thickBot="1" x14ac:dyDescent="0.3">
      <c r="A330" s="1" t="s">
        <v>184</v>
      </c>
    </row>
    <row r="331" spans="1:40" x14ac:dyDescent="0.25">
      <c r="A331" s="213" t="s">
        <v>27</v>
      </c>
      <c r="B331" s="213" t="s">
        <v>172</v>
      </c>
    </row>
    <row r="332" spans="1:40" ht="15.75" thickBot="1" x14ac:dyDescent="0.3">
      <c r="A332" s="231"/>
      <c r="B332" s="231"/>
      <c r="C332" t="s">
        <v>207</v>
      </c>
      <c r="D332" t="s">
        <v>208</v>
      </c>
    </row>
    <row r="333" spans="1:40" x14ac:dyDescent="0.25">
      <c r="A333" s="159" t="s">
        <v>25</v>
      </c>
      <c r="B333" s="185">
        <v>12.721147205388451</v>
      </c>
      <c r="C333" s="125">
        <v>12.732133729212656</v>
      </c>
      <c r="D333">
        <v>12.721</v>
      </c>
    </row>
    <row r="334" spans="1:40" x14ac:dyDescent="0.25">
      <c r="A334" s="160" t="s">
        <v>15</v>
      </c>
      <c r="B334" s="186">
        <v>12.633179987519293</v>
      </c>
      <c r="C334" s="125">
        <v>12.441243486147759</v>
      </c>
      <c r="D334">
        <v>12.634</v>
      </c>
    </row>
    <row r="335" spans="1:40" x14ac:dyDescent="0.25">
      <c r="A335" s="160" t="s">
        <v>21</v>
      </c>
      <c r="B335" s="186">
        <v>11.940492970692333</v>
      </c>
      <c r="C335" s="125">
        <v>11.991412134522992</v>
      </c>
      <c r="D335">
        <v>11.941000000000001</v>
      </c>
    </row>
    <row r="336" spans="1:40" x14ac:dyDescent="0.25">
      <c r="A336" s="160" t="s">
        <v>18</v>
      </c>
      <c r="B336" s="186">
        <v>11.884980757029561</v>
      </c>
      <c r="C336" s="125">
        <v>11.701173259452414</v>
      </c>
      <c r="D336">
        <v>11.884</v>
      </c>
    </row>
    <row r="337" spans="1:4" x14ac:dyDescent="0.25">
      <c r="A337" s="160" t="s">
        <v>16</v>
      </c>
      <c r="B337" s="186">
        <v>11.60742877073152</v>
      </c>
      <c r="C337" s="125">
        <v>11.928871829085455</v>
      </c>
      <c r="D337">
        <v>11.606999999999999</v>
      </c>
    </row>
    <row r="338" spans="1:4" x14ac:dyDescent="0.25">
      <c r="A338" s="160" t="s">
        <v>23</v>
      </c>
      <c r="B338" s="186">
        <v>11.107600430178691</v>
      </c>
      <c r="C338" s="125">
        <v>11.172110574334429</v>
      </c>
      <c r="D338">
        <v>11.108000000000001</v>
      </c>
    </row>
    <row r="339" spans="1:4" x14ac:dyDescent="0.25">
      <c r="A339" s="160" t="s">
        <v>20</v>
      </c>
      <c r="B339" s="186">
        <v>11.02378443279332</v>
      </c>
      <c r="C339" s="125">
        <v>10.982999782096588</v>
      </c>
      <c r="D339">
        <v>11.023999999999999</v>
      </c>
    </row>
    <row r="340" spans="1:4" x14ac:dyDescent="0.25">
      <c r="A340" s="160" t="s">
        <v>24</v>
      </c>
      <c r="B340" s="186">
        <v>10.928835518510208</v>
      </c>
      <c r="C340" s="125">
        <v>10.948639164129716</v>
      </c>
      <c r="D340">
        <v>10.928000000000001</v>
      </c>
    </row>
    <row r="341" spans="1:4" x14ac:dyDescent="0.25">
      <c r="A341" s="160" t="s">
        <v>19</v>
      </c>
      <c r="B341" s="186">
        <v>10.439033764014358</v>
      </c>
      <c r="C341" s="125">
        <v>10.638851320257926</v>
      </c>
      <c r="D341">
        <v>10.439</v>
      </c>
    </row>
    <row r="342" spans="1:4" ht="14.25" customHeight="1" thickBot="1" x14ac:dyDescent="0.3">
      <c r="A342" s="161" t="s">
        <v>14</v>
      </c>
      <c r="B342" s="187">
        <v>7.0688884680978052</v>
      </c>
      <c r="C342" s="125">
        <v>7.0707274772296014</v>
      </c>
      <c r="D342">
        <v>7.07</v>
      </c>
    </row>
    <row r="344" spans="1:4" ht="30" x14ac:dyDescent="0.25">
      <c r="A344" s="44" t="s">
        <v>195</v>
      </c>
      <c r="B344" s="2" t="s">
        <v>234</v>
      </c>
      <c r="C344" t="s">
        <v>25</v>
      </c>
    </row>
    <row r="345" spans="1:4" x14ac:dyDescent="0.25">
      <c r="A345" s="41" t="s">
        <v>25</v>
      </c>
      <c r="B345" s="124">
        <f>((AB319-AA319)+(AC319-Z319))/2</f>
        <v>9.4063615328364278</v>
      </c>
      <c r="C345" t="s">
        <v>15</v>
      </c>
    </row>
    <row r="346" spans="1:4" x14ac:dyDescent="0.25">
      <c r="A346" s="41" t="s">
        <v>14</v>
      </c>
      <c r="B346" s="124">
        <f t="shared" ref="B346:B354" si="217">((AB320-AA320)+(AC320-Z320))/2</f>
        <v>9.2369571273103865</v>
      </c>
      <c r="C346" t="s">
        <v>21</v>
      </c>
    </row>
    <row r="347" spans="1:4" x14ac:dyDescent="0.25">
      <c r="A347" s="41" t="s">
        <v>15</v>
      </c>
      <c r="B347" s="124">
        <f t="shared" si="217"/>
        <v>10.666618123701914</v>
      </c>
      <c r="C347" t="s">
        <v>16</v>
      </c>
    </row>
    <row r="348" spans="1:4" x14ac:dyDescent="0.25">
      <c r="A348" s="41" t="s">
        <v>16</v>
      </c>
      <c r="B348" s="124">
        <f t="shared" si="217"/>
        <v>9.7012613123869631</v>
      </c>
      <c r="C348" t="s">
        <v>18</v>
      </c>
    </row>
    <row r="349" spans="1:4" x14ac:dyDescent="0.25">
      <c r="A349" s="41" t="s">
        <v>18</v>
      </c>
      <c r="B349" s="124">
        <f t="shared" si="217"/>
        <v>10.216067736121124</v>
      </c>
      <c r="C349" t="s">
        <v>23</v>
      </c>
    </row>
    <row r="350" spans="1:4" x14ac:dyDescent="0.25">
      <c r="A350" s="41" t="s">
        <v>19</v>
      </c>
      <c r="B350" s="124">
        <f t="shared" si="217"/>
        <v>9.1182028755863769</v>
      </c>
      <c r="C350" t="s">
        <v>20</v>
      </c>
    </row>
    <row r="351" spans="1:4" x14ac:dyDescent="0.25">
      <c r="A351" s="41" t="s">
        <v>20</v>
      </c>
      <c r="B351" s="124">
        <f t="shared" si="217"/>
        <v>9.3529979941894048</v>
      </c>
      <c r="C351" t="s">
        <v>24</v>
      </c>
    </row>
    <row r="352" spans="1:4" x14ac:dyDescent="0.25">
      <c r="A352" s="41" t="s">
        <v>21</v>
      </c>
      <c r="B352" s="124">
        <f t="shared" si="217"/>
        <v>9.6604107798525032</v>
      </c>
      <c r="C352" t="s">
        <v>19</v>
      </c>
    </row>
    <row r="353" spans="1:3" x14ac:dyDescent="0.25">
      <c r="A353" s="41" t="s">
        <v>23</v>
      </c>
      <c r="B353" s="124">
        <f t="shared" si="217"/>
        <v>9.8882310794911383</v>
      </c>
      <c r="C353" t="s">
        <v>14</v>
      </c>
    </row>
    <row r="354" spans="1:3" x14ac:dyDescent="0.25">
      <c r="A354" s="41" t="s">
        <v>24</v>
      </c>
      <c r="B354" s="124">
        <f t="shared" si="217"/>
        <v>9.6532924145538832</v>
      </c>
    </row>
    <row r="356" spans="1:3" x14ac:dyDescent="0.25">
      <c r="A356" s="44" t="s">
        <v>196</v>
      </c>
      <c r="B356" s="2" t="s">
        <v>234</v>
      </c>
    </row>
    <row r="357" spans="1:3" x14ac:dyDescent="0.25">
      <c r="A357" s="41" t="s">
        <v>25</v>
      </c>
      <c r="B357" s="130">
        <f>AC319-Z319</f>
        <v>14.787478573064792</v>
      </c>
    </row>
    <row r="358" spans="1:3" x14ac:dyDescent="0.25">
      <c r="A358" s="41" t="s">
        <v>14</v>
      </c>
      <c r="B358" s="130">
        <f t="shared" ref="B358:B366" si="218">AC320-Z320</f>
        <v>13.511490284530728</v>
      </c>
    </row>
    <row r="359" spans="1:3" x14ac:dyDescent="0.25">
      <c r="A359" s="41" t="s">
        <v>15</v>
      </c>
      <c r="B359" s="130">
        <f t="shared" si="218"/>
        <v>16.40532026257122</v>
      </c>
    </row>
    <row r="360" spans="1:3" x14ac:dyDescent="0.25">
      <c r="A360" s="41" t="s">
        <v>16</v>
      </c>
      <c r="B360" s="130">
        <f t="shared" si="218"/>
        <v>14.908120238965637</v>
      </c>
    </row>
    <row r="361" spans="1:3" x14ac:dyDescent="0.25">
      <c r="A361" s="41" t="s">
        <v>18</v>
      </c>
      <c r="B361" s="130">
        <f t="shared" si="218"/>
        <v>15.690760450212288</v>
      </c>
    </row>
    <row r="362" spans="1:3" x14ac:dyDescent="0.25">
      <c r="A362" s="41" t="s">
        <v>19</v>
      </c>
      <c r="B362" s="130">
        <f t="shared" si="218"/>
        <v>13.893760232769164</v>
      </c>
    </row>
    <row r="363" spans="1:3" x14ac:dyDescent="0.25">
      <c r="A363" s="41" t="s">
        <v>20</v>
      </c>
      <c r="B363" s="130">
        <f t="shared" si="218"/>
        <v>14.316849722938395</v>
      </c>
    </row>
    <row r="364" spans="1:3" x14ac:dyDescent="0.25">
      <c r="A364" s="41" t="s">
        <v>21</v>
      </c>
      <c r="B364" s="130">
        <f t="shared" si="218"/>
        <v>14.951410237634466</v>
      </c>
    </row>
    <row r="365" spans="1:3" x14ac:dyDescent="0.25">
      <c r="A365" s="41" t="s">
        <v>23</v>
      </c>
      <c r="B365" s="130">
        <f t="shared" si="218"/>
        <v>15.135659849988969</v>
      </c>
    </row>
    <row r="366" spans="1:3" x14ac:dyDescent="0.25">
      <c r="A366" s="41" t="s">
        <v>24</v>
      </c>
      <c r="B366" s="130">
        <f t="shared" si="218"/>
        <v>14.774406757161017</v>
      </c>
    </row>
  </sheetData>
  <sortState xmlns:xlrd2="http://schemas.microsoft.com/office/spreadsheetml/2017/richdata2" ref="A333:B342">
    <sortCondition descending="1" ref="B333:B342"/>
  </sortState>
  <mergeCells count="160">
    <mergeCell ref="A331:A332"/>
    <mergeCell ref="B331:B332"/>
    <mergeCell ref="AL317:AM317"/>
    <mergeCell ref="AN317:AN318"/>
    <mergeCell ref="B318:E318"/>
    <mergeCell ref="F318:I318"/>
    <mergeCell ref="J318:M318"/>
    <mergeCell ref="N318:Q318"/>
    <mergeCell ref="R318:U318"/>
    <mergeCell ref="V318:Y318"/>
    <mergeCell ref="Z318:AC318"/>
    <mergeCell ref="AD318:AG318"/>
    <mergeCell ref="A317:A318"/>
    <mergeCell ref="B317:I317"/>
    <mergeCell ref="J317:Q317"/>
    <mergeCell ref="R317:Y317"/>
    <mergeCell ref="Z317:AG317"/>
    <mergeCell ref="AH317:AK317"/>
    <mergeCell ref="AH318:AI318"/>
    <mergeCell ref="AJ318:AK318"/>
    <mergeCell ref="A303:A304"/>
    <mergeCell ref="B303:I303"/>
    <mergeCell ref="J303:Q303"/>
    <mergeCell ref="R303:Y303"/>
    <mergeCell ref="B304:E304"/>
    <mergeCell ref="F304:I304"/>
    <mergeCell ref="J304:M304"/>
    <mergeCell ref="N304:Q304"/>
    <mergeCell ref="R304:U304"/>
    <mergeCell ref="V304:Y304"/>
    <mergeCell ref="A206:I206"/>
    <mergeCell ref="A207:D207"/>
    <mergeCell ref="F207:J207"/>
    <mergeCell ref="A249:I249"/>
    <mergeCell ref="A250:D250"/>
    <mergeCell ref="F250:I250"/>
    <mergeCell ref="A192:A193"/>
    <mergeCell ref="B192:I192"/>
    <mergeCell ref="J192:Q192"/>
    <mergeCell ref="B193:E193"/>
    <mergeCell ref="F193:I193"/>
    <mergeCell ref="J193:M193"/>
    <mergeCell ref="N193:Q193"/>
    <mergeCell ref="R193:U193"/>
    <mergeCell ref="V193:Y193"/>
    <mergeCell ref="A163:A164"/>
    <mergeCell ref="B163:I163"/>
    <mergeCell ref="J163:Q163"/>
    <mergeCell ref="R163:Y163"/>
    <mergeCell ref="B164:E164"/>
    <mergeCell ref="F164:I164"/>
    <mergeCell ref="J164:M164"/>
    <mergeCell ref="N164:Q164"/>
    <mergeCell ref="R164:U164"/>
    <mergeCell ref="V164:Y164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R192:Y192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G115:BJ115"/>
    <mergeCell ref="BK115:BN115"/>
    <mergeCell ref="BO115:BP115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A114:A115"/>
    <mergeCell ref="B114:B115"/>
    <mergeCell ref="C114:C115"/>
    <mergeCell ref="D114:F114"/>
    <mergeCell ref="G114:I114"/>
    <mergeCell ref="J114:J115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Q63:BR63"/>
    <mergeCell ref="BG63:BJ63"/>
    <mergeCell ref="BK63:BN63"/>
    <mergeCell ref="BO63:BP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8B6B1A7C-E40E-4344-8E49-BC9E18E1DA2F}"/>
    <hyperlink ref="B4" r:id="rId2" xr:uid="{C66D20B0-AC79-41F8-B78D-BF7795A6D44C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U414"/>
  <sheetViews>
    <sheetView topLeftCell="O16" zoomScaleNormal="100" workbookViewId="0">
      <selection activeCell="E96" sqref="E96:L108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16" width="9.140625" customWidth="1"/>
    <col min="17" max="25" width="9.140625" style="245" customWidth="1"/>
    <col min="26" max="31" width="9.140625" customWidth="1"/>
    <col min="32" max="32" width="15.7109375" style="245" customWidth="1"/>
    <col min="33" max="39" width="9.140625" style="245" customWidth="1"/>
    <col min="40" max="40" width="15.7109375" style="245" customWidth="1"/>
    <col min="41" max="67" width="9.140625" style="245" customWidth="1"/>
    <col min="68" max="68" width="13.140625" style="24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36</v>
      </c>
      <c r="B1" s="37"/>
      <c r="C1" s="37"/>
    </row>
    <row r="2" spans="1:73" x14ac:dyDescent="0.25">
      <c r="A2" s="1" t="s">
        <v>188</v>
      </c>
      <c r="B2" s="40" t="s">
        <v>38</v>
      </c>
      <c r="C2" s="37"/>
    </row>
    <row r="3" spans="1:73" ht="30" customHeight="1" x14ac:dyDescent="0.25">
      <c r="A3" s="226" t="s">
        <v>230</v>
      </c>
      <c r="B3" s="227"/>
      <c r="C3" s="227"/>
      <c r="D3" s="228"/>
      <c r="E3" s="228"/>
    </row>
    <row r="4" spans="1:73" ht="31.5" x14ac:dyDescent="0.25">
      <c r="A4" s="147" t="s">
        <v>186</v>
      </c>
      <c r="B4" s="148" t="s">
        <v>190</v>
      </c>
      <c r="C4" s="38"/>
    </row>
    <row r="5" spans="1:73" ht="35.25" customHeight="1" x14ac:dyDescent="0.25">
      <c r="A5" s="226" t="s">
        <v>229</v>
      </c>
      <c r="B5" s="227"/>
      <c r="C5" s="227"/>
      <c r="D5" s="228"/>
      <c r="E5" s="228"/>
    </row>
    <row r="6" spans="1:73" ht="15.75" x14ac:dyDescent="0.25">
      <c r="A6" s="82"/>
      <c r="B6" s="38"/>
      <c r="C6" s="38"/>
    </row>
    <row r="7" spans="1:73" ht="18.75" x14ac:dyDescent="0.3">
      <c r="A7" s="85" t="s">
        <v>91</v>
      </c>
      <c r="B7" s="38"/>
      <c r="C7" s="38"/>
    </row>
    <row r="8" spans="1:73" x14ac:dyDescent="0.25">
      <c r="A8" s="1" t="s">
        <v>49</v>
      </c>
      <c r="B8" s="38"/>
      <c r="C8" s="38"/>
    </row>
    <row r="9" spans="1:73" ht="15.75" thickBot="1" x14ac:dyDescent="0.3">
      <c r="A9" s="39" t="s">
        <v>94</v>
      </c>
      <c r="B9" s="38"/>
      <c r="C9" s="38"/>
      <c r="BO9" s="245">
        <v>0.8</v>
      </c>
    </row>
    <row r="10" spans="1:73" ht="86.25" customHeight="1" thickBot="1" x14ac:dyDescent="0.3">
      <c r="A10" s="222" t="s">
        <v>26</v>
      </c>
      <c r="B10" s="222" t="s">
        <v>27</v>
      </c>
      <c r="C10" s="223" t="s">
        <v>28</v>
      </c>
      <c r="D10" s="224" t="s">
        <v>58</v>
      </c>
      <c r="E10" s="225"/>
      <c r="F10" s="225"/>
      <c r="G10" s="225" t="s">
        <v>59</v>
      </c>
      <c r="H10" s="225"/>
      <c r="I10" s="225"/>
      <c r="J10" s="220" t="s">
        <v>88</v>
      </c>
      <c r="K10" s="210" t="s">
        <v>81</v>
      </c>
      <c r="L10" s="211"/>
      <c r="M10" s="211"/>
      <c r="N10" s="211"/>
      <c r="O10" s="211"/>
      <c r="P10" s="211"/>
      <c r="Q10" s="211"/>
      <c r="R10" s="212"/>
      <c r="S10" s="210" t="s">
        <v>79</v>
      </c>
      <c r="T10" s="211"/>
      <c r="U10" s="211"/>
      <c r="V10" s="211"/>
      <c r="W10" s="211"/>
      <c r="X10" s="211"/>
      <c r="Y10" s="211"/>
      <c r="Z10" s="212"/>
      <c r="AA10" s="210" t="s">
        <v>80</v>
      </c>
      <c r="AB10" s="211"/>
      <c r="AC10" s="211"/>
      <c r="AD10" s="211"/>
      <c r="AE10" s="211"/>
      <c r="AF10" s="211"/>
      <c r="AG10" s="211"/>
      <c r="AH10" s="212"/>
      <c r="AI10" s="261" t="s">
        <v>78</v>
      </c>
      <c r="AJ10" s="262"/>
      <c r="AK10" s="262"/>
      <c r="AL10" s="262"/>
      <c r="AM10" s="262"/>
      <c r="AN10" s="262"/>
      <c r="AO10" s="262"/>
      <c r="AP10" s="263"/>
      <c r="AQ10" s="261" t="s">
        <v>89</v>
      </c>
      <c r="AR10" s="262"/>
      <c r="AS10" s="262"/>
      <c r="AT10" s="262"/>
      <c r="AU10" s="262"/>
      <c r="AV10" s="262"/>
      <c r="AW10" s="262"/>
      <c r="AX10" s="263"/>
      <c r="AY10" s="261" t="s">
        <v>90</v>
      </c>
      <c r="AZ10" s="262"/>
      <c r="BA10" s="262"/>
      <c r="BB10" s="262"/>
      <c r="BC10" s="262"/>
      <c r="BD10" s="262"/>
      <c r="BE10" s="262"/>
      <c r="BF10" s="263"/>
      <c r="BG10" s="261" t="s">
        <v>134</v>
      </c>
      <c r="BH10" s="262"/>
      <c r="BI10" s="262"/>
      <c r="BJ10" s="262"/>
      <c r="BK10" s="262"/>
      <c r="BL10" s="262"/>
      <c r="BM10" s="262"/>
      <c r="BN10" s="263"/>
      <c r="BO10" s="199" t="s">
        <v>82</v>
      </c>
      <c r="BP10" s="200"/>
      <c r="BQ10" s="200"/>
      <c r="BR10" s="201"/>
      <c r="BS10" s="202" t="s">
        <v>84</v>
      </c>
      <c r="BT10" s="203"/>
      <c r="BU10" s="204" t="s">
        <v>87</v>
      </c>
    </row>
    <row r="11" spans="1:73" s="36" customFormat="1" ht="23.25" customHeight="1" thickBot="1" x14ac:dyDescent="0.3">
      <c r="A11" s="222"/>
      <c r="B11" s="222"/>
      <c r="C11" s="223"/>
      <c r="D11" s="61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21"/>
      <c r="K11" s="210" t="s">
        <v>3</v>
      </c>
      <c r="L11" s="211"/>
      <c r="M11" s="211"/>
      <c r="N11" s="212"/>
      <c r="O11" s="210" t="s">
        <v>4</v>
      </c>
      <c r="P11" s="211"/>
      <c r="Q11" s="211"/>
      <c r="R11" s="212"/>
      <c r="S11" s="261" t="s">
        <v>3</v>
      </c>
      <c r="T11" s="262"/>
      <c r="U11" s="262"/>
      <c r="V11" s="263"/>
      <c r="W11" s="210" t="s">
        <v>4</v>
      </c>
      <c r="X11" s="211"/>
      <c r="Y11" s="211"/>
      <c r="Z11" s="212"/>
      <c r="AA11" s="210" t="s">
        <v>3</v>
      </c>
      <c r="AB11" s="211"/>
      <c r="AC11" s="211"/>
      <c r="AD11" s="212"/>
      <c r="AE11" s="210" t="s">
        <v>4</v>
      </c>
      <c r="AF11" s="211"/>
      <c r="AG11" s="211"/>
      <c r="AH11" s="212"/>
      <c r="AI11" s="261" t="s">
        <v>3</v>
      </c>
      <c r="AJ11" s="262"/>
      <c r="AK11" s="262"/>
      <c r="AL11" s="263"/>
      <c r="AM11" s="261" t="s">
        <v>4</v>
      </c>
      <c r="AN11" s="262"/>
      <c r="AO11" s="262"/>
      <c r="AP11" s="263"/>
      <c r="AQ11" s="261" t="s">
        <v>3</v>
      </c>
      <c r="AR11" s="262"/>
      <c r="AS11" s="262"/>
      <c r="AT11" s="263"/>
      <c r="AU11" s="261" t="s">
        <v>4</v>
      </c>
      <c r="AV11" s="262"/>
      <c r="AW11" s="262"/>
      <c r="AX11" s="263"/>
      <c r="AY11" s="261" t="s">
        <v>3</v>
      </c>
      <c r="AZ11" s="262"/>
      <c r="BA11" s="262"/>
      <c r="BB11" s="263"/>
      <c r="BC11" s="261" t="s">
        <v>4</v>
      </c>
      <c r="BD11" s="262"/>
      <c r="BE11" s="262"/>
      <c r="BF11" s="263"/>
      <c r="BG11" s="261" t="s">
        <v>3</v>
      </c>
      <c r="BH11" s="262"/>
      <c r="BI11" s="262"/>
      <c r="BJ11" s="263"/>
      <c r="BK11" s="261" t="s">
        <v>4</v>
      </c>
      <c r="BL11" s="262"/>
      <c r="BM11" s="262"/>
      <c r="BN11" s="263"/>
      <c r="BO11" s="270" t="s">
        <v>83</v>
      </c>
      <c r="BP11" s="271"/>
      <c r="BQ11" s="196" t="s">
        <v>5</v>
      </c>
      <c r="BR11" s="198"/>
      <c r="BS11" s="81" t="s">
        <v>85</v>
      </c>
      <c r="BT11" s="81" t="s">
        <v>86</v>
      </c>
      <c r="BU11" s="205"/>
    </row>
    <row r="12" spans="1:73" ht="30" x14ac:dyDescent="0.25">
      <c r="A12" s="41" t="s">
        <v>0</v>
      </c>
      <c r="B12" s="41" t="s">
        <v>25</v>
      </c>
      <c r="C12" s="60" t="s">
        <v>13</v>
      </c>
      <c r="D12" s="91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G12:I21" si="0">IF(E12=$A$25,$B$25,(IF(E12=$A$26,$B$26,IF(E12=$A$27,$B$27,$B$28))))</f>
        <v>0.66</v>
      </c>
      <c r="I12" s="49">
        <f t="shared" si="0"/>
        <v>1</v>
      </c>
      <c r="J12" s="83">
        <f>G12*$D$39+H12*$D$40+I12*$D$41</f>
        <v>14.15</v>
      </c>
      <c r="K12" s="20">
        <v>0.77</v>
      </c>
      <c r="L12" s="22">
        <v>1</v>
      </c>
      <c r="M12" s="22">
        <v>1</v>
      </c>
      <c r="N12" s="23">
        <v>1</v>
      </c>
      <c r="O12" s="20">
        <v>0.83</v>
      </c>
      <c r="P12" s="22">
        <v>1</v>
      </c>
      <c r="Q12" s="242">
        <v>1</v>
      </c>
      <c r="R12" s="243">
        <v>1</v>
      </c>
      <c r="S12" s="241">
        <v>0.44000000000000006</v>
      </c>
      <c r="T12" s="242">
        <v>0.55000000000000004</v>
      </c>
      <c r="U12" s="242">
        <v>0.77</v>
      </c>
      <c r="V12" s="243">
        <v>1</v>
      </c>
      <c r="W12" s="241">
        <v>0.47000000000000003</v>
      </c>
      <c r="X12" s="242">
        <v>0.55000000000000004</v>
      </c>
      <c r="Y12" s="242">
        <v>0.77</v>
      </c>
      <c r="Z12" s="23">
        <v>0.92</v>
      </c>
      <c r="AA12" s="20">
        <v>0.77</v>
      </c>
      <c r="AB12" s="22">
        <v>1</v>
      </c>
      <c r="AC12" s="22">
        <v>1</v>
      </c>
      <c r="AD12" s="23">
        <v>1</v>
      </c>
      <c r="AE12" s="20">
        <v>0.83</v>
      </c>
      <c r="AF12" s="242">
        <v>1</v>
      </c>
      <c r="AG12" s="242">
        <v>1</v>
      </c>
      <c r="AH12" s="243">
        <v>1</v>
      </c>
      <c r="AI12" s="241">
        <v>3.8900000000000006</v>
      </c>
      <c r="AJ12" s="242">
        <v>7</v>
      </c>
      <c r="AK12" s="242">
        <v>8</v>
      </c>
      <c r="AL12" s="243">
        <v>9.5</v>
      </c>
      <c r="AM12" s="241">
        <v>4.8099999999999987</v>
      </c>
      <c r="AN12" s="242">
        <v>7</v>
      </c>
      <c r="AO12" s="242">
        <v>8</v>
      </c>
      <c r="AP12" s="243">
        <v>9</v>
      </c>
      <c r="AQ12" s="241">
        <v>0.60499999999999998</v>
      </c>
      <c r="AR12" s="242">
        <v>1.1000000000000001</v>
      </c>
      <c r="AS12" s="242">
        <v>2.31</v>
      </c>
      <c r="AT12" s="242">
        <v>4.1549999999999994</v>
      </c>
      <c r="AU12" s="241">
        <v>0.77499999999999991</v>
      </c>
      <c r="AV12" s="242">
        <v>1.1000000000000001</v>
      </c>
      <c r="AW12" s="242">
        <v>2.31</v>
      </c>
      <c r="AX12" s="243">
        <v>3.53</v>
      </c>
      <c r="AY12" s="241">
        <v>1.9649999999999999</v>
      </c>
      <c r="AZ12" s="242">
        <v>4.5</v>
      </c>
      <c r="BA12" s="242">
        <v>5.5</v>
      </c>
      <c r="BB12" s="242">
        <v>7</v>
      </c>
      <c r="BC12" s="241">
        <v>2.7349999999999994</v>
      </c>
      <c r="BD12" s="242">
        <v>4.5</v>
      </c>
      <c r="BE12" s="242">
        <v>5.5</v>
      </c>
      <c r="BF12" s="243">
        <v>6.5</v>
      </c>
      <c r="BG12" s="241">
        <f>AI12+AQ12+AY12</f>
        <v>6.4600000000000009</v>
      </c>
      <c r="BH12" s="242">
        <f t="shared" ref="BH12:BN21" si="1">AJ12+AR12+AZ12</f>
        <v>12.6</v>
      </c>
      <c r="BI12" s="242">
        <f t="shared" si="1"/>
        <v>15.81</v>
      </c>
      <c r="BJ12" s="242">
        <f t="shared" si="1"/>
        <v>20.655000000000001</v>
      </c>
      <c r="BK12" s="241">
        <f t="shared" si="1"/>
        <v>8.3199999999999985</v>
      </c>
      <c r="BL12" s="242">
        <f t="shared" si="1"/>
        <v>12.6</v>
      </c>
      <c r="BM12" s="242">
        <f t="shared" si="1"/>
        <v>15.81</v>
      </c>
      <c r="BN12" s="242">
        <f t="shared" si="1"/>
        <v>19.03</v>
      </c>
      <c r="BO12" s="250">
        <f>BO$9*BH12+(1-BO$9)*BG12</f>
        <v>11.372</v>
      </c>
      <c r="BP12" s="275">
        <f>BO$9*BI12+(1-BO$9)*BJ12</f>
        <v>16.779</v>
      </c>
      <c r="BQ12" s="75">
        <f>BO$9*BL12+(1-BO$9)*BK12</f>
        <v>11.744</v>
      </c>
      <c r="BR12" s="76">
        <f>BO$9*BM12+(1-BO$9)*BN12</f>
        <v>16.454000000000001</v>
      </c>
      <c r="BS12" s="20">
        <f>(BO12+BP12)/2</f>
        <v>14.0755</v>
      </c>
      <c r="BT12" s="23">
        <f>(BQ12+BR12)/2</f>
        <v>14.099</v>
      </c>
      <c r="BU12" s="72">
        <f>(BS12+BT12)/2</f>
        <v>14.087250000000001</v>
      </c>
    </row>
    <row r="13" spans="1:73" x14ac:dyDescent="0.25">
      <c r="A13" s="41" t="s">
        <v>1</v>
      </c>
      <c r="B13" s="41" t="s">
        <v>14</v>
      </c>
      <c r="C13" s="60" t="s">
        <v>29</v>
      </c>
      <c r="D13" s="91" t="s">
        <v>46</v>
      </c>
      <c r="E13" s="92" t="s">
        <v>46</v>
      </c>
      <c r="F13" s="92" t="s">
        <v>45</v>
      </c>
      <c r="G13" s="49">
        <f t="shared" si="0"/>
        <v>0.33</v>
      </c>
      <c r="H13" s="49">
        <f t="shared" si="0"/>
        <v>0.33</v>
      </c>
      <c r="I13" s="49">
        <f t="shared" si="0"/>
        <v>0.66</v>
      </c>
      <c r="J13" s="83">
        <f t="shared" ref="J13:J21" si="2">G13*$D$39+H13*$D$40+I13*$D$41</f>
        <v>6.6000000000000005</v>
      </c>
      <c r="K13" s="26">
        <v>0</v>
      </c>
      <c r="L13">
        <v>0.22000000000000003</v>
      </c>
      <c r="M13">
        <v>0.44</v>
      </c>
      <c r="N13" s="27">
        <v>0.55000000000000004</v>
      </c>
      <c r="O13" s="26">
        <v>0.06</v>
      </c>
      <c r="P13">
        <v>0.22000000000000003</v>
      </c>
      <c r="Q13" s="245">
        <v>0.44</v>
      </c>
      <c r="R13" s="246">
        <v>0.52</v>
      </c>
      <c r="S13" s="244">
        <v>0</v>
      </c>
      <c r="T13" s="245">
        <v>0.22000000000000003</v>
      </c>
      <c r="U13" s="245">
        <v>0.44</v>
      </c>
      <c r="V13" s="246">
        <v>0.55000000000000004</v>
      </c>
      <c r="W13" s="244">
        <v>0.06</v>
      </c>
      <c r="X13" s="245">
        <v>0.22000000000000003</v>
      </c>
      <c r="Y13" s="245">
        <v>0.44</v>
      </c>
      <c r="Z13" s="27">
        <v>0.52</v>
      </c>
      <c r="AA13" s="26">
        <v>0.44000000000000006</v>
      </c>
      <c r="AB13">
        <v>0.55000000000000004</v>
      </c>
      <c r="AC13">
        <v>0.77</v>
      </c>
      <c r="AD13" s="27">
        <v>1</v>
      </c>
      <c r="AE13" s="26">
        <v>0.47000000000000003</v>
      </c>
      <c r="AF13" s="245">
        <v>0.55000000000000004</v>
      </c>
      <c r="AG13" s="245">
        <v>0.77</v>
      </c>
      <c r="AH13" s="246">
        <v>0.92</v>
      </c>
      <c r="AI13" s="244">
        <v>0</v>
      </c>
      <c r="AJ13" s="245">
        <v>1.5400000000000003</v>
      </c>
      <c r="AK13" s="245">
        <v>3.52</v>
      </c>
      <c r="AL13" s="246">
        <v>5.0600000000000005</v>
      </c>
      <c r="AM13" s="244">
        <v>0.19999999999999996</v>
      </c>
      <c r="AN13" s="245">
        <v>1.5400000000000003</v>
      </c>
      <c r="AO13" s="245">
        <v>3.52</v>
      </c>
      <c r="AP13" s="246">
        <v>4.6000000000000014</v>
      </c>
      <c r="AQ13" s="244">
        <v>0</v>
      </c>
      <c r="AR13" s="245">
        <v>0.44000000000000006</v>
      </c>
      <c r="AS13" s="245">
        <v>1.32</v>
      </c>
      <c r="AT13" s="245">
        <v>2.3099999999999996</v>
      </c>
      <c r="AU13" s="244">
        <v>5.3999999999999992E-2</v>
      </c>
      <c r="AV13" s="245">
        <v>0.44000000000000006</v>
      </c>
      <c r="AW13" s="245">
        <v>1.32</v>
      </c>
      <c r="AX13" s="246">
        <v>2</v>
      </c>
      <c r="AY13" s="244">
        <v>1.1550000000000002</v>
      </c>
      <c r="AZ13" s="245">
        <v>2.4750000000000001</v>
      </c>
      <c r="BA13" s="245">
        <v>4.2350000000000003</v>
      </c>
      <c r="BB13" s="245">
        <v>6.6550000000000002</v>
      </c>
      <c r="BC13" s="244">
        <v>1.5650000000000008</v>
      </c>
      <c r="BD13" s="245">
        <v>2.4750000000000001</v>
      </c>
      <c r="BE13" s="245">
        <v>4.2350000000000003</v>
      </c>
      <c r="BF13" s="246">
        <v>5.830000000000001</v>
      </c>
      <c r="BG13" s="244">
        <f t="shared" ref="BG13:BG21" si="3">AI13+AQ13+AY13</f>
        <v>1.1550000000000002</v>
      </c>
      <c r="BH13" s="245">
        <f t="shared" si="1"/>
        <v>4.4550000000000001</v>
      </c>
      <c r="BI13" s="245">
        <f t="shared" si="1"/>
        <v>9.0749999999999993</v>
      </c>
      <c r="BJ13" s="245">
        <f t="shared" si="1"/>
        <v>14.025</v>
      </c>
      <c r="BK13" s="244">
        <f t="shared" si="1"/>
        <v>1.8190000000000008</v>
      </c>
      <c r="BL13" s="245">
        <f t="shared" si="1"/>
        <v>4.4550000000000001</v>
      </c>
      <c r="BM13" s="245">
        <f t="shared" si="1"/>
        <v>9.0749999999999993</v>
      </c>
      <c r="BN13" s="245">
        <f t="shared" si="1"/>
        <v>12.430000000000003</v>
      </c>
      <c r="BO13" s="251">
        <f t="shared" ref="BO13:BO21" si="4">BO$9*BH13+(1-BO$9)*BG13</f>
        <v>3.7949999999999999</v>
      </c>
      <c r="BP13" s="278">
        <f t="shared" ref="BP13:BP21" si="5">BO$9*BI13+(1-BO$9)*BJ13</f>
        <v>10.065</v>
      </c>
      <c r="BQ13" s="77">
        <f t="shared" ref="BQ13:BQ21" si="6">BO$9*BL13+(1-BO$9)*BK13</f>
        <v>3.9278</v>
      </c>
      <c r="BR13" s="78">
        <f t="shared" ref="BR13:BR21" si="7">BO$9*BM13+(1-BO$9)*BN13</f>
        <v>9.7460000000000004</v>
      </c>
      <c r="BS13" s="26">
        <f t="shared" ref="BS13:BS21" si="8">(BO13+BP13)/2</f>
        <v>6.93</v>
      </c>
      <c r="BT13" s="27">
        <f t="shared" ref="BT13:BT21" si="9">(BQ13+BR13)/2</f>
        <v>6.8369</v>
      </c>
      <c r="BU13" s="73">
        <f t="shared" ref="BU13:BU21" si="10">(BS13+BT13)/2</f>
        <v>6.8834499999999998</v>
      </c>
    </row>
    <row r="14" spans="1:73" x14ac:dyDescent="0.25">
      <c r="A14" s="41" t="s">
        <v>2</v>
      </c>
      <c r="B14" s="41" t="s">
        <v>15</v>
      </c>
      <c r="C14" s="60" t="s">
        <v>30</v>
      </c>
      <c r="D14" s="91" t="s">
        <v>45</v>
      </c>
      <c r="E14" s="92" t="s">
        <v>45</v>
      </c>
      <c r="F14" s="92" t="s">
        <v>45</v>
      </c>
      <c r="G14" s="49">
        <f t="shared" si="0"/>
        <v>0.66</v>
      </c>
      <c r="H14" s="49">
        <f t="shared" si="0"/>
        <v>0.66</v>
      </c>
      <c r="I14" s="49">
        <f t="shared" si="0"/>
        <v>0.66</v>
      </c>
      <c r="J14" s="83">
        <f t="shared" si="2"/>
        <v>9.9</v>
      </c>
      <c r="K14" s="26">
        <v>0.44000000000000006</v>
      </c>
      <c r="L14">
        <v>0.55000000000000004</v>
      </c>
      <c r="M14">
        <v>0.77</v>
      </c>
      <c r="N14" s="27">
        <v>1</v>
      </c>
      <c r="O14" s="26">
        <v>0.47000000000000003</v>
      </c>
      <c r="P14">
        <v>0.55000000000000004</v>
      </c>
      <c r="Q14" s="245">
        <v>0.77</v>
      </c>
      <c r="R14" s="246">
        <v>0.92</v>
      </c>
      <c r="S14" s="244">
        <v>0.44000000000000006</v>
      </c>
      <c r="T14" s="245">
        <v>0.55000000000000004</v>
      </c>
      <c r="U14" s="245">
        <v>0.77</v>
      </c>
      <c r="V14" s="246">
        <v>1</v>
      </c>
      <c r="W14" s="244">
        <v>0.47000000000000003</v>
      </c>
      <c r="X14" s="245">
        <v>0.55000000000000004</v>
      </c>
      <c r="Y14" s="245">
        <v>0.77</v>
      </c>
      <c r="Z14" s="27">
        <v>0.92</v>
      </c>
      <c r="AA14" s="26">
        <v>0.44000000000000006</v>
      </c>
      <c r="AB14">
        <v>0.55000000000000004</v>
      </c>
      <c r="AC14">
        <v>0.77</v>
      </c>
      <c r="AD14" s="27">
        <v>1</v>
      </c>
      <c r="AE14" s="26">
        <v>0.47000000000000003</v>
      </c>
      <c r="AF14" s="245">
        <v>0.55000000000000004</v>
      </c>
      <c r="AG14" s="245">
        <v>0.77</v>
      </c>
      <c r="AH14" s="246">
        <v>0.92</v>
      </c>
      <c r="AI14" s="244">
        <v>2.2549999999999999</v>
      </c>
      <c r="AJ14" s="245">
        <v>3.8500000000000005</v>
      </c>
      <c r="AK14" s="245">
        <v>6.16</v>
      </c>
      <c r="AL14" s="246">
        <v>9.1550000000000011</v>
      </c>
      <c r="AM14" s="244">
        <v>2.7399999999999993</v>
      </c>
      <c r="AN14" s="245">
        <v>3.8500000000000005</v>
      </c>
      <c r="AO14" s="245">
        <v>6.16</v>
      </c>
      <c r="AP14" s="246">
        <v>8.129999999999999</v>
      </c>
      <c r="AQ14" s="244">
        <v>0.60499999999999998</v>
      </c>
      <c r="AR14" s="245">
        <v>1.1000000000000001</v>
      </c>
      <c r="AS14" s="245">
        <v>2.31</v>
      </c>
      <c r="AT14" s="245">
        <v>4.1549999999999994</v>
      </c>
      <c r="AU14" s="244">
        <v>0.77499999999999991</v>
      </c>
      <c r="AV14" s="245">
        <v>1.1000000000000001</v>
      </c>
      <c r="AW14" s="245">
        <v>2.31</v>
      </c>
      <c r="AX14" s="246">
        <v>3.53</v>
      </c>
      <c r="AY14" s="244">
        <v>1.1550000000000002</v>
      </c>
      <c r="AZ14" s="245">
        <v>2.4750000000000001</v>
      </c>
      <c r="BA14" s="245">
        <v>4.2350000000000003</v>
      </c>
      <c r="BB14" s="245">
        <v>6.6550000000000002</v>
      </c>
      <c r="BC14" s="244">
        <v>1.5650000000000008</v>
      </c>
      <c r="BD14" s="245">
        <v>2.4750000000000001</v>
      </c>
      <c r="BE14" s="245">
        <v>4.2350000000000003</v>
      </c>
      <c r="BF14" s="246">
        <v>5.830000000000001</v>
      </c>
      <c r="BG14" s="244">
        <f t="shared" si="3"/>
        <v>4.0150000000000006</v>
      </c>
      <c r="BH14" s="245">
        <f t="shared" si="1"/>
        <v>7.4250000000000007</v>
      </c>
      <c r="BI14" s="245">
        <f t="shared" si="1"/>
        <v>12.705000000000002</v>
      </c>
      <c r="BJ14" s="245">
        <f t="shared" si="1"/>
        <v>19.965</v>
      </c>
      <c r="BK14" s="244">
        <f t="shared" si="1"/>
        <v>5.08</v>
      </c>
      <c r="BL14" s="245">
        <f t="shared" si="1"/>
        <v>7.4250000000000007</v>
      </c>
      <c r="BM14" s="245">
        <f t="shared" si="1"/>
        <v>12.705000000000002</v>
      </c>
      <c r="BN14" s="245">
        <f t="shared" si="1"/>
        <v>17.489999999999998</v>
      </c>
      <c r="BO14" s="251">
        <f t="shared" si="4"/>
        <v>6.7430000000000012</v>
      </c>
      <c r="BP14" s="278">
        <f t="shared" si="5"/>
        <v>14.157</v>
      </c>
      <c r="BQ14" s="77">
        <f t="shared" si="6"/>
        <v>6.9560000000000013</v>
      </c>
      <c r="BR14" s="78">
        <f t="shared" si="7"/>
        <v>13.662000000000001</v>
      </c>
      <c r="BS14" s="26">
        <f t="shared" si="8"/>
        <v>10.450000000000001</v>
      </c>
      <c r="BT14" s="27">
        <f t="shared" si="9"/>
        <v>10.309000000000001</v>
      </c>
      <c r="BU14" s="73">
        <f t="shared" si="10"/>
        <v>10.3795</v>
      </c>
    </row>
    <row r="15" spans="1:73" x14ac:dyDescent="0.25">
      <c r="A15" s="41" t="s">
        <v>6</v>
      </c>
      <c r="B15" s="41" t="s">
        <v>16</v>
      </c>
      <c r="C15" s="60" t="s">
        <v>17</v>
      </c>
      <c r="D15" s="91" t="s">
        <v>44</v>
      </c>
      <c r="E15" s="92" t="s">
        <v>45</v>
      </c>
      <c r="F15" s="92" t="s">
        <v>45</v>
      </c>
      <c r="G15" s="49">
        <f t="shared" si="0"/>
        <v>1</v>
      </c>
      <c r="H15" s="49">
        <f t="shared" si="0"/>
        <v>0.66</v>
      </c>
      <c r="I15" s="49">
        <f t="shared" si="0"/>
        <v>0.66</v>
      </c>
      <c r="J15" s="83">
        <f t="shared" si="2"/>
        <v>12.450000000000001</v>
      </c>
      <c r="K15" s="26">
        <v>0.77</v>
      </c>
      <c r="L15">
        <v>1</v>
      </c>
      <c r="M15">
        <v>1</v>
      </c>
      <c r="N15" s="27">
        <v>1</v>
      </c>
      <c r="O15" s="26">
        <v>0.83</v>
      </c>
      <c r="P15">
        <v>1</v>
      </c>
      <c r="Q15" s="245">
        <v>1</v>
      </c>
      <c r="R15" s="246">
        <v>1</v>
      </c>
      <c r="S15" s="244">
        <v>0.44000000000000006</v>
      </c>
      <c r="T15" s="245">
        <v>0.55000000000000004</v>
      </c>
      <c r="U15" s="245">
        <v>0.77</v>
      </c>
      <c r="V15" s="246">
        <v>1</v>
      </c>
      <c r="W15" s="244">
        <v>0.47000000000000003</v>
      </c>
      <c r="X15" s="245">
        <v>0.55000000000000004</v>
      </c>
      <c r="Y15" s="245">
        <v>0.77</v>
      </c>
      <c r="Z15" s="27">
        <v>0.92</v>
      </c>
      <c r="AA15" s="26">
        <v>0.44000000000000006</v>
      </c>
      <c r="AB15">
        <v>0.55000000000000004</v>
      </c>
      <c r="AC15">
        <v>0.77</v>
      </c>
      <c r="AD15" s="27">
        <v>1</v>
      </c>
      <c r="AE15" s="26">
        <v>0.47000000000000003</v>
      </c>
      <c r="AF15" s="245">
        <v>0.55000000000000004</v>
      </c>
      <c r="AG15" s="245">
        <v>0.77</v>
      </c>
      <c r="AH15" s="246">
        <v>0.92</v>
      </c>
      <c r="AI15" s="244">
        <v>3.8900000000000006</v>
      </c>
      <c r="AJ15" s="245">
        <v>7</v>
      </c>
      <c r="AK15" s="245">
        <v>8</v>
      </c>
      <c r="AL15" s="246">
        <v>9.5</v>
      </c>
      <c r="AM15" s="244">
        <v>4.8099999999999987</v>
      </c>
      <c r="AN15" s="245">
        <v>7</v>
      </c>
      <c r="AO15" s="245">
        <v>8</v>
      </c>
      <c r="AP15" s="246">
        <v>9</v>
      </c>
      <c r="AQ15" s="244">
        <v>0.60499999999999998</v>
      </c>
      <c r="AR15" s="245">
        <v>1.1000000000000001</v>
      </c>
      <c r="AS15" s="245">
        <v>2.31</v>
      </c>
      <c r="AT15" s="245">
        <v>4.1549999999999994</v>
      </c>
      <c r="AU15" s="244">
        <v>0.77499999999999991</v>
      </c>
      <c r="AV15" s="245">
        <v>1.1000000000000001</v>
      </c>
      <c r="AW15" s="245">
        <v>2.31</v>
      </c>
      <c r="AX15" s="246">
        <v>3.53</v>
      </c>
      <c r="AY15" s="244">
        <v>1.1550000000000002</v>
      </c>
      <c r="AZ15" s="245">
        <v>2.4750000000000001</v>
      </c>
      <c r="BA15" s="245">
        <v>4.2350000000000003</v>
      </c>
      <c r="BB15" s="245">
        <v>6.6550000000000002</v>
      </c>
      <c r="BC15" s="244">
        <v>1.5650000000000008</v>
      </c>
      <c r="BD15" s="245">
        <v>2.4750000000000001</v>
      </c>
      <c r="BE15" s="245">
        <v>4.2350000000000003</v>
      </c>
      <c r="BF15" s="246">
        <v>5.830000000000001</v>
      </c>
      <c r="BG15" s="244">
        <f t="shared" si="3"/>
        <v>5.6500000000000012</v>
      </c>
      <c r="BH15" s="245">
        <f t="shared" si="1"/>
        <v>10.574999999999999</v>
      </c>
      <c r="BI15" s="245">
        <f t="shared" si="1"/>
        <v>14.545000000000002</v>
      </c>
      <c r="BJ15" s="245">
        <f t="shared" si="1"/>
        <v>20.309999999999999</v>
      </c>
      <c r="BK15" s="244">
        <f t="shared" si="1"/>
        <v>7.15</v>
      </c>
      <c r="BL15" s="245">
        <f t="shared" si="1"/>
        <v>10.574999999999999</v>
      </c>
      <c r="BM15" s="245">
        <f t="shared" si="1"/>
        <v>14.545000000000002</v>
      </c>
      <c r="BN15" s="245">
        <f t="shared" si="1"/>
        <v>18.36</v>
      </c>
      <c r="BO15" s="251">
        <f t="shared" si="4"/>
        <v>9.59</v>
      </c>
      <c r="BP15" s="278">
        <f t="shared" si="5"/>
        <v>15.698</v>
      </c>
      <c r="BQ15" s="77">
        <f t="shared" si="6"/>
        <v>9.8899999999999988</v>
      </c>
      <c r="BR15" s="78">
        <f t="shared" si="7"/>
        <v>15.308000000000002</v>
      </c>
      <c r="BS15" s="26">
        <f t="shared" si="8"/>
        <v>12.644</v>
      </c>
      <c r="BT15" s="27">
        <f t="shared" si="9"/>
        <v>12.599</v>
      </c>
      <c r="BU15" s="73">
        <f t="shared" si="10"/>
        <v>12.621500000000001</v>
      </c>
    </row>
    <row r="16" spans="1:73" ht="30" x14ac:dyDescent="0.25">
      <c r="A16" s="41" t="s">
        <v>7</v>
      </c>
      <c r="B16" s="41" t="s">
        <v>18</v>
      </c>
      <c r="C16" s="60" t="s">
        <v>31</v>
      </c>
      <c r="D16" s="91" t="s">
        <v>45</v>
      </c>
      <c r="E16" s="92" t="s">
        <v>44</v>
      </c>
      <c r="F16" s="92" t="s">
        <v>45</v>
      </c>
      <c r="G16" s="49">
        <f t="shared" si="0"/>
        <v>0.66</v>
      </c>
      <c r="H16" s="49">
        <f t="shared" si="0"/>
        <v>1</v>
      </c>
      <c r="I16" s="49">
        <f t="shared" si="0"/>
        <v>0.66</v>
      </c>
      <c r="J16" s="83">
        <f t="shared" si="2"/>
        <v>10.75</v>
      </c>
      <c r="K16" s="26">
        <v>0.44000000000000006</v>
      </c>
      <c r="L16">
        <v>0.55000000000000004</v>
      </c>
      <c r="M16">
        <v>0.77</v>
      </c>
      <c r="N16" s="27">
        <v>1</v>
      </c>
      <c r="O16" s="26">
        <v>0.47000000000000003</v>
      </c>
      <c r="P16">
        <v>0.55000000000000004</v>
      </c>
      <c r="Q16" s="245">
        <v>0.77</v>
      </c>
      <c r="R16" s="246">
        <v>0.92</v>
      </c>
      <c r="S16" s="244">
        <v>0.77</v>
      </c>
      <c r="T16" s="245">
        <v>1</v>
      </c>
      <c r="U16" s="245">
        <v>1</v>
      </c>
      <c r="V16" s="246">
        <v>1</v>
      </c>
      <c r="W16" s="244">
        <v>0.83</v>
      </c>
      <c r="X16" s="245">
        <v>1</v>
      </c>
      <c r="Y16" s="245">
        <v>1</v>
      </c>
      <c r="Z16" s="27">
        <v>1</v>
      </c>
      <c r="AA16" s="26">
        <v>0.44000000000000006</v>
      </c>
      <c r="AB16">
        <v>0.55000000000000004</v>
      </c>
      <c r="AC16">
        <v>0.77</v>
      </c>
      <c r="AD16" s="27">
        <v>1</v>
      </c>
      <c r="AE16" s="26">
        <v>0.47000000000000003</v>
      </c>
      <c r="AF16" s="245">
        <v>0.55000000000000004</v>
      </c>
      <c r="AG16" s="245">
        <v>0.77</v>
      </c>
      <c r="AH16" s="246">
        <v>0.92</v>
      </c>
      <c r="AI16" s="244">
        <v>2.2549999999999999</v>
      </c>
      <c r="AJ16" s="245">
        <v>3.8500000000000005</v>
      </c>
      <c r="AK16" s="245">
        <v>6.16</v>
      </c>
      <c r="AL16" s="246">
        <v>9.1550000000000011</v>
      </c>
      <c r="AM16" s="244">
        <v>2.7399999999999993</v>
      </c>
      <c r="AN16" s="245">
        <v>3.8500000000000005</v>
      </c>
      <c r="AO16" s="245">
        <v>6.16</v>
      </c>
      <c r="AP16" s="246">
        <v>8.129999999999999</v>
      </c>
      <c r="AQ16" s="244">
        <v>1.04</v>
      </c>
      <c r="AR16" s="245">
        <v>2</v>
      </c>
      <c r="AS16" s="245">
        <v>3</v>
      </c>
      <c r="AT16" s="245">
        <v>4.5</v>
      </c>
      <c r="AU16" s="244">
        <v>1.3599999999999999</v>
      </c>
      <c r="AV16" s="245">
        <v>2</v>
      </c>
      <c r="AW16" s="245">
        <v>3</v>
      </c>
      <c r="AX16" s="246">
        <v>4</v>
      </c>
      <c r="AY16" s="244">
        <v>1.1550000000000002</v>
      </c>
      <c r="AZ16" s="245">
        <v>2.4750000000000001</v>
      </c>
      <c r="BA16" s="245">
        <v>4.2350000000000003</v>
      </c>
      <c r="BB16" s="245">
        <v>6.6550000000000002</v>
      </c>
      <c r="BC16" s="244">
        <v>1.5650000000000008</v>
      </c>
      <c r="BD16" s="245">
        <v>2.4750000000000001</v>
      </c>
      <c r="BE16" s="245">
        <v>4.2350000000000003</v>
      </c>
      <c r="BF16" s="246">
        <v>5.830000000000001</v>
      </c>
      <c r="BG16" s="244">
        <f t="shared" si="3"/>
        <v>4.45</v>
      </c>
      <c r="BH16" s="245">
        <f t="shared" si="1"/>
        <v>8.3250000000000011</v>
      </c>
      <c r="BI16" s="245">
        <f t="shared" si="1"/>
        <v>13.395</v>
      </c>
      <c r="BJ16" s="245">
        <f t="shared" si="1"/>
        <v>20.310000000000002</v>
      </c>
      <c r="BK16" s="244">
        <f t="shared" si="1"/>
        <v>5.6650000000000009</v>
      </c>
      <c r="BL16" s="245">
        <f t="shared" si="1"/>
        <v>8.3250000000000011</v>
      </c>
      <c r="BM16" s="245">
        <f t="shared" si="1"/>
        <v>13.395</v>
      </c>
      <c r="BN16" s="245">
        <f t="shared" si="1"/>
        <v>17.96</v>
      </c>
      <c r="BO16" s="251">
        <f t="shared" si="4"/>
        <v>7.5500000000000007</v>
      </c>
      <c r="BP16" s="278">
        <f t="shared" si="5"/>
        <v>14.778</v>
      </c>
      <c r="BQ16" s="77">
        <f t="shared" si="6"/>
        <v>7.793000000000001</v>
      </c>
      <c r="BR16" s="78">
        <f t="shared" si="7"/>
        <v>14.308</v>
      </c>
      <c r="BS16" s="26">
        <f t="shared" si="8"/>
        <v>11.164000000000001</v>
      </c>
      <c r="BT16" s="27">
        <f t="shared" si="9"/>
        <v>11.0505</v>
      </c>
      <c r="BU16" s="73">
        <f t="shared" si="10"/>
        <v>11.107250000000001</v>
      </c>
    </row>
    <row r="17" spans="1:73" x14ac:dyDescent="0.25">
      <c r="A17" s="41" t="s">
        <v>8</v>
      </c>
      <c r="B17" s="41" t="s">
        <v>19</v>
      </c>
      <c r="C17" s="60" t="s">
        <v>32</v>
      </c>
      <c r="D17" s="91" t="s">
        <v>44</v>
      </c>
      <c r="E17" s="92" t="s">
        <v>45</v>
      </c>
      <c r="F17" s="92" t="s">
        <v>46</v>
      </c>
      <c r="G17" s="49">
        <f t="shared" si="0"/>
        <v>1</v>
      </c>
      <c r="H17" s="49">
        <f t="shared" si="0"/>
        <v>0.66</v>
      </c>
      <c r="I17" s="49">
        <f t="shared" si="0"/>
        <v>0.33</v>
      </c>
      <c r="J17" s="83">
        <f t="shared" si="2"/>
        <v>10.8</v>
      </c>
      <c r="K17" s="26">
        <v>0.77</v>
      </c>
      <c r="L17">
        <v>1</v>
      </c>
      <c r="M17">
        <v>1</v>
      </c>
      <c r="N17" s="27">
        <v>1</v>
      </c>
      <c r="O17" s="26">
        <v>0.83</v>
      </c>
      <c r="P17">
        <v>1</v>
      </c>
      <c r="Q17" s="245">
        <v>1</v>
      </c>
      <c r="R17" s="246">
        <v>1</v>
      </c>
      <c r="S17" s="244">
        <v>0.44000000000000006</v>
      </c>
      <c r="T17" s="245">
        <v>0.55000000000000004</v>
      </c>
      <c r="U17" s="245">
        <v>0.77</v>
      </c>
      <c r="V17" s="246">
        <v>1</v>
      </c>
      <c r="W17" s="244">
        <v>0.47000000000000003</v>
      </c>
      <c r="X17" s="245">
        <v>0.55000000000000004</v>
      </c>
      <c r="Y17" s="245">
        <v>0.77</v>
      </c>
      <c r="Z17" s="27">
        <v>0.92</v>
      </c>
      <c r="AA17" s="26">
        <v>0</v>
      </c>
      <c r="AB17">
        <v>0.22000000000000003</v>
      </c>
      <c r="AC17">
        <v>0.44</v>
      </c>
      <c r="AD17" s="27">
        <v>0.55000000000000004</v>
      </c>
      <c r="AE17" s="26">
        <v>0.06</v>
      </c>
      <c r="AF17" s="245">
        <v>0.22000000000000003</v>
      </c>
      <c r="AG17" s="245">
        <v>0.44</v>
      </c>
      <c r="AH17" s="246">
        <v>0.52</v>
      </c>
      <c r="AI17" s="244">
        <v>3.8900000000000006</v>
      </c>
      <c r="AJ17" s="245">
        <v>7</v>
      </c>
      <c r="AK17" s="245">
        <v>8</v>
      </c>
      <c r="AL17" s="246">
        <v>9.5</v>
      </c>
      <c r="AM17" s="244">
        <v>4.8099999999999987</v>
      </c>
      <c r="AN17" s="245">
        <v>7</v>
      </c>
      <c r="AO17" s="245">
        <v>8</v>
      </c>
      <c r="AP17" s="246">
        <v>9</v>
      </c>
      <c r="AQ17" s="244">
        <v>0.60499999999999998</v>
      </c>
      <c r="AR17" s="245">
        <v>1.1000000000000001</v>
      </c>
      <c r="AS17" s="245">
        <v>2.31</v>
      </c>
      <c r="AT17" s="245">
        <v>4.1549999999999994</v>
      </c>
      <c r="AU17" s="244">
        <v>0.77499999999999991</v>
      </c>
      <c r="AV17" s="245">
        <v>1.1000000000000001</v>
      </c>
      <c r="AW17" s="245">
        <v>2.31</v>
      </c>
      <c r="AX17" s="246">
        <v>3.53</v>
      </c>
      <c r="AY17" s="244">
        <v>0</v>
      </c>
      <c r="AZ17" s="245">
        <v>0.9900000000000001</v>
      </c>
      <c r="BA17" s="245">
        <v>2.42</v>
      </c>
      <c r="BB17" s="245">
        <v>3.6850000000000005</v>
      </c>
      <c r="BC17" s="244">
        <v>4.9999999999999933E-2</v>
      </c>
      <c r="BD17" s="245">
        <v>0.9900000000000001</v>
      </c>
      <c r="BE17" s="245">
        <v>2.42</v>
      </c>
      <c r="BF17" s="246">
        <v>3.3000000000000007</v>
      </c>
      <c r="BG17" s="244">
        <f t="shared" si="3"/>
        <v>4.495000000000001</v>
      </c>
      <c r="BH17" s="245">
        <f t="shared" si="1"/>
        <v>9.09</v>
      </c>
      <c r="BI17" s="245">
        <f t="shared" si="1"/>
        <v>12.73</v>
      </c>
      <c r="BJ17" s="245">
        <f t="shared" si="1"/>
        <v>17.34</v>
      </c>
      <c r="BK17" s="244">
        <f t="shared" si="1"/>
        <v>5.6349999999999989</v>
      </c>
      <c r="BL17" s="245">
        <f t="shared" si="1"/>
        <v>9.09</v>
      </c>
      <c r="BM17" s="245">
        <f t="shared" si="1"/>
        <v>12.73</v>
      </c>
      <c r="BN17" s="245">
        <f t="shared" si="1"/>
        <v>15.83</v>
      </c>
      <c r="BO17" s="251">
        <f t="shared" si="4"/>
        <v>8.1709999999999994</v>
      </c>
      <c r="BP17" s="278">
        <f t="shared" si="5"/>
        <v>13.652000000000001</v>
      </c>
      <c r="BQ17" s="77">
        <f t="shared" si="6"/>
        <v>8.3989999999999991</v>
      </c>
      <c r="BR17" s="78">
        <f t="shared" si="7"/>
        <v>13.350000000000001</v>
      </c>
      <c r="BS17" s="26">
        <f t="shared" si="8"/>
        <v>10.9115</v>
      </c>
      <c r="BT17" s="27">
        <f t="shared" si="9"/>
        <v>10.874500000000001</v>
      </c>
      <c r="BU17" s="73">
        <f t="shared" si="10"/>
        <v>10.893000000000001</v>
      </c>
    </row>
    <row r="18" spans="1:73" ht="30" x14ac:dyDescent="0.25">
      <c r="A18" s="41" t="s">
        <v>9</v>
      </c>
      <c r="B18" s="41" t="s">
        <v>20</v>
      </c>
      <c r="C18" s="60" t="s">
        <v>33</v>
      </c>
      <c r="D18" s="91" t="s">
        <v>44</v>
      </c>
      <c r="E18" s="92" t="s">
        <v>45</v>
      </c>
      <c r="F18" s="92" t="s">
        <v>46</v>
      </c>
      <c r="G18" s="49">
        <f t="shared" si="0"/>
        <v>1</v>
      </c>
      <c r="H18" s="49">
        <f t="shared" si="0"/>
        <v>0.66</v>
      </c>
      <c r="I18" s="49">
        <f t="shared" si="0"/>
        <v>0.33</v>
      </c>
      <c r="J18" s="83">
        <f t="shared" si="2"/>
        <v>10.8</v>
      </c>
      <c r="K18" s="26">
        <v>0.77</v>
      </c>
      <c r="L18">
        <v>1</v>
      </c>
      <c r="M18">
        <v>1</v>
      </c>
      <c r="N18" s="27">
        <v>1</v>
      </c>
      <c r="O18" s="26">
        <v>0.83</v>
      </c>
      <c r="P18">
        <v>1</v>
      </c>
      <c r="Q18" s="245">
        <v>1</v>
      </c>
      <c r="R18" s="246">
        <v>1</v>
      </c>
      <c r="S18" s="244">
        <v>0.44000000000000006</v>
      </c>
      <c r="T18" s="245">
        <v>0.55000000000000004</v>
      </c>
      <c r="U18" s="245">
        <v>0.77</v>
      </c>
      <c r="V18" s="246">
        <v>1</v>
      </c>
      <c r="W18" s="244">
        <v>0.47000000000000003</v>
      </c>
      <c r="X18" s="245">
        <v>0.55000000000000004</v>
      </c>
      <c r="Y18" s="245">
        <v>0.77</v>
      </c>
      <c r="Z18" s="27">
        <v>0.92</v>
      </c>
      <c r="AA18" s="26">
        <v>0</v>
      </c>
      <c r="AB18">
        <v>0.22000000000000003</v>
      </c>
      <c r="AC18">
        <v>0.44</v>
      </c>
      <c r="AD18" s="27">
        <v>0.55000000000000004</v>
      </c>
      <c r="AE18" s="26">
        <v>0.06</v>
      </c>
      <c r="AF18" s="245">
        <v>0.22000000000000003</v>
      </c>
      <c r="AG18" s="245">
        <v>0.44</v>
      </c>
      <c r="AH18" s="246">
        <v>0.52</v>
      </c>
      <c r="AI18" s="244">
        <v>3.8900000000000006</v>
      </c>
      <c r="AJ18" s="245">
        <v>7</v>
      </c>
      <c r="AK18" s="245">
        <v>8</v>
      </c>
      <c r="AL18" s="246">
        <v>9.5</v>
      </c>
      <c r="AM18" s="244">
        <v>4.8099999999999987</v>
      </c>
      <c r="AN18" s="245">
        <v>7</v>
      </c>
      <c r="AO18" s="245">
        <v>8</v>
      </c>
      <c r="AP18" s="246">
        <v>9</v>
      </c>
      <c r="AQ18" s="244">
        <v>0.60499999999999998</v>
      </c>
      <c r="AR18" s="245">
        <v>1.1000000000000001</v>
      </c>
      <c r="AS18" s="245">
        <v>2.31</v>
      </c>
      <c r="AT18" s="245">
        <v>4.1549999999999994</v>
      </c>
      <c r="AU18" s="244">
        <v>0.77499999999999991</v>
      </c>
      <c r="AV18" s="245">
        <v>1.1000000000000001</v>
      </c>
      <c r="AW18" s="245">
        <v>2.31</v>
      </c>
      <c r="AX18" s="246">
        <v>3.53</v>
      </c>
      <c r="AY18" s="244">
        <v>0</v>
      </c>
      <c r="AZ18" s="245">
        <v>0.9900000000000001</v>
      </c>
      <c r="BA18" s="245">
        <v>2.42</v>
      </c>
      <c r="BB18" s="245">
        <v>3.6850000000000005</v>
      </c>
      <c r="BC18" s="244">
        <v>4.9999999999999933E-2</v>
      </c>
      <c r="BD18" s="245">
        <v>0.9900000000000001</v>
      </c>
      <c r="BE18" s="245">
        <v>2.42</v>
      </c>
      <c r="BF18" s="246">
        <v>3.3000000000000007</v>
      </c>
      <c r="BG18" s="244">
        <f t="shared" si="3"/>
        <v>4.495000000000001</v>
      </c>
      <c r="BH18" s="245">
        <f t="shared" si="1"/>
        <v>9.09</v>
      </c>
      <c r="BI18" s="245">
        <f t="shared" si="1"/>
        <v>12.73</v>
      </c>
      <c r="BJ18" s="245">
        <f t="shared" si="1"/>
        <v>17.34</v>
      </c>
      <c r="BK18" s="244">
        <f t="shared" si="1"/>
        <v>5.6349999999999989</v>
      </c>
      <c r="BL18" s="245">
        <f t="shared" si="1"/>
        <v>9.09</v>
      </c>
      <c r="BM18" s="245">
        <f t="shared" si="1"/>
        <v>12.73</v>
      </c>
      <c r="BN18" s="245">
        <f t="shared" si="1"/>
        <v>15.83</v>
      </c>
      <c r="BO18" s="251">
        <f t="shared" si="4"/>
        <v>8.1709999999999994</v>
      </c>
      <c r="BP18" s="278">
        <f t="shared" si="5"/>
        <v>13.652000000000001</v>
      </c>
      <c r="BQ18" s="77">
        <f t="shared" si="6"/>
        <v>8.3989999999999991</v>
      </c>
      <c r="BR18" s="78">
        <f t="shared" si="7"/>
        <v>13.350000000000001</v>
      </c>
      <c r="BS18" s="26">
        <f t="shared" si="8"/>
        <v>10.9115</v>
      </c>
      <c r="BT18" s="27">
        <f t="shared" si="9"/>
        <v>10.874500000000001</v>
      </c>
      <c r="BU18" s="73">
        <f t="shared" si="10"/>
        <v>10.893000000000001</v>
      </c>
    </row>
    <row r="19" spans="1:73" ht="30" x14ac:dyDescent="0.25">
      <c r="A19" s="41" t="s">
        <v>10</v>
      </c>
      <c r="B19" s="41" t="s">
        <v>21</v>
      </c>
      <c r="C19" s="60" t="s">
        <v>22</v>
      </c>
      <c r="D19" s="91" t="s">
        <v>45</v>
      </c>
      <c r="E19" s="92" t="s">
        <v>44</v>
      </c>
      <c r="F19" s="92" t="s">
        <v>44</v>
      </c>
      <c r="G19" s="49">
        <f t="shared" si="0"/>
        <v>0.66</v>
      </c>
      <c r="H19" s="49">
        <f t="shared" si="0"/>
        <v>1</v>
      </c>
      <c r="I19" s="49">
        <f t="shared" si="0"/>
        <v>1</v>
      </c>
      <c r="J19" s="83">
        <f t="shared" si="2"/>
        <v>12.45</v>
      </c>
      <c r="K19" s="26">
        <v>0.44000000000000006</v>
      </c>
      <c r="L19">
        <v>0.55000000000000004</v>
      </c>
      <c r="M19">
        <v>0.77</v>
      </c>
      <c r="N19" s="27">
        <v>1</v>
      </c>
      <c r="O19" s="26">
        <v>0.47000000000000003</v>
      </c>
      <c r="P19">
        <v>0.55000000000000004</v>
      </c>
      <c r="Q19" s="245">
        <v>0.77</v>
      </c>
      <c r="R19" s="246">
        <v>0.92</v>
      </c>
      <c r="S19" s="244">
        <v>0.77</v>
      </c>
      <c r="T19" s="245">
        <v>1</v>
      </c>
      <c r="U19" s="245">
        <v>1</v>
      </c>
      <c r="V19" s="246">
        <v>1</v>
      </c>
      <c r="W19" s="244">
        <v>0.83</v>
      </c>
      <c r="X19" s="245">
        <v>1</v>
      </c>
      <c r="Y19" s="245">
        <v>1</v>
      </c>
      <c r="Z19" s="27">
        <v>1</v>
      </c>
      <c r="AA19" s="26">
        <v>0.77</v>
      </c>
      <c r="AB19">
        <v>1</v>
      </c>
      <c r="AC19">
        <v>1</v>
      </c>
      <c r="AD19" s="27">
        <v>1</v>
      </c>
      <c r="AE19" s="26">
        <v>0.83</v>
      </c>
      <c r="AF19" s="245">
        <v>1</v>
      </c>
      <c r="AG19" s="245">
        <v>1</v>
      </c>
      <c r="AH19" s="246">
        <v>1</v>
      </c>
      <c r="AI19" s="244">
        <v>2.2549999999999999</v>
      </c>
      <c r="AJ19" s="245">
        <v>3.8500000000000005</v>
      </c>
      <c r="AK19" s="245">
        <v>6.16</v>
      </c>
      <c r="AL19" s="246">
        <v>9.1550000000000011</v>
      </c>
      <c r="AM19" s="244">
        <v>2.7399999999999993</v>
      </c>
      <c r="AN19" s="245">
        <v>3.8500000000000005</v>
      </c>
      <c r="AO19" s="245">
        <v>6.16</v>
      </c>
      <c r="AP19" s="246">
        <v>8.129999999999999</v>
      </c>
      <c r="AQ19" s="244">
        <v>1.04</v>
      </c>
      <c r="AR19" s="245">
        <v>2</v>
      </c>
      <c r="AS19" s="245">
        <v>3</v>
      </c>
      <c r="AT19" s="245">
        <v>4.5</v>
      </c>
      <c r="AU19" s="244">
        <v>1.3599999999999999</v>
      </c>
      <c r="AV19" s="245">
        <v>2</v>
      </c>
      <c r="AW19" s="245">
        <v>3</v>
      </c>
      <c r="AX19" s="246">
        <v>4</v>
      </c>
      <c r="AY19" s="244">
        <v>1.9649999999999999</v>
      </c>
      <c r="AZ19" s="245">
        <v>4.5</v>
      </c>
      <c r="BA19" s="245">
        <v>5.5</v>
      </c>
      <c r="BB19" s="245">
        <v>7</v>
      </c>
      <c r="BC19" s="244">
        <v>2.7349999999999994</v>
      </c>
      <c r="BD19" s="245">
        <v>4.5</v>
      </c>
      <c r="BE19" s="245">
        <v>5.5</v>
      </c>
      <c r="BF19" s="246">
        <v>6.5</v>
      </c>
      <c r="BG19" s="244">
        <f t="shared" si="3"/>
        <v>5.26</v>
      </c>
      <c r="BH19" s="245">
        <f t="shared" si="1"/>
        <v>10.350000000000001</v>
      </c>
      <c r="BI19" s="245">
        <f t="shared" si="1"/>
        <v>14.66</v>
      </c>
      <c r="BJ19" s="245">
        <f t="shared" si="1"/>
        <v>20.655000000000001</v>
      </c>
      <c r="BK19" s="244">
        <f t="shared" si="1"/>
        <v>6.8349999999999991</v>
      </c>
      <c r="BL19" s="245">
        <f t="shared" si="1"/>
        <v>10.350000000000001</v>
      </c>
      <c r="BM19" s="245">
        <f t="shared" si="1"/>
        <v>14.66</v>
      </c>
      <c r="BN19" s="245">
        <f t="shared" si="1"/>
        <v>18.63</v>
      </c>
      <c r="BO19" s="251">
        <f t="shared" si="4"/>
        <v>9.3320000000000007</v>
      </c>
      <c r="BP19" s="278">
        <f t="shared" si="5"/>
        <v>15.859000000000002</v>
      </c>
      <c r="BQ19" s="77">
        <f t="shared" si="6"/>
        <v>9.6470000000000002</v>
      </c>
      <c r="BR19" s="78">
        <f t="shared" si="7"/>
        <v>15.454000000000001</v>
      </c>
      <c r="BS19" s="26">
        <f t="shared" si="8"/>
        <v>12.595500000000001</v>
      </c>
      <c r="BT19" s="27">
        <f t="shared" si="9"/>
        <v>12.5505</v>
      </c>
      <c r="BU19" s="73">
        <f t="shared" si="10"/>
        <v>12.573</v>
      </c>
    </row>
    <row r="20" spans="1:73" ht="36.75" customHeight="1" x14ac:dyDescent="0.25">
      <c r="A20" s="41" t="s">
        <v>11</v>
      </c>
      <c r="B20" s="41" t="s">
        <v>23</v>
      </c>
      <c r="C20" s="60" t="s">
        <v>34</v>
      </c>
      <c r="D20" s="91" t="s">
        <v>45</v>
      </c>
      <c r="E20" s="92" t="s">
        <v>44</v>
      </c>
      <c r="F20" s="92" t="s">
        <v>45</v>
      </c>
      <c r="G20" s="49">
        <f t="shared" si="0"/>
        <v>0.66</v>
      </c>
      <c r="H20" s="49">
        <f t="shared" si="0"/>
        <v>1</v>
      </c>
      <c r="I20" s="49">
        <f t="shared" si="0"/>
        <v>0.66</v>
      </c>
      <c r="J20" s="83">
        <f t="shared" si="2"/>
        <v>10.75</v>
      </c>
      <c r="K20" s="26">
        <v>0.44000000000000006</v>
      </c>
      <c r="L20">
        <v>0.55000000000000004</v>
      </c>
      <c r="M20">
        <v>0.77</v>
      </c>
      <c r="N20" s="27">
        <v>1</v>
      </c>
      <c r="O20" s="26">
        <v>0.47000000000000003</v>
      </c>
      <c r="P20">
        <v>0.55000000000000004</v>
      </c>
      <c r="Q20" s="245">
        <v>0.77</v>
      </c>
      <c r="R20" s="246">
        <v>0.92</v>
      </c>
      <c r="S20" s="244">
        <v>0.77</v>
      </c>
      <c r="T20" s="245">
        <v>1</v>
      </c>
      <c r="U20" s="245">
        <v>1</v>
      </c>
      <c r="V20" s="246">
        <v>1</v>
      </c>
      <c r="W20" s="244">
        <v>0.83</v>
      </c>
      <c r="X20" s="245">
        <v>1</v>
      </c>
      <c r="Y20" s="245">
        <v>1</v>
      </c>
      <c r="Z20" s="27">
        <v>1</v>
      </c>
      <c r="AA20" s="26">
        <v>0.44000000000000006</v>
      </c>
      <c r="AB20">
        <v>0.55000000000000004</v>
      </c>
      <c r="AC20">
        <v>0.77</v>
      </c>
      <c r="AD20" s="27">
        <v>1</v>
      </c>
      <c r="AE20" s="26">
        <v>0.47000000000000003</v>
      </c>
      <c r="AF20" s="245">
        <v>0.55000000000000004</v>
      </c>
      <c r="AG20" s="245">
        <v>0.77</v>
      </c>
      <c r="AH20" s="246">
        <v>0.92</v>
      </c>
      <c r="AI20" s="244">
        <v>2.2549999999999999</v>
      </c>
      <c r="AJ20" s="245">
        <v>3.8500000000000005</v>
      </c>
      <c r="AK20" s="245">
        <v>6.16</v>
      </c>
      <c r="AL20" s="246">
        <v>9.1550000000000011</v>
      </c>
      <c r="AM20" s="244">
        <v>2.7399999999999993</v>
      </c>
      <c r="AN20" s="245">
        <v>3.8500000000000005</v>
      </c>
      <c r="AO20" s="245">
        <v>6.16</v>
      </c>
      <c r="AP20" s="246">
        <v>8.129999999999999</v>
      </c>
      <c r="AQ20" s="244">
        <v>1.04</v>
      </c>
      <c r="AR20" s="245">
        <v>2</v>
      </c>
      <c r="AS20" s="245">
        <v>3</v>
      </c>
      <c r="AT20" s="245">
        <v>4.5</v>
      </c>
      <c r="AU20" s="244">
        <v>1.3599999999999999</v>
      </c>
      <c r="AV20" s="245">
        <v>2</v>
      </c>
      <c r="AW20" s="245">
        <v>3</v>
      </c>
      <c r="AX20" s="246">
        <v>4</v>
      </c>
      <c r="AY20" s="244">
        <v>1.1550000000000002</v>
      </c>
      <c r="AZ20" s="245">
        <v>2.4750000000000001</v>
      </c>
      <c r="BA20" s="245">
        <v>4.2350000000000003</v>
      </c>
      <c r="BB20" s="245">
        <v>6.6550000000000002</v>
      </c>
      <c r="BC20" s="244">
        <v>1.5650000000000008</v>
      </c>
      <c r="BD20" s="245">
        <v>2.4750000000000001</v>
      </c>
      <c r="BE20" s="245">
        <v>4.2350000000000003</v>
      </c>
      <c r="BF20" s="246">
        <v>5.830000000000001</v>
      </c>
      <c r="BG20" s="244">
        <f t="shared" si="3"/>
        <v>4.45</v>
      </c>
      <c r="BH20" s="245">
        <f t="shared" si="1"/>
        <v>8.3250000000000011</v>
      </c>
      <c r="BI20" s="245">
        <f t="shared" si="1"/>
        <v>13.395</v>
      </c>
      <c r="BJ20" s="245">
        <f t="shared" si="1"/>
        <v>20.310000000000002</v>
      </c>
      <c r="BK20" s="244">
        <f t="shared" si="1"/>
        <v>5.6650000000000009</v>
      </c>
      <c r="BL20" s="245">
        <f t="shared" si="1"/>
        <v>8.3250000000000011</v>
      </c>
      <c r="BM20" s="245">
        <f t="shared" si="1"/>
        <v>13.395</v>
      </c>
      <c r="BN20" s="245">
        <f t="shared" si="1"/>
        <v>17.96</v>
      </c>
      <c r="BO20" s="251">
        <f t="shared" si="4"/>
        <v>7.5500000000000007</v>
      </c>
      <c r="BP20" s="278">
        <f t="shared" si="5"/>
        <v>14.778</v>
      </c>
      <c r="BQ20" s="77">
        <f t="shared" si="6"/>
        <v>7.793000000000001</v>
      </c>
      <c r="BR20" s="78">
        <f t="shared" si="7"/>
        <v>14.308</v>
      </c>
      <c r="BS20" s="26">
        <f t="shared" si="8"/>
        <v>11.164000000000001</v>
      </c>
      <c r="BT20" s="27">
        <f t="shared" si="9"/>
        <v>11.0505</v>
      </c>
      <c r="BU20" s="73">
        <f t="shared" si="10"/>
        <v>11.107250000000001</v>
      </c>
    </row>
    <row r="21" spans="1:73" ht="30.75" thickBot="1" x14ac:dyDescent="0.3">
      <c r="A21" s="41" t="s">
        <v>12</v>
      </c>
      <c r="B21" s="41" t="s">
        <v>24</v>
      </c>
      <c r="C21" s="60" t="s">
        <v>35</v>
      </c>
      <c r="D21" s="93" t="s">
        <v>46</v>
      </c>
      <c r="E21" s="94" t="s">
        <v>44</v>
      </c>
      <c r="F21" s="94" t="s">
        <v>45</v>
      </c>
      <c r="G21" s="62">
        <f t="shared" si="0"/>
        <v>0.33</v>
      </c>
      <c r="H21" s="62">
        <f t="shared" si="0"/>
        <v>1</v>
      </c>
      <c r="I21" s="62">
        <f t="shared" si="0"/>
        <v>0.66</v>
      </c>
      <c r="J21" s="84">
        <f t="shared" si="2"/>
        <v>8.2750000000000004</v>
      </c>
      <c r="K21" s="30">
        <v>0</v>
      </c>
      <c r="L21" s="32">
        <v>0.22000000000000003</v>
      </c>
      <c r="M21" s="32">
        <v>0.44</v>
      </c>
      <c r="N21" s="33">
        <v>0.55000000000000004</v>
      </c>
      <c r="O21" s="30">
        <v>0.06</v>
      </c>
      <c r="P21" s="32">
        <v>0.22000000000000003</v>
      </c>
      <c r="Q21" s="248">
        <v>0.44</v>
      </c>
      <c r="R21" s="249">
        <v>0.52</v>
      </c>
      <c r="S21" s="247">
        <v>0.77</v>
      </c>
      <c r="T21" s="248">
        <v>1</v>
      </c>
      <c r="U21" s="248">
        <v>1</v>
      </c>
      <c r="V21" s="249">
        <v>1</v>
      </c>
      <c r="W21" s="247">
        <v>0.83</v>
      </c>
      <c r="X21" s="248">
        <v>1</v>
      </c>
      <c r="Y21" s="248">
        <v>1</v>
      </c>
      <c r="Z21" s="33">
        <v>1</v>
      </c>
      <c r="AA21" s="30">
        <v>0.44000000000000006</v>
      </c>
      <c r="AB21" s="32">
        <v>0.55000000000000004</v>
      </c>
      <c r="AC21" s="32">
        <v>0.77</v>
      </c>
      <c r="AD21" s="33">
        <v>1</v>
      </c>
      <c r="AE21" s="30">
        <v>0.47000000000000003</v>
      </c>
      <c r="AF21" s="248">
        <v>0.55000000000000004</v>
      </c>
      <c r="AG21" s="248">
        <v>0.77</v>
      </c>
      <c r="AH21" s="249">
        <v>0.92</v>
      </c>
      <c r="AI21" s="247">
        <v>0</v>
      </c>
      <c r="AJ21" s="248">
        <v>1.5400000000000003</v>
      </c>
      <c r="AK21" s="248">
        <v>3.52</v>
      </c>
      <c r="AL21" s="249">
        <v>5.0600000000000005</v>
      </c>
      <c r="AM21" s="247">
        <v>0.19999999999999996</v>
      </c>
      <c r="AN21" s="248">
        <v>1.5400000000000003</v>
      </c>
      <c r="AO21" s="248">
        <v>3.52</v>
      </c>
      <c r="AP21" s="249">
        <v>4.6000000000000014</v>
      </c>
      <c r="AQ21" s="247">
        <v>1.04</v>
      </c>
      <c r="AR21" s="248">
        <v>2</v>
      </c>
      <c r="AS21" s="248">
        <v>3</v>
      </c>
      <c r="AT21" s="248">
        <v>4.5</v>
      </c>
      <c r="AU21" s="247">
        <v>1.3599999999999999</v>
      </c>
      <c r="AV21" s="248">
        <v>2</v>
      </c>
      <c r="AW21" s="248">
        <v>3</v>
      </c>
      <c r="AX21" s="249">
        <v>4</v>
      </c>
      <c r="AY21" s="247">
        <v>1.1550000000000002</v>
      </c>
      <c r="AZ21" s="248">
        <v>2.4750000000000001</v>
      </c>
      <c r="BA21" s="248">
        <v>4.2350000000000003</v>
      </c>
      <c r="BB21" s="248">
        <v>6.6550000000000002</v>
      </c>
      <c r="BC21" s="247">
        <v>1.5650000000000008</v>
      </c>
      <c r="BD21" s="248">
        <v>2.4750000000000001</v>
      </c>
      <c r="BE21" s="248">
        <v>4.2350000000000003</v>
      </c>
      <c r="BF21" s="249">
        <v>5.830000000000001</v>
      </c>
      <c r="BG21" s="247">
        <f t="shared" si="3"/>
        <v>2.1950000000000003</v>
      </c>
      <c r="BH21" s="248">
        <f t="shared" si="1"/>
        <v>6.0150000000000006</v>
      </c>
      <c r="BI21" s="248">
        <f t="shared" si="1"/>
        <v>10.754999999999999</v>
      </c>
      <c r="BJ21" s="248">
        <f t="shared" si="1"/>
        <v>16.215</v>
      </c>
      <c r="BK21" s="247">
        <f t="shared" si="1"/>
        <v>3.1250000000000009</v>
      </c>
      <c r="BL21" s="248">
        <f t="shared" si="1"/>
        <v>6.0150000000000006</v>
      </c>
      <c r="BM21" s="248">
        <f t="shared" si="1"/>
        <v>10.754999999999999</v>
      </c>
      <c r="BN21" s="248">
        <f t="shared" si="1"/>
        <v>14.430000000000003</v>
      </c>
      <c r="BO21" s="252">
        <f t="shared" si="4"/>
        <v>5.2510000000000012</v>
      </c>
      <c r="BP21" s="281">
        <f t="shared" si="5"/>
        <v>11.846999999999998</v>
      </c>
      <c r="BQ21" s="79">
        <f t="shared" si="6"/>
        <v>5.4370000000000012</v>
      </c>
      <c r="BR21" s="80">
        <f t="shared" si="7"/>
        <v>11.489999999999998</v>
      </c>
      <c r="BS21" s="30">
        <f t="shared" si="8"/>
        <v>8.5489999999999995</v>
      </c>
      <c r="BT21" s="33">
        <f t="shared" si="9"/>
        <v>8.4634999999999998</v>
      </c>
      <c r="BU21" s="74">
        <f t="shared" si="10"/>
        <v>8.5062499999999996</v>
      </c>
    </row>
    <row r="22" spans="1:73" x14ac:dyDescent="0.25">
      <c r="BF22" s="284"/>
      <c r="BG22" s="285"/>
      <c r="BH22" s="285"/>
      <c r="BI22" s="285"/>
      <c r="BJ22" s="285"/>
      <c r="BK22" s="285"/>
    </row>
    <row r="23" spans="1:73" x14ac:dyDescent="0.25">
      <c r="A23" s="1" t="s">
        <v>119</v>
      </c>
      <c r="B23" s="1"/>
    </row>
    <row r="24" spans="1:73" ht="15.75" thickBot="1" x14ac:dyDescent="0.3">
      <c r="A24" s="46" t="s">
        <v>43</v>
      </c>
      <c r="B24" s="47" t="s">
        <v>55</v>
      </c>
      <c r="E24" s="51" t="s">
        <v>3</v>
      </c>
      <c r="I24" t="s">
        <v>4</v>
      </c>
    </row>
    <row r="25" spans="1:73" x14ac:dyDescent="0.25">
      <c r="A25" s="45" t="s">
        <v>47</v>
      </c>
      <c r="B25" s="2">
        <v>0</v>
      </c>
      <c r="C25" s="18">
        <v>0</v>
      </c>
      <c r="D25" s="19" t="s">
        <v>47</v>
      </c>
      <c r="E25" s="20">
        <v>0</v>
      </c>
      <c r="F25" s="21">
        <f>C25</f>
        <v>0</v>
      </c>
      <c r="G25" s="22">
        <v>0</v>
      </c>
      <c r="H25" s="23">
        <v>0.22</v>
      </c>
      <c r="I25" s="24">
        <v>0</v>
      </c>
      <c r="J25" s="22">
        <f>F25</f>
        <v>0</v>
      </c>
      <c r="K25" s="22">
        <f>G25</f>
        <v>0</v>
      </c>
      <c r="L25" s="25">
        <v>0.15</v>
      </c>
    </row>
    <row r="26" spans="1:73" x14ac:dyDescent="0.25">
      <c r="A26" s="45" t="s">
        <v>46</v>
      </c>
      <c r="B26" s="2">
        <v>0.33</v>
      </c>
      <c r="C26" s="18">
        <v>0.33</v>
      </c>
      <c r="D26" s="19" t="s">
        <v>46</v>
      </c>
      <c r="E26" s="26">
        <v>0</v>
      </c>
      <c r="F26" s="50">
        <f>C26-0.11</f>
        <v>0.22000000000000003</v>
      </c>
      <c r="G26">
        <f>C26+0.11</f>
        <v>0.44</v>
      </c>
      <c r="H26" s="27">
        <f t="shared" ref="H26" si="11">G26+0.11</f>
        <v>0.55000000000000004</v>
      </c>
      <c r="I26" s="28">
        <v>0.06</v>
      </c>
      <c r="J26">
        <f t="shared" ref="J26:K28" si="12">F26</f>
        <v>0.22000000000000003</v>
      </c>
      <c r="K26">
        <f t="shared" si="12"/>
        <v>0.44</v>
      </c>
      <c r="L26" s="29">
        <f t="shared" ref="L26" si="13">K26+0.08</f>
        <v>0.52</v>
      </c>
    </row>
    <row r="27" spans="1:73" x14ac:dyDescent="0.25">
      <c r="A27" s="45" t="s">
        <v>45</v>
      </c>
      <c r="B27" s="2">
        <v>0.66</v>
      </c>
      <c r="C27" s="18">
        <v>0.66</v>
      </c>
      <c r="D27" s="19" t="s">
        <v>45</v>
      </c>
      <c r="E27" s="26">
        <f t="shared" ref="E27" si="14">F27-0.11</f>
        <v>0.44000000000000006</v>
      </c>
      <c r="F27" s="50">
        <f t="shared" ref="F27" si="15">C27-0.11</f>
        <v>0.55000000000000004</v>
      </c>
      <c r="G27">
        <f t="shared" ref="G27" si="16">C27+0.11</f>
        <v>0.77</v>
      </c>
      <c r="H27" s="27">
        <v>1</v>
      </c>
      <c r="I27" s="28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29">
        <v>0.92</v>
      </c>
    </row>
    <row r="28" spans="1:73" ht="15.75" thickBot="1" x14ac:dyDescent="0.3">
      <c r="A28" s="45" t="s">
        <v>44</v>
      </c>
      <c r="B28" s="2">
        <v>1</v>
      </c>
      <c r="C28" s="18">
        <v>1</v>
      </c>
      <c r="D28" s="19" t="s">
        <v>44</v>
      </c>
      <c r="E28" s="30">
        <v>0.77</v>
      </c>
      <c r="F28" s="31">
        <v>1</v>
      </c>
      <c r="G28" s="32">
        <v>1</v>
      </c>
      <c r="H28" s="33">
        <v>1</v>
      </c>
      <c r="I28" s="34">
        <v>0.83</v>
      </c>
      <c r="J28" s="32">
        <f t="shared" si="12"/>
        <v>1</v>
      </c>
      <c r="K28" s="32">
        <f t="shared" si="12"/>
        <v>1</v>
      </c>
      <c r="L28" s="35">
        <v>1</v>
      </c>
    </row>
    <row r="29" spans="1:73" x14ac:dyDescent="0.25">
      <c r="A29" s="38"/>
    </row>
    <row r="30" spans="1:73" x14ac:dyDescent="0.25">
      <c r="A30" s="1" t="s">
        <v>121</v>
      </c>
    </row>
    <row r="31" spans="1:73" ht="15.75" thickBot="1" x14ac:dyDescent="0.3">
      <c r="A31" s="46" t="s">
        <v>43</v>
      </c>
      <c r="B31" s="47" t="s">
        <v>56</v>
      </c>
      <c r="E31" s="51" t="s">
        <v>3</v>
      </c>
      <c r="I31" t="s">
        <v>4</v>
      </c>
    </row>
    <row r="32" spans="1:73" x14ac:dyDescent="0.25">
      <c r="A32" s="45" t="s">
        <v>47</v>
      </c>
      <c r="B32" s="2">
        <v>1</v>
      </c>
      <c r="C32" s="18">
        <v>1</v>
      </c>
      <c r="D32" s="19" t="s">
        <v>47</v>
      </c>
      <c r="E32" s="20">
        <v>0</v>
      </c>
      <c r="F32" s="21">
        <v>0.5</v>
      </c>
      <c r="G32" s="22">
        <v>1.5</v>
      </c>
      <c r="H32" s="23">
        <v>2</v>
      </c>
      <c r="I32" s="24">
        <v>0</v>
      </c>
      <c r="J32" s="22">
        <f>F32</f>
        <v>0.5</v>
      </c>
      <c r="K32" s="22">
        <f>G32</f>
        <v>1.5</v>
      </c>
      <c r="L32" s="25">
        <v>1.8</v>
      </c>
    </row>
    <row r="33" spans="1:12" x14ac:dyDescent="0.25">
      <c r="A33" s="45" t="s">
        <v>46</v>
      </c>
      <c r="B33" s="2">
        <v>2.5</v>
      </c>
      <c r="C33" s="18">
        <v>2.5</v>
      </c>
      <c r="D33" s="19" t="s">
        <v>46</v>
      </c>
      <c r="E33" s="26">
        <v>1.5</v>
      </c>
      <c r="F33" s="50">
        <f>C33-0.5</f>
        <v>2</v>
      </c>
      <c r="G33">
        <f>C33+0.5</f>
        <v>3</v>
      </c>
      <c r="H33" s="27">
        <f t="shared" ref="H33:H35" si="18">G33+1.5</f>
        <v>4.5</v>
      </c>
      <c r="I33" s="28">
        <v>1.7</v>
      </c>
      <c r="J33">
        <f t="shared" ref="J33:K35" si="19">F33</f>
        <v>2</v>
      </c>
      <c r="K33">
        <f t="shared" si="19"/>
        <v>3</v>
      </c>
      <c r="L33" s="29">
        <f t="shared" ref="L33:L35" si="20">K33+1</f>
        <v>4</v>
      </c>
    </row>
    <row r="34" spans="1:12" x14ac:dyDescent="0.25">
      <c r="A34" s="45" t="s">
        <v>45</v>
      </c>
      <c r="B34" s="2">
        <v>5</v>
      </c>
      <c r="C34" s="18">
        <v>5</v>
      </c>
      <c r="D34" s="19" t="s">
        <v>45</v>
      </c>
      <c r="E34" s="26">
        <f t="shared" ref="E34:E35" si="21">F34-1.5</f>
        <v>3</v>
      </c>
      <c r="F34" s="50">
        <f>C34-0.5</f>
        <v>4.5</v>
      </c>
      <c r="G34">
        <f>C34+0.5</f>
        <v>5.5</v>
      </c>
      <c r="H34" s="27">
        <f t="shared" si="18"/>
        <v>7</v>
      </c>
      <c r="I34" s="28">
        <f t="shared" ref="I34:I35" si="22">J34-1</f>
        <v>3.5</v>
      </c>
      <c r="J34">
        <f t="shared" si="19"/>
        <v>4.5</v>
      </c>
      <c r="K34">
        <f t="shared" si="19"/>
        <v>5.5</v>
      </c>
      <c r="L34" s="29">
        <f t="shared" si="20"/>
        <v>6.5</v>
      </c>
    </row>
    <row r="35" spans="1:12" ht="15.75" thickBot="1" x14ac:dyDescent="0.3">
      <c r="A35" s="45" t="s">
        <v>44</v>
      </c>
      <c r="B35" s="2">
        <v>7.5</v>
      </c>
      <c r="C35" s="18">
        <v>7.5</v>
      </c>
      <c r="D35" s="19" t="s">
        <v>44</v>
      </c>
      <c r="E35" s="30">
        <f t="shared" si="21"/>
        <v>5.5</v>
      </c>
      <c r="F35" s="31">
        <f>C35-0.5</f>
        <v>7</v>
      </c>
      <c r="G35" s="32">
        <f>C35+0.5</f>
        <v>8</v>
      </c>
      <c r="H35" s="33">
        <f t="shared" si="18"/>
        <v>9.5</v>
      </c>
      <c r="I35" s="34">
        <f t="shared" si="22"/>
        <v>6</v>
      </c>
      <c r="J35" s="32">
        <f t="shared" si="19"/>
        <v>7</v>
      </c>
      <c r="K35" s="32">
        <f t="shared" si="19"/>
        <v>8</v>
      </c>
      <c r="L35" s="35">
        <f t="shared" si="20"/>
        <v>9</v>
      </c>
    </row>
    <row r="37" spans="1:12" ht="15.75" thickBot="1" x14ac:dyDescent="0.3">
      <c r="A37" s="1" t="s">
        <v>122</v>
      </c>
    </row>
    <row r="38" spans="1:12" ht="67.5" customHeight="1" thickBot="1" x14ac:dyDescent="0.3">
      <c r="A38" s="53" t="s">
        <v>53</v>
      </c>
      <c r="B38" s="52" t="s">
        <v>39</v>
      </c>
      <c r="C38" s="54" t="s">
        <v>48</v>
      </c>
      <c r="D38" s="55" t="s">
        <v>120</v>
      </c>
      <c r="E38" s="217" t="s">
        <v>57</v>
      </c>
      <c r="F38" s="218"/>
      <c r="G38" s="218"/>
      <c r="H38" s="218"/>
      <c r="I38" s="218"/>
      <c r="J38" s="218"/>
      <c r="K38" s="218"/>
      <c r="L38" s="219"/>
    </row>
    <row r="39" spans="1:12" x14ac:dyDescent="0.25">
      <c r="A39" s="64" t="s">
        <v>50</v>
      </c>
      <c r="B39" s="56" t="s">
        <v>40</v>
      </c>
      <c r="C39" s="57" t="s">
        <v>44</v>
      </c>
      <c r="D39" s="88">
        <v>7.5</v>
      </c>
      <c r="E39" s="26">
        <v>5.5</v>
      </c>
      <c r="F39" s="50">
        <v>7</v>
      </c>
      <c r="G39">
        <v>8</v>
      </c>
      <c r="H39" s="27">
        <v>9.5</v>
      </c>
      <c r="I39" s="28">
        <v>6</v>
      </c>
      <c r="J39">
        <v>7</v>
      </c>
      <c r="K39">
        <v>8</v>
      </c>
      <c r="L39" s="29">
        <v>9</v>
      </c>
    </row>
    <row r="40" spans="1:12" x14ac:dyDescent="0.25">
      <c r="A40" s="65" t="s">
        <v>51</v>
      </c>
      <c r="B40" s="43" t="s">
        <v>41</v>
      </c>
      <c r="C40" s="2" t="s">
        <v>46</v>
      </c>
      <c r="D40" s="89">
        <v>2.5</v>
      </c>
      <c r="E40" s="26">
        <v>1.5</v>
      </c>
      <c r="F40" s="50">
        <v>2</v>
      </c>
      <c r="G40">
        <v>3</v>
      </c>
      <c r="H40" s="27">
        <v>4.5</v>
      </c>
      <c r="I40" s="28">
        <v>1.7</v>
      </c>
      <c r="J40">
        <v>2</v>
      </c>
      <c r="K40">
        <v>3</v>
      </c>
      <c r="L40" s="29">
        <v>4</v>
      </c>
    </row>
    <row r="41" spans="1:12" ht="15.75" thickBot="1" x14ac:dyDescent="0.3">
      <c r="A41" s="66" t="s">
        <v>52</v>
      </c>
      <c r="B41" s="58" t="s">
        <v>42</v>
      </c>
      <c r="C41" s="59" t="s">
        <v>45</v>
      </c>
      <c r="D41" s="90">
        <v>5</v>
      </c>
      <c r="E41" s="30">
        <v>3</v>
      </c>
      <c r="F41" s="31">
        <v>4.5</v>
      </c>
      <c r="G41" s="32">
        <v>5.5</v>
      </c>
      <c r="H41" s="33">
        <v>7</v>
      </c>
      <c r="I41" s="34">
        <v>3.5</v>
      </c>
      <c r="J41" s="32">
        <v>4.5</v>
      </c>
      <c r="K41" s="32">
        <v>5.5</v>
      </c>
      <c r="L41" s="35">
        <v>6.5</v>
      </c>
    </row>
    <row r="43" spans="1:12" ht="15.75" thickBot="1" x14ac:dyDescent="0.3">
      <c r="A43" s="1" t="s">
        <v>123</v>
      </c>
    </row>
    <row r="44" spans="1:12" ht="30.75" thickBot="1" x14ac:dyDescent="0.3">
      <c r="A44" s="67" t="s">
        <v>63</v>
      </c>
      <c r="B44" s="68" t="s">
        <v>64</v>
      </c>
      <c r="E44" s="217" t="s">
        <v>65</v>
      </c>
      <c r="F44" s="218"/>
      <c r="G44" s="218"/>
      <c r="H44" s="218"/>
      <c r="I44" s="218"/>
      <c r="J44" s="218"/>
      <c r="K44" s="218"/>
      <c r="L44" s="219"/>
    </row>
    <row r="45" spans="1:12" x14ac:dyDescent="0.25">
      <c r="A45" s="64" t="s">
        <v>60</v>
      </c>
      <c r="B45" s="69" t="s">
        <v>47</v>
      </c>
      <c r="D45" s="72" t="s">
        <v>69</v>
      </c>
      <c r="E45" s="241">
        <f>E25*F$39+E$39*F25-F25*F$39</f>
        <v>0</v>
      </c>
      <c r="F45" s="242">
        <f>F25*F$39</f>
        <v>0</v>
      </c>
      <c r="G45" s="242">
        <f>G25*G$39</f>
        <v>0</v>
      </c>
      <c r="H45" s="243">
        <f>G25*H$39+G$39*H25-G25*G$39</f>
        <v>1.76</v>
      </c>
      <c r="I45" s="241">
        <f>I25*J$39+I$39*J25-J25*J$39</f>
        <v>0</v>
      </c>
      <c r="J45" s="242">
        <f>J25*J$39</f>
        <v>0</v>
      </c>
      <c r="K45" s="242">
        <f>K25*K$39</f>
        <v>0</v>
      </c>
      <c r="L45" s="243">
        <f>K25*L$39+K$39*L25-K25*K$39</f>
        <v>1.2</v>
      </c>
    </row>
    <row r="46" spans="1:12" x14ac:dyDescent="0.25">
      <c r="A46" s="65" t="s">
        <v>60</v>
      </c>
      <c r="B46" s="70" t="s">
        <v>46</v>
      </c>
      <c r="D46" s="73" t="s">
        <v>68</v>
      </c>
      <c r="E46" s="244">
        <f>IF(E26*F$39+E$39*F26-F26*F$39&lt;0,0,E26*F$39+E$39*F26-F26*F$39)</f>
        <v>0</v>
      </c>
      <c r="F46" s="245">
        <f t="shared" ref="F46:G48" si="23">F26*F$39</f>
        <v>1.5400000000000003</v>
      </c>
      <c r="G46" s="245">
        <f t="shared" si="23"/>
        <v>3.52</v>
      </c>
      <c r="H46" s="246">
        <f t="shared" ref="H46:H48" si="24">G26*H$39+G$39*H26-G26*G$39</f>
        <v>5.0600000000000005</v>
      </c>
      <c r="I46" s="244">
        <f t="shared" ref="I46:I48" si="25">I26*J$39+I$39*J26-J26*J$39</f>
        <v>0.19999999999999996</v>
      </c>
      <c r="J46" s="245">
        <f t="shared" ref="J46:K48" si="26">J26*J$39</f>
        <v>1.5400000000000003</v>
      </c>
      <c r="K46" s="245">
        <f t="shared" si="26"/>
        <v>3.52</v>
      </c>
      <c r="L46" s="246">
        <f t="shared" ref="L46:L48" si="27">K26*L$39+K$39*L26-K26*K$39</f>
        <v>4.6000000000000014</v>
      </c>
    </row>
    <row r="47" spans="1:12" x14ac:dyDescent="0.25">
      <c r="A47" s="65" t="s">
        <v>60</v>
      </c>
      <c r="B47" s="70" t="s">
        <v>45</v>
      </c>
      <c r="D47" s="73" t="s">
        <v>67</v>
      </c>
      <c r="E47" s="244">
        <f t="shared" ref="E47:E48" si="28">E27*F$39+E$39*F27-F27*F$39</f>
        <v>2.2549999999999999</v>
      </c>
      <c r="F47" s="245">
        <f t="shared" si="23"/>
        <v>3.8500000000000005</v>
      </c>
      <c r="G47" s="245">
        <f t="shared" si="23"/>
        <v>6.16</v>
      </c>
      <c r="H47" s="246">
        <f t="shared" si="24"/>
        <v>9.1550000000000011</v>
      </c>
      <c r="I47" s="244">
        <f t="shared" si="25"/>
        <v>2.7399999999999993</v>
      </c>
      <c r="J47" s="245">
        <f t="shared" si="26"/>
        <v>3.8500000000000005</v>
      </c>
      <c r="K47" s="245">
        <f t="shared" si="26"/>
        <v>6.16</v>
      </c>
      <c r="L47" s="246">
        <f t="shared" si="27"/>
        <v>8.129999999999999</v>
      </c>
    </row>
    <row r="48" spans="1:12" ht="15.75" thickBot="1" x14ac:dyDescent="0.3">
      <c r="A48" s="66" t="s">
        <v>60</v>
      </c>
      <c r="B48" s="71" t="s">
        <v>44</v>
      </c>
      <c r="D48" s="74" t="s">
        <v>66</v>
      </c>
      <c r="E48" s="247">
        <f t="shared" si="28"/>
        <v>3.8900000000000006</v>
      </c>
      <c r="F48" s="248">
        <f t="shared" si="23"/>
        <v>7</v>
      </c>
      <c r="G48" s="248">
        <f t="shared" si="23"/>
        <v>8</v>
      </c>
      <c r="H48" s="249">
        <f t="shared" si="24"/>
        <v>9.5</v>
      </c>
      <c r="I48" s="247">
        <f t="shared" si="25"/>
        <v>4.8099999999999987</v>
      </c>
      <c r="J48" s="248">
        <f t="shared" si="26"/>
        <v>7</v>
      </c>
      <c r="K48" s="248">
        <f t="shared" si="26"/>
        <v>8</v>
      </c>
      <c r="L48" s="249">
        <f t="shared" si="27"/>
        <v>9</v>
      </c>
    </row>
    <row r="49" spans="1:73" x14ac:dyDescent="0.25">
      <c r="A49" s="64" t="s">
        <v>61</v>
      </c>
      <c r="B49" s="69" t="s">
        <v>47</v>
      </c>
      <c r="D49" s="72" t="s">
        <v>70</v>
      </c>
      <c r="E49" s="241">
        <f>E25*F$40+E$40*F25-F25*F$40</f>
        <v>0</v>
      </c>
      <c r="F49" s="242">
        <f>F25*F$40</f>
        <v>0</v>
      </c>
      <c r="G49" s="242">
        <f>G25*G$40</f>
        <v>0</v>
      </c>
      <c r="H49" s="243">
        <f>G25*H$40+G$40*H25-G25*G$40</f>
        <v>0.66</v>
      </c>
      <c r="I49" s="241">
        <f>I25*J$40+I$40*J25-J25*J$40</f>
        <v>0</v>
      </c>
      <c r="J49" s="242">
        <f>J25*J$40</f>
        <v>0</v>
      </c>
      <c r="K49" s="242">
        <f>K25*K$40</f>
        <v>0</v>
      </c>
      <c r="L49" s="243">
        <f>K25*L$40+K$40*L25-K25*K$40</f>
        <v>0.44999999999999996</v>
      </c>
    </row>
    <row r="50" spans="1:73" x14ac:dyDescent="0.25">
      <c r="A50" s="65" t="s">
        <v>61</v>
      </c>
      <c r="B50" s="70" t="s">
        <v>46</v>
      </c>
      <c r="D50" s="73" t="s">
        <v>75</v>
      </c>
      <c r="E50" s="244">
        <f>IF(E26*F$40+E$40*F26-F26*F$40&lt;0,0,E26*F$40+E$40*F26-F26*F$40)</f>
        <v>0</v>
      </c>
      <c r="F50" s="245">
        <f t="shared" ref="F50:G52" si="29">F26*F$40</f>
        <v>0.44000000000000006</v>
      </c>
      <c r="G50" s="245">
        <f t="shared" si="29"/>
        <v>1.32</v>
      </c>
      <c r="H50" s="246">
        <f t="shared" ref="H50:H52" si="30">G26*H$40+G$40*H26-G26*G$40</f>
        <v>2.3099999999999996</v>
      </c>
      <c r="I50" s="244">
        <f t="shared" ref="I50:I52" si="31">I26*J$40+I$40*J26-J26*J$40</f>
        <v>5.3999999999999992E-2</v>
      </c>
      <c r="J50" s="245">
        <f t="shared" ref="J50:K52" si="32">J26*J$40</f>
        <v>0.44000000000000006</v>
      </c>
      <c r="K50" s="245">
        <f t="shared" si="32"/>
        <v>1.32</v>
      </c>
      <c r="L50" s="246">
        <f t="shared" ref="L50:L52" si="33">K26*L$40+K$40*L26-K26*K$40</f>
        <v>2</v>
      </c>
    </row>
    <row r="51" spans="1:73" x14ac:dyDescent="0.25">
      <c r="A51" s="65" t="s">
        <v>61</v>
      </c>
      <c r="B51" s="70" t="s">
        <v>45</v>
      </c>
      <c r="D51" s="73" t="s">
        <v>76</v>
      </c>
      <c r="E51" s="244">
        <f t="shared" ref="E51:E52" si="34">E27*F$40+E$40*F27-F27*F$40</f>
        <v>0.60499999999999998</v>
      </c>
      <c r="F51" s="245">
        <f t="shared" si="29"/>
        <v>1.1000000000000001</v>
      </c>
      <c r="G51" s="245">
        <f t="shared" si="29"/>
        <v>2.31</v>
      </c>
      <c r="H51" s="246">
        <f t="shared" si="30"/>
        <v>4.1549999999999994</v>
      </c>
      <c r="I51" s="244">
        <f t="shared" si="31"/>
        <v>0.77499999999999991</v>
      </c>
      <c r="J51" s="245">
        <f t="shared" si="32"/>
        <v>1.1000000000000001</v>
      </c>
      <c r="K51" s="245">
        <f t="shared" si="32"/>
        <v>2.31</v>
      </c>
      <c r="L51" s="246">
        <f t="shared" si="33"/>
        <v>3.53</v>
      </c>
    </row>
    <row r="52" spans="1:73" ht="15.75" thickBot="1" x14ac:dyDescent="0.3">
      <c r="A52" s="66" t="s">
        <v>61</v>
      </c>
      <c r="B52" s="71" t="s">
        <v>44</v>
      </c>
      <c r="D52" s="74" t="s">
        <v>77</v>
      </c>
      <c r="E52" s="247">
        <f t="shared" si="34"/>
        <v>1.04</v>
      </c>
      <c r="F52" s="248">
        <f t="shared" si="29"/>
        <v>2</v>
      </c>
      <c r="G52" s="248">
        <f t="shared" si="29"/>
        <v>3</v>
      </c>
      <c r="H52" s="249">
        <f t="shared" si="30"/>
        <v>4.5</v>
      </c>
      <c r="I52" s="247">
        <f t="shared" si="31"/>
        <v>1.3599999999999999</v>
      </c>
      <c r="J52" s="248">
        <f t="shared" si="32"/>
        <v>2</v>
      </c>
      <c r="K52" s="248">
        <f t="shared" si="32"/>
        <v>3</v>
      </c>
      <c r="L52" s="249">
        <f t="shared" si="33"/>
        <v>4</v>
      </c>
    </row>
    <row r="53" spans="1:73" x14ac:dyDescent="0.25">
      <c r="A53" s="64" t="s">
        <v>62</v>
      </c>
      <c r="B53" s="69" t="s">
        <v>47</v>
      </c>
      <c r="D53" s="72" t="s">
        <v>72</v>
      </c>
      <c r="E53" s="244">
        <f>E25*F$41+E$41*F25-F25*F$41</f>
        <v>0</v>
      </c>
      <c r="F53" s="245">
        <f>F25*F$41</f>
        <v>0</v>
      </c>
      <c r="G53" s="245">
        <f>G25*G$41</f>
        <v>0</v>
      </c>
      <c r="H53" s="246">
        <f>G25*H$41+G$41*H25-G25*G$41</f>
        <v>1.21</v>
      </c>
      <c r="I53" s="244">
        <f>I25*J$41+I$41*J25-J25*J$41</f>
        <v>0</v>
      </c>
      <c r="J53" s="245">
        <f>J25*J$41</f>
        <v>0</v>
      </c>
      <c r="K53" s="245">
        <f>K25*K$41</f>
        <v>0</v>
      </c>
      <c r="L53" s="246">
        <f>K25*L$41+K$41*L25-K25*K$41</f>
        <v>0.82499999999999996</v>
      </c>
    </row>
    <row r="54" spans="1:73" x14ac:dyDescent="0.25">
      <c r="A54" s="65" t="s">
        <v>62</v>
      </c>
      <c r="B54" s="70" t="s">
        <v>46</v>
      </c>
      <c r="D54" s="73" t="s">
        <v>71</v>
      </c>
      <c r="E54" s="244">
        <f>IF(E26*F$41+E$41*F26-F26*F$41&lt;0,0,E26*F$41+E$41*F26-F26*F$41)</f>
        <v>0</v>
      </c>
      <c r="F54" s="245">
        <f t="shared" ref="F54:G56" si="35">F26*F$41</f>
        <v>0.9900000000000001</v>
      </c>
      <c r="G54" s="245">
        <f t="shared" si="35"/>
        <v>2.42</v>
      </c>
      <c r="H54" s="246">
        <f t="shared" ref="H54:H56" si="36">G26*H$41+G$41*H26-G26*G$41</f>
        <v>3.6850000000000005</v>
      </c>
      <c r="I54" s="244">
        <f t="shared" ref="I54:I56" si="37">I26*J$41+I$41*J26-J26*J$41</f>
        <v>4.9999999999999933E-2</v>
      </c>
      <c r="J54" s="245">
        <f t="shared" ref="J54:K56" si="38">J26*J$41</f>
        <v>0.9900000000000001</v>
      </c>
      <c r="K54" s="245">
        <f t="shared" si="38"/>
        <v>2.42</v>
      </c>
      <c r="L54" s="246">
        <f t="shared" ref="L54:L56" si="39">K26*L$41+K$41*L26-K26*K$41</f>
        <v>3.3000000000000007</v>
      </c>
    </row>
    <row r="55" spans="1:73" x14ac:dyDescent="0.25">
      <c r="A55" s="65" t="s">
        <v>62</v>
      </c>
      <c r="B55" s="70" t="s">
        <v>45</v>
      </c>
      <c r="D55" s="73" t="s">
        <v>73</v>
      </c>
      <c r="E55" s="244">
        <f t="shared" ref="E55:E56" si="40">E27*F$41+E$41*F27-F27*F$41</f>
        <v>1.1550000000000002</v>
      </c>
      <c r="F55" s="245">
        <f t="shared" si="35"/>
        <v>2.4750000000000001</v>
      </c>
      <c r="G55" s="245">
        <f t="shared" si="35"/>
        <v>4.2350000000000003</v>
      </c>
      <c r="H55" s="246">
        <f t="shared" si="36"/>
        <v>6.6550000000000002</v>
      </c>
      <c r="I55" s="244">
        <f t="shared" si="37"/>
        <v>1.5650000000000008</v>
      </c>
      <c r="J55" s="245">
        <f t="shared" si="38"/>
        <v>2.4750000000000001</v>
      </c>
      <c r="K55" s="245">
        <f t="shared" si="38"/>
        <v>4.2350000000000003</v>
      </c>
      <c r="L55" s="246">
        <f t="shared" si="39"/>
        <v>5.830000000000001</v>
      </c>
    </row>
    <row r="56" spans="1:73" ht="15.75" thickBot="1" x14ac:dyDescent="0.3">
      <c r="A56" s="66" t="s">
        <v>62</v>
      </c>
      <c r="B56" s="71" t="s">
        <v>44</v>
      </c>
      <c r="D56" s="74" t="s">
        <v>74</v>
      </c>
      <c r="E56" s="247">
        <f t="shared" si="40"/>
        <v>1.9649999999999999</v>
      </c>
      <c r="F56" s="248">
        <f t="shared" si="35"/>
        <v>4.5</v>
      </c>
      <c r="G56" s="248">
        <f t="shared" si="35"/>
        <v>5.5</v>
      </c>
      <c r="H56" s="249">
        <f t="shared" si="36"/>
        <v>7</v>
      </c>
      <c r="I56" s="247">
        <f t="shared" si="37"/>
        <v>2.7349999999999994</v>
      </c>
      <c r="J56" s="248">
        <f t="shared" si="38"/>
        <v>4.5</v>
      </c>
      <c r="K56" s="248">
        <f t="shared" si="38"/>
        <v>5.5</v>
      </c>
      <c r="L56" s="249">
        <f t="shared" si="39"/>
        <v>6.5</v>
      </c>
    </row>
    <row r="59" spans="1:73" ht="18.75" x14ac:dyDescent="0.3">
      <c r="A59" s="85" t="s">
        <v>92</v>
      </c>
      <c r="B59" s="38"/>
      <c r="C59" s="38"/>
    </row>
    <row r="60" spans="1:73" x14ac:dyDescent="0.25">
      <c r="A60" s="1" t="s">
        <v>49</v>
      </c>
      <c r="B60" s="38"/>
      <c r="C60" s="38"/>
    </row>
    <row r="61" spans="1:73" ht="15.75" thickBot="1" x14ac:dyDescent="0.3">
      <c r="A61" s="39" t="s">
        <v>97</v>
      </c>
      <c r="B61" s="38"/>
      <c r="C61" s="38"/>
      <c r="BO61" s="245">
        <v>0.8</v>
      </c>
    </row>
    <row r="62" spans="1:73" ht="86.25" customHeight="1" thickBot="1" x14ac:dyDescent="0.3">
      <c r="A62" s="222" t="s">
        <v>26</v>
      </c>
      <c r="B62" s="222" t="s">
        <v>27</v>
      </c>
      <c r="C62" s="223" t="s">
        <v>28</v>
      </c>
      <c r="D62" s="224" t="s">
        <v>58</v>
      </c>
      <c r="E62" s="225"/>
      <c r="F62" s="225"/>
      <c r="G62" s="225" t="s">
        <v>59</v>
      </c>
      <c r="H62" s="225"/>
      <c r="I62" s="225"/>
      <c r="J62" s="220" t="s">
        <v>88</v>
      </c>
      <c r="K62" s="210" t="s">
        <v>81</v>
      </c>
      <c r="L62" s="211"/>
      <c r="M62" s="211"/>
      <c r="N62" s="211"/>
      <c r="O62" s="211"/>
      <c r="P62" s="211"/>
      <c r="Q62" s="211"/>
      <c r="R62" s="212"/>
      <c r="S62" s="210" t="s">
        <v>79</v>
      </c>
      <c r="T62" s="211"/>
      <c r="U62" s="211"/>
      <c r="V62" s="211"/>
      <c r="W62" s="211"/>
      <c r="X62" s="211"/>
      <c r="Y62" s="211"/>
      <c r="Z62" s="212"/>
      <c r="AA62" s="210" t="s">
        <v>80</v>
      </c>
      <c r="AB62" s="211"/>
      <c r="AC62" s="211"/>
      <c r="AD62" s="211"/>
      <c r="AE62" s="211"/>
      <c r="AF62" s="211"/>
      <c r="AG62" s="211"/>
      <c r="AH62" s="212"/>
      <c r="AI62" s="261" t="s">
        <v>78</v>
      </c>
      <c r="AJ62" s="262"/>
      <c r="AK62" s="262"/>
      <c r="AL62" s="262"/>
      <c r="AM62" s="262"/>
      <c r="AN62" s="262"/>
      <c r="AO62" s="262"/>
      <c r="AP62" s="263"/>
      <c r="AQ62" s="261" t="s">
        <v>89</v>
      </c>
      <c r="AR62" s="262"/>
      <c r="AS62" s="262"/>
      <c r="AT62" s="262"/>
      <c r="AU62" s="262"/>
      <c r="AV62" s="262"/>
      <c r="AW62" s="262"/>
      <c r="AX62" s="263"/>
      <c r="AY62" s="261" t="s">
        <v>90</v>
      </c>
      <c r="AZ62" s="262"/>
      <c r="BA62" s="262"/>
      <c r="BB62" s="262"/>
      <c r="BC62" s="262"/>
      <c r="BD62" s="262"/>
      <c r="BE62" s="262"/>
      <c r="BF62" s="263"/>
      <c r="BG62" s="261" t="s">
        <v>134</v>
      </c>
      <c r="BH62" s="262"/>
      <c r="BI62" s="262"/>
      <c r="BJ62" s="262"/>
      <c r="BK62" s="262"/>
      <c r="BL62" s="262"/>
      <c r="BM62" s="262"/>
      <c r="BN62" s="263"/>
      <c r="BO62" s="199" t="s">
        <v>82</v>
      </c>
      <c r="BP62" s="200"/>
      <c r="BQ62" s="200"/>
      <c r="BR62" s="201"/>
      <c r="BS62" s="202" t="s">
        <v>84</v>
      </c>
      <c r="BT62" s="203"/>
      <c r="BU62" s="204" t="s">
        <v>87</v>
      </c>
    </row>
    <row r="63" spans="1:73" s="36" customFormat="1" ht="23.25" customHeight="1" thickBot="1" x14ac:dyDescent="0.3">
      <c r="A63" s="222"/>
      <c r="B63" s="222"/>
      <c r="C63" s="223"/>
      <c r="D63" s="61" t="s">
        <v>50</v>
      </c>
      <c r="E63" s="46" t="s">
        <v>51</v>
      </c>
      <c r="F63" s="46" t="s">
        <v>52</v>
      </c>
      <c r="G63" s="46" t="s">
        <v>50</v>
      </c>
      <c r="H63" s="46" t="s">
        <v>51</v>
      </c>
      <c r="I63" s="46" t="s">
        <v>52</v>
      </c>
      <c r="J63" s="221"/>
      <c r="K63" s="210" t="s">
        <v>3</v>
      </c>
      <c r="L63" s="211"/>
      <c r="M63" s="211"/>
      <c r="N63" s="212"/>
      <c r="O63" s="210" t="s">
        <v>4</v>
      </c>
      <c r="P63" s="211"/>
      <c r="Q63" s="211"/>
      <c r="R63" s="212"/>
      <c r="S63" s="261" t="s">
        <v>3</v>
      </c>
      <c r="T63" s="262"/>
      <c r="U63" s="262"/>
      <c r="V63" s="263"/>
      <c r="W63" s="210" t="s">
        <v>4</v>
      </c>
      <c r="X63" s="211"/>
      <c r="Y63" s="211"/>
      <c r="Z63" s="212"/>
      <c r="AA63" s="210" t="s">
        <v>3</v>
      </c>
      <c r="AB63" s="211"/>
      <c r="AC63" s="211"/>
      <c r="AD63" s="212"/>
      <c r="AE63" s="210" t="s">
        <v>4</v>
      </c>
      <c r="AF63" s="211"/>
      <c r="AG63" s="211"/>
      <c r="AH63" s="212"/>
      <c r="AI63" s="261" t="s">
        <v>3</v>
      </c>
      <c r="AJ63" s="262"/>
      <c r="AK63" s="262"/>
      <c r="AL63" s="263"/>
      <c r="AM63" s="261" t="s">
        <v>4</v>
      </c>
      <c r="AN63" s="262"/>
      <c r="AO63" s="262"/>
      <c r="AP63" s="263"/>
      <c r="AQ63" s="261" t="s">
        <v>3</v>
      </c>
      <c r="AR63" s="262"/>
      <c r="AS63" s="262"/>
      <c r="AT63" s="263"/>
      <c r="AU63" s="261" t="s">
        <v>4</v>
      </c>
      <c r="AV63" s="262"/>
      <c r="AW63" s="262"/>
      <c r="AX63" s="263"/>
      <c r="AY63" s="261" t="s">
        <v>3</v>
      </c>
      <c r="AZ63" s="262"/>
      <c r="BA63" s="262"/>
      <c r="BB63" s="263"/>
      <c r="BC63" s="261" t="s">
        <v>4</v>
      </c>
      <c r="BD63" s="262"/>
      <c r="BE63" s="262"/>
      <c r="BF63" s="263"/>
      <c r="BG63" s="261" t="s">
        <v>3</v>
      </c>
      <c r="BH63" s="262"/>
      <c r="BI63" s="262"/>
      <c r="BJ63" s="263"/>
      <c r="BK63" s="261" t="s">
        <v>4</v>
      </c>
      <c r="BL63" s="262"/>
      <c r="BM63" s="262"/>
      <c r="BN63" s="263"/>
      <c r="BO63" s="270" t="s">
        <v>83</v>
      </c>
      <c r="BP63" s="271"/>
      <c r="BQ63" s="196" t="s">
        <v>5</v>
      </c>
      <c r="BR63" s="198"/>
      <c r="BS63" s="81" t="s">
        <v>85</v>
      </c>
      <c r="BT63" s="81" t="s">
        <v>86</v>
      </c>
      <c r="BU63" s="205"/>
    </row>
    <row r="64" spans="1:73" ht="30" x14ac:dyDescent="0.25">
      <c r="A64" s="41" t="s">
        <v>0</v>
      </c>
      <c r="B64" s="41" t="s">
        <v>25</v>
      </c>
      <c r="C64" s="60" t="s">
        <v>13</v>
      </c>
      <c r="D64" s="92" t="s">
        <v>46</v>
      </c>
      <c r="E64" s="92" t="s">
        <v>45</v>
      </c>
      <c r="F64" s="92" t="s">
        <v>44</v>
      </c>
      <c r="G64" s="49">
        <f>IF(D64=$A$77,$B$77,(IF(D64=$A$78,$B$78,IF(D64=$A$79,$B$79,$B$80))))</f>
        <v>0.33</v>
      </c>
      <c r="H64" s="49">
        <f t="shared" ref="H64:I73" si="41">IF(E64=$A$77,$B$77,(IF(E64=$A$78,$B$78,IF(E64=$A$79,$B$79,$B$80))))</f>
        <v>0.66</v>
      </c>
      <c r="I64" s="49">
        <f t="shared" si="41"/>
        <v>1</v>
      </c>
      <c r="J64" s="83">
        <f>G64*$D$91+H64*$D$92+I64*$D$93</f>
        <v>12.425000000000001</v>
      </c>
      <c r="K64" s="20">
        <v>0</v>
      </c>
      <c r="L64" s="22">
        <v>0.22000000000000003</v>
      </c>
      <c r="M64" s="22">
        <v>0.44</v>
      </c>
      <c r="N64" s="23">
        <v>0.55000000000000004</v>
      </c>
      <c r="O64" s="20">
        <v>0.06</v>
      </c>
      <c r="P64" s="22">
        <v>0.22000000000000003</v>
      </c>
      <c r="Q64" s="242">
        <v>0.44</v>
      </c>
      <c r="R64" s="243">
        <v>0.52</v>
      </c>
      <c r="S64" s="241">
        <v>0.44000000000000006</v>
      </c>
      <c r="T64" s="242">
        <v>0.55000000000000004</v>
      </c>
      <c r="U64" s="242">
        <v>0.77</v>
      </c>
      <c r="V64" s="243">
        <v>1</v>
      </c>
      <c r="W64" s="241">
        <v>0.47000000000000003</v>
      </c>
      <c r="X64" s="242">
        <v>0.55000000000000004</v>
      </c>
      <c r="Y64" s="242">
        <v>0.77</v>
      </c>
      <c r="Z64" s="23">
        <v>0.92</v>
      </c>
      <c r="AA64" s="20">
        <v>0.77</v>
      </c>
      <c r="AB64" s="22">
        <v>1</v>
      </c>
      <c r="AC64" s="22">
        <v>1</v>
      </c>
      <c r="AD64" s="23">
        <v>1</v>
      </c>
      <c r="AE64" s="20">
        <v>0.83</v>
      </c>
      <c r="AF64" s="242">
        <v>1</v>
      </c>
      <c r="AG64" s="242">
        <v>1</v>
      </c>
      <c r="AH64" s="243">
        <v>1</v>
      </c>
      <c r="AI64" s="241">
        <v>0</v>
      </c>
      <c r="AJ64" s="242">
        <v>1.5400000000000003</v>
      </c>
      <c r="AK64" s="242">
        <v>3.52</v>
      </c>
      <c r="AL64" s="243">
        <v>5.0600000000000005</v>
      </c>
      <c r="AM64" s="241">
        <v>0.19999999999999996</v>
      </c>
      <c r="AN64" s="242">
        <v>1.5400000000000003</v>
      </c>
      <c r="AO64" s="242">
        <v>3.52</v>
      </c>
      <c r="AP64" s="243">
        <v>4.6000000000000014</v>
      </c>
      <c r="AQ64" s="241">
        <v>2.2549999999999999</v>
      </c>
      <c r="AR64" s="242">
        <v>3.8500000000000005</v>
      </c>
      <c r="AS64" s="242">
        <v>6.16</v>
      </c>
      <c r="AT64" s="242">
        <v>9.1550000000000011</v>
      </c>
      <c r="AU64" s="241">
        <v>2.7399999999999993</v>
      </c>
      <c r="AV64" s="242">
        <v>3.8500000000000005</v>
      </c>
      <c r="AW64" s="242">
        <v>6.16</v>
      </c>
      <c r="AX64" s="243">
        <v>8.129999999999999</v>
      </c>
      <c r="AY64" s="241">
        <v>1.9649999999999999</v>
      </c>
      <c r="AZ64" s="242">
        <v>4.5</v>
      </c>
      <c r="BA64" s="242">
        <v>5.5</v>
      </c>
      <c r="BB64" s="242">
        <v>7</v>
      </c>
      <c r="BC64" s="241">
        <v>2.7349999999999994</v>
      </c>
      <c r="BD64" s="242">
        <v>4.5</v>
      </c>
      <c r="BE64" s="242">
        <v>5.5</v>
      </c>
      <c r="BF64" s="243">
        <v>6.5</v>
      </c>
      <c r="BG64" s="241">
        <f>AI64+AQ64+AY64</f>
        <v>4.22</v>
      </c>
      <c r="BH64" s="242">
        <f t="shared" ref="BH64:BN73" si="42">AJ64+AR64+AZ64</f>
        <v>9.89</v>
      </c>
      <c r="BI64" s="242">
        <f t="shared" si="42"/>
        <v>15.18</v>
      </c>
      <c r="BJ64" s="242">
        <f t="shared" si="42"/>
        <v>21.215000000000003</v>
      </c>
      <c r="BK64" s="241">
        <f t="shared" si="42"/>
        <v>5.6749999999999989</v>
      </c>
      <c r="BL64" s="242">
        <f t="shared" si="42"/>
        <v>9.89</v>
      </c>
      <c r="BM64" s="242">
        <f t="shared" si="42"/>
        <v>15.18</v>
      </c>
      <c r="BN64" s="242">
        <f t="shared" si="42"/>
        <v>19.23</v>
      </c>
      <c r="BO64" s="250">
        <f>BO$9*BH64+(1-BO$9)*BG64</f>
        <v>8.7560000000000002</v>
      </c>
      <c r="BP64" s="275">
        <f>BO$9*BI64+(1-BO$9)*BJ64</f>
        <v>16.387</v>
      </c>
      <c r="BQ64" s="75">
        <f>BO$9*BL64+(1-BO$9)*BK64</f>
        <v>9.0470000000000006</v>
      </c>
      <c r="BR64" s="76">
        <f>BO$9*BM64+(1-BO$9)*BN64</f>
        <v>15.989999999999998</v>
      </c>
      <c r="BS64" s="20">
        <f>(BO64+BP64)/2</f>
        <v>12.5715</v>
      </c>
      <c r="BT64" s="23">
        <f>(BQ64+BR64)/2</f>
        <v>12.5185</v>
      </c>
      <c r="BU64" s="72">
        <f>(BS64+BT64)/2</f>
        <v>12.545</v>
      </c>
    </row>
    <row r="65" spans="1:73" x14ac:dyDescent="0.25">
      <c r="A65" s="41" t="s">
        <v>1</v>
      </c>
      <c r="B65" s="41" t="s">
        <v>14</v>
      </c>
      <c r="C65" s="60" t="s">
        <v>29</v>
      </c>
      <c r="D65" s="92" t="s">
        <v>46</v>
      </c>
      <c r="E65" s="92" t="s">
        <v>46</v>
      </c>
      <c r="F65" s="92" t="s">
        <v>45</v>
      </c>
      <c r="G65" s="49">
        <f t="shared" ref="G65:G73" si="43">IF(D65=$A$77,$B$77,(IF(D65=$A$78,$B$78,IF(D65=$A$79,$B$79,$B$80))))</f>
        <v>0.33</v>
      </c>
      <c r="H65" s="49">
        <f t="shared" si="41"/>
        <v>0.33</v>
      </c>
      <c r="I65" s="49">
        <f t="shared" si="41"/>
        <v>0.66</v>
      </c>
      <c r="J65" s="83">
        <f t="shared" ref="J65:J73" si="44">G65*$D$91+H65*$D$92+I65*$D$93</f>
        <v>8.25</v>
      </c>
      <c r="K65" s="26">
        <v>0</v>
      </c>
      <c r="L65">
        <v>0.22000000000000003</v>
      </c>
      <c r="M65">
        <v>0.44</v>
      </c>
      <c r="N65" s="27">
        <v>0.55000000000000004</v>
      </c>
      <c r="O65" s="26">
        <v>0.06</v>
      </c>
      <c r="P65">
        <v>0.22000000000000003</v>
      </c>
      <c r="Q65" s="245">
        <v>0.44</v>
      </c>
      <c r="R65" s="246">
        <v>0.52</v>
      </c>
      <c r="S65" s="244">
        <v>0</v>
      </c>
      <c r="T65" s="245">
        <v>0.22000000000000003</v>
      </c>
      <c r="U65" s="245">
        <v>0.44</v>
      </c>
      <c r="V65" s="246">
        <v>0.55000000000000004</v>
      </c>
      <c r="W65" s="244">
        <v>0.06</v>
      </c>
      <c r="X65" s="245">
        <v>0.22000000000000003</v>
      </c>
      <c r="Y65" s="245">
        <v>0.44</v>
      </c>
      <c r="Z65" s="27">
        <v>0.52</v>
      </c>
      <c r="AA65" s="26">
        <v>0.44000000000000006</v>
      </c>
      <c r="AB65">
        <v>0.55000000000000004</v>
      </c>
      <c r="AC65">
        <v>0.77</v>
      </c>
      <c r="AD65" s="27">
        <v>1</v>
      </c>
      <c r="AE65" s="26">
        <v>0.47000000000000003</v>
      </c>
      <c r="AF65" s="245">
        <v>0.55000000000000004</v>
      </c>
      <c r="AG65" s="245">
        <v>0.77</v>
      </c>
      <c r="AH65" s="246">
        <v>0.92</v>
      </c>
      <c r="AI65" s="244">
        <v>0</v>
      </c>
      <c r="AJ65" s="245">
        <v>1.5400000000000003</v>
      </c>
      <c r="AK65" s="245">
        <v>3.52</v>
      </c>
      <c r="AL65" s="246">
        <v>5.0600000000000005</v>
      </c>
      <c r="AM65" s="244">
        <v>0.19999999999999996</v>
      </c>
      <c r="AN65" s="245">
        <v>1.5400000000000003</v>
      </c>
      <c r="AO65" s="245">
        <v>3.52</v>
      </c>
      <c r="AP65" s="246">
        <v>4.6000000000000014</v>
      </c>
      <c r="AQ65" s="244">
        <v>0</v>
      </c>
      <c r="AR65" s="245">
        <v>1.5400000000000003</v>
      </c>
      <c r="AS65" s="245">
        <v>3.52</v>
      </c>
      <c r="AT65" s="245">
        <v>5.0600000000000005</v>
      </c>
      <c r="AU65" s="244">
        <v>0.19999999999999996</v>
      </c>
      <c r="AV65" s="245">
        <v>1.5400000000000003</v>
      </c>
      <c r="AW65" s="245">
        <v>3.52</v>
      </c>
      <c r="AX65" s="246">
        <v>4.6000000000000014</v>
      </c>
      <c r="AY65" s="244">
        <v>1.1550000000000002</v>
      </c>
      <c r="AZ65" s="245">
        <v>2.4750000000000001</v>
      </c>
      <c r="BA65" s="245">
        <v>4.2350000000000003</v>
      </c>
      <c r="BB65" s="245">
        <v>6.6550000000000002</v>
      </c>
      <c r="BC65" s="244">
        <v>1.5650000000000008</v>
      </c>
      <c r="BD65" s="245">
        <v>2.4750000000000001</v>
      </c>
      <c r="BE65" s="245">
        <v>4.2350000000000003</v>
      </c>
      <c r="BF65" s="246">
        <v>5.830000000000001</v>
      </c>
      <c r="BG65" s="244">
        <f t="shared" ref="BG65:BG73" si="45">AI65+AQ65+AY65</f>
        <v>1.1550000000000002</v>
      </c>
      <c r="BH65" s="245">
        <f t="shared" si="42"/>
        <v>5.5550000000000006</v>
      </c>
      <c r="BI65" s="245">
        <f t="shared" si="42"/>
        <v>11.275</v>
      </c>
      <c r="BJ65" s="245">
        <f t="shared" si="42"/>
        <v>16.775000000000002</v>
      </c>
      <c r="BK65" s="244">
        <f t="shared" si="42"/>
        <v>1.9650000000000007</v>
      </c>
      <c r="BL65" s="245">
        <f t="shared" si="42"/>
        <v>5.5550000000000006</v>
      </c>
      <c r="BM65" s="245">
        <f t="shared" si="42"/>
        <v>11.275</v>
      </c>
      <c r="BN65" s="245">
        <f t="shared" si="42"/>
        <v>15.030000000000005</v>
      </c>
      <c r="BO65" s="251">
        <f t="shared" ref="BO65:BO73" si="46">BO$9*BH65+(1-BO$9)*BG65</f>
        <v>4.6750000000000007</v>
      </c>
      <c r="BP65" s="278">
        <f t="shared" ref="BP65:BP73" si="47">BO$9*BI65+(1-BO$9)*BJ65</f>
        <v>12.375</v>
      </c>
      <c r="BQ65" s="77">
        <f t="shared" ref="BQ65:BQ73" si="48">BO$9*BL65+(1-BO$9)*BK65</f>
        <v>4.8370000000000006</v>
      </c>
      <c r="BR65" s="78">
        <f t="shared" ref="BR65:BR73" si="49">BO$9*BM65+(1-BO$9)*BN65</f>
        <v>12.026000000000002</v>
      </c>
      <c r="BS65" s="26">
        <f t="shared" ref="BS65:BS73" si="50">(BO65+BP65)/2</f>
        <v>8.5250000000000004</v>
      </c>
      <c r="BT65" s="27">
        <f t="shared" ref="BT65:BT73" si="51">(BQ65+BR65)/2</f>
        <v>8.4315000000000015</v>
      </c>
      <c r="BU65" s="73">
        <f t="shared" ref="BU65:BU73" si="52">(BS65+BT65)/2</f>
        <v>8.478250000000001</v>
      </c>
    </row>
    <row r="66" spans="1:73" x14ac:dyDescent="0.25">
      <c r="A66" s="41" t="s">
        <v>2</v>
      </c>
      <c r="B66" s="41" t="s">
        <v>15</v>
      </c>
      <c r="C66" s="60" t="s">
        <v>30</v>
      </c>
      <c r="D66" s="92" t="s">
        <v>45</v>
      </c>
      <c r="E66" s="92" t="s">
        <v>44</v>
      </c>
      <c r="F66" s="92" t="s">
        <v>45</v>
      </c>
      <c r="G66" s="49">
        <f t="shared" si="43"/>
        <v>0.66</v>
      </c>
      <c r="H66" s="49">
        <f t="shared" si="41"/>
        <v>1</v>
      </c>
      <c r="I66" s="49">
        <f t="shared" si="41"/>
        <v>0.66</v>
      </c>
      <c r="J66" s="83">
        <f t="shared" si="44"/>
        <v>15.75</v>
      </c>
      <c r="K66" s="26">
        <v>0.44000000000000006</v>
      </c>
      <c r="L66">
        <v>0.55000000000000004</v>
      </c>
      <c r="M66">
        <v>0.77</v>
      </c>
      <c r="N66" s="27">
        <v>1</v>
      </c>
      <c r="O66" s="26">
        <v>0.47000000000000003</v>
      </c>
      <c r="P66">
        <v>0.55000000000000004</v>
      </c>
      <c r="Q66" s="245">
        <v>0.77</v>
      </c>
      <c r="R66" s="246">
        <v>0.92</v>
      </c>
      <c r="S66" s="244">
        <v>0.77</v>
      </c>
      <c r="T66" s="245">
        <v>1</v>
      </c>
      <c r="U66" s="245">
        <v>1</v>
      </c>
      <c r="V66" s="246">
        <v>1</v>
      </c>
      <c r="W66" s="244">
        <v>0.83</v>
      </c>
      <c r="X66" s="245">
        <v>1</v>
      </c>
      <c r="Y66" s="245">
        <v>1</v>
      </c>
      <c r="Z66" s="27">
        <v>1</v>
      </c>
      <c r="AA66" s="26">
        <v>0.44000000000000006</v>
      </c>
      <c r="AB66">
        <v>0.55000000000000004</v>
      </c>
      <c r="AC66">
        <v>0.77</v>
      </c>
      <c r="AD66" s="27">
        <v>1</v>
      </c>
      <c r="AE66" s="26">
        <v>0.47000000000000003</v>
      </c>
      <c r="AF66" s="245">
        <v>0.55000000000000004</v>
      </c>
      <c r="AG66" s="245">
        <v>0.77</v>
      </c>
      <c r="AH66" s="246">
        <v>0.92</v>
      </c>
      <c r="AI66" s="244">
        <v>2.2549999999999999</v>
      </c>
      <c r="AJ66" s="245">
        <v>3.8500000000000005</v>
      </c>
      <c r="AK66" s="245">
        <v>6.16</v>
      </c>
      <c r="AL66" s="246">
        <v>9.1550000000000011</v>
      </c>
      <c r="AM66" s="244">
        <v>2.7399999999999993</v>
      </c>
      <c r="AN66" s="245">
        <v>3.8500000000000005</v>
      </c>
      <c r="AO66" s="245">
        <v>6.16</v>
      </c>
      <c r="AP66" s="246">
        <v>8.129999999999999</v>
      </c>
      <c r="AQ66" s="244">
        <v>3.8900000000000006</v>
      </c>
      <c r="AR66" s="245">
        <v>7</v>
      </c>
      <c r="AS66" s="245">
        <v>8</v>
      </c>
      <c r="AT66" s="245">
        <v>9.5</v>
      </c>
      <c r="AU66" s="244">
        <v>4.8099999999999987</v>
      </c>
      <c r="AV66" s="245">
        <v>7</v>
      </c>
      <c r="AW66" s="245">
        <v>8</v>
      </c>
      <c r="AX66" s="246">
        <v>9</v>
      </c>
      <c r="AY66" s="244">
        <v>1.1550000000000002</v>
      </c>
      <c r="AZ66" s="245">
        <v>2.4750000000000001</v>
      </c>
      <c r="BA66" s="245">
        <v>4.2350000000000003</v>
      </c>
      <c r="BB66" s="245">
        <v>6.6550000000000002</v>
      </c>
      <c r="BC66" s="244">
        <v>1.5650000000000008</v>
      </c>
      <c r="BD66" s="245">
        <v>2.4750000000000001</v>
      </c>
      <c r="BE66" s="245">
        <v>4.2350000000000003</v>
      </c>
      <c r="BF66" s="246">
        <v>5.830000000000001</v>
      </c>
      <c r="BG66" s="244">
        <f t="shared" si="45"/>
        <v>7.3000000000000007</v>
      </c>
      <c r="BH66" s="245">
        <f t="shared" si="42"/>
        <v>13.325000000000001</v>
      </c>
      <c r="BI66" s="245">
        <f t="shared" si="42"/>
        <v>18.395</v>
      </c>
      <c r="BJ66" s="245">
        <f t="shared" si="42"/>
        <v>25.310000000000002</v>
      </c>
      <c r="BK66" s="244">
        <f t="shared" si="42"/>
        <v>9.1149999999999984</v>
      </c>
      <c r="BL66" s="245">
        <f t="shared" si="42"/>
        <v>13.325000000000001</v>
      </c>
      <c r="BM66" s="245">
        <f t="shared" si="42"/>
        <v>18.395</v>
      </c>
      <c r="BN66" s="245">
        <f t="shared" si="42"/>
        <v>22.96</v>
      </c>
      <c r="BO66" s="251">
        <f t="shared" si="46"/>
        <v>12.120000000000001</v>
      </c>
      <c r="BP66" s="278">
        <f t="shared" si="47"/>
        <v>19.777999999999999</v>
      </c>
      <c r="BQ66" s="77">
        <f t="shared" si="48"/>
        <v>12.483000000000001</v>
      </c>
      <c r="BR66" s="78">
        <f t="shared" si="49"/>
        <v>19.308</v>
      </c>
      <c r="BS66" s="26">
        <f t="shared" si="50"/>
        <v>15.949</v>
      </c>
      <c r="BT66" s="27">
        <f t="shared" si="51"/>
        <v>15.8955</v>
      </c>
      <c r="BU66" s="73">
        <f t="shared" si="52"/>
        <v>15.92225</v>
      </c>
    </row>
    <row r="67" spans="1:73" x14ac:dyDescent="0.25">
      <c r="A67" s="41" t="s">
        <v>6</v>
      </c>
      <c r="B67" s="41" t="s">
        <v>16</v>
      </c>
      <c r="C67" s="60" t="s">
        <v>17</v>
      </c>
      <c r="D67" s="92" t="s">
        <v>44</v>
      </c>
      <c r="E67" s="92" t="s">
        <v>45</v>
      </c>
      <c r="F67" s="92" t="s">
        <v>46</v>
      </c>
      <c r="G67" s="49">
        <f t="shared" si="43"/>
        <v>1</v>
      </c>
      <c r="H67" s="49">
        <f t="shared" si="41"/>
        <v>0.66</v>
      </c>
      <c r="I67" s="49">
        <f t="shared" si="41"/>
        <v>0.33</v>
      </c>
      <c r="J67" s="83">
        <f t="shared" si="44"/>
        <v>14.1</v>
      </c>
      <c r="K67" s="26">
        <v>0.77</v>
      </c>
      <c r="L67">
        <v>1</v>
      </c>
      <c r="M67">
        <v>1</v>
      </c>
      <c r="N67" s="27">
        <v>1</v>
      </c>
      <c r="O67" s="26">
        <v>0.83</v>
      </c>
      <c r="P67">
        <v>1</v>
      </c>
      <c r="Q67" s="245">
        <v>1</v>
      </c>
      <c r="R67" s="246">
        <v>1</v>
      </c>
      <c r="S67" s="244">
        <v>0.44000000000000006</v>
      </c>
      <c r="T67" s="245">
        <v>0.55000000000000004</v>
      </c>
      <c r="U67" s="245">
        <v>0.77</v>
      </c>
      <c r="V67" s="246">
        <v>1</v>
      </c>
      <c r="W67" s="244">
        <v>0.47000000000000003</v>
      </c>
      <c r="X67" s="245">
        <v>0.55000000000000004</v>
      </c>
      <c r="Y67" s="245">
        <v>0.77</v>
      </c>
      <c r="Z67" s="27">
        <v>0.92</v>
      </c>
      <c r="AA67" s="26">
        <v>0</v>
      </c>
      <c r="AB67">
        <v>0.22000000000000003</v>
      </c>
      <c r="AC67">
        <v>0.44</v>
      </c>
      <c r="AD67" s="27">
        <v>0.55000000000000004</v>
      </c>
      <c r="AE67" s="26">
        <v>0.06</v>
      </c>
      <c r="AF67" s="245">
        <v>0.22000000000000003</v>
      </c>
      <c r="AG67" s="245">
        <v>0.44</v>
      </c>
      <c r="AH67" s="246">
        <v>0.52</v>
      </c>
      <c r="AI67" s="244">
        <v>3.8900000000000006</v>
      </c>
      <c r="AJ67" s="245">
        <v>7</v>
      </c>
      <c r="AK67" s="245">
        <v>8</v>
      </c>
      <c r="AL67" s="246">
        <v>9.5</v>
      </c>
      <c r="AM67" s="244">
        <v>4.8099999999999987</v>
      </c>
      <c r="AN67" s="245">
        <v>7</v>
      </c>
      <c r="AO67" s="245">
        <v>8</v>
      </c>
      <c r="AP67" s="246">
        <v>9</v>
      </c>
      <c r="AQ67" s="244">
        <v>2.2549999999999999</v>
      </c>
      <c r="AR67" s="245">
        <v>3.8500000000000005</v>
      </c>
      <c r="AS67" s="245">
        <v>6.16</v>
      </c>
      <c r="AT67" s="245">
        <v>9.1550000000000011</v>
      </c>
      <c r="AU67" s="244">
        <v>2.7399999999999993</v>
      </c>
      <c r="AV67" s="245">
        <v>3.8500000000000005</v>
      </c>
      <c r="AW67" s="245">
        <v>6.16</v>
      </c>
      <c r="AX67" s="246">
        <v>8.129999999999999</v>
      </c>
      <c r="AY67" s="244">
        <v>0</v>
      </c>
      <c r="AZ67" s="245">
        <v>0.9900000000000001</v>
      </c>
      <c r="BA67" s="245">
        <v>2.42</v>
      </c>
      <c r="BB67" s="245">
        <v>3.6850000000000005</v>
      </c>
      <c r="BC67" s="244">
        <v>4.9999999999999933E-2</v>
      </c>
      <c r="BD67" s="245">
        <v>0.9900000000000001</v>
      </c>
      <c r="BE67" s="245">
        <v>2.42</v>
      </c>
      <c r="BF67" s="246">
        <v>3.3000000000000007</v>
      </c>
      <c r="BG67" s="244">
        <f t="shared" si="45"/>
        <v>6.1450000000000005</v>
      </c>
      <c r="BH67" s="245">
        <f t="shared" si="42"/>
        <v>11.840000000000002</v>
      </c>
      <c r="BI67" s="245">
        <f t="shared" si="42"/>
        <v>16.579999999999998</v>
      </c>
      <c r="BJ67" s="245">
        <f t="shared" si="42"/>
        <v>22.340000000000003</v>
      </c>
      <c r="BK67" s="244">
        <f t="shared" si="42"/>
        <v>7.5999999999999979</v>
      </c>
      <c r="BL67" s="245">
        <f t="shared" si="42"/>
        <v>11.840000000000002</v>
      </c>
      <c r="BM67" s="245">
        <f t="shared" si="42"/>
        <v>16.579999999999998</v>
      </c>
      <c r="BN67" s="245">
        <f t="shared" si="42"/>
        <v>20.43</v>
      </c>
      <c r="BO67" s="251">
        <f t="shared" si="46"/>
        <v>10.701000000000001</v>
      </c>
      <c r="BP67" s="278">
        <f t="shared" si="47"/>
        <v>17.731999999999999</v>
      </c>
      <c r="BQ67" s="77">
        <f t="shared" si="48"/>
        <v>10.992000000000001</v>
      </c>
      <c r="BR67" s="78">
        <f t="shared" si="49"/>
        <v>17.349999999999998</v>
      </c>
      <c r="BS67" s="26">
        <f t="shared" si="50"/>
        <v>14.2165</v>
      </c>
      <c r="BT67" s="27">
        <f t="shared" si="51"/>
        <v>14.170999999999999</v>
      </c>
      <c r="BU67" s="73">
        <f t="shared" si="52"/>
        <v>14.19375</v>
      </c>
    </row>
    <row r="68" spans="1:73" ht="30" x14ac:dyDescent="0.25">
      <c r="A68" s="41" t="s">
        <v>7</v>
      </c>
      <c r="B68" s="41" t="s">
        <v>18</v>
      </c>
      <c r="C68" s="60" t="s">
        <v>31</v>
      </c>
      <c r="D68" s="92" t="s">
        <v>45</v>
      </c>
      <c r="E68" s="92" t="s">
        <v>44</v>
      </c>
      <c r="F68" s="92" t="s">
        <v>45</v>
      </c>
      <c r="G68" s="49">
        <f t="shared" si="43"/>
        <v>0.66</v>
      </c>
      <c r="H68" s="49">
        <f t="shared" si="41"/>
        <v>1</v>
      </c>
      <c r="I68" s="49">
        <f t="shared" si="41"/>
        <v>0.66</v>
      </c>
      <c r="J68" s="83">
        <f t="shared" si="44"/>
        <v>15.75</v>
      </c>
      <c r="K68" s="26">
        <v>0.44000000000000006</v>
      </c>
      <c r="L68">
        <v>0.55000000000000004</v>
      </c>
      <c r="M68">
        <v>0.77</v>
      </c>
      <c r="N68" s="27">
        <v>1</v>
      </c>
      <c r="O68" s="26">
        <v>0.47000000000000003</v>
      </c>
      <c r="P68">
        <v>0.55000000000000004</v>
      </c>
      <c r="Q68" s="245">
        <v>0.77</v>
      </c>
      <c r="R68" s="246">
        <v>0.92</v>
      </c>
      <c r="S68" s="244">
        <v>0.77</v>
      </c>
      <c r="T68" s="245">
        <v>1</v>
      </c>
      <c r="U68" s="245">
        <v>1</v>
      </c>
      <c r="V68" s="246">
        <v>1</v>
      </c>
      <c r="W68" s="244">
        <v>0.83</v>
      </c>
      <c r="X68" s="245">
        <v>1</v>
      </c>
      <c r="Y68" s="245">
        <v>1</v>
      </c>
      <c r="Z68" s="27">
        <v>1</v>
      </c>
      <c r="AA68" s="26">
        <v>0.44000000000000006</v>
      </c>
      <c r="AB68">
        <v>0.55000000000000004</v>
      </c>
      <c r="AC68">
        <v>0.77</v>
      </c>
      <c r="AD68" s="27">
        <v>1</v>
      </c>
      <c r="AE68" s="26">
        <v>0.47000000000000003</v>
      </c>
      <c r="AF68" s="245">
        <v>0.55000000000000004</v>
      </c>
      <c r="AG68" s="245">
        <v>0.77</v>
      </c>
      <c r="AH68" s="246">
        <v>0.92</v>
      </c>
      <c r="AI68" s="244">
        <v>2.2549999999999999</v>
      </c>
      <c r="AJ68" s="245">
        <v>3.8500000000000005</v>
      </c>
      <c r="AK68" s="245">
        <v>6.16</v>
      </c>
      <c r="AL68" s="246">
        <v>9.1550000000000011</v>
      </c>
      <c r="AM68" s="244">
        <v>2.7399999999999993</v>
      </c>
      <c r="AN68" s="245">
        <v>3.8500000000000005</v>
      </c>
      <c r="AO68" s="245">
        <v>6.16</v>
      </c>
      <c r="AP68" s="246">
        <v>8.129999999999999</v>
      </c>
      <c r="AQ68" s="244">
        <v>3.8900000000000006</v>
      </c>
      <c r="AR68" s="245">
        <v>7</v>
      </c>
      <c r="AS68" s="245">
        <v>8</v>
      </c>
      <c r="AT68" s="245">
        <v>9.5</v>
      </c>
      <c r="AU68" s="244">
        <v>4.8099999999999987</v>
      </c>
      <c r="AV68" s="245">
        <v>7</v>
      </c>
      <c r="AW68" s="245">
        <v>8</v>
      </c>
      <c r="AX68" s="246">
        <v>9</v>
      </c>
      <c r="AY68" s="244">
        <v>1.1550000000000002</v>
      </c>
      <c r="AZ68" s="245">
        <v>2.4750000000000001</v>
      </c>
      <c r="BA68" s="245">
        <v>4.2350000000000003</v>
      </c>
      <c r="BB68" s="245">
        <v>6.6550000000000002</v>
      </c>
      <c r="BC68" s="244">
        <v>1.5650000000000008</v>
      </c>
      <c r="BD68" s="245">
        <v>2.4750000000000001</v>
      </c>
      <c r="BE68" s="245">
        <v>4.2350000000000003</v>
      </c>
      <c r="BF68" s="246">
        <v>5.830000000000001</v>
      </c>
      <c r="BG68" s="244">
        <f t="shared" si="45"/>
        <v>7.3000000000000007</v>
      </c>
      <c r="BH68" s="245">
        <f t="shared" si="42"/>
        <v>13.325000000000001</v>
      </c>
      <c r="BI68" s="245">
        <f t="shared" si="42"/>
        <v>18.395</v>
      </c>
      <c r="BJ68" s="245">
        <f t="shared" si="42"/>
        <v>25.310000000000002</v>
      </c>
      <c r="BK68" s="244">
        <f t="shared" si="42"/>
        <v>9.1149999999999984</v>
      </c>
      <c r="BL68" s="245">
        <f t="shared" si="42"/>
        <v>13.325000000000001</v>
      </c>
      <c r="BM68" s="245">
        <f t="shared" si="42"/>
        <v>18.395</v>
      </c>
      <c r="BN68" s="245">
        <f t="shared" si="42"/>
        <v>22.96</v>
      </c>
      <c r="BO68" s="251">
        <f t="shared" si="46"/>
        <v>12.120000000000001</v>
      </c>
      <c r="BP68" s="278">
        <f t="shared" si="47"/>
        <v>19.777999999999999</v>
      </c>
      <c r="BQ68" s="77">
        <f t="shared" si="48"/>
        <v>12.483000000000001</v>
      </c>
      <c r="BR68" s="78">
        <f t="shared" si="49"/>
        <v>19.308</v>
      </c>
      <c r="BS68" s="26">
        <f t="shared" si="50"/>
        <v>15.949</v>
      </c>
      <c r="BT68" s="27">
        <f t="shared" si="51"/>
        <v>15.8955</v>
      </c>
      <c r="BU68" s="73">
        <f t="shared" si="52"/>
        <v>15.92225</v>
      </c>
    </row>
    <row r="69" spans="1:73" x14ac:dyDescent="0.25">
      <c r="A69" s="41" t="s">
        <v>8</v>
      </c>
      <c r="B69" s="41" t="s">
        <v>19</v>
      </c>
      <c r="C69" s="60" t="s">
        <v>32</v>
      </c>
      <c r="D69" s="92" t="s">
        <v>44</v>
      </c>
      <c r="E69" s="92" t="s">
        <v>45</v>
      </c>
      <c r="F69" s="92" t="s">
        <v>46</v>
      </c>
      <c r="G69" s="49">
        <f t="shared" si="43"/>
        <v>1</v>
      </c>
      <c r="H69" s="49">
        <f t="shared" si="41"/>
        <v>0.66</v>
      </c>
      <c r="I69" s="49">
        <f t="shared" si="41"/>
        <v>0.33</v>
      </c>
      <c r="J69" s="83">
        <f t="shared" si="44"/>
        <v>14.1</v>
      </c>
      <c r="K69" s="26">
        <v>0.77</v>
      </c>
      <c r="L69">
        <v>1</v>
      </c>
      <c r="M69">
        <v>1</v>
      </c>
      <c r="N69" s="27">
        <v>1</v>
      </c>
      <c r="O69" s="26">
        <v>0.83</v>
      </c>
      <c r="P69">
        <v>1</v>
      </c>
      <c r="Q69" s="245">
        <v>1</v>
      </c>
      <c r="R69" s="246">
        <v>1</v>
      </c>
      <c r="S69" s="244">
        <v>0.44000000000000006</v>
      </c>
      <c r="T69" s="245">
        <v>0.55000000000000004</v>
      </c>
      <c r="U69" s="245">
        <v>0.77</v>
      </c>
      <c r="V69" s="246">
        <v>1</v>
      </c>
      <c r="W69" s="244">
        <v>0.47000000000000003</v>
      </c>
      <c r="X69" s="245">
        <v>0.55000000000000004</v>
      </c>
      <c r="Y69" s="245">
        <v>0.77</v>
      </c>
      <c r="Z69" s="27">
        <v>0.92</v>
      </c>
      <c r="AA69" s="26">
        <v>0</v>
      </c>
      <c r="AB69">
        <v>0.22000000000000003</v>
      </c>
      <c r="AC69">
        <v>0.44</v>
      </c>
      <c r="AD69" s="27">
        <v>0.55000000000000004</v>
      </c>
      <c r="AE69" s="26">
        <v>0.06</v>
      </c>
      <c r="AF69" s="245">
        <v>0.22000000000000003</v>
      </c>
      <c r="AG69" s="245">
        <v>0.44</v>
      </c>
      <c r="AH69" s="246">
        <v>0.52</v>
      </c>
      <c r="AI69" s="244">
        <v>3.8900000000000006</v>
      </c>
      <c r="AJ69" s="245">
        <v>7</v>
      </c>
      <c r="AK69" s="245">
        <v>8</v>
      </c>
      <c r="AL69" s="246">
        <v>9.5</v>
      </c>
      <c r="AM69" s="244">
        <v>4.8099999999999987</v>
      </c>
      <c r="AN69" s="245">
        <v>7</v>
      </c>
      <c r="AO69" s="245">
        <v>8</v>
      </c>
      <c r="AP69" s="246">
        <v>9</v>
      </c>
      <c r="AQ69" s="244">
        <v>2.2549999999999999</v>
      </c>
      <c r="AR69" s="245">
        <v>3.8500000000000005</v>
      </c>
      <c r="AS69" s="245">
        <v>6.16</v>
      </c>
      <c r="AT69" s="245">
        <v>9.1550000000000011</v>
      </c>
      <c r="AU69" s="244">
        <v>2.7399999999999993</v>
      </c>
      <c r="AV69" s="245">
        <v>3.8500000000000005</v>
      </c>
      <c r="AW69" s="245">
        <v>6.16</v>
      </c>
      <c r="AX69" s="246">
        <v>8.129999999999999</v>
      </c>
      <c r="AY69" s="244">
        <v>0</v>
      </c>
      <c r="AZ69" s="245">
        <v>0.9900000000000001</v>
      </c>
      <c r="BA69" s="245">
        <v>2.42</v>
      </c>
      <c r="BB69" s="245">
        <v>3.6850000000000005</v>
      </c>
      <c r="BC69" s="244">
        <v>4.9999999999999933E-2</v>
      </c>
      <c r="BD69" s="245">
        <v>0.9900000000000001</v>
      </c>
      <c r="BE69" s="245">
        <v>2.42</v>
      </c>
      <c r="BF69" s="246">
        <v>3.3000000000000007</v>
      </c>
      <c r="BG69" s="244">
        <f t="shared" si="45"/>
        <v>6.1450000000000005</v>
      </c>
      <c r="BH69" s="245">
        <f t="shared" si="42"/>
        <v>11.840000000000002</v>
      </c>
      <c r="BI69" s="245">
        <f t="shared" si="42"/>
        <v>16.579999999999998</v>
      </c>
      <c r="BJ69" s="245">
        <f t="shared" si="42"/>
        <v>22.340000000000003</v>
      </c>
      <c r="BK69" s="244">
        <f t="shared" si="42"/>
        <v>7.5999999999999979</v>
      </c>
      <c r="BL69" s="245">
        <f t="shared" si="42"/>
        <v>11.840000000000002</v>
      </c>
      <c r="BM69" s="245">
        <f t="shared" si="42"/>
        <v>16.579999999999998</v>
      </c>
      <c r="BN69" s="245">
        <f t="shared" si="42"/>
        <v>20.43</v>
      </c>
      <c r="BO69" s="251">
        <f t="shared" si="46"/>
        <v>10.701000000000001</v>
      </c>
      <c r="BP69" s="278">
        <f t="shared" si="47"/>
        <v>17.731999999999999</v>
      </c>
      <c r="BQ69" s="77">
        <f t="shared" si="48"/>
        <v>10.992000000000001</v>
      </c>
      <c r="BR69" s="78">
        <f t="shared" si="49"/>
        <v>17.349999999999998</v>
      </c>
      <c r="BS69" s="26">
        <f t="shared" si="50"/>
        <v>14.2165</v>
      </c>
      <c r="BT69" s="27">
        <f t="shared" si="51"/>
        <v>14.170999999999999</v>
      </c>
      <c r="BU69" s="73">
        <f t="shared" si="52"/>
        <v>14.19375</v>
      </c>
    </row>
    <row r="70" spans="1:73" ht="30" x14ac:dyDescent="0.25">
      <c r="A70" s="41" t="s">
        <v>9</v>
      </c>
      <c r="B70" s="41" t="s">
        <v>20</v>
      </c>
      <c r="C70" s="60" t="s">
        <v>33</v>
      </c>
      <c r="D70" s="92" t="s">
        <v>44</v>
      </c>
      <c r="E70" s="92" t="s">
        <v>45</v>
      </c>
      <c r="F70" s="92" t="s">
        <v>46</v>
      </c>
      <c r="G70" s="49">
        <f t="shared" si="43"/>
        <v>1</v>
      </c>
      <c r="H70" s="49">
        <f t="shared" si="41"/>
        <v>0.66</v>
      </c>
      <c r="I70" s="49">
        <f t="shared" si="41"/>
        <v>0.33</v>
      </c>
      <c r="J70" s="83">
        <f t="shared" si="44"/>
        <v>14.1</v>
      </c>
      <c r="K70" s="26">
        <v>0.77</v>
      </c>
      <c r="L70">
        <v>1</v>
      </c>
      <c r="M70">
        <v>1</v>
      </c>
      <c r="N70" s="27">
        <v>1</v>
      </c>
      <c r="O70" s="26">
        <v>0.83</v>
      </c>
      <c r="P70">
        <v>1</v>
      </c>
      <c r="Q70" s="245">
        <v>1</v>
      </c>
      <c r="R70" s="246">
        <v>1</v>
      </c>
      <c r="S70" s="244">
        <v>0.44000000000000006</v>
      </c>
      <c r="T70" s="245">
        <v>0.55000000000000004</v>
      </c>
      <c r="U70" s="245">
        <v>0.77</v>
      </c>
      <c r="V70" s="246">
        <v>1</v>
      </c>
      <c r="W70" s="244">
        <v>0.47000000000000003</v>
      </c>
      <c r="X70" s="245">
        <v>0.55000000000000004</v>
      </c>
      <c r="Y70" s="245">
        <v>0.77</v>
      </c>
      <c r="Z70" s="27">
        <v>0.92</v>
      </c>
      <c r="AA70" s="26">
        <v>0</v>
      </c>
      <c r="AB70">
        <v>0.22000000000000003</v>
      </c>
      <c r="AC70">
        <v>0.44</v>
      </c>
      <c r="AD70" s="27">
        <v>0.55000000000000004</v>
      </c>
      <c r="AE70" s="26">
        <v>0.06</v>
      </c>
      <c r="AF70" s="245">
        <v>0.22000000000000003</v>
      </c>
      <c r="AG70" s="245">
        <v>0.44</v>
      </c>
      <c r="AH70" s="246">
        <v>0.52</v>
      </c>
      <c r="AI70" s="244">
        <v>3.8900000000000006</v>
      </c>
      <c r="AJ70" s="245">
        <v>7</v>
      </c>
      <c r="AK70" s="245">
        <v>8</v>
      </c>
      <c r="AL70" s="246">
        <v>9.5</v>
      </c>
      <c r="AM70" s="244">
        <v>4.8099999999999987</v>
      </c>
      <c r="AN70" s="245">
        <v>7</v>
      </c>
      <c r="AO70" s="245">
        <v>8</v>
      </c>
      <c r="AP70" s="246">
        <v>9</v>
      </c>
      <c r="AQ70" s="244">
        <v>2.2549999999999999</v>
      </c>
      <c r="AR70" s="245">
        <v>3.8500000000000005</v>
      </c>
      <c r="AS70" s="245">
        <v>6.16</v>
      </c>
      <c r="AT70" s="245">
        <v>9.1550000000000011</v>
      </c>
      <c r="AU70" s="244">
        <v>2.7399999999999993</v>
      </c>
      <c r="AV70" s="245">
        <v>3.8500000000000005</v>
      </c>
      <c r="AW70" s="245">
        <v>6.16</v>
      </c>
      <c r="AX70" s="246">
        <v>8.129999999999999</v>
      </c>
      <c r="AY70" s="244">
        <v>0</v>
      </c>
      <c r="AZ70" s="245">
        <v>0.9900000000000001</v>
      </c>
      <c r="BA70" s="245">
        <v>2.42</v>
      </c>
      <c r="BB70" s="245">
        <v>3.6850000000000005</v>
      </c>
      <c r="BC70" s="244">
        <v>4.9999999999999933E-2</v>
      </c>
      <c r="BD70" s="245">
        <v>0.9900000000000001</v>
      </c>
      <c r="BE70" s="245">
        <v>2.42</v>
      </c>
      <c r="BF70" s="246">
        <v>3.3000000000000007</v>
      </c>
      <c r="BG70" s="244">
        <f t="shared" si="45"/>
        <v>6.1450000000000005</v>
      </c>
      <c r="BH70" s="245">
        <f t="shared" si="42"/>
        <v>11.840000000000002</v>
      </c>
      <c r="BI70" s="245">
        <f t="shared" si="42"/>
        <v>16.579999999999998</v>
      </c>
      <c r="BJ70" s="245">
        <f t="shared" si="42"/>
        <v>22.340000000000003</v>
      </c>
      <c r="BK70" s="244">
        <f t="shared" si="42"/>
        <v>7.5999999999999979</v>
      </c>
      <c r="BL70" s="245">
        <f t="shared" si="42"/>
        <v>11.840000000000002</v>
      </c>
      <c r="BM70" s="245">
        <f t="shared" si="42"/>
        <v>16.579999999999998</v>
      </c>
      <c r="BN70" s="245">
        <f t="shared" si="42"/>
        <v>20.43</v>
      </c>
      <c r="BO70" s="251">
        <f t="shared" si="46"/>
        <v>10.701000000000001</v>
      </c>
      <c r="BP70" s="278">
        <f t="shared" si="47"/>
        <v>17.731999999999999</v>
      </c>
      <c r="BQ70" s="77">
        <f t="shared" si="48"/>
        <v>10.992000000000001</v>
      </c>
      <c r="BR70" s="78">
        <f t="shared" si="49"/>
        <v>17.349999999999998</v>
      </c>
      <c r="BS70" s="26">
        <f t="shared" si="50"/>
        <v>14.2165</v>
      </c>
      <c r="BT70" s="27">
        <f t="shared" si="51"/>
        <v>14.170999999999999</v>
      </c>
      <c r="BU70" s="73">
        <f t="shared" si="52"/>
        <v>14.19375</v>
      </c>
    </row>
    <row r="71" spans="1:73" ht="30" x14ac:dyDescent="0.25">
      <c r="A71" s="41" t="s">
        <v>10</v>
      </c>
      <c r="B71" s="41" t="s">
        <v>21</v>
      </c>
      <c r="C71" s="60" t="s">
        <v>22</v>
      </c>
      <c r="D71" s="92" t="s">
        <v>45</v>
      </c>
      <c r="E71" s="92" t="s">
        <v>46</v>
      </c>
      <c r="F71" s="92" t="s">
        <v>44</v>
      </c>
      <c r="G71" s="49">
        <f t="shared" si="43"/>
        <v>0.66</v>
      </c>
      <c r="H71" s="49">
        <f t="shared" si="41"/>
        <v>0.33</v>
      </c>
      <c r="I71" s="49">
        <f t="shared" si="41"/>
        <v>1</v>
      </c>
      <c r="J71" s="83">
        <f t="shared" si="44"/>
        <v>12.425000000000001</v>
      </c>
      <c r="K71" s="26">
        <v>0.44000000000000006</v>
      </c>
      <c r="L71">
        <v>0.55000000000000004</v>
      </c>
      <c r="M71">
        <v>0.77</v>
      </c>
      <c r="N71" s="27">
        <v>1</v>
      </c>
      <c r="O71" s="26">
        <v>0.47000000000000003</v>
      </c>
      <c r="P71">
        <v>0.55000000000000004</v>
      </c>
      <c r="Q71" s="245">
        <v>0.77</v>
      </c>
      <c r="R71" s="246">
        <v>0.92</v>
      </c>
      <c r="S71" s="244">
        <v>0</v>
      </c>
      <c r="T71" s="245">
        <v>0.22000000000000003</v>
      </c>
      <c r="U71" s="245">
        <v>0.44</v>
      </c>
      <c r="V71" s="246">
        <v>0.55000000000000004</v>
      </c>
      <c r="W71" s="244">
        <v>0.06</v>
      </c>
      <c r="X71" s="245">
        <v>0.22000000000000003</v>
      </c>
      <c r="Y71" s="245">
        <v>0.44</v>
      </c>
      <c r="Z71" s="27">
        <v>0.52</v>
      </c>
      <c r="AA71" s="26">
        <v>0.77</v>
      </c>
      <c r="AB71">
        <v>1</v>
      </c>
      <c r="AC71">
        <v>1</v>
      </c>
      <c r="AD71" s="27">
        <v>1</v>
      </c>
      <c r="AE71" s="26">
        <v>0.83</v>
      </c>
      <c r="AF71" s="245">
        <v>1</v>
      </c>
      <c r="AG71" s="245">
        <v>1</v>
      </c>
      <c r="AH71" s="246">
        <v>1</v>
      </c>
      <c r="AI71" s="244">
        <v>2.2549999999999999</v>
      </c>
      <c r="AJ71" s="245">
        <v>3.8500000000000005</v>
      </c>
      <c r="AK71" s="245">
        <v>6.16</v>
      </c>
      <c r="AL71" s="246">
        <v>9.1550000000000011</v>
      </c>
      <c r="AM71" s="244">
        <v>2.7399999999999993</v>
      </c>
      <c r="AN71" s="245">
        <v>3.8500000000000005</v>
      </c>
      <c r="AO71" s="245">
        <v>6.16</v>
      </c>
      <c r="AP71" s="246">
        <v>8.129999999999999</v>
      </c>
      <c r="AQ71" s="244">
        <v>0</v>
      </c>
      <c r="AR71" s="245">
        <v>1.5400000000000003</v>
      </c>
      <c r="AS71" s="245">
        <v>3.52</v>
      </c>
      <c r="AT71" s="245">
        <v>5.0600000000000005</v>
      </c>
      <c r="AU71" s="244">
        <v>0.19999999999999996</v>
      </c>
      <c r="AV71" s="245">
        <v>1.5400000000000003</v>
      </c>
      <c r="AW71" s="245">
        <v>3.52</v>
      </c>
      <c r="AX71" s="246">
        <v>4.6000000000000014</v>
      </c>
      <c r="AY71" s="244">
        <v>1.9649999999999999</v>
      </c>
      <c r="AZ71" s="245">
        <v>4.5</v>
      </c>
      <c r="BA71" s="245">
        <v>5.5</v>
      </c>
      <c r="BB71" s="245">
        <v>7</v>
      </c>
      <c r="BC71" s="244">
        <v>2.7349999999999994</v>
      </c>
      <c r="BD71" s="245">
        <v>4.5</v>
      </c>
      <c r="BE71" s="245">
        <v>5.5</v>
      </c>
      <c r="BF71" s="246">
        <v>6.5</v>
      </c>
      <c r="BG71" s="244">
        <f t="shared" si="45"/>
        <v>4.22</v>
      </c>
      <c r="BH71" s="245">
        <f t="shared" si="42"/>
        <v>9.89</v>
      </c>
      <c r="BI71" s="245">
        <f t="shared" si="42"/>
        <v>15.18</v>
      </c>
      <c r="BJ71" s="245">
        <f t="shared" si="42"/>
        <v>21.215000000000003</v>
      </c>
      <c r="BK71" s="244">
        <f t="shared" si="42"/>
        <v>5.6749999999999989</v>
      </c>
      <c r="BL71" s="245">
        <f t="shared" si="42"/>
        <v>9.89</v>
      </c>
      <c r="BM71" s="245">
        <f t="shared" si="42"/>
        <v>15.18</v>
      </c>
      <c r="BN71" s="245">
        <f t="shared" si="42"/>
        <v>19.23</v>
      </c>
      <c r="BO71" s="251">
        <f t="shared" si="46"/>
        <v>8.7560000000000002</v>
      </c>
      <c r="BP71" s="278">
        <f t="shared" si="47"/>
        <v>16.387</v>
      </c>
      <c r="BQ71" s="77">
        <f t="shared" si="48"/>
        <v>9.0470000000000006</v>
      </c>
      <c r="BR71" s="78">
        <f t="shared" si="49"/>
        <v>15.989999999999998</v>
      </c>
      <c r="BS71" s="26">
        <f t="shared" si="50"/>
        <v>12.5715</v>
      </c>
      <c r="BT71" s="27">
        <f t="shared" si="51"/>
        <v>12.5185</v>
      </c>
      <c r="BU71" s="73">
        <f t="shared" si="52"/>
        <v>12.545</v>
      </c>
    </row>
    <row r="72" spans="1:73" ht="36.75" customHeight="1" x14ac:dyDescent="0.25">
      <c r="A72" s="41" t="s">
        <v>11</v>
      </c>
      <c r="B72" s="41" t="s">
        <v>23</v>
      </c>
      <c r="C72" s="60" t="s">
        <v>34</v>
      </c>
      <c r="D72" s="92" t="s">
        <v>46</v>
      </c>
      <c r="E72" s="92" t="s">
        <v>44</v>
      </c>
      <c r="F72" s="92" t="s">
        <v>45</v>
      </c>
      <c r="G72" s="49">
        <f t="shared" si="43"/>
        <v>0.33</v>
      </c>
      <c r="H72" s="49">
        <f t="shared" si="41"/>
        <v>1</v>
      </c>
      <c r="I72" s="49">
        <f t="shared" si="41"/>
        <v>0.66</v>
      </c>
      <c r="J72" s="83">
        <f t="shared" si="44"/>
        <v>13.275</v>
      </c>
      <c r="K72" s="26">
        <v>0</v>
      </c>
      <c r="L72">
        <v>0.22000000000000003</v>
      </c>
      <c r="M72">
        <v>0.44</v>
      </c>
      <c r="N72" s="27">
        <v>0.55000000000000004</v>
      </c>
      <c r="O72" s="26">
        <v>0.06</v>
      </c>
      <c r="P72">
        <v>0.22000000000000003</v>
      </c>
      <c r="Q72" s="245">
        <v>0.44</v>
      </c>
      <c r="R72" s="246">
        <v>0.52</v>
      </c>
      <c r="S72" s="244">
        <v>0.77</v>
      </c>
      <c r="T72" s="245">
        <v>1</v>
      </c>
      <c r="U72" s="245">
        <v>1</v>
      </c>
      <c r="V72" s="246">
        <v>1</v>
      </c>
      <c r="W72" s="244">
        <v>0.83</v>
      </c>
      <c r="X72" s="245">
        <v>1</v>
      </c>
      <c r="Y72" s="245">
        <v>1</v>
      </c>
      <c r="Z72" s="27">
        <v>1</v>
      </c>
      <c r="AA72" s="26">
        <v>0.44000000000000006</v>
      </c>
      <c r="AB72">
        <v>0.55000000000000004</v>
      </c>
      <c r="AC72">
        <v>0.77</v>
      </c>
      <c r="AD72" s="27">
        <v>1</v>
      </c>
      <c r="AE72" s="26">
        <v>0.47000000000000003</v>
      </c>
      <c r="AF72" s="245">
        <v>0.55000000000000004</v>
      </c>
      <c r="AG72" s="245">
        <v>0.77</v>
      </c>
      <c r="AH72" s="246">
        <v>0.92</v>
      </c>
      <c r="AI72" s="244">
        <v>0</v>
      </c>
      <c r="AJ72" s="245">
        <v>1.5400000000000003</v>
      </c>
      <c r="AK72" s="245">
        <v>3.52</v>
      </c>
      <c r="AL72" s="246">
        <v>5.0600000000000005</v>
      </c>
      <c r="AM72" s="244">
        <v>0.19999999999999996</v>
      </c>
      <c r="AN72" s="245">
        <v>1.5400000000000003</v>
      </c>
      <c r="AO72" s="245">
        <v>3.52</v>
      </c>
      <c r="AP72" s="246">
        <v>4.6000000000000014</v>
      </c>
      <c r="AQ72" s="244">
        <v>3.8900000000000006</v>
      </c>
      <c r="AR72" s="245">
        <v>7</v>
      </c>
      <c r="AS72" s="245">
        <v>8</v>
      </c>
      <c r="AT72" s="245">
        <v>9.5</v>
      </c>
      <c r="AU72" s="244">
        <v>4.8099999999999987</v>
      </c>
      <c r="AV72" s="245">
        <v>7</v>
      </c>
      <c r="AW72" s="245">
        <v>8</v>
      </c>
      <c r="AX72" s="246">
        <v>9</v>
      </c>
      <c r="AY72" s="244">
        <v>1.1550000000000002</v>
      </c>
      <c r="AZ72" s="245">
        <v>2.4750000000000001</v>
      </c>
      <c r="BA72" s="245">
        <v>4.2350000000000003</v>
      </c>
      <c r="BB72" s="245">
        <v>6.6550000000000002</v>
      </c>
      <c r="BC72" s="244">
        <v>1.5650000000000008</v>
      </c>
      <c r="BD72" s="245">
        <v>2.4750000000000001</v>
      </c>
      <c r="BE72" s="245">
        <v>4.2350000000000003</v>
      </c>
      <c r="BF72" s="246">
        <v>5.830000000000001</v>
      </c>
      <c r="BG72" s="244">
        <f t="shared" si="45"/>
        <v>5.0450000000000008</v>
      </c>
      <c r="BH72" s="245">
        <f t="shared" si="42"/>
        <v>11.015000000000001</v>
      </c>
      <c r="BI72" s="245">
        <f t="shared" si="42"/>
        <v>15.754999999999999</v>
      </c>
      <c r="BJ72" s="245">
        <f t="shared" si="42"/>
        <v>21.215</v>
      </c>
      <c r="BK72" s="244">
        <f t="shared" si="42"/>
        <v>6.5749999999999993</v>
      </c>
      <c r="BL72" s="245">
        <f t="shared" si="42"/>
        <v>11.015000000000001</v>
      </c>
      <c r="BM72" s="245">
        <f t="shared" si="42"/>
        <v>15.754999999999999</v>
      </c>
      <c r="BN72" s="245">
        <f t="shared" si="42"/>
        <v>19.430000000000003</v>
      </c>
      <c r="BO72" s="251">
        <f t="shared" si="46"/>
        <v>9.8210000000000015</v>
      </c>
      <c r="BP72" s="278">
        <f t="shared" si="47"/>
        <v>16.846999999999998</v>
      </c>
      <c r="BQ72" s="77">
        <f t="shared" si="48"/>
        <v>10.127000000000001</v>
      </c>
      <c r="BR72" s="78">
        <f t="shared" si="49"/>
        <v>16.489999999999998</v>
      </c>
      <c r="BS72" s="26">
        <f t="shared" si="50"/>
        <v>13.334</v>
      </c>
      <c r="BT72" s="27">
        <f t="shared" si="51"/>
        <v>13.308499999999999</v>
      </c>
      <c r="BU72" s="73">
        <f t="shared" si="52"/>
        <v>13.321249999999999</v>
      </c>
    </row>
    <row r="73" spans="1:73" ht="30.75" thickBot="1" x14ac:dyDescent="0.3">
      <c r="A73" s="41" t="s">
        <v>12</v>
      </c>
      <c r="B73" s="41" t="s">
        <v>24</v>
      </c>
      <c r="C73" s="60" t="s">
        <v>35</v>
      </c>
      <c r="D73" s="92" t="s">
        <v>46</v>
      </c>
      <c r="E73" s="92" t="s">
        <v>44</v>
      </c>
      <c r="F73" s="92" t="s">
        <v>45</v>
      </c>
      <c r="G73" s="49">
        <f t="shared" si="43"/>
        <v>0.33</v>
      </c>
      <c r="H73" s="49">
        <f t="shared" si="41"/>
        <v>1</v>
      </c>
      <c r="I73" s="49">
        <f t="shared" si="41"/>
        <v>0.66</v>
      </c>
      <c r="J73" s="83">
        <f t="shared" si="44"/>
        <v>13.275</v>
      </c>
      <c r="K73" s="30">
        <v>0</v>
      </c>
      <c r="L73" s="32">
        <v>0.22000000000000003</v>
      </c>
      <c r="M73" s="32">
        <v>0.44</v>
      </c>
      <c r="N73" s="33">
        <v>0.55000000000000004</v>
      </c>
      <c r="O73" s="30">
        <v>0.06</v>
      </c>
      <c r="P73" s="32">
        <v>0.22000000000000003</v>
      </c>
      <c r="Q73" s="248">
        <v>0.44</v>
      </c>
      <c r="R73" s="249">
        <v>0.52</v>
      </c>
      <c r="S73" s="247">
        <v>0.77</v>
      </c>
      <c r="T73" s="248">
        <v>1</v>
      </c>
      <c r="U73" s="248">
        <v>1</v>
      </c>
      <c r="V73" s="249">
        <v>1</v>
      </c>
      <c r="W73" s="247">
        <v>0.83</v>
      </c>
      <c r="X73" s="248">
        <v>1</v>
      </c>
      <c r="Y73" s="248">
        <v>1</v>
      </c>
      <c r="Z73" s="33">
        <v>1</v>
      </c>
      <c r="AA73" s="30">
        <v>0.44000000000000006</v>
      </c>
      <c r="AB73" s="32">
        <v>0.55000000000000004</v>
      </c>
      <c r="AC73" s="32">
        <v>0.77</v>
      </c>
      <c r="AD73" s="33">
        <v>1</v>
      </c>
      <c r="AE73" s="30">
        <v>0.47000000000000003</v>
      </c>
      <c r="AF73" s="248">
        <v>0.55000000000000004</v>
      </c>
      <c r="AG73" s="248">
        <v>0.77</v>
      </c>
      <c r="AH73" s="249">
        <v>0.92</v>
      </c>
      <c r="AI73" s="247">
        <v>0</v>
      </c>
      <c r="AJ73" s="248">
        <v>1.5400000000000003</v>
      </c>
      <c r="AK73" s="248">
        <v>3.52</v>
      </c>
      <c r="AL73" s="249">
        <v>5.0600000000000005</v>
      </c>
      <c r="AM73" s="247">
        <v>0.19999999999999996</v>
      </c>
      <c r="AN73" s="248">
        <v>1.5400000000000003</v>
      </c>
      <c r="AO73" s="248">
        <v>3.52</v>
      </c>
      <c r="AP73" s="249">
        <v>4.6000000000000014</v>
      </c>
      <c r="AQ73" s="247">
        <v>3.8900000000000006</v>
      </c>
      <c r="AR73" s="248">
        <v>7</v>
      </c>
      <c r="AS73" s="248">
        <v>8</v>
      </c>
      <c r="AT73" s="248">
        <v>9.5</v>
      </c>
      <c r="AU73" s="247">
        <v>4.8099999999999987</v>
      </c>
      <c r="AV73" s="248">
        <v>7</v>
      </c>
      <c r="AW73" s="248">
        <v>8</v>
      </c>
      <c r="AX73" s="249">
        <v>9</v>
      </c>
      <c r="AY73" s="247">
        <v>1.1550000000000002</v>
      </c>
      <c r="AZ73" s="248">
        <v>2.4750000000000001</v>
      </c>
      <c r="BA73" s="248">
        <v>4.2350000000000003</v>
      </c>
      <c r="BB73" s="248">
        <v>6.6550000000000002</v>
      </c>
      <c r="BC73" s="247">
        <v>1.5650000000000008</v>
      </c>
      <c r="BD73" s="248">
        <v>2.4750000000000001</v>
      </c>
      <c r="BE73" s="248">
        <v>4.2350000000000003</v>
      </c>
      <c r="BF73" s="249">
        <v>5.830000000000001</v>
      </c>
      <c r="BG73" s="247">
        <f t="shared" si="45"/>
        <v>5.0450000000000008</v>
      </c>
      <c r="BH73" s="248">
        <f t="shared" si="42"/>
        <v>11.015000000000001</v>
      </c>
      <c r="BI73" s="248">
        <f t="shared" si="42"/>
        <v>15.754999999999999</v>
      </c>
      <c r="BJ73" s="248">
        <f t="shared" si="42"/>
        <v>21.215</v>
      </c>
      <c r="BK73" s="247">
        <f t="shared" si="42"/>
        <v>6.5749999999999993</v>
      </c>
      <c r="BL73" s="248">
        <f t="shared" si="42"/>
        <v>11.015000000000001</v>
      </c>
      <c r="BM73" s="248">
        <f t="shared" si="42"/>
        <v>15.754999999999999</v>
      </c>
      <c r="BN73" s="248">
        <f t="shared" si="42"/>
        <v>19.430000000000003</v>
      </c>
      <c r="BO73" s="252">
        <f t="shared" si="46"/>
        <v>9.8210000000000015</v>
      </c>
      <c r="BP73" s="281">
        <f t="shared" si="47"/>
        <v>16.846999999999998</v>
      </c>
      <c r="BQ73" s="79">
        <f t="shared" si="48"/>
        <v>10.127000000000001</v>
      </c>
      <c r="BR73" s="80">
        <f t="shared" si="49"/>
        <v>16.489999999999998</v>
      </c>
      <c r="BS73" s="30">
        <f t="shared" si="50"/>
        <v>13.334</v>
      </c>
      <c r="BT73" s="33">
        <f t="shared" si="51"/>
        <v>13.308499999999999</v>
      </c>
      <c r="BU73" s="74">
        <f t="shared" si="52"/>
        <v>13.321249999999999</v>
      </c>
    </row>
    <row r="74" spans="1:73" x14ac:dyDescent="0.25">
      <c r="BF74" s="284"/>
      <c r="BG74" s="285"/>
      <c r="BH74" s="285"/>
      <c r="BI74" s="285"/>
      <c r="BJ74" s="285"/>
      <c r="BK74" s="285"/>
    </row>
    <row r="75" spans="1:73" x14ac:dyDescent="0.25">
      <c r="A75" s="1" t="s">
        <v>124</v>
      </c>
      <c r="B75" s="1"/>
    </row>
    <row r="76" spans="1:73" ht="15.75" thickBot="1" x14ac:dyDescent="0.3">
      <c r="A76" s="46" t="s">
        <v>43</v>
      </c>
      <c r="B76" s="47" t="s">
        <v>55</v>
      </c>
      <c r="E76" s="51" t="s">
        <v>3</v>
      </c>
      <c r="I76" t="s">
        <v>4</v>
      </c>
    </row>
    <row r="77" spans="1:73" x14ac:dyDescent="0.25">
      <c r="A77" s="45" t="s">
        <v>47</v>
      </c>
      <c r="B77" s="2">
        <v>0</v>
      </c>
      <c r="C77" s="18">
        <v>0</v>
      </c>
      <c r="D77" s="19" t="s">
        <v>47</v>
      </c>
      <c r="E77" s="20">
        <v>0</v>
      </c>
      <c r="F77" s="21">
        <f>C77</f>
        <v>0</v>
      </c>
      <c r="G77" s="22">
        <v>0</v>
      </c>
      <c r="H77" s="23">
        <v>0.22</v>
      </c>
      <c r="I77" s="24">
        <v>0</v>
      </c>
      <c r="J77" s="22">
        <f>F77</f>
        <v>0</v>
      </c>
      <c r="K77" s="22">
        <f>G77</f>
        <v>0</v>
      </c>
      <c r="L77" s="25">
        <v>0.15</v>
      </c>
    </row>
    <row r="78" spans="1:73" x14ac:dyDescent="0.25">
      <c r="A78" s="45" t="s">
        <v>46</v>
      </c>
      <c r="B78" s="2">
        <v>0.33</v>
      </c>
      <c r="C78" s="18">
        <v>0.33</v>
      </c>
      <c r="D78" s="19" t="s">
        <v>46</v>
      </c>
      <c r="E78" s="26">
        <v>0</v>
      </c>
      <c r="F78" s="50">
        <f>C78-0.11</f>
        <v>0.22000000000000003</v>
      </c>
      <c r="G78">
        <f>C78+0.11</f>
        <v>0.44</v>
      </c>
      <c r="H78" s="27">
        <f t="shared" ref="H78" si="53">G78+0.11</f>
        <v>0.55000000000000004</v>
      </c>
      <c r="I78" s="28">
        <v>0.06</v>
      </c>
      <c r="J78">
        <f t="shared" ref="J78:K80" si="54">F78</f>
        <v>0.22000000000000003</v>
      </c>
      <c r="K78">
        <f t="shared" si="54"/>
        <v>0.44</v>
      </c>
      <c r="L78" s="29">
        <f t="shared" ref="L78" si="55">K78+0.08</f>
        <v>0.52</v>
      </c>
    </row>
    <row r="79" spans="1:73" x14ac:dyDescent="0.25">
      <c r="A79" s="45" t="s">
        <v>45</v>
      </c>
      <c r="B79" s="2">
        <v>0.66</v>
      </c>
      <c r="C79" s="18">
        <v>0.66</v>
      </c>
      <c r="D79" s="19" t="s">
        <v>45</v>
      </c>
      <c r="E79" s="26">
        <f t="shared" ref="E79" si="56">F79-0.11</f>
        <v>0.44000000000000006</v>
      </c>
      <c r="F79" s="50">
        <f t="shared" ref="F79" si="57">C79-0.11</f>
        <v>0.55000000000000004</v>
      </c>
      <c r="G79">
        <f t="shared" ref="G79" si="58">C79+0.11</f>
        <v>0.77</v>
      </c>
      <c r="H79" s="27">
        <v>1</v>
      </c>
      <c r="I79" s="28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29">
        <v>0.92</v>
      </c>
    </row>
    <row r="80" spans="1:73" ht="15.75" thickBot="1" x14ac:dyDescent="0.3">
      <c r="A80" s="45" t="s">
        <v>44</v>
      </c>
      <c r="B80" s="2">
        <v>1</v>
      </c>
      <c r="C80" s="18">
        <v>1</v>
      </c>
      <c r="D80" s="19" t="s">
        <v>44</v>
      </c>
      <c r="E80" s="30">
        <v>0.77</v>
      </c>
      <c r="F80" s="31">
        <v>1</v>
      </c>
      <c r="G80" s="32">
        <v>1</v>
      </c>
      <c r="H80" s="33">
        <v>1</v>
      </c>
      <c r="I80" s="34">
        <v>0.83</v>
      </c>
      <c r="J80" s="32">
        <f t="shared" si="54"/>
        <v>1</v>
      </c>
      <c r="K80" s="32">
        <f t="shared" si="54"/>
        <v>1</v>
      </c>
      <c r="L80" s="35">
        <v>1</v>
      </c>
    </row>
    <row r="81" spans="1:12" x14ac:dyDescent="0.25">
      <c r="A81" s="38"/>
    </row>
    <row r="82" spans="1:12" x14ac:dyDescent="0.25">
      <c r="A82" s="1" t="s">
        <v>125</v>
      </c>
    </row>
    <row r="83" spans="1:12" ht="15.75" thickBot="1" x14ac:dyDescent="0.3">
      <c r="A83" s="46" t="s">
        <v>43</v>
      </c>
      <c r="B83" s="47" t="s">
        <v>56</v>
      </c>
      <c r="E83" s="51" t="s">
        <v>3</v>
      </c>
      <c r="I83" t="s">
        <v>4</v>
      </c>
    </row>
    <row r="84" spans="1:12" x14ac:dyDescent="0.25">
      <c r="A84" s="45" t="s">
        <v>47</v>
      </c>
      <c r="B84" s="2">
        <v>1</v>
      </c>
      <c r="C84" s="18">
        <v>1</v>
      </c>
      <c r="D84" s="19" t="s">
        <v>47</v>
      </c>
      <c r="E84" s="20">
        <v>0</v>
      </c>
      <c r="F84" s="21">
        <v>0.5</v>
      </c>
      <c r="G84" s="22">
        <v>1.5</v>
      </c>
      <c r="H84" s="23">
        <v>2</v>
      </c>
      <c r="I84" s="24">
        <v>0</v>
      </c>
      <c r="J84" s="22">
        <f>F84</f>
        <v>0.5</v>
      </c>
      <c r="K84" s="22">
        <f>G84</f>
        <v>1.5</v>
      </c>
      <c r="L84" s="25">
        <v>1.8</v>
      </c>
    </row>
    <row r="85" spans="1:12" x14ac:dyDescent="0.25">
      <c r="A85" s="45" t="s">
        <v>46</v>
      </c>
      <c r="B85" s="2">
        <v>2.5</v>
      </c>
      <c r="C85" s="18">
        <v>2.5</v>
      </c>
      <c r="D85" s="19" t="s">
        <v>46</v>
      </c>
      <c r="E85" s="26">
        <v>1.5</v>
      </c>
      <c r="F85" s="50">
        <f>C85-0.5</f>
        <v>2</v>
      </c>
      <c r="G85">
        <f>C85+0.5</f>
        <v>3</v>
      </c>
      <c r="H85" s="27">
        <f t="shared" ref="H85:H87" si="60">G85+1.5</f>
        <v>4.5</v>
      </c>
      <c r="I85" s="28">
        <v>1.7</v>
      </c>
      <c r="J85">
        <f t="shared" ref="J85:K87" si="61">F85</f>
        <v>2</v>
      </c>
      <c r="K85">
        <f t="shared" si="61"/>
        <v>3</v>
      </c>
      <c r="L85" s="29">
        <f t="shared" ref="L85:L87" si="62">K85+1</f>
        <v>4</v>
      </c>
    </row>
    <row r="86" spans="1:12" x14ac:dyDescent="0.25">
      <c r="A86" s="45" t="s">
        <v>45</v>
      </c>
      <c r="B86" s="2">
        <v>5</v>
      </c>
      <c r="C86" s="18">
        <v>5</v>
      </c>
      <c r="D86" s="19" t="s">
        <v>45</v>
      </c>
      <c r="E86" s="26">
        <f t="shared" ref="E86:E87" si="63">F86-1.5</f>
        <v>3</v>
      </c>
      <c r="F86" s="50">
        <f>C86-0.5</f>
        <v>4.5</v>
      </c>
      <c r="G86">
        <f>C86+0.5</f>
        <v>5.5</v>
      </c>
      <c r="H86" s="27">
        <f t="shared" si="60"/>
        <v>7</v>
      </c>
      <c r="I86" s="28">
        <f t="shared" ref="I86:I87" si="64">J86-1</f>
        <v>3.5</v>
      </c>
      <c r="J86">
        <f t="shared" si="61"/>
        <v>4.5</v>
      </c>
      <c r="K86">
        <f t="shared" si="61"/>
        <v>5.5</v>
      </c>
      <c r="L86" s="29">
        <f t="shared" si="62"/>
        <v>6.5</v>
      </c>
    </row>
    <row r="87" spans="1:12" ht="15.75" thickBot="1" x14ac:dyDescent="0.3">
      <c r="A87" s="45" t="s">
        <v>44</v>
      </c>
      <c r="B87" s="2">
        <v>7.5</v>
      </c>
      <c r="C87" s="18">
        <v>7.5</v>
      </c>
      <c r="D87" s="19" t="s">
        <v>44</v>
      </c>
      <c r="E87" s="30">
        <f t="shared" si="63"/>
        <v>5.5</v>
      </c>
      <c r="F87" s="31">
        <f>C87-0.5</f>
        <v>7</v>
      </c>
      <c r="G87" s="32">
        <f>C87+0.5</f>
        <v>8</v>
      </c>
      <c r="H87" s="33">
        <f t="shared" si="60"/>
        <v>9.5</v>
      </c>
      <c r="I87" s="34">
        <f t="shared" si="64"/>
        <v>6</v>
      </c>
      <c r="J87" s="32">
        <f t="shared" si="61"/>
        <v>7</v>
      </c>
      <c r="K87" s="32">
        <f t="shared" si="61"/>
        <v>8</v>
      </c>
      <c r="L87" s="35">
        <f t="shared" si="62"/>
        <v>9</v>
      </c>
    </row>
    <row r="89" spans="1:12" ht="15.75" thickBot="1" x14ac:dyDescent="0.3">
      <c r="A89" s="1" t="s">
        <v>126</v>
      </c>
    </row>
    <row r="90" spans="1:12" ht="67.5" customHeight="1" thickBot="1" x14ac:dyDescent="0.3">
      <c r="A90" s="53" t="s">
        <v>53</v>
      </c>
      <c r="B90" s="52" t="s">
        <v>39</v>
      </c>
      <c r="C90" s="54" t="s">
        <v>48</v>
      </c>
      <c r="D90" s="55" t="s">
        <v>127</v>
      </c>
      <c r="E90" s="217" t="s">
        <v>57</v>
      </c>
      <c r="F90" s="218"/>
      <c r="G90" s="218"/>
      <c r="H90" s="218"/>
      <c r="I90" s="218"/>
      <c r="J90" s="218"/>
      <c r="K90" s="218"/>
      <c r="L90" s="219"/>
    </row>
    <row r="91" spans="1:12" x14ac:dyDescent="0.25">
      <c r="A91" s="64" t="s">
        <v>50</v>
      </c>
      <c r="B91" s="56" t="s">
        <v>40</v>
      </c>
      <c r="C91" s="57" t="s">
        <v>44</v>
      </c>
      <c r="D91" s="86">
        <v>7.5</v>
      </c>
      <c r="E91" s="26">
        <v>5.5</v>
      </c>
      <c r="F91" s="50">
        <v>7</v>
      </c>
      <c r="G91">
        <v>8</v>
      </c>
      <c r="H91" s="27">
        <v>9.5</v>
      </c>
      <c r="I91" s="28">
        <v>6</v>
      </c>
      <c r="J91">
        <v>7</v>
      </c>
      <c r="K91">
        <v>8</v>
      </c>
      <c r="L91" s="29">
        <v>9</v>
      </c>
    </row>
    <row r="92" spans="1:12" x14ac:dyDescent="0.25">
      <c r="A92" s="65" t="s">
        <v>51</v>
      </c>
      <c r="B92" s="43" t="s">
        <v>41</v>
      </c>
      <c r="C92" s="2" t="s">
        <v>44</v>
      </c>
      <c r="D92" s="86">
        <v>7.5</v>
      </c>
      <c r="E92" s="26">
        <v>5.5</v>
      </c>
      <c r="F92" s="50">
        <v>7</v>
      </c>
      <c r="G92">
        <v>8</v>
      </c>
      <c r="H92" s="27">
        <v>9.5</v>
      </c>
      <c r="I92" s="28">
        <v>6</v>
      </c>
      <c r="J92">
        <v>7</v>
      </c>
      <c r="K92">
        <v>8</v>
      </c>
      <c r="L92" s="29">
        <v>9</v>
      </c>
    </row>
    <row r="93" spans="1:12" ht="15.75" thickBot="1" x14ac:dyDescent="0.3">
      <c r="A93" s="66" t="s">
        <v>52</v>
      </c>
      <c r="B93" s="58" t="s">
        <v>42</v>
      </c>
      <c r="C93" s="59" t="s">
        <v>45</v>
      </c>
      <c r="D93" s="86">
        <v>5</v>
      </c>
      <c r="E93" s="30">
        <v>3</v>
      </c>
      <c r="F93" s="31">
        <v>4.5</v>
      </c>
      <c r="G93" s="32">
        <v>5.5</v>
      </c>
      <c r="H93" s="33">
        <v>7</v>
      </c>
      <c r="I93" s="34">
        <v>3.5</v>
      </c>
      <c r="J93" s="32">
        <v>4.5</v>
      </c>
      <c r="K93" s="32">
        <v>5.5</v>
      </c>
      <c r="L93" s="35">
        <v>6.5</v>
      </c>
    </row>
    <row r="95" spans="1:12" ht="15.75" thickBot="1" x14ac:dyDescent="0.3">
      <c r="A95" s="1" t="s">
        <v>128</v>
      </c>
    </row>
    <row r="96" spans="1:12" ht="30.75" thickBot="1" x14ac:dyDescent="0.3">
      <c r="A96" s="67" t="s">
        <v>63</v>
      </c>
      <c r="B96" s="68" t="s">
        <v>64</v>
      </c>
      <c r="E96" s="330" t="s">
        <v>65</v>
      </c>
      <c r="F96" s="331"/>
      <c r="G96" s="331"/>
      <c r="H96" s="331"/>
      <c r="I96" s="331"/>
      <c r="J96" s="331"/>
      <c r="K96" s="331"/>
      <c r="L96" s="332"/>
    </row>
    <row r="97" spans="1:12" x14ac:dyDescent="0.25">
      <c r="A97" s="64" t="s">
        <v>60</v>
      </c>
      <c r="B97" s="69" t="s">
        <v>47</v>
      </c>
      <c r="D97" s="72" t="s">
        <v>69</v>
      </c>
      <c r="E97" s="241">
        <f>E77*F$91+E$91*F77-F77*F$91</f>
        <v>0</v>
      </c>
      <c r="F97" s="242">
        <f>F77*F$91</f>
        <v>0</v>
      </c>
      <c r="G97" s="242">
        <f>G77*G$91</f>
        <v>0</v>
      </c>
      <c r="H97" s="243">
        <f>G77*H$91+G$91*H77-G77*G$91</f>
        <v>1.76</v>
      </c>
      <c r="I97" s="241">
        <f>I77*J$91+I$91*J77-J77*J$91</f>
        <v>0</v>
      </c>
      <c r="J97" s="242">
        <f>J77*J$91</f>
        <v>0</v>
      </c>
      <c r="K97" s="242">
        <f>K77*K$91</f>
        <v>0</v>
      </c>
      <c r="L97" s="243">
        <f>K77*L$91+K$91*L77-K77*K$91</f>
        <v>1.2</v>
      </c>
    </row>
    <row r="98" spans="1:12" x14ac:dyDescent="0.25">
      <c r="A98" s="65" t="s">
        <v>60</v>
      </c>
      <c r="B98" s="70" t="s">
        <v>46</v>
      </c>
      <c r="D98" s="73" t="s">
        <v>68</v>
      </c>
      <c r="E98" s="244">
        <f>IF(E78*F$91+E$91*F78-F78*F$91&lt;0,0,E78*F$91+E$91*F78-F78*F$91)</f>
        <v>0</v>
      </c>
      <c r="F98" s="245">
        <f t="shared" ref="F98:G100" si="65">F78*F$91</f>
        <v>1.5400000000000003</v>
      </c>
      <c r="G98" s="245">
        <f t="shared" si="65"/>
        <v>3.52</v>
      </c>
      <c r="H98" s="246">
        <f t="shared" ref="H98:H100" si="66">G78*H$91+G$91*H78-G78*G$91</f>
        <v>5.0600000000000005</v>
      </c>
      <c r="I98" s="244">
        <f t="shared" ref="I98:I100" si="67">I78*J$91+I$91*J78-J78*J$91</f>
        <v>0.19999999999999996</v>
      </c>
      <c r="J98" s="245">
        <f t="shared" ref="J98:K100" si="68">J78*J$91</f>
        <v>1.5400000000000003</v>
      </c>
      <c r="K98" s="245">
        <f t="shared" si="68"/>
        <v>3.52</v>
      </c>
      <c r="L98" s="246">
        <f t="shared" ref="L98:L100" si="69">K78*L$91+K$91*L78-K78*K$91</f>
        <v>4.6000000000000014</v>
      </c>
    </row>
    <row r="99" spans="1:12" x14ac:dyDescent="0.25">
      <c r="A99" s="65" t="s">
        <v>60</v>
      </c>
      <c r="B99" s="70" t="s">
        <v>45</v>
      </c>
      <c r="D99" s="73" t="s">
        <v>67</v>
      </c>
      <c r="E99" s="244">
        <f t="shared" ref="E99:E100" si="70">E79*F$91+E$91*F79-F79*F$91</f>
        <v>2.2549999999999999</v>
      </c>
      <c r="F99" s="245">
        <f t="shared" si="65"/>
        <v>3.8500000000000005</v>
      </c>
      <c r="G99" s="245">
        <f t="shared" si="65"/>
        <v>6.16</v>
      </c>
      <c r="H99" s="246">
        <f t="shared" si="66"/>
        <v>9.1550000000000011</v>
      </c>
      <c r="I99" s="244">
        <f t="shared" si="67"/>
        <v>2.7399999999999993</v>
      </c>
      <c r="J99" s="245">
        <f t="shared" si="68"/>
        <v>3.8500000000000005</v>
      </c>
      <c r="K99" s="245">
        <f t="shared" si="68"/>
        <v>6.16</v>
      </c>
      <c r="L99" s="246">
        <f t="shared" si="69"/>
        <v>8.129999999999999</v>
      </c>
    </row>
    <row r="100" spans="1:12" ht="15.75" thickBot="1" x14ac:dyDescent="0.3">
      <c r="A100" s="66" t="s">
        <v>60</v>
      </c>
      <c r="B100" s="71" t="s">
        <v>44</v>
      </c>
      <c r="D100" s="74" t="s">
        <v>66</v>
      </c>
      <c r="E100" s="247">
        <f t="shared" si="70"/>
        <v>3.8900000000000006</v>
      </c>
      <c r="F100" s="248">
        <f t="shared" si="65"/>
        <v>7</v>
      </c>
      <c r="G100" s="248">
        <f t="shared" si="65"/>
        <v>8</v>
      </c>
      <c r="H100" s="249">
        <f t="shared" si="66"/>
        <v>9.5</v>
      </c>
      <c r="I100" s="247">
        <f t="shared" si="67"/>
        <v>4.8099999999999987</v>
      </c>
      <c r="J100" s="248">
        <f t="shared" si="68"/>
        <v>7</v>
      </c>
      <c r="K100" s="248">
        <f t="shared" si="68"/>
        <v>8</v>
      </c>
      <c r="L100" s="249">
        <f t="shared" si="69"/>
        <v>9</v>
      </c>
    </row>
    <row r="101" spans="1:12" x14ac:dyDescent="0.25">
      <c r="A101" s="64" t="s">
        <v>61</v>
      </c>
      <c r="B101" s="69" t="s">
        <v>47</v>
      </c>
      <c r="D101" s="72" t="s">
        <v>70</v>
      </c>
      <c r="E101" s="241">
        <f>E77*F$92+E$92*F77-F77*F$92</f>
        <v>0</v>
      </c>
      <c r="F101" s="242">
        <f>F77*F$92</f>
        <v>0</v>
      </c>
      <c r="G101" s="242">
        <f>G77*G$92</f>
        <v>0</v>
      </c>
      <c r="H101" s="243">
        <f>G77*H$92+G$92*H77-G77*G$92</f>
        <v>1.76</v>
      </c>
      <c r="I101" s="241">
        <f>I77*J$92+I$92*J77-J77*J$92</f>
        <v>0</v>
      </c>
      <c r="J101" s="242">
        <f>J77*J$92</f>
        <v>0</v>
      </c>
      <c r="K101" s="242">
        <f>K77*K$92</f>
        <v>0</v>
      </c>
      <c r="L101" s="243">
        <f>K77*L$92+K$92*L77-K77*K$92</f>
        <v>1.2</v>
      </c>
    </row>
    <row r="102" spans="1:12" x14ac:dyDescent="0.25">
      <c r="A102" s="65" t="s">
        <v>61</v>
      </c>
      <c r="B102" s="70" t="s">
        <v>46</v>
      </c>
      <c r="D102" s="73" t="s">
        <v>75</v>
      </c>
      <c r="E102" s="244">
        <f>IF(E78*F$92+E$92*F78-F78*F$92&lt;0,0,E78*F$92+E$92*F78-F78*F$92)</f>
        <v>0</v>
      </c>
      <c r="F102" s="245">
        <f t="shared" ref="F102:G104" si="71">F78*F$92</f>
        <v>1.5400000000000003</v>
      </c>
      <c r="G102" s="245">
        <f t="shared" si="71"/>
        <v>3.52</v>
      </c>
      <c r="H102" s="246">
        <f t="shared" ref="H102:H104" si="72">G78*H$92+G$92*H78-G78*G$92</f>
        <v>5.0600000000000005</v>
      </c>
      <c r="I102" s="244">
        <f t="shared" ref="I102:I104" si="73">I78*J$92+I$92*J78-J78*J$92</f>
        <v>0.19999999999999996</v>
      </c>
      <c r="J102" s="245">
        <f t="shared" ref="J102:K104" si="74">J78*J$92</f>
        <v>1.5400000000000003</v>
      </c>
      <c r="K102" s="245">
        <f t="shared" si="74"/>
        <v>3.52</v>
      </c>
      <c r="L102" s="246">
        <f t="shared" ref="L102:L104" si="75">K78*L$92+K$92*L78-K78*K$92</f>
        <v>4.6000000000000014</v>
      </c>
    </row>
    <row r="103" spans="1:12" x14ac:dyDescent="0.25">
      <c r="A103" s="65" t="s">
        <v>61</v>
      </c>
      <c r="B103" s="70" t="s">
        <v>45</v>
      </c>
      <c r="D103" s="73" t="s">
        <v>76</v>
      </c>
      <c r="E103" s="244">
        <f t="shared" ref="E103:E104" si="76">E79*F$92+E$92*F79-F79*F$92</f>
        <v>2.2549999999999999</v>
      </c>
      <c r="F103" s="245">
        <f t="shared" si="71"/>
        <v>3.8500000000000005</v>
      </c>
      <c r="G103" s="245">
        <f t="shared" si="71"/>
        <v>6.16</v>
      </c>
      <c r="H103" s="246">
        <f t="shared" si="72"/>
        <v>9.1550000000000011</v>
      </c>
      <c r="I103" s="244">
        <f t="shared" si="73"/>
        <v>2.7399999999999993</v>
      </c>
      <c r="J103" s="245">
        <f t="shared" si="74"/>
        <v>3.8500000000000005</v>
      </c>
      <c r="K103" s="245">
        <f t="shared" si="74"/>
        <v>6.16</v>
      </c>
      <c r="L103" s="246">
        <f t="shared" si="75"/>
        <v>8.129999999999999</v>
      </c>
    </row>
    <row r="104" spans="1:12" ht="15.75" thickBot="1" x14ac:dyDescent="0.3">
      <c r="A104" s="66" t="s">
        <v>61</v>
      </c>
      <c r="B104" s="71" t="s">
        <v>44</v>
      </c>
      <c r="D104" s="74" t="s">
        <v>77</v>
      </c>
      <c r="E104" s="247">
        <f t="shared" si="76"/>
        <v>3.8900000000000006</v>
      </c>
      <c r="F104" s="248">
        <f t="shared" si="71"/>
        <v>7</v>
      </c>
      <c r="G104" s="248">
        <f t="shared" si="71"/>
        <v>8</v>
      </c>
      <c r="H104" s="249">
        <f t="shared" si="72"/>
        <v>9.5</v>
      </c>
      <c r="I104" s="247">
        <f t="shared" si="73"/>
        <v>4.8099999999999987</v>
      </c>
      <c r="J104" s="248">
        <f t="shared" si="74"/>
        <v>7</v>
      </c>
      <c r="K104" s="248">
        <f t="shared" si="74"/>
        <v>8</v>
      </c>
      <c r="L104" s="249">
        <f t="shared" si="75"/>
        <v>9</v>
      </c>
    </row>
    <row r="105" spans="1:12" x14ac:dyDescent="0.25">
      <c r="A105" s="64" t="s">
        <v>62</v>
      </c>
      <c r="B105" s="69" t="s">
        <v>47</v>
      </c>
      <c r="D105" s="72" t="s">
        <v>72</v>
      </c>
      <c r="E105" s="241">
        <f>E77*F$93+E$93*F77-F77*F$93</f>
        <v>0</v>
      </c>
      <c r="F105" s="242">
        <f>F77*F$93</f>
        <v>0</v>
      </c>
      <c r="G105" s="242">
        <f>G77*G$93</f>
        <v>0</v>
      </c>
      <c r="H105" s="243">
        <f>G77*H$93+G$93*H77-G77*G$93</f>
        <v>1.21</v>
      </c>
      <c r="I105" s="241">
        <f>I77*J$93+I$93*J77-J77*J$93</f>
        <v>0</v>
      </c>
      <c r="J105" s="242">
        <f>J77*J$93</f>
        <v>0</v>
      </c>
      <c r="K105" s="242">
        <f>K77*K$93</f>
        <v>0</v>
      </c>
      <c r="L105" s="243">
        <f>K77*L$93+K$93*L77-K77*K$93</f>
        <v>0.82499999999999996</v>
      </c>
    </row>
    <row r="106" spans="1:12" x14ac:dyDescent="0.25">
      <c r="A106" s="65" t="s">
        <v>62</v>
      </c>
      <c r="B106" s="70" t="s">
        <v>46</v>
      </c>
      <c r="D106" s="73" t="s">
        <v>71</v>
      </c>
      <c r="E106" s="244">
        <f>IF(E78*F$93+E$93*F78-F78*F$93&lt;0,0,E78*F$93+E$93*F78-F78*F$93)</f>
        <v>0</v>
      </c>
      <c r="F106" s="245">
        <f t="shared" ref="F106:G108" si="77">F78*F$93</f>
        <v>0.9900000000000001</v>
      </c>
      <c r="G106" s="245">
        <f t="shared" si="77"/>
        <v>2.42</v>
      </c>
      <c r="H106" s="246">
        <f t="shared" ref="H106:H108" si="78">G78*H$93+G$93*H78-G78*G$93</f>
        <v>3.6850000000000005</v>
      </c>
      <c r="I106" s="244">
        <f t="shared" ref="I106:I108" si="79">I78*J$93+I$93*J78-J78*J$93</f>
        <v>4.9999999999999933E-2</v>
      </c>
      <c r="J106" s="245">
        <f t="shared" ref="J106:K108" si="80">J78*J$93</f>
        <v>0.9900000000000001</v>
      </c>
      <c r="K106" s="245">
        <f t="shared" si="80"/>
        <v>2.42</v>
      </c>
      <c r="L106" s="246">
        <f t="shared" ref="L106:L108" si="81">K78*L$93+K$93*L78-K78*K$93</f>
        <v>3.3000000000000007</v>
      </c>
    </row>
    <row r="107" spans="1:12" x14ac:dyDescent="0.25">
      <c r="A107" s="65" t="s">
        <v>62</v>
      </c>
      <c r="B107" s="70" t="s">
        <v>45</v>
      </c>
      <c r="D107" s="73" t="s">
        <v>73</v>
      </c>
      <c r="E107" s="244">
        <f t="shared" ref="E107:E108" si="82">E79*F$93+E$93*F79-F79*F$93</f>
        <v>1.1550000000000002</v>
      </c>
      <c r="F107" s="245">
        <f t="shared" si="77"/>
        <v>2.4750000000000001</v>
      </c>
      <c r="G107" s="245">
        <f t="shared" si="77"/>
        <v>4.2350000000000003</v>
      </c>
      <c r="H107" s="246">
        <f t="shared" si="78"/>
        <v>6.6550000000000002</v>
      </c>
      <c r="I107" s="244">
        <f t="shared" si="79"/>
        <v>1.5650000000000008</v>
      </c>
      <c r="J107" s="245">
        <f t="shared" si="80"/>
        <v>2.4750000000000001</v>
      </c>
      <c r="K107" s="245">
        <f t="shared" si="80"/>
        <v>4.2350000000000003</v>
      </c>
      <c r="L107" s="246">
        <f t="shared" si="81"/>
        <v>5.830000000000001</v>
      </c>
    </row>
    <row r="108" spans="1:12" ht="15.75" thickBot="1" x14ac:dyDescent="0.3">
      <c r="A108" s="66" t="s">
        <v>62</v>
      </c>
      <c r="B108" s="71" t="s">
        <v>44</v>
      </c>
      <c r="D108" s="74" t="s">
        <v>74</v>
      </c>
      <c r="E108" s="247">
        <f t="shared" si="82"/>
        <v>1.9649999999999999</v>
      </c>
      <c r="F108" s="248">
        <f t="shared" si="77"/>
        <v>4.5</v>
      </c>
      <c r="G108" s="248">
        <f t="shared" si="77"/>
        <v>5.5</v>
      </c>
      <c r="H108" s="249">
        <f t="shared" si="78"/>
        <v>7</v>
      </c>
      <c r="I108" s="247">
        <f t="shared" si="79"/>
        <v>2.7349999999999994</v>
      </c>
      <c r="J108" s="248">
        <f t="shared" si="80"/>
        <v>4.5</v>
      </c>
      <c r="K108" s="248">
        <f t="shared" si="80"/>
        <v>5.5</v>
      </c>
      <c r="L108" s="249">
        <f t="shared" si="81"/>
        <v>6.5</v>
      </c>
    </row>
    <row r="111" spans="1:12" ht="18.75" x14ac:dyDescent="0.3">
      <c r="A111" s="85" t="s">
        <v>93</v>
      </c>
      <c r="B111" s="38"/>
      <c r="C111" s="38"/>
    </row>
    <row r="112" spans="1:12" x14ac:dyDescent="0.25">
      <c r="A112" s="1" t="s">
        <v>49</v>
      </c>
      <c r="B112" s="38"/>
      <c r="C112" s="38"/>
    </row>
    <row r="113" spans="1:73" ht="15.75" thickBot="1" x14ac:dyDescent="0.3">
      <c r="A113" s="39" t="s">
        <v>100</v>
      </c>
      <c r="B113" s="38"/>
      <c r="C113" s="38"/>
      <c r="BO113" s="245">
        <v>0.8</v>
      </c>
    </row>
    <row r="114" spans="1:73" ht="86.25" customHeight="1" thickBot="1" x14ac:dyDescent="0.3">
      <c r="A114" s="222" t="s">
        <v>26</v>
      </c>
      <c r="B114" s="222" t="s">
        <v>27</v>
      </c>
      <c r="C114" s="223" t="s">
        <v>28</v>
      </c>
      <c r="D114" s="224" t="s">
        <v>58</v>
      </c>
      <c r="E114" s="225"/>
      <c r="F114" s="225"/>
      <c r="G114" s="225" t="s">
        <v>59</v>
      </c>
      <c r="H114" s="225"/>
      <c r="I114" s="225"/>
      <c r="J114" s="220" t="s">
        <v>88</v>
      </c>
      <c r="K114" s="210" t="s">
        <v>81</v>
      </c>
      <c r="L114" s="211"/>
      <c r="M114" s="211"/>
      <c r="N114" s="211"/>
      <c r="O114" s="211"/>
      <c r="P114" s="211"/>
      <c r="Q114" s="211"/>
      <c r="R114" s="212"/>
      <c r="S114" s="210" t="s">
        <v>79</v>
      </c>
      <c r="T114" s="211"/>
      <c r="U114" s="211"/>
      <c r="V114" s="211"/>
      <c r="W114" s="211"/>
      <c r="X114" s="211"/>
      <c r="Y114" s="211"/>
      <c r="Z114" s="212"/>
      <c r="AA114" s="210" t="s">
        <v>80</v>
      </c>
      <c r="AB114" s="211"/>
      <c r="AC114" s="211"/>
      <c r="AD114" s="211"/>
      <c r="AE114" s="211"/>
      <c r="AF114" s="211"/>
      <c r="AG114" s="211"/>
      <c r="AH114" s="212"/>
      <c r="AI114" s="261" t="s">
        <v>78</v>
      </c>
      <c r="AJ114" s="262"/>
      <c r="AK114" s="262"/>
      <c r="AL114" s="262"/>
      <c r="AM114" s="262"/>
      <c r="AN114" s="262"/>
      <c r="AO114" s="262"/>
      <c r="AP114" s="263"/>
      <c r="AQ114" s="261" t="s">
        <v>89</v>
      </c>
      <c r="AR114" s="262"/>
      <c r="AS114" s="262"/>
      <c r="AT114" s="262"/>
      <c r="AU114" s="262"/>
      <c r="AV114" s="262"/>
      <c r="AW114" s="262"/>
      <c r="AX114" s="263"/>
      <c r="AY114" s="261" t="s">
        <v>90</v>
      </c>
      <c r="AZ114" s="262"/>
      <c r="BA114" s="262"/>
      <c r="BB114" s="262"/>
      <c r="BC114" s="262"/>
      <c r="BD114" s="262"/>
      <c r="BE114" s="262"/>
      <c r="BF114" s="263"/>
      <c r="BG114" s="261" t="s">
        <v>134</v>
      </c>
      <c r="BH114" s="262"/>
      <c r="BI114" s="262"/>
      <c r="BJ114" s="262"/>
      <c r="BK114" s="262"/>
      <c r="BL114" s="262"/>
      <c r="BM114" s="262"/>
      <c r="BN114" s="263"/>
      <c r="BO114" s="199" t="s">
        <v>82</v>
      </c>
      <c r="BP114" s="200"/>
      <c r="BQ114" s="200"/>
      <c r="BR114" s="201"/>
      <c r="BS114" s="202" t="s">
        <v>84</v>
      </c>
      <c r="BT114" s="203"/>
      <c r="BU114" s="204" t="s">
        <v>87</v>
      </c>
    </row>
    <row r="115" spans="1:73" s="36" customFormat="1" ht="23.25" customHeight="1" thickBot="1" x14ac:dyDescent="0.3">
      <c r="A115" s="222"/>
      <c r="B115" s="222"/>
      <c r="C115" s="223"/>
      <c r="D115" s="61" t="s">
        <v>50</v>
      </c>
      <c r="E115" s="46" t="s">
        <v>51</v>
      </c>
      <c r="F115" s="46" t="s">
        <v>52</v>
      </c>
      <c r="G115" s="46" t="s">
        <v>50</v>
      </c>
      <c r="H115" s="46" t="s">
        <v>51</v>
      </c>
      <c r="I115" s="46" t="s">
        <v>52</v>
      </c>
      <c r="J115" s="221"/>
      <c r="K115" s="210" t="s">
        <v>3</v>
      </c>
      <c r="L115" s="211"/>
      <c r="M115" s="211"/>
      <c r="N115" s="212"/>
      <c r="O115" s="210" t="s">
        <v>4</v>
      </c>
      <c r="P115" s="211"/>
      <c r="Q115" s="211"/>
      <c r="R115" s="212"/>
      <c r="S115" s="261" t="s">
        <v>3</v>
      </c>
      <c r="T115" s="262"/>
      <c r="U115" s="262"/>
      <c r="V115" s="263"/>
      <c r="W115" s="210" t="s">
        <v>4</v>
      </c>
      <c r="X115" s="211"/>
      <c r="Y115" s="211"/>
      <c r="Z115" s="212"/>
      <c r="AA115" s="210" t="s">
        <v>3</v>
      </c>
      <c r="AB115" s="211"/>
      <c r="AC115" s="211"/>
      <c r="AD115" s="212"/>
      <c r="AE115" s="210" t="s">
        <v>4</v>
      </c>
      <c r="AF115" s="211"/>
      <c r="AG115" s="211"/>
      <c r="AH115" s="212"/>
      <c r="AI115" s="261" t="s">
        <v>3</v>
      </c>
      <c r="AJ115" s="262"/>
      <c r="AK115" s="262"/>
      <c r="AL115" s="263"/>
      <c r="AM115" s="261" t="s">
        <v>4</v>
      </c>
      <c r="AN115" s="262"/>
      <c r="AO115" s="262"/>
      <c r="AP115" s="263"/>
      <c r="AQ115" s="261" t="s">
        <v>3</v>
      </c>
      <c r="AR115" s="262"/>
      <c r="AS115" s="262"/>
      <c r="AT115" s="263"/>
      <c r="AU115" s="261" t="s">
        <v>4</v>
      </c>
      <c r="AV115" s="262"/>
      <c r="AW115" s="262"/>
      <c r="AX115" s="263"/>
      <c r="AY115" s="261" t="s">
        <v>3</v>
      </c>
      <c r="AZ115" s="262"/>
      <c r="BA115" s="262"/>
      <c r="BB115" s="263"/>
      <c r="BC115" s="261" t="s">
        <v>4</v>
      </c>
      <c r="BD115" s="262"/>
      <c r="BE115" s="262"/>
      <c r="BF115" s="263"/>
      <c r="BG115" s="261" t="s">
        <v>3</v>
      </c>
      <c r="BH115" s="262"/>
      <c r="BI115" s="262"/>
      <c r="BJ115" s="263"/>
      <c r="BK115" s="261" t="s">
        <v>4</v>
      </c>
      <c r="BL115" s="262"/>
      <c r="BM115" s="262"/>
      <c r="BN115" s="263"/>
      <c r="BO115" s="270" t="s">
        <v>83</v>
      </c>
      <c r="BP115" s="271"/>
      <c r="BQ115" s="196" t="s">
        <v>5</v>
      </c>
      <c r="BR115" s="198"/>
      <c r="BS115" s="81" t="s">
        <v>85</v>
      </c>
      <c r="BT115" s="81" t="s">
        <v>86</v>
      </c>
      <c r="BU115" s="205"/>
    </row>
    <row r="116" spans="1:73" ht="30" x14ac:dyDescent="0.25">
      <c r="A116" s="41" t="s">
        <v>0</v>
      </c>
      <c r="B116" s="41" t="s">
        <v>25</v>
      </c>
      <c r="C116" s="60" t="s">
        <v>13</v>
      </c>
      <c r="D116" s="92" t="s">
        <v>46</v>
      </c>
      <c r="E116" s="92" t="s">
        <v>45</v>
      </c>
      <c r="F116" s="92" t="s">
        <v>44</v>
      </c>
      <c r="G116" s="49">
        <f>IF(D116=$A$129,$B$129,(IF(D116=$A$130,$B$130,IF(D116=$A$131,$B$131,$B$132))))</f>
        <v>0.33</v>
      </c>
      <c r="H116" s="49">
        <f t="shared" ref="H116:I125" si="83">IF(E116=$A$129,$B$129,(IF(E116=$A$130,$B$130,IF(E116=$A$131,$B$131,$B$132))))</f>
        <v>0.66</v>
      </c>
      <c r="I116" s="49">
        <f t="shared" si="83"/>
        <v>1</v>
      </c>
      <c r="J116" s="83">
        <f>G116*$D$143+H116*$D$144+I116*$D$145</f>
        <v>11.625</v>
      </c>
      <c r="K116" s="20">
        <v>0</v>
      </c>
      <c r="L116" s="22">
        <v>0.22000000000000003</v>
      </c>
      <c r="M116" s="22">
        <v>0.44</v>
      </c>
      <c r="N116" s="23">
        <v>0.55000000000000004</v>
      </c>
      <c r="O116" s="20">
        <v>0.06</v>
      </c>
      <c r="P116" s="22">
        <v>0.22000000000000003</v>
      </c>
      <c r="Q116" s="242">
        <v>0.44</v>
      </c>
      <c r="R116" s="243">
        <v>0.52</v>
      </c>
      <c r="S116" s="241">
        <v>0.44000000000000006</v>
      </c>
      <c r="T116" s="242">
        <v>0.55000000000000004</v>
      </c>
      <c r="U116" s="242">
        <v>0.77</v>
      </c>
      <c r="V116" s="243">
        <v>1</v>
      </c>
      <c r="W116" s="241">
        <v>0.47000000000000003</v>
      </c>
      <c r="X116" s="242">
        <v>0.55000000000000004</v>
      </c>
      <c r="Y116" s="242">
        <v>0.77</v>
      </c>
      <c r="Z116" s="23">
        <v>0.92</v>
      </c>
      <c r="AA116" s="20">
        <v>0.77</v>
      </c>
      <c r="AB116" s="22">
        <v>1</v>
      </c>
      <c r="AC116" s="22">
        <v>1</v>
      </c>
      <c r="AD116" s="23">
        <v>1</v>
      </c>
      <c r="AE116" s="20">
        <v>0.83</v>
      </c>
      <c r="AF116" s="242">
        <v>1</v>
      </c>
      <c r="AG116" s="242">
        <v>1</v>
      </c>
      <c r="AH116" s="243">
        <v>1</v>
      </c>
      <c r="AI116" s="241">
        <v>0</v>
      </c>
      <c r="AJ116" s="242">
        <v>0.44000000000000006</v>
      </c>
      <c r="AK116" s="242">
        <v>1.32</v>
      </c>
      <c r="AL116" s="243">
        <v>2.3099999999999996</v>
      </c>
      <c r="AM116" s="241">
        <v>5.3999999999999992E-2</v>
      </c>
      <c r="AN116" s="242">
        <v>0.44000000000000006</v>
      </c>
      <c r="AO116" s="242">
        <v>1.32</v>
      </c>
      <c r="AP116" s="243">
        <v>2</v>
      </c>
      <c r="AQ116" s="241">
        <v>1.1550000000000002</v>
      </c>
      <c r="AR116" s="242">
        <v>2.4750000000000001</v>
      </c>
      <c r="AS116" s="242">
        <v>4.2350000000000003</v>
      </c>
      <c r="AT116" s="242">
        <v>6.6550000000000002</v>
      </c>
      <c r="AU116" s="241">
        <v>1.5650000000000008</v>
      </c>
      <c r="AV116" s="242">
        <v>2.4750000000000001</v>
      </c>
      <c r="AW116" s="242">
        <v>4.2350000000000003</v>
      </c>
      <c r="AX116" s="243">
        <v>5.830000000000001</v>
      </c>
      <c r="AY116" s="241">
        <v>3.8900000000000006</v>
      </c>
      <c r="AZ116" s="242">
        <v>7</v>
      </c>
      <c r="BA116" s="242">
        <v>8</v>
      </c>
      <c r="BB116" s="242">
        <v>9.5</v>
      </c>
      <c r="BC116" s="241">
        <v>4.8099999999999987</v>
      </c>
      <c r="BD116" s="242">
        <v>7</v>
      </c>
      <c r="BE116" s="242">
        <v>8</v>
      </c>
      <c r="BF116" s="243">
        <v>9</v>
      </c>
      <c r="BG116" s="241">
        <f>AI116+AQ116+AY116</f>
        <v>5.0450000000000008</v>
      </c>
      <c r="BH116" s="242">
        <f t="shared" ref="BH116:BN125" si="84">AJ116+AR116+AZ116</f>
        <v>9.9149999999999991</v>
      </c>
      <c r="BI116" s="242">
        <f t="shared" si="84"/>
        <v>13.555</v>
      </c>
      <c r="BJ116" s="242">
        <f t="shared" si="84"/>
        <v>18.465</v>
      </c>
      <c r="BK116" s="241">
        <f t="shared" si="84"/>
        <v>6.4289999999999994</v>
      </c>
      <c r="BL116" s="242">
        <f t="shared" si="84"/>
        <v>9.9149999999999991</v>
      </c>
      <c r="BM116" s="242">
        <f t="shared" si="84"/>
        <v>13.555</v>
      </c>
      <c r="BN116" s="242">
        <f t="shared" si="84"/>
        <v>16.830000000000002</v>
      </c>
      <c r="BO116" s="250">
        <f>BO$9*BH116+(1-BO$9)*BG116</f>
        <v>8.9409999999999989</v>
      </c>
      <c r="BP116" s="275">
        <f>BO$9*BI116+(1-BO$9)*BJ116</f>
        <v>14.537000000000001</v>
      </c>
      <c r="BQ116" s="75">
        <f>BO$9*BL116+(1-BO$9)*BK116</f>
        <v>9.2177999999999987</v>
      </c>
      <c r="BR116" s="76">
        <f>BO$9*BM116+(1-BO$9)*BN116</f>
        <v>14.21</v>
      </c>
      <c r="BS116" s="20">
        <f>(BO116+BP116)/2</f>
        <v>11.739000000000001</v>
      </c>
      <c r="BT116" s="23">
        <f>(BQ116+BR116)/2</f>
        <v>11.713899999999999</v>
      </c>
      <c r="BU116" s="72">
        <f>(BS116+BT116)/2</f>
        <v>11.72645</v>
      </c>
    </row>
    <row r="117" spans="1:73" x14ac:dyDescent="0.25">
      <c r="A117" s="41" t="s">
        <v>1</v>
      </c>
      <c r="B117" s="41" t="s">
        <v>14</v>
      </c>
      <c r="C117" s="60" t="s">
        <v>29</v>
      </c>
      <c r="D117" s="92" t="s">
        <v>45</v>
      </c>
      <c r="E117" s="92" t="s">
        <v>46</v>
      </c>
      <c r="F117" s="92" t="s">
        <v>46</v>
      </c>
      <c r="G117" s="49">
        <f t="shared" ref="G117:G125" si="85">IF(D117=$A$129,$B$129,(IF(D117=$A$130,$B$130,IF(D117=$A$131,$B$131,$B$132))))</f>
        <v>0.66</v>
      </c>
      <c r="H117" s="49">
        <f t="shared" si="83"/>
        <v>0.33</v>
      </c>
      <c r="I117" s="49">
        <f t="shared" si="83"/>
        <v>0.33</v>
      </c>
      <c r="J117" s="83">
        <f t="shared" ref="J117:J125" si="86">G117*$D$143+H117*$D$144+I117*$D$145</f>
        <v>5.7750000000000004</v>
      </c>
      <c r="K117" s="26">
        <v>0.44000000000000006</v>
      </c>
      <c r="L117">
        <v>0.55000000000000004</v>
      </c>
      <c r="M117">
        <v>0.77</v>
      </c>
      <c r="N117" s="27">
        <v>1</v>
      </c>
      <c r="O117" s="26">
        <v>0.47000000000000003</v>
      </c>
      <c r="P117">
        <v>0.55000000000000004</v>
      </c>
      <c r="Q117" s="245">
        <v>0.77</v>
      </c>
      <c r="R117" s="246">
        <v>0.92</v>
      </c>
      <c r="S117" s="244">
        <v>0</v>
      </c>
      <c r="T117" s="245">
        <v>0.22000000000000003</v>
      </c>
      <c r="U117" s="245">
        <v>0.44</v>
      </c>
      <c r="V117" s="246">
        <v>0.55000000000000004</v>
      </c>
      <c r="W117" s="244">
        <v>0.06</v>
      </c>
      <c r="X117" s="245">
        <v>0.22000000000000003</v>
      </c>
      <c r="Y117" s="245">
        <v>0.44</v>
      </c>
      <c r="Z117" s="27">
        <v>0.52</v>
      </c>
      <c r="AA117" s="26">
        <v>0</v>
      </c>
      <c r="AB117">
        <v>0.22000000000000003</v>
      </c>
      <c r="AC117">
        <v>0.44</v>
      </c>
      <c r="AD117" s="27">
        <v>0.55000000000000004</v>
      </c>
      <c r="AE117" s="26">
        <v>0.06</v>
      </c>
      <c r="AF117" s="245">
        <v>0.22000000000000003</v>
      </c>
      <c r="AG117" s="245">
        <v>0.44</v>
      </c>
      <c r="AH117" s="246">
        <v>0.52</v>
      </c>
      <c r="AI117" s="244">
        <v>0.60499999999999998</v>
      </c>
      <c r="AJ117" s="245">
        <v>1.1000000000000001</v>
      </c>
      <c r="AK117" s="245">
        <v>2.31</v>
      </c>
      <c r="AL117" s="246">
        <v>4.1549999999999994</v>
      </c>
      <c r="AM117" s="244">
        <v>0.77499999999999991</v>
      </c>
      <c r="AN117" s="245">
        <v>1.1000000000000001</v>
      </c>
      <c r="AO117" s="245">
        <v>2.31</v>
      </c>
      <c r="AP117" s="246">
        <v>3.53</v>
      </c>
      <c r="AQ117" s="244">
        <v>0</v>
      </c>
      <c r="AR117" s="245">
        <v>0.9900000000000001</v>
      </c>
      <c r="AS117" s="245">
        <v>2.42</v>
      </c>
      <c r="AT117" s="245">
        <v>3.6850000000000005</v>
      </c>
      <c r="AU117" s="244">
        <v>4.9999999999999933E-2</v>
      </c>
      <c r="AV117" s="245">
        <v>0.9900000000000001</v>
      </c>
      <c r="AW117" s="245">
        <v>2.42</v>
      </c>
      <c r="AX117" s="246">
        <v>3.3000000000000007</v>
      </c>
      <c r="AY117" s="244">
        <v>0</v>
      </c>
      <c r="AZ117" s="245">
        <v>1.5400000000000003</v>
      </c>
      <c r="BA117" s="245">
        <v>3.52</v>
      </c>
      <c r="BB117" s="245">
        <v>5.0600000000000005</v>
      </c>
      <c r="BC117" s="244">
        <v>0.19999999999999996</v>
      </c>
      <c r="BD117" s="245">
        <v>1.5400000000000003</v>
      </c>
      <c r="BE117" s="245">
        <v>3.52</v>
      </c>
      <c r="BF117" s="246">
        <v>4.6000000000000014</v>
      </c>
      <c r="BG117" s="244">
        <f t="shared" ref="BG117:BG125" si="87">AI117+AQ117+AY117</f>
        <v>0.60499999999999998</v>
      </c>
      <c r="BH117" s="245">
        <f t="shared" si="84"/>
        <v>3.6300000000000008</v>
      </c>
      <c r="BI117" s="245">
        <f t="shared" si="84"/>
        <v>8.25</v>
      </c>
      <c r="BJ117" s="245">
        <f t="shared" si="84"/>
        <v>12.9</v>
      </c>
      <c r="BK117" s="244">
        <f t="shared" si="84"/>
        <v>1.0249999999999999</v>
      </c>
      <c r="BL117" s="245">
        <f t="shared" si="84"/>
        <v>3.6300000000000008</v>
      </c>
      <c r="BM117" s="245">
        <f t="shared" si="84"/>
        <v>8.25</v>
      </c>
      <c r="BN117" s="245">
        <f t="shared" si="84"/>
        <v>11.430000000000001</v>
      </c>
      <c r="BO117" s="251">
        <f t="shared" ref="BO117:BO125" si="88">BO$9*BH117+(1-BO$9)*BG117</f>
        <v>3.0250000000000008</v>
      </c>
      <c r="BP117" s="278">
        <f t="shared" ref="BP117:BP125" si="89">BO$9*BI117+(1-BO$9)*BJ117</f>
        <v>9.18</v>
      </c>
      <c r="BQ117" s="77">
        <f t="shared" ref="BQ117:BQ125" si="90">BO$9*BL117+(1-BO$9)*BK117</f>
        <v>3.1090000000000009</v>
      </c>
      <c r="BR117" s="78">
        <f t="shared" ref="BR117:BR125" si="91">BO$9*BM117+(1-BO$9)*BN117</f>
        <v>8.8859999999999992</v>
      </c>
      <c r="BS117" s="26">
        <f t="shared" ref="BS117:BS125" si="92">(BO117+BP117)/2</f>
        <v>6.1025</v>
      </c>
      <c r="BT117" s="27">
        <f t="shared" ref="BT117:BT125" si="93">(BQ117+BR117)/2</f>
        <v>5.9975000000000005</v>
      </c>
      <c r="BU117" s="73">
        <f t="shared" ref="BU117:BU125" si="94">(BS117+BT117)/2</f>
        <v>6.0500000000000007</v>
      </c>
    </row>
    <row r="118" spans="1:73" x14ac:dyDescent="0.25">
      <c r="A118" s="41" t="s">
        <v>2</v>
      </c>
      <c r="B118" s="41" t="s">
        <v>15</v>
      </c>
      <c r="C118" s="60" t="s">
        <v>30</v>
      </c>
      <c r="D118" s="92" t="s">
        <v>45</v>
      </c>
      <c r="E118" s="92" t="s">
        <v>44</v>
      </c>
      <c r="F118" s="92" t="s">
        <v>45</v>
      </c>
      <c r="G118" s="49">
        <f t="shared" si="85"/>
        <v>0.66</v>
      </c>
      <c r="H118" s="49">
        <f t="shared" si="83"/>
        <v>1</v>
      </c>
      <c r="I118" s="49">
        <f t="shared" si="83"/>
        <v>0.66</v>
      </c>
      <c r="J118" s="83">
        <f t="shared" si="86"/>
        <v>11.600000000000001</v>
      </c>
      <c r="K118" s="26">
        <v>0.44000000000000006</v>
      </c>
      <c r="L118">
        <v>0.55000000000000004</v>
      </c>
      <c r="M118">
        <v>0.77</v>
      </c>
      <c r="N118" s="27">
        <v>1</v>
      </c>
      <c r="O118" s="26">
        <v>0.47000000000000003</v>
      </c>
      <c r="P118">
        <v>0.55000000000000004</v>
      </c>
      <c r="Q118" s="245">
        <v>0.77</v>
      </c>
      <c r="R118" s="246">
        <v>0.92</v>
      </c>
      <c r="S118" s="244">
        <v>0.77</v>
      </c>
      <c r="T118" s="245">
        <v>1</v>
      </c>
      <c r="U118" s="245">
        <v>1</v>
      </c>
      <c r="V118" s="246">
        <v>1</v>
      </c>
      <c r="W118" s="244">
        <v>0.83</v>
      </c>
      <c r="X118" s="245">
        <v>1</v>
      </c>
      <c r="Y118" s="245">
        <v>1</v>
      </c>
      <c r="Z118" s="27">
        <v>1</v>
      </c>
      <c r="AA118" s="26">
        <v>0.44000000000000006</v>
      </c>
      <c r="AB118">
        <v>0.55000000000000004</v>
      </c>
      <c r="AC118">
        <v>0.77</v>
      </c>
      <c r="AD118" s="27">
        <v>1</v>
      </c>
      <c r="AE118" s="26">
        <v>0.47000000000000003</v>
      </c>
      <c r="AF118" s="245">
        <v>0.55000000000000004</v>
      </c>
      <c r="AG118" s="245">
        <v>0.77</v>
      </c>
      <c r="AH118" s="246">
        <v>0.92</v>
      </c>
      <c r="AI118" s="244">
        <v>0.60499999999999998</v>
      </c>
      <c r="AJ118" s="245">
        <v>1.1000000000000001</v>
      </c>
      <c r="AK118" s="245">
        <v>2.31</v>
      </c>
      <c r="AL118" s="246">
        <v>4.1549999999999994</v>
      </c>
      <c r="AM118" s="244">
        <v>0.77499999999999991</v>
      </c>
      <c r="AN118" s="245">
        <v>1.1000000000000001</v>
      </c>
      <c r="AO118" s="245">
        <v>2.31</v>
      </c>
      <c r="AP118" s="246">
        <v>3.53</v>
      </c>
      <c r="AQ118" s="244">
        <v>1.9649999999999999</v>
      </c>
      <c r="AR118" s="245">
        <v>4.5</v>
      </c>
      <c r="AS118" s="245">
        <v>5.5</v>
      </c>
      <c r="AT118" s="245">
        <v>7</v>
      </c>
      <c r="AU118" s="244">
        <v>2.7349999999999994</v>
      </c>
      <c r="AV118" s="245">
        <v>4.5</v>
      </c>
      <c r="AW118" s="245">
        <v>5.5</v>
      </c>
      <c r="AX118" s="246">
        <v>6.5</v>
      </c>
      <c r="AY118" s="244">
        <v>2.2549999999999999</v>
      </c>
      <c r="AZ118" s="245">
        <v>3.8500000000000005</v>
      </c>
      <c r="BA118" s="245">
        <v>6.16</v>
      </c>
      <c r="BB118" s="245">
        <v>9.1550000000000011</v>
      </c>
      <c r="BC118" s="244">
        <v>2.7399999999999993</v>
      </c>
      <c r="BD118" s="245">
        <v>3.8500000000000005</v>
      </c>
      <c r="BE118" s="245">
        <v>6.16</v>
      </c>
      <c r="BF118" s="246">
        <v>8.129999999999999</v>
      </c>
      <c r="BG118" s="244">
        <f t="shared" si="87"/>
        <v>4.8249999999999993</v>
      </c>
      <c r="BH118" s="245">
        <f t="shared" si="84"/>
        <v>9.4499999999999993</v>
      </c>
      <c r="BI118" s="245">
        <f t="shared" si="84"/>
        <v>13.97</v>
      </c>
      <c r="BJ118" s="245">
        <f t="shared" si="84"/>
        <v>20.310000000000002</v>
      </c>
      <c r="BK118" s="244">
        <f t="shared" si="84"/>
        <v>6.2499999999999982</v>
      </c>
      <c r="BL118" s="245">
        <f t="shared" si="84"/>
        <v>9.4499999999999993</v>
      </c>
      <c r="BM118" s="245">
        <f t="shared" si="84"/>
        <v>13.97</v>
      </c>
      <c r="BN118" s="245">
        <f t="shared" si="84"/>
        <v>18.159999999999997</v>
      </c>
      <c r="BO118" s="251">
        <f t="shared" si="88"/>
        <v>8.5249999999999986</v>
      </c>
      <c r="BP118" s="278">
        <f t="shared" si="89"/>
        <v>15.238000000000001</v>
      </c>
      <c r="BQ118" s="77">
        <f t="shared" si="90"/>
        <v>8.8099999999999987</v>
      </c>
      <c r="BR118" s="78">
        <f t="shared" si="91"/>
        <v>14.808</v>
      </c>
      <c r="BS118" s="26">
        <f t="shared" si="92"/>
        <v>11.881499999999999</v>
      </c>
      <c r="BT118" s="27">
        <f t="shared" si="93"/>
        <v>11.808999999999999</v>
      </c>
      <c r="BU118" s="73">
        <f t="shared" si="94"/>
        <v>11.84525</v>
      </c>
    </row>
    <row r="119" spans="1:73" x14ac:dyDescent="0.25">
      <c r="A119" s="41" t="s">
        <v>6</v>
      </c>
      <c r="B119" s="41" t="s">
        <v>16</v>
      </c>
      <c r="C119" s="60" t="s">
        <v>17</v>
      </c>
      <c r="D119" s="92" t="s">
        <v>44</v>
      </c>
      <c r="E119" s="92" t="s">
        <v>45</v>
      </c>
      <c r="F119" s="92" t="s">
        <v>46</v>
      </c>
      <c r="G119" s="49">
        <f t="shared" si="85"/>
        <v>1</v>
      </c>
      <c r="H119" s="49">
        <f t="shared" si="83"/>
        <v>0.66</v>
      </c>
      <c r="I119" s="49">
        <f t="shared" si="83"/>
        <v>0.33</v>
      </c>
      <c r="J119" s="83">
        <f t="shared" si="86"/>
        <v>8.2750000000000004</v>
      </c>
      <c r="K119" s="26">
        <v>0.77</v>
      </c>
      <c r="L119">
        <v>1</v>
      </c>
      <c r="M119">
        <v>1</v>
      </c>
      <c r="N119" s="27">
        <v>1</v>
      </c>
      <c r="O119" s="26">
        <v>0.83</v>
      </c>
      <c r="P119">
        <v>1</v>
      </c>
      <c r="Q119" s="245">
        <v>1</v>
      </c>
      <c r="R119" s="246">
        <v>1</v>
      </c>
      <c r="S119" s="244">
        <v>0.44000000000000006</v>
      </c>
      <c r="T119" s="245">
        <v>0.55000000000000004</v>
      </c>
      <c r="U119" s="245">
        <v>0.77</v>
      </c>
      <c r="V119" s="246">
        <v>1</v>
      </c>
      <c r="W119" s="244">
        <v>0.47000000000000003</v>
      </c>
      <c r="X119" s="245">
        <v>0.55000000000000004</v>
      </c>
      <c r="Y119" s="245">
        <v>0.77</v>
      </c>
      <c r="Z119" s="27">
        <v>0.92</v>
      </c>
      <c r="AA119" s="26">
        <v>0</v>
      </c>
      <c r="AB119">
        <v>0.22000000000000003</v>
      </c>
      <c r="AC119">
        <v>0.44</v>
      </c>
      <c r="AD119" s="27">
        <v>0.55000000000000004</v>
      </c>
      <c r="AE119" s="26">
        <v>0.06</v>
      </c>
      <c r="AF119" s="245">
        <v>0.22000000000000003</v>
      </c>
      <c r="AG119" s="245">
        <v>0.44</v>
      </c>
      <c r="AH119" s="246">
        <v>0.52</v>
      </c>
      <c r="AI119" s="244">
        <v>1.04</v>
      </c>
      <c r="AJ119" s="245">
        <v>2</v>
      </c>
      <c r="AK119" s="245">
        <v>3</v>
      </c>
      <c r="AL119" s="246">
        <v>4.5</v>
      </c>
      <c r="AM119" s="244">
        <v>1.3599999999999999</v>
      </c>
      <c r="AN119" s="245">
        <v>2</v>
      </c>
      <c r="AO119" s="245">
        <v>3</v>
      </c>
      <c r="AP119" s="246">
        <v>4</v>
      </c>
      <c r="AQ119" s="244">
        <v>1.1550000000000002</v>
      </c>
      <c r="AR119" s="245">
        <v>2.4750000000000001</v>
      </c>
      <c r="AS119" s="245">
        <v>4.2350000000000003</v>
      </c>
      <c r="AT119" s="245">
        <v>6.6550000000000002</v>
      </c>
      <c r="AU119" s="244">
        <v>1.5650000000000008</v>
      </c>
      <c r="AV119" s="245">
        <v>2.4750000000000001</v>
      </c>
      <c r="AW119" s="245">
        <v>4.2350000000000003</v>
      </c>
      <c r="AX119" s="246">
        <v>5.830000000000001</v>
      </c>
      <c r="AY119" s="244">
        <v>0</v>
      </c>
      <c r="AZ119" s="245">
        <v>1.5400000000000003</v>
      </c>
      <c r="BA119" s="245">
        <v>3.52</v>
      </c>
      <c r="BB119" s="245">
        <v>5.0600000000000005</v>
      </c>
      <c r="BC119" s="244">
        <v>0.19999999999999996</v>
      </c>
      <c r="BD119" s="245">
        <v>1.5400000000000003</v>
      </c>
      <c r="BE119" s="245">
        <v>3.52</v>
      </c>
      <c r="BF119" s="246">
        <v>4.6000000000000014</v>
      </c>
      <c r="BG119" s="244">
        <f t="shared" si="87"/>
        <v>2.1950000000000003</v>
      </c>
      <c r="BH119" s="245">
        <f t="shared" si="84"/>
        <v>6.0149999999999997</v>
      </c>
      <c r="BI119" s="245">
        <f t="shared" si="84"/>
        <v>10.755000000000001</v>
      </c>
      <c r="BJ119" s="245">
        <f t="shared" si="84"/>
        <v>16.215000000000003</v>
      </c>
      <c r="BK119" s="244">
        <f t="shared" si="84"/>
        <v>3.1250000000000009</v>
      </c>
      <c r="BL119" s="245">
        <f t="shared" si="84"/>
        <v>6.0149999999999997</v>
      </c>
      <c r="BM119" s="245">
        <f t="shared" si="84"/>
        <v>10.755000000000001</v>
      </c>
      <c r="BN119" s="245">
        <f t="shared" si="84"/>
        <v>14.430000000000003</v>
      </c>
      <c r="BO119" s="251">
        <f t="shared" si="88"/>
        <v>5.2510000000000003</v>
      </c>
      <c r="BP119" s="278">
        <f t="shared" si="89"/>
        <v>11.847000000000001</v>
      </c>
      <c r="BQ119" s="77">
        <f t="shared" si="90"/>
        <v>5.4370000000000003</v>
      </c>
      <c r="BR119" s="78">
        <f t="shared" si="91"/>
        <v>11.490000000000002</v>
      </c>
      <c r="BS119" s="26">
        <f t="shared" si="92"/>
        <v>8.5490000000000013</v>
      </c>
      <c r="BT119" s="27">
        <f t="shared" si="93"/>
        <v>8.4635000000000016</v>
      </c>
      <c r="BU119" s="73">
        <f t="shared" si="94"/>
        <v>8.5062500000000014</v>
      </c>
    </row>
    <row r="120" spans="1:73" ht="30" x14ac:dyDescent="0.25">
      <c r="A120" s="41" t="s">
        <v>7</v>
      </c>
      <c r="B120" s="41" t="s">
        <v>18</v>
      </c>
      <c r="C120" s="60" t="s">
        <v>31</v>
      </c>
      <c r="D120" s="92" t="s">
        <v>45</v>
      </c>
      <c r="E120" s="92" t="s">
        <v>44</v>
      </c>
      <c r="F120" s="92" t="s">
        <v>46</v>
      </c>
      <c r="G120" s="49">
        <f t="shared" si="85"/>
        <v>0.66</v>
      </c>
      <c r="H120" s="49">
        <f t="shared" si="83"/>
        <v>1</v>
      </c>
      <c r="I120" s="49">
        <f t="shared" si="83"/>
        <v>0.33</v>
      </c>
      <c r="J120" s="83">
        <f t="shared" si="86"/>
        <v>9.125</v>
      </c>
      <c r="K120" s="26">
        <v>0.44000000000000006</v>
      </c>
      <c r="L120">
        <v>0.55000000000000004</v>
      </c>
      <c r="M120">
        <v>0.77</v>
      </c>
      <c r="N120" s="27">
        <v>1</v>
      </c>
      <c r="O120" s="26">
        <v>0.47000000000000003</v>
      </c>
      <c r="P120">
        <v>0.55000000000000004</v>
      </c>
      <c r="Q120" s="245">
        <v>0.77</v>
      </c>
      <c r="R120" s="246">
        <v>0.92</v>
      </c>
      <c r="S120" s="244">
        <v>0.77</v>
      </c>
      <c r="T120" s="245">
        <v>1</v>
      </c>
      <c r="U120" s="245">
        <v>1</v>
      </c>
      <c r="V120" s="246">
        <v>1</v>
      </c>
      <c r="W120" s="244">
        <v>0.83</v>
      </c>
      <c r="X120" s="245">
        <v>1</v>
      </c>
      <c r="Y120" s="245">
        <v>1</v>
      </c>
      <c r="Z120" s="27">
        <v>1</v>
      </c>
      <c r="AA120" s="26">
        <v>0</v>
      </c>
      <c r="AB120">
        <v>0.22000000000000003</v>
      </c>
      <c r="AC120">
        <v>0.44</v>
      </c>
      <c r="AD120" s="27">
        <v>0.55000000000000004</v>
      </c>
      <c r="AE120" s="26">
        <v>0.06</v>
      </c>
      <c r="AF120" s="245">
        <v>0.22000000000000003</v>
      </c>
      <c r="AG120" s="245">
        <v>0.44</v>
      </c>
      <c r="AH120" s="246">
        <v>0.52</v>
      </c>
      <c r="AI120" s="244">
        <v>0.60499999999999998</v>
      </c>
      <c r="AJ120" s="245">
        <v>1.1000000000000001</v>
      </c>
      <c r="AK120" s="245">
        <v>2.31</v>
      </c>
      <c r="AL120" s="246">
        <v>4.1549999999999994</v>
      </c>
      <c r="AM120" s="244">
        <v>0.77499999999999991</v>
      </c>
      <c r="AN120" s="245">
        <v>1.1000000000000001</v>
      </c>
      <c r="AO120" s="245">
        <v>2.31</v>
      </c>
      <c r="AP120" s="246">
        <v>3.53</v>
      </c>
      <c r="AQ120" s="244">
        <v>1.9649999999999999</v>
      </c>
      <c r="AR120" s="245">
        <v>4.5</v>
      </c>
      <c r="AS120" s="245">
        <v>5.5</v>
      </c>
      <c r="AT120" s="245">
        <v>7</v>
      </c>
      <c r="AU120" s="244">
        <v>2.7349999999999994</v>
      </c>
      <c r="AV120" s="245">
        <v>4.5</v>
      </c>
      <c r="AW120" s="245">
        <v>5.5</v>
      </c>
      <c r="AX120" s="246">
        <v>6.5</v>
      </c>
      <c r="AY120" s="244">
        <v>0</v>
      </c>
      <c r="AZ120" s="245">
        <v>1.5400000000000003</v>
      </c>
      <c r="BA120" s="245">
        <v>3.52</v>
      </c>
      <c r="BB120" s="245">
        <v>5.0600000000000005</v>
      </c>
      <c r="BC120" s="244">
        <v>0.19999999999999996</v>
      </c>
      <c r="BD120" s="245">
        <v>1.5400000000000003</v>
      </c>
      <c r="BE120" s="245">
        <v>3.52</v>
      </c>
      <c r="BF120" s="246">
        <v>4.6000000000000014</v>
      </c>
      <c r="BG120" s="244">
        <f t="shared" si="87"/>
        <v>2.57</v>
      </c>
      <c r="BH120" s="245">
        <f t="shared" si="84"/>
        <v>7.14</v>
      </c>
      <c r="BI120" s="245">
        <f t="shared" si="84"/>
        <v>11.33</v>
      </c>
      <c r="BJ120" s="245">
        <f t="shared" si="84"/>
        <v>16.215</v>
      </c>
      <c r="BK120" s="244">
        <f t="shared" si="84"/>
        <v>3.7099999999999991</v>
      </c>
      <c r="BL120" s="245">
        <f t="shared" si="84"/>
        <v>7.14</v>
      </c>
      <c r="BM120" s="245">
        <f t="shared" si="84"/>
        <v>11.33</v>
      </c>
      <c r="BN120" s="245">
        <f t="shared" si="84"/>
        <v>14.63</v>
      </c>
      <c r="BO120" s="251">
        <f t="shared" si="88"/>
        <v>6.226</v>
      </c>
      <c r="BP120" s="278">
        <f t="shared" si="89"/>
        <v>12.306999999999999</v>
      </c>
      <c r="BQ120" s="77">
        <f t="shared" si="90"/>
        <v>6.4539999999999997</v>
      </c>
      <c r="BR120" s="78">
        <f t="shared" si="91"/>
        <v>11.99</v>
      </c>
      <c r="BS120" s="26">
        <f t="shared" si="92"/>
        <v>9.2664999999999988</v>
      </c>
      <c r="BT120" s="27">
        <f t="shared" si="93"/>
        <v>9.2219999999999995</v>
      </c>
      <c r="BU120" s="73">
        <f t="shared" si="94"/>
        <v>9.2442499999999992</v>
      </c>
    </row>
    <row r="121" spans="1:73" x14ac:dyDescent="0.25">
      <c r="A121" s="41" t="s">
        <v>8</v>
      </c>
      <c r="B121" s="41" t="s">
        <v>19</v>
      </c>
      <c r="C121" s="60" t="s">
        <v>32</v>
      </c>
      <c r="D121" s="92" t="s">
        <v>46</v>
      </c>
      <c r="E121" s="92" t="s">
        <v>45</v>
      </c>
      <c r="F121" s="92" t="s">
        <v>46</v>
      </c>
      <c r="G121" s="49">
        <f t="shared" si="85"/>
        <v>0.33</v>
      </c>
      <c r="H121" s="49">
        <f t="shared" si="83"/>
        <v>0.66</v>
      </c>
      <c r="I121" s="49">
        <f t="shared" si="83"/>
        <v>0.33</v>
      </c>
      <c r="J121" s="83">
        <f t="shared" si="86"/>
        <v>6.6</v>
      </c>
      <c r="K121" s="26">
        <v>0</v>
      </c>
      <c r="L121">
        <v>0.22000000000000003</v>
      </c>
      <c r="M121">
        <v>0.44</v>
      </c>
      <c r="N121" s="27">
        <v>0.55000000000000004</v>
      </c>
      <c r="O121" s="26">
        <v>0.06</v>
      </c>
      <c r="P121">
        <v>0.22000000000000003</v>
      </c>
      <c r="Q121" s="245">
        <v>0.44</v>
      </c>
      <c r="R121" s="246">
        <v>0.52</v>
      </c>
      <c r="S121" s="244">
        <v>0.44000000000000006</v>
      </c>
      <c r="T121" s="245">
        <v>0.55000000000000004</v>
      </c>
      <c r="U121" s="245">
        <v>0.77</v>
      </c>
      <c r="V121" s="246">
        <v>1</v>
      </c>
      <c r="W121" s="244">
        <v>0.47000000000000003</v>
      </c>
      <c r="X121" s="245">
        <v>0.55000000000000004</v>
      </c>
      <c r="Y121" s="245">
        <v>0.77</v>
      </c>
      <c r="Z121" s="27">
        <v>0.92</v>
      </c>
      <c r="AA121" s="26">
        <v>0</v>
      </c>
      <c r="AB121">
        <v>0.22000000000000003</v>
      </c>
      <c r="AC121">
        <v>0.44</v>
      </c>
      <c r="AD121" s="27">
        <v>0.55000000000000004</v>
      </c>
      <c r="AE121" s="26">
        <v>0.06</v>
      </c>
      <c r="AF121" s="245">
        <v>0.22000000000000003</v>
      </c>
      <c r="AG121" s="245">
        <v>0.44</v>
      </c>
      <c r="AH121" s="246">
        <v>0.52</v>
      </c>
      <c r="AI121" s="244">
        <v>0</v>
      </c>
      <c r="AJ121" s="245">
        <v>0.44000000000000006</v>
      </c>
      <c r="AK121" s="245">
        <v>1.32</v>
      </c>
      <c r="AL121" s="246">
        <v>2.3099999999999996</v>
      </c>
      <c r="AM121" s="244">
        <v>5.3999999999999992E-2</v>
      </c>
      <c r="AN121" s="245">
        <v>0.44000000000000006</v>
      </c>
      <c r="AO121" s="245">
        <v>1.32</v>
      </c>
      <c r="AP121" s="246">
        <v>2</v>
      </c>
      <c r="AQ121" s="244">
        <v>1.1550000000000002</v>
      </c>
      <c r="AR121" s="245">
        <v>2.4750000000000001</v>
      </c>
      <c r="AS121" s="245">
        <v>4.2350000000000003</v>
      </c>
      <c r="AT121" s="245">
        <v>6.6550000000000002</v>
      </c>
      <c r="AU121" s="244">
        <v>1.5650000000000008</v>
      </c>
      <c r="AV121" s="245">
        <v>2.4750000000000001</v>
      </c>
      <c r="AW121" s="245">
        <v>4.2350000000000003</v>
      </c>
      <c r="AX121" s="246">
        <v>5.830000000000001</v>
      </c>
      <c r="AY121" s="244">
        <v>0</v>
      </c>
      <c r="AZ121" s="245">
        <v>1.5400000000000003</v>
      </c>
      <c r="BA121" s="245">
        <v>3.52</v>
      </c>
      <c r="BB121" s="245">
        <v>5.0600000000000005</v>
      </c>
      <c r="BC121" s="244">
        <v>0.19999999999999996</v>
      </c>
      <c r="BD121" s="245">
        <v>1.5400000000000003</v>
      </c>
      <c r="BE121" s="245">
        <v>3.52</v>
      </c>
      <c r="BF121" s="246">
        <v>4.6000000000000014</v>
      </c>
      <c r="BG121" s="244">
        <f t="shared" si="87"/>
        <v>1.1550000000000002</v>
      </c>
      <c r="BH121" s="245">
        <f t="shared" si="84"/>
        <v>4.4550000000000001</v>
      </c>
      <c r="BI121" s="245">
        <f t="shared" si="84"/>
        <v>9.0750000000000011</v>
      </c>
      <c r="BJ121" s="245">
        <f t="shared" si="84"/>
        <v>14.025</v>
      </c>
      <c r="BK121" s="244">
        <f t="shared" si="84"/>
        <v>1.8190000000000008</v>
      </c>
      <c r="BL121" s="245">
        <f t="shared" si="84"/>
        <v>4.4550000000000001</v>
      </c>
      <c r="BM121" s="245">
        <f t="shared" si="84"/>
        <v>9.0750000000000011</v>
      </c>
      <c r="BN121" s="245">
        <f t="shared" si="84"/>
        <v>12.430000000000003</v>
      </c>
      <c r="BO121" s="251">
        <f t="shared" si="88"/>
        <v>3.7949999999999999</v>
      </c>
      <c r="BP121" s="278">
        <f t="shared" si="89"/>
        <v>10.065000000000001</v>
      </c>
      <c r="BQ121" s="77">
        <f t="shared" si="90"/>
        <v>3.9278</v>
      </c>
      <c r="BR121" s="78">
        <f t="shared" si="91"/>
        <v>9.7460000000000022</v>
      </c>
      <c r="BS121" s="26">
        <f t="shared" si="92"/>
        <v>6.9300000000000006</v>
      </c>
      <c r="BT121" s="27">
        <f t="shared" si="93"/>
        <v>6.8369000000000009</v>
      </c>
      <c r="BU121" s="73">
        <f t="shared" si="94"/>
        <v>6.8834500000000007</v>
      </c>
    </row>
    <row r="122" spans="1:73" ht="30" x14ac:dyDescent="0.25">
      <c r="A122" s="41" t="s">
        <v>9</v>
      </c>
      <c r="B122" s="41" t="s">
        <v>20</v>
      </c>
      <c r="C122" s="60" t="s">
        <v>33</v>
      </c>
      <c r="D122" s="92" t="s">
        <v>44</v>
      </c>
      <c r="E122" s="92" t="s">
        <v>45</v>
      </c>
      <c r="F122" s="92" t="s">
        <v>46</v>
      </c>
      <c r="G122" s="49">
        <f t="shared" si="85"/>
        <v>1</v>
      </c>
      <c r="H122" s="49">
        <f t="shared" si="83"/>
        <v>0.66</v>
      </c>
      <c r="I122" s="49">
        <f t="shared" si="83"/>
        <v>0.33</v>
      </c>
      <c r="J122" s="83">
        <f t="shared" si="86"/>
        <v>8.2750000000000004</v>
      </c>
      <c r="K122" s="26">
        <v>0.77</v>
      </c>
      <c r="L122">
        <v>1</v>
      </c>
      <c r="M122">
        <v>1</v>
      </c>
      <c r="N122" s="27">
        <v>1</v>
      </c>
      <c r="O122" s="26">
        <v>0.83</v>
      </c>
      <c r="P122">
        <v>1</v>
      </c>
      <c r="Q122" s="245">
        <v>1</v>
      </c>
      <c r="R122" s="246">
        <v>1</v>
      </c>
      <c r="S122" s="244">
        <v>0.44000000000000006</v>
      </c>
      <c r="T122" s="245">
        <v>0.55000000000000004</v>
      </c>
      <c r="U122" s="245">
        <v>0.77</v>
      </c>
      <c r="V122" s="246">
        <v>1</v>
      </c>
      <c r="W122" s="244">
        <v>0.47000000000000003</v>
      </c>
      <c r="X122" s="245">
        <v>0.55000000000000004</v>
      </c>
      <c r="Y122" s="245">
        <v>0.77</v>
      </c>
      <c r="Z122" s="27">
        <v>0.92</v>
      </c>
      <c r="AA122" s="26">
        <v>0</v>
      </c>
      <c r="AB122">
        <v>0.22000000000000003</v>
      </c>
      <c r="AC122">
        <v>0.44</v>
      </c>
      <c r="AD122" s="27">
        <v>0.55000000000000004</v>
      </c>
      <c r="AE122" s="26">
        <v>0.06</v>
      </c>
      <c r="AF122" s="245">
        <v>0.22000000000000003</v>
      </c>
      <c r="AG122" s="245">
        <v>0.44</v>
      </c>
      <c r="AH122" s="246">
        <v>0.52</v>
      </c>
      <c r="AI122" s="244">
        <v>1.04</v>
      </c>
      <c r="AJ122" s="245">
        <v>2</v>
      </c>
      <c r="AK122" s="245">
        <v>3</v>
      </c>
      <c r="AL122" s="246">
        <v>4.5</v>
      </c>
      <c r="AM122" s="244">
        <v>1.3599999999999999</v>
      </c>
      <c r="AN122" s="245">
        <v>2</v>
      </c>
      <c r="AO122" s="245">
        <v>3</v>
      </c>
      <c r="AP122" s="246">
        <v>4</v>
      </c>
      <c r="AQ122" s="244">
        <v>1.1550000000000002</v>
      </c>
      <c r="AR122" s="245">
        <v>2.4750000000000001</v>
      </c>
      <c r="AS122" s="245">
        <v>4.2350000000000003</v>
      </c>
      <c r="AT122" s="245">
        <v>6.6550000000000002</v>
      </c>
      <c r="AU122" s="244">
        <v>1.5650000000000008</v>
      </c>
      <c r="AV122" s="245">
        <v>2.4750000000000001</v>
      </c>
      <c r="AW122" s="245">
        <v>4.2350000000000003</v>
      </c>
      <c r="AX122" s="246">
        <v>5.830000000000001</v>
      </c>
      <c r="AY122" s="244">
        <v>0</v>
      </c>
      <c r="AZ122" s="245">
        <v>1.5400000000000003</v>
      </c>
      <c r="BA122" s="245">
        <v>3.52</v>
      </c>
      <c r="BB122" s="245">
        <v>5.0600000000000005</v>
      </c>
      <c r="BC122" s="244">
        <v>0.19999999999999996</v>
      </c>
      <c r="BD122" s="245">
        <v>1.5400000000000003</v>
      </c>
      <c r="BE122" s="245">
        <v>3.52</v>
      </c>
      <c r="BF122" s="246">
        <v>4.6000000000000014</v>
      </c>
      <c r="BG122" s="244">
        <f t="shared" si="87"/>
        <v>2.1950000000000003</v>
      </c>
      <c r="BH122" s="245">
        <f t="shared" si="84"/>
        <v>6.0149999999999997</v>
      </c>
      <c r="BI122" s="245">
        <f t="shared" si="84"/>
        <v>10.755000000000001</v>
      </c>
      <c r="BJ122" s="245">
        <f t="shared" si="84"/>
        <v>16.215000000000003</v>
      </c>
      <c r="BK122" s="244">
        <f t="shared" si="84"/>
        <v>3.1250000000000009</v>
      </c>
      <c r="BL122" s="245">
        <f t="shared" si="84"/>
        <v>6.0149999999999997</v>
      </c>
      <c r="BM122" s="245">
        <f t="shared" si="84"/>
        <v>10.755000000000001</v>
      </c>
      <c r="BN122" s="245">
        <f t="shared" si="84"/>
        <v>14.430000000000003</v>
      </c>
      <c r="BO122" s="251">
        <f t="shared" si="88"/>
        <v>5.2510000000000003</v>
      </c>
      <c r="BP122" s="278">
        <f t="shared" si="89"/>
        <v>11.847000000000001</v>
      </c>
      <c r="BQ122" s="77">
        <f t="shared" si="90"/>
        <v>5.4370000000000003</v>
      </c>
      <c r="BR122" s="78">
        <f t="shared" si="91"/>
        <v>11.490000000000002</v>
      </c>
      <c r="BS122" s="26">
        <f t="shared" si="92"/>
        <v>8.5490000000000013</v>
      </c>
      <c r="BT122" s="27">
        <f t="shared" si="93"/>
        <v>8.4635000000000016</v>
      </c>
      <c r="BU122" s="73">
        <f t="shared" si="94"/>
        <v>8.5062500000000014</v>
      </c>
    </row>
    <row r="123" spans="1:73" ht="30" x14ac:dyDescent="0.25">
      <c r="A123" s="41" t="s">
        <v>10</v>
      </c>
      <c r="B123" s="41" t="s">
        <v>21</v>
      </c>
      <c r="C123" s="60" t="s">
        <v>22</v>
      </c>
      <c r="D123" s="92" t="s">
        <v>45</v>
      </c>
      <c r="E123" s="92" t="s">
        <v>46</v>
      </c>
      <c r="F123" s="92" t="s">
        <v>44</v>
      </c>
      <c r="G123" s="49">
        <f t="shared" si="85"/>
        <v>0.66</v>
      </c>
      <c r="H123" s="49">
        <f t="shared" si="83"/>
        <v>0.33</v>
      </c>
      <c r="I123" s="49">
        <f t="shared" si="83"/>
        <v>1</v>
      </c>
      <c r="J123" s="83">
        <f t="shared" si="86"/>
        <v>10.8</v>
      </c>
      <c r="K123" s="26">
        <v>0.44000000000000006</v>
      </c>
      <c r="L123">
        <v>0.55000000000000004</v>
      </c>
      <c r="M123">
        <v>0.77</v>
      </c>
      <c r="N123" s="27">
        <v>1</v>
      </c>
      <c r="O123" s="26">
        <v>0.47000000000000003</v>
      </c>
      <c r="P123">
        <v>0.55000000000000004</v>
      </c>
      <c r="Q123" s="245">
        <v>0.77</v>
      </c>
      <c r="R123" s="246">
        <v>0.92</v>
      </c>
      <c r="S123" s="244">
        <v>0</v>
      </c>
      <c r="T123" s="245">
        <v>0.22000000000000003</v>
      </c>
      <c r="U123" s="245">
        <v>0.44</v>
      </c>
      <c r="V123" s="246">
        <v>0.55000000000000004</v>
      </c>
      <c r="W123" s="244">
        <v>0.06</v>
      </c>
      <c r="X123" s="245">
        <v>0.22000000000000003</v>
      </c>
      <c r="Y123" s="245">
        <v>0.44</v>
      </c>
      <c r="Z123" s="27">
        <v>0.52</v>
      </c>
      <c r="AA123" s="26">
        <v>0.77</v>
      </c>
      <c r="AB123">
        <v>1</v>
      </c>
      <c r="AC123">
        <v>1</v>
      </c>
      <c r="AD123" s="27">
        <v>1</v>
      </c>
      <c r="AE123" s="26">
        <v>0.83</v>
      </c>
      <c r="AF123" s="245">
        <v>1</v>
      </c>
      <c r="AG123" s="245">
        <v>1</v>
      </c>
      <c r="AH123" s="246">
        <v>1</v>
      </c>
      <c r="AI123" s="244">
        <v>0.60499999999999998</v>
      </c>
      <c r="AJ123" s="245">
        <v>1.1000000000000001</v>
      </c>
      <c r="AK123" s="245">
        <v>2.31</v>
      </c>
      <c r="AL123" s="246">
        <v>4.1549999999999994</v>
      </c>
      <c r="AM123" s="244">
        <v>0.77499999999999991</v>
      </c>
      <c r="AN123" s="245">
        <v>1.1000000000000001</v>
      </c>
      <c r="AO123" s="245">
        <v>2.31</v>
      </c>
      <c r="AP123" s="246">
        <v>3.53</v>
      </c>
      <c r="AQ123" s="244">
        <v>0</v>
      </c>
      <c r="AR123" s="245">
        <v>0.9900000000000001</v>
      </c>
      <c r="AS123" s="245">
        <v>2.42</v>
      </c>
      <c r="AT123" s="245">
        <v>3.6850000000000005</v>
      </c>
      <c r="AU123" s="244">
        <v>4.9999999999999933E-2</v>
      </c>
      <c r="AV123" s="245">
        <v>0.9900000000000001</v>
      </c>
      <c r="AW123" s="245">
        <v>2.42</v>
      </c>
      <c r="AX123" s="246">
        <v>3.3000000000000007</v>
      </c>
      <c r="AY123" s="244">
        <v>3.8900000000000006</v>
      </c>
      <c r="AZ123" s="245">
        <v>7</v>
      </c>
      <c r="BA123" s="245">
        <v>8</v>
      </c>
      <c r="BB123" s="245">
        <v>9.5</v>
      </c>
      <c r="BC123" s="244">
        <v>4.8099999999999987</v>
      </c>
      <c r="BD123" s="245">
        <v>7</v>
      </c>
      <c r="BE123" s="245">
        <v>8</v>
      </c>
      <c r="BF123" s="246">
        <v>9</v>
      </c>
      <c r="BG123" s="244">
        <f t="shared" si="87"/>
        <v>4.495000000000001</v>
      </c>
      <c r="BH123" s="245">
        <f t="shared" si="84"/>
        <v>9.09</v>
      </c>
      <c r="BI123" s="245">
        <f t="shared" si="84"/>
        <v>12.73</v>
      </c>
      <c r="BJ123" s="245">
        <f t="shared" si="84"/>
        <v>17.34</v>
      </c>
      <c r="BK123" s="244">
        <f t="shared" si="84"/>
        <v>5.6349999999999989</v>
      </c>
      <c r="BL123" s="245">
        <f t="shared" si="84"/>
        <v>9.09</v>
      </c>
      <c r="BM123" s="245">
        <f t="shared" si="84"/>
        <v>12.73</v>
      </c>
      <c r="BN123" s="245">
        <f t="shared" si="84"/>
        <v>15.83</v>
      </c>
      <c r="BO123" s="251">
        <f t="shared" si="88"/>
        <v>8.1709999999999994</v>
      </c>
      <c r="BP123" s="278">
        <f t="shared" si="89"/>
        <v>13.652000000000001</v>
      </c>
      <c r="BQ123" s="77">
        <f t="shared" si="90"/>
        <v>8.3989999999999991</v>
      </c>
      <c r="BR123" s="78">
        <f t="shared" si="91"/>
        <v>13.350000000000001</v>
      </c>
      <c r="BS123" s="26">
        <f t="shared" si="92"/>
        <v>10.9115</v>
      </c>
      <c r="BT123" s="27">
        <f t="shared" si="93"/>
        <v>10.874500000000001</v>
      </c>
      <c r="BU123" s="73">
        <f t="shared" si="94"/>
        <v>10.893000000000001</v>
      </c>
    </row>
    <row r="124" spans="1:73" ht="36.75" customHeight="1" x14ac:dyDescent="0.25">
      <c r="A124" s="41" t="s">
        <v>11</v>
      </c>
      <c r="B124" s="41" t="s">
        <v>23</v>
      </c>
      <c r="C124" s="60" t="s">
        <v>34</v>
      </c>
      <c r="D124" s="92" t="s">
        <v>45</v>
      </c>
      <c r="E124" s="92" t="s">
        <v>44</v>
      </c>
      <c r="F124" s="92" t="s">
        <v>46</v>
      </c>
      <c r="G124" s="49">
        <f t="shared" si="85"/>
        <v>0.66</v>
      </c>
      <c r="H124" s="49">
        <f t="shared" si="83"/>
        <v>1</v>
      </c>
      <c r="I124" s="49">
        <f t="shared" si="83"/>
        <v>0.33</v>
      </c>
      <c r="J124" s="83">
        <f t="shared" si="86"/>
        <v>9.125</v>
      </c>
      <c r="K124" s="26">
        <v>0.44000000000000006</v>
      </c>
      <c r="L124">
        <v>0.55000000000000004</v>
      </c>
      <c r="M124">
        <v>0.77</v>
      </c>
      <c r="N124" s="27">
        <v>1</v>
      </c>
      <c r="O124" s="26">
        <v>0.47000000000000003</v>
      </c>
      <c r="P124">
        <v>0.55000000000000004</v>
      </c>
      <c r="Q124" s="245">
        <v>0.77</v>
      </c>
      <c r="R124" s="246">
        <v>0.92</v>
      </c>
      <c r="S124" s="244">
        <v>0.77</v>
      </c>
      <c r="T124" s="245">
        <v>1</v>
      </c>
      <c r="U124" s="245">
        <v>1</v>
      </c>
      <c r="V124" s="246">
        <v>1</v>
      </c>
      <c r="W124" s="244">
        <v>0.83</v>
      </c>
      <c r="X124" s="245">
        <v>1</v>
      </c>
      <c r="Y124" s="245">
        <v>1</v>
      </c>
      <c r="Z124" s="27">
        <v>1</v>
      </c>
      <c r="AA124" s="26">
        <v>0</v>
      </c>
      <c r="AB124">
        <v>0.22000000000000003</v>
      </c>
      <c r="AC124">
        <v>0.44</v>
      </c>
      <c r="AD124" s="27">
        <v>0.55000000000000004</v>
      </c>
      <c r="AE124" s="26">
        <v>0.06</v>
      </c>
      <c r="AF124" s="245">
        <v>0.22000000000000003</v>
      </c>
      <c r="AG124" s="245">
        <v>0.44</v>
      </c>
      <c r="AH124" s="246">
        <v>0.52</v>
      </c>
      <c r="AI124" s="244">
        <v>0.60499999999999998</v>
      </c>
      <c r="AJ124" s="245">
        <v>1.1000000000000001</v>
      </c>
      <c r="AK124" s="245">
        <v>2.31</v>
      </c>
      <c r="AL124" s="246">
        <v>4.1549999999999994</v>
      </c>
      <c r="AM124" s="244">
        <v>0.77499999999999991</v>
      </c>
      <c r="AN124" s="245">
        <v>1.1000000000000001</v>
      </c>
      <c r="AO124" s="245">
        <v>2.31</v>
      </c>
      <c r="AP124" s="246">
        <v>3.53</v>
      </c>
      <c r="AQ124" s="244">
        <v>1.9649999999999999</v>
      </c>
      <c r="AR124" s="245">
        <v>4.5</v>
      </c>
      <c r="AS124" s="245">
        <v>5.5</v>
      </c>
      <c r="AT124" s="245">
        <v>7</v>
      </c>
      <c r="AU124" s="244">
        <v>2.7349999999999994</v>
      </c>
      <c r="AV124" s="245">
        <v>4.5</v>
      </c>
      <c r="AW124" s="245">
        <v>5.5</v>
      </c>
      <c r="AX124" s="246">
        <v>6.5</v>
      </c>
      <c r="AY124" s="244">
        <v>0</v>
      </c>
      <c r="AZ124" s="245">
        <v>1.5400000000000003</v>
      </c>
      <c r="BA124" s="245">
        <v>3.52</v>
      </c>
      <c r="BB124" s="245">
        <v>5.0600000000000005</v>
      </c>
      <c r="BC124" s="244">
        <v>0.19999999999999996</v>
      </c>
      <c r="BD124" s="245">
        <v>1.5400000000000003</v>
      </c>
      <c r="BE124" s="245">
        <v>3.52</v>
      </c>
      <c r="BF124" s="246">
        <v>4.6000000000000014</v>
      </c>
      <c r="BG124" s="244">
        <f t="shared" si="87"/>
        <v>2.57</v>
      </c>
      <c r="BH124" s="245">
        <f t="shared" si="84"/>
        <v>7.14</v>
      </c>
      <c r="BI124" s="245">
        <f t="shared" si="84"/>
        <v>11.33</v>
      </c>
      <c r="BJ124" s="245">
        <f t="shared" si="84"/>
        <v>16.215</v>
      </c>
      <c r="BK124" s="244">
        <f t="shared" si="84"/>
        <v>3.7099999999999991</v>
      </c>
      <c r="BL124" s="245">
        <f t="shared" si="84"/>
        <v>7.14</v>
      </c>
      <c r="BM124" s="245">
        <f t="shared" si="84"/>
        <v>11.33</v>
      </c>
      <c r="BN124" s="245">
        <f t="shared" si="84"/>
        <v>14.63</v>
      </c>
      <c r="BO124" s="251">
        <f t="shared" si="88"/>
        <v>6.226</v>
      </c>
      <c r="BP124" s="278">
        <f t="shared" si="89"/>
        <v>12.306999999999999</v>
      </c>
      <c r="BQ124" s="77">
        <f t="shared" si="90"/>
        <v>6.4539999999999997</v>
      </c>
      <c r="BR124" s="78">
        <f t="shared" si="91"/>
        <v>11.99</v>
      </c>
      <c r="BS124" s="26">
        <f t="shared" si="92"/>
        <v>9.2664999999999988</v>
      </c>
      <c r="BT124" s="27">
        <f t="shared" si="93"/>
        <v>9.2219999999999995</v>
      </c>
      <c r="BU124" s="73">
        <f t="shared" si="94"/>
        <v>9.2442499999999992</v>
      </c>
    </row>
    <row r="125" spans="1:73" ht="30.75" thickBot="1" x14ac:dyDescent="0.3">
      <c r="A125" s="41" t="s">
        <v>12</v>
      </c>
      <c r="B125" s="41" t="s">
        <v>24</v>
      </c>
      <c r="C125" s="60" t="s">
        <v>35</v>
      </c>
      <c r="D125" s="92" t="s">
        <v>46</v>
      </c>
      <c r="E125" s="92" t="s">
        <v>44</v>
      </c>
      <c r="F125" s="92" t="s">
        <v>45</v>
      </c>
      <c r="G125" s="49">
        <f t="shared" si="85"/>
        <v>0.33</v>
      </c>
      <c r="H125" s="49">
        <f t="shared" si="83"/>
        <v>1</v>
      </c>
      <c r="I125" s="49">
        <f t="shared" si="83"/>
        <v>0.66</v>
      </c>
      <c r="J125" s="83">
        <f t="shared" si="86"/>
        <v>10.775</v>
      </c>
      <c r="K125" s="30">
        <v>0</v>
      </c>
      <c r="L125" s="32">
        <v>0.22000000000000003</v>
      </c>
      <c r="M125" s="32">
        <v>0.44</v>
      </c>
      <c r="N125" s="33">
        <v>0.55000000000000004</v>
      </c>
      <c r="O125" s="30">
        <v>0.06</v>
      </c>
      <c r="P125" s="32">
        <v>0.22000000000000003</v>
      </c>
      <c r="Q125" s="248">
        <v>0.44</v>
      </c>
      <c r="R125" s="249">
        <v>0.52</v>
      </c>
      <c r="S125" s="247">
        <v>0.77</v>
      </c>
      <c r="T125" s="248">
        <v>1</v>
      </c>
      <c r="U125" s="248">
        <v>1</v>
      </c>
      <c r="V125" s="249">
        <v>1</v>
      </c>
      <c r="W125" s="247">
        <v>0.83</v>
      </c>
      <c r="X125" s="248">
        <v>1</v>
      </c>
      <c r="Y125" s="248">
        <v>1</v>
      </c>
      <c r="Z125" s="33">
        <v>1</v>
      </c>
      <c r="AA125" s="30">
        <v>0.44000000000000006</v>
      </c>
      <c r="AB125" s="32">
        <v>0.55000000000000004</v>
      </c>
      <c r="AC125" s="32">
        <v>0.77</v>
      </c>
      <c r="AD125" s="33">
        <v>1</v>
      </c>
      <c r="AE125" s="30">
        <v>0.47000000000000003</v>
      </c>
      <c r="AF125" s="248">
        <v>0.55000000000000004</v>
      </c>
      <c r="AG125" s="248">
        <v>0.77</v>
      </c>
      <c r="AH125" s="249">
        <v>0.92</v>
      </c>
      <c r="AI125" s="247">
        <v>0</v>
      </c>
      <c r="AJ125" s="248">
        <v>0.44000000000000006</v>
      </c>
      <c r="AK125" s="248">
        <v>1.32</v>
      </c>
      <c r="AL125" s="249">
        <v>2.3099999999999996</v>
      </c>
      <c r="AM125" s="247">
        <v>5.3999999999999992E-2</v>
      </c>
      <c r="AN125" s="248">
        <v>0.44000000000000006</v>
      </c>
      <c r="AO125" s="248">
        <v>1.32</v>
      </c>
      <c r="AP125" s="249">
        <v>2</v>
      </c>
      <c r="AQ125" s="247">
        <v>1.9649999999999999</v>
      </c>
      <c r="AR125" s="248">
        <v>4.5</v>
      </c>
      <c r="AS125" s="248">
        <v>5.5</v>
      </c>
      <c r="AT125" s="248">
        <v>7</v>
      </c>
      <c r="AU125" s="247">
        <v>2.7349999999999994</v>
      </c>
      <c r="AV125" s="248">
        <v>4.5</v>
      </c>
      <c r="AW125" s="248">
        <v>5.5</v>
      </c>
      <c r="AX125" s="249">
        <v>6.5</v>
      </c>
      <c r="AY125" s="247">
        <v>2.2549999999999999</v>
      </c>
      <c r="AZ125" s="248">
        <v>3.8500000000000005</v>
      </c>
      <c r="BA125" s="248">
        <v>6.16</v>
      </c>
      <c r="BB125" s="248">
        <v>9.1550000000000011</v>
      </c>
      <c r="BC125" s="247">
        <v>2.7399999999999993</v>
      </c>
      <c r="BD125" s="248">
        <v>3.8500000000000005</v>
      </c>
      <c r="BE125" s="248">
        <v>6.16</v>
      </c>
      <c r="BF125" s="249">
        <v>8.129999999999999</v>
      </c>
      <c r="BG125" s="247">
        <f t="shared" si="87"/>
        <v>4.22</v>
      </c>
      <c r="BH125" s="248">
        <f t="shared" si="84"/>
        <v>8.7900000000000009</v>
      </c>
      <c r="BI125" s="248">
        <f t="shared" si="84"/>
        <v>12.98</v>
      </c>
      <c r="BJ125" s="248">
        <f t="shared" si="84"/>
        <v>18.465</v>
      </c>
      <c r="BK125" s="247">
        <f t="shared" si="84"/>
        <v>5.5289999999999981</v>
      </c>
      <c r="BL125" s="248">
        <f t="shared" si="84"/>
        <v>8.7900000000000009</v>
      </c>
      <c r="BM125" s="248">
        <f t="shared" si="84"/>
        <v>12.98</v>
      </c>
      <c r="BN125" s="248">
        <f t="shared" si="84"/>
        <v>16.63</v>
      </c>
      <c r="BO125" s="252">
        <f t="shared" si="88"/>
        <v>7.8760000000000003</v>
      </c>
      <c r="BP125" s="281">
        <f t="shared" si="89"/>
        <v>14.077</v>
      </c>
      <c r="BQ125" s="79">
        <f t="shared" si="90"/>
        <v>8.1378000000000004</v>
      </c>
      <c r="BR125" s="80">
        <f t="shared" si="91"/>
        <v>13.709999999999999</v>
      </c>
      <c r="BS125" s="30">
        <f t="shared" si="92"/>
        <v>10.9765</v>
      </c>
      <c r="BT125" s="33">
        <f t="shared" si="93"/>
        <v>10.9239</v>
      </c>
      <c r="BU125" s="74">
        <f t="shared" si="94"/>
        <v>10.950199999999999</v>
      </c>
    </row>
    <row r="126" spans="1:73" x14ac:dyDescent="0.25">
      <c r="BF126" s="284"/>
      <c r="BG126" s="285"/>
      <c r="BH126" s="285"/>
      <c r="BI126" s="285"/>
      <c r="BJ126" s="285"/>
      <c r="BK126" s="285"/>
    </row>
    <row r="127" spans="1:73" x14ac:dyDescent="0.25">
      <c r="A127" s="1" t="s">
        <v>129</v>
      </c>
      <c r="B127" s="1"/>
    </row>
    <row r="128" spans="1:73" ht="15.75" thickBot="1" x14ac:dyDescent="0.3">
      <c r="A128" s="46" t="s">
        <v>43</v>
      </c>
      <c r="B128" s="47" t="s">
        <v>55</v>
      </c>
      <c r="E128" s="51" t="s">
        <v>3</v>
      </c>
      <c r="I128" t="s">
        <v>4</v>
      </c>
    </row>
    <row r="129" spans="1:12" x14ac:dyDescent="0.25">
      <c r="A129" s="45" t="s">
        <v>47</v>
      </c>
      <c r="B129" s="2">
        <v>0</v>
      </c>
      <c r="C129" s="18">
        <v>0</v>
      </c>
      <c r="D129" s="19" t="s">
        <v>47</v>
      </c>
      <c r="E129" s="20">
        <v>0</v>
      </c>
      <c r="F129" s="21">
        <f>C129</f>
        <v>0</v>
      </c>
      <c r="G129" s="22">
        <v>0</v>
      </c>
      <c r="H129" s="23">
        <v>0.22</v>
      </c>
      <c r="I129" s="24">
        <v>0</v>
      </c>
      <c r="J129" s="22">
        <f>F129</f>
        <v>0</v>
      </c>
      <c r="K129" s="22">
        <f>G129</f>
        <v>0</v>
      </c>
      <c r="L129" s="25">
        <v>0.15</v>
      </c>
    </row>
    <row r="130" spans="1:12" x14ac:dyDescent="0.25">
      <c r="A130" s="45" t="s">
        <v>46</v>
      </c>
      <c r="B130" s="2">
        <v>0.33</v>
      </c>
      <c r="C130" s="18">
        <v>0.33</v>
      </c>
      <c r="D130" s="19" t="s">
        <v>46</v>
      </c>
      <c r="E130" s="26">
        <v>0</v>
      </c>
      <c r="F130" s="50">
        <f>C130-0.11</f>
        <v>0.22000000000000003</v>
      </c>
      <c r="G130">
        <f>C130+0.11</f>
        <v>0.44</v>
      </c>
      <c r="H130" s="27">
        <f t="shared" ref="H130" si="95">G130+0.11</f>
        <v>0.55000000000000004</v>
      </c>
      <c r="I130" s="28">
        <v>0.06</v>
      </c>
      <c r="J130">
        <f t="shared" ref="J130:K132" si="96">F130</f>
        <v>0.22000000000000003</v>
      </c>
      <c r="K130">
        <f t="shared" si="96"/>
        <v>0.44</v>
      </c>
      <c r="L130" s="29">
        <f t="shared" ref="L130" si="97">K130+0.08</f>
        <v>0.52</v>
      </c>
    </row>
    <row r="131" spans="1:12" x14ac:dyDescent="0.25">
      <c r="A131" s="45" t="s">
        <v>45</v>
      </c>
      <c r="B131" s="2">
        <v>0.66</v>
      </c>
      <c r="C131" s="18">
        <v>0.66</v>
      </c>
      <c r="D131" s="19" t="s">
        <v>45</v>
      </c>
      <c r="E131" s="26">
        <f t="shared" ref="E131" si="98">F131-0.11</f>
        <v>0.44000000000000006</v>
      </c>
      <c r="F131" s="50">
        <f t="shared" ref="F131" si="99">C131-0.11</f>
        <v>0.55000000000000004</v>
      </c>
      <c r="G131">
        <f t="shared" ref="G131" si="100">C131+0.11</f>
        <v>0.77</v>
      </c>
      <c r="H131" s="27">
        <v>1</v>
      </c>
      <c r="I131" s="28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29">
        <v>0.92</v>
      </c>
    </row>
    <row r="132" spans="1:12" ht="15.75" thickBot="1" x14ac:dyDescent="0.3">
      <c r="A132" s="45" t="s">
        <v>44</v>
      </c>
      <c r="B132" s="2">
        <v>1</v>
      </c>
      <c r="C132" s="18">
        <v>1</v>
      </c>
      <c r="D132" s="19" t="s">
        <v>44</v>
      </c>
      <c r="E132" s="30">
        <v>0.77</v>
      </c>
      <c r="F132" s="31">
        <v>1</v>
      </c>
      <c r="G132" s="32">
        <v>1</v>
      </c>
      <c r="H132" s="33">
        <v>1</v>
      </c>
      <c r="I132" s="34">
        <v>0.83</v>
      </c>
      <c r="J132" s="32">
        <f t="shared" si="96"/>
        <v>1</v>
      </c>
      <c r="K132" s="32">
        <f t="shared" si="96"/>
        <v>1</v>
      </c>
      <c r="L132" s="35">
        <v>1</v>
      </c>
    </row>
    <row r="133" spans="1:12" x14ac:dyDescent="0.25">
      <c r="A133" s="38"/>
    </row>
    <row r="134" spans="1:12" x14ac:dyDescent="0.25">
      <c r="A134" s="1" t="s">
        <v>130</v>
      </c>
    </row>
    <row r="135" spans="1:12" ht="15.75" thickBot="1" x14ac:dyDescent="0.3">
      <c r="A135" s="46" t="s">
        <v>43</v>
      </c>
      <c r="B135" s="47" t="s">
        <v>56</v>
      </c>
      <c r="E135" s="51" t="s">
        <v>3</v>
      </c>
      <c r="I135" t="s">
        <v>4</v>
      </c>
    </row>
    <row r="136" spans="1:12" x14ac:dyDescent="0.25">
      <c r="A136" s="45" t="s">
        <v>47</v>
      </c>
      <c r="B136" s="2">
        <v>1</v>
      </c>
      <c r="C136" s="18">
        <v>1</v>
      </c>
      <c r="D136" s="19" t="s">
        <v>47</v>
      </c>
      <c r="E136" s="20">
        <v>0</v>
      </c>
      <c r="F136" s="21">
        <v>0.5</v>
      </c>
      <c r="G136" s="22">
        <v>1.5</v>
      </c>
      <c r="H136" s="23">
        <v>2</v>
      </c>
      <c r="I136" s="24">
        <v>0</v>
      </c>
      <c r="J136" s="22">
        <f>F136</f>
        <v>0.5</v>
      </c>
      <c r="K136" s="22">
        <f>G136</f>
        <v>1.5</v>
      </c>
      <c r="L136" s="25">
        <v>1.8</v>
      </c>
    </row>
    <row r="137" spans="1:12" x14ac:dyDescent="0.25">
      <c r="A137" s="45" t="s">
        <v>46</v>
      </c>
      <c r="B137" s="2">
        <v>2.5</v>
      </c>
      <c r="C137" s="18">
        <v>2.5</v>
      </c>
      <c r="D137" s="19" t="s">
        <v>46</v>
      </c>
      <c r="E137" s="26">
        <v>1.5</v>
      </c>
      <c r="F137" s="50">
        <f>C137-0.5</f>
        <v>2</v>
      </c>
      <c r="G137">
        <f>C137+0.5</f>
        <v>3</v>
      </c>
      <c r="H137" s="27">
        <f t="shared" ref="H137:H139" si="102">G137+1.5</f>
        <v>4.5</v>
      </c>
      <c r="I137" s="28">
        <v>1.7</v>
      </c>
      <c r="J137">
        <f t="shared" ref="J137:K139" si="103">F137</f>
        <v>2</v>
      </c>
      <c r="K137">
        <f t="shared" si="103"/>
        <v>3</v>
      </c>
      <c r="L137" s="29">
        <f t="shared" ref="L137:L139" si="104">K137+1</f>
        <v>4</v>
      </c>
    </row>
    <row r="138" spans="1:12" x14ac:dyDescent="0.25">
      <c r="A138" s="45" t="s">
        <v>45</v>
      </c>
      <c r="B138" s="2">
        <v>5</v>
      </c>
      <c r="C138" s="18">
        <v>5</v>
      </c>
      <c r="D138" s="19" t="s">
        <v>45</v>
      </c>
      <c r="E138" s="26">
        <f t="shared" ref="E138:E139" si="105">F138-1.5</f>
        <v>3</v>
      </c>
      <c r="F138" s="50">
        <f>C138-0.5</f>
        <v>4.5</v>
      </c>
      <c r="G138">
        <f>C138+0.5</f>
        <v>5.5</v>
      </c>
      <c r="H138" s="27">
        <f t="shared" si="102"/>
        <v>7</v>
      </c>
      <c r="I138" s="28">
        <f t="shared" ref="I138:I139" si="106">J138-1</f>
        <v>3.5</v>
      </c>
      <c r="J138">
        <f t="shared" si="103"/>
        <v>4.5</v>
      </c>
      <c r="K138">
        <f t="shared" si="103"/>
        <v>5.5</v>
      </c>
      <c r="L138" s="29">
        <f t="shared" si="104"/>
        <v>6.5</v>
      </c>
    </row>
    <row r="139" spans="1:12" ht="15.75" thickBot="1" x14ac:dyDescent="0.3">
      <c r="A139" s="45" t="s">
        <v>44</v>
      </c>
      <c r="B139" s="2">
        <v>7.5</v>
      </c>
      <c r="C139" s="18">
        <v>7.5</v>
      </c>
      <c r="D139" s="19" t="s">
        <v>44</v>
      </c>
      <c r="E139" s="30">
        <f t="shared" si="105"/>
        <v>5.5</v>
      </c>
      <c r="F139" s="31">
        <f>C139-0.5</f>
        <v>7</v>
      </c>
      <c r="G139" s="32">
        <f>C139+0.5</f>
        <v>8</v>
      </c>
      <c r="H139" s="33">
        <f t="shared" si="102"/>
        <v>9.5</v>
      </c>
      <c r="I139" s="34">
        <f t="shared" si="106"/>
        <v>6</v>
      </c>
      <c r="J139" s="32">
        <f t="shared" si="103"/>
        <v>7</v>
      </c>
      <c r="K139" s="32">
        <f t="shared" si="103"/>
        <v>8</v>
      </c>
      <c r="L139" s="35">
        <f t="shared" si="104"/>
        <v>9</v>
      </c>
    </row>
    <row r="141" spans="1:12" ht="15.75" thickBot="1" x14ac:dyDescent="0.3">
      <c r="A141" s="1" t="s">
        <v>131</v>
      </c>
    </row>
    <row r="142" spans="1:12" ht="67.5" customHeight="1" thickBot="1" x14ac:dyDescent="0.3">
      <c r="A142" s="53" t="s">
        <v>53</v>
      </c>
      <c r="B142" s="52" t="s">
        <v>39</v>
      </c>
      <c r="C142" s="54" t="s">
        <v>48</v>
      </c>
      <c r="D142" s="55" t="s">
        <v>132</v>
      </c>
      <c r="E142" s="217" t="s">
        <v>57</v>
      </c>
      <c r="F142" s="218"/>
      <c r="G142" s="218"/>
      <c r="H142" s="218"/>
      <c r="I142" s="218"/>
      <c r="J142" s="218"/>
      <c r="K142" s="218"/>
      <c r="L142" s="219"/>
    </row>
    <row r="143" spans="1:12" x14ac:dyDescent="0.25">
      <c r="A143" s="64" t="s">
        <v>50</v>
      </c>
      <c r="B143" s="56" t="s">
        <v>40</v>
      </c>
      <c r="C143" s="57" t="s">
        <v>46</v>
      </c>
      <c r="D143" s="86">
        <v>2.5</v>
      </c>
      <c r="E143" s="26">
        <v>1.5</v>
      </c>
      <c r="F143" s="50">
        <v>2</v>
      </c>
      <c r="G143">
        <v>3</v>
      </c>
      <c r="H143" s="27">
        <v>4.5</v>
      </c>
      <c r="I143" s="28">
        <v>1.7</v>
      </c>
      <c r="J143">
        <v>2</v>
      </c>
      <c r="K143">
        <v>3</v>
      </c>
      <c r="L143" s="29">
        <v>4</v>
      </c>
    </row>
    <row r="144" spans="1:12" x14ac:dyDescent="0.25">
      <c r="A144" s="65" t="s">
        <v>51</v>
      </c>
      <c r="B144" s="43" t="s">
        <v>41</v>
      </c>
      <c r="C144" s="2" t="s">
        <v>45</v>
      </c>
      <c r="D144" s="86">
        <v>5</v>
      </c>
      <c r="E144" s="26">
        <v>3</v>
      </c>
      <c r="F144" s="50">
        <v>4.5</v>
      </c>
      <c r="G144">
        <v>5.5</v>
      </c>
      <c r="H144" s="27">
        <v>7</v>
      </c>
      <c r="I144" s="28">
        <v>3.5</v>
      </c>
      <c r="J144">
        <v>4.5</v>
      </c>
      <c r="K144">
        <v>5.5</v>
      </c>
      <c r="L144" s="29">
        <v>6.5</v>
      </c>
    </row>
    <row r="145" spans="1:12" ht="15.75" thickBot="1" x14ac:dyDescent="0.3">
      <c r="A145" s="66" t="s">
        <v>52</v>
      </c>
      <c r="B145" s="58" t="s">
        <v>42</v>
      </c>
      <c r="C145" s="59" t="s">
        <v>44</v>
      </c>
      <c r="D145" s="86">
        <v>7.5</v>
      </c>
      <c r="E145" s="30">
        <v>5.5</v>
      </c>
      <c r="F145" s="31">
        <v>7</v>
      </c>
      <c r="G145" s="32">
        <v>8</v>
      </c>
      <c r="H145" s="33">
        <v>9.5</v>
      </c>
      <c r="I145" s="34">
        <v>6</v>
      </c>
      <c r="J145" s="32">
        <v>7</v>
      </c>
      <c r="K145" s="32">
        <v>8</v>
      </c>
      <c r="L145" s="35">
        <v>9</v>
      </c>
    </row>
    <row r="147" spans="1:12" ht="15.75" thickBot="1" x14ac:dyDescent="0.3">
      <c r="A147" s="1" t="s">
        <v>133</v>
      </c>
    </row>
    <row r="148" spans="1:12" ht="30.75" thickBot="1" x14ac:dyDescent="0.3">
      <c r="A148" s="105" t="s">
        <v>63</v>
      </c>
      <c r="B148" s="106" t="s">
        <v>64</v>
      </c>
      <c r="E148" s="217" t="s">
        <v>65</v>
      </c>
      <c r="F148" s="218"/>
      <c r="G148" s="218"/>
      <c r="H148" s="218"/>
      <c r="I148" s="218"/>
      <c r="J148" s="218"/>
      <c r="K148" s="218"/>
      <c r="L148" s="219"/>
    </row>
    <row r="149" spans="1:12" x14ac:dyDescent="0.25">
      <c r="A149" s="64" t="s">
        <v>60</v>
      </c>
      <c r="B149" s="69" t="s">
        <v>47</v>
      </c>
      <c r="D149" s="72" t="s">
        <v>69</v>
      </c>
      <c r="E149" s="241">
        <f>E129*F$143+E$143*F129-F129*F$143</f>
        <v>0</v>
      </c>
      <c r="F149" s="242">
        <f>F129*F$143</f>
        <v>0</v>
      </c>
      <c r="G149" s="242">
        <f>G129*G$143</f>
        <v>0</v>
      </c>
      <c r="H149" s="243">
        <f>G129*H$143+G$143*H129-G129*G$143</f>
        <v>0.66</v>
      </c>
      <c r="I149" s="241">
        <f>I129*J$143+I$143*J129-J129*J$143</f>
        <v>0</v>
      </c>
      <c r="J149" s="242">
        <f>J129*J$143</f>
        <v>0</v>
      </c>
      <c r="K149" s="242">
        <f>K129*K$143</f>
        <v>0</v>
      </c>
      <c r="L149" s="243">
        <f>K129*L$143+K$143*L129-K129*K$143</f>
        <v>0.44999999999999996</v>
      </c>
    </row>
    <row r="150" spans="1:12" x14ac:dyDescent="0.25">
      <c r="A150" s="65" t="s">
        <v>60</v>
      </c>
      <c r="B150" s="70" t="s">
        <v>46</v>
      </c>
      <c r="D150" s="73" t="s">
        <v>68</v>
      </c>
      <c r="E150" s="244">
        <f>IF(E130*F$143+E$143*F130-F130*F$143&lt;0,0,E130*F$143+E$143*F130-F130*F$143)</f>
        <v>0</v>
      </c>
      <c r="F150" s="245">
        <f t="shared" ref="F150:G152" si="107">F130*F$143</f>
        <v>0.44000000000000006</v>
      </c>
      <c r="G150" s="245">
        <f t="shared" si="107"/>
        <v>1.32</v>
      </c>
      <c r="H150" s="246">
        <f t="shared" ref="H150:H152" si="108">G130*H$143+G$143*H130-G130*G$143</f>
        <v>2.3099999999999996</v>
      </c>
      <c r="I150" s="244">
        <f t="shared" ref="I150:I152" si="109">I130*J$143+I$143*J130-J130*J$143</f>
        <v>5.3999999999999992E-2</v>
      </c>
      <c r="J150" s="245">
        <f t="shared" ref="J150:K152" si="110">J130*J$143</f>
        <v>0.44000000000000006</v>
      </c>
      <c r="K150" s="245">
        <f t="shared" si="110"/>
        <v>1.32</v>
      </c>
      <c r="L150" s="246">
        <f t="shared" ref="L150:L152" si="111">K130*L$143+K$143*L130-K130*K$143</f>
        <v>2</v>
      </c>
    </row>
    <row r="151" spans="1:12" x14ac:dyDescent="0.25">
      <c r="A151" s="65" t="s">
        <v>60</v>
      </c>
      <c r="B151" s="70" t="s">
        <v>45</v>
      </c>
      <c r="D151" s="73" t="s">
        <v>67</v>
      </c>
      <c r="E151" s="244">
        <f t="shared" ref="E151:E152" si="112">E131*F$143+E$143*F131-F131*F$143</f>
        <v>0.60499999999999998</v>
      </c>
      <c r="F151" s="245">
        <f t="shared" si="107"/>
        <v>1.1000000000000001</v>
      </c>
      <c r="G151" s="245">
        <f t="shared" si="107"/>
        <v>2.31</v>
      </c>
      <c r="H151" s="246">
        <f t="shared" si="108"/>
        <v>4.1549999999999994</v>
      </c>
      <c r="I151" s="244">
        <f t="shared" si="109"/>
        <v>0.77499999999999991</v>
      </c>
      <c r="J151" s="245">
        <f t="shared" si="110"/>
        <v>1.1000000000000001</v>
      </c>
      <c r="K151" s="245">
        <f t="shared" si="110"/>
        <v>2.31</v>
      </c>
      <c r="L151" s="246">
        <f t="shared" si="111"/>
        <v>3.53</v>
      </c>
    </row>
    <row r="152" spans="1:12" ht="15.75" thickBot="1" x14ac:dyDescent="0.3">
      <c r="A152" s="66" t="s">
        <v>60</v>
      </c>
      <c r="B152" s="71" t="s">
        <v>44</v>
      </c>
      <c r="D152" s="74" t="s">
        <v>66</v>
      </c>
      <c r="E152" s="247">
        <f t="shared" si="112"/>
        <v>1.04</v>
      </c>
      <c r="F152" s="248">
        <f t="shared" si="107"/>
        <v>2</v>
      </c>
      <c r="G152" s="248">
        <f t="shared" si="107"/>
        <v>3</v>
      </c>
      <c r="H152" s="249">
        <f t="shared" si="108"/>
        <v>4.5</v>
      </c>
      <c r="I152" s="247">
        <f t="shared" si="109"/>
        <v>1.3599999999999999</v>
      </c>
      <c r="J152" s="248">
        <f t="shared" si="110"/>
        <v>2</v>
      </c>
      <c r="K152" s="248">
        <f t="shared" si="110"/>
        <v>3</v>
      </c>
      <c r="L152" s="249">
        <f t="shared" si="111"/>
        <v>4</v>
      </c>
    </row>
    <row r="153" spans="1:12" x14ac:dyDescent="0.25">
      <c r="A153" s="64" t="s">
        <v>61</v>
      </c>
      <c r="B153" s="69" t="s">
        <v>47</v>
      </c>
      <c r="D153" s="72" t="s">
        <v>70</v>
      </c>
      <c r="E153" s="241">
        <f>E129*F$144+E$144*F129-F129*F$144</f>
        <v>0</v>
      </c>
      <c r="F153" s="242">
        <f>F129*F$144</f>
        <v>0</v>
      </c>
      <c r="G153" s="242">
        <f>G129*G$144</f>
        <v>0</v>
      </c>
      <c r="H153" s="243">
        <f>G129*H$144+G$144*H129-G129*G$144</f>
        <v>1.21</v>
      </c>
      <c r="I153" s="241">
        <f>I129*J$144+I$144*J129-J129*J$144</f>
        <v>0</v>
      </c>
      <c r="J153" s="242">
        <f>J129*J$144</f>
        <v>0</v>
      </c>
      <c r="K153" s="242">
        <f>K129*K$144</f>
        <v>0</v>
      </c>
      <c r="L153" s="243">
        <f>K129*L$144+K$144*L129-K129*K$144</f>
        <v>0.82499999999999996</v>
      </c>
    </row>
    <row r="154" spans="1:12" x14ac:dyDescent="0.25">
      <c r="A154" s="65" t="s">
        <v>61</v>
      </c>
      <c r="B154" s="70" t="s">
        <v>46</v>
      </c>
      <c r="D154" s="73" t="s">
        <v>75</v>
      </c>
      <c r="E154" s="244">
        <f>IF(E130*F$144+E$144*F130-F130*F$144&lt;0,0,E130*F$144+E$144*F130-F130*F$144)</f>
        <v>0</v>
      </c>
      <c r="F154" s="245">
        <f t="shared" ref="F154:G156" si="113">F130*F$144</f>
        <v>0.9900000000000001</v>
      </c>
      <c r="G154" s="245">
        <f t="shared" si="113"/>
        <v>2.42</v>
      </c>
      <c r="H154" s="246">
        <f t="shared" ref="H154:H156" si="114">G130*H$144+G$144*H130-G130*G$144</f>
        <v>3.6850000000000005</v>
      </c>
      <c r="I154" s="244">
        <f t="shared" ref="I154:I156" si="115">I130*J$144+I$144*J130-J130*J$144</f>
        <v>4.9999999999999933E-2</v>
      </c>
      <c r="J154" s="245">
        <f t="shared" ref="J154:K156" si="116">J130*J$144</f>
        <v>0.9900000000000001</v>
      </c>
      <c r="K154" s="245">
        <f t="shared" si="116"/>
        <v>2.42</v>
      </c>
      <c r="L154" s="246">
        <f t="shared" ref="L154:L156" si="117">K130*L$144+K$144*L130-K130*K$144</f>
        <v>3.3000000000000007</v>
      </c>
    </row>
    <row r="155" spans="1:12" x14ac:dyDescent="0.25">
      <c r="A155" s="65" t="s">
        <v>61</v>
      </c>
      <c r="B155" s="70" t="s">
        <v>45</v>
      </c>
      <c r="D155" s="73" t="s">
        <v>76</v>
      </c>
      <c r="E155" s="244">
        <f t="shared" ref="E155:E156" si="118">E131*F$144+E$144*F131-F131*F$144</f>
        <v>1.1550000000000002</v>
      </c>
      <c r="F155" s="245">
        <f t="shared" si="113"/>
        <v>2.4750000000000001</v>
      </c>
      <c r="G155" s="245">
        <f t="shared" si="113"/>
        <v>4.2350000000000003</v>
      </c>
      <c r="H155" s="246">
        <f t="shared" si="114"/>
        <v>6.6550000000000002</v>
      </c>
      <c r="I155" s="244">
        <f t="shared" si="115"/>
        <v>1.5650000000000008</v>
      </c>
      <c r="J155" s="245">
        <f t="shared" si="116"/>
        <v>2.4750000000000001</v>
      </c>
      <c r="K155" s="245">
        <f t="shared" si="116"/>
        <v>4.2350000000000003</v>
      </c>
      <c r="L155" s="246">
        <f t="shared" si="117"/>
        <v>5.830000000000001</v>
      </c>
    </row>
    <row r="156" spans="1:12" ht="15.75" thickBot="1" x14ac:dyDescent="0.3">
      <c r="A156" s="66" t="s">
        <v>61</v>
      </c>
      <c r="B156" s="71" t="s">
        <v>44</v>
      </c>
      <c r="D156" s="74" t="s">
        <v>77</v>
      </c>
      <c r="E156" s="247">
        <f t="shared" si="118"/>
        <v>1.9649999999999999</v>
      </c>
      <c r="F156" s="248">
        <f t="shared" si="113"/>
        <v>4.5</v>
      </c>
      <c r="G156" s="248">
        <f t="shared" si="113"/>
        <v>5.5</v>
      </c>
      <c r="H156" s="249">
        <f t="shared" si="114"/>
        <v>7</v>
      </c>
      <c r="I156" s="247">
        <f t="shared" si="115"/>
        <v>2.7349999999999994</v>
      </c>
      <c r="J156" s="248">
        <f t="shared" si="116"/>
        <v>4.5</v>
      </c>
      <c r="K156" s="248">
        <f t="shared" si="116"/>
        <v>5.5</v>
      </c>
      <c r="L156" s="249">
        <f t="shared" si="117"/>
        <v>6.5</v>
      </c>
    </row>
    <row r="157" spans="1:12" x14ac:dyDescent="0.25">
      <c r="A157" s="64" t="s">
        <v>62</v>
      </c>
      <c r="B157" s="69" t="s">
        <v>47</v>
      </c>
      <c r="D157" s="72" t="s">
        <v>72</v>
      </c>
      <c r="E157" s="241">
        <f>E129*F$145+E$145*F129-F129*F$145</f>
        <v>0</v>
      </c>
      <c r="F157" s="242">
        <f>F129*F$145</f>
        <v>0</v>
      </c>
      <c r="G157" s="242">
        <f>G129*G$145</f>
        <v>0</v>
      </c>
      <c r="H157" s="243">
        <f>G129*H$145+G$145*H129-G129*G$145</f>
        <v>1.76</v>
      </c>
      <c r="I157" s="241">
        <f>I129*J$145+I$145*J129-J129*J$145</f>
        <v>0</v>
      </c>
      <c r="J157" s="242">
        <f>J129*J$145</f>
        <v>0</v>
      </c>
      <c r="K157" s="242">
        <f>K129*K$145</f>
        <v>0</v>
      </c>
      <c r="L157" s="243">
        <f>K129*L$145+K$145*L129-K129*K$145</f>
        <v>1.2</v>
      </c>
    </row>
    <row r="158" spans="1:12" x14ac:dyDescent="0.25">
      <c r="A158" s="65" t="s">
        <v>62</v>
      </c>
      <c r="B158" s="70" t="s">
        <v>46</v>
      </c>
      <c r="D158" s="73" t="s">
        <v>71</v>
      </c>
      <c r="E158" s="244">
        <f>IF(E130*F$145+E$145*F130-F130*F$145&lt;0,0,E130*F$145+E$145*F130-F130*F$145)</f>
        <v>0</v>
      </c>
      <c r="F158" s="245">
        <f t="shared" ref="F158:G160" si="119">F130*F$145</f>
        <v>1.5400000000000003</v>
      </c>
      <c r="G158" s="245">
        <f t="shared" si="119"/>
        <v>3.52</v>
      </c>
      <c r="H158" s="246">
        <f t="shared" ref="H158:H160" si="120">G130*H$145+G$145*H130-G130*G$145</f>
        <v>5.0600000000000005</v>
      </c>
      <c r="I158" s="244">
        <f t="shared" ref="I158:I160" si="121">I130*J$145+I$145*J130-J130*J$145</f>
        <v>0.19999999999999996</v>
      </c>
      <c r="J158" s="245">
        <f t="shared" ref="J158:K160" si="122">J130*J$145</f>
        <v>1.5400000000000003</v>
      </c>
      <c r="K158" s="245">
        <f t="shared" si="122"/>
        <v>3.52</v>
      </c>
      <c r="L158" s="246">
        <f t="shared" ref="L158:L160" si="123">K130*L$145+K$145*L130-K130*K$145</f>
        <v>4.6000000000000014</v>
      </c>
    </row>
    <row r="159" spans="1:12" x14ac:dyDescent="0.25">
      <c r="A159" s="65" t="s">
        <v>62</v>
      </c>
      <c r="B159" s="70" t="s">
        <v>45</v>
      </c>
      <c r="D159" s="73" t="s">
        <v>73</v>
      </c>
      <c r="E159" s="244">
        <f t="shared" ref="E159:E160" si="124">E131*F$145+E$145*F131-F131*F$145</f>
        <v>2.2549999999999999</v>
      </c>
      <c r="F159" s="245">
        <f t="shared" si="119"/>
        <v>3.8500000000000005</v>
      </c>
      <c r="G159" s="245">
        <f t="shared" si="119"/>
        <v>6.16</v>
      </c>
      <c r="H159" s="246">
        <f t="shared" si="120"/>
        <v>9.1550000000000011</v>
      </c>
      <c r="I159" s="244">
        <f t="shared" si="121"/>
        <v>2.7399999999999993</v>
      </c>
      <c r="J159" s="245">
        <f t="shared" si="122"/>
        <v>3.8500000000000005</v>
      </c>
      <c r="K159" s="245">
        <f t="shared" si="122"/>
        <v>6.16</v>
      </c>
      <c r="L159" s="246">
        <f t="shared" si="123"/>
        <v>8.129999999999999</v>
      </c>
    </row>
    <row r="160" spans="1:12" ht="15.75" thickBot="1" x14ac:dyDescent="0.3">
      <c r="A160" s="66" t="s">
        <v>62</v>
      </c>
      <c r="B160" s="71" t="s">
        <v>44</v>
      </c>
      <c r="D160" s="74" t="s">
        <v>74</v>
      </c>
      <c r="E160" s="247">
        <f t="shared" si="124"/>
        <v>3.8900000000000006</v>
      </c>
      <c r="F160" s="248">
        <f t="shared" si="119"/>
        <v>7</v>
      </c>
      <c r="G160" s="248">
        <f t="shared" si="119"/>
        <v>8</v>
      </c>
      <c r="H160" s="249">
        <f t="shared" si="120"/>
        <v>9.5</v>
      </c>
      <c r="I160" s="247">
        <f t="shared" si="121"/>
        <v>4.8099999999999987</v>
      </c>
      <c r="J160" s="248">
        <f t="shared" si="122"/>
        <v>7</v>
      </c>
      <c r="K160" s="248">
        <f t="shared" si="122"/>
        <v>8</v>
      </c>
      <c r="L160" s="249">
        <f t="shared" si="123"/>
        <v>9</v>
      </c>
    </row>
    <row r="162" spans="1:9" x14ac:dyDescent="0.25">
      <c r="A162" s="1" t="s">
        <v>222</v>
      </c>
    </row>
    <row r="163" spans="1:9" ht="15.75" thickBot="1" x14ac:dyDescent="0.3">
      <c r="A163" s="1" t="s">
        <v>137</v>
      </c>
    </row>
    <row r="164" spans="1:9" ht="15" customHeight="1" thickBot="1" x14ac:dyDescent="0.3">
      <c r="A164" s="112" t="s">
        <v>106</v>
      </c>
      <c r="B164" s="53" t="s">
        <v>151</v>
      </c>
      <c r="C164" s="121" t="s">
        <v>152</v>
      </c>
    </row>
    <row r="165" spans="1:9" x14ac:dyDescent="0.25">
      <c r="A165" s="114" t="s">
        <v>107</v>
      </c>
      <c r="B165" s="11">
        <v>0.75</v>
      </c>
      <c r="C165" s="122">
        <f>B165/B$168</f>
        <v>0.3</v>
      </c>
    </row>
    <row r="166" spans="1:9" x14ac:dyDescent="0.25">
      <c r="A166" s="12" t="s">
        <v>108</v>
      </c>
      <c r="B166" s="12">
        <v>0.75</v>
      </c>
      <c r="C166" s="97">
        <f t="shared" ref="C166:C167" si="125">B166/B$168</f>
        <v>0.3</v>
      </c>
    </row>
    <row r="167" spans="1:9" ht="15.75" thickBot="1" x14ac:dyDescent="0.3">
      <c r="A167" s="118" t="s">
        <v>136</v>
      </c>
      <c r="B167" s="118">
        <v>1</v>
      </c>
      <c r="C167" s="98">
        <f t="shared" si="125"/>
        <v>0.4</v>
      </c>
    </row>
    <row r="168" spans="1:9" ht="15.75" thickBot="1" x14ac:dyDescent="0.3">
      <c r="A168" s="14" t="s">
        <v>150</v>
      </c>
      <c r="B168" s="119">
        <f>SUM(B165:B167)</f>
        <v>2.5</v>
      </c>
      <c r="C168" s="120">
        <f>SUM(C165:C167)</f>
        <v>1</v>
      </c>
    </row>
    <row r="170" spans="1:9" ht="15.75" thickBot="1" x14ac:dyDescent="0.3">
      <c r="A170" s="1" t="s">
        <v>175</v>
      </c>
    </row>
    <row r="171" spans="1:9" ht="15.75" thickBot="1" x14ac:dyDescent="0.3">
      <c r="A171" s="116" t="s">
        <v>179</v>
      </c>
      <c r="B171" s="117" t="s">
        <v>176</v>
      </c>
    </row>
    <row r="172" spans="1:9" x14ac:dyDescent="0.25">
      <c r="A172" s="131" t="s">
        <v>177</v>
      </c>
      <c r="B172" s="108">
        <v>0.8</v>
      </c>
    </row>
    <row r="173" spans="1:9" ht="15.75" thickBot="1" x14ac:dyDescent="0.3">
      <c r="A173" s="132" t="s">
        <v>210</v>
      </c>
      <c r="B173" s="63">
        <v>0.4</v>
      </c>
    </row>
    <row r="175" spans="1:9" x14ac:dyDescent="0.25">
      <c r="A175" s="234" t="s">
        <v>216</v>
      </c>
      <c r="B175" s="235"/>
      <c r="C175" s="235"/>
      <c r="D175" s="235"/>
      <c r="E175" s="235"/>
      <c r="F175" s="235"/>
      <c r="G175" s="235"/>
      <c r="H175" s="235"/>
      <c r="I175" s="235"/>
    </row>
    <row r="176" spans="1:9" x14ac:dyDescent="0.25">
      <c r="A176" s="230" t="s">
        <v>158</v>
      </c>
      <c r="B176" s="228"/>
      <c r="C176" s="228"/>
      <c r="D176" s="228"/>
      <c r="F176" s="123" t="s">
        <v>159</v>
      </c>
    </row>
    <row r="178" spans="1:9" x14ac:dyDescent="0.25">
      <c r="A178" s="123" t="s">
        <v>25</v>
      </c>
      <c r="B178">
        <v>1</v>
      </c>
      <c r="C178">
        <v>0.7</v>
      </c>
      <c r="D178">
        <v>0.51</v>
      </c>
      <c r="F178" s="123" t="s">
        <v>25</v>
      </c>
      <c r="G178">
        <v>1</v>
      </c>
      <c r="H178">
        <v>0.64</v>
      </c>
      <c r="I178">
        <v>0.43</v>
      </c>
    </row>
    <row r="179" spans="1:9" x14ac:dyDescent="0.25">
      <c r="B179">
        <v>0.7</v>
      </c>
      <c r="C179">
        <v>1</v>
      </c>
      <c r="D179">
        <v>0.75</v>
      </c>
      <c r="G179">
        <v>0.64</v>
      </c>
      <c r="H179">
        <v>1</v>
      </c>
      <c r="I179">
        <v>0.73</v>
      </c>
    </row>
    <row r="180" spans="1:9" x14ac:dyDescent="0.25">
      <c r="B180">
        <v>0.51</v>
      </c>
      <c r="C180">
        <v>0.75</v>
      </c>
      <c r="D180">
        <v>1</v>
      </c>
      <c r="G180">
        <v>0.43</v>
      </c>
      <c r="H180">
        <v>0.73</v>
      </c>
      <c r="I180">
        <v>1</v>
      </c>
    </row>
    <row r="182" spans="1:9" x14ac:dyDescent="0.25">
      <c r="A182" s="123" t="s">
        <v>14</v>
      </c>
      <c r="B182">
        <v>1</v>
      </c>
      <c r="C182">
        <v>0.68</v>
      </c>
      <c r="D182">
        <v>0.8</v>
      </c>
      <c r="F182" s="123" t="s">
        <v>14</v>
      </c>
      <c r="G182">
        <v>1</v>
      </c>
      <c r="H182">
        <v>0.65</v>
      </c>
      <c r="I182">
        <v>0.77</v>
      </c>
    </row>
    <row r="183" spans="1:9" x14ac:dyDescent="0.25">
      <c r="B183">
        <v>0.68</v>
      </c>
      <c r="C183">
        <v>1</v>
      </c>
      <c r="D183">
        <v>0.54</v>
      </c>
      <c r="G183">
        <v>0.65</v>
      </c>
      <c r="H183">
        <v>1</v>
      </c>
      <c r="I183">
        <v>0.51</v>
      </c>
    </row>
    <row r="184" spans="1:9" x14ac:dyDescent="0.25">
      <c r="B184">
        <v>0.8</v>
      </c>
      <c r="C184">
        <v>0.54</v>
      </c>
      <c r="D184">
        <v>1</v>
      </c>
      <c r="G184">
        <v>0.77</v>
      </c>
      <c r="H184">
        <v>0.51</v>
      </c>
      <c r="I184">
        <v>1</v>
      </c>
    </row>
    <row r="186" spans="1:9" x14ac:dyDescent="0.25">
      <c r="A186" s="123" t="s">
        <v>15</v>
      </c>
      <c r="B186">
        <v>1</v>
      </c>
      <c r="C186">
        <v>0.27</v>
      </c>
      <c r="D186">
        <v>0.74</v>
      </c>
      <c r="F186" s="123" t="s">
        <v>15</v>
      </c>
      <c r="G186">
        <v>1</v>
      </c>
      <c r="H186">
        <v>0.18</v>
      </c>
      <c r="I186">
        <v>0.68</v>
      </c>
    </row>
    <row r="187" spans="1:9" x14ac:dyDescent="0.25">
      <c r="B187">
        <v>0.27</v>
      </c>
      <c r="C187">
        <v>1</v>
      </c>
      <c r="D187">
        <v>0.37</v>
      </c>
      <c r="G187">
        <v>0.18</v>
      </c>
      <c r="H187">
        <v>1</v>
      </c>
      <c r="I187">
        <v>0.3</v>
      </c>
    </row>
    <row r="188" spans="1:9" x14ac:dyDescent="0.25">
      <c r="B188">
        <v>0.74</v>
      </c>
      <c r="C188">
        <v>0.37</v>
      </c>
      <c r="D188">
        <v>1</v>
      </c>
      <c r="G188">
        <v>0.68</v>
      </c>
      <c r="H188">
        <v>0.3</v>
      </c>
      <c r="I188">
        <v>1</v>
      </c>
    </row>
    <row r="190" spans="1:9" x14ac:dyDescent="0.25">
      <c r="A190" s="123" t="s">
        <v>16</v>
      </c>
      <c r="B190">
        <v>1</v>
      </c>
      <c r="C190">
        <v>0.68</v>
      </c>
      <c r="D190">
        <v>0.31</v>
      </c>
      <c r="F190" s="123" t="s">
        <v>16</v>
      </c>
      <c r="G190">
        <v>1</v>
      </c>
      <c r="H190">
        <v>0.64</v>
      </c>
      <c r="I190">
        <v>0.24</v>
      </c>
    </row>
    <row r="191" spans="1:9" x14ac:dyDescent="0.25">
      <c r="B191">
        <v>0.68</v>
      </c>
      <c r="C191">
        <v>1</v>
      </c>
      <c r="D191">
        <v>0.2</v>
      </c>
      <c r="G191">
        <v>0.64</v>
      </c>
      <c r="H191">
        <v>1</v>
      </c>
      <c r="I191">
        <v>0.13</v>
      </c>
    </row>
    <row r="192" spans="1:9" x14ac:dyDescent="0.25">
      <c r="B192">
        <v>0.31</v>
      </c>
      <c r="C192">
        <v>0.2</v>
      </c>
      <c r="D192">
        <v>1</v>
      </c>
      <c r="G192">
        <v>0.24</v>
      </c>
      <c r="H192">
        <v>0.13</v>
      </c>
      <c r="I192">
        <v>1</v>
      </c>
    </row>
    <row r="194" spans="1:9" x14ac:dyDescent="0.25">
      <c r="A194" s="123" t="s">
        <v>18</v>
      </c>
      <c r="B194">
        <v>1</v>
      </c>
      <c r="C194">
        <v>0.32</v>
      </c>
      <c r="D194">
        <v>0.59</v>
      </c>
      <c r="F194" s="123" t="s">
        <v>18</v>
      </c>
      <c r="G194">
        <v>1</v>
      </c>
      <c r="H194">
        <v>0.24</v>
      </c>
      <c r="I194">
        <v>0.56000000000000005</v>
      </c>
    </row>
    <row r="195" spans="1:9" x14ac:dyDescent="0.25">
      <c r="B195">
        <v>0.32</v>
      </c>
      <c r="C195">
        <v>1</v>
      </c>
      <c r="D195">
        <v>0.13</v>
      </c>
      <c r="G195">
        <v>0.24</v>
      </c>
      <c r="H195">
        <v>1</v>
      </c>
      <c r="I195">
        <v>7.0000000000000007E-2</v>
      </c>
    </row>
    <row r="196" spans="1:9" x14ac:dyDescent="0.25">
      <c r="B196">
        <v>0.59</v>
      </c>
      <c r="C196">
        <v>0.13</v>
      </c>
      <c r="D196">
        <v>1</v>
      </c>
      <c r="G196">
        <v>0.56000000000000005</v>
      </c>
      <c r="H196">
        <v>7.0000000000000007E-2</v>
      </c>
      <c r="I196">
        <v>1</v>
      </c>
    </row>
    <row r="198" spans="1:9" x14ac:dyDescent="0.25">
      <c r="A198" s="123" t="s">
        <v>19</v>
      </c>
      <c r="B198">
        <v>1</v>
      </c>
      <c r="C198">
        <v>0.4</v>
      </c>
      <c r="D198">
        <v>0.28999999999999998</v>
      </c>
      <c r="F198" s="123" t="s">
        <v>19</v>
      </c>
      <c r="G198">
        <v>1</v>
      </c>
      <c r="H198">
        <v>0.34</v>
      </c>
      <c r="I198">
        <v>0.22</v>
      </c>
    </row>
    <row r="199" spans="1:9" x14ac:dyDescent="0.25">
      <c r="B199">
        <v>0.4</v>
      </c>
      <c r="C199">
        <v>1</v>
      </c>
      <c r="D199">
        <v>0.1</v>
      </c>
      <c r="G199">
        <v>0.34</v>
      </c>
      <c r="H199">
        <v>1</v>
      </c>
      <c r="I199">
        <v>0.05</v>
      </c>
    </row>
    <row r="200" spans="1:9" x14ac:dyDescent="0.25">
      <c r="B200">
        <v>0.28999999999999998</v>
      </c>
      <c r="C200">
        <v>0.1</v>
      </c>
      <c r="D200">
        <v>1</v>
      </c>
      <c r="G200">
        <v>0.22</v>
      </c>
      <c r="H200">
        <v>0.05</v>
      </c>
      <c r="I200">
        <v>1</v>
      </c>
    </row>
    <row r="202" spans="1:9" x14ac:dyDescent="0.25">
      <c r="A202" s="123" t="s">
        <v>20</v>
      </c>
      <c r="B202">
        <v>1</v>
      </c>
      <c r="C202">
        <v>0.4</v>
      </c>
      <c r="D202">
        <v>0.53</v>
      </c>
      <c r="F202" s="123" t="s">
        <v>20</v>
      </c>
      <c r="G202">
        <v>1</v>
      </c>
      <c r="H202">
        <v>0.34</v>
      </c>
      <c r="I202">
        <v>0.46</v>
      </c>
    </row>
    <row r="203" spans="1:9" x14ac:dyDescent="0.25">
      <c r="B203">
        <v>0.4</v>
      </c>
      <c r="C203">
        <v>1</v>
      </c>
      <c r="D203">
        <v>0.2</v>
      </c>
      <c r="G203">
        <v>0.34</v>
      </c>
      <c r="H203">
        <v>1</v>
      </c>
      <c r="I203">
        <v>0.13</v>
      </c>
    </row>
    <row r="204" spans="1:9" x14ac:dyDescent="0.25">
      <c r="B204">
        <v>0.53</v>
      </c>
      <c r="C204">
        <v>0.2</v>
      </c>
      <c r="D204">
        <v>1</v>
      </c>
      <c r="G204">
        <v>0.46</v>
      </c>
      <c r="H204">
        <v>0.13</v>
      </c>
      <c r="I204">
        <v>1</v>
      </c>
    </row>
    <row r="206" spans="1:9" x14ac:dyDescent="0.25">
      <c r="A206" s="123" t="s">
        <v>21</v>
      </c>
      <c r="B206">
        <v>1</v>
      </c>
      <c r="C206">
        <v>0.87</v>
      </c>
      <c r="D206">
        <v>0.62</v>
      </c>
      <c r="F206" s="123" t="s">
        <v>21</v>
      </c>
      <c r="G206">
        <v>1</v>
      </c>
      <c r="H206">
        <v>0.85</v>
      </c>
      <c r="I206">
        <v>0.56999999999999995</v>
      </c>
    </row>
    <row r="207" spans="1:9" x14ac:dyDescent="0.25">
      <c r="B207">
        <v>0.87</v>
      </c>
      <c r="C207">
        <v>1</v>
      </c>
      <c r="D207">
        <v>0.65</v>
      </c>
      <c r="G207">
        <v>0.85</v>
      </c>
      <c r="H207">
        <v>1</v>
      </c>
      <c r="I207">
        <v>0.61</v>
      </c>
    </row>
    <row r="208" spans="1:9" x14ac:dyDescent="0.25">
      <c r="B208">
        <v>0.62</v>
      </c>
      <c r="C208">
        <v>0.65</v>
      </c>
      <c r="D208">
        <v>1</v>
      </c>
      <c r="G208">
        <v>0.56999999999999995</v>
      </c>
      <c r="H208">
        <v>0.61</v>
      </c>
      <c r="I208">
        <v>1</v>
      </c>
    </row>
    <row r="210" spans="1:9" x14ac:dyDescent="0.25">
      <c r="A210" s="123" t="s">
        <v>23</v>
      </c>
      <c r="B210">
        <v>1</v>
      </c>
      <c r="C210">
        <v>0.65</v>
      </c>
      <c r="D210">
        <v>0.59</v>
      </c>
      <c r="F210" s="123" t="s">
        <v>23</v>
      </c>
      <c r="G210">
        <v>1</v>
      </c>
      <c r="H210">
        <v>0.56000000000000005</v>
      </c>
      <c r="I210">
        <v>0.56000000000000005</v>
      </c>
    </row>
    <row r="211" spans="1:9" x14ac:dyDescent="0.25">
      <c r="B211">
        <v>0.63</v>
      </c>
      <c r="C211">
        <v>1</v>
      </c>
      <c r="D211">
        <v>0.33</v>
      </c>
      <c r="G211">
        <v>0.56000000000000005</v>
      </c>
      <c r="H211">
        <v>1</v>
      </c>
      <c r="I211">
        <v>0.26</v>
      </c>
    </row>
    <row r="212" spans="1:9" x14ac:dyDescent="0.25">
      <c r="B212">
        <v>0.59</v>
      </c>
      <c r="C212">
        <v>0.33</v>
      </c>
      <c r="D212">
        <v>1</v>
      </c>
      <c r="G212">
        <v>0.56000000000000005</v>
      </c>
      <c r="H212">
        <v>0.26</v>
      </c>
      <c r="I212">
        <v>1</v>
      </c>
    </row>
    <row r="214" spans="1:9" x14ac:dyDescent="0.25">
      <c r="A214" s="123" t="s">
        <v>24</v>
      </c>
      <c r="B214">
        <v>1</v>
      </c>
      <c r="C214">
        <v>0.28000000000000003</v>
      </c>
      <c r="D214">
        <v>0.53</v>
      </c>
      <c r="F214" s="123" t="s">
        <v>24</v>
      </c>
      <c r="G214">
        <v>1</v>
      </c>
      <c r="H214">
        <v>0.21</v>
      </c>
      <c r="I214">
        <v>0.47</v>
      </c>
    </row>
    <row r="215" spans="1:9" x14ac:dyDescent="0.25">
      <c r="B215">
        <v>0.28000000000000003</v>
      </c>
      <c r="C215">
        <v>1</v>
      </c>
      <c r="D215">
        <v>0.56000000000000005</v>
      </c>
      <c r="G215">
        <v>0.21</v>
      </c>
      <c r="H215">
        <v>1</v>
      </c>
      <c r="I215">
        <v>0.5</v>
      </c>
    </row>
    <row r="216" spans="1:9" x14ac:dyDescent="0.25">
      <c r="B216">
        <v>0.53</v>
      </c>
      <c r="C216">
        <v>0.56000000000000005</v>
      </c>
      <c r="D216">
        <v>1</v>
      </c>
      <c r="G216">
        <v>0.47</v>
      </c>
      <c r="H216">
        <v>0.5</v>
      </c>
      <c r="I216">
        <v>1</v>
      </c>
    </row>
    <row r="218" spans="1:9" x14ac:dyDescent="0.25">
      <c r="A218" s="234" t="s">
        <v>215</v>
      </c>
      <c r="B218" s="235"/>
      <c r="C218" s="235"/>
      <c r="D218" s="235"/>
      <c r="E218" s="235"/>
      <c r="F218" s="235"/>
      <c r="G218" s="235"/>
      <c r="H218" s="235"/>
      <c r="I218" s="235"/>
    </row>
    <row r="219" spans="1:9" x14ac:dyDescent="0.25">
      <c r="A219" s="230" t="s">
        <v>223</v>
      </c>
      <c r="B219" s="228"/>
      <c r="C219" s="228"/>
      <c r="D219" s="228"/>
      <c r="F219" s="123" t="s">
        <v>224</v>
      </c>
    </row>
    <row r="221" spans="1:9" x14ac:dyDescent="0.25">
      <c r="A221" s="123" t="s">
        <v>25</v>
      </c>
      <c r="B221">
        <v>0</v>
      </c>
      <c r="C221">
        <v>0.65</v>
      </c>
      <c r="D221">
        <v>1</v>
      </c>
      <c r="F221" s="123" t="s">
        <v>25</v>
      </c>
      <c r="G221">
        <v>0</v>
      </c>
      <c r="H221">
        <v>0.65</v>
      </c>
      <c r="I221">
        <v>1</v>
      </c>
    </row>
    <row r="222" spans="1:9" x14ac:dyDescent="0.25">
      <c r="B222">
        <v>0.65</v>
      </c>
      <c r="C222">
        <v>0</v>
      </c>
      <c r="D222">
        <v>0.61</v>
      </c>
      <c r="G222">
        <v>0.65</v>
      </c>
      <c r="H222">
        <v>0</v>
      </c>
      <c r="I222">
        <v>0.53</v>
      </c>
    </row>
    <row r="223" spans="1:9" x14ac:dyDescent="0.25">
      <c r="B223">
        <v>1</v>
      </c>
      <c r="C223">
        <v>0.61</v>
      </c>
      <c r="D223">
        <v>0</v>
      </c>
      <c r="G223">
        <v>1</v>
      </c>
      <c r="H223">
        <v>0.53</v>
      </c>
      <c r="I223">
        <v>0</v>
      </c>
    </row>
    <row r="225" spans="1:9" x14ac:dyDescent="0.25">
      <c r="A225" s="123" t="s">
        <v>14</v>
      </c>
      <c r="B225">
        <v>0</v>
      </c>
      <c r="C225">
        <v>0.65</v>
      </c>
      <c r="D225">
        <v>0.35</v>
      </c>
      <c r="F225" s="123" t="s">
        <v>14</v>
      </c>
      <c r="G225">
        <v>0</v>
      </c>
      <c r="H225">
        <v>0.64</v>
      </c>
      <c r="I225">
        <v>0.36</v>
      </c>
    </row>
    <row r="226" spans="1:9" x14ac:dyDescent="0.25">
      <c r="B226">
        <v>0.65</v>
      </c>
      <c r="C226">
        <v>0</v>
      </c>
      <c r="D226">
        <v>1</v>
      </c>
      <c r="G226">
        <v>0.64</v>
      </c>
      <c r="H226">
        <v>0</v>
      </c>
      <c r="I226">
        <v>1</v>
      </c>
    </row>
    <row r="227" spans="1:9" x14ac:dyDescent="0.25">
      <c r="B227">
        <v>0.35</v>
      </c>
      <c r="C227">
        <v>1</v>
      </c>
      <c r="D227">
        <v>0</v>
      </c>
      <c r="G227">
        <v>0.36</v>
      </c>
      <c r="H227">
        <v>1</v>
      </c>
      <c r="I227">
        <v>0</v>
      </c>
    </row>
    <row r="229" spans="1:9" x14ac:dyDescent="0.25">
      <c r="A229" s="123" t="s">
        <v>15</v>
      </c>
      <c r="B229">
        <v>0</v>
      </c>
      <c r="C229">
        <v>1</v>
      </c>
      <c r="D229">
        <v>0.22</v>
      </c>
      <c r="F229" s="123" t="s">
        <v>15</v>
      </c>
      <c r="G229">
        <v>0</v>
      </c>
      <c r="H229">
        <v>1</v>
      </c>
      <c r="I229">
        <v>0.24</v>
      </c>
    </row>
    <row r="230" spans="1:9" x14ac:dyDescent="0.25">
      <c r="B230">
        <v>1</v>
      </c>
      <c r="C230">
        <v>0</v>
      </c>
      <c r="D230">
        <v>0.78</v>
      </c>
      <c r="G230">
        <v>1</v>
      </c>
      <c r="H230">
        <v>0</v>
      </c>
      <c r="I230">
        <v>0.76</v>
      </c>
    </row>
    <row r="231" spans="1:9" x14ac:dyDescent="0.25">
      <c r="B231">
        <v>0.22</v>
      </c>
      <c r="C231">
        <v>0.78</v>
      </c>
      <c r="D231">
        <v>0</v>
      </c>
      <c r="G231">
        <v>0.24</v>
      </c>
      <c r="H231">
        <v>0.76</v>
      </c>
      <c r="I231">
        <v>0</v>
      </c>
    </row>
    <row r="233" spans="1:9" x14ac:dyDescent="0.25">
      <c r="A233" s="123" t="s">
        <v>16</v>
      </c>
      <c r="B233">
        <v>0</v>
      </c>
      <c r="C233">
        <v>0.27</v>
      </c>
      <c r="D233">
        <v>0.74</v>
      </c>
      <c r="F233" s="123" t="s">
        <v>16</v>
      </c>
      <c r="G233">
        <v>0</v>
      </c>
      <c r="H233">
        <v>0.27</v>
      </c>
      <c r="I233">
        <v>0.75</v>
      </c>
    </row>
    <row r="234" spans="1:9" x14ac:dyDescent="0.25">
      <c r="B234">
        <v>0.27</v>
      </c>
      <c r="C234">
        <v>0</v>
      </c>
      <c r="D234">
        <v>1</v>
      </c>
      <c r="G234">
        <v>0.27</v>
      </c>
      <c r="H234">
        <v>0</v>
      </c>
      <c r="I234">
        <v>1</v>
      </c>
    </row>
    <row r="235" spans="1:9" x14ac:dyDescent="0.25">
      <c r="B235">
        <v>0.74</v>
      </c>
      <c r="C235">
        <v>1</v>
      </c>
      <c r="D235">
        <v>0</v>
      </c>
      <c r="G235">
        <v>0.75</v>
      </c>
      <c r="H235">
        <v>1</v>
      </c>
      <c r="I235">
        <v>0</v>
      </c>
    </row>
    <row r="237" spans="1:9" x14ac:dyDescent="0.25">
      <c r="A237" s="123" t="s">
        <v>18</v>
      </c>
      <c r="B237">
        <v>0</v>
      </c>
      <c r="C237">
        <v>0.68</v>
      </c>
      <c r="D237">
        <v>0.35</v>
      </c>
      <c r="F237" s="123" t="s">
        <v>18</v>
      </c>
      <c r="G237">
        <v>0</v>
      </c>
      <c r="H237">
        <v>0.71</v>
      </c>
      <c r="I237">
        <v>0.33</v>
      </c>
    </row>
    <row r="238" spans="1:9" x14ac:dyDescent="0.25">
      <c r="B238">
        <v>0.68</v>
      </c>
      <c r="C238">
        <v>0</v>
      </c>
      <c r="D238">
        <v>1</v>
      </c>
      <c r="G238">
        <v>0.71</v>
      </c>
      <c r="H238">
        <v>0</v>
      </c>
      <c r="I238">
        <v>1</v>
      </c>
    </row>
    <row r="239" spans="1:9" x14ac:dyDescent="0.25">
      <c r="B239">
        <v>0.35</v>
      </c>
      <c r="C239">
        <v>1</v>
      </c>
      <c r="D239">
        <v>0</v>
      </c>
      <c r="G239">
        <v>0.33</v>
      </c>
      <c r="H239">
        <v>1</v>
      </c>
      <c r="I239">
        <v>0</v>
      </c>
    </row>
    <row r="241" spans="1:9" x14ac:dyDescent="0.25">
      <c r="A241" s="123" t="s">
        <v>19</v>
      </c>
      <c r="B241">
        <v>0</v>
      </c>
      <c r="C241">
        <v>0.5</v>
      </c>
      <c r="D241">
        <v>0.56000000000000005</v>
      </c>
      <c r="F241" s="123" t="s">
        <v>19</v>
      </c>
      <c r="G241">
        <v>0</v>
      </c>
      <c r="H241">
        <v>0.49</v>
      </c>
      <c r="I241">
        <v>0.57999999999999996</v>
      </c>
    </row>
    <row r="242" spans="1:9" x14ac:dyDescent="0.25">
      <c r="B242">
        <v>0.5</v>
      </c>
      <c r="C242">
        <v>0</v>
      </c>
      <c r="D242">
        <v>1</v>
      </c>
      <c r="G242">
        <v>0.49</v>
      </c>
      <c r="H242">
        <v>0</v>
      </c>
      <c r="I242">
        <v>1</v>
      </c>
    </row>
    <row r="243" spans="1:9" x14ac:dyDescent="0.25">
      <c r="B243">
        <v>0.56000000000000005</v>
      </c>
      <c r="C243">
        <v>1</v>
      </c>
      <c r="D243">
        <v>0</v>
      </c>
      <c r="G243">
        <v>0.57999999999999996</v>
      </c>
      <c r="H243">
        <v>1</v>
      </c>
      <c r="I243">
        <v>0</v>
      </c>
    </row>
    <row r="245" spans="1:9" x14ac:dyDescent="0.25">
      <c r="A245" s="123" t="s">
        <v>20</v>
      </c>
      <c r="B245">
        <v>0</v>
      </c>
      <c r="C245">
        <v>0.62</v>
      </c>
      <c r="D245">
        <v>0.39</v>
      </c>
      <c r="F245" s="123" t="s">
        <v>20</v>
      </c>
      <c r="G245">
        <v>0</v>
      </c>
      <c r="H245">
        <v>0.6</v>
      </c>
      <c r="I245">
        <v>0.41</v>
      </c>
    </row>
    <row r="246" spans="1:9" x14ac:dyDescent="0.25">
      <c r="B246">
        <v>0.62</v>
      </c>
      <c r="C246">
        <v>0</v>
      </c>
      <c r="D246">
        <v>1</v>
      </c>
      <c r="G246">
        <v>0.6</v>
      </c>
      <c r="H246">
        <v>0</v>
      </c>
      <c r="I246">
        <v>1</v>
      </c>
    </row>
    <row r="247" spans="1:9" x14ac:dyDescent="0.25">
      <c r="B247">
        <v>0.39</v>
      </c>
      <c r="C247">
        <v>1</v>
      </c>
      <c r="D247">
        <v>0</v>
      </c>
      <c r="G247">
        <v>0.41</v>
      </c>
      <c r="H247">
        <v>1</v>
      </c>
      <c r="I247">
        <v>0</v>
      </c>
    </row>
    <row r="249" spans="1:9" x14ac:dyDescent="0.25">
      <c r="A249" s="123" t="s">
        <v>21</v>
      </c>
      <c r="B249">
        <v>0</v>
      </c>
      <c r="C249">
        <v>0.35</v>
      </c>
      <c r="D249">
        <v>1</v>
      </c>
      <c r="F249" s="123" t="s">
        <v>21</v>
      </c>
      <c r="G249">
        <v>0</v>
      </c>
      <c r="H249">
        <v>0.38</v>
      </c>
      <c r="I249">
        <v>1</v>
      </c>
    </row>
    <row r="250" spans="1:9" x14ac:dyDescent="0.25">
      <c r="B250">
        <v>0.35</v>
      </c>
      <c r="C250">
        <v>0</v>
      </c>
      <c r="D250">
        <v>0.96</v>
      </c>
      <c r="G250">
        <v>0.38</v>
      </c>
      <c r="H250">
        <v>0</v>
      </c>
      <c r="I250">
        <v>0.93</v>
      </c>
    </row>
    <row r="251" spans="1:9" x14ac:dyDescent="0.25">
      <c r="B251">
        <v>1</v>
      </c>
      <c r="C251">
        <v>0.96</v>
      </c>
      <c r="D251">
        <v>0</v>
      </c>
      <c r="G251">
        <v>1</v>
      </c>
      <c r="H251">
        <v>0.93</v>
      </c>
      <c r="I251">
        <v>0</v>
      </c>
    </row>
    <row r="253" spans="1:9" x14ac:dyDescent="0.25">
      <c r="A253" s="123" t="s">
        <v>23</v>
      </c>
      <c r="B253">
        <v>0</v>
      </c>
      <c r="C253">
        <v>0.42</v>
      </c>
      <c r="D253">
        <v>0.57999999999999996</v>
      </c>
      <c r="F253" s="123" t="s">
        <v>23</v>
      </c>
      <c r="G253">
        <v>0</v>
      </c>
      <c r="H253">
        <v>0.47</v>
      </c>
      <c r="I253">
        <v>0.53</v>
      </c>
    </row>
    <row r="254" spans="1:9" x14ac:dyDescent="0.25">
      <c r="B254">
        <v>0.42</v>
      </c>
      <c r="C254">
        <v>0</v>
      </c>
      <c r="D254">
        <v>1</v>
      </c>
      <c r="G254">
        <v>0.47</v>
      </c>
      <c r="H254">
        <v>0</v>
      </c>
      <c r="I254">
        <v>1</v>
      </c>
    </row>
    <row r="255" spans="1:9" x14ac:dyDescent="0.25">
      <c r="B255">
        <v>0.57999999999999996</v>
      </c>
      <c r="C255">
        <v>1</v>
      </c>
      <c r="D255">
        <v>0</v>
      </c>
      <c r="G255">
        <v>0.53</v>
      </c>
      <c r="H255">
        <v>1</v>
      </c>
      <c r="I255">
        <v>0</v>
      </c>
    </row>
    <row r="257" spans="1:9" x14ac:dyDescent="0.25">
      <c r="A257" s="123" t="s">
        <v>24</v>
      </c>
      <c r="B257">
        <v>0</v>
      </c>
      <c r="C257">
        <v>1</v>
      </c>
      <c r="D257">
        <v>0.52</v>
      </c>
      <c r="F257" s="123" t="s">
        <v>24</v>
      </c>
      <c r="G257">
        <v>0</v>
      </c>
      <c r="H257">
        <v>1</v>
      </c>
      <c r="I257">
        <v>0.52</v>
      </c>
    </row>
    <row r="258" spans="1:9" x14ac:dyDescent="0.25">
      <c r="B258">
        <v>1</v>
      </c>
      <c r="C258">
        <v>0</v>
      </c>
      <c r="D258">
        <v>0.48</v>
      </c>
      <c r="G258">
        <v>1</v>
      </c>
      <c r="H258">
        <v>0</v>
      </c>
      <c r="I258">
        <v>0.48</v>
      </c>
    </row>
    <row r="259" spans="1:9" x14ac:dyDescent="0.25">
      <c r="B259">
        <v>0.52</v>
      </c>
      <c r="C259">
        <v>0.48</v>
      </c>
      <c r="D259">
        <v>0</v>
      </c>
      <c r="G259">
        <v>0.52</v>
      </c>
      <c r="H259">
        <v>0.48</v>
      </c>
      <c r="I259">
        <v>0</v>
      </c>
    </row>
    <row r="261" spans="1:9" x14ac:dyDescent="0.25">
      <c r="A261" s="234" t="s">
        <v>214</v>
      </c>
      <c r="B261" s="235"/>
      <c r="C261" s="235"/>
      <c r="D261" s="235"/>
      <c r="E261" s="235"/>
      <c r="F261" s="235"/>
      <c r="G261" s="235"/>
      <c r="H261" s="235"/>
      <c r="I261" s="235"/>
    </row>
    <row r="262" spans="1:9" x14ac:dyDescent="0.25">
      <c r="A262" s="230" t="s">
        <v>226</v>
      </c>
      <c r="B262" s="228"/>
      <c r="C262" s="228"/>
      <c r="D262" s="228"/>
      <c r="F262" s="123" t="s">
        <v>227</v>
      </c>
    </row>
    <row r="263" spans="1:9" x14ac:dyDescent="0.25">
      <c r="A263" s="167"/>
    </row>
    <row r="264" spans="1:9" x14ac:dyDescent="0.25">
      <c r="A264" s="123" t="s">
        <v>25</v>
      </c>
      <c r="B264" s="125">
        <f>$B$173*B178+(1-$B$173)*(1-B221)</f>
        <v>1</v>
      </c>
      <c r="C264" s="125">
        <f t="shared" ref="C264:D264" si="126">$B$173*C178+(1-$B$173)*(1-C221)</f>
        <v>0.49</v>
      </c>
      <c r="D264" s="125">
        <f t="shared" si="126"/>
        <v>0.20400000000000001</v>
      </c>
      <c r="F264" s="123" t="s">
        <v>25</v>
      </c>
      <c r="G264" s="125">
        <f>$B$173*G178+(1-$B$173)*(1-G221)</f>
        <v>1</v>
      </c>
      <c r="H264" s="125">
        <f t="shared" ref="H264:I264" si="127">$B$173*H178+(1-$B$173)*(1-H221)</f>
        <v>0.46599999999999997</v>
      </c>
      <c r="I264" s="125">
        <f t="shared" si="127"/>
        <v>0.17200000000000001</v>
      </c>
    </row>
    <row r="265" spans="1:9" x14ac:dyDescent="0.25">
      <c r="B265" s="125">
        <f t="shared" ref="B265:D266" si="128">$B$173*B179+(1-$B$173)*(1-B222)</f>
        <v>0.49</v>
      </c>
      <c r="C265" s="125">
        <f t="shared" si="128"/>
        <v>1</v>
      </c>
      <c r="D265" s="125">
        <f t="shared" si="128"/>
        <v>0.53400000000000003</v>
      </c>
      <c r="G265" s="125">
        <f t="shared" ref="G265:I265" si="129">$B$173*G179+(1-$B$173)*(1-G222)</f>
        <v>0.46599999999999997</v>
      </c>
      <c r="H265" s="125">
        <f t="shared" si="129"/>
        <v>1</v>
      </c>
      <c r="I265" s="125">
        <f t="shared" si="129"/>
        <v>0.57399999999999995</v>
      </c>
    </row>
    <row r="266" spans="1:9" x14ac:dyDescent="0.25">
      <c r="B266" s="125">
        <f t="shared" si="128"/>
        <v>0.20400000000000001</v>
      </c>
      <c r="C266" s="125">
        <f t="shared" si="128"/>
        <v>0.53400000000000003</v>
      </c>
      <c r="D266" s="125">
        <f>$B$173*D180+(1-$B$173)*(1-D223)</f>
        <v>1</v>
      </c>
      <c r="G266" s="125">
        <f t="shared" ref="G266:H266" si="130">$B$173*G180+(1-$B$173)*(1-G223)</f>
        <v>0.17200000000000001</v>
      </c>
      <c r="H266" s="125">
        <f t="shared" si="130"/>
        <v>0.57399999999999995</v>
      </c>
      <c r="I266" s="125">
        <f>$B$173*I180+(1-$B$173)*(1-I223)</f>
        <v>1</v>
      </c>
    </row>
    <row r="268" spans="1:9" x14ac:dyDescent="0.25">
      <c r="A268" s="123" t="s">
        <v>14</v>
      </c>
      <c r="B268" s="125">
        <f>$B$173*B182+(1-$B$173)*(1-B225)</f>
        <v>1</v>
      </c>
      <c r="C268" s="125">
        <f t="shared" ref="C268:D268" si="131">$B$173*C182+(1-$B$173)*(1-C225)</f>
        <v>0.48199999999999998</v>
      </c>
      <c r="D268" s="125">
        <f t="shared" si="131"/>
        <v>0.71000000000000008</v>
      </c>
      <c r="F268" s="123" t="s">
        <v>14</v>
      </c>
      <c r="G268" s="125">
        <f>$B$173*G182+(1-$B$173)*(1-G225)</f>
        <v>1</v>
      </c>
      <c r="H268" s="125">
        <f t="shared" ref="H268:I268" si="132">$B$173*H182+(1-$B$173)*(1-H225)</f>
        <v>0.47599999999999998</v>
      </c>
      <c r="I268" s="125">
        <f t="shared" si="132"/>
        <v>0.69200000000000006</v>
      </c>
    </row>
    <row r="269" spans="1:9" x14ac:dyDescent="0.25">
      <c r="B269" s="125">
        <f t="shared" ref="B269:D269" si="133">$B$173*B183+(1-$B$173)*(1-B226)</f>
        <v>0.48199999999999998</v>
      </c>
      <c r="C269" s="125">
        <f t="shared" si="133"/>
        <v>1</v>
      </c>
      <c r="D269" s="125">
        <f t="shared" si="133"/>
        <v>0.21600000000000003</v>
      </c>
      <c r="G269" s="125">
        <f t="shared" ref="G269:I269" si="134">$B$173*G183+(1-$B$173)*(1-G226)</f>
        <v>0.47599999999999998</v>
      </c>
      <c r="H269" s="125">
        <f t="shared" si="134"/>
        <v>1</v>
      </c>
      <c r="I269" s="125">
        <f t="shared" si="134"/>
        <v>0.20400000000000001</v>
      </c>
    </row>
    <row r="270" spans="1:9" x14ac:dyDescent="0.25">
      <c r="B270" s="125">
        <f t="shared" ref="B270:C270" si="135">$B$173*B184+(1-$B$173)*(1-B227)</f>
        <v>0.71000000000000008</v>
      </c>
      <c r="C270" s="125">
        <f t="shared" si="135"/>
        <v>0.21600000000000003</v>
      </c>
      <c r="D270" s="125">
        <f>$B$173*D184+(1-$B$173)*(1-D227)</f>
        <v>1</v>
      </c>
      <c r="G270" s="125">
        <f t="shared" ref="G270:H270" si="136">$B$173*G184+(1-$B$173)*(1-G227)</f>
        <v>0.69200000000000006</v>
      </c>
      <c r="H270" s="125">
        <f t="shared" si="136"/>
        <v>0.20400000000000001</v>
      </c>
      <c r="I270" s="125">
        <f>$B$173*I184+(1-$B$173)*(1-I227)</f>
        <v>1</v>
      </c>
    </row>
    <row r="272" spans="1:9" x14ac:dyDescent="0.25">
      <c r="A272" s="123" t="s">
        <v>15</v>
      </c>
      <c r="B272" s="125">
        <f>$B$173*B186+(1-$B$173)*(1-B229)</f>
        <v>1</v>
      </c>
      <c r="C272" s="125">
        <f t="shared" ref="C272:D272" si="137">$B$173*C186+(1-$B$173)*(1-C229)</f>
        <v>0.10800000000000001</v>
      </c>
      <c r="D272" s="125">
        <f t="shared" si="137"/>
        <v>0.76400000000000001</v>
      </c>
      <c r="F272" s="123" t="s">
        <v>15</v>
      </c>
      <c r="G272" s="125">
        <f>$B$173*G186+(1-$B$173)*(1-G229)</f>
        <v>1</v>
      </c>
      <c r="H272" s="125">
        <f t="shared" ref="H272:I272" si="138">$B$173*H186+(1-$B$173)*(1-H229)</f>
        <v>7.1999999999999995E-2</v>
      </c>
      <c r="I272" s="125">
        <f t="shared" si="138"/>
        <v>0.72799999999999998</v>
      </c>
    </row>
    <row r="273" spans="1:9" x14ac:dyDescent="0.25">
      <c r="B273" s="125">
        <f t="shared" ref="B273:D273" si="139">$B$173*B187+(1-$B$173)*(1-B230)</f>
        <v>0.10800000000000001</v>
      </c>
      <c r="C273" s="125">
        <f t="shared" si="139"/>
        <v>1</v>
      </c>
      <c r="D273" s="125">
        <f t="shared" si="139"/>
        <v>0.27999999999999997</v>
      </c>
      <c r="G273" s="125">
        <f t="shared" ref="G273:I273" si="140">$B$173*G187+(1-$B$173)*(1-G230)</f>
        <v>7.1999999999999995E-2</v>
      </c>
      <c r="H273" s="125">
        <f t="shared" si="140"/>
        <v>1</v>
      </c>
      <c r="I273" s="125">
        <f t="shared" si="140"/>
        <v>0.26400000000000001</v>
      </c>
    </row>
    <row r="274" spans="1:9" x14ac:dyDescent="0.25">
      <c r="B274" s="125">
        <f t="shared" ref="B274:C274" si="141">$B$173*B188+(1-$B$173)*(1-B231)</f>
        <v>0.76400000000000001</v>
      </c>
      <c r="C274" s="125">
        <f t="shared" si="141"/>
        <v>0.27999999999999997</v>
      </c>
      <c r="D274" s="125">
        <f>$B$173*D188+(1-$B$173)*(1-D231)</f>
        <v>1</v>
      </c>
      <c r="G274" s="125">
        <f t="shared" ref="G274:H274" si="142">$B$173*G188+(1-$B$173)*(1-G231)</f>
        <v>0.72799999999999998</v>
      </c>
      <c r="H274" s="125">
        <f t="shared" si="142"/>
        <v>0.26400000000000001</v>
      </c>
      <c r="I274" s="125">
        <f>$B$173*I188+(1-$B$173)*(1-I231)</f>
        <v>1</v>
      </c>
    </row>
    <row r="276" spans="1:9" x14ac:dyDescent="0.25">
      <c r="A276" s="123" t="s">
        <v>16</v>
      </c>
      <c r="B276" s="125">
        <f>$B$173*B190+(1-$B$173)*(1-B233)</f>
        <v>1</v>
      </c>
      <c r="C276" s="125">
        <f t="shared" ref="C276:D276" si="143">$B$173*C190+(1-$B$173)*(1-C233)</f>
        <v>0.71</v>
      </c>
      <c r="D276" s="125">
        <f t="shared" si="143"/>
        <v>0.28000000000000003</v>
      </c>
      <c r="F276" s="123" t="s">
        <v>16</v>
      </c>
      <c r="G276" s="125">
        <f>$B$173*G190+(1-$B$173)*(1-G233)</f>
        <v>1</v>
      </c>
      <c r="H276" s="125">
        <f t="shared" ref="H276:I276" si="144">$B$173*H190+(1-$B$173)*(1-H233)</f>
        <v>0.69399999999999995</v>
      </c>
      <c r="I276" s="125">
        <f t="shared" si="144"/>
        <v>0.246</v>
      </c>
    </row>
    <row r="277" spans="1:9" x14ac:dyDescent="0.25">
      <c r="B277" s="125">
        <f t="shared" ref="B277:D277" si="145">$B$173*B191+(1-$B$173)*(1-B234)</f>
        <v>0.71</v>
      </c>
      <c r="C277" s="125">
        <f t="shared" si="145"/>
        <v>1</v>
      </c>
      <c r="D277" s="125">
        <f t="shared" si="145"/>
        <v>8.0000000000000016E-2</v>
      </c>
      <c r="G277" s="125">
        <f t="shared" ref="G277:I277" si="146">$B$173*G191+(1-$B$173)*(1-G234)</f>
        <v>0.69399999999999995</v>
      </c>
      <c r="H277" s="125">
        <f t="shared" si="146"/>
        <v>1</v>
      </c>
      <c r="I277" s="125">
        <f t="shared" si="146"/>
        <v>5.2000000000000005E-2</v>
      </c>
    </row>
    <row r="278" spans="1:9" x14ac:dyDescent="0.25">
      <c r="B278" s="125">
        <f t="shared" ref="B278:C278" si="147">$B$173*B192+(1-$B$173)*(1-B235)</f>
        <v>0.28000000000000003</v>
      </c>
      <c r="C278" s="125">
        <f t="shared" si="147"/>
        <v>8.0000000000000016E-2</v>
      </c>
      <c r="D278" s="125">
        <f>$B$173*D192+(1-$B$173)*(1-D235)</f>
        <v>1</v>
      </c>
      <c r="G278" s="125">
        <f t="shared" ref="G278:H278" si="148">$B$173*G192+(1-$B$173)*(1-G235)</f>
        <v>0.246</v>
      </c>
      <c r="H278" s="125">
        <f t="shared" si="148"/>
        <v>5.2000000000000005E-2</v>
      </c>
      <c r="I278" s="125">
        <f>$B$173*I192+(1-$B$173)*(1-I235)</f>
        <v>1</v>
      </c>
    </row>
    <row r="280" spans="1:9" x14ac:dyDescent="0.25">
      <c r="A280" s="123" t="s">
        <v>18</v>
      </c>
      <c r="B280" s="125">
        <f>$B$173*B194+(1-$B$173)*(1-B237)</f>
        <v>1</v>
      </c>
      <c r="C280" s="125">
        <f t="shared" ref="C280:D280" si="149">$B$173*C194+(1-$B$173)*(1-C237)</f>
        <v>0.31999999999999995</v>
      </c>
      <c r="D280" s="125">
        <f t="shared" si="149"/>
        <v>0.626</v>
      </c>
      <c r="F280" s="123" t="s">
        <v>18</v>
      </c>
      <c r="G280" s="125">
        <f>$B$173*G194+(1-$B$173)*(1-G237)</f>
        <v>1</v>
      </c>
      <c r="H280" s="125">
        <f t="shared" ref="H280:I280" si="150">$B$173*H194+(1-$B$173)*(1-H237)</f>
        <v>0.27</v>
      </c>
      <c r="I280" s="125">
        <f t="shared" si="150"/>
        <v>0.626</v>
      </c>
    </row>
    <row r="281" spans="1:9" x14ac:dyDescent="0.25">
      <c r="B281" s="125">
        <f t="shared" ref="B281:D281" si="151">$B$173*B195+(1-$B$173)*(1-B238)</f>
        <v>0.31999999999999995</v>
      </c>
      <c r="C281" s="125">
        <f t="shared" si="151"/>
        <v>1</v>
      </c>
      <c r="D281" s="125">
        <f t="shared" si="151"/>
        <v>5.2000000000000005E-2</v>
      </c>
      <c r="G281" s="125">
        <f t="shared" ref="G281:I281" si="152">$B$173*G195+(1-$B$173)*(1-G238)</f>
        <v>0.27</v>
      </c>
      <c r="H281" s="125">
        <f t="shared" si="152"/>
        <v>1</v>
      </c>
      <c r="I281" s="125">
        <f t="shared" si="152"/>
        <v>2.8000000000000004E-2</v>
      </c>
    </row>
    <row r="282" spans="1:9" x14ac:dyDescent="0.25">
      <c r="B282" s="125">
        <f t="shared" ref="B282:C282" si="153">$B$173*B196+(1-$B$173)*(1-B239)</f>
        <v>0.626</v>
      </c>
      <c r="C282" s="125">
        <f t="shared" si="153"/>
        <v>5.2000000000000005E-2</v>
      </c>
      <c r="D282" s="125">
        <f>$B$173*D196+(1-$B$173)*(1-D239)</f>
        <v>1</v>
      </c>
      <c r="G282" s="125">
        <f t="shared" ref="G282:H282" si="154">$B$173*G196+(1-$B$173)*(1-G239)</f>
        <v>0.626</v>
      </c>
      <c r="H282" s="125">
        <f t="shared" si="154"/>
        <v>2.8000000000000004E-2</v>
      </c>
      <c r="I282" s="125">
        <f>$B$173*I196+(1-$B$173)*(1-I239)</f>
        <v>1</v>
      </c>
    </row>
    <row r="284" spans="1:9" x14ac:dyDescent="0.25">
      <c r="A284" s="123" t="s">
        <v>19</v>
      </c>
      <c r="B284" s="125">
        <f>$B$173*B198+(1-$B$173)*(1-B241)</f>
        <v>1</v>
      </c>
      <c r="C284" s="125">
        <f t="shared" ref="C284:D284" si="155">$B$173*C198+(1-$B$173)*(1-C241)</f>
        <v>0.46</v>
      </c>
      <c r="D284" s="125">
        <f t="shared" si="155"/>
        <v>0.37999999999999995</v>
      </c>
      <c r="F284" s="123" t="s">
        <v>19</v>
      </c>
      <c r="G284" s="125">
        <f>$B$173*G198+(1-$B$173)*(1-G241)</f>
        <v>1</v>
      </c>
      <c r="H284" s="125">
        <f t="shared" ref="H284:I284" si="156">$B$173*H198+(1-$B$173)*(1-H241)</f>
        <v>0.442</v>
      </c>
      <c r="I284" s="125">
        <f t="shared" si="156"/>
        <v>0.34</v>
      </c>
    </row>
    <row r="285" spans="1:9" x14ac:dyDescent="0.25">
      <c r="B285" s="125">
        <f t="shared" ref="B285:D285" si="157">$B$173*B199+(1-$B$173)*(1-B242)</f>
        <v>0.46</v>
      </c>
      <c r="C285" s="125">
        <f t="shared" si="157"/>
        <v>1</v>
      </c>
      <c r="D285" s="125">
        <f t="shared" si="157"/>
        <v>4.0000000000000008E-2</v>
      </c>
      <c r="G285" s="125">
        <f t="shared" ref="G285:I285" si="158">$B$173*G199+(1-$B$173)*(1-G242)</f>
        <v>0.442</v>
      </c>
      <c r="H285" s="125">
        <f t="shared" si="158"/>
        <v>1</v>
      </c>
      <c r="I285" s="125">
        <f t="shared" si="158"/>
        <v>2.0000000000000004E-2</v>
      </c>
    </row>
    <row r="286" spans="1:9" x14ac:dyDescent="0.25">
      <c r="B286" s="125">
        <f t="shared" ref="B286:C286" si="159">$B$173*B200+(1-$B$173)*(1-B243)</f>
        <v>0.37999999999999995</v>
      </c>
      <c r="C286" s="125">
        <f t="shared" si="159"/>
        <v>4.0000000000000008E-2</v>
      </c>
      <c r="D286" s="125">
        <f>$B$173*D200+(1-$B$173)*(1-D243)</f>
        <v>1</v>
      </c>
      <c r="G286" s="125">
        <f t="shared" ref="G286:H286" si="160">$B$173*G200+(1-$B$173)*(1-G243)</f>
        <v>0.34</v>
      </c>
      <c r="H286" s="125">
        <f t="shared" si="160"/>
        <v>2.0000000000000004E-2</v>
      </c>
      <c r="I286" s="125">
        <f>$B$173*I200+(1-$B$173)*(1-I243)</f>
        <v>1</v>
      </c>
    </row>
    <row r="288" spans="1:9" x14ac:dyDescent="0.25">
      <c r="A288" s="123" t="s">
        <v>20</v>
      </c>
      <c r="B288" s="125">
        <f>$B$173*B202+(1-$B$173)*(1-B245)</f>
        <v>1</v>
      </c>
      <c r="C288" s="125">
        <f t="shared" ref="C288:D288" si="161">$B$173*C202+(1-$B$173)*(1-C245)</f>
        <v>0.38800000000000001</v>
      </c>
      <c r="D288" s="125">
        <f t="shared" si="161"/>
        <v>0.57800000000000007</v>
      </c>
      <c r="F288" s="123" t="s">
        <v>20</v>
      </c>
      <c r="G288" s="125">
        <f>$B$173*G202+(1-$B$173)*(1-G245)</f>
        <v>1</v>
      </c>
      <c r="H288" s="125">
        <f t="shared" ref="H288:I288" si="162">$B$173*H202+(1-$B$173)*(1-H245)</f>
        <v>0.376</v>
      </c>
      <c r="I288" s="125">
        <f t="shared" si="162"/>
        <v>0.53800000000000003</v>
      </c>
    </row>
    <row r="289" spans="1:9" x14ac:dyDescent="0.25">
      <c r="B289" s="125">
        <f t="shared" ref="B289:D289" si="163">$B$173*B203+(1-$B$173)*(1-B246)</f>
        <v>0.38800000000000001</v>
      </c>
      <c r="C289" s="125">
        <f t="shared" si="163"/>
        <v>1</v>
      </c>
      <c r="D289" s="125">
        <f t="shared" si="163"/>
        <v>8.0000000000000016E-2</v>
      </c>
      <c r="G289" s="125">
        <f t="shared" ref="G289:I289" si="164">$B$173*G203+(1-$B$173)*(1-G246)</f>
        <v>0.376</v>
      </c>
      <c r="H289" s="125">
        <f t="shared" si="164"/>
        <v>1</v>
      </c>
      <c r="I289" s="125">
        <f t="shared" si="164"/>
        <v>5.2000000000000005E-2</v>
      </c>
    </row>
    <row r="290" spans="1:9" x14ac:dyDescent="0.25">
      <c r="B290" s="125">
        <f t="shared" ref="B290:C290" si="165">$B$173*B204+(1-$B$173)*(1-B247)</f>
        <v>0.57800000000000007</v>
      </c>
      <c r="C290" s="125">
        <f t="shared" si="165"/>
        <v>8.0000000000000016E-2</v>
      </c>
      <c r="D290" s="125">
        <f>$B$173*D204+(1-$B$173)*(1-D247)</f>
        <v>1</v>
      </c>
      <c r="G290" s="125">
        <f t="shared" ref="G290:H290" si="166">$B$173*G204+(1-$B$173)*(1-G247)</f>
        <v>0.53800000000000003</v>
      </c>
      <c r="H290" s="125">
        <f t="shared" si="166"/>
        <v>5.2000000000000005E-2</v>
      </c>
      <c r="I290" s="125">
        <f>$B$173*I204+(1-$B$173)*(1-I247)</f>
        <v>1</v>
      </c>
    </row>
    <row r="292" spans="1:9" x14ac:dyDescent="0.25">
      <c r="A292" s="123" t="s">
        <v>21</v>
      </c>
      <c r="B292" s="125">
        <f>$B$173*B206+(1-$B$173)*(1-B249)</f>
        <v>1</v>
      </c>
      <c r="C292" s="125">
        <f t="shared" ref="C292:D292" si="167">$B$173*C206+(1-$B$173)*(1-C249)</f>
        <v>0.73799999999999999</v>
      </c>
      <c r="D292" s="125">
        <f t="shared" si="167"/>
        <v>0.248</v>
      </c>
      <c r="F292" s="123" t="s">
        <v>21</v>
      </c>
      <c r="G292" s="125">
        <f>$B$173*G206+(1-$B$173)*(1-G249)</f>
        <v>1</v>
      </c>
      <c r="H292" s="125">
        <f t="shared" ref="H292:I292" si="168">$B$173*H206+(1-$B$173)*(1-H249)</f>
        <v>0.71199999999999997</v>
      </c>
      <c r="I292" s="125">
        <f t="shared" si="168"/>
        <v>0.22799999999999998</v>
      </c>
    </row>
    <row r="293" spans="1:9" x14ac:dyDescent="0.25">
      <c r="B293" s="125">
        <f t="shared" ref="B293:D293" si="169">$B$173*B207+(1-$B$173)*(1-B250)</f>
        <v>0.73799999999999999</v>
      </c>
      <c r="C293" s="125">
        <f t="shared" si="169"/>
        <v>1</v>
      </c>
      <c r="D293" s="125">
        <f t="shared" si="169"/>
        <v>0.28400000000000003</v>
      </c>
      <c r="G293" s="125">
        <f t="shared" ref="G293:I293" si="170">$B$173*G207+(1-$B$173)*(1-G250)</f>
        <v>0.71199999999999997</v>
      </c>
      <c r="H293" s="125">
        <f t="shared" si="170"/>
        <v>1</v>
      </c>
      <c r="I293" s="125">
        <f t="shared" si="170"/>
        <v>0.28599999999999998</v>
      </c>
    </row>
    <row r="294" spans="1:9" x14ac:dyDescent="0.25">
      <c r="B294" s="125">
        <f t="shared" ref="B294:C294" si="171">$B$173*B208+(1-$B$173)*(1-B251)</f>
        <v>0.248</v>
      </c>
      <c r="C294" s="125">
        <f t="shared" si="171"/>
        <v>0.28400000000000003</v>
      </c>
      <c r="D294" s="125">
        <f>$B$173*D208+(1-$B$173)*(1-D251)</f>
        <v>1</v>
      </c>
      <c r="G294" s="125">
        <f t="shared" ref="G294:H294" si="172">$B$173*G208+(1-$B$173)*(1-G251)</f>
        <v>0.22799999999999998</v>
      </c>
      <c r="H294" s="125">
        <f t="shared" si="172"/>
        <v>0.28599999999999998</v>
      </c>
      <c r="I294" s="125">
        <f>$B$173*I208+(1-$B$173)*(1-I251)</f>
        <v>1</v>
      </c>
    </row>
    <row r="296" spans="1:9" x14ac:dyDescent="0.25">
      <c r="A296" s="123" t="s">
        <v>23</v>
      </c>
      <c r="B296" s="125">
        <f>$B$173*B210+(1-$B$173)*(1-B253)</f>
        <v>1</v>
      </c>
      <c r="C296" s="125">
        <f t="shared" ref="C296:D296" si="173">$B$173*C210+(1-$B$173)*(1-C253)</f>
        <v>0.6080000000000001</v>
      </c>
      <c r="D296" s="125">
        <f t="shared" si="173"/>
        <v>0.48799999999999999</v>
      </c>
      <c r="F296" s="123" t="s">
        <v>23</v>
      </c>
      <c r="G296" s="125">
        <f>$B$173*G210+(1-$B$173)*(1-G253)</f>
        <v>1</v>
      </c>
      <c r="H296" s="125">
        <f t="shared" ref="H296:I296" si="174">$B$173*H210+(1-$B$173)*(1-H253)</f>
        <v>0.54200000000000004</v>
      </c>
      <c r="I296" s="125">
        <f t="shared" si="174"/>
        <v>0.50600000000000001</v>
      </c>
    </row>
    <row r="297" spans="1:9" x14ac:dyDescent="0.25">
      <c r="B297" s="125">
        <f t="shared" ref="B297:D297" si="175">$B$173*B211+(1-$B$173)*(1-B254)</f>
        <v>0.60000000000000009</v>
      </c>
      <c r="C297" s="125">
        <f t="shared" si="175"/>
        <v>1</v>
      </c>
      <c r="D297" s="125">
        <f t="shared" si="175"/>
        <v>0.13200000000000001</v>
      </c>
      <c r="G297" s="125">
        <f t="shared" ref="G297:I297" si="176">$B$173*G211+(1-$B$173)*(1-G254)</f>
        <v>0.54200000000000004</v>
      </c>
      <c r="H297" s="125">
        <f t="shared" si="176"/>
        <v>1</v>
      </c>
      <c r="I297" s="125">
        <f t="shared" si="176"/>
        <v>0.10400000000000001</v>
      </c>
    </row>
    <row r="298" spans="1:9" x14ac:dyDescent="0.25">
      <c r="B298" s="125">
        <f t="shared" ref="B298:C298" si="177">$B$173*B212+(1-$B$173)*(1-B255)</f>
        <v>0.48799999999999999</v>
      </c>
      <c r="C298" s="125">
        <f t="shared" si="177"/>
        <v>0.13200000000000001</v>
      </c>
      <c r="D298" s="125">
        <f>$B$173*D212+(1-$B$173)*(1-D255)</f>
        <v>1</v>
      </c>
      <c r="G298" s="125">
        <f t="shared" ref="G298:H298" si="178">$B$173*G212+(1-$B$173)*(1-G255)</f>
        <v>0.50600000000000001</v>
      </c>
      <c r="H298" s="125">
        <f t="shared" si="178"/>
        <v>0.10400000000000001</v>
      </c>
      <c r="I298" s="125">
        <f>$B$173*I212+(1-$B$173)*(1-I255)</f>
        <v>1</v>
      </c>
    </row>
    <row r="300" spans="1:9" x14ac:dyDescent="0.25">
      <c r="A300" s="123" t="s">
        <v>24</v>
      </c>
      <c r="B300" s="125">
        <f>$B$173*B214+(1-$B$173)*(1-B257)</f>
        <v>1</v>
      </c>
      <c r="C300" s="125">
        <f t="shared" ref="C300:D300" si="179">$B$173*C214+(1-$B$173)*(1-C257)</f>
        <v>0.11200000000000002</v>
      </c>
      <c r="D300" s="125">
        <f t="shared" si="179"/>
        <v>0.5</v>
      </c>
      <c r="F300" s="123" t="s">
        <v>24</v>
      </c>
      <c r="G300" s="125">
        <f>$B$173*G214+(1-$B$173)*(1-G257)</f>
        <v>1</v>
      </c>
      <c r="H300" s="125">
        <f t="shared" ref="H300:I300" si="180">$B$173*H214+(1-$B$173)*(1-H257)</f>
        <v>8.4000000000000005E-2</v>
      </c>
      <c r="I300" s="125">
        <f t="shared" si="180"/>
        <v>0.47599999999999998</v>
      </c>
    </row>
    <row r="301" spans="1:9" x14ac:dyDescent="0.25">
      <c r="B301" s="125">
        <f t="shared" ref="B301:D301" si="181">$B$173*B215+(1-$B$173)*(1-B258)</f>
        <v>0.11200000000000002</v>
      </c>
      <c r="C301" s="125">
        <f t="shared" si="181"/>
        <v>1</v>
      </c>
      <c r="D301" s="125">
        <f t="shared" si="181"/>
        <v>0.53600000000000003</v>
      </c>
      <c r="G301" s="125">
        <f t="shared" ref="G301:I301" si="182">$B$173*G215+(1-$B$173)*(1-G258)</f>
        <v>8.4000000000000005E-2</v>
      </c>
      <c r="H301" s="125">
        <f t="shared" si="182"/>
        <v>1</v>
      </c>
      <c r="I301" s="125">
        <f t="shared" si="182"/>
        <v>0.51200000000000001</v>
      </c>
    </row>
    <row r="302" spans="1:9" x14ac:dyDescent="0.25">
      <c r="B302" s="125">
        <f t="shared" ref="B302:C302" si="183">$B$173*B216+(1-$B$173)*(1-B259)</f>
        <v>0.5</v>
      </c>
      <c r="C302" s="125">
        <f t="shared" si="183"/>
        <v>0.53600000000000003</v>
      </c>
      <c r="D302" s="125">
        <f>$B$173*D216+(1-$B$173)*(1-D259)</f>
        <v>1</v>
      </c>
      <c r="G302" s="125">
        <f t="shared" ref="G302:H302" si="184">$B$173*G216+(1-$B$173)*(1-G259)</f>
        <v>0.47599999999999998</v>
      </c>
      <c r="H302" s="125">
        <f t="shared" si="184"/>
        <v>0.51200000000000001</v>
      </c>
      <c r="I302" s="125">
        <f>$B$173*I216+(1-$B$173)*(1-I259)</f>
        <v>1</v>
      </c>
    </row>
    <row r="305" spans="1:4" x14ac:dyDescent="0.25">
      <c r="A305" s="180" t="s">
        <v>228</v>
      </c>
      <c r="B305" s="181"/>
      <c r="C305" s="181"/>
      <c r="D305" s="181"/>
    </row>
    <row r="306" spans="1:4" x14ac:dyDescent="0.25">
      <c r="A306" s="167"/>
    </row>
    <row r="307" spans="1:4" x14ac:dyDescent="0.25">
      <c r="A307" s="123" t="s">
        <v>25</v>
      </c>
      <c r="B307" s="125">
        <f t="shared" ref="B307:D309" si="185">(B264+G264)/2</f>
        <v>1</v>
      </c>
      <c r="C307" s="125">
        <f t="shared" si="185"/>
        <v>0.47799999999999998</v>
      </c>
      <c r="D307" s="125">
        <f t="shared" si="185"/>
        <v>0.188</v>
      </c>
    </row>
    <row r="308" spans="1:4" x14ac:dyDescent="0.25">
      <c r="B308" s="125">
        <f t="shared" si="185"/>
        <v>0.47799999999999998</v>
      </c>
      <c r="C308" s="125">
        <f t="shared" si="185"/>
        <v>1</v>
      </c>
      <c r="D308" s="125">
        <f t="shared" si="185"/>
        <v>0.55400000000000005</v>
      </c>
    </row>
    <row r="309" spans="1:4" x14ac:dyDescent="0.25">
      <c r="B309" s="125">
        <f t="shared" si="185"/>
        <v>0.188</v>
      </c>
      <c r="C309" s="125">
        <f t="shared" si="185"/>
        <v>0.55400000000000005</v>
      </c>
      <c r="D309" s="125">
        <f t="shared" si="185"/>
        <v>1</v>
      </c>
    </row>
    <row r="311" spans="1:4" x14ac:dyDescent="0.25">
      <c r="A311" s="123" t="s">
        <v>14</v>
      </c>
      <c r="B311" s="125">
        <f t="shared" ref="B311:D313" si="186">(B268+G268)/2</f>
        <v>1</v>
      </c>
      <c r="C311" s="125">
        <f t="shared" si="186"/>
        <v>0.47899999999999998</v>
      </c>
      <c r="D311" s="125">
        <f t="shared" si="186"/>
        <v>0.70100000000000007</v>
      </c>
    </row>
    <row r="312" spans="1:4" x14ac:dyDescent="0.25">
      <c r="B312" s="125">
        <f t="shared" si="186"/>
        <v>0.47899999999999998</v>
      </c>
      <c r="C312" s="125">
        <f t="shared" si="186"/>
        <v>1</v>
      </c>
      <c r="D312" s="125">
        <f t="shared" si="186"/>
        <v>0.21000000000000002</v>
      </c>
    </row>
    <row r="313" spans="1:4" x14ac:dyDescent="0.25">
      <c r="B313" s="125">
        <f t="shared" si="186"/>
        <v>0.70100000000000007</v>
      </c>
      <c r="C313" s="125">
        <f t="shared" si="186"/>
        <v>0.21000000000000002</v>
      </c>
      <c r="D313" s="125">
        <f t="shared" si="186"/>
        <v>1</v>
      </c>
    </row>
    <row r="315" spans="1:4" x14ac:dyDescent="0.25">
      <c r="A315" s="123" t="s">
        <v>15</v>
      </c>
      <c r="B315" s="125">
        <f t="shared" ref="B315:D317" si="187">(B272+G272)/2</f>
        <v>1</v>
      </c>
      <c r="C315" s="125">
        <f t="shared" si="187"/>
        <v>0.09</v>
      </c>
      <c r="D315" s="125">
        <f t="shared" si="187"/>
        <v>0.746</v>
      </c>
    </row>
    <row r="316" spans="1:4" x14ac:dyDescent="0.25">
      <c r="B316" s="125">
        <f t="shared" si="187"/>
        <v>0.09</v>
      </c>
      <c r="C316" s="125">
        <f t="shared" si="187"/>
        <v>1</v>
      </c>
      <c r="D316" s="125">
        <f t="shared" si="187"/>
        <v>0.27200000000000002</v>
      </c>
    </row>
    <row r="317" spans="1:4" x14ac:dyDescent="0.25">
      <c r="B317" s="125">
        <f t="shared" si="187"/>
        <v>0.746</v>
      </c>
      <c r="C317" s="125">
        <f t="shared" si="187"/>
        <v>0.27200000000000002</v>
      </c>
      <c r="D317" s="125">
        <f t="shared" si="187"/>
        <v>1</v>
      </c>
    </row>
    <row r="319" spans="1:4" x14ac:dyDescent="0.25">
      <c r="A319" s="123" t="s">
        <v>16</v>
      </c>
      <c r="B319" s="125">
        <f t="shared" ref="B319:D321" si="188">(B276+G276)/2</f>
        <v>1</v>
      </c>
      <c r="C319" s="125">
        <f t="shared" si="188"/>
        <v>0.70199999999999996</v>
      </c>
      <c r="D319" s="125">
        <f t="shared" si="188"/>
        <v>0.26300000000000001</v>
      </c>
    </row>
    <row r="320" spans="1:4" x14ac:dyDescent="0.25">
      <c r="B320" s="125">
        <f t="shared" si="188"/>
        <v>0.70199999999999996</v>
      </c>
      <c r="C320" s="125">
        <f t="shared" si="188"/>
        <v>1</v>
      </c>
      <c r="D320" s="125">
        <f t="shared" si="188"/>
        <v>6.6000000000000003E-2</v>
      </c>
    </row>
    <row r="321" spans="1:4" x14ac:dyDescent="0.25">
      <c r="B321" s="125">
        <f t="shared" si="188"/>
        <v>0.26300000000000001</v>
      </c>
      <c r="C321" s="125">
        <f t="shared" si="188"/>
        <v>6.6000000000000003E-2</v>
      </c>
      <c r="D321" s="125">
        <f t="shared" si="188"/>
        <v>1</v>
      </c>
    </row>
    <row r="323" spans="1:4" x14ac:dyDescent="0.25">
      <c r="A323" s="123" t="s">
        <v>18</v>
      </c>
      <c r="B323" s="125">
        <f t="shared" ref="B323:D325" si="189">(B280+G280)/2</f>
        <v>1</v>
      </c>
      <c r="C323" s="125">
        <f t="shared" si="189"/>
        <v>0.29499999999999998</v>
      </c>
      <c r="D323" s="125">
        <f t="shared" si="189"/>
        <v>0.626</v>
      </c>
    </row>
    <row r="324" spans="1:4" x14ac:dyDescent="0.25">
      <c r="B324" s="125">
        <f t="shared" si="189"/>
        <v>0.29499999999999998</v>
      </c>
      <c r="C324" s="125">
        <f t="shared" si="189"/>
        <v>1</v>
      </c>
      <c r="D324" s="125">
        <f t="shared" si="189"/>
        <v>4.0000000000000008E-2</v>
      </c>
    </row>
    <row r="325" spans="1:4" x14ac:dyDescent="0.25">
      <c r="B325" s="125">
        <f t="shared" si="189"/>
        <v>0.626</v>
      </c>
      <c r="C325" s="125">
        <f t="shared" si="189"/>
        <v>4.0000000000000008E-2</v>
      </c>
      <c r="D325" s="125">
        <f t="shared" si="189"/>
        <v>1</v>
      </c>
    </row>
    <row r="327" spans="1:4" x14ac:dyDescent="0.25">
      <c r="A327" s="123" t="s">
        <v>19</v>
      </c>
      <c r="B327" s="125">
        <f t="shared" ref="B327:D329" si="190">(B284+G284)/2</f>
        <v>1</v>
      </c>
      <c r="C327" s="125">
        <f t="shared" si="190"/>
        <v>0.45100000000000001</v>
      </c>
      <c r="D327" s="125">
        <f t="shared" si="190"/>
        <v>0.36</v>
      </c>
    </row>
    <row r="328" spans="1:4" x14ac:dyDescent="0.25">
      <c r="B328" s="125">
        <f t="shared" si="190"/>
        <v>0.45100000000000001</v>
      </c>
      <c r="C328" s="125">
        <f t="shared" si="190"/>
        <v>1</v>
      </c>
      <c r="D328" s="125">
        <f t="shared" si="190"/>
        <v>3.0000000000000006E-2</v>
      </c>
    </row>
    <row r="329" spans="1:4" x14ac:dyDescent="0.25">
      <c r="B329" s="125">
        <f t="shared" si="190"/>
        <v>0.36</v>
      </c>
      <c r="C329" s="125">
        <f t="shared" si="190"/>
        <v>3.0000000000000006E-2</v>
      </c>
      <c r="D329" s="125">
        <f t="shared" si="190"/>
        <v>1</v>
      </c>
    </row>
    <row r="331" spans="1:4" x14ac:dyDescent="0.25">
      <c r="A331" s="123" t="s">
        <v>20</v>
      </c>
      <c r="B331" s="125">
        <f t="shared" ref="B331:D333" si="191">(B288+G288)/2</f>
        <v>1</v>
      </c>
      <c r="C331" s="125">
        <f t="shared" si="191"/>
        <v>0.38200000000000001</v>
      </c>
      <c r="D331" s="125">
        <f t="shared" si="191"/>
        <v>0.55800000000000005</v>
      </c>
    </row>
    <row r="332" spans="1:4" x14ac:dyDescent="0.25">
      <c r="B332" s="125">
        <f t="shared" si="191"/>
        <v>0.38200000000000001</v>
      </c>
      <c r="C332" s="125">
        <f t="shared" si="191"/>
        <v>1</v>
      </c>
      <c r="D332" s="125">
        <f t="shared" si="191"/>
        <v>6.6000000000000003E-2</v>
      </c>
    </row>
    <row r="333" spans="1:4" x14ac:dyDescent="0.25">
      <c r="B333" s="125">
        <f t="shared" si="191"/>
        <v>0.55800000000000005</v>
      </c>
      <c r="C333" s="125">
        <f t="shared" si="191"/>
        <v>6.6000000000000003E-2</v>
      </c>
      <c r="D333" s="125">
        <f t="shared" si="191"/>
        <v>1</v>
      </c>
    </row>
    <row r="335" spans="1:4" x14ac:dyDescent="0.25">
      <c r="A335" s="123" t="s">
        <v>21</v>
      </c>
      <c r="B335" s="125">
        <f t="shared" ref="B335:D337" si="192">(B292+G292)/2</f>
        <v>1</v>
      </c>
      <c r="C335" s="125">
        <f t="shared" si="192"/>
        <v>0.72499999999999998</v>
      </c>
      <c r="D335" s="125">
        <f t="shared" si="192"/>
        <v>0.23799999999999999</v>
      </c>
    </row>
    <row r="336" spans="1:4" x14ac:dyDescent="0.25">
      <c r="B336" s="125">
        <f t="shared" si="192"/>
        <v>0.72499999999999998</v>
      </c>
      <c r="C336" s="125">
        <f t="shared" si="192"/>
        <v>1</v>
      </c>
      <c r="D336" s="125">
        <f t="shared" si="192"/>
        <v>0.28500000000000003</v>
      </c>
    </row>
    <row r="337" spans="1:68" x14ac:dyDescent="0.25">
      <c r="B337" s="125">
        <f t="shared" si="192"/>
        <v>0.23799999999999999</v>
      </c>
      <c r="C337" s="125">
        <f t="shared" si="192"/>
        <v>0.28500000000000003</v>
      </c>
      <c r="D337" s="125">
        <f t="shared" si="192"/>
        <v>1</v>
      </c>
    </row>
    <row r="339" spans="1:68" x14ac:dyDescent="0.25">
      <c r="A339" s="123" t="s">
        <v>23</v>
      </c>
      <c r="B339" s="125">
        <f t="shared" ref="B339:D341" si="193">(B296+G296)/2</f>
        <v>1</v>
      </c>
      <c r="C339" s="125">
        <f t="shared" si="193"/>
        <v>0.57500000000000007</v>
      </c>
      <c r="D339" s="125">
        <f t="shared" si="193"/>
        <v>0.497</v>
      </c>
    </row>
    <row r="340" spans="1:68" x14ac:dyDescent="0.25">
      <c r="B340" s="125">
        <f t="shared" si="193"/>
        <v>0.57100000000000006</v>
      </c>
      <c r="C340" s="125">
        <f t="shared" si="193"/>
        <v>1</v>
      </c>
      <c r="D340" s="125">
        <f t="shared" si="193"/>
        <v>0.11800000000000001</v>
      </c>
    </row>
    <row r="341" spans="1:68" x14ac:dyDescent="0.25">
      <c r="B341" s="125">
        <f t="shared" si="193"/>
        <v>0.497</v>
      </c>
      <c r="C341" s="125">
        <f t="shared" si="193"/>
        <v>0.11800000000000001</v>
      </c>
      <c r="D341" s="125">
        <f t="shared" si="193"/>
        <v>1</v>
      </c>
    </row>
    <row r="343" spans="1:68" x14ac:dyDescent="0.25">
      <c r="A343" s="123" t="s">
        <v>24</v>
      </c>
      <c r="B343" s="125">
        <f t="shared" ref="B343:D345" si="194">(B300+G300)/2</f>
        <v>1</v>
      </c>
      <c r="C343" s="125">
        <f t="shared" si="194"/>
        <v>9.8000000000000004E-2</v>
      </c>
      <c r="D343" s="125">
        <f t="shared" si="194"/>
        <v>0.48799999999999999</v>
      </c>
    </row>
    <row r="344" spans="1:68" x14ac:dyDescent="0.25">
      <c r="B344" s="125">
        <f t="shared" si="194"/>
        <v>9.8000000000000004E-2</v>
      </c>
      <c r="C344" s="125">
        <f t="shared" si="194"/>
        <v>1</v>
      </c>
      <c r="D344" s="125">
        <f t="shared" si="194"/>
        <v>0.52400000000000002</v>
      </c>
    </row>
    <row r="345" spans="1:68" x14ac:dyDescent="0.25">
      <c r="B345" s="125">
        <f t="shared" si="194"/>
        <v>0.48799999999999999</v>
      </c>
      <c r="C345" s="125">
        <f t="shared" si="194"/>
        <v>0.52400000000000002</v>
      </c>
      <c r="D345" s="125">
        <f t="shared" si="194"/>
        <v>1</v>
      </c>
    </row>
    <row r="346" spans="1:68" x14ac:dyDescent="0.25">
      <c r="B346" s="164"/>
      <c r="C346" s="164"/>
      <c r="D346" s="164"/>
    </row>
    <row r="347" spans="1:68" x14ac:dyDescent="0.25">
      <c r="A347" s="167" t="s">
        <v>211</v>
      </c>
      <c r="B347" s="165"/>
      <c r="C347" s="165"/>
      <c r="D347" s="165"/>
      <c r="E347" s="165"/>
    </row>
    <row r="348" spans="1:68" s="133" customFormat="1" x14ac:dyDescent="0.25">
      <c r="A348" s="134" t="s">
        <v>113</v>
      </c>
      <c r="B348" s="134" t="s">
        <v>107</v>
      </c>
      <c r="C348" s="134" t="s">
        <v>108</v>
      </c>
      <c r="D348" s="134" t="s">
        <v>136</v>
      </c>
      <c r="F348"/>
      <c r="G348"/>
      <c r="H348"/>
      <c r="I348"/>
      <c r="J348"/>
      <c r="Q348" s="286"/>
      <c r="R348" s="286"/>
      <c r="S348" s="286"/>
      <c r="T348" s="286"/>
      <c r="U348" s="286"/>
      <c r="V348" s="286"/>
      <c r="W348" s="286"/>
      <c r="X348" s="286"/>
      <c r="Y348" s="286"/>
      <c r="AF348" s="286"/>
      <c r="AG348" s="286"/>
      <c r="AH348" s="286"/>
      <c r="AI348" s="286"/>
      <c r="AJ348" s="286"/>
      <c r="AK348" s="286"/>
      <c r="AL348" s="286"/>
      <c r="AM348" s="286"/>
      <c r="AN348" s="286"/>
      <c r="AO348" s="286"/>
      <c r="AP348" s="286"/>
      <c r="AQ348" s="286"/>
      <c r="AR348" s="286"/>
      <c r="AS348" s="286"/>
      <c r="AT348" s="286"/>
      <c r="AU348" s="286"/>
      <c r="AV348" s="286"/>
      <c r="AW348" s="286"/>
      <c r="AX348" s="286"/>
      <c r="AY348" s="286"/>
      <c r="AZ348" s="286"/>
      <c r="BA348" s="286"/>
      <c r="BB348" s="286"/>
      <c r="BC348" s="286"/>
      <c r="BD348" s="286"/>
      <c r="BE348" s="286"/>
      <c r="BF348" s="286"/>
      <c r="BG348" s="286"/>
      <c r="BH348" s="286"/>
      <c r="BI348" s="286"/>
      <c r="BJ348" s="286"/>
      <c r="BK348" s="286"/>
      <c r="BL348" s="286"/>
      <c r="BM348" s="286"/>
      <c r="BN348" s="286"/>
      <c r="BO348" s="286"/>
      <c r="BP348" s="286"/>
    </row>
    <row r="349" spans="1:68" x14ac:dyDescent="0.25">
      <c r="A349" s="2" t="s">
        <v>25</v>
      </c>
      <c r="B349" s="124">
        <f>B307*$C$165+B308*$C$166+B309*$C$167</f>
        <v>0.51860000000000006</v>
      </c>
      <c r="C349" s="124">
        <f>C307*$C$165+C308*$C$166+C309*$C$167</f>
        <v>0.66500000000000004</v>
      </c>
      <c r="D349" s="124">
        <f>D307*$C$165+D308*$C$166+D309*$C$167</f>
        <v>0.62260000000000004</v>
      </c>
    </row>
    <row r="350" spans="1:68" x14ac:dyDescent="0.25">
      <c r="A350" s="2" t="s">
        <v>14</v>
      </c>
      <c r="B350" s="124">
        <f>B311*$C$165+B312*$C$166+B313*$C$167</f>
        <v>0.72409999999999997</v>
      </c>
      <c r="C350" s="124">
        <f t="shared" ref="C350:D350" si="195">C311*$C$165+C312*$C$166+C313*$C$167</f>
        <v>0.52770000000000006</v>
      </c>
      <c r="D350" s="124">
        <f t="shared" si="195"/>
        <v>0.67330000000000001</v>
      </c>
    </row>
    <row r="351" spans="1:68" x14ac:dyDescent="0.25">
      <c r="A351" s="2" t="s">
        <v>15</v>
      </c>
      <c r="B351" s="124">
        <f>B315*$C$165+B316*$C$166+B317*$C$167</f>
        <v>0.62539999999999996</v>
      </c>
      <c r="C351" s="124">
        <f>C315*$C$165+C316*$C$166+C317*$C$167</f>
        <v>0.43580000000000002</v>
      </c>
      <c r="D351" s="124">
        <f>D315*$C$165+D316*$C$166+D317*$C$167</f>
        <v>0.70540000000000003</v>
      </c>
    </row>
    <row r="352" spans="1:68" x14ac:dyDescent="0.25">
      <c r="A352" s="2" t="s">
        <v>16</v>
      </c>
      <c r="B352" s="124">
        <f>B319*$C$165+B320*$C$166+B321*$C$167</f>
        <v>0.6157999999999999</v>
      </c>
      <c r="C352" s="124">
        <f>C319*$C$165+C320*$C$166+C321*$C$167</f>
        <v>0.53699999999999992</v>
      </c>
      <c r="D352" s="124">
        <f>D319*$C$165+D320*$C$166+D321*$C$167</f>
        <v>0.49870000000000003</v>
      </c>
    </row>
    <row r="353" spans="1:5" x14ac:dyDescent="0.25">
      <c r="A353" s="2" t="s">
        <v>18</v>
      </c>
      <c r="B353" s="124">
        <f>B323*$C$165+B324*$C$166+B325*$C$167</f>
        <v>0.63890000000000002</v>
      </c>
      <c r="C353" s="124">
        <f>C323*$C$165+C324*$C$166+C325*$C$167</f>
        <v>0.40449999999999997</v>
      </c>
      <c r="D353" s="124">
        <f>D323*$C$165+D324*$C$166+D325*$C$167</f>
        <v>0.5998</v>
      </c>
    </row>
    <row r="354" spans="1:5" x14ac:dyDescent="0.25">
      <c r="A354" s="2" t="s">
        <v>19</v>
      </c>
      <c r="B354" s="124">
        <f>B327*$C$165+B328*$C$166+B329*$C$167</f>
        <v>0.57930000000000004</v>
      </c>
      <c r="C354" s="124">
        <f>C327*$C$165+C328*$C$166+C329*$C$167</f>
        <v>0.44730000000000003</v>
      </c>
      <c r="D354" s="124">
        <f>D327*$C$165+D328*$C$166+D329*$C$167</f>
        <v>0.51700000000000002</v>
      </c>
    </row>
    <row r="355" spans="1:5" x14ac:dyDescent="0.25">
      <c r="A355" s="2" t="s">
        <v>20</v>
      </c>
      <c r="B355" s="124">
        <f>B331*$C$165+B332*$C$166+B333*$C$167</f>
        <v>0.63780000000000003</v>
      </c>
      <c r="C355" s="124">
        <f>C331*$C$165+C332*$C$166+C333*$C$167</f>
        <v>0.44099999999999995</v>
      </c>
      <c r="D355" s="124">
        <f>D331*$C$165+D332*$C$166+D333*$C$167</f>
        <v>0.58720000000000006</v>
      </c>
    </row>
    <row r="356" spans="1:5" x14ac:dyDescent="0.25">
      <c r="A356" s="2" t="s">
        <v>21</v>
      </c>
      <c r="B356" s="124">
        <f>B335*$C$165+B336*$C$166+B337*$C$167</f>
        <v>0.61270000000000002</v>
      </c>
      <c r="C356" s="124">
        <f>C335*$C$165+C336*$C$166+C337*$C$167</f>
        <v>0.63149999999999995</v>
      </c>
      <c r="D356" s="124">
        <f>D335*$C$165+D336*$C$166+D337*$C$167</f>
        <v>0.55689999999999995</v>
      </c>
    </row>
    <row r="357" spans="1:5" x14ac:dyDescent="0.25">
      <c r="A357" s="2" t="s">
        <v>23</v>
      </c>
      <c r="B357" s="124">
        <f>B339*$C$165+B340*$C$166+B341*$C$167</f>
        <v>0.67010000000000003</v>
      </c>
      <c r="C357" s="124">
        <f>C339*$C$165+C340*$C$166+C341*$C$167</f>
        <v>0.51970000000000005</v>
      </c>
      <c r="D357" s="124">
        <f>D339*$C$165+D340*$C$166+D341*$C$167</f>
        <v>0.58450000000000002</v>
      </c>
    </row>
    <row r="358" spans="1:5" x14ac:dyDescent="0.25">
      <c r="A358" s="2" t="s">
        <v>24</v>
      </c>
      <c r="B358" s="124">
        <f>B343*$C$165+B344*$C$166+B345*$C$167</f>
        <v>0.52459999999999996</v>
      </c>
      <c r="C358" s="124">
        <f>C343*$C$165+C344*$C$166+C345*$C$167</f>
        <v>0.53899999999999992</v>
      </c>
      <c r="D358" s="124">
        <f>D343*$C$165+D344*$C$166+D345*$C$167</f>
        <v>0.7036</v>
      </c>
    </row>
    <row r="360" spans="1:5" x14ac:dyDescent="0.25">
      <c r="A360" s="167" t="s">
        <v>212</v>
      </c>
    </row>
    <row r="361" spans="1:5" x14ac:dyDescent="0.25">
      <c r="A361" s="87" t="s">
        <v>113</v>
      </c>
      <c r="B361" s="3" t="s">
        <v>107</v>
      </c>
      <c r="C361" s="3" t="s">
        <v>108</v>
      </c>
      <c r="D361" s="3" t="s">
        <v>136</v>
      </c>
      <c r="E361" s="127" t="s">
        <v>161</v>
      </c>
    </row>
    <row r="362" spans="1:5" x14ac:dyDescent="0.25">
      <c r="A362" s="41" t="s">
        <v>25</v>
      </c>
      <c r="B362" s="124">
        <f t="shared" ref="B362:D371" si="196">B349/SUM($B349:$D349)</f>
        <v>0.28712213486878529</v>
      </c>
      <c r="C362" s="124">
        <f t="shared" si="196"/>
        <v>0.36817628169637912</v>
      </c>
      <c r="D362" s="124">
        <f t="shared" si="196"/>
        <v>0.34470158343483553</v>
      </c>
      <c r="E362" s="126">
        <f>SUM(B362:D362)</f>
        <v>1</v>
      </c>
    </row>
    <row r="363" spans="1:5" x14ac:dyDescent="0.25">
      <c r="A363" s="41" t="s">
        <v>14</v>
      </c>
      <c r="B363" s="124">
        <f t="shared" si="196"/>
        <v>0.37613630460755282</v>
      </c>
      <c r="C363" s="124">
        <f t="shared" si="196"/>
        <v>0.27411563035686459</v>
      </c>
      <c r="D363" s="124">
        <f t="shared" si="196"/>
        <v>0.34974806503558259</v>
      </c>
      <c r="E363" s="126">
        <f t="shared" ref="E363:E371" si="197">SUM(B363:D363)</f>
        <v>1</v>
      </c>
    </row>
    <row r="364" spans="1:5" x14ac:dyDescent="0.25">
      <c r="A364" s="41" t="s">
        <v>15</v>
      </c>
      <c r="B364" s="124">
        <f t="shared" si="196"/>
        <v>0.35401335899467901</v>
      </c>
      <c r="C364" s="124">
        <f t="shared" si="196"/>
        <v>0.24668855428506739</v>
      </c>
      <c r="D364" s="124">
        <f t="shared" si="196"/>
        <v>0.39929808672025363</v>
      </c>
      <c r="E364" s="126">
        <f t="shared" si="197"/>
        <v>1</v>
      </c>
    </row>
    <row r="365" spans="1:5" x14ac:dyDescent="0.25">
      <c r="A365" s="41" t="s">
        <v>16</v>
      </c>
      <c r="B365" s="124">
        <f t="shared" si="196"/>
        <v>0.3728731456251892</v>
      </c>
      <c r="C365" s="124">
        <f t="shared" si="196"/>
        <v>0.32515894641235238</v>
      </c>
      <c r="D365" s="124">
        <f t="shared" si="196"/>
        <v>0.30196790796245837</v>
      </c>
      <c r="E365" s="126">
        <f t="shared" si="197"/>
        <v>1</v>
      </c>
    </row>
    <row r="366" spans="1:5" x14ac:dyDescent="0.25">
      <c r="A366" s="41" t="s">
        <v>18</v>
      </c>
      <c r="B366" s="124">
        <f t="shared" si="196"/>
        <v>0.38881450827653358</v>
      </c>
      <c r="C366" s="124">
        <f t="shared" si="196"/>
        <v>0.24616601752677697</v>
      </c>
      <c r="D366" s="124">
        <f t="shared" si="196"/>
        <v>0.36501947419668934</v>
      </c>
      <c r="E366" s="126">
        <f t="shared" si="197"/>
        <v>0.99999999999999989</v>
      </c>
    </row>
    <row r="367" spans="1:5" x14ac:dyDescent="0.25">
      <c r="A367" s="41" t="s">
        <v>19</v>
      </c>
      <c r="B367" s="124">
        <f t="shared" si="196"/>
        <v>0.37529152630215085</v>
      </c>
      <c r="C367" s="124">
        <f t="shared" si="196"/>
        <v>0.28977714433791141</v>
      </c>
      <c r="D367" s="124">
        <f t="shared" si="196"/>
        <v>0.3349313293599378</v>
      </c>
      <c r="E367" s="126">
        <f t="shared" si="197"/>
        <v>1</v>
      </c>
    </row>
    <row r="368" spans="1:5" x14ac:dyDescent="0.25">
      <c r="A368" s="41" t="s">
        <v>20</v>
      </c>
      <c r="B368" s="124">
        <f t="shared" si="196"/>
        <v>0.38283313325330137</v>
      </c>
      <c r="C368" s="124">
        <f t="shared" si="196"/>
        <v>0.26470588235294118</v>
      </c>
      <c r="D368" s="124">
        <f t="shared" si="196"/>
        <v>0.35246098439375756</v>
      </c>
      <c r="E368" s="126">
        <f t="shared" si="197"/>
        <v>1.0000000000000002</v>
      </c>
    </row>
    <row r="369" spans="1:25" x14ac:dyDescent="0.25">
      <c r="A369" s="41" t="s">
        <v>21</v>
      </c>
      <c r="B369" s="124">
        <f t="shared" si="196"/>
        <v>0.34018100049969469</v>
      </c>
      <c r="C369" s="124">
        <f t="shared" si="196"/>
        <v>0.35061906612625615</v>
      </c>
      <c r="D369" s="124">
        <f t="shared" si="196"/>
        <v>0.30919993337404916</v>
      </c>
      <c r="E369" s="126">
        <f t="shared" si="197"/>
        <v>1</v>
      </c>
    </row>
    <row r="370" spans="1:25" x14ac:dyDescent="0.25">
      <c r="A370" s="41" t="s">
        <v>23</v>
      </c>
      <c r="B370" s="124">
        <f t="shared" si="196"/>
        <v>0.37767006706870315</v>
      </c>
      <c r="C370" s="124">
        <f t="shared" si="196"/>
        <v>0.29290424392718256</v>
      </c>
      <c r="D370" s="124">
        <f t="shared" si="196"/>
        <v>0.32942568900411429</v>
      </c>
      <c r="E370" s="126">
        <f t="shared" si="197"/>
        <v>1</v>
      </c>
    </row>
    <row r="371" spans="1:25" x14ac:dyDescent="0.25">
      <c r="A371" s="41" t="s">
        <v>24</v>
      </c>
      <c r="B371" s="124">
        <f t="shared" si="196"/>
        <v>0.29685377999094614</v>
      </c>
      <c r="C371" s="124">
        <f t="shared" si="196"/>
        <v>0.30500226346763237</v>
      </c>
      <c r="D371" s="124">
        <f t="shared" si="196"/>
        <v>0.39814395654142148</v>
      </c>
      <c r="E371" s="126">
        <f t="shared" si="197"/>
        <v>1</v>
      </c>
    </row>
    <row r="372" spans="1:25" x14ac:dyDescent="0.25">
      <c r="A372" s="123"/>
    </row>
    <row r="374" spans="1:25" ht="15.75" thickBot="1" x14ac:dyDescent="0.3">
      <c r="A374" s="1" t="s">
        <v>183</v>
      </c>
    </row>
    <row r="375" spans="1:25" ht="15.75" thickBot="1" x14ac:dyDescent="0.3">
      <c r="A375" s="213" t="s">
        <v>27</v>
      </c>
      <c r="B375" s="209" t="s">
        <v>138</v>
      </c>
      <c r="C375" s="215"/>
      <c r="D375" s="215"/>
      <c r="E375" s="215"/>
      <c r="F375" s="215"/>
      <c r="G375" s="215"/>
      <c r="H375" s="215"/>
      <c r="I375" s="216"/>
      <c r="J375" s="209" t="s">
        <v>139</v>
      </c>
      <c r="K375" s="215"/>
      <c r="L375" s="215"/>
      <c r="M375" s="215"/>
      <c r="N375" s="215"/>
      <c r="O375" s="215"/>
      <c r="P375" s="215"/>
      <c r="Q375" s="216"/>
      <c r="R375" s="302" t="s">
        <v>140</v>
      </c>
      <c r="S375" s="303"/>
      <c r="T375" s="303"/>
      <c r="U375" s="303"/>
      <c r="V375" s="303"/>
      <c r="W375" s="303"/>
      <c r="X375" s="303"/>
      <c r="Y375" s="304"/>
    </row>
    <row r="376" spans="1:25" ht="33.75" customHeight="1" thickBot="1" x14ac:dyDescent="0.3">
      <c r="A376" s="214"/>
      <c r="B376" s="206" t="s">
        <v>3</v>
      </c>
      <c r="C376" s="207"/>
      <c r="D376" s="207"/>
      <c r="E376" s="208"/>
      <c r="F376" s="209" t="s">
        <v>4</v>
      </c>
      <c r="G376" s="207"/>
      <c r="H376" s="207"/>
      <c r="I376" s="208"/>
      <c r="J376" s="206" t="s">
        <v>3</v>
      </c>
      <c r="K376" s="207"/>
      <c r="L376" s="207"/>
      <c r="M376" s="208"/>
      <c r="N376" s="209" t="s">
        <v>4</v>
      </c>
      <c r="O376" s="207"/>
      <c r="P376" s="207"/>
      <c r="Q376" s="208"/>
      <c r="R376" s="305" t="s">
        <v>3</v>
      </c>
      <c r="S376" s="306"/>
      <c r="T376" s="306"/>
      <c r="U376" s="307"/>
      <c r="V376" s="302" t="s">
        <v>4</v>
      </c>
      <c r="W376" s="306"/>
      <c r="X376" s="306"/>
      <c r="Y376" s="307"/>
    </row>
    <row r="377" spans="1:25" x14ac:dyDescent="0.25">
      <c r="A377" s="103" t="s">
        <v>25</v>
      </c>
      <c r="B377" s="6">
        <f t="shared" ref="B377:B386" si="198">BG12</f>
        <v>6.4600000000000009</v>
      </c>
      <c r="C377" s="7">
        <f t="shared" ref="C377:C386" si="199">BH12</f>
        <v>12.6</v>
      </c>
      <c r="D377" s="7">
        <f t="shared" ref="D377:D386" si="200">BI12</f>
        <v>15.81</v>
      </c>
      <c r="E377" s="8">
        <f t="shared" ref="E377:E386" si="201">BJ12</f>
        <v>20.655000000000001</v>
      </c>
      <c r="F377" s="6">
        <f t="shared" ref="F377:F386" si="202">BK12</f>
        <v>8.3199999999999985</v>
      </c>
      <c r="G377" s="7">
        <f t="shared" ref="G377:G386" si="203">BL12</f>
        <v>12.6</v>
      </c>
      <c r="H377" s="7">
        <f t="shared" ref="H377:H386" si="204">BM12</f>
        <v>15.81</v>
      </c>
      <c r="I377" s="101">
        <f t="shared" ref="I377:I386" si="205">BN12</f>
        <v>19.03</v>
      </c>
      <c r="J377" s="6">
        <f t="shared" ref="J377:J386" si="206">BG64</f>
        <v>4.22</v>
      </c>
      <c r="K377" s="7">
        <f t="shared" ref="K377:K386" si="207">BH64</f>
        <v>9.89</v>
      </c>
      <c r="L377" s="7">
        <f t="shared" ref="L377:L386" si="208">BI64</f>
        <v>15.18</v>
      </c>
      <c r="M377" s="8">
        <f t="shared" ref="M377:M386" si="209">BJ64</f>
        <v>21.215000000000003</v>
      </c>
      <c r="N377" s="6">
        <f t="shared" ref="N377:N386" si="210">BK64</f>
        <v>5.6749999999999989</v>
      </c>
      <c r="O377" s="7">
        <f t="shared" ref="O377:O386" si="211">BL64</f>
        <v>9.89</v>
      </c>
      <c r="P377" s="7">
        <f t="shared" ref="P377:P386" si="212">BM64</f>
        <v>15.18</v>
      </c>
      <c r="Q377" s="254">
        <f t="shared" ref="Q377:Q386" si="213">BN64</f>
        <v>19.23</v>
      </c>
      <c r="R377" s="239">
        <f t="shared" ref="R377:R386" si="214">BG116</f>
        <v>5.0450000000000008</v>
      </c>
      <c r="S377" s="253">
        <f t="shared" ref="S377:S386" si="215">BH116</f>
        <v>9.9149999999999991</v>
      </c>
      <c r="T377" s="253">
        <f t="shared" ref="T377:T386" si="216">BI116</f>
        <v>13.555</v>
      </c>
      <c r="U377" s="254">
        <f t="shared" ref="U377:U386" si="217">BJ116</f>
        <v>18.465</v>
      </c>
      <c r="V377" s="239">
        <f t="shared" ref="V377:V386" si="218">BK116</f>
        <v>6.4289999999999994</v>
      </c>
      <c r="W377" s="253">
        <f t="shared" ref="W377:W386" si="219">BL116</f>
        <v>9.9149999999999991</v>
      </c>
      <c r="X377" s="253">
        <f t="shared" ref="X377:X386" si="220">BM116</f>
        <v>13.555</v>
      </c>
      <c r="Y377" s="254">
        <f t="shared" ref="Y377:Y386" si="221">BN116</f>
        <v>16.830000000000002</v>
      </c>
    </row>
    <row r="378" spans="1:25" x14ac:dyDescent="0.25">
      <c r="A378" s="99" t="s">
        <v>14</v>
      </c>
      <c r="B378" s="4">
        <f t="shared" si="198"/>
        <v>1.1550000000000002</v>
      </c>
      <c r="C378" s="2">
        <f t="shared" si="199"/>
        <v>4.4550000000000001</v>
      </c>
      <c r="D378" s="2">
        <f t="shared" si="200"/>
        <v>9.0749999999999993</v>
      </c>
      <c r="E378" s="5">
        <f t="shared" si="201"/>
        <v>14.025</v>
      </c>
      <c r="F378" s="4">
        <f t="shared" si="202"/>
        <v>1.8190000000000008</v>
      </c>
      <c r="G378" s="2">
        <f t="shared" si="203"/>
        <v>4.4550000000000001</v>
      </c>
      <c r="H378" s="2">
        <f t="shared" si="204"/>
        <v>9.0749999999999993</v>
      </c>
      <c r="I378" s="95">
        <f t="shared" si="205"/>
        <v>12.430000000000003</v>
      </c>
      <c r="J378" s="4">
        <f t="shared" si="206"/>
        <v>1.1550000000000002</v>
      </c>
      <c r="K378" s="2">
        <f t="shared" si="207"/>
        <v>5.5550000000000006</v>
      </c>
      <c r="L378" s="2">
        <f t="shared" si="208"/>
        <v>11.275</v>
      </c>
      <c r="M378" s="5">
        <f t="shared" si="209"/>
        <v>16.775000000000002</v>
      </c>
      <c r="N378" s="4">
        <f t="shared" si="210"/>
        <v>1.9650000000000007</v>
      </c>
      <c r="O378" s="2">
        <f t="shared" si="211"/>
        <v>5.5550000000000006</v>
      </c>
      <c r="P378" s="2">
        <f t="shared" si="212"/>
        <v>11.275</v>
      </c>
      <c r="Q378" s="257">
        <f t="shared" si="213"/>
        <v>15.030000000000005</v>
      </c>
      <c r="R378" s="255">
        <f t="shared" si="214"/>
        <v>0.60499999999999998</v>
      </c>
      <c r="S378" s="256">
        <f t="shared" si="215"/>
        <v>3.6300000000000008</v>
      </c>
      <c r="T378" s="256">
        <f t="shared" si="216"/>
        <v>8.25</v>
      </c>
      <c r="U378" s="257">
        <f t="shared" si="217"/>
        <v>12.9</v>
      </c>
      <c r="V378" s="255">
        <f t="shared" si="218"/>
        <v>1.0249999999999999</v>
      </c>
      <c r="W378" s="256">
        <f t="shared" si="219"/>
        <v>3.6300000000000008</v>
      </c>
      <c r="X378" s="256">
        <f t="shared" si="220"/>
        <v>8.25</v>
      </c>
      <c r="Y378" s="257">
        <f t="shared" si="221"/>
        <v>11.430000000000001</v>
      </c>
    </row>
    <row r="379" spans="1:25" x14ac:dyDescent="0.25">
      <c r="A379" s="99" t="s">
        <v>15</v>
      </c>
      <c r="B379" s="4">
        <f t="shared" si="198"/>
        <v>4.0150000000000006</v>
      </c>
      <c r="C379" s="2">
        <f t="shared" si="199"/>
        <v>7.4250000000000007</v>
      </c>
      <c r="D379" s="2">
        <f t="shared" si="200"/>
        <v>12.705000000000002</v>
      </c>
      <c r="E379" s="5">
        <f t="shared" si="201"/>
        <v>19.965</v>
      </c>
      <c r="F379" s="4">
        <f t="shared" si="202"/>
        <v>5.08</v>
      </c>
      <c r="G379" s="2">
        <f t="shared" si="203"/>
        <v>7.4250000000000007</v>
      </c>
      <c r="H379" s="2">
        <f t="shared" si="204"/>
        <v>12.705000000000002</v>
      </c>
      <c r="I379" s="95">
        <f t="shared" si="205"/>
        <v>17.489999999999998</v>
      </c>
      <c r="J379" s="4">
        <f t="shared" si="206"/>
        <v>7.3000000000000007</v>
      </c>
      <c r="K379" s="2">
        <f t="shared" si="207"/>
        <v>13.325000000000001</v>
      </c>
      <c r="L379" s="2">
        <f t="shared" si="208"/>
        <v>18.395</v>
      </c>
      <c r="M379" s="5">
        <f t="shared" si="209"/>
        <v>25.310000000000002</v>
      </c>
      <c r="N379" s="4">
        <f t="shared" si="210"/>
        <v>9.1149999999999984</v>
      </c>
      <c r="O379" s="2">
        <f t="shared" si="211"/>
        <v>13.325000000000001</v>
      </c>
      <c r="P379" s="2">
        <f t="shared" si="212"/>
        <v>18.395</v>
      </c>
      <c r="Q379" s="257">
        <f t="shared" si="213"/>
        <v>22.96</v>
      </c>
      <c r="R379" s="255">
        <f t="shared" si="214"/>
        <v>4.8249999999999993</v>
      </c>
      <c r="S379" s="256">
        <f t="shared" si="215"/>
        <v>9.4499999999999993</v>
      </c>
      <c r="T379" s="256">
        <f t="shared" si="216"/>
        <v>13.97</v>
      </c>
      <c r="U379" s="257">
        <f t="shared" si="217"/>
        <v>20.310000000000002</v>
      </c>
      <c r="V379" s="255">
        <f t="shared" si="218"/>
        <v>6.2499999999999982</v>
      </c>
      <c r="W379" s="256">
        <f t="shared" si="219"/>
        <v>9.4499999999999993</v>
      </c>
      <c r="X379" s="256">
        <f t="shared" si="220"/>
        <v>13.97</v>
      </c>
      <c r="Y379" s="257">
        <f t="shared" si="221"/>
        <v>18.159999999999997</v>
      </c>
    </row>
    <row r="380" spans="1:25" x14ac:dyDescent="0.25">
      <c r="A380" s="99" t="s">
        <v>16</v>
      </c>
      <c r="B380" s="4">
        <f t="shared" si="198"/>
        <v>5.6500000000000012</v>
      </c>
      <c r="C380" s="2">
        <f t="shared" si="199"/>
        <v>10.574999999999999</v>
      </c>
      <c r="D380" s="2">
        <f t="shared" si="200"/>
        <v>14.545000000000002</v>
      </c>
      <c r="E380" s="5">
        <f t="shared" si="201"/>
        <v>20.309999999999999</v>
      </c>
      <c r="F380" s="4">
        <f t="shared" si="202"/>
        <v>7.15</v>
      </c>
      <c r="G380" s="2">
        <f t="shared" si="203"/>
        <v>10.574999999999999</v>
      </c>
      <c r="H380" s="2">
        <f t="shared" si="204"/>
        <v>14.545000000000002</v>
      </c>
      <c r="I380" s="95">
        <f t="shared" si="205"/>
        <v>18.36</v>
      </c>
      <c r="J380" s="4">
        <f t="shared" si="206"/>
        <v>6.1450000000000005</v>
      </c>
      <c r="K380" s="2">
        <f t="shared" si="207"/>
        <v>11.840000000000002</v>
      </c>
      <c r="L380" s="2">
        <f t="shared" si="208"/>
        <v>16.579999999999998</v>
      </c>
      <c r="M380" s="5">
        <f t="shared" si="209"/>
        <v>22.340000000000003</v>
      </c>
      <c r="N380" s="4">
        <f t="shared" si="210"/>
        <v>7.5999999999999979</v>
      </c>
      <c r="O380" s="2">
        <f t="shared" si="211"/>
        <v>11.840000000000002</v>
      </c>
      <c r="P380" s="2">
        <f t="shared" si="212"/>
        <v>16.579999999999998</v>
      </c>
      <c r="Q380" s="257">
        <f t="shared" si="213"/>
        <v>20.43</v>
      </c>
      <c r="R380" s="255">
        <f t="shared" si="214"/>
        <v>2.1950000000000003</v>
      </c>
      <c r="S380" s="256">
        <f t="shared" si="215"/>
        <v>6.0149999999999997</v>
      </c>
      <c r="T380" s="256">
        <f t="shared" si="216"/>
        <v>10.755000000000001</v>
      </c>
      <c r="U380" s="257">
        <f t="shared" si="217"/>
        <v>16.215000000000003</v>
      </c>
      <c r="V380" s="255">
        <f t="shared" si="218"/>
        <v>3.1250000000000009</v>
      </c>
      <c r="W380" s="256">
        <f t="shared" si="219"/>
        <v>6.0149999999999997</v>
      </c>
      <c r="X380" s="256">
        <f t="shared" si="220"/>
        <v>10.755000000000001</v>
      </c>
      <c r="Y380" s="257">
        <f t="shared" si="221"/>
        <v>14.430000000000003</v>
      </c>
    </row>
    <row r="381" spans="1:25" x14ac:dyDescent="0.25">
      <c r="A381" s="99" t="s">
        <v>18</v>
      </c>
      <c r="B381" s="4">
        <f t="shared" si="198"/>
        <v>4.45</v>
      </c>
      <c r="C381" s="2">
        <f t="shared" si="199"/>
        <v>8.3250000000000011</v>
      </c>
      <c r="D381" s="2">
        <f t="shared" si="200"/>
        <v>13.395</v>
      </c>
      <c r="E381" s="5">
        <f t="shared" si="201"/>
        <v>20.310000000000002</v>
      </c>
      <c r="F381" s="4">
        <f t="shared" si="202"/>
        <v>5.6650000000000009</v>
      </c>
      <c r="G381" s="2">
        <f t="shared" si="203"/>
        <v>8.3250000000000011</v>
      </c>
      <c r="H381" s="2">
        <f t="shared" si="204"/>
        <v>13.395</v>
      </c>
      <c r="I381" s="95">
        <f t="shared" si="205"/>
        <v>17.96</v>
      </c>
      <c r="J381" s="4">
        <f t="shared" si="206"/>
        <v>7.3000000000000007</v>
      </c>
      <c r="K381" s="2">
        <f t="shared" si="207"/>
        <v>13.325000000000001</v>
      </c>
      <c r="L381" s="2">
        <f t="shared" si="208"/>
        <v>18.395</v>
      </c>
      <c r="M381" s="5">
        <f t="shared" si="209"/>
        <v>25.310000000000002</v>
      </c>
      <c r="N381" s="4">
        <f t="shared" si="210"/>
        <v>9.1149999999999984</v>
      </c>
      <c r="O381" s="2">
        <f t="shared" si="211"/>
        <v>13.325000000000001</v>
      </c>
      <c r="P381" s="2">
        <f t="shared" si="212"/>
        <v>18.395</v>
      </c>
      <c r="Q381" s="257">
        <f t="shared" si="213"/>
        <v>22.96</v>
      </c>
      <c r="R381" s="255">
        <f t="shared" si="214"/>
        <v>2.57</v>
      </c>
      <c r="S381" s="256">
        <f t="shared" si="215"/>
        <v>7.14</v>
      </c>
      <c r="T381" s="256">
        <f t="shared" si="216"/>
        <v>11.33</v>
      </c>
      <c r="U381" s="257">
        <f t="shared" si="217"/>
        <v>16.215</v>
      </c>
      <c r="V381" s="255">
        <f t="shared" si="218"/>
        <v>3.7099999999999991</v>
      </c>
      <c r="W381" s="256">
        <f t="shared" si="219"/>
        <v>7.14</v>
      </c>
      <c r="X381" s="256">
        <f t="shared" si="220"/>
        <v>11.33</v>
      </c>
      <c r="Y381" s="257">
        <f t="shared" si="221"/>
        <v>14.63</v>
      </c>
    </row>
    <row r="382" spans="1:25" x14ac:dyDescent="0.25">
      <c r="A382" s="99" t="s">
        <v>19</v>
      </c>
      <c r="B382" s="4">
        <f t="shared" si="198"/>
        <v>4.495000000000001</v>
      </c>
      <c r="C382" s="2">
        <f t="shared" si="199"/>
        <v>9.09</v>
      </c>
      <c r="D382" s="2">
        <f t="shared" si="200"/>
        <v>12.73</v>
      </c>
      <c r="E382" s="5">
        <f t="shared" si="201"/>
        <v>17.34</v>
      </c>
      <c r="F382" s="4">
        <f t="shared" si="202"/>
        <v>5.6349999999999989</v>
      </c>
      <c r="G382" s="2">
        <f t="shared" si="203"/>
        <v>9.09</v>
      </c>
      <c r="H382" s="2">
        <f t="shared" si="204"/>
        <v>12.73</v>
      </c>
      <c r="I382" s="95">
        <f t="shared" si="205"/>
        <v>15.83</v>
      </c>
      <c r="J382" s="4">
        <f t="shared" si="206"/>
        <v>6.1450000000000005</v>
      </c>
      <c r="K382" s="2">
        <f t="shared" si="207"/>
        <v>11.840000000000002</v>
      </c>
      <c r="L382" s="2">
        <f t="shared" si="208"/>
        <v>16.579999999999998</v>
      </c>
      <c r="M382" s="5">
        <f t="shared" si="209"/>
        <v>22.340000000000003</v>
      </c>
      <c r="N382" s="4">
        <f t="shared" si="210"/>
        <v>7.5999999999999979</v>
      </c>
      <c r="O382" s="2">
        <f t="shared" si="211"/>
        <v>11.840000000000002</v>
      </c>
      <c r="P382" s="2">
        <f t="shared" si="212"/>
        <v>16.579999999999998</v>
      </c>
      <c r="Q382" s="257">
        <f t="shared" si="213"/>
        <v>20.43</v>
      </c>
      <c r="R382" s="255">
        <f t="shared" si="214"/>
        <v>1.1550000000000002</v>
      </c>
      <c r="S382" s="256">
        <f t="shared" si="215"/>
        <v>4.4550000000000001</v>
      </c>
      <c r="T382" s="256">
        <f t="shared" si="216"/>
        <v>9.0750000000000011</v>
      </c>
      <c r="U382" s="257">
        <f t="shared" si="217"/>
        <v>14.025</v>
      </c>
      <c r="V382" s="255">
        <f t="shared" si="218"/>
        <v>1.8190000000000008</v>
      </c>
      <c r="W382" s="256">
        <f t="shared" si="219"/>
        <v>4.4550000000000001</v>
      </c>
      <c r="X382" s="256">
        <f t="shared" si="220"/>
        <v>9.0750000000000011</v>
      </c>
      <c r="Y382" s="257">
        <f t="shared" si="221"/>
        <v>12.430000000000003</v>
      </c>
    </row>
    <row r="383" spans="1:25" x14ac:dyDescent="0.25">
      <c r="A383" s="99" t="s">
        <v>20</v>
      </c>
      <c r="B383" s="4">
        <f t="shared" si="198"/>
        <v>4.495000000000001</v>
      </c>
      <c r="C383" s="2">
        <f t="shared" si="199"/>
        <v>9.09</v>
      </c>
      <c r="D383" s="2">
        <f t="shared" si="200"/>
        <v>12.73</v>
      </c>
      <c r="E383" s="5">
        <f t="shared" si="201"/>
        <v>17.34</v>
      </c>
      <c r="F383" s="4">
        <f t="shared" si="202"/>
        <v>5.6349999999999989</v>
      </c>
      <c r="G383" s="2">
        <f t="shared" si="203"/>
        <v>9.09</v>
      </c>
      <c r="H383" s="2">
        <f t="shared" si="204"/>
        <v>12.73</v>
      </c>
      <c r="I383" s="95">
        <f t="shared" si="205"/>
        <v>15.83</v>
      </c>
      <c r="J383" s="4">
        <f t="shared" si="206"/>
        <v>6.1450000000000005</v>
      </c>
      <c r="K383" s="2">
        <f t="shared" si="207"/>
        <v>11.840000000000002</v>
      </c>
      <c r="L383" s="2">
        <f t="shared" si="208"/>
        <v>16.579999999999998</v>
      </c>
      <c r="M383" s="5">
        <f t="shared" si="209"/>
        <v>22.340000000000003</v>
      </c>
      <c r="N383" s="4">
        <f t="shared" si="210"/>
        <v>7.5999999999999979</v>
      </c>
      <c r="O383" s="2">
        <f t="shared" si="211"/>
        <v>11.840000000000002</v>
      </c>
      <c r="P383" s="2">
        <f t="shared" si="212"/>
        <v>16.579999999999998</v>
      </c>
      <c r="Q383" s="257">
        <f t="shared" si="213"/>
        <v>20.43</v>
      </c>
      <c r="R383" s="255">
        <f t="shared" si="214"/>
        <v>2.1950000000000003</v>
      </c>
      <c r="S383" s="256">
        <f t="shared" si="215"/>
        <v>6.0149999999999997</v>
      </c>
      <c r="T383" s="256">
        <f t="shared" si="216"/>
        <v>10.755000000000001</v>
      </c>
      <c r="U383" s="257">
        <f t="shared" si="217"/>
        <v>16.215000000000003</v>
      </c>
      <c r="V383" s="255">
        <f t="shared" si="218"/>
        <v>3.1250000000000009</v>
      </c>
      <c r="W383" s="256">
        <f t="shared" si="219"/>
        <v>6.0149999999999997</v>
      </c>
      <c r="X383" s="256">
        <f t="shared" si="220"/>
        <v>10.755000000000001</v>
      </c>
      <c r="Y383" s="257">
        <f t="shared" si="221"/>
        <v>14.430000000000003</v>
      </c>
    </row>
    <row r="384" spans="1:25" x14ac:dyDescent="0.25">
      <c r="A384" s="99" t="s">
        <v>21</v>
      </c>
      <c r="B384" s="4">
        <f t="shared" si="198"/>
        <v>5.26</v>
      </c>
      <c r="C384" s="2">
        <f t="shared" si="199"/>
        <v>10.350000000000001</v>
      </c>
      <c r="D384" s="2">
        <f t="shared" si="200"/>
        <v>14.66</v>
      </c>
      <c r="E384" s="5">
        <f t="shared" si="201"/>
        <v>20.655000000000001</v>
      </c>
      <c r="F384" s="4">
        <f t="shared" si="202"/>
        <v>6.8349999999999991</v>
      </c>
      <c r="G384" s="2">
        <f t="shared" si="203"/>
        <v>10.350000000000001</v>
      </c>
      <c r="H384" s="2">
        <f t="shared" si="204"/>
        <v>14.66</v>
      </c>
      <c r="I384" s="95">
        <f t="shared" si="205"/>
        <v>18.63</v>
      </c>
      <c r="J384" s="4">
        <f t="shared" si="206"/>
        <v>4.22</v>
      </c>
      <c r="K384" s="2">
        <f t="shared" si="207"/>
        <v>9.89</v>
      </c>
      <c r="L384" s="2">
        <f t="shared" si="208"/>
        <v>15.18</v>
      </c>
      <c r="M384" s="5">
        <f t="shared" si="209"/>
        <v>21.215000000000003</v>
      </c>
      <c r="N384" s="4">
        <f t="shared" si="210"/>
        <v>5.6749999999999989</v>
      </c>
      <c r="O384" s="2">
        <f t="shared" si="211"/>
        <v>9.89</v>
      </c>
      <c r="P384" s="2">
        <f t="shared" si="212"/>
        <v>15.18</v>
      </c>
      <c r="Q384" s="257">
        <f t="shared" si="213"/>
        <v>19.23</v>
      </c>
      <c r="R384" s="255">
        <f t="shared" si="214"/>
        <v>4.495000000000001</v>
      </c>
      <c r="S384" s="256">
        <f t="shared" si="215"/>
        <v>9.09</v>
      </c>
      <c r="T384" s="256">
        <f t="shared" si="216"/>
        <v>12.73</v>
      </c>
      <c r="U384" s="257">
        <f t="shared" si="217"/>
        <v>17.34</v>
      </c>
      <c r="V384" s="255">
        <f t="shared" si="218"/>
        <v>5.6349999999999989</v>
      </c>
      <c r="W384" s="256">
        <f t="shared" si="219"/>
        <v>9.09</v>
      </c>
      <c r="X384" s="256">
        <f t="shared" si="220"/>
        <v>12.73</v>
      </c>
      <c r="Y384" s="257">
        <f t="shared" si="221"/>
        <v>15.83</v>
      </c>
    </row>
    <row r="385" spans="1:40" x14ac:dyDescent="0.25">
      <c r="A385" s="99" t="s">
        <v>23</v>
      </c>
      <c r="B385" s="4">
        <f t="shared" si="198"/>
        <v>4.45</v>
      </c>
      <c r="C385" s="2">
        <f t="shared" si="199"/>
        <v>8.3250000000000011</v>
      </c>
      <c r="D385" s="2">
        <f t="shared" si="200"/>
        <v>13.395</v>
      </c>
      <c r="E385" s="5">
        <f t="shared" si="201"/>
        <v>20.310000000000002</v>
      </c>
      <c r="F385" s="4">
        <f t="shared" si="202"/>
        <v>5.6650000000000009</v>
      </c>
      <c r="G385" s="2">
        <f t="shared" si="203"/>
        <v>8.3250000000000011</v>
      </c>
      <c r="H385" s="2">
        <f t="shared" si="204"/>
        <v>13.395</v>
      </c>
      <c r="I385" s="95">
        <f t="shared" si="205"/>
        <v>17.96</v>
      </c>
      <c r="J385" s="4">
        <f t="shared" si="206"/>
        <v>5.0450000000000008</v>
      </c>
      <c r="K385" s="2">
        <f t="shared" si="207"/>
        <v>11.015000000000001</v>
      </c>
      <c r="L385" s="2">
        <f t="shared" si="208"/>
        <v>15.754999999999999</v>
      </c>
      <c r="M385" s="5">
        <f t="shared" si="209"/>
        <v>21.215</v>
      </c>
      <c r="N385" s="4">
        <f t="shared" si="210"/>
        <v>6.5749999999999993</v>
      </c>
      <c r="O385" s="2">
        <f t="shared" si="211"/>
        <v>11.015000000000001</v>
      </c>
      <c r="P385" s="2">
        <f t="shared" si="212"/>
        <v>15.754999999999999</v>
      </c>
      <c r="Q385" s="257">
        <f t="shared" si="213"/>
        <v>19.430000000000003</v>
      </c>
      <c r="R385" s="255">
        <f t="shared" si="214"/>
        <v>2.57</v>
      </c>
      <c r="S385" s="256">
        <f t="shared" si="215"/>
        <v>7.14</v>
      </c>
      <c r="T385" s="256">
        <f t="shared" si="216"/>
        <v>11.33</v>
      </c>
      <c r="U385" s="257">
        <f t="shared" si="217"/>
        <v>16.215</v>
      </c>
      <c r="V385" s="255">
        <f t="shared" si="218"/>
        <v>3.7099999999999991</v>
      </c>
      <c r="W385" s="256">
        <f t="shared" si="219"/>
        <v>7.14</v>
      </c>
      <c r="X385" s="256">
        <f t="shared" si="220"/>
        <v>11.33</v>
      </c>
      <c r="Y385" s="257">
        <f t="shared" si="221"/>
        <v>14.63</v>
      </c>
    </row>
    <row r="386" spans="1:40" ht="15.75" thickBot="1" x14ac:dyDescent="0.3">
      <c r="A386" s="100" t="s">
        <v>24</v>
      </c>
      <c r="B386" s="96">
        <f t="shared" si="198"/>
        <v>2.1950000000000003</v>
      </c>
      <c r="C386" s="59">
        <f t="shared" si="199"/>
        <v>6.0150000000000006</v>
      </c>
      <c r="D386" s="59">
        <f t="shared" si="200"/>
        <v>10.754999999999999</v>
      </c>
      <c r="E386" s="63">
        <f t="shared" si="201"/>
        <v>16.215</v>
      </c>
      <c r="F386" s="96">
        <f t="shared" si="202"/>
        <v>3.1250000000000009</v>
      </c>
      <c r="G386" s="59">
        <f t="shared" si="203"/>
        <v>6.0150000000000006</v>
      </c>
      <c r="H386" s="59">
        <f t="shared" si="204"/>
        <v>10.754999999999999</v>
      </c>
      <c r="I386" s="102">
        <f t="shared" si="205"/>
        <v>14.430000000000003</v>
      </c>
      <c r="J386" s="96">
        <f t="shared" si="206"/>
        <v>5.0450000000000008</v>
      </c>
      <c r="K386" s="59">
        <f t="shared" si="207"/>
        <v>11.015000000000001</v>
      </c>
      <c r="L386" s="59">
        <f t="shared" si="208"/>
        <v>15.754999999999999</v>
      </c>
      <c r="M386" s="63">
        <f t="shared" si="209"/>
        <v>21.215</v>
      </c>
      <c r="N386" s="96">
        <f t="shared" si="210"/>
        <v>6.5749999999999993</v>
      </c>
      <c r="O386" s="59">
        <f t="shared" si="211"/>
        <v>11.015000000000001</v>
      </c>
      <c r="P386" s="59">
        <f t="shared" si="212"/>
        <v>15.754999999999999</v>
      </c>
      <c r="Q386" s="260">
        <f t="shared" si="213"/>
        <v>19.430000000000003</v>
      </c>
      <c r="R386" s="258">
        <f t="shared" si="214"/>
        <v>4.22</v>
      </c>
      <c r="S386" s="259">
        <f t="shared" si="215"/>
        <v>8.7900000000000009</v>
      </c>
      <c r="T386" s="259">
        <f t="shared" si="216"/>
        <v>12.98</v>
      </c>
      <c r="U386" s="260">
        <f t="shared" si="217"/>
        <v>18.465</v>
      </c>
      <c r="V386" s="258">
        <f t="shared" si="218"/>
        <v>5.5289999999999981</v>
      </c>
      <c r="W386" s="259">
        <f t="shared" si="219"/>
        <v>8.7900000000000009</v>
      </c>
      <c r="X386" s="259">
        <f t="shared" si="220"/>
        <v>12.98</v>
      </c>
      <c r="Y386" s="260">
        <f t="shared" si="221"/>
        <v>16.63</v>
      </c>
    </row>
    <row r="388" spans="1:40" ht="15.75" thickBot="1" x14ac:dyDescent="0.3">
      <c r="A388" s="1" t="s">
        <v>146</v>
      </c>
      <c r="AH388" s="245">
        <v>0.8</v>
      </c>
    </row>
    <row r="389" spans="1:40" ht="15.75" thickBot="1" x14ac:dyDescent="0.3">
      <c r="A389" s="213" t="s">
        <v>27</v>
      </c>
      <c r="B389" s="209" t="s">
        <v>143</v>
      </c>
      <c r="C389" s="215"/>
      <c r="D389" s="215"/>
      <c r="E389" s="215"/>
      <c r="F389" s="215"/>
      <c r="G389" s="215"/>
      <c r="H389" s="215"/>
      <c r="I389" s="216"/>
      <c r="J389" s="209" t="s">
        <v>144</v>
      </c>
      <c r="K389" s="215"/>
      <c r="L389" s="215"/>
      <c r="M389" s="215"/>
      <c r="N389" s="215"/>
      <c r="O389" s="215"/>
      <c r="P389" s="215"/>
      <c r="Q389" s="216"/>
      <c r="R389" s="302" t="s">
        <v>147</v>
      </c>
      <c r="S389" s="303"/>
      <c r="T389" s="303"/>
      <c r="U389" s="303"/>
      <c r="V389" s="303"/>
      <c r="W389" s="303"/>
      <c r="X389" s="303"/>
      <c r="Y389" s="304"/>
      <c r="Z389" s="210" t="s">
        <v>145</v>
      </c>
      <c r="AA389" s="211"/>
      <c r="AB389" s="211"/>
      <c r="AC389" s="211"/>
      <c r="AD389" s="211"/>
      <c r="AE389" s="211"/>
      <c r="AF389" s="211"/>
      <c r="AG389" s="212"/>
      <c r="AH389" s="264" t="s">
        <v>82</v>
      </c>
      <c r="AI389" s="265"/>
      <c r="AJ389" s="265"/>
      <c r="AK389" s="266"/>
      <c r="AL389" s="267" t="s">
        <v>84</v>
      </c>
      <c r="AM389" s="268"/>
      <c r="AN389" s="269" t="s">
        <v>87</v>
      </c>
    </row>
    <row r="390" spans="1:40" ht="31.5" customHeight="1" thickBot="1" x14ac:dyDescent="0.3">
      <c r="A390" s="214"/>
      <c r="B390" s="236" t="s">
        <v>3</v>
      </c>
      <c r="C390" s="200"/>
      <c r="D390" s="200"/>
      <c r="E390" s="201"/>
      <c r="F390" s="209" t="s">
        <v>4</v>
      </c>
      <c r="G390" s="207"/>
      <c r="H390" s="207"/>
      <c r="I390" s="208"/>
      <c r="J390" s="206" t="s">
        <v>3</v>
      </c>
      <c r="K390" s="207"/>
      <c r="L390" s="207"/>
      <c r="M390" s="208"/>
      <c r="N390" s="209" t="s">
        <v>4</v>
      </c>
      <c r="O390" s="207"/>
      <c r="P390" s="207"/>
      <c r="Q390" s="208"/>
      <c r="R390" s="305" t="s">
        <v>3</v>
      </c>
      <c r="S390" s="306"/>
      <c r="T390" s="306"/>
      <c r="U390" s="307"/>
      <c r="V390" s="302" t="s">
        <v>4</v>
      </c>
      <c r="W390" s="306"/>
      <c r="X390" s="306"/>
      <c r="Y390" s="307"/>
      <c r="Z390" s="210" t="s">
        <v>3</v>
      </c>
      <c r="AA390" s="211"/>
      <c r="AB390" s="211"/>
      <c r="AC390" s="212"/>
      <c r="AD390" s="210" t="s">
        <v>4</v>
      </c>
      <c r="AE390" s="211"/>
      <c r="AF390" s="211"/>
      <c r="AG390" s="212"/>
      <c r="AH390" s="270" t="s">
        <v>83</v>
      </c>
      <c r="AI390" s="271"/>
      <c r="AJ390" s="270" t="s">
        <v>5</v>
      </c>
      <c r="AK390" s="272"/>
      <c r="AL390" s="273" t="s">
        <v>85</v>
      </c>
      <c r="AM390" s="273" t="s">
        <v>86</v>
      </c>
      <c r="AN390" s="274"/>
    </row>
    <row r="391" spans="1:40" x14ac:dyDescent="0.25">
      <c r="A391" s="168" t="s">
        <v>25</v>
      </c>
      <c r="B391" s="172">
        <f>B377*$B362</f>
        <v>1.8548089912523533</v>
      </c>
      <c r="C391" s="173">
        <f t="shared" ref="C391:E391" si="222">C377*$B362</f>
        <v>3.6177388993466946</v>
      </c>
      <c r="D391" s="173">
        <f t="shared" si="222"/>
        <v>4.5394009522754954</v>
      </c>
      <c r="E391" s="174">
        <f t="shared" si="222"/>
        <v>5.9305076957147609</v>
      </c>
      <c r="F391" s="172">
        <f>F377*$B362</f>
        <v>2.3888561621082931</v>
      </c>
      <c r="G391" s="173">
        <f t="shared" ref="G391:I391" si="223">G377*$B362</f>
        <v>3.6177388993466946</v>
      </c>
      <c r="H391" s="173">
        <f t="shared" si="223"/>
        <v>4.5394009522754954</v>
      </c>
      <c r="I391" s="174">
        <f t="shared" si="223"/>
        <v>5.4639342265529844</v>
      </c>
      <c r="J391" s="172">
        <f>J377*$C362</f>
        <v>1.5537039087587197</v>
      </c>
      <c r="K391" s="175">
        <f t="shared" ref="K391:M391" si="224">K377*$C362</f>
        <v>3.6412634259771894</v>
      </c>
      <c r="L391" s="175">
        <f t="shared" si="224"/>
        <v>5.5889159561510349</v>
      </c>
      <c r="M391" s="176">
        <f t="shared" si="224"/>
        <v>7.8108598161886844</v>
      </c>
      <c r="N391" s="172">
        <f>N377*$C362</f>
        <v>2.0894003986269509</v>
      </c>
      <c r="O391" s="175">
        <f t="shared" ref="O391:Q391" si="225">O377*$C362</f>
        <v>3.6412634259771894</v>
      </c>
      <c r="P391" s="175">
        <f t="shared" si="225"/>
        <v>5.5889159561510349</v>
      </c>
      <c r="Q391" s="323">
        <f t="shared" si="225"/>
        <v>7.0800298970213706</v>
      </c>
      <c r="R391" s="324">
        <f>R377*$D362</f>
        <v>1.7390194884287455</v>
      </c>
      <c r="S391" s="325">
        <f t="shared" ref="S391:U391" si="226">S377*$D362</f>
        <v>3.4177161997563941</v>
      </c>
      <c r="T391" s="325">
        <f t="shared" si="226"/>
        <v>4.6724299634591953</v>
      </c>
      <c r="U391" s="323">
        <f t="shared" si="226"/>
        <v>6.3649147381242379</v>
      </c>
      <c r="V391" s="324">
        <f>V377*$D362</f>
        <v>2.2160864799025575</v>
      </c>
      <c r="W391" s="325">
        <f t="shared" ref="W391:Y391" si="227">W377*$D362</f>
        <v>3.4177161997563941</v>
      </c>
      <c r="X391" s="325">
        <f t="shared" si="227"/>
        <v>4.6724299634591953</v>
      </c>
      <c r="Y391" s="323">
        <f t="shared" si="227"/>
        <v>5.8013276492082824</v>
      </c>
      <c r="Z391" s="15">
        <f>B391+J391+R391</f>
        <v>5.1475323884398181</v>
      </c>
      <c r="AA391" s="16">
        <f t="shared" ref="AA391:AG400" si="228">C391+K391+S391</f>
        <v>10.676718525080279</v>
      </c>
      <c r="AB391" s="16">
        <f t="shared" si="228"/>
        <v>14.800746871885725</v>
      </c>
      <c r="AC391" s="17">
        <f t="shared" si="228"/>
        <v>20.106282250027682</v>
      </c>
      <c r="AD391" s="15">
        <f t="shared" si="228"/>
        <v>6.6943430406378015</v>
      </c>
      <c r="AE391" s="16">
        <f t="shared" si="228"/>
        <v>10.676718525080279</v>
      </c>
      <c r="AF391" s="308">
        <f t="shared" si="228"/>
        <v>14.800746871885725</v>
      </c>
      <c r="AG391" s="309">
        <f t="shared" si="228"/>
        <v>18.345291772782637</v>
      </c>
      <c r="AH391" s="288">
        <f>AH$388*AA391+(1-AH$388)*Z391</f>
        <v>9.5708812977521873</v>
      </c>
      <c r="AI391" s="287">
        <f>AH$388*AB391+(1-AH$388)*AC391</f>
        <v>15.861853947514117</v>
      </c>
      <c r="AJ391" s="288">
        <f>AH$388*AE391+(1-AH$388)*AD391</f>
        <v>9.8802434281917844</v>
      </c>
      <c r="AK391" s="287">
        <f>AH$388*AF391+(1-AH$388)*AG391</f>
        <v>15.509655852065107</v>
      </c>
      <c r="AL391" s="288">
        <f>(AH391+AI391)/2</f>
        <v>12.716367622633152</v>
      </c>
      <c r="AM391" s="287">
        <f>(AJ391+AK391)/2</f>
        <v>12.694949640128446</v>
      </c>
      <c r="AN391" s="289">
        <f>(AL391+AM391)/2</f>
        <v>12.7056586313808</v>
      </c>
    </row>
    <row r="392" spans="1:40" x14ac:dyDescent="0.25">
      <c r="A392" s="169" t="s">
        <v>14</v>
      </c>
      <c r="B392" s="136">
        <f t="shared" ref="B392:F400" si="229">B378*$B363</f>
        <v>0.43443743182172362</v>
      </c>
      <c r="C392" s="130">
        <f t="shared" si="229"/>
        <v>1.6756872370266478</v>
      </c>
      <c r="D392" s="130">
        <f t="shared" si="229"/>
        <v>3.4134369643135414</v>
      </c>
      <c r="E392" s="137">
        <f t="shared" si="229"/>
        <v>5.2753116721209281</v>
      </c>
      <c r="F392" s="136">
        <f t="shared" si="229"/>
        <v>0.68419193808113887</v>
      </c>
      <c r="G392" s="130">
        <f t="shared" ref="G392:I392" si="230">G378*$B363</f>
        <v>1.6756872370266478</v>
      </c>
      <c r="H392" s="130">
        <f t="shared" si="230"/>
        <v>3.4134369643135414</v>
      </c>
      <c r="I392" s="137">
        <f t="shared" si="230"/>
        <v>4.6753742662718825</v>
      </c>
      <c r="J392" s="15">
        <f t="shared" ref="J392:N400" si="231">J378*$C363</f>
        <v>0.31660355306217869</v>
      </c>
      <c r="K392" s="171">
        <f t="shared" si="231"/>
        <v>1.522712326632383</v>
      </c>
      <c r="L392" s="171">
        <f t="shared" si="231"/>
        <v>3.0906537322736485</v>
      </c>
      <c r="M392" s="177">
        <f t="shared" si="231"/>
        <v>4.5982896992364042</v>
      </c>
      <c r="N392" s="15">
        <f t="shared" si="231"/>
        <v>0.53863721365123918</v>
      </c>
      <c r="O392" s="171">
        <f t="shared" ref="O392:Q392" si="232">O378*$C363</f>
        <v>1.522712326632383</v>
      </c>
      <c r="P392" s="171">
        <f t="shared" si="232"/>
        <v>3.0906537322736485</v>
      </c>
      <c r="Q392" s="326">
        <f t="shared" si="232"/>
        <v>4.1199579242636757</v>
      </c>
      <c r="R392" s="310">
        <f t="shared" ref="R392:V400" si="233">R378*$D363</f>
        <v>0.21159757934652745</v>
      </c>
      <c r="S392" s="327">
        <f t="shared" si="233"/>
        <v>1.2695854760791652</v>
      </c>
      <c r="T392" s="327">
        <f t="shared" si="233"/>
        <v>2.8854215365435563</v>
      </c>
      <c r="U392" s="326">
        <f t="shared" si="233"/>
        <v>4.5117500389590157</v>
      </c>
      <c r="V392" s="310">
        <f t="shared" si="233"/>
        <v>0.35849176666147214</v>
      </c>
      <c r="W392" s="327">
        <f t="shared" ref="W392:Y392" si="234">W378*$D363</f>
        <v>1.2695854760791652</v>
      </c>
      <c r="X392" s="327">
        <f t="shared" si="234"/>
        <v>2.8854215365435563</v>
      </c>
      <c r="Y392" s="326">
        <f t="shared" si="234"/>
        <v>3.9976203833567094</v>
      </c>
      <c r="Z392" s="136">
        <f t="shared" ref="Z392:Z400" si="235">B392+J392+R392</f>
        <v>0.96263856423042982</v>
      </c>
      <c r="AA392" s="130">
        <f t="shared" si="228"/>
        <v>4.4679850397381955</v>
      </c>
      <c r="AB392" s="130">
        <f t="shared" si="228"/>
        <v>9.3895122331307448</v>
      </c>
      <c r="AC392" s="137">
        <f t="shared" si="228"/>
        <v>14.385351410316346</v>
      </c>
      <c r="AD392" s="136">
        <f t="shared" si="228"/>
        <v>1.5813209183938504</v>
      </c>
      <c r="AE392" s="130">
        <f t="shared" si="228"/>
        <v>4.4679850397381955</v>
      </c>
      <c r="AF392" s="312">
        <f t="shared" si="228"/>
        <v>9.3895122331307448</v>
      </c>
      <c r="AG392" s="313">
        <f t="shared" si="228"/>
        <v>12.792952573892267</v>
      </c>
      <c r="AH392" s="291">
        <f t="shared" ref="AH392:AH400" si="236">AH$388*AA392+(1-AH$388)*Z392</f>
        <v>3.7669157446366426</v>
      </c>
      <c r="AI392" s="290">
        <f t="shared" ref="AI392:AI400" si="237">AH$388*AB392+(1-AH$388)*AC392</f>
        <v>10.388680068567865</v>
      </c>
      <c r="AJ392" s="291">
        <f t="shared" ref="AJ392:AJ400" si="238">AH$388*AE392+(1-AH$388)*AD392</f>
        <v>3.8906522154693266</v>
      </c>
      <c r="AK392" s="290">
        <f t="shared" ref="AK392:AK400" si="239">AH$388*AF392+(1-AH$388)*AG392</f>
        <v>10.07020030128305</v>
      </c>
      <c r="AL392" s="291">
        <f t="shared" ref="AL392:AL400" si="240">(AH392+AI392)/2</f>
        <v>7.0777979066022541</v>
      </c>
      <c r="AM392" s="290">
        <f t="shared" ref="AM392:AM400" si="241">(AJ392+AK392)/2</f>
        <v>6.9804262583761885</v>
      </c>
      <c r="AN392" s="292">
        <f t="shared" ref="AN392:AN400" si="242">(AL392+AM392)/2</f>
        <v>7.0291120824892213</v>
      </c>
    </row>
    <row r="393" spans="1:40" x14ac:dyDescent="0.25">
      <c r="A393" s="169" t="s">
        <v>15</v>
      </c>
      <c r="B393" s="136">
        <f t="shared" si="229"/>
        <v>1.4213636363636364</v>
      </c>
      <c r="C393" s="130">
        <f t="shared" si="229"/>
        <v>2.6285491905354919</v>
      </c>
      <c r="D393" s="130">
        <f t="shared" si="229"/>
        <v>4.4977397260273975</v>
      </c>
      <c r="E393" s="137">
        <f t="shared" si="229"/>
        <v>7.0678767123287667</v>
      </c>
      <c r="F393" s="136">
        <f t="shared" si="229"/>
        <v>1.7983878636929693</v>
      </c>
      <c r="G393" s="130">
        <f t="shared" ref="G393:I393" si="243">G379*$B364</f>
        <v>2.6285491905354919</v>
      </c>
      <c r="H393" s="130">
        <f t="shared" si="243"/>
        <v>4.4977397260273975</v>
      </c>
      <c r="I393" s="137">
        <f t="shared" si="243"/>
        <v>6.1916936488169352</v>
      </c>
      <c r="J393" s="15">
        <f t="shared" si="231"/>
        <v>1.8008264462809922</v>
      </c>
      <c r="K393" s="171">
        <f t="shared" si="231"/>
        <v>3.2871249858485232</v>
      </c>
      <c r="L393" s="171">
        <f t="shared" si="231"/>
        <v>4.5378359560738142</v>
      </c>
      <c r="M393" s="177">
        <f t="shared" si="231"/>
        <v>6.2436873089550566</v>
      </c>
      <c r="N393" s="15">
        <f t="shared" si="231"/>
        <v>2.2485661723083887</v>
      </c>
      <c r="O393" s="171">
        <f t="shared" ref="O393:Q393" si="244">O379*$C364</f>
        <v>3.2871249858485232</v>
      </c>
      <c r="P393" s="171">
        <f t="shared" si="244"/>
        <v>4.5378359560738142</v>
      </c>
      <c r="Q393" s="326">
        <f t="shared" si="244"/>
        <v>5.6639692063851479</v>
      </c>
      <c r="R393" s="310">
        <f t="shared" si="233"/>
        <v>1.9266132684252235</v>
      </c>
      <c r="S393" s="327">
        <f t="shared" si="233"/>
        <v>3.7733669195063966</v>
      </c>
      <c r="T393" s="327">
        <f t="shared" si="233"/>
        <v>5.5781942714819435</v>
      </c>
      <c r="U393" s="326">
        <f t="shared" si="233"/>
        <v>8.1097441412883526</v>
      </c>
      <c r="V393" s="310">
        <f t="shared" si="233"/>
        <v>2.4956130420015845</v>
      </c>
      <c r="W393" s="327">
        <f t="shared" ref="W393:Y393" si="245">W379*$D364</f>
        <v>3.7733669195063966</v>
      </c>
      <c r="X393" s="327">
        <f t="shared" si="245"/>
        <v>5.5781942714819435</v>
      </c>
      <c r="Y393" s="326">
        <f t="shared" si="245"/>
        <v>7.2512532548398045</v>
      </c>
      <c r="Z393" s="136">
        <f t="shared" si="235"/>
        <v>5.1488033510698514</v>
      </c>
      <c r="AA393" s="130">
        <f t="shared" si="228"/>
        <v>9.6890410958904116</v>
      </c>
      <c r="AB393" s="130">
        <f t="shared" si="228"/>
        <v>14.613769953583155</v>
      </c>
      <c r="AC393" s="137">
        <f t="shared" si="228"/>
        <v>21.421308162572174</v>
      </c>
      <c r="AD393" s="136">
        <f t="shared" si="228"/>
        <v>6.5425670780029428</v>
      </c>
      <c r="AE393" s="130">
        <f t="shared" si="228"/>
        <v>9.6890410958904116</v>
      </c>
      <c r="AF393" s="312">
        <f t="shared" si="228"/>
        <v>14.613769953583155</v>
      </c>
      <c r="AG393" s="313">
        <f t="shared" si="228"/>
        <v>19.106916110041887</v>
      </c>
      <c r="AH393" s="291">
        <f t="shared" si="236"/>
        <v>8.7809935469263003</v>
      </c>
      <c r="AI393" s="290">
        <f t="shared" si="237"/>
        <v>15.975277595380959</v>
      </c>
      <c r="AJ393" s="291">
        <f t="shared" si="238"/>
        <v>9.0597462923129175</v>
      </c>
      <c r="AK393" s="290">
        <f t="shared" si="239"/>
        <v>15.512399184874901</v>
      </c>
      <c r="AL393" s="291">
        <f t="shared" si="240"/>
        <v>12.37813557115363</v>
      </c>
      <c r="AM393" s="290">
        <f t="shared" si="241"/>
        <v>12.286072738593909</v>
      </c>
      <c r="AN393" s="292">
        <f t="shared" si="242"/>
        <v>12.332104154873768</v>
      </c>
    </row>
    <row r="394" spans="1:40" x14ac:dyDescent="0.25">
      <c r="A394" s="169" t="s">
        <v>16</v>
      </c>
      <c r="B394" s="136">
        <f t="shared" si="229"/>
        <v>2.1067332727823196</v>
      </c>
      <c r="C394" s="130">
        <f t="shared" si="229"/>
        <v>3.9431335149863753</v>
      </c>
      <c r="D394" s="130">
        <f t="shared" si="229"/>
        <v>5.4234399031183775</v>
      </c>
      <c r="E394" s="137">
        <f t="shared" si="229"/>
        <v>7.5730535876475917</v>
      </c>
      <c r="F394" s="136">
        <f t="shared" si="229"/>
        <v>2.6660429912201029</v>
      </c>
      <c r="G394" s="130">
        <f t="shared" ref="G394:I394" si="246">G380*$B365</f>
        <v>3.9431335149863753</v>
      </c>
      <c r="H394" s="130">
        <f t="shared" si="246"/>
        <v>5.4234399031183775</v>
      </c>
      <c r="I394" s="137">
        <f t="shared" si="246"/>
        <v>6.8459509536784733</v>
      </c>
      <c r="J394" s="15">
        <f t="shared" si="231"/>
        <v>1.9981017257039055</v>
      </c>
      <c r="K394" s="171">
        <f t="shared" si="231"/>
        <v>3.8498819255222525</v>
      </c>
      <c r="L394" s="171">
        <f t="shared" si="231"/>
        <v>5.3911353315168018</v>
      </c>
      <c r="M394" s="177">
        <f t="shared" si="231"/>
        <v>7.2640508628519536</v>
      </c>
      <c r="N394" s="15">
        <f t="shared" si="231"/>
        <v>2.4712079927338775</v>
      </c>
      <c r="O394" s="171">
        <f t="shared" ref="O394:Q394" si="247">O380*$C365</f>
        <v>3.8498819255222525</v>
      </c>
      <c r="P394" s="171">
        <f t="shared" si="247"/>
        <v>5.3911353315168018</v>
      </c>
      <c r="Q394" s="326">
        <f t="shared" si="247"/>
        <v>6.6429972752043591</v>
      </c>
      <c r="R394" s="310">
        <f t="shared" si="233"/>
        <v>0.66281955797759617</v>
      </c>
      <c r="S394" s="327">
        <f t="shared" si="233"/>
        <v>1.8163369663941871</v>
      </c>
      <c r="T394" s="327">
        <f t="shared" si="233"/>
        <v>3.24766485013624</v>
      </c>
      <c r="U394" s="326">
        <f t="shared" si="233"/>
        <v>4.8964096276112636</v>
      </c>
      <c r="V394" s="310">
        <f t="shared" si="233"/>
        <v>0.94364971238268269</v>
      </c>
      <c r="W394" s="327">
        <f t="shared" ref="W394:Y394" si="248">W380*$D365</f>
        <v>1.8163369663941871</v>
      </c>
      <c r="X394" s="327">
        <f t="shared" si="248"/>
        <v>3.24766485013624</v>
      </c>
      <c r="Y394" s="326">
        <f t="shared" si="248"/>
        <v>4.3573969118982756</v>
      </c>
      <c r="Z394" s="136">
        <f t="shared" si="235"/>
        <v>4.767654556463822</v>
      </c>
      <c r="AA394" s="130">
        <f t="shared" si="228"/>
        <v>9.6093524069028149</v>
      </c>
      <c r="AB394" s="130">
        <f t="shared" si="228"/>
        <v>14.062240084771418</v>
      </c>
      <c r="AC394" s="137">
        <f t="shared" si="228"/>
        <v>19.733514078110808</v>
      </c>
      <c r="AD394" s="136">
        <f t="shared" si="228"/>
        <v>6.0809006963366627</v>
      </c>
      <c r="AE394" s="130">
        <f t="shared" si="228"/>
        <v>9.6093524069028149</v>
      </c>
      <c r="AF394" s="312">
        <f t="shared" si="228"/>
        <v>14.062240084771418</v>
      </c>
      <c r="AG394" s="313">
        <f t="shared" si="228"/>
        <v>17.846345140781111</v>
      </c>
      <c r="AH394" s="291">
        <f t="shared" si="236"/>
        <v>8.6410128368150172</v>
      </c>
      <c r="AI394" s="290">
        <f t="shared" si="237"/>
        <v>15.196494883439295</v>
      </c>
      <c r="AJ394" s="291">
        <f t="shared" si="238"/>
        <v>8.9036620647895859</v>
      </c>
      <c r="AK394" s="290">
        <f t="shared" si="239"/>
        <v>14.819061095973355</v>
      </c>
      <c r="AL394" s="291">
        <f t="shared" si="240"/>
        <v>11.918753860127156</v>
      </c>
      <c r="AM394" s="290">
        <f t="shared" si="241"/>
        <v>11.86136158038147</v>
      </c>
      <c r="AN394" s="292">
        <f t="shared" si="242"/>
        <v>11.890057720254312</v>
      </c>
    </row>
    <row r="395" spans="1:40" x14ac:dyDescent="0.25">
      <c r="A395" s="169" t="s">
        <v>18</v>
      </c>
      <c r="B395" s="136">
        <f t="shared" si="229"/>
        <v>1.7302245618305745</v>
      </c>
      <c r="C395" s="130">
        <f t="shared" si="229"/>
        <v>3.2368807814021423</v>
      </c>
      <c r="D395" s="130">
        <f t="shared" si="229"/>
        <v>5.2081703383641669</v>
      </c>
      <c r="E395" s="137">
        <f t="shared" si="229"/>
        <v>7.8968226630963976</v>
      </c>
      <c r="F395" s="136">
        <f t="shared" si="229"/>
        <v>2.2026341893865631</v>
      </c>
      <c r="G395" s="130">
        <f t="shared" ref="G395:I395" si="249">G381*$B366</f>
        <v>3.2368807814021423</v>
      </c>
      <c r="H395" s="130">
        <f t="shared" si="249"/>
        <v>5.2081703383641669</v>
      </c>
      <c r="I395" s="137">
        <f t="shared" si="249"/>
        <v>6.9831085686465437</v>
      </c>
      <c r="J395" s="15">
        <f t="shared" si="231"/>
        <v>1.7970119279454722</v>
      </c>
      <c r="K395" s="171">
        <f t="shared" si="231"/>
        <v>3.2801621835443036</v>
      </c>
      <c r="L395" s="171">
        <f t="shared" si="231"/>
        <v>4.5282238924050624</v>
      </c>
      <c r="M395" s="177">
        <f t="shared" si="231"/>
        <v>6.230461903602726</v>
      </c>
      <c r="N395" s="15">
        <f t="shared" si="231"/>
        <v>2.2438032497565716</v>
      </c>
      <c r="O395" s="171">
        <f t="shared" ref="O395:Q395" si="250">O381*$C366</f>
        <v>3.2801621835443036</v>
      </c>
      <c r="P395" s="171">
        <f t="shared" si="250"/>
        <v>4.5282238924050624</v>
      </c>
      <c r="Q395" s="326">
        <f t="shared" si="250"/>
        <v>5.6519717624147994</v>
      </c>
      <c r="R395" s="310">
        <f t="shared" si="233"/>
        <v>0.93810004868549157</v>
      </c>
      <c r="S395" s="327">
        <f t="shared" si="233"/>
        <v>2.6062390457643616</v>
      </c>
      <c r="T395" s="327">
        <f t="shared" si="233"/>
        <v>4.1356706426484902</v>
      </c>
      <c r="U395" s="326">
        <f t="shared" si="233"/>
        <v>5.9187907740993175</v>
      </c>
      <c r="V395" s="310">
        <f t="shared" si="233"/>
        <v>1.3542222492697171</v>
      </c>
      <c r="W395" s="327">
        <f t="shared" ref="W395:Y395" si="251">W381*$D366</f>
        <v>2.6062390457643616</v>
      </c>
      <c r="X395" s="327">
        <f t="shared" si="251"/>
        <v>4.1356706426484902</v>
      </c>
      <c r="Y395" s="326">
        <f t="shared" si="251"/>
        <v>5.3402349074975657</v>
      </c>
      <c r="Z395" s="136">
        <f t="shared" si="235"/>
        <v>4.4653365384615382</v>
      </c>
      <c r="AA395" s="130">
        <f t="shared" si="228"/>
        <v>9.1232820107108079</v>
      </c>
      <c r="AB395" s="130">
        <f t="shared" si="228"/>
        <v>13.872064873417719</v>
      </c>
      <c r="AC395" s="137">
        <f t="shared" si="228"/>
        <v>20.046075340798442</v>
      </c>
      <c r="AD395" s="136">
        <f t="shared" si="228"/>
        <v>5.8006596884128516</v>
      </c>
      <c r="AE395" s="130">
        <f t="shared" si="228"/>
        <v>9.1232820107108079</v>
      </c>
      <c r="AF395" s="312">
        <f t="shared" si="228"/>
        <v>13.872064873417719</v>
      </c>
      <c r="AG395" s="313">
        <f t="shared" si="228"/>
        <v>17.975315238558906</v>
      </c>
      <c r="AH395" s="291">
        <f t="shared" si="236"/>
        <v>8.1916929162609549</v>
      </c>
      <c r="AI395" s="290">
        <f t="shared" si="237"/>
        <v>15.106866966893865</v>
      </c>
      <c r="AJ395" s="291">
        <f t="shared" si="238"/>
        <v>8.458757546251217</v>
      </c>
      <c r="AK395" s="290">
        <f t="shared" si="239"/>
        <v>14.692714946445957</v>
      </c>
      <c r="AL395" s="291">
        <f t="shared" si="240"/>
        <v>11.64927994157741</v>
      </c>
      <c r="AM395" s="290">
        <f t="shared" si="241"/>
        <v>11.575736246348587</v>
      </c>
      <c r="AN395" s="292">
        <f t="shared" si="242"/>
        <v>11.612508093962997</v>
      </c>
    </row>
    <row r="396" spans="1:40" x14ac:dyDescent="0.25">
      <c r="A396" s="169" t="s">
        <v>19</v>
      </c>
      <c r="B396" s="136">
        <f t="shared" si="229"/>
        <v>1.6869354107281684</v>
      </c>
      <c r="C396" s="130">
        <f t="shared" si="229"/>
        <v>3.4113999740865513</v>
      </c>
      <c r="D396" s="130">
        <f t="shared" si="229"/>
        <v>4.7774611298263805</v>
      </c>
      <c r="E396" s="137">
        <f t="shared" si="229"/>
        <v>6.5075550660792958</v>
      </c>
      <c r="F396" s="136">
        <f t="shared" si="229"/>
        <v>2.1147677507126197</v>
      </c>
      <c r="G396" s="130">
        <f t="shared" ref="G396:I396" si="252">G382*$B367</f>
        <v>3.4113999740865513</v>
      </c>
      <c r="H396" s="130">
        <f t="shared" si="252"/>
        <v>4.7774611298263805</v>
      </c>
      <c r="I396" s="137">
        <f t="shared" si="252"/>
        <v>5.9408648613630479</v>
      </c>
      <c r="J396" s="15">
        <f t="shared" si="231"/>
        <v>1.7806805519564657</v>
      </c>
      <c r="K396" s="171">
        <f t="shared" si="231"/>
        <v>3.4309613889608714</v>
      </c>
      <c r="L396" s="171">
        <f t="shared" si="231"/>
        <v>4.804505053122571</v>
      </c>
      <c r="M396" s="177">
        <f t="shared" si="231"/>
        <v>6.4736214045089415</v>
      </c>
      <c r="N396" s="15">
        <f t="shared" si="231"/>
        <v>2.2023062969681262</v>
      </c>
      <c r="O396" s="171">
        <f t="shared" ref="O396:Q396" si="253">O382*$C367</f>
        <v>3.4309613889608714</v>
      </c>
      <c r="P396" s="171">
        <f t="shared" si="253"/>
        <v>4.804505053122571</v>
      </c>
      <c r="Q396" s="326">
        <f t="shared" si="253"/>
        <v>5.9201470588235301</v>
      </c>
      <c r="R396" s="310">
        <f t="shared" si="233"/>
        <v>0.38684568541072822</v>
      </c>
      <c r="S396" s="327">
        <f t="shared" si="233"/>
        <v>1.4921190722985229</v>
      </c>
      <c r="T396" s="327">
        <f t="shared" si="233"/>
        <v>3.039501813941436</v>
      </c>
      <c r="U396" s="326">
        <f t="shared" si="233"/>
        <v>4.6974118942731282</v>
      </c>
      <c r="V396" s="310">
        <f t="shared" si="233"/>
        <v>0.60924008810572716</v>
      </c>
      <c r="W396" s="327">
        <f t="shared" ref="W396:Y396" si="254">W382*$D367</f>
        <v>1.4921190722985229</v>
      </c>
      <c r="X396" s="327">
        <f t="shared" si="254"/>
        <v>3.039501813941436</v>
      </c>
      <c r="Y396" s="326">
        <f t="shared" si="254"/>
        <v>4.1631964239440276</v>
      </c>
      <c r="Z396" s="136">
        <f t="shared" si="235"/>
        <v>3.8544616480953624</v>
      </c>
      <c r="AA396" s="130">
        <f t="shared" si="228"/>
        <v>8.3344804353459452</v>
      </c>
      <c r="AB396" s="130">
        <f t="shared" si="228"/>
        <v>12.621467996890388</v>
      </c>
      <c r="AC396" s="137">
        <f t="shared" si="228"/>
        <v>17.678588364861366</v>
      </c>
      <c r="AD396" s="136">
        <f t="shared" si="228"/>
        <v>4.9263141357864733</v>
      </c>
      <c r="AE396" s="130">
        <f t="shared" si="228"/>
        <v>8.3344804353459452</v>
      </c>
      <c r="AF396" s="312">
        <f t="shared" si="228"/>
        <v>12.621467996890388</v>
      </c>
      <c r="AG396" s="313">
        <f t="shared" si="228"/>
        <v>16.024208344130606</v>
      </c>
      <c r="AH396" s="291">
        <f t="shared" si="236"/>
        <v>7.4384766778958289</v>
      </c>
      <c r="AI396" s="290">
        <f t="shared" si="237"/>
        <v>13.632892070484584</v>
      </c>
      <c r="AJ396" s="291">
        <f t="shared" si="238"/>
        <v>7.6528471754340508</v>
      </c>
      <c r="AK396" s="290">
        <f t="shared" si="239"/>
        <v>13.302016066338432</v>
      </c>
      <c r="AL396" s="291">
        <f t="shared" si="240"/>
        <v>10.535684374190206</v>
      </c>
      <c r="AM396" s="290">
        <f t="shared" si="241"/>
        <v>10.477431620886241</v>
      </c>
      <c r="AN396" s="292">
        <f t="shared" si="242"/>
        <v>10.506557997538224</v>
      </c>
    </row>
    <row r="397" spans="1:40" x14ac:dyDescent="0.25">
      <c r="A397" s="169" t="s">
        <v>20</v>
      </c>
      <c r="B397" s="136">
        <f t="shared" si="229"/>
        <v>1.72083493397359</v>
      </c>
      <c r="C397" s="130">
        <f t="shared" si="229"/>
        <v>3.4799531812725095</v>
      </c>
      <c r="D397" s="130">
        <f t="shared" si="229"/>
        <v>4.8734657863145268</v>
      </c>
      <c r="E397" s="137">
        <f t="shared" si="229"/>
        <v>6.6383265306122459</v>
      </c>
      <c r="F397" s="136">
        <f t="shared" si="229"/>
        <v>2.1572647058823526</v>
      </c>
      <c r="G397" s="130">
        <f t="shared" ref="G397:I397" si="255">G383*$B368</f>
        <v>3.4799531812725095</v>
      </c>
      <c r="H397" s="130">
        <f t="shared" si="255"/>
        <v>4.8734657863145268</v>
      </c>
      <c r="I397" s="137">
        <f t="shared" si="255"/>
        <v>6.0602484993997612</v>
      </c>
      <c r="J397" s="15">
        <f t="shared" si="231"/>
        <v>1.6266176470588236</v>
      </c>
      <c r="K397" s="171">
        <f t="shared" si="231"/>
        <v>3.1341176470588241</v>
      </c>
      <c r="L397" s="171">
        <f t="shared" si="231"/>
        <v>4.3888235294117646</v>
      </c>
      <c r="M397" s="177">
        <f t="shared" si="231"/>
        <v>5.9135294117647073</v>
      </c>
      <c r="N397" s="15">
        <f t="shared" si="231"/>
        <v>2.0117647058823525</v>
      </c>
      <c r="O397" s="171">
        <f t="shared" ref="O397:Q397" si="256">O383*$C368</f>
        <v>3.1341176470588241</v>
      </c>
      <c r="P397" s="171">
        <f t="shared" si="256"/>
        <v>4.3888235294117646</v>
      </c>
      <c r="Q397" s="326">
        <f t="shared" si="256"/>
        <v>5.4079411764705885</v>
      </c>
      <c r="R397" s="310">
        <f t="shared" si="233"/>
        <v>0.77365186074429793</v>
      </c>
      <c r="S397" s="327">
        <f t="shared" si="233"/>
        <v>2.1200528211284517</v>
      </c>
      <c r="T397" s="327">
        <f t="shared" si="233"/>
        <v>3.7907178871548628</v>
      </c>
      <c r="U397" s="326">
        <f t="shared" si="233"/>
        <v>5.7151548619447796</v>
      </c>
      <c r="V397" s="310">
        <f t="shared" si="233"/>
        <v>1.1014405762304926</v>
      </c>
      <c r="W397" s="327">
        <f t="shared" ref="W397:Y397" si="257">W383*$D368</f>
        <v>2.1200528211284517</v>
      </c>
      <c r="X397" s="327">
        <f t="shared" si="257"/>
        <v>3.7907178871548628</v>
      </c>
      <c r="Y397" s="326">
        <f t="shared" si="257"/>
        <v>5.0860120048019226</v>
      </c>
      <c r="Z397" s="136">
        <f t="shared" si="235"/>
        <v>4.121104441776712</v>
      </c>
      <c r="AA397" s="130">
        <f t="shared" si="228"/>
        <v>8.7341236494597858</v>
      </c>
      <c r="AB397" s="130">
        <f t="shared" si="228"/>
        <v>13.053007202881155</v>
      </c>
      <c r="AC397" s="137">
        <f t="shared" si="228"/>
        <v>18.267010804321732</v>
      </c>
      <c r="AD397" s="136">
        <f t="shared" si="228"/>
        <v>5.2704699879951979</v>
      </c>
      <c r="AE397" s="130">
        <f t="shared" si="228"/>
        <v>8.7341236494597858</v>
      </c>
      <c r="AF397" s="312">
        <f t="shared" si="228"/>
        <v>13.053007202881155</v>
      </c>
      <c r="AG397" s="313">
        <f t="shared" si="228"/>
        <v>16.554201680672271</v>
      </c>
      <c r="AH397" s="291">
        <f>AH$388*AA397+(1-AH$388)*Z397</f>
        <v>7.8115198079231716</v>
      </c>
      <c r="AI397" s="290">
        <f t="shared" si="237"/>
        <v>14.09580792316927</v>
      </c>
      <c r="AJ397" s="291">
        <f t="shared" si="238"/>
        <v>8.0413929171668688</v>
      </c>
      <c r="AK397" s="290">
        <f t="shared" si="239"/>
        <v>13.753246098439377</v>
      </c>
      <c r="AL397" s="291">
        <f t="shared" si="240"/>
        <v>10.95366386554622</v>
      </c>
      <c r="AM397" s="290">
        <f t="shared" si="241"/>
        <v>10.897319507803122</v>
      </c>
      <c r="AN397" s="292">
        <f t="shared" si="242"/>
        <v>10.925491686674672</v>
      </c>
    </row>
    <row r="398" spans="1:40" x14ac:dyDescent="0.25">
      <c r="A398" s="169" t="s">
        <v>21</v>
      </c>
      <c r="B398" s="136">
        <f t="shared" si="229"/>
        <v>1.7893520626283941</v>
      </c>
      <c r="C398" s="130">
        <f t="shared" si="229"/>
        <v>3.5208733551718403</v>
      </c>
      <c r="D398" s="130">
        <f t="shared" si="229"/>
        <v>4.9870534673255245</v>
      </c>
      <c r="E398" s="137">
        <f t="shared" si="229"/>
        <v>7.026438565321194</v>
      </c>
      <c r="F398" s="136">
        <f t="shared" si="229"/>
        <v>2.3251371384154127</v>
      </c>
      <c r="G398" s="130">
        <f t="shared" ref="G398:I398" si="258">G384*$B369</f>
        <v>3.5208733551718403</v>
      </c>
      <c r="H398" s="130">
        <f t="shared" si="258"/>
        <v>4.9870534673255245</v>
      </c>
      <c r="I398" s="137">
        <f t="shared" si="258"/>
        <v>6.337572039309312</v>
      </c>
      <c r="J398" s="15">
        <f t="shared" si="231"/>
        <v>1.4796124590528008</v>
      </c>
      <c r="K398" s="171">
        <f t="shared" si="231"/>
        <v>3.4676225639886735</v>
      </c>
      <c r="L398" s="171">
        <f t="shared" si="231"/>
        <v>5.3223974237965681</v>
      </c>
      <c r="M398" s="177">
        <f t="shared" si="231"/>
        <v>7.4383834878685251</v>
      </c>
      <c r="N398" s="15">
        <f t="shared" si="231"/>
        <v>1.9897632002665033</v>
      </c>
      <c r="O398" s="171">
        <f t="shared" ref="O398:Q398" si="259">O384*$C369</f>
        <v>3.4676225639886735</v>
      </c>
      <c r="P398" s="171">
        <f t="shared" si="259"/>
        <v>5.3223974237965681</v>
      </c>
      <c r="Q398" s="326">
        <f t="shared" si="259"/>
        <v>6.742404641607906</v>
      </c>
      <c r="R398" s="310">
        <f t="shared" si="233"/>
        <v>1.3898537005163514</v>
      </c>
      <c r="S398" s="327">
        <f t="shared" si="233"/>
        <v>2.810627394370107</v>
      </c>
      <c r="T398" s="327">
        <f t="shared" si="233"/>
        <v>3.936115151851646</v>
      </c>
      <c r="U398" s="326">
        <f t="shared" si="233"/>
        <v>5.3615268447060123</v>
      </c>
      <c r="V398" s="310">
        <f t="shared" si="233"/>
        <v>1.7423416245627668</v>
      </c>
      <c r="W398" s="327">
        <f t="shared" ref="W398:Y398" si="260">W384*$D369</f>
        <v>2.810627394370107</v>
      </c>
      <c r="X398" s="327">
        <f t="shared" si="260"/>
        <v>3.936115151851646</v>
      </c>
      <c r="Y398" s="326">
        <f t="shared" si="260"/>
        <v>4.8946349453111981</v>
      </c>
      <c r="Z398" s="136">
        <f t="shared" si="235"/>
        <v>4.6588182221975458</v>
      </c>
      <c r="AA398" s="130">
        <f t="shared" si="228"/>
        <v>9.7991233135306199</v>
      </c>
      <c r="AB398" s="130">
        <f t="shared" si="228"/>
        <v>14.245566042973739</v>
      </c>
      <c r="AC398" s="137">
        <f t="shared" si="228"/>
        <v>19.826348897895731</v>
      </c>
      <c r="AD398" s="136">
        <f t="shared" si="228"/>
        <v>6.0572419632446826</v>
      </c>
      <c r="AE398" s="130">
        <f t="shared" si="228"/>
        <v>9.7991233135306199</v>
      </c>
      <c r="AF398" s="312">
        <f t="shared" si="228"/>
        <v>14.245566042973739</v>
      </c>
      <c r="AG398" s="313">
        <f t="shared" si="228"/>
        <v>17.974611626228416</v>
      </c>
      <c r="AH398" s="291">
        <f t="shared" si="236"/>
        <v>8.7710622952640058</v>
      </c>
      <c r="AI398" s="290">
        <f t="shared" si="237"/>
        <v>15.361722613958136</v>
      </c>
      <c r="AJ398" s="291">
        <f t="shared" si="238"/>
        <v>9.0507470434734323</v>
      </c>
      <c r="AK398" s="290">
        <f t="shared" si="239"/>
        <v>14.991375159624674</v>
      </c>
      <c r="AL398" s="291">
        <f t="shared" si="240"/>
        <v>12.066392454611071</v>
      </c>
      <c r="AM398" s="290">
        <f t="shared" si="241"/>
        <v>12.021061101549053</v>
      </c>
      <c r="AN398" s="292">
        <f t="shared" si="242"/>
        <v>12.043726778080062</v>
      </c>
    </row>
    <row r="399" spans="1:40" x14ac:dyDescent="0.25">
      <c r="A399" s="169" t="s">
        <v>23</v>
      </c>
      <c r="B399" s="136">
        <f t="shared" si="229"/>
        <v>1.6806317984557291</v>
      </c>
      <c r="C399" s="130">
        <f t="shared" si="229"/>
        <v>3.1441033083469541</v>
      </c>
      <c r="D399" s="130">
        <f t="shared" si="229"/>
        <v>5.0588905483852784</v>
      </c>
      <c r="E399" s="137">
        <f t="shared" si="229"/>
        <v>7.670479062165362</v>
      </c>
      <c r="F399" s="136">
        <f t="shared" si="229"/>
        <v>2.1395009299442038</v>
      </c>
      <c r="G399" s="130">
        <f t="shared" ref="G399:I399" si="261">G385*$B370</f>
        <v>3.1441033083469541</v>
      </c>
      <c r="H399" s="130">
        <f t="shared" si="261"/>
        <v>5.0588905483852784</v>
      </c>
      <c r="I399" s="137">
        <f t="shared" si="261"/>
        <v>6.7829544045539087</v>
      </c>
      <c r="J399" s="15">
        <f t="shared" si="231"/>
        <v>1.4777019106126363</v>
      </c>
      <c r="K399" s="171">
        <f t="shared" si="231"/>
        <v>3.2263402468579159</v>
      </c>
      <c r="L399" s="171">
        <f t="shared" si="231"/>
        <v>4.6147063630727612</v>
      </c>
      <c r="M399" s="177">
        <f t="shared" si="231"/>
        <v>6.2139635349151776</v>
      </c>
      <c r="N399" s="15">
        <f t="shared" si="231"/>
        <v>1.9258454038212252</v>
      </c>
      <c r="O399" s="171">
        <f t="shared" ref="O399:Q399" si="262">O385*$C370</f>
        <v>3.2263402468579159</v>
      </c>
      <c r="P399" s="171">
        <f t="shared" si="262"/>
        <v>4.6147063630727612</v>
      </c>
      <c r="Q399" s="326">
        <f t="shared" si="262"/>
        <v>5.6911294595051585</v>
      </c>
      <c r="R399" s="310">
        <f t="shared" si="233"/>
        <v>0.84662402074057364</v>
      </c>
      <c r="S399" s="327">
        <f t="shared" si="233"/>
        <v>2.3520994194893761</v>
      </c>
      <c r="T399" s="327">
        <f t="shared" si="233"/>
        <v>3.732393056416615</v>
      </c>
      <c r="U399" s="326">
        <f t="shared" si="233"/>
        <v>5.3416375472017128</v>
      </c>
      <c r="V399" s="310">
        <f t="shared" si="233"/>
        <v>1.2221693062052637</v>
      </c>
      <c r="W399" s="327">
        <f t="shared" ref="W399:Y399" si="263">W385*$D370</f>
        <v>2.3520994194893761</v>
      </c>
      <c r="X399" s="327">
        <f t="shared" si="263"/>
        <v>3.732393056416615</v>
      </c>
      <c r="Y399" s="326">
        <f t="shared" si="263"/>
        <v>4.8194978301301923</v>
      </c>
      <c r="Z399" s="136">
        <f t="shared" si="235"/>
        <v>4.0049577298089396</v>
      </c>
      <c r="AA399" s="130">
        <f t="shared" si="228"/>
        <v>8.722542974694246</v>
      </c>
      <c r="AB399" s="130">
        <f t="shared" si="228"/>
        <v>13.405989967874655</v>
      </c>
      <c r="AC399" s="137">
        <f t="shared" si="228"/>
        <v>19.226080144282253</v>
      </c>
      <c r="AD399" s="136">
        <f t="shared" si="228"/>
        <v>5.2875156399706933</v>
      </c>
      <c r="AE399" s="130">
        <f t="shared" si="228"/>
        <v>8.722542974694246</v>
      </c>
      <c r="AF399" s="312">
        <f t="shared" si="228"/>
        <v>13.405989967874655</v>
      </c>
      <c r="AG399" s="313">
        <f t="shared" si="228"/>
        <v>17.29358169418926</v>
      </c>
      <c r="AH399" s="291">
        <f t="shared" si="236"/>
        <v>7.7790259257171845</v>
      </c>
      <c r="AI399" s="290">
        <f t="shared" si="237"/>
        <v>14.570008003156175</v>
      </c>
      <c r="AJ399" s="291">
        <f t="shared" si="238"/>
        <v>8.0355375077495346</v>
      </c>
      <c r="AK399" s="290">
        <f t="shared" si="239"/>
        <v>14.183508313137576</v>
      </c>
      <c r="AL399" s="291">
        <f t="shared" si="240"/>
        <v>11.17451696443668</v>
      </c>
      <c r="AM399" s="290">
        <f t="shared" si="241"/>
        <v>11.109522910443555</v>
      </c>
      <c r="AN399" s="292">
        <f t="shared" si="242"/>
        <v>11.142019937440118</v>
      </c>
    </row>
    <row r="400" spans="1:40" ht="15.75" thickBot="1" x14ac:dyDescent="0.3">
      <c r="A400" s="170" t="s">
        <v>24</v>
      </c>
      <c r="B400" s="139">
        <f t="shared" si="229"/>
        <v>0.65159404708012691</v>
      </c>
      <c r="C400" s="140">
        <f t="shared" si="229"/>
        <v>1.7855754866455411</v>
      </c>
      <c r="D400" s="140">
        <f t="shared" si="229"/>
        <v>3.1926624038026254</v>
      </c>
      <c r="E400" s="141">
        <f>E386*$B371</f>
        <v>4.813484042553192</v>
      </c>
      <c r="F400" s="139">
        <f t="shared" ref="F400:I400" si="264">F386*$B371</f>
        <v>0.92766806247170697</v>
      </c>
      <c r="G400" s="140">
        <f t="shared" si="264"/>
        <v>1.7855754866455411</v>
      </c>
      <c r="H400" s="140">
        <f t="shared" si="264"/>
        <v>3.1926624038026254</v>
      </c>
      <c r="I400" s="141">
        <f t="shared" si="264"/>
        <v>4.2836000452693535</v>
      </c>
      <c r="J400" s="178">
        <f t="shared" si="231"/>
        <v>1.5387364191942057</v>
      </c>
      <c r="K400" s="179">
        <f t="shared" si="231"/>
        <v>3.3595999320959709</v>
      </c>
      <c r="L400" s="179">
        <f t="shared" si="231"/>
        <v>4.8053106609325473</v>
      </c>
      <c r="M400" s="146">
        <f t="shared" si="231"/>
        <v>6.4706230194658207</v>
      </c>
      <c r="N400" s="178">
        <f t="shared" si="231"/>
        <v>2.0053898822996827</v>
      </c>
      <c r="O400" s="179">
        <f t="shared" ref="O400:Q400" si="265">O386*$C371</f>
        <v>3.3595999320959709</v>
      </c>
      <c r="P400" s="179">
        <f t="shared" si="265"/>
        <v>4.8053106609325473</v>
      </c>
      <c r="Q400" s="293">
        <f t="shared" si="265"/>
        <v>5.926193979176098</v>
      </c>
      <c r="R400" s="328">
        <f t="shared" si="233"/>
        <v>1.6801674966047986</v>
      </c>
      <c r="S400" s="329">
        <f t="shared" si="233"/>
        <v>3.4996853779990951</v>
      </c>
      <c r="T400" s="329">
        <f t="shared" si="233"/>
        <v>5.1679085559076512</v>
      </c>
      <c r="U400" s="293">
        <f t="shared" si="233"/>
        <v>7.3517281575373472</v>
      </c>
      <c r="V400" s="328">
        <f t="shared" si="233"/>
        <v>2.2013379357175187</v>
      </c>
      <c r="W400" s="329">
        <f t="shared" ref="W400:Y400" si="266">W386*$D371</f>
        <v>3.4996853779990951</v>
      </c>
      <c r="X400" s="329">
        <f t="shared" si="266"/>
        <v>5.1679085559076512</v>
      </c>
      <c r="Y400" s="293">
        <f t="shared" si="266"/>
        <v>6.621133997283839</v>
      </c>
      <c r="Z400" s="139">
        <f t="shared" si="235"/>
        <v>3.8704979628791309</v>
      </c>
      <c r="AA400" s="140">
        <f t="shared" si="228"/>
        <v>8.6448607967406073</v>
      </c>
      <c r="AB400" s="140">
        <f t="shared" si="228"/>
        <v>13.165881620642825</v>
      </c>
      <c r="AC400" s="141">
        <f t="shared" si="228"/>
        <v>18.635835219556359</v>
      </c>
      <c r="AD400" s="139">
        <f t="shared" si="228"/>
        <v>5.134395880488908</v>
      </c>
      <c r="AE400" s="140">
        <f t="shared" si="228"/>
        <v>8.6448607967406073</v>
      </c>
      <c r="AF400" s="316">
        <f t="shared" si="228"/>
        <v>13.165881620642825</v>
      </c>
      <c r="AG400" s="317">
        <f t="shared" si="228"/>
        <v>16.830928021729289</v>
      </c>
      <c r="AH400" s="294">
        <f t="shared" si="236"/>
        <v>7.6899882299683124</v>
      </c>
      <c r="AI400" s="293">
        <f t="shared" si="237"/>
        <v>14.259872340425531</v>
      </c>
      <c r="AJ400" s="294">
        <f t="shared" si="238"/>
        <v>7.9427678134902671</v>
      </c>
      <c r="AK400" s="293">
        <f t="shared" si="239"/>
        <v>13.898890900860117</v>
      </c>
      <c r="AL400" s="294">
        <f t="shared" si="240"/>
        <v>10.974930285196923</v>
      </c>
      <c r="AM400" s="293">
        <f t="shared" si="241"/>
        <v>10.920829357175192</v>
      </c>
      <c r="AN400" s="295">
        <f t="shared" si="242"/>
        <v>10.947879821186056</v>
      </c>
    </row>
    <row r="402" spans="1:3" ht="15.75" thickBot="1" x14ac:dyDescent="0.3">
      <c r="A402" s="1" t="s">
        <v>184</v>
      </c>
    </row>
    <row r="403" spans="1:3" x14ac:dyDescent="0.25">
      <c r="A403" s="213" t="s">
        <v>27</v>
      </c>
      <c r="B403" s="213" t="s">
        <v>172</v>
      </c>
    </row>
    <row r="404" spans="1:3" x14ac:dyDescent="0.25">
      <c r="A404" s="231"/>
      <c r="B404" s="231"/>
      <c r="C404" t="s">
        <v>185</v>
      </c>
    </row>
    <row r="405" spans="1:3" x14ac:dyDescent="0.25">
      <c r="A405" s="41" t="s">
        <v>25</v>
      </c>
      <c r="B405" s="125">
        <v>12.7056586313808</v>
      </c>
      <c r="C405" s="164">
        <v>12.706</v>
      </c>
    </row>
    <row r="406" spans="1:3" x14ac:dyDescent="0.25">
      <c r="A406" s="41" t="s">
        <v>15</v>
      </c>
      <c r="B406" s="125">
        <v>12.332104154873768</v>
      </c>
      <c r="C406" s="164">
        <v>12.333</v>
      </c>
    </row>
    <row r="407" spans="1:3" x14ac:dyDescent="0.25">
      <c r="A407" s="41" t="s">
        <v>21</v>
      </c>
      <c r="B407" s="125">
        <v>12.043726778080062</v>
      </c>
      <c r="C407" s="164">
        <v>12.044</v>
      </c>
    </row>
    <row r="408" spans="1:3" x14ac:dyDescent="0.25">
      <c r="A408" s="41" t="s">
        <v>16</v>
      </c>
      <c r="B408" s="125">
        <v>11.890057720254312</v>
      </c>
      <c r="C408" s="164">
        <v>11.89</v>
      </c>
    </row>
    <row r="409" spans="1:3" x14ac:dyDescent="0.25">
      <c r="A409" s="41" t="s">
        <v>18</v>
      </c>
      <c r="B409" s="125">
        <v>11.612508093962997</v>
      </c>
      <c r="C409" s="164">
        <v>11.614000000000001</v>
      </c>
    </row>
    <row r="410" spans="1:3" x14ac:dyDescent="0.25">
      <c r="A410" s="41" t="s">
        <v>23</v>
      </c>
      <c r="B410" s="125">
        <v>11.142019937440118</v>
      </c>
      <c r="C410" s="164">
        <v>11.143000000000001</v>
      </c>
    </row>
    <row r="411" spans="1:3" x14ac:dyDescent="0.25">
      <c r="A411" s="41" t="s">
        <v>24</v>
      </c>
      <c r="B411" s="125">
        <v>10.947879821186056</v>
      </c>
      <c r="C411" s="164">
        <v>10.948</v>
      </c>
    </row>
    <row r="412" spans="1:3" x14ac:dyDescent="0.25">
      <c r="A412" s="41" t="s">
        <v>20</v>
      </c>
      <c r="B412" s="125">
        <v>10.925491686674672</v>
      </c>
      <c r="C412" s="164">
        <v>10.926</v>
      </c>
    </row>
    <row r="413" spans="1:3" x14ac:dyDescent="0.25">
      <c r="A413" s="41" t="s">
        <v>19</v>
      </c>
      <c r="B413" s="125">
        <v>10.506557997538224</v>
      </c>
      <c r="C413" s="164">
        <v>10.505000000000001</v>
      </c>
    </row>
    <row r="414" spans="1:3" x14ac:dyDescent="0.25">
      <c r="A414" s="41" t="s">
        <v>14</v>
      </c>
      <c r="B414" s="125">
        <v>7.0291120824892213</v>
      </c>
      <c r="C414" s="164">
        <v>7.03</v>
      </c>
    </row>
  </sheetData>
  <sortState xmlns:xlrd2="http://schemas.microsoft.com/office/spreadsheetml/2017/richdata2" ref="A405:B414">
    <sortCondition descending="1" ref="B405:B414"/>
  </sortState>
  <mergeCells count="140">
    <mergeCell ref="A3:E3"/>
    <mergeCell ref="A5:E5"/>
    <mergeCell ref="A10:A11"/>
    <mergeCell ref="B10:B11"/>
    <mergeCell ref="C10:C11"/>
    <mergeCell ref="D10:F10"/>
    <mergeCell ref="G10:I10"/>
    <mergeCell ref="J10:J11"/>
    <mergeCell ref="K10:R10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Q63:BR63"/>
    <mergeCell ref="BG63:BJ63"/>
    <mergeCell ref="BK63:BN63"/>
    <mergeCell ref="BO63:BP63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A114:A115"/>
    <mergeCell ref="B114:B115"/>
    <mergeCell ref="C114:C115"/>
    <mergeCell ref="D114:F114"/>
    <mergeCell ref="G114:I114"/>
    <mergeCell ref="J114:J115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G115:BJ115"/>
    <mergeCell ref="BK115:BN115"/>
    <mergeCell ref="BO115:BP115"/>
    <mergeCell ref="BQ115:BR115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J375:Q375"/>
    <mergeCell ref="R375:Y375"/>
    <mergeCell ref="B376:E376"/>
    <mergeCell ref="F376:I376"/>
    <mergeCell ref="J376:M376"/>
    <mergeCell ref="N376:Q376"/>
    <mergeCell ref="R376:U376"/>
    <mergeCell ref="V376:Y376"/>
    <mergeCell ref="A175:I175"/>
    <mergeCell ref="A176:D176"/>
    <mergeCell ref="A218:I218"/>
    <mergeCell ref="A219:D219"/>
    <mergeCell ref="A403:A404"/>
    <mergeCell ref="B403:B404"/>
    <mergeCell ref="A261:I261"/>
    <mergeCell ref="A262:D262"/>
    <mergeCell ref="AL389:AM389"/>
    <mergeCell ref="AN389:AN390"/>
    <mergeCell ref="B390:E390"/>
    <mergeCell ref="F390:I390"/>
    <mergeCell ref="J390:M390"/>
    <mergeCell ref="N390:Q390"/>
    <mergeCell ref="R390:U390"/>
    <mergeCell ref="V390:Y390"/>
    <mergeCell ref="Z390:AC390"/>
    <mergeCell ref="AD390:AG390"/>
    <mergeCell ref="A389:A390"/>
    <mergeCell ref="B389:I389"/>
    <mergeCell ref="J389:Q389"/>
    <mergeCell ref="R389:Y389"/>
    <mergeCell ref="Z389:AG389"/>
    <mergeCell ref="AH389:AK389"/>
    <mergeCell ref="AH390:AI390"/>
    <mergeCell ref="AJ390:AK390"/>
    <mergeCell ref="A375:A376"/>
    <mergeCell ref="B375:I375"/>
  </mergeCells>
  <hyperlinks>
    <hyperlink ref="B2" r:id="rId1" xr:uid="{8170F1F6-6CF0-4C36-873C-59BD9FAD94B8}"/>
    <hyperlink ref="B4" r:id="rId2" xr:uid="{05EE53DE-C99A-4B8A-BA65-7C17F6AD540F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J126"/>
  <sheetViews>
    <sheetView topLeftCell="B104" zoomScaleNormal="100" workbookViewId="0">
      <selection activeCell="F104" sqref="F104:F113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26" t="s">
        <v>230</v>
      </c>
      <c r="B3" s="227"/>
      <c r="C3" s="227"/>
      <c r="D3" s="228"/>
      <c r="E3" s="228"/>
    </row>
    <row r="4" spans="1:10" ht="15.75" x14ac:dyDescent="0.25">
      <c r="A4" s="82"/>
      <c r="B4" s="38"/>
      <c r="C4" s="38"/>
    </row>
    <row r="5" spans="1:10" ht="15.75" x14ac:dyDescent="0.25">
      <c r="A5" s="82"/>
      <c r="B5" s="38"/>
      <c r="C5" s="38"/>
    </row>
    <row r="6" spans="1:10" ht="18.75" x14ac:dyDescent="0.3">
      <c r="A6" s="85" t="s">
        <v>91</v>
      </c>
      <c r="B6" s="38"/>
      <c r="C6" s="38"/>
    </row>
    <row r="7" spans="1:10" x14ac:dyDescent="0.25">
      <c r="A7" s="1" t="s">
        <v>49</v>
      </c>
      <c r="B7" s="38"/>
      <c r="C7" s="38"/>
    </row>
    <row r="8" spans="1:10" x14ac:dyDescent="0.25">
      <c r="A8" s="39" t="s">
        <v>94</v>
      </c>
      <c r="B8" s="38"/>
      <c r="C8" s="38"/>
    </row>
    <row r="9" spans="1:10" ht="75.75" customHeight="1" x14ac:dyDescent="0.25">
      <c r="A9" s="222" t="s">
        <v>26</v>
      </c>
      <c r="B9" s="222" t="s">
        <v>27</v>
      </c>
      <c r="C9" s="222" t="s">
        <v>28</v>
      </c>
      <c r="D9" s="222" t="s">
        <v>58</v>
      </c>
      <c r="E9" s="222"/>
      <c r="F9" s="222"/>
      <c r="G9" s="222" t="s">
        <v>59</v>
      </c>
      <c r="H9" s="222"/>
      <c r="I9" s="222"/>
      <c r="J9" s="222" t="s">
        <v>54</v>
      </c>
    </row>
    <row r="10" spans="1:10" s="36" customFormat="1" ht="18" customHeight="1" x14ac:dyDescent="0.25">
      <c r="A10" s="222"/>
      <c r="B10" s="222"/>
      <c r="C10" s="222"/>
      <c r="D10" s="46" t="s">
        <v>50</v>
      </c>
      <c r="E10" s="46" t="s">
        <v>51</v>
      </c>
      <c r="F10" s="46" t="s">
        <v>52</v>
      </c>
      <c r="G10" s="46" t="s">
        <v>50</v>
      </c>
      <c r="H10" s="46" t="s">
        <v>51</v>
      </c>
      <c r="I10" s="46" t="s">
        <v>52</v>
      </c>
      <c r="J10" s="222"/>
    </row>
    <row r="11" spans="1:10" ht="30" x14ac:dyDescent="0.25">
      <c r="A11" s="41" t="s">
        <v>0</v>
      </c>
      <c r="B11" s="41" t="s">
        <v>25</v>
      </c>
      <c r="C11" s="42" t="s">
        <v>13</v>
      </c>
      <c r="D11" s="92" t="s">
        <v>44</v>
      </c>
      <c r="E11" s="92" t="s">
        <v>45</v>
      </c>
      <c r="F11" s="92" t="s">
        <v>44</v>
      </c>
      <c r="G11" s="49">
        <f>IF(D11=$A$24,$B$24,(IF(D11=$A$25,$B$25,IF(D11=$A$26,$B$26,$B$27))))</f>
        <v>1</v>
      </c>
      <c r="H11" s="49">
        <f t="shared" ref="H11:I20" si="0">IF(E11=$A$24,$B$24,(IF(E11=$A$25,$B$25,IF(E11=$A$26,$B$26,$B$27))))</f>
        <v>0.66</v>
      </c>
      <c r="I11" s="49">
        <f t="shared" si="0"/>
        <v>1</v>
      </c>
      <c r="J11" s="2">
        <f>G11*$D$31+H11*$D$32+I11*$D$33</f>
        <v>14.15</v>
      </c>
    </row>
    <row r="12" spans="1:10" x14ac:dyDescent="0.25">
      <c r="A12" s="41" t="s">
        <v>1</v>
      </c>
      <c r="B12" s="41" t="s">
        <v>14</v>
      </c>
      <c r="C12" s="42" t="s">
        <v>29</v>
      </c>
      <c r="D12" s="92" t="s">
        <v>46</v>
      </c>
      <c r="E12" s="92" t="s">
        <v>46</v>
      </c>
      <c r="F12" s="92" t="s">
        <v>45</v>
      </c>
      <c r="G12" s="49">
        <f>IF(D12=$A$24,$B$24,(IF(D12=$A$25,$B$25,IF(D12=$A$26,$B$26,$B$27))))</f>
        <v>0.33</v>
      </c>
      <c r="H12" s="49">
        <f t="shared" si="0"/>
        <v>0.33</v>
      </c>
      <c r="I12" s="49">
        <f t="shared" si="0"/>
        <v>0.66</v>
      </c>
      <c r="J12" s="2">
        <f t="shared" ref="J12:J20" si="1">G12*$D$31+H12*$D$32+I12*$D$33</f>
        <v>6.6000000000000005</v>
      </c>
    </row>
    <row r="13" spans="1:10" x14ac:dyDescent="0.25">
      <c r="A13" s="41" t="s">
        <v>2</v>
      </c>
      <c r="B13" s="41" t="s">
        <v>15</v>
      </c>
      <c r="C13" s="42" t="s">
        <v>30</v>
      </c>
      <c r="D13" s="92" t="s">
        <v>45</v>
      </c>
      <c r="E13" s="92" t="s">
        <v>45</v>
      </c>
      <c r="F13" s="92" t="s">
        <v>45</v>
      </c>
      <c r="G13" s="49">
        <f t="shared" ref="G13:G20" si="2">IF(D13=$A$24,$B$24,(IF(D13=$A$25,$B$25,IF(D13=$A$26,$B$26,$B$27))))</f>
        <v>0.66</v>
      </c>
      <c r="H13" s="49">
        <f t="shared" si="0"/>
        <v>0.66</v>
      </c>
      <c r="I13" s="49">
        <f t="shared" si="0"/>
        <v>0.66</v>
      </c>
      <c r="J13" s="2">
        <f t="shared" si="1"/>
        <v>9.9</v>
      </c>
    </row>
    <row r="14" spans="1:10" x14ac:dyDescent="0.25">
      <c r="A14" s="41" t="s">
        <v>6</v>
      </c>
      <c r="B14" s="41" t="s">
        <v>16</v>
      </c>
      <c r="C14" s="42" t="s">
        <v>17</v>
      </c>
      <c r="D14" s="92" t="s">
        <v>44</v>
      </c>
      <c r="E14" s="92" t="s">
        <v>45</v>
      </c>
      <c r="F14" s="92" t="s">
        <v>45</v>
      </c>
      <c r="G14" s="49">
        <f t="shared" si="2"/>
        <v>1</v>
      </c>
      <c r="H14" s="49">
        <f t="shared" si="0"/>
        <v>0.66</v>
      </c>
      <c r="I14" s="49">
        <f t="shared" si="0"/>
        <v>0.66</v>
      </c>
      <c r="J14" s="2">
        <f t="shared" si="1"/>
        <v>12.450000000000001</v>
      </c>
    </row>
    <row r="15" spans="1:10" ht="30" x14ac:dyDescent="0.25">
      <c r="A15" s="41" t="s">
        <v>7</v>
      </c>
      <c r="B15" s="41" t="s">
        <v>18</v>
      </c>
      <c r="C15" s="42" t="s">
        <v>31</v>
      </c>
      <c r="D15" s="92" t="s">
        <v>45</v>
      </c>
      <c r="E15" s="92" t="s">
        <v>44</v>
      </c>
      <c r="F15" s="92" t="s">
        <v>45</v>
      </c>
      <c r="G15" s="49">
        <f t="shared" si="2"/>
        <v>0.66</v>
      </c>
      <c r="H15" s="49">
        <f t="shared" si="0"/>
        <v>1</v>
      </c>
      <c r="I15" s="49">
        <f t="shared" si="0"/>
        <v>0.66</v>
      </c>
      <c r="J15" s="2">
        <f t="shared" si="1"/>
        <v>10.75</v>
      </c>
    </row>
    <row r="16" spans="1:10" x14ac:dyDescent="0.25">
      <c r="A16" s="41" t="s">
        <v>8</v>
      </c>
      <c r="B16" s="41" t="s">
        <v>19</v>
      </c>
      <c r="C16" s="42" t="s">
        <v>32</v>
      </c>
      <c r="D16" s="92" t="s">
        <v>44</v>
      </c>
      <c r="E16" s="92" t="s">
        <v>45</v>
      </c>
      <c r="F16" s="92" t="s">
        <v>46</v>
      </c>
      <c r="G16" s="49">
        <f t="shared" si="2"/>
        <v>1</v>
      </c>
      <c r="H16" s="49">
        <f t="shared" si="0"/>
        <v>0.66</v>
      </c>
      <c r="I16" s="49">
        <f t="shared" si="0"/>
        <v>0.33</v>
      </c>
      <c r="J16" s="2">
        <f t="shared" si="1"/>
        <v>10.8</v>
      </c>
    </row>
    <row r="17" spans="1:10" ht="30" x14ac:dyDescent="0.25">
      <c r="A17" s="41" t="s">
        <v>9</v>
      </c>
      <c r="B17" s="41" t="s">
        <v>20</v>
      </c>
      <c r="C17" s="42" t="s">
        <v>33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10</v>
      </c>
      <c r="B18" s="41" t="s">
        <v>21</v>
      </c>
      <c r="C18" s="42" t="s">
        <v>22</v>
      </c>
      <c r="D18" s="92" t="s">
        <v>45</v>
      </c>
      <c r="E18" s="92" t="s">
        <v>44</v>
      </c>
      <c r="F18" s="92" t="s">
        <v>44</v>
      </c>
      <c r="G18" s="49">
        <f t="shared" si="2"/>
        <v>0.66</v>
      </c>
      <c r="H18" s="49">
        <f t="shared" si="0"/>
        <v>1</v>
      </c>
      <c r="I18" s="49">
        <f t="shared" si="0"/>
        <v>1</v>
      </c>
      <c r="J18" s="2">
        <f t="shared" si="1"/>
        <v>12.45</v>
      </c>
    </row>
    <row r="19" spans="1:10" ht="35.25" customHeight="1" x14ac:dyDescent="0.25">
      <c r="A19" s="41" t="s">
        <v>11</v>
      </c>
      <c r="B19" s="41" t="s">
        <v>23</v>
      </c>
      <c r="C19" s="42" t="s">
        <v>34</v>
      </c>
      <c r="D19" s="92" t="s">
        <v>45</v>
      </c>
      <c r="E19" s="92" t="s">
        <v>44</v>
      </c>
      <c r="F19" s="92" t="s">
        <v>45</v>
      </c>
      <c r="G19" s="49">
        <f t="shared" si="2"/>
        <v>0.66</v>
      </c>
      <c r="H19" s="49">
        <f t="shared" si="0"/>
        <v>1</v>
      </c>
      <c r="I19" s="49">
        <f t="shared" si="0"/>
        <v>0.66</v>
      </c>
      <c r="J19" s="2">
        <f t="shared" si="1"/>
        <v>10.75</v>
      </c>
    </row>
    <row r="20" spans="1:10" ht="30" x14ac:dyDescent="0.25">
      <c r="A20" s="41" t="s">
        <v>12</v>
      </c>
      <c r="B20" s="41" t="s">
        <v>24</v>
      </c>
      <c r="C20" s="42" t="s">
        <v>35</v>
      </c>
      <c r="D20" s="92" t="s">
        <v>46</v>
      </c>
      <c r="E20" s="92" t="s">
        <v>44</v>
      </c>
      <c r="F20" s="92" t="s">
        <v>45</v>
      </c>
      <c r="G20" s="49">
        <f t="shared" si="2"/>
        <v>0.33</v>
      </c>
      <c r="H20" s="49">
        <f t="shared" si="0"/>
        <v>1</v>
      </c>
      <c r="I20" s="49">
        <f t="shared" si="0"/>
        <v>0.66</v>
      </c>
      <c r="J20" s="2">
        <f t="shared" si="1"/>
        <v>8.2750000000000004</v>
      </c>
    </row>
    <row r="22" spans="1:10" x14ac:dyDescent="0.25">
      <c r="A22" s="39" t="s">
        <v>95</v>
      </c>
    </row>
    <row r="23" spans="1:10" x14ac:dyDescent="0.25">
      <c r="A23" s="46" t="s">
        <v>43</v>
      </c>
      <c r="B23" s="47" t="s">
        <v>55</v>
      </c>
      <c r="C23" s="47" t="s">
        <v>56</v>
      </c>
    </row>
    <row r="24" spans="1:10" x14ac:dyDescent="0.25">
      <c r="A24" s="41" t="s">
        <v>44</v>
      </c>
      <c r="B24" s="2">
        <v>1</v>
      </c>
      <c r="C24" s="2">
        <v>7.5</v>
      </c>
    </row>
    <row r="25" spans="1:10" x14ac:dyDescent="0.25">
      <c r="A25" s="41" t="s">
        <v>45</v>
      </c>
      <c r="B25" s="2">
        <v>0.66</v>
      </c>
      <c r="C25" s="2">
        <v>5</v>
      </c>
    </row>
    <row r="26" spans="1:10" x14ac:dyDescent="0.25">
      <c r="A26" s="41" t="s">
        <v>46</v>
      </c>
      <c r="B26" s="2">
        <v>0.33</v>
      </c>
      <c r="C26" s="2">
        <v>2.5</v>
      </c>
    </row>
    <row r="27" spans="1:10" x14ac:dyDescent="0.25">
      <c r="A27" s="41" t="s">
        <v>47</v>
      </c>
      <c r="B27" s="2">
        <v>0</v>
      </c>
      <c r="C27" s="2">
        <v>1</v>
      </c>
    </row>
    <row r="29" spans="1:10" x14ac:dyDescent="0.25">
      <c r="A29" s="39" t="s">
        <v>96</v>
      </c>
    </row>
    <row r="30" spans="1:10" ht="60.75" thickBot="1" x14ac:dyDescent="0.3">
      <c r="A30" s="46" t="s">
        <v>53</v>
      </c>
      <c r="B30" s="47" t="s">
        <v>39</v>
      </c>
      <c r="C30" s="46" t="s">
        <v>48</v>
      </c>
      <c r="D30" s="48" t="s">
        <v>105</v>
      </c>
    </row>
    <row r="31" spans="1:10" x14ac:dyDescent="0.25">
      <c r="A31" s="64" t="s">
        <v>50</v>
      </c>
      <c r="B31" s="43" t="s">
        <v>40</v>
      </c>
      <c r="C31" s="2" t="s">
        <v>44</v>
      </c>
      <c r="D31" s="86">
        <v>7.5</v>
      </c>
    </row>
    <row r="32" spans="1:10" x14ac:dyDescent="0.25">
      <c r="A32" s="65" t="s">
        <v>51</v>
      </c>
      <c r="B32" s="43" t="s">
        <v>41</v>
      </c>
      <c r="C32" s="2" t="s">
        <v>46</v>
      </c>
      <c r="D32" s="86">
        <v>2.5</v>
      </c>
    </row>
    <row r="33" spans="1:10" ht="15.75" thickBot="1" x14ac:dyDescent="0.3">
      <c r="A33" s="66" t="s">
        <v>52</v>
      </c>
      <c r="B33" s="43" t="s">
        <v>42</v>
      </c>
      <c r="C33" s="2" t="s">
        <v>45</v>
      </c>
      <c r="D33" s="86">
        <v>5</v>
      </c>
    </row>
    <row r="36" spans="1:10" ht="18.75" x14ac:dyDescent="0.3">
      <c r="A36" s="85" t="s">
        <v>92</v>
      </c>
      <c r="B36" s="38"/>
      <c r="C36" s="38"/>
    </row>
    <row r="37" spans="1:10" x14ac:dyDescent="0.25">
      <c r="A37" s="1" t="s">
        <v>49</v>
      </c>
      <c r="B37" s="38"/>
      <c r="C37" s="38"/>
    </row>
    <row r="38" spans="1:10" x14ac:dyDescent="0.25">
      <c r="A38" s="39" t="s">
        <v>97</v>
      </c>
      <c r="B38" s="38"/>
      <c r="C38" s="38"/>
    </row>
    <row r="39" spans="1:10" ht="75.75" customHeight="1" x14ac:dyDescent="0.25">
      <c r="A39" s="222" t="s">
        <v>26</v>
      </c>
      <c r="B39" s="222" t="s">
        <v>27</v>
      </c>
      <c r="C39" s="222" t="s">
        <v>28</v>
      </c>
      <c r="D39" s="222" t="s">
        <v>58</v>
      </c>
      <c r="E39" s="222"/>
      <c r="F39" s="222"/>
      <c r="G39" s="222" t="s">
        <v>59</v>
      </c>
      <c r="H39" s="222"/>
      <c r="I39" s="222"/>
      <c r="J39" s="222" t="s">
        <v>54</v>
      </c>
    </row>
    <row r="40" spans="1:10" s="36" customFormat="1" ht="18" customHeight="1" x14ac:dyDescent="0.25">
      <c r="A40" s="222"/>
      <c r="B40" s="222"/>
      <c r="C40" s="222"/>
      <c r="D40" s="46" t="s">
        <v>50</v>
      </c>
      <c r="E40" s="46" t="s">
        <v>51</v>
      </c>
      <c r="F40" s="46" t="s">
        <v>52</v>
      </c>
      <c r="G40" s="46" t="s">
        <v>50</v>
      </c>
      <c r="H40" s="46" t="s">
        <v>51</v>
      </c>
      <c r="I40" s="46" t="s">
        <v>52</v>
      </c>
      <c r="J40" s="222"/>
    </row>
    <row r="41" spans="1:10" ht="30" x14ac:dyDescent="0.25">
      <c r="A41" s="41" t="s">
        <v>0</v>
      </c>
      <c r="B41" s="41" t="s">
        <v>25</v>
      </c>
      <c r="C41" s="42" t="s">
        <v>13</v>
      </c>
      <c r="D41" s="92" t="s">
        <v>46</v>
      </c>
      <c r="E41" s="92" t="s">
        <v>45</v>
      </c>
      <c r="F41" s="92" t="s">
        <v>44</v>
      </c>
      <c r="G41" s="49">
        <f>IF(D41=$A$24,$B$24,(IF(D41=$A$25,$B$25,IF(D41=$A$26,$B$26,$B$27))))</f>
        <v>0.33</v>
      </c>
      <c r="H41" s="49">
        <f t="shared" ref="H41:H50" si="3">IF(E41=$A$24,$B$24,(IF(E41=$A$25,$B$25,IF(E41=$A$26,$B$26,$B$27))))</f>
        <v>0.66</v>
      </c>
      <c r="I41" s="49">
        <f t="shared" ref="I41:I50" si="4">IF(F41=$A$24,$B$24,(IF(F41=$A$25,$B$25,IF(F41=$A$26,$B$26,$B$27))))</f>
        <v>1</v>
      </c>
      <c r="J41" s="2">
        <f>G41*$D$61+H41*$D$62+I41*$D$63</f>
        <v>12.425000000000001</v>
      </c>
    </row>
    <row r="42" spans="1:10" x14ac:dyDescent="0.25">
      <c r="A42" s="41" t="s">
        <v>1</v>
      </c>
      <c r="B42" s="41" t="s">
        <v>14</v>
      </c>
      <c r="C42" s="42" t="s">
        <v>29</v>
      </c>
      <c r="D42" s="92" t="s">
        <v>46</v>
      </c>
      <c r="E42" s="92" t="s">
        <v>46</v>
      </c>
      <c r="F42" s="92" t="s">
        <v>45</v>
      </c>
      <c r="G42" s="49">
        <f>IF(D42=$A$24,$B$24,(IF(D42=$A$25,$B$25,IF(D42=$A$26,$B$26,$B$27))))</f>
        <v>0.33</v>
      </c>
      <c r="H42" s="49">
        <f t="shared" si="3"/>
        <v>0.33</v>
      </c>
      <c r="I42" s="49">
        <f t="shared" si="4"/>
        <v>0.66</v>
      </c>
      <c r="J42" s="2">
        <f t="shared" ref="J42:J50" si="5">G42*$D$61+H42*$D$62+I42*$D$63</f>
        <v>8.25</v>
      </c>
    </row>
    <row r="43" spans="1:10" x14ac:dyDescent="0.25">
      <c r="A43" s="41" t="s">
        <v>2</v>
      </c>
      <c r="B43" s="41" t="s">
        <v>15</v>
      </c>
      <c r="C43" s="42" t="s">
        <v>30</v>
      </c>
      <c r="D43" s="92" t="s">
        <v>45</v>
      </c>
      <c r="E43" s="92" t="s">
        <v>44</v>
      </c>
      <c r="F43" s="92" t="s">
        <v>45</v>
      </c>
      <c r="G43" s="49">
        <f t="shared" ref="G43:G50" si="6">IF(D43=$A$24,$B$24,(IF(D43=$A$25,$B$25,IF(D43=$A$26,$B$26,$B$27))))</f>
        <v>0.66</v>
      </c>
      <c r="H43" s="49">
        <f t="shared" si="3"/>
        <v>1</v>
      </c>
      <c r="I43" s="49">
        <f t="shared" si="4"/>
        <v>0.66</v>
      </c>
      <c r="J43" s="2">
        <f t="shared" si="5"/>
        <v>15.75</v>
      </c>
    </row>
    <row r="44" spans="1:10" x14ac:dyDescent="0.25">
      <c r="A44" s="41" t="s">
        <v>6</v>
      </c>
      <c r="B44" s="41" t="s">
        <v>16</v>
      </c>
      <c r="C44" s="42" t="s">
        <v>17</v>
      </c>
      <c r="D44" s="92" t="s">
        <v>44</v>
      </c>
      <c r="E44" s="92" t="s">
        <v>45</v>
      </c>
      <c r="F44" s="92" t="s">
        <v>46</v>
      </c>
      <c r="G44" s="49">
        <f t="shared" si="6"/>
        <v>1</v>
      </c>
      <c r="H44" s="49">
        <f t="shared" si="3"/>
        <v>0.66</v>
      </c>
      <c r="I44" s="49">
        <f t="shared" si="4"/>
        <v>0.33</v>
      </c>
      <c r="J44" s="2">
        <f t="shared" si="5"/>
        <v>14.1</v>
      </c>
    </row>
    <row r="45" spans="1:10" ht="30" x14ac:dyDescent="0.25">
      <c r="A45" s="41" t="s">
        <v>7</v>
      </c>
      <c r="B45" s="41" t="s">
        <v>18</v>
      </c>
      <c r="C45" s="42" t="s">
        <v>31</v>
      </c>
      <c r="D45" s="92" t="s">
        <v>45</v>
      </c>
      <c r="E45" s="92" t="s">
        <v>44</v>
      </c>
      <c r="F45" s="92" t="s">
        <v>45</v>
      </c>
      <c r="G45" s="49">
        <f t="shared" si="6"/>
        <v>0.66</v>
      </c>
      <c r="H45" s="49">
        <f t="shared" si="3"/>
        <v>1</v>
      </c>
      <c r="I45" s="49">
        <f t="shared" si="4"/>
        <v>0.66</v>
      </c>
      <c r="J45" s="2">
        <f t="shared" si="5"/>
        <v>15.75</v>
      </c>
    </row>
    <row r="46" spans="1:10" x14ac:dyDescent="0.25">
      <c r="A46" s="41" t="s">
        <v>8</v>
      </c>
      <c r="B46" s="41" t="s">
        <v>19</v>
      </c>
      <c r="C46" s="42" t="s">
        <v>32</v>
      </c>
      <c r="D46" s="92" t="s">
        <v>44</v>
      </c>
      <c r="E46" s="92" t="s">
        <v>45</v>
      </c>
      <c r="F46" s="92" t="s">
        <v>46</v>
      </c>
      <c r="G46" s="49">
        <f t="shared" si="6"/>
        <v>1</v>
      </c>
      <c r="H46" s="49">
        <f t="shared" si="3"/>
        <v>0.66</v>
      </c>
      <c r="I46" s="49">
        <f t="shared" si="4"/>
        <v>0.33</v>
      </c>
      <c r="J46" s="2">
        <f t="shared" si="5"/>
        <v>14.1</v>
      </c>
    </row>
    <row r="47" spans="1:10" ht="30" x14ac:dyDescent="0.25">
      <c r="A47" s="41" t="s">
        <v>9</v>
      </c>
      <c r="B47" s="41" t="s">
        <v>20</v>
      </c>
      <c r="C47" s="42" t="s">
        <v>33</v>
      </c>
      <c r="D47" s="92" t="s">
        <v>44</v>
      </c>
      <c r="E47" s="92" t="s">
        <v>45</v>
      </c>
      <c r="F47" s="92" t="s">
        <v>46</v>
      </c>
      <c r="G47" s="49">
        <f t="shared" si="6"/>
        <v>1</v>
      </c>
      <c r="H47" s="49">
        <f t="shared" si="3"/>
        <v>0.66</v>
      </c>
      <c r="I47" s="49">
        <f t="shared" si="4"/>
        <v>0.33</v>
      </c>
      <c r="J47" s="2">
        <f t="shared" si="5"/>
        <v>14.1</v>
      </c>
    </row>
    <row r="48" spans="1:10" ht="30" x14ac:dyDescent="0.25">
      <c r="A48" s="41" t="s">
        <v>10</v>
      </c>
      <c r="B48" s="41" t="s">
        <v>21</v>
      </c>
      <c r="C48" s="42" t="s">
        <v>22</v>
      </c>
      <c r="D48" s="92" t="s">
        <v>45</v>
      </c>
      <c r="E48" s="92" t="s">
        <v>46</v>
      </c>
      <c r="F48" s="92" t="s">
        <v>44</v>
      </c>
      <c r="G48" s="49">
        <f>IF(D48=$A$24,$B$24,(IF(D48=$A$25,$B$25,IF(D48=$A$26,$B$26,$B$27))))</f>
        <v>0.66</v>
      </c>
      <c r="H48" s="49">
        <f t="shared" si="3"/>
        <v>0.33</v>
      </c>
      <c r="I48" s="49">
        <f t="shared" si="4"/>
        <v>1</v>
      </c>
      <c r="J48" s="2">
        <f t="shared" si="5"/>
        <v>12.425000000000001</v>
      </c>
    </row>
    <row r="49" spans="1:10" ht="35.25" customHeight="1" x14ac:dyDescent="0.25">
      <c r="A49" s="41" t="s">
        <v>11</v>
      </c>
      <c r="B49" s="41" t="s">
        <v>23</v>
      </c>
      <c r="C49" s="42" t="s">
        <v>34</v>
      </c>
      <c r="D49" s="92" t="s">
        <v>46</v>
      </c>
      <c r="E49" s="92" t="s">
        <v>44</v>
      </c>
      <c r="F49" s="92" t="s">
        <v>45</v>
      </c>
      <c r="G49" s="49">
        <f t="shared" si="6"/>
        <v>0.33</v>
      </c>
      <c r="H49" s="49">
        <f t="shared" si="3"/>
        <v>1</v>
      </c>
      <c r="I49" s="49">
        <f t="shared" si="4"/>
        <v>0.66</v>
      </c>
      <c r="J49" s="2">
        <f t="shared" si="5"/>
        <v>13.275</v>
      </c>
    </row>
    <row r="50" spans="1:10" ht="30" x14ac:dyDescent="0.25">
      <c r="A50" s="41" t="s">
        <v>12</v>
      </c>
      <c r="B50" s="41" t="s">
        <v>24</v>
      </c>
      <c r="C50" s="42" t="s">
        <v>35</v>
      </c>
      <c r="D50" s="92" t="s">
        <v>46</v>
      </c>
      <c r="E50" s="92" t="s">
        <v>44</v>
      </c>
      <c r="F50" s="92" t="s">
        <v>45</v>
      </c>
      <c r="G50" s="49">
        <f t="shared" si="6"/>
        <v>0.33</v>
      </c>
      <c r="H50" s="49">
        <f t="shared" si="3"/>
        <v>1</v>
      </c>
      <c r="I50" s="49">
        <f t="shared" si="4"/>
        <v>0.66</v>
      </c>
      <c r="J50" s="2">
        <f t="shared" si="5"/>
        <v>13.275</v>
      </c>
    </row>
    <row r="52" spans="1:10" x14ac:dyDescent="0.25">
      <c r="A52" s="39" t="s">
        <v>98</v>
      </c>
    </row>
    <row r="53" spans="1:10" x14ac:dyDescent="0.25">
      <c r="A53" s="46" t="s">
        <v>43</v>
      </c>
      <c r="B53" s="47" t="s">
        <v>55</v>
      </c>
      <c r="C53" s="47" t="s">
        <v>56</v>
      </c>
    </row>
    <row r="54" spans="1:10" x14ac:dyDescent="0.25">
      <c r="A54" s="41" t="s">
        <v>44</v>
      </c>
      <c r="B54" s="2">
        <v>1</v>
      </c>
      <c r="C54" s="2">
        <v>7.5</v>
      </c>
    </row>
    <row r="55" spans="1:10" x14ac:dyDescent="0.25">
      <c r="A55" s="41" t="s">
        <v>45</v>
      </c>
      <c r="B55" s="2">
        <v>0.66</v>
      </c>
      <c r="C55" s="2">
        <v>5</v>
      </c>
    </row>
    <row r="56" spans="1:10" x14ac:dyDescent="0.25">
      <c r="A56" s="41" t="s">
        <v>46</v>
      </c>
      <c r="B56" s="2">
        <v>0.33</v>
      </c>
      <c r="C56" s="2">
        <v>2.5</v>
      </c>
    </row>
    <row r="57" spans="1:10" x14ac:dyDescent="0.25">
      <c r="A57" s="41" t="s">
        <v>47</v>
      </c>
      <c r="B57" s="2">
        <v>0</v>
      </c>
      <c r="C57" s="2">
        <v>1</v>
      </c>
    </row>
    <row r="59" spans="1:10" x14ac:dyDescent="0.25">
      <c r="A59" s="39" t="s">
        <v>99</v>
      </c>
    </row>
    <row r="60" spans="1:10" ht="60.75" thickBot="1" x14ac:dyDescent="0.3">
      <c r="A60" s="46" t="s">
        <v>53</v>
      </c>
      <c r="B60" s="47" t="s">
        <v>39</v>
      </c>
      <c r="C60" s="46" t="s">
        <v>48</v>
      </c>
      <c r="D60" s="48" t="s">
        <v>104</v>
      </c>
    </row>
    <row r="61" spans="1:10" x14ac:dyDescent="0.25">
      <c r="A61" s="64" t="s">
        <v>50</v>
      </c>
      <c r="B61" s="43" t="s">
        <v>40</v>
      </c>
      <c r="C61" s="2" t="s">
        <v>44</v>
      </c>
      <c r="D61" s="86">
        <v>7.5</v>
      </c>
    </row>
    <row r="62" spans="1:10" x14ac:dyDescent="0.25">
      <c r="A62" s="65" t="s">
        <v>51</v>
      </c>
      <c r="B62" s="43" t="s">
        <v>41</v>
      </c>
      <c r="C62" s="2" t="s">
        <v>44</v>
      </c>
      <c r="D62" s="86">
        <v>7.5</v>
      </c>
    </row>
    <row r="63" spans="1:10" ht="15.75" thickBot="1" x14ac:dyDescent="0.3">
      <c r="A63" s="66" t="s">
        <v>52</v>
      </c>
      <c r="B63" s="43" t="s">
        <v>42</v>
      </c>
      <c r="C63" s="2" t="s">
        <v>45</v>
      </c>
      <c r="D63" s="86">
        <v>5</v>
      </c>
    </row>
    <row r="66" spans="1:10" ht="18.75" x14ac:dyDescent="0.3">
      <c r="A66" s="85" t="s">
        <v>93</v>
      </c>
      <c r="B66" s="38"/>
      <c r="C66" s="38"/>
    </row>
    <row r="67" spans="1:10" x14ac:dyDescent="0.25">
      <c r="A67" s="1" t="s">
        <v>49</v>
      </c>
      <c r="B67" s="38"/>
      <c r="C67" s="38"/>
    </row>
    <row r="68" spans="1:10" x14ac:dyDescent="0.25">
      <c r="A68" s="39" t="s">
        <v>100</v>
      </c>
      <c r="B68" s="38"/>
      <c r="C68" s="38"/>
    </row>
    <row r="69" spans="1:10" ht="90.75" customHeight="1" x14ac:dyDescent="0.25">
      <c r="A69" s="222" t="s">
        <v>26</v>
      </c>
      <c r="B69" s="222" t="s">
        <v>27</v>
      </c>
      <c r="C69" s="222" t="s">
        <v>28</v>
      </c>
      <c r="D69" s="222" t="s">
        <v>58</v>
      </c>
      <c r="E69" s="222"/>
      <c r="F69" s="222"/>
      <c r="G69" s="222" t="s">
        <v>59</v>
      </c>
      <c r="H69" s="222"/>
      <c r="I69" s="222"/>
      <c r="J69" s="222" t="s">
        <v>54</v>
      </c>
    </row>
    <row r="70" spans="1:10" x14ac:dyDescent="0.25">
      <c r="A70" s="222"/>
      <c r="B70" s="222"/>
      <c r="C70" s="222"/>
      <c r="D70" s="46" t="s">
        <v>50</v>
      </c>
      <c r="E70" s="46" t="s">
        <v>51</v>
      </c>
      <c r="F70" s="46" t="s">
        <v>52</v>
      </c>
      <c r="G70" s="46" t="s">
        <v>50</v>
      </c>
      <c r="H70" s="46" t="s">
        <v>51</v>
      </c>
      <c r="I70" s="46" t="s">
        <v>52</v>
      </c>
      <c r="J70" s="222"/>
    </row>
    <row r="71" spans="1:10" ht="30" x14ac:dyDescent="0.25">
      <c r="A71" s="41" t="s">
        <v>0</v>
      </c>
      <c r="B71" s="41" t="s">
        <v>25</v>
      </c>
      <c r="C71" s="42" t="s">
        <v>13</v>
      </c>
      <c r="D71" s="92" t="s">
        <v>46</v>
      </c>
      <c r="E71" s="92" t="s">
        <v>45</v>
      </c>
      <c r="F71" s="92" t="s">
        <v>44</v>
      </c>
      <c r="G71" s="49">
        <f>IF(D71=$A$24,$B$24,(IF(D71=$A$25,$B$25,IF(D71=$A$26,$B$26,$B$27))))</f>
        <v>0.33</v>
      </c>
      <c r="H71" s="49">
        <f t="shared" ref="H71:H80" si="7">IF(E71=$A$24,$B$24,(IF(E71=$A$25,$B$25,IF(E71=$A$26,$B$26,$B$27))))</f>
        <v>0.66</v>
      </c>
      <c r="I71" s="49">
        <f t="shared" ref="I71:I80" si="8">IF(F71=$A$24,$B$24,(IF(F71=$A$25,$B$25,IF(F71=$A$26,$B$26,$B$27))))</f>
        <v>1</v>
      </c>
      <c r="J71" s="2">
        <f>G71*$D$91+H71*$D$92+I71*$D$93</f>
        <v>11.625</v>
      </c>
    </row>
    <row r="72" spans="1:10" x14ac:dyDescent="0.25">
      <c r="A72" s="41" t="s">
        <v>1</v>
      </c>
      <c r="B72" s="41" t="s">
        <v>14</v>
      </c>
      <c r="C72" s="42" t="s">
        <v>29</v>
      </c>
      <c r="D72" s="92" t="s">
        <v>45</v>
      </c>
      <c r="E72" s="92" t="s">
        <v>46</v>
      </c>
      <c r="F72" s="92" t="s">
        <v>46</v>
      </c>
      <c r="G72" s="49">
        <f>IF(D72=$A$24,$B$24,(IF(D72=$A$25,$B$25,IF(D72=$A$26,$B$26,$B$27))))</f>
        <v>0.66</v>
      </c>
      <c r="H72" s="49">
        <f t="shared" si="7"/>
        <v>0.33</v>
      </c>
      <c r="I72" s="49">
        <f t="shared" si="8"/>
        <v>0.33</v>
      </c>
      <c r="J72" s="2">
        <f t="shared" ref="J72:J80" si="9">G72*$D$91+H72*$D$92+I72*$D$93</f>
        <v>5.7750000000000004</v>
      </c>
    </row>
    <row r="73" spans="1:10" x14ac:dyDescent="0.25">
      <c r="A73" s="41" t="s">
        <v>2</v>
      </c>
      <c r="B73" s="41" t="s">
        <v>15</v>
      </c>
      <c r="C73" s="42" t="s">
        <v>30</v>
      </c>
      <c r="D73" s="92" t="s">
        <v>45</v>
      </c>
      <c r="E73" s="92" t="s">
        <v>44</v>
      </c>
      <c r="F73" s="92" t="s">
        <v>45</v>
      </c>
      <c r="G73" s="49">
        <f t="shared" ref="G73:G77" si="10">IF(D73=$A$24,$B$24,(IF(D73=$A$25,$B$25,IF(D73=$A$26,$B$26,$B$27))))</f>
        <v>0.66</v>
      </c>
      <c r="H73" s="49">
        <f t="shared" si="7"/>
        <v>1</v>
      </c>
      <c r="I73" s="49">
        <f t="shared" si="8"/>
        <v>0.66</v>
      </c>
      <c r="J73" s="2">
        <f t="shared" si="9"/>
        <v>11.600000000000001</v>
      </c>
    </row>
    <row r="74" spans="1:10" x14ac:dyDescent="0.25">
      <c r="A74" s="41" t="s">
        <v>6</v>
      </c>
      <c r="B74" s="41" t="s">
        <v>16</v>
      </c>
      <c r="C74" s="42" t="s">
        <v>17</v>
      </c>
      <c r="D74" s="92" t="s">
        <v>44</v>
      </c>
      <c r="E74" s="92" t="s">
        <v>45</v>
      </c>
      <c r="F74" s="92" t="s">
        <v>46</v>
      </c>
      <c r="G74" s="49">
        <f t="shared" si="10"/>
        <v>1</v>
      </c>
      <c r="H74" s="49">
        <f t="shared" si="7"/>
        <v>0.66</v>
      </c>
      <c r="I74" s="49">
        <f t="shared" si="8"/>
        <v>0.33</v>
      </c>
      <c r="J74" s="2">
        <f t="shared" si="9"/>
        <v>8.2750000000000004</v>
      </c>
    </row>
    <row r="75" spans="1:10" ht="30" x14ac:dyDescent="0.25">
      <c r="A75" s="41" t="s">
        <v>7</v>
      </c>
      <c r="B75" s="41" t="s">
        <v>18</v>
      </c>
      <c r="C75" s="42" t="s">
        <v>31</v>
      </c>
      <c r="D75" s="92" t="s">
        <v>45</v>
      </c>
      <c r="E75" s="92" t="s">
        <v>44</v>
      </c>
      <c r="F75" s="92" t="s">
        <v>46</v>
      </c>
      <c r="G75" s="49">
        <f t="shared" si="10"/>
        <v>0.66</v>
      </c>
      <c r="H75" s="49">
        <f t="shared" si="7"/>
        <v>1</v>
      </c>
      <c r="I75" s="49">
        <f t="shared" si="8"/>
        <v>0.33</v>
      </c>
      <c r="J75" s="2">
        <f t="shared" si="9"/>
        <v>9.125</v>
      </c>
    </row>
    <row r="76" spans="1:10" x14ac:dyDescent="0.25">
      <c r="A76" s="41" t="s">
        <v>8</v>
      </c>
      <c r="B76" s="41" t="s">
        <v>19</v>
      </c>
      <c r="C76" s="42" t="s">
        <v>32</v>
      </c>
      <c r="D76" s="92" t="s">
        <v>46</v>
      </c>
      <c r="E76" s="92" t="s">
        <v>45</v>
      </c>
      <c r="F76" s="92" t="s">
        <v>46</v>
      </c>
      <c r="G76" s="49">
        <f t="shared" si="10"/>
        <v>0.33</v>
      </c>
      <c r="H76" s="49">
        <f t="shared" si="7"/>
        <v>0.66</v>
      </c>
      <c r="I76" s="49">
        <f t="shared" si="8"/>
        <v>0.33</v>
      </c>
      <c r="J76" s="2">
        <f t="shared" si="9"/>
        <v>6.6</v>
      </c>
    </row>
    <row r="77" spans="1:10" ht="30" x14ac:dyDescent="0.25">
      <c r="A77" s="41" t="s">
        <v>9</v>
      </c>
      <c r="B77" s="41" t="s">
        <v>20</v>
      </c>
      <c r="C77" s="42" t="s">
        <v>33</v>
      </c>
      <c r="D77" s="92" t="s">
        <v>44</v>
      </c>
      <c r="E77" s="92" t="s">
        <v>45</v>
      </c>
      <c r="F77" s="92" t="s">
        <v>46</v>
      </c>
      <c r="G77" s="49">
        <f t="shared" si="10"/>
        <v>1</v>
      </c>
      <c r="H77" s="49">
        <f t="shared" si="7"/>
        <v>0.66</v>
      </c>
      <c r="I77" s="49">
        <f t="shared" si="8"/>
        <v>0.33</v>
      </c>
      <c r="J77" s="2">
        <f t="shared" si="9"/>
        <v>8.2750000000000004</v>
      </c>
    </row>
    <row r="78" spans="1:10" ht="30" x14ac:dyDescent="0.25">
      <c r="A78" s="41" t="s">
        <v>10</v>
      </c>
      <c r="B78" s="41" t="s">
        <v>21</v>
      </c>
      <c r="C78" s="42" t="s">
        <v>22</v>
      </c>
      <c r="D78" s="92" t="s">
        <v>45</v>
      </c>
      <c r="E78" s="92" t="s">
        <v>46</v>
      </c>
      <c r="F78" s="92" t="s">
        <v>44</v>
      </c>
      <c r="G78" s="49">
        <f>IF(D78=$A$24,$B$24,(IF(D78=$A$25,$B$25,IF(D78=$A$26,$B$26,$B$27))))</f>
        <v>0.66</v>
      </c>
      <c r="H78" s="49">
        <f t="shared" si="7"/>
        <v>0.33</v>
      </c>
      <c r="I78" s="49">
        <f t="shared" si="8"/>
        <v>1</v>
      </c>
      <c r="J78" s="2">
        <f t="shared" si="9"/>
        <v>10.8</v>
      </c>
    </row>
    <row r="79" spans="1:10" ht="30" x14ac:dyDescent="0.25">
      <c r="A79" s="41" t="s">
        <v>11</v>
      </c>
      <c r="B79" s="41" t="s">
        <v>23</v>
      </c>
      <c r="C79" s="42" t="s">
        <v>34</v>
      </c>
      <c r="D79" s="92" t="s">
        <v>45</v>
      </c>
      <c r="E79" s="92" t="s">
        <v>44</v>
      </c>
      <c r="F79" s="92" t="s">
        <v>46</v>
      </c>
      <c r="G79" s="49">
        <f t="shared" ref="G79:G80" si="11">IF(D79=$A$24,$B$24,(IF(D79=$A$25,$B$25,IF(D79=$A$26,$B$26,$B$27))))</f>
        <v>0.66</v>
      </c>
      <c r="H79" s="49">
        <f t="shared" si="7"/>
        <v>1</v>
      </c>
      <c r="I79" s="49">
        <f t="shared" si="8"/>
        <v>0.33</v>
      </c>
      <c r="J79" s="2">
        <f t="shared" si="9"/>
        <v>9.125</v>
      </c>
    </row>
    <row r="80" spans="1:10" ht="30" x14ac:dyDescent="0.25">
      <c r="A80" s="41" t="s">
        <v>12</v>
      </c>
      <c r="B80" s="41" t="s">
        <v>24</v>
      </c>
      <c r="C80" s="42" t="s">
        <v>35</v>
      </c>
      <c r="D80" s="92" t="s">
        <v>46</v>
      </c>
      <c r="E80" s="92" t="s">
        <v>44</v>
      </c>
      <c r="F80" s="92" t="s">
        <v>45</v>
      </c>
      <c r="G80" s="49">
        <f t="shared" si="11"/>
        <v>0.33</v>
      </c>
      <c r="H80" s="49">
        <f t="shared" si="7"/>
        <v>1</v>
      </c>
      <c r="I80" s="49">
        <f t="shared" si="8"/>
        <v>0.66</v>
      </c>
      <c r="J80" s="2">
        <f t="shared" si="9"/>
        <v>10.775</v>
      </c>
    </row>
    <row r="82" spans="1:4" x14ac:dyDescent="0.25">
      <c r="A82" s="39" t="s">
        <v>101</v>
      </c>
    </row>
    <row r="83" spans="1:4" x14ac:dyDescent="0.25">
      <c r="A83" s="46" t="s">
        <v>43</v>
      </c>
      <c r="B83" s="47" t="s">
        <v>55</v>
      </c>
      <c r="C83" s="47" t="s">
        <v>56</v>
      </c>
    </row>
    <row r="84" spans="1:4" x14ac:dyDescent="0.25">
      <c r="A84" s="41" t="s">
        <v>44</v>
      </c>
      <c r="B84" s="2">
        <v>1</v>
      </c>
      <c r="C84" s="2">
        <v>7.5</v>
      </c>
    </row>
    <row r="85" spans="1:4" x14ac:dyDescent="0.25">
      <c r="A85" s="41" t="s">
        <v>45</v>
      </c>
      <c r="B85" s="2">
        <v>0.66</v>
      </c>
      <c r="C85" s="2">
        <v>5</v>
      </c>
    </row>
    <row r="86" spans="1:4" x14ac:dyDescent="0.25">
      <c r="A86" s="41" t="s">
        <v>46</v>
      </c>
      <c r="B86" s="2">
        <v>0.33</v>
      </c>
      <c r="C86" s="2">
        <v>2.5</v>
      </c>
    </row>
    <row r="87" spans="1:4" x14ac:dyDescent="0.25">
      <c r="A87" s="41" t="s">
        <v>47</v>
      </c>
      <c r="B87" s="2">
        <v>0</v>
      </c>
      <c r="C87" s="2">
        <v>1</v>
      </c>
    </row>
    <row r="89" spans="1:4" x14ac:dyDescent="0.25">
      <c r="A89" s="39" t="s">
        <v>102</v>
      </c>
    </row>
    <row r="90" spans="1:4" ht="60.75" thickBot="1" x14ac:dyDescent="0.3">
      <c r="A90" s="46" t="s">
        <v>53</v>
      </c>
      <c r="B90" s="47" t="s">
        <v>39</v>
      </c>
      <c r="C90" s="46" t="s">
        <v>48</v>
      </c>
      <c r="D90" s="48" t="s">
        <v>103</v>
      </c>
    </row>
    <row r="91" spans="1:4" x14ac:dyDescent="0.25">
      <c r="A91" s="64" t="s">
        <v>50</v>
      </c>
      <c r="B91" s="43" t="s">
        <v>40</v>
      </c>
      <c r="C91" s="2" t="s">
        <v>46</v>
      </c>
      <c r="D91" s="86">
        <f>C86</f>
        <v>2.5</v>
      </c>
    </row>
    <row r="92" spans="1:4" x14ac:dyDescent="0.25">
      <c r="A92" s="65" t="s">
        <v>51</v>
      </c>
      <c r="B92" s="43" t="s">
        <v>41</v>
      </c>
      <c r="C92" s="2" t="s">
        <v>45</v>
      </c>
      <c r="D92" s="86">
        <f>C85</f>
        <v>5</v>
      </c>
    </row>
    <row r="93" spans="1:4" ht="15.75" thickBot="1" x14ac:dyDescent="0.3">
      <c r="A93" s="66" t="s">
        <v>52</v>
      </c>
      <c r="B93" s="43" t="s">
        <v>42</v>
      </c>
      <c r="C93" s="2" t="s">
        <v>44</v>
      </c>
      <c r="D93" s="86">
        <f>C84</f>
        <v>7.5</v>
      </c>
    </row>
    <row r="96" spans="1:4" x14ac:dyDescent="0.25">
      <c r="A96" s="1" t="s">
        <v>111</v>
      </c>
    </row>
    <row r="97" spans="1:6" s="36" customFormat="1" ht="30" x14ac:dyDescent="0.25">
      <c r="A97" s="87" t="s">
        <v>106</v>
      </c>
      <c r="B97" s="87" t="s">
        <v>109</v>
      </c>
      <c r="C97" s="87" t="s">
        <v>110</v>
      </c>
    </row>
    <row r="98" spans="1:6" x14ac:dyDescent="0.25">
      <c r="A98" s="2" t="s">
        <v>107</v>
      </c>
      <c r="B98" s="2">
        <v>0.5</v>
      </c>
      <c r="C98" s="2">
        <v>0.3</v>
      </c>
    </row>
    <row r="99" spans="1:6" x14ac:dyDescent="0.25">
      <c r="A99" s="2" t="s">
        <v>108</v>
      </c>
      <c r="B99" s="2">
        <v>0.5</v>
      </c>
      <c r="C99" s="2">
        <v>0.3</v>
      </c>
    </row>
    <row r="100" spans="1:6" x14ac:dyDescent="0.25">
      <c r="A100" s="2" t="s">
        <v>136</v>
      </c>
      <c r="B100" s="2"/>
      <c r="C100" s="2">
        <v>0.4</v>
      </c>
    </row>
    <row r="102" spans="1:6" x14ac:dyDescent="0.25">
      <c r="A102" s="1" t="s">
        <v>112</v>
      </c>
    </row>
    <row r="103" spans="1:6" s="36" customFormat="1" ht="75" customHeight="1" x14ac:dyDescent="0.25">
      <c r="A103" s="87" t="s">
        <v>113</v>
      </c>
      <c r="B103" s="87" t="s">
        <v>114</v>
      </c>
      <c r="C103" s="87" t="s">
        <v>115</v>
      </c>
      <c r="D103" s="87" t="s">
        <v>116</v>
      </c>
      <c r="E103" s="87" t="s">
        <v>117</v>
      </c>
      <c r="F103" s="87" t="s">
        <v>118</v>
      </c>
    </row>
    <row r="104" spans="1:6" x14ac:dyDescent="0.25">
      <c r="A104" s="41" t="s">
        <v>25</v>
      </c>
      <c r="B104" s="2">
        <f>J11</f>
        <v>14.15</v>
      </c>
      <c r="C104" s="2">
        <f>J41</f>
        <v>12.425000000000001</v>
      </c>
      <c r="D104" s="2">
        <f>J71</f>
        <v>11.625</v>
      </c>
      <c r="E104" s="2">
        <f>B104*B$98+C104*B$99</f>
        <v>13.287500000000001</v>
      </c>
      <c r="F104" s="2">
        <f>B104*C$98+C104*C$99+D104*C$100</f>
        <v>12.6225</v>
      </c>
    </row>
    <row r="105" spans="1:6" x14ac:dyDescent="0.25">
      <c r="A105" s="41" t="s">
        <v>14</v>
      </c>
      <c r="B105" s="2">
        <f t="shared" ref="B105:B113" si="12">J12</f>
        <v>6.6000000000000005</v>
      </c>
      <c r="C105" s="2">
        <f t="shared" ref="C105:C113" si="13">J42</f>
        <v>8.25</v>
      </c>
      <c r="D105" s="2">
        <f t="shared" ref="D105:D113" si="14">J72</f>
        <v>5.7750000000000004</v>
      </c>
      <c r="E105" s="2">
        <f t="shared" ref="E105:E112" si="15">B105*B$98+C105*B$99</f>
        <v>7.4250000000000007</v>
      </c>
      <c r="F105" s="2">
        <f t="shared" ref="F105:F112" si="16">B105*C$98+C105*C$99+D105*C$100</f>
        <v>6.7650000000000006</v>
      </c>
    </row>
    <row r="106" spans="1:6" x14ac:dyDescent="0.25">
      <c r="A106" s="41" t="s">
        <v>15</v>
      </c>
      <c r="B106" s="2">
        <f t="shared" si="12"/>
        <v>9.9</v>
      </c>
      <c r="C106" s="2">
        <f t="shared" si="13"/>
        <v>15.75</v>
      </c>
      <c r="D106" s="2">
        <f t="shared" si="14"/>
        <v>11.600000000000001</v>
      </c>
      <c r="E106" s="2">
        <f t="shared" si="15"/>
        <v>12.824999999999999</v>
      </c>
      <c r="F106" s="2">
        <f t="shared" si="16"/>
        <v>12.335000000000001</v>
      </c>
    </row>
    <row r="107" spans="1:6" x14ac:dyDescent="0.25">
      <c r="A107" s="41" t="s">
        <v>16</v>
      </c>
      <c r="B107" s="2">
        <f t="shared" si="12"/>
        <v>12.450000000000001</v>
      </c>
      <c r="C107" s="2">
        <f t="shared" si="13"/>
        <v>14.1</v>
      </c>
      <c r="D107" s="2">
        <f t="shared" si="14"/>
        <v>8.2750000000000004</v>
      </c>
      <c r="E107" s="2">
        <f t="shared" si="15"/>
        <v>13.275</v>
      </c>
      <c r="F107" s="2">
        <f t="shared" si="16"/>
        <v>11.275</v>
      </c>
    </row>
    <row r="108" spans="1:6" x14ac:dyDescent="0.25">
      <c r="A108" s="41" t="s">
        <v>18</v>
      </c>
      <c r="B108" s="2">
        <f t="shared" si="12"/>
        <v>10.75</v>
      </c>
      <c r="C108" s="2">
        <f t="shared" si="13"/>
        <v>15.75</v>
      </c>
      <c r="D108" s="2">
        <f t="shared" si="14"/>
        <v>9.125</v>
      </c>
      <c r="E108" s="2">
        <f t="shared" si="15"/>
        <v>13.25</v>
      </c>
      <c r="F108" s="2">
        <f t="shared" si="16"/>
        <v>11.6</v>
      </c>
    </row>
    <row r="109" spans="1:6" x14ac:dyDescent="0.25">
      <c r="A109" s="41" t="s">
        <v>19</v>
      </c>
      <c r="B109" s="2">
        <f t="shared" si="12"/>
        <v>10.8</v>
      </c>
      <c r="C109" s="2">
        <f t="shared" si="13"/>
        <v>14.1</v>
      </c>
      <c r="D109" s="2">
        <f t="shared" si="14"/>
        <v>6.6</v>
      </c>
      <c r="E109" s="2">
        <f t="shared" si="15"/>
        <v>12.45</v>
      </c>
      <c r="F109" s="2">
        <f t="shared" si="16"/>
        <v>10.11</v>
      </c>
    </row>
    <row r="110" spans="1:6" x14ac:dyDescent="0.25">
      <c r="A110" s="41" t="s">
        <v>20</v>
      </c>
      <c r="B110" s="2">
        <f t="shared" si="12"/>
        <v>10.8</v>
      </c>
      <c r="C110" s="2">
        <f t="shared" si="13"/>
        <v>14.1</v>
      </c>
      <c r="D110" s="2">
        <f t="shared" si="14"/>
        <v>8.2750000000000004</v>
      </c>
      <c r="E110" s="2">
        <f t="shared" si="15"/>
        <v>12.45</v>
      </c>
      <c r="F110" s="2">
        <f t="shared" si="16"/>
        <v>10.780000000000001</v>
      </c>
    </row>
    <row r="111" spans="1:6" x14ac:dyDescent="0.25">
      <c r="A111" s="41" t="s">
        <v>21</v>
      </c>
      <c r="B111" s="2">
        <f t="shared" si="12"/>
        <v>12.45</v>
      </c>
      <c r="C111" s="2">
        <f t="shared" si="13"/>
        <v>12.425000000000001</v>
      </c>
      <c r="D111" s="2">
        <f t="shared" si="14"/>
        <v>10.8</v>
      </c>
      <c r="E111" s="2">
        <f t="shared" si="15"/>
        <v>12.4375</v>
      </c>
      <c r="F111" s="2">
        <f t="shared" si="16"/>
        <v>11.782499999999999</v>
      </c>
    </row>
    <row r="112" spans="1:6" x14ac:dyDescent="0.25">
      <c r="A112" s="41" t="s">
        <v>23</v>
      </c>
      <c r="B112" s="2">
        <f t="shared" si="12"/>
        <v>10.75</v>
      </c>
      <c r="C112" s="2">
        <f t="shared" si="13"/>
        <v>13.275</v>
      </c>
      <c r="D112" s="2">
        <f t="shared" si="14"/>
        <v>9.125</v>
      </c>
      <c r="E112" s="2">
        <f t="shared" si="15"/>
        <v>12.012499999999999</v>
      </c>
      <c r="F112" s="2">
        <f t="shared" si="16"/>
        <v>10.8575</v>
      </c>
    </row>
    <row r="113" spans="1:6" x14ac:dyDescent="0.25">
      <c r="A113" s="41" t="s">
        <v>24</v>
      </c>
      <c r="B113" s="2">
        <f t="shared" si="12"/>
        <v>8.2750000000000004</v>
      </c>
      <c r="C113" s="2">
        <f t="shared" si="13"/>
        <v>13.275</v>
      </c>
      <c r="D113" s="2">
        <f t="shared" si="14"/>
        <v>10.775</v>
      </c>
      <c r="E113" s="2">
        <f>B113*B$98+C113*B$99</f>
        <v>10.775</v>
      </c>
      <c r="F113" s="2">
        <f>B113*C$98+C113*C$99+D113*C$100</f>
        <v>10.775</v>
      </c>
    </row>
    <row r="115" spans="1:6" x14ac:dyDescent="0.25">
      <c r="A115" s="1" t="s">
        <v>173</v>
      </c>
    </row>
    <row r="116" spans="1:6" ht="30" x14ac:dyDescent="0.25">
      <c r="A116" s="87" t="s">
        <v>113</v>
      </c>
      <c r="B116" s="87" t="s">
        <v>118</v>
      </c>
    </row>
    <row r="117" spans="1:6" x14ac:dyDescent="0.25">
      <c r="A117" s="2" t="s">
        <v>25</v>
      </c>
      <c r="B117" s="2">
        <v>12.6225</v>
      </c>
    </row>
    <row r="118" spans="1:6" x14ac:dyDescent="0.25">
      <c r="A118" s="2" t="s">
        <v>15</v>
      </c>
      <c r="B118" s="2">
        <v>12.335000000000001</v>
      </c>
    </row>
    <row r="119" spans="1:6" x14ac:dyDescent="0.25">
      <c r="A119" s="2" t="s">
        <v>21</v>
      </c>
      <c r="B119" s="2">
        <v>11.782499999999999</v>
      </c>
    </row>
    <row r="120" spans="1:6" x14ac:dyDescent="0.25">
      <c r="A120" s="2" t="s">
        <v>18</v>
      </c>
      <c r="B120" s="2">
        <v>11.6</v>
      </c>
    </row>
    <row r="121" spans="1:6" x14ac:dyDescent="0.25">
      <c r="A121" s="2" t="s">
        <v>16</v>
      </c>
      <c r="B121" s="2">
        <v>11.275</v>
      </c>
    </row>
    <row r="122" spans="1:6" x14ac:dyDescent="0.25">
      <c r="A122" s="2" t="s">
        <v>23</v>
      </c>
      <c r="B122" s="2">
        <v>10.8575</v>
      </c>
    </row>
    <row r="123" spans="1:6" x14ac:dyDescent="0.25">
      <c r="A123" s="2" t="s">
        <v>20</v>
      </c>
      <c r="B123" s="2">
        <v>10.780000000000001</v>
      </c>
    </row>
    <row r="124" spans="1:6" x14ac:dyDescent="0.25">
      <c r="A124" s="2" t="s">
        <v>24</v>
      </c>
      <c r="B124" s="2">
        <v>10.775</v>
      </c>
    </row>
    <row r="125" spans="1:6" x14ac:dyDescent="0.25">
      <c r="A125" s="2" t="s">
        <v>19</v>
      </c>
      <c r="B125" s="2">
        <v>10.11</v>
      </c>
    </row>
    <row r="126" spans="1:6" x14ac:dyDescent="0.25">
      <c r="A126" s="2" t="s">
        <v>14</v>
      </c>
      <c r="B126" s="2">
        <v>6.7650000000000006</v>
      </c>
    </row>
  </sheetData>
  <sortState xmlns:xlrd2="http://schemas.microsoft.com/office/spreadsheetml/2017/richdata2" ref="A117:J126">
    <sortCondition descending="1" ref="B117:B126"/>
  </sortState>
  <mergeCells count="19">
    <mergeCell ref="A3:E3"/>
    <mergeCell ref="A9:A10"/>
    <mergeCell ref="B9:B10"/>
    <mergeCell ref="C9:C10"/>
    <mergeCell ref="D9:F9"/>
    <mergeCell ref="J69:J70"/>
    <mergeCell ref="J9:J10"/>
    <mergeCell ref="A39:A40"/>
    <mergeCell ref="B39:B40"/>
    <mergeCell ref="C39:C40"/>
    <mergeCell ref="D39:F39"/>
    <mergeCell ref="G39:I39"/>
    <mergeCell ref="J39:J40"/>
    <mergeCell ref="G9:I9"/>
    <mergeCell ref="A69:A70"/>
    <mergeCell ref="B69:B70"/>
    <mergeCell ref="C69:C70"/>
    <mergeCell ref="D69:F69"/>
    <mergeCell ref="G69:I69"/>
  </mergeCells>
  <phoneticPr fontId="6" type="noConversion"/>
  <hyperlinks>
    <hyperlink ref="B2" r:id="rId1" xr:uid="{D8BFB5FC-2D88-4545-BCAA-4D64975CF17F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J223"/>
  <sheetViews>
    <sheetView topLeftCell="A203" zoomScaleNormal="100" workbookViewId="0">
      <selection activeCell="C220" sqref="C220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26" t="s">
        <v>230</v>
      </c>
      <c r="B3" s="227"/>
      <c r="C3" s="227"/>
      <c r="D3" s="228"/>
      <c r="E3" s="228"/>
    </row>
    <row r="4" spans="1:10" ht="31.5" x14ac:dyDescent="0.25">
      <c r="A4" s="147" t="s">
        <v>186</v>
      </c>
      <c r="B4" s="40" t="s">
        <v>187</v>
      </c>
      <c r="C4" s="38"/>
    </row>
    <row r="5" spans="1:10" x14ac:dyDescent="0.25">
      <c r="A5" s="226" t="s">
        <v>232</v>
      </c>
      <c r="B5" s="227"/>
      <c r="C5" s="227"/>
      <c r="D5" s="228"/>
      <c r="E5" s="228"/>
    </row>
    <row r="6" spans="1:10" ht="15.75" x14ac:dyDescent="0.25">
      <c r="A6" s="82"/>
      <c r="B6" s="38"/>
      <c r="C6" s="38"/>
    </row>
    <row r="7" spans="1:10" ht="18.75" x14ac:dyDescent="0.3">
      <c r="A7" s="85" t="s">
        <v>91</v>
      </c>
      <c r="B7" s="38"/>
      <c r="C7" s="38"/>
    </row>
    <row r="8" spans="1:10" x14ac:dyDescent="0.25">
      <c r="A8" s="1" t="s">
        <v>49</v>
      </c>
      <c r="B8" s="38"/>
      <c r="C8" s="38"/>
    </row>
    <row r="9" spans="1:10" x14ac:dyDescent="0.25">
      <c r="A9" s="39" t="s">
        <v>94</v>
      </c>
      <c r="B9" s="38"/>
      <c r="C9" s="38"/>
    </row>
    <row r="10" spans="1:10" ht="75.75" customHeight="1" x14ac:dyDescent="0.25">
      <c r="A10" s="222" t="s">
        <v>26</v>
      </c>
      <c r="B10" s="222" t="s">
        <v>27</v>
      </c>
      <c r="C10" s="222" t="s">
        <v>28</v>
      </c>
      <c r="D10" s="222" t="s">
        <v>58</v>
      </c>
      <c r="E10" s="222"/>
      <c r="F10" s="222"/>
      <c r="G10" s="222" t="s">
        <v>59</v>
      </c>
      <c r="H10" s="222"/>
      <c r="I10" s="222"/>
      <c r="J10" s="222" t="s">
        <v>54</v>
      </c>
    </row>
    <row r="11" spans="1:10" s="36" customFormat="1" ht="18" customHeight="1" x14ac:dyDescent="0.25">
      <c r="A11" s="222"/>
      <c r="B11" s="222"/>
      <c r="C11" s="222"/>
      <c r="D11" s="46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22"/>
    </row>
    <row r="12" spans="1:10" ht="30" x14ac:dyDescent="0.25">
      <c r="A12" s="41" t="s">
        <v>0</v>
      </c>
      <c r="B12" s="41" t="s">
        <v>25</v>
      </c>
      <c r="C12" s="42" t="s">
        <v>13</v>
      </c>
      <c r="D12" s="92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H12:I21" si="0">IF(E12=$A$25,$B$25,(IF(E12=$A$26,$B$26,IF(E12=$A$27,$B$27,$B$28))))</f>
        <v>0.66</v>
      </c>
      <c r="I12" s="49">
        <f t="shared" si="0"/>
        <v>1</v>
      </c>
      <c r="J12" s="2">
        <f>G12*$D$32+H12*$D$33+I12*$D$34</f>
        <v>14.15</v>
      </c>
    </row>
    <row r="13" spans="1:10" x14ac:dyDescent="0.25">
      <c r="A13" s="41" t="s">
        <v>1</v>
      </c>
      <c r="B13" s="41" t="s">
        <v>14</v>
      </c>
      <c r="C13" s="42" t="s">
        <v>29</v>
      </c>
      <c r="D13" s="92" t="s">
        <v>46</v>
      </c>
      <c r="E13" s="92" t="s">
        <v>46</v>
      </c>
      <c r="F13" s="92" t="s">
        <v>45</v>
      </c>
      <c r="G13" s="49">
        <f>IF(D13=$A$25,$B$25,(IF(D13=$A$26,$B$26,IF(D13=$A$27,$B$27,$B$28))))</f>
        <v>0.33</v>
      </c>
      <c r="H13" s="49">
        <f t="shared" si="0"/>
        <v>0.33</v>
      </c>
      <c r="I13" s="49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1" t="s">
        <v>2</v>
      </c>
      <c r="B14" s="41" t="s">
        <v>15</v>
      </c>
      <c r="C14" s="42" t="s">
        <v>30</v>
      </c>
      <c r="D14" s="92" t="s">
        <v>45</v>
      </c>
      <c r="E14" s="92" t="s">
        <v>45</v>
      </c>
      <c r="F14" s="92" t="s">
        <v>45</v>
      </c>
      <c r="G14" s="49">
        <f t="shared" ref="G14:G21" si="2">IF(D14=$A$25,$B$25,(IF(D14=$A$26,$B$26,IF(D14=$A$27,$B$27,$B$28))))</f>
        <v>0.66</v>
      </c>
      <c r="H14" s="49">
        <f t="shared" si="0"/>
        <v>0.66</v>
      </c>
      <c r="I14" s="49">
        <f t="shared" si="0"/>
        <v>0.66</v>
      </c>
      <c r="J14" s="2">
        <f t="shared" si="1"/>
        <v>9.9</v>
      </c>
    </row>
    <row r="15" spans="1:10" x14ac:dyDescent="0.25">
      <c r="A15" s="41" t="s">
        <v>6</v>
      </c>
      <c r="B15" s="41" t="s">
        <v>16</v>
      </c>
      <c r="C15" s="42" t="s">
        <v>17</v>
      </c>
      <c r="D15" s="92" t="s">
        <v>44</v>
      </c>
      <c r="E15" s="92" t="s">
        <v>45</v>
      </c>
      <c r="F15" s="92" t="s">
        <v>45</v>
      </c>
      <c r="G15" s="49">
        <f t="shared" si="2"/>
        <v>1</v>
      </c>
      <c r="H15" s="49">
        <f t="shared" si="0"/>
        <v>0.66</v>
      </c>
      <c r="I15" s="49">
        <f t="shared" si="0"/>
        <v>0.66</v>
      </c>
      <c r="J15" s="2">
        <f t="shared" si="1"/>
        <v>12.450000000000001</v>
      </c>
    </row>
    <row r="16" spans="1:10" ht="30" x14ac:dyDescent="0.25">
      <c r="A16" s="41" t="s">
        <v>7</v>
      </c>
      <c r="B16" s="41" t="s">
        <v>18</v>
      </c>
      <c r="C16" s="42" t="s">
        <v>31</v>
      </c>
      <c r="D16" s="92" t="s">
        <v>45</v>
      </c>
      <c r="E16" s="92" t="s">
        <v>44</v>
      </c>
      <c r="F16" s="92" t="s">
        <v>45</v>
      </c>
      <c r="G16" s="49">
        <f t="shared" si="2"/>
        <v>0.66</v>
      </c>
      <c r="H16" s="49">
        <f t="shared" si="0"/>
        <v>1</v>
      </c>
      <c r="I16" s="49">
        <f t="shared" si="0"/>
        <v>0.66</v>
      </c>
      <c r="J16" s="2">
        <f t="shared" si="1"/>
        <v>10.75</v>
      </c>
    </row>
    <row r="17" spans="1:10" x14ac:dyDescent="0.25">
      <c r="A17" s="41" t="s">
        <v>8</v>
      </c>
      <c r="B17" s="41" t="s">
        <v>19</v>
      </c>
      <c r="C17" s="42" t="s">
        <v>32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9</v>
      </c>
      <c r="B18" s="41" t="s">
        <v>20</v>
      </c>
      <c r="C18" s="42" t="s">
        <v>33</v>
      </c>
      <c r="D18" s="92" t="s">
        <v>44</v>
      </c>
      <c r="E18" s="92" t="s">
        <v>45</v>
      </c>
      <c r="F18" s="92" t="s">
        <v>46</v>
      </c>
      <c r="G18" s="49">
        <f t="shared" si="2"/>
        <v>1</v>
      </c>
      <c r="H18" s="49">
        <f t="shared" si="0"/>
        <v>0.66</v>
      </c>
      <c r="I18" s="49">
        <f t="shared" si="0"/>
        <v>0.33</v>
      </c>
      <c r="J18" s="2">
        <f t="shared" si="1"/>
        <v>10.8</v>
      </c>
    </row>
    <row r="19" spans="1:10" ht="30" x14ac:dyDescent="0.25">
      <c r="A19" s="41" t="s">
        <v>10</v>
      </c>
      <c r="B19" s="41" t="s">
        <v>21</v>
      </c>
      <c r="C19" s="42" t="s">
        <v>22</v>
      </c>
      <c r="D19" s="92" t="s">
        <v>45</v>
      </c>
      <c r="E19" s="92" t="s">
        <v>44</v>
      </c>
      <c r="F19" s="92" t="s">
        <v>44</v>
      </c>
      <c r="G19" s="49">
        <f t="shared" si="2"/>
        <v>0.66</v>
      </c>
      <c r="H19" s="49">
        <f t="shared" si="0"/>
        <v>1</v>
      </c>
      <c r="I19" s="49">
        <f t="shared" si="0"/>
        <v>1</v>
      </c>
      <c r="J19" s="2">
        <f t="shared" si="1"/>
        <v>12.45</v>
      </c>
    </row>
    <row r="20" spans="1:10" ht="35.25" customHeight="1" x14ac:dyDescent="0.25">
      <c r="A20" s="41" t="s">
        <v>11</v>
      </c>
      <c r="B20" s="41" t="s">
        <v>23</v>
      </c>
      <c r="C20" s="42" t="s">
        <v>34</v>
      </c>
      <c r="D20" s="92" t="s">
        <v>45</v>
      </c>
      <c r="E20" s="92" t="s">
        <v>44</v>
      </c>
      <c r="F20" s="92" t="s">
        <v>45</v>
      </c>
      <c r="G20" s="49">
        <f t="shared" si="2"/>
        <v>0.66</v>
      </c>
      <c r="H20" s="49">
        <f t="shared" si="0"/>
        <v>1</v>
      </c>
      <c r="I20" s="49">
        <f t="shared" si="0"/>
        <v>0.66</v>
      </c>
      <c r="J20" s="2">
        <f t="shared" si="1"/>
        <v>10.75</v>
      </c>
    </row>
    <row r="21" spans="1:10" ht="30" x14ac:dyDescent="0.25">
      <c r="A21" s="41" t="s">
        <v>12</v>
      </c>
      <c r="B21" s="41" t="s">
        <v>24</v>
      </c>
      <c r="C21" s="42" t="s">
        <v>35</v>
      </c>
      <c r="D21" s="92" t="s">
        <v>46</v>
      </c>
      <c r="E21" s="92" t="s">
        <v>44</v>
      </c>
      <c r="F21" s="92" t="s">
        <v>45</v>
      </c>
      <c r="G21" s="49">
        <f t="shared" si="2"/>
        <v>0.33</v>
      </c>
      <c r="H21" s="49">
        <f t="shared" si="0"/>
        <v>1</v>
      </c>
      <c r="I21" s="49">
        <f t="shared" si="0"/>
        <v>0.66</v>
      </c>
      <c r="J21" s="2">
        <f t="shared" si="1"/>
        <v>8.2750000000000004</v>
      </c>
    </row>
    <row r="23" spans="1:10" x14ac:dyDescent="0.25">
      <c r="A23" s="39" t="s">
        <v>95</v>
      </c>
    </row>
    <row r="24" spans="1:10" x14ac:dyDescent="0.25">
      <c r="A24" s="46" t="s">
        <v>43</v>
      </c>
      <c r="B24" s="47" t="s">
        <v>55</v>
      </c>
      <c r="C24" s="47" t="s">
        <v>56</v>
      </c>
    </row>
    <row r="25" spans="1:10" x14ac:dyDescent="0.25">
      <c r="A25" s="41" t="s">
        <v>44</v>
      </c>
      <c r="B25" s="2">
        <v>1</v>
      </c>
      <c r="C25" s="2">
        <v>7.5</v>
      </c>
    </row>
    <row r="26" spans="1:10" x14ac:dyDescent="0.25">
      <c r="A26" s="41" t="s">
        <v>45</v>
      </c>
      <c r="B26" s="2">
        <v>0.66</v>
      </c>
      <c r="C26" s="2">
        <v>5</v>
      </c>
    </row>
    <row r="27" spans="1:10" x14ac:dyDescent="0.25">
      <c r="A27" s="41" t="s">
        <v>46</v>
      </c>
      <c r="B27" s="2">
        <v>0.33</v>
      </c>
      <c r="C27" s="2">
        <v>2.5</v>
      </c>
    </row>
    <row r="28" spans="1:10" x14ac:dyDescent="0.25">
      <c r="A28" s="41" t="s">
        <v>47</v>
      </c>
      <c r="B28" s="2">
        <v>0</v>
      </c>
      <c r="C28" s="2">
        <v>1</v>
      </c>
    </row>
    <row r="30" spans="1:10" x14ac:dyDescent="0.25">
      <c r="A30" s="39" t="s">
        <v>96</v>
      </c>
    </row>
    <row r="31" spans="1:10" ht="60.75" thickBot="1" x14ac:dyDescent="0.3">
      <c r="A31" s="46" t="s">
        <v>53</v>
      </c>
      <c r="B31" s="47" t="s">
        <v>39</v>
      </c>
      <c r="C31" s="46" t="s">
        <v>48</v>
      </c>
      <c r="D31" s="48" t="s">
        <v>105</v>
      </c>
    </row>
    <row r="32" spans="1:10" x14ac:dyDescent="0.25">
      <c r="A32" s="64" t="s">
        <v>50</v>
      </c>
      <c r="B32" s="43" t="s">
        <v>40</v>
      </c>
      <c r="C32" s="2" t="s">
        <v>44</v>
      </c>
      <c r="D32" s="86">
        <v>7.5</v>
      </c>
    </row>
    <row r="33" spans="1:10" x14ac:dyDescent="0.25">
      <c r="A33" s="65" t="s">
        <v>51</v>
      </c>
      <c r="B33" s="43" t="s">
        <v>41</v>
      </c>
      <c r="C33" s="2" t="s">
        <v>46</v>
      </c>
      <c r="D33" s="86">
        <v>2.5</v>
      </c>
    </row>
    <row r="34" spans="1:10" ht="15.75" thickBot="1" x14ac:dyDescent="0.3">
      <c r="A34" s="66" t="s">
        <v>52</v>
      </c>
      <c r="B34" s="43" t="s">
        <v>42</v>
      </c>
      <c r="C34" s="2" t="s">
        <v>45</v>
      </c>
      <c r="D34" s="86">
        <v>5</v>
      </c>
    </row>
    <row r="37" spans="1:10" ht="18.75" x14ac:dyDescent="0.3">
      <c r="A37" s="85" t="s">
        <v>92</v>
      </c>
      <c r="B37" s="38"/>
      <c r="C37" s="38"/>
    </row>
    <row r="38" spans="1:10" x14ac:dyDescent="0.25">
      <c r="A38" s="1" t="s">
        <v>49</v>
      </c>
      <c r="B38" s="38"/>
      <c r="C38" s="38"/>
    </row>
    <row r="39" spans="1:10" x14ac:dyDescent="0.25">
      <c r="A39" s="39" t="s">
        <v>97</v>
      </c>
      <c r="B39" s="38"/>
      <c r="C39" s="38"/>
    </row>
    <row r="40" spans="1:10" ht="75.75" customHeight="1" x14ac:dyDescent="0.25">
      <c r="A40" s="222" t="s">
        <v>26</v>
      </c>
      <c r="B40" s="222" t="s">
        <v>27</v>
      </c>
      <c r="C40" s="222" t="s">
        <v>28</v>
      </c>
      <c r="D40" s="222" t="s">
        <v>58</v>
      </c>
      <c r="E40" s="222"/>
      <c r="F40" s="222"/>
      <c r="G40" s="222" t="s">
        <v>59</v>
      </c>
      <c r="H40" s="222"/>
      <c r="I40" s="222"/>
      <c r="J40" s="222" t="s">
        <v>54</v>
      </c>
    </row>
    <row r="41" spans="1:10" s="36" customFormat="1" ht="18" customHeight="1" x14ac:dyDescent="0.25">
      <c r="A41" s="222"/>
      <c r="B41" s="222"/>
      <c r="C41" s="222"/>
      <c r="D41" s="46" t="s">
        <v>50</v>
      </c>
      <c r="E41" s="46" t="s">
        <v>51</v>
      </c>
      <c r="F41" s="46" t="s">
        <v>52</v>
      </c>
      <c r="G41" s="46" t="s">
        <v>50</v>
      </c>
      <c r="H41" s="46" t="s">
        <v>51</v>
      </c>
      <c r="I41" s="46" t="s">
        <v>52</v>
      </c>
      <c r="J41" s="222"/>
    </row>
    <row r="42" spans="1:10" ht="30" x14ac:dyDescent="0.25">
      <c r="A42" s="41" t="s">
        <v>0</v>
      </c>
      <c r="B42" s="41" t="s">
        <v>25</v>
      </c>
      <c r="C42" s="42" t="s">
        <v>13</v>
      </c>
      <c r="D42" s="92" t="s">
        <v>46</v>
      </c>
      <c r="E42" s="92" t="s">
        <v>45</v>
      </c>
      <c r="F42" s="92" t="s">
        <v>44</v>
      </c>
      <c r="G42" s="49">
        <f>IF(D42=$A$25,$B$25,(IF(D42=$A$26,$B$26,IF(D42=$A$27,$B$27,$B$28))))</f>
        <v>0.33</v>
      </c>
      <c r="H42" s="49">
        <f t="shared" ref="H42:I51" si="3">IF(E42=$A$25,$B$25,(IF(E42=$A$26,$B$26,IF(E42=$A$27,$B$27,$B$28))))</f>
        <v>0.66</v>
      </c>
      <c r="I42" s="49">
        <f t="shared" si="3"/>
        <v>1</v>
      </c>
      <c r="J42" s="2">
        <f>G42*$D$62+H42*$D$63+I42*$D$64</f>
        <v>12.425000000000001</v>
      </c>
    </row>
    <row r="43" spans="1:10" x14ac:dyDescent="0.25">
      <c r="A43" s="41" t="s">
        <v>1</v>
      </c>
      <c r="B43" s="41" t="s">
        <v>14</v>
      </c>
      <c r="C43" s="42" t="s">
        <v>29</v>
      </c>
      <c r="D43" s="92" t="s">
        <v>46</v>
      </c>
      <c r="E43" s="92" t="s">
        <v>46</v>
      </c>
      <c r="F43" s="92" t="s">
        <v>45</v>
      </c>
      <c r="G43" s="49">
        <f>IF(D43=$A$25,$B$25,(IF(D43=$A$26,$B$26,IF(D43=$A$27,$B$27,$B$28))))</f>
        <v>0.33</v>
      </c>
      <c r="H43" s="49">
        <f t="shared" si="3"/>
        <v>0.33</v>
      </c>
      <c r="I43" s="49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1" t="s">
        <v>2</v>
      </c>
      <c r="B44" s="41" t="s">
        <v>15</v>
      </c>
      <c r="C44" s="42" t="s">
        <v>30</v>
      </c>
      <c r="D44" s="92" t="s">
        <v>45</v>
      </c>
      <c r="E44" s="92" t="s">
        <v>44</v>
      </c>
      <c r="F44" s="92" t="s">
        <v>45</v>
      </c>
      <c r="G44" s="49">
        <f t="shared" ref="G44:G51" si="5">IF(D44=$A$25,$B$25,(IF(D44=$A$26,$B$26,IF(D44=$A$27,$B$27,$B$28))))</f>
        <v>0.66</v>
      </c>
      <c r="H44" s="49">
        <f t="shared" si="3"/>
        <v>1</v>
      </c>
      <c r="I44" s="49">
        <f t="shared" si="3"/>
        <v>0.66</v>
      </c>
      <c r="J44" s="2">
        <f t="shared" si="4"/>
        <v>15.75</v>
      </c>
    </row>
    <row r="45" spans="1:10" x14ac:dyDescent="0.25">
      <c r="A45" s="41" t="s">
        <v>6</v>
      </c>
      <c r="B45" s="41" t="s">
        <v>16</v>
      </c>
      <c r="C45" s="42" t="s">
        <v>17</v>
      </c>
      <c r="D45" s="92" t="s">
        <v>44</v>
      </c>
      <c r="E45" s="92" t="s">
        <v>45</v>
      </c>
      <c r="F45" s="92" t="s">
        <v>46</v>
      </c>
      <c r="G45" s="49">
        <f t="shared" si="5"/>
        <v>1</v>
      </c>
      <c r="H45" s="49">
        <f t="shared" si="3"/>
        <v>0.66</v>
      </c>
      <c r="I45" s="49">
        <f t="shared" si="3"/>
        <v>0.33</v>
      </c>
      <c r="J45" s="2">
        <f t="shared" si="4"/>
        <v>14.1</v>
      </c>
    </row>
    <row r="46" spans="1:10" ht="30" x14ac:dyDescent="0.25">
      <c r="A46" s="41" t="s">
        <v>7</v>
      </c>
      <c r="B46" s="41" t="s">
        <v>18</v>
      </c>
      <c r="C46" s="42" t="s">
        <v>31</v>
      </c>
      <c r="D46" s="92" t="s">
        <v>45</v>
      </c>
      <c r="E46" s="92" t="s">
        <v>44</v>
      </c>
      <c r="F46" s="92" t="s">
        <v>45</v>
      </c>
      <c r="G46" s="49">
        <f t="shared" si="5"/>
        <v>0.66</v>
      </c>
      <c r="H46" s="49">
        <f t="shared" si="3"/>
        <v>1</v>
      </c>
      <c r="I46" s="49">
        <f t="shared" si="3"/>
        <v>0.66</v>
      </c>
      <c r="J46" s="2">
        <f t="shared" si="4"/>
        <v>15.75</v>
      </c>
    </row>
    <row r="47" spans="1:10" x14ac:dyDescent="0.25">
      <c r="A47" s="41" t="s">
        <v>8</v>
      </c>
      <c r="B47" s="41" t="s">
        <v>19</v>
      </c>
      <c r="C47" s="42" t="s">
        <v>32</v>
      </c>
      <c r="D47" s="92" t="s">
        <v>44</v>
      </c>
      <c r="E47" s="92" t="s">
        <v>45</v>
      </c>
      <c r="F47" s="92" t="s">
        <v>46</v>
      </c>
      <c r="G47" s="49">
        <f t="shared" si="5"/>
        <v>1</v>
      </c>
      <c r="H47" s="49">
        <f t="shared" si="3"/>
        <v>0.66</v>
      </c>
      <c r="I47" s="49">
        <f t="shared" si="3"/>
        <v>0.33</v>
      </c>
      <c r="J47" s="2">
        <f t="shared" si="4"/>
        <v>14.1</v>
      </c>
    </row>
    <row r="48" spans="1:10" ht="30" x14ac:dyDescent="0.25">
      <c r="A48" s="41" t="s">
        <v>9</v>
      </c>
      <c r="B48" s="41" t="s">
        <v>20</v>
      </c>
      <c r="C48" s="42" t="s">
        <v>33</v>
      </c>
      <c r="D48" s="92" t="s">
        <v>44</v>
      </c>
      <c r="E48" s="92" t="s">
        <v>45</v>
      </c>
      <c r="F48" s="92" t="s">
        <v>46</v>
      </c>
      <c r="G48" s="49">
        <f t="shared" si="5"/>
        <v>1</v>
      </c>
      <c r="H48" s="49">
        <f t="shared" si="3"/>
        <v>0.66</v>
      </c>
      <c r="I48" s="49">
        <f t="shared" si="3"/>
        <v>0.33</v>
      </c>
      <c r="J48" s="2">
        <f t="shared" si="4"/>
        <v>14.1</v>
      </c>
    </row>
    <row r="49" spans="1:10" ht="30" x14ac:dyDescent="0.25">
      <c r="A49" s="41" t="s">
        <v>10</v>
      </c>
      <c r="B49" s="41" t="s">
        <v>21</v>
      </c>
      <c r="C49" s="42" t="s">
        <v>22</v>
      </c>
      <c r="D49" s="92" t="s">
        <v>45</v>
      </c>
      <c r="E49" s="92" t="s">
        <v>46</v>
      </c>
      <c r="F49" s="92" t="s">
        <v>44</v>
      </c>
      <c r="G49" s="49">
        <f>IF(D49=$A$25,$B$25,(IF(D49=$A$26,$B$26,IF(D49=$A$27,$B$27,$B$28))))</f>
        <v>0.66</v>
      </c>
      <c r="H49" s="49">
        <f t="shared" si="3"/>
        <v>0.33</v>
      </c>
      <c r="I49" s="49">
        <f t="shared" si="3"/>
        <v>1</v>
      </c>
      <c r="J49" s="2">
        <f t="shared" si="4"/>
        <v>12.425000000000001</v>
      </c>
    </row>
    <row r="50" spans="1:10" ht="35.25" customHeight="1" x14ac:dyDescent="0.25">
      <c r="A50" s="41" t="s">
        <v>11</v>
      </c>
      <c r="B50" s="41" t="s">
        <v>23</v>
      </c>
      <c r="C50" s="42" t="s">
        <v>34</v>
      </c>
      <c r="D50" s="92" t="s">
        <v>46</v>
      </c>
      <c r="E50" s="92" t="s">
        <v>44</v>
      </c>
      <c r="F50" s="92" t="s">
        <v>45</v>
      </c>
      <c r="G50" s="49">
        <f t="shared" si="5"/>
        <v>0.33</v>
      </c>
      <c r="H50" s="49">
        <f t="shared" si="3"/>
        <v>1</v>
      </c>
      <c r="I50" s="49">
        <f t="shared" si="3"/>
        <v>0.66</v>
      </c>
      <c r="J50" s="2">
        <f t="shared" si="4"/>
        <v>13.275</v>
      </c>
    </row>
    <row r="51" spans="1:10" ht="30" x14ac:dyDescent="0.25">
      <c r="A51" s="41" t="s">
        <v>12</v>
      </c>
      <c r="B51" s="41" t="s">
        <v>24</v>
      </c>
      <c r="C51" s="42" t="s">
        <v>35</v>
      </c>
      <c r="D51" s="92" t="s">
        <v>46</v>
      </c>
      <c r="E51" s="92" t="s">
        <v>44</v>
      </c>
      <c r="F51" s="92" t="s">
        <v>45</v>
      </c>
      <c r="G51" s="49">
        <f t="shared" si="5"/>
        <v>0.33</v>
      </c>
      <c r="H51" s="49">
        <f t="shared" si="3"/>
        <v>1</v>
      </c>
      <c r="I51" s="49">
        <f t="shared" si="3"/>
        <v>0.66</v>
      </c>
      <c r="J51" s="2">
        <f t="shared" si="4"/>
        <v>13.275</v>
      </c>
    </row>
    <row r="53" spans="1:10" x14ac:dyDescent="0.25">
      <c r="A53" s="39" t="s">
        <v>98</v>
      </c>
    </row>
    <row r="54" spans="1:10" x14ac:dyDescent="0.25">
      <c r="A54" s="46" t="s">
        <v>43</v>
      </c>
      <c r="B54" s="47" t="s">
        <v>55</v>
      </c>
      <c r="C54" s="47" t="s">
        <v>56</v>
      </c>
    </row>
    <row r="55" spans="1:10" x14ac:dyDescent="0.25">
      <c r="A55" s="41" t="s">
        <v>44</v>
      </c>
      <c r="B55" s="2">
        <v>1</v>
      </c>
      <c r="C55" s="2">
        <v>7.5</v>
      </c>
    </row>
    <row r="56" spans="1:10" x14ac:dyDescent="0.25">
      <c r="A56" s="41" t="s">
        <v>45</v>
      </c>
      <c r="B56" s="2">
        <v>0.66</v>
      </c>
      <c r="C56" s="2">
        <v>5</v>
      </c>
    </row>
    <row r="57" spans="1:10" x14ac:dyDescent="0.25">
      <c r="A57" s="41" t="s">
        <v>46</v>
      </c>
      <c r="B57" s="2">
        <v>0.33</v>
      </c>
      <c r="C57" s="2">
        <v>2.5</v>
      </c>
    </row>
    <row r="58" spans="1:10" x14ac:dyDescent="0.25">
      <c r="A58" s="41" t="s">
        <v>47</v>
      </c>
      <c r="B58" s="2">
        <v>0</v>
      </c>
      <c r="C58" s="2">
        <v>1</v>
      </c>
    </row>
    <row r="60" spans="1:10" x14ac:dyDescent="0.25">
      <c r="A60" s="39" t="s">
        <v>99</v>
      </c>
    </row>
    <row r="61" spans="1:10" ht="60.75" thickBot="1" x14ac:dyDescent="0.3">
      <c r="A61" s="46" t="s">
        <v>53</v>
      </c>
      <c r="B61" s="47" t="s">
        <v>39</v>
      </c>
      <c r="C61" s="46" t="s">
        <v>48</v>
      </c>
      <c r="D61" s="48" t="s">
        <v>104</v>
      </c>
    </row>
    <row r="62" spans="1:10" x14ac:dyDescent="0.25">
      <c r="A62" s="64" t="s">
        <v>50</v>
      </c>
      <c r="B62" s="43" t="s">
        <v>40</v>
      </c>
      <c r="C62" s="2" t="s">
        <v>44</v>
      </c>
      <c r="D62" s="86">
        <v>7.5</v>
      </c>
    </row>
    <row r="63" spans="1:10" x14ac:dyDescent="0.25">
      <c r="A63" s="65" t="s">
        <v>51</v>
      </c>
      <c r="B63" s="43" t="s">
        <v>41</v>
      </c>
      <c r="C63" s="2" t="s">
        <v>44</v>
      </c>
      <c r="D63" s="86">
        <v>7.5</v>
      </c>
    </row>
    <row r="64" spans="1:10" ht="15.75" thickBot="1" x14ac:dyDescent="0.3">
      <c r="A64" s="66" t="s">
        <v>52</v>
      </c>
      <c r="B64" s="43" t="s">
        <v>42</v>
      </c>
      <c r="C64" s="2" t="s">
        <v>45</v>
      </c>
      <c r="D64" s="86">
        <v>5</v>
      </c>
    </row>
    <row r="67" spans="1:10" ht="18.75" x14ac:dyDescent="0.3">
      <c r="A67" s="85" t="s">
        <v>93</v>
      </c>
      <c r="B67" s="38"/>
      <c r="C67" s="38"/>
    </row>
    <row r="68" spans="1:10" x14ac:dyDescent="0.25">
      <c r="A68" s="1" t="s">
        <v>49</v>
      </c>
      <c r="B68" s="38"/>
      <c r="C68" s="38"/>
    </row>
    <row r="69" spans="1:10" x14ac:dyDescent="0.25">
      <c r="A69" s="39" t="s">
        <v>100</v>
      </c>
      <c r="B69" s="38"/>
      <c r="C69" s="38"/>
    </row>
    <row r="70" spans="1:10" ht="90.75" customHeight="1" x14ac:dyDescent="0.25">
      <c r="A70" s="222" t="s">
        <v>26</v>
      </c>
      <c r="B70" s="222" t="s">
        <v>27</v>
      </c>
      <c r="C70" s="222" t="s">
        <v>28</v>
      </c>
      <c r="D70" s="222" t="s">
        <v>58</v>
      </c>
      <c r="E70" s="222"/>
      <c r="F70" s="222"/>
      <c r="G70" s="222" t="s">
        <v>59</v>
      </c>
      <c r="H70" s="222"/>
      <c r="I70" s="222"/>
      <c r="J70" s="222" t="s">
        <v>54</v>
      </c>
    </row>
    <row r="71" spans="1:10" x14ac:dyDescent="0.25">
      <c r="A71" s="222"/>
      <c r="B71" s="222"/>
      <c r="C71" s="222"/>
      <c r="D71" s="46" t="s">
        <v>50</v>
      </c>
      <c r="E71" s="46" t="s">
        <v>51</v>
      </c>
      <c r="F71" s="46" t="s">
        <v>52</v>
      </c>
      <c r="G71" s="46" t="s">
        <v>50</v>
      </c>
      <c r="H71" s="46" t="s">
        <v>51</v>
      </c>
      <c r="I71" s="46" t="s">
        <v>52</v>
      </c>
      <c r="J71" s="222"/>
    </row>
    <row r="72" spans="1:10" ht="30" x14ac:dyDescent="0.25">
      <c r="A72" s="41" t="s">
        <v>0</v>
      </c>
      <c r="B72" s="41" t="s">
        <v>25</v>
      </c>
      <c r="C72" s="42" t="s">
        <v>13</v>
      </c>
      <c r="D72" s="92" t="s">
        <v>46</v>
      </c>
      <c r="E72" s="92" t="s">
        <v>45</v>
      </c>
      <c r="F72" s="92" t="s">
        <v>44</v>
      </c>
      <c r="G72" s="49">
        <f>IF(D72=$A$25,$B$25,(IF(D72=$A$26,$B$26,IF(D72=$A$27,$B$27,$B$28))))</f>
        <v>0.33</v>
      </c>
      <c r="H72" s="49">
        <f t="shared" ref="H72:I81" si="6">IF(E72=$A$25,$B$25,(IF(E72=$A$26,$B$26,IF(E72=$A$27,$B$27,$B$28))))</f>
        <v>0.66</v>
      </c>
      <c r="I72" s="49">
        <f t="shared" si="6"/>
        <v>1</v>
      </c>
      <c r="J72" s="2">
        <f>G72*$D$92+H72*$D$93+I72*$D$94</f>
        <v>11.625</v>
      </c>
    </row>
    <row r="73" spans="1:10" x14ac:dyDescent="0.25">
      <c r="A73" s="41" t="s">
        <v>1</v>
      </c>
      <c r="B73" s="41" t="s">
        <v>14</v>
      </c>
      <c r="C73" s="42" t="s">
        <v>29</v>
      </c>
      <c r="D73" s="92" t="s">
        <v>45</v>
      </c>
      <c r="E73" s="92" t="s">
        <v>46</v>
      </c>
      <c r="F73" s="92" t="s">
        <v>46</v>
      </c>
      <c r="G73" s="49">
        <f>IF(D73=$A$25,$B$25,(IF(D73=$A$26,$B$26,IF(D73=$A$27,$B$27,$B$28))))</f>
        <v>0.66</v>
      </c>
      <c r="H73" s="49">
        <f t="shared" si="6"/>
        <v>0.33</v>
      </c>
      <c r="I73" s="49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1" t="s">
        <v>2</v>
      </c>
      <c r="B74" s="41" t="s">
        <v>15</v>
      </c>
      <c r="C74" s="42" t="s">
        <v>30</v>
      </c>
      <c r="D74" s="92" t="s">
        <v>45</v>
      </c>
      <c r="E74" s="92" t="s">
        <v>44</v>
      </c>
      <c r="F74" s="92" t="s">
        <v>45</v>
      </c>
      <c r="G74" s="49">
        <f t="shared" ref="G74:G78" si="8">IF(D74=$A$25,$B$25,(IF(D74=$A$26,$B$26,IF(D74=$A$27,$B$27,$B$28))))</f>
        <v>0.66</v>
      </c>
      <c r="H74" s="49">
        <f t="shared" si="6"/>
        <v>1</v>
      </c>
      <c r="I74" s="49">
        <f t="shared" si="6"/>
        <v>0.66</v>
      </c>
      <c r="J74" s="2">
        <f t="shared" si="7"/>
        <v>11.600000000000001</v>
      </c>
    </row>
    <row r="75" spans="1:10" x14ac:dyDescent="0.25">
      <c r="A75" s="41" t="s">
        <v>6</v>
      </c>
      <c r="B75" s="41" t="s">
        <v>16</v>
      </c>
      <c r="C75" s="42" t="s">
        <v>17</v>
      </c>
      <c r="D75" s="92" t="s">
        <v>44</v>
      </c>
      <c r="E75" s="92" t="s">
        <v>45</v>
      </c>
      <c r="F75" s="92" t="s">
        <v>46</v>
      </c>
      <c r="G75" s="49">
        <f t="shared" si="8"/>
        <v>1</v>
      </c>
      <c r="H75" s="49">
        <f t="shared" si="6"/>
        <v>0.66</v>
      </c>
      <c r="I75" s="49">
        <f t="shared" si="6"/>
        <v>0.33</v>
      </c>
      <c r="J75" s="2">
        <f t="shared" si="7"/>
        <v>8.2750000000000004</v>
      </c>
    </row>
    <row r="76" spans="1:10" ht="30" x14ac:dyDescent="0.25">
      <c r="A76" s="41" t="s">
        <v>7</v>
      </c>
      <c r="B76" s="41" t="s">
        <v>18</v>
      </c>
      <c r="C76" s="42" t="s">
        <v>31</v>
      </c>
      <c r="D76" s="92" t="s">
        <v>45</v>
      </c>
      <c r="E76" s="92" t="s">
        <v>44</v>
      </c>
      <c r="F76" s="92" t="s">
        <v>46</v>
      </c>
      <c r="G76" s="49">
        <f t="shared" si="8"/>
        <v>0.66</v>
      </c>
      <c r="H76" s="49">
        <f t="shared" si="6"/>
        <v>1</v>
      </c>
      <c r="I76" s="49">
        <f t="shared" si="6"/>
        <v>0.33</v>
      </c>
      <c r="J76" s="2">
        <f t="shared" si="7"/>
        <v>9.125</v>
      </c>
    </row>
    <row r="77" spans="1:10" x14ac:dyDescent="0.25">
      <c r="A77" s="41" t="s">
        <v>8</v>
      </c>
      <c r="B77" s="41" t="s">
        <v>19</v>
      </c>
      <c r="C77" s="42" t="s">
        <v>32</v>
      </c>
      <c r="D77" s="92" t="s">
        <v>46</v>
      </c>
      <c r="E77" s="92" t="s">
        <v>45</v>
      </c>
      <c r="F77" s="92" t="s">
        <v>46</v>
      </c>
      <c r="G77" s="49">
        <f t="shared" si="8"/>
        <v>0.33</v>
      </c>
      <c r="H77" s="49">
        <f t="shared" si="6"/>
        <v>0.66</v>
      </c>
      <c r="I77" s="49">
        <f t="shared" si="6"/>
        <v>0.33</v>
      </c>
      <c r="J77" s="2">
        <f t="shared" si="7"/>
        <v>6.6</v>
      </c>
    </row>
    <row r="78" spans="1:10" ht="30" x14ac:dyDescent="0.25">
      <c r="A78" s="41" t="s">
        <v>9</v>
      </c>
      <c r="B78" s="41" t="s">
        <v>20</v>
      </c>
      <c r="C78" s="42" t="s">
        <v>33</v>
      </c>
      <c r="D78" s="92" t="s">
        <v>44</v>
      </c>
      <c r="E78" s="92" t="s">
        <v>45</v>
      </c>
      <c r="F78" s="92" t="s">
        <v>46</v>
      </c>
      <c r="G78" s="49">
        <f t="shared" si="8"/>
        <v>1</v>
      </c>
      <c r="H78" s="49">
        <f t="shared" si="6"/>
        <v>0.66</v>
      </c>
      <c r="I78" s="49">
        <f t="shared" si="6"/>
        <v>0.33</v>
      </c>
      <c r="J78" s="2">
        <f t="shared" si="7"/>
        <v>8.2750000000000004</v>
      </c>
    </row>
    <row r="79" spans="1:10" ht="30" x14ac:dyDescent="0.25">
      <c r="A79" s="41" t="s">
        <v>10</v>
      </c>
      <c r="B79" s="41" t="s">
        <v>21</v>
      </c>
      <c r="C79" s="42" t="s">
        <v>22</v>
      </c>
      <c r="D79" s="92" t="s">
        <v>45</v>
      </c>
      <c r="E79" s="92" t="s">
        <v>46</v>
      </c>
      <c r="F79" s="92" t="s">
        <v>44</v>
      </c>
      <c r="G79" s="49">
        <f>IF(D79=$A$25,$B$25,(IF(D79=$A$26,$B$26,IF(D79=$A$27,$B$27,$B$28))))</f>
        <v>0.66</v>
      </c>
      <c r="H79" s="49">
        <f t="shared" si="6"/>
        <v>0.33</v>
      </c>
      <c r="I79" s="49">
        <f t="shared" si="6"/>
        <v>1</v>
      </c>
      <c r="J79" s="2">
        <f t="shared" si="7"/>
        <v>10.8</v>
      </c>
    </row>
    <row r="80" spans="1:10" ht="30" x14ac:dyDescent="0.25">
      <c r="A80" s="41" t="s">
        <v>11</v>
      </c>
      <c r="B80" s="41" t="s">
        <v>23</v>
      </c>
      <c r="C80" s="42" t="s">
        <v>34</v>
      </c>
      <c r="D80" s="92" t="s">
        <v>45</v>
      </c>
      <c r="E80" s="92" t="s">
        <v>44</v>
      </c>
      <c r="F80" s="92" t="s">
        <v>46</v>
      </c>
      <c r="G80" s="49">
        <f t="shared" ref="G80:G81" si="9">IF(D80=$A$25,$B$25,(IF(D80=$A$26,$B$26,IF(D80=$A$27,$B$27,$B$28))))</f>
        <v>0.66</v>
      </c>
      <c r="H80" s="49">
        <f t="shared" si="6"/>
        <v>1</v>
      </c>
      <c r="I80" s="49">
        <f t="shared" si="6"/>
        <v>0.33</v>
      </c>
      <c r="J80" s="2">
        <f t="shared" si="7"/>
        <v>9.125</v>
      </c>
    </row>
    <row r="81" spans="1:10" ht="30" x14ac:dyDescent="0.25">
      <c r="A81" s="41" t="s">
        <v>12</v>
      </c>
      <c r="B81" s="41" t="s">
        <v>24</v>
      </c>
      <c r="C81" s="42" t="s">
        <v>35</v>
      </c>
      <c r="D81" s="92" t="s">
        <v>46</v>
      </c>
      <c r="E81" s="92" t="s">
        <v>44</v>
      </c>
      <c r="F81" s="92" t="s">
        <v>45</v>
      </c>
      <c r="G81" s="49">
        <f t="shared" si="9"/>
        <v>0.33</v>
      </c>
      <c r="H81" s="49">
        <f t="shared" si="6"/>
        <v>1</v>
      </c>
      <c r="I81" s="49">
        <f t="shared" si="6"/>
        <v>0.66</v>
      </c>
      <c r="J81" s="2">
        <f t="shared" si="7"/>
        <v>10.775</v>
      </c>
    </row>
    <row r="83" spans="1:10" x14ac:dyDescent="0.25">
      <c r="A83" s="39" t="s">
        <v>101</v>
      </c>
    </row>
    <row r="84" spans="1:10" x14ac:dyDescent="0.25">
      <c r="A84" s="46" t="s">
        <v>43</v>
      </c>
      <c r="B84" s="47" t="s">
        <v>55</v>
      </c>
      <c r="C84" s="47" t="s">
        <v>56</v>
      </c>
    </row>
    <row r="85" spans="1:10" x14ac:dyDescent="0.25">
      <c r="A85" s="41" t="s">
        <v>44</v>
      </c>
      <c r="B85" s="2">
        <v>1</v>
      </c>
      <c r="C85" s="2">
        <v>7.5</v>
      </c>
    </row>
    <row r="86" spans="1:10" x14ac:dyDescent="0.25">
      <c r="A86" s="41" t="s">
        <v>45</v>
      </c>
      <c r="B86" s="2">
        <v>0.66</v>
      </c>
      <c r="C86" s="2">
        <v>5</v>
      </c>
    </row>
    <row r="87" spans="1:10" x14ac:dyDescent="0.25">
      <c r="A87" s="41" t="s">
        <v>46</v>
      </c>
      <c r="B87" s="2">
        <v>0.33</v>
      </c>
      <c r="C87" s="2">
        <v>2.5</v>
      </c>
    </row>
    <row r="88" spans="1:10" x14ac:dyDescent="0.25">
      <c r="A88" s="41" t="s">
        <v>47</v>
      </c>
      <c r="B88" s="2">
        <v>0</v>
      </c>
      <c r="C88" s="2">
        <v>1</v>
      </c>
    </row>
    <row r="90" spans="1:10" x14ac:dyDescent="0.25">
      <c r="A90" s="39" t="s">
        <v>102</v>
      </c>
    </row>
    <row r="91" spans="1:10" ht="60.75" thickBot="1" x14ac:dyDescent="0.3">
      <c r="A91" s="46" t="s">
        <v>53</v>
      </c>
      <c r="B91" s="47" t="s">
        <v>39</v>
      </c>
      <c r="C91" s="46" t="s">
        <v>48</v>
      </c>
      <c r="D91" s="48" t="s">
        <v>103</v>
      </c>
    </row>
    <row r="92" spans="1:10" x14ac:dyDescent="0.25">
      <c r="A92" s="64" t="s">
        <v>50</v>
      </c>
      <c r="B92" s="43" t="s">
        <v>40</v>
      </c>
      <c r="C92" s="2" t="s">
        <v>46</v>
      </c>
      <c r="D92" s="86">
        <f>C87</f>
        <v>2.5</v>
      </c>
    </row>
    <row r="93" spans="1:10" x14ac:dyDescent="0.25">
      <c r="A93" s="65" t="s">
        <v>51</v>
      </c>
      <c r="B93" s="43" t="s">
        <v>41</v>
      </c>
      <c r="C93" s="2" t="s">
        <v>45</v>
      </c>
      <c r="D93" s="86">
        <f>C86</f>
        <v>5</v>
      </c>
    </row>
    <row r="94" spans="1:10" ht="15.75" thickBot="1" x14ac:dyDescent="0.3">
      <c r="A94" s="66" t="s">
        <v>52</v>
      </c>
      <c r="B94" s="43" t="s">
        <v>42</v>
      </c>
      <c r="C94" s="2" t="s">
        <v>44</v>
      </c>
      <c r="D94" s="86">
        <f>C85</f>
        <v>7.5</v>
      </c>
    </row>
    <row r="97" spans="1:6" x14ac:dyDescent="0.25">
      <c r="A97" s="1" t="s">
        <v>111</v>
      </c>
    </row>
    <row r="98" spans="1:6" s="36" customFormat="1" ht="90" x14ac:dyDescent="0.25">
      <c r="A98" s="87" t="s">
        <v>106</v>
      </c>
      <c r="B98" s="87" t="s">
        <v>153</v>
      </c>
      <c r="C98" s="87" t="s">
        <v>155</v>
      </c>
      <c r="D98" s="87" t="s">
        <v>156</v>
      </c>
      <c r="E98" s="87" t="s">
        <v>155</v>
      </c>
    </row>
    <row r="99" spans="1:6" x14ac:dyDescent="0.25">
      <c r="A99" s="2" t="s">
        <v>107</v>
      </c>
      <c r="B99" s="2">
        <v>1</v>
      </c>
      <c r="C99" s="2">
        <f>B99/B$102</f>
        <v>0.5</v>
      </c>
      <c r="D99" s="2">
        <v>0.75</v>
      </c>
      <c r="E99" s="2">
        <f t="shared" ref="E99:E101" si="10">D99/D$102</f>
        <v>0.3</v>
      </c>
    </row>
    <row r="100" spans="1:6" x14ac:dyDescent="0.25">
      <c r="A100" s="2" t="s">
        <v>108</v>
      </c>
      <c r="B100" s="2">
        <v>1</v>
      </c>
      <c r="C100" s="2">
        <f>B100/B$102</f>
        <v>0.5</v>
      </c>
      <c r="D100" s="2">
        <v>0.75</v>
      </c>
      <c r="E100" s="2">
        <f t="shared" si="10"/>
        <v>0.3</v>
      </c>
    </row>
    <row r="101" spans="1:6" x14ac:dyDescent="0.25">
      <c r="A101" s="2" t="s">
        <v>136</v>
      </c>
      <c r="B101" s="2"/>
      <c r="C101" s="2"/>
      <c r="D101" s="2">
        <v>1</v>
      </c>
      <c r="E101" s="2">
        <f t="shared" si="10"/>
        <v>0.4</v>
      </c>
    </row>
    <row r="102" spans="1:6" x14ac:dyDescent="0.25">
      <c r="A102" s="3" t="s">
        <v>154</v>
      </c>
      <c r="B102" s="3">
        <f>SUM(B99:B101)</f>
        <v>2</v>
      </c>
      <c r="C102" s="3">
        <f t="shared" ref="C102:E102" si="11">SUM(C99:C101)</f>
        <v>1</v>
      </c>
      <c r="D102" s="3">
        <f t="shared" si="11"/>
        <v>2.5</v>
      </c>
      <c r="E102" s="3">
        <f t="shared" si="11"/>
        <v>1</v>
      </c>
    </row>
    <row r="103" spans="1:6" x14ac:dyDescent="0.25">
      <c r="A103" s="1"/>
      <c r="B103" s="1"/>
      <c r="C103" s="1"/>
      <c r="D103" s="1"/>
      <c r="E103" s="1"/>
    </row>
    <row r="104" spans="1:6" x14ac:dyDescent="0.25">
      <c r="A104" s="3" t="s">
        <v>162</v>
      </c>
      <c r="B104" s="3">
        <v>0.4</v>
      </c>
      <c r="C104" s="1"/>
      <c r="D104" s="1"/>
      <c r="E104" s="1"/>
    </row>
    <row r="106" spans="1:6" x14ac:dyDescent="0.25">
      <c r="A106" s="128" t="s">
        <v>157</v>
      </c>
    </row>
    <row r="107" spans="1:6" x14ac:dyDescent="0.25">
      <c r="A107" s="123" t="s">
        <v>25</v>
      </c>
      <c r="B107" s="125">
        <f>B188/B188</f>
        <v>1</v>
      </c>
      <c r="C107" s="125">
        <f>C188/B188</f>
        <v>0.87809187279151946</v>
      </c>
      <c r="D107" s="125">
        <f>D188/B188</f>
        <v>0.82155477031802115</v>
      </c>
      <c r="F107" s="123"/>
    </row>
    <row r="108" spans="1:6" x14ac:dyDescent="0.25">
      <c r="B108" s="125">
        <f>C188/B188</f>
        <v>0.87809187279151946</v>
      </c>
      <c r="C108" s="125">
        <f>C188/C188</f>
        <v>1</v>
      </c>
      <c r="D108" s="125">
        <f>D188/C188</f>
        <v>0.93561368209255524</v>
      </c>
    </row>
    <row r="109" spans="1:6" x14ac:dyDescent="0.25">
      <c r="B109" s="125">
        <f>D188/B188</f>
        <v>0.82155477031802115</v>
      </c>
      <c r="C109" s="125">
        <f>D188/C188</f>
        <v>0.93561368209255524</v>
      </c>
      <c r="D109" s="125">
        <f>D188/D188</f>
        <v>1</v>
      </c>
    </row>
    <row r="111" spans="1:6" x14ac:dyDescent="0.25">
      <c r="A111" s="123" t="s">
        <v>14</v>
      </c>
      <c r="B111" s="2">
        <f>B189/B189</f>
        <v>1</v>
      </c>
      <c r="C111" s="2">
        <f>B189/C189</f>
        <v>0.8</v>
      </c>
      <c r="D111" s="2">
        <f>D189/B189</f>
        <v>0.875</v>
      </c>
      <c r="F111" s="123"/>
    </row>
    <row r="112" spans="1:6" x14ac:dyDescent="0.25">
      <c r="B112" s="2">
        <f>B189/C189</f>
        <v>0.8</v>
      </c>
      <c r="C112" s="2">
        <f>C189/C189</f>
        <v>1</v>
      </c>
      <c r="D112" s="2">
        <f>D189/C189</f>
        <v>0.70000000000000007</v>
      </c>
    </row>
    <row r="113" spans="1:6" x14ac:dyDescent="0.25">
      <c r="B113" s="2">
        <f>D189/B189</f>
        <v>0.875</v>
      </c>
      <c r="C113" s="2">
        <f>D189/C189</f>
        <v>0.70000000000000007</v>
      </c>
      <c r="D113" s="2">
        <f>D189/D189</f>
        <v>1</v>
      </c>
    </row>
    <row r="115" spans="1:6" x14ac:dyDescent="0.25">
      <c r="A115" s="123" t="s">
        <v>15</v>
      </c>
      <c r="B115" s="125">
        <f>B190/B190</f>
        <v>1</v>
      </c>
      <c r="C115" s="125">
        <f>B190/C190</f>
        <v>0.62857142857142856</v>
      </c>
      <c r="D115" s="125">
        <f>B190/D190</f>
        <v>0.85344827586206884</v>
      </c>
      <c r="F115" s="123"/>
    </row>
    <row r="116" spans="1:6" x14ac:dyDescent="0.25">
      <c r="B116" s="125">
        <f>B190/C190</f>
        <v>0.62857142857142856</v>
      </c>
      <c r="C116" s="125">
        <f>C190/C190</f>
        <v>1</v>
      </c>
      <c r="D116" s="125">
        <f>D190/C190</f>
        <v>0.73650793650793656</v>
      </c>
    </row>
    <row r="117" spans="1:6" x14ac:dyDescent="0.25">
      <c r="B117" s="125">
        <f>B190/D190</f>
        <v>0.85344827586206884</v>
      </c>
      <c r="C117" s="125">
        <f>D190/C190</f>
        <v>0.73650793650793656</v>
      </c>
      <c r="D117" s="125">
        <f>D190/D190</f>
        <v>1</v>
      </c>
    </row>
    <row r="119" spans="1:6" x14ac:dyDescent="0.25">
      <c r="A119" s="123" t="s">
        <v>16</v>
      </c>
      <c r="B119" s="125">
        <f>B191/B191</f>
        <v>1</v>
      </c>
      <c r="C119" s="125">
        <f>B191/C191</f>
        <v>0.88297872340425543</v>
      </c>
      <c r="D119" s="125">
        <f>D191/B191</f>
        <v>0.66465863453815255</v>
      </c>
      <c r="F119" s="123"/>
    </row>
    <row r="120" spans="1:6" x14ac:dyDescent="0.25">
      <c r="B120" s="125">
        <f>B191/C191</f>
        <v>0.88297872340425543</v>
      </c>
      <c r="C120" s="125">
        <f>C191/C191</f>
        <v>1</v>
      </c>
      <c r="D120" s="125">
        <f>D191/C191</f>
        <v>0.58687943262411346</v>
      </c>
    </row>
    <row r="121" spans="1:6" x14ac:dyDescent="0.25">
      <c r="B121" s="125">
        <f>D191/B191</f>
        <v>0.66465863453815255</v>
      </c>
      <c r="C121" s="125">
        <f>D191/C191</f>
        <v>0.58687943262411346</v>
      </c>
      <c r="D121" s="125">
        <f>D191/D191</f>
        <v>1</v>
      </c>
    </row>
    <row r="123" spans="1:6" x14ac:dyDescent="0.25">
      <c r="A123" s="123" t="s">
        <v>18</v>
      </c>
      <c r="B123" s="125">
        <f>B192/B192</f>
        <v>1</v>
      </c>
      <c r="C123" s="125">
        <f>B192/C192</f>
        <v>0.68253968253968256</v>
      </c>
      <c r="D123" s="125">
        <f>D192/B192</f>
        <v>0.84883720930232553</v>
      </c>
      <c r="F123" s="123"/>
    </row>
    <row r="124" spans="1:6" x14ac:dyDescent="0.25">
      <c r="B124" s="125">
        <f>B192/C192</f>
        <v>0.68253968253968256</v>
      </c>
      <c r="C124" s="125">
        <f>C192/C192</f>
        <v>1</v>
      </c>
      <c r="D124" s="125">
        <f>D192/C192</f>
        <v>0.57936507936507942</v>
      </c>
    </row>
    <row r="125" spans="1:6" x14ac:dyDescent="0.25">
      <c r="B125" s="125">
        <f>D192/B192</f>
        <v>0.84883720930232553</v>
      </c>
      <c r="C125" s="125">
        <f>D192/C192</f>
        <v>0.57936507936507942</v>
      </c>
      <c r="D125" s="125">
        <f>D192/D192</f>
        <v>1</v>
      </c>
    </row>
    <row r="127" spans="1:6" x14ac:dyDescent="0.25">
      <c r="A127" s="123" t="s">
        <v>19</v>
      </c>
      <c r="B127" s="125">
        <f>B193/B193</f>
        <v>1</v>
      </c>
      <c r="C127" s="125">
        <f>B193/C193</f>
        <v>0.76595744680851074</v>
      </c>
      <c r="D127" s="125">
        <f>D193/B193</f>
        <v>0.61111111111111105</v>
      </c>
      <c r="F127" s="123"/>
    </row>
    <row r="128" spans="1:6" x14ac:dyDescent="0.25">
      <c r="B128" s="125">
        <f>B193/C193</f>
        <v>0.76595744680851074</v>
      </c>
      <c r="C128" s="125">
        <f>C193/C193</f>
        <v>1</v>
      </c>
      <c r="D128" s="125">
        <f>D193/C193</f>
        <v>0.46808510638297873</v>
      </c>
    </row>
    <row r="129" spans="1:6" x14ac:dyDescent="0.25">
      <c r="B129" s="125">
        <f>D193/B193</f>
        <v>0.61111111111111105</v>
      </c>
      <c r="C129" s="125">
        <f>D193/C193</f>
        <v>0.46808510638297873</v>
      </c>
      <c r="D129" s="125">
        <f>D193/D193</f>
        <v>1</v>
      </c>
    </row>
    <row r="131" spans="1:6" x14ac:dyDescent="0.25">
      <c r="A131" s="123" t="s">
        <v>20</v>
      </c>
      <c r="B131" s="125">
        <f>B194/B194</f>
        <v>1</v>
      </c>
      <c r="C131" s="125">
        <f>B194/C194</f>
        <v>0.76595744680851074</v>
      </c>
      <c r="D131" s="125">
        <f>D194/B194</f>
        <v>0.76620370370370372</v>
      </c>
      <c r="F131" s="123"/>
    </row>
    <row r="132" spans="1:6" x14ac:dyDescent="0.25">
      <c r="B132" s="125">
        <f>B194/C194</f>
        <v>0.76595744680851074</v>
      </c>
      <c r="C132" s="125">
        <f>C194/C194</f>
        <v>1</v>
      </c>
      <c r="D132" s="125">
        <f>D194/C194</f>
        <v>0.58687943262411346</v>
      </c>
    </row>
    <row r="133" spans="1:6" x14ac:dyDescent="0.25">
      <c r="B133" s="125">
        <f>D194/B194</f>
        <v>0.76620370370370372</v>
      </c>
      <c r="C133" s="125">
        <f>D194/C194</f>
        <v>0.58687943262411346</v>
      </c>
      <c r="D133" s="125">
        <f>D194/D194</f>
        <v>1</v>
      </c>
    </row>
    <row r="135" spans="1:6" x14ac:dyDescent="0.25">
      <c r="A135" s="123" t="s">
        <v>21</v>
      </c>
      <c r="B135" s="125">
        <f>B195/B195</f>
        <v>1</v>
      </c>
      <c r="C135" s="125">
        <f>C195/B195</f>
        <v>0.99799196787148603</v>
      </c>
      <c r="D135" s="125">
        <f>D195/B195</f>
        <v>0.86746987951807242</v>
      </c>
      <c r="F135" s="123"/>
    </row>
    <row r="136" spans="1:6" x14ac:dyDescent="0.25">
      <c r="B136" s="125">
        <f>C195/B195</f>
        <v>0.99799196787148603</v>
      </c>
      <c r="C136" s="125">
        <f>C195/C195</f>
        <v>1</v>
      </c>
      <c r="D136" s="125">
        <f>D195/C195</f>
        <v>0.86921529175050305</v>
      </c>
    </row>
    <row r="137" spans="1:6" x14ac:dyDescent="0.25">
      <c r="B137" s="125">
        <f>D195/B195</f>
        <v>0.86746987951807242</v>
      </c>
      <c r="C137" s="125">
        <f>D195/C195</f>
        <v>0.86921529175050305</v>
      </c>
      <c r="D137" s="125">
        <f>D195/D195</f>
        <v>1</v>
      </c>
    </row>
    <row r="139" spans="1:6" x14ac:dyDescent="0.25">
      <c r="A139" s="123" t="s">
        <v>23</v>
      </c>
      <c r="B139" s="125">
        <f>B196/B196</f>
        <v>1</v>
      </c>
      <c r="C139" s="125">
        <f>B196/C196</f>
        <v>0.80979284369114879</v>
      </c>
      <c r="D139" s="125">
        <f>D196/B196</f>
        <v>0.84883720930232553</v>
      </c>
      <c r="F139" s="123"/>
    </row>
    <row r="140" spans="1:6" x14ac:dyDescent="0.25">
      <c r="B140" s="125">
        <f>B196/C196</f>
        <v>0.80979284369114879</v>
      </c>
      <c r="C140" s="125">
        <f>C196/C196</f>
        <v>1</v>
      </c>
      <c r="D140" s="125">
        <f>D196/C196</f>
        <v>0.68738229755178903</v>
      </c>
    </row>
    <row r="141" spans="1:6" x14ac:dyDescent="0.25">
      <c r="B141" s="125">
        <f>D196/B196</f>
        <v>0.84883720930232553</v>
      </c>
      <c r="C141" s="125">
        <f>D196/C196</f>
        <v>0.68738229755178903</v>
      </c>
      <c r="D141" s="125">
        <f>D196/D196</f>
        <v>1</v>
      </c>
    </row>
    <row r="143" spans="1:6" x14ac:dyDescent="0.25">
      <c r="A143" s="123" t="s">
        <v>24</v>
      </c>
      <c r="B143" s="125">
        <f>B197/B197</f>
        <v>1</v>
      </c>
      <c r="C143" s="125">
        <f>B197/C197</f>
        <v>0.62335216572504704</v>
      </c>
      <c r="D143" s="125">
        <f>B197/D197</f>
        <v>0.76798143851508116</v>
      </c>
      <c r="F143" s="123"/>
    </row>
    <row r="144" spans="1:6" x14ac:dyDescent="0.25">
      <c r="B144" s="125">
        <f>B197/C197</f>
        <v>0.62335216572504704</v>
      </c>
      <c r="C144" s="125">
        <f>C197/C197</f>
        <v>1</v>
      </c>
      <c r="D144" s="125">
        <f>D197/C197</f>
        <v>0.81167608286252357</v>
      </c>
    </row>
    <row r="145" spans="1:4" x14ac:dyDescent="0.25">
      <c r="B145" s="125">
        <f>B197/D197</f>
        <v>0.76798143851508116</v>
      </c>
      <c r="C145" s="125">
        <f>D197/C197</f>
        <v>0.81167608286252357</v>
      </c>
      <c r="D145" s="125">
        <f>D197/D197</f>
        <v>1</v>
      </c>
    </row>
    <row r="147" spans="1:4" x14ac:dyDescent="0.25">
      <c r="A147" s="1" t="s">
        <v>168</v>
      </c>
    </row>
    <row r="148" spans="1:4" x14ac:dyDescent="0.25">
      <c r="A148" s="87" t="s">
        <v>113</v>
      </c>
      <c r="B148" s="3" t="s">
        <v>107</v>
      </c>
      <c r="C148" s="3" t="s">
        <v>108</v>
      </c>
      <c r="D148" s="3" t="s">
        <v>136</v>
      </c>
    </row>
    <row r="149" spans="1:4" x14ac:dyDescent="0.25">
      <c r="A149" s="41" t="s">
        <v>25</v>
      </c>
      <c r="B149" s="124">
        <f>(C107+D107)/2</f>
        <v>0.84982332155477036</v>
      </c>
      <c r="C149" s="124">
        <f>(B108+D108)/2</f>
        <v>0.90685277744203741</v>
      </c>
      <c r="D149" s="124">
        <f>(B109+C109)/2</f>
        <v>0.8785842262052882</v>
      </c>
    </row>
    <row r="150" spans="1:4" x14ac:dyDescent="0.25">
      <c r="A150" s="41" t="s">
        <v>14</v>
      </c>
      <c r="B150" s="124">
        <f>(C111+D111)/2</f>
        <v>0.83750000000000002</v>
      </c>
      <c r="C150" s="124">
        <f>(B112+D112)/2</f>
        <v>0.75</v>
      </c>
      <c r="D150" s="124">
        <f>(B113+C113)/2</f>
        <v>0.78750000000000009</v>
      </c>
    </row>
    <row r="151" spans="1:4" x14ac:dyDescent="0.25">
      <c r="A151" s="41" t="s">
        <v>15</v>
      </c>
      <c r="B151" s="124">
        <f>(C115+D115)/2</f>
        <v>0.74100985221674875</v>
      </c>
      <c r="C151" s="124">
        <f>(B116+D116)/2</f>
        <v>0.68253968253968256</v>
      </c>
      <c r="D151" s="124">
        <f>(B117+C117)/2</f>
        <v>0.79497810618500275</v>
      </c>
    </row>
    <row r="152" spans="1:4" x14ac:dyDescent="0.25">
      <c r="A152" s="41" t="s">
        <v>16</v>
      </c>
      <c r="B152" s="124">
        <f>(C119+D119)/2</f>
        <v>0.77381867897120404</v>
      </c>
      <c r="C152" s="124">
        <f>(B120+D120)/2</f>
        <v>0.73492907801418439</v>
      </c>
      <c r="D152" s="124">
        <f>(B121+C121)/2</f>
        <v>0.62576903358113301</v>
      </c>
    </row>
    <row r="153" spans="1:4" x14ac:dyDescent="0.25">
      <c r="A153" s="41" t="s">
        <v>18</v>
      </c>
      <c r="B153" s="124">
        <f>(C123+D123)/2</f>
        <v>0.76568844592100405</v>
      </c>
      <c r="C153" s="124">
        <f>(B124+D124)/2</f>
        <v>0.63095238095238093</v>
      </c>
      <c r="D153" s="124">
        <f>(B125+C125)/2</f>
        <v>0.71410114433370242</v>
      </c>
    </row>
    <row r="154" spans="1:4" x14ac:dyDescent="0.25">
      <c r="A154" s="41" t="s">
        <v>19</v>
      </c>
      <c r="B154" s="124">
        <f>(C127+D127)/2</f>
        <v>0.6885342789598109</v>
      </c>
      <c r="C154" s="124">
        <f>(B128+D128)/2</f>
        <v>0.61702127659574479</v>
      </c>
      <c r="D154" s="124">
        <f>(B129+C129)/2</f>
        <v>0.53959810874704495</v>
      </c>
    </row>
    <row r="155" spans="1:4" x14ac:dyDescent="0.25">
      <c r="A155" s="41" t="s">
        <v>20</v>
      </c>
      <c r="B155" s="124">
        <f>(C131+D131)/2</f>
        <v>0.76608057525610729</v>
      </c>
      <c r="C155" s="124">
        <f>(B132+D132)/2</f>
        <v>0.6764184397163121</v>
      </c>
      <c r="D155" s="124">
        <f>(B133+C133)/2</f>
        <v>0.67654156816390865</v>
      </c>
    </row>
    <row r="156" spans="1:4" x14ac:dyDescent="0.25">
      <c r="A156" s="41" t="s">
        <v>21</v>
      </c>
      <c r="B156" s="124">
        <f>(C135+D135)/2</f>
        <v>0.93273092369477917</v>
      </c>
      <c r="C156" s="124">
        <f>(B136+D136)/2</f>
        <v>0.93360362981099454</v>
      </c>
      <c r="D156" s="124">
        <f>(B137+C137)/2</f>
        <v>0.86834258563428768</v>
      </c>
    </row>
    <row r="157" spans="1:4" x14ac:dyDescent="0.25">
      <c r="A157" s="41" t="s">
        <v>23</v>
      </c>
      <c r="B157" s="124">
        <f>(C139+D139)/2</f>
        <v>0.82931502649673716</v>
      </c>
      <c r="C157" s="124">
        <f>(B140+D140)/2</f>
        <v>0.74858757062146886</v>
      </c>
      <c r="D157" s="124">
        <f>(B141+C141)/2</f>
        <v>0.76810975342705734</v>
      </c>
    </row>
    <row r="158" spans="1:4" x14ac:dyDescent="0.25">
      <c r="A158" s="41" t="s">
        <v>24</v>
      </c>
      <c r="B158" s="124">
        <f>(C143+D143)/2</f>
        <v>0.69566680212006404</v>
      </c>
      <c r="C158" s="124">
        <f>(B144+D144)/2</f>
        <v>0.71751412429378525</v>
      </c>
      <c r="D158" s="124">
        <f>(B145+C145)/2</f>
        <v>0.78982876068880237</v>
      </c>
    </row>
    <row r="160" spans="1:4" x14ac:dyDescent="0.25">
      <c r="A160" s="1" t="s">
        <v>169</v>
      </c>
    </row>
    <row r="161" spans="1:5" x14ac:dyDescent="0.25">
      <c r="A161" s="87" t="s">
        <v>113</v>
      </c>
      <c r="B161" s="3" t="s">
        <v>107</v>
      </c>
      <c r="C161" s="3" t="s">
        <v>108</v>
      </c>
      <c r="D161" s="3" t="s">
        <v>136</v>
      </c>
      <c r="E161" s="127" t="s">
        <v>161</v>
      </c>
    </row>
    <row r="162" spans="1:5" x14ac:dyDescent="0.25">
      <c r="A162" s="41" t="s">
        <v>25</v>
      </c>
      <c r="B162" s="124">
        <f>B149/SUM($B149:$D149)</f>
        <v>0.32248173488879056</v>
      </c>
      <c r="C162" s="124">
        <f t="shared" ref="C162:D162" si="12">C149/SUM($B149:$D149)</f>
        <v>0.34412265413379667</v>
      </c>
      <c r="D162" s="124">
        <f t="shared" si="12"/>
        <v>0.33339561097741272</v>
      </c>
      <c r="E162" s="126">
        <f>SUM(B162:D162)</f>
        <v>1</v>
      </c>
    </row>
    <row r="163" spans="1:5" x14ac:dyDescent="0.25">
      <c r="A163" s="41" t="s">
        <v>14</v>
      </c>
      <c r="B163" s="124">
        <f t="shared" ref="B163:D163" si="13">B150/SUM($B150:$D150)</f>
        <v>0.35263157894736841</v>
      </c>
      <c r="C163" s="124">
        <f t="shared" si="13"/>
        <v>0.31578947368421051</v>
      </c>
      <c r="D163" s="124">
        <f t="shared" si="13"/>
        <v>0.33157894736842108</v>
      </c>
      <c r="E163" s="126">
        <f t="shared" ref="E163:E171" si="14">SUM(B163:D163)</f>
        <v>1</v>
      </c>
    </row>
    <row r="164" spans="1:5" x14ac:dyDescent="0.25">
      <c r="A164" s="41" t="s">
        <v>15</v>
      </c>
      <c r="B164" s="124">
        <f t="shared" ref="B164:D164" si="15">B151/SUM($B151:$D151)</f>
        <v>0.33400974526614446</v>
      </c>
      <c r="C164" s="124">
        <f t="shared" si="15"/>
        <v>0.30765435144637021</v>
      </c>
      <c r="D164" s="124">
        <f t="shared" si="15"/>
        <v>0.35833590328748538</v>
      </c>
      <c r="E164" s="126">
        <f t="shared" si="14"/>
        <v>1</v>
      </c>
    </row>
    <row r="165" spans="1:5" x14ac:dyDescent="0.25">
      <c r="A165" s="41" t="s">
        <v>16</v>
      </c>
      <c r="B165" s="124">
        <f t="shared" ref="B165:D165" si="16">B152/SUM($B152:$D152)</f>
        <v>0.36252639585272373</v>
      </c>
      <c r="C165" s="124">
        <f t="shared" si="16"/>
        <v>0.34430700253200031</v>
      </c>
      <c r="D165" s="124">
        <f t="shared" si="16"/>
        <v>0.29316660161527608</v>
      </c>
      <c r="E165" s="126">
        <f t="shared" si="14"/>
        <v>1</v>
      </c>
    </row>
    <row r="166" spans="1:5" x14ac:dyDescent="0.25">
      <c r="A166" s="41" t="s">
        <v>18</v>
      </c>
      <c r="B166" s="124">
        <f t="shared" ref="B166:D166" si="17">B153/SUM($B153:$D153)</f>
        <v>0.36275795732773702</v>
      </c>
      <c r="C166" s="124">
        <f t="shared" si="17"/>
        <v>0.2989244491080798</v>
      </c>
      <c r="D166" s="124">
        <f t="shared" si="17"/>
        <v>0.33831759356418328</v>
      </c>
      <c r="E166" s="126">
        <f t="shared" si="14"/>
        <v>1.0000000000000002</v>
      </c>
    </row>
    <row r="167" spans="1:5" x14ac:dyDescent="0.25">
      <c r="A167" s="41" t="s">
        <v>19</v>
      </c>
      <c r="B167" s="124">
        <f t="shared" ref="B167:D167" si="18">B154/SUM($B154:$D154)</f>
        <v>0.37315823190262648</v>
      </c>
      <c r="C167" s="124">
        <f t="shared" si="18"/>
        <v>0.33440102498398466</v>
      </c>
      <c r="D167" s="124">
        <f t="shared" si="18"/>
        <v>0.2924407431133888</v>
      </c>
      <c r="E167" s="126">
        <f t="shared" si="14"/>
        <v>1</v>
      </c>
    </row>
    <row r="168" spans="1:5" x14ac:dyDescent="0.25">
      <c r="A168" s="41" t="s">
        <v>20</v>
      </c>
      <c r="B168" s="124">
        <f t="shared" ref="B168:D168" si="19">B155/SUM($B155:$D155)</f>
        <v>0.36152237071470078</v>
      </c>
      <c r="C168" s="124">
        <f t="shared" si="19"/>
        <v>0.31920976176641486</v>
      </c>
      <c r="D168" s="124">
        <f t="shared" si="19"/>
        <v>0.31926786751888436</v>
      </c>
      <c r="E168" s="126">
        <f t="shared" si="14"/>
        <v>1</v>
      </c>
    </row>
    <row r="169" spans="1:5" x14ac:dyDescent="0.25">
      <c r="A169" s="41" t="s">
        <v>21</v>
      </c>
      <c r="B169" s="124">
        <f t="shared" ref="B169:D169" si="20">B156/SUM($B156:$D156)</f>
        <v>0.34107533585777622</v>
      </c>
      <c r="C169" s="124">
        <f t="shared" si="20"/>
        <v>0.34139446168938709</v>
      </c>
      <c r="D169" s="124">
        <f t="shared" si="20"/>
        <v>0.31753020245283653</v>
      </c>
      <c r="E169" s="126">
        <f t="shared" si="14"/>
        <v>0.99999999999999978</v>
      </c>
    </row>
    <row r="170" spans="1:5" x14ac:dyDescent="0.25">
      <c r="A170" s="41" t="s">
        <v>23</v>
      </c>
      <c r="B170" s="124">
        <f t="shared" ref="B170:D170" si="21">B157/SUM($B157:$D157)</f>
        <v>0.35349985532002282</v>
      </c>
      <c r="C170" s="124">
        <f t="shared" si="21"/>
        <v>0.31908935622077234</v>
      </c>
      <c r="D170" s="124">
        <f t="shared" si="21"/>
        <v>0.32741078845920496</v>
      </c>
      <c r="E170" s="126">
        <f t="shared" si="14"/>
        <v>1.0000000000000002</v>
      </c>
    </row>
    <row r="171" spans="1:5" x14ac:dyDescent="0.25">
      <c r="A171" s="41" t="s">
        <v>24</v>
      </c>
      <c r="B171" s="124">
        <f t="shared" ref="B171:D171" si="22">B158/SUM($B158:$D158)</f>
        <v>0.31578018298911303</v>
      </c>
      <c r="C171" s="124">
        <f t="shared" si="22"/>
        <v>0.32569721708189286</v>
      </c>
      <c r="D171" s="124">
        <f t="shared" si="22"/>
        <v>0.35852259992899405</v>
      </c>
      <c r="E171" s="126">
        <f t="shared" si="14"/>
        <v>1</v>
      </c>
    </row>
    <row r="173" spans="1:5" x14ac:dyDescent="0.25">
      <c r="A173" s="1" t="s">
        <v>164</v>
      </c>
    </row>
    <row r="174" spans="1:5" x14ac:dyDescent="0.25">
      <c r="A174" s="87" t="s">
        <v>113</v>
      </c>
      <c r="B174" s="3" t="s">
        <v>107</v>
      </c>
      <c r="C174" s="3" t="s">
        <v>108</v>
      </c>
      <c r="D174" s="3" t="s">
        <v>136</v>
      </c>
      <c r="E174" s="127" t="s">
        <v>161</v>
      </c>
    </row>
    <row r="175" spans="1:5" x14ac:dyDescent="0.25">
      <c r="A175" s="41" t="s">
        <v>25</v>
      </c>
      <c r="B175" s="124">
        <f>$B$104*E$99+(1-$B$104)*B162</f>
        <v>0.31348904093327434</v>
      </c>
      <c r="C175" s="124">
        <f>$B$104*$E$100+(1-$B$104)*C162</f>
        <v>0.32647359248027796</v>
      </c>
      <c r="D175" s="124">
        <f>$B$104*$E$101+(1-$B$104)*D162</f>
        <v>0.36003736658644769</v>
      </c>
      <c r="E175" s="126">
        <f>SUM(B175:D175)</f>
        <v>1</v>
      </c>
    </row>
    <row r="176" spans="1:5" x14ac:dyDescent="0.25">
      <c r="A176" s="41" t="s">
        <v>14</v>
      </c>
      <c r="B176" s="124">
        <f>$B$104*E$99+(1-$B$104)*B163</f>
        <v>0.33157894736842103</v>
      </c>
      <c r="C176" s="124">
        <f t="shared" ref="C176:C184" si="23">$B$104*$E$100+(1-$B$104)*C163</f>
        <v>0.30947368421052629</v>
      </c>
      <c r="D176" s="124">
        <f t="shared" ref="D176:D184" si="24">$B$104*$E$101+(1-$B$104)*D163</f>
        <v>0.35894736842105268</v>
      </c>
      <c r="E176" s="126">
        <f t="shared" ref="E176:E184" si="25">SUM(B176:D176)</f>
        <v>1</v>
      </c>
    </row>
    <row r="177" spans="1:5" x14ac:dyDescent="0.25">
      <c r="A177" s="41" t="s">
        <v>15</v>
      </c>
      <c r="B177" s="124">
        <f t="shared" ref="B177:B184" si="26">$B$104*E$99+(1-$B$104)*B164</f>
        <v>0.32040584715968667</v>
      </c>
      <c r="C177" s="124">
        <f t="shared" si="23"/>
        <v>0.30459261086782208</v>
      </c>
      <c r="D177" s="124">
        <f t="shared" si="24"/>
        <v>0.37500154197249125</v>
      </c>
      <c r="E177" s="126">
        <f t="shared" si="25"/>
        <v>1</v>
      </c>
    </row>
    <row r="178" spans="1:5" x14ac:dyDescent="0.25">
      <c r="A178" s="41" t="s">
        <v>16</v>
      </c>
      <c r="B178" s="124">
        <f t="shared" si="26"/>
        <v>0.33751583751163422</v>
      </c>
      <c r="C178" s="124">
        <f t="shared" si="23"/>
        <v>0.3265842015192002</v>
      </c>
      <c r="D178" s="124">
        <f t="shared" si="24"/>
        <v>0.33589996096916563</v>
      </c>
      <c r="E178" s="126">
        <f t="shared" si="25"/>
        <v>1</v>
      </c>
    </row>
    <row r="179" spans="1:5" x14ac:dyDescent="0.25">
      <c r="A179" s="41" t="s">
        <v>18</v>
      </c>
      <c r="B179" s="124">
        <f t="shared" si="26"/>
        <v>0.33765477439664221</v>
      </c>
      <c r="C179" s="124">
        <f t="shared" si="23"/>
        <v>0.2993546694648479</v>
      </c>
      <c r="D179" s="124">
        <f t="shared" si="24"/>
        <v>0.36299055613851</v>
      </c>
      <c r="E179" s="126">
        <f t="shared" si="25"/>
        <v>1.0000000000000002</v>
      </c>
    </row>
    <row r="180" spans="1:5" x14ac:dyDescent="0.25">
      <c r="A180" s="41" t="s">
        <v>19</v>
      </c>
      <c r="B180" s="124">
        <f t="shared" si="26"/>
        <v>0.34389493914157587</v>
      </c>
      <c r="C180" s="124">
        <f t="shared" si="23"/>
        <v>0.32064061499039076</v>
      </c>
      <c r="D180" s="124">
        <f t="shared" si="24"/>
        <v>0.33546444586803331</v>
      </c>
      <c r="E180" s="126">
        <f t="shared" si="25"/>
        <v>1</v>
      </c>
    </row>
    <row r="181" spans="1:5" x14ac:dyDescent="0.25">
      <c r="A181" s="41" t="s">
        <v>20</v>
      </c>
      <c r="B181" s="124">
        <f t="shared" si="26"/>
        <v>0.3369134224288205</v>
      </c>
      <c r="C181" s="124">
        <f t="shared" si="23"/>
        <v>0.31152585705984892</v>
      </c>
      <c r="D181" s="124">
        <f t="shared" si="24"/>
        <v>0.35156072051133064</v>
      </c>
      <c r="E181" s="126">
        <f t="shared" si="25"/>
        <v>1</v>
      </c>
    </row>
    <row r="182" spans="1:5" x14ac:dyDescent="0.25">
      <c r="A182" s="41" t="s">
        <v>21</v>
      </c>
      <c r="B182" s="124">
        <f t="shared" si="26"/>
        <v>0.32464520151466569</v>
      </c>
      <c r="C182" s="124">
        <f t="shared" si="23"/>
        <v>0.32483667701363228</v>
      </c>
      <c r="D182" s="124">
        <f t="shared" si="24"/>
        <v>0.35051812147170192</v>
      </c>
      <c r="E182" s="126">
        <f t="shared" si="25"/>
        <v>0.99999999999999989</v>
      </c>
    </row>
    <row r="183" spans="1:5" x14ac:dyDescent="0.25">
      <c r="A183" s="41" t="s">
        <v>23</v>
      </c>
      <c r="B183" s="124">
        <f t="shared" si="26"/>
        <v>0.33209991319201371</v>
      </c>
      <c r="C183" s="124">
        <f t="shared" si="23"/>
        <v>0.31145361373246339</v>
      </c>
      <c r="D183" s="124">
        <f t="shared" si="24"/>
        <v>0.35644647307552302</v>
      </c>
      <c r="E183" s="126">
        <f t="shared" si="25"/>
        <v>1</v>
      </c>
    </row>
    <row r="184" spans="1:5" x14ac:dyDescent="0.25">
      <c r="A184" s="41" t="s">
        <v>24</v>
      </c>
      <c r="B184" s="124">
        <f t="shared" si="26"/>
        <v>0.30946810979346784</v>
      </c>
      <c r="C184" s="124">
        <f t="shared" si="23"/>
        <v>0.31541833024913568</v>
      </c>
      <c r="D184" s="124">
        <f t="shared" si="24"/>
        <v>0.37511355995739648</v>
      </c>
      <c r="E184" s="126">
        <f t="shared" si="25"/>
        <v>1</v>
      </c>
    </row>
    <row r="186" spans="1:5" x14ac:dyDescent="0.25">
      <c r="A186" s="1" t="s">
        <v>170</v>
      </c>
    </row>
    <row r="187" spans="1:5" x14ac:dyDescent="0.25">
      <c r="A187" s="87" t="s">
        <v>113</v>
      </c>
      <c r="B187" s="87" t="s">
        <v>114</v>
      </c>
      <c r="C187" s="87" t="s">
        <v>115</v>
      </c>
      <c r="D187" s="87" t="s">
        <v>116</v>
      </c>
    </row>
    <row r="188" spans="1:5" x14ac:dyDescent="0.25">
      <c r="A188" s="41" t="s">
        <v>25</v>
      </c>
      <c r="B188" s="2">
        <f t="shared" ref="B188:B197" si="27">J12</f>
        <v>14.15</v>
      </c>
      <c r="C188" s="2">
        <f t="shared" ref="C188:C197" si="28">J42</f>
        <v>12.425000000000001</v>
      </c>
      <c r="D188" s="2">
        <f t="shared" ref="D188:D197" si="29">J72</f>
        <v>11.625</v>
      </c>
    </row>
    <row r="189" spans="1:5" x14ac:dyDescent="0.25">
      <c r="A189" s="41" t="s">
        <v>14</v>
      </c>
      <c r="B189" s="2">
        <f t="shared" si="27"/>
        <v>6.6000000000000005</v>
      </c>
      <c r="C189" s="2">
        <f t="shared" si="28"/>
        <v>8.25</v>
      </c>
      <c r="D189" s="2">
        <f t="shared" si="29"/>
        <v>5.7750000000000004</v>
      </c>
    </row>
    <row r="190" spans="1:5" x14ac:dyDescent="0.25">
      <c r="A190" s="41" t="s">
        <v>15</v>
      </c>
      <c r="B190" s="2">
        <f t="shared" si="27"/>
        <v>9.9</v>
      </c>
      <c r="C190" s="2">
        <f t="shared" si="28"/>
        <v>15.75</v>
      </c>
      <c r="D190" s="2">
        <f t="shared" si="29"/>
        <v>11.600000000000001</v>
      </c>
    </row>
    <row r="191" spans="1:5" x14ac:dyDescent="0.25">
      <c r="A191" s="41" t="s">
        <v>16</v>
      </c>
      <c r="B191" s="2">
        <f t="shared" si="27"/>
        <v>12.450000000000001</v>
      </c>
      <c r="C191" s="2">
        <f t="shared" si="28"/>
        <v>14.1</v>
      </c>
      <c r="D191" s="2">
        <f t="shared" si="29"/>
        <v>8.2750000000000004</v>
      </c>
    </row>
    <row r="192" spans="1:5" x14ac:dyDescent="0.25">
      <c r="A192" s="41" t="s">
        <v>18</v>
      </c>
      <c r="B192" s="2">
        <f t="shared" si="27"/>
        <v>10.75</v>
      </c>
      <c r="C192" s="2">
        <f t="shared" si="28"/>
        <v>15.75</v>
      </c>
      <c r="D192" s="2">
        <f t="shared" si="29"/>
        <v>9.125</v>
      </c>
    </row>
    <row r="193" spans="1:5" x14ac:dyDescent="0.25">
      <c r="A193" s="41" t="s">
        <v>19</v>
      </c>
      <c r="B193" s="2">
        <f t="shared" si="27"/>
        <v>10.8</v>
      </c>
      <c r="C193" s="2">
        <f t="shared" si="28"/>
        <v>14.1</v>
      </c>
      <c r="D193" s="2">
        <f t="shared" si="29"/>
        <v>6.6</v>
      </c>
    </row>
    <row r="194" spans="1:5" x14ac:dyDescent="0.25">
      <c r="A194" s="41" t="s">
        <v>20</v>
      </c>
      <c r="B194" s="2">
        <f t="shared" si="27"/>
        <v>10.8</v>
      </c>
      <c r="C194" s="2">
        <f t="shared" si="28"/>
        <v>14.1</v>
      </c>
      <c r="D194" s="2">
        <f t="shared" si="29"/>
        <v>8.2750000000000004</v>
      </c>
    </row>
    <row r="195" spans="1:5" x14ac:dyDescent="0.25">
      <c r="A195" s="41" t="s">
        <v>21</v>
      </c>
      <c r="B195" s="2">
        <f t="shared" si="27"/>
        <v>12.45</v>
      </c>
      <c r="C195" s="2">
        <f t="shared" si="28"/>
        <v>12.425000000000001</v>
      </c>
      <c r="D195" s="2">
        <f t="shared" si="29"/>
        <v>10.8</v>
      </c>
    </row>
    <row r="196" spans="1:5" x14ac:dyDescent="0.25">
      <c r="A196" s="41" t="s">
        <v>23</v>
      </c>
      <c r="B196" s="2">
        <f t="shared" si="27"/>
        <v>10.75</v>
      </c>
      <c r="C196" s="2">
        <f t="shared" si="28"/>
        <v>13.275</v>
      </c>
      <c r="D196" s="2">
        <f t="shared" si="29"/>
        <v>9.125</v>
      </c>
    </row>
    <row r="197" spans="1:5" x14ac:dyDescent="0.25">
      <c r="A197" s="41" t="s">
        <v>24</v>
      </c>
      <c r="B197" s="2">
        <f t="shared" si="27"/>
        <v>8.2750000000000004</v>
      </c>
      <c r="C197" s="2">
        <f t="shared" si="28"/>
        <v>13.275</v>
      </c>
      <c r="D197" s="2">
        <f t="shared" si="29"/>
        <v>10.775</v>
      </c>
    </row>
    <row r="199" spans="1:5" x14ac:dyDescent="0.25">
      <c r="A199" s="1" t="s">
        <v>171</v>
      </c>
    </row>
    <row r="200" spans="1:5" ht="75" x14ac:dyDescent="0.25">
      <c r="A200" s="87" t="s">
        <v>113</v>
      </c>
      <c r="B200" s="87" t="s">
        <v>165</v>
      </c>
      <c r="C200" s="87" t="s">
        <v>166</v>
      </c>
      <c r="D200" s="87" t="s">
        <v>167</v>
      </c>
      <c r="E200" s="87" t="s">
        <v>172</v>
      </c>
    </row>
    <row r="201" spans="1:5" x14ac:dyDescent="0.25">
      <c r="A201" s="41" t="s">
        <v>25</v>
      </c>
      <c r="B201" s="130">
        <f>B175*B188</f>
        <v>4.4358699292058317</v>
      </c>
      <c r="C201" s="130">
        <f t="shared" ref="C201:D201" si="30">C175*C188</f>
        <v>4.0564343865674539</v>
      </c>
      <c r="D201" s="130">
        <f t="shared" si="30"/>
        <v>4.1854343865674544</v>
      </c>
      <c r="E201" s="130">
        <f>B201+C201+D201</f>
        <v>12.67773870234074</v>
      </c>
    </row>
    <row r="202" spans="1:5" x14ac:dyDescent="0.25">
      <c r="A202" s="41" t="s">
        <v>14</v>
      </c>
      <c r="B202" s="130">
        <f t="shared" ref="B202:D210" si="31">B176*B189</f>
        <v>2.188421052631579</v>
      </c>
      <c r="C202" s="130">
        <f t="shared" si="31"/>
        <v>2.5531578947368421</v>
      </c>
      <c r="D202" s="130">
        <f t="shared" si="31"/>
        <v>2.0729210526315796</v>
      </c>
      <c r="E202" s="130">
        <f t="shared" ref="E202:E210" si="32">B202+C202+D202</f>
        <v>6.8145000000000007</v>
      </c>
    </row>
    <row r="203" spans="1:5" x14ac:dyDescent="0.25">
      <c r="A203" s="41" t="s">
        <v>15</v>
      </c>
      <c r="B203" s="130">
        <f t="shared" si="31"/>
        <v>3.1720178868808984</v>
      </c>
      <c r="C203" s="130">
        <f t="shared" si="31"/>
        <v>4.7973336211681978</v>
      </c>
      <c r="D203" s="130">
        <f t="shared" si="31"/>
        <v>4.3500178868808987</v>
      </c>
      <c r="E203" s="130">
        <f t="shared" si="32"/>
        <v>12.319369394929994</v>
      </c>
    </row>
    <row r="204" spans="1:5" x14ac:dyDescent="0.25">
      <c r="A204" s="41" t="s">
        <v>16</v>
      </c>
      <c r="B204" s="130">
        <f t="shared" si="31"/>
        <v>4.2020721770198461</v>
      </c>
      <c r="C204" s="130">
        <f t="shared" si="31"/>
        <v>4.6048372414207224</v>
      </c>
      <c r="D204" s="130">
        <f t="shared" si="31"/>
        <v>2.7795721770198458</v>
      </c>
      <c r="E204" s="130">
        <f t="shared" si="32"/>
        <v>11.586481595460414</v>
      </c>
    </row>
    <row r="205" spans="1:5" x14ac:dyDescent="0.25">
      <c r="A205" s="41" t="s">
        <v>18</v>
      </c>
      <c r="B205" s="130">
        <f t="shared" si="31"/>
        <v>3.6297888247639039</v>
      </c>
      <c r="C205" s="130">
        <f t="shared" si="31"/>
        <v>4.7148360440713546</v>
      </c>
      <c r="D205" s="130">
        <f t="shared" si="31"/>
        <v>3.312288824763904</v>
      </c>
      <c r="E205" s="130">
        <f t="shared" si="32"/>
        <v>11.656913693599162</v>
      </c>
    </row>
    <row r="206" spans="1:5" x14ac:dyDescent="0.25">
      <c r="A206" s="41" t="s">
        <v>19</v>
      </c>
      <c r="B206" s="130">
        <f t="shared" si="31"/>
        <v>3.7140653427290196</v>
      </c>
      <c r="C206" s="130">
        <f t="shared" si="31"/>
        <v>4.5210326713645097</v>
      </c>
      <c r="D206" s="130">
        <f t="shared" si="31"/>
        <v>2.2140653427290196</v>
      </c>
      <c r="E206" s="130">
        <f t="shared" si="32"/>
        <v>10.449163356822549</v>
      </c>
    </row>
    <row r="207" spans="1:5" x14ac:dyDescent="0.25">
      <c r="A207" s="41" t="s">
        <v>20</v>
      </c>
      <c r="B207" s="130">
        <f t="shared" si="31"/>
        <v>3.6386649622312617</v>
      </c>
      <c r="C207" s="130">
        <f t="shared" si="31"/>
        <v>4.3925145845438696</v>
      </c>
      <c r="D207" s="130">
        <f t="shared" si="31"/>
        <v>2.909164962231261</v>
      </c>
      <c r="E207" s="130">
        <f t="shared" si="32"/>
        <v>10.940344509006392</v>
      </c>
    </row>
    <row r="208" spans="1:5" x14ac:dyDescent="0.25">
      <c r="A208" s="41" t="s">
        <v>21</v>
      </c>
      <c r="B208" s="130">
        <f t="shared" si="31"/>
        <v>4.0418327588575877</v>
      </c>
      <c r="C208" s="130">
        <f t="shared" si="31"/>
        <v>4.0360957118943812</v>
      </c>
      <c r="D208" s="130">
        <f t="shared" si="31"/>
        <v>3.785595711894381</v>
      </c>
      <c r="E208" s="130">
        <f t="shared" si="32"/>
        <v>11.86352418264635</v>
      </c>
    </row>
    <row r="209" spans="1:5" x14ac:dyDescent="0.25">
      <c r="A209" s="41" t="s">
        <v>23</v>
      </c>
      <c r="B209" s="130">
        <f t="shared" si="31"/>
        <v>3.5700740668141475</v>
      </c>
      <c r="C209" s="130">
        <f t="shared" si="31"/>
        <v>4.1345467222984515</v>
      </c>
      <c r="D209" s="130">
        <f t="shared" si="31"/>
        <v>3.2525740668141476</v>
      </c>
      <c r="E209" s="130">
        <f t="shared" si="32"/>
        <v>10.957194855926748</v>
      </c>
    </row>
    <row r="210" spans="1:5" x14ac:dyDescent="0.25">
      <c r="A210" s="41" t="s">
        <v>24</v>
      </c>
      <c r="B210" s="130">
        <f t="shared" si="31"/>
        <v>2.5608486085409465</v>
      </c>
      <c r="C210" s="130">
        <f t="shared" si="31"/>
        <v>4.1871783340572764</v>
      </c>
      <c r="D210" s="130">
        <f t="shared" si="31"/>
        <v>4.0418486085409473</v>
      </c>
      <c r="E210" s="130">
        <f t="shared" si="32"/>
        <v>10.78987555113917</v>
      </c>
    </row>
    <row r="212" spans="1:5" x14ac:dyDescent="0.25">
      <c r="A212" s="1" t="s">
        <v>174</v>
      </c>
    </row>
    <row r="213" spans="1:5" ht="30" x14ac:dyDescent="0.25">
      <c r="A213" s="87" t="s">
        <v>113</v>
      </c>
      <c r="B213" s="87" t="s">
        <v>172</v>
      </c>
    </row>
    <row r="214" spans="1:5" x14ac:dyDescent="0.25">
      <c r="A214" s="2" t="s">
        <v>25</v>
      </c>
      <c r="B214" s="130">
        <v>12.67773870234074</v>
      </c>
    </row>
    <row r="215" spans="1:5" x14ac:dyDescent="0.25">
      <c r="A215" s="2" t="s">
        <v>15</v>
      </c>
      <c r="B215" s="130">
        <v>12.319369394929994</v>
      </c>
    </row>
    <row r="216" spans="1:5" x14ac:dyDescent="0.25">
      <c r="A216" s="2" t="s">
        <v>21</v>
      </c>
      <c r="B216" s="130">
        <v>11.86352418264635</v>
      </c>
    </row>
    <row r="217" spans="1:5" x14ac:dyDescent="0.25">
      <c r="A217" s="2" t="s">
        <v>18</v>
      </c>
      <c r="B217" s="130">
        <v>11.656913693599162</v>
      </c>
    </row>
    <row r="218" spans="1:5" x14ac:dyDescent="0.25">
      <c r="A218" s="2" t="s">
        <v>16</v>
      </c>
      <c r="B218" s="130">
        <v>11.586481595460414</v>
      </c>
    </row>
    <row r="219" spans="1:5" x14ac:dyDescent="0.25">
      <c r="A219" s="2" t="s">
        <v>23</v>
      </c>
      <c r="B219" s="130">
        <v>10.957194855926748</v>
      </c>
    </row>
    <row r="220" spans="1:5" x14ac:dyDescent="0.25">
      <c r="A220" s="2" t="s">
        <v>20</v>
      </c>
      <c r="B220" s="130">
        <v>10.940344509006392</v>
      </c>
    </row>
    <row r="221" spans="1:5" x14ac:dyDescent="0.25">
      <c r="A221" s="2" t="s">
        <v>24</v>
      </c>
      <c r="B221" s="130">
        <v>10.78987555113917</v>
      </c>
    </row>
    <row r="222" spans="1:5" x14ac:dyDescent="0.25">
      <c r="A222" s="2" t="s">
        <v>19</v>
      </c>
      <c r="B222" s="130">
        <v>10.449163356822549</v>
      </c>
    </row>
    <row r="223" spans="1:5" x14ac:dyDescent="0.25">
      <c r="A223" s="2" t="s">
        <v>14</v>
      </c>
      <c r="B223" s="130">
        <v>6.8145000000000007</v>
      </c>
    </row>
  </sheetData>
  <sortState xmlns:xlrd2="http://schemas.microsoft.com/office/spreadsheetml/2017/richdata2" ref="A214:J223">
    <sortCondition descending="1" ref="B214:B223"/>
  </sortState>
  <mergeCells count="20">
    <mergeCell ref="A3:E3"/>
    <mergeCell ref="A10:A11"/>
    <mergeCell ref="B10:B11"/>
    <mergeCell ref="C10:C11"/>
    <mergeCell ref="D10:F10"/>
    <mergeCell ref="A5:E5"/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</mergeCells>
  <phoneticPr fontId="6" type="noConversion"/>
  <hyperlinks>
    <hyperlink ref="B2" r:id="rId1" xr:uid="{98ABECCE-416D-43AF-ABBE-876CC02B3236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J254"/>
  <sheetViews>
    <sheetView topLeftCell="A230" zoomScaleNormal="100" workbookViewId="0">
      <selection activeCell="C244" sqref="C244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26" t="s">
        <v>230</v>
      </c>
      <c r="B3" s="227"/>
      <c r="C3" s="227"/>
      <c r="D3" s="228"/>
      <c r="E3" s="228"/>
    </row>
    <row r="4" spans="1:10" ht="15.75" x14ac:dyDescent="0.25">
      <c r="A4" s="147" t="s">
        <v>186</v>
      </c>
      <c r="B4" s="148" t="s">
        <v>189</v>
      </c>
      <c r="C4" s="38"/>
    </row>
    <row r="5" spans="1:10" x14ac:dyDescent="0.25">
      <c r="A5" s="226" t="s">
        <v>231</v>
      </c>
      <c r="B5" s="227"/>
      <c r="C5" s="227"/>
      <c r="D5" s="228"/>
      <c r="E5" s="228"/>
    </row>
    <row r="6" spans="1:10" ht="15.75" x14ac:dyDescent="0.25">
      <c r="A6" s="82"/>
      <c r="B6" s="38"/>
      <c r="C6" s="38"/>
    </row>
    <row r="7" spans="1:10" ht="18.75" x14ac:dyDescent="0.3">
      <c r="A7" s="85" t="s">
        <v>91</v>
      </c>
      <c r="B7" s="38"/>
      <c r="C7" s="38"/>
    </row>
    <row r="8" spans="1:10" x14ac:dyDescent="0.25">
      <c r="A8" s="1" t="s">
        <v>49</v>
      </c>
      <c r="B8" s="38"/>
      <c r="C8" s="38"/>
    </row>
    <row r="9" spans="1:10" x14ac:dyDescent="0.25">
      <c r="A9" s="39" t="s">
        <v>94</v>
      </c>
      <c r="B9" s="38"/>
      <c r="C9" s="38"/>
    </row>
    <row r="10" spans="1:10" ht="75.75" customHeight="1" x14ac:dyDescent="0.25">
      <c r="A10" s="222" t="s">
        <v>26</v>
      </c>
      <c r="B10" s="222" t="s">
        <v>27</v>
      </c>
      <c r="C10" s="222" t="s">
        <v>28</v>
      </c>
      <c r="D10" s="222" t="s">
        <v>58</v>
      </c>
      <c r="E10" s="222"/>
      <c r="F10" s="222"/>
      <c r="G10" s="222" t="s">
        <v>59</v>
      </c>
      <c r="H10" s="222"/>
      <c r="I10" s="222"/>
      <c r="J10" s="222" t="s">
        <v>54</v>
      </c>
    </row>
    <row r="11" spans="1:10" s="36" customFormat="1" ht="18" customHeight="1" x14ac:dyDescent="0.25">
      <c r="A11" s="222"/>
      <c r="B11" s="222"/>
      <c r="C11" s="222"/>
      <c r="D11" s="46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22"/>
    </row>
    <row r="12" spans="1:10" ht="30" x14ac:dyDescent="0.25">
      <c r="A12" s="41" t="s">
        <v>0</v>
      </c>
      <c r="B12" s="41" t="s">
        <v>25</v>
      </c>
      <c r="C12" s="42" t="s">
        <v>13</v>
      </c>
      <c r="D12" s="92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H12:I21" si="0">IF(E12=$A$25,$B$25,(IF(E12=$A$26,$B$26,IF(E12=$A$27,$B$27,$B$28))))</f>
        <v>0.66</v>
      </c>
      <c r="I12" s="49">
        <f t="shared" si="0"/>
        <v>1</v>
      </c>
      <c r="J12" s="2">
        <f>G12*$D$32+H12*$D$33+I12*$D$34</f>
        <v>14.15</v>
      </c>
    </row>
    <row r="13" spans="1:10" x14ac:dyDescent="0.25">
      <c r="A13" s="41" t="s">
        <v>1</v>
      </c>
      <c r="B13" s="41" t="s">
        <v>14</v>
      </c>
      <c r="C13" s="42" t="s">
        <v>29</v>
      </c>
      <c r="D13" s="92" t="s">
        <v>46</v>
      </c>
      <c r="E13" s="92" t="s">
        <v>46</v>
      </c>
      <c r="F13" s="92" t="s">
        <v>45</v>
      </c>
      <c r="G13" s="49">
        <f>IF(D13=$A$25,$B$25,(IF(D13=$A$26,$B$26,IF(D13=$A$27,$B$27,$B$28))))</f>
        <v>0.33</v>
      </c>
      <c r="H13" s="49">
        <f t="shared" si="0"/>
        <v>0.33</v>
      </c>
      <c r="I13" s="49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1" t="s">
        <v>2</v>
      </c>
      <c r="B14" s="41" t="s">
        <v>15</v>
      </c>
      <c r="C14" s="42" t="s">
        <v>30</v>
      </c>
      <c r="D14" s="92" t="s">
        <v>45</v>
      </c>
      <c r="E14" s="92" t="s">
        <v>45</v>
      </c>
      <c r="F14" s="92" t="s">
        <v>45</v>
      </c>
      <c r="G14" s="49">
        <f t="shared" ref="G14:G21" si="2">IF(D14=$A$25,$B$25,(IF(D14=$A$26,$B$26,IF(D14=$A$27,$B$27,$B$28))))</f>
        <v>0.66</v>
      </c>
      <c r="H14" s="49">
        <f t="shared" si="0"/>
        <v>0.66</v>
      </c>
      <c r="I14" s="49">
        <f t="shared" si="0"/>
        <v>0.66</v>
      </c>
      <c r="J14" s="2">
        <f t="shared" si="1"/>
        <v>9.9</v>
      </c>
    </row>
    <row r="15" spans="1:10" x14ac:dyDescent="0.25">
      <c r="A15" s="41" t="s">
        <v>6</v>
      </c>
      <c r="B15" s="41" t="s">
        <v>16</v>
      </c>
      <c r="C15" s="42" t="s">
        <v>17</v>
      </c>
      <c r="D15" s="92" t="s">
        <v>44</v>
      </c>
      <c r="E15" s="92" t="s">
        <v>45</v>
      </c>
      <c r="F15" s="92" t="s">
        <v>45</v>
      </c>
      <c r="G15" s="49">
        <f t="shared" si="2"/>
        <v>1</v>
      </c>
      <c r="H15" s="49">
        <f t="shared" si="0"/>
        <v>0.66</v>
      </c>
      <c r="I15" s="49">
        <f t="shared" si="0"/>
        <v>0.66</v>
      </c>
      <c r="J15" s="2">
        <f t="shared" si="1"/>
        <v>12.450000000000001</v>
      </c>
    </row>
    <row r="16" spans="1:10" ht="30" x14ac:dyDescent="0.25">
      <c r="A16" s="41" t="s">
        <v>7</v>
      </c>
      <c r="B16" s="41" t="s">
        <v>18</v>
      </c>
      <c r="C16" s="42" t="s">
        <v>31</v>
      </c>
      <c r="D16" s="92" t="s">
        <v>45</v>
      </c>
      <c r="E16" s="92" t="s">
        <v>44</v>
      </c>
      <c r="F16" s="92" t="s">
        <v>45</v>
      </c>
      <c r="G16" s="49">
        <f t="shared" si="2"/>
        <v>0.66</v>
      </c>
      <c r="H16" s="49">
        <f t="shared" si="0"/>
        <v>1</v>
      </c>
      <c r="I16" s="49">
        <f t="shared" si="0"/>
        <v>0.66</v>
      </c>
      <c r="J16" s="2">
        <f t="shared" si="1"/>
        <v>10.75</v>
      </c>
    </row>
    <row r="17" spans="1:10" x14ac:dyDescent="0.25">
      <c r="A17" s="41" t="s">
        <v>8</v>
      </c>
      <c r="B17" s="41" t="s">
        <v>19</v>
      </c>
      <c r="C17" s="42" t="s">
        <v>32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9</v>
      </c>
      <c r="B18" s="41" t="s">
        <v>20</v>
      </c>
      <c r="C18" s="42" t="s">
        <v>33</v>
      </c>
      <c r="D18" s="92" t="s">
        <v>44</v>
      </c>
      <c r="E18" s="92" t="s">
        <v>45</v>
      </c>
      <c r="F18" s="92" t="s">
        <v>46</v>
      </c>
      <c r="G18" s="49">
        <f t="shared" si="2"/>
        <v>1</v>
      </c>
      <c r="H18" s="49">
        <f t="shared" si="0"/>
        <v>0.66</v>
      </c>
      <c r="I18" s="49">
        <f t="shared" si="0"/>
        <v>0.33</v>
      </c>
      <c r="J18" s="2">
        <f t="shared" si="1"/>
        <v>10.8</v>
      </c>
    </row>
    <row r="19" spans="1:10" ht="30" x14ac:dyDescent="0.25">
      <c r="A19" s="41" t="s">
        <v>10</v>
      </c>
      <c r="B19" s="41" t="s">
        <v>21</v>
      </c>
      <c r="C19" s="42" t="s">
        <v>22</v>
      </c>
      <c r="D19" s="92" t="s">
        <v>45</v>
      </c>
      <c r="E19" s="92" t="s">
        <v>44</v>
      </c>
      <c r="F19" s="92" t="s">
        <v>44</v>
      </c>
      <c r="G19" s="49">
        <f t="shared" si="2"/>
        <v>0.66</v>
      </c>
      <c r="H19" s="49">
        <f t="shared" si="0"/>
        <v>1</v>
      </c>
      <c r="I19" s="49">
        <f t="shared" si="0"/>
        <v>1</v>
      </c>
      <c r="J19" s="2">
        <f t="shared" si="1"/>
        <v>12.45</v>
      </c>
    </row>
    <row r="20" spans="1:10" ht="35.25" customHeight="1" x14ac:dyDescent="0.25">
      <c r="A20" s="41" t="s">
        <v>11</v>
      </c>
      <c r="B20" s="41" t="s">
        <v>23</v>
      </c>
      <c r="C20" s="42" t="s">
        <v>34</v>
      </c>
      <c r="D20" s="92" t="s">
        <v>45</v>
      </c>
      <c r="E20" s="92" t="s">
        <v>44</v>
      </c>
      <c r="F20" s="92" t="s">
        <v>45</v>
      </c>
      <c r="G20" s="49">
        <f t="shared" si="2"/>
        <v>0.66</v>
      </c>
      <c r="H20" s="49">
        <f t="shared" si="0"/>
        <v>1</v>
      </c>
      <c r="I20" s="49">
        <f t="shared" si="0"/>
        <v>0.66</v>
      </c>
      <c r="J20" s="2">
        <f t="shared" si="1"/>
        <v>10.75</v>
      </c>
    </row>
    <row r="21" spans="1:10" ht="30" x14ac:dyDescent="0.25">
      <c r="A21" s="41" t="s">
        <v>12</v>
      </c>
      <c r="B21" s="41" t="s">
        <v>24</v>
      </c>
      <c r="C21" s="42" t="s">
        <v>35</v>
      </c>
      <c r="D21" s="92" t="s">
        <v>46</v>
      </c>
      <c r="E21" s="92" t="s">
        <v>44</v>
      </c>
      <c r="F21" s="92" t="s">
        <v>45</v>
      </c>
      <c r="G21" s="49">
        <f t="shared" si="2"/>
        <v>0.33</v>
      </c>
      <c r="H21" s="49">
        <f t="shared" si="0"/>
        <v>1</v>
      </c>
      <c r="I21" s="49">
        <f t="shared" si="0"/>
        <v>0.66</v>
      </c>
      <c r="J21" s="2">
        <f t="shared" si="1"/>
        <v>8.2750000000000004</v>
      </c>
    </row>
    <row r="23" spans="1:10" x14ac:dyDescent="0.25">
      <c r="A23" s="39" t="s">
        <v>95</v>
      </c>
    </row>
    <row r="24" spans="1:10" x14ac:dyDescent="0.25">
      <c r="A24" s="46" t="s">
        <v>43</v>
      </c>
      <c r="B24" s="47" t="s">
        <v>55</v>
      </c>
      <c r="C24" s="47" t="s">
        <v>56</v>
      </c>
    </row>
    <row r="25" spans="1:10" x14ac:dyDescent="0.25">
      <c r="A25" s="41" t="s">
        <v>44</v>
      </c>
      <c r="B25" s="2">
        <v>1</v>
      </c>
      <c r="C25" s="2">
        <v>7.5</v>
      </c>
    </row>
    <row r="26" spans="1:10" x14ac:dyDescent="0.25">
      <c r="A26" s="41" t="s">
        <v>45</v>
      </c>
      <c r="B26" s="2">
        <v>0.66</v>
      </c>
      <c r="C26" s="2">
        <v>5</v>
      </c>
    </row>
    <row r="27" spans="1:10" x14ac:dyDescent="0.25">
      <c r="A27" s="41" t="s">
        <v>46</v>
      </c>
      <c r="B27" s="2">
        <v>0.33</v>
      </c>
      <c r="C27" s="2">
        <v>2.5</v>
      </c>
    </row>
    <row r="28" spans="1:10" x14ac:dyDescent="0.25">
      <c r="A28" s="41" t="s">
        <v>47</v>
      </c>
      <c r="B28" s="2">
        <v>0</v>
      </c>
      <c r="C28" s="2">
        <v>1</v>
      </c>
    </row>
    <row r="30" spans="1:10" x14ac:dyDescent="0.25">
      <c r="A30" s="39" t="s">
        <v>96</v>
      </c>
    </row>
    <row r="31" spans="1:10" ht="45.75" thickBot="1" x14ac:dyDescent="0.3">
      <c r="A31" s="46" t="s">
        <v>53</v>
      </c>
      <c r="B31" s="47" t="s">
        <v>39</v>
      </c>
      <c r="C31" s="46" t="s">
        <v>48</v>
      </c>
      <c r="D31" s="48" t="s">
        <v>105</v>
      </c>
    </row>
    <row r="32" spans="1:10" x14ac:dyDescent="0.25">
      <c r="A32" s="64" t="s">
        <v>50</v>
      </c>
      <c r="B32" s="43" t="s">
        <v>40</v>
      </c>
      <c r="C32" s="2" t="s">
        <v>44</v>
      </c>
      <c r="D32" s="86">
        <v>7.5</v>
      </c>
    </row>
    <row r="33" spans="1:10" x14ac:dyDescent="0.25">
      <c r="A33" s="65" t="s">
        <v>51</v>
      </c>
      <c r="B33" s="43" t="s">
        <v>41</v>
      </c>
      <c r="C33" s="2" t="s">
        <v>46</v>
      </c>
      <c r="D33" s="86">
        <v>2.5</v>
      </c>
    </row>
    <row r="34" spans="1:10" ht="15.75" thickBot="1" x14ac:dyDescent="0.3">
      <c r="A34" s="66" t="s">
        <v>52</v>
      </c>
      <c r="B34" s="43" t="s">
        <v>42</v>
      </c>
      <c r="C34" s="2" t="s">
        <v>45</v>
      </c>
      <c r="D34" s="86">
        <v>5</v>
      </c>
    </row>
    <row r="37" spans="1:10" ht="18.75" x14ac:dyDescent="0.3">
      <c r="A37" s="85" t="s">
        <v>92</v>
      </c>
      <c r="B37" s="38"/>
      <c r="C37" s="38"/>
    </row>
    <row r="38" spans="1:10" x14ac:dyDescent="0.25">
      <c r="A38" s="1" t="s">
        <v>49</v>
      </c>
      <c r="B38" s="38"/>
      <c r="C38" s="38"/>
    </row>
    <row r="39" spans="1:10" x14ac:dyDescent="0.25">
      <c r="A39" s="39" t="s">
        <v>97</v>
      </c>
      <c r="B39" s="38"/>
      <c r="C39" s="38"/>
    </row>
    <row r="40" spans="1:10" ht="75.75" customHeight="1" x14ac:dyDescent="0.25">
      <c r="A40" s="222" t="s">
        <v>26</v>
      </c>
      <c r="B40" s="222" t="s">
        <v>27</v>
      </c>
      <c r="C40" s="222" t="s">
        <v>28</v>
      </c>
      <c r="D40" s="222" t="s">
        <v>58</v>
      </c>
      <c r="E40" s="222"/>
      <c r="F40" s="222"/>
      <c r="G40" s="222" t="s">
        <v>59</v>
      </c>
      <c r="H40" s="222"/>
      <c r="I40" s="222"/>
      <c r="J40" s="222" t="s">
        <v>54</v>
      </c>
    </row>
    <row r="41" spans="1:10" s="36" customFormat="1" ht="18" customHeight="1" x14ac:dyDescent="0.25">
      <c r="A41" s="222"/>
      <c r="B41" s="222"/>
      <c r="C41" s="222"/>
      <c r="D41" s="46" t="s">
        <v>50</v>
      </c>
      <c r="E41" s="46" t="s">
        <v>51</v>
      </c>
      <c r="F41" s="46" t="s">
        <v>52</v>
      </c>
      <c r="G41" s="46" t="s">
        <v>50</v>
      </c>
      <c r="H41" s="46" t="s">
        <v>51</v>
      </c>
      <c r="I41" s="46" t="s">
        <v>52</v>
      </c>
      <c r="J41" s="222"/>
    </row>
    <row r="42" spans="1:10" ht="30" x14ac:dyDescent="0.25">
      <c r="A42" s="41" t="s">
        <v>0</v>
      </c>
      <c r="B42" s="41" t="s">
        <v>25</v>
      </c>
      <c r="C42" s="42" t="s">
        <v>13</v>
      </c>
      <c r="D42" s="92" t="s">
        <v>46</v>
      </c>
      <c r="E42" s="92" t="s">
        <v>45</v>
      </c>
      <c r="F42" s="92" t="s">
        <v>44</v>
      </c>
      <c r="G42" s="49">
        <f>IF(D42=$A$25,$B$25,(IF(D42=$A$26,$B$26,IF(D42=$A$27,$B$27,$B$28))))</f>
        <v>0.33</v>
      </c>
      <c r="H42" s="49">
        <f t="shared" ref="H42:I51" si="3">IF(E42=$A$25,$B$25,(IF(E42=$A$26,$B$26,IF(E42=$A$27,$B$27,$B$28))))</f>
        <v>0.66</v>
      </c>
      <c r="I42" s="49">
        <f t="shared" si="3"/>
        <v>1</v>
      </c>
      <c r="J42" s="2">
        <f>G42*$D$62+H42*$D$63+I42*$D$64</f>
        <v>12.425000000000001</v>
      </c>
    </row>
    <row r="43" spans="1:10" x14ac:dyDescent="0.25">
      <c r="A43" s="41" t="s">
        <v>1</v>
      </c>
      <c r="B43" s="41" t="s">
        <v>14</v>
      </c>
      <c r="C43" s="42" t="s">
        <v>29</v>
      </c>
      <c r="D43" s="92" t="s">
        <v>46</v>
      </c>
      <c r="E43" s="92" t="s">
        <v>46</v>
      </c>
      <c r="F43" s="92" t="s">
        <v>45</v>
      </c>
      <c r="G43" s="49">
        <f>IF(D43=$A$25,$B$25,(IF(D43=$A$26,$B$26,IF(D43=$A$27,$B$27,$B$28))))</f>
        <v>0.33</v>
      </c>
      <c r="H43" s="49">
        <f t="shared" si="3"/>
        <v>0.33</v>
      </c>
      <c r="I43" s="49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1" t="s">
        <v>2</v>
      </c>
      <c r="B44" s="41" t="s">
        <v>15</v>
      </c>
      <c r="C44" s="42" t="s">
        <v>30</v>
      </c>
      <c r="D44" s="92" t="s">
        <v>45</v>
      </c>
      <c r="E44" s="92" t="s">
        <v>44</v>
      </c>
      <c r="F44" s="92" t="s">
        <v>45</v>
      </c>
      <c r="G44" s="49">
        <f t="shared" ref="G44:G51" si="5">IF(D44=$A$25,$B$25,(IF(D44=$A$26,$B$26,IF(D44=$A$27,$B$27,$B$28))))</f>
        <v>0.66</v>
      </c>
      <c r="H44" s="49">
        <f t="shared" si="3"/>
        <v>1</v>
      </c>
      <c r="I44" s="49">
        <f t="shared" si="3"/>
        <v>0.66</v>
      </c>
      <c r="J44" s="2">
        <f t="shared" si="4"/>
        <v>15.75</v>
      </c>
    </row>
    <row r="45" spans="1:10" x14ac:dyDescent="0.25">
      <c r="A45" s="41" t="s">
        <v>6</v>
      </c>
      <c r="B45" s="41" t="s">
        <v>16</v>
      </c>
      <c r="C45" s="42" t="s">
        <v>17</v>
      </c>
      <c r="D45" s="92" t="s">
        <v>44</v>
      </c>
      <c r="E45" s="92" t="s">
        <v>45</v>
      </c>
      <c r="F45" s="92" t="s">
        <v>46</v>
      </c>
      <c r="G45" s="49">
        <f t="shared" si="5"/>
        <v>1</v>
      </c>
      <c r="H45" s="49">
        <f t="shared" si="3"/>
        <v>0.66</v>
      </c>
      <c r="I45" s="49">
        <f t="shared" si="3"/>
        <v>0.33</v>
      </c>
      <c r="J45" s="2">
        <f t="shared" si="4"/>
        <v>14.1</v>
      </c>
    </row>
    <row r="46" spans="1:10" ht="30" x14ac:dyDescent="0.25">
      <c r="A46" s="41" t="s">
        <v>7</v>
      </c>
      <c r="B46" s="41" t="s">
        <v>18</v>
      </c>
      <c r="C46" s="42" t="s">
        <v>31</v>
      </c>
      <c r="D46" s="92" t="s">
        <v>45</v>
      </c>
      <c r="E46" s="92" t="s">
        <v>44</v>
      </c>
      <c r="F46" s="92" t="s">
        <v>45</v>
      </c>
      <c r="G46" s="49">
        <f t="shared" si="5"/>
        <v>0.66</v>
      </c>
      <c r="H46" s="49">
        <f t="shared" si="3"/>
        <v>1</v>
      </c>
      <c r="I46" s="49">
        <f t="shared" si="3"/>
        <v>0.66</v>
      </c>
      <c r="J46" s="2">
        <f t="shared" si="4"/>
        <v>15.75</v>
      </c>
    </row>
    <row r="47" spans="1:10" x14ac:dyDescent="0.25">
      <c r="A47" s="41" t="s">
        <v>8</v>
      </c>
      <c r="B47" s="41" t="s">
        <v>19</v>
      </c>
      <c r="C47" s="42" t="s">
        <v>32</v>
      </c>
      <c r="D47" s="92" t="s">
        <v>44</v>
      </c>
      <c r="E47" s="92" t="s">
        <v>45</v>
      </c>
      <c r="F47" s="92" t="s">
        <v>46</v>
      </c>
      <c r="G47" s="49">
        <f t="shared" si="5"/>
        <v>1</v>
      </c>
      <c r="H47" s="49">
        <f t="shared" si="3"/>
        <v>0.66</v>
      </c>
      <c r="I47" s="49">
        <f t="shared" si="3"/>
        <v>0.33</v>
      </c>
      <c r="J47" s="2">
        <f t="shared" si="4"/>
        <v>14.1</v>
      </c>
    </row>
    <row r="48" spans="1:10" ht="30" x14ac:dyDescent="0.25">
      <c r="A48" s="41" t="s">
        <v>9</v>
      </c>
      <c r="B48" s="41" t="s">
        <v>20</v>
      </c>
      <c r="C48" s="42" t="s">
        <v>33</v>
      </c>
      <c r="D48" s="92" t="s">
        <v>44</v>
      </c>
      <c r="E48" s="92" t="s">
        <v>45</v>
      </c>
      <c r="F48" s="92" t="s">
        <v>46</v>
      </c>
      <c r="G48" s="49">
        <f t="shared" si="5"/>
        <v>1</v>
      </c>
      <c r="H48" s="49">
        <f t="shared" si="3"/>
        <v>0.66</v>
      </c>
      <c r="I48" s="49">
        <f t="shared" si="3"/>
        <v>0.33</v>
      </c>
      <c r="J48" s="2">
        <f t="shared" si="4"/>
        <v>14.1</v>
      </c>
    </row>
    <row r="49" spans="1:10" ht="30" x14ac:dyDescent="0.25">
      <c r="A49" s="41" t="s">
        <v>10</v>
      </c>
      <c r="B49" s="41" t="s">
        <v>21</v>
      </c>
      <c r="C49" s="42" t="s">
        <v>22</v>
      </c>
      <c r="D49" s="92" t="s">
        <v>45</v>
      </c>
      <c r="E49" s="92" t="s">
        <v>46</v>
      </c>
      <c r="F49" s="92" t="s">
        <v>44</v>
      </c>
      <c r="G49" s="49">
        <f>IF(D49=$A$25,$B$25,(IF(D49=$A$26,$B$26,IF(D49=$A$27,$B$27,$B$28))))</f>
        <v>0.66</v>
      </c>
      <c r="H49" s="49">
        <f t="shared" si="3"/>
        <v>0.33</v>
      </c>
      <c r="I49" s="49">
        <f t="shared" si="3"/>
        <v>1</v>
      </c>
      <c r="J49" s="2">
        <f t="shared" si="4"/>
        <v>12.425000000000001</v>
      </c>
    </row>
    <row r="50" spans="1:10" ht="35.25" customHeight="1" x14ac:dyDescent="0.25">
      <c r="A50" s="41" t="s">
        <v>11</v>
      </c>
      <c r="B50" s="41" t="s">
        <v>23</v>
      </c>
      <c r="C50" s="42" t="s">
        <v>34</v>
      </c>
      <c r="D50" s="92" t="s">
        <v>46</v>
      </c>
      <c r="E50" s="92" t="s">
        <v>44</v>
      </c>
      <c r="F50" s="92" t="s">
        <v>45</v>
      </c>
      <c r="G50" s="49">
        <f t="shared" si="5"/>
        <v>0.33</v>
      </c>
      <c r="H50" s="49">
        <f t="shared" si="3"/>
        <v>1</v>
      </c>
      <c r="I50" s="49">
        <f t="shared" si="3"/>
        <v>0.66</v>
      </c>
      <c r="J50" s="2">
        <f t="shared" si="4"/>
        <v>13.275</v>
      </c>
    </row>
    <row r="51" spans="1:10" ht="30" x14ac:dyDescent="0.25">
      <c r="A51" s="41" t="s">
        <v>12</v>
      </c>
      <c r="B51" s="41" t="s">
        <v>24</v>
      </c>
      <c r="C51" s="42" t="s">
        <v>35</v>
      </c>
      <c r="D51" s="92" t="s">
        <v>46</v>
      </c>
      <c r="E51" s="92" t="s">
        <v>44</v>
      </c>
      <c r="F51" s="92" t="s">
        <v>45</v>
      </c>
      <c r="G51" s="49">
        <f t="shared" si="5"/>
        <v>0.33</v>
      </c>
      <c r="H51" s="49">
        <f t="shared" si="3"/>
        <v>1</v>
      </c>
      <c r="I51" s="49">
        <f t="shared" si="3"/>
        <v>0.66</v>
      </c>
      <c r="J51" s="2">
        <f t="shared" si="4"/>
        <v>13.275</v>
      </c>
    </row>
    <row r="53" spans="1:10" x14ac:dyDescent="0.25">
      <c r="A53" s="39" t="s">
        <v>98</v>
      </c>
    </row>
    <row r="54" spans="1:10" x14ac:dyDescent="0.25">
      <c r="A54" s="46" t="s">
        <v>43</v>
      </c>
      <c r="B54" s="47" t="s">
        <v>55</v>
      </c>
      <c r="C54" s="47" t="s">
        <v>56</v>
      </c>
    </row>
    <row r="55" spans="1:10" x14ac:dyDescent="0.25">
      <c r="A55" s="41" t="s">
        <v>44</v>
      </c>
      <c r="B55" s="2">
        <v>1</v>
      </c>
      <c r="C55" s="2">
        <v>7.5</v>
      </c>
    </row>
    <row r="56" spans="1:10" x14ac:dyDescent="0.25">
      <c r="A56" s="41" t="s">
        <v>45</v>
      </c>
      <c r="B56" s="2">
        <v>0.66</v>
      </c>
      <c r="C56" s="2">
        <v>5</v>
      </c>
    </row>
    <row r="57" spans="1:10" x14ac:dyDescent="0.25">
      <c r="A57" s="41" t="s">
        <v>46</v>
      </c>
      <c r="B57" s="2">
        <v>0.33</v>
      </c>
      <c r="C57" s="2">
        <v>2.5</v>
      </c>
    </row>
    <row r="58" spans="1:10" x14ac:dyDescent="0.25">
      <c r="A58" s="41" t="s">
        <v>47</v>
      </c>
      <c r="B58" s="2">
        <v>0</v>
      </c>
      <c r="C58" s="2">
        <v>1</v>
      </c>
    </row>
    <row r="60" spans="1:10" x14ac:dyDescent="0.25">
      <c r="A60" s="39" t="s">
        <v>99</v>
      </c>
    </row>
    <row r="61" spans="1:10" ht="45.75" thickBot="1" x14ac:dyDescent="0.3">
      <c r="A61" s="46" t="s">
        <v>53</v>
      </c>
      <c r="B61" s="47" t="s">
        <v>39</v>
      </c>
      <c r="C61" s="46" t="s">
        <v>48</v>
      </c>
      <c r="D61" s="48" t="s">
        <v>104</v>
      </c>
    </row>
    <row r="62" spans="1:10" x14ac:dyDescent="0.25">
      <c r="A62" s="64" t="s">
        <v>50</v>
      </c>
      <c r="B62" s="43" t="s">
        <v>40</v>
      </c>
      <c r="C62" s="2" t="s">
        <v>44</v>
      </c>
      <c r="D62" s="86">
        <v>7.5</v>
      </c>
    </row>
    <row r="63" spans="1:10" x14ac:dyDescent="0.25">
      <c r="A63" s="65" t="s">
        <v>51</v>
      </c>
      <c r="B63" s="43" t="s">
        <v>41</v>
      </c>
      <c r="C63" s="2" t="s">
        <v>44</v>
      </c>
      <c r="D63" s="86">
        <v>7.5</v>
      </c>
    </row>
    <row r="64" spans="1:10" ht="15.75" thickBot="1" x14ac:dyDescent="0.3">
      <c r="A64" s="66" t="s">
        <v>52</v>
      </c>
      <c r="B64" s="43" t="s">
        <v>42</v>
      </c>
      <c r="C64" s="2" t="s">
        <v>45</v>
      </c>
      <c r="D64" s="86">
        <v>5</v>
      </c>
    </row>
    <row r="67" spans="1:10" ht="18.75" x14ac:dyDescent="0.3">
      <c r="A67" s="85" t="s">
        <v>93</v>
      </c>
      <c r="B67" s="38"/>
      <c r="C67" s="38"/>
    </row>
    <row r="68" spans="1:10" x14ac:dyDescent="0.25">
      <c r="A68" s="1" t="s">
        <v>49</v>
      </c>
      <c r="B68" s="38"/>
      <c r="C68" s="38"/>
    </row>
    <row r="69" spans="1:10" x14ac:dyDescent="0.25">
      <c r="A69" s="39" t="s">
        <v>100</v>
      </c>
      <c r="B69" s="38"/>
      <c r="C69" s="38"/>
    </row>
    <row r="70" spans="1:10" ht="90.75" customHeight="1" x14ac:dyDescent="0.25">
      <c r="A70" s="222" t="s">
        <v>26</v>
      </c>
      <c r="B70" s="222" t="s">
        <v>27</v>
      </c>
      <c r="C70" s="222" t="s">
        <v>28</v>
      </c>
      <c r="D70" s="222" t="s">
        <v>58</v>
      </c>
      <c r="E70" s="222"/>
      <c r="F70" s="222"/>
      <c r="G70" s="222" t="s">
        <v>59</v>
      </c>
      <c r="H70" s="222"/>
      <c r="I70" s="222"/>
      <c r="J70" s="222" t="s">
        <v>54</v>
      </c>
    </row>
    <row r="71" spans="1:10" x14ac:dyDescent="0.25">
      <c r="A71" s="222"/>
      <c r="B71" s="222"/>
      <c r="C71" s="222"/>
      <c r="D71" s="46" t="s">
        <v>50</v>
      </c>
      <c r="E71" s="46" t="s">
        <v>51</v>
      </c>
      <c r="F71" s="46" t="s">
        <v>52</v>
      </c>
      <c r="G71" s="46" t="s">
        <v>50</v>
      </c>
      <c r="H71" s="46" t="s">
        <v>51</v>
      </c>
      <c r="I71" s="46" t="s">
        <v>52</v>
      </c>
      <c r="J71" s="222"/>
    </row>
    <row r="72" spans="1:10" ht="30" x14ac:dyDescent="0.25">
      <c r="A72" s="41" t="s">
        <v>0</v>
      </c>
      <c r="B72" s="41" t="s">
        <v>25</v>
      </c>
      <c r="C72" s="42" t="s">
        <v>13</v>
      </c>
      <c r="D72" s="92" t="s">
        <v>46</v>
      </c>
      <c r="E72" s="92" t="s">
        <v>45</v>
      </c>
      <c r="F72" s="92" t="s">
        <v>44</v>
      </c>
      <c r="G72" s="49">
        <f>IF(D72=$A$25,$B$25,(IF(D72=$A$26,$B$26,IF(D72=$A$27,$B$27,$B$28))))</f>
        <v>0.33</v>
      </c>
      <c r="H72" s="49">
        <f t="shared" ref="H72:I81" si="6">IF(E72=$A$25,$B$25,(IF(E72=$A$26,$B$26,IF(E72=$A$27,$B$27,$B$28))))</f>
        <v>0.66</v>
      </c>
      <c r="I72" s="49">
        <f t="shared" si="6"/>
        <v>1</v>
      </c>
      <c r="J72" s="2">
        <f>G72*$D$92+H72*$D$93+I72*$D$94</f>
        <v>11.625</v>
      </c>
    </row>
    <row r="73" spans="1:10" x14ac:dyDescent="0.25">
      <c r="A73" s="41" t="s">
        <v>1</v>
      </c>
      <c r="B73" s="41" t="s">
        <v>14</v>
      </c>
      <c r="C73" s="42" t="s">
        <v>29</v>
      </c>
      <c r="D73" s="92" t="s">
        <v>45</v>
      </c>
      <c r="E73" s="92" t="s">
        <v>46</v>
      </c>
      <c r="F73" s="92" t="s">
        <v>46</v>
      </c>
      <c r="G73" s="49">
        <f>IF(D73=$A$25,$B$25,(IF(D73=$A$26,$B$26,IF(D73=$A$27,$B$27,$B$28))))</f>
        <v>0.66</v>
      </c>
      <c r="H73" s="49">
        <f t="shared" si="6"/>
        <v>0.33</v>
      </c>
      <c r="I73" s="49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1" t="s">
        <v>2</v>
      </c>
      <c r="B74" s="41" t="s">
        <v>15</v>
      </c>
      <c r="C74" s="42" t="s">
        <v>30</v>
      </c>
      <c r="D74" s="92" t="s">
        <v>45</v>
      </c>
      <c r="E74" s="92" t="s">
        <v>44</v>
      </c>
      <c r="F74" s="92" t="s">
        <v>45</v>
      </c>
      <c r="G74" s="49">
        <f t="shared" ref="G74:G78" si="8">IF(D74=$A$25,$B$25,(IF(D74=$A$26,$B$26,IF(D74=$A$27,$B$27,$B$28))))</f>
        <v>0.66</v>
      </c>
      <c r="H74" s="49">
        <f t="shared" si="6"/>
        <v>1</v>
      </c>
      <c r="I74" s="49">
        <f t="shared" si="6"/>
        <v>0.66</v>
      </c>
      <c r="J74" s="2">
        <f t="shared" si="7"/>
        <v>11.600000000000001</v>
      </c>
    </row>
    <row r="75" spans="1:10" x14ac:dyDescent="0.25">
      <c r="A75" s="41" t="s">
        <v>6</v>
      </c>
      <c r="B75" s="41" t="s">
        <v>16</v>
      </c>
      <c r="C75" s="42" t="s">
        <v>17</v>
      </c>
      <c r="D75" s="92" t="s">
        <v>44</v>
      </c>
      <c r="E75" s="92" t="s">
        <v>45</v>
      </c>
      <c r="F75" s="92" t="s">
        <v>46</v>
      </c>
      <c r="G75" s="49">
        <f t="shared" si="8"/>
        <v>1</v>
      </c>
      <c r="H75" s="49">
        <f t="shared" si="6"/>
        <v>0.66</v>
      </c>
      <c r="I75" s="49">
        <f t="shared" si="6"/>
        <v>0.33</v>
      </c>
      <c r="J75" s="2">
        <f t="shared" si="7"/>
        <v>8.2750000000000004</v>
      </c>
    </row>
    <row r="76" spans="1:10" ht="30" x14ac:dyDescent="0.25">
      <c r="A76" s="41" t="s">
        <v>7</v>
      </c>
      <c r="B76" s="41" t="s">
        <v>18</v>
      </c>
      <c r="C76" s="42" t="s">
        <v>31</v>
      </c>
      <c r="D76" s="92" t="s">
        <v>45</v>
      </c>
      <c r="E76" s="92" t="s">
        <v>44</v>
      </c>
      <c r="F76" s="92" t="s">
        <v>46</v>
      </c>
      <c r="G76" s="49">
        <f t="shared" si="8"/>
        <v>0.66</v>
      </c>
      <c r="H76" s="49">
        <f t="shared" si="6"/>
        <v>1</v>
      </c>
      <c r="I76" s="49">
        <f t="shared" si="6"/>
        <v>0.33</v>
      </c>
      <c r="J76" s="2">
        <f t="shared" si="7"/>
        <v>9.125</v>
      </c>
    </row>
    <row r="77" spans="1:10" x14ac:dyDescent="0.25">
      <c r="A77" s="41" t="s">
        <v>8</v>
      </c>
      <c r="B77" s="41" t="s">
        <v>19</v>
      </c>
      <c r="C77" s="42" t="s">
        <v>32</v>
      </c>
      <c r="D77" s="92" t="s">
        <v>46</v>
      </c>
      <c r="E77" s="92" t="s">
        <v>45</v>
      </c>
      <c r="F77" s="92" t="s">
        <v>46</v>
      </c>
      <c r="G77" s="49">
        <f t="shared" si="8"/>
        <v>0.33</v>
      </c>
      <c r="H77" s="49">
        <f t="shared" si="6"/>
        <v>0.66</v>
      </c>
      <c r="I77" s="49">
        <f t="shared" si="6"/>
        <v>0.33</v>
      </c>
      <c r="J77" s="2">
        <f t="shared" si="7"/>
        <v>6.6</v>
      </c>
    </row>
    <row r="78" spans="1:10" ht="30" x14ac:dyDescent="0.25">
      <c r="A78" s="41" t="s">
        <v>9</v>
      </c>
      <c r="B78" s="41" t="s">
        <v>20</v>
      </c>
      <c r="C78" s="42" t="s">
        <v>33</v>
      </c>
      <c r="D78" s="92" t="s">
        <v>44</v>
      </c>
      <c r="E78" s="92" t="s">
        <v>45</v>
      </c>
      <c r="F78" s="92" t="s">
        <v>46</v>
      </c>
      <c r="G78" s="49">
        <f t="shared" si="8"/>
        <v>1</v>
      </c>
      <c r="H78" s="49">
        <f t="shared" si="6"/>
        <v>0.66</v>
      </c>
      <c r="I78" s="49">
        <f t="shared" si="6"/>
        <v>0.33</v>
      </c>
      <c r="J78" s="2">
        <f t="shared" si="7"/>
        <v>8.2750000000000004</v>
      </c>
    </row>
    <row r="79" spans="1:10" ht="30" x14ac:dyDescent="0.25">
      <c r="A79" s="41" t="s">
        <v>10</v>
      </c>
      <c r="B79" s="41" t="s">
        <v>21</v>
      </c>
      <c r="C79" s="42" t="s">
        <v>22</v>
      </c>
      <c r="D79" s="92" t="s">
        <v>45</v>
      </c>
      <c r="E79" s="92" t="s">
        <v>46</v>
      </c>
      <c r="F79" s="92" t="s">
        <v>44</v>
      </c>
      <c r="G79" s="49">
        <f>IF(D79=$A$25,$B$25,(IF(D79=$A$26,$B$26,IF(D79=$A$27,$B$27,$B$28))))</f>
        <v>0.66</v>
      </c>
      <c r="H79" s="49">
        <f t="shared" si="6"/>
        <v>0.33</v>
      </c>
      <c r="I79" s="49">
        <f t="shared" si="6"/>
        <v>1</v>
      </c>
      <c r="J79" s="2">
        <f t="shared" si="7"/>
        <v>10.8</v>
      </c>
    </row>
    <row r="80" spans="1:10" ht="30" x14ac:dyDescent="0.25">
      <c r="A80" s="41" t="s">
        <v>11</v>
      </c>
      <c r="B80" s="41" t="s">
        <v>23</v>
      </c>
      <c r="C80" s="42" t="s">
        <v>34</v>
      </c>
      <c r="D80" s="92" t="s">
        <v>45</v>
      </c>
      <c r="E80" s="92" t="s">
        <v>44</v>
      </c>
      <c r="F80" s="92" t="s">
        <v>46</v>
      </c>
      <c r="G80" s="49">
        <f t="shared" ref="G80:G81" si="9">IF(D80=$A$25,$B$25,(IF(D80=$A$26,$B$26,IF(D80=$A$27,$B$27,$B$28))))</f>
        <v>0.66</v>
      </c>
      <c r="H80" s="49">
        <f t="shared" si="6"/>
        <v>1</v>
      </c>
      <c r="I80" s="49">
        <f t="shared" si="6"/>
        <v>0.33</v>
      </c>
      <c r="J80" s="2">
        <f t="shared" si="7"/>
        <v>9.125</v>
      </c>
    </row>
    <row r="81" spans="1:10" ht="30" x14ac:dyDescent="0.25">
      <c r="A81" s="41" t="s">
        <v>12</v>
      </c>
      <c r="B81" s="41" t="s">
        <v>24</v>
      </c>
      <c r="C81" s="42" t="s">
        <v>35</v>
      </c>
      <c r="D81" s="92" t="s">
        <v>46</v>
      </c>
      <c r="E81" s="92" t="s">
        <v>44</v>
      </c>
      <c r="F81" s="92" t="s">
        <v>45</v>
      </c>
      <c r="G81" s="49">
        <f t="shared" si="9"/>
        <v>0.33</v>
      </c>
      <c r="H81" s="49">
        <f t="shared" si="6"/>
        <v>1</v>
      </c>
      <c r="I81" s="49">
        <f t="shared" si="6"/>
        <v>0.66</v>
      </c>
      <c r="J81" s="2">
        <f t="shared" si="7"/>
        <v>10.775</v>
      </c>
    </row>
    <row r="83" spans="1:10" x14ac:dyDescent="0.25">
      <c r="A83" s="39" t="s">
        <v>101</v>
      </c>
    </row>
    <row r="84" spans="1:10" x14ac:dyDescent="0.25">
      <c r="A84" s="46" t="s">
        <v>43</v>
      </c>
      <c r="B84" s="47" t="s">
        <v>55</v>
      </c>
      <c r="C84" s="47" t="s">
        <v>56</v>
      </c>
    </row>
    <row r="85" spans="1:10" x14ac:dyDescent="0.25">
      <c r="A85" s="41" t="s">
        <v>44</v>
      </c>
      <c r="B85" s="2">
        <v>1</v>
      </c>
      <c r="C85" s="2">
        <v>7.5</v>
      </c>
    </row>
    <row r="86" spans="1:10" x14ac:dyDescent="0.25">
      <c r="A86" s="41" t="s">
        <v>45</v>
      </c>
      <c r="B86" s="2">
        <v>0.66</v>
      </c>
      <c r="C86" s="2">
        <v>5</v>
      </c>
    </row>
    <row r="87" spans="1:10" x14ac:dyDescent="0.25">
      <c r="A87" s="41" t="s">
        <v>46</v>
      </c>
      <c r="B87" s="2">
        <v>0.33</v>
      </c>
      <c r="C87" s="2">
        <v>2.5</v>
      </c>
    </row>
    <row r="88" spans="1:10" x14ac:dyDescent="0.25">
      <c r="A88" s="41" t="s">
        <v>47</v>
      </c>
      <c r="B88" s="2">
        <v>0</v>
      </c>
      <c r="C88" s="2">
        <v>1</v>
      </c>
    </row>
    <row r="90" spans="1:10" x14ac:dyDescent="0.25">
      <c r="A90" s="39" t="s">
        <v>102</v>
      </c>
    </row>
    <row r="91" spans="1:10" ht="45.75" thickBot="1" x14ac:dyDescent="0.3">
      <c r="A91" s="46" t="s">
        <v>53</v>
      </c>
      <c r="B91" s="47" t="s">
        <v>39</v>
      </c>
      <c r="C91" s="46" t="s">
        <v>48</v>
      </c>
      <c r="D91" s="48" t="s">
        <v>103</v>
      </c>
    </row>
    <row r="92" spans="1:10" x14ac:dyDescent="0.25">
      <c r="A92" s="64" t="s">
        <v>50</v>
      </c>
      <c r="B92" s="43" t="s">
        <v>40</v>
      </c>
      <c r="C92" s="2" t="s">
        <v>46</v>
      </c>
      <c r="D92" s="86">
        <f>C87</f>
        <v>2.5</v>
      </c>
    </row>
    <row r="93" spans="1:10" x14ac:dyDescent="0.25">
      <c r="A93" s="65" t="s">
        <v>51</v>
      </c>
      <c r="B93" s="43" t="s">
        <v>41</v>
      </c>
      <c r="C93" s="2" t="s">
        <v>45</v>
      </c>
      <c r="D93" s="86">
        <f>C86</f>
        <v>5</v>
      </c>
    </row>
    <row r="94" spans="1:10" ht="15.75" thickBot="1" x14ac:dyDescent="0.3">
      <c r="A94" s="66" t="s">
        <v>52</v>
      </c>
      <c r="B94" s="43" t="s">
        <v>42</v>
      </c>
      <c r="C94" s="2" t="s">
        <v>44</v>
      </c>
      <c r="D94" s="86">
        <f>C85</f>
        <v>7.5</v>
      </c>
    </row>
    <row r="96" spans="1:10" x14ac:dyDescent="0.25">
      <c r="A96" s="1" t="s">
        <v>200</v>
      </c>
    </row>
    <row r="97" spans="1:7" x14ac:dyDescent="0.25">
      <c r="A97" s="87" t="s">
        <v>113</v>
      </c>
      <c r="B97" s="87" t="s">
        <v>114</v>
      </c>
      <c r="C97" s="87" t="s">
        <v>115</v>
      </c>
      <c r="D97" s="87" t="s">
        <v>116</v>
      </c>
    </row>
    <row r="98" spans="1:7" x14ac:dyDescent="0.25">
      <c r="A98" s="41" t="s">
        <v>25</v>
      </c>
      <c r="B98" s="2">
        <f>J12</f>
        <v>14.15</v>
      </c>
      <c r="C98" s="2">
        <f>J42</f>
        <v>12.425000000000001</v>
      </c>
      <c r="D98" s="2">
        <f>J72</f>
        <v>11.625</v>
      </c>
    </row>
    <row r="99" spans="1:7" x14ac:dyDescent="0.25">
      <c r="A99" s="41" t="s">
        <v>14</v>
      </c>
      <c r="B99" s="2">
        <f t="shared" ref="B99:B107" si="10">J13</f>
        <v>6.6000000000000005</v>
      </c>
      <c r="C99" s="2">
        <f t="shared" ref="C99:C107" si="11">J43</f>
        <v>8.25</v>
      </c>
      <c r="D99" s="2">
        <f t="shared" ref="D99:D107" si="12">J73</f>
        <v>5.7750000000000004</v>
      </c>
    </row>
    <row r="100" spans="1:7" x14ac:dyDescent="0.25">
      <c r="A100" s="41" t="s">
        <v>15</v>
      </c>
      <c r="B100" s="2">
        <f t="shared" si="10"/>
        <v>9.9</v>
      </c>
      <c r="C100" s="2">
        <f t="shared" si="11"/>
        <v>15.75</v>
      </c>
      <c r="D100" s="2">
        <f t="shared" si="12"/>
        <v>11.600000000000001</v>
      </c>
    </row>
    <row r="101" spans="1:7" x14ac:dyDescent="0.25">
      <c r="A101" s="41" t="s">
        <v>16</v>
      </c>
      <c r="B101" s="2">
        <f t="shared" si="10"/>
        <v>12.450000000000001</v>
      </c>
      <c r="C101" s="2">
        <f t="shared" si="11"/>
        <v>14.1</v>
      </c>
      <c r="D101" s="2">
        <f t="shared" si="12"/>
        <v>8.2750000000000004</v>
      </c>
    </row>
    <row r="102" spans="1:7" x14ac:dyDescent="0.25">
      <c r="A102" s="41" t="s">
        <v>18</v>
      </c>
      <c r="B102" s="2">
        <f t="shared" si="10"/>
        <v>10.75</v>
      </c>
      <c r="C102" s="2">
        <f t="shared" si="11"/>
        <v>15.75</v>
      </c>
      <c r="D102" s="2">
        <f t="shared" si="12"/>
        <v>9.125</v>
      </c>
    </row>
    <row r="103" spans="1:7" x14ac:dyDescent="0.25">
      <c r="A103" s="41" t="s">
        <v>19</v>
      </c>
      <c r="B103" s="2">
        <f t="shared" si="10"/>
        <v>10.8</v>
      </c>
      <c r="C103" s="2">
        <f t="shared" si="11"/>
        <v>14.1</v>
      </c>
      <c r="D103" s="2">
        <f t="shared" si="12"/>
        <v>6.6</v>
      </c>
    </row>
    <row r="104" spans="1:7" x14ac:dyDescent="0.25">
      <c r="A104" s="41" t="s">
        <v>20</v>
      </c>
      <c r="B104" s="2">
        <f t="shared" si="10"/>
        <v>10.8</v>
      </c>
      <c r="C104" s="2">
        <f t="shared" si="11"/>
        <v>14.1</v>
      </c>
      <c r="D104" s="2">
        <f t="shared" si="12"/>
        <v>8.2750000000000004</v>
      </c>
    </row>
    <row r="105" spans="1:7" x14ac:dyDescent="0.25">
      <c r="A105" s="41" t="s">
        <v>21</v>
      </c>
      <c r="B105" s="2">
        <f t="shared" si="10"/>
        <v>12.45</v>
      </c>
      <c r="C105" s="2">
        <f t="shared" si="11"/>
        <v>12.425000000000001</v>
      </c>
      <c r="D105" s="2">
        <f t="shared" si="12"/>
        <v>10.8</v>
      </c>
    </row>
    <row r="106" spans="1:7" x14ac:dyDescent="0.25">
      <c r="A106" s="41" t="s">
        <v>23</v>
      </c>
      <c r="B106" s="2">
        <f t="shared" si="10"/>
        <v>10.75</v>
      </c>
      <c r="C106" s="2">
        <f t="shared" si="11"/>
        <v>13.275</v>
      </c>
      <c r="D106" s="2">
        <f t="shared" si="12"/>
        <v>9.125</v>
      </c>
    </row>
    <row r="107" spans="1:7" x14ac:dyDescent="0.25">
      <c r="A107" s="41" t="s">
        <v>24</v>
      </c>
      <c r="B107" s="2">
        <f t="shared" si="10"/>
        <v>8.2750000000000004</v>
      </c>
      <c r="C107" s="2">
        <f t="shared" si="11"/>
        <v>13.275</v>
      </c>
      <c r="D107" s="2">
        <f t="shared" si="12"/>
        <v>10.775</v>
      </c>
    </row>
    <row r="109" spans="1:7" x14ac:dyDescent="0.25">
      <c r="A109" s="1" t="s">
        <v>201</v>
      </c>
    </row>
    <row r="110" spans="1:7" x14ac:dyDescent="0.25">
      <c r="A110" s="87" t="s">
        <v>113</v>
      </c>
      <c r="B110" s="87" t="s">
        <v>114</v>
      </c>
      <c r="C110" s="87" t="s">
        <v>115</v>
      </c>
      <c r="D110" s="87" t="s">
        <v>116</v>
      </c>
    </row>
    <row r="111" spans="1:7" x14ac:dyDescent="0.25">
      <c r="A111" s="41" t="s">
        <v>25</v>
      </c>
      <c r="B111" s="124">
        <f>B98/MAX($B$98:$D$107)</f>
        <v>0.89841269841269844</v>
      </c>
      <c r="C111" s="124">
        <f t="shared" ref="C111:D111" si="13">C98/MAX($B$98:$D$107)</f>
        <v>0.78888888888888897</v>
      </c>
      <c r="D111" s="124">
        <f t="shared" si="13"/>
        <v>0.73809523809523814</v>
      </c>
      <c r="E111" s="129"/>
      <c r="F111" s="129"/>
      <c r="G111" s="129"/>
    </row>
    <row r="112" spans="1:7" x14ac:dyDescent="0.25">
      <c r="A112" s="41" t="s">
        <v>14</v>
      </c>
      <c r="B112" s="124">
        <f t="shared" ref="B112:D120" si="14">B99/MAX($B$98:$D$107)</f>
        <v>0.41904761904761906</v>
      </c>
      <c r="C112" s="124">
        <f t="shared" si="14"/>
        <v>0.52380952380952384</v>
      </c>
      <c r="D112" s="124">
        <f t="shared" si="14"/>
        <v>0.3666666666666667</v>
      </c>
      <c r="E112" s="129"/>
      <c r="F112" s="129"/>
      <c r="G112" s="129"/>
    </row>
    <row r="113" spans="1:7" x14ac:dyDescent="0.25">
      <c r="A113" s="41" t="s">
        <v>15</v>
      </c>
      <c r="B113" s="124">
        <f t="shared" si="14"/>
        <v>0.62857142857142856</v>
      </c>
      <c r="C113" s="124">
        <f t="shared" si="14"/>
        <v>1</v>
      </c>
      <c r="D113" s="124">
        <f t="shared" si="14"/>
        <v>0.73650793650793656</v>
      </c>
      <c r="E113" s="129"/>
      <c r="F113" s="129"/>
      <c r="G113" s="129"/>
    </row>
    <row r="114" spans="1:7" x14ac:dyDescent="0.25">
      <c r="A114" s="41" t="s">
        <v>16</v>
      </c>
      <c r="B114" s="124">
        <f t="shared" si="14"/>
        <v>0.79047619047619055</v>
      </c>
      <c r="C114" s="124">
        <f t="shared" si="14"/>
        <v>0.89523809523809517</v>
      </c>
      <c r="D114" s="124">
        <f t="shared" si="14"/>
        <v>0.52539682539682542</v>
      </c>
      <c r="E114" s="129"/>
      <c r="F114" s="129"/>
      <c r="G114" s="129"/>
    </row>
    <row r="115" spans="1:7" x14ac:dyDescent="0.25">
      <c r="A115" s="41" t="s">
        <v>18</v>
      </c>
      <c r="B115" s="124">
        <f t="shared" si="14"/>
        <v>0.68253968253968256</v>
      </c>
      <c r="C115" s="124">
        <f t="shared" si="14"/>
        <v>1</v>
      </c>
      <c r="D115" s="124">
        <f t="shared" si="14"/>
        <v>0.57936507936507942</v>
      </c>
      <c r="E115" s="129"/>
      <c r="F115" s="129"/>
      <c r="G115" s="129"/>
    </row>
    <row r="116" spans="1:7" x14ac:dyDescent="0.25">
      <c r="A116" s="41" t="s">
        <v>19</v>
      </c>
      <c r="B116" s="124">
        <f t="shared" si="14"/>
        <v>0.68571428571428572</v>
      </c>
      <c r="C116" s="124">
        <f t="shared" si="14"/>
        <v>0.89523809523809517</v>
      </c>
      <c r="D116" s="124">
        <f t="shared" si="14"/>
        <v>0.419047619047619</v>
      </c>
      <c r="E116" s="129"/>
      <c r="F116" s="129"/>
      <c r="G116" s="129"/>
    </row>
    <row r="117" spans="1:7" x14ac:dyDescent="0.25">
      <c r="A117" s="41" t="s">
        <v>20</v>
      </c>
      <c r="B117" s="124">
        <f t="shared" si="14"/>
        <v>0.68571428571428572</v>
      </c>
      <c r="C117" s="124">
        <f t="shared" si="14"/>
        <v>0.89523809523809517</v>
      </c>
      <c r="D117" s="124">
        <f t="shared" si="14"/>
        <v>0.52539682539682542</v>
      </c>
      <c r="E117" s="129"/>
      <c r="F117" s="129"/>
      <c r="G117" s="129"/>
    </row>
    <row r="118" spans="1:7" x14ac:dyDescent="0.25">
      <c r="A118" s="41" t="s">
        <v>21</v>
      </c>
      <c r="B118" s="124">
        <f t="shared" si="14"/>
        <v>0.79047619047619044</v>
      </c>
      <c r="C118" s="124">
        <f t="shared" si="14"/>
        <v>0.78888888888888897</v>
      </c>
      <c r="D118" s="124">
        <f t="shared" si="14"/>
        <v>0.68571428571428572</v>
      </c>
      <c r="E118" s="129"/>
      <c r="F118" s="129"/>
      <c r="G118" s="129"/>
    </row>
    <row r="119" spans="1:7" x14ac:dyDescent="0.25">
      <c r="A119" s="41" t="s">
        <v>23</v>
      </c>
      <c r="B119" s="124">
        <f t="shared" si="14"/>
        <v>0.68253968253968256</v>
      </c>
      <c r="C119" s="124">
        <f t="shared" si="14"/>
        <v>0.84285714285714286</v>
      </c>
      <c r="D119" s="124">
        <f t="shared" si="14"/>
        <v>0.57936507936507942</v>
      </c>
      <c r="E119" s="129"/>
      <c r="F119" s="129"/>
      <c r="G119" s="129"/>
    </row>
    <row r="120" spans="1:7" x14ac:dyDescent="0.25">
      <c r="A120" s="41" t="s">
        <v>24</v>
      </c>
      <c r="B120" s="124">
        <f t="shared" si="14"/>
        <v>0.52539682539682542</v>
      </c>
      <c r="C120" s="124">
        <f t="shared" si="14"/>
        <v>0.84285714285714286</v>
      </c>
      <c r="D120" s="124">
        <f t="shared" si="14"/>
        <v>0.68412698412698414</v>
      </c>
      <c r="E120" s="129"/>
      <c r="F120" s="129"/>
      <c r="G120" s="129"/>
    </row>
    <row r="123" spans="1:7" x14ac:dyDescent="0.25">
      <c r="A123" s="1" t="s">
        <v>202</v>
      </c>
    </row>
    <row r="124" spans="1:7" s="36" customFormat="1" ht="45" x14ac:dyDescent="0.25">
      <c r="A124" s="87" t="s">
        <v>106</v>
      </c>
      <c r="B124" s="87" t="s">
        <v>156</v>
      </c>
      <c r="C124" s="87" t="s">
        <v>155</v>
      </c>
    </row>
    <row r="125" spans="1:7" x14ac:dyDescent="0.25">
      <c r="A125" s="2" t="s">
        <v>107</v>
      </c>
      <c r="B125" s="2">
        <v>0.75</v>
      </c>
      <c r="C125" s="2">
        <f t="shared" ref="C125:C127" si="15">B125/B$128</f>
        <v>0.3</v>
      </c>
    </row>
    <row r="126" spans="1:7" x14ac:dyDescent="0.25">
      <c r="A126" s="2" t="s">
        <v>108</v>
      </c>
      <c r="B126" s="2">
        <v>0.75</v>
      </c>
      <c r="C126" s="2">
        <f t="shared" si="15"/>
        <v>0.3</v>
      </c>
    </row>
    <row r="127" spans="1:7" x14ac:dyDescent="0.25">
      <c r="A127" s="2" t="s">
        <v>136</v>
      </c>
      <c r="B127" s="2">
        <v>1</v>
      </c>
      <c r="C127" s="2">
        <f t="shared" si="15"/>
        <v>0.4</v>
      </c>
    </row>
    <row r="128" spans="1:7" x14ac:dyDescent="0.25">
      <c r="A128" s="3" t="s">
        <v>154</v>
      </c>
      <c r="B128" s="3">
        <f t="shared" ref="B128:C128" si="16">SUM(B125:B127)</f>
        <v>2.5</v>
      </c>
      <c r="C128" s="3">
        <f t="shared" si="16"/>
        <v>1</v>
      </c>
    </row>
    <row r="129" spans="1:7" x14ac:dyDescent="0.25">
      <c r="A129" s="1"/>
      <c r="B129" s="1"/>
      <c r="C129" s="1"/>
      <c r="D129" s="1"/>
      <c r="E129" s="1"/>
    </row>
    <row r="130" spans="1:7" ht="15.75" thickBot="1" x14ac:dyDescent="0.3">
      <c r="A130" s="1" t="s">
        <v>203</v>
      </c>
      <c r="C130" s="1"/>
      <c r="D130" s="1"/>
      <c r="E130" s="1"/>
    </row>
    <row r="131" spans="1:7" ht="15.75" thickBot="1" x14ac:dyDescent="0.3">
      <c r="A131" s="151" t="s">
        <v>179</v>
      </c>
      <c r="B131" s="152" t="s">
        <v>176</v>
      </c>
      <c r="C131" s="152" t="s">
        <v>206</v>
      </c>
      <c r="D131" s="1"/>
      <c r="E131" s="1"/>
    </row>
    <row r="132" spans="1:7" x14ac:dyDescent="0.25">
      <c r="A132" s="149" t="s">
        <v>191</v>
      </c>
      <c r="B132" s="108">
        <v>0.9</v>
      </c>
      <c r="C132" s="155">
        <f>B132/(B132+B133)</f>
        <v>0.6</v>
      </c>
      <c r="D132" s="1"/>
      <c r="E132" s="1"/>
    </row>
    <row r="133" spans="1:7" ht="30" x14ac:dyDescent="0.25">
      <c r="A133" s="153" t="s">
        <v>192</v>
      </c>
      <c r="B133" s="5">
        <v>0.6</v>
      </c>
      <c r="C133" s="156">
        <f>B133/(B132+B133)</f>
        <v>0.39999999999999997</v>
      </c>
      <c r="D133" s="1"/>
      <c r="E133" s="1"/>
    </row>
    <row r="134" spans="1:7" ht="30.75" thickBot="1" x14ac:dyDescent="0.3">
      <c r="A134" s="150" t="s">
        <v>193</v>
      </c>
      <c r="B134" s="63">
        <f xml:space="preserve"> MAX(B98:D107)</f>
        <v>15.75</v>
      </c>
      <c r="C134" s="63"/>
      <c r="D134" s="1"/>
      <c r="E134" s="1"/>
    </row>
    <row r="135" spans="1:7" x14ac:dyDescent="0.25">
      <c r="A135" s="1"/>
      <c r="B135" s="1"/>
      <c r="C135" s="1"/>
      <c r="D135" s="1"/>
      <c r="E135" s="1"/>
    </row>
    <row r="137" spans="1:7" x14ac:dyDescent="0.25">
      <c r="A137" s="128" t="s">
        <v>157</v>
      </c>
    </row>
    <row r="138" spans="1:7" x14ac:dyDescent="0.25">
      <c r="A138" s="123" t="s">
        <v>25</v>
      </c>
      <c r="B138" s="125">
        <f>1-ABS(B111-B111)</f>
        <v>1</v>
      </c>
      <c r="C138" s="125">
        <f>1-ABS(B111-C111)</f>
        <v>0.89047619047619053</v>
      </c>
      <c r="D138" s="125">
        <f>1-ABS(B111-D111)</f>
        <v>0.8396825396825397</v>
      </c>
      <c r="E138" s="164"/>
      <c r="F138" s="164"/>
      <c r="G138" s="164"/>
    </row>
    <row r="139" spans="1:7" x14ac:dyDescent="0.25">
      <c r="B139" s="125">
        <f>1-ABS(C111-B111)</f>
        <v>0.89047619047619053</v>
      </c>
      <c r="C139" s="125">
        <f>1-ABS(C111-C111)</f>
        <v>1</v>
      </c>
      <c r="D139" s="125">
        <f>1-ABS(D111-C111)</f>
        <v>0.94920634920634916</v>
      </c>
      <c r="E139" s="164"/>
      <c r="F139" s="164"/>
      <c r="G139" s="164"/>
    </row>
    <row r="140" spans="1:7" x14ac:dyDescent="0.25">
      <c r="B140" s="125">
        <f>1-ABS(D111-B111)</f>
        <v>0.8396825396825397</v>
      </c>
      <c r="C140" s="125">
        <f>1-ABS(D111-C111)</f>
        <v>0.94920634920634916</v>
      </c>
      <c r="D140" s="125">
        <f>1-ABS(D111-D111)</f>
        <v>1</v>
      </c>
      <c r="E140" s="164"/>
      <c r="F140" s="164"/>
      <c r="G140" s="164"/>
    </row>
    <row r="141" spans="1:7" x14ac:dyDescent="0.25">
      <c r="E141" s="164"/>
      <c r="F141" s="164"/>
      <c r="G141" s="164"/>
    </row>
    <row r="142" spans="1:7" x14ac:dyDescent="0.25">
      <c r="A142" s="123" t="s">
        <v>14</v>
      </c>
      <c r="B142" s="125">
        <f>1-ABS(B112-B112)</f>
        <v>1</v>
      </c>
      <c r="C142" s="125">
        <f>1-ABS(B112-C112)</f>
        <v>0.89523809523809517</v>
      </c>
      <c r="D142" s="125">
        <f>1-ABS(B112-D112)</f>
        <v>0.94761904761904758</v>
      </c>
      <c r="E142" s="164"/>
      <c r="F142" s="164"/>
      <c r="G142" s="164"/>
    </row>
    <row r="143" spans="1:7" x14ac:dyDescent="0.25">
      <c r="B143" s="125">
        <f>1-ABS(C112-B112)</f>
        <v>0.89523809523809517</v>
      </c>
      <c r="C143" s="125">
        <f>1-ABS(C112-C112)</f>
        <v>1</v>
      </c>
      <c r="D143" s="125">
        <f>1-ABS(D112-C112)</f>
        <v>0.84285714285714286</v>
      </c>
      <c r="E143" s="164"/>
      <c r="F143" s="164"/>
      <c r="G143" s="164"/>
    </row>
    <row r="144" spans="1:7" x14ac:dyDescent="0.25">
      <c r="B144" s="125">
        <f>1-ABS(D112-B112)</f>
        <v>0.94761904761904758</v>
      </c>
      <c r="C144" s="125">
        <f>1-ABS(D112-C112)</f>
        <v>0.84285714285714286</v>
      </c>
      <c r="D144" s="125">
        <f>1-ABS(D112-D112)</f>
        <v>1</v>
      </c>
      <c r="E144" s="164"/>
      <c r="F144" s="164"/>
      <c r="G144" s="164"/>
    </row>
    <row r="145" spans="1:7" x14ac:dyDescent="0.25">
      <c r="E145" s="164"/>
      <c r="F145" s="164"/>
      <c r="G145" s="164"/>
    </row>
    <row r="146" spans="1:7" x14ac:dyDescent="0.25">
      <c r="A146" s="123" t="s">
        <v>15</v>
      </c>
      <c r="B146" s="125">
        <f>1-ABS(B113-B113)</f>
        <v>1</v>
      </c>
      <c r="C146" s="125">
        <f>1-ABS(B113-C113)</f>
        <v>0.62857142857142856</v>
      </c>
      <c r="D146" s="125">
        <f>1-ABS(B113-D113)</f>
        <v>0.892063492063492</v>
      </c>
      <c r="E146" s="164"/>
      <c r="F146" s="164"/>
      <c r="G146" s="164"/>
    </row>
    <row r="147" spans="1:7" x14ac:dyDescent="0.25">
      <c r="B147" s="125">
        <f>1-ABS(C113-B113)</f>
        <v>0.62857142857142856</v>
      </c>
      <c r="C147" s="125">
        <f>1-ABS(C113-C113)</f>
        <v>1</v>
      </c>
      <c r="D147" s="125">
        <f>1-ABS(D113-C113)</f>
        <v>0.73650793650793656</v>
      </c>
      <c r="E147" s="164"/>
      <c r="F147" s="164"/>
      <c r="G147" s="164"/>
    </row>
    <row r="148" spans="1:7" x14ac:dyDescent="0.25">
      <c r="B148" s="125">
        <f>1-ABS(D113-B113)</f>
        <v>0.892063492063492</v>
      </c>
      <c r="C148" s="125">
        <f>1-ABS(D113-C113)</f>
        <v>0.73650793650793656</v>
      </c>
      <c r="D148" s="125">
        <f>1-ABS(D113-D113)</f>
        <v>1</v>
      </c>
      <c r="E148" s="164"/>
      <c r="F148" s="164"/>
      <c r="G148" s="164"/>
    </row>
    <row r="149" spans="1:7" x14ac:dyDescent="0.25">
      <c r="E149" s="164"/>
      <c r="F149" s="164"/>
      <c r="G149" s="164"/>
    </row>
    <row r="150" spans="1:7" x14ac:dyDescent="0.25">
      <c r="A150" s="123" t="s">
        <v>16</v>
      </c>
      <c r="B150" s="125">
        <f>1-ABS(B114-B114)</f>
        <v>1</v>
      </c>
      <c r="C150" s="125">
        <f>1-ABS(B114-C114)</f>
        <v>0.89523809523809539</v>
      </c>
      <c r="D150" s="125">
        <f>1-ABS(B114-D114)</f>
        <v>0.73492063492063486</v>
      </c>
      <c r="E150" s="164"/>
      <c r="F150" s="164"/>
      <c r="G150" s="164"/>
    </row>
    <row r="151" spans="1:7" x14ac:dyDescent="0.25">
      <c r="B151" s="125">
        <f>1-ABS(C114-B114)</f>
        <v>0.89523809523809539</v>
      </c>
      <c r="C151" s="125">
        <f>1-ABS(C114-C114)</f>
        <v>1</v>
      </c>
      <c r="D151" s="125">
        <f>1-ABS(D114-C114)</f>
        <v>0.63015873015873025</v>
      </c>
      <c r="E151" s="164"/>
      <c r="F151" s="164"/>
      <c r="G151" s="164"/>
    </row>
    <row r="152" spans="1:7" x14ac:dyDescent="0.25">
      <c r="B152" s="125">
        <f>1-ABS(D114-B114)</f>
        <v>0.73492063492063486</v>
      </c>
      <c r="C152" s="125">
        <f>1-ABS(D114-C114)</f>
        <v>0.63015873015873025</v>
      </c>
      <c r="D152" s="125">
        <f>1-ABS(D114-D114)</f>
        <v>1</v>
      </c>
      <c r="E152" s="164"/>
      <c r="F152" s="164"/>
      <c r="G152" s="164"/>
    </row>
    <row r="153" spans="1:7" x14ac:dyDescent="0.25">
      <c r="E153" s="164"/>
      <c r="F153" s="164"/>
      <c r="G153" s="164"/>
    </row>
    <row r="154" spans="1:7" x14ac:dyDescent="0.25">
      <c r="A154" s="123" t="s">
        <v>18</v>
      </c>
      <c r="B154" s="125">
        <f>1-ABS(B115-B115)</f>
        <v>1</v>
      </c>
      <c r="C154" s="125">
        <f>1-ABS(B115-C115)</f>
        <v>0.68253968253968256</v>
      </c>
      <c r="D154" s="125">
        <f>1-ABS(B115-D115)</f>
        <v>0.89682539682539686</v>
      </c>
      <c r="E154" s="164"/>
      <c r="F154" s="164"/>
      <c r="G154" s="164"/>
    </row>
    <row r="155" spans="1:7" x14ac:dyDescent="0.25">
      <c r="B155" s="125">
        <f>1-ABS(C115-B115)</f>
        <v>0.68253968253968256</v>
      </c>
      <c r="C155" s="125">
        <f>1-ABS(C115-C115)</f>
        <v>1</v>
      </c>
      <c r="D155" s="125">
        <f>1-ABS(D115-C115)</f>
        <v>0.57936507936507942</v>
      </c>
      <c r="E155" s="164"/>
      <c r="F155" s="164"/>
      <c r="G155" s="164"/>
    </row>
    <row r="156" spans="1:7" x14ac:dyDescent="0.25">
      <c r="B156" s="125">
        <f>1-ABS(D115-B115)</f>
        <v>0.89682539682539686</v>
      </c>
      <c r="C156" s="125">
        <f>1-ABS(D115-C115)</f>
        <v>0.57936507936507942</v>
      </c>
      <c r="D156" s="125">
        <f>1-ABS(D115-D115)</f>
        <v>1</v>
      </c>
      <c r="E156" s="164"/>
      <c r="F156" s="164"/>
      <c r="G156" s="164"/>
    </row>
    <row r="157" spans="1:7" x14ac:dyDescent="0.25">
      <c r="E157" s="164"/>
      <c r="F157" s="164"/>
      <c r="G157" s="164"/>
    </row>
    <row r="158" spans="1:7" x14ac:dyDescent="0.25">
      <c r="A158" s="123" t="s">
        <v>19</v>
      </c>
      <c r="B158" s="125">
        <f>1-ABS(B116-B116)</f>
        <v>1</v>
      </c>
      <c r="C158" s="125">
        <f>1-ABS(B116-C116)</f>
        <v>0.79047619047619055</v>
      </c>
      <c r="D158" s="125">
        <f>1-ABS(B116-D116)</f>
        <v>0.73333333333333328</v>
      </c>
      <c r="E158" s="164"/>
      <c r="F158" s="164"/>
      <c r="G158" s="164"/>
    </row>
    <row r="159" spans="1:7" x14ac:dyDescent="0.25">
      <c r="B159" s="125">
        <f>1-ABS(C116-B116)</f>
        <v>0.79047619047619055</v>
      </c>
      <c r="C159" s="125">
        <f>1-ABS(C116-C116)</f>
        <v>1</v>
      </c>
      <c r="D159" s="125">
        <f>1-ABS(D116-C116)</f>
        <v>0.52380952380952384</v>
      </c>
      <c r="E159" s="164"/>
      <c r="F159" s="164"/>
      <c r="G159" s="164"/>
    </row>
    <row r="160" spans="1:7" x14ac:dyDescent="0.25">
      <c r="B160" s="125">
        <f>1-ABS(D116-B116)</f>
        <v>0.73333333333333328</v>
      </c>
      <c r="C160" s="125">
        <f>1-ABS(D116-C116)</f>
        <v>0.52380952380952384</v>
      </c>
      <c r="D160" s="125">
        <f>1-ABS(D116-D116)</f>
        <v>1</v>
      </c>
      <c r="E160" s="164"/>
      <c r="F160" s="164"/>
      <c r="G160" s="164"/>
    </row>
    <row r="161" spans="1:7" x14ac:dyDescent="0.25">
      <c r="E161" s="164"/>
      <c r="F161" s="164"/>
      <c r="G161" s="164"/>
    </row>
    <row r="162" spans="1:7" x14ac:dyDescent="0.25">
      <c r="A162" s="123" t="s">
        <v>20</v>
      </c>
      <c r="B162" s="125">
        <f>1-ABS(B117-B117)</f>
        <v>1</v>
      </c>
      <c r="C162" s="125">
        <f>1-ABS(B117-C117)</f>
        <v>0.79047619047619055</v>
      </c>
      <c r="D162" s="125">
        <f>1-ABS(B117-D117)</f>
        <v>0.8396825396825397</v>
      </c>
      <c r="E162" s="164"/>
      <c r="F162" s="164"/>
      <c r="G162" s="164"/>
    </row>
    <row r="163" spans="1:7" x14ac:dyDescent="0.25">
      <c r="B163" s="125">
        <f>1-ABS(C117-B117)</f>
        <v>0.79047619047619055</v>
      </c>
      <c r="C163" s="125">
        <f>1-ABS(C117-C117)</f>
        <v>1</v>
      </c>
      <c r="D163" s="125">
        <f>1-ABS(D117-C117)</f>
        <v>0.63015873015873025</v>
      </c>
      <c r="E163" s="164"/>
      <c r="F163" s="164"/>
      <c r="G163" s="164"/>
    </row>
    <row r="164" spans="1:7" x14ac:dyDescent="0.25">
      <c r="B164" s="125">
        <f>1-ABS(D117-B117)</f>
        <v>0.8396825396825397</v>
      </c>
      <c r="C164" s="125">
        <f>1-ABS(D117-C117)</f>
        <v>0.63015873015873025</v>
      </c>
      <c r="D164" s="125">
        <f>1-ABS(D117-D117)</f>
        <v>1</v>
      </c>
      <c r="E164" s="164"/>
      <c r="F164" s="164"/>
      <c r="G164" s="164"/>
    </row>
    <row r="165" spans="1:7" x14ac:dyDescent="0.25">
      <c r="E165" s="164"/>
      <c r="F165" s="164"/>
      <c r="G165" s="164"/>
    </row>
    <row r="166" spans="1:7" x14ac:dyDescent="0.25">
      <c r="A166" s="123" t="s">
        <v>21</v>
      </c>
      <c r="B166" s="125">
        <f>1-ABS(B118-B118)</f>
        <v>1</v>
      </c>
      <c r="C166" s="125">
        <f>1-ABS(B118-C118)</f>
        <v>0.99841269841269853</v>
      </c>
      <c r="D166" s="125">
        <f>1-ABS(B118-D118)</f>
        <v>0.89523809523809528</v>
      </c>
      <c r="E166" s="164"/>
      <c r="F166" s="164"/>
      <c r="G166" s="164"/>
    </row>
    <row r="167" spans="1:7" x14ac:dyDescent="0.25">
      <c r="B167" s="125">
        <f>1-ABS(C118-B118)</f>
        <v>0.99841269841269853</v>
      </c>
      <c r="C167" s="125">
        <f>1-ABS(C118-C118)</f>
        <v>1</v>
      </c>
      <c r="D167" s="125">
        <f>1-ABS(D118-C118)</f>
        <v>0.89682539682539675</v>
      </c>
      <c r="E167" s="164"/>
      <c r="F167" s="164"/>
      <c r="G167" s="164"/>
    </row>
    <row r="168" spans="1:7" x14ac:dyDescent="0.25">
      <c r="B168" s="125">
        <f>1-ABS(D118-B118)</f>
        <v>0.89523809523809528</v>
      </c>
      <c r="C168" s="125">
        <f>1-ABS(D118-C118)</f>
        <v>0.89682539682539675</v>
      </c>
      <c r="D168" s="125">
        <f>1-ABS(D118-D118)</f>
        <v>1</v>
      </c>
      <c r="E168" s="164"/>
      <c r="F168" s="164"/>
      <c r="G168" s="164"/>
    </row>
    <row r="169" spans="1:7" x14ac:dyDescent="0.25">
      <c r="E169" s="164"/>
      <c r="F169" s="164"/>
      <c r="G169" s="164"/>
    </row>
    <row r="170" spans="1:7" x14ac:dyDescent="0.25">
      <c r="A170" s="123" t="s">
        <v>23</v>
      </c>
      <c r="B170" s="125">
        <f>1-ABS(B119-B119)</f>
        <v>1</v>
      </c>
      <c r="C170" s="125">
        <f>1-ABS(B119-C119)</f>
        <v>0.8396825396825397</v>
      </c>
      <c r="D170" s="125">
        <f>1-ABS(B119-D119)</f>
        <v>0.89682539682539686</v>
      </c>
      <c r="E170" s="164"/>
      <c r="F170" s="164"/>
      <c r="G170" s="164"/>
    </row>
    <row r="171" spans="1:7" x14ac:dyDescent="0.25">
      <c r="B171" s="125">
        <f>1-ABS(C119-B119)</f>
        <v>0.8396825396825397</v>
      </c>
      <c r="C171" s="125">
        <f>1-ABS(C119-C119)</f>
        <v>1</v>
      </c>
      <c r="D171" s="125">
        <f>1-ABS(D119-C119)</f>
        <v>0.73650793650793656</v>
      </c>
      <c r="E171" s="164"/>
      <c r="F171" s="164"/>
      <c r="G171" s="164"/>
    </row>
    <row r="172" spans="1:7" x14ac:dyDescent="0.25">
      <c r="B172" s="125">
        <f>1-ABS(D119-B119)</f>
        <v>0.89682539682539686</v>
      </c>
      <c r="C172" s="125">
        <f>1-ABS(D119-C119)</f>
        <v>0.73650793650793656</v>
      </c>
      <c r="D172" s="125">
        <f>1-ABS(D119-D119)</f>
        <v>1</v>
      </c>
      <c r="E172" s="164"/>
      <c r="F172" s="164"/>
      <c r="G172" s="164"/>
    </row>
    <row r="173" spans="1:7" x14ac:dyDescent="0.25">
      <c r="E173" s="164"/>
      <c r="F173" s="164"/>
      <c r="G173" s="164"/>
    </row>
    <row r="174" spans="1:7" x14ac:dyDescent="0.25">
      <c r="A174" s="123" t="s">
        <v>24</v>
      </c>
      <c r="B174" s="125">
        <f>1-ABS(B120-B120)</f>
        <v>1</v>
      </c>
      <c r="C174" s="125">
        <f>1-ABS(B120-C120)</f>
        <v>0.68253968253968256</v>
      </c>
      <c r="D174" s="125">
        <f>1-ABS(B120-D120)</f>
        <v>0.84126984126984128</v>
      </c>
      <c r="E174" s="164"/>
      <c r="F174" s="164"/>
      <c r="G174" s="164"/>
    </row>
    <row r="175" spans="1:7" x14ac:dyDescent="0.25">
      <c r="B175" s="125">
        <f>1-ABS(C120-B120)</f>
        <v>0.68253968253968256</v>
      </c>
      <c r="C175" s="125">
        <f>1-ABS(C120-C120)</f>
        <v>1</v>
      </c>
      <c r="D175" s="125">
        <f>1-ABS(D120-C120)</f>
        <v>0.84126984126984128</v>
      </c>
      <c r="E175" s="164"/>
      <c r="F175" s="164"/>
      <c r="G175" s="164"/>
    </row>
    <row r="176" spans="1:7" x14ac:dyDescent="0.25">
      <c r="B176" s="125">
        <f>1-ABS(D120-B120)</f>
        <v>0.84126984126984128</v>
      </c>
      <c r="C176" s="125">
        <f>1-ABS(D120-C120)</f>
        <v>0.84126984126984128</v>
      </c>
      <c r="D176" s="125">
        <f>1-ABS(D120-D120)</f>
        <v>1</v>
      </c>
      <c r="E176" s="164"/>
      <c r="F176" s="164"/>
      <c r="G176" s="164"/>
    </row>
    <row r="178" spans="1:7" x14ac:dyDescent="0.25">
      <c r="A178" s="1" t="s">
        <v>168</v>
      </c>
    </row>
    <row r="179" spans="1:7" x14ac:dyDescent="0.25">
      <c r="A179" s="87" t="s">
        <v>113</v>
      </c>
      <c r="B179" s="3" t="s">
        <v>107</v>
      </c>
      <c r="C179" s="3" t="s">
        <v>108</v>
      </c>
      <c r="D179" s="3" t="s">
        <v>136</v>
      </c>
    </row>
    <row r="180" spans="1:7" x14ac:dyDescent="0.25">
      <c r="A180" s="41" t="s">
        <v>25</v>
      </c>
      <c r="B180" s="124">
        <f>(C138+D138)/2</f>
        <v>0.86507936507936511</v>
      </c>
      <c r="C180" s="124">
        <f>(B139+D139)/2</f>
        <v>0.9198412698412699</v>
      </c>
      <c r="D180" s="124">
        <f>(B140+C140)/2</f>
        <v>0.89444444444444438</v>
      </c>
      <c r="E180" s="129"/>
      <c r="F180" s="129"/>
      <c r="G180" s="129"/>
    </row>
    <row r="181" spans="1:7" x14ac:dyDescent="0.25">
      <c r="A181" s="41" t="s">
        <v>14</v>
      </c>
      <c r="B181" s="124">
        <f>(C142+D142)/2</f>
        <v>0.92142857142857137</v>
      </c>
      <c r="C181" s="124">
        <f>(B143+D143)/2</f>
        <v>0.86904761904761907</v>
      </c>
      <c r="D181" s="124">
        <f>(B144+C144)/2</f>
        <v>0.89523809523809517</v>
      </c>
      <c r="E181" s="129"/>
      <c r="F181" s="129"/>
      <c r="G181" s="129"/>
    </row>
    <row r="182" spans="1:7" x14ac:dyDescent="0.25">
      <c r="A182" s="41" t="s">
        <v>15</v>
      </c>
      <c r="B182" s="124">
        <f>(C146+D146)/2</f>
        <v>0.76031746031746028</v>
      </c>
      <c r="C182" s="124">
        <f>(B147+D147)/2</f>
        <v>0.68253968253968256</v>
      </c>
      <c r="D182" s="124">
        <f>(B148+C148)/2</f>
        <v>0.81428571428571428</v>
      </c>
      <c r="E182" s="129"/>
      <c r="F182" s="129"/>
      <c r="G182" s="129"/>
    </row>
    <row r="183" spans="1:7" x14ac:dyDescent="0.25">
      <c r="A183" s="41" t="s">
        <v>16</v>
      </c>
      <c r="B183" s="124">
        <f>(C150+D150)/2</f>
        <v>0.81507936507936507</v>
      </c>
      <c r="C183" s="124">
        <f>(B151+D151)/2</f>
        <v>0.76269841269841288</v>
      </c>
      <c r="D183" s="124">
        <f>(B152+C152)/2</f>
        <v>0.68253968253968256</v>
      </c>
      <c r="E183" s="129"/>
      <c r="F183" s="129"/>
      <c r="G183" s="129"/>
    </row>
    <row r="184" spans="1:7" x14ac:dyDescent="0.25">
      <c r="A184" s="41" t="s">
        <v>18</v>
      </c>
      <c r="B184" s="124">
        <f>(C154+D154)/2</f>
        <v>0.78968253968253976</v>
      </c>
      <c r="C184" s="124">
        <f>(B155+D155)/2</f>
        <v>0.63095238095238093</v>
      </c>
      <c r="D184" s="124">
        <f>(B156+C156)/2</f>
        <v>0.73809523809523814</v>
      </c>
      <c r="E184" s="129"/>
      <c r="F184" s="129"/>
      <c r="G184" s="129"/>
    </row>
    <row r="185" spans="1:7" x14ac:dyDescent="0.25">
      <c r="A185" s="41" t="s">
        <v>19</v>
      </c>
      <c r="B185" s="124">
        <f>(C158+D158)/2</f>
        <v>0.76190476190476186</v>
      </c>
      <c r="C185" s="124">
        <f>(B159+D159)/2</f>
        <v>0.65714285714285725</v>
      </c>
      <c r="D185" s="124">
        <f>(B160+C160)/2</f>
        <v>0.62857142857142856</v>
      </c>
      <c r="E185" s="129"/>
      <c r="F185" s="129"/>
      <c r="G185" s="129"/>
    </row>
    <row r="186" spans="1:7" x14ac:dyDescent="0.25">
      <c r="A186" s="41" t="s">
        <v>20</v>
      </c>
      <c r="B186" s="124">
        <f>(C162+D162)/2</f>
        <v>0.81507936507936507</v>
      </c>
      <c r="C186" s="124">
        <f>(B163+D163)/2</f>
        <v>0.71031746031746046</v>
      </c>
      <c r="D186" s="124">
        <f>(B164+C164)/2</f>
        <v>0.73492063492063497</v>
      </c>
      <c r="E186" s="129"/>
      <c r="F186" s="129"/>
      <c r="G186" s="129"/>
    </row>
    <row r="187" spans="1:7" x14ac:dyDescent="0.25">
      <c r="A187" s="41" t="s">
        <v>21</v>
      </c>
      <c r="B187" s="124">
        <f>(C166+D166)/2</f>
        <v>0.9468253968253969</v>
      </c>
      <c r="C187" s="124">
        <f>(B167+D167)/2</f>
        <v>0.94761904761904758</v>
      </c>
      <c r="D187" s="124">
        <f>(B168+C168)/2</f>
        <v>0.89603174603174596</v>
      </c>
      <c r="E187" s="129"/>
      <c r="F187" s="129"/>
      <c r="G187" s="129"/>
    </row>
    <row r="188" spans="1:7" x14ac:dyDescent="0.25">
      <c r="A188" s="41" t="s">
        <v>23</v>
      </c>
      <c r="B188" s="124">
        <f>(C170+D170)/2</f>
        <v>0.86825396825396828</v>
      </c>
      <c r="C188" s="124">
        <f>(B171+D171)/2</f>
        <v>0.78809523809523818</v>
      </c>
      <c r="D188" s="124">
        <f>(B172+C172)/2</f>
        <v>0.81666666666666665</v>
      </c>
      <c r="E188" s="129"/>
      <c r="F188" s="129"/>
      <c r="G188" s="129"/>
    </row>
    <row r="189" spans="1:7" x14ac:dyDescent="0.25">
      <c r="A189" s="41" t="s">
        <v>24</v>
      </c>
      <c r="B189" s="124">
        <f>(C174+D174)/2</f>
        <v>0.76190476190476186</v>
      </c>
      <c r="C189" s="124">
        <f>(B175+D175)/2</f>
        <v>0.76190476190476186</v>
      </c>
      <c r="D189" s="124">
        <f>(B176+C176)/2</f>
        <v>0.84126984126984128</v>
      </c>
      <c r="E189" s="129"/>
      <c r="F189" s="129"/>
      <c r="G189" s="129"/>
    </row>
    <row r="191" spans="1:7" x14ac:dyDescent="0.25">
      <c r="A191" s="1" t="s">
        <v>204</v>
      </c>
    </row>
    <row r="192" spans="1:7" x14ac:dyDescent="0.25">
      <c r="A192" s="87" t="s">
        <v>113</v>
      </c>
      <c r="B192" s="3" t="s">
        <v>107</v>
      </c>
      <c r="C192" s="3" t="s">
        <v>108</v>
      </c>
      <c r="D192" s="3" t="s">
        <v>136</v>
      </c>
      <c r="E192" s="127" t="s">
        <v>161</v>
      </c>
    </row>
    <row r="193" spans="1:8" x14ac:dyDescent="0.25">
      <c r="A193" s="41" t="s">
        <v>25</v>
      </c>
      <c r="B193" s="124">
        <f>B180/SUM($B180:$D180)</f>
        <v>0.32286729857819901</v>
      </c>
      <c r="C193" s="124">
        <f>C180/SUM($B180:$D180)</f>
        <v>0.34330568720379145</v>
      </c>
      <c r="D193" s="124">
        <f t="shared" ref="D193" si="17">D180/SUM($B180:$D180)</f>
        <v>0.33382701421800942</v>
      </c>
      <c r="E193" s="126">
        <f>SUM(B193:D193)</f>
        <v>0.99999999999999989</v>
      </c>
      <c r="F193" s="129"/>
      <c r="G193" s="129"/>
      <c r="H193" s="129"/>
    </row>
    <row r="194" spans="1:8" x14ac:dyDescent="0.25">
      <c r="A194" s="41" t="s">
        <v>14</v>
      </c>
      <c r="B194" s="124">
        <f t="shared" ref="B194:D202" si="18">B181/SUM($B181:$D181)</f>
        <v>0.34308510638297873</v>
      </c>
      <c r="C194" s="124">
        <f t="shared" si="18"/>
        <v>0.32358156028368795</v>
      </c>
      <c r="D194" s="124">
        <f t="shared" si="18"/>
        <v>0.33333333333333331</v>
      </c>
      <c r="E194" s="126">
        <f t="shared" ref="E194:E202" si="19">SUM(B194:D194)</f>
        <v>1</v>
      </c>
      <c r="F194" s="129"/>
      <c r="G194" s="129"/>
      <c r="H194" s="129"/>
    </row>
    <row r="195" spans="1:8" x14ac:dyDescent="0.25">
      <c r="A195" s="41" t="s">
        <v>15</v>
      </c>
      <c r="B195" s="124">
        <f t="shared" si="18"/>
        <v>0.3368495077355837</v>
      </c>
      <c r="C195" s="124">
        <f t="shared" si="18"/>
        <v>0.30239099859353025</v>
      </c>
      <c r="D195" s="124">
        <f t="shared" si="18"/>
        <v>0.36075949367088606</v>
      </c>
      <c r="E195" s="126">
        <f t="shared" si="19"/>
        <v>1</v>
      </c>
      <c r="F195" s="129"/>
      <c r="G195" s="129"/>
      <c r="H195" s="129"/>
    </row>
    <row r="196" spans="1:8" x14ac:dyDescent="0.25">
      <c r="A196" s="41" t="s">
        <v>16</v>
      </c>
      <c r="B196" s="124">
        <f t="shared" si="18"/>
        <v>0.36060393258426965</v>
      </c>
      <c r="C196" s="124">
        <f t="shared" si="18"/>
        <v>0.33742977528089896</v>
      </c>
      <c r="D196" s="124">
        <f t="shared" si="18"/>
        <v>0.30196629213483145</v>
      </c>
      <c r="E196" s="126">
        <f t="shared" si="19"/>
        <v>1</v>
      </c>
      <c r="F196" s="129"/>
      <c r="G196" s="129"/>
      <c r="H196" s="129"/>
    </row>
    <row r="197" spans="1:8" x14ac:dyDescent="0.25">
      <c r="A197" s="41" t="s">
        <v>18</v>
      </c>
      <c r="B197" s="124">
        <f t="shared" si="18"/>
        <v>0.36580882352941174</v>
      </c>
      <c r="C197" s="124">
        <f t="shared" si="18"/>
        <v>0.29227941176470584</v>
      </c>
      <c r="D197" s="124">
        <f t="shared" si="18"/>
        <v>0.3419117647058823</v>
      </c>
      <c r="E197" s="126">
        <f t="shared" si="19"/>
        <v>0.99999999999999978</v>
      </c>
      <c r="F197" s="129"/>
      <c r="G197" s="129"/>
      <c r="H197" s="129"/>
    </row>
    <row r="198" spans="1:8" x14ac:dyDescent="0.25">
      <c r="A198" s="41" t="s">
        <v>19</v>
      </c>
      <c r="B198" s="124">
        <f t="shared" si="18"/>
        <v>0.37209302325581395</v>
      </c>
      <c r="C198" s="124">
        <f t="shared" si="18"/>
        <v>0.32093023255813963</v>
      </c>
      <c r="D198" s="124">
        <f t="shared" si="18"/>
        <v>0.30697674418604654</v>
      </c>
      <c r="E198" s="126">
        <f t="shared" si="19"/>
        <v>1</v>
      </c>
      <c r="F198" s="129"/>
      <c r="G198" s="129"/>
      <c r="H198" s="129"/>
    </row>
    <row r="199" spans="1:8" x14ac:dyDescent="0.25">
      <c r="A199" s="41" t="s">
        <v>20</v>
      </c>
      <c r="B199" s="124">
        <f t="shared" si="18"/>
        <v>0.36060393258426965</v>
      </c>
      <c r="C199" s="124">
        <f t="shared" si="18"/>
        <v>0.31425561797752816</v>
      </c>
      <c r="D199" s="124">
        <f t="shared" si="18"/>
        <v>0.32514044943820225</v>
      </c>
      <c r="E199" s="126">
        <f t="shared" si="19"/>
        <v>1</v>
      </c>
      <c r="F199" s="129"/>
      <c r="G199" s="129"/>
      <c r="H199" s="129"/>
    </row>
    <row r="200" spans="1:8" x14ac:dyDescent="0.25">
      <c r="A200" s="41" t="s">
        <v>21</v>
      </c>
      <c r="B200" s="124">
        <f t="shared" si="18"/>
        <v>0.33930602957906719</v>
      </c>
      <c r="C200" s="124">
        <f t="shared" si="18"/>
        <v>0.33959044368600683</v>
      </c>
      <c r="D200" s="124">
        <f t="shared" si="18"/>
        <v>0.32110352673492604</v>
      </c>
      <c r="E200" s="126">
        <f t="shared" si="19"/>
        <v>1</v>
      </c>
      <c r="F200" s="129"/>
      <c r="G200" s="129"/>
      <c r="H200" s="129"/>
    </row>
    <row r="201" spans="1:8" x14ac:dyDescent="0.25">
      <c r="A201" s="41" t="s">
        <v>23</v>
      </c>
      <c r="B201" s="124">
        <f t="shared" si="18"/>
        <v>0.35109114249037227</v>
      </c>
      <c r="C201" s="124">
        <f t="shared" si="18"/>
        <v>0.31867779204107832</v>
      </c>
      <c r="D201" s="124">
        <f t="shared" si="18"/>
        <v>0.33023106546854941</v>
      </c>
      <c r="E201" s="126">
        <f t="shared" si="19"/>
        <v>1</v>
      </c>
      <c r="F201" s="129"/>
      <c r="G201" s="129"/>
      <c r="H201" s="129"/>
    </row>
    <row r="202" spans="1:8" x14ac:dyDescent="0.25">
      <c r="A202" s="41" t="s">
        <v>24</v>
      </c>
      <c r="B202" s="124">
        <f t="shared" si="18"/>
        <v>0.32214765100671139</v>
      </c>
      <c r="C202" s="124">
        <f t="shared" si="18"/>
        <v>0.32214765100671139</v>
      </c>
      <c r="D202" s="124">
        <f t="shared" si="18"/>
        <v>0.35570469798657717</v>
      </c>
      <c r="E202" s="126">
        <f t="shared" si="19"/>
        <v>1</v>
      </c>
      <c r="F202" s="129"/>
      <c r="G202" s="129"/>
      <c r="H202" s="129"/>
    </row>
    <row r="204" spans="1:8" x14ac:dyDescent="0.25">
      <c r="A204" s="1" t="s">
        <v>205</v>
      </c>
    </row>
    <row r="205" spans="1:8" x14ac:dyDescent="0.25">
      <c r="A205" s="87" t="s">
        <v>113</v>
      </c>
      <c r="B205" s="3" t="s">
        <v>107</v>
      </c>
      <c r="C205" s="3" t="s">
        <v>108</v>
      </c>
      <c r="D205" s="3" t="s">
        <v>136</v>
      </c>
      <c r="E205" s="127" t="s">
        <v>161</v>
      </c>
    </row>
    <row r="206" spans="1:8" x14ac:dyDescent="0.25">
      <c r="A206" s="41" t="s">
        <v>25</v>
      </c>
      <c r="B206" s="154">
        <f>$C$132*C$125+$C$133*B193</f>
        <v>0.30914691943127959</v>
      </c>
      <c r="C206" s="154">
        <f>$C$132*C$126+$C$133*C193</f>
        <v>0.31732227488151654</v>
      </c>
      <c r="D206" s="154">
        <f>$C$132*C$127+$C$133*D193</f>
        <v>0.37353080568720376</v>
      </c>
      <c r="E206" s="126">
        <f>SUM(B206:D206)</f>
        <v>0.99999999999999989</v>
      </c>
      <c r="F206" s="129"/>
      <c r="G206" s="129"/>
      <c r="H206" s="129"/>
    </row>
    <row r="207" spans="1:8" x14ac:dyDescent="0.25">
      <c r="A207" s="41" t="s">
        <v>14</v>
      </c>
      <c r="B207" s="154">
        <f t="shared" ref="B207:B214" si="20">$C$132*C$125+$C$133*B194</f>
        <v>0.31723404255319149</v>
      </c>
      <c r="C207" s="154">
        <f t="shared" ref="C207:C215" si="21">$C$132*C$126+$C$133*C194</f>
        <v>0.30943262411347516</v>
      </c>
      <c r="D207" s="154">
        <f t="shared" ref="D207:D215" si="22">$C$132*C$127+$C$133*D194</f>
        <v>0.37333333333333329</v>
      </c>
      <c r="E207" s="126">
        <f t="shared" ref="E207:E215" si="23">SUM(B207:D207)</f>
        <v>1</v>
      </c>
      <c r="F207" s="129"/>
      <c r="G207" s="129"/>
      <c r="H207" s="129"/>
    </row>
    <row r="208" spans="1:8" x14ac:dyDescent="0.25">
      <c r="A208" s="41" t="s">
        <v>15</v>
      </c>
      <c r="B208" s="154">
        <f t="shared" si="20"/>
        <v>0.31473980309423344</v>
      </c>
      <c r="C208" s="154">
        <f t="shared" si="21"/>
        <v>0.30095639943741209</v>
      </c>
      <c r="D208" s="154">
        <f t="shared" si="22"/>
        <v>0.38430379746835441</v>
      </c>
      <c r="E208" s="126">
        <f t="shared" si="23"/>
        <v>0.99999999999999989</v>
      </c>
      <c r="F208" s="129"/>
      <c r="G208" s="129"/>
      <c r="H208" s="129"/>
    </row>
    <row r="209" spans="1:8" x14ac:dyDescent="0.25">
      <c r="A209" s="41" t="s">
        <v>16</v>
      </c>
      <c r="B209" s="154">
        <f t="shared" si="20"/>
        <v>0.32424157303370782</v>
      </c>
      <c r="C209" s="154">
        <f t="shared" si="21"/>
        <v>0.31497191011235959</v>
      </c>
      <c r="D209" s="154">
        <f t="shared" si="22"/>
        <v>0.36078651685393259</v>
      </c>
      <c r="E209" s="126">
        <f t="shared" si="23"/>
        <v>1</v>
      </c>
      <c r="F209" s="129"/>
      <c r="G209" s="129"/>
      <c r="H209" s="129"/>
    </row>
    <row r="210" spans="1:8" x14ac:dyDescent="0.25">
      <c r="A210" s="41" t="s">
        <v>18</v>
      </c>
      <c r="B210" s="154">
        <f t="shared" si="20"/>
        <v>0.32632352941176468</v>
      </c>
      <c r="C210" s="154">
        <f t="shared" si="21"/>
        <v>0.29691176470588232</v>
      </c>
      <c r="D210" s="154">
        <f t="shared" si="22"/>
        <v>0.37676470588235289</v>
      </c>
      <c r="E210" s="126">
        <f t="shared" si="23"/>
        <v>0.99999999999999989</v>
      </c>
      <c r="F210" s="129"/>
      <c r="G210" s="129"/>
      <c r="H210" s="129"/>
    </row>
    <row r="211" spans="1:8" x14ac:dyDescent="0.25">
      <c r="A211" s="41" t="s">
        <v>19</v>
      </c>
      <c r="B211" s="154">
        <f t="shared" si="20"/>
        <v>0.32883720930232557</v>
      </c>
      <c r="C211" s="154">
        <f t="shared" si="21"/>
        <v>0.30837209302325586</v>
      </c>
      <c r="D211" s="154">
        <f t="shared" si="22"/>
        <v>0.36279069767441863</v>
      </c>
      <c r="E211" s="126">
        <f t="shared" si="23"/>
        <v>1</v>
      </c>
      <c r="F211" s="129"/>
      <c r="G211" s="129"/>
      <c r="H211" s="129"/>
    </row>
    <row r="212" spans="1:8" x14ac:dyDescent="0.25">
      <c r="A212" s="41" t="s">
        <v>20</v>
      </c>
      <c r="B212" s="154">
        <f t="shared" si="20"/>
        <v>0.32424157303370782</v>
      </c>
      <c r="C212" s="154">
        <f t="shared" si="21"/>
        <v>0.30570224719101124</v>
      </c>
      <c r="D212" s="154">
        <f t="shared" si="22"/>
        <v>0.37005617977528088</v>
      </c>
      <c r="E212" s="126">
        <f t="shared" si="23"/>
        <v>1</v>
      </c>
      <c r="F212" s="129"/>
      <c r="G212" s="129"/>
      <c r="H212" s="129"/>
    </row>
    <row r="213" spans="1:8" x14ac:dyDescent="0.25">
      <c r="A213" s="41" t="s">
        <v>21</v>
      </c>
      <c r="B213" s="154">
        <f t="shared" si="20"/>
        <v>0.31572241183162686</v>
      </c>
      <c r="C213" s="154">
        <f t="shared" si="21"/>
        <v>0.31583617747440274</v>
      </c>
      <c r="D213" s="154">
        <f t="shared" si="22"/>
        <v>0.36844141069397041</v>
      </c>
      <c r="E213" s="126">
        <f t="shared" si="23"/>
        <v>1</v>
      </c>
      <c r="F213" s="129"/>
      <c r="G213" s="129"/>
      <c r="H213" s="129"/>
    </row>
    <row r="214" spans="1:8" x14ac:dyDescent="0.25">
      <c r="A214" s="41" t="s">
        <v>23</v>
      </c>
      <c r="B214" s="154">
        <f t="shared" si="20"/>
        <v>0.32043645699614887</v>
      </c>
      <c r="C214" s="154">
        <f t="shared" si="21"/>
        <v>0.3074711168164313</v>
      </c>
      <c r="D214" s="154">
        <f t="shared" si="22"/>
        <v>0.37209242618741978</v>
      </c>
      <c r="E214" s="126">
        <f t="shared" si="23"/>
        <v>0.99999999999999989</v>
      </c>
      <c r="F214" s="129"/>
      <c r="G214" s="129"/>
      <c r="H214" s="129"/>
    </row>
    <row r="215" spans="1:8" x14ac:dyDescent="0.25">
      <c r="A215" s="41" t="s">
        <v>24</v>
      </c>
      <c r="B215" s="154">
        <f>$C$132*C$125+$C$133*B202</f>
        <v>0.30885906040268452</v>
      </c>
      <c r="C215" s="154">
        <f t="shared" si="21"/>
        <v>0.30885906040268452</v>
      </c>
      <c r="D215" s="154">
        <f t="shared" si="22"/>
        <v>0.38228187919463086</v>
      </c>
      <c r="E215" s="126">
        <f t="shared" si="23"/>
        <v>0.99999999999999989</v>
      </c>
      <c r="F215" s="129"/>
      <c r="G215" s="129"/>
      <c r="H215" s="129"/>
    </row>
    <row r="217" spans="1:8" x14ac:dyDescent="0.25">
      <c r="A217" s="1" t="s">
        <v>170</v>
      </c>
    </row>
    <row r="218" spans="1:8" x14ac:dyDescent="0.25">
      <c r="A218" s="87" t="s">
        <v>113</v>
      </c>
      <c r="B218" s="87" t="s">
        <v>114</v>
      </c>
      <c r="C218" s="87" t="s">
        <v>115</v>
      </c>
      <c r="D218" s="87" t="s">
        <v>116</v>
      </c>
    </row>
    <row r="219" spans="1:8" x14ac:dyDescent="0.25">
      <c r="A219" s="41" t="s">
        <v>25</v>
      </c>
      <c r="B219" s="2">
        <f t="shared" ref="B219:B228" si="24">J12</f>
        <v>14.15</v>
      </c>
      <c r="C219" s="2">
        <f t="shared" ref="C219:C228" si="25">J42</f>
        <v>12.425000000000001</v>
      </c>
      <c r="D219" s="2">
        <f t="shared" ref="D219:D228" si="26">J72</f>
        <v>11.625</v>
      </c>
    </row>
    <row r="220" spans="1:8" x14ac:dyDescent="0.25">
      <c r="A220" s="41" t="s">
        <v>14</v>
      </c>
      <c r="B220" s="2">
        <f t="shared" si="24"/>
        <v>6.6000000000000005</v>
      </c>
      <c r="C220" s="2">
        <f t="shared" si="25"/>
        <v>8.25</v>
      </c>
      <c r="D220" s="2">
        <f t="shared" si="26"/>
        <v>5.7750000000000004</v>
      </c>
    </row>
    <row r="221" spans="1:8" x14ac:dyDescent="0.25">
      <c r="A221" s="41" t="s">
        <v>15</v>
      </c>
      <c r="B221" s="2">
        <f t="shared" si="24"/>
        <v>9.9</v>
      </c>
      <c r="C221" s="2">
        <f t="shared" si="25"/>
        <v>15.75</v>
      </c>
      <c r="D221" s="2">
        <f t="shared" si="26"/>
        <v>11.600000000000001</v>
      </c>
    </row>
    <row r="222" spans="1:8" x14ac:dyDescent="0.25">
      <c r="A222" s="41" t="s">
        <v>16</v>
      </c>
      <c r="B222" s="2">
        <f t="shared" si="24"/>
        <v>12.450000000000001</v>
      </c>
      <c r="C222" s="2">
        <f t="shared" si="25"/>
        <v>14.1</v>
      </c>
      <c r="D222" s="2">
        <f t="shared" si="26"/>
        <v>8.2750000000000004</v>
      </c>
    </row>
    <row r="223" spans="1:8" x14ac:dyDescent="0.25">
      <c r="A223" s="41" t="s">
        <v>18</v>
      </c>
      <c r="B223" s="2">
        <f t="shared" si="24"/>
        <v>10.75</v>
      </c>
      <c r="C223" s="2">
        <f t="shared" si="25"/>
        <v>15.75</v>
      </c>
      <c r="D223" s="2">
        <f t="shared" si="26"/>
        <v>9.125</v>
      </c>
    </row>
    <row r="224" spans="1:8" x14ac:dyDescent="0.25">
      <c r="A224" s="41" t="s">
        <v>19</v>
      </c>
      <c r="B224" s="2">
        <f t="shared" si="24"/>
        <v>10.8</v>
      </c>
      <c r="C224" s="2">
        <f t="shared" si="25"/>
        <v>14.1</v>
      </c>
      <c r="D224" s="2">
        <f t="shared" si="26"/>
        <v>6.6</v>
      </c>
    </row>
    <row r="225" spans="1:5" x14ac:dyDescent="0.25">
      <c r="A225" s="41" t="s">
        <v>20</v>
      </c>
      <c r="B225" s="2">
        <f t="shared" si="24"/>
        <v>10.8</v>
      </c>
      <c r="C225" s="2">
        <f t="shared" si="25"/>
        <v>14.1</v>
      </c>
      <c r="D225" s="2">
        <f t="shared" si="26"/>
        <v>8.2750000000000004</v>
      </c>
    </row>
    <row r="226" spans="1:5" x14ac:dyDescent="0.25">
      <c r="A226" s="41" t="s">
        <v>21</v>
      </c>
      <c r="B226" s="2">
        <f t="shared" si="24"/>
        <v>12.45</v>
      </c>
      <c r="C226" s="2">
        <f t="shared" si="25"/>
        <v>12.425000000000001</v>
      </c>
      <c r="D226" s="2">
        <f t="shared" si="26"/>
        <v>10.8</v>
      </c>
    </row>
    <row r="227" spans="1:5" x14ac:dyDescent="0.25">
      <c r="A227" s="41" t="s">
        <v>23</v>
      </c>
      <c r="B227" s="2">
        <f t="shared" si="24"/>
        <v>10.75</v>
      </c>
      <c r="C227" s="2">
        <f t="shared" si="25"/>
        <v>13.275</v>
      </c>
      <c r="D227" s="2">
        <f t="shared" si="26"/>
        <v>9.125</v>
      </c>
    </row>
    <row r="228" spans="1:5" x14ac:dyDescent="0.25">
      <c r="A228" s="41" t="s">
        <v>24</v>
      </c>
      <c r="B228" s="2">
        <f t="shared" si="24"/>
        <v>8.2750000000000004</v>
      </c>
      <c r="C228" s="2">
        <f t="shared" si="25"/>
        <v>13.275</v>
      </c>
      <c r="D228" s="2">
        <f t="shared" si="26"/>
        <v>10.775</v>
      </c>
    </row>
    <row r="230" spans="1:5" x14ac:dyDescent="0.25">
      <c r="A230" s="1" t="s">
        <v>171</v>
      </c>
    </row>
    <row r="231" spans="1:5" ht="75" x14ac:dyDescent="0.25">
      <c r="A231" s="87" t="s">
        <v>113</v>
      </c>
      <c r="B231" s="87" t="s">
        <v>165</v>
      </c>
      <c r="C231" s="87" t="s">
        <v>166</v>
      </c>
      <c r="D231" s="87" t="s">
        <v>167</v>
      </c>
      <c r="E231" s="87" t="s">
        <v>172</v>
      </c>
    </row>
    <row r="232" spans="1:5" x14ac:dyDescent="0.25">
      <c r="A232" s="41" t="s">
        <v>25</v>
      </c>
      <c r="B232" s="130">
        <f>B206*B219</f>
        <v>4.3744289099526066</v>
      </c>
      <c r="C232" s="130">
        <f t="shared" ref="C232:D232" si="27">C206*C219</f>
        <v>3.9427292654028432</v>
      </c>
      <c r="D232" s="130">
        <f t="shared" si="27"/>
        <v>4.342295616113744</v>
      </c>
      <c r="E232" s="130">
        <f>B232+C232+D232</f>
        <v>12.659453791469193</v>
      </c>
    </row>
    <row r="233" spans="1:5" x14ac:dyDescent="0.25">
      <c r="A233" s="41" t="s">
        <v>14</v>
      </c>
      <c r="B233" s="130">
        <f t="shared" ref="B233:D241" si="28">B207*B220</f>
        <v>2.093744680851064</v>
      </c>
      <c r="C233" s="130">
        <f t="shared" si="28"/>
        <v>2.55281914893617</v>
      </c>
      <c r="D233" s="130">
        <f t="shared" si="28"/>
        <v>2.1559999999999997</v>
      </c>
      <c r="E233" s="130">
        <f t="shared" ref="E233:E241" si="29">B233+C233+D233</f>
        <v>6.8025638297872337</v>
      </c>
    </row>
    <row r="234" spans="1:5" x14ac:dyDescent="0.25">
      <c r="A234" s="41" t="s">
        <v>15</v>
      </c>
      <c r="B234" s="130">
        <f t="shared" si="28"/>
        <v>3.1159240506329113</v>
      </c>
      <c r="C234" s="130">
        <f t="shared" si="28"/>
        <v>4.7400632911392409</v>
      </c>
      <c r="D234" s="130">
        <f t="shared" si="28"/>
        <v>4.4579240506329114</v>
      </c>
      <c r="E234" s="130">
        <f t="shared" si="29"/>
        <v>12.313911392405064</v>
      </c>
    </row>
    <row r="235" spans="1:5" x14ac:dyDescent="0.25">
      <c r="A235" s="41" t="s">
        <v>16</v>
      </c>
      <c r="B235" s="130">
        <f t="shared" si="28"/>
        <v>4.0368075842696625</v>
      </c>
      <c r="C235" s="130">
        <f t="shared" si="28"/>
        <v>4.4411039325842703</v>
      </c>
      <c r="D235" s="130">
        <f t="shared" si="28"/>
        <v>2.9855084269662924</v>
      </c>
      <c r="E235" s="130">
        <f t="shared" si="29"/>
        <v>11.463419943820226</v>
      </c>
    </row>
    <row r="236" spans="1:5" x14ac:dyDescent="0.25">
      <c r="A236" s="41" t="s">
        <v>18</v>
      </c>
      <c r="B236" s="130">
        <f t="shared" si="28"/>
        <v>3.5079779411764704</v>
      </c>
      <c r="C236" s="130">
        <f t="shared" si="28"/>
        <v>4.6763602941176465</v>
      </c>
      <c r="D236" s="130">
        <f t="shared" si="28"/>
        <v>3.4379779411764702</v>
      </c>
      <c r="E236" s="130">
        <f t="shared" si="29"/>
        <v>11.622316176470587</v>
      </c>
    </row>
    <row r="237" spans="1:5" x14ac:dyDescent="0.25">
      <c r="A237" s="41" t="s">
        <v>19</v>
      </c>
      <c r="B237" s="130">
        <f t="shared" si="28"/>
        <v>3.5514418604651166</v>
      </c>
      <c r="C237" s="130">
        <f t="shared" si="28"/>
        <v>4.3480465116279072</v>
      </c>
      <c r="D237" s="130">
        <f t="shared" si="28"/>
        <v>2.3944186046511629</v>
      </c>
      <c r="E237" s="130">
        <f t="shared" si="29"/>
        <v>10.293906976744186</v>
      </c>
    </row>
    <row r="238" spans="1:5" x14ac:dyDescent="0.25">
      <c r="A238" s="41" t="s">
        <v>20</v>
      </c>
      <c r="B238" s="130">
        <f t="shared" si="28"/>
        <v>3.5018089887640449</v>
      </c>
      <c r="C238" s="130">
        <f t="shared" si="28"/>
        <v>4.3104016853932583</v>
      </c>
      <c r="D238" s="130">
        <f t="shared" si="28"/>
        <v>3.0622148876404496</v>
      </c>
      <c r="E238" s="130">
        <f t="shared" si="29"/>
        <v>10.874425561797752</v>
      </c>
    </row>
    <row r="239" spans="1:5" x14ac:dyDescent="0.25">
      <c r="A239" s="41" t="s">
        <v>21</v>
      </c>
      <c r="B239" s="130">
        <f t="shared" si="28"/>
        <v>3.9307440273037542</v>
      </c>
      <c r="C239" s="130">
        <f t="shared" si="28"/>
        <v>3.9242645051194542</v>
      </c>
      <c r="D239" s="130">
        <f t="shared" si="28"/>
        <v>3.9791672354948808</v>
      </c>
      <c r="E239" s="130">
        <f t="shared" si="29"/>
        <v>11.83417576791809</v>
      </c>
    </row>
    <row r="240" spans="1:5" x14ac:dyDescent="0.25">
      <c r="A240" s="41" t="s">
        <v>23</v>
      </c>
      <c r="B240" s="130">
        <f t="shared" si="28"/>
        <v>3.4446919127086004</v>
      </c>
      <c r="C240" s="130">
        <f t="shared" si="28"/>
        <v>4.0816790757381254</v>
      </c>
      <c r="D240" s="130">
        <f t="shared" si="28"/>
        <v>3.3953433889602054</v>
      </c>
      <c r="E240" s="130">
        <f t="shared" si="29"/>
        <v>10.92171437740693</v>
      </c>
    </row>
    <row r="241" spans="1:5" x14ac:dyDescent="0.25">
      <c r="A241" s="41" t="s">
        <v>24</v>
      </c>
      <c r="B241" s="130">
        <f t="shared" si="28"/>
        <v>2.5558087248322146</v>
      </c>
      <c r="C241" s="130">
        <f t="shared" si="28"/>
        <v>4.1001040268456368</v>
      </c>
      <c r="D241" s="130">
        <f t="shared" si="28"/>
        <v>4.1190872483221472</v>
      </c>
      <c r="E241" s="130">
        <f t="shared" si="29"/>
        <v>10.774999999999999</v>
      </c>
    </row>
    <row r="243" spans="1:5" x14ac:dyDescent="0.25">
      <c r="A243" s="1" t="s">
        <v>174</v>
      </c>
    </row>
    <row r="244" spans="1:5" ht="30" x14ac:dyDescent="0.25">
      <c r="A244" s="87" t="s">
        <v>113</v>
      </c>
      <c r="B244" s="87" t="s">
        <v>172</v>
      </c>
      <c r="C244" t="s">
        <v>207</v>
      </c>
      <c r="D244" t="s">
        <v>208</v>
      </c>
    </row>
    <row r="245" spans="1:5" x14ac:dyDescent="0.25">
      <c r="A245" s="41" t="s">
        <v>25</v>
      </c>
      <c r="B245" s="130">
        <v>12.659453791469193</v>
      </c>
      <c r="C245" s="130">
        <v>12.67773870234074</v>
      </c>
      <c r="D245" s="130">
        <v>12.65945379146919</v>
      </c>
    </row>
    <row r="246" spans="1:5" x14ac:dyDescent="0.25">
      <c r="A246" s="41" t="s">
        <v>15</v>
      </c>
      <c r="B246" s="130">
        <v>12.313911392405064</v>
      </c>
      <c r="C246" s="130">
        <v>12.319369394929994</v>
      </c>
      <c r="D246" s="130">
        <v>12.31391139240506</v>
      </c>
    </row>
    <row r="247" spans="1:5" x14ac:dyDescent="0.25">
      <c r="A247" s="41" t="s">
        <v>21</v>
      </c>
      <c r="B247" s="130">
        <v>11.83417576791809</v>
      </c>
      <c r="C247" s="130">
        <v>11.86352418264635</v>
      </c>
      <c r="D247" s="130">
        <v>11.83417576791809</v>
      </c>
    </row>
    <row r="248" spans="1:5" x14ac:dyDescent="0.25">
      <c r="A248" s="41" t="s">
        <v>18</v>
      </c>
      <c r="B248" s="130">
        <v>11.622316176470587</v>
      </c>
      <c r="C248" s="130">
        <v>11.656913693599162</v>
      </c>
      <c r="D248" s="130">
        <v>11.622316176470591</v>
      </c>
    </row>
    <row r="249" spans="1:5" x14ac:dyDescent="0.25">
      <c r="A249" s="41" t="s">
        <v>16</v>
      </c>
      <c r="B249" s="130">
        <v>11.463419943820226</v>
      </c>
      <c r="C249" s="130">
        <v>11.586481595460414</v>
      </c>
      <c r="D249" s="130">
        <v>11.463419943820231</v>
      </c>
    </row>
    <row r="250" spans="1:5" x14ac:dyDescent="0.25">
      <c r="A250" s="41" t="s">
        <v>23</v>
      </c>
      <c r="B250" s="130">
        <v>10.92171437740693</v>
      </c>
      <c r="C250" s="130">
        <v>10.957194855926748</v>
      </c>
      <c r="D250" s="130">
        <v>10.92171437740693</v>
      </c>
    </row>
    <row r="251" spans="1:5" x14ac:dyDescent="0.25">
      <c r="A251" s="41" t="s">
        <v>20</v>
      </c>
      <c r="B251" s="130">
        <v>10.874425561797752</v>
      </c>
      <c r="C251" s="130">
        <v>10.940344509006392</v>
      </c>
      <c r="D251" s="130">
        <v>10.87442556179775</v>
      </c>
    </row>
    <row r="252" spans="1:5" x14ac:dyDescent="0.25">
      <c r="A252" s="41" t="s">
        <v>24</v>
      </c>
      <c r="B252" s="130">
        <v>10.774999999999999</v>
      </c>
      <c r="C252" s="130">
        <v>10.78987555113917</v>
      </c>
      <c r="D252" s="130">
        <v>10.775</v>
      </c>
    </row>
    <row r="253" spans="1:5" x14ac:dyDescent="0.25">
      <c r="A253" s="41" t="s">
        <v>19</v>
      </c>
      <c r="B253" s="130">
        <v>10.293906976744186</v>
      </c>
      <c r="C253" s="130">
        <v>10.449163356822549</v>
      </c>
      <c r="D253" s="130">
        <v>10.293906976744189</v>
      </c>
    </row>
    <row r="254" spans="1:5" x14ac:dyDescent="0.25">
      <c r="A254" s="41" t="s">
        <v>14</v>
      </c>
      <c r="B254" s="130">
        <v>6.8025638297872337</v>
      </c>
      <c r="C254" s="130">
        <v>6.8145000000000007</v>
      </c>
      <c r="D254" s="130">
        <v>6.8025638297872337</v>
      </c>
    </row>
  </sheetData>
  <sortState xmlns:xlrd2="http://schemas.microsoft.com/office/spreadsheetml/2017/richdata2" ref="A245:B254">
    <sortCondition descending="1" ref="B245:B254"/>
  </sortState>
  <mergeCells count="20">
    <mergeCell ref="A3:E3"/>
    <mergeCell ref="A10:A11"/>
    <mergeCell ref="B10:B11"/>
    <mergeCell ref="C10:C11"/>
    <mergeCell ref="D10:F10"/>
    <mergeCell ref="A5:E5"/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</mergeCells>
  <hyperlinks>
    <hyperlink ref="B2" r:id="rId1" xr:uid="{B6DE5B33-CCC0-4E23-8C99-4E373EBF2A4D}"/>
    <hyperlink ref="B4" r:id="rId2" xr:uid="{FEFE0259-DAAA-42AA-BFAB-2670F7F7F362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J306"/>
  <sheetViews>
    <sheetView tabSelected="1" topLeftCell="A282" zoomScaleNormal="100" workbookViewId="0">
      <selection activeCell="B297" sqref="B297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7" max="7" width="16.5703125" customWidth="1"/>
    <col min="10" max="10" width="17.85546875" customWidth="1"/>
  </cols>
  <sheetData>
    <row r="1" spans="1:10" x14ac:dyDescent="0.25">
      <c r="A1" s="1" t="s">
        <v>36</v>
      </c>
      <c r="B1" s="37"/>
      <c r="C1" s="37"/>
    </row>
    <row r="2" spans="1:10" x14ac:dyDescent="0.25">
      <c r="A2" s="1" t="s">
        <v>37</v>
      </c>
      <c r="B2" s="40" t="s">
        <v>38</v>
      </c>
      <c r="C2" s="37"/>
    </row>
    <row r="3" spans="1:10" ht="30" customHeight="1" x14ac:dyDescent="0.25">
      <c r="A3" s="226" t="s">
        <v>230</v>
      </c>
      <c r="B3" s="227"/>
      <c r="C3" s="227"/>
      <c r="D3" s="228"/>
      <c r="E3" s="228"/>
    </row>
    <row r="4" spans="1:10" ht="15.75" x14ac:dyDescent="0.25">
      <c r="A4" s="147" t="s">
        <v>186</v>
      </c>
      <c r="B4" s="148" t="s">
        <v>190</v>
      </c>
      <c r="C4" s="38"/>
    </row>
    <row r="5" spans="1:10" ht="15" customHeight="1" x14ac:dyDescent="0.25">
      <c r="A5" s="226" t="s">
        <v>229</v>
      </c>
      <c r="B5" s="227"/>
      <c r="C5" s="227"/>
      <c r="D5" s="228"/>
      <c r="E5" s="228"/>
    </row>
    <row r="6" spans="1:10" ht="15.75" x14ac:dyDescent="0.25">
      <c r="A6" s="82"/>
      <c r="B6" s="38"/>
      <c r="C6" s="38"/>
    </row>
    <row r="7" spans="1:10" ht="18.75" x14ac:dyDescent="0.3">
      <c r="A7" s="85" t="s">
        <v>91</v>
      </c>
      <c r="B7" s="38"/>
      <c r="C7" s="38"/>
    </row>
    <row r="8" spans="1:10" x14ac:dyDescent="0.25">
      <c r="A8" s="1" t="s">
        <v>49</v>
      </c>
      <c r="B8" s="38"/>
      <c r="C8" s="38"/>
    </row>
    <row r="9" spans="1:10" x14ac:dyDescent="0.25">
      <c r="A9" s="39" t="s">
        <v>94</v>
      </c>
      <c r="B9" s="38"/>
      <c r="C9" s="38"/>
    </row>
    <row r="10" spans="1:10" ht="75.75" customHeight="1" x14ac:dyDescent="0.25">
      <c r="A10" s="222" t="s">
        <v>26</v>
      </c>
      <c r="B10" s="222" t="s">
        <v>27</v>
      </c>
      <c r="C10" s="222" t="s">
        <v>28</v>
      </c>
      <c r="D10" s="222" t="s">
        <v>58</v>
      </c>
      <c r="E10" s="222"/>
      <c r="F10" s="222"/>
      <c r="G10" s="222" t="s">
        <v>59</v>
      </c>
      <c r="H10" s="222"/>
      <c r="I10" s="222"/>
      <c r="J10" s="222" t="s">
        <v>54</v>
      </c>
    </row>
    <row r="11" spans="1:10" s="36" customFormat="1" ht="18" customHeight="1" x14ac:dyDescent="0.25">
      <c r="A11" s="222"/>
      <c r="B11" s="222"/>
      <c r="C11" s="222"/>
      <c r="D11" s="46" t="s">
        <v>50</v>
      </c>
      <c r="E11" s="46" t="s">
        <v>51</v>
      </c>
      <c r="F11" s="46" t="s">
        <v>52</v>
      </c>
      <c r="G11" s="46" t="s">
        <v>50</v>
      </c>
      <c r="H11" s="46" t="s">
        <v>51</v>
      </c>
      <c r="I11" s="46" t="s">
        <v>52</v>
      </c>
      <c r="J11" s="222"/>
    </row>
    <row r="12" spans="1:10" ht="30" x14ac:dyDescent="0.25">
      <c r="A12" s="41" t="s">
        <v>0</v>
      </c>
      <c r="B12" s="41" t="s">
        <v>25</v>
      </c>
      <c r="C12" s="42" t="s">
        <v>13</v>
      </c>
      <c r="D12" s="92" t="s">
        <v>44</v>
      </c>
      <c r="E12" s="92" t="s">
        <v>45</v>
      </c>
      <c r="F12" s="92" t="s">
        <v>44</v>
      </c>
      <c r="G12" s="49">
        <f>IF(D12=$A$25,$B$25,(IF(D12=$A$26,$B$26,IF(D12=$A$27,$B$27,$B$28))))</f>
        <v>1</v>
      </c>
      <c r="H12" s="49">
        <f t="shared" ref="H12:I21" si="0">IF(E12=$A$25,$B$25,(IF(E12=$A$26,$B$26,IF(E12=$A$27,$B$27,$B$28))))</f>
        <v>0.66</v>
      </c>
      <c r="I12" s="49">
        <f t="shared" si="0"/>
        <v>1</v>
      </c>
      <c r="J12" s="2">
        <f>G12*$D$32+H12*$D$33+I12*$D$34</f>
        <v>14.15</v>
      </c>
    </row>
    <row r="13" spans="1:10" x14ac:dyDescent="0.25">
      <c r="A13" s="41" t="s">
        <v>1</v>
      </c>
      <c r="B13" s="41" t="s">
        <v>14</v>
      </c>
      <c r="C13" s="42" t="s">
        <v>29</v>
      </c>
      <c r="D13" s="92" t="s">
        <v>46</v>
      </c>
      <c r="E13" s="92" t="s">
        <v>46</v>
      </c>
      <c r="F13" s="92" t="s">
        <v>45</v>
      </c>
      <c r="G13" s="49">
        <f>IF(D13=$A$25,$B$25,(IF(D13=$A$26,$B$26,IF(D13=$A$27,$B$27,$B$28))))</f>
        <v>0.33</v>
      </c>
      <c r="H13" s="49">
        <f t="shared" si="0"/>
        <v>0.33</v>
      </c>
      <c r="I13" s="49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41" t="s">
        <v>2</v>
      </c>
      <c r="B14" s="41" t="s">
        <v>15</v>
      </c>
      <c r="C14" s="42" t="s">
        <v>30</v>
      </c>
      <c r="D14" s="92" t="s">
        <v>45</v>
      </c>
      <c r="E14" s="92" t="s">
        <v>45</v>
      </c>
      <c r="F14" s="92" t="s">
        <v>45</v>
      </c>
      <c r="G14" s="49">
        <f t="shared" ref="G14:G21" si="2">IF(D14=$A$25,$B$25,(IF(D14=$A$26,$B$26,IF(D14=$A$27,$B$27,$B$28))))</f>
        <v>0.66</v>
      </c>
      <c r="H14" s="49">
        <f t="shared" si="0"/>
        <v>0.66</v>
      </c>
      <c r="I14" s="49">
        <f t="shared" si="0"/>
        <v>0.66</v>
      </c>
      <c r="J14" s="2">
        <f t="shared" si="1"/>
        <v>9.9</v>
      </c>
    </row>
    <row r="15" spans="1:10" x14ac:dyDescent="0.25">
      <c r="A15" s="41" t="s">
        <v>6</v>
      </c>
      <c r="B15" s="41" t="s">
        <v>16</v>
      </c>
      <c r="C15" s="42" t="s">
        <v>17</v>
      </c>
      <c r="D15" s="92" t="s">
        <v>44</v>
      </c>
      <c r="E15" s="92" t="s">
        <v>45</v>
      </c>
      <c r="F15" s="92" t="s">
        <v>45</v>
      </c>
      <c r="G15" s="49">
        <f t="shared" si="2"/>
        <v>1</v>
      </c>
      <c r="H15" s="49">
        <f t="shared" si="0"/>
        <v>0.66</v>
      </c>
      <c r="I15" s="49">
        <f t="shared" si="0"/>
        <v>0.66</v>
      </c>
      <c r="J15" s="2">
        <f t="shared" si="1"/>
        <v>12.450000000000001</v>
      </c>
    </row>
    <row r="16" spans="1:10" ht="30" x14ac:dyDescent="0.25">
      <c r="A16" s="41" t="s">
        <v>7</v>
      </c>
      <c r="B16" s="41" t="s">
        <v>18</v>
      </c>
      <c r="C16" s="42" t="s">
        <v>31</v>
      </c>
      <c r="D16" s="92" t="s">
        <v>45</v>
      </c>
      <c r="E16" s="92" t="s">
        <v>44</v>
      </c>
      <c r="F16" s="92" t="s">
        <v>45</v>
      </c>
      <c r="G16" s="49">
        <f t="shared" si="2"/>
        <v>0.66</v>
      </c>
      <c r="H16" s="49">
        <f t="shared" si="0"/>
        <v>1</v>
      </c>
      <c r="I16" s="49">
        <f t="shared" si="0"/>
        <v>0.66</v>
      </c>
      <c r="J16" s="2">
        <f t="shared" si="1"/>
        <v>10.75</v>
      </c>
    </row>
    <row r="17" spans="1:10" x14ac:dyDescent="0.25">
      <c r="A17" s="41" t="s">
        <v>8</v>
      </c>
      <c r="B17" s="41" t="s">
        <v>19</v>
      </c>
      <c r="C17" s="42" t="s">
        <v>32</v>
      </c>
      <c r="D17" s="92" t="s">
        <v>44</v>
      </c>
      <c r="E17" s="92" t="s">
        <v>45</v>
      </c>
      <c r="F17" s="92" t="s">
        <v>46</v>
      </c>
      <c r="G17" s="49">
        <f t="shared" si="2"/>
        <v>1</v>
      </c>
      <c r="H17" s="49">
        <f t="shared" si="0"/>
        <v>0.66</v>
      </c>
      <c r="I17" s="49">
        <f t="shared" si="0"/>
        <v>0.33</v>
      </c>
      <c r="J17" s="2">
        <f t="shared" si="1"/>
        <v>10.8</v>
      </c>
    </row>
    <row r="18" spans="1:10" ht="30" x14ac:dyDescent="0.25">
      <c r="A18" s="41" t="s">
        <v>9</v>
      </c>
      <c r="B18" s="41" t="s">
        <v>20</v>
      </c>
      <c r="C18" s="42" t="s">
        <v>33</v>
      </c>
      <c r="D18" s="92" t="s">
        <v>44</v>
      </c>
      <c r="E18" s="92" t="s">
        <v>45</v>
      </c>
      <c r="F18" s="92" t="s">
        <v>46</v>
      </c>
      <c r="G18" s="49">
        <f t="shared" si="2"/>
        <v>1</v>
      </c>
      <c r="H18" s="49">
        <f t="shared" si="0"/>
        <v>0.66</v>
      </c>
      <c r="I18" s="49">
        <f t="shared" si="0"/>
        <v>0.33</v>
      </c>
      <c r="J18" s="2">
        <f t="shared" si="1"/>
        <v>10.8</v>
      </c>
    </row>
    <row r="19" spans="1:10" ht="30" x14ac:dyDescent="0.25">
      <c r="A19" s="41" t="s">
        <v>10</v>
      </c>
      <c r="B19" s="41" t="s">
        <v>21</v>
      </c>
      <c r="C19" s="42" t="s">
        <v>22</v>
      </c>
      <c r="D19" s="92" t="s">
        <v>45</v>
      </c>
      <c r="E19" s="92" t="s">
        <v>44</v>
      </c>
      <c r="F19" s="92" t="s">
        <v>44</v>
      </c>
      <c r="G19" s="49">
        <f t="shared" si="2"/>
        <v>0.66</v>
      </c>
      <c r="H19" s="49">
        <f t="shared" si="0"/>
        <v>1</v>
      </c>
      <c r="I19" s="49">
        <f t="shared" si="0"/>
        <v>1</v>
      </c>
      <c r="J19" s="2">
        <f t="shared" si="1"/>
        <v>12.45</v>
      </c>
    </row>
    <row r="20" spans="1:10" ht="35.25" customHeight="1" x14ac:dyDescent="0.25">
      <c r="A20" s="41" t="s">
        <v>11</v>
      </c>
      <c r="B20" s="41" t="s">
        <v>23</v>
      </c>
      <c r="C20" s="42" t="s">
        <v>34</v>
      </c>
      <c r="D20" s="92" t="s">
        <v>45</v>
      </c>
      <c r="E20" s="92" t="s">
        <v>44</v>
      </c>
      <c r="F20" s="92" t="s">
        <v>45</v>
      </c>
      <c r="G20" s="49">
        <f t="shared" si="2"/>
        <v>0.66</v>
      </c>
      <c r="H20" s="49">
        <f t="shared" si="0"/>
        <v>1</v>
      </c>
      <c r="I20" s="49">
        <f t="shared" si="0"/>
        <v>0.66</v>
      </c>
      <c r="J20" s="2">
        <f t="shared" si="1"/>
        <v>10.75</v>
      </c>
    </row>
    <row r="21" spans="1:10" ht="30" x14ac:dyDescent="0.25">
      <c r="A21" s="41" t="s">
        <v>12</v>
      </c>
      <c r="B21" s="41" t="s">
        <v>24</v>
      </c>
      <c r="C21" s="42" t="s">
        <v>35</v>
      </c>
      <c r="D21" s="92" t="s">
        <v>46</v>
      </c>
      <c r="E21" s="92" t="s">
        <v>44</v>
      </c>
      <c r="F21" s="92" t="s">
        <v>45</v>
      </c>
      <c r="G21" s="49">
        <f t="shared" si="2"/>
        <v>0.33</v>
      </c>
      <c r="H21" s="49">
        <f t="shared" si="0"/>
        <v>1</v>
      </c>
      <c r="I21" s="49">
        <f t="shared" si="0"/>
        <v>0.66</v>
      </c>
      <c r="J21" s="2">
        <f t="shared" si="1"/>
        <v>8.2750000000000004</v>
      </c>
    </row>
    <row r="23" spans="1:10" x14ac:dyDescent="0.25">
      <c r="A23" s="39" t="s">
        <v>95</v>
      </c>
    </row>
    <row r="24" spans="1:10" x14ac:dyDescent="0.25">
      <c r="A24" s="46" t="s">
        <v>43</v>
      </c>
      <c r="B24" s="47" t="s">
        <v>55</v>
      </c>
      <c r="C24" s="47" t="s">
        <v>56</v>
      </c>
    </row>
    <row r="25" spans="1:10" x14ac:dyDescent="0.25">
      <c r="A25" s="41" t="s">
        <v>44</v>
      </c>
      <c r="B25" s="2">
        <v>1</v>
      </c>
      <c r="C25" s="2">
        <v>7.5</v>
      </c>
    </row>
    <row r="26" spans="1:10" x14ac:dyDescent="0.25">
      <c r="A26" s="41" t="s">
        <v>45</v>
      </c>
      <c r="B26" s="2">
        <v>0.66</v>
      </c>
      <c r="C26" s="2">
        <v>5</v>
      </c>
    </row>
    <row r="27" spans="1:10" x14ac:dyDescent="0.25">
      <c r="A27" s="41" t="s">
        <v>46</v>
      </c>
      <c r="B27" s="2">
        <v>0.33</v>
      </c>
      <c r="C27" s="2">
        <v>2.5</v>
      </c>
    </row>
    <row r="28" spans="1:10" x14ac:dyDescent="0.25">
      <c r="A28" s="41" t="s">
        <v>47</v>
      </c>
      <c r="B28" s="2">
        <v>0</v>
      </c>
      <c r="C28" s="2">
        <v>1</v>
      </c>
    </row>
    <row r="30" spans="1:10" x14ac:dyDescent="0.25">
      <c r="A30" s="39" t="s">
        <v>96</v>
      </c>
    </row>
    <row r="31" spans="1:10" ht="30.75" thickBot="1" x14ac:dyDescent="0.3">
      <c r="A31" s="46" t="s">
        <v>53</v>
      </c>
      <c r="B31" s="47" t="s">
        <v>39</v>
      </c>
      <c r="C31" s="46" t="s">
        <v>48</v>
      </c>
      <c r="D31" s="48" t="s">
        <v>105</v>
      </c>
    </row>
    <row r="32" spans="1:10" x14ac:dyDescent="0.25">
      <c r="A32" s="64" t="s">
        <v>50</v>
      </c>
      <c r="B32" s="43" t="s">
        <v>40</v>
      </c>
      <c r="C32" s="2" t="s">
        <v>44</v>
      </c>
      <c r="D32" s="86">
        <v>7.5</v>
      </c>
    </row>
    <row r="33" spans="1:10" x14ac:dyDescent="0.25">
      <c r="A33" s="65" t="s">
        <v>51</v>
      </c>
      <c r="B33" s="43" t="s">
        <v>41</v>
      </c>
      <c r="C33" s="2" t="s">
        <v>46</v>
      </c>
      <c r="D33" s="86">
        <v>2.5</v>
      </c>
    </row>
    <row r="34" spans="1:10" ht="15.75" thickBot="1" x14ac:dyDescent="0.3">
      <c r="A34" s="66" t="s">
        <v>52</v>
      </c>
      <c r="B34" s="43" t="s">
        <v>42</v>
      </c>
      <c r="C34" s="2" t="s">
        <v>45</v>
      </c>
      <c r="D34" s="86">
        <v>5</v>
      </c>
    </row>
    <row r="37" spans="1:10" ht="18.75" x14ac:dyDescent="0.3">
      <c r="A37" s="85" t="s">
        <v>92</v>
      </c>
      <c r="B37" s="38"/>
      <c r="C37" s="38"/>
    </row>
    <row r="38" spans="1:10" x14ac:dyDescent="0.25">
      <c r="A38" s="1" t="s">
        <v>49</v>
      </c>
      <c r="B38" s="38"/>
      <c r="C38" s="38"/>
    </row>
    <row r="39" spans="1:10" x14ac:dyDescent="0.25">
      <c r="A39" s="39" t="s">
        <v>97</v>
      </c>
      <c r="B39" s="38"/>
      <c r="C39" s="38"/>
    </row>
    <row r="40" spans="1:10" ht="75.75" customHeight="1" x14ac:dyDescent="0.25">
      <c r="A40" s="222" t="s">
        <v>26</v>
      </c>
      <c r="B40" s="222" t="s">
        <v>27</v>
      </c>
      <c r="C40" s="222" t="s">
        <v>28</v>
      </c>
      <c r="D40" s="222" t="s">
        <v>58</v>
      </c>
      <c r="E40" s="222"/>
      <c r="F40" s="222"/>
      <c r="G40" s="222" t="s">
        <v>59</v>
      </c>
      <c r="H40" s="222"/>
      <c r="I40" s="222"/>
      <c r="J40" s="222" t="s">
        <v>54</v>
      </c>
    </row>
    <row r="41" spans="1:10" s="36" customFormat="1" ht="18" customHeight="1" x14ac:dyDescent="0.25">
      <c r="A41" s="222"/>
      <c r="B41" s="222"/>
      <c r="C41" s="222"/>
      <c r="D41" s="46" t="s">
        <v>50</v>
      </c>
      <c r="E41" s="46" t="s">
        <v>51</v>
      </c>
      <c r="F41" s="46" t="s">
        <v>52</v>
      </c>
      <c r="G41" s="46" t="s">
        <v>50</v>
      </c>
      <c r="H41" s="46" t="s">
        <v>51</v>
      </c>
      <c r="I41" s="46" t="s">
        <v>52</v>
      </c>
      <c r="J41" s="222"/>
    </row>
    <row r="42" spans="1:10" ht="30" x14ac:dyDescent="0.25">
      <c r="A42" s="41" t="s">
        <v>0</v>
      </c>
      <c r="B42" s="41" t="s">
        <v>25</v>
      </c>
      <c r="C42" s="42" t="s">
        <v>13</v>
      </c>
      <c r="D42" s="92" t="s">
        <v>46</v>
      </c>
      <c r="E42" s="92" t="s">
        <v>45</v>
      </c>
      <c r="F42" s="92" t="s">
        <v>44</v>
      </c>
      <c r="G42" s="49">
        <f>IF(D42=$A$25,$B$25,(IF(D42=$A$26,$B$26,IF(D42=$A$27,$B$27,$B$28))))</f>
        <v>0.33</v>
      </c>
      <c r="H42" s="49">
        <f t="shared" ref="H42:I51" si="3">IF(E42=$A$25,$B$25,(IF(E42=$A$26,$B$26,IF(E42=$A$27,$B$27,$B$28))))</f>
        <v>0.66</v>
      </c>
      <c r="I42" s="49">
        <f t="shared" si="3"/>
        <v>1</v>
      </c>
      <c r="J42" s="2">
        <f>G42*$D$62+H42*$D$63+I42*$D$64</f>
        <v>12.425000000000001</v>
      </c>
    </row>
    <row r="43" spans="1:10" x14ac:dyDescent="0.25">
      <c r="A43" s="41" t="s">
        <v>1</v>
      </c>
      <c r="B43" s="41" t="s">
        <v>14</v>
      </c>
      <c r="C43" s="42" t="s">
        <v>29</v>
      </c>
      <c r="D43" s="92" t="s">
        <v>46</v>
      </c>
      <c r="E43" s="92" t="s">
        <v>46</v>
      </c>
      <c r="F43" s="92" t="s">
        <v>45</v>
      </c>
      <c r="G43" s="49">
        <f>IF(D43=$A$25,$B$25,(IF(D43=$A$26,$B$26,IF(D43=$A$27,$B$27,$B$28))))</f>
        <v>0.33</v>
      </c>
      <c r="H43" s="49">
        <f t="shared" si="3"/>
        <v>0.33</v>
      </c>
      <c r="I43" s="49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41" t="s">
        <v>2</v>
      </c>
      <c r="B44" s="41" t="s">
        <v>15</v>
      </c>
      <c r="C44" s="42" t="s">
        <v>30</v>
      </c>
      <c r="D44" s="92" t="s">
        <v>45</v>
      </c>
      <c r="E44" s="92" t="s">
        <v>44</v>
      </c>
      <c r="F44" s="92" t="s">
        <v>45</v>
      </c>
      <c r="G44" s="49">
        <f t="shared" ref="G44:G51" si="5">IF(D44=$A$25,$B$25,(IF(D44=$A$26,$B$26,IF(D44=$A$27,$B$27,$B$28))))</f>
        <v>0.66</v>
      </c>
      <c r="H44" s="49">
        <f t="shared" si="3"/>
        <v>1</v>
      </c>
      <c r="I44" s="49">
        <f t="shared" si="3"/>
        <v>0.66</v>
      </c>
      <c r="J44" s="2">
        <f t="shared" si="4"/>
        <v>15.75</v>
      </c>
    </row>
    <row r="45" spans="1:10" x14ac:dyDescent="0.25">
      <c r="A45" s="41" t="s">
        <v>6</v>
      </c>
      <c r="B45" s="41" t="s">
        <v>16</v>
      </c>
      <c r="C45" s="42" t="s">
        <v>17</v>
      </c>
      <c r="D45" s="92" t="s">
        <v>44</v>
      </c>
      <c r="E45" s="92" t="s">
        <v>45</v>
      </c>
      <c r="F45" s="92" t="s">
        <v>46</v>
      </c>
      <c r="G45" s="49">
        <f t="shared" si="5"/>
        <v>1</v>
      </c>
      <c r="H45" s="49">
        <f t="shared" si="3"/>
        <v>0.66</v>
      </c>
      <c r="I45" s="49">
        <f t="shared" si="3"/>
        <v>0.33</v>
      </c>
      <c r="J45" s="2">
        <f t="shared" si="4"/>
        <v>14.1</v>
      </c>
    </row>
    <row r="46" spans="1:10" ht="30" x14ac:dyDescent="0.25">
      <c r="A46" s="41" t="s">
        <v>7</v>
      </c>
      <c r="B46" s="41" t="s">
        <v>18</v>
      </c>
      <c r="C46" s="42" t="s">
        <v>31</v>
      </c>
      <c r="D46" s="92" t="s">
        <v>45</v>
      </c>
      <c r="E46" s="92" t="s">
        <v>44</v>
      </c>
      <c r="F46" s="92" t="s">
        <v>45</v>
      </c>
      <c r="G46" s="49">
        <f t="shared" si="5"/>
        <v>0.66</v>
      </c>
      <c r="H46" s="49">
        <f t="shared" si="3"/>
        <v>1</v>
      </c>
      <c r="I46" s="49">
        <f t="shared" si="3"/>
        <v>0.66</v>
      </c>
      <c r="J46" s="2">
        <f t="shared" si="4"/>
        <v>15.75</v>
      </c>
    </row>
    <row r="47" spans="1:10" x14ac:dyDescent="0.25">
      <c r="A47" s="41" t="s">
        <v>8</v>
      </c>
      <c r="B47" s="41" t="s">
        <v>19</v>
      </c>
      <c r="C47" s="42" t="s">
        <v>32</v>
      </c>
      <c r="D47" s="92" t="s">
        <v>44</v>
      </c>
      <c r="E47" s="92" t="s">
        <v>45</v>
      </c>
      <c r="F47" s="92" t="s">
        <v>46</v>
      </c>
      <c r="G47" s="49">
        <f t="shared" si="5"/>
        <v>1</v>
      </c>
      <c r="H47" s="49">
        <f t="shared" si="3"/>
        <v>0.66</v>
      </c>
      <c r="I47" s="49">
        <f t="shared" si="3"/>
        <v>0.33</v>
      </c>
      <c r="J47" s="2">
        <f t="shared" si="4"/>
        <v>14.1</v>
      </c>
    </row>
    <row r="48" spans="1:10" ht="30" x14ac:dyDescent="0.25">
      <c r="A48" s="41" t="s">
        <v>9</v>
      </c>
      <c r="B48" s="41" t="s">
        <v>20</v>
      </c>
      <c r="C48" s="42" t="s">
        <v>33</v>
      </c>
      <c r="D48" s="92" t="s">
        <v>44</v>
      </c>
      <c r="E48" s="92" t="s">
        <v>45</v>
      </c>
      <c r="F48" s="92" t="s">
        <v>46</v>
      </c>
      <c r="G48" s="49">
        <f t="shared" si="5"/>
        <v>1</v>
      </c>
      <c r="H48" s="49">
        <f t="shared" si="3"/>
        <v>0.66</v>
      </c>
      <c r="I48" s="49">
        <f t="shared" si="3"/>
        <v>0.33</v>
      </c>
      <c r="J48" s="2">
        <f t="shared" si="4"/>
        <v>14.1</v>
      </c>
    </row>
    <row r="49" spans="1:10" ht="30" x14ac:dyDescent="0.25">
      <c r="A49" s="41" t="s">
        <v>10</v>
      </c>
      <c r="B49" s="41" t="s">
        <v>21</v>
      </c>
      <c r="C49" s="42" t="s">
        <v>22</v>
      </c>
      <c r="D49" s="92" t="s">
        <v>45</v>
      </c>
      <c r="E49" s="92" t="s">
        <v>46</v>
      </c>
      <c r="F49" s="92" t="s">
        <v>44</v>
      </c>
      <c r="G49" s="49">
        <f>IF(D49=$A$25,$B$25,(IF(D49=$A$26,$B$26,IF(D49=$A$27,$B$27,$B$28))))</f>
        <v>0.66</v>
      </c>
      <c r="H49" s="49">
        <f t="shared" si="3"/>
        <v>0.33</v>
      </c>
      <c r="I49" s="49">
        <f t="shared" si="3"/>
        <v>1</v>
      </c>
      <c r="J49" s="2">
        <f t="shared" si="4"/>
        <v>12.425000000000001</v>
      </c>
    </row>
    <row r="50" spans="1:10" ht="35.25" customHeight="1" x14ac:dyDescent="0.25">
      <c r="A50" s="41" t="s">
        <v>11</v>
      </c>
      <c r="B50" s="41" t="s">
        <v>23</v>
      </c>
      <c r="C50" s="42" t="s">
        <v>34</v>
      </c>
      <c r="D50" s="92" t="s">
        <v>46</v>
      </c>
      <c r="E50" s="92" t="s">
        <v>44</v>
      </c>
      <c r="F50" s="92" t="s">
        <v>45</v>
      </c>
      <c r="G50" s="49">
        <f t="shared" si="5"/>
        <v>0.33</v>
      </c>
      <c r="H50" s="49">
        <f t="shared" si="3"/>
        <v>1</v>
      </c>
      <c r="I50" s="49">
        <f t="shared" si="3"/>
        <v>0.66</v>
      </c>
      <c r="J50" s="2">
        <f t="shared" si="4"/>
        <v>13.275</v>
      </c>
    </row>
    <row r="51" spans="1:10" ht="30" x14ac:dyDescent="0.25">
      <c r="A51" s="41" t="s">
        <v>12</v>
      </c>
      <c r="B51" s="41" t="s">
        <v>24</v>
      </c>
      <c r="C51" s="42" t="s">
        <v>35</v>
      </c>
      <c r="D51" s="92" t="s">
        <v>46</v>
      </c>
      <c r="E51" s="92" t="s">
        <v>44</v>
      </c>
      <c r="F51" s="92" t="s">
        <v>45</v>
      </c>
      <c r="G51" s="49">
        <f t="shared" si="5"/>
        <v>0.33</v>
      </c>
      <c r="H51" s="49">
        <f t="shared" si="3"/>
        <v>1</v>
      </c>
      <c r="I51" s="49">
        <f t="shared" si="3"/>
        <v>0.66</v>
      </c>
      <c r="J51" s="2">
        <f t="shared" si="4"/>
        <v>13.275</v>
      </c>
    </row>
    <row r="53" spans="1:10" x14ac:dyDescent="0.25">
      <c r="A53" s="39" t="s">
        <v>98</v>
      </c>
    </row>
    <row r="54" spans="1:10" x14ac:dyDescent="0.25">
      <c r="A54" s="46" t="s">
        <v>43</v>
      </c>
      <c r="B54" s="47" t="s">
        <v>55</v>
      </c>
      <c r="C54" s="47" t="s">
        <v>56</v>
      </c>
    </row>
    <row r="55" spans="1:10" x14ac:dyDescent="0.25">
      <c r="A55" s="41" t="s">
        <v>44</v>
      </c>
      <c r="B55" s="2">
        <v>1</v>
      </c>
      <c r="C55" s="2">
        <v>7.5</v>
      </c>
    </row>
    <row r="56" spans="1:10" x14ac:dyDescent="0.25">
      <c r="A56" s="41" t="s">
        <v>45</v>
      </c>
      <c r="B56" s="2">
        <v>0.66</v>
      </c>
      <c r="C56" s="2">
        <v>5</v>
      </c>
    </row>
    <row r="57" spans="1:10" x14ac:dyDescent="0.25">
      <c r="A57" s="41" t="s">
        <v>46</v>
      </c>
      <c r="B57" s="2">
        <v>0.33</v>
      </c>
      <c r="C57" s="2">
        <v>2.5</v>
      </c>
    </row>
    <row r="58" spans="1:10" x14ac:dyDescent="0.25">
      <c r="A58" s="41" t="s">
        <v>47</v>
      </c>
      <c r="B58" s="2">
        <v>0</v>
      </c>
      <c r="C58" s="2">
        <v>1</v>
      </c>
    </row>
    <row r="60" spans="1:10" x14ac:dyDescent="0.25">
      <c r="A60" s="39" t="s">
        <v>99</v>
      </c>
    </row>
    <row r="61" spans="1:10" ht="30.75" thickBot="1" x14ac:dyDescent="0.3">
      <c r="A61" s="46" t="s">
        <v>53</v>
      </c>
      <c r="B61" s="47" t="s">
        <v>39</v>
      </c>
      <c r="C61" s="46" t="s">
        <v>48</v>
      </c>
      <c r="D61" s="48" t="s">
        <v>104</v>
      </c>
    </row>
    <row r="62" spans="1:10" x14ac:dyDescent="0.25">
      <c r="A62" s="64" t="s">
        <v>50</v>
      </c>
      <c r="B62" s="43" t="s">
        <v>40</v>
      </c>
      <c r="C62" s="2" t="s">
        <v>44</v>
      </c>
      <c r="D62" s="86">
        <v>7.5</v>
      </c>
    </row>
    <row r="63" spans="1:10" x14ac:dyDescent="0.25">
      <c r="A63" s="65" t="s">
        <v>51</v>
      </c>
      <c r="B63" s="43" t="s">
        <v>41</v>
      </c>
      <c r="C63" s="2" t="s">
        <v>44</v>
      </c>
      <c r="D63" s="86">
        <v>7.5</v>
      </c>
    </row>
    <row r="64" spans="1:10" ht="15.75" thickBot="1" x14ac:dyDescent="0.3">
      <c r="A64" s="66" t="s">
        <v>52</v>
      </c>
      <c r="B64" s="43" t="s">
        <v>42</v>
      </c>
      <c r="C64" s="2" t="s">
        <v>45</v>
      </c>
      <c r="D64" s="86">
        <v>5</v>
      </c>
    </row>
    <row r="67" spans="1:10" ht="18.75" x14ac:dyDescent="0.3">
      <c r="A67" s="85" t="s">
        <v>93</v>
      </c>
      <c r="B67" s="38"/>
      <c r="C67" s="38"/>
    </row>
    <row r="68" spans="1:10" x14ac:dyDescent="0.25">
      <c r="A68" s="1" t="s">
        <v>49</v>
      </c>
      <c r="B68" s="38"/>
      <c r="C68" s="38"/>
    </row>
    <row r="69" spans="1:10" x14ac:dyDescent="0.25">
      <c r="A69" s="39" t="s">
        <v>100</v>
      </c>
      <c r="B69" s="38"/>
      <c r="C69" s="38"/>
    </row>
    <row r="70" spans="1:10" ht="90.75" customHeight="1" x14ac:dyDescent="0.25">
      <c r="A70" s="222" t="s">
        <v>26</v>
      </c>
      <c r="B70" s="222" t="s">
        <v>27</v>
      </c>
      <c r="C70" s="222" t="s">
        <v>28</v>
      </c>
      <c r="D70" s="222" t="s">
        <v>58</v>
      </c>
      <c r="E70" s="222"/>
      <c r="F70" s="222"/>
      <c r="G70" s="222" t="s">
        <v>59</v>
      </c>
      <c r="H70" s="222"/>
      <c r="I70" s="222"/>
      <c r="J70" s="222" t="s">
        <v>54</v>
      </c>
    </row>
    <row r="71" spans="1:10" x14ac:dyDescent="0.25">
      <c r="A71" s="222"/>
      <c r="B71" s="222"/>
      <c r="C71" s="222"/>
      <c r="D71" s="46" t="s">
        <v>50</v>
      </c>
      <c r="E71" s="46" t="s">
        <v>51</v>
      </c>
      <c r="F71" s="46" t="s">
        <v>52</v>
      </c>
      <c r="G71" s="46" t="s">
        <v>50</v>
      </c>
      <c r="H71" s="46" t="s">
        <v>51</v>
      </c>
      <c r="I71" s="46" t="s">
        <v>52</v>
      </c>
      <c r="J71" s="222"/>
    </row>
    <row r="72" spans="1:10" ht="30" x14ac:dyDescent="0.25">
      <c r="A72" s="41" t="s">
        <v>0</v>
      </c>
      <c r="B72" s="41" t="s">
        <v>25</v>
      </c>
      <c r="C72" s="42" t="s">
        <v>13</v>
      </c>
      <c r="D72" s="92" t="s">
        <v>46</v>
      </c>
      <c r="E72" s="92" t="s">
        <v>45</v>
      </c>
      <c r="F72" s="92" t="s">
        <v>44</v>
      </c>
      <c r="G72" s="49">
        <f>IF(D72=$A$25,$B$25,(IF(D72=$A$26,$B$26,IF(D72=$A$27,$B$27,$B$28))))</f>
        <v>0.33</v>
      </c>
      <c r="H72" s="49">
        <f t="shared" ref="H72:I81" si="6">IF(E72=$A$25,$B$25,(IF(E72=$A$26,$B$26,IF(E72=$A$27,$B$27,$B$28))))</f>
        <v>0.66</v>
      </c>
      <c r="I72" s="49">
        <f t="shared" si="6"/>
        <v>1</v>
      </c>
      <c r="J72" s="2">
        <f>G72*$D$92+H72*$D$93+I72*$D$94</f>
        <v>11.625</v>
      </c>
    </row>
    <row r="73" spans="1:10" x14ac:dyDescent="0.25">
      <c r="A73" s="41" t="s">
        <v>1</v>
      </c>
      <c r="B73" s="41" t="s">
        <v>14</v>
      </c>
      <c r="C73" s="42" t="s">
        <v>29</v>
      </c>
      <c r="D73" s="92" t="s">
        <v>45</v>
      </c>
      <c r="E73" s="92" t="s">
        <v>46</v>
      </c>
      <c r="F73" s="92" t="s">
        <v>46</v>
      </c>
      <c r="G73" s="49">
        <f>IF(D73=$A$25,$B$25,(IF(D73=$A$26,$B$26,IF(D73=$A$27,$B$27,$B$28))))</f>
        <v>0.66</v>
      </c>
      <c r="H73" s="49">
        <f t="shared" si="6"/>
        <v>0.33</v>
      </c>
      <c r="I73" s="49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41" t="s">
        <v>2</v>
      </c>
      <c r="B74" s="41" t="s">
        <v>15</v>
      </c>
      <c r="C74" s="42" t="s">
        <v>30</v>
      </c>
      <c r="D74" s="92" t="s">
        <v>45</v>
      </c>
      <c r="E74" s="92" t="s">
        <v>44</v>
      </c>
      <c r="F74" s="92" t="s">
        <v>45</v>
      </c>
      <c r="G74" s="49">
        <f t="shared" ref="G74:G78" si="8">IF(D74=$A$25,$B$25,(IF(D74=$A$26,$B$26,IF(D74=$A$27,$B$27,$B$28))))</f>
        <v>0.66</v>
      </c>
      <c r="H74" s="49">
        <f t="shared" si="6"/>
        <v>1</v>
      </c>
      <c r="I74" s="49">
        <f t="shared" si="6"/>
        <v>0.66</v>
      </c>
      <c r="J74" s="2">
        <f t="shared" si="7"/>
        <v>11.600000000000001</v>
      </c>
    </row>
    <row r="75" spans="1:10" x14ac:dyDescent="0.25">
      <c r="A75" s="41" t="s">
        <v>6</v>
      </c>
      <c r="B75" s="41" t="s">
        <v>16</v>
      </c>
      <c r="C75" s="42" t="s">
        <v>17</v>
      </c>
      <c r="D75" s="92" t="s">
        <v>44</v>
      </c>
      <c r="E75" s="92" t="s">
        <v>45</v>
      </c>
      <c r="F75" s="92" t="s">
        <v>46</v>
      </c>
      <c r="G75" s="49">
        <f t="shared" si="8"/>
        <v>1</v>
      </c>
      <c r="H75" s="49">
        <f t="shared" si="6"/>
        <v>0.66</v>
      </c>
      <c r="I75" s="49">
        <f t="shared" si="6"/>
        <v>0.33</v>
      </c>
      <c r="J75" s="2">
        <f t="shared" si="7"/>
        <v>8.2750000000000004</v>
      </c>
    </row>
    <row r="76" spans="1:10" ht="30" x14ac:dyDescent="0.25">
      <c r="A76" s="41" t="s">
        <v>7</v>
      </c>
      <c r="B76" s="41" t="s">
        <v>18</v>
      </c>
      <c r="C76" s="42" t="s">
        <v>31</v>
      </c>
      <c r="D76" s="92" t="s">
        <v>45</v>
      </c>
      <c r="E76" s="92" t="s">
        <v>44</v>
      </c>
      <c r="F76" s="92" t="s">
        <v>46</v>
      </c>
      <c r="G76" s="49">
        <f t="shared" si="8"/>
        <v>0.66</v>
      </c>
      <c r="H76" s="49">
        <f t="shared" si="6"/>
        <v>1</v>
      </c>
      <c r="I76" s="49">
        <f t="shared" si="6"/>
        <v>0.33</v>
      </c>
      <c r="J76" s="2">
        <f t="shared" si="7"/>
        <v>9.125</v>
      </c>
    </row>
    <row r="77" spans="1:10" x14ac:dyDescent="0.25">
      <c r="A77" s="41" t="s">
        <v>8</v>
      </c>
      <c r="B77" s="41" t="s">
        <v>19</v>
      </c>
      <c r="C77" s="42" t="s">
        <v>32</v>
      </c>
      <c r="D77" s="92" t="s">
        <v>46</v>
      </c>
      <c r="E77" s="92" t="s">
        <v>45</v>
      </c>
      <c r="F77" s="92" t="s">
        <v>46</v>
      </c>
      <c r="G77" s="49">
        <f t="shared" si="8"/>
        <v>0.33</v>
      </c>
      <c r="H77" s="49">
        <f t="shared" si="6"/>
        <v>0.66</v>
      </c>
      <c r="I77" s="49">
        <f t="shared" si="6"/>
        <v>0.33</v>
      </c>
      <c r="J77" s="2">
        <f t="shared" si="7"/>
        <v>6.6</v>
      </c>
    </row>
    <row r="78" spans="1:10" ht="30" x14ac:dyDescent="0.25">
      <c r="A78" s="41" t="s">
        <v>9</v>
      </c>
      <c r="B78" s="41" t="s">
        <v>20</v>
      </c>
      <c r="C78" s="42" t="s">
        <v>33</v>
      </c>
      <c r="D78" s="92" t="s">
        <v>44</v>
      </c>
      <c r="E78" s="92" t="s">
        <v>45</v>
      </c>
      <c r="F78" s="92" t="s">
        <v>46</v>
      </c>
      <c r="G78" s="49">
        <f t="shared" si="8"/>
        <v>1</v>
      </c>
      <c r="H78" s="49">
        <f t="shared" si="6"/>
        <v>0.66</v>
      </c>
      <c r="I78" s="49">
        <f t="shared" si="6"/>
        <v>0.33</v>
      </c>
      <c r="J78" s="2">
        <f t="shared" si="7"/>
        <v>8.2750000000000004</v>
      </c>
    </row>
    <row r="79" spans="1:10" ht="30" x14ac:dyDescent="0.25">
      <c r="A79" s="41" t="s">
        <v>10</v>
      </c>
      <c r="B79" s="41" t="s">
        <v>21</v>
      </c>
      <c r="C79" s="42" t="s">
        <v>22</v>
      </c>
      <c r="D79" s="92" t="s">
        <v>45</v>
      </c>
      <c r="E79" s="92" t="s">
        <v>46</v>
      </c>
      <c r="F79" s="92" t="s">
        <v>44</v>
      </c>
      <c r="G79" s="49">
        <f>IF(D79=$A$25,$B$25,(IF(D79=$A$26,$B$26,IF(D79=$A$27,$B$27,$B$28))))</f>
        <v>0.66</v>
      </c>
      <c r="H79" s="49">
        <f t="shared" si="6"/>
        <v>0.33</v>
      </c>
      <c r="I79" s="49">
        <f t="shared" si="6"/>
        <v>1</v>
      </c>
      <c r="J79" s="2">
        <f t="shared" si="7"/>
        <v>10.8</v>
      </c>
    </row>
    <row r="80" spans="1:10" ht="30" x14ac:dyDescent="0.25">
      <c r="A80" s="41" t="s">
        <v>11</v>
      </c>
      <c r="B80" s="41" t="s">
        <v>23</v>
      </c>
      <c r="C80" s="42" t="s">
        <v>34</v>
      </c>
      <c r="D80" s="92" t="s">
        <v>45</v>
      </c>
      <c r="E80" s="92" t="s">
        <v>44</v>
      </c>
      <c r="F80" s="92" t="s">
        <v>46</v>
      </c>
      <c r="G80" s="49">
        <f t="shared" ref="G80:G81" si="9">IF(D80=$A$25,$B$25,(IF(D80=$A$26,$B$26,IF(D80=$A$27,$B$27,$B$28))))</f>
        <v>0.66</v>
      </c>
      <c r="H80" s="49">
        <f t="shared" si="6"/>
        <v>1</v>
      </c>
      <c r="I80" s="49">
        <f t="shared" si="6"/>
        <v>0.33</v>
      </c>
      <c r="J80" s="2">
        <f t="shared" si="7"/>
        <v>9.125</v>
      </c>
    </row>
    <row r="81" spans="1:10" ht="30" x14ac:dyDescent="0.25">
      <c r="A81" s="41" t="s">
        <v>12</v>
      </c>
      <c r="B81" s="41" t="s">
        <v>24</v>
      </c>
      <c r="C81" s="42" t="s">
        <v>35</v>
      </c>
      <c r="D81" s="92" t="s">
        <v>46</v>
      </c>
      <c r="E81" s="92" t="s">
        <v>44</v>
      </c>
      <c r="F81" s="92" t="s">
        <v>45</v>
      </c>
      <c r="G81" s="49">
        <f t="shared" si="9"/>
        <v>0.33</v>
      </c>
      <c r="H81" s="49">
        <f t="shared" si="6"/>
        <v>1</v>
      </c>
      <c r="I81" s="49">
        <f t="shared" si="6"/>
        <v>0.66</v>
      </c>
      <c r="J81" s="2">
        <f t="shared" si="7"/>
        <v>10.775</v>
      </c>
    </row>
    <row r="83" spans="1:10" x14ac:dyDescent="0.25">
      <c r="A83" s="39" t="s">
        <v>101</v>
      </c>
    </row>
    <row r="84" spans="1:10" x14ac:dyDescent="0.25">
      <c r="A84" s="46" t="s">
        <v>43</v>
      </c>
      <c r="B84" s="47" t="s">
        <v>55</v>
      </c>
      <c r="C84" s="47" t="s">
        <v>56</v>
      </c>
    </row>
    <row r="85" spans="1:10" x14ac:dyDescent="0.25">
      <c r="A85" s="41" t="s">
        <v>44</v>
      </c>
      <c r="B85" s="2">
        <v>1</v>
      </c>
      <c r="C85" s="2">
        <v>7.5</v>
      </c>
    </row>
    <row r="86" spans="1:10" x14ac:dyDescent="0.25">
      <c r="A86" s="41" t="s">
        <v>45</v>
      </c>
      <c r="B86" s="2">
        <v>0.66</v>
      </c>
      <c r="C86" s="2">
        <v>5</v>
      </c>
    </row>
    <row r="87" spans="1:10" x14ac:dyDescent="0.25">
      <c r="A87" s="41" t="s">
        <v>46</v>
      </c>
      <c r="B87" s="2">
        <v>0.33</v>
      </c>
      <c r="C87" s="2">
        <v>2.5</v>
      </c>
    </row>
    <row r="88" spans="1:10" x14ac:dyDescent="0.25">
      <c r="A88" s="41" t="s">
        <v>47</v>
      </c>
      <c r="B88" s="2">
        <v>0</v>
      </c>
      <c r="C88" s="2">
        <v>1</v>
      </c>
    </row>
    <row r="90" spans="1:10" x14ac:dyDescent="0.25">
      <c r="A90" s="39" t="s">
        <v>102</v>
      </c>
    </row>
    <row r="91" spans="1:10" ht="30.75" thickBot="1" x14ac:dyDescent="0.3">
      <c r="A91" s="46" t="s">
        <v>53</v>
      </c>
      <c r="B91" s="47" t="s">
        <v>39</v>
      </c>
      <c r="C91" s="46" t="s">
        <v>48</v>
      </c>
      <c r="D91" s="48" t="s">
        <v>103</v>
      </c>
    </row>
    <row r="92" spans="1:10" x14ac:dyDescent="0.25">
      <c r="A92" s="64" t="s">
        <v>50</v>
      </c>
      <c r="B92" s="43" t="s">
        <v>40</v>
      </c>
      <c r="C92" s="2" t="s">
        <v>46</v>
      </c>
      <c r="D92" s="86">
        <f>C87</f>
        <v>2.5</v>
      </c>
    </row>
    <row r="93" spans="1:10" x14ac:dyDescent="0.25">
      <c r="A93" s="65" t="s">
        <v>51</v>
      </c>
      <c r="B93" s="43" t="s">
        <v>41</v>
      </c>
      <c r="C93" s="2" t="s">
        <v>45</v>
      </c>
      <c r="D93" s="86">
        <f>C86</f>
        <v>5</v>
      </c>
    </row>
    <row r="94" spans="1:10" ht="15.75" thickBot="1" x14ac:dyDescent="0.3">
      <c r="A94" s="66" t="s">
        <v>52</v>
      </c>
      <c r="B94" s="43" t="s">
        <v>42</v>
      </c>
      <c r="C94" s="2" t="s">
        <v>44</v>
      </c>
      <c r="D94" s="86">
        <f>C85</f>
        <v>7.5</v>
      </c>
    </row>
    <row r="96" spans="1:10" x14ac:dyDescent="0.25">
      <c r="A96" s="1" t="s">
        <v>200</v>
      </c>
    </row>
    <row r="97" spans="1:4" x14ac:dyDescent="0.25">
      <c r="A97" s="87" t="s">
        <v>113</v>
      </c>
      <c r="B97" s="87" t="s">
        <v>114</v>
      </c>
      <c r="C97" s="87" t="s">
        <v>115</v>
      </c>
      <c r="D97" s="87" t="s">
        <v>116</v>
      </c>
    </row>
    <row r="98" spans="1:4" x14ac:dyDescent="0.25">
      <c r="A98" s="41" t="s">
        <v>25</v>
      </c>
      <c r="B98" s="2">
        <f>J12</f>
        <v>14.15</v>
      </c>
      <c r="C98" s="2">
        <f>J42</f>
        <v>12.425000000000001</v>
      </c>
      <c r="D98" s="2">
        <f>J72</f>
        <v>11.625</v>
      </c>
    </row>
    <row r="99" spans="1:4" x14ac:dyDescent="0.25">
      <c r="A99" s="41" t="s">
        <v>14</v>
      </c>
      <c r="B99" s="2">
        <f t="shared" ref="B99:B107" si="10">J13</f>
        <v>6.6000000000000005</v>
      </c>
      <c r="C99" s="2">
        <f t="shared" ref="C99:C107" si="11">J43</f>
        <v>8.25</v>
      </c>
      <c r="D99" s="2">
        <f t="shared" ref="D99:D107" si="12">J73</f>
        <v>5.7750000000000004</v>
      </c>
    </row>
    <row r="100" spans="1:4" x14ac:dyDescent="0.25">
      <c r="A100" s="41" t="s">
        <v>15</v>
      </c>
      <c r="B100" s="2">
        <f t="shared" si="10"/>
        <v>9.9</v>
      </c>
      <c r="C100" s="2">
        <f t="shared" si="11"/>
        <v>15.75</v>
      </c>
      <c r="D100" s="2">
        <f t="shared" si="12"/>
        <v>11.600000000000001</v>
      </c>
    </row>
    <row r="101" spans="1:4" x14ac:dyDescent="0.25">
      <c r="A101" s="41" t="s">
        <v>16</v>
      </c>
      <c r="B101" s="2">
        <f t="shared" si="10"/>
        <v>12.450000000000001</v>
      </c>
      <c r="C101" s="2">
        <f t="shared" si="11"/>
        <v>14.1</v>
      </c>
      <c r="D101" s="2">
        <f t="shared" si="12"/>
        <v>8.2750000000000004</v>
      </c>
    </row>
    <row r="102" spans="1:4" x14ac:dyDescent="0.25">
      <c r="A102" s="41" t="s">
        <v>18</v>
      </c>
      <c r="B102" s="2">
        <f t="shared" si="10"/>
        <v>10.75</v>
      </c>
      <c r="C102" s="2">
        <f t="shared" si="11"/>
        <v>15.75</v>
      </c>
      <c r="D102" s="2">
        <f t="shared" si="12"/>
        <v>9.125</v>
      </c>
    </row>
    <row r="103" spans="1:4" x14ac:dyDescent="0.25">
      <c r="A103" s="41" t="s">
        <v>19</v>
      </c>
      <c r="B103" s="2">
        <f t="shared" si="10"/>
        <v>10.8</v>
      </c>
      <c r="C103" s="2">
        <f t="shared" si="11"/>
        <v>14.1</v>
      </c>
      <c r="D103" s="2">
        <f t="shared" si="12"/>
        <v>6.6</v>
      </c>
    </row>
    <row r="104" spans="1:4" x14ac:dyDescent="0.25">
      <c r="A104" s="41" t="s">
        <v>20</v>
      </c>
      <c r="B104" s="2">
        <f t="shared" si="10"/>
        <v>10.8</v>
      </c>
      <c r="C104" s="2">
        <f t="shared" si="11"/>
        <v>14.1</v>
      </c>
      <c r="D104" s="2">
        <f t="shared" si="12"/>
        <v>8.2750000000000004</v>
      </c>
    </row>
    <row r="105" spans="1:4" x14ac:dyDescent="0.25">
      <c r="A105" s="41" t="s">
        <v>21</v>
      </c>
      <c r="B105" s="2">
        <f t="shared" si="10"/>
        <v>12.45</v>
      </c>
      <c r="C105" s="2">
        <f t="shared" si="11"/>
        <v>12.425000000000001</v>
      </c>
      <c r="D105" s="2">
        <f t="shared" si="12"/>
        <v>10.8</v>
      </c>
    </row>
    <row r="106" spans="1:4" x14ac:dyDescent="0.25">
      <c r="A106" s="41" t="s">
        <v>23</v>
      </c>
      <c r="B106" s="2">
        <f t="shared" si="10"/>
        <v>10.75</v>
      </c>
      <c r="C106" s="2">
        <f t="shared" si="11"/>
        <v>13.275</v>
      </c>
      <c r="D106" s="2">
        <f t="shared" si="12"/>
        <v>9.125</v>
      </c>
    </row>
    <row r="107" spans="1:4" x14ac:dyDescent="0.25">
      <c r="A107" s="41" t="s">
        <v>24</v>
      </c>
      <c r="B107" s="2">
        <f t="shared" si="10"/>
        <v>8.2750000000000004</v>
      </c>
      <c r="C107" s="2">
        <f t="shared" si="11"/>
        <v>13.275</v>
      </c>
      <c r="D107" s="2">
        <f t="shared" si="12"/>
        <v>10.775</v>
      </c>
    </row>
    <row r="109" spans="1:4" x14ac:dyDescent="0.25">
      <c r="A109" s="1" t="s">
        <v>213</v>
      </c>
    </row>
    <row r="110" spans="1:4" s="36" customFormat="1" ht="45" x14ac:dyDescent="0.25">
      <c r="A110" s="87" t="s">
        <v>106</v>
      </c>
      <c r="B110" s="87" t="s">
        <v>156</v>
      </c>
      <c r="C110" s="87" t="s">
        <v>155</v>
      </c>
    </row>
    <row r="111" spans="1:4" x14ac:dyDescent="0.25">
      <c r="A111" s="2" t="s">
        <v>107</v>
      </c>
      <c r="B111" s="2">
        <v>0.75</v>
      </c>
      <c r="C111" s="2">
        <f t="shared" ref="C111:C113" si="13">B111/B$114</f>
        <v>0.3</v>
      </c>
    </row>
    <row r="112" spans="1:4" x14ac:dyDescent="0.25">
      <c r="A112" s="2" t="s">
        <v>108</v>
      </c>
      <c r="B112" s="2">
        <v>0.75</v>
      </c>
      <c r="C112" s="2">
        <f t="shared" si="13"/>
        <v>0.3</v>
      </c>
    </row>
    <row r="113" spans="1:7" x14ac:dyDescent="0.25">
      <c r="A113" s="2" t="s">
        <v>136</v>
      </c>
      <c r="B113" s="2">
        <v>1</v>
      </c>
      <c r="C113" s="2">
        <f t="shared" si="13"/>
        <v>0.4</v>
      </c>
    </row>
    <row r="114" spans="1:7" x14ac:dyDescent="0.25">
      <c r="A114" s="3" t="s">
        <v>154</v>
      </c>
      <c r="B114" s="3">
        <f t="shared" ref="B114:C114" si="14">SUM(B111:B113)</f>
        <v>2.5</v>
      </c>
      <c r="C114" s="3">
        <f t="shared" si="14"/>
        <v>1</v>
      </c>
    </row>
    <row r="115" spans="1:7" x14ac:dyDescent="0.25">
      <c r="A115" s="1"/>
      <c r="B115" s="1"/>
      <c r="C115" s="1"/>
      <c r="D115" s="1"/>
      <c r="E115" s="1"/>
    </row>
    <row r="116" spans="1:7" ht="15.75" thickBot="1" x14ac:dyDescent="0.3">
      <c r="A116" s="1" t="s">
        <v>175</v>
      </c>
      <c r="C116" s="1"/>
      <c r="D116" s="1"/>
      <c r="E116" s="1"/>
    </row>
    <row r="117" spans="1:7" x14ac:dyDescent="0.25">
      <c r="A117" s="151" t="s">
        <v>179</v>
      </c>
      <c r="B117" s="152" t="s">
        <v>176</v>
      </c>
      <c r="C117" s="1"/>
      <c r="D117" s="1"/>
      <c r="E117" s="1"/>
    </row>
    <row r="118" spans="1:7" ht="15.75" thickBot="1" x14ac:dyDescent="0.3">
      <c r="A118" s="132" t="s">
        <v>210</v>
      </c>
      <c r="B118" s="63">
        <v>0.4</v>
      </c>
      <c r="C118" s="1"/>
      <c r="D118" s="1"/>
      <c r="E118" s="1"/>
    </row>
    <row r="120" spans="1:7" x14ac:dyDescent="0.25">
      <c r="A120" s="167" t="s">
        <v>215</v>
      </c>
    </row>
    <row r="121" spans="1:7" x14ac:dyDescent="0.25">
      <c r="A121" s="123" t="s">
        <v>25</v>
      </c>
      <c r="B121" s="125">
        <f>ABS(B98-B98)/ABS(MAX($B$98:$D$98)-MIN($B$98:$D$98))</f>
        <v>0</v>
      </c>
      <c r="C121" s="125">
        <f>ABS(B98-C98)/ABS(MAX($B$98:$D$98)-MIN($B$98:$D$98))</f>
        <v>0.68316831683168289</v>
      </c>
      <c r="D121" s="125">
        <f>ABS(B98-D98)/ABS(MAX($B$98:$D$98)-MIN($B$98:$D$98))</f>
        <v>1</v>
      </c>
      <c r="E121" s="164"/>
      <c r="F121" s="164"/>
      <c r="G121" s="164"/>
    </row>
    <row r="122" spans="1:7" x14ac:dyDescent="0.25">
      <c r="B122" s="125">
        <f>ABS(C98-B98)/ABS(MAX($B$98:$D$98)-MIN($B$98:$D$98))</f>
        <v>0.68316831683168289</v>
      </c>
      <c r="C122" s="125">
        <f>ABS(C98-C98)/ABS(MAX($B$98:$D$98)-MIN($B$98:$D$98))</f>
        <v>0</v>
      </c>
      <c r="D122" s="125">
        <f>ABS(C98-D98)/ABS(MAX($B$98:$D$98)-MIN($B$98:$D$98))</f>
        <v>0.31683168316831706</v>
      </c>
      <c r="E122" s="164"/>
      <c r="F122" s="164"/>
      <c r="G122" s="164"/>
    </row>
    <row r="123" spans="1:7" x14ac:dyDescent="0.25">
      <c r="B123" s="125">
        <f>ABS(D98-B98)/ABS(MAX($B$98:$D$98)-MIN($B$98:$D$98))</f>
        <v>1</v>
      </c>
      <c r="C123" s="125">
        <f>ABS(D98-C98)/ABS(MAX($B$98:$D$98)-MIN($B$98:$D$98))</f>
        <v>0.31683168316831706</v>
      </c>
      <c r="D123" s="125">
        <f>ABS(D98-D98)/ABS(MAX($B$98:$D$98)-MIN($B$98:$D$98))</f>
        <v>0</v>
      </c>
      <c r="E123" s="164"/>
      <c r="F123" s="164"/>
      <c r="G123" s="164"/>
    </row>
    <row r="124" spans="1:7" x14ac:dyDescent="0.25">
      <c r="E124" s="164"/>
      <c r="F124" s="164"/>
      <c r="G124" s="164"/>
    </row>
    <row r="125" spans="1:7" x14ac:dyDescent="0.25">
      <c r="A125" s="123" t="s">
        <v>14</v>
      </c>
      <c r="B125" s="125">
        <f>ABS(B99-B99)/ABS(MAX($B$99:$D$99)-MIN($B$99:$D$99))</f>
        <v>0</v>
      </c>
      <c r="C125" s="125">
        <f>ABS(B99-C99)/ABS(MAX($B$99:$D$99)-MIN($B$99:$D$99))</f>
        <v>0.66666666666666652</v>
      </c>
      <c r="D125" s="125">
        <f>ABS(B99-D99)/ABS(MAX($B$99:$D$99)-MIN($B$99:$D$99))</f>
        <v>0.33333333333333343</v>
      </c>
      <c r="E125" s="164"/>
      <c r="F125" s="164"/>
      <c r="G125" s="164"/>
    </row>
    <row r="126" spans="1:7" x14ac:dyDescent="0.25">
      <c r="B126" s="125">
        <f>ABS(C99-B99)/ABS(MAX($B$99:$D$99)-MIN($B$99:$D$99))</f>
        <v>0.66666666666666652</v>
      </c>
      <c r="C126" s="125">
        <f>ABS(C99-C99)/ABS(MAX($B$99:$D$99)-MIN($B$99:$D$99))</f>
        <v>0</v>
      </c>
      <c r="D126" s="125">
        <f>ABS(C99-D99)/ABS(MAX($B$99:$D$99)-MIN($B$99:$D$99))</f>
        <v>1</v>
      </c>
      <c r="E126" s="164"/>
      <c r="F126" s="164"/>
      <c r="G126" s="164"/>
    </row>
    <row r="127" spans="1:7" x14ac:dyDescent="0.25">
      <c r="B127" s="125">
        <f>ABS(D99-B99)/ABS(MAX($B$99:$D$99)-MIN($B$99:$D$99))</f>
        <v>0.33333333333333343</v>
      </c>
      <c r="C127" s="125">
        <f>ABS(D99-C99)/ABS(MAX($B$99:$D$99)-MIN($B$99:$D$99))</f>
        <v>1</v>
      </c>
      <c r="D127" s="125">
        <f>ABS(D99-D99)/ABS(MAX($B$99:$D$99)-MIN($B$99:$D$99))</f>
        <v>0</v>
      </c>
      <c r="E127" s="164"/>
      <c r="F127" s="164"/>
      <c r="G127" s="164"/>
    </row>
    <row r="128" spans="1:7" x14ac:dyDescent="0.25">
      <c r="E128" s="164"/>
      <c r="F128" s="164"/>
      <c r="G128" s="164"/>
    </row>
    <row r="129" spans="1:7" x14ac:dyDescent="0.25">
      <c r="A129" s="123" t="s">
        <v>15</v>
      </c>
      <c r="B129" s="125">
        <f>ABS(B100-B100)/ABS(MAX($B$100:$D$100)-MIN($B$100:$D$100))</f>
        <v>0</v>
      </c>
      <c r="C129" s="125">
        <f>ABS(B100-C100)/ABS(MAX($B$100:$D$100)-MIN($B$100:$D$100))</f>
        <v>1</v>
      </c>
      <c r="D129" s="125">
        <f>ABS(B100-D100)/ABS(MAX($B$100:$D$100)-MIN($B$100:$D$100))</f>
        <v>0.29059829059829079</v>
      </c>
      <c r="E129" s="164"/>
      <c r="F129" s="164"/>
      <c r="G129" s="164"/>
    </row>
    <row r="130" spans="1:7" x14ac:dyDescent="0.25">
      <c r="B130" s="125">
        <f>ABS(C100-B100)/ABS(MAX($B$100:$D$100)-MIN($B$100:$D$100))</f>
        <v>1</v>
      </c>
      <c r="C130" s="125">
        <f>ABS(C100-C100)/ABS(MAX($B$100:$D$100)-MIN($B$100:$D$100))</f>
        <v>0</v>
      </c>
      <c r="D130" s="125">
        <f>ABS(C100-D100)/ABS(MAX($B$100:$D$100)-MIN($B$100:$D$100))</f>
        <v>0.70940170940170921</v>
      </c>
      <c r="E130" s="164"/>
      <c r="F130" s="164"/>
      <c r="G130" s="164"/>
    </row>
    <row r="131" spans="1:7" x14ac:dyDescent="0.25">
      <c r="B131" s="125">
        <f>ABS(D100-B100)/ABS(MAX($B$100:$D$100)-MIN($B$100:$D$100))</f>
        <v>0.29059829059829079</v>
      </c>
      <c r="C131" s="125">
        <f>ABS(D100-C100)/ABS(MAX($B$100:$D$100)-MIN($B$100:$D$100))</f>
        <v>0.70940170940170921</v>
      </c>
      <c r="D131" s="125">
        <f>ABS(D100-D100)/ABS(MAX($B$100:$D$100)-MIN($B$100:$D$100))</f>
        <v>0</v>
      </c>
      <c r="E131" s="164"/>
      <c r="F131" s="164"/>
      <c r="G131" s="164"/>
    </row>
    <row r="132" spans="1:7" x14ac:dyDescent="0.25">
      <c r="E132" s="164"/>
      <c r="F132" s="164"/>
      <c r="G132" s="164"/>
    </row>
    <row r="133" spans="1:7" x14ac:dyDescent="0.25">
      <c r="A133" s="123" t="s">
        <v>16</v>
      </c>
      <c r="B133" s="125">
        <f>ABS(B101-B101)/ABS(MAX($B$101:$D$101)-MIN($B$101:$D$101))</f>
        <v>0</v>
      </c>
      <c r="C133" s="125">
        <f>ABS(B101-C101)/ABS(MAX($B$101:$D$101)-MIN($B$101:$D$101))</f>
        <v>0.28326180257510708</v>
      </c>
      <c r="D133" s="125">
        <f>ABS(B101-D101)/ABS(MAX($B$101:$D$101)-MIN($B$101:$D$101))</f>
        <v>0.71673819742489286</v>
      </c>
      <c r="E133" s="164"/>
      <c r="F133" s="164"/>
      <c r="G133" s="164"/>
    </row>
    <row r="134" spans="1:7" x14ac:dyDescent="0.25">
      <c r="B134" s="125">
        <f>ABS(C101-B101)/ABS(MAX($B$101:$D$101)-MIN($B$101:$D$101))</f>
        <v>0.28326180257510708</v>
      </c>
      <c r="C134" s="125">
        <f>ABS(C101-C101)/ABS(MAX($B$101:$D$101)-MIN($B$101:$D$101))</f>
        <v>0</v>
      </c>
      <c r="D134" s="125">
        <f>ABS(C101-D101)/ABS(MAX($B$101:$D$101)-MIN($B$101:$D$101))</f>
        <v>1</v>
      </c>
      <c r="E134" s="164"/>
      <c r="F134" s="164"/>
      <c r="G134" s="164"/>
    </row>
    <row r="135" spans="1:7" x14ac:dyDescent="0.25">
      <c r="B135" s="125">
        <f>ABS(D101-B101)/ABS(MAX($B$101:$D$101)-MIN($B$101:$D$101))</f>
        <v>0.71673819742489286</v>
      </c>
      <c r="C135" s="125">
        <f>ABS(D101-C101)/ABS(MAX($B$101:$D$101)-MIN($B$101:$D$101))</f>
        <v>1</v>
      </c>
      <c r="D135" s="125">
        <f>ABS(D101-D101)/ABS(MAX($B$101:$D$101)-MIN($B$101:$D$101))</f>
        <v>0</v>
      </c>
      <c r="E135" s="164"/>
      <c r="F135" s="164"/>
      <c r="G135" s="164"/>
    </row>
    <row r="136" spans="1:7" x14ac:dyDescent="0.25">
      <c r="E136" s="164"/>
      <c r="F136" s="164"/>
      <c r="G136" s="164"/>
    </row>
    <row r="137" spans="1:7" x14ac:dyDescent="0.25">
      <c r="A137" s="123" t="s">
        <v>18</v>
      </c>
      <c r="B137" s="125">
        <f>ABS(B102-B102)/ABS(MAX($B$102:$D$102)-MIN($B$102:$D$102))</f>
        <v>0</v>
      </c>
      <c r="C137" s="125">
        <f>ABS(B102-C102)/ABS(MAX($B$102:$D$102)-MIN($B$102:$D$102))</f>
        <v>0.75471698113207553</v>
      </c>
      <c r="D137" s="125">
        <f>ABS(B102-D102)/ABS(MAX($B$102:$D$102)-MIN($B$102:$D$102))</f>
        <v>0.24528301886792453</v>
      </c>
      <c r="E137" s="164"/>
      <c r="F137" s="164"/>
      <c r="G137" s="164"/>
    </row>
    <row r="138" spans="1:7" x14ac:dyDescent="0.25">
      <c r="B138" s="125">
        <f>ABS(C102-B102)/ABS(MAX($B$102:$D$102)-MIN($B$102:$D$102))</f>
        <v>0.75471698113207553</v>
      </c>
      <c r="C138" s="125">
        <f>ABS(C102-C102)/ABS(MAX($B$102:$D$102)-MIN($B$102:$D$102))</f>
        <v>0</v>
      </c>
      <c r="D138" s="125">
        <f>ABS(C102-D102)/ABS(MAX($B$102:$D$102)-MIN($B$102:$D$102))</f>
        <v>1</v>
      </c>
      <c r="E138" s="164"/>
      <c r="F138" s="164"/>
      <c r="G138" s="164"/>
    </row>
    <row r="139" spans="1:7" x14ac:dyDescent="0.25">
      <c r="B139" s="125">
        <f>ABS(D102-B102)/ABS(MAX($B$102:$D$102)-MIN($B$102:$D$102))</f>
        <v>0.24528301886792453</v>
      </c>
      <c r="C139" s="125">
        <f>ABS(D102-C102)/ABS(MAX($B$102:$D$102)-MIN($B$102:$D$102))</f>
        <v>1</v>
      </c>
      <c r="D139" s="125">
        <f>ABS(D102-D102)/ABS(MAX($B$102:$D$102)-MIN($B$102:$D$102))</f>
        <v>0</v>
      </c>
      <c r="E139" s="164"/>
      <c r="F139" s="164"/>
      <c r="G139" s="164"/>
    </row>
    <row r="140" spans="1:7" x14ac:dyDescent="0.25">
      <c r="E140" s="164"/>
      <c r="F140" s="164"/>
      <c r="G140" s="164"/>
    </row>
    <row r="141" spans="1:7" x14ac:dyDescent="0.25">
      <c r="A141" s="123" t="s">
        <v>19</v>
      </c>
      <c r="B141" s="125">
        <f>ABS(B103-B103)/ABS(MAX($B$103:$D$103)-MIN($B$103:$D$103))</f>
        <v>0</v>
      </c>
      <c r="C141" s="125">
        <f>ABS(B103-C103)/ABS(MAX($B$103:$D$103)-MIN($B$103:$D$103))</f>
        <v>0.43999999999999984</v>
      </c>
      <c r="D141" s="125">
        <f>ABS(B103-D103)/ABS(MAX($B$103:$D$103)-MIN($B$103:$D$103))</f>
        <v>0.56000000000000016</v>
      </c>
      <c r="E141" s="164"/>
      <c r="F141" s="164"/>
      <c r="G141" s="164"/>
    </row>
    <row r="142" spans="1:7" x14ac:dyDescent="0.25">
      <c r="B142" s="125">
        <f>ABS(C103-B103)/ABS(MAX($B$103:$D$103)-MIN($B$103:$D$103))</f>
        <v>0.43999999999999984</v>
      </c>
      <c r="C142" s="125">
        <f>ABS(C103-C103)/ABS(MAX($B$103:$D$103)-MIN($B$103:$D$103))</f>
        <v>0</v>
      </c>
      <c r="D142" s="125">
        <f>ABS(C103-D103)/ABS(MAX($B$103:$D$103)-MIN($B$103:$D$103))</f>
        <v>1</v>
      </c>
      <c r="E142" s="164"/>
      <c r="F142" s="164"/>
      <c r="G142" s="164"/>
    </row>
    <row r="143" spans="1:7" x14ac:dyDescent="0.25">
      <c r="B143" s="125">
        <f>ABS(D103-B103)/ABS(MAX($B$103:$D$103)-MIN($B$103:$D$103))</f>
        <v>0.56000000000000016</v>
      </c>
      <c r="C143" s="125">
        <f>ABS(D103-C103)/ABS(MAX($B$103:$D$103)-MIN($B$103:$D$103))</f>
        <v>1</v>
      </c>
      <c r="D143" s="125">
        <f>ABS(D103-D103)/ABS(MAX($B$103:$D$103)-MIN($B$103:$D$103))</f>
        <v>0</v>
      </c>
      <c r="E143" s="164"/>
      <c r="F143" s="164"/>
      <c r="G143" s="164"/>
    </row>
    <row r="144" spans="1:7" x14ac:dyDescent="0.25">
      <c r="E144" s="164"/>
      <c r="F144" s="164"/>
      <c r="G144" s="164"/>
    </row>
    <row r="145" spans="1:7" x14ac:dyDescent="0.25">
      <c r="A145" s="123" t="s">
        <v>20</v>
      </c>
      <c r="B145" s="125">
        <f>ABS(B104-B104)/ABS(MAX($B$104:$D$104)-MIN($B$104:$D$104))</f>
        <v>0</v>
      </c>
      <c r="C145" s="125">
        <f>ABS(B104-C104)/ABS(MAX($B$104:$D$104)-MIN($B$104:$D$104))</f>
        <v>0.56652360515021449</v>
      </c>
      <c r="D145" s="125">
        <f>ABS(B104-D104)/ABS(MAX($B$104:$D$104)-MIN($B$104:$D$104))</f>
        <v>0.43347639484978551</v>
      </c>
      <c r="E145" s="164"/>
      <c r="F145" s="164"/>
      <c r="G145" s="164"/>
    </row>
    <row r="146" spans="1:7" x14ac:dyDescent="0.25">
      <c r="B146" s="125">
        <f>ABS(C104-B104)/ABS(MAX($B$104:$D$104)-MIN($B$104:$D$104))</f>
        <v>0.56652360515021449</v>
      </c>
      <c r="C146" s="125">
        <f>ABS(C104-C104)/ABS(MAX($B$104:$D$104)-MIN($B$104:$D$104))</f>
        <v>0</v>
      </c>
      <c r="D146" s="125">
        <f>ABS(C104-D104)/ABS(MAX($B$104:$D$104)-MIN($B$104:$D$104))</f>
        <v>1</v>
      </c>
      <c r="E146" s="164"/>
      <c r="F146" s="164"/>
      <c r="G146" s="164"/>
    </row>
    <row r="147" spans="1:7" x14ac:dyDescent="0.25">
      <c r="B147" s="125">
        <f>ABS(D104-B104)/ABS(MAX($B$104:$D$104)-MIN($B$104:$D$104))</f>
        <v>0.43347639484978551</v>
      </c>
      <c r="C147" s="125">
        <f>ABS(D104-C104)/ABS(MAX($B$104:$D$104)-MIN($B$104:$D$104))</f>
        <v>1</v>
      </c>
      <c r="D147" s="125">
        <f>ABS(D104-D104)/ABS(MAX($B$104:$D$104)-MIN($B$104:$D$104))</f>
        <v>0</v>
      </c>
      <c r="E147" s="164"/>
      <c r="F147" s="164"/>
      <c r="G147" s="164"/>
    </row>
    <row r="148" spans="1:7" x14ac:dyDescent="0.25">
      <c r="E148" s="164"/>
      <c r="F148" s="164"/>
      <c r="G148" s="164"/>
    </row>
    <row r="149" spans="1:7" x14ac:dyDescent="0.25">
      <c r="A149" s="123" t="s">
        <v>21</v>
      </c>
      <c r="B149" s="125">
        <f>ABS(B105-B105)/ABS(MAX($B$105:$D$105)-MIN($B$105:$D$105))</f>
        <v>0</v>
      </c>
      <c r="C149" s="125">
        <f>ABS(B105-C105)/ABS(MAX($B$105:$D$105)-MIN($B$105:$D$105))</f>
        <v>1.5151515151514304E-2</v>
      </c>
      <c r="D149" s="125">
        <f>ABS(B105-D105)/ABS(MAX($B$105:$D$105)-MIN($B$105:$D$105))</f>
        <v>1</v>
      </c>
      <c r="E149" s="164"/>
      <c r="F149" s="164"/>
      <c r="G149" s="164"/>
    </row>
    <row r="150" spans="1:7" x14ac:dyDescent="0.25">
      <c r="B150" s="125">
        <f>ABS(C105-B105)/ABS(MAX($B$105:$D$105)-MIN($B$105:$D$105))</f>
        <v>1.5151515151514304E-2</v>
      </c>
      <c r="C150" s="125">
        <f>ABS(C105-C105)/ABS(MAX($B$105:$D$105)-MIN($B$105:$D$105))</f>
        <v>0</v>
      </c>
      <c r="D150" s="125">
        <f>ABS(C105-D105)/ABS(MAX($B$105:$D$105)-MIN($B$105:$D$105))</f>
        <v>0.98484848484848575</v>
      </c>
      <c r="E150" s="164"/>
      <c r="F150" s="164"/>
      <c r="G150" s="164"/>
    </row>
    <row r="151" spans="1:7" x14ac:dyDescent="0.25">
      <c r="B151" s="125">
        <f>ABS(D105-B105)/ABS(MAX($B$105:$D$105)-MIN($B$105:$D$105))</f>
        <v>1</v>
      </c>
      <c r="C151" s="125">
        <f>ABS(D105-C105)/ABS(MAX($B$105:$D$105)-MIN($B$105:$D$105))</f>
        <v>0.98484848484848575</v>
      </c>
      <c r="D151" s="125">
        <f>ABS(D105-D105)/ABS(MAX($B$105:$D$105)-MIN($B$105:$D$105))</f>
        <v>0</v>
      </c>
      <c r="E151" s="164"/>
      <c r="F151" s="164"/>
      <c r="G151" s="164"/>
    </row>
    <row r="152" spans="1:7" x14ac:dyDescent="0.25">
      <c r="E152" s="164"/>
      <c r="F152" s="164"/>
      <c r="G152" s="164"/>
    </row>
    <row r="153" spans="1:7" x14ac:dyDescent="0.25">
      <c r="A153" s="123" t="s">
        <v>23</v>
      </c>
      <c r="B153" s="125">
        <f>ABS(B106-B106)/ABS(MAX($B$106:$D$106)-MIN($B$106:$D$106))</f>
        <v>0</v>
      </c>
      <c r="C153" s="125">
        <f>ABS(B106-C106)/ABS(MAX($B$106:$D$106)-MIN($B$106:$D$106))</f>
        <v>0.60843373493975905</v>
      </c>
      <c r="D153" s="125">
        <f>ABS(B106-D106)/ABS(MAX($B$106:$D$106)-MIN($B$106:$D$106))</f>
        <v>0.39156626506024095</v>
      </c>
      <c r="E153" s="164"/>
      <c r="F153" s="164"/>
      <c r="G153" s="164"/>
    </row>
    <row r="154" spans="1:7" x14ac:dyDescent="0.25">
      <c r="B154" s="125">
        <f>ABS(C106-B106)/ABS(MAX($B$106:$D$106)-MIN($B$106:$D$106))</f>
        <v>0.60843373493975905</v>
      </c>
      <c r="C154" s="125">
        <f>ABS(C106-C106)/ABS(MAX($B$106:$D$106)-MIN($B$106:$D$106))</f>
        <v>0</v>
      </c>
      <c r="D154" s="125">
        <f>ABS(C106-D106)/ABS(MAX($B$106:$D$106)-MIN($B$106:$D$106))</f>
        <v>1</v>
      </c>
      <c r="E154" s="164"/>
      <c r="F154" s="164"/>
      <c r="G154" s="164"/>
    </row>
    <row r="155" spans="1:7" x14ac:dyDescent="0.25">
      <c r="B155" s="125">
        <f>ABS(D106-B106)/ABS(MAX($B$106:$D$106)-MIN($B$106:$D$106))</f>
        <v>0.39156626506024095</v>
      </c>
      <c r="C155" s="125">
        <f>ABS(D106-C106)/ABS(MAX($B$106:$D$106)-MIN($B$106:$D$106))</f>
        <v>1</v>
      </c>
      <c r="D155" s="125">
        <f>ABS(D106-D106)/ABS(MAX($B$106:$D$106)-MIN($B$106:$D$106))</f>
        <v>0</v>
      </c>
      <c r="E155" s="164"/>
      <c r="F155" s="164"/>
      <c r="G155" s="164"/>
    </row>
    <row r="156" spans="1:7" x14ac:dyDescent="0.25">
      <c r="E156" s="164"/>
      <c r="F156" s="164"/>
      <c r="G156" s="164"/>
    </row>
    <row r="157" spans="1:7" x14ac:dyDescent="0.25">
      <c r="A157" s="123" t="s">
        <v>24</v>
      </c>
      <c r="B157" s="125">
        <f>ABS(B107-B107)/ABS(MAX($B$107:$D$107)-MIN($B$107:$D$107))</f>
        <v>0</v>
      </c>
      <c r="C157" s="125">
        <f>ABS(B107-C107)/ABS(MAX($B$107:$D$107)-MIN($B$107:$D$107))</f>
        <v>1</v>
      </c>
      <c r="D157" s="125">
        <f>ABS(B107-D107)/ABS(MAX($B$107:$D$107)-MIN($B$107:$D$107))</f>
        <v>0.5</v>
      </c>
      <c r="E157" s="164"/>
      <c r="F157" s="164"/>
      <c r="G157" s="164"/>
    </row>
    <row r="158" spans="1:7" x14ac:dyDescent="0.25">
      <c r="B158" s="125">
        <f>ABS(C107-B107)/ABS(MAX($B$107:$D$107)-MIN($B$107:$D$107))</f>
        <v>1</v>
      </c>
      <c r="C158" s="125">
        <f>ABS(C107-C107)/ABS(MAX($B$107:$D$107)-MIN($B$107:$D$107))</f>
        <v>0</v>
      </c>
      <c r="D158" s="125">
        <f>ABS(C107-D107)/ABS(MAX($B$107:$D$107)-MIN($B$107:$D$107))</f>
        <v>0.5</v>
      </c>
      <c r="E158" s="164"/>
      <c r="F158" s="164"/>
      <c r="G158" s="164"/>
    </row>
    <row r="159" spans="1:7" x14ac:dyDescent="0.25">
      <c r="B159" s="125">
        <f>ABS(D107-B107)/ABS(MAX($B$107:$D$107)-MIN($B$107:$D$107))</f>
        <v>0.5</v>
      </c>
      <c r="C159" s="125">
        <f>ABS(D107-C107)/ABS(MAX($B$107:$D$107)-MIN($B$107:$D$107))</f>
        <v>0.5</v>
      </c>
      <c r="D159" s="125">
        <f>ABS(D107-D107)/ABS(MAX($B$107:$D$107)-MIN($B$107:$D$107))</f>
        <v>0</v>
      </c>
      <c r="E159" s="164"/>
      <c r="F159" s="164"/>
      <c r="G159" s="164"/>
    </row>
    <row r="161" spans="1:4" x14ac:dyDescent="0.25">
      <c r="A161" s="167" t="s">
        <v>216</v>
      </c>
    </row>
    <row r="162" spans="1:4" x14ac:dyDescent="0.25">
      <c r="A162" s="123" t="s">
        <v>25</v>
      </c>
      <c r="B162" s="125">
        <f>(1-B121)^2</f>
        <v>1</v>
      </c>
      <c r="C162" s="125">
        <f t="shared" ref="C162:D162" si="15">(1-C121)^2</f>
        <v>0.10038231545926887</v>
      </c>
      <c r="D162" s="125">
        <f t="shared" si="15"/>
        <v>0</v>
      </c>
    </row>
    <row r="163" spans="1:4" x14ac:dyDescent="0.25">
      <c r="B163" s="125">
        <f t="shared" ref="B163:D164" si="16">(1-B122)^2</f>
        <v>0.10038231545926887</v>
      </c>
      <c r="C163" s="125">
        <f t="shared" si="16"/>
        <v>1</v>
      </c>
      <c r="D163" s="125">
        <f t="shared" si="16"/>
        <v>0.46671894912263467</v>
      </c>
    </row>
    <row r="164" spans="1:4" x14ac:dyDescent="0.25">
      <c r="B164" s="125">
        <f t="shared" si="16"/>
        <v>0</v>
      </c>
      <c r="C164" s="125">
        <f t="shared" si="16"/>
        <v>0.46671894912263467</v>
      </c>
      <c r="D164" s="125">
        <f t="shared" si="16"/>
        <v>1</v>
      </c>
    </row>
    <row r="166" spans="1:4" x14ac:dyDescent="0.25">
      <c r="A166" s="123" t="s">
        <v>14</v>
      </c>
      <c r="B166" s="125">
        <f>(1-B125)^2</f>
        <v>1</v>
      </c>
      <c r="C166" s="125">
        <f t="shared" ref="C166:D166" si="17">(1-C125)^2</f>
        <v>0.11111111111111122</v>
      </c>
      <c r="D166" s="125">
        <f t="shared" si="17"/>
        <v>0.44444444444444425</v>
      </c>
    </row>
    <row r="167" spans="1:4" x14ac:dyDescent="0.25">
      <c r="B167" s="125">
        <f t="shared" ref="B167:D167" si="18">(1-B126)^2</f>
        <v>0.11111111111111122</v>
      </c>
      <c r="C167" s="125">
        <f t="shared" si="18"/>
        <v>1</v>
      </c>
      <c r="D167" s="125">
        <f t="shared" si="18"/>
        <v>0</v>
      </c>
    </row>
    <row r="168" spans="1:4" x14ac:dyDescent="0.25">
      <c r="B168" s="125">
        <f t="shared" ref="B168:D168" si="19">(1-B127)^2</f>
        <v>0.44444444444444425</v>
      </c>
      <c r="C168" s="125">
        <f t="shared" si="19"/>
        <v>0</v>
      </c>
      <c r="D168" s="125">
        <f t="shared" si="19"/>
        <v>1</v>
      </c>
    </row>
    <row r="170" spans="1:4" x14ac:dyDescent="0.25">
      <c r="A170" s="123" t="s">
        <v>15</v>
      </c>
      <c r="B170" s="125">
        <f>(1-B129)^2</f>
        <v>1</v>
      </c>
      <c r="C170" s="125">
        <f t="shared" ref="C170:D170" si="20">(1-C129)^2</f>
        <v>0</v>
      </c>
      <c r="D170" s="125">
        <f t="shared" si="20"/>
        <v>0.50325078530206713</v>
      </c>
    </row>
    <row r="171" spans="1:4" x14ac:dyDescent="0.25">
      <c r="B171" s="125">
        <f t="shared" ref="B171:D171" si="21">(1-B130)^2</f>
        <v>0</v>
      </c>
      <c r="C171" s="125">
        <f t="shared" si="21"/>
        <v>1</v>
      </c>
      <c r="D171" s="125">
        <f t="shared" si="21"/>
        <v>8.444736649864866E-2</v>
      </c>
    </row>
    <row r="172" spans="1:4" x14ac:dyDescent="0.25">
      <c r="B172" s="125">
        <f t="shared" ref="B172:D172" si="22">(1-B131)^2</f>
        <v>0.50325078530206713</v>
      </c>
      <c r="C172" s="125">
        <f t="shared" si="22"/>
        <v>8.444736649864866E-2</v>
      </c>
      <c r="D172" s="125">
        <f t="shared" si="22"/>
        <v>1</v>
      </c>
    </row>
    <row r="174" spans="1:4" x14ac:dyDescent="0.25">
      <c r="A174" s="123" t="s">
        <v>16</v>
      </c>
      <c r="B174" s="125">
        <f>(1-B133)^2</f>
        <v>1</v>
      </c>
      <c r="C174" s="125">
        <f t="shared" ref="C174:D174" si="23">(1-C133)^2</f>
        <v>0.51371364364788485</v>
      </c>
      <c r="D174" s="125">
        <f t="shared" si="23"/>
        <v>8.0237248798098973E-2</v>
      </c>
    </row>
    <row r="175" spans="1:4" x14ac:dyDescent="0.25">
      <c r="B175" s="125">
        <f t="shared" ref="B175:D175" si="24">(1-B134)^2</f>
        <v>0.51371364364788485</v>
      </c>
      <c r="C175" s="125">
        <f t="shared" si="24"/>
        <v>1</v>
      </c>
      <c r="D175" s="125">
        <f t="shared" si="24"/>
        <v>0</v>
      </c>
    </row>
    <row r="176" spans="1:4" x14ac:dyDescent="0.25">
      <c r="B176" s="125">
        <f t="shared" ref="B176:D176" si="25">(1-B135)^2</f>
        <v>8.0237248798098973E-2</v>
      </c>
      <c r="C176" s="125">
        <f t="shared" si="25"/>
        <v>0</v>
      </c>
      <c r="D176" s="125">
        <f t="shared" si="25"/>
        <v>1</v>
      </c>
    </row>
    <row r="178" spans="1:4" x14ac:dyDescent="0.25">
      <c r="A178" s="123" t="s">
        <v>18</v>
      </c>
      <c r="B178" s="125">
        <f>(1-B137)^2</f>
        <v>1</v>
      </c>
      <c r="C178" s="125">
        <f t="shared" ref="C178:D178" si="26">(1-C137)^2</f>
        <v>6.016375934496259E-2</v>
      </c>
      <c r="D178" s="125">
        <f t="shared" si="26"/>
        <v>0.56959772160911359</v>
      </c>
    </row>
    <row r="179" spans="1:4" x14ac:dyDescent="0.25">
      <c r="B179" s="125">
        <f t="shared" ref="B179:D179" si="27">(1-B138)^2</f>
        <v>6.016375934496259E-2</v>
      </c>
      <c r="C179" s="125">
        <f t="shared" si="27"/>
        <v>1</v>
      </c>
      <c r="D179" s="125">
        <f t="shared" si="27"/>
        <v>0</v>
      </c>
    </row>
    <row r="180" spans="1:4" x14ac:dyDescent="0.25">
      <c r="B180" s="125">
        <f t="shared" ref="B180:D180" si="28">(1-B139)^2</f>
        <v>0.56959772160911359</v>
      </c>
      <c r="C180" s="125">
        <f t="shared" si="28"/>
        <v>0</v>
      </c>
      <c r="D180" s="125">
        <f t="shared" si="28"/>
        <v>1</v>
      </c>
    </row>
    <row r="182" spans="1:4" x14ac:dyDescent="0.25">
      <c r="A182" s="123" t="s">
        <v>19</v>
      </c>
      <c r="B182" s="125">
        <f>(1-B141)^2</f>
        <v>1</v>
      </c>
      <c r="C182" s="125">
        <f t="shared" ref="C182:D182" si="29">(1-C141)^2</f>
        <v>0.31360000000000016</v>
      </c>
      <c r="D182" s="125">
        <f t="shared" si="29"/>
        <v>0.19359999999999986</v>
      </c>
    </row>
    <row r="183" spans="1:4" x14ac:dyDescent="0.25">
      <c r="B183" s="125">
        <f t="shared" ref="B183:D183" si="30">(1-B142)^2</f>
        <v>0.31360000000000016</v>
      </c>
      <c r="C183" s="125">
        <f t="shared" si="30"/>
        <v>1</v>
      </c>
      <c r="D183" s="125">
        <f t="shared" si="30"/>
        <v>0</v>
      </c>
    </row>
    <row r="184" spans="1:4" x14ac:dyDescent="0.25">
      <c r="B184" s="125">
        <f t="shared" ref="B184:D184" si="31">(1-B143)^2</f>
        <v>0.19359999999999986</v>
      </c>
      <c r="C184" s="125">
        <f t="shared" si="31"/>
        <v>0</v>
      </c>
      <c r="D184" s="125">
        <f t="shared" si="31"/>
        <v>1</v>
      </c>
    </row>
    <row r="186" spans="1:4" x14ac:dyDescent="0.25">
      <c r="A186" s="123" t="s">
        <v>20</v>
      </c>
      <c r="B186" s="125">
        <f>(1-B145)^2</f>
        <v>1</v>
      </c>
      <c r="C186" s="125">
        <f t="shared" ref="C186:D186" si="32">(1-C145)^2</f>
        <v>0.18790178489196716</v>
      </c>
      <c r="D186" s="125">
        <f t="shared" si="32"/>
        <v>0.32094899519239611</v>
      </c>
    </row>
    <row r="187" spans="1:4" x14ac:dyDescent="0.25">
      <c r="B187" s="125">
        <f t="shared" ref="B187:D187" si="33">(1-B146)^2</f>
        <v>0.18790178489196716</v>
      </c>
      <c r="C187" s="125">
        <f t="shared" si="33"/>
        <v>1</v>
      </c>
      <c r="D187" s="125">
        <f t="shared" si="33"/>
        <v>0</v>
      </c>
    </row>
    <row r="188" spans="1:4" x14ac:dyDescent="0.25">
      <c r="B188" s="125">
        <f t="shared" ref="B188:D188" si="34">(1-B147)^2</f>
        <v>0.32094899519239611</v>
      </c>
      <c r="C188" s="125">
        <f t="shared" si="34"/>
        <v>0</v>
      </c>
      <c r="D188" s="125">
        <f t="shared" si="34"/>
        <v>1</v>
      </c>
    </row>
    <row r="190" spans="1:4" x14ac:dyDescent="0.25">
      <c r="A190" s="123" t="s">
        <v>21</v>
      </c>
      <c r="B190" s="125">
        <f>(1-B149)^2</f>
        <v>1</v>
      </c>
      <c r="C190" s="125">
        <f t="shared" ref="C190:D190" si="35">(1-C149)^2</f>
        <v>0.96992653810835805</v>
      </c>
      <c r="D190" s="125">
        <f t="shared" si="35"/>
        <v>0</v>
      </c>
    </row>
    <row r="191" spans="1:4" x14ac:dyDescent="0.25">
      <c r="B191" s="125">
        <f t="shared" ref="B191:D191" si="36">(1-B150)^2</f>
        <v>0.96992653810835805</v>
      </c>
      <c r="C191" s="125">
        <f t="shared" si="36"/>
        <v>1</v>
      </c>
      <c r="D191" s="125">
        <f t="shared" si="36"/>
        <v>2.2956841138656588E-4</v>
      </c>
    </row>
    <row r="192" spans="1:4" x14ac:dyDescent="0.25">
      <c r="B192" s="125">
        <f t="shared" ref="B192:D192" si="37">(1-B151)^2</f>
        <v>0</v>
      </c>
      <c r="C192" s="125">
        <f t="shared" si="37"/>
        <v>2.2956841138656588E-4</v>
      </c>
      <c r="D192" s="125">
        <f t="shared" si="37"/>
        <v>1</v>
      </c>
    </row>
    <row r="194" spans="1:4" x14ac:dyDescent="0.25">
      <c r="A194" s="123" t="s">
        <v>23</v>
      </c>
      <c r="B194" s="125">
        <f>(1-B153)^2</f>
        <v>1</v>
      </c>
      <c r="C194" s="125">
        <f t="shared" ref="C194:D194" si="38">(1-C153)^2</f>
        <v>0.15332413993322688</v>
      </c>
      <c r="D194" s="125">
        <f t="shared" si="38"/>
        <v>0.37019160981274496</v>
      </c>
    </row>
    <row r="195" spans="1:4" x14ac:dyDescent="0.25">
      <c r="B195" s="125">
        <f t="shared" ref="B195:D195" si="39">(1-B154)^2</f>
        <v>0.15332413993322688</v>
      </c>
      <c r="C195" s="125">
        <f t="shared" si="39"/>
        <v>1</v>
      </c>
      <c r="D195" s="125">
        <f t="shared" si="39"/>
        <v>0</v>
      </c>
    </row>
    <row r="196" spans="1:4" x14ac:dyDescent="0.25">
      <c r="B196" s="125">
        <f t="shared" ref="B196:D196" si="40">(1-B155)^2</f>
        <v>0.37019160981274496</v>
      </c>
      <c r="C196" s="125">
        <f t="shared" si="40"/>
        <v>0</v>
      </c>
      <c r="D196" s="125">
        <f t="shared" si="40"/>
        <v>1</v>
      </c>
    </row>
    <row r="198" spans="1:4" x14ac:dyDescent="0.25">
      <c r="A198" s="123" t="s">
        <v>24</v>
      </c>
      <c r="B198" s="125">
        <f>(1-B157)^2</f>
        <v>1</v>
      </c>
      <c r="C198" s="125">
        <f t="shared" ref="C198:D198" si="41">(1-C157)^2</f>
        <v>0</v>
      </c>
      <c r="D198" s="125">
        <f t="shared" si="41"/>
        <v>0.25</v>
      </c>
    </row>
    <row r="199" spans="1:4" x14ac:dyDescent="0.25">
      <c r="B199" s="125">
        <f t="shared" ref="B199:D199" si="42">(1-B158)^2</f>
        <v>0</v>
      </c>
      <c r="C199" s="125">
        <f t="shared" si="42"/>
        <v>1</v>
      </c>
      <c r="D199" s="125">
        <f t="shared" si="42"/>
        <v>0.25</v>
      </c>
    </row>
    <row r="200" spans="1:4" x14ac:dyDescent="0.25">
      <c r="B200" s="125">
        <f t="shared" ref="B200:D200" si="43">(1-B159)^2</f>
        <v>0.25</v>
      </c>
      <c r="C200" s="125">
        <f t="shared" si="43"/>
        <v>0.25</v>
      </c>
      <c r="D200" s="125">
        <f t="shared" si="43"/>
        <v>1</v>
      </c>
    </row>
    <row r="202" spans="1:4" x14ac:dyDescent="0.25">
      <c r="A202" s="167" t="s">
        <v>214</v>
      </c>
    </row>
    <row r="203" spans="1:4" x14ac:dyDescent="0.25">
      <c r="A203" s="123" t="s">
        <v>25</v>
      </c>
      <c r="B203" s="125">
        <f t="shared" ref="B203:D205" si="44">$B$118*B162+(1-$B$118)*(1-B121)</f>
        <v>1</v>
      </c>
      <c r="C203" s="125">
        <f t="shared" si="44"/>
        <v>0.23025193608469782</v>
      </c>
      <c r="D203" s="125">
        <f t="shared" si="44"/>
        <v>0</v>
      </c>
    </row>
    <row r="204" spans="1:4" x14ac:dyDescent="0.25">
      <c r="B204" s="125">
        <f t="shared" si="44"/>
        <v>0.23025193608469782</v>
      </c>
      <c r="C204" s="125">
        <f t="shared" si="44"/>
        <v>1</v>
      </c>
      <c r="D204" s="125">
        <f t="shared" si="44"/>
        <v>0.59658856974806362</v>
      </c>
    </row>
    <row r="205" spans="1:4" x14ac:dyDescent="0.25">
      <c r="B205" s="125">
        <f t="shared" si="44"/>
        <v>0</v>
      </c>
      <c r="C205" s="125">
        <f t="shared" si="44"/>
        <v>0.59658856974806362</v>
      </c>
      <c r="D205" s="125">
        <f t="shared" si="44"/>
        <v>1</v>
      </c>
    </row>
    <row r="207" spans="1:4" x14ac:dyDescent="0.25">
      <c r="A207" s="123" t="s">
        <v>14</v>
      </c>
      <c r="B207" s="125">
        <f t="shared" ref="B207:D209" si="45">$B$118*B166+(1-$B$118)*(1-B125)</f>
        <v>1</v>
      </c>
      <c r="C207" s="125">
        <f t="shared" si="45"/>
        <v>0.24444444444444458</v>
      </c>
      <c r="D207" s="125">
        <f t="shared" si="45"/>
        <v>0.57777777777777761</v>
      </c>
    </row>
    <row r="208" spans="1:4" x14ac:dyDescent="0.25">
      <c r="B208" s="125">
        <f t="shared" si="45"/>
        <v>0.24444444444444458</v>
      </c>
      <c r="C208" s="125">
        <f t="shared" si="45"/>
        <v>1</v>
      </c>
      <c r="D208" s="125">
        <f t="shared" si="45"/>
        <v>0</v>
      </c>
    </row>
    <row r="209" spans="1:4" x14ac:dyDescent="0.25">
      <c r="B209" s="125">
        <f t="shared" si="45"/>
        <v>0.57777777777777761</v>
      </c>
      <c r="C209" s="125">
        <f t="shared" si="45"/>
        <v>0</v>
      </c>
      <c r="D209" s="125">
        <f t="shared" si="45"/>
        <v>1</v>
      </c>
    </row>
    <row r="211" spans="1:4" x14ac:dyDescent="0.25">
      <c r="A211" s="123" t="s">
        <v>15</v>
      </c>
      <c r="B211" s="125">
        <f t="shared" ref="B211:D213" si="46">$B$118*B170+(1-$B$118)*(1-B129)</f>
        <v>1</v>
      </c>
      <c r="C211" s="125">
        <f t="shared" si="46"/>
        <v>0</v>
      </c>
      <c r="D211" s="125">
        <f t="shared" si="46"/>
        <v>0.6269413397618524</v>
      </c>
    </row>
    <row r="212" spans="1:4" x14ac:dyDescent="0.25">
      <c r="B212" s="125">
        <f t="shared" si="46"/>
        <v>0</v>
      </c>
      <c r="C212" s="125">
        <f t="shared" si="46"/>
        <v>1</v>
      </c>
      <c r="D212" s="125">
        <f t="shared" si="46"/>
        <v>0.20813792095843392</v>
      </c>
    </row>
    <row r="213" spans="1:4" x14ac:dyDescent="0.25">
      <c r="B213" s="125">
        <f t="shared" si="46"/>
        <v>0.6269413397618524</v>
      </c>
      <c r="C213" s="125">
        <f t="shared" si="46"/>
        <v>0.20813792095843392</v>
      </c>
      <c r="D213" s="125">
        <f t="shared" si="46"/>
        <v>1</v>
      </c>
    </row>
    <row r="215" spans="1:4" x14ac:dyDescent="0.25">
      <c r="A215" s="123" t="s">
        <v>16</v>
      </c>
      <c r="B215" s="125">
        <f t="shared" ref="B215:D217" si="47">$B$118*B174+(1-$B$118)*(1-B133)</f>
        <v>1</v>
      </c>
      <c r="C215" s="125">
        <f t="shared" si="47"/>
        <v>0.63552837591408973</v>
      </c>
      <c r="D215" s="125">
        <f t="shared" si="47"/>
        <v>0.20205198106430389</v>
      </c>
    </row>
    <row r="216" spans="1:4" x14ac:dyDescent="0.25">
      <c r="B216" s="125">
        <f t="shared" si="47"/>
        <v>0.63552837591408973</v>
      </c>
      <c r="C216" s="125">
        <f t="shared" si="47"/>
        <v>1</v>
      </c>
      <c r="D216" s="125">
        <f t="shared" si="47"/>
        <v>0</v>
      </c>
    </row>
    <row r="217" spans="1:4" x14ac:dyDescent="0.25">
      <c r="B217" s="125">
        <f t="shared" si="47"/>
        <v>0.20205198106430389</v>
      </c>
      <c r="C217" s="125">
        <f t="shared" si="47"/>
        <v>0</v>
      </c>
      <c r="D217" s="125">
        <f t="shared" si="47"/>
        <v>1</v>
      </c>
    </row>
    <row r="219" spans="1:4" x14ac:dyDescent="0.25">
      <c r="A219" s="123" t="s">
        <v>18</v>
      </c>
      <c r="B219" s="125">
        <f t="shared" ref="B219:D221" si="48">$B$118*B178+(1-$B$118)*(1-B137)</f>
        <v>1</v>
      </c>
      <c r="C219" s="125">
        <f t="shared" si="48"/>
        <v>0.17123531505873973</v>
      </c>
      <c r="D219" s="125">
        <f t="shared" si="48"/>
        <v>0.68066927732289073</v>
      </c>
    </row>
    <row r="220" spans="1:4" x14ac:dyDescent="0.25">
      <c r="B220" s="125">
        <f t="shared" si="48"/>
        <v>0.17123531505873973</v>
      </c>
      <c r="C220" s="125">
        <f t="shared" si="48"/>
        <v>1</v>
      </c>
      <c r="D220" s="125">
        <f t="shared" si="48"/>
        <v>0</v>
      </c>
    </row>
    <row r="221" spans="1:4" x14ac:dyDescent="0.25">
      <c r="B221" s="125">
        <f t="shared" si="48"/>
        <v>0.68066927732289073</v>
      </c>
      <c r="C221" s="125">
        <f t="shared" si="48"/>
        <v>0</v>
      </c>
      <c r="D221" s="125">
        <f t="shared" si="48"/>
        <v>1</v>
      </c>
    </row>
    <row r="223" spans="1:4" x14ac:dyDescent="0.25">
      <c r="A223" s="123" t="s">
        <v>19</v>
      </c>
      <c r="B223" s="125">
        <f t="shared" ref="B223:D225" si="49">$B$118*B182+(1-$B$118)*(1-B141)</f>
        <v>1</v>
      </c>
      <c r="C223" s="125">
        <f t="shared" si="49"/>
        <v>0.46144000000000018</v>
      </c>
      <c r="D223" s="125">
        <f t="shared" si="49"/>
        <v>0.34143999999999985</v>
      </c>
    </row>
    <row r="224" spans="1:4" x14ac:dyDescent="0.25">
      <c r="B224" s="125">
        <f t="shared" si="49"/>
        <v>0.46144000000000018</v>
      </c>
      <c r="C224" s="125">
        <f t="shared" si="49"/>
        <v>1</v>
      </c>
      <c r="D224" s="125">
        <f t="shared" si="49"/>
        <v>0</v>
      </c>
    </row>
    <row r="225" spans="1:4" x14ac:dyDescent="0.25">
      <c r="B225" s="125">
        <f t="shared" si="49"/>
        <v>0.34143999999999985</v>
      </c>
      <c r="C225" s="125">
        <f t="shared" si="49"/>
        <v>0</v>
      </c>
      <c r="D225" s="125">
        <f t="shared" si="49"/>
        <v>1</v>
      </c>
    </row>
    <row r="227" spans="1:4" x14ac:dyDescent="0.25">
      <c r="A227" s="123" t="s">
        <v>20</v>
      </c>
      <c r="B227" s="125">
        <f t="shared" ref="B227:D229" si="50">$B$118*B186+(1-$B$118)*(1-B145)</f>
        <v>1</v>
      </c>
      <c r="C227" s="125">
        <f t="shared" si="50"/>
        <v>0.33524655086665817</v>
      </c>
      <c r="D227" s="125">
        <f t="shared" si="50"/>
        <v>0.4682937611670871</v>
      </c>
    </row>
    <row r="228" spans="1:4" x14ac:dyDescent="0.25">
      <c r="B228" s="125">
        <f t="shared" si="50"/>
        <v>0.33524655086665817</v>
      </c>
      <c r="C228" s="125">
        <f t="shared" si="50"/>
        <v>1</v>
      </c>
      <c r="D228" s="125">
        <f t="shared" si="50"/>
        <v>0</v>
      </c>
    </row>
    <row r="229" spans="1:4" x14ac:dyDescent="0.25">
      <c r="B229" s="125">
        <f t="shared" si="50"/>
        <v>0.4682937611670871</v>
      </c>
      <c r="C229" s="125">
        <f t="shared" si="50"/>
        <v>0</v>
      </c>
      <c r="D229" s="125">
        <f t="shared" si="50"/>
        <v>1</v>
      </c>
    </row>
    <row r="231" spans="1:4" x14ac:dyDescent="0.25">
      <c r="A231" s="123" t="s">
        <v>21</v>
      </c>
      <c r="B231" s="125">
        <f t="shared" ref="B231:D233" si="51">$B$118*B190+(1-$B$118)*(1-B149)</f>
        <v>1</v>
      </c>
      <c r="C231" s="125">
        <f t="shared" si="51"/>
        <v>0.97887970615243458</v>
      </c>
      <c r="D231" s="125">
        <f t="shared" si="51"/>
        <v>0</v>
      </c>
    </row>
    <row r="232" spans="1:4" x14ac:dyDescent="0.25">
      <c r="B232" s="125">
        <f t="shared" si="51"/>
        <v>0.97887970615243458</v>
      </c>
      <c r="C232" s="125">
        <f t="shared" si="51"/>
        <v>1</v>
      </c>
      <c r="D232" s="125">
        <f t="shared" si="51"/>
        <v>9.1827364554631762E-3</v>
      </c>
    </row>
    <row r="233" spans="1:4" x14ac:dyDescent="0.25">
      <c r="B233" s="125">
        <f t="shared" si="51"/>
        <v>0</v>
      </c>
      <c r="C233" s="125">
        <f t="shared" si="51"/>
        <v>9.1827364554631762E-3</v>
      </c>
      <c r="D233" s="125">
        <f t="shared" si="51"/>
        <v>1</v>
      </c>
    </row>
    <row r="235" spans="1:4" x14ac:dyDescent="0.25">
      <c r="A235" s="123" t="s">
        <v>23</v>
      </c>
      <c r="B235" s="125">
        <f t="shared" ref="B235:D237" si="52">$B$118*B194+(1-$B$118)*(1-B153)</f>
        <v>1</v>
      </c>
      <c r="C235" s="125">
        <f t="shared" si="52"/>
        <v>0.29626941500943532</v>
      </c>
      <c r="D235" s="125">
        <f t="shared" si="52"/>
        <v>0.51313688488895337</v>
      </c>
    </row>
    <row r="236" spans="1:4" x14ac:dyDescent="0.25">
      <c r="B236" s="125">
        <f t="shared" si="52"/>
        <v>0.29626941500943532</v>
      </c>
      <c r="C236" s="125">
        <f t="shared" si="52"/>
        <v>1</v>
      </c>
      <c r="D236" s="125">
        <f t="shared" si="52"/>
        <v>0</v>
      </c>
    </row>
    <row r="237" spans="1:4" x14ac:dyDescent="0.25">
      <c r="B237" s="125">
        <f t="shared" si="52"/>
        <v>0.51313688488895337</v>
      </c>
      <c r="C237" s="125">
        <f t="shared" si="52"/>
        <v>0</v>
      </c>
      <c r="D237" s="125">
        <f t="shared" si="52"/>
        <v>1</v>
      </c>
    </row>
    <row r="239" spans="1:4" x14ac:dyDescent="0.25">
      <c r="A239" s="123" t="s">
        <v>24</v>
      </c>
      <c r="B239" s="125">
        <f t="shared" ref="B239:D241" si="53">$B$118*B198+(1-$B$118)*(1-B157)</f>
        <v>1</v>
      </c>
      <c r="C239" s="125">
        <f t="shared" si="53"/>
        <v>0</v>
      </c>
      <c r="D239" s="125">
        <f t="shared" si="53"/>
        <v>0.4</v>
      </c>
    </row>
    <row r="240" spans="1:4" x14ac:dyDescent="0.25">
      <c r="B240" s="125">
        <f t="shared" si="53"/>
        <v>0</v>
      </c>
      <c r="C240" s="125">
        <f t="shared" si="53"/>
        <v>1</v>
      </c>
      <c r="D240" s="125">
        <f t="shared" si="53"/>
        <v>0.4</v>
      </c>
    </row>
    <row r="241" spans="1:7" x14ac:dyDescent="0.25">
      <c r="B241" s="125">
        <f t="shared" si="53"/>
        <v>0.4</v>
      </c>
      <c r="C241" s="125">
        <f t="shared" si="53"/>
        <v>0.4</v>
      </c>
      <c r="D241" s="125">
        <f t="shared" si="53"/>
        <v>1</v>
      </c>
    </row>
    <row r="243" spans="1:7" x14ac:dyDescent="0.25">
      <c r="A243" s="1" t="s">
        <v>217</v>
      </c>
    </row>
    <row r="244" spans="1:7" x14ac:dyDescent="0.25">
      <c r="A244" s="87" t="s">
        <v>113</v>
      </c>
      <c r="B244" s="3" t="s">
        <v>107</v>
      </c>
      <c r="C244" s="3" t="s">
        <v>108</v>
      </c>
      <c r="D244" s="3" t="s">
        <v>136</v>
      </c>
    </row>
    <row r="245" spans="1:7" x14ac:dyDescent="0.25">
      <c r="A245" s="41" t="s">
        <v>25</v>
      </c>
      <c r="B245" s="124">
        <f>B203*$C$111+B204*$C$112+B205*$C$113</f>
        <v>0.36907558082540937</v>
      </c>
      <c r="C245" s="124">
        <f t="shared" ref="C245:D245" si="54">C203*$C$111+C204*$C$112+C205*$C$113</f>
        <v>0.60771100872463479</v>
      </c>
      <c r="D245" s="124">
        <f t="shared" si="54"/>
        <v>0.57897657092441912</v>
      </c>
      <c r="E245" s="129"/>
      <c r="F245" s="129"/>
      <c r="G245" s="129"/>
    </row>
    <row r="246" spans="1:7" x14ac:dyDescent="0.25">
      <c r="A246" s="41" t="s">
        <v>14</v>
      </c>
      <c r="B246" s="124">
        <f>B207*$C$111+B207*$C$112+B209*$C$113</f>
        <v>0.83111111111111102</v>
      </c>
      <c r="C246" s="124">
        <f t="shared" ref="C246:D246" si="55">C207*$C$111+C207*$C$112+C209*$C$113</f>
        <v>0.14666666666666675</v>
      </c>
      <c r="D246" s="124">
        <f t="shared" si="55"/>
        <v>0.74666666666666659</v>
      </c>
      <c r="E246" s="129"/>
      <c r="F246" s="129"/>
      <c r="G246" s="129"/>
    </row>
    <row r="247" spans="1:7" x14ac:dyDescent="0.25">
      <c r="A247" s="41" t="s">
        <v>15</v>
      </c>
      <c r="B247" s="124">
        <f>B211*$C$111+B212*$C$112+B213*$C$113</f>
        <v>0.55077653590474096</v>
      </c>
      <c r="C247" s="124">
        <f t="shared" ref="C247:D247" si="56">C211*$C$111+C212*$C$112+C213*$C$113</f>
        <v>0.38325516838337359</v>
      </c>
      <c r="D247" s="124">
        <f t="shared" si="56"/>
        <v>0.65052377821608598</v>
      </c>
      <c r="E247" s="129"/>
      <c r="F247" s="129"/>
      <c r="G247" s="129"/>
    </row>
    <row r="248" spans="1:7" x14ac:dyDescent="0.25">
      <c r="A248" s="41" t="s">
        <v>16</v>
      </c>
      <c r="B248" s="124">
        <f>B215*$C$111+B216*$C$112+B217*$C$113</f>
        <v>0.5714793051999485</v>
      </c>
      <c r="C248" s="124">
        <f t="shared" ref="C248:D248" si="57">C215*$C$111+C216*$C$112+C217*$C$113</f>
        <v>0.4906585127742269</v>
      </c>
      <c r="D248" s="124">
        <f t="shared" si="57"/>
        <v>0.46061559431929117</v>
      </c>
      <c r="E248" s="129"/>
      <c r="F248" s="129"/>
      <c r="G248" s="129"/>
    </row>
    <row r="249" spans="1:7" x14ac:dyDescent="0.25">
      <c r="A249" s="41" t="s">
        <v>18</v>
      </c>
      <c r="B249" s="124">
        <f>B219*$C$111+B220*$C$112+B221*$C$113</f>
        <v>0.62363830544677823</v>
      </c>
      <c r="C249" s="124">
        <f t="shared" ref="C249:D249" si="58">C219*$C$111+C220*$C$112+C221*$C$113</f>
        <v>0.35137059451762193</v>
      </c>
      <c r="D249" s="124">
        <f t="shared" si="58"/>
        <v>0.60420078319686721</v>
      </c>
      <c r="E249" s="129"/>
      <c r="F249" s="129"/>
      <c r="G249" s="129"/>
    </row>
    <row r="250" spans="1:7" x14ac:dyDescent="0.25">
      <c r="A250" s="41" t="s">
        <v>19</v>
      </c>
      <c r="B250" s="124">
        <f>B223*$C$111+B224*$C$112+B225*$C$113</f>
        <v>0.57500799999999996</v>
      </c>
      <c r="C250" s="124">
        <f t="shared" ref="C250:D250" si="59">C223*$C$111+C224*$C$112+C225*$C$113</f>
        <v>0.43843200000000004</v>
      </c>
      <c r="D250" s="124">
        <f t="shared" si="59"/>
        <v>0.50243199999999999</v>
      </c>
      <c r="E250" s="129"/>
      <c r="F250" s="129"/>
      <c r="G250" s="129"/>
    </row>
    <row r="251" spans="1:7" x14ac:dyDescent="0.25">
      <c r="A251" s="41" t="s">
        <v>20</v>
      </c>
      <c r="B251" s="124">
        <f>B227*$C$111+B228*$C$112+B229*$C$113</f>
        <v>0.58789146972683226</v>
      </c>
      <c r="C251" s="124">
        <f t="shared" ref="C251:D251" si="60">C227*$C$111+C228*$C$112+C229*$C$113</f>
        <v>0.40057396525999744</v>
      </c>
      <c r="D251" s="124">
        <f t="shared" si="60"/>
        <v>0.54048812835012616</v>
      </c>
      <c r="E251" s="129"/>
      <c r="F251" s="129"/>
      <c r="G251" s="129"/>
    </row>
    <row r="252" spans="1:7" x14ac:dyDescent="0.25">
      <c r="A252" s="41" t="s">
        <v>21</v>
      </c>
      <c r="B252" s="124">
        <f>B231*$C$111+B232*$C$112+B233*$C$113</f>
        <v>0.59366391184573031</v>
      </c>
      <c r="C252" s="124">
        <f t="shared" ref="C252:D252" si="61">C231*$C$111+C232*$C$112+C233*$C$113</f>
        <v>0.59733700642791554</v>
      </c>
      <c r="D252" s="124">
        <f t="shared" si="61"/>
        <v>0.402754820936639</v>
      </c>
      <c r="E252" s="129"/>
      <c r="F252" s="129"/>
      <c r="G252" s="129"/>
    </row>
    <row r="253" spans="1:7" x14ac:dyDescent="0.25">
      <c r="A253" s="41" t="s">
        <v>23</v>
      </c>
      <c r="B253" s="124">
        <f>B235*$C$111+B236*$C$112+B237*$C$113</f>
        <v>0.59413557845841192</v>
      </c>
      <c r="C253" s="124">
        <f t="shared" ref="C253:D253" si="62">C235*$C$111+C236*$C$112+C237*$C$113</f>
        <v>0.38888082450283057</v>
      </c>
      <c r="D253" s="124">
        <f t="shared" si="62"/>
        <v>0.55394106546668609</v>
      </c>
      <c r="E253" s="129"/>
      <c r="F253" s="129"/>
      <c r="G253" s="129"/>
    </row>
    <row r="254" spans="1:7" x14ac:dyDescent="0.25">
      <c r="A254" s="41" t="s">
        <v>24</v>
      </c>
      <c r="B254" s="124">
        <f>B239*$C$111+B240*$C$112+B241*$C$113</f>
        <v>0.46</v>
      </c>
      <c r="C254" s="124">
        <f t="shared" ref="C254:D254" si="63">C239*$C$111+C240*$C$112+C241*$C$113</f>
        <v>0.46</v>
      </c>
      <c r="D254" s="124">
        <f t="shared" si="63"/>
        <v>0.64</v>
      </c>
      <c r="E254" s="129"/>
      <c r="F254" s="129"/>
      <c r="G254" s="129"/>
    </row>
    <row r="256" spans="1:7" x14ac:dyDescent="0.25">
      <c r="A256" s="1" t="s">
        <v>218</v>
      </c>
    </row>
    <row r="257" spans="1:8" x14ac:dyDescent="0.25">
      <c r="A257" s="87" t="s">
        <v>113</v>
      </c>
      <c r="B257" s="3" t="s">
        <v>107</v>
      </c>
      <c r="C257" s="3" t="s">
        <v>108</v>
      </c>
      <c r="D257" s="3" t="s">
        <v>136</v>
      </c>
      <c r="E257" s="127" t="s">
        <v>161</v>
      </c>
    </row>
    <row r="258" spans="1:8" x14ac:dyDescent="0.25">
      <c r="A258" s="41" t="s">
        <v>25</v>
      </c>
      <c r="B258" s="124">
        <f>B245/SUM($B245:$D245)</f>
        <v>0.23723121243779283</v>
      </c>
      <c r="C258" s="124">
        <f>C245/SUM($B245:$D245)</f>
        <v>0.39061923058989284</v>
      </c>
      <c r="D258" s="124">
        <f t="shared" ref="D258" si="64">D245/SUM($B245:$D245)</f>
        <v>0.37214955697231433</v>
      </c>
      <c r="E258" s="126">
        <f>SUM(B258:D258)</f>
        <v>1</v>
      </c>
      <c r="F258" s="129"/>
      <c r="G258" s="129"/>
      <c r="H258" s="129"/>
    </row>
    <row r="259" spans="1:8" x14ac:dyDescent="0.25">
      <c r="A259" s="41" t="s">
        <v>14</v>
      </c>
      <c r="B259" s="124">
        <f t="shared" ref="B259:D267" si="65">B246/SUM($B246:$D246)</f>
        <v>0.48195876288659789</v>
      </c>
      <c r="C259" s="124">
        <f t="shared" si="65"/>
        <v>8.5051546391752622E-2</v>
      </c>
      <c r="D259" s="124">
        <f t="shared" si="65"/>
        <v>0.43298969072164945</v>
      </c>
      <c r="E259" s="126">
        <f t="shared" ref="E259:E267" si="66">SUM(B259:D259)</f>
        <v>1</v>
      </c>
      <c r="F259" s="129"/>
      <c r="G259" s="129"/>
      <c r="H259" s="129"/>
    </row>
    <row r="260" spans="1:8" x14ac:dyDescent="0.25">
      <c r="A260" s="41" t="s">
        <v>15</v>
      </c>
      <c r="B260" s="124">
        <f t="shared" si="65"/>
        <v>0.34759056529488286</v>
      </c>
      <c r="C260" s="124">
        <f t="shared" si="65"/>
        <v>0.24186920093052508</v>
      </c>
      <c r="D260" s="124">
        <f t="shared" si="65"/>
        <v>0.41054023377459203</v>
      </c>
      <c r="E260" s="126">
        <f t="shared" si="66"/>
        <v>1</v>
      </c>
      <c r="F260" s="129"/>
      <c r="G260" s="129"/>
      <c r="H260" s="129"/>
    </row>
    <row r="261" spans="1:8" x14ac:dyDescent="0.25">
      <c r="A261" s="41" t="s">
        <v>16</v>
      </c>
      <c r="B261" s="124">
        <f t="shared" si="65"/>
        <v>0.37529339982842375</v>
      </c>
      <c r="C261" s="124">
        <f t="shared" si="65"/>
        <v>0.32221796964173655</v>
      </c>
      <c r="D261" s="124">
        <f t="shared" si="65"/>
        <v>0.30248863052983976</v>
      </c>
      <c r="E261" s="126">
        <f t="shared" si="66"/>
        <v>1</v>
      </c>
      <c r="F261" s="129"/>
      <c r="G261" s="129"/>
      <c r="H261" s="129"/>
    </row>
    <row r="262" spans="1:8" x14ac:dyDescent="0.25">
      <c r="A262" s="41" t="s">
        <v>18</v>
      </c>
      <c r="B262" s="124">
        <f t="shared" si="65"/>
        <v>0.39490532010820556</v>
      </c>
      <c r="C262" s="124">
        <f t="shared" si="65"/>
        <v>0.22249774571686204</v>
      </c>
      <c r="D262" s="124">
        <f t="shared" si="65"/>
        <v>0.38259693417493235</v>
      </c>
      <c r="E262" s="126">
        <f t="shared" si="66"/>
        <v>0.99999999999999989</v>
      </c>
      <c r="F262" s="129"/>
      <c r="G262" s="129"/>
      <c r="H262" s="129"/>
    </row>
    <row r="263" spans="1:8" x14ac:dyDescent="0.25">
      <c r="A263" s="41" t="s">
        <v>19</v>
      </c>
      <c r="B263" s="124">
        <f t="shared" si="65"/>
        <v>0.37932490342192476</v>
      </c>
      <c r="C263" s="124">
        <f t="shared" si="65"/>
        <v>0.28922758649806846</v>
      </c>
      <c r="D263" s="124">
        <f t="shared" si="65"/>
        <v>0.33144751008000672</v>
      </c>
      <c r="E263" s="126">
        <f t="shared" si="66"/>
        <v>1</v>
      </c>
      <c r="F263" s="129"/>
      <c r="G263" s="129"/>
      <c r="H263" s="129"/>
    </row>
    <row r="264" spans="1:8" x14ac:dyDescent="0.25">
      <c r="A264" s="41" t="s">
        <v>20</v>
      </c>
      <c r="B264" s="124">
        <f t="shared" si="65"/>
        <v>0.38450577167546768</v>
      </c>
      <c r="C264" s="124">
        <f t="shared" si="65"/>
        <v>0.26199223760971585</v>
      </c>
      <c r="D264" s="124">
        <f t="shared" si="65"/>
        <v>0.35350199071481653</v>
      </c>
      <c r="E264" s="126">
        <f t="shared" si="66"/>
        <v>1</v>
      </c>
      <c r="F264" s="129"/>
      <c r="G264" s="129"/>
      <c r="H264" s="129"/>
    </row>
    <row r="265" spans="1:8" x14ac:dyDescent="0.25">
      <c r="A265" s="41" t="s">
        <v>21</v>
      </c>
      <c r="B265" s="124">
        <f t="shared" si="65"/>
        <v>0.37249366213413243</v>
      </c>
      <c r="C265" s="124">
        <f t="shared" si="65"/>
        <v>0.37479834063148187</v>
      </c>
      <c r="D265" s="124">
        <f t="shared" si="65"/>
        <v>0.2527079972343857</v>
      </c>
      <c r="E265" s="126">
        <f t="shared" si="66"/>
        <v>1</v>
      </c>
      <c r="F265" s="129"/>
      <c r="G265" s="129"/>
      <c r="H265" s="129"/>
    </row>
    <row r="266" spans="1:8" x14ac:dyDescent="0.25">
      <c r="A266" s="41" t="s">
        <v>23</v>
      </c>
      <c r="B266" s="124">
        <f t="shared" si="65"/>
        <v>0.38656605056620164</v>
      </c>
      <c r="C266" s="124">
        <f t="shared" si="65"/>
        <v>0.25301989969871835</v>
      </c>
      <c r="D266" s="124">
        <f t="shared" si="65"/>
        <v>0.36041404973508001</v>
      </c>
      <c r="E266" s="126">
        <f t="shared" si="66"/>
        <v>1</v>
      </c>
      <c r="F266" s="129"/>
      <c r="G266" s="129"/>
      <c r="H266" s="129"/>
    </row>
    <row r="267" spans="1:8" x14ac:dyDescent="0.25">
      <c r="A267" s="41" t="s">
        <v>24</v>
      </c>
      <c r="B267" s="124">
        <f t="shared" si="65"/>
        <v>0.29487179487179488</v>
      </c>
      <c r="C267" s="124">
        <f t="shared" si="65"/>
        <v>0.29487179487179488</v>
      </c>
      <c r="D267" s="124">
        <f t="shared" si="65"/>
        <v>0.41025641025641024</v>
      </c>
      <c r="E267" s="126">
        <f t="shared" si="66"/>
        <v>1</v>
      </c>
      <c r="F267" s="129"/>
      <c r="G267" s="129"/>
      <c r="H267" s="129"/>
    </row>
    <row r="269" spans="1:8" x14ac:dyDescent="0.25">
      <c r="A269" s="1" t="s">
        <v>219</v>
      </c>
    </row>
    <row r="270" spans="1:8" x14ac:dyDescent="0.25">
      <c r="A270" s="87" t="s">
        <v>113</v>
      </c>
      <c r="B270" s="87" t="s">
        <v>114</v>
      </c>
      <c r="C270" s="87" t="s">
        <v>115</v>
      </c>
      <c r="D270" s="87" t="s">
        <v>116</v>
      </c>
    </row>
    <row r="271" spans="1:8" x14ac:dyDescent="0.25">
      <c r="A271" s="41" t="s">
        <v>25</v>
      </c>
      <c r="B271" s="2">
        <f t="shared" ref="B271:B280" si="67">J12</f>
        <v>14.15</v>
      </c>
      <c r="C271" s="2">
        <f t="shared" ref="C271:C280" si="68">J42</f>
        <v>12.425000000000001</v>
      </c>
      <c r="D271" s="2">
        <f t="shared" ref="D271:D280" si="69">J72</f>
        <v>11.625</v>
      </c>
    </row>
    <row r="272" spans="1:8" x14ac:dyDescent="0.25">
      <c r="A272" s="41" t="s">
        <v>14</v>
      </c>
      <c r="B272" s="2">
        <f t="shared" si="67"/>
        <v>6.6000000000000005</v>
      </c>
      <c r="C272" s="2">
        <f t="shared" si="68"/>
        <v>8.25</v>
      </c>
      <c r="D272" s="2">
        <f t="shared" si="69"/>
        <v>5.7750000000000004</v>
      </c>
    </row>
    <row r="273" spans="1:7" x14ac:dyDescent="0.25">
      <c r="A273" s="41" t="s">
        <v>15</v>
      </c>
      <c r="B273" s="2">
        <f t="shared" si="67"/>
        <v>9.9</v>
      </c>
      <c r="C273" s="2">
        <f t="shared" si="68"/>
        <v>15.75</v>
      </c>
      <c r="D273" s="2">
        <f t="shared" si="69"/>
        <v>11.600000000000001</v>
      </c>
    </row>
    <row r="274" spans="1:7" x14ac:dyDescent="0.25">
      <c r="A274" s="41" t="s">
        <v>16</v>
      </c>
      <c r="B274" s="2">
        <f t="shared" si="67"/>
        <v>12.450000000000001</v>
      </c>
      <c r="C274" s="2">
        <f t="shared" si="68"/>
        <v>14.1</v>
      </c>
      <c r="D274" s="2">
        <f t="shared" si="69"/>
        <v>8.2750000000000004</v>
      </c>
    </row>
    <row r="275" spans="1:7" x14ac:dyDescent="0.25">
      <c r="A275" s="41" t="s">
        <v>18</v>
      </c>
      <c r="B275" s="2">
        <f t="shared" si="67"/>
        <v>10.75</v>
      </c>
      <c r="C275" s="2">
        <f t="shared" si="68"/>
        <v>15.75</v>
      </c>
      <c r="D275" s="2">
        <f t="shared" si="69"/>
        <v>9.125</v>
      </c>
    </row>
    <row r="276" spans="1:7" x14ac:dyDescent="0.25">
      <c r="A276" s="41" t="s">
        <v>19</v>
      </c>
      <c r="B276" s="2">
        <f t="shared" si="67"/>
        <v>10.8</v>
      </c>
      <c r="C276" s="2">
        <f t="shared" si="68"/>
        <v>14.1</v>
      </c>
      <c r="D276" s="2">
        <f t="shared" si="69"/>
        <v>6.6</v>
      </c>
    </row>
    <row r="277" spans="1:7" x14ac:dyDescent="0.25">
      <c r="A277" s="41" t="s">
        <v>20</v>
      </c>
      <c r="B277" s="2">
        <f t="shared" si="67"/>
        <v>10.8</v>
      </c>
      <c r="C277" s="2">
        <f t="shared" si="68"/>
        <v>14.1</v>
      </c>
      <c r="D277" s="2">
        <f t="shared" si="69"/>
        <v>8.2750000000000004</v>
      </c>
    </row>
    <row r="278" spans="1:7" x14ac:dyDescent="0.25">
      <c r="A278" s="41" t="s">
        <v>21</v>
      </c>
      <c r="B278" s="2">
        <f t="shared" si="67"/>
        <v>12.45</v>
      </c>
      <c r="C278" s="2">
        <f t="shared" si="68"/>
        <v>12.425000000000001</v>
      </c>
      <c r="D278" s="2">
        <f t="shared" si="69"/>
        <v>10.8</v>
      </c>
    </row>
    <row r="279" spans="1:7" x14ac:dyDescent="0.25">
      <c r="A279" s="41" t="s">
        <v>23</v>
      </c>
      <c r="B279" s="2">
        <f t="shared" si="67"/>
        <v>10.75</v>
      </c>
      <c r="C279" s="2">
        <f t="shared" si="68"/>
        <v>13.275</v>
      </c>
      <c r="D279" s="2">
        <f t="shared" si="69"/>
        <v>9.125</v>
      </c>
    </row>
    <row r="280" spans="1:7" x14ac:dyDescent="0.25">
      <c r="A280" s="41" t="s">
        <v>24</v>
      </c>
      <c r="B280" s="2">
        <f t="shared" si="67"/>
        <v>8.2750000000000004</v>
      </c>
      <c r="C280" s="2">
        <f t="shared" si="68"/>
        <v>13.275</v>
      </c>
      <c r="D280" s="2">
        <f t="shared" si="69"/>
        <v>10.775</v>
      </c>
    </row>
    <row r="282" spans="1:7" x14ac:dyDescent="0.25">
      <c r="A282" s="1" t="s">
        <v>220</v>
      </c>
    </row>
    <row r="283" spans="1:7" ht="75" x14ac:dyDescent="0.25">
      <c r="A283" s="87" t="s">
        <v>113</v>
      </c>
      <c r="B283" s="87" t="s">
        <v>165</v>
      </c>
      <c r="C283" s="87" t="s">
        <v>166</v>
      </c>
      <c r="D283" s="87" t="s">
        <v>167</v>
      </c>
      <c r="E283" s="87" t="s">
        <v>172</v>
      </c>
      <c r="F283" s="87" t="s">
        <v>207</v>
      </c>
      <c r="G283" s="87" t="s">
        <v>221</v>
      </c>
    </row>
    <row r="284" spans="1:7" x14ac:dyDescent="0.25">
      <c r="A284" s="41" t="s">
        <v>25</v>
      </c>
      <c r="B284" s="130">
        <f>B271*B258</f>
        <v>3.3568216559947688</v>
      </c>
      <c r="C284" s="130">
        <f t="shared" ref="C284:D284" si="70">C271*C258</f>
        <v>4.8534439400794191</v>
      </c>
      <c r="D284" s="130">
        <f t="shared" si="70"/>
        <v>4.3262385998031538</v>
      </c>
      <c r="E284" s="130">
        <f>B284+C284+D284</f>
        <v>12.536504195877342</v>
      </c>
      <c r="F284" s="130">
        <v>12.67773870234074</v>
      </c>
      <c r="G284" s="130">
        <v>12.659453791469193</v>
      </c>
    </row>
    <row r="285" spans="1:7" x14ac:dyDescent="0.25">
      <c r="A285" s="41" t="s">
        <v>14</v>
      </c>
      <c r="B285" s="130">
        <f t="shared" ref="B285:D285" si="71">B272*B259</f>
        <v>3.1809278350515462</v>
      </c>
      <c r="C285" s="130">
        <f t="shared" si="71"/>
        <v>0.70167525773195916</v>
      </c>
      <c r="D285" s="130">
        <f t="shared" si="71"/>
        <v>2.5005154639175258</v>
      </c>
      <c r="E285" s="130">
        <f t="shared" ref="E285:E293" si="72">B285+C285+D285</f>
        <v>6.3831185567010316</v>
      </c>
      <c r="F285" s="130">
        <v>6.8145000000000007</v>
      </c>
      <c r="G285" s="130">
        <v>6.8025638297872337</v>
      </c>
    </row>
    <row r="286" spans="1:7" x14ac:dyDescent="0.25">
      <c r="A286" s="41" t="s">
        <v>15</v>
      </c>
      <c r="B286" s="130">
        <f t="shared" ref="B286:D286" si="73">B273*B260</f>
        <v>3.4411465964193404</v>
      </c>
      <c r="C286" s="130">
        <f t="shared" si="73"/>
        <v>3.80943991465577</v>
      </c>
      <c r="D286" s="130">
        <f t="shared" si="73"/>
        <v>4.7622667117852684</v>
      </c>
      <c r="E286" s="130">
        <f t="shared" si="72"/>
        <v>12.012853222860379</v>
      </c>
      <c r="F286" s="130">
        <v>12.319369394929994</v>
      </c>
      <c r="G286" s="130">
        <v>12.313911392405064</v>
      </c>
    </row>
    <row r="287" spans="1:7" x14ac:dyDescent="0.25">
      <c r="A287" s="41" t="s">
        <v>16</v>
      </c>
      <c r="B287" s="130">
        <f t="shared" ref="B287:D287" si="74">B274*B261</f>
        <v>4.6724028278638761</v>
      </c>
      <c r="C287" s="130">
        <f t="shared" si="74"/>
        <v>4.5432733719484855</v>
      </c>
      <c r="D287" s="130">
        <f t="shared" si="74"/>
        <v>2.5030934176344242</v>
      </c>
      <c r="E287" s="130">
        <f t="shared" si="72"/>
        <v>11.718769617446785</v>
      </c>
      <c r="F287" s="130">
        <v>11.586481595460414</v>
      </c>
      <c r="G287" s="130">
        <v>11.463419943820226</v>
      </c>
    </row>
    <row r="288" spans="1:7" x14ac:dyDescent="0.25">
      <c r="A288" s="41" t="s">
        <v>18</v>
      </c>
      <c r="B288" s="130">
        <f t="shared" ref="B288:D288" si="75">B275*B262</f>
        <v>4.2452321911632094</v>
      </c>
      <c r="C288" s="130">
        <f t="shared" si="75"/>
        <v>3.5043394950405773</v>
      </c>
      <c r="D288" s="130">
        <f t="shared" si="75"/>
        <v>3.4911970243462576</v>
      </c>
      <c r="E288" s="130">
        <f t="shared" si="72"/>
        <v>11.240768710550045</v>
      </c>
      <c r="F288" s="130">
        <v>11.656913693599162</v>
      </c>
      <c r="G288" s="130">
        <v>11.622316176470587</v>
      </c>
    </row>
    <row r="289" spans="1:7" x14ac:dyDescent="0.25">
      <c r="A289" s="41" t="s">
        <v>19</v>
      </c>
      <c r="B289" s="130">
        <f t="shared" ref="B289:D289" si="76">B276*B263</f>
        <v>4.0967089569567881</v>
      </c>
      <c r="C289" s="130">
        <f t="shared" si="76"/>
        <v>4.0781089696227655</v>
      </c>
      <c r="D289" s="130">
        <f t="shared" si="76"/>
        <v>2.1875535665280443</v>
      </c>
      <c r="E289" s="130">
        <f t="shared" si="72"/>
        <v>10.362371493107599</v>
      </c>
      <c r="F289" s="130">
        <v>10.449163356822549</v>
      </c>
      <c r="G289" s="130">
        <v>10.293906976744186</v>
      </c>
    </row>
    <row r="290" spans="1:7" x14ac:dyDescent="0.25">
      <c r="A290" s="41" t="s">
        <v>20</v>
      </c>
      <c r="B290" s="130">
        <f t="shared" ref="B290:D290" si="77">B277*B264</f>
        <v>4.1526623340950515</v>
      </c>
      <c r="C290" s="130">
        <f t="shared" si="77"/>
        <v>3.6940905502969934</v>
      </c>
      <c r="D290" s="130">
        <f t="shared" si="77"/>
        <v>2.9252289731651069</v>
      </c>
      <c r="E290" s="130">
        <f t="shared" si="72"/>
        <v>10.771981857557151</v>
      </c>
      <c r="F290" s="130">
        <v>10.940344509006392</v>
      </c>
      <c r="G290" s="130">
        <v>10.874425561797752</v>
      </c>
    </row>
    <row r="291" spans="1:7" x14ac:dyDescent="0.25">
      <c r="A291" s="41" t="s">
        <v>21</v>
      </c>
      <c r="B291" s="130">
        <f t="shared" ref="B291:D291" si="78">B278*B265</f>
        <v>4.6375460935699486</v>
      </c>
      <c r="C291" s="130">
        <f t="shared" si="78"/>
        <v>4.6568693823461622</v>
      </c>
      <c r="D291" s="130">
        <f t="shared" si="78"/>
        <v>2.7292463701313658</v>
      </c>
      <c r="E291" s="130">
        <f t="shared" si="72"/>
        <v>12.023661846047476</v>
      </c>
      <c r="F291" s="130">
        <v>11.86352418264635</v>
      </c>
      <c r="G291" s="130">
        <v>11.83417576791809</v>
      </c>
    </row>
    <row r="292" spans="1:7" x14ac:dyDescent="0.25">
      <c r="A292" s="41" t="s">
        <v>23</v>
      </c>
      <c r="B292" s="130">
        <f t="shared" ref="B292:D292" si="79">B279*B266</f>
        <v>4.1555850435866679</v>
      </c>
      <c r="C292" s="130">
        <f t="shared" si="79"/>
        <v>3.3588391685004861</v>
      </c>
      <c r="D292" s="130">
        <f t="shared" si="79"/>
        <v>3.2887782038326052</v>
      </c>
      <c r="E292" s="130">
        <f t="shared" si="72"/>
        <v>10.80320241591976</v>
      </c>
      <c r="F292" s="130">
        <v>10.957194855926748</v>
      </c>
      <c r="G292" s="130">
        <v>10.92171437740693</v>
      </c>
    </row>
    <row r="293" spans="1:7" x14ac:dyDescent="0.25">
      <c r="A293" s="41" t="s">
        <v>24</v>
      </c>
      <c r="B293" s="130">
        <f t="shared" ref="B293:D293" si="80">B280*B267</f>
        <v>2.4400641025641026</v>
      </c>
      <c r="C293" s="130">
        <f t="shared" si="80"/>
        <v>3.914423076923077</v>
      </c>
      <c r="D293" s="130">
        <f t="shared" si="80"/>
        <v>4.4205128205128208</v>
      </c>
      <c r="E293" s="130">
        <f t="shared" si="72"/>
        <v>10.775</v>
      </c>
      <c r="F293" s="130">
        <v>10.78987555113917</v>
      </c>
      <c r="G293" s="130">
        <v>10.774999999999999</v>
      </c>
    </row>
    <row r="295" spans="1:7" x14ac:dyDescent="0.25">
      <c r="A295" s="1" t="s">
        <v>225</v>
      </c>
    </row>
    <row r="296" spans="1:7" ht="30" x14ac:dyDescent="0.25">
      <c r="A296" s="87" t="s">
        <v>113</v>
      </c>
      <c r="B296" s="87" t="s">
        <v>172</v>
      </c>
      <c r="C296" t="s">
        <v>208</v>
      </c>
    </row>
    <row r="297" spans="1:7" x14ac:dyDescent="0.25">
      <c r="A297" s="333" t="s">
        <v>25</v>
      </c>
      <c r="B297" s="334">
        <v>12.536504195877342</v>
      </c>
      <c r="C297" s="125">
        <v>12.537000000000001</v>
      </c>
    </row>
    <row r="298" spans="1:7" x14ac:dyDescent="0.25">
      <c r="A298" s="333" t="s">
        <v>21</v>
      </c>
      <c r="B298" s="334">
        <v>12.023661846047476</v>
      </c>
      <c r="C298" s="125">
        <v>12.023999999999999</v>
      </c>
    </row>
    <row r="299" spans="1:7" x14ac:dyDescent="0.25">
      <c r="A299" s="333" t="s">
        <v>15</v>
      </c>
      <c r="B299" s="334">
        <v>12.012853222860379</v>
      </c>
      <c r="C299" s="125">
        <v>12.013</v>
      </c>
    </row>
    <row r="300" spans="1:7" x14ac:dyDescent="0.25">
      <c r="A300" s="333" t="s">
        <v>16</v>
      </c>
      <c r="B300" s="334">
        <v>11.718769617446785</v>
      </c>
      <c r="C300" s="125">
        <v>11.718999999999999</v>
      </c>
    </row>
    <row r="301" spans="1:7" x14ac:dyDescent="0.25">
      <c r="A301" s="333" t="s">
        <v>18</v>
      </c>
      <c r="B301" s="334">
        <v>11.240768710550045</v>
      </c>
      <c r="C301" s="125">
        <v>11.241</v>
      </c>
    </row>
    <row r="302" spans="1:7" x14ac:dyDescent="0.25">
      <c r="A302" s="333" t="s">
        <v>23</v>
      </c>
      <c r="B302" s="334">
        <v>10.80320241591976</v>
      </c>
      <c r="C302" s="125">
        <v>10.803000000000001</v>
      </c>
    </row>
    <row r="303" spans="1:7" x14ac:dyDescent="0.25">
      <c r="A303" s="333" t="s">
        <v>24</v>
      </c>
      <c r="B303" s="334">
        <v>10.775</v>
      </c>
      <c r="C303" s="125">
        <v>10.775</v>
      </c>
    </row>
    <row r="304" spans="1:7" x14ac:dyDescent="0.25">
      <c r="A304" s="333" t="s">
        <v>20</v>
      </c>
      <c r="B304" s="334">
        <v>10.771981857557151</v>
      </c>
      <c r="C304" s="125">
        <v>10.772</v>
      </c>
    </row>
    <row r="305" spans="1:3" x14ac:dyDescent="0.25">
      <c r="A305" s="333" t="s">
        <v>19</v>
      </c>
      <c r="B305" s="334">
        <v>10.362371493107599</v>
      </c>
      <c r="C305" s="125">
        <v>10.362</v>
      </c>
    </row>
    <row r="306" spans="1:3" x14ac:dyDescent="0.25">
      <c r="A306" s="333" t="s">
        <v>14</v>
      </c>
      <c r="B306" s="334">
        <v>6.3831185567010316</v>
      </c>
      <c r="C306" s="125">
        <v>6.6920000000000002</v>
      </c>
    </row>
  </sheetData>
  <sortState xmlns:xlrd2="http://schemas.microsoft.com/office/spreadsheetml/2017/richdata2" ref="A297:I306">
    <sortCondition descending="1" ref="B297:B306"/>
  </sortState>
  <mergeCells count="20">
    <mergeCell ref="J70:J71"/>
    <mergeCell ref="G10:I10"/>
    <mergeCell ref="J10:J11"/>
    <mergeCell ref="A40:A41"/>
    <mergeCell ref="B40:B41"/>
    <mergeCell ref="C40:C41"/>
    <mergeCell ref="D40:F40"/>
    <mergeCell ref="G40:I40"/>
    <mergeCell ref="J40:J41"/>
    <mergeCell ref="A70:A71"/>
    <mergeCell ref="B70:B71"/>
    <mergeCell ref="C70:C71"/>
    <mergeCell ref="D70:F70"/>
    <mergeCell ref="G70:I70"/>
    <mergeCell ref="A3:E3"/>
    <mergeCell ref="A5:E5"/>
    <mergeCell ref="A10:A11"/>
    <mergeCell ref="B10:B11"/>
    <mergeCell ref="C10:C11"/>
    <mergeCell ref="D10:F10"/>
  </mergeCells>
  <phoneticPr fontId="6" type="noConversion"/>
  <hyperlinks>
    <hyperlink ref="B2" r:id="rId1" xr:uid="{860BBD14-EA19-4D43-A03B-A8A74BF2458C}"/>
    <hyperlink ref="B4" r:id="rId2" xr:uid="{3C0912E8-117D-4633-BD6C-A9D7D7AA443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Сравнение оценок</vt:lpstr>
      <vt:lpstr>Fuzzy_MoSCoW_коллект_взвеш ср</vt:lpstr>
      <vt:lpstr>Fuzzy_MoSCoW_коллект_Чен 96</vt:lpstr>
      <vt:lpstr>Fuzzy_MoSCoW_коллект_Чен 98</vt:lpstr>
      <vt:lpstr>Fuzzy_MoSCoW_колл_Лю_2006</vt:lpstr>
      <vt:lpstr>Четкий MoSCoW_коллект_взвеш ср</vt:lpstr>
      <vt:lpstr>Четкий MoSCoW_коллект_Chen 96</vt:lpstr>
      <vt:lpstr>Четкий MoSCoW_коллект_Chen 98</vt:lpstr>
      <vt:lpstr>Четкий MoSCoW_коллект_Лю 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Инна Понаровская</cp:lastModifiedBy>
  <dcterms:created xsi:type="dcterms:W3CDTF">2015-06-05T18:17:20Z</dcterms:created>
  <dcterms:modified xsi:type="dcterms:W3CDTF">2026-02-25T00:24:11Z</dcterms:modified>
</cp:coreProperties>
</file>