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9147\Documents\Документы, инвестиции, личные финансы\2024.07.03_Альфа-банк\Магистратура ВШЭ\20_Магистерская диссертация\2025.11.24_PP_артефакты\"/>
    </mc:Choice>
  </mc:AlternateContent>
  <xr:revisionPtr revIDLastSave="0" documentId="13_ncr:1_{8E553D09-6B12-48A6-A481-5A46D9A70C7B}" xr6:coauthVersionLast="47" xr6:coauthVersionMax="47" xr10:uidLastSave="{00000000-0000-0000-0000-000000000000}"/>
  <bookViews>
    <workbookView xWindow="-120" yWindow="-120" windowWidth="20730" windowHeight="11040" xr2:uid="{D0855B5F-E46D-45F1-85BE-68D29B5C9880}"/>
  </bookViews>
  <sheets>
    <sheet name="PERT-диаграмма_итог проекта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5" i="3" l="1"/>
  <c r="O74" i="3"/>
  <c r="E54" i="3"/>
  <c r="I7" i="3"/>
  <c r="F79" i="3"/>
  <c r="G79" i="3"/>
  <c r="F80" i="3"/>
  <c r="G80" i="3"/>
  <c r="F81" i="3"/>
  <c r="G81" i="3"/>
  <c r="F82" i="3"/>
  <c r="G82" i="3"/>
  <c r="O82" i="3" s="1"/>
  <c r="P82" i="3" s="1"/>
  <c r="F83" i="3"/>
  <c r="G83" i="3"/>
  <c r="O83" i="3" s="1"/>
  <c r="P83" i="3" s="1"/>
  <c r="F84" i="3"/>
  <c r="G84" i="3"/>
  <c r="O84" i="3" s="1"/>
  <c r="P84" i="3" s="1"/>
  <c r="F85" i="3"/>
  <c r="G85" i="3"/>
  <c r="O85" i="3" s="1"/>
  <c r="P85" i="3" s="1"/>
  <c r="F86" i="3"/>
  <c r="G86" i="3"/>
  <c r="O86" i="3" s="1"/>
  <c r="P86" i="3" s="1"/>
  <c r="G78" i="3"/>
  <c r="F78" i="3"/>
  <c r="F89" i="3"/>
  <c r="G89" i="3"/>
  <c r="O89" i="3" s="1"/>
  <c r="P89" i="3" s="1"/>
  <c r="F90" i="3"/>
  <c r="G90" i="3"/>
  <c r="O90" i="3" s="1"/>
  <c r="P90" i="3" s="1"/>
  <c r="F91" i="3"/>
  <c r="G91" i="3"/>
  <c r="O91" i="3" s="1"/>
  <c r="P91" i="3" s="1"/>
  <c r="F92" i="3"/>
  <c r="G92" i="3"/>
  <c r="O92" i="3" s="1"/>
  <c r="P92" i="3" s="1"/>
  <c r="F93" i="3"/>
  <c r="G93" i="3"/>
  <c r="O93" i="3" s="1"/>
  <c r="P93" i="3" s="1"/>
  <c r="F94" i="3"/>
  <c r="G94" i="3"/>
  <c r="O94" i="3" s="1"/>
  <c r="P94" i="3" s="1"/>
  <c r="F95" i="3"/>
  <c r="G95" i="3"/>
  <c r="O95" i="3" s="1"/>
  <c r="P95" i="3" s="1"/>
  <c r="G88" i="3"/>
  <c r="O88" i="3" s="1"/>
  <c r="O87" i="3" s="1"/>
  <c r="F88" i="3"/>
  <c r="H88" i="3" s="1"/>
  <c r="G97" i="3"/>
  <c r="G96" i="3"/>
  <c r="F97" i="3"/>
  <c r="F96" i="3"/>
  <c r="G87" i="3"/>
  <c r="F87" i="3"/>
  <c r="E87" i="3"/>
  <c r="O78" i="3"/>
  <c r="H75" i="3"/>
  <c r="H65" i="3"/>
  <c r="H68" i="3"/>
  <c r="O68" i="3"/>
  <c r="P68" i="3" s="1"/>
  <c r="F60" i="3"/>
  <c r="G60" i="3"/>
  <c r="F61" i="3"/>
  <c r="G61" i="3"/>
  <c r="F62" i="3"/>
  <c r="G62" i="3"/>
  <c r="O60" i="3"/>
  <c r="P60" i="3" s="1"/>
  <c r="O61" i="3"/>
  <c r="P61" i="3" s="1"/>
  <c r="H62" i="3"/>
  <c r="O62" i="3"/>
  <c r="P62" i="3" s="1"/>
  <c r="G56" i="3"/>
  <c r="F56" i="3"/>
  <c r="O56" i="3"/>
  <c r="P56" i="3" s="1"/>
  <c r="F53" i="3"/>
  <c r="G53" i="3" s="1"/>
  <c r="F52" i="3"/>
  <c r="G52" i="3" s="1"/>
  <c r="F51" i="3"/>
  <c r="G51" i="3" s="1"/>
  <c r="F37" i="3"/>
  <c r="G37" i="3"/>
  <c r="F38" i="3"/>
  <c r="G38" i="3"/>
  <c r="G35" i="3"/>
  <c r="F35" i="3"/>
  <c r="H37" i="3"/>
  <c r="O37" i="3"/>
  <c r="P37" i="3" s="1"/>
  <c r="H38" i="3"/>
  <c r="O38" i="3"/>
  <c r="P38" i="3" s="1"/>
  <c r="H25" i="3"/>
  <c r="O25" i="3"/>
  <c r="P25" i="3" s="1"/>
  <c r="O97" i="3"/>
  <c r="P97" i="3" s="1"/>
  <c r="H97" i="3"/>
  <c r="O81" i="3"/>
  <c r="P81" i="3" s="1"/>
  <c r="H81" i="3"/>
  <c r="O80" i="3"/>
  <c r="P80" i="3" s="1"/>
  <c r="H80" i="3"/>
  <c r="O79" i="3"/>
  <c r="P79" i="3" s="1"/>
  <c r="H79" i="3"/>
  <c r="G77" i="3"/>
  <c r="G76" i="3" s="1"/>
  <c r="F77" i="3"/>
  <c r="F76" i="3" s="1"/>
  <c r="E77" i="3"/>
  <c r="E76" i="3" s="1"/>
  <c r="P74" i="3"/>
  <c r="H74" i="3"/>
  <c r="O73" i="3"/>
  <c r="P73" i="3" s="1"/>
  <c r="H73" i="3"/>
  <c r="O72" i="3"/>
  <c r="H72" i="3"/>
  <c r="O71" i="3"/>
  <c r="H71" i="3"/>
  <c r="G70" i="3"/>
  <c r="F70" i="3"/>
  <c r="E70" i="3"/>
  <c r="O69" i="3"/>
  <c r="P69" i="3" s="1"/>
  <c r="H69" i="3"/>
  <c r="O67" i="3"/>
  <c r="P67" i="3" s="1"/>
  <c r="H67" i="3"/>
  <c r="O66" i="3"/>
  <c r="P66" i="3" s="1"/>
  <c r="H66" i="3"/>
  <c r="O65" i="3"/>
  <c r="O64" i="3" s="1"/>
  <c r="G64" i="3"/>
  <c r="G63" i="3" s="1"/>
  <c r="F64" i="3"/>
  <c r="E64" i="3"/>
  <c r="E63" i="3" s="1"/>
  <c r="G59" i="3"/>
  <c r="O59" i="3" s="1"/>
  <c r="O58" i="3" s="1"/>
  <c r="F59" i="3"/>
  <c r="H59" i="3" s="1"/>
  <c r="G58" i="3"/>
  <c r="F58" i="3"/>
  <c r="E58" i="3"/>
  <c r="G57" i="3"/>
  <c r="O57" i="3" s="1"/>
  <c r="P57" i="3" s="1"/>
  <c r="F57" i="3"/>
  <c r="H57" i="3" s="1"/>
  <c r="G55" i="3"/>
  <c r="O55" i="3" s="1"/>
  <c r="O54" i="3" s="1"/>
  <c r="F55" i="3"/>
  <c r="H55" i="3" s="1"/>
  <c r="G54" i="3"/>
  <c r="F54" i="3"/>
  <c r="F49" i="3" s="1"/>
  <c r="H50" i="3"/>
  <c r="G48" i="3"/>
  <c r="O48" i="3" s="1"/>
  <c r="P48" i="3" s="1"/>
  <c r="F48" i="3"/>
  <c r="H48" i="3" s="1"/>
  <c r="G47" i="3"/>
  <c r="O47" i="3" s="1"/>
  <c r="P47" i="3" s="1"/>
  <c r="F47" i="3"/>
  <c r="G46" i="3"/>
  <c r="O46" i="3" s="1"/>
  <c r="P46" i="3" s="1"/>
  <c r="F46" i="3"/>
  <c r="G45" i="3"/>
  <c r="F45" i="3"/>
  <c r="F44" i="3"/>
  <c r="E44" i="3"/>
  <c r="F43" i="3"/>
  <c r="F42" i="3"/>
  <c r="F41" i="3"/>
  <c r="E40" i="3"/>
  <c r="G39" i="3"/>
  <c r="O39" i="3" s="1"/>
  <c r="P39" i="3" s="1"/>
  <c r="F39" i="3"/>
  <c r="H39" i="3" s="1"/>
  <c r="G36" i="3"/>
  <c r="O36" i="3" s="1"/>
  <c r="P36" i="3" s="1"/>
  <c r="F36" i="3"/>
  <c r="H36" i="3" s="1"/>
  <c r="O35" i="3"/>
  <c r="O34" i="3" s="1"/>
  <c r="G34" i="3"/>
  <c r="E34" i="3"/>
  <c r="F33" i="3"/>
  <c r="F32" i="3"/>
  <c r="F31" i="3"/>
  <c r="F30" i="3"/>
  <c r="F29" i="3"/>
  <c r="E28" i="3"/>
  <c r="O26" i="3"/>
  <c r="P26" i="3" s="1"/>
  <c r="H26" i="3"/>
  <c r="O24" i="3"/>
  <c r="P24" i="3" s="1"/>
  <c r="H24" i="3"/>
  <c r="O23" i="3"/>
  <c r="P23" i="3" s="1"/>
  <c r="H23" i="3"/>
  <c r="O22" i="3"/>
  <c r="P22" i="3" s="1"/>
  <c r="H22" i="3"/>
  <c r="O21" i="3"/>
  <c r="P21" i="3" s="1"/>
  <c r="H21" i="3"/>
  <c r="O20" i="3"/>
  <c r="H20" i="3"/>
  <c r="G19" i="3"/>
  <c r="F19" i="3"/>
  <c r="E19" i="3"/>
  <c r="O18" i="3"/>
  <c r="P18" i="3" s="1"/>
  <c r="H18" i="3"/>
  <c r="O17" i="3"/>
  <c r="P17" i="3" s="1"/>
  <c r="H17" i="3"/>
  <c r="O16" i="3"/>
  <c r="P16" i="3" s="1"/>
  <c r="H16" i="3"/>
  <c r="O15" i="3"/>
  <c r="H15" i="3"/>
  <c r="G14" i="3"/>
  <c r="F14" i="3"/>
  <c r="E14" i="3"/>
  <c r="H14" i="3" s="1"/>
  <c r="O13" i="3"/>
  <c r="P13" i="3" s="1"/>
  <c r="H13" i="3"/>
  <c r="O12" i="3"/>
  <c r="P12" i="3" s="1"/>
  <c r="H12" i="3"/>
  <c r="O11" i="3"/>
  <c r="P11" i="3" s="1"/>
  <c r="H11" i="3"/>
  <c r="O10" i="3"/>
  <c r="H10" i="3"/>
  <c r="J10" i="3" s="1"/>
  <c r="I11" i="3" s="1"/>
  <c r="G9" i="3"/>
  <c r="F9" i="3"/>
  <c r="E9" i="3"/>
  <c r="H9" i="3" s="1"/>
  <c r="J9" i="3" s="1"/>
  <c r="I14" i="3" s="1"/>
  <c r="J14" i="3" s="1"/>
  <c r="I19" i="3" s="1"/>
  <c r="H45" i="3" l="1"/>
  <c r="G44" i="3"/>
  <c r="H44" i="3" s="1"/>
  <c r="O45" i="3"/>
  <c r="E49" i="3"/>
  <c r="F63" i="3"/>
  <c r="O77" i="3"/>
  <c r="P71" i="3"/>
  <c r="O70" i="3"/>
  <c r="O63" i="3" s="1"/>
  <c r="P20" i="3"/>
  <c r="O19" i="3"/>
  <c r="P19" i="3" s="1"/>
  <c r="P15" i="3"/>
  <c r="O14" i="3"/>
  <c r="P14" i="3" s="1"/>
  <c r="P10" i="3"/>
  <c r="O9" i="3"/>
  <c r="O8" i="3" s="1"/>
  <c r="P87" i="3"/>
  <c r="P88" i="3"/>
  <c r="P9" i="3"/>
  <c r="H78" i="3"/>
  <c r="H94" i="3"/>
  <c r="H60" i="3"/>
  <c r="H91" i="3"/>
  <c r="H92" i="3"/>
  <c r="H95" i="3"/>
  <c r="H89" i="3"/>
  <c r="H90" i="3"/>
  <c r="H93" i="3"/>
  <c r="O96" i="3"/>
  <c r="P96" i="3" s="1"/>
  <c r="H96" i="3"/>
  <c r="H87" i="3"/>
  <c r="P65" i="3"/>
  <c r="H84" i="3"/>
  <c r="H85" i="3"/>
  <c r="H56" i="3"/>
  <c r="H82" i="3"/>
  <c r="H83" i="3"/>
  <c r="H86" i="3"/>
  <c r="P78" i="3"/>
  <c r="H58" i="3"/>
  <c r="G49" i="3"/>
  <c r="H46" i="3"/>
  <c r="F40" i="3"/>
  <c r="H70" i="3"/>
  <c r="H35" i="3"/>
  <c r="F34" i="3"/>
  <c r="H34" i="3" s="1"/>
  <c r="H61" i="3"/>
  <c r="H54" i="3"/>
  <c r="H53" i="3"/>
  <c r="O53" i="3"/>
  <c r="P53" i="3" s="1"/>
  <c r="H52" i="3"/>
  <c r="O52" i="3"/>
  <c r="P52" i="3" s="1"/>
  <c r="H51" i="3"/>
  <c r="O51" i="3"/>
  <c r="F8" i="3"/>
  <c r="E8" i="3"/>
  <c r="G8" i="3"/>
  <c r="H19" i="3"/>
  <c r="H77" i="3"/>
  <c r="J19" i="3"/>
  <c r="I28" i="3" s="1"/>
  <c r="J11" i="3"/>
  <c r="I12" i="3" s="1"/>
  <c r="J12" i="3" s="1"/>
  <c r="H64" i="3"/>
  <c r="P72" i="3"/>
  <c r="H47" i="3"/>
  <c r="P58" i="3"/>
  <c r="P59" i="3"/>
  <c r="P55" i="3"/>
  <c r="G43" i="3"/>
  <c r="G42" i="3"/>
  <c r="G41" i="3"/>
  <c r="H41" i="3" s="1"/>
  <c r="P34" i="3"/>
  <c r="P35" i="3"/>
  <c r="E27" i="3"/>
  <c r="F28" i="3"/>
  <c r="G33" i="3"/>
  <c r="G32" i="3"/>
  <c r="G31" i="3"/>
  <c r="G30" i="3"/>
  <c r="G29" i="3"/>
  <c r="H29" i="3" s="1"/>
  <c r="H49" i="3" l="1"/>
  <c r="O44" i="3"/>
  <c r="P44" i="3" s="1"/>
  <c r="P45" i="3"/>
  <c r="O76" i="3"/>
  <c r="P76" i="3" s="1"/>
  <c r="H8" i="3"/>
  <c r="J8" i="3" s="1"/>
  <c r="I27" i="3" s="1"/>
  <c r="P8" i="3"/>
  <c r="P51" i="3"/>
  <c r="O50" i="3"/>
  <c r="O49" i="3" s="1"/>
  <c r="I13" i="3"/>
  <c r="J13" i="3"/>
  <c r="H76" i="3"/>
  <c r="P64" i="3"/>
  <c r="O33" i="3"/>
  <c r="P33" i="3" s="1"/>
  <c r="H33" i="3"/>
  <c r="H63" i="3"/>
  <c r="P77" i="3"/>
  <c r="P63" i="3"/>
  <c r="O30" i="3"/>
  <c r="P30" i="3" s="1"/>
  <c r="H30" i="3"/>
  <c r="P70" i="3"/>
  <c r="O32" i="3"/>
  <c r="P32" i="3" s="1"/>
  <c r="H32" i="3"/>
  <c r="P54" i="3"/>
  <c r="O41" i="3"/>
  <c r="G40" i="3"/>
  <c r="H40" i="3" s="1"/>
  <c r="E7" i="3"/>
  <c r="F27" i="3"/>
  <c r="O29" i="3"/>
  <c r="G28" i="3"/>
  <c r="O43" i="3"/>
  <c r="P43" i="3" s="1"/>
  <c r="H43" i="3"/>
  <c r="O42" i="3"/>
  <c r="P42" i="3" s="1"/>
  <c r="H42" i="3"/>
  <c r="O31" i="3"/>
  <c r="P31" i="3" s="1"/>
  <c r="H31" i="3"/>
  <c r="O28" i="3" l="1"/>
  <c r="P50" i="3"/>
  <c r="P49" i="3"/>
  <c r="I15" i="3"/>
  <c r="J15" i="3" s="1"/>
  <c r="P75" i="3"/>
  <c r="P41" i="3"/>
  <c r="O40" i="3"/>
  <c r="P40" i="3" s="1"/>
  <c r="P29" i="3"/>
  <c r="F7" i="3"/>
  <c r="G27" i="3"/>
  <c r="H28" i="3"/>
  <c r="J28" i="3" s="1"/>
  <c r="I34" i="3" s="1"/>
  <c r="J34" i="3" s="1"/>
  <c r="I40" i="3" s="1"/>
  <c r="J40" i="3" s="1"/>
  <c r="I44" i="3" s="1"/>
  <c r="J44" i="3" s="1"/>
  <c r="I50" i="3" s="1"/>
  <c r="J50" i="3" s="1"/>
  <c r="O27" i="3" l="1"/>
  <c r="O7" i="3" s="1"/>
  <c r="I16" i="3"/>
  <c r="J16" i="3"/>
  <c r="G7" i="3"/>
  <c r="H7" i="3" s="1"/>
  <c r="J7" i="3" s="1"/>
  <c r="H27" i="3"/>
  <c r="J27" i="3" s="1"/>
  <c r="I49" i="3" s="1"/>
  <c r="J49" i="3" s="1"/>
  <c r="I63" i="3" s="1"/>
  <c r="J63" i="3" s="1"/>
  <c r="I76" i="3" s="1"/>
  <c r="J76" i="3" s="1"/>
  <c r="K76" i="3" s="1"/>
  <c r="P28" i="3"/>
  <c r="I55" i="3"/>
  <c r="J55" i="3" s="1"/>
  <c r="I56" i="3" s="1"/>
  <c r="J56" i="3" s="1"/>
  <c r="I57" i="3" s="1"/>
  <c r="J57" i="3" s="1"/>
  <c r="I59" i="3" s="1"/>
  <c r="J59" i="3" s="1"/>
  <c r="I54" i="3"/>
  <c r="J54" i="3" s="1"/>
  <c r="I58" i="3" s="1"/>
  <c r="J58" i="3" s="1"/>
  <c r="I64" i="3" s="1"/>
  <c r="I17" i="3" l="1"/>
  <c r="J17" i="3"/>
  <c r="I60" i="3"/>
  <c r="J60" i="3" s="1"/>
  <c r="I61" i="3" s="1"/>
  <c r="J61" i="3" s="1"/>
  <c r="I62" i="3" s="1"/>
  <c r="J62" i="3" s="1"/>
  <c r="I65" i="3" s="1"/>
  <c r="J65" i="3" s="1"/>
  <c r="J64" i="3"/>
  <c r="I70" i="3" s="1"/>
  <c r="M76" i="3"/>
  <c r="L76" i="3"/>
  <c r="K7" i="3"/>
  <c r="P27" i="3"/>
  <c r="P7" i="3"/>
  <c r="Q7" i="3" s="1"/>
  <c r="I18" i="3" l="1"/>
  <c r="J18" i="3" s="1"/>
  <c r="J70" i="3"/>
  <c r="I75" i="3" s="1"/>
  <c r="J75" i="3" s="1"/>
  <c r="N76" i="3"/>
  <c r="K63" i="3"/>
  <c r="M7" i="3"/>
  <c r="L7" i="3"/>
  <c r="N7" i="3" s="1"/>
  <c r="I66" i="3"/>
  <c r="J66" i="3" s="1"/>
  <c r="I67" i="3" s="1"/>
  <c r="J67" i="3" s="1"/>
  <c r="I20" i="3" l="1"/>
  <c r="J20" i="3"/>
  <c r="I78" i="3"/>
  <c r="I77" i="3"/>
  <c r="J77" i="3" s="1"/>
  <c r="I87" i="3" s="1"/>
  <c r="I68" i="3"/>
  <c r="J68" i="3" s="1"/>
  <c r="I69" i="3" s="1"/>
  <c r="J69" i="3" s="1"/>
  <c r="I71" i="3" s="1"/>
  <c r="J71" i="3" s="1"/>
  <c r="M63" i="3"/>
  <c r="L63" i="3"/>
  <c r="K49" i="3" s="1"/>
  <c r="I21" i="3" l="1"/>
  <c r="J21" i="3" s="1"/>
  <c r="I72" i="3"/>
  <c r="J72" i="3"/>
  <c r="I73" i="3" s="1"/>
  <c r="J73" i="3" s="1"/>
  <c r="J87" i="3"/>
  <c r="I96" i="3" s="1"/>
  <c r="J96" i="3" s="1"/>
  <c r="I97" i="3" s="1"/>
  <c r="J97" i="3" s="1"/>
  <c r="K97" i="3" s="1"/>
  <c r="L97" i="3" s="1"/>
  <c r="N63" i="3"/>
  <c r="M49" i="3"/>
  <c r="L49" i="3"/>
  <c r="I22" i="3" l="1"/>
  <c r="J22" i="3" s="1"/>
  <c r="I74" i="3"/>
  <c r="J74" i="3" s="1"/>
  <c r="J78" i="3" s="1"/>
  <c r="I79" i="3" s="1"/>
  <c r="J79" i="3" s="1"/>
  <c r="I80" i="3" s="1"/>
  <c r="J80" i="3" s="1"/>
  <c r="I81" i="3" s="1"/>
  <c r="J81" i="3" s="1"/>
  <c r="I82" i="3" s="1"/>
  <c r="J82" i="3" s="1"/>
  <c r="I83" i="3" s="1"/>
  <c r="J83" i="3" s="1"/>
  <c r="I84" i="3" s="1"/>
  <c r="J84" i="3" s="1"/>
  <c r="I85" i="3" s="1"/>
  <c r="J85" i="3" s="1"/>
  <c r="I86" i="3" s="1"/>
  <c r="J86" i="3" s="1"/>
  <c r="I88" i="3" s="1"/>
  <c r="J88" i="3" s="1"/>
  <c r="I89" i="3" s="1"/>
  <c r="J89" i="3" s="1"/>
  <c r="I90" i="3" s="1"/>
  <c r="J90" i="3" s="1"/>
  <c r="I91" i="3" s="1"/>
  <c r="J91" i="3" s="1"/>
  <c r="I92" i="3" s="1"/>
  <c r="J92" i="3" s="1"/>
  <c r="I93" i="3" s="1"/>
  <c r="J93" i="3" s="1"/>
  <c r="I94" i="3" s="1"/>
  <c r="J94" i="3" s="1"/>
  <c r="I95" i="3" s="1"/>
  <c r="J95" i="3" s="1"/>
  <c r="M97" i="3"/>
  <c r="N49" i="3"/>
  <c r="K27" i="3"/>
  <c r="I23" i="3" l="1"/>
  <c r="J23" i="3" s="1"/>
  <c r="N97" i="3"/>
  <c r="K96" i="3"/>
  <c r="L96" i="3" s="1"/>
  <c r="L27" i="3"/>
  <c r="M27" i="3"/>
  <c r="I24" i="3" l="1"/>
  <c r="J24" i="3" s="1"/>
  <c r="I25" i="3" s="1"/>
  <c r="J25" i="3" s="1"/>
  <c r="K95" i="3"/>
  <c r="M96" i="3"/>
  <c r="N27" i="3"/>
  <c r="K8" i="3"/>
  <c r="I26" i="3" l="1"/>
  <c r="J26" i="3" s="1"/>
  <c r="M95" i="3"/>
  <c r="L95" i="3"/>
  <c r="N95" i="3" s="1"/>
  <c r="N96" i="3"/>
  <c r="K87" i="3"/>
  <c r="L8" i="3"/>
  <c r="N8" i="3" s="1"/>
  <c r="M8" i="3"/>
  <c r="I29" i="3" l="1"/>
  <c r="J29" i="3"/>
  <c r="I30" i="3" s="1"/>
  <c r="J30" i="3" s="1"/>
  <c r="I31" i="3" s="1"/>
  <c r="J31" i="3" s="1"/>
  <c r="I32" i="3" s="1"/>
  <c r="J32" i="3" s="1"/>
  <c r="I33" i="3" s="1"/>
  <c r="J33" i="3" s="1"/>
  <c r="I35" i="3" s="1"/>
  <c r="J35" i="3" s="1"/>
  <c r="I36" i="3" s="1"/>
  <c r="J36" i="3" s="1"/>
  <c r="I37" i="3" s="1"/>
  <c r="J37" i="3" s="1"/>
  <c r="I38" i="3" s="1"/>
  <c r="J38" i="3" s="1"/>
  <c r="I39" i="3" s="1"/>
  <c r="J39" i="3" s="1"/>
  <c r="I41" i="3" s="1"/>
  <c r="J41" i="3" s="1"/>
  <c r="I42" i="3" s="1"/>
  <c r="J42" i="3" s="1"/>
  <c r="I43" i="3" s="1"/>
  <c r="J43" i="3" s="1"/>
  <c r="I45" i="3" s="1"/>
  <c r="J45" i="3" s="1"/>
  <c r="I46" i="3" s="1"/>
  <c r="J46" i="3" s="1"/>
  <c r="I47" i="3" s="1"/>
  <c r="J47" i="3" s="1"/>
  <c r="I48" i="3" s="1"/>
  <c r="J48" i="3" s="1"/>
  <c r="I51" i="3" s="1"/>
  <c r="J51" i="3" s="1"/>
  <c r="I52" i="3" s="1"/>
  <c r="J52" i="3" s="1"/>
  <c r="I53" i="3" s="1"/>
  <c r="J53" i="3" s="1"/>
  <c r="K94" i="3"/>
  <c r="M87" i="3"/>
  <c r="L87" i="3"/>
  <c r="M94" i="3" l="1"/>
  <c r="L94" i="3"/>
  <c r="N87" i="3"/>
  <c r="K77" i="3"/>
  <c r="K93" i="3" l="1"/>
  <c r="N94" i="3"/>
  <c r="M77" i="3"/>
  <c r="L77" i="3"/>
  <c r="K75" i="3" s="1"/>
  <c r="L93" i="3" l="1"/>
  <c r="M93" i="3"/>
  <c r="N77" i="3"/>
  <c r="K92" i="3" l="1"/>
  <c r="N93" i="3"/>
  <c r="L75" i="3"/>
  <c r="K74" i="3" s="1"/>
  <c r="M75" i="3"/>
  <c r="M92" i="3" l="1"/>
  <c r="L92" i="3"/>
  <c r="K70" i="3"/>
  <c r="N75" i="3"/>
  <c r="K91" i="3" l="1"/>
  <c r="N92" i="3"/>
  <c r="M70" i="3"/>
  <c r="L70" i="3"/>
  <c r="M91" i="3" l="1"/>
  <c r="L91" i="3"/>
  <c r="N70" i="3"/>
  <c r="K64" i="3"/>
  <c r="K90" i="3" l="1"/>
  <c r="N91" i="3"/>
  <c r="L64" i="3"/>
  <c r="M64" i="3"/>
  <c r="L90" i="3" l="1"/>
  <c r="M90" i="3"/>
  <c r="N64" i="3"/>
  <c r="K58" i="3"/>
  <c r="K89" i="3" l="1"/>
  <c r="N90" i="3"/>
  <c r="M58" i="3"/>
  <c r="L58" i="3"/>
  <c r="M89" i="3" l="1"/>
  <c r="L89" i="3"/>
  <c r="K54" i="3"/>
  <c r="N58" i="3"/>
  <c r="N89" i="3" l="1"/>
  <c r="K88" i="3"/>
  <c r="M54" i="3"/>
  <c r="L54" i="3"/>
  <c r="M88" i="3" l="1"/>
  <c r="L88" i="3"/>
  <c r="K50" i="3"/>
  <c r="N54" i="3"/>
  <c r="N88" i="3" l="1"/>
  <c r="K86" i="3"/>
  <c r="L50" i="3"/>
  <c r="M50" i="3"/>
  <c r="M86" i="3" l="1"/>
  <c r="L86" i="3"/>
  <c r="N50" i="3"/>
  <c r="K44" i="3"/>
  <c r="N86" i="3" l="1"/>
  <c r="K85" i="3"/>
  <c r="M44" i="3"/>
  <c r="L44" i="3"/>
  <c r="M85" i="3" l="1"/>
  <c r="L85" i="3"/>
  <c r="N44" i="3"/>
  <c r="K40" i="3"/>
  <c r="N85" i="3" l="1"/>
  <c r="K84" i="3"/>
  <c r="M40" i="3"/>
  <c r="L40" i="3"/>
  <c r="L84" i="3" l="1"/>
  <c r="M84" i="3"/>
  <c r="N40" i="3"/>
  <c r="K34" i="3"/>
  <c r="K83" i="3" l="1"/>
  <c r="N84" i="3"/>
  <c r="L34" i="3"/>
  <c r="M34" i="3"/>
  <c r="L83" i="3" l="1"/>
  <c r="M83" i="3"/>
  <c r="K28" i="3"/>
  <c r="N34" i="3"/>
  <c r="K82" i="3" l="1"/>
  <c r="N83" i="3"/>
  <c r="M28" i="3"/>
  <c r="L28" i="3"/>
  <c r="M82" i="3" l="1"/>
  <c r="L82" i="3"/>
  <c r="K19" i="3"/>
  <c r="N28" i="3"/>
  <c r="K81" i="3" l="1"/>
  <c r="N82" i="3"/>
  <c r="M19" i="3"/>
  <c r="L19" i="3"/>
  <c r="M81" i="3" l="1"/>
  <c r="L81" i="3"/>
  <c r="K14" i="3"/>
  <c r="N19" i="3"/>
  <c r="N81" i="3" l="1"/>
  <c r="K80" i="3"/>
  <c r="L14" i="3"/>
  <c r="K9" i="3" s="1"/>
  <c r="M14" i="3"/>
  <c r="M9" i="3" l="1"/>
  <c r="L9" i="3"/>
  <c r="N9" i="3" s="1"/>
  <c r="L80" i="3"/>
  <c r="M80" i="3"/>
  <c r="N14" i="3"/>
  <c r="N80" i="3" l="1"/>
  <c r="K79" i="3"/>
  <c r="M79" i="3" l="1"/>
  <c r="L79" i="3"/>
  <c r="K78" i="3" s="1"/>
  <c r="N79" i="3" l="1"/>
  <c r="M78" i="3" l="1"/>
  <c r="L78" i="3"/>
  <c r="N78" i="3" l="1"/>
  <c r="L74" i="3" l="1"/>
  <c r="M74" i="3"/>
  <c r="N74" i="3" l="1"/>
  <c r="K73" i="3"/>
  <c r="L73" i="3" l="1"/>
  <c r="M73" i="3"/>
  <c r="K72" i="3" l="1"/>
  <c r="N73" i="3"/>
  <c r="L72" i="3" l="1"/>
  <c r="M72" i="3"/>
  <c r="K71" i="3" l="1"/>
  <c r="N72" i="3"/>
  <c r="L71" i="3" l="1"/>
  <c r="M71" i="3"/>
  <c r="K69" i="3" l="1"/>
  <c r="N71" i="3"/>
  <c r="L69" i="3" l="1"/>
  <c r="M69" i="3"/>
  <c r="N69" i="3" l="1"/>
  <c r="K68" i="3"/>
  <c r="L68" i="3" l="1"/>
  <c r="M68" i="3"/>
  <c r="K67" i="3" l="1"/>
  <c r="N68" i="3"/>
  <c r="M67" i="3" l="1"/>
  <c r="L67" i="3"/>
  <c r="N67" i="3" l="1"/>
  <c r="K66" i="3"/>
  <c r="M66" i="3" l="1"/>
  <c r="L66" i="3"/>
  <c r="K65" i="3" l="1"/>
  <c r="N66" i="3"/>
  <c r="L65" i="3" l="1"/>
  <c r="M65" i="3"/>
  <c r="K62" i="3" l="1"/>
  <c r="N65" i="3"/>
  <c r="M62" i="3" l="1"/>
  <c r="L62" i="3"/>
  <c r="N62" i="3" l="1"/>
  <c r="K61" i="3"/>
  <c r="L61" i="3" l="1"/>
  <c r="M61" i="3"/>
  <c r="K60" i="3" l="1"/>
  <c r="N61" i="3"/>
  <c r="M60" i="3" l="1"/>
  <c r="L60" i="3"/>
  <c r="K59" i="3" l="1"/>
  <c r="N60" i="3"/>
  <c r="M59" i="3" l="1"/>
  <c r="L59" i="3"/>
  <c r="N59" i="3" l="1"/>
  <c r="K57" i="3"/>
  <c r="M57" i="3" l="1"/>
  <c r="L57" i="3"/>
  <c r="N57" i="3" l="1"/>
  <c r="K56" i="3"/>
  <c r="L56" i="3" l="1"/>
  <c r="M56" i="3"/>
  <c r="K55" i="3" l="1"/>
  <c r="N56" i="3"/>
  <c r="M55" i="3" l="1"/>
  <c r="L55" i="3"/>
  <c r="K53" i="3" l="1"/>
  <c r="N55" i="3"/>
  <c r="L53" i="3" l="1"/>
  <c r="M53" i="3"/>
  <c r="N53" i="3" l="1"/>
  <c r="K52" i="3"/>
  <c r="M52" i="3" l="1"/>
  <c r="L52" i="3"/>
  <c r="N52" i="3" l="1"/>
  <c r="K51" i="3"/>
  <c r="L51" i="3" l="1"/>
  <c r="M51" i="3"/>
  <c r="K48" i="3" l="1"/>
  <c r="N51" i="3"/>
  <c r="M48" i="3" l="1"/>
  <c r="L48" i="3"/>
  <c r="N48" i="3" l="1"/>
  <c r="K47" i="3"/>
  <c r="L47" i="3" l="1"/>
  <c r="M47" i="3"/>
  <c r="N47" i="3" l="1"/>
  <c r="K46" i="3"/>
  <c r="L46" i="3" l="1"/>
  <c r="M46" i="3"/>
  <c r="N46" i="3" l="1"/>
  <c r="K45" i="3"/>
  <c r="M45" i="3" l="1"/>
  <c r="L45" i="3"/>
  <c r="K43" i="3" l="1"/>
  <c r="N45" i="3"/>
  <c r="M43" i="3" l="1"/>
  <c r="L43" i="3"/>
  <c r="K42" i="3" l="1"/>
  <c r="N43" i="3"/>
  <c r="L42" i="3" l="1"/>
  <c r="M42" i="3"/>
  <c r="K41" i="3" l="1"/>
  <c r="N42" i="3"/>
  <c r="L41" i="3" l="1"/>
  <c r="M41" i="3"/>
  <c r="N41" i="3" l="1"/>
  <c r="K39" i="3"/>
  <c r="M39" i="3" l="1"/>
  <c r="L39" i="3"/>
  <c r="N39" i="3" l="1"/>
  <c r="K38" i="3"/>
  <c r="M38" i="3" l="1"/>
  <c r="L38" i="3"/>
  <c r="K37" i="3" l="1"/>
  <c r="N38" i="3"/>
  <c r="M37" i="3" l="1"/>
  <c r="L37" i="3"/>
  <c r="K36" i="3" l="1"/>
  <c r="N37" i="3"/>
  <c r="L36" i="3" l="1"/>
  <c r="M36" i="3"/>
  <c r="K35" i="3" l="1"/>
  <c r="N36" i="3"/>
  <c r="M35" i="3" l="1"/>
  <c r="L35" i="3"/>
  <c r="K33" i="3" l="1"/>
  <c r="N35" i="3"/>
  <c r="L33" i="3" l="1"/>
  <c r="M33" i="3"/>
  <c r="N33" i="3" l="1"/>
  <c r="K32" i="3"/>
  <c r="L32" i="3" l="1"/>
  <c r="M32" i="3"/>
  <c r="N32" i="3" l="1"/>
  <c r="K31" i="3"/>
  <c r="L31" i="3" l="1"/>
  <c r="M31" i="3"/>
  <c r="N31" i="3" l="1"/>
  <c r="K30" i="3"/>
  <c r="L30" i="3" l="1"/>
  <c r="M30" i="3"/>
  <c r="K29" i="3" l="1"/>
  <c r="N30" i="3"/>
  <c r="L29" i="3" l="1"/>
  <c r="M29" i="3"/>
  <c r="N29" i="3" l="1"/>
  <c r="K26" i="3"/>
  <c r="L26" i="3" l="1"/>
  <c r="K25" i="3" s="1"/>
  <c r="M26" i="3"/>
  <c r="L25" i="3" l="1"/>
  <c r="M25" i="3"/>
  <c r="N26" i="3"/>
  <c r="K24" i="3" l="1"/>
  <c r="N25" i="3"/>
  <c r="M24" i="3" l="1"/>
  <c r="L24" i="3"/>
  <c r="K23" i="3" l="1"/>
  <c r="N24" i="3"/>
  <c r="M23" i="3" l="1"/>
  <c r="L23" i="3"/>
  <c r="K22" i="3" l="1"/>
  <c r="N23" i="3"/>
  <c r="M22" i="3"/>
  <c r="L22" i="3"/>
  <c r="K21" i="3" l="1"/>
  <c r="N22" i="3"/>
  <c r="M21" i="3" l="1"/>
  <c r="L21" i="3"/>
  <c r="N21" i="3" l="1"/>
  <c r="K20" i="3"/>
  <c r="M20" i="3" l="1"/>
  <c r="L20" i="3"/>
  <c r="N20" i="3" l="1"/>
  <c r="K18" i="3"/>
  <c r="L18" i="3" l="1"/>
  <c r="M18" i="3"/>
  <c r="K17" i="3" l="1"/>
  <c r="N18" i="3"/>
  <c r="L17" i="3" l="1"/>
  <c r="M17" i="3"/>
  <c r="N17" i="3" l="1"/>
  <c r="K16" i="3"/>
  <c r="L16" i="3" l="1"/>
  <c r="M16" i="3"/>
  <c r="K15" i="3" l="1"/>
  <c r="N16" i="3"/>
  <c r="L15" i="3" l="1"/>
  <c r="M15" i="3"/>
  <c r="N15" i="3" l="1"/>
  <c r="K13" i="3"/>
  <c r="L13" i="3" l="1"/>
  <c r="M13" i="3"/>
  <c r="K12" i="3" l="1"/>
  <c r="N13" i="3"/>
  <c r="L12" i="3" l="1"/>
  <c r="M12" i="3"/>
  <c r="K11" i="3" l="1"/>
  <c r="N12" i="3"/>
  <c r="M11" i="3" l="1"/>
  <c r="L11" i="3"/>
  <c r="K10" i="3" s="1"/>
  <c r="N11" i="3" l="1"/>
  <c r="M10" i="3" l="1"/>
  <c r="L10" i="3"/>
  <c r="N10" i="3" s="1"/>
</calcChain>
</file>

<file path=xl/sharedStrings.xml><?xml version="1.0" encoding="utf-8"?>
<sst xmlns="http://schemas.openxmlformats.org/spreadsheetml/2006/main" count="294" uniqueCount="204">
  <si>
    <t>Выбор стека технологий (Python, библиотеки)</t>
  </si>
  <si>
    <t>Сравнение результатом нечеткой модели с четким расчетом</t>
  </si>
  <si>
    <t>Анализ чувствительности модели к изменению параметров</t>
  </si>
  <si>
    <t>Описание предметной области</t>
  </si>
  <si>
    <t>Проблематика</t>
  </si>
  <si>
    <t>Цель работы и исследовательские вопросы</t>
  </si>
  <si>
    <t>Задачи работы</t>
  </si>
  <si>
    <t>Декомпозиция проекта на этапы и задачи. Ментальная карта проекта</t>
  </si>
  <si>
    <t>Определение сроков выполнения задач. PERT-диаграмма проекта</t>
  </si>
  <si>
    <t>Оценка необходимых ресурсов</t>
  </si>
  <si>
    <t>Оформление репозитория проекта на GitHub</t>
  </si>
  <si>
    <t>Гибкие методологии разработки ПО, сравнение с  традиционной разработкой</t>
  </si>
  <si>
    <t>Практика применения нечеткого подхода в гибких методологиях разработки ПО . Выявление пробелов и перспектив для дальнейшей работы</t>
  </si>
  <si>
    <t>Построение "Дерева источников". Анализ рейтингов статей, индексов цитирования</t>
  </si>
  <si>
    <t>Выводы по результатам проделанной работы</t>
  </si>
  <si>
    <t>Расширение модели: включение новых атрибутов требований</t>
  </si>
  <si>
    <t>Использование расширенного аппарата нечетких множеств</t>
  </si>
  <si>
    <t>Возможность применение в других областях</t>
  </si>
  <si>
    <t>Исследование влияния на другие аспекты гибкой разработки</t>
  </si>
  <si>
    <t>Вводная глава</t>
  </si>
  <si>
    <t>Заключение</t>
  </si>
  <si>
    <t>Отсутствие формализованных требований к ПО</t>
  </si>
  <si>
    <t>Изменчивость требований</t>
  </si>
  <si>
    <t>Нечеткие преобразования</t>
  </si>
  <si>
    <t>Нечеткие вычисления</t>
  </si>
  <si>
    <t>№ п.п.</t>
  </si>
  <si>
    <t>Наименование задачи</t>
  </si>
  <si>
    <t>Оценка времени выполнения задачи, недель</t>
  </si>
  <si>
    <t>2</t>
  </si>
  <si>
    <t>1</t>
  </si>
  <si>
    <t>1.1</t>
  </si>
  <si>
    <t>1.2</t>
  </si>
  <si>
    <t>1.3</t>
  </si>
  <si>
    <t>2.1</t>
  </si>
  <si>
    <t>2.2</t>
  </si>
  <si>
    <t>2.3</t>
  </si>
  <si>
    <t>2.4</t>
  </si>
  <si>
    <t>3</t>
  </si>
  <si>
    <t>3.1</t>
  </si>
  <si>
    <t>3.2</t>
  </si>
  <si>
    <t>3.3</t>
  </si>
  <si>
    <t>4</t>
  </si>
  <si>
    <t>4.1</t>
  </si>
  <si>
    <t>4.2</t>
  </si>
  <si>
    <t>4.3</t>
  </si>
  <si>
    <t>5</t>
  </si>
  <si>
    <t>5.1</t>
  </si>
  <si>
    <t>5.2</t>
  </si>
  <si>
    <t>5.3</t>
  </si>
  <si>
    <t>Подготовка и планирование</t>
  </si>
  <si>
    <t>Optimistic</t>
  </si>
  <si>
    <t>Realistic</t>
  </si>
  <si>
    <t>Pessimistic</t>
  </si>
  <si>
    <t>Определение целей и задач исследования</t>
  </si>
  <si>
    <t>Разработка плана работы</t>
  </si>
  <si>
    <t>Обзор литературы и существующих практик</t>
  </si>
  <si>
    <t xml:space="preserve">Теоретическая основа и методология исследования </t>
  </si>
  <si>
    <t>Практическая реализация и эксперименты</t>
  </si>
  <si>
    <t>Заключение и дальнейшие  исследования</t>
  </si>
  <si>
    <t>Оформление текста и презентация</t>
  </si>
  <si>
    <t>Итого про проекту</t>
  </si>
  <si>
    <t>Подготовка презентационных материалов и доклада</t>
  </si>
  <si>
    <t>Устранение замечаний и нормоконтроль</t>
  </si>
  <si>
    <t>Оформление разделов письменной работы</t>
  </si>
  <si>
    <t>Перспективы дальнейших исследований</t>
  </si>
  <si>
    <t>Анализ результатов</t>
  </si>
  <si>
    <t>Проведение экспериментов</t>
  </si>
  <si>
    <t>Алгоритмизация</t>
  </si>
  <si>
    <t>Подготовка данных</t>
  </si>
  <si>
    <t xml:space="preserve">Интеграция нечеткого подхода  с гибкими методологиями </t>
  </si>
  <si>
    <t>Применение теории нечетких  множеств к обработке данных</t>
  </si>
  <si>
    <t>Концептуальная нечеткая модель  управления требованиями</t>
  </si>
  <si>
    <t>Анализ особенностей управления требованиями в гибкой разработке</t>
  </si>
  <si>
    <t>Подготовка выпускной работы магистра на тему:</t>
  </si>
  <si>
    <r>
      <t>Ожидаемое время выполнения, недель, ET</t>
    </r>
    <r>
      <rPr>
        <b/>
        <sz val="10"/>
        <color theme="1"/>
        <rFont val="Calibri"/>
        <family val="2"/>
        <charset val="204"/>
        <scheme val="minor"/>
      </rPr>
      <t>зi</t>
    </r>
  </si>
  <si>
    <t>1.1.1</t>
  </si>
  <si>
    <t>1.1.2</t>
  </si>
  <si>
    <t>1.1.3</t>
  </si>
  <si>
    <t>1.1.4</t>
  </si>
  <si>
    <t>1.2.1</t>
  </si>
  <si>
    <t>1.2.2</t>
  </si>
  <si>
    <t>1.2.3</t>
  </si>
  <si>
    <t>1.2.4</t>
  </si>
  <si>
    <t>1.3.1</t>
  </si>
  <si>
    <t>1.3.2</t>
  </si>
  <si>
    <t>1.3.4</t>
  </si>
  <si>
    <t>1.3.3</t>
  </si>
  <si>
    <t>1.3.5</t>
  </si>
  <si>
    <t>1.3.6</t>
  </si>
  <si>
    <t>2.1.1</t>
  </si>
  <si>
    <t>2.1.2</t>
  </si>
  <si>
    <t>2.1.3</t>
  </si>
  <si>
    <t>2.1.4</t>
  </si>
  <si>
    <t>2.1.5</t>
  </si>
  <si>
    <t>2.2.1</t>
  </si>
  <si>
    <t>2.2.2</t>
  </si>
  <si>
    <t>2.2.3</t>
  </si>
  <si>
    <t>2.3.1</t>
  </si>
  <si>
    <t>2.3.2</t>
  </si>
  <si>
    <t>2.3.3</t>
  </si>
  <si>
    <t>2.4.1</t>
  </si>
  <si>
    <t>2.4.2</t>
  </si>
  <si>
    <t>2.4.3</t>
  </si>
  <si>
    <t>2.4.4.</t>
  </si>
  <si>
    <t>3.2.1</t>
  </si>
  <si>
    <t>3.2.2</t>
  </si>
  <si>
    <t>3.3.1</t>
  </si>
  <si>
    <t>3.3.2</t>
  </si>
  <si>
    <t>4.1.1</t>
  </si>
  <si>
    <t>4.1.2</t>
  </si>
  <si>
    <t>4.1.3</t>
  </si>
  <si>
    <t>4.1.4</t>
  </si>
  <si>
    <t>5.1.1</t>
  </si>
  <si>
    <t>5.1.2</t>
  </si>
  <si>
    <t>5.1.3</t>
  </si>
  <si>
    <t>5.1.4</t>
  </si>
  <si>
    <t>5.1.5</t>
  </si>
  <si>
    <t>Зависит от выполнения предыдущей задачи</t>
  </si>
  <si>
    <t>-</t>
  </si>
  <si>
    <t>2.4.4</t>
  </si>
  <si>
    <t>Прямой проход</t>
  </si>
  <si>
    <t>Обратный проход</t>
  </si>
  <si>
    <r>
      <t>ES</t>
    </r>
    <r>
      <rPr>
        <b/>
        <sz val="10"/>
        <color theme="1"/>
        <rFont val="Calibri"/>
        <family val="2"/>
        <charset val="204"/>
        <scheme val="minor"/>
      </rPr>
      <t>зi</t>
    </r>
  </si>
  <si>
    <t>EFзi</t>
  </si>
  <si>
    <t>LFзi</t>
  </si>
  <si>
    <t>LSзi</t>
  </si>
  <si>
    <t>Slack (прямой)</t>
  </si>
  <si>
    <t>Slack (обратный)</t>
  </si>
  <si>
    <t>СКО</t>
  </si>
  <si>
    <t>Дисперсия</t>
  </si>
  <si>
    <t>Подходы к инженерии требований
 при гибкой разработке ПО 
с использованием 
аппарата нечетких множеств</t>
  </si>
  <si>
    <t>Выбор фреймворков приоритизации (MoSCoW, RICE)</t>
  </si>
  <si>
    <t>Подготовка форм оценки функциональных и нефункциональных требований</t>
  </si>
  <si>
    <t xml:space="preserve"> Разработка перечня и шкал лингвистических термов</t>
  </si>
  <si>
    <t>Реализация основных функциональных модулей (приоритизация требований одним экспертом, модели коллективного принятия решений в четком и нечетком виде, дефаззификация, учет взаимосвязанности требований, визуализации результатов моделирования)</t>
  </si>
  <si>
    <t>Реализация пайплайна с загрузкой и выгрузкой моделей в Excel-файлы</t>
  </si>
  <si>
    <t>Приоритизация с учетом и без учета взаимосвязанности требований</t>
  </si>
  <si>
    <t xml:space="preserve">Интерпретация параметров моделирования и рекомендации по их выбору </t>
  </si>
  <si>
    <t>Этапы инженерии требований в гибкой разработке</t>
  </si>
  <si>
    <t>Методы сбора и основные подходы к приоритизации требований при гибкой разработки ПО</t>
  </si>
  <si>
    <t>Теория нечетких множеств и нечеткая математика. Дефаззификация. Операторы редукции типа нечетких множеств</t>
  </si>
  <si>
    <t>Методы коллективного принятия решений</t>
  </si>
  <si>
    <t>Подтверждение или опровержение исследовательской гипотезы</t>
  </si>
  <si>
    <t>Актуальность в продуктовом подходе</t>
  </si>
  <si>
    <t>Заключение об универсальности подхода без привязки к конкретному фреймворку</t>
  </si>
  <si>
    <t>Практическая значимость предложенной методологии, рекомендации по применению в конкретных видах деятельности</t>
  </si>
  <si>
    <t>Титульный лист, содержание</t>
  </si>
  <si>
    <t>Аннотация (на русском и английском языках)</t>
  </si>
  <si>
    <t>Практическая часть: Модели принятия решений одним экспертом, модели коллективного принятия решений (в нечетком и нечетком подходе)</t>
  </si>
  <si>
    <t>Интерпретации, выводы, результаты, рекомендации (в каждой главе)</t>
  </si>
  <si>
    <t>Глава об использовании генеративных моделей</t>
  </si>
  <si>
    <t>Список литературы, Приложения (A-E)</t>
  </si>
  <si>
    <t>Папка с промптами и ответами LLM</t>
  </si>
  <si>
    <t>Папка с файлами загрузки и выгрузки данных в Excel</t>
  </si>
  <si>
    <t>Приложение A_Программная реализация</t>
  </si>
  <si>
    <t>Приложение B_Примеры расчетов в Excel</t>
  </si>
  <si>
    <t>Приложение C_Папка_Ментальные карты проекта</t>
  </si>
  <si>
    <t>Приложение D_Папка_PERT-диаграммы проекта</t>
  </si>
  <si>
    <t>Приложение E_Взаимосвязь литературных источников</t>
  </si>
  <si>
    <t>Файл README</t>
  </si>
  <si>
    <t>Проблематика приоритизации</t>
  </si>
  <si>
    <t>Субъективность оценки сложности и важности требований</t>
  </si>
  <si>
    <t>Коммуникация между стейкхолдерами</t>
  </si>
  <si>
    <t xml:space="preserve">Ключевые сущности: требования, стейкхолдеры, функциональные и нефункциональные характеристики </t>
  </si>
  <si>
    <t>Нечеткие переменные, оценки функциональных и нефункциональных требований. Шкалы и лингвистические термы</t>
  </si>
  <si>
    <t>Методы агрегации нечетких оценок при коллективном принятии решений</t>
  </si>
  <si>
    <t>Методы дефаззификации нечетких результатов</t>
  </si>
  <si>
    <t>Понятие фаззификации, ИНМТ1, ИНМТ2</t>
  </si>
  <si>
    <t>Дефаззификация. Редукция. Альфа-срезы</t>
  </si>
  <si>
    <t>Включение нечетких оценок в процесс приоритизации</t>
  </si>
  <si>
    <t>Фреймворки нечеткой приоритизации (методы MoSCoW, RICE)</t>
  </si>
  <si>
    <t>Нечеткие подходы к коллективному принятию решений</t>
  </si>
  <si>
    <t>Объяснение выбора параметров моделирования</t>
  </si>
  <si>
    <t>Рекомендации по разработке ПО на основе предложенного подхода</t>
  </si>
  <si>
    <t>Оформления репозитория на GitHub</t>
  </si>
  <si>
    <t>Теоретическая часть: 1. Обзор публикаций, 2. Предметная область, 3. Математический аппарат исследования</t>
  </si>
  <si>
    <t>1.3.7</t>
  </si>
  <si>
    <t>2.2.4</t>
  </si>
  <si>
    <t>2.2.5</t>
  </si>
  <si>
    <t>3.1.1</t>
  </si>
  <si>
    <t>3.1.2</t>
  </si>
  <si>
    <t>3.1.3</t>
  </si>
  <si>
    <t>3.2.3</t>
  </si>
  <si>
    <t>3.3.3</t>
  </si>
  <si>
    <t>3.3.4</t>
  </si>
  <si>
    <t>4.1.5</t>
  </si>
  <si>
    <t>4.2.1</t>
  </si>
  <si>
    <t>4.2.2</t>
  </si>
  <si>
    <t>4.2.3</t>
  </si>
  <si>
    <t>4.2.4</t>
  </si>
  <si>
    <t>5.1.6</t>
  </si>
  <si>
    <t>5.1.7</t>
  </si>
  <si>
    <t>5.1.8</t>
  </si>
  <si>
    <t>5.1.9</t>
  </si>
  <si>
    <t>5.2.1</t>
  </si>
  <si>
    <t>5.2.2</t>
  </si>
  <si>
    <t>5.2.3</t>
  </si>
  <si>
    <t>5.2.4</t>
  </si>
  <si>
    <t>5.2.5</t>
  </si>
  <si>
    <t>5.2.6</t>
  </si>
  <si>
    <t>5.2.7</t>
  </si>
  <si>
    <t>5.2.8</t>
  </si>
  <si>
    <t>Оценка неопределенности сроков</t>
  </si>
  <si>
    <t>5.4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</si>
</sst>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24" xfId="0" applyBorder="1" applyAlignment="1">
      <alignment wrapText="1"/>
    </xf>
    <xf numFmtId="0" fontId="0" fillId="0" borderId="22" xfId="0" applyBorder="1" applyAlignment="1">
      <alignment wrapText="1"/>
    </xf>
    <xf numFmtId="0" fontId="1" fillId="2" borderId="7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left" vertical="center"/>
    </xf>
    <xf numFmtId="49" fontId="1" fillId="4" borderId="26" xfId="0" applyNumberFormat="1" applyFont="1" applyFill="1" applyBorder="1" applyAlignment="1">
      <alignment horizontal="center" vertical="center"/>
    </xf>
    <xf numFmtId="0" fontId="1" fillId="4" borderId="27" xfId="0" applyFont="1" applyFill="1" applyBorder="1"/>
    <xf numFmtId="0" fontId="1" fillId="3" borderId="31" xfId="0" applyFont="1" applyFill="1" applyBorder="1"/>
    <xf numFmtId="49" fontId="0" fillId="0" borderId="35" xfId="0" applyNumberFormat="1" applyBorder="1" applyAlignment="1">
      <alignment horizontal="center" vertical="center"/>
    </xf>
    <xf numFmtId="0" fontId="0" fillId="0" borderId="36" xfId="0" applyBorder="1" applyAlignment="1">
      <alignment wrapText="1"/>
    </xf>
    <xf numFmtId="0" fontId="1" fillId="4" borderId="31" xfId="0" applyFont="1" applyFill="1" applyBorder="1"/>
    <xf numFmtId="49" fontId="1" fillId="3" borderId="37" xfId="0" applyNumberFormat="1" applyFont="1" applyFill="1" applyBorder="1" applyAlignment="1">
      <alignment horizontal="center" vertical="center"/>
    </xf>
    <xf numFmtId="0" fontId="1" fillId="3" borderId="38" xfId="0" applyFont="1" applyFill="1" applyBorder="1"/>
    <xf numFmtId="0" fontId="1" fillId="5" borderId="25" xfId="0" applyFont="1" applyFill="1" applyBorder="1" applyAlignment="1">
      <alignment horizontal="center" vertical="center"/>
    </xf>
    <xf numFmtId="4" fontId="1" fillId="5" borderId="32" xfId="0" applyNumberFormat="1" applyFont="1" applyFill="1" applyBorder="1" applyAlignment="1">
      <alignment horizontal="right" vertical="center"/>
    </xf>
    <xf numFmtId="4" fontId="1" fillId="5" borderId="33" xfId="0" applyNumberFormat="1" applyFont="1" applyFill="1" applyBorder="1" applyAlignment="1">
      <alignment horizontal="right" vertical="center"/>
    </xf>
    <xf numFmtId="4" fontId="1" fillId="5" borderId="34" xfId="0" applyNumberFormat="1" applyFont="1" applyFill="1" applyBorder="1" applyAlignment="1">
      <alignment horizontal="right" vertical="center"/>
    </xf>
    <xf numFmtId="4" fontId="1" fillId="5" borderId="42" xfId="0" applyNumberFormat="1" applyFont="1" applyFill="1" applyBorder="1" applyAlignment="1">
      <alignment horizontal="right" vertical="center"/>
    </xf>
    <xf numFmtId="4" fontId="1" fillId="3" borderId="32" xfId="0" applyNumberFormat="1" applyFont="1" applyFill="1" applyBorder="1" applyAlignment="1">
      <alignment horizontal="right"/>
    </xf>
    <xf numFmtId="4" fontId="1" fillId="3" borderId="33" xfId="0" applyNumberFormat="1" applyFont="1" applyFill="1" applyBorder="1" applyAlignment="1">
      <alignment horizontal="right"/>
    </xf>
    <xf numFmtId="4" fontId="1" fillId="3" borderId="34" xfId="0" applyNumberFormat="1" applyFont="1" applyFill="1" applyBorder="1" applyAlignment="1">
      <alignment horizontal="right"/>
    </xf>
    <xf numFmtId="4" fontId="1" fillId="4" borderId="32" xfId="0" applyNumberFormat="1" applyFont="1" applyFill="1" applyBorder="1" applyAlignment="1">
      <alignment horizontal="right"/>
    </xf>
    <xf numFmtId="4" fontId="1" fillId="4" borderId="33" xfId="0" applyNumberFormat="1" applyFont="1" applyFill="1" applyBorder="1" applyAlignment="1">
      <alignment horizontal="right"/>
    </xf>
    <xf numFmtId="4" fontId="1" fillId="4" borderId="34" xfId="0" applyNumberFormat="1" applyFont="1" applyFill="1" applyBorder="1" applyAlignment="1">
      <alignment horizontal="right"/>
    </xf>
    <xf numFmtId="4" fontId="0" fillId="0" borderId="13" xfId="0" applyNumberFormat="1" applyBorder="1" applyAlignment="1">
      <alignment horizontal="right"/>
    </xf>
    <xf numFmtId="4" fontId="0" fillId="0" borderId="3" xfId="0" applyNumberFormat="1" applyBorder="1" applyAlignment="1">
      <alignment horizontal="right"/>
    </xf>
    <xf numFmtId="4" fontId="0" fillId="0" borderId="14" xfId="0" applyNumberFormat="1" applyBorder="1" applyAlignment="1">
      <alignment horizontal="right"/>
    </xf>
    <xf numFmtId="4" fontId="0" fillId="0" borderId="8" xfId="0" applyNumberFormat="1" applyBorder="1" applyAlignment="1">
      <alignment horizontal="right"/>
    </xf>
    <xf numFmtId="4" fontId="0" fillId="0" borderId="2" xfId="0" applyNumberFormat="1" applyBorder="1" applyAlignment="1">
      <alignment horizontal="right"/>
    </xf>
    <xf numFmtId="4" fontId="0" fillId="0" borderId="12" xfId="0" applyNumberFormat="1" applyBorder="1" applyAlignment="1">
      <alignment horizontal="right"/>
    </xf>
    <xf numFmtId="4" fontId="0" fillId="0" borderId="16" xfId="0" applyNumberFormat="1" applyBorder="1" applyAlignment="1">
      <alignment horizontal="right"/>
    </xf>
    <xf numFmtId="4" fontId="0" fillId="0" borderId="7" xfId="0" applyNumberFormat="1" applyBorder="1" applyAlignment="1">
      <alignment horizontal="right"/>
    </xf>
    <xf numFmtId="4" fontId="0" fillId="0" borderId="15" xfId="0" applyNumberFormat="1" applyBorder="1" applyAlignment="1">
      <alignment horizontal="right"/>
    </xf>
    <xf numFmtId="4" fontId="1" fillId="3" borderId="39" xfId="0" applyNumberFormat="1" applyFont="1" applyFill="1" applyBorder="1" applyAlignment="1">
      <alignment horizontal="right"/>
    </xf>
    <xf numFmtId="4" fontId="1" fillId="3" borderId="40" xfId="0" applyNumberFormat="1" applyFont="1" applyFill="1" applyBorder="1" applyAlignment="1">
      <alignment horizontal="right"/>
    </xf>
    <xf numFmtId="4" fontId="1" fillId="3" borderId="41" xfId="0" applyNumberFormat="1" applyFont="1" applyFill="1" applyBorder="1" applyAlignment="1">
      <alignment horizontal="right"/>
    </xf>
    <xf numFmtId="4" fontId="1" fillId="4" borderId="28" xfId="0" applyNumberFormat="1" applyFont="1" applyFill="1" applyBorder="1" applyAlignment="1">
      <alignment horizontal="right"/>
    </xf>
    <xf numFmtId="4" fontId="1" fillId="4" borderId="29" xfId="0" applyNumberFormat="1" applyFont="1" applyFill="1" applyBorder="1" applyAlignment="1">
      <alignment horizontal="right"/>
    </xf>
    <xf numFmtId="4" fontId="1" fillId="4" borderId="30" xfId="0" applyNumberFormat="1" applyFont="1" applyFill="1" applyBorder="1" applyAlignment="1">
      <alignment horizontal="right"/>
    </xf>
    <xf numFmtId="49" fontId="1" fillId="5" borderId="25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/>
    </xf>
    <xf numFmtId="49" fontId="1" fillId="4" borderId="26" xfId="0" applyNumberFormat="1" applyFont="1" applyFill="1" applyBorder="1" applyAlignment="1">
      <alignment horizontal="center"/>
    </xf>
    <xf numFmtId="49" fontId="0" fillId="0" borderId="20" xfId="0" applyNumberFormat="1" applyBorder="1" applyAlignment="1">
      <alignment horizontal="center" wrapText="1"/>
    </xf>
    <xf numFmtId="49" fontId="0" fillId="0" borderId="25" xfId="0" applyNumberFormat="1" applyBorder="1" applyAlignment="1">
      <alignment horizontal="center" wrapText="1"/>
    </xf>
    <xf numFmtId="49" fontId="1" fillId="4" borderId="1" xfId="0" applyNumberFormat="1" applyFont="1" applyFill="1" applyBorder="1" applyAlignment="1">
      <alignment horizontal="center"/>
    </xf>
    <xf numFmtId="49" fontId="0" fillId="0" borderId="18" xfId="0" applyNumberFormat="1" applyBorder="1" applyAlignment="1">
      <alignment horizontal="center" wrapText="1"/>
    </xf>
    <xf numFmtId="49" fontId="0" fillId="0" borderId="35" xfId="0" applyNumberFormat="1" applyBorder="1" applyAlignment="1">
      <alignment horizontal="center" wrapText="1"/>
    </xf>
    <xf numFmtId="49" fontId="1" fillId="3" borderId="37" xfId="0" applyNumberFormat="1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4" fontId="1" fillId="5" borderId="1" xfId="0" applyNumberFormat="1" applyFont="1" applyFill="1" applyBorder="1" applyAlignment="1">
      <alignment horizontal="right" vertical="center"/>
    </xf>
    <xf numFmtId="4" fontId="1" fillId="3" borderId="1" xfId="0" applyNumberFormat="1" applyFont="1" applyFill="1" applyBorder="1" applyAlignment="1">
      <alignment horizontal="right"/>
    </xf>
    <xf numFmtId="4" fontId="1" fillId="4" borderId="1" xfId="0" applyNumberFormat="1" applyFont="1" applyFill="1" applyBorder="1" applyAlignment="1">
      <alignment horizontal="right"/>
    </xf>
    <xf numFmtId="4" fontId="0" fillId="0" borderId="18" xfId="0" applyNumberFormat="1" applyBorder="1" applyAlignment="1">
      <alignment horizontal="right"/>
    </xf>
    <xf numFmtId="4" fontId="1" fillId="3" borderId="37" xfId="0" applyNumberFormat="1" applyFont="1" applyFill="1" applyBorder="1" applyAlignment="1">
      <alignment horizontal="right"/>
    </xf>
    <xf numFmtId="10" fontId="1" fillId="5" borderId="1" xfId="0" applyNumberFormat="1" applyFont="1" applyFill="1" applyBorder="1" applyAlignment="1">
      <alignment horizontal="right" vertical="center"/>
    </xf>
    <xf numFmtId="4" fontId="0" fillId="0" borderId="45" xfId="0" applyNumberFormat="1" applyBorder="1" applyAlignment="1">
      <alignment horizontal="right"/>
    </xf>
    <xf numFmtId="0" fontId="1" fillId="4" borderId="1" xfId="0" applyFont="1" applyFill="1" applyBorder="1"/>
    <xf numFmtId="49" fontId="0" fillId="0" borderId="25" xfId="0" applyNumberFormat="1" applyBorder="1" applyAlignment="1">
      <alignment horizontal="center" vertical="center"/>
    </xf>
    <xf numFmtId="4" fontId="0" fillId="0" borderId="46" xfId="0" applyNumberFormat="1" applyBorder="1" applyAlignment="1">
      <alignment horizontal="right"/>
    </xf>
    <xf numFmtId="0" fontId="1" fillId="2" borderId="43" xfId="0" applyFont="1" applyFill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99FF99"/>
      <color rgb="FFFFFFCC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78DE8-F4B6-4DFD-9E8D-B48CF0123809}">
  <sheetPr>
    <outlinePr summaryBelow="0" summaryRight="0"/>
    <pageSetUpPr fitToPage="1"/>
  </sheetPr>
  <dimension ref="B1:Q97"/>
  <sheetViews>
    <sheetView tabSelected="1" zoomScaleNormal="100" workbookViewId="0">
      <pane ySplit="5" topLeftCell="A6" activePane="bottomLeft" state="frozen"/>
      <selection pane="bottomLeft" activeCell="O46" sqref="O46"/>
    </sheetView>
  </sheetViews>
  <sheetFormatPr defaultRowHeight="15" outlineLevelRow="2" x14ac:dyDescent="0.25"/>
  <cols>
    <col min="1" max="1" width="3.85546875" customWidth="1"/>
    <col min="2" max="2" width="7.7109375" customWidth="1"/>
    <col min="3" max="3" width="66.5703125" customWidth="1"/>
    <col min="4" max="5" width="16.42578125" customWidth="1"/>
    <col min="6" max="6" width="15" customWidth="1"/>
    <col min="7" max="7" width="14.42578125" customWidth="1"/>
    <col min="8" max="8" width="15.7109375" customWidth="1"/>
    <col min="9" max="9" width="10.42578125" bestFit="1" customWidth="1"/>
    <col min="14" max="14" width="11.140625" customWidth="1"/>
    <col min="15" max="15" width="13.140625" customWidth="1"/>
    <col min="17" max="17" width="18.85546875" customWidth="1"/>
  </cols>
  <sheetData>
    <row r="1" spans="2:17" x14ac:dyDescent="0.25">
      <c r="B1" s="1" t="s">
        <v>73</v>
      </c>
    </row>
    <row r="2" spans="2:17" x14ac:dyDescent="0.25">
      <c r="B2" s="1" t="s">
        <v>130</v>
      </c>
      <c r="C2" s="1"/>
      <c r="D2" s="1"/>
    </row>
    <row r="4" spans="2:17" x14ac:dyDescent="0.25">
      <c r="B4" s="80" t="s">
        <v>25</v>
      </c>
      <c r="C4" s="82" t="s">
        <v>26</v>
      </c>
      <c r="D4" s="84" t="s">
        <v>117</v>
      </c>
      <c r="E4" s="86" t="s">
        <v>27</v>
      </c>
      <c r="F4" s="87"/>
      <c r="G4" s="88"/>
      <c r="H4" s="79" t="s">
        <v>74</v>
      </c>
      <c r="I4" s="77" t="s">
        <v>120</v>
      </c>
      <c r="J4" s="78"/>
      <c r="K4" s="77" t="s">
        <v>121</v>
      </c>
      <c r="L4" s="78"/>
      <c r="M4" s="77" t="s">
        <v>121</v>
      </c>
      <c r="N4" s="78"/>
      <c r="O4" s="79" t="s">
        <v>129</v>
      </c>
      <c r="P4" s="79" t="s">
        <v>128</v>
      </c>
      <c r="Q4" s="79" t="s">
        <v>202</v>
      </c>
    </row>
    <row r="5" spans="2:17" ht="42.75" customHeight="1" x14ac:dyDescent="0.25">
      <c r="B5" s="81"/>
      <c r="C5" s="83"/>
      <c r="D5" s="85"/>
      <c r="E5" s="11" t="s">
        <v>50</v>
      </c>
      <c r="F5" s="3" t="s">
        <v>51</v>
      </c>
      <c r="G5" s="4" t="s">
        <v>52</v>
      </c>
      <c r="H5" s="79"/>
      <c r="I5" s="63" t="s">
        <v>122</v>
      </c>
      <c r="J5" s="64" t="s">
        <v>123</v>
      </c>
      <c r="K5" s="65" t="s">
        <v>124</v>
      </c>
      <c r="L5" s="64" t="s">
        <v>125</v>
      </c>
      <c r="M5" s="66" t="s">
        <v>126</v>
      </c>
      <c r="N5" s="66" t="s">
        <v>127</v>
      </c>
      <c r="O5" s="79"/>
      <c r="P5" s="79"/>
      <c r="Q5" s="79"/>
    </row>
    <row r="6" spans="2:17" x14ac:dyDescent="0.25">
      <c r="B6" s="12">
        <v>1</v>
      </c>
      <c r="C6" s="13">
        <v>2</v>
      </c>
      <c r="D6" s="12">
        <v>3</v>
      </c>
      <c r="E6" s="14">
        <v>4</v>
      </c>
      <c r="F6" s="15">
        <v>5</v>
      </c>
      <c r="G6" s="16">
        <v>6</v>
      </c>
      <c r="H6" s="2">
        <v>7</v>
      </c>
      <c r="I6" s="61">
        <v>8</v>
      </c>
      <c r="J6" s="62">
        <v>9</v>
      </c>
      <c r="K6" s="61">
        <v>10</v>
      </c>
      <c r="L6" s="62">
        <v>11</v>
      </c>
      <c r="M6" s="61">
        <v>12</v>
      </c>
      <c r="N6" s="62">
        <v>13</v>
      </c>
      <c r="O6" s="62">
        <v>13</v>
      </c>
      <c r="P6" s="62">
        <v>14</v>
      </c>
      <c r="Q6" s="62">
        <v>15</v>
      </c>
    </row>
    <row r="7" spans="2:17" x14ac:dyDescent="0.25">
      <c r="B7" s="26"/>
      <c r="C7" s="17" t="s">
        <v>60</v>
      </c>
      <c r="D7" s="52" t="s">
        <v>118</v>
      </c>
      <c r="E7" s="27">
        <f>E8+E27+E49+E63+E76</f>
        <v>12</v>
      </c>
      <c r="F7" s="28">
        <f>F8+F27+F49+F63+F76</f>
        <v>17</v>
      </c>
      <c r="G7" s="29">
        <f>G8+G27+G49+G63+G76</f>
        <v>22</v>
      </c>
      <c r="H7" s="30">
        <f>(E7+4*F7+G7)/6</f>
        <v>17</v>
      </c>
      <c r="I7" s="30">
        <f>I8</f>
        <v>0</v>
      </c>
      <c r="J7" s="30">
        <f>I7+H7</f>
        <v>17</v>
      </c>
      <c r="K7" s="30">
        <f>K76</f>
        <v>17</v>
      </c>
      <c r="L7" s="30">
        <f>K7-H7</f>
        <v>0</v>
      </c>
      <c r="M7" s="30">
        <f>K7-J7</f>
        <v>0</v>
      </c>
      <c r="N7" s="30">
        <f>L7-I7</f>
        <v>0</v>
      </c>
      <c r="O7" s="67">
        <f>O8+O27+O49+O63+O76</f>
        <v>5.4602777777777764E-2</v>
      </c>
      <c r="P7" s="67">
        <f>SQRT(O7)</f>
        <v>0.23367237273109068</v>
      </c>
      <c r="Q7" s="72">
        <f>P7/H7</f>
        <v>1.3745433690064158E-2</v>
      </c>
    </row>
    <row r="8" spans="2:17" x14ac:dyDescent="0.25">
      <c r="B8" s="5" t="s">
        <v>29</v>
      </c>
      <c r="C8" s="20" t="s">
        <v>49</v>
      </c>
      <c r="D8" s="53" t="s">
        <v>118</v>
      </c>
      <c r="E8" s="31">
        <f>E9+E14+E19</f>
        <v>1</v>
      </c>
      <c r="F8" s="32">
        <f t="shared" ref="F8:G8" si="0">F9+F14+F19</f>
        <v>2</v>
      </c>
      <c r="G8" s="33">
        <f t="shared" si="0"/>
        <v>3</v>
      </c>
      <c r="H8" s="33">
        <f>(E8+4*F8+G8)/6</f>
        <v>2</v>
      </c>
      <c r="I8" s="33">
        <v>0</v>
      </c>
      <c r="J8" s="33">
        <f>I8+H8</f>
        <v>2</v>
      </c>
      <c r="K8" s="33">
        <f>L27</f>
        <v>2</v>
      </c>
      <c r="L8" s="33">
        <f>K8-H8</f>
        <v>0</v>
      </c>
      <c r="M8" s="33">
        <f>K8-J8</f>
        <v>0</v>
      </c>
      <c r="N8" s="33">
        <f>L8-I8</f>
        <v>0</v>
      </c>
      <c r="O8" s="68">
        <f>O9+O14+O19</f>
        <v>7.7277777777777779E-3</v>
      </c>
      <c r="P8" s="68">
        <f t="shared" ref="P8:P80" si="1">SQRT(O8)</f>
        <v>8.7907779961603955E-2</v>
      </c>
    </row>
    <row r="9" spans="2:17" outlineLevel="1" x14ac:dyDescent="0.25">
      <c r="B9" s="18" t="s">
        <v>30</v>
      </c>
      <c r="C9" s="19" t="s">
        <v>53</v>
      </c>
      <c r="D9" s="54" t="s">
        <v>118</v>
      </c>
      <c r="E9" s="34">
        <f>SUM(E10:E13)</f>
        <v>0.2</v>
      </c>
      <c r="F9" s="35">
        <f t="shared" ref="F9:G9" si="2">SUM(F10:F13)</f>
        <v>0.4</v>
      </c>
      <c r="G9" s="36">
        <f t="shared" si="2"/>
        <v>0.6</v>
      </c>
      <c r="H9" s="36">
        <f>(E9+4*F9+G9)/6</f>
        <v>0.39999999999999997</v>
      </c>
      <c r="I9" s="36">
        <v>0</v>
      </c>
      <c r="J9" s="36">
        <f>I9+H9</f>
        <v>0.39999999999999997</v>
      </c>
      <c r="K9" s="36">
        <f>L14</f>
        <v>0.4000000000000018</v>
      </c>
      <c r="L9" s="36">
        <f>K9-H9</f>
        <v>1.8318679906315083E-15</v>
      </c>
      <c r="M9" s="36">
        <f>K9-J9</f>
        <v>1.8318679906315083E-15</v>
      </c>
      <c r="N9" s="36">
        <f>L9-I9</f>
        <v>1.8318679906315083E-15</v>
      </c>
      <c r="O9" s="69">
        <f>SUM(O10:O13)</f>
        <v>1.1111111111111111E-3</v>
      </c>
      <c r="P9" s="69">
        <f t="shared" si="1"/>
        <v>3.3333333333333333E-2</v>
      </c>
    </row>
    <row r="10" spans="2:17" outlineLevel="2" x14ac:dyDescent="0.25">
      <c r="B10" s="7" t="s">
        <v>75</v>
      </c>
      <c r="C10" s="9" t="s">
        <v>3</v>
      </c>
      <c r="D10" s="55" t="s">
        <v>118</v>
      </c>
      <c r="E10" s="37">
        <v>0.05</v>
      </c>
      <c r="F10" s="38">
        <v>0.1</v>
      </c>
      <c r="G10" s="39">
        <v>0.15</v>
      </c>
      <c r="H10" s="40">
        <f>(E10+4*F10+G10)/6</f>
        <v>9.9999999999999992E-2</v>
      </c>
      <c r="I10" s="40">
        <v>0</v>
      </c>
      <c r="J10" s="40">
        <f>I10+H10</f>
        <v>9.9999999999999992E-2</v>
      </c>
      <c r="K10" s="40">
        <f>L11</f>
        <v>0.10000000000000574</v>
      </c>
      <c r="L10" s="40">
        <f t="shared" ref="L10:L11" si="3">K10-H10</f>
        <v>5.7454041524351851E-15</v>
      </c>
      <c r="M10" s="40">
        <f>K10-J10</f>
        <v>5.7454041524351851E-15</v>
      </c>
      <c r="N10" s="40">
        <f t="shared" ref="N10:N80" si="4">L10-I10</f>
        <v>5.7454041524351851E-15</v>
      </c>
      <c r="O10" s="70">
        <f>((G10-E10)/6)^2</f>
        <v>2.7777777777777778E-4</v>
      </c>
      <c r="P10" s="70">
        <f t="shared" si="1"/>
        <v>1.6666666666666666E-2</v>
      </c>
    </row>
    <row r="11" spans="2:17" outlineLevel="2" x14ac:dyDescent="0.25">
      <c r="B11" s="8" t="s">
        <v>76</v>
      </c>
      <c r="C11" s="10" t="s">
        <v>4</v>
      </c>
      <c r="D11" s="55" t="s">
        <v>75</v>
      </c>
      <c r="E11" s="37">
        <v>0.05</v>
      </c>
      <c r="F11" s="41">
        <v>0.1</v>
      </c>
      <c r="G11" s="40">
        <v>0.15</v>
      </c>
      <c r="H11" s="40">
        <f t="shared" ref="H11:H13" si="5">(E11+4*F11+G11)/6</f>
        <v>9.9999999999999992E-2</v>
      </c>
      <c r="I11" s="40">
        <f>J10</f>
        <v>9.9999999999999992E-2</v>
      </c>
      <c r="J11" s="40">
        <f>I11+H11</f>
        <v>0.19999999999999998</v>
      </c>
      <c r="K11" s="40">
        <f t="shared" ref="K11" si="6">L12</f>
        <v>0.20000000000000573</v>
      </c>
      <c r="L11" s="40">
        <f t="shared" si="3"/>
        <v>0.10000000000000574</v>
      </c>
      <c r="M11" s="40">
        <f t="shared" ref="M11:M80" si="7">K11-J11</f>
        <v>5.7454041524351851E-15</v>
      </c>
      <c r="N11" s="40">
        <f t="shared" si="4"/>
        <v>5.7454041524351851E-15</v>
      </c>
      <c r="O11" s="70">
        <f>((G11-E11)/6)^2</f>
        <v>2.7777777777777778E-4</v>
      </c>
      <c r="P11" s="70">
        <f t="shared" si="1"/>
        <v>1.6666666666666666E-2</v>
      </c>
    </row>
    <row r="12" spans="2:17" outlineLevel="2" x14ac:dyDescent="0.25">
      <c r="B12" s="8" t="s">
        <v>77</v>
      </c>
      <c r="C12" s="10" t="s">
        <v>5</v>
      </c>
      <c r="D12" s="55" t="s">
        <v>76</v>
      </c>
      <c r="E12" s="37">
        <v>0.05</v>
      </c>
      <c r="F12" s="41">
        <v>0.1</v>
      </c>
      <c r="G12" s="40">
        <v>0.15</v>
      </c>
      <c r="H12" s="40">
        <f t="shared" si="5"/>
        <v>9.9999999999999992E-2</v>
      </c>
      <c r="I12" s="40">
        <f>J11</f>
        <v>0.19999999999999998</v>
      </c>
      <c r="J12" s="40">
        <f t="shared" ref="J12:J13" si="8">I12+H12</f>
        <v>0.3</v>
      </c>
      <c r="K12" s="40">
        <f>L13</f>
        <v>0.30000000000000571</v>
      </c>
      <c r="L12" s="40">
        <f>K12-H12</f>
        <v>0.20000000000000573</v>
      </c>
      <c r="M12" s="40">
        <f t="shared" si="7"/>
        <v>5.7176485768195562E-15</v>
      </c>
      <c r="N12" s="40">
        <f t="shared" si="4"/>
        <v>5.7454041524351851E-15</v>
      </c>
      <c r="O12" s="70">
        <f t="shared" ref="O12:O80" si="9">((G12-E12)/6)^2</f>
        <v>2.7777777777777778E-4</v>
      </c>
      <c r="P12" s="70">
        <f t="shared" si="1"/>
        <v>1.6666666666666666E-2</v>
      </c>
    </row>
    <row r="13" spans="2:17" outlineLevel="2" x14ac:dyDescent="0.25">
      <c r="B13" s="21" t="s">
        <v>78</v>
      </c>
      <c r="C13" s="22" t="s">
        <v>6</v>
      </c>
      <c r="D13" s="56" t="s">
        <v>77</v>
      </c>
      <c r="E13" s="37">
        <v>0.05</v>
      </c>
      <c r="F13" s="42">
        <v>0.1</v>
      </c>
      <c r="G13" s="43">
        <v>0.15</v>
      </c>
      <c r="H13" s="40">
        <f t="shared" si="5"/>
        <v>9.9999999999999992E-2</v>
      </c>
      <c r="I13" s="40">
        <f>J12</f>
        <v>0.3</v>
      </c>
      <c r="J13" s="40">
        <f t="shared" si="8"/>
        <v>0.39999999999999997</v>
      </c>
      <c r="K13" s="40">
        <f>L15</f>
        <v>0.40000000000000568</v>
      </c>
      <c r="L13" s="40">
        <f>K13-H13</f>
        <v>0.30000000000000571</v>
      </c>
      <c r="M13" s="40">
        <f t="shared" si="7"/>
        <v>5.7176485768195562E-15</v>
      </c>
      <c r="N13" s="40">
        <f t="shared" si="4"/>
        <v>5.7176485768195562E-15</v>
      </c>
      <c r="O13" s="70">
        <f t="shared" si="9"/>
        <v>2.7777777777777778E-4</v>
      </c>
      <c r="P13" s="70">
        <f t="shared" si="1"/>
        <v>1.6666666666666666E-2</v>
      </c>
    </row>
    <row r="14" spans="2:17" outlineLevel="1" x14ac:dyDescent="0.25">
      <c r="B14" s="6" t="s">
        <v>31</v>
      </c>
      <c r="C14" s="23" t="s">
        <v>54</v>
      </c>
      <c r="D14" s="57" t="s">
        <v>30</v>
      </c>
      <c r="E14" s="34">
        <f>SUM(E15:E18)</f>
        <v>0.3</v>
      </c>
      <c r="F14" s="35">
        <f t="shared" ref="F14:G14" si="10">SUM(F15:F18)</f>
        <v>0.6</v>
      </c>
      <c r="G14" s="36">
        <f t="shared" si="10"/>
        <v>0.9</v>
      </c>
      <c r="H14" s="36">
        <f>(E14+4*F14+G14)/6</f>
        <v>0.6</v>
      </c>
      <c r="I14" s="36">
        <f>J9</f>
        <v>0.39999999999999997</v>
      </c>
      <c r="J14" s="36">
        <f>I14+H14</f>
        <v>1</v>
      </c>
      <c r="K14" s="36">
        <f>L19</f>
        <v>1.0000000000000018</v>
      </c>
      <c r="L14" s="36">
        <f>K14-H14</f>
        <v>0.4000000000000018</v>
      </c>
      <c r="M14" s="36">
        <f t="shared" si="7"/>
        <v>1.7763568394002505E-15</v>
      </c>
      <c r="N14" s="36">
        <f t="shared" si="4"/>
        <v>1.8318679906315083E-15</v>
      </c>
      <c r="O14" s="69">
        <f>SUM(O15:O18)</f>
        <v>2.6222222222222224E-3</v>
      </c>
      <c r="P14" s="69">
        <f t="shared" si="1"/>
        <v>5.1207638319124053E-2</v>
      </c>
    </row>
    <row r="15" spans="2:17" outlineLevel="2" x14ac:dyDescent="0.25">
      <c r="B15" s="7" t="s">
        <v>79</v>
      </c>
      <c r="C15" s="9" t="s">
        <v>7</v>
      </c>
      <c r="D15" s="55" t="s">
        <v>78</v>
      </c>
      <c r="E15" s="37">
        <v>0.09</v>
      </c>
      <c r="F15" s="38">
        <v>0.18</v>
      </c>
      <c r="G15" s="39">
        <v>0.27</v>
      </c>
      <c r="H15" s="40">
        <f t="shared" ref="H15:H18" si="11">(E15+4*F15+G15)/6</f>
        <v>0.18000000000000002</v>
      </c>
      <c r="I15" s="40">
        <f>J13</f>
        <v>0.39999999999999997</v>
      </c>
      <c r="J15" s="40">
        <f>I15+H15</f>
        <v>0.57999999999999996</v>
      </c>
      <c r="K15" s="40">
        <f t="shared" ref="K15:K16" si="12">L16</f>
        <v>0.58000000000000573</v>
      </c>
      <c r="L15" s="40">
        <f t="shared" ref="L15:L16" si="13">K15-H15</f>
        <v>0.40000000000000568</v>
      </c>
      <c r="M15" s="40">
        <f t="shared" si="7"/>
        <v>5.773159728050814E-15</v>
      </c>
      <c r="N15" s="40">
        <f t="shared" si="4"/>
        <v>5.7176485768195562E-15</v>
      </c>
      <c r="O15" s="70">
        <f t="shared" si="9"/>
        <v>9.0000000000000019E-4</v>
      </c>
      <c r="P15" s="70">
        <f t="shared" si="1"/>
        <v>3.0000000000000002E-2</v>
      </c>
    </row>
    <row r="16" spans="2:17" outlineLevel="2" x14ac:dyDescent="0.25">
      <c r="B16" s="8" t="s">
        <v>80</v>
      </c>
      <c r="C16" s="10" t="s">
        <v>8</v>
      </c>
      <c r="D16" s="58" t="s">
        <v>79</v>
      </c>
      <c r="E16" s="44">
        <v>0.09</v>
      </c>
      <c r="F16" s="41">
        <v>0.18</v>
      </c>
      <c r="G16" s="40">
        <v>0.27</v>
      </c>
      <c r="H16" s="40">
        <f t="shared" si="11"/>
        <v>0.18000000000000002</v>
      </c>
      <c r="I16" s="40">
        <f>J15</f>
        <v>0.57999999999999996</v>
      </c>
      <c r="J16" s="40">
        <f>I16+H16</f>
        <v>0.76</v>
      </c>
      <c r="K16" s="40">
        <f t="shared" si="12"/>
        <v>0.76000000000000578</v>
      </c>
      <c r="L16" s="40">
        <f t="shared" si="13"/>
        <v>0.58000000000000573</v>
      </c>
      <c r="M16" s="40">
        <f t="shared" si="7"/>
        <v>5.773159728050814E-15</v>
      </c>
      <c r="N16" s="40">
        <f t="shared" si="4"/>
        <v>5.773159728050814E-15</v>
      </c>
      <c r="O16" s="70">
        <f t="shared" si="9"/>
        <v>9.0000000000000019E-4</v>
      </c>
      <c r="P16" s="70">
        <f t="shared" si="1"/>
        <v>3.0000000000000002E-2</v>
      </c>
    </row>
    <row r="17" spans="2:16" outlineLevel="2" x14ac:dyDescent="0.25">
      <c r="B17" s="8" t="s">
        <v>81</v>
      </c>
      <c r="C17" s="10" t="s">
        <v>9</v>
      </c>
      <c r="D17" s="58" t="s">
        <v>80</v>
      </c>
      <c r="E17" s="44">
        <v>0.05</v>
      </c>
      <c r="F17" s="41">
        <v>0.1</v>
      </c>
      <c r="G17" s="40">
        <v>0.15</v>
      </c>
      <c r="H17" s="40">
        <f t="shared" si="11"/>
        <v>9.9999999999999992E-2</v>
      </c>
      <c r="I17" s="40">
        <f>J16</f>
        <v>0.76</v>
      </c>
      <c r="J17" s="40">
        <f t="shared" ref="J17:J18" si="14">I17+H17</f>
        <v>0.86</v>
      </c>
      <c r="K17" s="40">
        <f>L18</f>
        <v>0.86000000000000576</v>
      </c>
      <c r="L17" s="40">
        <f>K17-H17</f>
        <v>0.76000000000000578</v>
      </c>
      <c r="M17" s="40">
        <f t="shared" si="7"/>
        <v>5.773159728050814E-15</v>
      </c>
      <c r="N17" s="40">
        <f t="shared" si="4"/>
        <v>5.773159728050814E-15</v>
      </c>
      <c r="O17" s="70">
        <f t="shared" si="9"/>
        <v>2.7777777777777778E-4</v>
      </c>
      <c r="P17" s="70">
        <f t="shared" si="1"/>
        <v>1.6666666666666666E-2</v>
      </c>
    </row>
    <row r="18" spans="2:16" outlineLevel="2" x14ac:dyDescent="0.25">
      <c r="B18" s="21" t="s">
        <v>82</v>
      </c>
      <c r="C18" s="22" t="s">
        <v>10</v>
      </c>
      <c r="D18" s="59" t="s">
        <v>81</v>
      </c>
      <c r="E18" s="45">
        <v>7.0000000000000007E-2</v>
      </c>
      <c r="F18" s="42">
        <v>0.14000000000000001</v>
      </c>
      <c r="G18" s="43">
        <v>0.21</v>
      </c>
      <c r="H18" s="40">
        <f t="shared" si="11"/>
        <v>0.14000000000000001</v>
      </c>
      <c r="I18" s="40">
        <f>J17</f>
        <v>0.86</v>
      </c>
      <c r="J18" s="40">
        <f t="shared" si="14"/>
        <v>1</v>
      </c>
      <c r="K18" s="40">
        <f>L20</f>
        <v>1.0000000000000058</v>
      </c>
      <c r="L18" s="40">
        <f>K18-H18</f>
        <v>0.86000000000000576</v>
      </c>
      <c r="M18" s="40">
        <f t="shared" si="7"/>
        <v>5.773159728050814E-15</v>
      </c>
      <c r="N18" s="40">
        <f t="shared" si="4"/>
        <v>5.773159728050814E-15</v>
      </c>
      <c r="O18" s="70">
        <f t="shared" si="9"/>
        <v>5.4444444444444429E-4</v>
      </c>
      <c r="P18" s="70">
        <f t="shared" si="1"/>
        <v>2.3333333333333331E-2</v>
      </c>
    </row>
    <row r="19" spans="2:16" outlineLevel="1" x14ac:dyDescent="0.25">
      <c r="B19" s="6" t="s">
        <v>32</v>
      </c>
      <c r="C19" s="23" t="s">
        <v>55</v>
      </c>
      <c r="D19" s="57" t="s">
        <v>31</v>
      </c>
      <c r="E19" s="34">
        <f>SUM(E20:E26)</f>
        <v>0.5</v>
      </c>
      <c r="F19" s="35">
        <f>SUM(F20:F26)</f>
        <v>1</v>
      </c>
      <c r="G19" s="36">
        <f>SUM(G20:G26)</f>
        <v>1.5</v>
      </c>
      <c r="H19" s="36">
        <f>(E19+4*F19+G19)/6</f>
        <v>1</v>
      </c>
      <c r="I19" s="36">
        <f>J14</f>
        <v>1</v>
      </c>
      <c r="J19" s="36">
        <f>I19+H19</f>
        <v>2</v>
      </c>
      <c r="K19" s="36">
        <f>L28</f>
        <v>2.0000000000000018</v>
      </c>
      <c r="L19" s="36">
        <f>K19-H19</f>
        <v>1.0000000000000018</v>
      </c>
      <c r="M19" s="36">
        <f t="shared" si="7"/>
        <v>0</v>
      </c>
      <c r="N19" s="36">
        <f t="shared" si="4"/>
        <v>1.7763568394002505E-15</v>
      </c>
      <c r="O19" s="69">
        <f>SUM(O20:O26)</f>
        <v>3.9944444444444446E-3</v>
      </c>
      <c r="P19" s="69">
        <f t="shared" si="1"/>
        <v>6.3201617419528469E-2</v>
      </c>
    </row>
    <row r="20" spans="2:16" ht="30" outlineLevel="2" x14ac:dyDescent="0.25">
      <c r="B20" s="7" t="s">
        <v>83</v>
      </c>
      <c r="C20" s="9" t="s">
        <v>11</v>
      </c>
      <c r="D20" s="55" t="s">
        <v>82</v>
      </c>
      <c r="E20" s="37">
        <v>0.06</v>
      </c>
      <c r="F20" s="38">
        <v>0.14000000000000001</v>
      </c>
      <c r="G20" s="39">
        <v>0.21</v>
      </c>
      <c r="H20" s="40">
        <f t="shared" ref="H20:H26" si="15">(E20+4*F20+G20)/6</f>
        <v>0.13833333333333334</v>
      </c>
      <c r="I20" s="40">
        <f>J18</f>
        <v>1</v>
      </c>
      <c r="J20" s="40">
        <f>I20+H20</f>
        <v>1.1383333333333334</v>
      </c>
      <c r="K20" s="40">
        <f t="shared" ref="K20:K23" si="16">L21</f>
        <v>1.1383333333333392</v>
      </c>
      <c r="L20" s="40">
        <f t="shared" ref="L20:L23" si="17">K20-H20</f>
        <v>1.0000000000000058</v>
      </c>
      <c r="M20" s="40">
        <f t="shared" si="7"/>
        <v>5.773159728050814E-15</v>
      </c>
      <c r="N20" s="40">
        <f t="shared" si="4"/>
        <v>5.773159728050814E-15</v>
      </c>
      <c r="O20" s="70">
        <f t="shared" si="9"/>
        <v>6.249999999999999E-4</v>
      </c>
      <c r="P20" s="70">
        <f t="shared" si="1"/>
        <v>2.4999999999999998E-2</v>
      </c>
    </row>
    <row r="21" spans="2:16" outlineLevel="2" x14ac:dyDescent="0.25">
      <c r="B21" s="8" t="s">
        <v>84</v>
      </c>
      <c r="C21" s="10" t="s">
        <v>138</v>
      </c>
      <c r="D21" s="58" t="s">
        <v>83</v>
      </c>
      <c r="E21" s="37">
        <v>0.06</v>
      </c>
      <c r="F21" s="38">
        <v>0.14000000000000001</v>
      </c>
      <c r="G21" s="39">
        <v>0.21</v>
      </c>
      <c r="H21" s="40">
        <f t="shared" si="15"/>
        <v>0.13833333333333334</v>
      </c>
      <c r="I21" s="40">
        <f t="shared" ref="I21:I26" si="18">J20</f>
        <v>1.1383333333333334</v>
      </c>
      <c r="J21" s="40">
        <f>I21+H21</f>
        <v>1.2766666666666668</v>
      </c>
      <c r="K21" s="40">
        <f t="shared" si="16"/>
        <v>1.2766666666666726</v>
      </c>
      <c r="L21" s="40">
        <f t="shared" si="17"/>
        <v>1.1383333333333392</v>
      </c>
      <c r="M21" s="40">
        <f t="shared" si="7"/>
        <v>5.773159728050814E-15</v>
      </c>
      <c r="N21" s="40">
        <f t="shared" si="4"/>
        <v>5.773159728050814E-15</v>
      </c>
      <c r="O21" s="70">
        <f t="shared" si="9"/>
        <v>6.249999999999999E-4</v>
      </c>
      <c r="P21" s="70">
        <f t="shared" si="1"/>
        <v>2.4999999999999998E-2</v>
      </c>
    </row>
    <row r="22" spans="2:16" ht="30" outlineLevel="2" x14ac:dyDescent="0.25">
      <c r="B22" s="8" t="s">
        <v>86</v>
      </c>
      <c r="C22" s="10" t="s">
        <v>139</v>
      </c>
      <c r="D22" s="58" t="s">
        <v>84</v>
      </c>
      <c r="E22" s="37">
        <v>0.06</v>
      </c>
      <c r="F22" s="38">
        <v>0.14000000000000001</v>
      </c>
      <c r="G22" s="39">
        <v>0.21</v>
      </c>
      <c r="H22" s="40">
        <f t="shared" si="15"/>
        <v>0.13833333333333334</v>
      </c>
      <c r="I22" s="40">
        <f t="shared" si="18"/>
        <v>1.2766666666666668</v>
      </c>
      <c r="J22" s="40">
        <f t="shared" ref="J22:J26" si="19">I22+H22</f>
        <v>1.4150000000000003</v>
      </c>
      <c r="K22" s="40">
        <f t="shared" si="16"/>
        <v>1.415000000000006</v>
      </c>
      <c r="L22" s="40">
        <f t="shared" si="17"/>
        <v>1.2766666666666726</v>
      </c>
      <c r="M22" s="40">
        <f t="shared" si="7"/>
        <v>5.773159728050814E-15</v>
      </c>
      <c r="N22" s="40">
        <f t="shared" si="4"/>
        <v>5.773159728050814E-15</v>
      </c>
      <c r="O22" s="70">
        <f t="shared" si="9"/>
        <v>6.249999999999999E-4</v>
      </c>
      <c r="P22" s="70">
        <f t="shared" si="1"/>
        <v>2.4999999999999998E-2</v>
      </c>
    </row>
    <row r="23" spans="2:16" ht="30" outlineLevel="2" x14ac:dyDescent="0.25">
      <c r="B23" s="8" t="s">
        <v>85</v>
      </c>
      <c r="C23" s="10" t="s">
        <v>140</v>
      </c>
      <c r="D23" s="58" t="s">
        <v>86</v>
      </c>
      <c r="E23" s="37">
        <v>0.08</v>
      </c>
      <c r="F23" s="38">
        <v>0.14000000000000001</v>
      </c>
      <c r="G23" s="39">
        <v>0.21</v>
      </c>
      <c r="H23" s="40">
        <f t="shared" si="15"/>
        <v>0.14166666666666666</v>
      </c>
      <c r="I23" s="40">
        <f t="shared" si="18"/>
        <v>1.4150000000000003</v>
      </c>
      <c r="J23" s="40">
        <f>I23+H23</f>
        <v>1.5566666666666669</v>
      </c>
      <c r="K23" s="40">
        <f t="shared" si="16"/>
        <v>1.5566666666666726</v>
      </c>
      <c r="L23" s="40">
        <f t="shared" si="17"/>
        <v>1.415000000000006</v>
      </c>
      <c r="M23" s="40">
        <f t="shared" si="7"/>
        <v>5.773159728050814E-15</v>
      </c>
      <c r="N23" s="40">
        <f t="shared" si="4"/>
        <v>5.773159728050814E-15</v>
      </c>
      <c r="O23" s="70">
        <f t="shared" si="9"/>
        <v>4.6944444444444448E-4</v>
      </c>
      <c r="P23" s="70">
        <f t="shared" si="1"/>
        <v>2.1666666666666667E-2</v>
      </c>
    </row>
    <row r="24" spans="2:16" outlineLevel="2" x14ac:dyDescent="0.25">
      <c r="B24" s="8" t="s">
        <v>87</v>
      </c>
      <c r="C24" s="10" t="s">
        <v>141</v>
      </c>
      <c r="D24" s="58" t="s">
        <v>85</v>
      </c>
      <c r="E24" s="37">
        <v>0.08</v>
      </c>
      <c r="F24" s="38">
        <v>0.14000000000000001</v>
      </c>
      <c r="G24" s="39">
        <v>0.21</v>
      </c>
      <c r="H24" s="40">
        <f t="shared" si="15"/>
        <v>0.14166666666666666</v>
      </c>
      <c r="I24" s="40">
        <f t="shared" si="18"/>
        <v>1.5566666666666669</v>
      </c>
      <c r="J24" s="40">
        <f t="shared" si="19"/>
        <v>1.6983333333333335</v>
      </c>
      <c r="K24" s="40">
        <f>L25</f>
        <v>1.6983333333333392</v>
      </c>
      <c r="L24" s="40">
        <f>K24-H24</f>
        <v>1.5566666666666726</v>
      </c>
      <c r="M24" s="40">
        <f t="shared" si="7"/>
        <v>5.773159728050814E-15</v>
      </c>
      <c r="N24" s="40">
        <f t="shared" si="4"/>
        <v>5.773159728050814E-15</v>
      </c>
      <c r="O24" s="70">
        <f t="shared" si="9"/>
        <v>4.6944444444444448E-4</v>
      </c>
      <c r="P24" s="70">
        <f t="shared" si="1"/>
        <v>2.1666666666666667E-2</v>
      </c>
    </row>
    <row r="25" spans="2:16" ht="45" outlineLevel="2" x14ac:dyDescent="0.25">
      <c r="B25" s="21" t="s">
        <v>88</v>
      </c>
      <c r="C25" s="22" t="s">
        <v>12</v>
      </c>
      <c r="D25" s="59" t="s">
        <v>87</v>
      </c>
      <c r="E25" s="37">
        <v>0.08</v>
      </c>
      <c r="F25" s="38">
        <v>0.14000000000000001</v>
      </c>
      <c r="G25" s="39">
        <v>0.21</v>
      </c>
      <c r="H25" s="40">
        <f t="shared" ref="H25" si="20">(E25+4*F25+G25)/6</f>
        <v>0.14166666666666666</v>
      </c>
      <c r="I25" s="40">
        <f t="shared" si="18"/>
        <v>1.6983333333333335</v>
      </c>
      <c r="J25" s="40">
        <f t="shared" ref="J25" si="21">I25+H25</f>
        <v>1.84</v>
      </c>
      <c r="K25" s="40">
        <f>L26</f>
        <v>1.8400000000000059</v>
      </c>
      <c r="L25" s="40">
        <f>K25-H25</f>
        <v>1.6983333333333392</v>
      </c>
      <c r="M25" s="40">
        <f t="shared" ref="M25" si="22">K25-J25</f>
        <v>5.773159728050814E-15</v>
      </c>
      <c r="N25" s="40">
        <f t="shared" ref="N25" si="23">L25-I25</f>
        <v>5.773159728050814E-15</v>
      </c>
      <c r="O25" s="70">
        <f t="shared" ref="O25" si="24">((G25-E25)/6)^2</f>
        <v>4.6944444444444448E-4</v>
      </c>
      <c r="P25" s="70">
        <f t="shared" ref="P25" si="25">SQRT(O25)</f>
        <v>2.1666666666666667E-2</v>
      </c>
    </row>
    <row r="26" spans="2:16" ht="30" outlineLevel="2" x14ac:dyDescent="0.25">
      <c r="B26" s="21" t="s">
        <v>176</v>
      </c>
      <c r="C26" s="22" t="s">
        <v>13</v>
      </c>
      <c r="D26" s="59" t="s">
        <v>88</v>
      </c>
      <c r="E26" s="37">
        <v>0.08</v>
      </c>
      <c r="F26" s="38">
        <v>0.16</v>
      </c>
      <c r="G26" s="39">
        <v>0.24</v>
      </c>
      <c r="H26" s="40">
        <f t="shared" si="15"/>
        <v>0.16</v>
      </c>
      <c r="I26" s="40">
        <f t="shared" si="18"/>
        <v>1.84</v>
      </c>
      <c r="J26" s="40">
        <f t="shared" si="19"/>
        <v>2</v>
      </c>
      <c r="K26" s="40">
        <f>L29</f>
        <v>2.0000000000000058</v>
      </c>
      <c r="L26" s="40">
        <f>K26-H26</f>
        <v>1.8400000000000059</v>
      </c>
      <c r="M26" s="40">
        <f t="shared" si="7"/>
        <v>5.773159728050814E-15</v>
      </c>
      <c r="N26" s="40">
        <f t="shared" si="4"/>
        <v>5.773159728050814E-15</v>
      </c>
      <c r="O26" s="70">
        <f t="shared" si="9"/>
        <v>7.1111111111111082E-4</v>
      </c>
      <c r="P26" s="70">
        <f t="shared" si="1"/>
        <v>2.6666666666666661E-2</v>
      </c>
    </row>
    <row r="27" spans="2:16" x14ac:dyDescent="0.25">
      <c r="B27" s="5" t="s">
        <v>28</v>
      </c>
      <c r="C27" s="20" t="s">
        <v>56</v>
      </c>
      <c r="D27" s="60" t="s">
        <v>29</v>
      </c>
      <c r="E27" s="46">
        <f>E28+E34+E40+E44</f>
        <v>4</v>
      </c>
      <c r="F27" s="47">
        <f t="shared" ref="F27:G27" si="26">F28+F34+F40+F44</f>
        <v>5</v>
      </c>
      <c r="G27" s="48">
        <f t="shared" si="26"/>
        <v>6</v>
      </c>
      <c r="H27" s="33">
        <f>(E27+4*F27+G27)/6</f>
        <v>5</v>
      </c>
      <c r="I27" s="33">
        <f>J8</f>
        <v>2</v>
      </c>
      <c r="J27" s="33">
        <f>I27+H27</f>
        <v>7</v>
      </c>
      <c r="K27" s="33">
        <f>L49</f>
        <v>7</v>
      </c>
      <c r="L27" s="33">
        <f>K27-H27</f>
        <v>2</v>
      </c>
      <c r="M27" s="33">
        <f t="shared" si="7"/>
        <v>0</v>
      </c>
      <c r="N27" s="33">
        <f t="shared" si="4"/>
        <v>0</v>
      </c>
      <c r="O27" s="71">
        <f>O28+O34+O40+O44</f>
        <v>6.8805555555555547E-3</v>
      </c>
      <c r="P27" s="71">
        <f t="shared" si="1"/>
        <v>8.294911425419535E-2</v>
      </c>
    </row>
    <row r="28" spans="2:16" outlineLevel="1" x14ac:dyDescent="0.25">
      <c r="B28" s="6" t="s">
        <v>33</v>
      </c>
      <c r="C28" s="23" t="s">
        <v>72</v>
      </c>
      <c r="D28" s="57" t="s">
        <v>32</v>
      </c>
      <c r="E28" s="34">
        <f>SUM(E29:E33)</f>
        <v>0.79999999999999993</v>
      </c>
      <c r="F28" s="35">
        <f>SUM(F29:F33)</f>
        <v>1</v>
      </c>
      <c r="G28" s="36">
        <f>SUM(G29:G33)</f>
        <v>1.1999999999999997</v>
      </c>
      <c r="H28" s="36">
        <f>(E28+4*F28+G28)/6</f>
        <v>1</v>
      </c>
      <c r="I28" s="36">
        <f>J19</f>
        <v>2</v>
      </c>
      <c r="J28" s="36">
        <f>I28+H28</f>
        <v>3</v>
      </c>
      <c r="K28" s="36">
        <f>L34</f>
        <v>3.0000000000000018</v>
      </c>
      <c r="L28" s="36">
        <f>K28-H28</f>
        <v>2.0000000000000018</v>
      </c>
      <c r="M28" s="36">
        <f t="shared" si="7"/>
        <v>0</v>
      </c>
      <c r="N28" s="36">
        <f t="shared" si="4"/>
        <v>0</v>
      </c>
      <c r="O28" s="69">
        <f>SUM(O29:O33)</f>
        <v>8.9444444444444402E-4</v>
      </c>
      <c r="P28" s="69">
        <f t="shared" si="1"/>
        <v>2.990726407487726E-2</v>
      </c>
    </row>
    <row r="29" spans="2:16" outlineLevel="2" x14ac:dyDescent="0.25">
      <c r="B29" s="7" t="s">
        <v>89</v>
      </c>
      <c r="C29" s="9" t="s">
        <v>21</v>
      </c>
      <c r="D29" s="55" t="s">
        <v>176</v>
      </c>
      <c r="E29" s="37">
        <v>0.15</v>
      </c>
      <c r="F29" s="38">
        <f>E29*1.25</f>
        <v>0.1875</v>
      </c>
      <c r="G29" s="39">
        <f>F29*1.2</f>
        <v>0.22499999999999998</v>
      </c>
      <c r="H29" s="40">
        <f t="shared" ref="H29:H33" si="27">(E29+4*F29+G29)/6</f>
        <v>0.1875</v>
      </c>
      <c r="I29" s="40">
        <f>J26</f>
        <v>2</v>
      </c>
      <c r="J29" s="40">
        <f>I29+H29</f>
        <v>2.1875</v>
      </c>
      <c r="K29" s="40">
        <f>L30</f>
        <v>2.1875000000000058</v>
      </c>
      <c r="L29" s="40">
        <f t="shared" ref="L29:L31" si="28">K29-H29</f>
        <v>2.0000000000000058</v>
      </c>
      <c r="M29" s="40">
        <f t="shared" si="7"/>
        <v>5.773159728050814E-15</v>
      </c>
      <c r="N29" s="40">
        <f t="shared" si="4"/>
        <v>5.773159728050814E-15</v>
      </c>
      <c r="O29" s="70">
        <f t="shared" si="9"/>
        <v>1.5624999999999992E-4</v>
      </c>
      <c r="P29" s="70">
        <f t="shared" si="1"/>
        <v>1.2499999999999997E-2</v>
      </c>
    </row>
    <row r="30" spans="2:16" outlineLevel="2" x14ac:dyDescent="0.25">
      <c r="B30" s="8" t="s">
        <v>90</v>
      </c>
      <c r="C30" s="10" t="s">
        <v>22</v>
      </c>
      <c r="D30" s="58" t="s">
        <v>89</v>
      </c>
      <c r="E30" s="44">
        <v>0.15</v>
      </c>
      <c r="F30" s="38">
        <f t="shared" ref="F30:F33" si="29">E30*1.25</f>
        <v>0.1875</v>
      </c>
      <c r="G30" s="39">
        <f t="shared" ref="G30:G33" si="30">F30*1.2</f>
        <v>0.22499999999999998</v>
      </c>
      <c r="H30" s="40">
        <f t="shared" si="27"/>
        <v>0.1875</v>
      </c>
      <c r="I30" s="40">
        <f>J29</f>
        <v>2.1875</v>
      </c>
      <c r="J30" s="40">
        <f>I30+H30</f>
        <v>2.375</v>
      </c>
      <c r="K30" s="40">
        <f>L31</f>
        <v>2.3750000000000058</v>
      </c>
      <c r="L30" s="40">
        <f t="shared" si="28"/>
        <v>2.1875000000000058</v>
      </c>
      <c r="M30" s="40">
        <f t="shared" si="7"/>
        <v>5.773159728050814E-15</v>
      </c>
      <c r="N30" s="40">
        <f t="shared" si="4"/>
        <v>5.773159728050814E-15</v>
      </c>
      <c r="O30" s="70">
        <f t="shared" si="9"/>
        <v>1.5624999999999992E-4</v>
      </c>
      <c r="P30" s="70">
        <f t="shared" si="1"/>
        <v>1.2499999999999997E-2</v>
      </c>
    </row>
    <row r="31" spans="2:16" outlineLevel="2" x14ac:dyDescent="0.25">
      <c r="B31" s="8" t="s">
        <v>91</v>
      </c>
      <c r="C31" s="10" t="s">
        <v>160</v>
      </c>
      <c r="D31" s="58" t="s">
        <v>90</v>
      </c>
      <c r="E31" s="44">
        <v>0.17</v>
      </c>
      <c r="F31" s="38">
        <f t="shared" si="29"/>
        <v>0.21250000000000002</v>
      </c>
      <c r="G31" s="39">
        <f t="shared" si="30"/>
        <v>0.255</v>
      </c>
      <c r="H31" s="40">
        <f t="shared" si="27"/>
        <v>0.21249999999999999</v>
      </c>
      <c r="I31" s="40">
        <f t="shared" ref="I31:I33" si="31">J30</f>
        <v>2.375</v>
      </c>
      <c r="J31" s="40">
        <f t="shared" ref="J31:J33" si="32">I31+H31</f>
        <v>2.5874999999999999</v>
      </c>
      <c r="K31" s="40">
        <f>L32</f>
        <v>2.5875000000000057</v>
      </c>
      <c r="L31" s="40">
        <f t="shared" si="28"/>
        <v>2.3750000000000058</v>
      </c>
      <c r="M31" s="40">
        <f t="shared" si="7"/>
        <v>5.773159728050814E-15</v>
      </c>
      <c r="N31" s="40">
        <f t="shared" si="4"/>
        <v>5.773159728050814E-15</v>
      </c>
      <c r="O31" s="70">
        <f t="shared" si="9"/>
        <v>2.0069444444444442E-4</v>
      </c>
      <c r="P31" s="70">
        <f t="shared" si="1"/>
        <v>1.4166666666666666E-2</v>
      </c>
    </row>
    <row r="32" spans="2:16" outlineLevel="2" x14ac:dyDescent="0.25">
      <c r="B32" s="8" t="s">
        <v>92</v>
      </c>
      <c r="C32" s="10" t="s">
        <v>161</v>
      </c>
      <c r="D32" s="58" t="s">
        <v>91</v>
      </c>
      <c r="E32" s="44">
        <v>0.18</v>
      </c>
      <c r="F32" s="38">
        <f t="shared" si="29"/>
        <v>0.22499999999999998</v>
      </c>
      <c r="G32" s="39">
        <f t="shared" si="30"/>
        <v>0.26999999999999996</v>
      </c>
      <c r="H32" s="40">
        <f t="shared" si="27"/>
        <v>0.22499999999999998</v>
      </c>
      <c r="I32" s="40">
        <f t="shared" si="31"/>
        <v>2.5874999999999999</v>
      </c>
      <c r="J32" s="40">
        <f t="shared" si="32"/>
        <v>2.8125</v>
      </c>
      <c r="K32" s="40">
        <f>L33</f>
        <v>2.8125000000000058</v>
      </c>
      <c r="L32" s="40">
        <f>K32-H32</f>
        <v>2.5875000000000057</v>
      </c>
      <c r="M32" s="40">
        <f t="shared" si="7"/>
        <v>5.773159728050814E-15</v>
      </c>
      <c r="N32" s="40">
        <f t="shared" si="4"/>
        <v>5.773159728050814E-15</v>
      </c>
      <c r="O32" s="70">
        <f t="shared" si="9"/>
        <v>2.2499999999999983E-4</v>
      </c>
      <c r="P32" s="70">
        <f t="shared" si="1"/>
        <v>1.4999999999999994E-2</v>
      </c>
    </row>
    <row r="33" spans="2:16" outlineLevel="2" x14ac:dyDescent="0.25">
      <c r="B33" s="21" t="s">
        <v>93</v>
      </c>
      <c r="C33" s="22" t="s">
        <v>162</v>
      </c>
      <c r="D33" s="59" t="s">
        <v>92</v>
      </c>
      <c r="E33" s="45">
        <v>0.15</v>
      </c>
      <c r="F33" s="38">
        <f t="shared" si="29"/>
        <v>0.1875</v>
      </c>
      <c r="G33" s="39">
        <f t="shared" si="30"/>
        <v>0.22499999999999998</v>
      </c>
      <c r="H33" s="40">
        <f t="shared" si="27"/>
        <v>0.1875</v>
      </c>
      <c r="I33" s="40">
        <f t="shared" si="31"/>
        <v>2.8125</v>
      </c>
      <c r="J33" s="40">
        <f t="shared" si="32"/>
        <v>3</v>
      </c>
      <c r="K33" s="40">
        <f>L35</f>
        <v>3.0000000000000058</v>
      </c>
      <c r="L33" s="40">
        <f>K33-H33</f>
        <v>2.8125000000000058</v>
      </c>
      <c r="M33" s="40">
        <f t="shared" si="7"/>
        <v>5.773159728050814E-15</v>
      </c>
      <c r="N33" s="40">
        <f t="shared" si="4"/>
        <v>5.773159728050814E-15</v>
      </c>
      <c r="O33" s="70">
        <f t="shared" si="9"/>
        <v>1.5624999999999992E-4</v>
      </c>
      <c r="P33" s="70">
        <f t="shared" si="1"/>
        <v>1.2499999999999997E-2</v>
      </c>
    </row>
    <row r="34" spans="2:16" outlineLevel="1" x14ac:dyDescent="0.25">
      <c r="B34" s="6" t="s">
        <v>34</v>
      </c>
      <c r="C34" s="23" t="s">
        <v>71</v>
      </c>
      <c r="D34" s="57" t="s">
        <v>33</v>
      </c>
      <c r="E34" s="34">
        <f>SUM(E35:E39)</f>
        <v>1.4000000000000001</v>
      </c>
      <c r="F34" s="35">
        <f>SUM(F35:F39)</f>
        <v>1.7500000000000002</v>
      </c>
      <c r="G34" s="36">
        <f>SUM(G35:G39)</f>
        <v>2.1</v>
      </c>
      <c r="H34" s="36">
        <f>(E34+4*F34+G34)/6</f>
        <v>1.75</v>
      </c>
      <c r="I34" s="36">
        <f>J28</f>
        <v>3</v>
      </c>
      <c r="J34" s="36">
        <f>I34+H34</f>
        <v>4.75</v>
      </c>
      <c r="K34" s="36">
        <f>L40</f>
        <v>4.7500000000000018</v>
      </c>
      <c r="L34" s="36">
        <f>K34-H34</f>
        <v>3.0000000000000018</v>
      </c>
      <c r="M34" s="36">
        <f t="shared" si="7"/>
        <v>0</v>
      </c>
      <c r="N34" s="36">
        <f t="shared" si="4"/>
        <v>0</v>
      </c>
      <c r="O34" s="69">
        <f>SUM(O35:O39)</f>
        <v>2.7222222222222227E-3</v>
      </c>
      <c r="P34" s="69">
        <f t="shared" si="1"/>
        <v>5.2174919474995099E-2</v>
      </c>
    </row>
    <row r="35" spans="2:16" ht="30" outlineLevel="2" x14ac:dyDescent="0.25">
      <c r="B35" s="7" t="s">
        <v>94</v>
      </c>
      <c r="C35" s="9" t="s">
        <v>163</v>
      </c>
      <c r="D35" s="55" t="s">
        <v>93</v>
      </c>
      <c r="E35" s="37">
        <v>0.28000000000000003</v>
      </c>
      <c r="F35" s="38">
        <f>E35*1.25</f>
        <v>0.35000000000000003</v>
      </c>
      <c r="G35" s="39">
        <f>E35*1.5</f>
        <v>0.42000000000000004</v>
      </c>
      <c r="H35" s="40">
        <f t="shared" ref="H35:H39" si="33">(E35+4*F35+G35)/6</f>
        <v>0.35000000000000003</v>
      </c>
      <c r="I35" s="40">
        <f>J33</f>
        <v>3</v>
      </c>
      <c r="J35" s="40">
        <f>I35+H35</f>
        <v>3.35</v>
      </c>
      <c r="K35" s="40">
        <f>L36</f>
        <v>3.3500000000000059</v>
      </c>
      <c r="L35" s="40">
        <f t="shared" ref="L35:L36" si="34">K35-H35</f>
        <v>3.0000000000000058</v>
      </c>
      <c r="M35" s="40">
        <f t="shared" si="7"/>
        <v>5.773159728050814E-15</v>
      </c>
      <c r="N35" s="40">
        <f t="shared" si="4"/>
        <v>5.773159728050814E-15</v>
      </c>
      <c r="O35" s="70">
        <f t="shared" si="9"/>
        <v>5.4444444444444451E-4</v>
      </c>
      <c r="P35" s="70">
        <f t="shared" si="1"/>
        <v>2.3333333333333334E-2</v>
      </c>
    </row>
    <row r="36" spans="2:16" ht="30" outlineLevel="2" x14ac:dyDescent="0.25">
      <c r="B36" s="8" t="s">
        <v>95</v>
      </c>
      <c r="C36" s="10" t="s">
        <v>164</v>
      </c>
      <c r="D36" s="58" t="s">
        <v>94</v>
      </c>
      <c r="E36" s="37">
        <v>0.28000000000000003</v>
      </c>
      <c r="F36" s="38">
        <f t="shared" ref="F36:F39" si="35">E36*1.25</f>
        <v>0.35000000000000003</v>
      </c>
      <c r="G36" s="39">
        <f t="shared" ref="G36:G39" si="36">E36*1.5</f>
        <v>0.42000000000000004</v>
      </c>
      <c r="H36" s="40">
        <f t="shared" si="33"/>
        <v>0.35000000000000003</v>
      </c>
      <c r="I36" s="40">
        <f>J35</f>
        <v>3.35</v>
      </c>
      <c r="J36" s="40">
        <f>I36+H36</f>
        <v>3.7</v>
      </c>
      <c r="K36" s="40">
        <f>L37</f>
        <v>3.700000000000006</v>
      </c>
      <c r="L36" s="40">
        <f t="shared" si="34"/>
        <v>3.3500000000000059</v>
      </c>
      <c r="M36" s="40">
        <f t="shared" si="7"/>
        <v>5.773159728050814E-15</v>
      </c>
      <c r="N36" s="40">
        <f t="shared" si="4"/>
        <v>5.773159728050814E-15</v>
      </c>
      <c r="O36" s="70">
        <f t="shared" si="9"/>
        <v>5.4444444444444451E-4</v>
      </c>
      <c r="P36" s="70">
        <f t="shared" si="1"/>
        <v>2.3333333333333334E-2</v>
      </c>
    </row>
    <row r="37" spans="2:16" outlineLevel="2" x14ac:dyDescent="0.25">
      <c r="B37" s="21" t="s">
        <v>96</v>
      </c>
      <c r="C37" s="22" t="s">
        <v>23</v>
      </c>
      <c r="D37" s="59" t="s">
        <v>95</v>
      </c>
      <c r="E37" s="37">
        <v>0.28000000000000003</v>
      </c>
      <c r="F37" s="38">
        <f t="shared" ref="F37:F38" si="37">E37*1.25</f>
        <v>0.35000000000000003</v>
      </c>
      <c r="G37" s="39">
        <f t="shared" ref="G37:G38" si="38">E37*1.5</f>
        <v>0.42000000000000004</v>
      </c>
      <c r="H37" s="40">
        <f t="shared" ref="H37:H38" si="39">(E37+4*F37+G37)/6</f>
        <v>0.35000000000000003</v>
      </c>
      <c r="I37" s="40">
        <f t="shared" ref="I37:I38" si="40">J36</f>
        <v>3.7</v>
      </c>
      <c r="J37" s="40">
        <f t="shared" ref="J37:J38" si="41">I37+H37</f>
        <v>4.05</v>
      </c>
      <c r="K37" s="40">
        <f>L38</f>
        <v>4.050000000000006</v>
      </c>
      <c r="L37" s="40">
        <f t="shared" ref="L37:L38" si="42">K37-H37</f>
        <v>3.700000000000006</v>
      </c>
      <c r="M37" s="40">
        <f t="shared" ref="M37:M38" si="43">K37-J37</f>
        <v>0</v>
      </c>
      <c r="N37" s="40">
        <f t="shared" ref="N37:N38" si="44">L37-I37</f>
        <v>5.773159728050814E-15</v>
      </c>
      <c r="O37" s="70">
        <f t="shared" ref="O37:O38" si="45">((G37-E37)/6)^2</f>
        <v>5.4444444444444451E-4</v>
      </c>
      <c r="P37" s="70">
        <f t="shared" ref="P37:P38" si="46">SQRT(O37)</f>
        <v>2.3333333333333334E-2</v>
      </c>
    </row>
    <row r="38" spans="2:16" ht="30" outlineLevel="2" x14ac:dyDescent="0.25">
      <c r="B38" s="21" t="s">
        <v>177</v>
      </c>
      <c r="C38" s="22" t="s">
        <v>165</v>
      </c>
      <c r="D38" s="59" t="s">
        <v>96</v>
      </c>
      <c r="E38" s="37">
        <v>0.28000000000000003</v>
      </c>
      <c r="F38" s="38">
        <f t="shared" si="37"/>
        <v>0.35000000000000003</v>
      </c>
      <c r="G38" s="39">
        <f t="shared" si="38"/>
        <v>0.42000000000000004</v>
      </c>
      <c r="H38" s="40">
        <f t="shared" si="39"/>
        <v>0.35000000000000003</v>
      </c>
      <c r="I38" s="40">
        <f t="shared" si="40"/>
        <v>4.05</v>
      </c>
      <c r="J38" s="40">
        <f t="shared" si="41"/>
        <v>4.3999999999999995</v>
      </c>
      <c r="K38" s="40">
        <f>L39</f>
        <v>4.4000000000000057</v>
      </c>
      <c r="L38" s="40">
        <f t="shared" si="42"/>
        <v>4.050000000000006</v>
      </c>
      <c r="M38" s="40">
        <f t="shared" si="43"/>
        <v>0</v>
      </c>
      <c r="N38" s="40">
        <f t="shared" si="44"/>
        <v>0</v>
      </c>
      <c r="O38" s="70">
        <f t="shared" si="45"/>
        <v>5.4444444444444451E-4</v>
      </c>
      <c r="P38" s="70">
        <f t="shared" si="46"/>
        <v>2.3333333333333334E-2</v>
      </c>
    </row>
    <row r="39" spans="2:16" outlineLevel="2" x14ac:dyDescent="0.25">
      <c r="B39" s="21" t="s">
        <v>178</v>
      </c>
      <c r="C39" s="22" t="s">
        <v>166</v>
      </c>
      <c r="D39" s="59" t="s">
        <v>177</v>
      </c>
      <c r="E39" s="37">
        <v>0.28000000000000003</v>
      </c>
      <c r="F39" s="38">
        <f t="shared" si="35"/>
        <v>0.35000000000000003</v>
      </c>
      <c r="G39" s="39">
        <f t="shared" si="36"/>
        <v>0.42000000000000004</v>
      </c>
      <c r="H39" s="40">
        <f t="shared" si="33"/>
        <v>0.35000000000000003</v>
      </c>
      <c r="I39" s="40">
        <f>J38</f>
        <v>4.3999999999999995</v>
      </c>
      <c r="J39" s="40">
        <f t="shared" ref="J39" si="47">I39+H39</f>
        <v>4.7499999999999991</v>
      </c>
      <c r="K39" s="40">
        <f>L41</f>
        <v>4.7500000000000053</v>
      </c>
      <c r="L39" s="40">
        <f>K39-H39</f>
        <v>4.4000000000000057</v>
      </c>
      <c r="M39" s="40">
        <f t="shared" si="7"/>
        <v>0</v>
      </c>
      <c r="N39" s="40">
        <f t="shared" si="4"/>
        <v>0</v>
      </c>
      <c r="O39" s="70">
        <f t="shared" si="9"/>
        <v>5.4444444444444451E-4</v>
      </c>
      <c r="P39" s="70">
        <f t="shared" si="1"/>
        <v>2.3333333333333334E-2</v>
      </c>
    </row>
    <row r="40" spans="2:16" outlineLevel="1" x14ac:dyDescent="0.25">
      <c r="B40" s="6" t="s">
        <v>35</v>
      </c>
      <c r="C40" s="23" t="s">
        <v>70</v>
      </c>
      <c r="D40" s="57" t="s">
        <v>34</v>
      </c>
      <c r="E40" s="34">
        <f>SUM(E41:E43)</f>
        <v>0.8</v>
      </c>
      <c r="F40" s="35">
        <f>SUM(F41:F43)</f>
        <v>1</v>
      </c>
      <c r="G40" s="36">
        <f>SUM(G41:G43)</f>
        <v>1.2</v>
      </c>
      <c r="H40" s="36">
        <f>(E40+4*F40+G40)/6</f>
        <v>1</v>
      </c>
      <c r="I40" s="36">
        <f>J34</f>
        <v>4.75</v>
      </c>
      <c r="J40" s="36">
        <f>I40+H40</f>
        <v>5.75</v>
      </c>
      <c r="K40" s="36">
        <f>L44</f>
        <v>5.7500000000000018</v>
      </c>
      <c r="L40" s="36">
        <f>K40-H40</f>
        <v>4.7500000000000018</v>
      </c>
      <c r="M40" s="36">
        <f t="shared" si="7"/>
        <v>0</v>
      </c>
      <c r="N40" s="36">
        <f t="shared" si="4"/>
        <v>0</v>
      </c>
      <c r="O40" s="69">
        <f>SUM(O41:O43)</f>
        <v>1.527777777777777E-3</v>
      </c>
      <c r="P40" s="69">
        <f t="shared" si="1"/>
        <v>3.9086797998528572E-2</v>
      </c>
    </row>
    <row r="41" spans="2:16" outlineLevel="2" x14ac:dyDescent="0.25">
      <c r="B41" s="7" t="s">
        <v>97</v>
      </c>
      <c r="C41" s="9" t="s">
        <v>167</v>
      </c>
      <c r="D41" s="55" t="s">
        <v>178</v>
      </c>
      <c r="E41" s="37">
        <v>0.3</v>
      </c>
      <c r="F41" s="38">
        <f>E41*1.25</f>
        <v>0.375</v>
      </c>
      <c r="G41" s="39">
        <f>F41*1.2</f>
        <v>0.44999999999999996</v>
      </c>
      <c r="H41" s="40">
        <f t="shared" ref="H41:H43" si="48">(E41+4*F41+G41)/6</f>
        <v>0.375</v>
      </c>
      <c r="I41" s="40">
        <f>J39</f>
        <v>4.7499999999999991</v>
      </c>
      <c r="J41" s="40">
        <f>I41+H41</f>
        <v>5.1249999999999991</v>
      </c>
      <c r="K41" s="40">
        <f>L42</f>
        <v>5.1250000000000053</v>
      </c>
      <c r="L41" s="40">
        <f t="shared" ref="L41:L42" si="49">K41-H41</f>
        <v>4.7500000000000053</v>
      </c>
      <c r="M41" s="40">
        <f t="shared" si="7"/>
        <v>0</v>
      </c>
      <c r="N41" s="40">
        <f t="shared" si="4"/>
        <v>0</v>
      </c>
      <c r="O41" s="70">
        <f t="shared" si="9"/>
        <v>6.2499999999999969E-4</v>
      </c>
      <c r="P41" s="70">
        <f t="shared" si="1"/>
        <v>2.4999999999999994E-2</v>
      </c>
    </row>
    <row r="42" spans="2:16" outlineLevel="2" x14ac:dyDescent="0.25">
      <c r="B42" s="8" t="s">
        <v>98</v>
      </c>
      <c r="C42" s="10" t="s">
        <v>24</v>
      </c>
      <c r="D42" s="58" t="s">
        <v>97</v>
      </c>
      <c r="E42" s="44">
        <v>0.2</v>
      </c>
      <c r="F42" s="38">
        <f t="shared" ref="F42:F43" si="50">E42*1.25</f>
        <v>0.25</v>
      </c>
      <c r="G42" s="39">
        <f t="shared" ref="G42:G43" si="51">F42*1.2</f>
        <v>0.3</v>
      </c>
      <c r="H42" s="40">
        <f t="shared" si="48"/>
        <v>0.25</v>
      </c>
      <c r="I42" s="40">
        <f>J41</f>
        <v>5.1249999999999991</v>
      </c>
      <c r="J42" s="40">
        <f>I42+H42</f>
        <v>5.3749999999999991</v>
      </c>
      <c r="K42" s="40">
        <f>L43</f>
        <v>5.3750000000000053</v>
      </c>
      <c r="L42" s="40">
        <f t="shared" si="49"/>
        <v>5.1250000000000053</v>
      </c>
      <c r="M42" s="40">
        <f t="shared" si="7"/>
        <v>0</v>
      </c>
      <c r="N42" s="40">
        <f t="shared" si="4"/>
        <v>0</v>
      </c>
      <c r="O42" s="70">
        <f t="shared" si="9"/>
        <v>2.7777777777777767E-4</v>
      </c>
      <c r="P42" s="70">
        <f t="shared" si="1"/>
        <v>1.6666666666666663E-2</v>
      </c>
    </row>
    <row r="43" spans="2:16" outlineLevel="2" x14ac:dyDescent="0.25">
      <c r="B43" s="21" t="s">
        <v>99</v>
      </c>
      <c r="C43" s="22" t="s">
        <v>168</v>
      </c>
      <c r="D43" s="59" t="s">
        <v>98</v>
      </c>
      <c r="E43" s="45">
        <v>0.3</v>
      </c>
      <c r="F43" s="38">
        <f t="shared" si="50"/>
        <v>0.375</v>
      </c>
      <c r="G43" s="39">
        <f t="shared" si="51"/>
        <v>0.44999999999999996</v>
      </c>
      <c r="H43" s="40">
        <f t="shared" si="48"/>
        <v>0.375</v>
      </c>
      <c r="I43" s="40">
        <f t="shared" ref="I43" si="52">J42</f>
        <v>5.3749999999999991</v>
      </c>
      <c r="J43" s="40">
        <f t="shared" ref="J43" si="53">I43+H43</f>
        <v>5.7499999999999991</v>
      </c>
      <c r="K43" s="40">
        <f>L45</f>
        <v>5.7500000000000053</v>
      </c>
      <c r="L43" s="40">
        <f>K43-H43</f>
        <v>5.3750000000000053</v>
      </c>
      <c r="M43" s="40">
        <f t="shared" si="7"/>
        <v>0</v>
      </c>
      <c r="N43" s="40">
        <f t="shared" si="4"/>
        <v>0</v>
      </c>
      <c r="O43" s="70">
        <f t="shared" si="9"/>
        <v>6.2499999999999969E-4</v>
      </c>
      <c r="P43" s="70">
        <f t="shared" si="1"/>
        <v>2.4999999999999994E-2</v>
      </c>
    </row>
    <row r="44" spans="2:16" outlineLevel="1" x14ac:dyDescent="0.25">
      <c r="B44" s="6" t="s">
        <v>36</v>
      </c>
      <c r="C44" s="23" t="s">
        <v>69</v>
      </c>
      <c r="D44" s="57" t="s">
        <v>35</v>
      </c>
      <c r="E44" s="34">
        <f>SUM(E45:E48)</f>
        <v>1</v>
      </c>
      <c r="F44" s="35">
        <f t="shared" ref="F44:G44" si="54">SUM(F45:F48)</f>
        <v>1.25</v>
      </c>
      <c r="G44" s="36">
        <f t="shared" si="54"/>
        <v>1.5</v>
      </c>
      <c r="H44" s="36">
        <f>(E44+4*F44+G44)/6</f>
        <v>1.25</v>
      </c>
      <c r="I44" s="36">
        <f>J40</f>
        <v>5.75</v>
      </c>
      <c r="J44" s="36">
        <f>I44+H44</f>
        <v>7</v>
      </c>
      <c r="K44" s="36">
        <f>L50</f>
        <v>7.0000000000000018</v>
      </c>
      <c r="L44" s="36">
        <f>K44-H44</f>
        <v>5.7500000000000018</v>
      </c>
      <c r="M44" s="36">
        <f t="shared" si="7"/>
        <v>0</v>
      </c>
      <c r="N44" s="36">
        <f t="shared" si="4"/>
        <v>0</v>
      </c>
      <c r="O44" s="69">
        <f>SUM(O45:O48)</f>
        <v>1.736111111111111E-3</v>
      </c>
      <c r="P44" s="69">
        <f t="shared" si="1"/>
        <v>4.1666666666666664E-2</v>
      </c>
    </row>
    <row r="45" spans="2:16" outlineLevel="2" x14ac:dyDescent="0.25">
      <c r="B45" s="7" t="s">
        <v>100</v>
      </c>
      <c r="C45" s="9" t="s">
        <v>169</v>
      </c>
      <c r="D45" s="55" t="s">
        <v>99</v>
      </c>
      <c r="E45" s="37">
        <v>0.25</v>
      </c>
      <c r="F45" s="38">
        <f>E45*1.25</f>
        <v>0.3125</v>
      </c>
      <c r="G45" s="39">
        <f>E45*1.5</f>
        <v>0.375</v>
      </c>
      <c r="H45" s="40">
        <f t="shared" ref="H45:H48" si="55">(E45+4*F45+G45)/6</f>
        <v>0.3125</v>
      </c>
      <c r="I45" s="40">
        <f>J43</f>
        <v>5.7499999999999991</v>
      </c>
      <c r="J45" s="40">
        <f>I45+H45</f>
        <v>6.0624999999999991</v>
      </c>
      <c r="K45" s="40">
        <f t="shared" ref="K45:K46" si="56">L46</f>
        <v>6.0625000000000053</v>
      </c>
      <c r="L45" s="40">
        <f t="shared" ref="L45:L67" si="57">K45-H45</f>
        <v>5.7500000000000053</v>
      </c>
      <c r="M45" s="40">
        <f t="shared" si="7"/>
        <v>0</v>
      </c>
      <c r="N45" s="40">
        <f t="shared" si="4"/>
        <v>0</v>
      </c>
      <c r="O45" s="70">
        <f>((G45-E45)/6)^2</f>
        <v>4.3402777777777775E-4</v>
      </c>
      <c r="P45" s="70">
        <f t="shared" si="1"/>
        <v>2.0833333333333332E-2</v>
      </c>
    </row>
    <row r="46" spans="2:16" outlineLevel="2" x14ac:dyDescent="0.25">
      <c r="B46" s="8" t="s">
        <v>101</v>
      </c>
      <c r="C46" s="10" t="s">
        <v>170</v>
      </c>
      <c r="D46" s="58" t="s">
        <v>100</v>
      </c>
      <c r="E46" s="37">
        <v>0.25</v>
      </c>
      <c r="F46" s="38">
        <f t="shared" ref="F46:F48" si="58">E46*1.25</f>
        <v>0.3125</v>
      </c>
      <c r="G46" s="39">
        <f t="shared" ref="G46:G48" si="59">E46*1.5</f>
        <v>0.375</v>
      </c>
      <c r="H46" s="40">
        <f t="shared" si="55"/>
        <v>0.3125</v>
      </c>
      <c r="I46" s="40">
        <f>J45</f>
        <v>6.0624999999999991</v>
      </c>
      <c r="J46" s="40">
        <f>I46+H46</f>
        <v>6.3749999999999991</v>
      </c>
      <c r="K46" s="40">
        <f t="shared" si="56"/>
        <v>6.3750000000000053</v>
      </c>
      <c r="L46" s="40">
        <f t="shared" si="57"/>
        <v>6.0625000000000053</v>
      </c>
      <c r="M46" s="40">
        <f t="shared" si="7"/>
        <v>0</v>
      </c>
      <c r="N46" s="40">
        <f t="shared" si="4"/>
        <v>0</v>
      </c>
      <c r="O46" s="70">
        <f t="shared" si="9"/>
        <v>4.3402777777777775E-4</v>
      </c>
      <c r="P46" s="70">
        <f t="shared" si="1"/>
        <v>2.0833333333333332E-2</v>
      </c>
    </row>
    <row r="47" spans="2:16" outlineLevel="2" x14ac:dyDescent="0.25">
      <c r="B47" s="8" t="s">
        <v>102</v>
      </c>
      <c r="C47" s="10" t="s">
        <v>171</v>
      </c>
      <c r="D47" s="58" t="s">
        <v>101</v>
      </c>
      <c r="E47" s="37">
        <v>0.25</v>
      </c>
      <c r="F47" s="38">
        <f t="shared" si="58"/>
        <v>0.3125</v>
      </c>
      <c r="G47" s="39">
        <f t="shared" si="59"/>
        <v>0.375</v>
      </c>
      <c r="H47" s="40">
        <f t="shared" si="55"/>
        <v>0.3125</v>
      </c>
      <c r="I47" s="40">
        <f t="shared" ref="I47:I48" si="60">J46</f>
        <v>6.3749999999999991</v>
      </c>
      <c r="J47" s="40">
        <f t="shared" ref="J47:J69" si="61">I47+H47</f>
        <v>6.6874999999999991</v>
      </c>
      <c r="K47" s="40">
        <f>L48</f>
        <v>6.6875000000000053</v>
      </c>
      <c r="L47" s="40">
        <f t="shared" si="57"/>
        <v>6.3750000000000053</v>
      </c>
      <c r="M47" s="40">
        <f t="shared" si="7"/>
        <v>0</v>
      </c>
      <c r="N47" s="40">
        <f t="shared" si="4"/>
        <v>0</v>
      </c>
      <c r="O47" s="70">
        <f t="shared" si="9"/>
        <v>4.3402777777777775E-4</v>
      </c>
      <c r="P47" s="70">
        <f t="shared" si="1"/>
        <v>2.0833333333333332E-2</v>
      </c>
    </row>
    <row r="48" spans="2:16" outlineLevel="2" x14ac:dyDescent="0.25">
      <c r="B48" s="21" t="s">
        <v>103</v>
      </c>
      <c r="C48" s="22" t="s">
        <v>172</v>
      </c>
      <c r="D48" s="59" t="s">
        <v>102</v>
      </c>
      <c r="E48" s="37">
        <v>0.25</v>
      </c>
      <c r="F48" s="38">
        <f t="shared" si="58"/>
        <v>0.3125</v>
      </c>
      <c r="G48" s="39">
        <f t="shared" si="59"/>
        <v>0.375</v>
      </c>
      <c r="H48" s="40">
        <f t="shared" si="55"/>
        <v>0.3125</v>
      </c>
      <c r="I48" s="40">
        <f t="shared" si="60"/>
        <v>6.6874999999999991</v>
      </c>
      <c r="J48" s="40">
        <f t="shared" si="61"/>
        <v>6.9999999999999991</v>
      </c>
      <c r="K48" s="40">
        <f>L51</f>
        <v>7.0000000000000053</v>
      </c>
      <c r="L48" s="40">
        <f t="shared" si="57"/>
        <v>6.6875000000000053</v>
      </c>
      <c r="M48" s="40">
        <f t="shared" si="7"/>
        <v>0</v>
      </c>
      <c r="N48" s="40">
        <f t="shared" si="4"/>
        <v>0</v>
      </c>
      <c r="O48" s="70">
        <f t="shared" si="9"/>
        <v>4.3402777777777775E-4</v>
      </c>
      <c r="P48" s="70">
        <f t="shared" si="1"/>
        <v>2.0833333333333332E-2</v>
      </c>
    </row>
    <row r="49" spans="2:16" x14ac:dyDescent="0.25">
      <c r="B49" s="24" t="s">
        <v>37</v>
      </c>
      <c r="C49" s="25" t="s">
        <v>57</v>
      </c>
      <c r="D49" s="60" t="s">
        <v>28</v>
      </c>
      <c r="E49" s="46">
        <f>E50+E54+E58</f>
        <v>4</v>
      </c>
      <c r="F49" s="47">
        <f t="shared" ref="F49:G49" si="62">F50+F54+F58</f>
        <v>5</v>
      </c>
      <c r="G49" s="48">
        <f t="shared" si="62"/>
        <v>5.9999999999999991</v>
      </c>
      <c r="H49" s="33">
        <f>(E49+4*F49+G49)/6</f>
        <v>5</v>
      </c>
      <c r="I49" s="33">
        <f>J27</f>
        <v>7</v>
      </c>
      <c r="J49" s="33">
        <f>I49+H49</f>
        <v>12</v>
      </c>
      <c r="K49" s="33">
        <f>L63</f>
        <v>12</v>
      </c>
      <c r="L49" s="33">
        <f t="shared" si="57"/>
        <v>7</v>
      </c>
      <c r="M49" s="33">
        <f t="shared" si="7"/>
        <v>0</v>
      </c>
      <c r="N49" s="33">
        <f t="shared" si="4"/>
        <v>0</v>
      </c>
      <c r="O49" s="71">
        <f>O50+O54+O58</f>
        <v>1.7499999999999991E-2</v>
      </c>
      <c r="P49" s="71">
        <f t="shared" si="1"/>
        <v>0.13228756555322949</v>
      </c>
    </row>
    <row r="50" spans="2:16" ht="16.5" customHeight="1" outlineLevel="1" x14ac:dyDescent="0.25">
      <c r="B50" s="6" t="s">
        <v>38</v>
      </c>
      <c r="C50" s="23" t="s">
        <v>68</v>
      </c>
      <c r="D50" s="57" t="s">
        <v>36</v>
      </c>
      <c r="E50" s="34">
        <v>0.8</v>
      </c>
      <c r="F50" s="35">
        <v>1</v>
      </c>
      <c r="G50" s="36">
        <v>1.2</v>
      </c>
      <c r="H50" s="36">
        <f>(E50+4*F50+G50)/6</f>
        <v>1</v>
      </c>
      <c r="I50" s="36">
        <f>J44</f>
        <v>7</v>
      </c>
      <c r="J50" s="36">
        <f t="shared" si="61"/>
        <v>8</v>
      </c>
      <c r="K50" s="36">
        <f>L54</f>
        <v>8.0000000000000018</v>
      </c>
      <c r="L50" s="36">
        <f t="shared" si="57"/>
        <v>7.0000000000000018</v>
      </c>
      <c r="M50" s="36">
        <f t="shared" si="7"/>
        <v>0</v>
      </c>
      <c r="N50" s="36">
        <f t="shared" si="4"/>
        <v>0</v>
      </c>
      <c r="O50" s="69">
        <f>SUM(O51:O53)</f>
        <v>1.527777777777777E-3</v>
      </c>
      <c r="P50" s="69">
        <f t="shared" si="1"/>
        <v>3.9086797998528572E-2</v>
      </c>
    </row>
    <row r="51" spans="2:16" outlineLevel="2" x14ac:dyDescent="0.25">
      <c r="B51" s="7" t="s">
        <v>179</v>
      </c>
      <c r="C51" s="9" t="s">
        <v>131</v>
      </c>
      <c r="D51" s="55" t="s">
        <v>119</v>
      </c>
      <c r="E51" s="37">
        <v>0.2</v>
      </c>
      <c r="F51" s="38">
        <f>E51*1.25</f>
        <v>0.25</v>
      </c>
      <c r="G51" s="39">
        <f>F51*1.2</f>
        <v>0.3</v>
      </c>
      <c r="H51" s="40">
        <f t="shared" ref="H51:H53" si="63">(E51+4*F51+G51)/6</f>
        <v>0.25</v>
      </c>
      <c r="I51" s="40">
        <f>J48</f>
        <v>6.9999999999999991</v>
      </c>
      <c r="J51" s="40">
        <f>I51+H51</f>
        <v>7.2499999999999991</v>
      </c>
      <c r="K51" s="40">
        <f t="shared" ref="K51" si="64">L52</f>
        <v>7.2500000000000053</v>
      </c>
      <c r="L51" s="40">
        <f t="shared" ref="L51:L53" si="65">K51-H51</f>
        <v>7.0000000000000053</v>
      </c>
      <c r="M51" s="40">
        <f t="shared" ref="M51:M53" si="66">K51-J51</f>
        <v>0</v>
      </c>
      <c r="N51" s="40">
        <f t="shared" ref="N51:N53" si="67">L51-I51</f>
        <v>0</v>
      </c>
      <c r="O51" s="70">
        <f t="shared" ref="O51:O53" si="68">((G51-E51)/6)^2</f>
        <v>2.7777777777777767E-4</v>
      </c>
      <c r="P51" s="70">
        <f t="shared" ref="P51:P53" si="69">SQRT(O51)</f>
        <v>1.6666666666666663E-2</v>
      </c>
    </row>
    <row r="52" spans="2:16" ht="30" outlineLevel="2" x14ac:dyDescent="0.25">
      <c r="B52" s="8" t="s">
        <v>180</v>
      </c>
      <c r="C52" s="10" t="s">
        <v>132</v>
      </c>
      <c r="D52" s="58" t="s">
        <v>179</v>
      </c>
      <c r="E52" s="44">
        <v>0.3</v>
      </c>
      <c r="F52" s="38">
        <f t="shared" ref="F52:F53" si="70">E52*1.25</f>
        <v>0.375</v>
      </c>
      <c r="G52" s="39">
        <f t="shared" ref="G52:G53" si="71">F52*1.2</f>
        <v>0.44999999999999996</v>
      </c>
      <c r="H52" s="40">
        <f t="shared" si="63"/>
        <v>0.375</v>
      </c>
      <c r="I52" s="40">
        <f t="shared" ref="I52:I53" si="72">J51</f>
        <v>7.2499999999999991</v>
      </c>
      <c r="J52" s="40">
        <f t="shared" ref="J52:J53" si="73">I52+H52</f>
        <v>7.6249999999999991</v>
      </c>
      <c r="K52" s="40">
        <f>L53</f>
        <v>7.6250000000000053</v>
      </c>
      <c r="L52" s="40">
        <f t="shared" si="65"/>
        <v>7.2500000000000053</v>
      </c>
      <c r="M52" s="40">
        <f t="shared" si="66"/>
        <v>0</v>
      </c>
      <c r="N52" s="40">
        <f t="shared" si="67"/>
        <v>0</v>
      </c>
      <c r="O52" s="70">
        <f t="shared" si="68"/>
        <v>6.2499999999999969E-4</v>
      </c>
      <c r="P52" s="70">
        <f t="shared" si="69"/>
        <v>2.4999999999999994E-2</v>
      </c>
    </row>
    <row r="53" spans="2:16" outlineLevel="2" x14ac:dyDescent="0.25">
      <c r="B53" s="21" t="s">
        <v>181</v>
      </c>
      <c r="C53" s="22" t="s">
        <v>133</v>
      </c>
      <c r="D53" s="59" t="s">
        <v>180</v>
      </c>
      <c r="E53" s="45">
        <v>0.3</v>
      </c>
      <c r="F53" s="38">
        <f t="shared" si="70"/>
        <v>0.375</v>
      </c>
      <c r="G53" s="39">
        <f t="shared" si="71"/>
        <v>0.44999999999999996</v>
      </c>
      <c r="H53" s="40">
        <f t="shared" si="63"/>
        <v>0.375</v>
      </c>
      <c r="I53" s="40">
        <f t="shared" si="72"/>
        <v>7.6249999999999991</v>
      </c>
      <c r="J53" s="40">
        <f t="shared" si="73"/>
        <v>7.9999999999999991</v>
      </c>
      <c r="K53" s="40">
        <f>L55</f>
        <v>8.0000000000000053</v>
      </c>
      <c r="L53" s="40">
        <f t="shared" si="65"/>
        <v>7.6250000000000053</v>
      </c>
      <c r="M53" s="40">
        <f t="shared" si="66"/>
        <v>0</v>
      </c>
      <c r="N53" s="40">
        <f t="shared" si="67"/>
        <v>0</v>
      </c>
      <c r="O53" s="70">
        <f t="shared" si="68"/>
        <v>6.2499999999999969E-4</v>
      </c>
      <c r="P53" s="70">
        <f t="shared" si="69"/>
        <v>2.4999999999999994E-2</v>
      </c>
    </row>
    <row r="54" spans="2:16" outlineLevel="1" x14ac:dyDescent="0.25">
      <c r="B54" s="6" t="s">
        <v>39</v>
      </c>
      <c r="C54" s="74" t="s">
        <v>67</v>
      </c>
      <c r="D54" s="57" t="s">
        <v>38</v>
      </c>
      <c r="E54" s="69">
        <f>SUM(E55:E57)</f>
        <v>2</v>
      </c>
      <c r="F54" s="69">
        <f>SUM(F55:F57)</f>
        <v>2.5</v>
      </c>
      <c r="G54" s="69">
        <f>SUM(G55:G57)</f>
        <v>2.9999999999999996</v>
      </c>
      <c r="H54" s="69">
        <f>(E54+4*F54+G54)/6</f>
        <v>2.5</v>
      </c>
      <c r="I54" s="69">
        <f>J50</f>
        <v>8</v>
      </c>
      <c r="J54" s="69">
        <f t="shared" si="61"/>
        <v>10.5</v>
      </c>
      <c r="K54" s="69">
        <f>L58</f>
        <v>10.500000000000002</v>
      </c>
      <c r="L54" s="69">
        <f t="shared" si="57"/>
        <v>8.0000000000000018</v>
      </c>
      <c r="M54" s="69">
        <f t="shared" si="7"/>
        <v>0</v>
      </c>
      <c r="N54" s="69">
        <f t="shared" si="4"/>
        <v>0</v>
      </c>
      <c r="O54" s="69">
        <f>SUM(O55:O57)</f>
        <v>1.3472222222222215E-2</v>
      </c>
      <c r="P54" s="69">
        <f t="shared" si="1"/>
        <v>0.11606990230986763</v>
      </c>
    </row>
    <row r="55" spans="2:16" outlineLevel="2" x14ac:dyDescent="0.25">
      <c r="B55" s="7" t="s">
        <v>104</v>
      </c>
      <c r="C55" s="9" t="s">
        <v>0</v>
      </c>
      <c r="D55" s="55" t="s">
        <v>181</v>
      </c>
      <c r="E55" s="37">
        <v>0.1</v>
      </c>
      <c r="F55" s="38">
        <f>E55*1.25</f>
        <v>0.125</v>
      </c>
      <c r="G55" s="39">
        <f>E55*1.5</f>
        <v>0.15000000000000002</v>
      </c>
      <c r="H55" s="40">
        <f t="shared" ref="H55:H57" si="74">(E55+4*F55+G55)/6</f>
        <v>0.125</v>
      </c>
      <c r="I55" s="40">
        <f>J50</f>
        <v>8</v>
      </c>
      <c r="J55" s="40">
        <f t="shared" si="61"/>
        <v>8.125</v>
      </c>
      <c r="K55" s="40">
        <f>L56</f>
        <v>8.1250000000000053</v>
      </c>
      <c r="L55" s="40">
        <f t="shared" si="57"/>
        <v>8.0000000000000053</v>
      </c>
      <c r="M55" s="40">
        <f t="shared" si="7"/>
        <v>0</v>
      </c>
      <c r="N55" s="40">
        <f t="shared" si="4"/>
        <v>0</v>
      </c>
      <c r="O55" s="70">
        <f t="shared" si="9"/>
        <v>6.9444444444444499E-5</v>
      </c>
      <c r="P55" s="70">
        <f t="shared" si="1"/>
        <v>8.3333333333333367E-3</v>
      </c>
    </row>
    <row r="56" spans="2:16" ht="75" outlineLevel="2" x14ac:dyDescent="0.25">
      <c r="B56" s="75" t="s">
        <v>105</v>
      </c>
      <c r="C56" s="10" t="s">
        <v>134</v>
      </c>
      <c r="D56" s="56" t="s">
        <v>104</v>
      </c>
      <c r="E56" s="76">
        <v>1.2</v>
      </c>
      <c r="F56" s="73">
        <f>E56*1.25</f>
        <v>1.5</v>
      </c>
      <c r="G56" s="39">
        <f>E56*1.5</f>
        <v>1.7999999999999998</v>
      </c>
      <c r="H56" s="40">
        <f t="shared" si="74"/>
        <v>1.5</v>
      </c>
      <c r="I56" s="40">
        <f>J55</f>
        <v>8.125</v>
      </c>
      <c r="J56" s="40">
        <f t="shared" ref="J56" si="75">I56+H56</f>
        <v>9.625</v>
      </c>
      <c r="K56" s="40">
        <f>L57</f>
        <v>9.6250000000000053</v>
      </c>
      <c r="L56" s="40">
        <f t="shared" ref="L56" si="76">K56-H56</f>
        <v>8.1250000000000053</v>
      </c>
      <c r="M56" s="40">
        <f>K56-J56</f>
        <v>0</v>
      </c>
      <c r="N56" s="40">
        <f t="shared" ref="N56" si="77">L56-I56</f>
        <v>0</v>
      </c>
      <c r="O56" s="70">
        <f t="shared" ref="O56" si="78">((G56-E56)/6)^2</f>
        <v>9.999999999999995E-3</v>
      </c>
      <c r="P56" s="70">
        <f t="shared" ref="P56" si="79">SQRT(O56)</f>
        <v>9.9999999999999978E-2</v>
      </c>
    </row>
    <row r="57" spans="2:16" ht="30" outlineLevel="2" x14ac:dyDescent="0.25">
      <c r="B57" s="21" t="s">
        <v>182</v>
      </c>
      <c r="C57" s="22" t="s">
        <v>135</v>
      </c>
      <c r="D57" s="59" t="s">
        <v>105</v>
      </c>
      <c r="E57" s="45">
        <v>0.7</v>
      </c>
      <c r="F57" s="42">
        <f>E57*1.25</f>
        <v>0.875</v>
      </c>
      <c r="G57" s="39">
        <f>E57*1.5</f>
        <v>1.0499999999999998</v>
      </c>
      <c r="H57" s="40">
        <f t="shared" si="74"/>
        <v>0.875</v>
      </c>
      <c r="I57" s="40">
        <f>J56</f>
        <v>9.625</v>
      </c>
      <c r="J57" s="40">
        <f t="shared" si="61"/>
        <v>10.5</v>
      </c>
      <c r="K57" s="40">
        <f>L59</f>
        <v>10.500000000000005</v>
      </c>
      <c r="L57" s="40">
        <f t="shared" si="57"/>
        <v>9.6250000000000053</v>
      </c>
      <c r="M57" s="40">
        <f t="shared" si="7"/>
        <v>0</v>
      </c>
      <c r="N57" s="40">
        <f t="shared" si="4"/>
        <v>0</v>
      </c>
      <c r="O57" s="70">
        <f t="shared" si="9"/>
        <v>3.4027777777777754E-3</v>
      </c>
      <c r="P57" s="70">
        <f t="shared" si="1"/>
        <v>5.8333333333333313E-2</v>
      </c>
    </row>
    <row r="58" spans="2:16" outlineLevel="1" x14ac:dyDescent="0.25">
      <c r="B58" s="6" t="s">
        <v>40</v>
      </c>
      <c r="C58" s="23" t="s">
        <v>66</v>
      </c>
      <c r="D58" s="57" t="s">
        <v>39</v>
      </c>
      <c r="E58" s="34">
        <f>SUM(E59:E62)</f>
        <v>1.2</v>
      </c>
      <c r="F58" s="35">
        <f>SUM(F59:F62)</f>
        <v>1.5</v>
      </c>
      <c r="G58" s="36">
        <f>SUM(G59:G62)</f>
        <v>1.7999999999999998</v>
      </c>
      <c r="H58" s="36">
        <f>(E58+4*F58+G58)/6</f>
        <v>1.5</v>
      </c>
      <c r="I58" s="36">
        <f>J54</f>
        <v>10.5</v>
      </c>
      <c r="J58" s="36">
        <f t="shared" si="61"/>
        <v>12</v>
      </c>
      <c r="K58" s="36">
        <f>L64</f>
        <v>12.000000000000002</v>
      </c>
      <c r="L58" s="36">
        <f t="shared" si="57"/>
        <v>10.500000000000002</v>
      </c>
      <c r="M58" s="36">
        <f t="shared" si="7"/>
        <v>0</v>
      </c>
      <c r="N58" s="36">
        <f t="shared" si="4"/>
        <v>0</v>
      </c>
      <c r="O58" s="69">
        <f>SUM(O59:O62)</f>
        <v>2.4999999999999988E-3</v>
      </c>
      <c r="P58" s="69">
        <f t="shared" si="1"/>
        <v>4.9999999999999989E-2</v>
      </c>
    </row>
    <row r="59" spans="2:16" ht="13.5" customHeight="1" outlineLevel="2" x14ac:dyDescent="0.25">
      <c r="B59" s="7" t="s">
        <v>106</v>
      </c>
      <c r="C59" s="9" t="s">
        <v>1</v>
      </c>
      <c r="D59" s="55" t="s">
        <v>182</v>
      </c>
      <c r="E59" s="37">
        <v>0.3</v>
      </c>
      <c r="F59" s="38">
        <f>E59*1.25</f>
        <v>0.375</v>
      </c>
      <c r="G59" s="39">
        <f>E59*1.5</f>
        <v>0.44999999999999996</v>
      </c>
      <c r="H59" s="40">
        <f t="shared" ref="H59" si="80">(E59+4*F59+G59)/6</f>
        <v>0.375</v>
      </c>
      <c r="I59" s="40">
        <f>J57</f>
        <v>10.5</v>
      </c>
      <c r="J59" s="40">
        <f t="shared" si="61"/>
        <v>10.875</v>
      </c>
      <c r="K59" s="40">
        <f>L60</f>
        <v>10.875000000000005</v>
      </c>
      <c r="L59" s="40">
        <f t="shared" si="57"/>
        <v>10.500000000000005</v>
      </c>
      <c r="M59" s="40">
        <f t="shared" si="7"/>
        <v>0</v>
      </c>
      <c r="N59" s="40">
        <f t="shared" si="4"/>
        <v>0</v>
      </c>
      <c r="O59" s="70">
        <f t="shared" si="9"/>
        <v>6.2499999999999969E-4</v>
      </c>
      <c r="P59" s="70">
        <f t="shared" si="1"/>
        <v>2.4999999999999994E-2</v>
      </c>
    </row>
    <row r="60" spans="2:16" outlineLevel="2" x14ac:dyDescent="0.25">
      <c r="B60" s="75" t="s">
        <v>107</v>
      </c>
      <c r="C60" s="10" t="s">
        <v>136</v>
      </c>
      <c r="D60" s="58" t="s">
        <v>106</v>
      </c>
      <c r="E60" s="37">
        <v>0.3</v>
      </c>
      <c r="F60" s="38">
        <f t="shared" ref="F60:F62" si="81">E60*1.25</f>
        <v>0.375</v>
      </c>
      <c r="G60" s="39">
        <f t="shared" ref="G60:G62" si="82">E60*1.5</f>
        <v>0.44999999999999996</v>
      </c>
      <c r="H60" s="40">
        <f t="shared" ref="H60:H62" si="83">(E60+4*F60+G60)/6</f>
        <v>0.375</v>
      </c>
      <c r="I60" s="40">
        <f>J59</f>
        <v>10.875</v>
      </c>
      <c r="J60" s="40">
        <f t="shared" ref="J60:J62" si="84">I60+H60</f>
        <v>11.25</v>
      </c>
      <c r="K60" s="40">
        <f>L61</f>
        <v>11.250000000000005</v>
      </c>
      <c r="L60" s="40">
        <f t="shared" ref="L60:L62" si="85">K60-H60</f>
        <v>10.875000000000005</v>
      </c>
      <c r="M60" s="40">
        <f t="shared" ref="M60:M62" si="86">K60-J60</f>
        <v>0</v>
      </c>
      <c r="N60" s="40">
        <f t="shared" ref="N60:N62" si="87">L60-I60</f>
        <v>0</v>
      </c>
      <c r="O60" s="70">
        <f t="shared" ref="O60:O62" si="88">((G60-E60)/6)^2</f>
        <v>6.2499999999999969E-4</v>
      </c>
      <c r="P60" s="70">
        <f t="shared" ref="P60:P62" si="89">SQRT(O60)</f>
        <v>2.4999999999999994E-2</v>
      </c>
    </row>
    <row r="61" spans="2:16" outlineLevel="2" x14ac:dyDescent="0.25">
      <c r="B61" s="75" t="s">
        <v>183</v>
      </c>
      <c r="C61" s="10" t="s">
        <v>2</v>
      </c>
      <c r="D61" s="58" t="s">
        <v>107</v>
      </c>
      <c r="E61" s="37">
        <v>0.3</v>
      </c>
      <c r="F61" s="38">
        <f t="shared" si="81"/>
        <v>0.375</v>
      </c>
      <c r="G61" s="39">
        <f t="shared" si="82"/>
        <v>0.44999999999999996</v>
      </c>
      <c r="H61" s="40">
        <f t="shared" si="83"/>
        <v>0.375</v>
      </c>
      <c r="I61" s="40">
        <f>J60</f>
        <v>11.25</v>
      </c>
      <c r="J61" s="40">
        <f t="shared" si="84"/>
        <v>11.625</v>
      </c>
      <c r="K61" s="40">
        <f>L62</f>
        <v>11.625000000000005</v>
      </c>
      <c r="L61" s="40">
        <f t="shared" si="85"/>
        <v>11.250000000000005</v>
      </c>
      <c r="M61" s="40">
        <f t="shared" si="86"/>
        <v>0</v>
      </c>
      <c r="N61" s="40">
        <f t="shared" si="87"/>
        <v>0</v>
      </c>
      <c r="O61" s="70">
        <f t="shared" si="88"/>
        <v>6.2499999999999969E-4</v>
      </c>
      <c r="P61" s="70">
        <f t="shared" si="89"/>
        <v>2.4999999999999994E-2</v>
      </c>
    </row>
    <row r="62" spans="2:16" ht="30" outlineLevel="2" x14ac:dyDescent="0.25">
      <c r="B62" s="21" t="s">
        <v>184</v>
      </c>
      <c r="C62" s="22" t="s">
        <v>137</v>
      </c>
      <c r="D62" s="59" t="s">
        <v>183</v>
      </c>
      <c r="E62" s="37">
        <v>0.3</v>
      </c>
      <c r="F62" s="38">
        <f t="shared" si="81"/>
        <v>0.375</v>
      </c>
      <c r="G62" s="39">
        <f t="shared" si="82"/>
        <v>0.44999999999999996</v>
      </c>
      <c r="H62" s="40">
        <f t="shared" si="83"/>
        <v>0.375</v>
      </c>
      <c r="I62" s="40">
        <f>J61</f>
        <v>11.625</v>
      </c>
      <c r="J62" s="40">
        <f t="shared" si="84"/>
        <v>12</v>
      </c>
      <c r="K62" s="40">
        <f t="shared" ref="K62" si="90">L65</f>
        <v>12.000000000000005</v>
      </c>
      <c r="L62" s="40">
        <f t="shared" si="85"/>
        <v>11.625000000000005</v>
      </c>
      <c r="M62" s="40">
        <f t="shared" si="86"/>
        <v>0</v>
      </c>
      <c r="N62" s="40">
        <f t="shared" si="87"/>
        <v>0</v>
      </c>
      <c r="O62" s="70">
        <f t="shared" si="88"/>
        <v>6.2499999999999969E-4</v>
      </c>
      <c r="P62" s="70">
        <f t="shared" si="89"/>
        <v>2.4999999999999994E-2</v>
      </c>
    </row>
    <row r="63" spans="2:16" x14ac:dyDescent="0.25">
      <c r="B63" s="24" t="s">
        <v>41</v>
      </c>
      <c r="C63" s="25" t="s">
        <v>58</v>
      </c>
      <c r="D63" s="60" t="s">
        <v>37</v>
      </c>
      <c r="E63" s="46">
        <f>E64+E70+E75</f>
        <v>1</v>
      </c>
      <c r="F63" s="46">
        <f t="shared" ref="F63:H63" si="91">F64+F70+F75</f>
        <v>2</v>
      </c>
      <c r="G63" s="46">
        <f t="shared" si="91"/>
        <v>3</v>
      </c>
      <c r="H63" s="46">
        <f t="shared" si="91"/>
        <v>1.9999999999999998</v>
      </c>
      <c r="I63" s="33">
        <f>J49</f>
        <v>12</v>
      </c>
      <c r="J63" s="33">
        <f>I63+H63</f>
        <v>14</v>
      </c>
      <c r="K63" s="33">
        <f>L76</f>
        <v>14</v>
      </c>
      <c r="L63" s="33">
        <f t="shared" si="57"/>
        <v>12</v>
      </c>
      <c r="M63" s="33">
        <f t="shared" si="7"/>
        <v>0</v>
      </c>
      <c r="N63" s="33">
        <f t="shared" si="4"/>
        <v>0</v>
      </c>
      <c r="O63" s="71">
        <f>O64+O70+O75</f>
        <v>9.1111111111111098E-3</v>
      </c>
      <c r="P63" s="71">
        <f>SQRT(O63)</f>
        <v>9.5452140421842344E-2</v>
      </c>
    </row>
    <row r="64" spans="2:16" outlineLevel="1" x14ac:dyDescent="0.25">
      <c r="B64" s="6" t="s">
        <v>42</v>
      </c>
      <c r="C64" s="23" t="s">
        <v>65</v>
      </c>
      <c r="D64" s="57" t="s">
        <v>40</v>
      </c>
      <c r="E64" s="34">
        <f>SUM(E65:E69)</f>
        <v>0.4</v>
      </c>
      <c r="F64" s="35">
        <f>SUM(F65:F69)</f>
        <v>0.8</v>
      </c>
      <c r="G64" s="36">
        <f>SUM(G65:G69)</f>
        <v>1.2</v>
      </c>
      <c r="H64" s="36">
        <f>(E64+4*F64+G64)/6</f>
        <v>0.79999999999999993</v>
      </c>
      <c r="I64" s="36">
        <f>J58</f>
        <v>12</v>
      </c>
      <c r="J64" s="36">
        <f t="shared" si="61"/>
        <v>12.8</v>
      </c>
      <c r="K64" s="36">
        <f>L70</f>
        <v>12.800000000000002</v>
      </c>
      <c r="L64" s="36">
        <f t="shared" si="57"/>
        <v>12.000000000000002</v>
      </c>
      <c r="M64" s="36">
        <f t="shared" si="7"/>
        <v>0</v>
      </c>
      <c r="N64" s="36">
        <f t="shared" si="4"/>
        <v>0</v>
      </c>
      <c r="O64" s="69">
        <f>SUM(O65:O69)</f>
        <v>3.555555555555554E-3</v>
      </c>
      <c r="P64" s="69">
        <f t="shared" si="1"/>
        <v>5.9628479399994376E-2</v>
      </c>
    </row>
    <row r="65" spans="2:16" outlineLevel="2" x14ac:dyDescent="0.25">
      <c r="B65" s="7" t="s">
        <v>108</v>
      </c>
      <c r="C65" s="9" t="s">
        <v>142</v>
      </c>
      <c r="D65" s="55" t="s">
        <v>184</v>
      </c>
      <c r="E65" s="37">
        <v>0.08</v>
      </c>
      <c r="F65" s="38">
        <v>0.16</v>
      </c>
      <c r="G65" s="39">
        <v>0.24</v>
      </c>
      <c r="H65" s="40">
        <f>(E65+4*F65+G65)/6</f>
        <v>0.16</v>
      </c>
      <c r="I65" s="40">
        <f>J62</f>
        <v>12</v>
      </c>
      <c r="J65" s="40">
        <f>I65+H65</f>
        <v>12.16</v>
      </c>
      <c r="K65" s="40">
        <f t="shared" ref="K65:K66" si="92">L66</f>
        <v>12.160000000000005</v>
      </c>
      <c r="L65" s="40">
        <f>K65-H65</f>
        <v>12.000000000000005</v>
      </c>
      <c r="M65" s="40">
        <f>K65-J65</f>
        <v>0</v>
      </c>
      <c r="N65" s="40">
        <f t="shared" si="4"/>
        <v>0</v>
      </c>
      <c r="O65" s="70">
        <f t="shared" si="9"/>
        <v>7.1111111111111082E-4</v>
      </c>
      <c r="P65" s="70">
        <f t="shared" si="1"/>
        <v>2.6666666666666661E-2</v>
      </c>
    </row>
    <row r="66" spans="2:16" outlineLevel="2" x14ac:dyDescent="0.25">
      <c r="B66" s="8" t="s">
        <v>109</v>
      </c>
      <c r="C66" s="10" t="s">
        <v>143</v>
      </c>
      <c r="D66" s="58" t="s">
        <v>108</v>
      </c>
      <c r="E66" s="44">
        <v>0.08</v>
      </c>
      <c r="F66" s="38">
        <v>0.16</v>
      </c>
      <c r="G66" s="39">
        <v>0.24</v>
      </c>
      <c r="H66" s="40">
        <f t="shared" ref="H66:H74" si="93">(E66+4*F66+G66)/6</f>
        <v>0.16</v>
      </c>
      <c r="I66" s="40">
        <f>J65</f>
        <v>12.16</v>
      </c>
      <c r="J66" s="40">
        <f t="shared" si="61"/>
        <v>12.32</v>
      </c>
      <c r="K66" s="40">
        <f t="shared" si="92"/>
        <v>12.320000000000006</v>
      </c>
      <c r="L66" s="40">
        <f t="shared" si="57"/>
        <v>12.160000000000005</v>
      </c>
      <c r="M66" s="40">
        <f t="shared" si="7"/>
        <v>0</v>
      </c>
      <c r="N66" s="40">
        <f t="shared" si="4"/>
        <v>0</v>
      </c>
      <c r="O66" s="70">
        <f t="shared" si="9"/>
        <v>7.1111111111111082E-4</v>
      </c>
      <c r="P66" s="70">
        <f t="shared" si="1"/>
        <v>2.6666666666666661E-2</v>
      </c>
    </row>
    <row r="67" spans="2:16" outlineLevel="2" x14ac:dyDescent="0.25">
      <c r="B67" s="8" t="s">
        <v>110</v>
      </c>
      <c r="C67" s="10" t="s">
        <v>14</v>
      </c>
      <c r="D67" s="58" t="s">
        <v>109</v>
      </c>
      <c r="E67" s="44">
        <v>0.08</v>
      </c>
      <c r="F67" s="38">
        <v>0.16</v>
      </c>
      <c r="G67" s="39">
        <v>0.24</v>
      </c>
      <c r="H67" s="40">
        <f t="shared" si="93"/>
        <v>0.16</v>
      </c>
      <c r="I67" s="40">
        <f>J66</f>
        <v>12.32</v>
      </c>
      <c r="J67" s="40">
        <f t="shared" si="61"/>
        <v>12.48</v>
      </c>
      <c r="K67" s="40">
        <f>L68</f>
        <v>12.480000000000006</v>
      </c>
      <c r="L67" s="40">
        <f t="shared" si="57"/>
        <v>12.320000000000006</v>
      </c>
      <c r="M67" s="40">
        <f t="shared" si="7"/>
        <v>0</v>
      </c>
      <c r="N67" s="40">
        <f t="shared" si="4"/>
        <v>0</v>
      </c>
      <c r="O67" s="70">
        <f t="shared" si="9"/>
        <v>7.1111111111111082E-4</v>
      </c>
      <c r="P67" s="70">
        <f t="shared" si="1"/>
        <v>2.6666666666666661E-2</v>
      </c>
    </row>
    <row r="68" spans="2:16" ht="30" outlineLevel="2" x14ac:dyDescent="0.25">
      <c r="B68" s="21" t="s">
        <v>111</v>
      </c>
      <c r="C68" s="22" t="s">
        <v>144</v>
      </c>
      <c r="D68" s="59" t="s">
        <v>110</v>
      </c>
      <c r="E68" s="45">
        <v>0.08</v>
      </c>
      <c r="F68" s="38">
        <v>0.16</v>
      </c>
      <c r="G68" s="39">
        <v>0.24</v>
      </c>
      <c r="H68" s="40">
        <f t="shared" ref="H68" si="94">(E68+4*F68+G68)/6</f>
        <v>0.16</v>
      </c>
      <c r="I68" s="40">
        <f>J67</f>
        <v>12.48</v>
      </c>
      <c r="J68" s="40">
        <f t="shared" ref="J68" si="95">I68+H68</f>
        <v>12.64</v>
      </c>
      <c r="K68" s="40">
        <f>L69</f>
        <v>12.640000000000006</v>
      </c>
      <c r="L68" s="40">
        <f t="shared" ref="L68" si="96">K68-H68</f>
        <v>12.480000000000006</v>
      </c>
      <c r="M68" s="40">
        <f t="shared" ref="M68" si="97">K68-J68</f>
        <v>0</v>
      </c>
      <c r="N68" s="40">
        <f t="shared" ref="N68" si="98">L68-I68</f>
        <v>0</v>
      </c>
      <c r="O68" s="70">
        <f t="shared" ref="O68" si="99">((G68-E68)/6)^2</f>
        <v>7.1111111111111082E-4</v>
      </c>
      <c r="P68" s="70">
        <f t="shared" ref="P68" si="100">SQRT(O68)</f>
        <v>2.6666666666666661E-2</v>
      </c>
    </row>
    <row r="69" spans="2:16" ht="30" outlineLevel="2" x14ac:dyDescent="0.25">
      <c r="B69" s="21" t="s">
        <v>185</v>
      </c>
      <c r="C69" s="22" t="s">
        <v>145</v>
      </c>
      <c r="D69" s="59" t="s">
        <v>111</v>
      </c>
      <c r="E69" s="45">
        <v>0.08</v>
      </c>
      <c r="F69" s="38">
        <v>0.16</v>
      </c>
      <c r="G69" s="39">
        <v>0.24</v>
      </c>
      <c r="H69" s="40">
        <f t="shared" si="93"/>
        <v>0.16</v>
      </c>
      <c r="I69" s="40">
        <f>J68</f>
        <v>12.64</v>
      </c>
      <c r="J69" s="40">
        <f t="shared" si="61"/>
        <v>12.8</v>
      </c>
      <c r="K69" s="40">
        <f>L71</f>
        <v>12.800000000000006</v>
      </c>
      <c r="L69" s="40">
        <f>K69-H69</f>
        <v>12.640000000000006</v>
      </c>
      <c r="M69" s="40">
        <f t="shared" si="7"/>
        <v>0</v>
      </c>
      <c r="N69" s="40">
        <f t="shared" si="4"/>
        <v>0</v>
      </c>
      <c r="O69" s="70">
        <f t="shared" si="9"/>
        <v>7.1111111111111082E-4</v>
      </c>
      <c r="P69" s="70">
        <f t="shared" si="1"/>
        <v>2.6666666666666661E-2</v>
      </c>
    </row>
    <row r="70" spans="2:16" outlineLevel="1" x14ac:dyDescent="0.25">
      <c r="B70" s="6" t="s">
        <v>43</v>
      </c>
      <c r="C70" s="23" t="s">
        <v>64</v>
      </c>
      <c r="D70" s="57" t="s">
        <v>42</v>
      </c>
      <c r="E70" s="34">
        <f>SUM(E71:E74)</f>
        <v>0.4</v>
      </c>
      <c r="F70" s="35">
        <f>SUM(F71:F74)</f>
        <v>0.8</v>
      </c>
      <c r="G70" s="36">
        <f>SUM(G71:G74)</f>
        <v>1.2</v>
      </c>
      <c r="H70" s="36">
        <f t="shared" si="93"/>
        <v>0.79999999999999993</v>
      </c>
      <c r="I70" s="36">
        <f>J64</f>
        <v>12.8</v>
      </c>
      <c r="J70" s="36">
        <f>I70+H70</f>
        <v>13.600000000000001</v>
      </c>
      <c r="K70" s="36">
        <f>L75</f>
        <v>13.600000000000003</v>
      </c>
      <c r="L70" s="36">
        <f>K70-H70</f>
        <v>12.800000000000002</v>
      </c>
      <c r="M70" s="36">
        <f t="shared" si="7"/>
        <v>0</v>
      </c>
      <c r="N70" s="36">
        <f t="shared" si="4"/>
        <v>0</v>
      </c>
      <c r="O70" s="69">
        <f>SUM(O71:O74)</f>
        <v>4.4444444444444444E-3</v>
      </c>
      <c r="P70" s="69">
        <f t="shared" si="1"/>
        <v>6.6666666666666666E-2</v>
      </c>
    </row>
    <row r="71" spans="2:16" outlineLevel="2" x14ac:dyDescent="0.25">
      <c r="B71" s="7" t="s">
        <v>186</v>
      </c>
      <c r="C71" s="9" t="s">
        <v>15</v>
      </c>
      <c r="D71" s="55" t="s">
        <v>185</v>
      </c>
      <c r="E71" s="37">
        <v>0.1</v>
      </c>
      <c r="F71" s="38">
        <v>0.2</v>
      </c>
      <c r="G71" s="39">
        <v>0.3</v>
      </c>
      <c r="H71" s="40">
        <f t="shared" si="93"/>
        <v>0.19999999999999998</v>
      </c>
      <c r="I71" s="40">
        <f>J69</f>
        <v>12.8</v>
      </c>
      <c r="J71" s="40">
        <f t="shared" ref="J71:J74" si="101">I71+H71</f>
        <v>13</v>
      </c>
      <c r="K71" s="40">
        <f t="shared" ref="K71:K72" si="102">L72</f>
        <v>13.000000000000005</v>
      </c>
      <c r="L71" s="40">
        <f t="shared" ref="L71:L73" si="103">K71-H71</f>
        <v>12.800000000000006</v>
      </c>
      <c r="M71" s="40">
        <f t="shared" si="7"/>
        <v>0</v>
      </c>
      <c r="N71" s="40">
        <f t="shared" si="4"/>
        <v>0</v>
      </c>
      <c r="O71" s="70">
        <f t="shared" si="9"/>
        <v>1.1111111111111111E-3</v>
      </c>
      <c r="P71" s="70">
        <f t="shared" si="1"/>
        <v>3.3333333333333333E-2</v>
      </c>
    </row>
    <row r="72" spans="2:16" outlineLevel="2" x14ac:dyDescent="0.25">
      <c r="B72" s="8" t="s">
        <v>187</v>
      </c>
      <c r="C72" s="10" t="s">
        <v>16</v>
      </c>
      <c r="D72" s="58" t="s">
        <v>186</v>
      </c>
      <c r="E72" s="44">
        <v>0.1</v>
      </c>
      <c r="F72" s="38">
        <v>0.2</v>
      </c>
      <c r="G72" s="39">
        <v>0.3</v>
      </c>
      <c r="H72" s="40">
        <f t="shared" si="93"/>
        <v>0.19999999999999998</v>
      </c>
      <c r="I72" s="40">
        <f>J71</f>
        <v>13</v>
      </c>
      <c r="J72" s="40">
        <f t="shared" si="101"/>
        <v>13.2</v>
      </c>
      <c r="K72" s="40">
        <f t="shared" si="102"/>
        <v>13.200000000000005</v>
      </c>
      <c r="L72" s="40">
        <f t="shared" si="103"/>
        <v>13.000000000000005</v>
      </c>
      <c r="M72" s="40">
        <f t="shared" si="7"/>
        <v>0</v>
      </c>
      <c r="N72" s="40">
        <f t="shared" si="4"/>
        <v>0</v>
      </c>
      <c r="O72" s="70">
        <f t="shared" si="9"/>
        <v>1.1111111111111111E-3</v>
      </c>
      <c r="P72" s="70">
        <f t="shared" si="1"/>
        <v>3.3333333333333333E-2</v>
      </c>
    </row>
    <row r="73" spans="2:16" outlineLevel="2" x14ac:dyDescent="0.25">
      <c r="B73" s="8" t="s">
        <v>188</v>
      </c>
      <c r="C73" s="10" t="s">
        <v>18</v>
      </c>
      <c r="D73" s="58" t="s">
        <v>187</v>
      </c>
      <c r="E73" s="44">
        <v>0.1</v>
      </c>
      <c r="F73" s="38">
        <v>0.2</v>
      </c>
      <c r="G73" s="39">
        <v>0.3</v>
      </c>
      <c r="H73" s="40">
        <f t="shared" si="93"/>
        <v>0.19999999999999998</v>
      </c>
      <c r="I73" s="40">
        <f>J72</f>
        <v>13.2</v>
      </c>
      <c r="J73" s="40">
        <f t="shared" si="101"/>
        <v>13.399999999999999</v>
      </c>
      <c r="K73" s="40">
        <f>L74</f>
        <v>13.400000000000004</v>
      </c>
      <c r="L73" s="40">
        <f t="shared" si="103"/>
        <v>13.200000000000005</v>
      </c>
      <c r="M73" s="40">
        <f t="shared" si="7"/>
        <v>0</v>
      </c>
      <c r="N73" s="40">
        <f t="shared" si="4"/>
        <v>0</v>
      </c>
      <c r="O73" s="70">
        <f t="shared" si="9"/>
        <v>1.1111111111111111E-3</v>
      </c>
      <c r="P73" s="70">
        <f t="shared" si="1"/>
        <v>3.3333333333333333E-2</v>
      </c>
    </row>
    <row r="74" spans="2:16" outlineLevel="2" x14ac:dyDescent="0.25">
      <c r="B74" s="21" t="s">
        <v>189</v>
      </c>
      <c r="C74" s="22" t="s">
        <v>17</v>
      </c>
      <c r="D74" s="59" t="s">
        <v>188</v>
      </c>
      <c r="E74" s="45">
        <v>0.1</v>
      </c>
      <c r="F74" s="38">
        <v>0.2</v>
      </c>
      <c r="G74" s="39">
        <v>0.3</v>
      </c>
      <c r="H74" s="40">
        <f t="shared" si="93"/>
        <v>0.19999999999999998</v>
      </c>
      <c r="I74" s="40">
        <f>J73</f>
        <v>13.399999999999999</v>
      </c>
      <c r="J74" s="40">
        <f t="shared" si="101"/>
        <v>13.599999999999998</v>
      </c>
      <c r="K74" s="40">
        <f>L75</f>
        <v>13.600000000000003</v>
      </c>
      <c r="L74" s="40">
        <f>K74-H74</f>
        <v>13.400000000000004</v>
      </c>
      <c r="M74" s="40">
        <f t="shared" si="7"/>
        <v>0</v>
      </c>
      <c r="N74" s="40">
        <f t="shared" si="4"/>
        <v>0</v>
      </c>
      <c r="O74" s="70">
        <f>((G74-E74)/6)^2</f>
        <v>1.1111111111111111E-3</v>
      </c>
      <c r="P74" s="70">
        <f t="shared" si="1"/>
        <v>3.3333333333333333E-2</v>
      </c>
    </row>
    <row r="75" spans="2:16" outlineLevel="1" x14ac:dyDescent="0.25">
      <c r="B75" s="6" t="s">
        <v>44</v>
      </c>
      <c r="C75" s="23" t="s">
        <v>173</v>
      </c>
      <c r="D75" s="57" t="s">
        <v>43</v>
      </c>
      <c r="E75" s="34">
        <v>0.2</v>
      </c>
      <c r="F75" s="35">
        <v>0.4</v>
      </c>
      <c r="G75" s="36">
        <v>0.6</v>
      </c>
      <c r="H75" s="36">
        <f t="shared" ref="H75" si="104">(E75+4*F75+G75)/6</f>
        <v>0.39999999999999997</v>
      </c>
      <c r="I75" s="36">
        <f>J70</f>
        <v>13.600000000000001</v>
      </c>
      <c r="J75" s="36">
        <f>I75+H75</f>
        <v>14.000000000000002</v>
      </c>
      <c r="K75" s="36">
        <f>L77</f>
        <v>14.000000000000004</v>
      </c>
      <c r="L75" s="36">
        <f>K75-H75</f>
        <v>13.600000000000003</v>
      </c>
      <c r="M75" s="36">
        <f t="shared" ref="M75" si="105">K75-J75</f>
        <v>0</v>
      </c>
      <c r="N75" s="36">
        <f t="shared" ref="N75" si="106">L75-I75</f>
        <v>0</v>
      </c>
      <c r="O75" s="69">
        <f>((G74-E74)/6)^2</f>
        <v>1.1111111111111111E-3</v>
      </c>
      <c r="P75" s="69">
        <f t="shared" ref="P75" si="107">SQRT(O75)</f>
        <v>3.3333333333333333E-2</v>
      </c>
    </row>
    <row r="76" spans="2:16" x14ac:dyDescent="0.25">
      <c r="B76" s="5" t="s">
        <v>45</v>
      </c>
      <c r="C76" s="20" t="s">
        <v>59</v>
      </c>
      <c r="D76" s="53" t="s">
        <v>41</v>
      </c>
      <c r="E76" s="31">
        <f>E77+E87+E96+E97</f>
        <v>2</v>
      </c>
      <c r="F76" s="31">
        <f t="shared" ref="F76:H76" si="108">F77+F87+F96+F97</f>
        <v>3</v>
      </c>
      <c r="G76" s="31">
        <f t="shared" si="108"/>
        <v>4</v>
      </c>
      <c r="H76" s="31">
        <f t="shared" si="108"/>
        <v>3</v>
      </c>
      <c r="I76" s="33">
        <f>J63</f>
        <v>14</v>
      </c>
      <c r="J76" s="33">
        <f>I76+H76</f>
        <v>17</v>
      </c>
      <c r="K76" s="33">
        <f>J76</f>
        <v>17</v>
      </c>
      <c r="L76" s="33">
        <f>K76-H76</f>
        <v>14</v>
      </c>
      <c r="M76" s="33">
        <f t="shared" si="7"/>
        <v>0</v>
      </c>
      <c r="N76" s="33">
        <f t="shared" si="4"/>
        <v>0</v>
      </c>
      <c r="O76" s="68">
        <f>O77+O87+O96+O97</f>
        <v>1.3383333333333334E-2</v>
      </c>
      <c r="P76" s="68">
        <f>SQRT(O76)</f>
        <v>0.11568635759385518</v>
      </c>
    </row>
    <row r="77" spans="2:16" outlineLevel="1" x14ac:dyDescent="0.25">
      <c r="B77" s="6" t="s">
        <v>46</v>
      </c>
      <c r="C77" s="23" t="s">
        <v>63</v>
      </c>
      <c r="D77" s="57" t="s">
        <v>44</v>
      </c>
      <c r="E77" s="34">
        <f>SUM(E78:E86)</f>
        <v>1</v>
      </c>
      <c r="F77" s="35">
        <f>SUM(F78:F86)</f>
        <v>1.5</v>
      </c>
      <c r="G77" s="36">
        <f>SUM(G78:G86)</f>
        <v>2</v>
      </c>
      <c r="H77" s="36">
        <f>(E77+4*F77+G77)/6</f>
        <v>1.5</v>
      </c>
      <c r="I77" s="36">
        <f>J75</f>
        <v>14.000000000000002</v>
      </c>
      <c r="J77" s="36">
        <f>I77+H77</f>
        <v>15.500000000000002</v>
      </c>
      <c r="K77" s="36">
        <f>L87</f>
        <v>15.500000000000004</v>
      </c>
      <c r="L77" s="36">
        <f>K77-H77</f>
        <v>14.000000000000004</v>
      </c>
      <c r="M77" s="36">
        <f t="shared" si="7"/>
        <v>0</v>
      </c>
      <c r="N77" s="36">
        <f t="shared" si="4"/>
        <v>0</v>
      </c>
      <c r="O77" s="69">
        <f>SUM(O78:O86)</f>
        <v>5.0222222222222222E-3</v>
      </c>
      <c r="P77" s="69">
        <f t="shared" si="1"/>
        <v>7.0867638751564335E-2</v>
      </c>
    </row>
    <row r="78" spans="2:16" outlineLevel="2" x14ac:dyDescent="0.25">
      <c r="B78" s="7" t="s">
        <v>112</v>
      </c>
      <c r="C78" s="9" t="s">
        <v>146</v>
      </c>
      <c r="D78" s="55" t="s">
        <v>189</v>
      </c>
      <c r="E78" s="37">
        <v>0.01</v>
      </c>
      <c r="F78" s="38">
        <f>E78*1.5</f>
        <v>1.4999999999999999E-2</v>
      </c>
      <c r="G78" s="39">
        <f>E78*2</f>
        <v>0.02</v>
      </c>
      <c r="H78" s="40">
        <f t="shared" ref="H78:H97" si="109">(E78+4*F78+G78)/6</f>
        <v>1.4999999999999999E-2</v>
      </c>
      <c r="I78" s="40">
        <f>J75</f>
        <v>14.000000000000002</v>
      </c>
      <c r="J78" s="40">
        <f t="shared" ref="J78:J80" si="110">I78+H78</f>
        <v>14.015000000000002</v>
      </c>
      <c r="K78" s="40">
        <f>L79</f>
        <v>14.015000000000004</v>
      </c>
      <c r="L78" s="40">
        <f t="shared" ref="L78:L80" si="111">K78-H78</f>
        <v>14.000000000000004</v>
      </c>
      <c r="M78" s="40">
        <f t="shared" si="7"/>
        <v>0</v>
      </c>
      <c r="N78" s="40">
        <f t="shared" si="4"/>
        <v>0</v>
      </c>
      <c r="O78" s="70">
        <f t="shared" si="9"/>
        <v>2.7777777777777783E-6</v>
      </c>
      <c r="P78" s="70">
        <f t="shared" si="1"/>
        <v>1.6666666666666668E-3</v>
      </c>
    </row>
    <row r="79" spans="2:16" outlineLevel="2" x14ac:dyDescent="0.25">
      <c r="B79" s="8" t="s">
        <v>113</v>
      </c>
      <c r="C79" s="10" t="s">
        <v>147</v>
      </c>
      <c r="D79" s="55" t="s">
        <v>112</v>
      </c>
      <c r="E79" s="37">
        <v>0.02</v>
      </c>
      <c r="F79" s="38">
        <f t="shared" ref="F79:F86" si="112">E79*1.5</f>
        <v>0.03</v>
      </c>
      <c r="G79" s="39">
        <f t="shared" ref="G79:G86" si="113">E79*2</f>
        <v>0.04</v>
      </c>
      <c r="H79" s="40">
        <f t="shared" si="109"/>
        <v>0.03</v>
      </c>
      <c r="I79" s="40">
        <f>J78</f>
        <v>14.015000000000002</v>
      </c>
      <c r="J79" s="40">
        <f t="shared" si="110"/>
        <v>14.045000000000002</v>
      </c>
      <c r="K79" s="40">
        <f t="shared" ref="K79" si="114">L80</f>
        <v>14.045000000000003</v>
      </c>
      <c r="L79" s="40">
        <f t="shared" si="111"/>
        <v>14.015000000000004</v>
      </c>
      <c r="M79" s="40">
        <f t="shared" si="7"/>
        <v>0</v>
      </c>
      <c r="N79" s="40">
        <f t="shared" si="4"/>
        <v>0</v>
      </c>
      <c r="O79" s="70">
        <f t="shared" si="9"/>
        <v>1.1111111111111113E-5</v>
      </c>
      <c r="P79" s="70">
        <f t="shared" si="1"/>
        <v>3.3333333333333335E-3</v>
      </c>
    </row>
    <row r="80" spans="2:16" outlineLevel="2" x14ac:dyDescent="0.25">
      <c r="B80" s="8" t="s">
        <v>114</v>
      </c>
      <c r="C80" s="10" t="s">
        <v>19</v>
      </c>
      <c r="D80" s="55" t="s">
        <v>113</v>
      </c>
      <c r="E80" s="37">
        <v>0.15</v>
      </c>
      <c r="F80" s="38">
        <f t="shared" si="112"/>
        <v>0.22499999999999998</v>
      </c>
      <c r="G80" s="39">
        <f t="shared" si="113"/>
        <v>0.3</v>
      </c>
      <c r="H80" s="40">
        <f t="shared" si="109"/>
        <v>0.22499999999999998</v>
      </c>
      <c r="I80" s="40">
        <f>J79</f>
        <v>14.045000000000002</v>
      </c>
      <c r="J80" s="40">
        <f t="shared" si="110"/>
        <v>14.270000000000001</v>
      </c>
      <c r="K80" s="40">
        <f t="shared" ref="K80:K85" si="115">L81</f>
        <v>14.270000000000003</v>
      </c>
      <c r="L80" s="40">
        <f t="shared" si="111"/>
        <v>14.045000000000003</v>
      </c>
      <c r="M80" s="40">
        <f t="shared" si="7"/>
        <v>0</v>
      </c>
      <c r="N80" s="40">
        <f t="shared" si="4"/>
        <v>0</v>
      </c>
      <c r="O80" s="70">
        <f t="shared" si="9"/>
        <v>6.249999999999999E-4</v>
      </c>
      <c r="P80" s="70">
        <f t="shared" si="1"/>
        <v>2.4999999999999998E-2</v>
      </c>
    </row>
    <row r="81" spans="2:16" ht="30" outlineLevel="2" x14ac:dyDescent="0.25">
      <c r="B81" s="8" t="s">
        <v>115</v>
      </c>
      <c r="C81" s="10" t="s">
        <v>175</v>
      </c>
      <c r="D81" s="55" t="s">
        <v>114</v>
      </c>
      <c r="E81" s="37">
        <v>0.2</v>
      </c>
      <c r="F81" s="38">
        <f t="shared" si="112"/>
        <v>0.30000000000000004</v>
      </c>
      <c r="G81" s="39">
        <f t="shared" si="113"/>
        <v>0.4</v>
      </c>
      <c r="H81" s="40">
        <f t="shared" si="109"/>
        <v>0.30000000000000004</v>
      </c>
      <c r="I81" s="40">
        <f>J80</f>
        <v>14.270000000000001</v>
      </c>
      <c r="J81" s="40">
        <f>I81+H81</f>
        <v>14.570000000000002</v>
      </c>
      <c r="K81" s="40">
        <f t="shared" si="115"/>
        <v>14.570000000000004</v>
      </c>
      <c r="L81" s="40">
        <f>K81-H81</f>
        <v>14.270000000000003</v>
      </c>
      <c r="M81" s="40">
        <f>K81-J81</f>
        <v>0</v>
      </c>
      <c r="N81" s="40">
        <f>L81-I81</f>
        <v>0</v>
      </c>
      <c r="O81" s="70">
        <f>((G81-E81)/6)^2</f>
        <v>1.1111111111111111E-3</v>
      </c>
      <c r="P81" s="70">
        <f>SQRT(O81)</f>
        <v>3.3333333333333333E-2</v>
      </c>
    </row>
    <row r="82" spans="2:16" ht="45" outlineLevel="2" x14ac:dyDescent="0.25">
      <c r="B82" s="21" t="s">
        <v>116</v>
      </c>
      <c r="C82" s="22" t="s">
        <v>148</v>
      </c>
      <c r="D82" s="55" t="s">
        <v>115</v>
      </c>
      <c r="E82" s="37">
        <v>0.28000000000000003</v>
      </c>
      <c r="F82" s="38">
        <f t="shared" si="112"/>
        <v>0.42000000000000004</v>
      </c>
      <c r="G82" s="39">
        <f t="shared" si="113"/>
        <v>0.56000000000000005</v>
      </c>
      <c r="H82" s="40">
        <f t="shared" si="109"/>
        <v>0.4200000000000001</v>
      </c>
      <c r="I82" s="40">
        <f t="shared" ref="I82:I86" si="116">J81</f>
        <v>14.570000000000002</v>
      </c>
      <c r="J82" s="40">
        <f t="shared" ref="J82:J86" si="117">I82+H82</f>
        <v>14.990000000000002</v>
      </c>
      <c r="K82" s="40">
        <f t="shared" si="115"/>
        <v>14.990000000000004</v>
      </c>
      <c r="L82" s="40">
        <f t="shared" ref="L82:L86" si="118">K82-H82</f>
        <v>14.570000000000004</v>
      </c>
      <c r="M82" s="40">
        <f t="shared" ref="M82:M86" si="119">K82-J82</f>
        <v>0</v>
      </c>
      <c r="N82" s="40">
        <f t="shared" ref="N82:N86" si="120">L82-I82</f>
        <v>0</v>
      </c>
      <c r="O82" s="70">
        <f t="shared" ref="O82:O86" si="121">((G82-E82)/6)^2</f>
        <v>2.177777777777778E-3</v>
      </c>
      <c r="P82" s="70">
        <f t="shared" ref="P82:P86" si="122">SQRT(O82)</f>
        <v>4.6666666666666669E-2</v>
      </c>
    </row>
    <row r="83" spans="2:16" ht="30" outlineLevel="2" x14ac:dyDescent="0.25">
      <c r="B83" s="21" t="s">
        <v>190</v>
      </c>
      <c r="C83" s="22" t="s">
        <v>149</v>
      </c>
      <c r="D83" s="55" t="s">
        <v>116</v>
      </c>
      <c r="E83" s="37">
        <v>0.15</v>
      </c>
      <c r="F83" s="38">
        <f t="shared" si="112"/>
        <v>0.22499999999999998</v>
      </c>
      <c r="G83" s="39">
        <f t="shared" si="113"/>
        <v>0.3</v>
      </c>
      <c r="H83" s="40">
        <f t="shared" si="109"/>
        <v>0.22499999999999998</v>
      </c>
      <c r="I83" s="40">
        <f t="shared" si="116"/>
        <v>14.990000000000002</v>
      </c>
      <c r="J83" s="40">
        <f t="shared" si="117"/>
        <v>15.215000000000002</v>
      </c>
      <c r="K83" s="40">
        <f t="shared" si="115"/>
        <v>15.215000000000003</v>
      </c>
      <c r="L83" s="40">
        <f t="shared" si="118"/>
        <v>14.990000000000004</v>
      </c>
      <c r="M83" s="40">
        <f t="shared" si="119"/>
        <v>0</v>
      </c>
      <c r="N83" s="40">
        <f t="shared" si="120"/>
        <v>0</v>
      </c>
      <c r="O83" s="70">
        <f t="shared" si="121"/>
        <v>6.249999999999999E-4</v>
      </c>
      <c r="P83" s="70">
        <f t="shared" si="122"/>
        <v>2.4999999999999998E-2</v>
      </c>
    </row>
    <row r="84" spans="2:16" outlineLevel="2" x14ac:dyDescent="0.25">
      <c r="B84" s="21" t="s">
        <v>191</v>
      </c>
      <c r="C84" s="22" t="s">
        <v>20</v>
      </c>
      <c r="D84" s="55" t="s">
        <v>190</v>
      </c>
      <c r="E84" s="37">
        <v>0.12</v>
      </c>
      <c r="F84" s="38">
        <f t="shared" si="112"/>
        <v>0.18</v>
      </c>
      <c r="G84" s="39">
        <f t="shared" si="113"/>
        <v>0.24</v>
      </c>
      <c r="H84" s="40">
        <f t="shared" si="109"/>
        <v>0.18000000000000002</v>
      </c>
      <c r="I84" s="40">
        <f t="shared" si="116"/>
        <v>15.215000000000002</v>
      </c>
      <c r="J84" s="40">
        <f t="shared" si="117"/>
        <v>15.395000000000001</v>
      </c>
      <c r="K84" s="40">
        <f t="shared" si="115"/>
        <v>15.395000000000003</v>
      </c>
      <c r="L84" s="40">
        <f t="shared" si="118"/>
        <v>15.215000000000003</v>
      </c>
      <c r="M84" s="40">
        <f t="shared" si="119"/>
        <v>0</v>
      </c>
      <c r="N84" s="40">
        <f t="shared" si="120"/>
        <v>0</v>
      </c>
      <c r="O84" s="70">
        <f t="shared" si="121"/>
        <v>4.0000000000000002E-4</v>
      </c>
      <c r="P84" s="70">
        <f t="shared" si="122"/>
        <v>0.02</v>
      </c>
    </row>
    <row r="85" spans="2:16" outlineLevel="2" x14ac:dyDescent="0.25">
      <c r="B85" s="21" t="s">
        <v>192</v>
      </c>
      <c r="C85" s="22" t="s">
        <v>150</v>
      </c>
      <c r="D85" s="55" t="s">
        <v>191</v>
      </c>
      <c r="E85" s="37">
        <v>0.03</v>
      </c>
      <c r="F85" s="38">
        <f t="shared" si="112"/>
        <v>4.4999999999999998E-2</v>
      </c>
      <c r="G85" s="39">
        <f t="shared" si="113"/>
        <v>0.06</v>
      </c>
      <c r="H85" s="40">
        <f t="shared" si="109"/>
        <v>4.5000000000000005E-2</v>
      </c>
      <c r="I85" s="40">
        <f t="shared" si="116"/>
        <v>15.395000000000001</v>
      </c>
      <c r="J85" s="40">
        <f t="shared" si="117"/>
        <v>15.440000000000001</v>
      </c>
      <c r="K85" s="40">
        <f t="shared" si="115"/>
        <v>15.440000000000003</v>
      </c>
      <c r="L85" s="40">
        <f t="shared" si="118"/>
        <v>15.395000000000003</v>
      </c>
      <c r="M85" s="40">
        <f t="shared" si="119"/>
        <v>0</v>
      </c>
      <c r="N85" s="40">
        <f t="shared" si="120"/>
        <v>0</v>
      </c>
      <c r="O85" s="70">
        <f t="shared" si="121"/>
        <v>2.5000000000000001E-5</v>
      </c>
      <c r="P85" s="70">
        <f t="shared" si="122"/>
        <v>5.0000000000000001E-3</v>
      </c>
    </row>
    <row r="86" spans="2:16" outlineLevel="2" x14ac:dyDescent="0.25">
      <c r="B86" s="21" t="s">
        <v>193</v>
      </c>
      <c r="C86" s="22" t="s">
        <v>151</v>
      </c>
      <c r="D86" s="55" t="s">
        <v>192</v>
      </c>
      <c r="E86" s="37">
        <v>0.04</v>
      </c>
      <c r="F86" s="38">
        <f t="shared" si="112"/>
        <v>0.06</v>
      </c>
      <c r="G86" s="39">
        <f t="shared" si="113"/>
        <v>0.08</v>
      </c>
      <c r="H86" s="40">
        <f t="shared" si="109"/>
        <v>0.06</v>
      </c>
      <c r="I86" s="40">
        <f t="shared" si="116"/>
        <v>15.440000000000001</v>
      </c>
      <c r="J86" s="40">
        <f t="shared" si="117"/>
        <v>15.500000000000002</v>
      </c>
      <c r="K86" s="40">
        <f>L88</f>
        <v>15.500000000000004</v>
      </c>
      <c r="L86" s="40">
        <f t="shared" si="118"/>
        <v>15.440000000000003</v>
      </c>
      <c r="M86" s="40">
        <f t="shared" si="119"/>
        <v>0</v>
      </c>
      <c r="N86" s="40">
        <f t="shared" si="120"/>
        <v>0</v>
      </c>
      <c r="O86" s="70">
        <f t="shared" si="121"/>
        <v>4.4444444444444453E-5</v>
      </c>
      <c r="P86" s="70">
        <f t="shared" si="122"/>
        <v>6.6666666666666671E-3</v>
      </c>
    </row>
    <row r="87" spans="2:16" outlineLevel="1" x14ac:dyDescent="0.25">
      <c r="B87" s="6" t="s">
        <v>47</v>
      </c>
      <c r="C87" s="23" t="s">
        <v>174</v>
      </c>
      <c r="D87" s="57" t="s">
        <v>46</v>
      </c>
      <c r="E87" s="34">
        <f>SUM(E88:E95)</f>
        <v>0.24</v>
      </c>
      <c r="F87" s="35">
        <f>SUM(F88:F95)</f>
        <v>0.35999999999999993</v>
      </c>
      <c r="G87" s="36">
        <f>SUM(G88:G95)</f>
        <v>0.48</v>
      </c>
      <c r="H87" s="36">
        <f>(E87+4*F87+G87)/6</f>
        <v>0.35999999999999993</v>
      </c>
      <c r="I87" s="36">
        <f>J77</f>
        <v>15.500000000000002</v>
      </c>
      <c r="J87" s="36">
        <f>I87+H87</f>
        <v>15.860000000000001</v>
      </c>
      <c r="K87" s="36">
        <f>L96</f>
        <v>15.860000000000003</v>
      </c>
      <c r="L87" s="36">
        <f>K87-H87</f>
        <v>15.500000000000004</v>
      </c>
      <c r="M87" s="36">
        <f t="shared" ref="M87:M90" si="123">K87-J87</f>
        <v>0</v>
      </c>
      <c r="N87" s="36">
        <f t="shared" ref="N87:N90" si="124">L87-I87</f>
        <v>0</v>
      </c>
      <c r="O87" s="69">
        <f>SUM(O88:O95)</f>
        <v>2.0000000000000004E-4</v>
      </c>
      <c r="P87" s="69">
        <f t="shared" ref="P87:P97" si="125">SQRT(O87)</f>
        <v>1.4142135623730952E-2</v>
      </c>
    </row>
    <row r="88" spans="2:16" outlineLevel="2" x14ac:dyDescent="0.25">
      <c r="B88" s="7" t="s">
        <v>194</v>
      </c>
      <c r="C88" s="9" t="s">
        <v>152</v>
      </c>
      <c r="D88" s="55" t="s">
        <v>193</v>
      </c>
      <c r="E88" s="37">
        <v>0.03</v>
      </c>
      <c r="F88" s="38">
        <f>E88*1.5</f>
        <v>4.4999999999999998E-2</v>
      </c>
      <c r="G88" s="39">
        <f>E88*2</f>
        <v>0.06</v>
      </c>
      <c r="H88" s="40">
        <f t="shared" si="109"/>
        <v>4.5000000000000005E-2</v>
      </c>
      <c r="I88" s="40">
        <f>J86</f>
        <v>15.500000000000002</v>
      </c>
      <c r="J88" s="40">
        <f t="shared" ref="J88:J90" si="126">I88+H88</f>
        <v>15.545000000000002</v>
      </c>
      <c r="K88" s="40">
        <f t="shared" ref="K88:K89" si="127">L89</f>
        <v>15.545000000000003</v>
      </c>
      <c r="L88" s="40">
        <f t="shared" ref="L88:L90" si="128">K88-H88</f>
        <v>15.500000000000004</v>
      </c>
      <c r="M88" s="40">
        <f t="shared" si="123"/>
        <v>0</v>
      </c>
      <c r="N88" s="40">
        <f t="shared" si="124"/>
        <v>0</v>
      </c>
      <c r="O88" s="70">
        <f t="shared" ref="O88:O90" si="129">((G88-E88)/6)^2</f>
        <v>2.5000000000000001E-5</v>
      </c>
      <c r="P88" s="70">
        <f t="shared" si="125"/>
        <v>5.0000000000000001E-3</v>
      </c>
    </row>
    <row r="89" spans="2:16" outlineLevel="2" x14ac:dyDescent="0.25">
      <c r="B89" s="8" t="s">
        <v>195</v>
      </c>
      <c r="C89" s="10" t="s">
        <v>153</v>
      </c>
      <c r="D89" s="55" t="s">
        <v>194</v>
      </c>
      <c r="E89" s="37">
        <v>0.03</v>
      </c>
      <c r="F89" s="38">
        <f t="shared" ref="F89:F95" si="130">E89*1.5</f>
        <v>4.4999999999999998E-2</v>
      </c>
      <c r="G89" s="39">
        <f t="shared" ref="G89:G95" si="131">E89*2</f>
        <v>0.06</v>
      </c>
      <c r="H89" s="40">
        <f t="shared" si="109"/>
        <v>4.5000000000000005E-2</v>
      </c>
      <c r="I89" s="40">
        <f>J88</f>
        <v>15.545000000000002</v>
      </c>
      <c r="J89" s="40">
        <f t="shared" si="126"/>
        <v>15.590000000000002</v>
      </c>
      <c r="K89" s="40">
        <f t="shared" si="127"/>
        <v>15.590000000000003</v>
      </c>
      <c r="L89" s="40">
        <f t="shared" si="128"/>
        <v>15.545000000000003</v>
      </c>
      <c r="M89" s="40">
        <f t="shared" si="123"/>
        <v>0</v>
      </c>
      <c r="N89" s="40">
        <f t="shared" si="124"/>
        <v>0</v>
      </c>
      <c r="O89" s="70">
        <f t="shared" si="129"/>
        <v>2.5000000000000001E-5</v>
      </c>
      <c r="P89" s="70">
        <f t="shared" si="125"/>
        <v>5.0000000000000001E-3</v>
      </c>
    </row>
    <row r="90" spans="2:16" outlineLevel="2" x14ac:dyDescent="0.25">
      <c r="B90" s="8" t="s">
        <v>196</v>
      </c>
      <c r="C90" s="10" t="s">
        <v>154</v>
      </c>
      <c r="D90" s="55" t="s">
        <v>195</v>
      </c>
      <c r="E90" s="37">
        <v>0.03</v>
      </c>
      <c r="F90" s="38">
        <f t="shared" si="130"/>
        <v>4.4999999999999998E-2</v>
      </c>
      <c r="G90" s="39">
        <f t="shared" si="131"/>
        <v>0.06</v>
      </c>
      <c r="H90" s="40">
        <f t="shared" si="109"/>
        <v>4.5000000000000005E-2</v>
      </c>
      <c r="I90" s="40">
        <f>J89</f>
        <v>15.590000000000002</v>
      </c>
      <c r="J90" s="40">
        <f t="shared" si="126"/>
        <v>15.635000000000002</v>
      </c>
      <c r="K90" s="40">
        <f t="shared" ref="K90:K96" si="132">L91</f>
        <v>15.635000000000003</v>
      </c>
      <c r="L90" s="40">
        <f t="shared" si="128"/>
        <v>15.590000000000003</v>
      </c>
      <c r="M90" s="40">
        <f t="shared" si="123"/>
        <v>0</v>
      </c>
      <c r="N90" s="40">
        <f t="shared" si="124"/>
        <v>0</v>
      </c>
      <c r="O90" s="70">
        <f t="shared" si="129"/>
        <v>2.5000000000000001E-5</v>
      </c>
      <c r="P90" s="70">
        <f t="shared" si="125"/>
        <v>5.0000000000000001E-3</v>
      </c>
    </row>
    <row r="91" spans="2:16" outlineLevel="2" x14ac:dyDescent="0.25">
      <c r="B91" s="8" t="s">
        <v>197</v>
      </c>
      <c r="C91" s="10" t="s">
        <v>155</v>
      </c>
      <c r="D91" s="55" t="s">
        <v>196</v>
      </c>
      <c r="E91" s="37">
        <v>0.03</v>
      </c>
      <c r="F91" s="38">
        <f t="shared" si="130"/>
        <v>4.4999999999999998E-2</v>
      </c>
      <c r="G91" s="39">
        <f t="shared" si="131"/>
        <v>0.06</v>
      </c>
      <c r="H91" s="40">
        <f t="shared" si="109"/>
        <v>4.5000000000000005E-2</v>
      </c>
      <c r="I91" s="40">
        <f>J90</f>
        <v>15.635000000000002</v>
      </c>
      <c r="J91" s="40">
        <f>I91+H91</f>
        <v>15.680000000000001</v>
      </c>
      <c r="K91" s="40">
        <f t="shared" si="132"/>
        <v>15.680000000000003</v>
      </c>
      <c r="L91" s="40">
        <f>K91-H91</f>
        <v>15.635000000000003</v>
      </c>
      <c r="M91" s="40">
        <f>K91-J91</f>
        <v>0</v>
      </c>
      <c r="N91" s="40">
        <f>L91-I91</f>
        <v>0</v>
      </c>
      <c r="O91" s="70">
        <f>((G91-E91)/6)^2</f>
        <v>2.5000000000000001E-5</v>
      </c>
      <c r="P91" s="70">
        <f>SQRT(O91)</f>
        <v>5.0000000000000001E-3</v>
      </c>
    </row>
    <row r="92" spans="2:16" outlineLevel="2" x14ac:dyDescent="0.25">
      <c r="B92" s="21" t="s">
        <v>198</v>
      </c>
      <c r="C92" s="22" t="s">
        <v>156</v>
      </c>
      <c r="D92" s="55" t="s">
        <v>197</v>
      </c>
      <c r="E92" s="37">
        <v>0.03</v>
      </c>
      <c r="F92" s="38">
        <f t="shared" si="130"/>
        <v>4.4999999999999998E-2</v>
      </c>
      <c r="G92" s="39">
        <f t="shared" si="131"/>
        <v>0.06</v>
      </c>
      <c r="H92" s="40">
        <f t="shared" si="109"/>
        <v>4.5000000000000005E-2</v>
      </c>
      <c r="I92" s="40">
        <f t="shared" ref="I92:I94" si="133">J91</f>
        <v>15.680000000000001</v>
      </c>
      <c r="J92" s="40">
        <f t="shared" ref="J92:J94" si="134">I92+H92</f>
        <v>15.725000000000001</v>
      </c>
      <c r="K92" s="40">
        <f t="shared" si="132"/>
        <v>15.725000000000003</v>
      </c>
      <c r="L92" s="40">
        <f t="shared" ref="L92:L94" si="135">K92-H92</f>
        <v>15.680000000000003</v>
      </c>
      <c r="M92" s="40">
        <f t="shared" ref="M92:M95" si="136">K92-J92</f>
        <v>0</v>
      </c>
      <c r="N92" s="40">
        <f t="shared" ref="N92:N94" si="137">L92-I92</f>
        <v>0</v>
      </c>
      <c r="O92" s="70">
        <f t="shared" ref="O92:O95" si="138">((G92-E92)/6)^2</f>
        <v>2.5000000000000001E-5</v>
      </c>
      <c r="P92" s="70">
        <f t="shared" ref="P92:P95" si="139">SQRT(O92)</f>
        <v>5.0000000000000001E-3</v>
      </c>
    </row>
    <row r="93" spans="2:16" outlineLevel="2" x14ac:dyDescent="0.25">
      <c r="B93" s="21" t="s">
        <v>199</v>
      </c>
      <c r="C93" s="22" t="s">
        <v>157</v>
      </c>
      <c r="D93" s="55" t="s">
        <v>198</v>
      </c>
      <c r="E93" s="37">
        <v>0.03</v>
      </c>
      <c r="F93" s="38">
        <f t="shared" si="130"/>
        <v>4.4999999999999998E-2</v>
      </c>
      <c r="G93" s="39">
        <f t="shared" si="131"/>
        <v>0.06</v>
      </c>
      <c r="H93" s="40">
        <f t="shared" si="109"/>
        <v>4.5000000000000005E-2</v>
      </c>
      <c r="I93" s="40">
        <f t="shared" si="133"/>
        <v>15.725000000000001</v>
      </c>
      <c r="J93" s="40">
        <f t="shared" si="134"/>
        <v>15.770000000000001</v>
      </c>
      <c r="K93" s="40">
        <f t="shared" si="132"/>
        <v>15.770000000000003</v>
      </c>
      <c r="L93" s="40">
        <f t="shared" si="135"/>
        <v>15.725000000000003</v>
      </c>
      <c r="M93" s="40">
        <f t="shared" si="136"/>
        <v>0</v>
      </c>
      <c r="N93" s="40">
        <f t="shared" si="137"/>
        <v>0</v>
      </c>
      <c r="O93" s="70">
        <f t="shared" si="138"/>
        <v>2.5000000000000001E-5</v>
      </c>
      <c r="P93" s="70">
        <f t="shared" si="139"/>
        <v>5.0000000000000001E-3</v>
      </c>
    </row>
    <row r="94" spans="2:16" outlineLevel="2" x14ac:dyDescent="0.25">
      <c r="B94" s="21" t="s">
        <v>200</v>
      </c>
      <c r="C94" s="22" t="s">
        <v>158</v>
      </c>
      <c r="D94" s="55" t="s">
        <v>199</v>
      </c>
      <c r="E94" s="37">
        <v>0.03</v>
      </c>
      <c r="F94" s="38">
        <f t="shared" si="130"/>
        <v>4.4999999999999998E-2</v>
      </c>
      <c r="G94" s="39">
        <f t="shared" si="131"/>
        <v>0.06</v>
      </c>
      <c r="H94" s="40">
        <f t="shared" si="109"/>
        <v>4.5000000000000005E-2</v>
      </c>
      <c r="I94" s="40">
        <f t="shared" si="133"/>
        <v>15.770000000000001</v>
      </c>
      <c r="J94" s="40">
        <f t="shared" si="134"/>
        <v>15.815000000000001</v>
      </c>
      <c r="K94" s="40">
        <f t="shared" si="132"/>
        <v>15.815000000000003</v>
      </c>
      <c r="L94" s="40">
        <f t="shared" si="135"/>
        <v>15.770000000000003</v>
      </c>
      <c r="M94" s="40">
        <f t="shared" si="136"/>
        <v>0</v>
      </c>
      <c r="N94" s="40">
        <f t="shared" si="137"/>
        <v>0</v>
      </c>
      <c r="O94" s="70">
        <f t="shared" si="138"/>
        <v>2.5000000000000001E-5</v>
      </c>
      <c r="P94" s="70">
        <f t="shared" si="139"/>
        <v>5.0000000000000001E-3</v>
      </c>
    </row>
    <row r="95" spans="2:16" outlineLevel="2" x14ac:dyDescent="0.25">
      <c r="B95" s="21" t="s">
        <v>201</v>
      </c>
      <c r="C95" s="22" t="s">
        <v>159</v>
      </c>
      <c r="D95" s="55" t="s">
        <v>200</v>
      </c>
      <c r="E95" s="37">
        <v>0.03</v>
      </c>
      <c r="F95" s="38">
        <f t="shared" si="130"/>
        <v>4.4999999999999998E-2</v>
      </c>
      <c r="G95" s="39">
        <f t="shared" si="131"/>
        <v>0.06</v>
      </c>
      <c r="H95" s="40">
        <f t="shared" si="109"/>
        <v>4.5000000000000005E-2</v>
      </c>
      <c r="I95" s="40">
        <f>J94</f>
        <v>15.815000000000001</v>
      </c>
      <c r="J95" s="40">
        <f>I95+H95</f>
        <v>15.860000000000001</v>
      </c>
      <c r="K95" s="40">
        <f t="shared" si="132"/>
        <v>15.860000000000003</v>
      </c>
      <c r="L95" s="40">
        <f>K95-H95</f>
        <v>15.815000000000003</v>
      </c>
      <c r="M95" s="40">
        <f t="shared" si="136"/>
        <v>0</v>
      </c>
      <c r="N95" s="40">
        <f>L95-I95</f>
        <v>0</v>
      </c>
      <c r="O95" s="70">
        <f t="shared" si="138"/>
        <v>2.5000000000000001E-5</v>
      </c>
      <c r="P95" s="70">
        <f t="shared" si="139"/>
        <v>5.0000000000000001E-3</v>
      </c>
    </row>
    <row r="96" spans="2:16" outlineLevel="1" x14ac:dyDescent="0.25">
      <c r="B96" s="6" t="s">
        <v>48</v>
      </c>
      <c r="C96" s="23" t="s">
        <v>62</v>
      </c>
      <c r="D96" s="57" t="s">
        <v>47</v>
      </c>
      <c r="E96" s="34">
        <v>0.43</v>
      </c>
      <c r="F96" s="35">
        <f>E96*1.5</f>
        <v>0.64500000000000002</v>
      </c>
      <c r="G96" s="36">
        <f>E96*2</f>
        <v>0.86</v>
      </c>
      <c r="H96" s="36">
        <f t="shared" si="109"/>
        <v>0.64500000000000002</v>
      </c>
      <c r="I96" s="36">
        <f>J87</f>
        <v>15.860000000000001</v>
      </c>
      <c r="J96" s="36">
        <f>I96+H96</f>
        <v>16.505000000000003</v>
      </c>
      <c r="K96" s="36">
        <f t="shared" si="132"/>
        <v>16.505000000000003</v>
      </c>
      <c r="L96" s="36">
        <f>K96-H96</f>
        <v>15.860000000000003</v>
      </c>
      <c r="M96" s="36">
        <f t="shared" ref="M96:M97" si="140">K96-J96</f>
        <v>0</v>
      </c>
      <c r="N96" s="36">
        <f t="shared" ref="N96:N97" si="141">L96-I96</f>
        <v>0</v>
      </c>
      <c r="O96" s="69">
        <f>((G96-E96)/6)^2</f>
        <v>5.1361111111111113E-3</v>
      </c>
      <c r="P96" s="69">
        <f t="shared" si="125"/>
        <v>7.166666666666667E-2</v>
      </c>
    </row>
    <row r="97" spans="2:16" outlineLevel="1" x14ac:dyDescent="0.25">
      <c r="B97" s="18" t="s">
        <v>203</v>
      </c>
      <c r="C97" s="19" t="s">
        <v>61</v>
      </c>
      <c r="D97" s="54" t="s">
        <v>48</v>
      </c>
      <c r="E97" s="49">
        <v>0.33</v>
      </c>
      <c r="F97" s="50">
        <f>E97*1.5</f>
        <v>0.495</v>
      </c>
      <c r="G97" s="51">
        <f>E97*2</f>
        <v>0.66</v>
      </c>
      <c r="H97" s="36">
        <f t="shared" si="109"/>
        <v>0.49500000000000005</v>
      </c>
      <c r="I97" s="36">
        <f>J96</f>
        <v>16.505000000000003</v>
      </c>
      <c r="J97" s="36">
        <f>I97+H97</f>
        <v>17.000000000000004</v>
      </c>
      <c r="K97" s="36">
        <f>J97</f>
        <v>17.000000000000004</v>
      </c>
      <c r="L97" s="36">
        <f>K97-H97</f>
        <v>16.505000000000003</v>
      </c>
      <c r="M97" s="36">
        <f t="shared" si="140"/>
        <v>0</v>
      </c>
      <c r="N97" s="36">
        <f t="shared" si="141"/>
        <v>0</v>
      </c>
      <c r="O97" s="69">
        <f>((G97-E97)/6)^2</f>
        <v>3.0249999999999999E-3</v>
      </c>
      <c r="P97" s="69">
        <f t="shared" si="125"/>
        <v>5.5E-2</v>
      </c>
    </row>
  </sheetData>
  <mergeCells count="11">
    <mergeCell ref="I4:J4"/>
    <mergeCell ref="B4:B5"/>
    <mergeCell ref="C4:C5"/>
    <mergeCell ref="D4:D5"/>
    <mergeCell ref="E4:G4"/>
    <mergeCell ref="H4:H5"/>
    <mergeCell ref="K4:L4"/>
    <mergeCell ref="M4:N4"/>
    <mergeCell ref="O4:O5"/>
    <mergeCell ref="P4:P5"/>
    <mergeCell ref="Q4:Q5"/>
  </mergeCells>
  <pageMargins left="0.70866141732283472" right="0.70866141732283472" top="0.74803149606299213" bottom="0.74803149606299213" header="0.31496062992125984" footer="0.31496062992125984"/>
  <pageSetup scale="4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PERT-диаграмма_итог проекта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Инна Понаровская</dc:creator>
  <cp:lastModifiedBy>Инна Понаровская</cp:lastModifiedBy>
  <dcterms:created xsi:type="dcterms:W3CDTF">2025-11-27T04:42:32Z</dcterms:created>
  <dcterms:modified xsi:type="dcterms:W3CDTF">2026-05-08T22:45:38Z</dcterms:modified>
</cp:coreProperties>
</file>