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147\Git\Fuzzy-Agile-Development\Приложение D_PERT-диаграммы проекта\"/>
    </mc:Choice>
  </mc:AlternateContent>
  <xr:revisionPtr revIDLastSave="0" documentId="13_ncr:1_{1BFDA212-5E80-4C7D-8A5F-8485EF2E753C}" xr6:coauthVersionLast="47" xr6:coauthVersionMax="47" xr10:uidLastSave="{00000000-0000-0000-0000-000000000000}"/>
  <bookViews>
    <workbookView xWindow="-120" yWindow="-120" windowWidth="20730" windowHeight="11040" xr2:uid="{D0855B5F-E46D-45F1-85BE-68D29B5C9880}"/>
  </bookViews>
  <sheets>
    <sheet name="PERT-диаграмма_начало проекта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" i="1" l="1"/>
  <c r="Q7" i="1"/>
  <c r="P71" i="1"/>
  <c r="P72" i="1"/>
  <c r="O74" i="1"/>
  <c r="P74" i="1" s="1"/>
  <c r="O73" i="1"/>
  <c r="P73" i="1" s="1"/>
  <c r="O47" i="1"/>
  <c r="P47" i="1" s="1"/>
  <c r="O10" i="1"/>
  <c r="P10" i="1" s="1"/>
  <c r="P11" i="1"/>
  <c r="O12" i="1"/>
  <c r="P12" i="1" s="1"/>
  <c r="O13" i="1"/>
  <c r="P13" i="1" s="1"/>
  <c r="O15" i="1"/>
  <c r="P15" i="1" s="1"/>
  <c r="O16" i="1"/>
  <c r="P16" i="1" s="1"/>
  <c r="O17" i="1"/>
  <c r="P17" i="1" s="1"/>
  <c r="O18" i="1"/>
  <c r="P18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56" i="1"/>
  <c r="P56" i="1" s="1"/>
  <c r="O57" i="1"/>
  <c r="P57" i="1" s="1"/>
  <c r="O58" i="1"/>
  <c r="P58" i="1" s="1"/>
  <c r="O59" i="1"/>
  <c r="P59" i="1" s="1"/>
  <c r="O60" i="1"/>
  <c r="P60" i="1" s="1"/>
  <c r="O62" i="1"/>
  <c r="P62" i="1" s="1"/>
  <c r="O63" i="1"/>
  <c r="P63" i="1" s="1"/>
  <c r="O64" i="1"/>
  <c r="P64" i="1" s="1"/>
  <c r="O65" i="1"/>
  <c r="P65" i="1" s="1"/>
  <c r="O68" i="1"/>
  <c r="P68" i="1" s="1"/>
  <c r="O69" i="1"/>
  <c r="P69" i="1" s="1"/>
  <c r="O70" i="1"/>
  <c r="P70" i="1" s="1"/>
  <c r="O71" i="1"/>
  <c r="O72" i="1"/>
  <c r="I7" i="1"/>
  <c r="G53" i="1"/>
  <c r="O53" i="1" s="1"/>
  <c r="P53" i="1" s="1"/>
  <c r="G52" i="1"/>
  <c r="O52" i="1" s="1"/>
  <c r="F53" i="1"/>
  <c r="F52" i="1"/>
  <c r="G50" i="1"/>
  <c r="O50" i="1" s="1"/>
  <c r="P50" i="1" s="1"/>
  <c r="G49" i="1"/>
  <c r="O49" i="1" s="1"/>
  <c r="F50" i="1"/>
  <c r="F49" i="1"/>
  <c r="G43" i="1"/>
  <c r="O43" i="1" s="1"/>
  <c r="P43" i="1" s="1"/>
  <c r="G44" i="1"/>
  <c r="O44" i="1" s="1"/>
  <c r="P44" i="1" s="1"/>
  <c r="G45" i="1"/>
  <c r="O45" i="1" s="1"/>
  <c r="P45" i="1" s="1"/>
  <c r="G42" i="1"/>
  <c r="O42" i="1" s="1"/>
  <c r="P42" i="1" s="1"/>
  <c r="F43" i="1"/>
  <c r="H43" i="1" s="1"/>
  <c r="F44" i="1"/>
  <c r="H44" i="1" s="1"/>
  <c r="F45" i="1"/>
  <c r="H45" i="1" s="1"/>
  <c r="F42" i="1"/>
  <c r="F39" i="1"/>
  <c r="F40" i="1"/>
  <c r="G40" i="1" s="1"/>
  <c r="H40" i="1" s="1"/>
  <c r="F38" i="1"/>
  <c r="G38" i="1" s="1"/>
  <c r="H38" i="1" s="1"/>
  <c r="G35" i="1"/>
  <c r="O35" i="1" s="1"/>
  <c r="P35" i="1" s="1"/>
  <c r="G36" i="1"/>
  <c r="O36" i="1" s="1"/>
  <c r="P36" i="1" s="1"/>
  <c r="G34" i="1"/>
  <c r="O34" i="1" s="1"/>
  <c r="P34" i="1" s="1"/>
  <c r="F35" i="1"/>
  <c r="F36" i="1"/>
  <c r="F34" i="1"/>
  <c r="F29" i="1"/>
  <c r="G29" i="1" s="1"/>
  <c r="H29" i="1" s="1"/>
  <c r="F30" i="1"/>
  <c r="G30" i="1" s="1"/>
  <c r="H30" i="1" s="1"/>
  <c r="F31" i="1"/>
  <c r="F32" i="1"/>
  <c r="G32" i="1" s="1"/>
  <c r="O32" i="1" s="1"/>
  <c r="P32" i="1" s="1"/>
  <c r="F28" i="1"/>
  <c r="G28" i="1" s="1"/>
  <c r="H28" i="1" s="1"/>
  <c r="H72" i="1"/>
  <c r="H71" i="1"/>
  <c r="H70" i="1"/>
  <c r="H69" i="1"/>
  <c r="H68" i="1"/>
  <c r="H65" i="1"/>
  <c r="H64" i="1"/>
  <c r="H63" i="1"/>
  <c r="H62" i="1"/>
  <c r="H59" i="1"/>
  <c r="H58" i="1"/>
  <c r="H57" i="1"/>
  <c r="H56" i="1"/>
  <c r="H25" i="1"/>
  <c r="H24" i="1"/>
  <c r="H23" i="1"/>
  <c r="H22" i="1"/>
  <c r="H21" i="1"/>
  <c r="H20" i="1"/>
  <c r="H18" i="1"/>
  <c r="H17" i="1"/>
  <c r="H16" i="1"/>
  <c r="H15" i="1"/>
  <c r="H11" i="1"/>
  <c r="H12" i="1"/>
  <c r="H13" i="1"/>
  <c r="H10" i="1"/>
  <c r="J10" i="1" s="1"/>
  <c r="I11" i="1" s="1"/>
  <c r="H74" i="1"/>
  <c r="H73" i="1"/>
  <c r="H60" i="1"/>
  <c r="H47" i="1"/>
  <c r="G67" i="1"/>
  <c r="G66" i="1" s="1"/>
  <c r="F67" i="1"/>
  <c r="F66" i="1" s="1"/>
  <c r="E67" i="1"/>
  <c r="E66" i="1" s="1"/>
  <c r="G61" i="1"/>
  <c r="F61" i="1"/>
  <c r="E61" i="1"/>
  <c r="G55" i="1"/>
  <c r="F55" i="1"/>
  <c r="E55" i="1"/>
  <c r="E51" i="1"/>
  <c r="E48" i="1"/>
  <c r="E41" i="1"/>
  <c r="E37" i="1"/>
  <c r="E33" i="1"/>
  <c r="E27" i="1"/>
  <c r="G19" i="1"/>
  <c r="F19" i="1"/>
  <c r="E19" i="1"/>
  <c r="E14" i="1"/>
  <c r="G14" i="1"/>
  <c r="F14" i="1"/>
  <c r="F9" i="1"/>
  <c r="G9" i="1"/>
  <c r="E9" i="1"/>
  <c r="O48" i="1" l="1"/>
  <c r="P48" i="1" s="1"/>
  <c r="O51" i="1"/>
  <c r="P51" i="1" s="1"/>
  <c r="P49" i="1"/>
  <c r="P52" i="1"/>
  <c r="O61" i="1"/>
  <c r="P61" i="1" s="1"/>
  <c r="O33" i="1"/>
  <c r="P33" i="1" s="1"/>
  <c r="O55" i="1"/>
  <c r="O67" i="1"/>
  <c r="O14" i="1"/>
  <c r="P14" i="1" s="1"/>
  <c r="O9" i="1"/>
  <c r="P9" i="1" s="1"/>
  <c r="O41" i="1"/>
  <c r="P41" i="1" s="1"/>
  <c r="O19" i="1"/>
  <c r="O38" i="1"/>
  <c r="P38" i="1" s="1"/>
  <c r="O30" i="1"/>
  <c r="P30" i="1" s="1"/>
  <c r="O29" i="1"/>
  <c r="P29" i="1" s="1"/>
  <c r="O40" i="1"/>
  <c r="P40" i="1" s="1"/>
  <c r="O28" i="1"/>
  <c r="P28" i="1" s="1"/>
  <c r="J11" i="1"/>
  <c r="I12" i="1" s="1"/>
  <c r="J12" i="1" s="1"/>
  <c r="I13" i="1" s="1"/>
  <c r="J13" i="1" s="1"/>
  <c r="I15" i="1" s="1"/>
  <c r="J15" i="1" s="1"/>
  <c r="I16" i="1" s="1"/>
  <c r="J16" i="1" s="1"/>
  <c r="I17" i="1" s="1"/>
  <c r="J17" i="1" s="1"/>
  <c r="I18" i="1" s="1"/>
  <c r="J18" i="1" s="1"/>
  <c r="I20" i="1" s="1"/>
  <c r="J20" i="1" s="1"/>
  <c r="I21" i="1" s="1"/>
  <c r="J21" i="1" s="1"/>
  <c r="I22" i="1" s="1"/>
  <c r="J22" i="1" s="1"/>
  <c r="I23" i="1" s="1"/>
  <c r="J23" i="1" s="1"/>
  <c r="I24" i="1" s="1"/>
  <c r="J24" i="1" s="1"/>
  <c r="I25" i="1" s="1"/>
  <c r="J25" i="1" s="1"/>
  <c r="I28" i="1" s="1"/>
  <c r="J28" i="1" s="1"/>
  <c r="I29" i="1" s="1"/>
  <c r="J29" i="1" s="1"/>
  <c r="I30" i="1" s="1"/>
  <c r="J30" i="1" s="1"/>
  <c r="I31" i="1" s="1"/>
  <c r="G51" i="1"/>
  <c r="H35" i="1"/>
  <c r="F48" i="1"/>
  <c r="H52" i="1"/>
  <c r="G48" i="1"/>
  <c r="G41" i="1"/>
  <c r="H50" i="1"/>
  <c r="H53" i="1"/>
  <c r="H42" i="1"/>
  <c r="H49" i="1"/>
  <c r="F41" i="1"/>
  <c r="H34" i="1"/>
  <c r="H36" i="1"/>
  <c r="G33" i="1"/>
  <c r="G31" i="1"/>
  <c r="F33" i="1"/>
  <c r="F51" i="1"/>
  <c r="F37" i="1"/>
  <c r="G39" i="1"/>
  <c r="E46" i="1"/>
  <c r="H32" i="1"/>
  <c r="F27" i="1"/>
  <c r="G8" i="1"/>
  <c r="E54" i="1"/>
  <c r="F54" i="1"/>
  <c r="H19" i="1"/>
  <c r="H55" i="1"/>
  <c r="H9" i="1"/>
  <c r="J9" i="1" s="1"/>
  <c r="I14" i="1" s="1"/>
  <c r="H61" i="1"/>
  <c r="H14" i="1"/>
  <c r="G54" i="1"/>
  <c r="H67" i="1"/>
  <c r="E26" i="1"/>
  <c r="F8" i="1"/>
  <c r="H66" i="1"/>
  <c r="E8" i="1"/>
  <c r="O8" i="1" l="1"/>
  <c r="P8" i="1" s="1"/>
  <c r="P19" i="1"/>
  <c r="O66" i="1"/>
  <c r="P66" i="1" s="1"/>
  <c r="P67" i="1"/>
  <c r="O54" i="1"/>
  <c r="P54" i="1" s="1"/>
  <c r="P55" i="1"/>
  <c r="G46" i="1"/>
  <c r="O46" i="1"/>
  <c r="P46" i="1" s="1"/>
  <c r="H39" i="1"/>
  <c r="O39" i="1"/>
  <c r="H31" i="1"/>
  <c r="J31" i="1" s="1"/>
  <c r="I32" i="1" s="1"/>
  <c r="J32" i="1" s="1"/>
  <c r="I34" i="1" s="1"/>
  <c r="J34" i="1" s="1"/>
  <c r="I35" i="1" s="1"/>
  <c r="J35" i="1" s="1"/>
  <c r="I36" i="1" s="1"/>
  <c r="J36" i="1" s="1"/>
  <c r="I38" i="1" s="1"/>
  <c r="J38" i="1" s="1"/>
  <c r="I39" i="1" s="1"/>
  <c r="O31" i="1"/>
  <c r="J14" i="1"/>
  <c r="I19" i="1" s="1"/>
  <c r="J19" i="1" s="1"/>
  <c r="I27" i="1" s="1"/>
  <c r="H41" i="1"/>
  <c r="H48" i="1"/>
  <c r="F46" i="1"/>
  <c r="H51" i="1"/>
  <c r="H33" i="1"/>
  <c r="G27" i="1"/>
  <c r="G37" i="1"/>
  <c r="F26" i="1"/>
  <c r="H54" i="1"/>
  <c r="H8" i="1"/>
  <c r="J8" i="1" s="1"/>
  <c r="I26" i="1" s="1"/>
  <c r="E7" i="1"/>
  <c r="O27" i="1" l="1"/>
  <c r="P27" i="1" s="1"/>
  <c r="P31" i="1"/>
  <c r="O37" i="1"/>
  <c r="P37" i="1" s="1"/>
  <c r="P39" i="1"/>
  <c r="H46" i="1"/>
  <c r="J39" i="1"/>
  <c r="I40" i="1" s="1"/>
  <c r="J40" i="1" s="1"/>
  <c r="I42" i="1" s="1"/>
  <c r="J42" i="1" s="1"/>
  <c r="I43" i="1" s="1"/>
  <c r="J43" i="1" s="1"/>
  <c r="I44" i="1" s="1"/>
  <c r="J44" i="1" s="1"/>
  <c r="I45" i="1" s="1"/>
  <c r="J45" i="1" s="1"/>
  <c r="H27" i="1"/>
  <c r="J27" i="1" s="1"/>
  <c r="I33" i="1" s="1"/>
  <c r="J33" i="1" s="1"/>
  <c r="I37" i="1" s="1"/>
  <c r="F7" i="1"/>
  <c r="G26" i="1"/>
  <c r="H37" i="1"/>
  <c r="O26" i="1" l="1"/>
  <c r="O7" i="1" s="1"/>
  <c r="P7" i="1" s="1"/>
  <c r="J37" i="1"/>
  <c r="I41" i="1" s="1"/>
  <c r="J41" i="1" s="1"/>
  <c r="I47" i="1" s="1"/>
  <c r="J47" i="1" s="1"/>
  <c r="G7" i="1"/>
  <c r="H26" i="1"/>
  <c r="J26" i="1" s="1"/>
  <c r="I46" i="1" s="1"/>
  <c r="J46" i="1" s="1"/>
  <c r="I54" i="1" s="1"/>
  <c r="J54" i="1" s="1"/>
  <c r="I66" i="1" s="1"/>
  <c r="J66" i="1" s="1"/>
  <c r="K66" i="1" s="1"/>
  <c r="M66" i="1" s="1"/>
  <c r="P26" i="1" l="1"/>
  <c r="H7" i="1"/>
  <c r="J7" i="1" s="1"/>
  <c r="K7" i="1"/>
  <c r="L66" i="1"/>
  <c r="I48" i="1"/>
  <c r="J48" i="1" s="1"/>
  <c r="I51" i="1" s="1"/>
  <c r="J51" i="1" s="1"/>
  <c r="I55" i="1" s="1"/>
  <c r="J55" i="1" s="1"/>
  <c r="I60" i="1" s="1"/>
  <c r="J60" i="1" s="1"/>
  <c r="I49" i="1"/>
  <c r="J49" i="1" s="1"/>
  <c r="I50" i="1" s="1"/>
  <c r="J50" i="1" s="1"/>
  <c r="I52" i="1" s="1"/>
  <c r="J52" i="1" s="1"/>
  <c r="I53" i="1" s="1"/>
  <c r="J53" i="1" s="1"/>
  <c r="I56" i="1" s="1"/>
  <c r="J56" i="1" s="1"/>
  <c r="K54" i="1" l="1"/>
  <c r="N66" i="1"/>
  <c r="L7" i="1"/>
  <c r="N7" i="1" s="1"/>
  <c r="M7" i="1"/>
  <c r="I57" i="1"/>
  <c r="J57" i="1" s="1"/>
  <c r="I61" i="1"/>
  <c r="J61" i="1" s="1"/>
  <c r="I67" i="1" s="1"/>
  <c r="J67" i="1" s="1"/>
  <c r="I73" i="1" s="1"/>
  <c r="J73" i="1" s="1"/>
  <c r="I74" i="1" s="1"/>
  <c r="J74" i="1" s="1"/>
  <c r="K74" i="1" s="1"/>
  <c r="I62" i="1"/>
  <c r="J62" i="1" s="1"/>
  <c r="I63" i="1" s="1"/>
  <c r="J63" i="1" s="1"/>
  <c r="I64" i="1" s="1"/>
  <c r="J64" i="1" s="1"/>
  <c r="I65" i="1" s="1"/>
  <c r="J65" i="1" s="1"/>
  <c r="I68" i="1" s="1"/>
  <c r="J68" i="1" s="1"/>
  <c r="I69" i="1" s="1"/>
  <c r="J69" i="1" s="1"/>
  <c r="I70" i="1" s="1"/>
  <c r="J70" i="1" s="1"/>
  <c r="I71" i="1" s="1"/>
  <c r="J71" i="1" s="1"/>
  <c r="I72" i="1" s="1"/>
  <c r="J72" i="1" s="1"/>
  <c r="L74" i="1" l="1"/>
  <c r="M74" i="1"/>
  <c r="L54" i="1"/>
  <c r="M54" i="1"/>
  <c r="I58" i="1"/>
  <c r="J58" i="1" s="1"/>
  <c r="I59" i="1" s="1"/>
  <c r="J59" i="1" s="1"/>
  <c r="K73" i="1" l="1"/>
  <c r="N74" i="1"/>
  <c r="K46" i="1"/>
  <c r="N54" i="1"/>
  <c r="L73" i="1" l="1"/>
  <c r="M73" i="1"/>
  <c r="L46" i="1"/>
  <c r="M46" i="1"/>
  <c r="K26" i="1" l="1"/>
  <c r="N46" i="1"/>
  <c r="K67" i="1"/>
  <c r="K72" i="1"/>
  <c r="N73" i="1"/>
  <c r="M72" i="1" l="1"/>
  <c r="L72" i="1"/>
  <c r="L67" i="1"/>
  <c r="M67" i="1"/>
  <c r="L26" i="1"/>
  <c r="M26" i="1"/>
  <c r="N72" i="1" l="1"/>
  <c r="K71" i="1"/>
  <c r="K8" i="1"/>
  <c r="N26" i="1"/>
  <c r="K61" i="1"/>
  <c r="N67" i="1"/>
  <c r="L61" i="1" l="1"/>
  <c r="M61" i="1"/>
  <c r="L8" i="1"/>
  <c r="N8" i="1" s="1"/>
  <c r="M8" i="1"/>
  <c r="M71" i="1"/>
  <c r="L71" i="1"/>
  <c r="K70" i="1" l="1"/>
  <c r="N71" i="1"/>
  <c r="K60" i="1"/>
  <c r="N61" i="1"/>
  <c r="L60" i="1" l="1"/>
  <c r="M60" i="1"/>
  <c r="L70" i="1"/>
  <c r="M70" i="1"/>
  <c r="K69" i="1" l="1"/>
  <c r="N70" i="1"/>
  <c r="K55" i="1"/>
  <c r="N60" i="1"/>
  <c r="K59" i="1"/>
  <c r="M59" i="1" l="1"/>
  <c r="L59" i="1"/>
  <c r="L69" i="1"/>
  <c r="M69" i="1"/>
  <c r="L55" i="1"/>
  <c r="M55" i="1"/>
  <c r="K51" i="1" l="1"/>
  <c r="N55" i="1"/>
  <c r="K68" i="1"/>
  <c r="N69" i="1"/>
  <c r="N59" i="1"/>
  <c r="K58" i="1"/>
  <c r="L58" i="1" l="1"/>
  <c r="M58" i="1"/>
  <c r="L68" i="1"/>
  <c r="M68" i="1"/>
  <c r="L51" i="1"/>
  <c r="M51" i="1"/>
  <c r="K48" i="1" l="1"/>
  <c r="N51" i="1"/>
  <c r="K57" i="1"/>
  <c r="N58" i="1"/>
  <c r="K65" i="1"/>
  <c r="N68" i="1"/>
  <c r="L65" i="1" l="1"/>
  <c r="M65" i="1"/>
  <c r="L57" i="1"/>
  <c r="M57" i="1"/>
  <c r="L48" i="1"/>
  <c r="M48" i="1"/>
  <c r="K56" i="1" l="1"/>
  <c r="N57" i="1"/>
  <c r="K47" i="1"/>
  <c r="N48" i="1"/>
  <c r="K64" i="1"/>
  <c r="N65" i="1"/>
  <c r="L64" i="1" l="1"/>
  <c r="M64" i="1"/>
  <c r="L56" i="1"/>
  <c r="M56" i="1"/>
  <c r="L47" i="1"/>
  <c r="M47" i="1"/>
  <c r="K41" i="1" l="1"/>
  <c r="K45" i="1"/>
  <c r="N47" i="1"/>
  <c r="K63" i="1"/>
  <c r="N64" i="1"/>
  <c r="K53" i="1"/>
  <c r="N56" i="1"/>
  <c r="L53" i="1" l="1"/>
  <c r="M53" i="1"/>
  <c r="L45" i="1"/>
  <c r="M45" i="1"/>
  <c r="L41" i="1"/>
  <c r="M41" i="1"/>
  <c r="L63" i="1"/>
  <c r="M63" i="1"/>
  <c r="K62" i="1" l="1"/>
  <c r="N63" i="1"/>
  <c r="N45" i="1"/>
  <c r="K44" i="1"/>
  <c r="K37" i="1"/>
  <c r="N41" i="1"/>
  <c r="N53" i="1"/>
  <c r="K52" i="1"/>
  <c r="M52" i="1" l="1"/>
  <c r="L52" i="1"/>
  <c r="M44" i="1"/>
  <c r="L44" i="1"/>
  <c r="L37" i="1"/>
  <c r="M37" i="1"/>
  <c r="L62" i="1"/>
  <c r="N62" i="1" s="1"/>
  <c r="M62" i="1"/>
  <c r="N44" i="1" l="1"/>
  <c r="K43" i="1"/>
  <c r="K50" i="1"/>
  <c r="N52" i="1"/>
  <c r="K33" i="1"/>
  <c r="N37" i="1"/>
  <c r="M50" i="1" l="1"/>
  <c r="L50" i="1"/>
  <c r="L43" i="1"/>
  <c r="M43" i="1"/>
  <c r="L33" i="1"/>
  <c r="M33" i="1"/>
  <c r="K42" i="1" l="1"/>
  <c r="N43" i="1"/>
  <c r="N50" i="1"/>
  <c r="K49" i="1"/>
  <c r="K27" i="1"/>
  <c r="N33" i="1"/>
  <c r="L49" i="1" l="1"/>
  <c r="N49" i="1" s="1"/>
  <c r="M49" i="1"/>
  <c r="L27" i="1"/>
  <c r="M27" i="1"/>
  <c r="L42" i="1"/>
  <c r="M42" i="1"/>
  <c r="K19" i="1" l="1"/>
  <c r="N27" i="1"/>
  <c r="N42" i="1"/>
  <c r="K40" i="1"/>
  <c r="L19" i="1" l="1"/>
  <c r="M19" i="1"/>
  <c r="M40" i="1"/>
  <c r="L40" i="1"/>
  <c r="N40" i="1" l="1"/>
  <c r="K39" i="1"/>
  <c r="K14" i="1"/>
  <c r="N19" i="1"/>
  <c r="L14" i="1" l="1"/>
  <c r="M14" i="1"/>
  <c r="L39" i="1"/>
  <c r="M39" i="1"/>
  <c r="K38" i="1" l="1"/>
  <c r="N39" i="1"/>
  <c r="K9" i="1"/>
  <c r="N14" i="1"/>
  <c r="L9" i="1" l="1"/>
  <c r="N9" i="1" s="1"/>
  <c r="M9" i="1"/>
  <c r="M38" i="1"/>
  <c r="L38" i="1"/>
  <c r="K36" i="1" l="1"/>
  <c r="N38" i="1"/>
  <c r="M36" i="1" l="1"/>
  <c r="L36" i="1"/>
  <c r="N36" i="1" l="1"/>
  <c r="K35" i="1"/>
  <c r="L35" i="1" l="1"/>
  <c r="M35" i="1"/>
  <c r="K34" i="1" l="1"/>
  <c r="N35" i="1"/>
  <c r="M34" i="1" l="1"/>
  <c r="L34" i="1"/>
  <c r="N34" i="1" l="1"/>
  <c r="K32" i="1"/>
  <c r="M32" i="1" l="1"/>
  <c r="L32" i="1"/>
  <c r="N32" i="1" l="1"/>
  <c r="K31" i="1"/>
  <c r="L31" i="1" l="1"/>
  <c r="M31" i="1"/>
  <c r="K30" i="1" l="1"/>
  <c r="N31" i="1"/>
  <c r="M30" i="1" l="1"/>
  <c r="L30" i="1"/>
  <c r="K29" i="1" l="1"/>
  <c r="M29" i="1" s="1"/>
  <c r="N30" i="1"/>
  <c r="L29" i="1" l="1"/>
  <c r="K28" i="1" l="1"/>
  <c r="M28" i="1" s="1"/>
  <c r="N29" i="1"/>
  <c r="L28" i="1" l="1"/>
  <c r="N28" i="1" l="1"/>
  <c r="K25" i="1"/>
  <c r="L25" i="1" l="1"/>
  <c r="M25" i="1"/>
  <c r="K24" i="1" l="1"/>
  <c r="N25" i="1"/>
  <c r="M24" i="1" l="1"/>
  <c r="L24" i="1"/>
  <c r="K23" i="1" l="1"/>
  <c r="N24" i="1"/>
  <c r="L23" i="1" l="1"/>
  <c r="M23" i="1"/>
  <c r="K22" i="1" l="1"/>
  <c r="N23" i="1"/>
  <c r="L22" i="1" l="1"/>
  <c r="M22" i="1"/>
  <c r="K21" i="1" l="1"/>
  <c r="N22" i="1"/>
  <c r="L21" i="1" l="1"/>
  <c r="M21" i="1"/>
  <c r="K20" i="1" l="1"/>
  <c r="N21" i="1"/>
  <c r="L20" i="1" l="1"/>
  <c r="M20" i="1"/>
  <c r="N20" i="1" l="1"/>
  <c r="K18" i="1"/>
  <c r="M18" i="1" l="1"/>
  <c r="L18" i="1"/>
  <c r="N18" i="1" l="1"/>
  <c r="K17" i="1"/>
  <c r="L17" i="1" l="1"/>
  <c r="M17" i="1"/>
  <c r="N17" i="1" l="1"/>
  <c r="K16" i="1"/>
  <c r="M16" i="1" l="1"/>
  <c r="L16" i="1"/>
  <c r="K15" i="1" l="1"/>
  <c r="N16" i="1"/>
  <c r="L15" i="1" l="1"/>
  <c r="M15" i="1"/>
  <c r="K13" i="1" l="1"/>
  <c r="N15" i="1"/>
  <c r="L13" i="1" l="1"/>
  <c r="M13" i="1"/>
  <c r="N13" i="1" l="1"/>
  <c r="K12" i="1"/>
  <c r="M12" i="1" l="1"/>
  <c r="L12" i="1"/>
  <c r="K11" i="1" l="1"/>
  <c r="N12" i="1"/>
  <c r="L11" i="1" l="1"/>
  <c r="M11" i="1"/>
  <c r="K10" i="1" l="1"/>
  <c r="N11" i="1"/>
  <c r="L10" i="1" l="1"/>
  <c r="N10" i="1" s="1"/>
  <c r="M10" i="1"/>
</calcChain>
</file>

<file path=xl/sharedStrings.xml><?xml version="1.0" encoding="utf-8"?>
<sst xmlns="http://schemas.openxmlformats.org/spreadsheetml/2006/main" count="225" uniqueCount="158">
  <si>
    <t>Выбор стека технологий (Python, библиотеки)</t>
  </si>
  <si>
    <t>Реализация основных функциональных модулей</t>
  </si>
  <si>
    <t>Сравнение результатом нечеткой модели с четким расчетом</t>
  </si>
  <si>
    <t>Анализ чувствительности модели к изменению параметров</t>
  </si>
  <si>
    <t>Описание предметной области</t>
  </si>
  <si>
    <t>Проблематика</t>
  </si>
  <si>
    <t>Цель работы и исследовательские вопросы</t>
  </si>
  <si>
    <t>Задачи работы</t>
  </si>
  <si>
    <t>Декомпозиция проекта на этапы и задачи. Ментальная карта проекта</t>
  </si>
  <si>
    <t>Определение сроков выполнения задач. PERT-диаграмма проекта</t>
  </si>
  <si>
    <t>Оценка необходимых ресурсов</t>
  </si>
  <si>
    <t>Оформление репозитория проекта на GitHub</t>
  </si>
  <si>
    <t>Гибкие методологии разработки ПО, сравнение с  традиционной разработкой</t>
  </si>
  <si>
    <t>Этапы управления требованиями в гибкой разработке</t>
  </si>
  <si>
    <t>Теория нечетких множеств и нечеткая логика</t>
  </si>
  <si>
    <t>Методы принятия решений в условиях неопределенности требований</t>
  </si>
  <si>
    <t>Практика применения нечеткого подхода в гибких методологиях разработки ПО . Выявление пробелов и перспектив для дальнейшей работы</t>
  </si>
  <si>
    <t>Построение "Дерева источников". Анализ рейтингов статей, индексов цитирования</t>
  </si>
  <si>
    <t>Подтверждение или опровержение гипотез</t>
  </si>
  <si>
    <t>Практическая значимость предложенного подхода</t>
  </si>
  <si>
    <t>Выявленные ограничения методического подхода</t>
  </si>
  <si>
    <t>Выводы по результатам проделанной работы</t>
  </si>
  <si>
    <t>Расширение модели: включение новых атрибутов требований</t>
  </si>
  <si>
    <t>Использование расширенного аппарата нечетких множеств</t>
  </si>
  <si>
    <t>Возможность применение в других областях</t>
  </si>
  <si>
    <t>Исследование влияния на другие аспекты гибкой разработки</t>
  </si>
  <si>
    <t>Вводная глава</t>
  </si>
  <si>
    <t>Теоретическая часть</t>
  </si>
  <si>
    <t>Практическая часть</t>
  </si>
  <si>
    <t>Заключение</t>
  </si>
  <si>
    <t>Литература и приложения</t>
  </si>
  <si>
    <t>Отсутствие формализованных требований к ПО</t>
  </si>
  <si>
    <t>Изменчивость требований</t>
  </si>
  <si>
    <t>Трудности приоритизации</t>
  </si>
  <si>
    <t>Субъективности оценки сложности и важности требований</t>
  </si>
  <si>
    <t>Коммуникации между стейкхолдерами</t>
  </si>
  <si>
    <t>Ключевые сущности: требования, стейкхолдеры, атрибуты требований (важность, срочность, риски)</t>
  </si>
  <si>
    <t>Нечеткие лингвистические переменные и оценки</t>
  </si>
  <si>
    <t>Нечеткие преобразования</t>
  </si>
  <si>
    <t>Фаззификация. ИНМ1Т, ИНМ2Т</t>
  </si>
  <si>
    <t>Нечеткие вычисления</t>
  </si>
  <si>
    <t>Дефаззификация. Альфа-срезы</t>
  </si>
  <si>
    <t>Нечеткие метрики оценки прогресса</t>
  </si>
  <si>
    <t>Адаптация процессов популярных фреймворков (например, SCRUM/ Kanban) для учета нечеткости</t>
  </si>
  <si>
    <t>№ п.п.</t>
  </si>
  <si>
    <t>Наименование задачи</t>
  </si>
  <si>
    <t>Оценка времени выполнения задачи, недель</t>
  </si>
  <si>
    <t>2</t>
  </si>
  <si>
    <t>1</t>
  </si>
  <si>
    <t>1.1</t>
  </si>
  <si>
    <t>1.2</t>
  </si>
  <si>
    <t>1.3</t>
  </si>
  <si>
    <t>2.1</t>
  </si>
  <si>
    <t>2.2</t>
  </si>
  <si>
    <t>2.3</t>
  </si>
  <si>
    <t>2.4</t>
  </si>
  <si>
    <t>3</t>
  </si>
  <si>
    <t>3.1</t>
  </si>
  <si>
    <t>3.2</t>
  </si>
  <si>
    <t>3.3</t>
  </si>
  <si>
    <t>4</t>
  </si>
  <si>
    <t>4.1</t>
  </si>
  <si>
    <t>4.2</t>
  </si>
  <si>
    <t>4.3</t>
  </si>
  <si>
    <t>5</t>
  </si>
  <si>
    <t>5.1</t>
  </si>
  <si>
    <t>5.2</t>
  </si>
  <si>
    <t>5.3</t>
  </si>
  <si>
    <t>Подготовка и планирование</t>
  </si>
  <si>
    <t>Optimistic</t>
  </si>
  <si>
    <t>Realistic</t>
  </si>
  <si>
    <t>Pessimistic</t>
  </si>
  <si>
    <t>Определение целей и задач исследования</t>
  </si>
  <si>
    <t>Разработка плана работы</t>
  </si>
  <si>
    <t>Обзор литературы и существующих практик</t>
  </si>
  <si>
    <t xml:space="preserve">Теоретическая основа и методология исследования </t>
  </si>
  <si>
    <t>Практическая реализация и эксперименты</t>
  </si>
  <si>
    <t>Заключение и дальнейшие  исследования</t>
  </si>
  <si>
    <t>Оформление текста и презентация</t>
  </si>
  <si>
    <t>Итого про проекту</t>
  </si>
  <si>
    <t>Подготовка презентационных материалов и доклада</t>
  </si>
  <si>
    <t>Устранение замечаний и нормоконтроль</t>
  </si>
  <si>
    <t>Оформление разделов письменной работы</t>
  </si>
  <si>
    <t>Формулировка рекомендаций</t>
  </si>
  <si>
    <t>Перспективы дальнейших исследований</t>
  </si>
  <si>
    <t>Анализ результатов</t>
  </si>
  <si>
    <t>Проведение экспериментов</t>
  </si>
  <si>
    <t>Алгоритмизация</t>
  </si>
  <si>
    <t>Подготовка данных</t>
  </si>
  <si>
    <t xml:space="preserve">Интеграция нечеткого подхода  с гибкими методологиями </t>
  </si>
  <si>
    <t>Применение теории нечетких  множеств к обработке данных</t>
  </si>
  <si>
    <t>Концептуальная нечеткая модель  управления требованиями</t>
  </si>
  <si>
    <t>Анализ особенностей управления требованиями в гибкой разработке</t>
  </si>
  <si>
    <t>Подготовка выпускной работы магистра на тему:</t>
  </si>
  <si>
    <r>
      <t>Ожидаемое время выполнения, недель, ET</t>
    </r>
    <r>
      <rPr>
        <b/>
        <sz val="10"/>
        <color theme="1"/>
        <rFont val="Calibri"/>
        <family val="2"/>
        <charset val="204"/>
        <scheme val="minor"/>
      </rPr>
      <t>зi</t>
    </r>
  </si>
  <si>
    <t>1.1.1</t>
  </si>
  <si>
    <t>1.1.2</t>
  </si>
  <si>
    <t>1.1.3</t>
  </si>
  <si>
    <t>1.1.4</t>
  </si>
  <si>
    <t>1.2.1</t>
  </si>
  <si>
    <t>1.2.2</t>
  </si>
  <si>
    <t>1.2.3</t>
  </si>
  <si>
    <t>1.2.4</t>
  </si>
  <si>
    <t>1.3.1</t>
  </si>
  <si>
    <t>1.3.2</t>
  </si>
  <si>
    <t>1.3.4</t>
  </si>
  <si>
    <t>1.3.3</t>
  </si>
  <si>
    <t>1.3.5</t>
  </si>
  <si>
    <t>1.3.6</t>
  </si>
  <si>
    <t>2.1.1</t>
  </si>
  <si>
    <t>2.1.2</t>
  </si>
  <si>
    <t>2.1.3</t>
  </si>
  <si>
    <t>2.1.4</t>
  </si>
  <si>
    <t>2.1.5</t>
  </si>
  <si>
    <t>2.2.1</t>
  </si>
  <si>
    <t>2.2.2</t>
  </si>
  <si>
    <t>2.2.3</t>
  </si>
  <si>
    <t>2.3.1</t>
  </si>
  <si>
    <t>2.3.2</t>
  </si>
  <si>
    <t>2.3.3</t>
  </si>
  <si>
    <t>2.4.1</t>
  </si>
  <si>
    <t>2.4.2</t>
  </si>
  <si>
    <t>2.4.3</t>
  </si>
  <si>
    <t>2.4.4.</t>
  </si>
  <si>
    <t>3.2.1</t>
  </si>
  <si>
    <t>3.2.2</t>
  </si>
  <si>
    <t>3.3.1</t>
  </si>
  <si>
    <t>3.3.2</t>
  </si>
  <si>
    <t>4.1.1</t>
  </si>
  <si>
    <t>4.1.2</t>
  </si>
  <si>
    <t>4.1.3</t>
  </si>
  <si>
    <t>4.1.4</t>
  </si>
  <si>
    <t>4.3.1</t>
  </si>
  <si>
    <t>4.3.2</t>
  </si>
  <si>
    <t>4.3.3</t>
  </si>
  <si>
    <t>4.3.4</t>
  </si>
  <si>
    <t>5.1.1</t>
  </si>
  <si>
    <t>5.1.2</t>
  </si>
  <si>
    <t>5.1.3</t>
  </si>
  <si>
    <t>5.1.4</t>
  </si>
  <si>
    <t>5.1.5</t>
  </si>
  <si>
    <t>Включение нечетких оценок в бэклог продукта</t>
  </si>
  <si>
    <t>Зависит от выполнения предыдущей задачи</t>
  </si>
  <si>
    <t>-</t>
  </si>
  <si>
    <t>2.4.4</t>
  </si>
  <si>
    <t>Прямой проход</t>
  </si>
  <si>
    <t>Обратный проход</t>
  </si>
  <si>
    <r>
      <t>ES</t>
    </r>
    <r>
      <rPr>
        <b/>
        <sz val="10"/>
        <color theme="1"/>
        <rFont val="Calibri"/>
        <family val="2"/>
        <charset val="204"/>
        <scheme val="minor"/>
      </rPr>
      <t>зi</t>
    </r>
  </si>
  <si>
    <t>EFзi</t>
  </si>
  <si>
    <t>LFзi</t>
  </si>
  <si>
    <t>LSзi</t>
  </si>
  <si>
    <t>Slack (прямой)</t>
  </si>
  <si>
    <t>Slack (обратный)</t>
  </si>
  <si>
    <t>СКО</t>
  </si>
  <si>
    <t>Дисперсия</t>
  </si>
  <si>
    <t>Оценка неопределнности сроков</t>
  </si>
  <si>
    <t>Нечеткая приоритизация пользовательских историй (например, методы MoSCoW, RICE и др.)</t>
  </si>
  <si>
    <t>Подходы к инженерии требований
 при гибкой разработке ПО 
с использованием 
аппарата нечетких множеств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</si>
</sst>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24" xfId="0" applyBorder="1" applyAlignment="1">
      <alignment wrapText="1"/>
    </xf>
    <xf numFmtId="0" fontId="0" fillId="0" borderId="22" xfId="0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49" fontId="1" fillId="4" borderId="26" xfId="0" applyNumberFormat="1" applyFont="1" applyFill="1" applyBorder="1" applyAlignment="1">
      <alignment horizontal="center" vertical="center"/>
    </xf>
    <xf numFmtId="0" fontId="1" fillId="4" borderId="27" xfId="0" applyFont="1" applyFill="1" applyBorder="1"/>
    <xf numFmtId="0" fontId="1" fillId="3" borderId="31" xfId="0" applyFont="1" applyFill="1" applyBorder="1"/>
    <xf numFmtId="49" fontId="0" fillId="0" borderId="35" xfId="0" applyNumberFormat="1" applyBorder="1" applyAlignment="1">
      <alignment horizontal="center" vertical="center"/>
    </xf>
    <xf numFmtId="0" fontId="0" fillId="0" borderId="36" xfId="0" applyBorder="1" applyAlignment="1">
      <alignment wrapText="1"/>
    </xf>
    <xf numFmtId="0" fontId="1" fillId="4" borderId="31" xfId="0" applyFont="1" applyFill="1" applyBorder="1"/>
    <xf numFmtId="49" fontId="1" fillId="3" borderId="37" xfId="0" applyNumberFormat="1" applyFont="1" applyFill="1" applyBorder="1" applyAlignment="1">
      <alignment horizontal="center" vertical="center"/>
    </xf>
    <xf numFmtId="0" fontId="1" fillId="3" borderId="38" xfId="0" applyFont="1" applyFill="1" applyBorder="1"/>
    <xf numFmtId="49" fontId="1" fillId="4" borderId="37" xfId="0" applyNumberFormat="1" applyFont="1" applyFill="1" applyBorder="1" applyAlignment="1">
      <alignment horizontal="center" vertical="center"/>
    </xf>
    <xf numFmtId="0" fontId="1" fillId="4" borderId="38" xfId="0" applyFont="1" applyFill="1" applyBorder="1"/>
    <xf numFmtId="0" fontId="1" fillId="5" borderId="25" xfId="0" applyFont="1" applyFill="1" applyBorder="1" applyAlignment="1">
      <alignment horizontal="center" vertical="center"/>
    </xf>
    <xf numFmtId="4" fontId="1" fillId="5" borderId="32" xfId="0" applyNumberFormat="1" applyFont="1" applyFill="1" applyBorder="1" applyAlignment="1">
      <alignment horizontal="right" vertical="center"/>
    </xf>
    <xf numFmtId="4" fontId="1" fillId="5" borderId="33" xfId="0" applyNumberFormat="1" applyFont="1" applyFill="1" applyBorder="1" applyAlignment="1">
      <alignment horizontal="right" vertical="center"/>
    </xf>
    <xf numFmtId="4" fontId="1" fillId="5" borderId="34" xfId="0" applyNumberFormat="1" applyFont="1" applyFill="1" applyBorder="1" applyAlignment="1">
      <alignment horizontal="right" vertical="center"/>
    </xf>
    <xf numFmtId="4" fontId="1" fillId="5" borderId="42" xfId="0" applyNumberFormat="1" applyFont="1" applyFill="1" applyBorder="1" applyAlignment="1">
      <alignment horizontal="right" vertical="center"/>
    </xf>
    <xf numFmtId="4" fontId="1" fillId="3" borderId="32" xfId="0" applyNumberFormat="1" applyFont="1" applyFill="1" applyBorder="1" applyAlignment="1">
      <alignment horizontal="right"/>
    </xf>
    <xf numFmtId="4" fontId="1" fillId="3" borderId="33" xfId="0" applyNumberFormat="1" applyFont="1" applyFill="1" applyBorder="1" applyAlignment="1">
      <alignment horizontal="right"/>
    </xf>
    <xf numFmtId="4" fontId="1" fillId="3" borderId="34" xfId="0" applyNumberFormat="1" applyFont="1" applyFill="1" applyBorder="1" applyAlignment="1">
      <alignment horizontal="right"/>
    </xf>
    <xf numFmtId="4" fontId="1" fillId="4" borderId="32" xfId="0" applyNumberFormat="1" applyFont="1" applyFill="1" applyBorder="1" applyAlignment="1">
      <alignment horizontal="right"/>
    </xf>
    <xf numFmtId="4" fontId="1" fillId="4" borderId="33" xfId="0" applyNumberFormat="1" applyFont="1" applyFill="1" applyBorder="1" applyAlignment="1">
      <alignment horizontal="right"/>
    </xf>
    <xf numFmtId="4" fontId="1" fillId="4" borderId="34" xfId="0" applyNumberFormat="1" applyFont="1" applyFill="1" applyBorder="1" applyAlignment="1">
      <alignment horizontal="right"/>
    </xf>
    <xf numFmtId="4" fontId="0" fillId="0" borderId="13" xfId="0" applyNumberFormat="1" applyBorder="1" applyAlignment="1">
      <alignment horizontal="right"/>
    </xf>
    <xf numFmtId="4" fontId="0" fillId="0" borderId="3" xfId="0" applyNumberFormat="1" applyBorder="1" applyAlignment="1">
      <alignment horizontal="right"/>
    </xf>
    <xf numFmtId="4" fontId="0" fillId="0" borderId="14" xfId="0" applyNumberFormat="1" applyBorder="1" applyAlignment="1">
      <alignment horizontal="right"/>
    </xf>
    <xf numFmtId="4" fontId="0" fillId="0" borderId="8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4" fontId="0" fillId="0" borderId="12" xfId="0" applyNumberFormat="1" applyBorder="1" applyAlignment="1">
      <alignment horizontal="right"/>
    </xf>
    <xf numFmtId="4" fontId="0" fillId="0" borderId="16" xfId="0" applyNumberFormat="1" applyBorder="1" applyAlignment="1">
      <alignment horizontal="right"/>
    </xf>
    <xf numFmtId="4" fontId="0" fillId="0" borderId="7" xfId="0" applyNumberFormat="1" applyBorder="1" applyAlignment="1">
      <alignment horizontal="right"/>
    </xf>
    <xf numFmtId="4" fontId="0" fillId="0" borderId="15" xfId="0" applyNumberFormat="1" applyBorder="1" applyAlignment="1">
      <alignment horizontal="right"/>
    </xf>
    <xf numFmtId="4" fontId="1" fillId="3" borderId="39" xfId="0" applyNumberFormat="1" applyFont="1" applyFill="1" applyBorder="1" applyAlignment="1">
      <alignment horizontal="right"/>
    </xf>
    <xf numFmtId="4" fontId="1" fillId="3" borderId="40" xfId="0" applyNumberFormat="1" applyFont="1" applyFill="1" applyBorder="1" applyAlignment="1">
      <alignment horizontal="right"/>
    </xf>
    <xf numFmtId="4" fontId="1" fillId="3" borderId="41" xfId="0" applyNumberFormat="1" applyFont="1" applyFill="1" applyBorder="1" applyAlignment="1">
      <alignment horizontal="right"/>
    </xf>
    <xf numFmtId="4" fontId="1" fillId="4" borderId="39" xfId="0" applyNumberFormat="1" applyFont="1" applyFill="1" applyBorder="1" applyAlignment="1">
      <alignment horizontal="right"/>
    </xf>
    <xf numFmtId="4" fontId="1" fillId="4" borderId="40" xfId="0" applyNumberFormat="1" applyFont="1" applyFill="1" applyBorder="1" applyAlignment="1">
      <alignment horizontal="right"/>
    </xf>
    <xf numFmtId="4" fontId="1" fillId="4" borderId="41" xfId="0" applyNumberFormat="1" applyFont="1" applyFill="1" applyBorder="1" applyAlignment="1">
      <alignment horizontal="right"/>
    </xf>
    <xf numFmtId="4" fontId="1" fillId="4" borderId="28" xfId="0" applyNumberFormat="1" applyFont="1" applyFill="1" applyBorder="1" applyAlignment="1">
      <alignment horizontal="right"/>
    </xf>
    <xf numFmtId="4" fontId="1" fillId="4" borderId="29" xfId="0" applyNumberFormat="1" applyFont="1" applyFill="1" applyBorder="1" applyAlignment="1">
      <alignment horizontal="right"/>
    </xf>
    <xf numFmtId="4" fontId="1" fillId="4" borderId="30" xfId="0" applyNumberFormat="1" applyFont="1" applyFill="1" applyBorder="1" applyAlignment="1">
      <alignment horizontal="right"/>
    </xf>
    <xf numFmtId="49" fontId="1" fillId="5" borderId="25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/>
    </xf>
    <xf numFmtId="49" fontId="1" fillId="4" borderId="26" xfId="0" applyNumberFormat="1" applyFont="1" applyFill="1" applyBorder="1" applyAlignment="1">
      <alignment horizontal="center"/>
    </xf>
    <xf numFmtId="49" fontId="0" fillId="0" borderId="20" xfId="0" applyNumberFormat="1" applyBorder="1" applyAlignment="1">
      <alignment horizontal="center" wrapText="1"/>
    </xf>
    <xf numFmtId="49" fontId="0" fillId="0" borderId="25" xfId="0" applyNumberFormat="1" applyBorder="1" applyAlignment="1">
      <alignment horizontal="center" wrapText="1"/>
    </xf>
    <xf numFmtId="49" fontId="1" fillId="4" borderId="1" xfId="0" applyNumberFormat="1" applyFont="1" applyFill="1" applyBorder="1" applyAlignment="1">
      <alignment horizontal="center"/>
    </xf>
    <xf numFmtId="49" fontId="0" fillId="0" borderId="18" xfId="0" applyNumberFormat="1" applyBorder="1" applyAlignment="1">
      <alignment horizontal="center" wrapText="1"/>
    </xf>
    <xf numFmtId="49" fontId="0" fillId="0" borderId="35" xfId="0" applyNumberFormat="1" applyBorder="1" applyAlignment="1">
      <alignment horizontal="center" wrapText="1"/>
    </xf>
    <xf numFmtId="49" fontId="1" fillId="3" borderId="37" xfId="0" applyNumberFormat="1" applyFont="1" applyFill="1" applyBorder="1" applyAlignment="1">
      <alignment horizontal="center"/>
    </xf>
    <xf numFmtId="49" fontId="1" fillId="4" borderId="37" xfId="0" applyNumberFormat="1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4" fontId="1" fillId="5" borderId="1" xfId="0" applyNumberFormat="1" applyFont="1" applyFill="1" applyBorder="1" applyAlignment="1">
      <alignment horizontal="right" vertical="center"/>
    </xf>
    <xf numFmtId="4" fontId="1" fillId="3" borderId="1" xfId="0" applyNumberFormat="1" applyFont="1" applyFill="1" applyBorder="1" applyAlignment="1">
      <alignment horizontal="right"/>
    </xf>
    <xf numFmtId="4" fontId="1" fillId="4" borderId="1" xfId="0" applyNumberFormat="1" applyFont="1" applyFill="1" applyBorder="1" applyAlignment="1">
      <alignment horizontal="right"/>
    </xf>
    <xf numFmtId="4" fontId="0" fillId="0" borderId="18" xfId="0" applyNumberFormat="1" applyBorder="1" applyAlignment="1">
      <alignment horizontal="right"/>
    </xf>
    <xf numFmtId="4" fontId="1" fillId="3" borderId="37" xfId="0" applyNumberFormat="1" applyFont="1" applyFill="1" applyBorder="1" applyAlignment="1">
      <alignment horizontal="right"/>
    </xf>
    <xf numFmtId="10" fontId="1" fillId="5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9FF99"/>
      <color rgb="FFFF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DE55-8339-4A9B-B4C5-B63BAA3EE86E}">
  <sheetPr>
    <outlinePr summaryBelow="0" summaryRight="0"/>
    <pageSetUpPr fitToPage="1"/>
  </sheetPr>
  <dimension ref="B1:Q74"/>
  <sheetViews>
    <sheetView tabSelected="1" view="pageBreakPreview" zoomScale="60" zoomScaleNormal="100" workbookViewId="0">
      <pane ySplit="5" topLeftCell="A51" activePane="bottomLeft" state="frozen"/>
      <selection pane="bottomLeft" activeCell="B2" sqref="B2"/>
    </sheetView>
  </sheetViews>
  <sheetFormatPr defaultRowHeight="15" outlineLevelRow="2" x14ac:dyDescent="0.25"/>
  <cols>
    <col min="1" max="1" width="3.85546875" customWidth="1"/>
    <col min="2" max="2" width="7.7109375" customWidth="1"/>
    <col min="3" max="3" width="51.42578125" customWidth="1"/>
    <col min="4" max="4" width="16.42578125" customWidth="1"/>
    <col min="5" max="5" width="11.42578125" customWidth="1"/>
    <col min="6" max="6" width="11" customWidth="1"/>
    <col min="7" max="7" width="11.85546875" customWidth="1"/>
    <col min="8" max="8" width="15.7109375" customWidth="1"/>
    <col min="14" max="14" width="11.140625" customWidth="1"/>
    <col min="15" max="15" width="13.140625" customWidth="1"/>
    <col min="17" max="17" width="18.85546875" customWidth="1"/>
  </cols>
  <sheetData>
    <row r="1" spans="2:17" x14ac:dyDescent="0.25">
      <c r="B1" s="1" t="s">
        <v>93</v>
      </c>
    </row>
    <row r="2" spans="2:17" x14ac:dyDescent="0.25">
      <c r="B2" s="1" t="s">
        <v>157</v>
      </c>
      <c r="C2" s="1"/>
      <c r="D2" s="1"/>
    </row>
    <row r="4" spans="2:17" x14ac:dyDescent="0.25">
      <c r="B4" s="85" t="s">
        <v>44</v>
      </c>
      <c r="C4" s="87" t="s">
        <v>45</v>
      </c>
      <c r="D4" s="89" t="s">
        <v>142</v>
      </c>
      <c r="E4" s="82" t="s">
        <v>46</v>
      </c>
      <c r="F4" s="83"/>
      <c r="G4" s="84"/>
      <c r="H4" s="79" t="s">
        <v>94</v>
      </c>
      <c r="I4" s="80" t="s">
        <v>145</v>
      </c>
      <c r="J4" s="81"/>
      <c r="K4" s="80" t="s">
        <v>146</v>
      </c>
      <c r="L4" s="81"/>
      <c r="M4" s="80" t="s">
        <v>146</v>
      </c>
      <c r="N4" s="81"/>
      <c r="O4" s="79" t="s">
        <v>154</v>
      </c>
      <c r="P4" s="79" t="s">
        <v>153</v>
      </c>
      <c r="Q4" s="79" t="s">
        <v>155</v>
      </c>
    </row>
    <row r="5" spans="2:17" ht="42.75" customHeight="1" x14ac:dyDescent="0.25">
      <c r="B5" s="86"/>
      <c r="C5" s="88"/>
      <c r="D5" s="90"/>
      <c r="E5" s="11" t="s">
        <v>69</v>
      </c>
      <c r="F5" s="3" t="s">
        <v>70</v>
      </c>
      <c r="G5" s="4" t="s">
        <v>71</v>
      </c>
      <c r="H5" s="79"/>
      <c r="I5" s="69" t="s">
        <v>147</v>
      </c>
      <c r="J5" s="70" t="s">
        <v>148</v>
      </c>
      <c r="K5" s="71" t="s">
        <v>149</v>
      </c>
      <c r="L5" s="70" t="s">
        <v>150</v>
      </c>
      <c r="M5" s="72" t="s">
        <v>151</v>
      </c>
      <c r="N5" s="72" t="s">
        <v>152</v>
      </c>
      <c r="O5" s="79"/>
      <c r="P5" s="79"/>
      <c r="Q5" s="79"/>
    </row>
    <row r="6" spans="2:17" x14ac:dyDescent="0.25">
      <c r="B6" s="12">
        <v>1</v>
      </c>
      <c r="C6" s="13">
        <v>2</v>
      </c>
      <c r="D6" s="12">
        <v>3</v>
      </c>
      <c r="E6" s="14">
        <v>4</v>
      </c>
      <c r="F6" s="15">
        <v>5</v>
      </c>
      <c r="G6" s="16">
        <v>6</v>
      </c>
      <c r="H6" s="2">
        <v>7</v>
      </c>
      <c r="I6" s="67">
        <v>8</v>
      </c>
      <c r="J6" s="68">
        <v>9</v>
      </c>
      <c r="K6" s="67">
        <v>10</v>
      </c>
      <c r="L6" s="68">
        <v>11</v>
      </c>
      <c r="M6" s="67">
        <v>12</v>
      </c>
      <c r="N6" s="68">
        <v>13</v>
      </c>
      <c r="O6" s="68">
        <v>13</v>
      </c>
      <c r="P6" s="68">
        <v>14</v>
      </c>
      <c r="Q6" s="68">
        <v>15</v>
      </c>
    </row>
    <row r="7" spans="2:17" x14ac:dyDescent="0.25">
      <c r="B7" s="28"/>
      <c r="C7" s="17" t="s">
        <v>79</v>
      </c>
      <c r="D7" s="57" t="s">
        <v>143</v>
      </c>
      <c r="E7" s="29">
        <f>E8+E26+E46+E54+E66</f>
        <v>12</v>
      </c>
      <c r="F7" s="30">
        <f t="shared" ref="F7:G7" si="0">F8+F26+F46+F54+F66</f>
        <v>17</v>
      </c>
      <c r="G7" s="31">
        <f t="shared" si="0"/>
        <v>22</v>
      </c>
      <c r="H7" s="32">
        <f>(E7+4*F7+G7)/6</f>
        <v>17</v>
      </c>
      <c r="I7" s="32">
        <f>I8</f>
        <v>0</v>
      </c>
      <c r="J7" s="32">
        <f>I7+H7</f>
        <v>17</v>
      </c>
      <c r="K7" s="32">
        <f>K66</f>
        <v>17</v>
      </c>
      <c r="L7" s="32">
        <f>K7-H7</f>
        <v>0</v>
      </c>
      <c r="M7" s="32">
        <f>K7-J7</f>
        <v>0</v>
      </c>
      <c r="N7" s="32">
        <f>L7-I7</f>
        <v>0</v>
      </c>
      <c r="O7" s="73">
        <f>O8+O26+O46+O54+O66</f>
        <v>8.467638888888887E-2</v>
      </c>
      <c r="P7" s="73">
        <f>SQRT(O7)</f>
        <v>0.29099207702081664</v>
      </c>
      <c r="Q7" s="78">
        <f>P7/H7</f>
        <v>1.7117181001224509E-2</v>
      </c>
    </row>
    <row r="8" spans="2:17" x14ac:dyDescent="0.25">
      <c r="B8" s="5" t="s">
        <v>48</v>
      </c>
      <c r="C8" s="20" t="s">
        <v>68</v>
      </c>
      <c r="D8" s="58" t="s">
        <v>143</v>
      </c>
      <c r="E8" s="33">
        <f>E9+E14+E19</f>
        <v>1</v>
      </c>
      <c r="F8" s="34">
        <f t="shared" ref="F8:G8" si="1">F9+F14+F19</f>
        <v>2</v>
      </c>
      <c r="G8" s="35">
        <f t="shared" si="1"/>
        <v>3</v>
      </c>
      <c r="H8" s="35">
        <f>(E8+4*F8+G8)/6</f>
        <v>2</v>
      </c>
      <c r="I8" s="35">
        <v>0</v>
      </c>
      <c r="J8" s="35">
        <f>I8+H8</f>
        <v>2</v>
      </c>
      <c r="K8" s="35">
        <f>L26</f>
        <v>2</v>
      </c>
      <c r="L8" s="35">
        <f>K8-H8</f>
        <v>0</v>
      </c>
      <c r="M8" s="35">
        <f>K8-J8</f>
        <v>0</v>
      </c>
      <c r="N8" s="35">
        <f>L8-I8</f>
        <v>0</v>
      </c>
      <c r="O8" s="74">
        <f>O9+O14+O19</f>
        <v>8.3999999999999977E-3</v>
      </c>
      <c r="P8" s="74">
        <f t="shared" ref="P8:P71" si="2">SQRT(O8)</f>
        <v>9.1651513899116785E-2</v>
      </c>
    </row>
    <row r="9" spans="2:17" outlineLevel="1" x14ac:dyDescent="0.25">
      <c r="B9" s="18" t="s">
        <v>49</v>
      </c>
      <c r="C9" s="19" t="s">
        <v>72</v>
      </c>
      <c r="D9" s="59" t="s">
        <v>143</v>
      </c>
      <c r="E9" s="36">
        <f>SUM(E10:E13)</f>
        <v>0.2</v>
      </c>
      <c r="F9" s="37">
        <f t="shared" ref="F9:G9" si="3">SUM(F10:F13)</f>
        <v>0.4</v>
      </c>
      <c r="G9" s="38">
        <f t="shared" si="3"/>
        <v>0.6</v>
      </c>
      <c r="H9" s="38">
        <f>(E9+4*F9+G9)/6</f>
        <v>0.39999999999999997</v>
      </c>
      <c r="I9" s="38">
        <v>0</v>
      </c>
      <c r="J9" s="38">
        <f>I9+H9</f>
        <v>0.39999999999999997</v>
      </c>
      <c r="K9" s="38">
        <f>L14</f>
        <v>0.39999999999999825</v>
      </c>
      <c r="L9" s="38">
        <f>K9-H9</f>
        <v>-1.7208456881689926E-15</v>
      </c>
      <c r="M9" s="38">
        <f t="shared" ref="M9:M72" si="4">K9-J9</f>
        <v>-1.7208456881689926E-15</v>
      </c>
      <c r="N9" s="38">
        <f t="shared" ref="N9:N72" si="5">L9-I9</f>
        <v>-1.7208456881689926E-15</v>
      </c>
      <c r="O9" s="75">
        <f>SUM(O10:O13)</f>
        <v>1.1111111111111111E-3</v>
      </c>
      <c r="P9" s="75">
        <f t="shared" si="2"/>
        <v>3.3333333333333333E-2</v>
      </c>
    </row>
    <row r="10" spans="2:17" outlineLevel="2" x14ac:dyDescent="0.25">
      <c r="B10" s="7" t="s">
        <v>95</v>
      </c>
      <c r="C10" s="9" t="s">
        <v>4</v>
      </c>
      <c r="D10" s="60" t="s">
        <v>143</v>
      </c>
      <c r="E10" s="39">
        <v>0.05</v>
      </c>
      <c r="F10" s="40">
        <v>0.1</v>
      </c>
      <c r="G10" s="41">
        <v>0.15</v>
      </c>
      <c r="H10" s="42">
        <f>(E10+4*F10+G10)/6</f>
        <v>9.9999999999999992E-2</v>
      </c>
      <c r="I10" s="42">
        <v>0</v>
      </c>
      <c r="J10" s="42">
        <f>I10+H10</f>
        <v>9.9999999999999992E-2</v>
      </c>
      <c r="K10" s="42">
        <f t="shared" ref="K10:K11" si="6">L11</f>
        <v>9.9999999999998521E-2</v>
      </c>
      <c r="L10" s="42">
        <f t="shared" ref="L10:L11" si="7">K10-H10</f>
        <v>-1.4710455076283324E-15</v>
      </c>
      <c r="M10" s="42">
        <f t="shared" si="4"/>
        <v>-1.4710455076283324E-15</v>
      </c>
      <c r="N10" s="42">
        <f t="shared" si="5"/>
        <v>-1.4710455076283324E-15</v>
      </c>
      <c r="O10" s="76">
        <f>((G10-E10)/6)^2</f>
        <v>2.7777777777777778E-4</v>
      </c>
      <c r="P10" s="76">
        <f t="shared" si="2"/>
        <v>1.6666666666666666E-2</v>
      </c>
    </row>
    <row r="11" spans="2:17" outlineLevel="2" x14ac:dyDescent="0.25">
      <c r="B11" s="8" t="s">
        <v>96</v>
      </c>
      <c r="C11" s="10" t="s">
        <v>5</v>
      </c>
      <c r="D11" s="60" t="s">
        <v>95</v>
      </c>
      <c r="E11" s="39">
        <v>0.05</v>
      </c>
      <c r="F11" s="43">
        <v>0.1</v>
      </c>
      <c r="G11" s="42">
        <v>0.15</v>
      </c>
      <c r="H11" s="42">
        <f t="shared" ref="H11:H13" si="8">(E11+4*F11+G11)/6</f>
        <v>9.9999999999999992E-2</v>
      </c>
      <c r="I11" s="42">
        <f>J10</f>
        <v>9.9999999999999992E-2</v>
      </c>
      <c r="J11" s="42">
        <f>I11+H11</f>
        <v>0.19999999999999998</v>
      </c>
      <c r="K11" s="42">
        <f t="shared" si="6"/>
        <v>0.19999999999999851</v>
      </c>
      <c r="L11" s="42">
        <f t="shared" si="7"/>
        <v>9.9999999999998521E-2</v>
      </c>
      <c r="M11" s="42">
        <f t="shared" si="4"/>
        <v>-1.4710455076283324E-15</v>
      </c>
      <c r="N11" s="42">
        <f t="shared" si="5"/>
        <v>-1.4710455076283324E-15</v>
      </c>
      <c r="O11" s="76">
        <f>((G11-E11)/6)^2</f>
        <v>2.7777777777777778E-4</v>
      </c>
      <c r="P11" s="76">
        <f t="shared" si="2"/>
        <v>1.6666666666666666E-2</v>
      </c>
    </row>
    <row r="12" spans="2:17" outlineLevel="2" x14ac:dyDescent="0.25">
      <c r="B12" s="8" t="s">
        <v>97</v>
      </c>
      <c r="C12" s="10" t="s">
        <v>6</v>
      </c>
      <c r="D12" s="60" t="s">
        <v>96</v>
      </c>
      <c r="E12" s="39">
        <v>0.05</v>
      </c>
      <c r="F12" s="43">
        <v>0.1</v>
      </c>
      <c r="G12" s="42">
        <v>0.15</v>
      </c>
      <c r="H12" s="42">
        <f t="shared" si="8"/>
        <v>9.9999999999999992E-2</v>
      </c>
      <c r="I12" s="42">
        <f t="shared" ref="I12:I13" si="9">J11</f>
        <v>0.19999999999999998</v>
      </c>
      <c r="J12" s="42">
        <f t="shared" ref="J12:J13" si="10">I12+H12</f>
        <v>0.3</v>
      </c>
      <c r="K12" s="42">
        <f>L13</f>
        <v>0.29999999999999849</v>
      </c>
      <c r="L12" s="42">
        <f>K12-H12</f>
        <v>0.19999999999999851</v>
      </c>
      <c r="M12" s="42">
        <f t="shared" si="4"/>
        <v>-1.4988010832439613E-15</v>
      </c>
      <c r="N12" s="42">
        <f t="shared" si="5"/>
        <v>-1.4710455076283324E-15</v>
      </c>
      <c r="O12" s="76">
        <f t="shared" ref="O12:O71" si="11">((G12-E12)/6)^2</f>
        <v>2.7777777777777778E-4</v>
      </c>
      <c r="P12" s="76">
        <f t="shared" si="2"/>
        <v>1.6666666666666666E-2</v>
      </c>
    </row>
    <row r="13" spans="2:17" outlineLevel="2" x14ac:dyDescent="0.25">
      <c r="B13" s="21" t="s">
        <v>98</v>
      </c>
      <c r="C13" s="22" t="s">
        <v>7</v>
      </c>
      <c r="D13" s="61" t="s">
        <v>97</v>
      </c>
      <c r="E13" s="39">
        <v>0.05</v>
      </c>
      <c r="F13" s="44">
        <v>0.1</v>
      </c>
      <c r="G13" s="45">
        <v>0.15</v>
      </c>
      <c r="H13" s="42">
        <f t="shared" si="8"/>
        <v>9.9999999999999992E-2</v>
      </c>
      <c r="I13" s="42">
        <f t="shared" si="9"/>
        <v>0.3</v>
      </c>
      <c r="J13" s="42">
        <f t="shared" si="10"/>
        <v>0.39999999999999997</v>
      </c>
      <c r="K13" s="42">
        <f>L15</f>
        <v>0.39999999999999847</v>
      </c>
      <c r="L13" s="42">
        <f>K13-H13</f>
        <v>0.29999999999999849</v>
      </c>
      <c r="M13" s="42">
        <f t="shared" si="4"/>
        <v>-1.4988010832439613E-15</v>
      </c>
      <c r="N13" s="42">
        <f t="shared" si="5"/>
        <v>-1.4988010832439613E-15</v>
      </c>
      <c r="O13" s="76">
        <f t="shared" si="11"/>
        <v>2.7777777777777778E-4</v>
      </c>
      <c r="P13" s="76">
        <f t="shared" si="2"/>
        <v>1.6666666666666666E-2</v>
      </c>
    </row>
    <row r="14" spans="2:17" outlineLevel="1" x14ac:dyDescent="0.25">
      <c r="B14" s="6" t="s">
        <v>50</v>
      </c>
      <c r="C14" s="23" t="s">
        <v>73</v>
      </c>
      <c r="D14" s="62" t="s">
        <v>49</v>
      </c>
      <c r="E14" s="36">
        <f>SUM(E15:E18)</f>
        <v>0.3</v>
      </c>
      <c r="F14" s="37">
        <f t="shared" ref="F14" si="12">SUM(F15:F18)</f>
        <v>0.6</v>
      </c>
      <c r="G14" s="38">
        <f t="shared" ref="G14" si="13">SUM(G15:G18)</f>
        <v>0.9</v>
      </c>
      <c r="H14" s="38">
        <f>(E14+4*F14+G14)/6</f>
        <v>0.6</v>
      </c>
      <c r="I14" s="38">
        <f>J9</f>
        <v>0.39999999999999997</v>
      </c>
      <c r="J14" s="38">
        <f>I14+H14</f>
        <v>1</v>
      </c>
      <c r="K14" s="38">
        <f>L19</f>
        <v>0.99999999999999822</v>
      </c>
      <c r="L14" s="38">
        <f>K14-H14</f>
        <v>0.39999999999999825</v>
      </c>
      <c r="M14" s="38">
        <f t="shared" si="4"/>
        <v>-1.7763568394002505E-15</v>
      </c>
      <c r="N14" s="38">
        <f t="shared" si="5"/>
        <v>-1.7208456881689926E-15</v>
      </c>
      <c r="O14" s="75">
        <f>SUM(O15:O18)</f>
        <v>2.6222222222222224E-3</v>
      </c>
      <c r="P14" s="75">
        <f t="shared" si="2"/>
        <v>5.1207638319124053E-2</v>
      </c>
    </row>
    <row r="15" spans="2:17" ht="30" outlineLevel="2" x14ac:dyDescent="0.25">
      <c r="B15" s="7" t="s">
        <v>99</v>
      </c>
      <c r="C15" s="9" t="s">
        <v>8</v>
      </c>
      <c r="D15" s="60" t="s">
        <v>98</v>
      </c>
      <c r="E15" s="39">
        <v>0.09</v>
      </c>
      <c r="F15" s="40">
        <v>0.18</v>
      </c>
      <c r="G15" s="41">
        <v>0.27</v>
      </c>
      <c r="H15" s="42">
        <f t="shared" ref="H15:H18" si="14">(E15+4*F15+G15)/6</f>
        <v>0.18000000000000002</v>
      </c>
      <c r="I15" s="42">
        <f>J13</f>
        <v>0.39999999999999997</v>
      </c>
      <c r="J15" s="42">
        <f>I15+H15</f>
        <v>0.57999999999999996</v>
      </c>
      <c r="K15" s="42">
        <f t="shared" ref="K15:K16" si="15">L16</f>
        <v>0.57999999999999852</v>
      </c>
      <c r="L15" s="42">
        <f t="shared" ref="L15:L16" si="16">K15-H15</f>
        <v>0.39999999999999847</v>
      </c>
      <c r="M15" s="42">
        <f t="shared" si="4"/>
        <v>-1.4432899320127035E-15</v>
      </c>
      <c r="N15" s="42">
        <f t="shared" si="5"/>
        <v>-1.4988010832439613E-15</v>
      </c>
      <c r="O15" s="76">
        <f t="shared" si="11"/>
        <v>9.0000000000000019E-4</v>
      </c>
      <c r="P15" s="76">
        <f t="shared" si="2"/>
        <v>3.0000000000000002E-2</v>
      </c>
    </row>
    <row r="16" spans="2:17" ht="30" outlineLevel="2" x14ac:dyDescent="0.25">
      <c r="B16" s="8" t="s">
        <v>100</v>
      </c>
      <c r="C16" s="10" t="s">
        <v>9</v>
      </c>
      <c r="D16" s="63" t="s">
        <v>99</v>
      </c>
      <c r="E16" s="46">
        <v>0.09</v>
      </c>
      <c r="F16" s="43">
        <v>0.18</v>
      </c>
      <c r="G16" s="42">
        <v>0.27</v>
      </c>
      <c r="H16" s="42">
        <f t="shared" si="14"/>
        <v>0.18000000000000002</v>
      </c>
      <c r="I16" s="42">
        <f>J15</f>
        <v>0.57999999999999996</v>
      </c>
      <c r="J16" s="42">
        <f>I16+H16</f>
        <v>0.76</v>
      </c>
      <c r="K16" s="42">
        <f t="shared" si="15"/>
        <v>0.75999999999999857</v>
      </c>
      <c r="L16" s="42">
        <f t="shared" si="16"/>
        <v>0.57999999999999852</v>
      </c>
      <c r="M16" s="42">
        <f t="shared" si="4"/>
        <v>-1.4432899320127035E-15</v>
      </c>
      <c r="N16" s="42">
        <f t="shared" si="5"/>
        <v>-1.4432899320127035E-15</v>
      </c>
      <c r="O16" s="76">
        <f t="shared" si="11"/>
        <v>9.0000000000000019E-4</v>
      </c>
      <c r="P16" s="76">
        <f t="shared" si="2"/>
        <v>3.0000000000000002E-2</v>
      </c>
    </row>
    <row r="17" spans="2:16" outlineLevel="2" x14ac:dyDescent="0.25">
      <c r="B17" s="8" t="s">
        <v>101</v>
      </c>
      <c r="C17" s="10" t="s">
        <v>10</v>
      </c>
      <c r="D17" s="63" t="s">
        <v>100</v>
      </c>
      <c r="E17" s="46">
        <v>0.05</v>
      </c>
      <c r="F17" s="43">
        <v>0.1</v>
      </c>
      <c r="G17" s="42">
        <v>0.15</v>
      </c>
      <c r="H17" s="42">
        <f t="shared" si="14"/>
        <v>9.9999999999999992E-2</v>
      </c>
      <c r="I17" s="42">
        <f t="shared" ref="I17:I18" si="17">J16</f>
        <v>0.76</v>
      </c>
      <c r="J17" s="42">
        <f t="shared" ref="J17:J18" si="18">I17+H17</f>
        <v>0.86</v>
      </c>
      <c r="K17" s="42">
        <f>L18</f>
        <v>0.85999999999999854</v>
      </c>
      <c r="L17" s="42">
        <f>K17-H17</f>
        <v>0.75999999999999857</v>
      </c>
      <c r="M17" s="42">
        <f t="shared" si="4"/>
        <v>-1.4432899320127035E-15</v>
      </c>
      <c r="N17" s="42">
        <f t="shared" si="5"/>
        <v>-1.4432899320127035E-15</v>
      </c>
      <c r="O17" s="76">
        <f t="shared" si="11"/>
        <v>2.7777777777777778E-4</v>
      </c>
      <c r="P17" s="76">
        <f t="shared" si="2"/>
        <v>1.6666666666666666E-2</v>
      </c>
    </row>
    <row r="18" spans="2:16" outlineLevel="2" x14ac:dyDescent="0.25">
      <c r="B18" s="21" t="s">
        <v>102</v>
      </c>
      <c r="C18" s="22" t="s">
        <v>11</v>
      </c>
      <c r="D18" s="64" t="s">
        <v>101</v>
      </c>
      <c r="E18" s="47">
        <v>7.0000000000000007E-2</v>
      </c>
      <c r="F18" s="44">
        <v>0.14000000000000001</v>
      </c>
      <c r="G18" s="45">
        <v>0.21</v>
      </c>
      <c r="H18" s="42">
        <f t="shared" si="14"/>
        <v>0.14000000000000001</v>
      </c>
      <c r="I18" s="42">
        <f t="shared" si="17"/>
        <v>0.86</v>
      </c>
      <c r="J18" s="42">
        <f t="shared" si="18"/>
        <v>1</v>
      </c>
      <c r="K18" s="42">
        <f>L20</f>
        <v>0.99999999999999856</v>
      </c>
      <c r="L18" s="42">
        <f>K18-H18</f>
        <v>0.85999999999999854</v>
      </c>
      <c r="M18" s="42">
        <f t="shared" si="4"/>
        <v>-1.4432899320127035E-15</v>
      </c>
      <c r="N18" s="42">
        <f t="shared" si="5"/>
        <v>-1.4432899320127035E-15</v>
      </c>
      <c r="O18" s="76">
        <f t="shared" si="11"/>
        <v>5.4444444444444429E-4</v>
      </c>
      <c r="P18" s="76">
        <f t="shared" si="2"/>
        <v>2.3333333333333331E-2</v>
      </c>
    </row>
    <row r="19" spans="2:16" outlineLevel="1" x14ac:dyDescent="0.25">
      <c r="B19" s="6" t="s">
        <v>51</v>
      </c>
      <c r="C19" s="23" t="s">
        <v>74</v>
      </c>
      <c r="D19" s="62" t="s">
        <v>50</v>
      </c>
      <c r="E19" s="36">
        <f>SUM(E20:E25)</f>
        <v>0.5</v>
      </c>
      <c r="F19" s="37">
        <f>SUM(F20:F25)</f>
        <v>1</v>
      </c>
      <c r="G19" s="38">
        <f>SUM(G20:G25)</f>
        <v>1.5</v>
      </c>
      <c r="H19" s="38">
        <f>(E19+4*F19+G19)/6</f>
        <v>1</v>
      </c>
      <c r="I19" s="38">
        <f>J14</f>
        <v>1</v>
      </c>
      <c r="J19" s="38">
        <f>I19+H19</f>
        <v>2</v>
      </c>
      <c r="K19" s="38">
        <f>L27</f>
        <v>1.9999999999999982</v>
      </c>
      <c r="L19" s="38">
        <f>K19-H19</f>
        <v>0.99999999999999822</v>
      </c>
      <c r="M19" s="38">
        <f t="shared" si="4"/>
        <v>-1.7763568394002505E-15</v>
      </c>
      <c r="N19" s="38">
        <f t="shared" si="5"/>
        <v>-1.7763568394002505E-15</v>
      </c>
      <c r="O19" s="75">
        <f>SUM(O20:O25)</f>
        <v>4.6666666666666653E-3</v>
      </c>
      <c r="P19" s="75">
        <f t="shared" si="2"/>
        <v>6.8313005106397318E-2</v>
      </c>
    </row>
    <row r="20" spans="2:16" ht="30" outlineLevel="2" x14ac:dyDescent="0.25">
      <c r="B20" s="7" t="s">
        <v>103</v>
      </c>
      <c r="C20" s="9" t="s">
        <v>12</v>
      </c>
      <c r="D20" s="60" t="s">
        <v>102</v>
      </c>
      <c r="E20" s="39">
        <v>0.08</v>
      </c>
      <c r="F20" s="40">
        <v>0.16</v>
      </c>
      <c r="G20" s="41">
        <v>0.24</v>
      </c>
      <c r="H20" s="42">
        <f t="shared" ref="H20:H25" si="19">(E20+4*F20+G20)/6</f>
        <v>0.16</v>
      </c>
      <c r="I20" s="42">
        <f>J18</f>
        <v>1</v>
      </c>
      <c r="J20" s="42">
        <f>I20+H20</f>
        <v>1.1599999999999999</v>
      </c>
      <c r="K20" s="42">
        <f t="shared" ref="K20:K23" si="20">L21</f>
        <v>1.1599999999999986</v>
      </c>
      <c r="L20" s="42">
        <f t="shared" ref="L20:L23" si="21">K20-H20</f>
        <v>0.99999999999999856</v>
      </c>
      <c r="M20" s="42">
        <f t="shared" si="4"/>
        <v>0</v>
      </c>
      <c r="N20" s="42">
        <f t="shared" si="5"/>
        <v>-1.4432899320127035E-15</v>
      </c>
      <c r="O20" s="76">
        <f t="shared" si="11"/>
        <v>7.1111111111111082E-4</v>
      </c>
      <c r="P20" s="76">
        <f t="shared" si="2"/>
        <v>2.6666666666666661E-2</v>
      </c>
    </row>
    <row r="21" spans="2:16" ht="30" outlineLevel="2" x14ac:dyDescent="0.25">
      <c r="B21" s="8" t="s">
        <v>104</v>
      </c>
      <c r="C21" s="10" t="s">
        <v>13</v>
      </c>
      <c r="D21" s="63" t="s">
        <v>103</v>
      </c>
      <c r="E21" s="46">
        <v>0.08</v>
      </c>
      <c r="F21" s="43">
        <v>0.16</v>
      </c>
      <c r="G21" s="42">
        <v>0.24</v>
      </c>
      <c r="H21" s="42">
        <f t="shared" si="19"/>
        <v>0.16</v>
      </c>
      <c r="I21" s="42">
        <f>J20</f>
        <v>1.1599999999999999</v>
      </c>
      <c r="J21" s="42">
        <f>I21+H21</f>
        <v>1.3199999999999998</v>
      </c>
      <c r="K21" s="42">
        <f t="shared" si="20"/>
        <v>1.3199999999999985</v>
      </c>
      <c r="L21" s="42">
        <f t="shared" si="21"/>
        <v>1.1599999999999986</v>
      </c>
      <c r="M21" s="42">
        <f t="shared" si="4"/>
        <v>0</v>
      </c>
      <c r="N21" s="42">
        <f t="shared" si="5"/>
        <v>0</v>
      </c>
      <c r="O21" s="76">
        <f t="shared" si="11"/>
        <v>7.1111111111111082E-4</v>
      </c>
      <c r="P21" s="76">
        <f t="shared" si="2"/>
        <v>2.6666666666666661E-2</v>
      </c>
    </row>
    <row r="22" spans="2:16" outlineLevel="2" x14ac:dyDescent="0.25">
      <c r="B22" s="8" t="s">
        <v>106</v>
      </c>
      <c r="C22" s="10" t="s">
        <v>14</v>
      </c>
      <c r="D22" s="63" t="s">
        <v>104</v>
      </c>
      <c r="E22" s="46">
        <v>0.08</v>
      </c>
      <c r="F22" s="43">
        <v>0.16</v>
      </c>
      <c r="G22" s="42">
        <v>0.24</v>
      </c>
      <c r="H22" s="42">
        <f t="shared" si="19"/>
        <v>0.16</v>
      </c>
      <c r="I22" s="42">
        <f t="shared" ref="I22:I25" si="22">J21</f>
        <v>1.3199999999999998</v>
      </c>
      <c r="J22" s="42">
        <f t="shared" ref="J22:J23" si="23">I22+H22</f>
        <v>1.4799999999999998</v>
      </c>
      <c r="K22" s="42">
        <f t="shared" si="20"/>
        <v>1.4799999999999984</v>
      </c>
      <c r="L22" s="42">
        <f t="shared" si="21"/>
        <v>1.3199999999999985</v>
      </c>
      <c r="M22" s="42">
        <f t="shared" si="4"/>
        <v>0</v>
      </c>
      <c r="N22" s="42">
        <f t="shared" si="5"/>
        <v>0</v>
      </c>
      <c r="O22" s="76">
        <f t="shared" si="11"/>
        <v>7.1111111111111082E-4</v>
      </c>
      <c r="P22" s="76">
        <f t="shared" si="2"/>
        <v>2.6666666666666661E-2</v>
      </c>
    </row>
    <row r="23" spans="2:16" ht="30" outlineLevel="2" x14ac:dyDescent="0.25">
      <c r="B23" s="8" t="s">
        <v>105</v>
      </c>
      <c r="C23" s="10" t="s">
        <v>15</v>
      </c>
      <c r="D23" s="63" t="s">
        <v>106</v>
      </c>
      <c r="E23" s="46">
        <v>0.08</v>
      </c>
      <c r="F23" s="43">
        <v>0.16</v>
      </c>
      <c r="G23" s="42">
        <v>0.24</v>
      </c>
      <c r="H23" s="42">
        <f t="shared" si="19"/>
        <v>0.16</v>
      </c>
      <c r="I23" s="42">
        <f t="shared" si="22"/>
        <v>1.4799999999999998</v>
      </c>
      <c r="J23" s="42">
        <f t="shared" si="23"/>
        <v>1.6399999999999997</v>
      </c>
      <c r="K23" s="42">
        <f t="shared" si="20"/>
        <v>1.6399999999999983</v>
      </c>
      <c r="L23" s="42">
        <f t="shared" si="21"/>
        <v>1.4799999999999984</v>
      </c>
      <c r="M23" s="42">
        <f t="shared" si="4"/>
        <v>0</v>
      </c>
      <c r="N23" s="42">
        <f t="shared" si="5"/>
        <v>0</v>
      </c>
      <c r="O23" s="76">
        <f t="shared" si="11"/>
        <v>7.1111111111111082E-4</v>
      </c>
      <c r="P23" s="76">
        <f t="shared" si="2"/>
        <v>2.6666666666666661E-2</v>
      </c>
    </row>
    <row r="24" spans="2:16" ht="45" outlineLevel="2" x14ac:dyDescent="0.25">
      <c r="B24" s="8" t="s">
        <v>107</v>
      </c>
      <c r="C24" s="10" t="s">
        <v>16</v>
      </c>
      <c r="D24" s="63" t="s">
        <v>105</v>
      </c>
      <c r="E24" s="46">
        <v>0.08</v>
      </c>
      <c r="F24" s="43">
        <v>0.16</v>
      </c>
      <c r="G24" s="42">
        <v>0.24</v>
      </c>
      <c r="H24" s="42">
        <f t="shared" si="19"/>
        <v>0.16</v>
      </c>
      <c r="I24" s="42">
        <f t="shared" si="22"/>
        <v>1.6399999999999997</v>
      </c>
      <c r="J24" s="42">
        <f t="shared" ref="J24:J25" si="24">I24+H24</f>
        <v>1.7999999999999996</v>
      </c>
      <c r="K24" s="42">
        <f>L25</f>
        <v>1.7999999999999983</v>
      </c>
      <c r="L24" s="42">
        <f>K24-H24</f>
        <v>1.6399999999999983</v>
      </c>
      <c r="M24" s="42">
        <f t="shared" si="4"/>
        <v>0</v>
      </c>
      <c r="N24" s="42">
        <f t="shared" si="5"/>
        <v>0</v>
      </c>
      <c r="O24" s="76">
        <f t="shared" si="11"/>
        <v>7.1111111111111082E-4</v>
      </c>
      <c r="P24" s="76">
        <f t="shared" si="2"/>
        <v>2.6666666666666661E-2</v>
      </c>
    </row>
    <row r="25" spans="2:16" ht="30" outlineLevel="2" x14ac:dyDescent="0.25">
      <c r="B25" s="21" t="s">
        <v>108</v>
      </c>
      <c r="C25" s="22" t="s">
        <v>17</v>
      </c>
      <c r="D25" s="64" t="s">
        <v>107</v>
      </c>
      <c r="E25" s="47">
        <v>0.1</v>
      </c>
      <c r="F25" s="44">
        <v>0.2</v>
      </c>
      <c r="G25" s="45">
        <v>0.3</v>
      </c>
      <c r="H25" s="42">
        <f t="shared" si="19"/>
        <v>0.19999999999999998</v>
      </c>
      <c r="I25" s="42">
        <f t="shared" si="22"/>
        <v>1.7999999999999996</v>
      </c>
      <c r="J25" s="42">
        <f t="shared" si="24"/>
        <v>1.9999999999999996</v>
      </c>
      <c r="K25" s="42">
        <f>L28</f>
        <v>1.9999999999999982</v>
      </c>
      <c r="L25" s="42">
        <f>K25-H25</f>
        <v>1.7999999999999983</v>
      </c>
      <c r="M25" s="42">
        <f t="shared" si="4"/>
        <v>0</v>
      </c>
      <c r="N25" s="42">
        <f t="shared" si="5"/>
        <v>0</v>
      </c>
      <c r="O25" s="76">
        <f t="shared" si="11"/>
        <v>1.1111111111111111E-3</v>
      </c>
      <c r="P25" s="76">
        <f t="shared" si="2"/>
        <v>3.3333333333333333E-2</v>
      </c>
    </row>
    <row r="26" spans="2:16" x14ac:dyDescent="0.25">
      <c r="B26" s="5" t="s">
        <v>47</v>
      </c>
      <c r="C26" s="20" t="s">
        <v>75</v>
      </c>
      <c r="D26" s="65" t="s">
        <v>48</v>
      </c>
      <c r="E26" s="48">
        <f>E27+E33+E37+E41</f>
        <v>4</v>
      </c>
      <c r="F26" s="49">
        <f t="shared" ref="F26:G26" si="25">F27+F33+F37+F41</f>
        <v>5</v>
      </c>
      <c r="G26" s="50">
        <f t="shared" si="25"/>
        <v>6</v>
      </c>
      <c r="H26" s="35">
        <f>(E26+4*F26+G26)/6</f>
        <v>5</v>
      </c>
      <c r="I26" s="35">
        <f>J8</f>
        <v>2</v>
      </c>
      <c r="J26" s="35">
        <f>I26+H26</f>
        <v>7</v>
      </c>
      <c r="K26" s="35">
        <f>L46</f>
        <v>7</v>
      </c>
      <c r="L26" s="35">
        <f>K26-H26</f>
        <v>2</v>
      </c>
      <c r="M26" s="35">
        <f t="shared" si="4"/>
        <v>0</v>
      </c>
      <c r="N26" s="35">
        <f t="shared" si="5"/>
        <v>0</v>
      </c>
      <c r="O26" s="77">
        <f>O27+O33+O37+O41</f>
        <v>8.7763888888888891E-3</v>
      </c>
      <c r="P26" s="77">
        <f t="shared" si="2"/>
        <v>9.3682383023111063E-2</v>
      </c>
    </row>
    <row r="27" spans="2:16" outlineLevel="1" x14ac:dyDescent="0.25">
      <c r="B27" s="6" t="s">
        <v>52</v>
      </c>
      <c r="C27" s="23" t="s">
        <v>92</v>
      </c>
      <c r="D27" s="62" t="s">
        <v>51</v>
      </c>
      <c r="E27" s="36">
        <f>SUM(E28:E32)</f>
        <v>0.79999999999999993</v>
      </c>
      <c r="F27" s="37">
        <f>SUM(F28:F32)</f>
        <v>1</v>
      </c>
      <c r="G27" s="38">
        <f>SUM(G28:G32)</f>
        <v>1.1999999999999997</v>
      </c>
      <c r="H27" s="38">
        <f>(E27+4*F27+G27)/6</f>
        <v>1</v>
      </c>
      <c r="I27" s="38">
        <f>J19</f>
        <v>2</v>
      </c>
      <c r="J27" s="38">
        <f>I27+H27</f>
        <v>3</v>
      </c>
      <c r="K27" s="38">
        <f>L33</f>
        <v>2.9999999999999982</v>
      </c>
      <c r="L27" s="38">
        <f>K27-H27</f>
        <v>1.9999999999999982</v>
      </c>
      <c r="M27" s="38">
        <f t="shared" si="4"/>
        <v>0</v>
      </c>
      <c r="N27" s="38">
        <f t="shared" si="5"/>
        <v>-1.7763568394002505E-15</v>
      </c>
      <c r="O27" s="75">
        <f>SUM(O28:O32)</f>
        <v>8.9444444444444402E-4</v>
      </c>
      <c r="P27" s="75">
        <f t="shared" si="2"/>
        <v>2.990726407487726E-2</v>
      </c>
    </row>
    <row r="28" spans="2:16" outlineLevel="2" x14ac:dyDescent="0.25">
      <c r="B28" s="7" t="s">
        <v>109</v>
      </c>
      <c r="C28" s="9" t="s">
        <v>31</v>
      </c>
      <c r="D28" s="60" t="s">
        <v>108</v>
      </c>
      <c r="E28" s="39">
        <v>0.15</v>
      </c>
      <c r="F28" s="40">
        <f>E28*1.25</f>
        <v>0.1875</v>
      </c>
      <c r="G28" s="41">
        <f>F28*1.2</f>
        <v>0.22499999999999998</v>
      </c>
      <c r="H28" s="42">
        <f t="shared" ref="H28:H32" si="26">(E28+4*F28+G28)/6</f>
        <v>0.1875</v>
      </c>
      <c r="I28" s="42">
        <f>J25</f>
        <v>1.9999999999999996</v>
      </c>
      <c r="J28" s="42">
        <f>I28+H28</f>
        <v>2.1874999999999996</v>
      </c>
      <c r="K28" s="42">
        <f>L29</f>
        <v>2.1874999999999982</v>
      </c>
      <c r="L28" s="42">
        <f t="shared" ref="L28:L30" si="27">K28-H28</f>
        <v>1.9999999999999982</v>
      </c>
      <c r="M28" s="42">
        <f t="shared" si="4"/>
        <v>0</v>
      </c>
      <c r="N28" s="42">
        <f t="shared" si="5"/>
        <v>0</v>
      </c>
      <c r="O28" s="76">
        <f t="shared" si="11"/>
        <v>1.5624999999999992E-4</v>
      </c>
      <c r="P28" s="76">
        <f t="shared" si="2"/>
        <v>1.2499999999999997E-2</v>
      </c>
    </row>
    <row r="29" spans="2:16" outlineLevel="2" x14ac:dyDescent="0.25">
      <c r="B29" s="8" t="s">
        <v>110</v>
      </c>
      <c r="C29" s="10" t="s">
        <v>32</v>
      </c>
      <c r="D29" s="63" t="s">
        <v>109</v>
      </c>
      <c r="E29" s="46">
        <v>0.15</v>
      </c>
      <c r="F29" s="40">
        <f t="shared" ref="F29:F32" si="28">E29*1.25</f>
        <v>0.1875</v>
      </c>
      <c r="G29" s="41">
        <f t="shared" ref="G29:G32" si="29">F29*1.2</f>
        <v>0.22499999999999998</v>
      </c>
      <c r="H29" s="42">
        <f t="shared" si="26"/>
        <v>0.1875</v>
      </c>
      <c r="I29" s="42">
        <f>J28</f>
        <v>2.1874999999999996</v>
      </c>
      <c r="J29" s="42">
        <f>I29+H29</f>
        <v>2.3749999999999996</v>
      </c>
      <c r="K29" s="42">
        <f>L30</f>
        <v>2.3749999999999982</v>
      </c>
      <c r="L29" s="42">
        <f t="shared" si="27"/>
        <v>2.1874999999999982</v>
      </c>
      <c r="M29" s="42">
        <f t="shared" si="4"/>
        <v>0</v>
      </c>
      <c r="N29" s="42">
        <f t="shared" si="5"/>
        <v>0</v>
      </c>
      <c r="O29" s="76">
        <f t="shared" si="11"/>
        <v>1.5624999999999992E-4</v>
      </c>
      <c r="P29" s="76">
        <f t="shared" si="2"/>
        <v>1.2499999999999997E-2</v>
      </c>
    </row>
    <row r="30" spans="2:16" outlineLevel="2" x14ac:dyDescent="0.25">
      <c r="B30" s="8" t="s">
        <v>111</v>
      </c>
      <c r="C30" s="10" t="s">
        <v>33</v>
      </c>
      <c r="D30" s="63" t="s">
        <v>110</v>
      </c>
      <c r="E30" s="46">
        <v>0.17</v>
      </c>
      <c r="F30" s="40">
        <f t="shared" si="28"/>
        <v>0.21250000000000002</v>
      </c>
      <c r="G30" s="41">
        <f t="shared" si="29"/>
        <v>0.255</v>
      </c>
      <c r="H30" s="42">
        <f t="shared" si="26"/>
        <v>0.21249999999999999</v>
      </c>
      <c r="I30" s="42">
        <f t="shared" ref="I30:I32" si="30">J29</f>
        <v>2.3749999999999996</v>
      </c>
      <c r="J30" s="42">
        <f t="shared" ref="J30:J32" si="31">I30+H30</f>
        <v>2.5874999999999995</v>
      </c>
      <c r="K30" s="42">
        <f>L31</f>
        <v>2.5874999999999981</v>
      </c>
      <c r="L30" s="42">
        <f t="shared" si="27"/>
        <v>2.3749999999999982</v>
      </c>
      <c r="M30" s="42">
        <f t="shared" si="4"/>
        <v>0</v>
      </c>
      <c r="N30" s="42">
        <f t="shared" si="5"/>
        <v>0</v>
      </c>
      <c r="O30" s="76">
        <f t="shared" si="11"/>
        <v>2.0069444444444442E-4</v>
      </c>
      <c r="P30" s="76">
        <f t="shared" si="2"/>
        <v>1.4166666666666666E-2</v>
      </c>
    </row>
    <row r="31" spans="2:16" ht="30" outlineLevel="2" x14ac:dyDescent="0.25">
      <c r="B31" s="8" t="s">
        <v>112</v>
      </c>
      <c r="C31" s="10" t="s">
        <v>34</v>
      </c>
      <c r="D31" s="63" t="s">
        <v>111</v>
      </c>
      <c r="E31" s="46">
        <v>0.18</v>
      </c>
      <c r="F31" s="40">
        <f t="shared" si="28"/>
        <v>0.22499999999999998</v>
      </c>
      <c r="G31" s="41">
        <f t="shared" si="29"/>
        <v>0.26999999999999996</v>
      </c>
      <c r="H31" s="42">
        <f t="shared" si="26"/>
        <v>0.22499999999999998</v>
      </c>
      <c r="I31" s="42">
        <f t="shared" si="30"/>
        <v>2.5874999999999995</v>
      </c>
      <c r="J31" s="42">
        <f t="shared" si="31"/>
        <v>2.8124999999999996</v>
      </c>
      <c r="K31" s="42">
        <f>L32</f>
        <v>2.8124999999999982</v>
      </c>
      <c r="L31" s="42">
        <f>K31-H31</f>
        <v>2.5874999999999981</v>
      </c>
      <c r="M31" s="42">
        <f t="shared" si="4"/>
        <v>0</v>
      </c>
      <c r="N31" s="42">
        <f t="shared" si="5"/>
        <v>0</v>
      </c>
      <c r="O31" s="76">
        <f t="shared" si="11"/>
        <v>2.2499999999999983E-4</v>
      </c>
      <c r="P31" s="76">
        <f t="shared" si="2"/>
        <v>1.4999999999999994E-2</v>
      </c>
    </row>
    <row r="32" spans="2:16" outlineLevel="2" x14ac:dyDescent="0.25">
      <c r="B32" s="21" t="s">
        <v>113</v>
      </c>
      <c r="C32" s="22" t="s">
        <v>35</v>
      </c>
      <c r="D32" s="64" t="s">
        <v>112</v>
      </c>
      <c r="E32" s="47">
        <v>0.15</v>
      </c>
      <c r="F32" s="40">
        <f t="shared" si="28"/>
        <v>0.1875</v>
      </c>
      <c r="G32" s="41">
        <f t="shared" si="29"/>
        <v>0.22499999999999998</v>
      </c>
      <c r="H32" s="42">
        <f t="shared" si="26"/>
        <v>0.1875</v>
      </c>
      <c r="I32" s="42">
        <f t="shared" si="30"/>
        <v>2.8124999999999996</v>
      </c>
      <c r="J32" s="42">
        <f t="shared" si="31"/>
        <v>2.9999999999999996</v>
      </c>
      <c r="K32" s="42">
        <f>L34</f>
        <v>2.9999999999999982</v>
      </c>
      <c r="L32" s="42">
        <f>K32-H32</f>
        <v>2.8124999999999982</v>
      </c>
      <c r="M32" s="42">
        <f t="shared" si="4"/>
        <v>0</v>
      </c>
      <c r="N32" s="42">
        <f t="shared" si="5"/>
        <v>0</v>
      </c>
      <c r="O32" s="76">
        <f t="shared" si="11"/>
        <v>1.5624999999999992E-4</v>
      </c>
      <c r="P32" s="76">
        <f t="shared" si="2"/>
        <v>1.2499999999999997E-2</v>
      </c>
    </row>
    <row r="33" spans="2:16" outlineLevel="1" x14ac:dyDescent="0.25">
      <c r="B33" s="6" t="s">
        <v>53</v>
      </c>
      <c r="C33" s="23" t="s">
        <v>91</v>
      </c>
      <c r="D33" s="62" t="s">
        <v>52</v>
      </c>
      <c r="E33" s="36">
        <f>SUM(E34:E36)</f>
        <v>1.4</v>
      </c>
      <c r="F33" s="37">
        <f>SUM(F34:F36)</f>
        <v>1.75</v>
      </c>
      <c r="G33" s="38">
        <f>SUM(G34:G36)</f>
        <v>2.1</v>
      </c>
      <c r="H33" s="38">
        <f>(E33+4*F33+G33)/6</f>
        <v>1.75</v>
      </c>
      <c r="I33" s="38">
        <f>J27</f>
        <v>3</v>
      </c>
      <c r="J33" s="38">
        <f>I33+H33</f>
        <v>4.75</v>
      </c>
      <c r="K33" s="38">
        <f>L37</f>
        <v>4.7499999999999982</v>
      </c>
      <c r="L33" s="38">
        <f>K33-H33</f>
        <v>2.9999999999999982</v>
      </c>
      <c r="M33" s="38">
        <f t="shared" si="4"/>
        <v>0</v>
      </c>
      <c r="N33" s="38">
        <f t="shared" si="5"/>
        <v>0</v>
      </c>
      <c r="O33" s="75">
        <f>SUM(O34:O36)</f>
        <v>4.5486111111111118E-3</v>
      </c>
      <c r="P33" s="75">
        <f t="shared" si="2"/>
        <v>6.7443391900994368E-2</v>
      </c>
    </row>
    <row r="34" spans="2:16" ht="30" outlineLevel="2" x14ac:dyDescent="0.25">
      <c r="B34" s="7" t="s">
        <v>114</v>
      </c>
      <c r="C34" s="9" t="s">
        <v>36</v>
      </c>
      <c r="D34" s="60" t="s">
        <v>113</v>
      </c>
      <c r="E34" s="39">
        <v>0.45</v>
      </c>
      <c r="F34" s="40">
        <f>E34*1.25</f>
        <v>0.5625</v>
      </c>
      <c r="G34" s="41">
        <f>E34*1.5</f>
        <v>0.67500000000000004</v>
      </c>
      <c r="H34" s="42">
        <f t="shared" ref="H34:H36" si="32">(E34+4*F34+G34)/6</f>
        <v>0.5625</v>
      </c>
      <c r="I34" s="42">
        <f>J32</f>
        <v>2.9999999999999996</v>
      </c>
      <c r="J34" s="42">
        <f>I34+H34</f>
        <v>3.5624999999999996</v>
      </c>
      <c r="K34" s="42">
        <f>L35</f>
        <v>3.5624999999999982</v>
      </c>
      <c r="L34" s="42">
        <f t="shared" ref="L34:L35" si="33">K34-H34</f>
        <v>2.9999999999999982</v>
      </c>
      <c r="M34" s="42">
        <f t="shared" si="4"/>
        <v>0</v>
      </c>
      <c r="N34" s="42">
        <f t="shared" si="5"/>
        <v>0</v>
      </c>
      <c r="O34" s="76">
        <f t="shared" si="11"/>
        <v>1.4062500000000004E-3</v>
      </c>
      <c r="P34" s="76">
        <f t="shared" si="2"/>
        <v>3.7500000000000006E-2</v>
      </c>
    </row>
    <row r="35" spans="2:16" outlineLevel="2" x14ac:dyDescent="0.25">
      <c r="B35" s="8" t="s">
        <v>115</v>
      </c>
      <c r="C35" s="10" t="s">
        <v>37</v>
      </c>
      <c r="D35" s="63" t="s">
        <v>114</v>
      </c>
      <c r="E35" s="46">
        <v>0.45</v>
      </c>
      <c r="F35" s="40">
        <f t="shared" ref="F35:F36" si="34">E35*1.25</f>
        <v>0.5625</v>
      </c>
      <c r="G35" s="41">
        <f t="shared" ref="G35:G36" si="35">E35*1.5</f>
        <v>0.67500000000000004</v>
      </c>
      <c r="H35" s="42">
        <f t="shared" si="32"/>
        <v>0.5625</v>
      </c>
      <c r="I35" s="42">
        <f>J34</f>
        <v>3.5624999999999996</v>
      </c>
      <c r="J35" s="42">
        <f>I35+H35</f>
        <v>4.125</v>
      </c>
      <c r="K35" s="42">
        <f>L36</f>
        <v>4.1249999999999982</v>
      </c>
      <c r="L35" s="42">
        <f t="shared" si="33"/>
        <v>3.5624999999999982</v>
      </c>
      <c r="M35" s="42">
        <f t="shared" si="4"/>
        <v>0</v>
      </c>
      <c r="N35" s="42">
        <f t="shared" si="5"/>
        <v>0</v>
      </c>
      <c r="O35" s="76">
        <f t="shared" si="11"/>
        <v>1.4062500000000004E-3</v>
      </c>
      <c r="P35" s="76">
        <f t="shared" si="2"/>
        <v>3.7500000000000006E-2</v>
      </c>
    </row>
    <row r="36" spans="2:16" outlineLevel="2" x14ac:dyDescent="0.25">
      <c r="B36" s="21" t="s">
        <v>116</v>
      </c>
      <c r="C36" s="22" t="s">
        <v>38</v>
      </c>
      <c r="D36" s="64" t="s">
        <v>115</v>
      </c>
      <c r="E36" s="47">
        <v>0.5</v>
      </c>
      <c r="F36" s="40">
        <f t="shared" si="34"/>
        <v>0.625</v>
      </c>
      <c r="G36" s="41">
        <f t="shared" si="35"/>
        <v>0.75</v>
      </c>
      <c r="H36" s="42">
        <f t="shared" si="32"/>
        <v>0.625</v>
      </c>
      <c r="I36" s="42">
        <f t="shared" ref="I36" si="36">J35</f>
        <v>4.125</v>
      </c>
      <c r="J36" s="42">
        <f t="shared" ref="J36" si="37">I36+H36</f>
        <v>4.75</v>
      </c>
      <c r="K36" s="42">
        <f>L38</f>
        <v>4.7499999999999982</v>
      </c>
      <c r="L36" s="42">
        <f>K36-H36</f>
        <v>4.1249999999999982</v>
      </c>
      <c r="M36" s="42">
        <f t="shared" si="4"/>
        <v>0</v>
      </c>
      <c r="N36" s="42">
        <f t="shared" si="5"/>
        <v>0</v>
      </c>
      <c r="O36" s="76">
        <f t="shared" si="11"/>
        <v>1.736111111111111E-3</v>
      </c>
      <c r="P36" s="76">
        <f t="shared" si="2"/>
        <v>4.1666666666666664E-2</v>
      </c>
    </row>
    <row r="37" spans="2:16" outlineLevel="1" x14ac:dyDescent="0.25">
      <c r="B37" s="6" t="s">
        <v>54</v>
      </c>
      <c r="C37" s="23" t="s">
        <v>90</v>
      </c>
      <c r="D37" s="62" t="s">
        <v>53</v>
      </c>
      <c r="E37" s="36">
        <f>SUM(E38:E40)</f>
        <v>0.8</v>
      </c>
      <c r="F37" s="37">
        <f>SUM(F38:F40)</f>
        <v>1</v>
      </c>
      <c r="G37" s="38">
        <f>SUM(G38:G40)</f>
        <v>1.2</v>
      </c>
      <c r="H37" s="38">
        <f>(E37+4*F37+G37)/6</f>
        <v>1</v>
      </c>
      <c r="I37" s="38">
        <f>J33</f>
        <v>4.75</v>
      </c>
      <c r="J37" s="38">
        <f>I37+H37</f>
        <v>5.75</v>
      </c>
      <c r="K37" s="38">
        <f>L41</f>
        <v>5.7499999999999982</v>
      </c>
      <c r="L37" s="38">
        <f>K37-H37</f>
        <v>4.7499999999999982</v>
      </c>
      <c r="M37" s="38">
        <f t="shared" si="4"/>
        <v>0</v>
      </c>
      <c r="N37" s="38">
        <f t="shared" si="5"/>
        <v>0</v>
      </c>
      <c r="O37" s="75">
        <f>SUM(O38:O40)</f>
        <v>1.527777777777777E-3</v>
      </c>
      <c r="P37" s="75">
        <f t="shared" si="2"/>
        <v>3.9086797998528572E-2</v>
      </c>
    </row>
    <row r="38" spans="2:16" outlineLevel="2" x14ac:dyDescent="0.25">
      <c r="B38" s="7" t="s">
        <v>117</v>
      </c>
      <c r="C38" s="9" t="s">
        <v>39</v>
      </c>
      <c r="D38" s="60" t="s">
        <v>116</v>
      </c>
      <c r="E38" s="39">
        <v>0.3</v>
      </c>
      <c r="F38" s="40">
        <f>E38*1.25</f>
        <v>0.375</v>
      </c>
      <c r="G38" s="41">
        <f>F38*1.2</f>
        <v>0.44999999999999996</v>
      </c>
      <c r="H38" s="42">
        <f t="shared" ref="H38:H40" si="38">(E38+4*F38+G38)/6</f>
        <v>0.375</v>
      </c>
      <c r="I38" s="42">
        <f>J36</f>
        <v>4.75</v>
      </c>
      <c r="J38" s="42">
        <f>I38+H38</f>
        <v>5.125</v>
      </c>
      <c r="K38" s="42">
        <f>L39</f>
        <v>5.1249999999999982</v>
      </c>
      <c r="L38" s="42">
        <f t="shared" ref="L38:L39" si="39">K38-H38</f>
        <v>4.7499999999999982</v>
      </c>
      <c r="M38" s="42">
        <f t="shared" si="4"/>
        <v>0</v>
      </c>
      <c r="N38" s="42">
        <f t="shared" si="5"/>
        <v>0</v>
      </c>
      <c r="O38" s="76">
        <f t="shared" si="11"/>
        <v>6.2499999999999969E-4</v>
      </c>
      <c r="P38" s="76">
        <f t="shared" si="2"/>
        <v>2.4999999999999994E-2</v>
      </c>
    </row>
    <row r="39" spans="2:16" outlineLevel="2" x14ac:dyDescent="0.25">
      <c r="B39" s="8" t="s">
        <v>118</v>
      </c>
      <c r="C39" s="10" t="s">
        <v>40</v>
      </c>
      <c r="D39" s="63" t="s">
        <v>117</v>
      </c>
      <c r="E39" s="46">
        <v>0.2</v>
      </c>
      <c r="F39" s="40">
        <f t="shared" ref="F39:F40" si="40">E39*1.25</f>
        <v>0.25</v>
      </c>
      <c r="G39" s="41">
        <f t="shared" ref="G39:G40" si="41">F39*1.2</f>
        <v>0.3</v>
      </c>
      <c r="H39" s="42">
        <f t="shared" si="38"/>
        <v>0.25</v>
      </c>
      <c r="I39" s="42">
        <f>J38</f>
        <v>5.125</v>
      </c>
      <c r="J39" s="42">
        <f>I39+H39</f>
        <v>5.375</v>
      </c>
      <c r="K39" s="42">
        <f>L40</f>
        <v>5.3749999999999982</v>
      </c>
      <c r="L39" s="42">
        <f t="shared" si="39"/>
        <v>5.1249999999999982</v>
      </c>
      <c r="M39" s="42">
        <f t="shared" si="4"/>
        <v>0</v>
      </c>
      <c r="N39" s="42">
        <f t="shared" si="5"/>
        <v>0</v>
      </c>
      <c r="O39" s="76">
        <f t="shared" si="11"/>
        <v>2.7777777777777767E-4</v>
      </c>
      <c r="P39" s="76">
        <f t="shared" si="2"/>
        <v>1.6666666666666663E-2</v>
      </c>
    </row>
    <row r="40" spans="2:16" outlineLevel="2" x14ac:dyDescent="0.25">
      <c r="B40" s="21" t="s">
        <v>119</v>
      </c>
      <c r="C40" s="22" t="s">
        <v>41</v>
      </c>
      <c r="D40" s="64" t="s">
        <v>118</v>
      </c>
      <c r="E40" s="47">
        <v>0.3</v>
      </c>
      <c r="F40" s="40">
        <f t="shared" si="40"/>
        <v>0.375</v>
      </c>
      <c r="G40" s="41">
        <f t="shared" si="41"/>
        <v>0.44999999999999996</v>
      </c>
      <c r="H40" s="42">
        <f t="shared" si="38"/>
        <v>0.375</v>
      </c>
      <c r="I40" s="42">
        <f t="shared" ref="I40" si="42">J39</f>
        <v>5.375</v>
      </c>
      <c r="J40" s="42">
        <f t="shared" ref="J40" si="43">I40+H40</f>
        <v>5.75</v>
      </c>
      <c r="K40" s="42">
        <f>L42</f>
        <v>5.7499999999999982</v>
      </c>
      <c r="L40" s="42">
        <f>K40-H40</f>
        <v>5.3749999999999982</v>
      </c>
      <c r="M40" s="42">
        <f t="shared" si="4"/>
        <v>0</v>
      </c>
      <c r="N40" s="42">
        <f t="shared" si="5"/>
        <v>0</v>
      </c>
      <c r="O40" s="76">
        <f t="shared" si="11"/>
        <v>6.2499999999999969E-4</v>
      </c>
      <c r="P40" s="76">
        <f t="shared" si="2"/>
        <v>2.4999999999999994E-2</v>
      </c>
    </row>
    <row r="41" spans="2:16" outlineLevel="1" x14ac:dyDescent="0.25">
      <c r="B41" s="6" t="s">
        <v>55</v>
      </c>
      <c r="C41" s="23" t="s">
        <v>89</v>
      </c>
      <c r="D41" s="62" t="s">
        <v>54</v>
      </c>
      <c r="E41" s="36">
        <f>SUM(E42:E45)</f>
        <v>1</v>
      </c>
      <c r="F41" s="37">
        <f t="shared" ref="F41" si="44">SUM(F42:F45)</f>
        <v>1.25</v>
      </c>
      <c r="G41" s="38">
        <f t="shared" ref="G41" si="45">SUM(G42:G45)</f>
        <v>1.5</v>
      </c>
      <c r="H41" s="38">
        <f>(E41+4*F41+G41)/6</f>
        <v>1.25</v>
      </c>
      <c r="I41" s="38">
        <f>J37</f>
        <v>5.75</v>
      </c>
      <c r="J41" s="38">
        <f>I41+H41</f>
        <v>7</v>
      </c>
      <c r="K41" s="38">
        <f>L47</f>
        <v>6.9999999999999982</v>
      </c>
      <c r="L41" s="38">
        <f>K41-H41</f>
        <v>5.7499999999999982</v>
      </c>
      <c r="M41" s="38">
        <f t="shared" si="4"/>
        <v>0</v>
      </c>
      <c r="N41" s="38">
        <f t="shared" si="5"/>
        <v>0</v>
      </c>
      <c r="O41" s="75">
        <f>SUM(O42:O45)</f>
        <v>1.8055555555555555E-3</v>
      </c>
      <c r="P41" s="75">
        <f t="shared" si="2"/>
        <v>4.2491829279939872E-2</v>
      </c>
    </row>
    <row r="42" spans="2:16" outlineLevel="2" x14ac:dyDescent="0.25">
      <c r="B42" s="7" t="s">
        <v>120</v>
      </c>
      <c r="C42" s="9" t="s">
        <v>141</v>
      </c>
      <c r="D42" s="60" t="s">
        <v>119</v>
      </c>
      <c r="E42" s="39">
        <v>0.2</v>
      </c>
      <c r="F42" s="40">
        <f>E42*1.25</f>
        <v>0.25</v>
      </c>
      <c r="G42" s="41">
        <f>E42*1.5</f>
        <v>0.30000000000000004</v>
      </c>
      <c r="H42" s="42">
        <f t="shared" ref="H42:H45" si="46">(E42+4*F42+G42)/6</f>
        <v>0.25</v>
      </c>
      <c r="I42" s="42">
        <f>J40</f>
        <v>5.75</v>
      </c>
      <c r="J42" s="42">
        <f>I42+H42</f>
        <v>6</v>
      </c>
      <c r="K42" s="42">
        <f t="shared" ref="K42:K43" si="47">L43</f>
        <v>5.9999999999999982</v>
      </c>
      <c r="L42" s="42">
        <f t="shared" ref="L42:L43" si="48">K42-H42</f>
        <v>5.7499999999999982</v>
      </c>
      <c r="M42" s="42">
        <f t="shared" si="4"/>
        <v>0</v>
      </c>
      <c r="N42" s="42">
        <f t="shared" si="5"/>
        <v>0</v>
      </c>
      <c r="O42" s="76">
        <f t="shared" si="11"/>
        <v>2.7777777777777799E-4</v>
      </c>
      <c r="P42" s="76">
        <f t="shared" si="2"/>
        <v>1.6666666666666673E-2</v>
      </c>
    </row>
    <row r="43" spans="2:16" ht="30" outlineLevel="2" x14ac:dyDescent="0.25">
      <c r="B43" s="8" t="s">
        <v>121</v>
      </c>
      <c r="C43" s="10" t="s">
        <v>156</v>
      </c>
      <c r="D43" s="63" t="s">
        <v>120</v>
      </c>
      <c r="E43" s="46">
        <v>0.3</v>
      </c>
      <c r="F43" s="40">
        <f t="shared" ref="F43:F45" si="49">E43*1.25</f>
        <v>0.375</v>
      </c>
      <c r="G43" s="41">
        <f t="shared" ref="G43:G45" si="50">E43*1.5</f>
        <v>0.44999999999999996</v>
      </c>
      <c r="H43" s="42">
        <f t="shared" si="46"/>
        <v>0.375</v>
      </c>
      <c r="I43" s="42">
        <f>J42</f>
        <v>6</v>
      </c>
      <c r="J43" s="42">
        <f>I43+H43</f>
        <v>6.375</v>
      </c>
      <c r="K43" s="42">
        <f t="shared" si="47"/>
        <v>6.3749999999999982</v>
      </c>
      <c r="L43" s="42">
        <f t="shared" si="48"/>
        <v>5.9999999999999982</v>
      </c>
      <c r="M43" s="42">
        <f t="shared" si="4"/>
        <v>0</v>
      </c>
      <c r="N43" s="42">
        <f t="shared" si="5"/>
        <v>0</v>
      </c>
      <c r="O43" s="76">
        <f t="shared" si="11"/>
        <v>6.2499999999999969E-4</v>
      </c>
      <c r="P43" s="76">
        <f t="shared" si="2"/>
        <v>2.4999999999999994E-2</v>
      </c>
    </row>
    <row r="44" spans="2:16" outlineLevel="2" x14ac:dyDescent="0.25">
      <c r="B44" s="8" t="s">
        <v>122</v>
      </c>
      <c r="C44" s="10" t="s">
        <v>42</v>
      </c>
      <c r="D44" s="63" t="s">
        <v>121</v>
      </c>
      <c r="E44" s="46">
        <v>0.2</v>
      </c>
      <c r="F44" s="40">
        <f t="shared" si="49"/>
        <v>0.25</v>
      </c>
      <c r="G44" s="41">
        <f t="shared" si="50"/>
        <v>0.30000000000000004</v>
      </c>
      <c r="H44" s="42">
        <f t="shared" si="46"/>
        <v>0.25</v>
      </c>
      <c r="I44" s="42">
        <f t="shared" ref="I44:I45" si="51">J43</f>
        <v>6.375</v>
      </c>
      <c r="J44" s="42">
        <f t="shared" ref="J44" si="52">I44+H44</f>
        <v>6.625</v>
      </c>
      <c r="K44" s="42">
        <f>L45</f>
        <v>6.6249999999999982</v>
      </c>
      <c r="L44" s="42">
        <f t="shared" ref="L44:L55" si="53">K44-H44</f>
        <v>6.3749999999999982</v>
      </c>
      <c r="M44" s="42">
        <f t="shared" si="4"/>
        <v>0</v>
      </c>
      <c r="N44" s="42">
        <f t="shared" si="5"/>
        <v>0</v>
      </c>
      <c r="O44" s="76">
        <f t="shared" si="11"/>
        <v>2.7777777777777799E-4</v>
      </c>
      <c r="P44" s="76">
        <f t="shared" si="2"/>
        <v>1.6666666666666673E-2</v>
      </c>
    </row>
    <row r="45" spans="2:16" ht="30" outlineLevel="2" x14ac:dyDescent="0.25">
      <c r="B45" s="21" t="s">
        <v>123</v>
      </c>
      <c r="C45" s="22" t="s">
        <v>43</v>
      </c>
      <c r="D45" s="64" t="s">
        <v>122</v>
      </c>
      <c r="E45" s="47">
        <v>0.3</v>
      </c>
      <c r="F45" s="40">
        <f t="shared" si="49"/>
        <v>0.375</v>
      </c>
      <c r="G45" s="41">
        <f t="shared" si="50"/>
        <v>0.44999999999999996</v>
      </c>
      <c r="H45" s="42">
        <f t="shared" si="46"/>
        <v>0.375</v>
      </c>
      <c r="I45" s="42">
        <f t="shared" si="51"/>
        <v>6.625</v>
      </c>
      <c r="J45" s="42">
        <f t="shared" ref="J45" si="54">I45+H45</f>
        <v>7</v>
      </c>
      <c r="K45" s="42">
        <f>L47</f>
        <v>6.9999999999999982</v>
      </c>
      <c r="L45" s="42">
        <f t="shared" si="53"/>
        <v>6.6249999999999982</v>
      </c>
      <c r="M45" s="42">
        <f t="shared" si="4"/>
        <v>0</v>
      </c>
      <c r="N45" s="42">
        <f t="shared" si="5"/>
        <v>0</v>
      </c>
      <c r="O45" s="76">
        <f t="shared" si="11"/>
        <v>6.2499999999999969E-4</v>
      </c>
      <c r="P45" s="76">
        <f t="shared" si="2"/>
        <v>2.4999999999999994E-2</v>
      </c>
    </row>
    <row r="46" spans="2:16" x14ac:dyDescent="0.25">
      <c r="B46" s="24" t="s">
        <v>56</v>
      </c>
      <c r="C46" s="25" t="s">
        <v>76</v>
      </c>
      <c r="D46" s="65" t="s">
        <v>47</v>
      </c>
      <c r="E46" s="48">
        <f>E47+E48+E51</f>
        <v>4</v>
      </c>
      <c r="F46" s="49">
        <f t="shared" ref="F46:G46" si="55">F47+F48+F51</f>
        <v>5</v>
      </c>
      <c r="G46" s="50">
        <f t="shared" si="55"/>
        <v>5.9999999999999991</v>
      </c>
      <c r="H46" s="35">
        <f>(E46+4*F46+G46)/6</f>
        <v>5</v>
      </c>
      <c r="I46" s="35">
        <f>J26</f>
        <v>7</v>
      </c>
      <c r="J46" s="35">
        <f t="shared" ref="J46:J55" si="56">I46+H46</f>
        <v>12</v>
      </c>
      <c r="K46" s="35">
        <f>L54</f>
        <v>12</v>
      </c>
      <c r="L46" s="35">
        <f t="shared" si="53"/>
        <v>7</v>
      </c>
      <c r="M46" s="35">
        <f t="shared" si="4"/>
        <v>0</v>
      </c>
      <c r="N46" s="35">
        <f t="shared" si="5"/>
        <v>0</v>
      </c>
      <c r="O46" s="77">
        <f>O47+O48+O51</f>
        <v>3.4722222222222203E-2</v>
      </c>
      <c r="P46" s="77">
        <f t="shared" si="2"/>
        <v>0.18633899812498242</v>
      </c>
    </row>
    <row r="47" spans="2:16" outlineLevel="1" x14ac:dyDescent="0.25">
      <c r="B47" s="6" t="s">
        <v>57</v>
      </c>
      <c r="C47" s="23" t="s">
        <v>88</v>
      </c>
      <c r="D47" s="62" t="s">
        <v>144</v>
      </c>
      <c r="E47" s="36">
        <v>0.8</v>
      </c>
      <c r="F47" s="37">
        <v>1</v>
      </c>
      <c r="G47" s="38">
        <v>1.2</v>
      </c>
      <c r="H47" s="38">
        <f>(E47+4*F47+G47)/6</f>
        <v>1</v>
      </c>
      <c r="I47" s="38">
        <f>J41</f>
        <v>7</v>
      </c>
      <c r="J47" s="38">
        <f t="shared" si="56"/>
        <v>8</v>
      </c>
      <c r="K47" s="38">
        <f>L48</f>
        <v>7.9999999999999982</v>
      </c>
      <c r="L47" s="38">
        <f t="shared" si="53"/>
        <v>6.9999999999999982</v>
      </c>
      <c r="M47" s="38">
        <f t="shared" si="4"/>
        <v>0</v>
      </c>
      <c r="N47" s="38">
        <f t="shared" si="5"/>
        <v>0</v>
      </c>
      <c r="O47" s="75">
        <f>((G47-E47)/6)^2</f>
        <v>4.4444444444444427E-3</v>
      </c>
      <c r="P47" s="75">
        <f t="shared" si="2"/>
        <v>6.6666666666666652E-2</v>
      </c>
    </row>
    <row r="48" spans="2:16" outlineLevel="1" x14ac:dyDescent="0.25">
      <c r="B48" s="18" t="s">
        <v>58</v>
      </c>
      <c r="C48" s="19" t="s">
        <v>87</v>
      </c>
      <c r="D48" s="59" t="s">
        <v>57</v>
      </c>
      <c r="E48" s="36">
        <f>SUM(E49:E50)</f>
        <v>2</v>
      </c>
      <c r="F48" s="37">
        <f>SUM(F49:F50)</f>
        <v>2.5</v>
      </c>
      <c r="G48" s="38">
        <f>SUM(G49:G50)</f>
        <v>2.9999999999999996</v>
      </c>
      <c r="H48" s="38">
        <f>(E48+4*F48+G48)/6</f>
        <v>2.5</v>
      </c>
      <c r="I48" s="38">
        <f>J47</f>
        <v>8</v>
      </c>
      <c r="J48" s="38">
        <f t="shared" si="56"/>
        <v>10.5</v>
      </c>
      <c r="K48" s="38">
        <f>L51</f>
        <v>10.499999999999998</v>
      </c>
      <c r="L48" s="38">
        <f t="shared" si="53"/>
        <v>7.9999999999999982</v>
      </c>
      <c r="M48" s="38">
        <f t="shared" si="4"/>
        <v>0</v>
      </c>
      <c r="N48" s="38">
        <f t="shared" si="5"/>
        <v>0</v>
      </c>
      <c r="O48" s="75">
        <f>SUM(O49:O50)</f>
        <v>2.5138888888888877E-2</v>
      </c>
      <c r="P48" s="75">
        <f t="shared" si="2"/>
        <v>0.15855247992033702</v>
      </c>
    </row>
    <row r="49" spans="2:16" outlineLevel="2" x14ac:dyDescent="0.25">
      <c r="B49" s="7" t="s">
        <v>124</v>
      </c>
      <c r="C49" s="9" t="s">
        <v>0</v>
      </c>
      <c r="D49" s="60" t="s">
        <v>57</v>
      </c>
      <c r="E49" s="39">
        <v>0.1</v>
      </c>
      <c r="F49" s="40">
        <f>E49*1.25</f>
        <v>0.125</v>
      </c>
      <c r="G49" s="41">
        <f>E49*1.5</f>
        <v>0.15000000000000002</v>
      </c>
      <c r="H49" s="42">
        <f t="shared" ref="H49:H50" si="57">(E49+4*F49+G49)/6</f>
        <v>0.125</v>
      </c>
      <c r="I49" s="42">
        <f>J47</f>
        <v>8</v>
      </c>
      <c r="J49" s="42">
        <f t="shared" si="56"/>
        <v>8.125</v>
      </c>
      <c r="K49" s="42">
        <f>L50</f>
        <v>8.1250000000000018</v>
      </c>
      <c r="L49" s="42">
        <f t="shared" si="53"/>
        <v>8.0000000000000018</v>
      </c>
      <c r="M49" s="42">
        <f t="shared" si="4"/>
        <v>0</v>
      </c>
      <c r="N49" s="42">
        <f t="shared" si="5"/>
        <v>0</v>
      </c>
      <c r="O49" s="76">
        <f t="shared" si="11"/>
        <v>6.9444444444444499E-5</v>
      </c>
      <c r="P49" s="76">
        <f t="shared" si="2"/>
        <v>8.3333333333333367E-3</v>
      </c>
    </row>
    <row r="50" spans="2:16" outlineLevel="2" x14ac:dyDescent="0.25">
      <c r="B50" s="21" t="s">
        <v>125</v>
      </c>
      <c r="C50" s="22" t="s">
        <v>1</v>
      </c>
      <c r="D50" s="64" t="s">
        <v>124</v>
      </c>
      <c r="E50" s="47">
        <v>1.9</v>
      </c>
      <c r="F50" s="44">
        <f>E50*1.25</f>
        <v>2.375</v>
      </c>
      <c r="G50" s="41">
        <f>E50*1.5</f>
        <v>2.8499999999999996</v>
      </c>
      <c r="H50" s="42">
        <f t="shared" si="57"/>
        <v>2.375</v>
      </c>
      <c r="I50" s="42">
        <f>J49</f>
        <v>8.125</v>
      </c>
      <c r="J50" s="42">
        <f t="shared" si="56"/>
        <v>10.5</v>
      </c>
      <c r="K50" s="42">
        <f>L52</f>
        <v>10.500000000000002</v>
      </c>
      <c r="L50" s="42">
        <f t="shared" si="53"/>
        <v>8.1250000000000018</v>
      </c>
      <c r="M50" s="42">
        <f t="shared" si="4"/>
        <v>0</v>
      </c>
      <c r="N50" s="42">
        <f t="shared" si="5"/>
        <v>0</v>
      </c>
      <c r="O50" s="76">
        <f t="shared" si="11"/>
        <v>2.5069444444444432E-2</v>
      </c>
      <c r="P50" s="76">
        <f t="shared" si="2"/>
        <v>0.1583333333333333</v>
      </c>
    </row>
    <row r="51" spans="2:16" outlineLevel="1" x14ac:dyDescent="0.25">
      <c r="B51" s="6" t="s">
        <v>59</v>
      </c>
      <c r="C51" s="23" t="s">
        <v>86</v>
      </c>
      <c r="D51" s="62" t="s">
        <v>58</v>
      </c>
      <c r="E51" s="36">
        <f>SUM(E52:E53)</f>
        <v>1.2</v>
      </c>
      <c r="F51" s="37">
        <f>SUM(F52:F53)</f>
        <v>1.5</v>
      </c>
      <c r="G51" s="38">
        <f>SUM(G52:G53)</f>
        <v>1.7999999999999998</v>
      </c>
      <c r="H51" s="38">
        <f>(E51+4*F51+G51)/6</f>
        <v>1.5</v>
      </c>
      <c r="I51" s="38">
        <f>J48</f>
        <v>10.5</v>
      </c>
      <c r="J51" s="38">
        <f t="shared" si="56"/>
        <v>12</v>
      </c>
      <c r="K51" s="38">
        <f>L55</f>
        <v>11.999999999999998</v>
      </c>
      <c r="L51" s="38">
        <f t="shared" si="53"/>
        <v>10.499999999999998</v>
      </c>
      <c r="M51" s="38">
        <f t="shared" si="4"/>
        <v>0</v>
      </c>
      <c r="N51" s="38">
        <f t="shared" si="5"/>
        <v>0</v>
      </c>
      <c r="O51" s="75">
        <f>SUM(O52:O53)</f>
        <v>5.1388888888888864E-3</v>
      </c>
      <c r="P51" s="75">
        <f t="shared" si="2"/>
        <v>7.1686043892021878E-2</v>
      </c>
    </row>
    <row r="52" spans="2:16" ht="30" outlineLevel="2" x14ac:dyDescent="0.25">
      <c r="B52" s="7" t="s">
        <v>126</v>
      </c>
      <c r="C52" s="9" t="s">
        <v>2</v>
      </c>
      <c r="D52" s="60" t="s">
        <v>125</v>
      </c>
      <c r="E52" s="39">
        <v>0.7</v>
      </c>
      <c r="F52" s="40">
        <f>E52*1.25</f>
        <v>0.875</v>
      </c>
      <c r="G52" s="41">
        <f>E52*1.5</f>
        <v>1.0499999999999998</v>
      </c>
      <c r="H52" s="42">
        <f t="shared" ref="H52:H53" si="58">(E52+4*F52+G52)/6</f>
        <v>0.875</v>
      </c>
      <c r="I52" s="42">
        <f>J50</f>
        <v>10.5</v>
      </c>
      <c r="J52" s="42">
        <f t="shared" si="56"/>
        <v>11.375</v>
      </c>
      <c r="K52" s="42">
        <f>L53</f>
        <v>11.375000000000002</v>
      </c>
      <c r="L52" s="42">
        <f t="shared" si="53"/>
        <v>10.500000000000002</v>
      </c>
      <c r="M52" s="42">
        <f t="shared" si="4"/>
        <v>0</v>
      </c>
      <c r="N52" s="42">
        <f t="shared" si="5"/>
        <v>0</v>
      </c>
      <c r="O52" s="76">
        <f t="shared" si="11"/>
        <v>3.4027777777777754E-3</v>
      </c>
      <c r="P52" s="76">
        <f t="shared" si="2"/>
        <v>5.8333333333333313E-2</v>
      </c>
    </row>
    <row r="53" spans="2:16" ht="30" outlineLevel="2" x14ac:dyDescent="0.25">
      <c r="B53" s="21" t="s">
        <v>127</v>
      </c>
      <c r="C53" s="22" t="s">
        <v>3</v>
      </c>
      <c r="D53" s="64" t="s">
        <v>126</v>
      </c>
      <c r="E53" s="47">
        <v>0.5</v>
      </c>
      <c r="F53" s="40">
        <f>E53*1.25</f>
        <v>0.625</v>
      </c>
      <c r="G53" s="41">
        <f>E53*1.5</f>
        <v>0.75</v>
      </c>
      <c r="H53" s="42">
        <f t="shared" si="58"/>
        <v>0.625</v>
      </c>
      <c r="I53" s="42">
        <f>J52</f>
        <v>11.375</v>
      </c>
      <c r="J53" s="42">
        <f t="shared" si="56"/>
        <v>12</v>
      </c>
      <c r="K53" s="42">
        <f>L56</f>
        <v>12.000000000000002</v>
      </c>
      <c r="L53" s="42">
        <f t="shared" si="53"/>
        <v>11.375000000000002</v>
      </c>
      <c r="M53" s="42">
        <f t="shared" si="4"/>
        <v>0</v>
      </c>
      <c r="N53" s="42">
        <f t="shared" si="5"/>
        <v>0</v>
      </c>
      <c r="O53" s="76">
        <f t="shared" si="11"/>
        <v>1.736111111111111E-3</v>
      </c>
      <c r="P53" s="76">
        <f t="shared" si="2"/>
        <v>4.1666666666666664E-2</v>
      </c>
    </row>
    <row r="54" spans="2:16" x14ac:dyDescent="0.25">
      <c r="B54" s="24" t="s">
        <v>60</v>
      </c>
      <c r="C54" s="25" t="s">
        <v>77</v>
      </c>
      <c r="D54" s="65" t="s">
        <v>56</v>
      </c>
      <c r="E54" s="48">
        <f>E55+E60+E61</f>
        <v>1</v>
      </c>
      <c r="F54" s="49">
        <f t="shared" ref="F54:G54" si="59">F55+F60+F61</f>
        <v>2</v>
      </c>
      <c r="G54" s="50">
        <f t="shared" si="59"/>
        <v>3</v>
      </c>
      <c r="H54" s="35">
        <f>(E54+4*F54+G54)/6</f>
        <v>2</v>
      </c>
      <c r="I54" s="35">
        <f>J46</f>
        <v>12</v>
      </c>
      <c r="J54" s="35">
        <f t="shared" si="56"/>
        <v>14</v>
      </c>
      <c r="K54" s="35">
        <f>L66</f>
        <v>14</v>
      </c>
      <c r="L54" s="35">
        <f t="shared" si="53"/>
        <v>12</v>
      </c>
      <c r="M54" s="35">
        <f t="shared" si="4"/>
        <v>0</v>
      </c>
      <c r="N54" s="35">
        <f t="shared" si="5"/>
        <v>0</v>
      </c>
      <c r="O54" s="77">
        <f>O55+O60+O61</f>
        <v>1.3333333333333332E-2</v>
      </c>
      <c r="P54" s="77">
        <f t="shared" si="2"/>
        <v>0.11547005383792515</v>
      </c>
    </row>
    <row r="55" spans="2:16" outlineLevel="1" x14ac:dyDescent="0.25">
      <c r="B55" s="6" t="s">
        <v>61</v>
      </c>
      <c r="C55" s="23" t="s">
        <v>85</v>
      </c>
      <c r="D55" s="62" t="s">
        <v>59</v>
      </c>
      <c r="E55" s="36">
        <f>SUM(E56:E59)</f>
        <v>0.4</v>
      </c>
      <c r="F55" s="37">
        <f>SUM(F56:F59)</f>
        <v>0.8</v>
      </c>
      <c r="G55" s="38">
        <f>SUM(G56:G59)</f>
        <v>1.2</v>
      </c>
      <c r="H55" s="38">
        <f>(E55+4*F55+G55)/6</f>
        <v>0.79999999999999993</v>
      </c>
      <c r="I55" s="38">
        <f>J51</f>
        <v>12</v>
      </c>
      <c r="J55" s="38">
        <f t="shared" si="56"/>
        <v>12.8</v>
      </c>
      <c r="K55" s="38">
        <f>L60</f>
        <v>12.799999999999999</v>
      </c>
      <c r="L55" s="38">
        <f t="shared" si="53"/>
        <v>11.999999999999998</v>
      </c>
      <c r="M55" s="38">
        <f t="shared" si="4"/>
        <v>0</v>
      </c>
      <c r="N55" s="38">
        <f t="shared" si="5"/>
        <v>0</v>
      </c>
      <c r="O55" s="75">
        <f>SUM(O56:O59)</f>
        <v>4.4444444444444444E-3</v>
      </c>
      <c r="P55" s="75">
        <f t="shared" si="2"/>
        <v>6.6666666666666666E-2</v>
      </c>
    </row>
    <row r="56" spans="2:16" outlineLevel="2" x14ac:dyDescent="0.25">
      <c r="B56" s="7" t="s">
        <v>128</v>
      </c>
      <c r="C56" s="9" t="s">
        <v>18</v>
      </c>
      <c r="D56" s="60" t="s">
        <v>127</v>
      </c>
      <c r="E56" s="39">
        <v>0.1</v>
      </c>
      <c r="F56" s="40">
        <v>0.2</v>
      </c>
      <c r="G56" s="41">
        <v>0.3</v>
      </c>
      <c r="H56" s="42">
        <f t="shared" ref="H56:H59" si="60">(E56+4*F56+G56)/6</f>
        <v>0.19999999999999998</v>
      </c>
      <c r="I56" s="42">
        <f>J53</f>
        <v>12</v>
      </c>
      <c r="J56" s="42">
        <f t="shared" ref="J56:J59" si="61">I56+H56</f>
        <v>12.2</v>
      </c>
      <c r="K56" s="42">
        <f t="shared" ref="K56:K58" si="62">L57</f>
        <v>12.200000000000001</v>
      </c>
      <c r="L56" s="42">
        <f t="shared" ref="L56:L58" si="63">K56-H56</f>
        <v>12.000000000000002</v>
      </c>
      <c r="M56" s="42">
        <f t="shared" si="4"/>
        <v>0</v>
      </c>
      <c r="N56" s="42">
        <f t="shared" si="5"/>
        <v>0</v>
      </c>
      <c r="O56" s="76">
        <f t="shared" si="11"/>
        <v>1.1111111111111111E-3</v>
      </c>
      <c r="P56" s="76">
        <f t="shared" si="2"/>
        <v>3.3333333333333333E-2</v>
      </c>
    </row>
    <row r="57" spans="2:16" outlineLevel="2" x14ac:dyDescent="0.25">
      <c r="B57" s="8" t="s">
        <v>129</v>
      </c>
      <c r="C57" s="10" t="s">
        <v>19</v>
      </c>
      <c r="D57" s="63" t="s">
        <v>128</v>
      </c>
      <c r="E57" s="46">
        <v>0.1</v>
      </c>
      <c r="F57" s="40">
        <v>0.2</v>
      </c>
      <c r="G57" s="41">
        <v>0.3</v>
      </c>
      <c r="H57" s="42">
        <f t="shared" si="60"/>
        <v>0.19999999999999998</v>
      </c>
      <c r="I57" s="42">
        <f>J56</f>
        <v>12.2</v>
      </c>
      <c r="J57" s="42">
        <f t="shared" si="61"/>
        <v>12.399999999999999</v>
      </c>
      <c r="K57" s="42">
        <f t="shared" si="62"/>
        <v>12.4</v>
      </c>
      <c r="L57" s="42">
        <f t="shared" si="63"/>
        <v>12.200000000000001</v>
      </c>
      <c r="M57" s="42">
        <f t="shared" si="4"/>
        <v>0</v>
      </c>
      <c r="N57" s="42">
        <f t="shared" si="5"/>
        <v>0</v>
      </c>
      <c r="O57" s="76">
        <f t="shared" si="11"/>
        <v>1.1111111111111111E-3</v>
      </c>
      <c r="P57" s="76">
        <f t="shared" si="2"/>
        <v>3.3333333333333333E-2</v>
      </c>
    </row>
    <row r="58" spans="2:16" outlineLevel="2" x14ac:dyDescent="0.25">
      <c r="B58" s="8" t="s">
        <v>130</v>
      </c>
      <c r="C58" s="10" t="s">
        <v>20</v>
      </c>
      <c r="D58" s="63" t="s">
        <v>129</v>
      </c>
      <c r="E58" s="46">
        <v>0.1</v>
      </c>
      <c r="F58" s="40">
        <v>0.2</v>
      </c>
      <c r="G58" s="41">
        <v>0.3</v>
      </c>
      <c r="H58" s="42">
        <f t="shared" si="60"/>
        <v>0.19999999999999998</v>
      </c>
      <c r="I58" s="42">
        <f>J57</f>
        <v>12.399999999999999</v>
      </c>
      <c r="J58" s="42">
        <f t="shared" si="61"/>
        <v>12.599999999999998</v>
      </c>
      <c r="K58" s="42">
        <f t="shared" si="62"/>
        <v>12.6</v>
      </c>
      <c r="L58" s="42">
        <f t="shared" si="63"/>
        <v>12.4</v>
      </c>
      <c r="M58" s="42">
        <f t="shared" si="4"/>
        <v>0</v>
      </c>
      <c r="N58" s="42">
        <f t="shared" si="5"/>
        <v>0</v>
      </c>
      <c r="O58" s="76">
        <f t="shared" si="11"/>
        <v>1.1111111111111111E-3</v>
      </c>
      <c r="P58" s="76">
        <f t="shared" si="2"/>
        <v>3.3333333333333333E-2</v>
      </c>
    </row>
    <row r="59" spans="2:16" outlineLevel="2" x14ac:dyDescent="0.25">
      <c r="B59" s="21" t="s">
        <v>131</v>
      </c>
      <c r="C59" s="22" t="s">
        <v>21</v>
      </c>
      <c r="D59" s="64" t="s">
        <v>130</v>
      </c>
      <c r="E59" s="47">
        <v>0.1</v>
      </c>
      <c r="F59" s="40">
        <v>0.2</v>
      </c>
      <c r="G59" s="41">
        <v>0.3</v>
      </c>
      <c r="H59" s="42">
        <f t="shared" si="60"/>
        <v>0.19999999999999998</v>
      </c>
      <c r="I59" s="42">
        <f>J58</f>
        <v>12.599999999999998</v>
      </c>
      <c r="J59" s="42">
        <f t="shared" si="61"/>
        <v>12.799999999999997</v>
      </c>
      <c r="K59" s="42">
        <f>L60</f>
        <v>12.799999999999999</v>
      </c>
      <c r="L59" s="42">
        <f>K59-H59</f>
        <v>12.6</v>
      </c>
      <c r="M59" s="42">
        <f t="shared" si="4"/>
        <v>0</v>
      </c>
      <c r="N59" s="42">
        <f t="shared" si="5"/>
        <v>0</v>
      </c>
      <c r="O59" s="76">
        <f t="shared" si="11"/>
        <v>1.1111111111111111E-3</v>
      </c>
      <c r="P59" s="76">
        <f t="shared" si="2"/>
        <v>3.3333333333333333E-2</v>
      </c>
    </row>
    <row r="60" spans="2:16" outlineLevel="1" x14ac:dyDescent="0.25">
      <c r="B60" s="26" t="s">
        <v>62</v>
      </c>
      <c r="C60" s="27" t="s">
        <v>83</v>
      </c>
      <c r="D60" s="66" t="s">
        <v>131</v>
      </c>
      <c r="E60" s="51">
        <v>0.2</v>
      </c>
      <c r="F60" s="52">
        <v>0.4</v>
      </c>
      <c r="G60" s="53">
        <v>0.6</v>
      </c>
      <c r="H60" s="38">
        <f t="shared" ref="H60:H65" si="64">(E60+4*F60+G60)/6</f>
        <v>0.39999999999999997</v>
      </c>
      <c r="I60" s="38">
        <f>J55</f>
        <v>12.8</v>
      </c>
      <c r="J60" s="38">
        <f>I60+H60</f>
        <v>13.200000000000001</v>
      </c>
      <c r="K60" s="38">
        <f>L61</f>
        <v>13.2</v>
      </c>
      <c r="L60" s="38">
        <f>K60-H60</f>
        <v>12.799999999999999</v>
      </c>
      <c r="M60" s="38">
        <f t="shared" si="4"/>
        <v>0</v>
      </c>
      <c r="N60" s="38">
        <f t="shared" si="5"/>
        <v>0</v>
      </c>
      <c r="O60" s="75">
        <f t="shared" si="11"/>
        <v>4.4444444444444444E-3</v>
      </c>
      <c r="P60" s="75">
        <f t="shared" si="2"/>
        <v>6.6666666666666666E-2</v>
      </c>
    </row>
    <row r="61" spans="2:16" outlineLevel="1" x14ac:dyDescent="0.25">
      <c r="B61" s="6" t="s">
        <v>63</v>
      </c>
      <c r="C61" s="23" t="s">
        <v>84</v>
      </c>
      <c r="D61" s="62" t="s">
        <v>62</v>
      </c>
      <c r="E61" s="36">
        <f>SUM(E62:E65)</f>
        <v>0.4</v>
      </c>
      <c r="F61" s="37">
        <f>SUM(F62:F65)</f>
        <v>0.8</v>
      </c>
      <c r="G61" s="38">
        <f>SUM(G62:G65)</f>
        <v>1.2</v>
      </c>
      <c r="H61" s="38">
        <f t="shared" si="64"/>
        <v>0.79999999999999993</v>
      </c>
      <c r="I61" s="38">
        <f>J60</f>
        <v>13.200000000000001</v>
      </c>
      <c r="J61" s="38">
        <f>I61+H61</f>
        <v>14.000000000000002</v>
      </c>
      <c r="K61" s="38">
        <f>L67</f>
        <v>14</v>
      </c>
      <c r="L61" s="38">
        <f>K61-H61</f>
        <v>13.2</v>
      </c>
      <c r="M61" s="38">
        <f t="shared" si="4"/>
        <v>0</v>
      </c>
      <c r="N61" s="38">
        <f t="shared" si="5"/>
        <v>0</v>
      </c>
      <c r="O61" s="75">
        <f>SUM(O62:O65)</f>
        <v>4.4444444444444444E-3</v>
      </c>
      <c r="P61" s="75">
        <f t="shared" si="2"/>
        <v>6.6666666666666666E-2</v>
      </c>
    </row>
    <row r="62" spans="2:16" ht="30" outlineLevel="2" x14ac:dyDescent="0.25">
      <c r="B62" s="7" t="s">
        <v>132</v>
      </c>
      <c r="C62" s="9" t="s">
        <v>22</v>
      </c>
      <c r="D62" s="60" t="s">
        <v>62</v>
      </c>
      <c r="E62" s="39">
        <v>0.1</v>
      </c>
      <c r="F62" s="40">
        <v>0.2</v>
      </c>
      <c r="G62" s="41">
        <v>0.3</v>
      </c>
      <c r="H62" s="42">
        <f t="shared" si="64"/>
        <v>0.19999999999999998</v>
      </c>
      <c r="I62" s="42">
        <f>J60</f>
        <v>13.200000000000001</v>
      </c>
      <c r="J62" s="42">
        <f t="shared" ref="J62:J65" si="65">I62+H62</f>
        <v>13.4</v>
      </c>
      <c r="K62" s="42">
        <f t="shared" ref="K62:K63" si="66">L63</f>
        <v>13.399999999999999</v>
      </c>
      <c r="L62" s="42">
        <f t="shared" ref="L62:L63" si="67">K62-H62</f>
        <v>13.2</v>
      </c>
      <c r="M62" s="42">
        <f t="shared" si="4"/>
        <v>0</v>
      </c>
      <c r="N62" s="42">
        <f t="shared" si="5"/>
        <v>0</v>
      </c>
      <c r="O62" s="76">
        <f t="shared" si="11"/>
        <v>1.1111111111111111E-3</v>
      </c>
      <c r="P62" s="76">
        <f t="shared" si="2"/>
        <v>3.3333333333333333E-2</v>
      </c>
    </row>
    <row r="63" spans="2:16" ht="30" outlineLevel="2" x14ac:dyDescent="0.25">
      <c r="B63" s="8" t="s">
        <v>133</v>
      </c>
      <c r="C63" s="10" t="s">
        <v>23</v>
      </c>
      <c r="D63" s="63" t="s">
        <v>132</v>
      </c>
      <c r="E63" s="46">
        <v>0.1</v>
      </c>
      <c r="F63" s="40">
        <v>0.2</v>
      </c>
      <c r="G63" s="41">
        <v>0.3</v>
      </c>
      <c r="H63" s="42">
        <f t="shared" si="64"/>
        <v>0.19999999999999998</v>
      </c>
      <c r="I63" s="42">
        <f>J62</f>
        <v>13.4</v>
      </c>
      <c r="J63" s="42">
        <f t="shared" si="65"/>
        <v>13.6</v>
      </c>
      <c r="K63" s="42">
        <f t="shared" si="66"/>
        <v>13.599999999999998</v>
      </c>
      <c r="L63" s="42">
        <f t="shared" si="67"/>
        <v>13.399999999999999</v>
      </c>
      <c r="M63" s="42">
        <f t="shared" si="4"/>
        <v>0</v>
      </c>
      <c r="N63" s="42">
        <f t="shared" si="5"/>
        <v>0</v>
      </c>
      <c r="O63" s="76">
        <f t="shared" si="11"/>
        <v>1.1111111111111111E-3</v>
      </c>
      <c r="P63" s="76">
        <f t="shared" si="2"/>
        <v>3.3333333333333333E-2</v>
      </c>
    </row>
    <row r="64" spans="2:16" outlineLevel="2" x14ac:dyDescent="0.25">
      <c r="B64" s="8" t="s">
        <v>134</v>
      </c>
      <c r="C64" s="10" t="s">
        <v>24</v>
      </c>
      <c r="D64" s="63" t="s">
        <v>133</v>
      </c>
      <c r="E64" s="46">
        <v>0.1</v>
      </c>
      <c r="F64" s="40">
        <v>0.2</v>
      </c>
      <c r="G64" s="41">
        <v>0.3</v>
      </c>
      <c r="H64" s="42">
        <f t="shared" si="64"/>
        <v>0.19999999999999998</v>
      </c>
      <c r="I64" s="42">
        <f>J63</f>
        <v>13.6</v>
      </c>
      <c r="J64" s="42">
        <f t="shared" si="65"/>
        <v>13.799999999999999</v>
      </c>
      <c r="K64" s="42">
        <f>L65</f>
        <v>13.799999999999997</v>
      </c>
      <c r="L64" s="42">
        <f t="shared" ref="L64" si="68">K64-H64</f>
        <v>13.599999999999998</v>
      </c>
      <c r="M64" s="42">
        <f t="shared" si="4"/>
        <v>0</v>
      </c>
      <c r="N64" s="42">
        <f t="shared" si="5"/>
        <v>0</v>
      </c>
      <c r="O64" s="76">
        <f t="shared" si="11"/>
        <v>1.1111111111111111E-3</v>
      </c>
      <c r="P64" s="76">
        <f t="shared" si="2"/>
        <v>3.3333333333333333E-2</v>
      </c>
    </row>
    <row r="65" spans="2:16" ht="30" outlineLevel="2" x14ac:dyDescent="0.25">
      <c r="B65" s="21" t="s">
        <v>135</v>
      </c>
      <c r="C65" s="22" t="s">
        <v>25</v>
      </c>
      <c r="D65" s="64" t="s">
        <v>134</v>
      </c>
      <c r="E65" s="47">
        <v>0.1</v>
      </c>
      <c r="F65" s="40">
        <v>0.2</v>
      </c>
      <c r="G65" s="41">
        <v>0.3</v>
      </c>
      <c r="H65" s="42">
        <f t="shared" si="64"/>
        <v>0.19999999999999998</v>
      </c>
      <c r="I65" s="42">
        <f>J64</f>
        <v>13.799999999999999</v>
      </c>
      <c r="J65" s="42">
        <f t="shared" si="65"/>
        <v>13.999999999999998</v>
      </c>
      <c r="K65" s="42">
        <f>L68</f>
        <v>13.999999999999996</v>
      </c>
      <c r="L65" s="42">
        <f>K65-H65</f>
        <v>13.799999999999997</v>
      </c>
      <c r="M65" s="42">
        <f t="shared" si="4"/>
        <v>0</v>
      </c>
      <c r="N65" s="42">
        <f t="shared" si="5"/>
        <v>0</v>
      </c>
      <c r="O65" s="76">
        <f t="shared" si="11"/>
        <v>1.1111111111111111E-3</v>
      </c>
      <c r="P65" s="76">
        <f t="shared" si="2"/>
        <v>3.3333333333333333E-2</v>
      </c>
    </row>
    <row r="66" spans="2:16" x14ac:dyDescent="0.25">
      <c r="B66" s="5" t="s">
        <v>64</v>
      </c>
      <c r="C66" s="20" t="s">
        <v>78</v>
      </c>
      <c r="D66" s="58" t="s">
        <v>60</v>
      </c>
      <c r="E66" s="33">
        <f>E67+E73+E74</f>
        <v>2</v>
      </c>
      <c r="F66" s="34">
        <f t="shared" ref="F66:G66" si="69">F67+F73+F74</f>
        <v>3</v>
      </c>
      <c r="G66" s="35">
        <f t="shared" si="69"/>
        <v>4</v>
      </c>
      <c r="H66" s="35">
        <f>(E66+4*F66+G66)/6</f>
        <v>3</v>
      </c>
      <c r="I66" s="35">
        <f>J54</f>
        <v>14</v>
      </c>
      <c r="J66" s="35">
        <f>I66+H66</f>
        <v>17</v>
      </c>
      <c r="K66" s="35">
        <f>J66</f>
        <v>17</v>
      </c>
      <c r="L66" s="35">
        <f>K66-H66</f>
        <v>14</v>
      </c>
      <c r="M66" s="35">
        <f t="shared" si="4"/>
        <v>0</v>
      </c>
      <c r="N66" s="35">
        <f t="shared" si="5"/>
        <v>0</v>
      </c>
      <c r="O66" s="74">
        <f>O67+O73+O74</f>
        <v>1.9444444444444445E-2</v>
      </c>
      <c r="P66" s="74">
        <f t="shared" si="2"/>
        <v>0.13944333775567927</v>
      </c>
    </row>
    <row r="67" spans="2:16" outlineLevel="1" x14ac:dyDescent="0.25">
      <c r="B67" s="6" t="s">
        <v>65</v>
      </c>
      <c r="C67" s="23" t="s">
        <v>82</v>
      </c>
      <c r="D67" s="62" t="s">
        <v>63</v>
      </c>
      <c r="E67" s="36">
        <f>SUM(E68:E72)</f>
        <v>1</v>
      </c>
      <c r="F67" s="37">
        <f>SUM(F68:F72)</f>
        <v>1.5</v>
      </c>
      <c r="G67" s="38">
        <f>SUM(G68:G72)</f>
        <v>2</v>
      </c>
      <c r="H67" s="38">
        <f>(E67+4*F67+G67)/6</f>
        <v>1.5</v>
      </c>
      <c r="I67" s="38">
        <f>J61</f>
        <v>14.000000000000002</v>
      </c>
      <c r="J67" s="38">
        <f>I67+H67</f>
        <v>15.500000000000002</v>
      </c>
      <c r="K67" s="38">
        <f>L73</f>
        <v>15.5</v>
      </c>
      <c r="L67" s="38">
        <f>K67-H67</f>
        <v>14</v>
      </c>
      <c r="M67" s="38">
        <f t="shared" si="4"/>
        <v>0</v>
      </c>
      <c r="N67" s="38">
        <f t="shared" si="5"/>
        <v>0</v>
      </c>
      <c r="O67" s="75">
        <f>SUM(O68:O72)</f>
        <v>5.5555555555555558E-3</v>
      </c>
      <c r="P67" s="75">
        <f t="shared" si="2"/>
        <v>7.4535599249992993E-2</v>
      </c>
    </row>
    <row r="68" spans="2:16" outlineLevel="2" x14ac:dyDescent="0.25">
      <c r="B68" s="7" t="s">
        <v>136</v>
      </c>
      <c r="C68" s="9" t="s">
        <v>26</v>
      </c>
      <c r="D68" s="60" t="s">
        <v>135</v>
      </c>
      <c r="E68" s="39">
        <v>0.2</v>
      </c>
      <c r="F68" s="40">
        <v>0.3</v>
      </c>
      <c r="G68" s="41">
        <v>0.4</v>
      </c>
      <c r="H68" s="42">
        <f t="shared" ref="H68:H72" si="70">(E68+4*F68+G68)/6</f>
        <v>0.3</v>
      </c>
      <c r="I68" s="42">
        <f>J65</f>
        <v>13.999999999999998</v>
      </c>
      <c r="J68" s="42">
        <f t="shared" ref="J68:J71" si="71">I68+H68</f>
        <v>14.299999999999999</v>
      </c>
      <c r="K68" s="42">
        <f t="shared" ref="K68:K71" si="72">L69</f>
        <v>14.299999999999997</v>
      </c>
      <c r="L68" s="42">
        <f t="shared" ref="L68:L71" si="73">K68-H68</f>
        <v>13.999999999999996</v>
      </c>
      <c r="M68" s="42">
        <f t="shared" si="4"/>
        <v>0</v>
      </c>
      <c r="N68" s="42">
        <f t="shared" si="5"/>
        <v>0</v>
      </c>
      <c r="O68" s="76">
        <f t="shared" si="11"/>
        <v>1.1111111111111111E-3</v>
      </c>
      <c r="P68" s="76">
        <f t="shared" si="2"/>
        <v>3.3333333333333333E-2</v>
      </c>
    </row>
    <row r="69" spans="2:16" outlineLevel="2" x14ac:dyDescent="0.25">
      <c r="B69" s="8" t="s">
        <v>137</v>
      </c>
      <c r="C69" s="10" t="s">
        <v>27</v>
      </c>
      <c r="D69" s="60" t="s">
        <v>136</v>
      </c>
      <c r="E69" s="39">
        <v>0.2</v>
      </c>
      <c r="F69" s="40">
        <v>0.3</v>
      </c>
      <c r="G69" s="41">
        <v>0.4</v>
      </c>
      <c r="H69" s="42">
        <f t="shared" si="70"/>
        <v>0.3</v>
      </c>
      <c r="I69" s="42">
        <f>J68</f>
        <v>14.299999999999999</v>
      </c>
      <c r="J69" s="42">
        <f t="shared" si="71"/>
        <v>14.6</v>
      </c>
      <c r="K69" s="42">
        <f t="shared" si="72"/>
        <v>14.599999999999998</v>
      </c>
      <c r="L69" s="42">
        <f t="shared" si="73"/>
        <v>14.299999999999997</v>
      </c>
      <c r="M69" s="42">
        <f t="shared" si="4"/>
        <v>0</v>
      </c>
      <c r="N69" s="42">
        <f t="shared" si="5"/>
        <v>0</v>
      </c>
      <c r="O69" s="76">
        <f t="shared" si="11"/>
        <v>1.1111111111111111E-3</v>
      </c>
      <c r="P69" s="76">
        <f t="shared" si="2"/>
        <v>3.3333333333333333E-2</v>
      </c>
    </row>
    <row r="70" spans="2:16" outlineLevel="2" x14ac:dyDescent="0.25">
      <c r="B70" s="8" t="s">
        <v>138</v>
      </c>
      <c r="C70" s="10" t="s">
        <v>28</v>
      </c>
      <c r="D70" s="60" t="s">
        <v>137</v>
      </c>
      <c r="E70" s="39">
        <v>0.2</v>
      </c>
      <c r="F70" s="40">
        <v>0.3</v>
      </c>
      <c r="G70" s="41">
        <v>0.4</v>
      </c>
      <c r="H70" s="42">
        <f t="shared" si="70"/>
        <v>0.3</v>
      </c>
      <c r="I70" s="42">
        <f>J69</f>
        <v>14.6</v>
      </c>
      <c r="J70" s="42">
        <f t="shared" si="71"/>
        <v>14.9</v>
      </c>
      <c r="K70" s="42">
        <f t="shared" si="72"/>
        <v>14.899999999999999</v>
      </c>
      <c r="L70" s="42">
        <f t="shared" si="73"/>
        <v>14.599999999999998</v>
      </c>
      <c r="M70" s="42">
        <f t="shared" si="4"/>
        <v>0</v>
      </c>
      <c r="N70" s="42">
        <f t="shared" si="5"/>
        <v>0</v>
      </c>
      <c r="O70" s="76">
        <f t="shared" si="11"/>
        <v>1.1111111111111111E-3</v>
      </c>
      <c r="P70" s="76">
        <f t="shared" si="2"/>
        <v>3.3333333333333333E-2</v>
      </c>
    </row>
    <row r="71" spans="2:16" outlineLevel="2" x14ac:dyDescent="0.25">
      <c r="B71" s="8" t="s">
        <v>139</v>
      </c>
      <c r="C71" s="10" t="s">
        <v>29</v>
      </c>
      <c r="D71" s="60" t="s">
        <v>138</v>
      </c>
      <c r="E71" s="39">
        <v>0.2</v>
      </c>
      <c r="F71" s="40">
        <v>0.3</v>
      </c>
      <c r="G71" s="41">
        <v>0.4</v>
      </c>
      <c r="H71" s="42">
        <f t="shared" si="70"/>
        <v>0.3</v>
      </c>
      <c r="I71" s="42">
        <f>J70</f>
        <v>14.9</v>
      </c>
      <c r="J71" s="42">
        <f t="shared" si="71"/>
        <v>15.200000000000001</v>
      </c>
      <c r="K71" s="42">
        <f t="shared" si="72"/>
        <v>15.2</v>
      </c>
      <c r="L71" s="42">
        <f t="shared" si="73"/>
        <v>14.899999999999999</v>
      </c>
      <c r="M71" s="42">
        <f t="shared" si="4"/>
        <v>0</v>
      </c>
      <c r="N71" s="42">
        <f t="shared" si="5"/>
        <v>0</v>
      </c>
      <c r="O71" s="76">
        <f t="shared" si="11"/>
        <v>1.1111111111111111E-3</v>
      </c>
      <c r="P71" s="76">
        <f t="shared" si="2"/>
        <v>3.3333333333333333E-2</v>
      </c>
    </row>
    <row r="72" spans="2:16" outlineLevel="2" x14ac:dyDescent="0.25">
      <c r="B72" s="21" t="s">
        <v>140</v>
      </c>
      <c r="C72" s="22" t="s">
        <v>30</v>
      </c>
      <c r="D72" s="61" t="s">
        <v>139</v>
      </c>
      <c r="E72" s="39">
        <v>0.2</v>
      </c>
      <c r="F72" s="40">
        <v>0.3</v>
      </c>
      <c r="G72" s="41">
        <v>0.4</v>
      </c>
      <c r="H72" s="42">
        <f t="shared" si="70"/>
        <v>0.3</v>
      </c>
      <c r="I72" s="42">
        <f>J71</f>
        <v>15.200000000000001</v>
      </c>
      <c r="J72" s="42">
        <f t="shared" ref="J72" si="74">I72+H72</f>
        <v>15.500000000000002</v>
      </c>
      <c r="K72" s="42">
        <f>L73</f>
        <v>15.5</v>
      </c>
      <c r="L72" s="42">
        <f>K72-H72</f>
        <v>15.2</v>
      </c>
      <c r="M72" s="42">
        <f t="shared" si="4"/>
        <v>0</v>
      </c>
      <c r="N72" s="42">
        <f t="shared" si="5"/>
        <v>0</v>
      </c>
      <c r="O72" s="76">
        <f t="shared" ref="O72" si="75">((G72-E72)/6)^2</f>
        <v>1.1111111111111111E-3</v>
      </c>
      <c r="P72" s="76">
        <f t="shared" ref="P72:P74" si="76">SQRT(O72)</f>
        <v>3.3333333333333333E-2</v>
      </c>
    </row>
    <row r="73" spans="2:16" outlineLevel="1" x14ac:dyDescent="0.25">
      <c r="B73" s="6" t="s">
        <v>66</v>
      </c>
      <c r="C73" s="23" t="s">
        <v>81</v>
      </c>
      <c r="D73" s="62" t="s">
        <v>140</v>
      </c>
      <c r="E73" s="36">
        <v>0.5</v>
      </c>
      <c r="F73" s="37">
        <v>0.75</v>
      </c>
      <c r="G73" s="38">
        <v>1</v>
      </c>
      <c r="H73" s="38">
        <f t="shared" ref="H73:H74" si="77">(E73+4*F73+G73)/6</f>
        <v>0.75</v>
      </c>
      <c r="I73" s="38">
        <f>J67</f>
        <v>15.500000000000002</v>
      </c>
      <c r="J73" s="38">
        <f>I73+H73</f>
        <v>16.25</v>
      </c>
      <c r="K73" s="38">
        <f>L74</f>
        <v>16.25</v>
      </c>
      <c r="L73" s="38">
        <f>K73-H73</f>
        <v>15.5</v>
      </c>
      <c r="M73" s="38">
        <f t="shared" ref="M73:M74" si="78">K73-J73</f>
        <v>0</v>
      </c>
      <c r="N73" s="38">
        <f t="shared" ref="N73:N74" si="79">L73-I73</f>
        <v>0</v>
      </c>
      <c r="O73" s="75">
        <f>((G73-E73)/6)^2</f>
        <v>6.9444444444444441E-3</v>
      </c>
      <c r="P73" s="75">
        <f t="shared" si="76"/>
        <v>8.3333333333333329E-2</v>
      </c>
    </row>
    <row r="74" spans="2:16" outlineLevel="1" x14ac:dyDescent="0.25">
      <c r="B74" s="18" t="s">
        <v>67</v>
      </c>
      <c r="C74" s="19" t="s">
        <v>80</v>
      </c>
      <c r="D74" s="59" t="s">
        <v>66</v>
      </c>
      <c r="E74" s="54">
        <v>0.5</v>
      </c>
      <c r="F74" s="55">
        <v>0.75</v>
      </c>
      <c r="G74" s="56">
        <v>1</v>
      </c>
      <c r="H74" s="38">
        <f t="shared" si="77"/>
        <v>0.75</v>
      </c>
      <c r="I74" s="38">
        <f>J73</f>
        <v>16.25</v>
      </c>
      <c r="J74" s="38">
        <f>I74+H74</f>
        <v>17</v>
      </c>
      <c r="K74" s="38">
        <f>J74</f>
        <v>17</v>
      </c>
      <c r="L74" s="38">
        <f>K74-H74</f>
        <v>16.25</v>
      </c>
      <c r="M74" s="38">
        <f t="shared" si="78"/>
        <v>0</v>
      </c>
      <c r="N74" s="38">
        <f t="shared" si="79"/>
        <v>0</v>
      </c>
      <c r="O74" s="75">
        <f>((G74-E74)/6)^2</f>
        <v>6.9444444444444441E-3</v>
      </c>
      <c r="P74" s="75">
        <f t="shared" si="76"/>
        <v>8.3333333333333329E-2</v>
      </c>
    </row>
  </sheetData>
  <mergeCells count="11">
    <mergeCell ref="E4:G4"/>
    <mergeCell ref="B4:B5"/>
    <mergeCell ref="C4:C5"/>
    <mergeCell ref="H4:H5"/>
    <mergeCell ref="D4:D5"/>
    <mergeCell ref="Q4:Q5"/>
    <mergeCell ref="I4:J4"/>
    <mergeCell ref="K4:L4"/>
    <mergeCell ref="M4:N4"/>
    <mergeCell ref="O4:O5"/>
    <mergeCell ref="P4:P5"/>
  </mergeCells>
  <phoneticPr fontId="4" type="noConversion"/>
  <pageMargins left="0.70866141732283472" right="0.70866141732283472" top="0.74803149606299213" bottom="0.74803149606299213" header="0.31496062992125984" footer="0.31496062992125984"/>
  <pageSetup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PERT-диаграмма_начало проекта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2025-11-27T04:42:32Z</dcterms:created>
  <dcterms:modified xsi:type="dcterms:W3CDTF">2026-05-08T22:47:56Z</dcterms:modified>
</cp:coreProperties>
</file>