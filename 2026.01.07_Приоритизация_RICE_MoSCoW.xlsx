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3761FF03-AC84-4A9F-9296-2EF94853FAF4}" xr6:coauthVersionLast="47" xr6:coauthVersionMax="47" xr10:uidLastSave="{00000000-0000-0000-0000-000000000000}"/>
  <bookViews>
    <workbookView xWindow="-120" yWindow="-120" windowWidth="20730" windowHeight="11040" tabRatio="839" firstSheet="4" activeTab="7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Неч MoSCoW (трап_симм_формулы)" sheetId="7" r:id="rId4"/>
    <sheet name="RICE_неч мод (трапеции_вправо)" sheetId="3" r:id="rId5"/>
    <sheet name="RICE_неч мод (трап_симм_числа)" sheetId="4" r:id="rId6"/>
    <sheet name="Шкалы параметров_MoSCoW" sheetId="8" r:id="rId7"/>
    <sheet name="Шкалы параметров" sheetId="5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U9" i="7" l="1"/>
  <c r="BU10" i="7"/>
  <c r="BU11" i="7"/>
  <c r="BU12" i="7"/>
  <c r="BU13" i="7"/>
  <c r="BU14" i="7"/>
  <c r="BU15" i="7"/>
  <c r="BU16" i="7"/>
  <c r="BU17" i="7"/>
  <c r="BU8" i="7"/>
  <c r="BS9" i="7"/>
  <c r="BT9" i="7"/>
  <c r="BS10" i="7"/>
  <c r="BT10" i="7"/>
  <c r="BS11" i="7"/>
  <c r="BT11" i="7"/>
  <c r="BS12" i="7"/>
  <c r="BT12" i="7"/>
  <c r="BS13" i="7"/>
  <c r="BT13" i="7"/>
  <c r="BS14" i="7"/>
  <c r="BT14" i="7"/>
  <c r="BS15" i="7"/>
  <c r="BT15" i="7"/>
  <c r="BS16" i="7"/>
  <c r="BT16" i="7"/>
  <c r="BS17" i="7"/>
  <c r="BT17" i="7"/>
  <c r="BT8" i="7"/>
  <c r="BS8" i="7"/>
  <c r="BO9" i="7"/>
  <c r="BP9" i="7"/>
  <c r="BQ9" i="7"/>
  <c r="BR9" i="7"/>
  <c r="BO10" i="7"/>
  <c r="BP10" i="7"/>
  <c r="BQ10" i="7"/>
  <c r="BR10" i="7"/>
  <c r="BO11" i="7"/>
  <c r="BP11" i="7"/>
  <c r="BQ11" i="7"/>
  <c r="BR11" i="7"/>
  <c r="BO12" i="7"/>
  <c r="BP12" i="7"/>
  <c r="BQ12" i="7"/>
  <c r="BR12" i="7"/>
  <c r="BO13" i="7"/>
  <c r="BP13" i="7"/>
  <c r="BQ13" i="7"/>
  <c r="BR13" i="7"/>
  <c r="BO14" i="7"/>
  <c r="BP14" i="7"/>
  <c r="BQ14" i="7"/>
  <c r="BR14" i="7"/>
  <c r="BO15" i="7"/>
  <c r="BP15" i="7"/>
  <c r="BQ15" i="7"/>
  <c r="BR15" i="7"/>
  <c r="BO16" i="7"/>
  <c r="BP16" i="7"/>
  <c r="BQ16" i="7"/>
  <c r="BR16" i="7"/>
  <c r="BO17" i="7"/>
  <c r="BP17" i="7"/>
  <c r="BQ17" i="7"/>
  <c r="BR17" i="7"/>
  <c r="BR8" i="7"/>
  <c r="BQ8" i="7"/>
  <c r="BP8" i="7"/>
  <c r="BO8" i="7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M8" i="7"/>
  <c r="BN8" i="7"/>
  <c r="BG8" i="7"/>
  <c r="J8" i="7"/>
  <c r="E46" i="7"/>
  <c r="E50" i="7"/>
  <c r="F50" i="7"/>
  <c r="G50" i="7"/>
  <c r="H50" i="7"/>
  <c r="I50" i="7"/>
  <c r="J50" i="7"/>
  <c r="K50" i="7"/>
  <c r="L50" i="7"/>
  <c r="E51" i="7"/>
  <c r="F51" i="7"/>
  <c r="G51" i="7"/>
  <c r="H51" i="7"/>
  <c r="I51" i="7"/>
  <c r="J51" i="7"/>
  <c r="K51" i="7"/>
  <c r="L51" i="7"/>
  <c r="E52" i="7"/>
  <c r="F52" i="7"/>
  <c r="G52" i="7"/>
  <c r="H52" i="7"/>
  <c r="I52" i="7"/>
  <c r="J52" i="7"/>
  <c r="K52" i="7"/>
  <c r="L52" i="7"/>
  <c r="L49" i="7"/>
  <c r="K49" i="7"/>
  <c r="J49" i="7"/>
  <c r="I49" i="7"/>
  <c r="F46" i="7"/>
  <c r="G46" i="7"/>
  <c r="H46" i="7"/>
  <c r="I46" i="7"/>
  <c r="J46" i="7"/>
  <c r="K46" i="7"/>
  <c r="L46" i="7"/>
  <c r="E47" i="7"/>
  <c r="F47" i="7"/>
  <c r="G47" i="7"/>
  <c r="H47" i="7"/>
  <c r="I47" i="7"/>
  <c r="J47" i="7"/>
  <c r="K47" i="7"/>
  <c r="L47" i="7"/>
  <c r="E48" i="7"/>
  <c r="F48" i="7"/>
  <c r="G48" i="7"/>
  <c r="H48" i="7"/>
  <c r="I48" i="7"/>
  <c r="J48" i="7"/>
  <c r="K48" i="7"/>
  <c r="L48" i="7"/>
  <c r="L45" i="7"/>
  <c r="K45" i="7"/>
  <c r="J45" i="7"/>
  <c r="I45" i="7"/>
  <c r="H45" i="7"/>
  <c r="H49" i="7"/>
  <c r="G49" i="7"/>
  <c r="F49" i="7"/>
  <c r="E49" i="7"/>
  <c r="E45" i="7"/>
  <c r="H43" i="7"/>
  <c r="E44" i="7"/>
  <c r="F44" i="7"/>
  <c r="G44" i="7"/>
  <c r="H44" i="7"/>
  <c r="E41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I29" i="7" s="1"/>
  <c r="F28" i="7"/>
  <c r="G28" i="7" s="1"/>
  <c r="K24" i="7"/>
  <c r="L44" i="7" s="1"/>
  <c r="J24" i="7"/>
  <c r="I24" i="7" s="1"/>
  <c r="G23" i="7"/>
  <c r="H23" i="7" s="1"/>
  <c r="F23" i="7"/>
  <c r="E23" i="7" s="1"/>
  <c r="G22" i="7"/>
  <c r="H22" i="7" s="1"/>
  <c r="F22" i="7"/>
  <c r="E22" i="7" s="1"/>
  <c r="F21" i="7"/>
  <c r="G21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F41" i="7" l="1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29" i="7"/>
  <c r="E30" i="7"/>
  <c r="J21" i="7"/>
  <c r="E31" i="7"/>
  <c r="H21" i="7"/>
  <c r="H41" i="7" s="1"/>
  <c r="K21" i="7"/>
  <c r="K28" i="7"/>
  <c r="L28" i="7" s="1"/>
  <c r="H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I23" i="7" l="1"/>
  <c r="J43" i="7"/>
  <c r="I22" i="7"/>
  <c r="J42" i="7"/>
  <c r="J41" i="7"/>
  <c r="I41" i="7"/>
  <c r="L22" i="7"/>
  <c r="K42" i="7"/>
  <c r="L42" i="7"/>
  <c r="L23" i="7"/>
  <c r="L43" i="7" s="1"/>
  <c r="K43" i="7"/>
  <c r="L21" i="7"/>
  <c r="L41" i="7"/>
  <c r="K41" i="7"/>
  <c r="I42" i="7" l="1"/>
  <c r="I43" i="7"/>
  <c r="I17" i="7" l="1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J8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J12" i="7" l="1"/>
  <c r="J16" i="7"/>
  <c r="J11" i="7"/>
  <c r="J10" i="7"/>
  <c r="J14" i="7"/>
  <c r="J15" i="7"/>
  <c r="J9" i="7"/>
  <c r="J13" i="7"/>
  <c r="J17" i="7"/>
  <c r="J6" i="5"/>
  <c r="J5" i="5"/>
  <c r="J7" i="5"/>
  <c r="J8" i="5"/>
  <c r="J9" i="5"/>
  <c r="I58" i="4" l="1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G59" i="4" l="1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I60" i="4" l="1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42" i="4" l="1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<sst xmlns="http://schemas.openxmlformats.org/spreadsheetml/2006/main" count="661" uniqueCount="163">
  <si>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</si>
  <si>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</si>
  <si>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</si>
  <si>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</si>
  <si>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</si>
  <si>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</si>
  <si>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</si>
  <si>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</si>
  <si>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</si>
  <si>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</si>
  <si>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</si>
  <si>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</si>
  <si>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</si>
  <si>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</si>
  <si>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</si>
  <si>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</si>
  <si>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</si>
  <si>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</si>
  <si>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</si>
  <si>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</si>
  <si>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</si>
  <si>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</si>
  <si>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</si>
  <si>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</si>
  <si>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</si>
  <si>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</si>
  <si>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</si>
  <si>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</si>
  <si>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</si>
  <si>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</si>
  <si>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</si>
  <si>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</si>
  <si>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</si>
  <si>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</si>
  <si>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</si>
  <si>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</si>
  <si>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</si>
  <si>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</si>
  <si>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</si>
  <si>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</si>
  <si>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</si>
  <si>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</si>
  <si>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</si>
  <si>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</si>
  <si>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</si>
  <si>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</si>
  <si>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</si>
  <si>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</si>
  <si>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</si>
  <si>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</si>
  <si>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</si>
  <si>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</si>
  <si>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</si>
  <si>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</si>
  <si>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</si>
  <si>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</si>
  <si>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</si>
  <si>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</si>
  <si>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</si>
  <si>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</si>
  <si>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</si>
  <si>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</si>
  <si>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</si>
  <si>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</si>
  <si>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</si>
  <si>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</si>
  <si>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</si>
  <si>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</si>
  <si>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</si>
  <si>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</si>
  <si>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</si>
  <si>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</si>
  <si>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</si>
  <si>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</si>
  <si>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</si>
  <si>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</si>
  <si>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</si>
  <si>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</si>
  <si>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</si>
  <si>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</si>
  <si>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</si>
  <si>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</si>
  <si>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</si>
  <si>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</si>
  <si>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</si>
  <si>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</si>
  <si>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</si>
  <si>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</si>
  <si>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</si>
  <si>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</si>
  <si>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</si>
  <si>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</si>
  <si>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</si>
  <si>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</si>
  <si>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</si>
  <si>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</si>
  <si>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</si>
  <si>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</si>
  <si>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</si>
  <si>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</si>
  <si>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</si>
  <si>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</si>
  <si>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</si>
  <si>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</si>
  <si>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</si>
  <si>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</si>
  <si>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</si>
  <si>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</si>
  <si>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</si>
  <si>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</si>
  <si>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</si>
  <si>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</si>
  <si>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</si>
  <si>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</si>
  <si>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</si>
  <si>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</si>
  <si>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</si>
  <si>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</si>
  <si>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</si>
  <si>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</si>
  <si>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Таблица 3_Весовые коэффициенты для 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</si>
  <si>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</si>
  <si>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</si>
  <si>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</si>
  <si>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</si>
  <si>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</si>
  <si>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</si>
  <si>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</si>
  <si>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</si>
  <si>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</si>
  <si>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Таблица 4_произведение веса функционального FR требования на приоритет нефункционального требовани NFR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</si>
  <si>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</si>
  <si>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</si>
  <si>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</si>
  <si>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</si>
  <si>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</si>
  <si>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</si>
  <si>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</si>
  <si>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</si>
  <si>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</si>
  <si>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</si>
  <si>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</si>
  <si>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</si>
  <si>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</si>
  <si>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</si>
  <si>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</si>
  <si>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</si>
  <si>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</si>
  <si>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</si>
  <si>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</si>
  <si>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</si>
  <si>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</si>
  <si>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</si>
  <si>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</si>
  <si>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</si>
  <si>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Итоговы приоритет функционалного признака в виде нечеткого числа</t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</si>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</sst>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94">
    <xf numFmtId="0" fontId="0" fillId="0" borderId="0" xfId="0"/>
    <xf numFmtId="0" fontId="5" fillId="0" borderId="0" xfId="0" applyFont="1"/>
    <xf numFmtId="0" fontId="0" fillId="0" borderId="1" xfId="0" applyBorder="1"/>
    <xf numFmtId="0" fontId="5" fillId="0" borderId="1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5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5" fillId="2" borderId="5" xfId="0" applyFont="1" applyFill="1" applyBorder="1"/>
    <xf numFmtId="0" fontId="5" fillId="3" borderId="21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5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5" fillId="0" borderId="18" xfId="0" applyFont="1" applyBorder="1"/>
    <xf numFmtId="0" fontId="5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5" fillId="0" borderId="24" xfId="0" applyNumberFormat="1" applyFont="1" applyBorder="1"/>
    <xf numFmtId="3" fontId="5" fillId="0" borderId="25" xfId="0" applyNumberFormat="1" applyFont="1" applyBorder="1"/>
    <xf numFmtId="3" fontId="5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5" fillId="4" borderId="1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5" fillId="0" borderId="0" xfId="0" applyFont="1" applyAlignment="1">
      <alignment horizontal="center" vertical="center"/>
    </xf>
    <xf numFmtId="2" fontId="5" fillId="6" borderId="18" xfId="0" applyNumberFormat="1" applyFont="1" applyFill="1" applyBorder="1"/>
    <xf numFmtId="2" fontId="5" fillId="6" borderId="20" xfId="0" applyNumberFormat="1" applyFont="1" applyFill="1" applyBorder="1"/>
    <xf numFmtId="2" fontId="5" fillId="0" borderId="0" xfId="0" applyNumberFormat="1" applyFont="1"/>
    <xf numFmtId="2" fontId="5" fillId="7" borderId="35" xfId="0" applyNumberFormat="1" applyFont="1" applyFill="1" applyBorder="1"/>
    <xf numFmtId="4" fontId="5" fillId="0" borderId="24" xfId="0" applyNumberFormat="1" applyFont="1" applyBorder="1"/>
    <xf numFmtId="4" fontId="5" fillId="0" borderId="25" xfId="0" applyNumberFormat="1" applyFont="1" applyBorder="1"/>
    <xf numFmtId="4" fontId="5" fillId="0" borderId="26" xfId="0" applyNumberFormat="1" applyFont="1" applyBorder="1"/>
    <xf numFmtId="2" fontId="5" fillId="6" borderId="19" xfId="0" applyNumberFormat="1" applyFont="1" applyFill="1" applyBorder="1"/>
    <xf numFmtId="2" fontId="5" fillId="7" borderId="36" xfId="0" applyNumberFormat="1" applyFont="1" applyFill="1" applyBorder="1"/>
    <xf numFmtId="2" fontId="5" fillId="8" borderId="6" xfId="0" applyNumberFormat="1" applyFont="1" applyFill="1" applyBorder="1"/>
    <xf numFmtId="0" fontId="5" fillId="4" borderId="1" xfId="0" applyFont="1" applyFill="1" applyBorder="1" applyAlignment="1">
      <alignment horizontal="right"/>
    </xf>
    <xf numFmtId="0" fontId="5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4" fillId="0" borderId="0" xfId="0" applyFont="1"/>
    <xf numFmtId="0" fontId="7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0" fillId="0" borderId="0" xfId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/>
    </xf>
    <xf numFmtId="0" fontId="5" fillId="2" borderId="25" xfId="0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/>
    </xf>
    <xf numFmtId="0" fontId="1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4" fontId="0" fillId="0" borderId="1" xfId="0" applyNumberFormat="1" applyBorder="1" applyAlignment="1">
      <alignment wrapText="1"/>
    </xf>
    <xf numFmtId="0" fontId="0" fillId="0" borderId="0" xfId="0" applyAlignment="1"/>
    <xf numFmtId="0" fontId="1" fillId="0" borderId="1" xfId="0" applyFont="1" applyBorder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wrapText="1"/>
    </xf>
    <xf numFmtId="0" fontId="0" fillId="0" borderId="0" xfId="0" applyBorder="1"/>
    <xf numFmtId="0" fontId="5" fillId="0" borderId="0" xfId="0" applyFont="1" applyAlignment="1"/>
    <xf numFmtId="0" fontId="0" fillId="4" borderId="0" xfId="0" applyFill="1" applyBorder="1"/>
    <xf numFmtId="0" fontId="0" fillId="0" borderId="0" xfId="0" applyFill="1" applyBorder="1" applyAlignment="1">
      <alignment horizontal="center"/>
    </xf>
    <xf numFmtId="4" fontId="5" fillId="0" borderId="24" xfId="0" applyNumberFormat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4" fontId="5" fillId="0" borderId="26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0" fillId="0" borderId="8" xfId="0" applyBorder="1"/>
    <xf numFmtId="4" fontId="0" fillId="0" borderId="9" xfId="0" applyNumberFormat="1" applyBorder="1" applyAlignment="1">
      <alignment wrapText="1"/>
    </xf>
    <xf numFmtId="4" fontId="0" fillId="0" borderId="11" xfId="0" applyNumberFormat="1" applyBorder="1" applyAlignment="1">
      <alignment wrapText="1"/>
    </xf>
    <xf numFmtId="0" fontId="2" fillId="0" borderId="13" xfId="0" applyFont="1" applyBorder="1" applyAlignment="1">
      <alignment vertical="center"/>
    </xf>
    <xf numFmtId="0" fontId="0" fillId="0" borderId="13" xfId="0" applyBorder="1"/>
    <xf numFmtId="4" fontId="0" fillId="0" borderId="14" xfId="0" applyNumberFormat="1" applyBorder="1" applyAlignment="1">
      <alignment wrapText="1"/>
    </xf>
    <xf numFmtId="0" fontId="5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8" xfId="0" applyBorder="1" applyAlignment="1"/>
    <xf numFmtId="0" fontId="0" fillId="0" borderId="20" xfId="0" applyBorder="1" applyAlignment="1"/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1" fillId="0" borderId="7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24" xfId="0" applyFont="1" applyFill="1" applyBorder="1" applyAlignment="1">
      <alignment wrapText="1"/>
    </xf>
    <xf numFmtId="0" fontId="1" fillId="0" borderId="26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2" fontId="1" fillId="0" borderId="38" xfId="0" applyNumberFormat="1" applyFont="1" applyFill="1" applyBorder="1"/>
    <xf numFmtId="2" fontId="1" fillId="0" borderId="40" xfId="0" applyNumberFormat="1" applyFont="1" applyFill="1" applyBorder="1"/>
    <xf numFmtId="2" fontId="1" fillId="0" borderId="41" xfId="0" applyNumberFormat="1" applyFont="1" applyFill="1" applyBorder="1"/>
    <xf numFmtId="2" fontId="1" fillId="0" borderId="42" xfId="0" applyNumberFormat="1" applyFont="1" applyFill="1" applyBorder="1"/>
    <xf numFmtId="2" fontId="1" fillId="0" borderId="43" xfId="0" applyNumberFormat="1" applyFont="1" applyFill="1" applyBorder="1"/>
    <xf numFmtId="2" fontId="1" fillId="0" borderId="36" xfId="0" applyNumberFormat="1" applyFont="1" applyFill="1" applyBorder="1"/>
    <xf numFmtId="2" fontId="1" fillId="0" borderId="39" xfId="0" applyNumberFormat="1" applyFont="1" applyFill="1" applyBorder="1"/>
    <xf numFmtId="2" fontId="1" fillId="0" borderId="0" xfId="0" applyNumberFormat="1" applyFont="1" applyFill="1" applyBorder="1"/>
    <xf numFmtId="2" fontId="1" fillId="0" borderId="44" xfId="0" applyNumberFormat="1" applyFont="1" applyFill="1" applyBorder="1"/>
    <xf numFmtId="0" fontId="0" fillId="0" borderId="40" xfId="0" applyBorder="1" applyAlignment="1">
      <alignment wrapText="1"/>
    </xf>
    <xf numFmtId="0" fontId="0" fillId="0" borderId="5" xfId="0" applyBorder="1" applyAlignment="1">
      <alignment wrapText="1"/>
    </xf>
    <xf numFmtId="0" fontId="5" fillId="0" borderId="45" xfId="0" applyFont="1" applyBorder="1" applyAlignment="1"/>
    <xf numFmtId="0" fontId="5" fillId="0" borderId="35" xfId="0" applyFont="1" applyBorder="1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FF"/>
      <color rgb="FF66CCFF"/>
      <color rgb="FFCCFFCC"/>
      <color rgb="FFFF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106" t="s">
        <v>6</v>
      </c>
      <c r="C4" s="105" t="s">
        <v>7</v>
      </c>
      <c r="D4" s="105"/>
      <c r="E4" s="105"/>
      <c r="F4" s="105"/>
      <c r="G4" s="105" t="s">
        <v>0</v>
      </c>
    </row>
    <row r="5" spans="2:7" x14ac:dyDescent="0.25">
      <c r="B5" s="107"/>
      <c r="C5" s="4" t="s">
        <v>1</v>
      </c>
      <c r="D5" s="4" t="s">
        <v>2</v>
      </c>
      <c r="E5" s="4" t="s">
        <v>3</v>
      </c>
      <c r="F5" s="4" t="s">
        <v>4</v>
      </c>
      <c r="G5" s="105"/>
    </row>
    <row r="6" spans="2:7" ht="45" x14ac:dyDescent="0.25">
      <c r="B6" s="108"/>
      <c r="C6" s="4" t="s">
        <v>11</v>
      </c>
      <c r="D6" s="5" t="s">
        <v>13</v>
      </c>
      <c r="E6" s="4" t="s">
        <v>12</v>
      </c>
      <c r="F6" s="4" t="s">
        <v>14</v>
      </c>
      <c r="G6" s="105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112" t="s">
        <v>7</v>
      </c>
      <c r="C14" s="109" t="s">
        <v>6</v>
      </c>
      <c r="D14" s="110"/>
      <c r="E14" s="111"/>
    </row>
    <row r="15" spans="2:7" x14ac:dyDescent="0.25">
      <c r="B15" s="113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34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12" t="s">
        <v>7</v>
      </c>
      <c r="C5" s="109" t="s">
        <v>6</v>
      </c>
      <c r="D5" s="110"/>
      <c r="E5" s="111"/>
    </row>
    <row r="6" spans="2:10" x14ac:dyDescent="0.25">
      <c r="B6" s="113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14" t="s">
        <v>17</v>
      </c>
      <c r="D15" s="115"/>
      <c r="E15" s="115"/>
      <c r="F15" s="116"/>
      <c r="G15" s="114" t="s">
        <v>18</v>
      </c>
      <c r="H15" s="115"/>
      <c r="I15" s="115"/>
      <c r="J15" s="116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14" t="s">
        <v>17</v>
      </c>
      <c r="D33" s="115"/>
      <c r="E33" s="115"/>
      <c r="F33" s="116"/>
      <c r="G33" s="114" t="s">
        <v>18</v>
      </c>
      <c r="H33" s="115"/>
      <c r="I33" s="115"/>
      <c r="J33" s="116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14" t="s">
        <v>17</v>
      </c>
      <c r="D51" s="115"/>
      <c r="E51" s="115"/>
      <c r="F51" s="116"/>
      <c r="G51" s="114" t="s">
        <v>18</v>
      </c>
      <c r="H51" s="115"/>
      <c r="I51" s="115"/>
      <c r="J51" s="116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A22" workbookViewId="0">
      <selection activeCell="D28" sqref="D28:D30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117" t="s">
        <v>98</v>
      </c>
      <c r="B3" s="118"/>
      <c r="C3" s="118"/>
      <c r="D3" s="123"/>
      <c r="E3" s="123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129" t="s">
        <v>85</v>
      </c>
      <c r="B6" s="129" t="s">
        <v>86</v>
      </c>
      <c r="C6" s="129" t="s">
        <v>87</v>
      </c>
      <c r="D6" s="129" t="s">
        <v>128</v>
      </c>
      <c r="E6" s="129"/>
      <c r="F6" s="129"/>
      <c r="G6" s="129" t="s">
        <v>129</v>
      </c>
      <c r="H6" s="129"/>
      <c r="I6" s="129"/>
      <c r="J6" s="129" t="s">
        <v>118</v>
      </c>
    </row>
    <row r="7" spans="1:10" s="97" customFormat="1" ht="18" customHeight="1" x14ac:dyDescent="0.25">
      <c r="A7" s="129"/>
      <c r="B7" s="129"/>
      <c r="C7" s="129"/>
      <c r="D7" s="125" t="s">
        <v>114</v>
      </c>
      <c r="E7" s="125" t="s">
        <v>115</v>
      </c>
      <c r="F7" s="125" t="s">
        <v>116</v>
      </c>
      <c r="G7" s="125" t="s">
        <v>114</v>
      </c>
      <c r="H7" s="125" t="s">
        <v>115</v>
      </c>
      <c r="I7" s="125" t="s">
        <v>116</v>
      </c>
      <c r="J7" s="129"/>
    </row>
    <row r="8" spans="1:10" ht="30" x14ac:dyDescent="0.25">
      <c r="A8" s="102" t="s">
        <v>8</v>
      </c>
      <c r="B8" s="102" t="s">
        <v>84</v>
      </c>
      <c r="C8" s="103" t="s">
        <v>72</v>
      </c>
      <c r="D8" s="128" t="s">
        <v>104</v>
      </c>
      <c r="E8" s="128" t="s">
        <v>105</v>
      </c>
      <c r="F8" s="128" t="s">
        <v>104</v>
      </c>
      <c r="G8" s="128">
        <f>IF(D8=$A$21,$B$21,(IF(D8=$A$22,$B$22,IF(D8=$A$23,$B$23,$B$24))))</f>
        <v>1</v>
      </c>
      <c r="H8" s="128">
        <f t="shared" ref="H8:I8" si="0">IF(E8=$A$21,$B$21,(IF(E8=$A$22,$B$22,IF(E8=$A$23,$B$23,$B$24))))</f>
        <v>0.66</v>
      </c>
      <c r="I8" s="128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28" t="s">
        <v>106</v>
      </c>
      <c r="E9" s="128" t="s">
        <v>106</v>
      </c>
      <c r="F9" s="128" t="s">
        <v>105</v>
      </c>
      <c r="G9" s="128">
        <f>IF(D9=$A$21,$B$21,(IF(D9=$A$22,$B$22,IF(D9=$A$23,$B$23,$B$24))))</f>
        <v>0.33</v>
      </c>
      <c r="H9" s="128">
        <f t="shared" ref="H9:H10" si="1">IF(E9=$A$21,$B$21,(IF(E9=$A$22,$B$22,IF(E9=$A$23,$B$23,$B$24))))</f>
        <v>0.33</v>
      </c>
      <c r="I9" s="128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28" t="s">
        <v>105</v>
      </c>
      <c r="E10" s="128" t="s">
        <v>105</v>
      </c>
      <c r="F10" s="128" t="s">
        <v>105</v>
      </c>
      <c r="G10" s="128">
        <f t="shared" ref="G10:G17" si="4">IF(D10=$A$21,$B$21,(IF(D10=$A$22,$B$22,IF(D10=$A$23,$B$23,$B$24))))</f>
        <v>0.66</v>
      </c>
      <c r="H10" s="128">
        <f t="shared" si="1"/>
        <v>0.66</v>
      </c>
      <c r="I10" s="128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28" t="s">
        <v>104</v>
      </c>
      <c r="E11" s="128" t="s">
        <v>105</v>
      </c>
      <c r="F11" s="128" t="s">
        <v>105</v>
      </c>
      <c r="G11" s="128">
        <f t="shared" si="4"/>
        <v>1</v>
      </c>
      <c r="H11" s="128">
        <f t="shared" ref="H11:H17" si="5">IF(E11=$A$21,$B$21,(IF(E11=$A$22,$B$22,IF(E11=$A$23,$B$23,$B$24))))</f>
        <v>0.66</v>
      </c>
      <c r="I11" s="128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28" t="s">
        <v>105</v>
      </c>
      <c r="E12" s="128" t="s">
        <v>104</v>
      </c>
      <c r="F12" s="128" t="s">
        <v>105</v>
      </c>
      <c r="G12" s="128">
        <f t="shared" si="4"/>
        <v>0.66</v>
      </c>
      <c r="H12" s="128">
        <f t="shared" si="5"/>
        <v>1</v>
      </c>
      <c r="I12" s="128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28" t="s">
        <v>104</v>
      </c>
      <c r="E13" s="128" t="s">
        <v>105</v>
      </c>
      <c r="F13" s="128" t="s">
        <v>106</v>
      </c>
      <c r="G13" s="128">
        <f t="shared" si="4"/>
        <v>1</v>
      </c>
      <c r="H13" s="128">
        <f t="shared" si="5"/>
        <v>0.66</v>
      </c>
      <c r="I13" s="128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28" t="s">
        <v>104</v>
      </c>
      <c r="E14" s="128" t="s">
        <v>105</v>
      </c>
      <c r="F14" s="128" t="s">
        <v>106</v>
      </c>
      <c r="G14" s="128">
        <f t="shared" si="4"/>
        <v>1</v>
      </c>
      <c r="H14" s="128">
        <f t="shared" si="5"/>
        <v>0.66</v>
      </c>
      <c r="I14" s="128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28" t="s">
        <v>105</v>
      </c>
      <c r="E15" s="128" t="s">
        <v>104</v>
      </c>
      <c r="F15" s="128" t="s">
        <v>104</v>
      </c>
      <c r="G15" s="128">
        <f t="shared" si="4"/>
        <v>0.66</v>
      </c>
      <c r="H15" s="128">
        <f t="shared" si="5"/>
        <v>1</v>
      </c>
      <c r="I15" s="128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28" t="s">
        <v>105</v>
      </c>
      <c r="E16" s="128" t="s">
        <v>104</v>
      </c>
      <c r="F16" s="128" t="s">
        <v>105</v>
      </c>
      <c r="G16" s="128">
        <f t="shared" si="4"/>
        <v>0.66</v>
      </c>
      <c r="H16" s="128">
        <f t="shared" si="5"/>
        <v>1</v>
      </c>
      <c r="I16" s="128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28" t="s">
        <v>106</v>
      </c>
      <c r="E17" s="128" t="s">
        <v>104</v>
      </c>
      <c r="F17" s="128" t="s">
        <v>105</v>
      </c>
      <c r="G17" s="128">
        <f t="shared" si="4"/>
        <v>0.33</v>
      </c>
      <c r="H17" s="128">
        <f t="shared" si="5"/>
        <v>1</v>
      </c>
      <c r="I17" s="128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25" t="s">
        <v>103</v>
      </c>
      <c r="B20" s="126" t="s">
        <v>123</v>
      </c>
      <c r="C20" s="126" t="s">
        <v>124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25" t="s">
        <v>117</v>
      </c>
      <c r="B27" s="126" t="s">
        <v>99</v>
      </c>
      <c r="C27" s="125" t="s">
        <v>108</v>
      </c>
      <c r="D27" s="127" t="s">
        <v>113</v>
      </c>
    </row>
    <row r="28" spans="1:10" x14ac:dyDescent="0.25">
      <c r="A28" s="167" t="s">
        <v>114</v>
      </c>
      <c r="B28" s="104" t="s">
        <v>100</v>
      </c>
      <c r="C28" s="2" t="s">
        <v>104</v>
      </c>
      <c r="D28" s="122">
        <v>7.5</v>
      </c>
    </row>
    <row r="29" spans="1:10" x14ac:dyDescent="0.25">
      <c r="A29" s="168" t="s">
        <v>115</v>
      </c>
      <c r="B29" s="104" t="s">
        <v>101</v>
      </c>
      <c r="C29" s="2" t="s">
        <v>106</v>
      </c>
      <c r="D29" s="122">
        <v>2.5</v>
      </c>
    </row>
    <row r="30" spans="1:10" ht="15.75" thickBot="1" x14ac:dyDescent="0.3">
      <c r="A30" s="169" t="s">
        <v>116</v>
      </c>
      <c r="B30" s="104" t="s">
        <v>102</v>
      </c>
      <c r="C30" s="2" t="s">
        <v>105</v>
      </c>
      <c r="D30" s="122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9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D13" workbookViewId="0">
      <selection activeCell="K21" sqref="K21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117" t="s">
        <v>98</v>
      </c>
      <c r="B3" s="118"/>
      <c r="C3" s="118"/>
      <c r="D3" s="123"/>
      <c r="E3" s="123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129" t="s">
        <v>85</v>
      </c>
      <c r="B6" s="129" t="s">
        <v>86</v>
      </c>
      <c r="C6" s="149" t="s">
        <v>87</v>
      </c>
      <c r="D6" s="151" t="s">
        <v>128</v>
      </c>
      <c r="E6" s="152"/>
      <c r="F6" s="152"/>
      <c r="G6" s="152" t="s">
        <v>129</v>
      </c>
      <c r="H6" s="152"/>
      <c r="I6" s="152"/>
      <c r="J6" s="153" t="s">
        <v>162</v>
      </c>
      <c r="K6" s="164" t="s">
        <v>154</v>
      </c>
      <c r="L6" s="165"/>
      <c r="M6" s="165"/>
      <c r="N6" s="165"/>
      <c r="O6" s="165"/>
      <c r="P6" s="165"/>
      <c r="Q6" s="165"/>
      <c r="R6" s="166"/>
      <c r="S6" s="164" t="s">
        <v>152</v>
      </c>
      <c r="T6" s="165"/>
      <c r="U6" s="165"/>
      <c r="V6" s="165"/>
      <c r="W6" s="165"/>
      <c r="X6" s="165"/>
      <c r="Y6" s="165"/>
      <c r="Z6" s="166"/>
      <c r="AA6" s="164" t="s">
        <v>153</v>
      </c>
      <c r="AB6" s="165"/>
      <c r="AC6" s="165"/>
      <c r="AD6" s="165"/>
      <c r="AE6" s="165"/>
      <c r="AF6" s="165"/>
      <c r="AG6" s="165"/>
      <c r="AH6" s="166"/>
      <c r="AI6" s="164" t="s">
        <v>151</v>
      </c>
      <c r="AJ6" s="165"/>
      <c r="AK6" s="165"/>
      <c r="AL6" s="165"/>
      <c r="AM6" s="165"/>
      <c r="AN6" s="165"/>
      <c r="AO6" s="165"/>
      <c r="AP6" s="166"/>
      <c r="AQ6" s="164" t="s">
        <v>149</v>
      </c>
      <c r="AR6" s="165"/>
      <c r="AS6" s="165"/>
      <c r="AT6" s="165"/>
      <c r="AU6" s="165"/>
      <c r="AV6" s="165"/>
      <c r="AW6" s="165"/>
      <c r="AX6" s="166"/>
      <c r="AY6" s="164" t="s">
        <v>150</v>
      </c>
      <c r="AZ6" s="165"/>
      <c r="BA6" s="165"/>
      <c r="BB6" s="165"/>
      <c r="BC6" s="165"/>
      <c r="BD6" s="165"/>
      <c r="BE6" s="165"/>
      <c r="BF6" s="166"/>
      <c r="BG6" s="164" t="s">
        <v>155</v>
      </c>
      <c r="BH6" s="165"/>
      <c r="BI6" s="165"/>
      <c r="BJ6" s="165"/>
      <c r="BK6" s="165"/>
      <c r="BL6" s="165"/>
      <c r="BM6" s="165"/>
      <c r="BN6" s="166"/>
      <c r="BO6" s="178" t="s">
        <v>156</v>
      </c>
      <c r="BP6" s="179"/>
      <c r="BQ6" s="179"/>
      <c r="BR6" s="180"/>
      <c r="BS6" s="160" t="s">
        <v>158</v>
      </c>
      <c r="BT6" s="161"/>
      <c r="BU6" s="192" t="s">
        <v>161</v>
      </c>
    </row>
    <row r="7" spans="1:73" s="97" customFormat="1" ht="23.25" customHeight="1" thickBot="1" x14ac:dyDescent="0.3">
      <c r="A7" s="129"/>
      <c r="B7" s="129"/>
      <c r="C7" s="149"/>
      <c r="D7" s="154" t="s">
        <v>114</v>
      </c>
      <c r="E7" s="125" t="s">
        <v>115</v>
      </c>
      <c r="F7" s="125" t="s">
        <v>116</v>
      </c>
      <c r="G7" s="125" t="s">
        <v>114</v>
      </c>
      <c r="H7" s="125" t="s">
        <v>115</v>
      </c>
      <c r="I7" s="125" t="s">
        <v>116</v>
      </c>
      <c r="J7" s="155"/>
      <c r="K7" s="164" t="s">
        <v>17</v>
      </c>
      <c r="L7" s="165"/>
      <c r="M7" s="165"/>
      <c r="N7" s="166"/>
      <c r="O7" s="164" t="s">
        <v>18</v>
      </c>
      <c r="P7" s="165"/>
      <c r="Q7" s="165"/>
      <c r="R7" s="166"/>
      <c r="S7" s="164" t="s">
        <v>17</v>
      </c>
      <c r="T7" s="165"/>
      <c r="U7" s="165"/>
      <c r="V7" s="166"/>
      <c r="W7" s="164" t="s">
        <v>18</v>
      </c>
      <c r="X7" s="165"/>
      <c r="Y7" s="165"/>
      <c r="Z7" s="166"/>
      <c r="AA7" s="164" t="s">
        <v>17</v>
      </c>
      <c r="AB7" s="165"/>
      <c r="AC7" s="165"/>
      <c r="AD7" s="166"/>
      <c r="AE7" s="164" t="s">
        <v>18</v>
      </c>
      <c r="AF7" s="165"/>
      <c r="AG7" s="165"/>
      <c r="AH7" s="166"/>
      <c r="AI7" s="164" t="s">
        <v>17</v>
      </c>
      <c r="AJ7" s="165"/>
      <c r="AK7" s="165"/>
      <c r="AL7" s="166"/>
      <c r="AM7" s="164" t="s">
        <v>18</v>
      </c>
      <c r="AN7" s="165"/>
      <c r="AO7" s="165"/>
      <c r="AP7" s="166"/>
      <c r="AQ7" s="164" t="s">
        <v>17</v>
      </c>
      <c r="AR7" s="165"/>
      <c r="AS7" s="165"/>
      <c r="AT7" s="166"/>
      <c r="AU7" s="164" t="s">
        <v>18</v>
      </c>
      <c r="AV7" s="165"/>
      <c r="AW7" s="165"/>
      <c r="AX7" s="166"/>
      <c r="AY7" s="164" t="s">
        <v>17</v>
      </c>
      <c r="AZ7" s="165"/>
      <c r="BA7" s="165"/>
      <c r="BB7" s="166"/>
      <c r="BC7" s="164" t="s">
        <v>18</v>
      </c>
      <c r="BD7" s="165"/>
      <c r="BE7" s="165"/>
      <c r="BF7" s="166"/>
      <c r="BG7" s="164" t="s">
        <v>17</v>
      </c>
      <c r="BH7" s="165"/>
      <c r="BI7" s="165"/>
      <c r="BJ7" s="166"/>
      <c r="BK7" s="164" t="s">
        <v>18</v>
      </c>
      <c r="BL7" s="165"/>
      <c r="BM7" s="165"/>
      <c r="BN7" s="166"/>
      <c r="BO7" s="162" t="s">
        <v>157</v>
      </c>
      <c r="BP7" s="163"/>
      <c r="BQ7" s="162" t="s">
        <v>26</v>
      </c>
      <c r="BR7" s="190"/>
      <c r="BS7" s="191" t="s">
        <v>159</v>
      </c>
      <c r="BT7" s="191" t="s">
        <v>160</v>
      </c>
      <c r="BU7" s="193"/>
    </row>
    <row r="8" spans="1:73" ht="30" x14ac:dyDescent="0.25">
      <c r="A8" s="102" t="s">
        <v>8</v>
      </c>
      <c r="B8" s="102" t="s">
        <v>84</v>
      </c>
      <c r="C8" s="150" t="s">
        <v>72</v>
      </c>
      <c r="D8" s="156" t="s">
        <v>104</v>
      </c>
      <c r="E8" s="128" t="s">
        <v>105</v>
      </c>
      <c r="F8" s="128" t="s">
        <v>104</v>
      </c>
      <c r="G8" s="128">
        <f>IF(D8=$A$21,$B$21,(IF(D8=$A$22,$B$22,IF(D8=$A$23,$B$23,$B$24))))</f>
        <v>1</v>
      </c>
      <c r="H8" s="128">
        <f>IF(E8=$A$21,$B$21,(IF(E8=$A$22,$B$22,IF(E8=$A$23,$B$23,$B$24))))</f>
        <v>0.66</v>
      </c>
      <c r="I8" s="128">
        <f>IF(F8=$A$21,$B$21,(IF(F8=$A$22,$B$22,IF(F8=$A$23,$B$23,$B$24))))</f>
        <v>1</v>
      </c>
      <c r="J8" s="10">
        <f>G8*$D$35+H8*$D$36+I8*$D$37</f>
        <v>14.15</v>
      </c>
      <c r="K8" s="81">
        <v>0.88</v>
      </c>
      <c r="L8" s="83">
        <v>0.88</v>
      </c>
      <c r="M8" s="83">
        <v>1</v>
      </c>
      <c r="N8" s="84">
        <v>1</v>
      </c>
      <c r="O8" s="81">
        <v>0.8</v>
      </c>
      <c r="P8" s="83">
        <v>0.88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0.88</v>
      </c>
      <c r="W8" s="81">
        <v>0.47000000000000003</v>
      </c>
      <c r="X8" s="83">
        <v>0.55000000000000004</v>
      </c>
      <c r="Y8" s="83">
        <v>0.77</v>
      </c>
      <c r="Z8" s="84">
        <v>0.85</v>
      </c>
      <c r="AA8" s="81">
        <v>0.88</v>
      </c>
      <c r="AB8" s="83">
        <v>0.88</v>
      </c>
      <c r="AC8" s="83">
        <v>1</v>
      </c>
      <c r="AD8" s="84">
        <v>1</v>
      </c>
      <c r="AE8" s="81">
        <v>0.8</v>
      </c>
      <c r="AF8" s="83">
        <v>0.88</v>
      </c>
      <c r="AG8" s="83">
        <v>1</v>
      </c>
      <c r="AH8" s="84">
        <v>1</v>
      </c>
      <c r="AI8" s="81">
        <v>4.84</v>
      </c>
      <c r="AJ8" s="83">
        <v>6.16</v>
      </c>
      <c r="AK8" s="83">
        <v>8</v>
      </c>
      <c r="AL8" s="84">
        <v>9.5</v>
      </c>
      <c r="AM8" s="81">
        <v>4.7200000000000006</v>
      </c>
      <c r="AN8" s="83">
        <v>6.16</v>
      </c>
      <c r="AO8" s="83">
        <v>8</v>
      </c>
      <c r="AP8" s="84">
        <v>9</v>
      </c>
      <c r="AQ8" s="81">
        <v>5.500000000000016E-2</v>
      </c>
      <c r="AR8" s="83">
        <v>1.1000000000000001</v>
      </c>
      <c r="AS8" s="83">
        <v>2.31</v>
      </c>
      <c r="AT8" s="83">
        <v>3.7950000000000004</v>
      </c>
      <c r="AU8" s="81">
        <v>0.39000000000000012</v>
      </c>
      <c r="AV8" s="83">
        <v>1.1000000000000001</v>
      </c>
      <c r="AW8" s="83">
        <v>2.31</v>
      </c>
      <c r="AX8" s="84">
        <v>3.32</v>
      </c>
      <c r="AY8" s="81">
        <v>2.6399999999999997</v>
      </c>
      <c r="AZ8" s="83">
        <v>3.96</v>
      </c>
      <c r="BA8" s="83">
        <v>5.5</v>
      </c>
      <c r="BB8" s="83">
        <v>7</v>
      </c>
      <c r="BC8" s="81">
        <v>2.7199999999999998</v>
      </c>
      <c r="BD8" s="83">
        <v>3.96</v>
      </c>
      <c r="BE8" s="83">
        <v>5.5</v>
      </c>
      <c r="BF8" s="84">
        <v>6.5</v>
      </c>
      <c r="BG8" s="81">
        <f>AI8+AQ8+AY8</f>
        <v>7.5349999999999993</v>
      </c>
      <c r="BH8" s="83">
        <f t="shared" ref="BH8:BN8" si="0">AJ8+AR8+AZ8</f>
        <v>11.219999999999999</v>
      </c>
      <c r="BI8" s="83">
        <f t="shared" si="0"/>
        <v>15.81</v>
      </c>
      <c r="BJ8" s="83">
        <f t="shared" si="0"/>
        <v>20.295000000000002</v>
      </c>
      <c r="BK8" s="81">
        <f t="shared" si="0"/>
        <v>7.830000000000001</v>
      </c>
      <c r="BL8" s="83">
        <f t="shared" si="0"/>
        <v>11.219999999999999</v>
      </c>
      <c r="BM8" s="83">
        <f t="shared" si="0"/>
        <v>15.81</v>
      </c>
      <c r="BN8" s="83">
        <f t="shared" si="0"/>
        <v>18.82</v>
      </c>
      <c r="BO8" s="181">
        <f>BO$5*BH8+(1-BO$5)*BG8</f>
        <v>10.482999999999999</v>
      </c>
      <c r="BP8" s="187">
        <f>BO$5*BI8+(1-BO$5)*BJ8</f>
        <v>16.707000000000001</v>
      </c>
      <c r="BQ8" s="181">
        <f>BO$5*BL8+(1-BO$5)*BK8</f>
        <v>10.541999999999998</v>
      </c>
      <c r="BR8" s="182">
        <f>BO$5*BM8+(1-BO$5)*BN8</f>
        <v>16.411999999999999</v>
      </c>
      <c r="BS8" s="81">
        <f>(BO8+BP8)/2</f>
        <v>13.594999999999999</v>
      </c>
      <c r="BT8" s="84">
        <f>(BQ8+BR8)/2</f>
        <v>13.476999999999999</v>
      </c>
      <c r="BU8" s="175">
        <f>(BS8+BT8)/2</f>
        <v>13.535999999999998</v>
      </c>
    </row>
    <row r="9" spans="1:73" x14ac:dyDescent="0.25">
      <c r="A9" s="102" t="s">
        <v>9</v>
      </c>
      <c r="B9" s="102" t="s">
        <v>73</v>
      </c>
      <c r="C9" s="150" t="s">
        <v>88</v>
      </c>
      <c r="D9" s="156" t="s">
        <v>106</v>
      </c>
      <c r="E9" s="128" t="s">
        <v>106</v>
      </c>
      <c r="F9" s="128" t="s">
        <v>105</v>
      </c>
      <c r="G9" s="128">
        <f>IF(D9=$A$21,$B$21,(IF(D9=$A$22,$B$22,IF(D9=$A$23,$B$23,$B$24))))</f>
        <v>0.33</v>
      </c>
      <c r="H9" s="128">
        <f>IF(E9=$A$21,$B$21,(IF(E9=$A$22,$B$22,IF(E9=$A$23,$B$23,$B$24))))</f>
        <v>0.33</v>
      </c>
      <c r="I9" s="128">
        <f>IF(F9=$A$21,$B$21,(IF(F9=$A$22,$B$22,IF(F9=$A$23,$B$23,$B$24))))</f>
        <v>0.66</v>
      </c>
      <c r="J9" s="10">
        <f t="shared" ref="J9:J17" si="1">G9*$D$35+H9*$D$36+I9*$D$37</f>
        <v>6.6000000000000005</v>
      </c>
      <c r="K9" s="87">
        <v>0.11000000000000003</v>
      </c>
      <c r="L9" s="131">
        <v>0.22000000000000003</v>
      </c>
      <c r="M9" s="131">
        <v>0.44</v>
      </c>
      <c r="N9" s="88">
        <v>0.55000000000000004</v>
      </c>
      <c r="O9" s="87">
        <v>0.14000000000000001</v>
      </c>
      <c r="P9" s="131">
        <v>0.22000000000000003</v>
      </c>
      <c r="Q9" s="131">
        <v>0.44</v>
      </c>
      <c r="R9" s="88">
        <v>0.52</v>
      </c>
      <c r="S9" s="87">
        <v>0.11000000000000003</v>
      </c>
      <c r="T9" s="131">
        <v>0.22000000000000003</v>
      </c>
      <c r="U9" s="131">
        <v>0.44</v>
      </c>
      <c r="V9" s="88">
        <v>0.55000000000000004</v>
      </c>
      <c r="W9" s="87">
        <v>0.14000000000000001</v>
      </c>
      <c r="X9" s="131">
        <v>0.22000000000000003</v>
      </c>
      <c r="Y9" s="131">
        <v>0.44</v>
      </c>
      <c r="Z9" s="88">
        <v>0.52</v>
      </c>
      <c r="AA9" s="87">
        <v>0.44000000000000006</v>
      </c>
      <c r="AB9" s="131">
        <v>0.55000000000000004</v>
      </c>
      <c r="AC9" s="131">
        <v>0.77</v>
      </c>
      <c r="AD9" s="88">
        <v>0.88</v>
      </c>
      <c r="AE9" s="87">
        <v>0.47000000000000003</v>
      </c>
      <c r="AF9" s="131">
        <v>0.55000000000000004</v>
      </c>
      <c r="AG9" s="131">
        <v>0.77</v>
      </c>
      <c r="AH9" s="88">
        <v>0.85</v>
      </c>
      <c r="AI9" s="87">
        <v>0.44000000000000017</v>
      </c>
      <c r="AJ9" s="131">
        <v>1.5400000000000003</v>
      </c>
      <c r="AK9" s="131">
        <v>3.52</v>
      </c>
      <c r="AL9" s="88">
        <v>5.0600000000000005</v>
      </c>
      <c r="AM9" s="87">
        <v>0.76</v>
      </c>
      <c r="AN9" s="131">
        <v>1.5400000000000003</v>
      </c>
      <c r="AO9" s="131">
        <v>3.52</v>
      </c>
      <c r="AP9" s="88">
        <v>4.6000000000000014</v>
      </c>
      <c r="AQ9" s="87">
        <v>-0.10999999999999999</v>
      </c>
      <c r="AR9" s="131">
        <v>0.44000000000000006</v>
      </c>
      <c r="AS9" s="131">
        <v>1.32</v>
      </c>
      <c r="AT9" s="131">
        <v>2.3099999999999996</v>
      </c>
      <c r="AU9" s="87">
        <v>5.9999999999999942E-2</v>
      </c>
      <c r="AV9" s="131">
        <v>0.44000000000000006</v>
      </c>
      <c r="AW9" s="131">
        <v>1.32</v>
      </c>
      <c r="AX9" s="88">
        <v>2</v>
      </c>
      <c r="AY9" s="87">
        <v>1.1550000000000002</v>
      </c>
      <c r="AZ9" s="131">
        <v>2.4750000000000001</v>
      </c>
      <c r="BA9" s="131">
        <v>4.2350000000000003</v>
      </c>
      <c r="BB9" s="131">
        <v>5.9950000000000001</v>
      </c>
      <c r="BC9" s="87">
        <v>1.5650000000000008</v>
      </c>
      <c r="BD9" s="131">
        <v>2.4750000000000001</v>
      </c>
      <c r="BE9" s="131">
        <v>4.2350000000000003</v>
      </c>
      <c r="BF9" s="88">
        <v>5.4449999999999994</v>
      </c>
      <c r="BG9" s="87">
        <f t="shared" ref="BG9:BG17" si="2">AI9+AQ9+AY9</f>
        <v>1.4850000000000003</v>
      </c>
      <c r="BH9" s="131">
        <f t="shared" ref="BH9:BH17" si="3">AJ9+AR9+AZ9</f>
        <v>4.4550000000000001</v>
      </c>
      <c r="BI9" s="131">
        <f t="shared" ref="BI9:BI17" si="4">AK9+AS9+BA9</f>
        <v>9.0749999999999993</v>
      </c>
      <c r="BJ9" s="131">
        <f t="shared" ref="BJ9:BJ17" si="5">AL9+AT9+BB9</f>
        <v>13.365</v>
      </c>
      <c r="BK9" s="87">
        <f t="shared" ref="BK9:BK17" si="6">AM9+AU9+BC9</f>
        <v>2.3850000000000007</v>
      </c>
      <c r="BL9" s="131">
        <f t="shared" ref="BL9:BL17" si="7">AN9+AV9+BD9</f>
        <v>4.4550000000000001</v>
      </c>
      <c r="BM9" s="131">
        <f t="shared" ref="BM9:BM17" si="8">AO9+AW9+BE9</f>
        <v>9.0749999999999993</v>
      </c>
      <c r="BN9" s="131">
        <f t="shared" ref="BN9:BN17" si="9">AP9+AX9+BF9</f>
        <v>12.045000000000002</v>
      </c>
      <c r="BO9" s="183">
        <f t="shared" ref="BO9:BO17" si="10">BO$5*BH9+(1-BO$5)*BG9</f>
        <v>3.8610000000000002</v>
      </c>
      <c r="BP9" s="188">
        <f t="shared" ref="BP9:BP17" si="11">BO$5*BI9+(1-BO$5)*BJ9</f>
        <v>9.9329999999999998</v>
      </c>
      <c r="BQ9" s="183">
        <f t="shared" ref="BQ9:BQ17" si="12">BO$5*BL9+(1-BO$5)*BK9</f>
        <v>4.0410000000000004</v>
      </c>
      <c r="BR9" s="184">
        <f t="shared" ref="BR9:BR17" si="13">BO$5*BM9+(1-BO$5)*BN9</f>
        <v>9.6690000000000005</v>
      </c>
      <c r="BS9" s="87">
        <f t="shared" ref="BS9:BS17" si="14">(BO9+BP9)/2</f>
        <v>6.8970000000000002</v>
      </c>
      <c r="BT9" s="88">
        <f t="shared" ref="BT9:BT17" si="15">(BQ9+BR9)/2</f>
        <v>6.8550000000000004</v>
      </c>
      <c r="BU9" s="176">
        <f t="shared" ref="BU9:BU18" si="16">(BS9+BT9)/2</f>
        <v>6.8760000000000003</v>
      </c>
    </row>
    <row r="10" spans="1:73" x14ac:dyDescent="0.25">
      <c r="A10" s="102" t="s">
        <v>10</v>
      </c>
      <c r="B10" s="102" t="s">
        <v>74</v>
      </c>
      <c r="C10" s="150" t="s">
        <v>89</v>
      </c>
      <c r="D10" s="156" t="s">
        <v>105</v>
      </c>
      <c r="E10" s="128" t="s">
        <v>105</v>
      </c>
      <c r="F10" s="128" t="s">
        <v>105</v>
      </c>
      <c r="G10" s="128">
        <f>IF(D10=$A$21,$B$21,(IF(D10=$A$22,$B$22,IF(D10=$A$23,$B$23,$B$24))))</f>
        <v>0.66</v>
      </c>
      <c r="H10" s="128">
        <f>IF(E10=$A$21,$B$21,(IF(E10=$A$22,$B$22,IF(E10=$A$23,$B$23,$B$24))))</f>
        <v>0.66</v>
      </c>
      <c r="I10" s="128">
        <f>IF(F10=$A$21,$B$21,(IF(F10=$A$22,$B$22,IF(F10=$A$23,$B$23,$B$24))))</f>
        <v>0.66</v>
      </c>
      <c r="J10" s="10">
        <f t="shared" si="1"/>
        <v>9.9</v>
      </c>
      <c r="K10" s="87">
        <v>0.44000000000000006</v>
      </c>
      <c r="L10" s="131">
        <v>0.55000000000000004</v>
      </c>
      <c r="M10" s="131">
        <v>0.77</v>
      </c>
      <c r="N10" s="88">
        <v>0.88</v>
      </c>
      <c r="O10" s="87">
        <v>0.47000000000000003</v>
      </c>
      <c r="P10" s="131">
        <v>0.55000000000000004</v>
      </c>
      <c r="Q10" s="131">
        <v>0.77</v>
      </c>
      <c r="R10" s="88">
        <v>0.85</v>
      </c>
      <c r="S10" s="87">
        <v>0.44000000000000006</v>
      </c>
      <c r="T10" s="131">
        <v>0.55000000000000004</v>
      </c>
      <c r="U10" s="131">
        <v>0.77</v>
      </c>
      <c r="V10" s="88">
        <v>0.88</v>
      </c>
      <c r="W10" s="87">
        <v>0.47000000000000003</v>
      </c>
      <c r="X10" s="131">
        <v>0.55000000000000004</v>
      </c>
      <c r="Y10" s="131">
        <v>0.77</v>
      </c>
      <c r="Z10" s="88">
        <v>0.85</v>
      </c>
      <c r="AA10" s="87">
        <v>0.44000000000000006</v>
      </c>
      <c r="AB10" s="131">
        <v>0.55000000000000004</v>
      </c>
      <c r="AC10" s="131">
        <v>0.77</v>
      </c>
      <c r="AD10" s="88">
        <v>0.88</v>
      </c>
      <c r="AE10" s="87">
        <v>0.47000000000000003</v>
      </c>
      <c r="AF10" s="131">
        <v>0.55000000000000004</v>
      </c>
      <c r="AG10" s="131">
        <v>0.77</v>
      </c>
      <c r="AH10" s="88">
        <v>0.85</v>
      </c>
      <c r="AI10" s="87">
        <v>2.2549999999999999</v>
      </c>
      <c r="AJ10" s="131">
        <v>3.8500000000000005</v>
      </c>
      <c r="AK10" s="131">
        <v>6.16</v>
      </c>
      <c r="AL10" s="88">
        <v>8.1950000000000003</v>
      </c>
      <c r="AM10" s="87">
        <v>2.7399999999999993</v>
      </c>
      <c r="AN10" s="131">
        <v>3.8500000000000005</v>
      </c>
      <c r="AO10" s="131">
        <v>6.16</v>
      </c>
      <c r="AP10" s="88">
        <v>7.57</v>
      </c>
      <c r="AQ10" s="87">
        <v>5.500000000000016E-2</v>
      </c>
      <c r="AR10" s="131">
        <v>1.1000000000000001</v>
      </c>
      <c r="AS10" s="131">
        <v>2.31</v>
      </c>
      <c r="AT10" s="131">
        <v>3.7950000000000004</v>
      </c>
      <c r="AU10" s="87">
        <v>0.39000000000000012</v>
      </c>
      <c r="AV10" s="131">
        <v>1.1000000000000001</v>
      </c>
      <c r="AW10" s="131">
        <v>2.31</v>
      </c>
      <c r="AX10" s="88">
        <v>3.32</v>
      </c>
      <c r="AY10" s="87">
        <v>1.1550000000000002</v>
      </c>
      <c r="AZ10" s="131">
        <v>2.4750000000000001</v>
      </c>
      <c r="BA10" s="131">
        <v>4.2350000000000003</v>
      </c>
      <c r="BB10" s="131">
        <v>5.9950000000000001</v>
      </c>
      <c r="BC10" s="87">
        <v>1.5650000000000008</v>
      </c>
      <c r="BD10" s="131">
        <v>2.4750000000000001</v>
      </c>
      <c r="BE10" s="131">
        <v>4.2350000000000003</v>
      </c>
      <c r="BF10" s="88">
        <v>5.4449999999999994</v>
      </c>
      <c r="BG10" s="87">
        <f t="shared" si="2"/>
        <v>3.4650000000000003</v>
      </c>
      <c r="BH10" s="131">
        <f t="shared" si="3"/>
        <v>7.4250000000000007</v>
      </c>
      <c r="BI10" s="131">
        <f t="shared" si="4"/>
        <v>12.705000000000002</v>
      </c>
      <c r="BJ10" s="131">
        <f t="shared" si="5"/>
        <v>17.984999999999999</v>
      </c>
      <c r="BK10" s="87">
        <f t="shared" si="6"/>
        <v>4.6950000000000003</v>
      </c>
      <c r="BL10" s="131">
        <f t="shared" si="7"/>
        <v>7.4250000000000007</v>
      </c>
      <c r="BM10" s="131">
        <f t="shared" si="8"/>
        <v>12.705000000000002</v>
      </c>
      <c r="BN10" s="131">
        <f t="shared" si="9"/>
        <v>16.335000000000001</v>
      </c>
      <c r="BO10" s="183">
        <f t="shared" si="10"/>
        <v>6.6330000000000009</v>
      </c>
      <c r="BP10" s="188">
        <f t="shared" si="11"/>
        <v>13.761000000000001</v>
      </c>
      <c r="BQ10" s="183">
        <f t="shared" si="12"/>
        <v>6.8790000000000013</v>
      </c>
      <c r="BR10" s="184">
        <f t="shared" si="13"/>
        <v>13.431000000000001</v>
      </c>
      <c r="BS10" s="87">
        <f t="shared" si="14"/>
        <v>10.197000000000001</v>
      </c>
      <c r="BT10" s="88">
        <f t="shared" si="15"/>
        <v>10.155000000000001</v>
      </c>
      <c r="BU10" s="176">
        <f t="shared" si="16"/>
        <v>10.176000000000002</v>
      </c>
    </row>
    <row r="11" spans="1:73" x14ac:dyDescent="0.25">
      <c r="A11" s="102" t="s">
        <v>65</v>
      </c>
      <c r="B11" s="102" t="s">
        <v>75</v>
      </c>
      <c r="C11" s="150" t="s">
        <v>76</v>
      </c>
      <c r="D11" s="156" t="s">
        <v>104</v>
      </c>
      <c r="E11" s="128" t="s">
        <v>105</v>
      </c>
      <c r="F11" s="128" t="s">
        <v>105</v>
      </c>
      <c r="G11" s="128">
        <f>IF(D11=$A$21,$B$21,(IF(D11=$A$22,$B$22,IF(D11=$A$23,$B$23,$B$24))))</f>
        <v>1</v>
      </c>
      <c r="H11" s="128">
        <f>IF(E11=$A$21,$B$21,(IF(E11=$A$22,$B$22,IF(E11=$A$23,$B$23,$B$24))))</f>
        <v>0.66</v>
      </c>
      <c r="I11" s="128">
        <f>IF(F11=$A$21,$B$21,(IF(F11=$A$22,$B$22,IF(F11=$A$23,$B$23,$B$24))))</f>
        <v>0.66</v>
      </c>
      <c r="J11" s="10">
        <f t="shared" si="1"/>
        <v>12.450000000000001</v>
      </c>
      <c r="K11" s="87">
        <v>0.88</v>
      </c>
      <c r="L11" s="131">
        <v>0.88</v>
      </c>
      <c r="M11" s="131">
        <v>1</v>
      </c>
      <c r="N11" s="88">
        <v>1</v>
      </c>
      <c r="O11" s="87">
        <v>0.8</v>
      </c>
      <c r="P11" s="131">
        <v>0.88</v>
      </c>
      <c r="Q11" s="131">
        <v>1</v>
      </c>
      <c r="R11" s="88">
        <v>1</v>
      </c>
      <c r="S11" s="87">
        <v>0.44000000000000006</v>
      </c>
      <c r="T11" s="131">
        <v>0.55000000000000004</v>
      </c>
      <c r="U11" s="131">
        <v>0.77</v>
      </c>
      <c r="V11" s="88">
        <v>0.88</v>
      </c>
      <c r="W11" s="87">
        <v>0.47000000000000003</v>
      </c>
      <c r="X11" s="131">
        <v>0.55000000000000004</v>
      </c>
      <c r="Y11" s="131">
        <v>0.77</v>
      </c>
      <c r="Z11" s="88">
        <v>0.85</v>
      </c>
      <c r="AA11" s="87">
        <v>0.44000000000000006</v>
      </c>
      <c r="AB11" s="131">
        <v>0.55000000000000004</v>
      </c>
      <c r="AC11" s="131">
        <v>0.77</v>
      </c>
      <c r="AD11" s="88">
        <v>0.88</v>
      </c>
      <c r="AE11" s="87">
        <v>0.47000000000000003</v>
      </c>
      <c r="AF11" s="131">
        <v>0.55000000000000004</v>
      </c>
      <c r="AG11" s="131">
        <v>0.77</v>
      </c>
      <c r="AH11" s="88">
        <v>0.85</v>
      </c>
      <c r="AI11" s="87">
        <v>4.84</v>
      </c>
      <c r="AJ11" s="131">
        <v>6.16</v>
      </c>
      <c r="AK11" s="131">
        <v>8</v>
      </c>
      <c r="AL11" s="88">
        <v>9.5</v>
      </c>
      <c r="AM11" s="87">
        <v>4.7200000000000006</v>
      </c>
      <c r="AN11" s="131">
        <v>6.16</v>
      </c>
      <c r="AO11" s="131">
        <v>8</v>
      </c>
      <c r="AP11" s="88">
        <v>9</v>
      </c>
      <c r="AQ11" s="87">
        <v>5.500000000000016E-2</v>
      </c>
      <c r="AR11" s="131">
        <v>1.1000000000000001</v>
      </c>
      <c r="AS11" s="131">
        <v>2.31</v>
      </c>
      <c r="AT11" s="131">
        <v>3.7950000000000004</v>
      </c>
      <c r="AU11" s="87">
        <v>0.39000000000000012</v>
      </c>
      <c r="AV11" s="131">
        <v>1.1000000000000001</v>
      </c>
      <c r="AW11" s="131">
        <v>2.31</v>
      </c>
      <c r="AX11" s="88">
        <v>3.32</v>
      </c>
      <c r="AY11" s="87">
        <v>1.1550000000000002</v>
      </c>
      <c r="AZ11" s="131">
        <v>2.4750000000000001</v>
      </c>
      <c r="BA11" s="131">
        <v>4.2350000000000003</v>
      </c>
      <c r="BB11" s="131">
        <v>5.9950000000000001</v>
      </c>
      <c r="BC11" s="87">
        <v>1.5650000000000008</v>
      </c>
      <c r="BD11" s="131">
        <v>2.4750000000000001</v>
      </c>
      <c r="BE11" s="131">
        <v>4.2350000000000003</v>
      </c>
      <c r="BF11" s="88">
        <v>5.4449999999999994</v>
      </c>
      <c r="BG11" s="87">
        <f t="shared" si="2"/>
        <v>6.05</v>
      </c>
      <c r="BH11" s="131">
        <f t="shared" si="3"/>
        <v>9.7349999999999994</v>
      </c>
      <c r="BI11" s="131">
        <f t="shared" si="4"/>
        <v>14.545000000000002</v>
      </c>
      <c r="BJ11" s="131">
        <f t="shared" si="5"/>
        <v>19.29</v>
      </c>
      <c r="BK11" s="87">
        <f t="shared" si="6"/>
        <v>6.6750000000000025</v>
      </c>
      <c r="BL11" s="131">
        <f t="shared" si="7"/>
        <v>9.7349999999999994</v>
      </c>
      <c r="BM11" s="131">
        <f t="shared" si="8"/>
        <v>14.545000000000002</v>
      </c>
      <c r="BN11" s="131">
        <f t="shared" si="9"/>
        <v>17.765000000000001</v>
      </c>
      <c r="BO11" s="183">
        <f t="shared" si="10"/>
        <v>8.9979999999999993</v>
      </c>
      <c r="BP11" s="188">
        <f t="shared" si="11"/>
        <v>15.494000000000002</v>
      </c>
      <c r="BQ11" s="183">
        <f t="shared" si="12"/>
        <v>9.1230000000000011</v>
      </c>
      <c r="BR11" s="184">
        <f t="shared" si="13"/>
        <v>15.189000000000002</v>
      </c>
      <c r="BS11" s="87">
        <f t="shared" si="14"/>
        <v>12.246</v>
      </c>
      <c r="BT11" s="88">
        <f t="shared" si="15"/>
        <v>12.156000000000002</v>
      </c>
      <c r="BU11" s="176">
        <f t="shared" si="16"/>
        <v>12.201000000000001</v>
      </c>
    </row>
    <row r="12" spans="1:73" ht="30" x14ac:dyDescent="0.25">
      <c r="A12" s="102" t="s">
        <v>66</v>
      </c>
      <c r="B12" s="102" t="s">
        <v>77</v>
      </c>
      <c r="C12" s="150" t="s">
        <v>90</v>
      </c>
      <c r="D12" s="156" t="s">
        <v>105</v>
      </c>
      <c r="E12" s="128" t="s">
        <v>104</v>
      </c>
      <c r="F12" s="128" t="s">
        <v>105</v>
      </c>
      <c r="G12" s="128">
        <f>IF(D12=$A$21,$B$21,(IF(D12=$A$22,$B$22,IF(D12=$A$23,$B$23,$B$24))))</f>
        <v>0.66</v>
      </c>
      <c r="H12" s="128">
        <f>IF(E12=$A$21,$B$21,(IF(E12=$A$22,$B$22,IF(E12=$A$23,$B$23,$B$24))))</f>
        <v>1</v>
      </c>
      <c r="I12" s="128">
        <f>IF(F12=$A$21,$B$21,(IF(F12=$A$22,$B$22,IF(F12=$A$23,$B$23,$B$24))))</f>
        <v>0.66</v>
      </c>
      <c r="J12" s="10">
        <f t="shared" si="1"/>
        <v>10.75</v>
      </c>
      <c r="K12" s="87">
        <v>0.44000000000000006</v>
      </c>
      <c r="L12" s="131">
        <v>0.55000000000000004</v>
      </c>
      <c r="M12" s="131">
        <v>0.77</v>
      </c>
      <c r="N12" s="88">
        <v>0.88</v>
      </c>
      <c r="O12" s="87">
        <v>0.47000000000000003</v>
      </c>
      <c r="P12" s="131">
        <v>0.55000000000000004</v>
      </c>
      <c r="Q12" s="131">
        <v>0.77</v>
      </c>
      <c r="R12" s="88">
        <v>0.85</v>
      </c>
      <c r="S12" s="87">
        <v>0.88</v>
      </c>
      <c r="T12" s="131">
        <v>0.88</v>
      </c>
      <c r="U12" s="131">
        <v>1</v>
      </c>
      <c r="V12" s="88">
        <v>1</v>
      </c>
      <c r="W12" s="87">
        <v>0.8</v>
      </c>
      <c r="X12" s="131">
        <v>0.88</v>
      </c>
      <c r="Y12" s="131">
        <v>1</v>
      </c>
      <c r="Z12" s="88">
        <v>1</v>
      </c>
      <c r="AA12" s="87">
        <v>0.44000000000000006</v>
      </c>
      <c r="AB12" s="131">
        <v>0.55000000000000004</v>
      </c>
      <c r="AC12" s="131">
        <v>0.77</v>
      </c>
      <c r="AD12" s="88">
        <v>0.88</v>
      </c>
      <c r="AE12" s="87">
        <v>0.47000000000000003</v>
      </c>
      <c r="AF12" s="131">
        <v>0.55000000000000004</v>
      </c>
      <c r="AG12" s="131">
        <v>0.77</v>
      </c>
      <c r="AH12" s="88">
        <v>0.85</v>
      </c>
      <c r="AI12" s="87">
        <v>2.2549999999999999</v>
      </c>
      <c r="AJ12" s="131">
        <v>3.8500000000000005</v>
      </c>
      <c r="AK12" s="131">
        <v>6.16</v>
      </c>
      <c r="AL12" s="88">
        <v>8.1950000000000003</v>
      </c>
      <c r="AM12" s="87">
        <v>2.7399999999999993</v>
      </c>
      <c r="AN12" s="131">
        <v>3.8500000000000005</v>
      </c>
      <c r="AO12" s="131">
        <v>6.16</v>
      </c>
      <c r="AP12" s="88">
        <v>7.57</v>
      </c>
      <c r="AQ12" s="87">
        <v>0.44000000000000017</v>
      </c>
      <c r="AR12" s="131">
        <v>1.76</v>
      </c>
      <c r="AS12" s="131">
        <v>3</v>
      </c>
      <c r="AT12" s="131">
        <v>4.5</v>
      </c>
      <c r="AU12" s="87">
        <v>0.72</v>
      </c>
      <c r="AV12" s="131">
        <v>1.76</v>
      </c>
      <c r="AW12" s="131">
        <v>3</v>
      </c>
      <c r="AX12" s="88">
        <v>4</v>
      </c>
      <c r="AY12" s="87">
        <v>1.1550000000000002</v>
      </c>
      <c r="AZ12" s="131">
        <v>2.4750000000000001</v>
      </c>
      <c r="BA12" s="131">
        <v>4.2350000000000003</v>
      </c>
      <c r="BB12" s="131">
        <v>5.9950000000000001</v>
      </c>
      <c r="BC12" s="87">
        <v>1.5650000000000008</v>
      </c>
      <c r="BD12" s="131">
        <v>2.4750000000000001</v>
      </c>
      <c r="BE12" s="131">
        <v>4.2350000000000003</v>
      </c>
      <c r="BF12" s="88">
        <v>5.4449999999999994</v>
      </c>
      <c r="BG12" s="87">
        <f t="shared" si="2"/>
        <v>3.8500000000000005</v>
      </c>
      <c r="BH12" s="131">
        <f t="shared" si="3"/>
        <v>8.0850000000000009</v>
      </c>
      <c r="BI12" s="131">
        <f t="shared" si="4"/>
        <v>13.395</v>
      </c>
      <c r="BJ12" s="131">
        <f t="shared" si="5"/>
        <v>18.690000000000001</v>
      </c>
      <c r="BK12" s="87">
        <f t="shared" si="6"/>
        <v>5.0250000000000004</v>
      </c>
      <c r="BL12" s="131">
        <f t="shared" si="7"/>
        <v>8.0850000000000009</v>
      </c>
      <c r="BM12" s="131">
        <f t="shared" si="8"/>
        <v>13.395</v>
      </c>
      <c r="BN12" s="131">
        <f t="shared" si="9"/>
        <v>17.015000000000001</v>
      </c>
      <c r="BO12" s="183">
        <f t="shared" si="10"/>
        <v>7.2380000000000004</v>
      </c>
      <c r="BP12" s="188">
        <f t="shared" si="11"/>
        <v>14.454000000000001</v>
      </c>
      <c r="BQ12" s="183">
        <f t="shared" si="12"/>
        <v>7.4730000000000008</v>
      </c>
      <c r="BR12" s="184">
        <f t="shared" si="13"/>
        <v>14.119</v>
      </c>
      <c r="BS12" s="87">
        <f t="shared" si="14"/>
        <v>10.846</v>
      </c>
      <c r="BT12" s="88">
        <f t="shared" si="15"/>
        <v>10.795999999999999</v>
      </c>
      <c r="BU12" s="176">
        <f t="shared" si="16"/>
        <v>10.821</v>
      </c>
    </row>
    <row r="13" spans="1:73" x14ac:dyDescent="0.25">
      <c r="A13" s="102" t="s">
        <v>67</v>
      </c>
      <c r="B13" s="102" t="s">
        <v>78</v>
      </c>
      <c r="C13" s="150" t="s">
        <v>91</v>
      </c>
      <c r="D13" s="156" t="s">
        <v>104</v>
      </c>
      <c r="E13" s="128" t="s">
        <v>105</v>
      </c>
      <c r="F13" s="128" t="s">
        <v>106</v>
      </c>
      <c r="G13" s="128">
        <f>IF(D13=$A$21,$B$21,(IF(D13=$A$22,$B$22,IF(D13=$A$23,$B$23,$B$24))))</f>
        <v>1</v>
      </c>
      <c r="H13" s="128">
        <f>IF(E13=$A$21,$B$21,(IF(E13=$A$22,$B$22,IF(E13=$A$23,$B$23,$B$24))))</f>
        <v>0.66</v>
      </c>
      <c r="I13" s="128">
        <f>IF(F13=$A$21,$B$21,(IF(F13=$A$22,$B$22,IF(F13=$A$23,$B$23,$B$24))))</f>
        <v>0.33</v>
      </c>
      <c r="J13" s="10">
        <f t="shared" si="1"/>
        <v>10.8</v>
      </c>
      <c r="K13" s="87">
        <v>0.88</v>
      </c>
      <c r="L13" s="131">
        <v>0.88</v>
      </c>
      <c r="M13" s="131">
        <v>1</v>
      </c>
      <c r="N13" s="88">
        <v>1</v>
      </c>
      <c r="O13" s="87">
        <v>0.8</v>
      </c>
      <c r="P13" s="131">
        <v>0.88</v>
      </c>
      <c r="Q13" s="131">
        <v>1</v>
      </c>
      <c r="R13" s="88">
        <v>1</v>
      </c>
      <c r="S13" s="87">
        <v>0.44000000000000006</v>
      </c>
      <c r="T13" s="131">
        <v>0.55000000000000004</v>
      </c>
      <c r="U13" s="131">
        <v>0.77</v>
      </c>
      <c r="V13" s="88">
        <v>0.88</v>
      </c>
      <c r="W13" s="87">
        <v>0.47000000000000003</v>
      </c>
      <c r="X13" s="131">
        <v>0.55000000000000004</v>
      </c>
      <c r="Y13" s="131">
        <v>0.77</v>
      </c>
      <c r="Z13" s="88">
        <v>0.85</v>
      </c>
      <c r="AA13" s="87">
        <v>0.11000000000000003</v>
      </c>
      <c r="AB13" s="131">
        <v>0.22000000000000003</v>
      </c>
      <c r="AC13" s="131">
        <v>0.44</v>
      </c>
      <c r="AD13" s="88">
        <v>0.55000000000000004</v>
      </c>
      <c r="AE13" s="87">
        <v>0.14000000000000001</v>
      </c>
      <c r="AF13" s="131">
        <v>0.22000000000000003</v>
      </c>
      <c r="AG13" s="131">
        <v>0.44</v>
      </c>
      <c r="AH13" s="88">
        <v>0.52</v>
      </c>
      <c r="AI13" s="87">
        <v>4.84</v>
      </c>
      <c r="AJ13" s="131">
        <v>6.16</v>
      </c>
      <c r="AK13" s="131">
        <v>8</v>
      </c>
      <c r="AL13" s="88">
        <v>9.5</v>
      </c>
      <c r="AM13" s="87">
        <v>4.7200000000000006</v>
      </c>
      <c r="AN13" s="131">
        <v>6.16</v>
      </c>
      <c r="AO13" s="131">
        <v>8</v>
      </c>
      <c r="AP13" s="88">
        <v>9</v>
      </c>
      <c r="AQ13" s="87">
        <v>5.500000000000016E-2</v>
      </c>
      <c r="AR13" s="131">
        <v>1.1000000000000001</v>
      </c>
      <c r="AS13" s="131">
        <v>2.31</v>
      </c>
      <c r="AT13" s="131">
        <v>3.7950000000000004</v>
      </c>
      <c r="AU13" s="87">
        <v>0.39000000000000012</v>
      </c>
      <c r="AV13" s="131">
        <v>1.1000000000000001</v>
      </c>
      <c r="AW13" s="131">
        <v>2.31</v>
      </c>
      <c r="AX13" s="88">
        <v>3.32</v>
      </c>
      <c r="AY13" s="87">
        <v>0.16500000000000015</v>
      </c>
      <c r="AZ13" s="131">
        <v>0.9900000000000001</v>
      </c>
      <c r="BA13" s="131">
        <v>2.42</v>
      </c>
      <c r="BB13" s="131">
        <v>3.6850000000000005</v>
      </c>
      <c r="BC13" s="87">
        <v>0.41000000000000025</v>
      </c>
      <c r="BD13" s="131">
        <v>0.9900000000000001</v>
      </c>
      <c r="BE13" s="131">
        <v>2.42</v>
      </c>
      <c r="BF13" s="88">
        <v>3.3000000000000007</v>
      </c>
      <c r="BG13" s="87">
        <f t="shared" si="2"/>
        <v>5.0599999999999996</v>
      </c>
      <c r="BH13" s="131">
        <f t="shared" si="3"/>
        <v>8.25</v>
      </c>
      <c r="BI13" s="131">
        <f t="shared" si="4"/>
        <v>12.73</v>
      </c>
      <c r="BJ13" s="131">
        <f t="shared" si="5"/>
        <v>16.98</v>
      </c>
      <c r="BK13" s="87">
        <f t="shared" si="6"/>
        <v>5.5200000000000014</v>
      </c>
      <c r="BL13" s="131">
        <f t="shared" si="7"/>
        <v>8.25</v>
      </c>
      <c r="BM13" s="131">
        <f t="shared" si="8"/>
        <v>12.73</v>
      </c>
      <c r="BN13" s="131">
        <f t="shared" si="9"/>
        <v>15.620000000000001</v>
      </c>
      <c r="BO13" s="183">
        <f t="shared" si="10"/>
        <v>7.6120000000000001</v>
      </c>
      <c r="BP13" s="188">
        <f t="shared" si="11"/>
        <v>13.58</v>
      </c>
      <c r="BQ13" s="183">
        <f t="shared" si="12"/>
        <v>7.7040000000000006</v>
      </c>
      <c r="BR13" s="184">
        <f t="shared" si="13"/>
        <v>13.308</v>
      </c>
      <c r="BS13" s="87">
        <f t="shared" si="14"/>
        <v>10.596</v>
      </c>
      <c r="BT13" s="88">
        <f t="shared" si="15"/>
        <v>10.506</v>
      </c>
      <c r="BU13" s="176">
        <f t="shared" si="16"/>
        <v>10.551</v>
      </c>
    </row>
    <row r="14" spans="1:73" ht="30" x14ac:dyDescent="0.25">
      <c r="A14" s="102" t="s">
        <v>68</v>
      </c>
      <c r="B14" s="102" t="s">
        <v>79</v>
      </c>
      <c r="C14" s="150" t="s">
        <v>92</v>
      </c>
      <c r="D14" s="156" t="s">
        <v>104</v>
      </c>
      <c r="E14" s="128" t="s">
        <v>105</v>
      </c>
      <c r="F14" s="128" t="s">
        <v>106</v>
      </c>
      <c r="G14" s="128">
        <f>IF(D14=$A$21,$B$21,(IF(D14=$A$22,$B$22,IF(D14=$A$23,$B$23,$B$24))))</f>
        <v>1</v>
      </c>
      <c r="H14" s="128">
        <f>IF(E14=$A$21,$B$21,(IF(E14=$A$22,$B$22,IF(E14=$A$23,$B$23,$B$24))))</f>
        <v>0.66</v>
      </c>
      <c r="I14" s="128">
        <f>IF(F14=$A$21,$B$21,(IF(F14=$A$22,$B$22,IF(F14=$A$23,$B$23,$B$24))))</f>
        <v>0.33</v>
      </c>
      <c r="J14" s="10">
        <f t="shared" si="1"/>
        <v>10.8</v>
      </c>
      <c r="K14" s="87">
        <v>0.88</v>
      </c>
      <c r="L14" s="131">
        <v>0.88</v>
      </c>
      <c r="M14" s="131">
        <v>1</v>
      </c>
      <c r="N14" s="88">
        <v>1</v>
      </c>
      <c r="O14" s="87">
        <v>0.8</v>
      </c>
      <c r="P14" s="131">
        <v>0.88</v>
      </c>
      <c r="Q14" s="131">
        <v>1</v>
      </c>
      <c r="R14" s="88">
        <v>1</v>
      </c>
      <c r="S14" s="87">
        <v>0.44000000000000006</v>
      </c>
      <c r="T14" s="131">
        <v>0.55000000000000004</v>
      </c>
      <c r="U14" s="131">
        <v>0.77</v>
      </c>
      <c r="V14" s="88">
        <v>0.88</v>
      </c>
      <c r="W14" s="87">
        <v>0.47000000000000003</v>
      </c>
      <c r="X14" s="131">
        <v>0.55000000000000004</v>
      </c>
      <c r="Y14" s="131">
        <v>0.77</v>
      </c>
      <c r="Z14" s="88">
        <v>0.85</v>
      </c>
      <c r="AA14" s="87">
        <v>0.11000000000000003</v>
      </c>
      <c r="AB14" s="131">
        <v>0.22000000000000003</v>
      </c>
      <c r="AC14" s="131">
        <v>0.44</v>
      </c>
      <c r="AD14" s="88">
        <v>0.55000000000000004</v>
      </c>
      <c r="AE14" s="87">
        <v>0.14000000000000001</v>
      </c>
      <c r="AF14" s="131">
        <v>0.22000000000000003</v>
      </c>
      <c r="AG14" s="131">
        <v>0.44</v>
      </c>
      <c r="AH14" s="88">
        <v>0.52</v>
      </c>
      <c r="AI14" s="87">
        <v>4.84</v>
      </c>
      <c r="AJ14" s="131">
        <v>6.16</v>
      </c>
      <c r="AK14" s="131">
        <v>8</v>
      </c>
      <c r="AL14" s="88">
        <v>9.5</v>
      </c>
      <c r="AM14" s="87">
        <v>4.7200000000000006</v>
      </c>
      <c r="AN14" s="131">
        <v>6.16</v>
      </c>
      <c r="AO14" s="131">
        <v>8</v>
      </c>
      <c r="AP14" s="88">
        <v>9</v>
      </c>
      <c r="AQ14" s="87">
        <v>5.500000000000016E-2</v>
      </c>
      <c r="AR14" s="131">
        <v>1.1000000000000001</v>
      </c>
      <c r="AS14" s="131">
        <v>2.31</v>
      </c>
      <c r="AT14" s="131">
        <v>3.7950000000000004</v>
      </c>
      <c r="AU14" s="87">
        <v>0.39000000000000012</v>
      </c>
      <c r="AV14" s="131">
        <v>1.1000000000000001</v>
      </c>
      <c r="AW14" s="131">
        <v>2.31</v>
      </c>
      <c r="AX14" s="88">
        <v>3.32</v>
      </c>
      <c r="AY14" s="87">
        <v>0.16500000000000015</v>
      </c>
      <c r="AZ14" s="131">
        <v>0.9900000000000001</v>
      </c>
      <c r="BA14" s="131">
        <v>2.42</v>
      </c>
      <c r="BB14" s="131">
        <v>3.6850000000000005</v>
      </c>
      <c r="BC14" s="87">
        <v>0.41000000000000025</v>
      </c>
      <c r="BD14" s="131">
        <v>0.9900000000000001</v>
      </c>
      <c r="BE14" s="131">
        <v>2.42</v>
      </c>
      <c r="BF14" s="88">
        <v>3.3000000000000007</v>
      </c>
      <c r="BG14" s="87">
        <f t="shared" si="2"/>
        <v>5.0599999999999996</v>
      </c>
      <c r="BH14" s="131">
        <f t="shared" si="3"/>
        <v>8.25</v>
      </c>
      <c r="BI14" s="131">
        <f t="shared" si="4"/>
        <v>12.73</v>
      </c>
      <c r="BJ14" s="131">
        <f t="shared" si="5"/>
        <v>16.98</v>
      </c>
      <c r="BK14" s="87">
        <f t="shared" si="6"/>
        <v>5.5200000000000014</v>
      </c>
      <c r="BL14" s="131">
        <f t="shared" si="7"/>
        <v>8.25</v>
      </c>
      <c r="BM14" s="131">
        <f t="shared" si="8"/>
        <v>12.73</v>
      </c>
      <c r="BN14" s="131">
        <f t="shared" si="9"/>
        <v>15.620000000000001</v>
      </c>
      <c r="BO14" s="183">
        <f t="shared" si="10"/>
        <v>7.6120000000000001</v>
      </c>
      <c r="BP14" s="188">
        <f t="shared" si="11"/>
        <v>13.58</v>
      </c>
      <c r="BQ14" s="183">
        <f t="shared" si="12"/>
        <v>7.7040000000000006</v>
      </c>
      <c r="BR14" s="184">
        <f t="shared" si="13"/>
        <v>13.308</v>
      </c>
      <c r="BS14" s="87">
        <f t="shared" si="14"/>
        <v>10.596</v>
      </c>
      <c r="BT14" s="88">
        <f t="shared" si="15"/>
        <v>10.506</v>
      </c>
      <c r="BU14" s="176">
        <f t="shared" si="16"/>
        <v>10.551</v>
      </c>
    </row>
    <row r="15" spans="1:73" ht="30" x14ac:dyDescent="0.25">
      <c r="A15" s="102" t="s">
        <v>69</v>
      </c>
      <c r="B15" s="102" t="s">
        <v>80</v>
      </c>
      <c r="C15" s="150" t="s">
        <v>81</v>
      </c>
      <c r="D15" s="156" t="s">
        <v>105</v>
      </c>
      <c r="E15" s="128" t="s">
        <v>104</v>
      </c>
      <c r="F15" s="128" t="s">
        <v>104</v>
      </c>
      <c r="G15" s="128">
        <f>IF(D15=$A$21,$B$21,(IF(D15=$A$22,$B$22,IF(D15=$A$23,$B$23,$B$24))))</f>
        <v>0.66</v>
      </c>
      <c r="H15" s="128">
        <f>IF(E15=$A$21,$B$21,(IF(E15=$A$22,$B$22,IF(E15=$A$23,$B$23,$B$24))))</f>
        <v>1</v>
      </c>
      <c r="I15" s="128">
        <f>IF(F15=$A$21,$B$21,(IF(F15=$A$22,$B$22,IF(F15=$A$23,$B$23,$B$24))))</f>
        <v>1</v>
      </c>
      <c r="J15" s="10">
        <f t="shared" si="1"/>
        <v>12.45</v>
      </c>
      <c r="K15" s="87">
        <v>0.44000000000000006</v>
      </c>
      <c r="L15" s="131">
        <v>0.55000000000000004</v>
      </c>
      <c r="M15" s="131">
        <v>0.77</v>
      </c>
      <c r="N15" s="88">
        <v>0.88</v>
      </c>
      <c r="O15" s="87">
        <v>0.47000000000000003</v>
      </c>
      <c r="P15" s="131">
        <v>0.55000000000000004</v>
      </c>
      <c r="Q15" s="131">
        <v>0.77</v>
      </c>
      <c r="R15" s="88">
        <v>0.85</v>
      </c>
      <c r="S15" s="87">
        <v>0.88</v>
      </c>
      <c r="T15" s="131">
        <v>0.88</v>
      </c>
      <c r="U15" s="131">
        <v>1</v>
      </c>
      <c r="V15" s="88">
        <v>1</v>
      </c>
      <c r="W15" s="87">
        <v>0.8</v>
      </c>
      <c r="X15" s="131">
        <v>0.88</v>
      </c>
      <c r="Y15" s="131">
        <v>1</v>
      </c>
      <c r="Z15" s="88">
        <v>1</v>
      </c>
      <c r="AA15" s="87">
        <v>0.88</v>
      </c>
      <c r="AB15" s="131">
        <v>0.88</v>
      </c>
      <c r="AC15" s="131">
        <v>1</v>
      </c>
      <c r="AD15" s="88">
        <v>1</v>
      </c>
      <c r="AE15" s="87">
        <v>0.8</v>
      </c>
      <c r="AF15" s="131">
        <v>0.88</v>
      </c>
      <c r="AG15" s="131">
        <v>1</v>
      </c>
      <c r="AH15" s="88">
        <v>1</v>
      </c>
      <c r="AI15" s="87">
        <v>2.2549999999999999</v>
      </c>
      <c r="AJ15" s="131">
        <v>3.8500000000000005</v>
      </c>
      <c r="AK15" s="131">
        <v>6.16</v>
      </c>
      <c r="AL15" s="88">
        <v>8.1950000000000003</v>
      </c>
      <c r="AM15" s="87">
        <v>2.7399999999999993</v>
      </c>
      <c r="AN15" s="131">
        <v>3.8500000000000005</v>
      </c>
      <c r="AO15" s="131">
        <v>6.16</v>
      </c>
      <c r="AP15" s="88">
        <v>7.57</v>
      </c>
      <c r="AQ15" s="87">
        <v>0.44000000000000017</v>
      </c>
      <c r="AR15" s="131">
        <v>1.76</v>
      </c>
      <c r="AS15" s="131">
        <v>3</v>
      </c>
      <c r="AT15" s="131">
        <v>4.5</v>
      </c>
      <c r="AU15" s="87">
        <v>0.72</v>
      </c>
      <c r="AV15" s="131">
        <v>1.76</v>
      </c>
      <c r="AW15" s="131">
        <v>3</v>
      </c>
      <c r="AX15" s="88">
        <v>4</v>
      </c>
      <c r="AY15" s="87">
        <v>2.6399999999999997</v>
      </c>
      <c r="AZ15" s="131">
        <v>3.96</v>
      </c>
      <c r="BA15" s="131">
        <v>5.5</v>
      </c>
      <c r="BB15" s="131">
        <v>7</v>
      </c>
      <c r="BC15" s="87">
        <v>2.7199999999999998</v>
      </c>
      <c r="BD15" s="131">
        <v>3.96</v>
      </c>
      <c r="BE15" s="131">
        <v>5.5</v>
      </c>
      <c r="BF15" s="88">
        <v>6.5</v>
      </c>
      <c r="BG15" s="87">
        <f t="shared" si="2"/>
        <v>5.335</v>
      </c>
      <c r="BH15" s="131">
        <f t="shared" si="3"/>
        <v>9.57</v>
      </c>
      <c r="BI15" s="131">
        <f t="shared" si="4"/>
        <v>14.66</v>
      </c>
      <c r="BJ15" s="131">
        <f t="shared" si="5"/>
        <v>19.695</v>
      </c>
      <c r="BK15" s="87">
        <f t="shared" si="6"/>
        <v>6.1799999999999988</v>
      </c>
      <c r="BL15" s="131">
        <f t="shared" si="7"/>
        <v>9.57</v>
      </c>
      <c r="BM15" s="131">
        <f t="shared" si="8"/>
        <v>14.66</v>
      </c>
      <c r="BN15" s="131">
        <f t="shared" si="9"/>
        <v>18.07</v>
      </c>
      <c r="BO15" s="183">
        <f t="shared" si="10"/>
        <v>8.7230000000000008</v>
      </c>
      <c r="BP15" s="188">
        <f t="shared" si="11"/>
        <v>15.667000000000002</v>
      </c>
      <c r="BQ15" s="183">
        <f t="shared" si="12"/>
        <v>8.8919999999999995</v>
      </c>
      <c r="BR15" s="184">
        <f t="shared" si="13"/>
        <v>15.342000000000001</v>
      </c>
      <c r="BS15" s="87">
        <f t="shared" si="14"/>
        <v>12.195</v>
      </c>
      <c r="BT15" s="88">
        <f t="shared" si="15"/>
        <v>12.117000000000001</v>
      </c>
      <c r="BU15" s="176">
        <f t="shared" si="16"/>
        <v>12.156000000000001</v>
      </c>
    </row>
    <row r="16" spans="1:73" ht="36.75" customHeight="1" x14ac:dyDescent="0.25">
      <c r="A16" s="102" t="s">
        <v>70</v>
      </c>
      <c r="B16" s="102" t="s">
        <v>82</v>
      </c>
      <c r="C16" s="150" t="s">
        <v>93</v>
      </c>
      <c r="D16" s="156" t="s">
        <v>105</v>
      </c>
      <c r="E16" s="128" t="s">
        <v>104</v>
      </c>
      <c r="F16" s="128" t="s">
        <v>105</v>
      </c>
      <c r="G16" s="128">
        <f>IF(D16=$A$21,$B$21,(IF(D16=$A$22,$B$22,IF(D16=$A$23,$B$23,$B$24))))</f>
        <v>0.66</v>
      </c>
      <c r="H16" s="128">
        <f>IF(E16=$A$21,$B$21,(IF(E16=$A$22,$B$22,IF(E16=$A$23,$B$23,$B$24))))</f>
        <v>1</v>
      </c>
      <c r="I16" s="128">
        <f>IF(F16=$A$21,$B$21,(IF(F16=$A$22,$B$22,IF(F16=$A$23,$B$23,$B$24))))</f>
        <v>0.66</v>
      </c>
      <c r="J16" s="10">
        <f t="shared" si="1"/>
        <v>10.75</v>
      </c>
      <c r="K16" s="87">
        <v>0.44000000000000006</v>
      </c>
      <c r="L16" s="131">
        <v>0.55000000000000004</v>
      </c>
      <c r="M16" s="131">
        <v>0.77</v>
      </c>
      <c r="N16" s="88">
        <v>0.88</v>
      </c>
      <c r="O16" s="87">
        <v>0.47000000000000003</v>
      </c>
      <c r="P16" s="131">
        <v>0.55000000000000004</v>
      </c>
      <c r="Q16" s="131">
        <v>0.77</v>
      </c>
      <c r="R16" s="88">
        <v>0.85</v>
      </c>
      <c r="S16" s="87">
        <v>0.88</v>
      </c>
      <c r="T16" s="131">
        <v>0.88</v>
      </c>
      <c r="U16" s="131">
        <v>1</v>
      </c>
      <c r="V16" s="88">
        <v>1</v>
      </c>
      <c r="W16" s="87">
        <v>0.8</v>
      </c>
      <c r="X16" s="131">
        <v>0.88</v>
      </c>
      <c r="Y16" s="131">
        <v>1</v>
      </c>
      <c r="Z16" s="88">
        <v>1</v>
      </c>
      <c r="AA16" s="87">
        <v>0.44000000000000006</v>
      </c>
      <c r="AB16" s="131">
        <v>0.55000000000000004</v>
      </c>
      <c r="AC16" s="131">
        <v>0.77</v>
      </c>
      <c r="AD16" s="88">
        <v>0.88</v>
      </c>
      <c r="AE16" s="87">
        <v>0.47000000000000003</v>
      </c>
      <c r="AF16" s="131">
        <v>0.55000000000000004</v>
      </c>
      <c r="AG16" s="131">
        <v>0.77</v>
      </c>
      <c r="AH16" s="88">
        <v>0.85</v>
      </c>
      <c r="AI16" s="87">
        <v>2.2549999999999999</v>
      </c>
      <c r="AJ16" s="131">
        <v>3.8500000000000005</v>
      </c>
      <c r="AK16" s="131">
        <v>6.16</v>
      </c>
      <c r="AL16" s="88">
        <v>8.1950000000000003</v>
      </c>
      <c r="AM16" s="87">
        <v>2.7399999999999993</v>
      </c>
      <c r="AN16" s="131">
        <v>3.8500000000000005</v>
      </c>
      <c r="AO16" s="131">
        <v>6.16</v>
      </c>
      <c r="AP16" s="88">
        <v>7.57</v>
      </c>
      <c r="AQ16" s="87">
        <v>0.44000000000000017</v>
      </c>
      <c r="AR16" s="131">
        <v>1.76</v>
      </c>
      <c r="AS16" s="131">
        <v>3</v>
      </c>
      <c r="AT16" s="131">
        <v>4.5</v>
      </c>
      <c r="AU16" s="87">
        <v>0.72</v>
      </c>
      <c r="AV16" s="131">
        <v>1.76</v>
      </c>
      <c r="AW16" s="131">
        <v>3</v>
      </c>
      <c r="AX16" s="88">
        <v>4</v>
      </c>
      <c r="AY16" s="87">
        <v>1.1550000000000002</v>
      </c>
      <c r="AZ16" s="131">
        <v>2.4750000000000001</v>
      </c>
      <c r="BA16" s="131">
        <v>4.2350000000000003</v>
      </c>
      <c r="BB16" s="131">
        <v>5.9950000000000001</v>
      </c>
      <c r="BC16" s="87">
        <v>1.5650000000000008</v>
      </c>
      <c r="BD16" s="131">
        <v>2.4750000000000001</v>
      </c>
      <c r="BE16" s="131">
        <v>4.2350000000000003</v>
      </c>
      <c r="BF16" s="88">
        <v>5.4449999999999994</v>
      </c>
      <c r="BG16" s="87">
        <f t="shared" si="2"/>
        <v>3.8500000000000005</v>
      </c>
      <c r="BH16" s="131">
        <f t="shared" si="3"/>
        <v>8.0850000000000009</v>
      </c>
      <c r="BI16" s="131">
        <f t="shared" si="4"/>
        <v>13.395</v>
      </c>
      <c r="BJ16" s="131">
        <f t="shared" si="5"/>
        <v>18.690000000000001</v>
      </c>
      <c r="BK16" s="87">
        <f t="shared" si="6"/>
        <v>5.0250000000000004</v>
      </c>
      <c r="BL16" s="131">
        <f t="shared" si="7"/>
        <v>8.0850000000000009</v>
      </c>
      <c r="BM16" s="131">
        <f t="shared" si="8"/>
        <v>13.395</v>
      </c>
      <c r="BN16" s="131">
        <f t="shared" si="9"/>
        <v>17.015000000000001</v>
      </c>
      <c r="BO16" s="183">
        <f t="shared" si="10"/>
        <v>7.2380000000000004</v>
      </c>
      <c r="BP16" s="188">
        <f t="shared" si="11"/>
        <v>14.454000000000001</v>
      </c>
      <c r="BQ16" s="183">
        <f t="shared" si="12"/>
        <v>7.4730000000000008</v>
      </c>
      <c r="BR16" s="184">
        <f t="shared" si="13"/>
        <v>14.119</v>
      </c>
      <c r="BS16" s="87">
        <f t="shared" si="14"/>
        <v>10.846</v>
      </c>
      <c r="BT16" s="88">
        <f t="shared" si="15"/>
        <v>10.795999999999999</v>
      </c>
      <c r="BU16" s="176">
        <f t="shared" si="16"/>
        <v>10.821</v>
      </c>
    </row>
    <row r="17" spans="1:73" ht="30.75" thickBot="1" x14ac:dyDescent="0.3">
      <c r="A17" s="102" t="s">
        <v>71</v>
      </c>
      <c r="B17" s="102" t="s">
        <v>83</v>
      </c>
      <c r="C17" s="150" t="s">
        <v>94</v>
      </c>
      <c r="D17" s="157" t="s">
        <v>106</v>
      </c>
      <c r="E17" s="158" t="s">
        <v>104</v>
      </c>
      <c r="F17" s="158" t="s">
        <v>105</v>
      </c>
      <c r="G17" s="158">
        <f>IF(D17=$A$21,$B$21,(IF(D17=$A$22,$B$22,IF(D17=$A$23,$B$23,$B$24))))</f>
        <v>0.33</v>
      </c>
      <c r="H17" s="158">
        <f>IF(E17=$A$21,$B$21,(IF(E17=$A$22,$B$22,IF(E17=$A$23,$B$23,$B$24))))</f>
        <v>1</v>
      </c>
      <c r="I17" s="158">
        <f>IF(F17=$A$21,$B$21,(IF(F17=$A$22,$B$22,IF(F17=$A$23,$B$23,$B$24))))</f>
        <v>0.66</v>
      </c>
      <c r="J17" s="159">
        <f t="shared" si="1"/>
        <v>8.2750000000000004</v>
      </c>
      <c r="K17" s="91">
        <v>0.11000000000000003</v>
      </c>
      <c r="L17" s="93">
        <v>0.22000000000000003</v>
      </c>
      <c r="M17" s="93">
        <v>0.44</v>
      </c>
      <c r="N17" s="94">
        <v>0.55000000000000004</v>
      </c>
      <c r="O17" s="91">
        <v>0.14000000000000001</v>
      </c>
      <c r="P17" s="93">
        <v>0.22000000000000003</v>
      </c>
      <c r="Q17" s="93">
        <v>0.44</v>
      </c>
      <c r="R17" s="94">
        <v>0.52</v>
      </c>
      <c r="S17" s="91">
        <v>0.88</v>
      </c>
      <c r="T17" s="93">
        <v>0.88</v>
      </c>
      <c r="U17" s="93">
        <v>1</v>
      </c>
      <c r="V17" s="94">
        <v>1</v>
      </c>
      <c r="W17" s="91">
        <v>0.8</v>
      </c>
      <c r="X17" s="93">
        <v>0.88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0.88</v>
      </c>
      <c r="AE17" s="91">
        <v>0.47000000000000003</v>
      </c>
      <c r="AF17" s="93">
        <v>0.55000000000000004</v>
      </c>
      <c r="AG17" s="93">
        <v>0.77</v>
      </c>
      <c r="AH17" s="94">
        <v>0.85</v>
      </c>
      <c r="AI17" s="91">
        <v>0.44000000000000017</v>
      </c>
      <c r="AJ17" s="93">
        <v>1.5400000000000003</v>
      </c>
      <c r="AK17" s="93">
        <v>3.52</v>
      </c>
      <c r="AL17" s="94">
        <v>5.0600000000000005</v>
      </c>
      <c r="AM17" s="91">
        <v>0.76</v>
      </c>
      <c r="AN17" s="93">
        <v>1.5400000000000003</v>
      </c>
      <c r="AO17" s="93">
        <v>3.52</v>
      </c>
      <c r="AP17" s="94">
        <v>4.6000000000000014</v>
      </c>
      <c r="AQ17" s="91">
        <v>0.44000000000000017</v>
      </c>
      <c r="AR17" s="93">
        <v>1.76</v>
      </c>
      <c r="AS17" s="93">
        <v>3</v>
      </c>
      <c r="AT17" s="93">
        <v>4.5</v>
      </c>
      <c r="AU17" s="91">
        <v>0.72</v>
      </c>
      <c r="AV17" s="93">
        <v>1.76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5.9950000000000001</v>
      </c>
      <c r="BC17" s="91">
        <v>1.5650000000000008</v>
      </c>
      <c r="BD17" s="93">
        <v>2.4750000000000001</v>
      </c>
      <c r="BE17" s="93">
        <v>4.2350000000000003</v>
      </c>
      <c r="BF17" s="94">
        <v>5.4449999999999994</v>
      </c>
      <c r="BG17" s="91">
        <f t="shared" si="2"/>
        <v>2.0350000000000006</v>
      </c>
      <c r="BH17" s="93">
        <f t="shared" si="3"/>
        <v>5.7750000000000004</v>
      </c>
      <c r="BI17" s="93">
        <f t="shared" si="4"/>
        <v>10.754999999999999</v>
      </c>
      <c r="BJ17" s="93">
        <f t="shared" si="5"/>
        <v>15.555</v>
      </c>
      <c r="BK17" s="91">
        <f t="shared" si="6"/>
        <v>3.0450000000000008</v>
      </c>
      <c r="BL17" s="93">
        <f t="shared" si="7"/>
        <v>5.7750000000000004</v>
      </c>
      <c r="BM17" s="93">
        <f t="shared" si="8"/>
        <v>10.754999999999999</v>
      </c>
      <c r="BN17" s="93">
        <f t="shared" si="9"/>
        <v>14.045000000000002</v>
      </c>
      <c r="BO17" s="185">
        <f t="shared" si="10"/>
        <v>5.0270000000000001</v>
      </c>
      <c r="BP17" s="189">
        <f t="shared" si="11"/>
        <v>11.714999999999998</v>
      </c>
      <c r="BQ17" s="185">
        <f t="shared" si="12"/>
        <v>5.2290000000000001</v>
      </c>
      <c r="BR17" s="186">
        <f t="shared" si="13"/>
        <v>11.412999999999998</v>
      </c>
      <c r="BS17" s="91">
        <f t="shared" si="14"/>
        <v>8.3709999999999987</v>
      </c>
      <c r="BT17" s="94">
        <f t="shared" si="15"/>
        <v>8.3209999999999997</v>
      </c>
      <c r="BU17" s="177">
        <f t="shared" si="16"/>
        <v>8.3460000000000001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32" t="s">
        <v>125</v>
      </c>
      <c r="B19" s="1"/>
    </row>
    <row r="20" spans="1:73" ht="15.75" thickBot="1" x14ac:dyDescent="0.3">
      <c r="A20" s="125" t="s">
        <v>103</v>
      </c>
      <c r="B20" s="126" t="s">
        <v>123</v>
      </c>
      <c r="E20" s="134" t="s">
        <v>17</v>
      </c>
      <c r="I20" t="s">
        <v>18</v>
      </c>
    </row>
    <row r="21" spans="1:73" x14ac:dyDescent="0.25">
      <c r="A21" s="124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f>F21+0.11</f>
        <v>0.11</v>
      </c>
      <c r="H21" s="84">
        <f>G21+0.11</f>
        <v>0.22</v>
      </c>
      <c r="I21" s="85">
        <v>0</v>
      </c>
      <c r="J21" s="83">
        <f>F21</f>
        <v>0</v>
      </c>
      <c r="K21" s="83">
        <f>G21</f>
        <v>0.11</v>
      </c>
      <c r="L21" s="86">
        <f>K21+0.08</f>
        <v>0.19</v>
      </c>
    </row>
    <row r="22" spans="1:73" x14ac:dyDescent="0.25">
      <c r="A22" s="124" t="s">
        <v>106</v>
      </c>
      <c r="B22" s="2">
        <v>0.33</v>
      </c>
      <c r="C22" s="79">
        <v>0.33</v>
      </c>
      <c r="D22" s="80" t="s">
        <v>106</v>
      </c>
      <c r="E22" s="87">
        <f>F22-0.11</f>
        <v>0.11000000000000003</v>
      </c>
      <c r="F22" s="133">
        <f>C22-0.11</f>
        <v>0.22000000000000003</v>
      </c>
      <c r="G22" s="131">
        <f>C22+0.11</f>
        <v>0.44</v>
      </c>
      <c r="H22" s="88">
        <f t="shared" ref="H22:H23" si="17">G22+0.11</f>
        <v>0.55000000000000004</v>
      </c>
      <c r="I22" s="89">
        <f>J22-0.08</f>
        <v>0.14000000000000001</v>
      </c>
      <c r="J22" s="131">
        <f t="shared" ref="J22:K24" si="18">F22</f>
        <v>0.22000000000000003</v>
      </c>
      <c r="K22" s="131">
        <f t="shared" si="18"/>
        <v>0.44</v>
      </c>
      <c r="L22" s="90">
        <f t="shared" ref="L22:L23" si="19">K22+0.08</f>
        <v>0.52</v>
      </c>
    </row>
    <row r="23" spans="1:73" x14ac:dyDescent="0.25">
      <c r="A23" s="124" t="s">
        <v>105</v>
      </c>
      <c r="B23" s="2">
        <v>0.66</v>
      </c>
      <c r="C23" s="79">
        <v>0.66</v>
      </c>
      <c r="D23" s="80" t="s">
        <v>105</v>
      </c>
      <c r="E23" s="87">
        <f t="shared" ref="E23" si="20">F23-0.11</f>
        <v>0.44000000000000006</v>
      </c>
      <c r="F23" s="133">
        <f t="shared" ref="F23" si="21">C23-0.11</f>
        <v>0.55000000000000004</v>
      </c>
      <c r="G23" s="131">
        <f t="shared" ref="G23" si="22">C23+0.11</f>
        <v>0.77</v>
      </c>
      <c r="H23" s="88">
        <f t="shared" si="17"/>
        <v>0.88</v>
      </c>
      <c r="I23" s="89">
        <f t="shared" ref="I23:I24" si="23">J23-0.08</f>
        <v>0.47000000000000003</v>
      </c>
      <c r="J23" s="131">
        <f t="shared" si="18"/>
        <v>0.55000000000000004</v>
      </c>
      <c r="K23" s="131">
        <f t="shared" si="18"/>
        <v>0.77</v>
      </c>
      <c r="L23" s="90">
        <f t="shared" si="19"/>
        <v>0.85</v>
      </c>
    </row>
    <row r="24" spans="1:73" ht="15.75" thickBot="1" x14ac:dyDescent="0.3">
      <c r="A24" s="124" t="s">
        <v>104</v>
      </c>
      <c r="B24" s="2">
        <v>1</v>
      </c>
      <c r="C24" s="79">
        <v>1</v>
      </c>
      <c r="D24" s="80" t="s">
        <v>104</v>
      </c>
      <c r="E24" s="91">
        <v>0.88</v>
      </c>
      <c r="F24" s="92">
        <v>0.88</v>
      </c>
      <c r="G24" s="93">
        <v>1</v>
      </c>
      <c r="H24" s="94">
        <v>1</v>
      </c>
      <c r="I24" s="95">
        <f t="shared" si="23"/>
        <v>0.8</v>
      </c>
      <c r="J24" s="93">
        <f t="shared" si="18"/>
        <v>0.88</v>
      </c>
      <c r="K24" s="93">
        <f t="shared" si="18"/>
        <v>1</v>
      </c>
      <c r="L24" s="96">
        <v>1</v>
      </c>
    </row>
    <row r="25" spans="1:73" x14ac:dyDescent="0.25">
      <c r="A25" s="130"/>
      <c r="B25" s="131"/>
    </row>
    <row r="26" spans="1:73" x14ac:dyDescent="0.25">
      <c r="A26" s="132" t="s">
        <v>119</v>
      </c>
    </row>
    <row r="27" spans="1:73" ht="15.75" thickBot="1" x14ac:dyDescent="0.3">
      <c r="A27" s="125" t="s">
        <v>103</v>
      </c>
      <c r="B27" s="126" t="s">
        <v>124</v>
      </c>
      <c r="E27" s="134" t="s">
        <v>17</v>
      </c>
      <c r="I27" t="s">
        <v>18</v>
      </c>
    </row>
    <row r="28" spans="1:73" x14ac:dyDescent="0.25">
      <c r="A28" s="124" t="s">
        <v>107</v>
      </c>
      <c r="B28" s="2">
        <v>1</v>
      </c>
      <c r="C28" s="79">
        <v>0</v>
      </c>
      <c r="D28" s="80" t="s">
        <v>107</v>
      </c>
      <c r="E28" s="81">
        <v>0</v>
      </c>
      <c r="F28" s="82">
        <f>C28</f>
        <v>0</v>
      </c>
      <c r="G28" s="83">
        <f>F28+0.5</f>
        <v>0.5</v>
      </c>
      <c r="H28" s="84">
        <f>G28+1.5</f>
        <v>2</v>
      </c>
      <c r="I28" s="85">
        <v>0</v>
      </c>
      <c r="J28" s="83">
        <f>F28</f>
        <v>0</v>
      </c>
      <c r="K28" s="83">
        <f>G28</f>
        <v>0.5</v>
      </c>
      <c r="L28" s="86">
        <f>K28+1</f>
        <v>1.5</v>
      </c>
    </row>
    <row r="29" spans="1:73" x14ac:dyDescent="0.25">
      <c r="A29" s="124" t="s">
        <v>106</v>
      </c>
      <c r="B29" s="2">
        <v>2.5</v>
      </c>
      <c r="C29" s="79">
        <v>2.5</v>
      </c>
      <c r="D29" s="80" t="s">
        <v>106</v>
      </c>
      <c r="E29" s="87">
        <f>F29-1.5</f>
        <v>0.5</v>
      </c>
      <c r="F29" s="133">
        <f>C29-0.5</f>
        <v>2</v>
      </c>
      <c r="G29" s="131">
        <f>C29+0.5</f>
        <v>3</v>
      </c>
      <c r="H29" s="88">
        <f t="shared" ref="H29:H31" si="24">G29+1.5</f>
        <v>4.5</v>
      </c>
      <c r="I29" s="89">
        <f>J29-1</f>
        <v>1</v>
      </c>
      <c r="J29" s="131">
        <f t="shared" ref="J29:K31" si="25">F29</f>
        <v>2</v>
      </c>
      <c r="K29" s="131">
        <f t="shared" si="25"/>
        <v>3</v>
      </c>
      <c r="L29" s="90">
        <f t="shared" ref="L29:L31" si="26">K29+1</f>
        <v>4</v>
      </c>
    </row>
    <row r="30" spans="1:73" x14ac:dyDescent="0.25">
      <c r="A30" s="124" t="s">
        <v>105</v>
      </c>
      <c r="B30" s="2">
        <v>5</v>
      </c>
      <c r="C30" s="79">
        <v>5</v>
      </c>
      <c r="D30" s="80" t="s">
        <v>105</v>
      </c>
      <c r="E30" s="87">
        <f t="shared" ref="E30:E31" si="27">F30-1.5</f>
        <v>3</v>
      </c>
      <c r="F30" s="133">
        <f>C30-0.5</f>
        <v>4.5</v>
      </c>
      <c r="G30" s="131">
        <f>C30+0.5</f>
        <v>5.5</v>
      </c>
      <c r="H30" s="88">
        <f t="shared" si="24"/>
        <v>7</v>
      </c>
      <c r="I30" s="89">
        <f t="shared" ref="I30:I31" si="28">J30-1</f>
        <v>3.5</v>
      </c>
      <c r="J30" s="131">
        <f t="shared" si="25"/>
        <v>4.5</v>
      </c>
      <c r="K30" s="131">
        <f t="shared" si="25"/>
        <v>5.5</v>
      </c>
      <c r="L30" s="90">
        <f t="shared" si="26"/>
        <v>6.5</v>
      </c>
    </row>
    <row r="31" spans="1:73" ht="15.75" thickBot="1" x14ac:dyDescent="0.3">
      <c r="A31" s="124" t="s">
        <v>104</v>
      </c>
      <c r="B31" s="2">
        <v>7.5</v>
      </c>
      <c r="C31" s="79">
        <v>7.5</v>
      </c>
      <c r="D31" s="80" t="s">
        <v>104</v>
      </c>
      <c r="E31" s="91">
        <f t="shared" si="27"/>
        <v>5.5</v>
      </c>
      <c r="F31" s="92">
        <f>C31-0.5</f>
        <v>7</v>
      </c>
      <c r="G31" s="93">
        <f>C31+0.5</f>
        <v>8</v>
      </c>
      <c r="H31" s="94">
        <f t="shared" si="24"/>
        <v>9.5</v>
      </c>
      <c r="I31" s="95">
        <f t="shared" si="28"/>
        <v>6</v>
      </c>
      <c r="J31" s="93">
        <f t="shared" si="25"/>
        <v>7</v>
      </c>
      <c r="K31" s="93">
        <f t="shared" si="25"/>
        <v>8</v>
      </c>
      <c r="L31" s="96">
        <f t="shared" si="26"/>
        <v>9</v>
      </c>
    </row>
    <row r="33" spans="1:12" ht="15.75" thickBot="1" x14ac:dyDescent="0.3">
      <c r="A33" s="132" t="s">
        <v>120</v>
      </c>
    </row>
    <row r="34" spans="1:12" ht="67.5" customHeight="1" thickBot="1" x14ac:dyDescent="0.3">
      <c r="A34" s="138" t="s">
        <v>117</v>
      </c>
      <c r="B34" s="139" t="s">
        <v>99</v>
      </c>
      <c r="C34" s="140" t="s">
        <v>108</v>
      </c>
      <c r="D34" s="141" t="s">
        <v>126</v>
      </c>
      <c r="E34" s="135" t="s">
        <v>127</v>
      </c>
      <c r="F34" s="136"/>
      <c r="G34" s="136"/>
      <c r="H34" s="136"/>
      <c r="I34" s="136"/>
      <c r="J34" s="136"/>
      <c r="K34" s="136"/>
      <c r="L34" s="137"/>
    </row>
    <row r="35" spans="1:12" x14ac:dyDescent="0.25">
      <c r="A35" s="167" t="s">
        <v>114</v>
      </c>
      <c r="B35" s="142" t="s">
        <v>100</v>
      </c>
      <c r="C35" s="143" t="s">
        <v>104</v>
      </c>
      <c r="D35" s="144">
        <v>7.5</v>
      </c>
      <c r="E35" s="87">
        <v>5.5</v>
      </c>
      <c r="F35" s="133">
        <v>7</v>
      </c>
      <c r="G35" s="131">
        <v>8</v>
      </c>
      <c r="H35" s="88">
        <v>9.5</v>
      </c>
      <c r="I35" s="89">
        <v>6</v>
      </c>
      <c r="J35" s="131">
        <v>7</v>
      </c>
      <c r="K35" s="131">
        <v>8</v>
      </c>
      <c r="L35" s="90">
        <v>9</v>
      </c>
    </row>
    <row r="36" spans="1:12" x14ac:dyDescent="0.25">
      <c r="A36" s="168" t="s">
        <v>115</v>
      </c>
      <c r="B36" s="104" t="s">
        <v>101</v>
      </c>
      <c r="C36" s="2" t="s">
        <v>106</v>
      </c>
      <c r="D36" s="145">
        <v>2.5</v>
      </c>
      <c r="E36" s="87">
        <v>0.5</v>
      </c>
      <c r="F36" s="133">
        <v>2</v>
      </c>
      <c r="G36" s="131">
        <v>3</v>
      </c>
      <c r="H36" s="88">
        <v>4.5</v>
      </c>
      <c r="I36" s="89">
        <v>1</v>
      </c>
      <c r="J36" s="131">
        <v>2</v>
      </c>
      <c r="K36" s="131">
        <v>3</v>
      </c>
      <c r="L36" s="90">
        <v>4</v>
      </c>
    </row>
    <row r="37" spans="1:12" ht="15.75" thickBot="1" x14ac:dyDescent="0.3">
      <c r="A37" s="169" t="s">
        <v>116</v>
      </c>
      <c r="B37" s="146" t="s">
        <v>102</v>
      </c>
      <c r="C37" s="147" t="s">
        <v>105</v>
      </c>
      <c r="D37" s="148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32" t="s">
        <v>130</v>
      </c>
    </row>
    <row r="40" spans="1:12" ht="45.75" thickBot="1" x14ac:dyDescent="0.3">
      <c r="A40" s="170" t="s">
        <v>134</v>
      </c>
      <c r="B40" s="171" t="s">
        <v>135</v>
      </c>
      <c r="E40" s="135" t="s">
        <v>136</v>
      </c>
      <c r="F40" s="136"/>
      <c r="G40" s="136"/>
      <c r="H40" s="136"/>
      <c r="I40" s="136"/>
      <c r="J40" s="136"/>
      <c r="K40" s="136"/>
      <c r="L40" s="137"/>
    </row>
    <row r="41" spans="1:12" x14ac:dyDescent="0.25">
      <c r="A41" s="167" t="s">
        <v>131</v>
      </c>
      <c r="B41" s="172" t="s">
        <v>107</v>
      </c>
      <c r="D41" s="175" t="s">
        <v>140</v>
      </c>
      <c r="E41" s="81">
        <f>E21*F$35+E$35*F21-F21*F$35</f>
        <v>0</v>
      </c>
      <c r="F41" s="83">
        <f>F21*F$35</f>
        <v>0</v>
      </c>
      <c r="G41" s="83">
        <f>G21*G$35</f>
        <v>0.88</v>
      </c>
      <c r="H41" s="84">
        <f>G21*H$35+G$35*H21-G21*G$35</f>
        <v>1.9249999999999998</v>
      </c>
      <c r="I41" s="81">
        <f>I21*J$35+I$35*J21-J21*J$35</f>
        <v>0</v>
      </c>
      <c r="J41" s="83">
        <f>J21*J$35</f>
        <v>0</v>
      </c>
      <c r="K41" s="83">
        <f>K21*K$35</f>
        <v>0.88</v>
      </c>
      <c r="L41" s="84">
        <f>K21*L$35+K$35*L21-K21*K$35</f>
        <v>1.63</v>
      </c>
    </row>
    <row r="42" spans="1:12" x14ac:dyDescent="0.25">
      <c r="A42" s="168" t="s">
        <v>131</v>
      </c>
      <c r="B42" s="173" t="s">
        <v>106</v>
      </c>
      <c r="D42" s="176" t="s">
        <v>139</v>
      </c>
      <c r="E42" s="87">
        <f t="shared" ref="E42:E44" si="29">E22*F$35+E$35*F22-F22*F$35</f>
        <v>0.44000000000000017</v>
      </c>
      <c r="F42" s="131">
        <f t="shared" ref="F42:G42" si="30">F22*F$35</f>
        <v>1.5400000000000003</v>
      </c>
      <c r="G42" s="131">
        <f t="shared" si="30"/>
        <v>3.52</v>
      </c>
      <c r="H42" s="88">
        <f t="shared" ref="H42:H44" si="31">G22*H$35+G$35*H22-G22*G$35</f>
        <v>5.0600000000000005</v>
      </c>
      <c r="I42" s="87">
        <f t="shared" ref="I42:I44" si="32">I22*J$35+I$35*J22-J22*J$35</f>
        <v>0.76</v>
      </c>
      <c r="J42" s="131">
        <f t="shared" ref="J42:K42" si="33">J22*J$35</f>
        <v>1.5400000000000003</v>
      </c>
      <c r="K42" s="131">
        <f t="shared" si="33"/>
        <v>3.52</v>
      </c>
      <c r="L42" s="88">
        <f t="shared" ref="L42:L44" si="34">K22*L$35+K$35*L22-K22*K$35</f>
        <v>4.6000000000000014</v>
      </c>
    </row>
    <row r="43" spans="1:12" x14ac:dyDescent="0.25">
      <c r="A43" s="168" t="s">
        <v>131</v>
      </c>
      <c r="B43" s="173" t="s">
        <v>105</v>
      </c>
      <c r="D43" s="176" t="s">
        <v>138</v>
      </c>
      <c r="E43" s="87">
        <f t="shared" si="29"/>
        <v>2.2549999999999999</v>
      </c>
      <c r="F43" s="131">
        <f t="shared" ref="F43:G43" si="35">F23*F$35</f>
        <v>3.8500000000000005</v>
      </c>
      <c r="G43" s="131">
        <f t="shared" si="35"/>
        <v>6.16</v>
      </c>
      <c r="H43" s="88">
        <f t="shared" si="31"/>
        <v>8.1950000000000003</v>
      </c>
      <c r="I43" s="87">
        <f t="shared" si="32"/>
        <v>2.7399999999999993</v>
      </c>
      <c r="J43" s="131">
        <f t="shared" ref="J43:K43" si="36">J23*J$35</f>
        <v>3.8500000000000005</v>
      </c>
      <c r="K43" s="131">
        <f t="shared" si="36"/>
        <v>6.16</v>
      </c>
      <c r="L43" s="88">
        <f t="shared" si="34"/>
        <v>7.57</v>
      </c>
    </row>
    <row r="44" spans="1:12" ht="15.75" thickBot="1" x14ac:dyDescent="0.3">
      <c r="A44" s="169" t="s">
        <v>131</v>
      </c>
      <c r="B44" s="174" t="s">
        <v>104</v>
      </c>
      <c r="D44" s="177" t="s">
        <v>137</v>
      </c>
      <c r="E44" s="91">
        <f t="shared" si="29"/>
        <v>4.84</v>
      </c>
      <c r="F44" s="93">
        <f t="shared" ref="F44:G44" si="37">F24*F$35</f>
        <v>6.16</v>
      </c>
      <c r="G44" s="93">
        <f t="shared" si="37"/>
        <v>8</v>
      </c>
      <c r="H44" s="94">
        <f t="shared" si="31"/>
        <v>9.5</v>
      </c>
      <c r="I44" s="91">
        <f t="shared" si="32"/>
        <v>4.7200000000000006</v>
      </c>
      <c r="J44" s="93">
        <f t="shared" ref="J44:K44" si="38">J24*J$35</f>
        <v>6.16</v>
      </c>
      <c r="K44" s="93">
        <f t="shared" si="38"/>
        <v>8</v>
      </c>
      <c r="L44" s="94">
        <f t="shared" si="34"/>
        <v>9</v>
      </c>
    </row>
    <row r="45" spans="1:12" x14ac:dyDescent="0.25">
      <c r="A45" s="167" t="s">
        <v>132</v>
      </c>
      <c r="B45" s="172" t="s">
        <v>107</v>
      </c>
      <c r="D45" s="175" t="s">
        <v>141</v>
      </c>
      <c r="E45" s="81">
        <f>E21*F$36+E$36*F21-F21*F$36</f>
        <v>0</v>
      </c>
      <c r="F45" s="83">
        <f>F21*F$36</f>
        <v>0</v>
      </c>
      <c r="G45" s="83">
        <f>G21*G$36</f>
        <v>0.33</v>
      </c>
      <c r="H45" s="84">
        <f>G21*H$36+G$36*H21-G21*G$36</f>
        <v>0.82499999999999996</v>
      </c>
      <c r="I45" s="81">
        <f>I21*J$36+I$36*J21-J21*J$36</f>
        <v>0</v>
      </c>
      <c r="J45" s="83">
        <f>J21*J$36</f>
        <v>0</v>
      </c>
      <c r="K45" s="83">
        <f>K21*K$36</f>
        <v>0.33</v>
      </c>
      <c r="L45" s="84">
        <f>K21*L$36+K$36*L21-K21*K$36</f>
        <v>0.67999999999999994</v>
      </c>
    </row>
    <row r="46" spans="1:12" x14ac:dyDescent="0.25">
      <c r="A46" s="168" t="s">
        <v>132</v>
      </c>
      <c r="B46" s="173" t="s">
        <v>106</v>
      </c>
      <c r="D46" s="176" t="s">
        <v>146</v>
      </c>
      <c r="E46" s="87">
        <f>E22*F$36+E$36*F22-F22*F$36</f>
        <v>-0.10999999999999999</v>
      </c>
      <c r="F46" s="131">
        <f t="shared" ref="F46:G46" si="39">F22*F$36</f>
        <v>0.44000000000000006</v>
      </c>
      <c r="G46" s="131">
        <f t="shared" si="39"/>
        <v>1.32</v>
      </c>
      <c r="H46" s="88">
        <f t="shared" ref="H46:H48" si="40">G22*H$36+G$36*H22-G22*G$36</f>
        <v>2.3099999999999996</v>
      </c>
      <c r="I46" s="87">
        <f t="shared" ref="I46:I48" si="41">I22*J$36+I$36*J22-J22*J$36</f>
        <v>5.9999999999999942E-2</v>
      </c>
      <c r="J46" s="131">
        <f t="shared" ref="J46:K46" si="42">J22*J$36</f>
        <v>0.44000000000000006</v>
      </c>
      <c r="K46" s="131">
        <f t="shared" si="42"/>
        <v>1.32</v>
      </c>
      <c r="L46" s="88">
        <f t="shared" ref="L46:L48" si="43">K22*L$36+K$36*L22-K22*K$36</f>
        <v>2</v>
      </c>
    </row>
    <row r="47" spans="1:12" x14ac:dyDescent="0.25">
      <c r="A47" s="168" t="s">
        <v>132</v>
      </c>
      <c r="B47" s="173" t="s">
        <v>105</v>
      </c>
      <c r="D47" s="176" t="s">
        <v>147</v>
      </c>
      <c r="E47" s="87">
        <f t="shared" ref="E46:E48" si="44">E23*F$36+E$36*F23-F23*F$36</f>
        <v>5.500000000000016E-2</v>
      </c>
      <c r="F47" s="131">
        <f t="shared" ref="F47:G47" si="45">F23*F$36</f>
        <v>1.1000000000000001</v>
      </c>
      <c r="G47" s="131">
        <f t="shared" si="45"/>
        <v>2.31</v>
      </c>
      <c r="H47" s="88">
        <f t="shared" si="40"/>
        <v>3.7950000000000004</v>
      </c>
      <c r="I47" s="87">
        <f t="shared" si="41"/>
        <v>0.39000000000000012</v>
      </c>
      <c r="J47" s="131">
        <f t="shared" ref="J47:K47" si="46">J23*J$36</f>
        <v>1.1000000000000001</v>
      </c>
      <c r="K47" s="131">
        <f t="shared" si="46"/>
        <v>2.31</v>
      </c>
      <c r="L47" s="88">
        <f t="shared" si="43"/>
        <v>3.32</v>
      </c>
    </row>
    <row r="48" spans="1:12" ht="15.75" thickBot="1" x14ac:dyDescent="0.3">
      <c r="A48" s="169" t="s">
        <v>132</v>
      </c>
      <c r="B48" s="174" t="s">
        <v>104</v>
      </c>
      <c r="D48" s="177" t="s">
        <v>148</v>
      </c>
      <c r="E48" s="91">
        <f t="shared" si="44"/>
        <v>0.44000000000000017</v>
      </c>
      <c r="F48" s="93">
        <f t="shared" ref="F48:G48" si="47">F24*F$36</f>
        <v>1.76</v>
      </c>
      <c r="G48" s="93">
        <f t="shared" si="47"/>
        <v>3</v>
      </c>
      <c r="H48" s="94">
        <f t="shared" si="40"/>
        <v>4.5</v>
      </c>
      <c r="I48" s="91">
        <f t="shared" si="41"/>
        <v>0.72</v>
      </c>
      <c r="J48" s="93">
        <f t="shared" ref="J48:K48" si="48">J24*J$36</f>
        <v>1.76</v>
      </c>
      <c r="K48" s="93">
        <f t="shared" si="48"/>
        <v>3</v>
      </c>
      <c r="L48" s="94">
        <f t="shared" si="43"/>
        <v>4</v>
      </c>
    </row>
    <row r="49" spans="1:12" x14ac:dyDescent="0.25">
      <c r="A49" s="167" t="s">
        <v>133</v>
      </c>
      <c r="B49" s="172" t="s">
        <v>107</v>
      </c>
      <c r="D49" s="175" t="s">
        <v>143</v>
      </c>
      <c r="E49" s="87">
        <f>E21*F$37+E$37*F21-F21*F$37</f>
        <v>0</v>
      </c>
      <c r="F49" s="131">
        <f>F21*F$37</f>
        <v>0</v>
      </c>
      <c r="G49" s="131">
        <f>G21*G$37</f>
        <v>0.60499999999999998</v>
      </c>
      <c r="H49" s="88">
        <f>G21*H$37+G$37*H21-G21*G$37</f>
        <v>1.375</v>
      </c>
      <c r="I49" s="87">
        <f>I21*J$37+I$37*J21-J21*J$37</f>
        <v>0</v>
      </c>
      <c r="J49" s="131">
        <f>J21*J$37</f>
        <v>0</v>
      </c>
      <c r="K49" s="131">
        <f>K21*K$37</f>
        <v>0.60499999999999998</v>
      </c>
      <c r="L49" s="88">
        <f>K21*L$37+K$37*L21-K21*K$37</f>
        <v>1.1549999999999998</v>
      </c>
    </row>
    <row r="50" spans="1:12" x14ac:dyDescent="0.25">
      <c r="A50" s="168" t="s">
        <v>133</v>
      </c>
      <c r="B50" s="173" t="s">
        <v>106</v>
      </c>
      <c r="D50" s="176" t="s">
        <v>142</v>
      </c>
      <c r="E50" s="87">
        <f t="shared" ref="E50:E52" si="49">E22*F$37+E$37*F22-F22*F$37</f>
        <v>0.16500000000000015</v>
      </c>
      <c r="F50" s="131">
        <f t="shared" ref="F50:G50" si="50">F22*F$37</f>
        <v>0.9900000000000001</v>
      </c>
      <c r="G50" s="131">
        <f t="shared" si="50"/>
        <v>2.42</v>
      </c>
      <c r="H50" s="88">
        <f t="shared" ref="H50:H52" si="51">G22*H$37+G$37*H22-G22*G$37</f>
        <v>3.6850000000000005</v>
      </c>
      <c r="I50" s="87">
        <f t="shared" ref="I50:I52" si="52">I22*J$37+I$37*J22-J22*J$37</f>
        <v>0.41000000000000025</v>
      </c>
      <c r="J50" s="131">
        <f t="shared" ref="J50:K50" si="53">J22*J$37</f>
        <v>0.9900000000000001</v>
      </c>
      <c r="K50" s="131">
        <f t="shared" si="53"/>
        <v>2.42</v>
      </c>
      <c r="L50" s="88">
        <f t="shared" ref="L50:L52" si="54">K22*L$37+K$37*L22-K22*K$37</f>
        <v>3.3000000000000007</v>
      </c>
    </row>
    <row r="51" spans="1:12" x14ac:dyDescent="0.25">
      <c r="A51" s="168" t="s">
        <v>133</v>
      </c>
      <c r="B51" s="173" t="s">
        <v>105</v>
      </c>
      <c r="D51" s="176" t="s">
        <v>144</v>
      </c>
      <c r="E51" s="87">
        <f t="shared" si="49"/>
        <v>1.1550000000000002</v>
      </c>
      <c r="F51" s="131">
        <f t="shared" ref="F51:G51" si="55">F23*F$37</f>
        <v>2.4750000000000001</v>
      </c>
      <c r="G51" s="131">
        <f t="shared" si="55"/>
        <v>4.2350000000000003</v>
      </c>
      <c r="H51" s="88">
        <f t="shared" si="51"/>
        <v>5.9950000000000001</v>
      </c>
      <c r="I51" s="87">
        <f t="shared" si="52"/>
        <v>1.5650000000000008</v>
      </c>
      <c r="J51" s="131">
        <f t="shared" ref="J51:K51" si="56">J23*J$37</f>
        <v>2.4750000000000001</v>
      </c>
      <c r="K51" s="131">
        <f t="shared" si="56"/>
        <v>4.2350000000000003</v>
      </c>
      <c r="L51" s="88">
        <f t="shared" si="54"/>
        <v>5.4449999999999994</v>
      </c>
    </row>
    <row r="52" spans="1:12" ht="15.75" thickBot="1" x14ac:dyDescent="0.3">
      <c r="A52" s="169" t="s">
        <v>133</v>
      </c>
      <c r="B52" s="174" t="s">
        <v>104</v>
      </c>
      <c r="D52" s="177" t="s">
        <v>145</v>
      </c>
      <c r="E52" s="91">
        <f t="shared" si="49"/>
        <v>2.6399999999999997</v>
      </c>
      <c r="F52" s="93">
        <f t="shared" ref="F52:G52" si="57">F24*F$37</f>
        <v>3.96</v>
      </c>
      <c r="G52" s="93">
        <f t="shared" si="57"/>
        <v>5.5</v>
      </c>
      <c r="H52" s="94">
        <f t="shared" si="51"/>
        <v>7</v>
      </c>
      <c r="I52" s="91">
        <f t="shared" si="52"/>
        <v>2.7199999999999998</v>
      </c>
      <c r="J52" s="93">
        <f t="shared" ref="J52:K52" si="58">J24*J$37</f>
        <v>3.96</v>
      </c>
      <c r="K52" s="93">
        <f t="shared" si="58"/>
        <v>5.5</v>
      </c>
      <c r="L52" s="94">
        <f t="shared" si="54"/>
        <v>6.5</v>
      </c>
    </row>
  </sheetData>
  <mergeCells count="35">
    <mergeCell ref="BS6:BT6"/>
    <mergeCell ref="BU6:BU7"/>
    <mergeCell ref="BG6:BN6"/>
    <mergeCell ref="BG7:BJ7"/>
    <mergeCell ref="BK7:BN7"/>
    <mergeCell ref="BO6:BR6"/>
    <mergeCell ref="BO7:BP7"/>
    <mergeCell ref="BQ7:BR7"/>
    <mergeCell ref="AY6:BF6"/>
    <mergeCell ref="AI7:AL7"/>
    <mergeCell ref="AM7:AP7"/>
    <mergeCell ref="AQ7:AT7"/>
    <mergeCell ref="AU7:AX7"/>
    <mergeCell ref="AY7:BB7"/>
    <mergeCell ref="BC7:BF7"/>
    <mergeCell ref="AA6:AH6"/>
    <mergeCell ref="AA7:AD7"/>
    <mergeCell ref="AE7:AH7"/>
    <mergeCell ref="E40:L40"/>
    <mergeCell ref="AI6:AP6"/>
    <mergeCell ref="AQ6:AX6"/>
    <mergeCell ref="J6:J7"/>
    <mergeCell ref="E34:L34"/>
    <mergeCell ref="K6:R6"/>
    <mergeCell ref="O7:R7"/>
    <mergeCell ref="K7:N7"/>
    <mergeCell ref="S6:Z6"/>
    <mergeCell ref="S7:V7"/>
    <mergeCell ref="W7:Z7"/>
    <mergeCell ref="A3:E3"/>
    <mergeCell ref="A6:A7"/>
    <mergeCell ref="B6:B7"/>
    <mergeCell ref="C6:C7"/>
    <mergeCell ref="D6:F6"/>
    <mergeCell ref="G6:I6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12" t="s">
        <v>7</v>
      </c>
      <c r="C5" s="109" t="s">
        <v>6</v>
      </c>
      <c r="D5" s="110"/>
      <c r="E5" s="111"/>
    </row>
    <row r="6" spans="2:10" x14ac:dyDescent="0.25">
      <c r="B6" s="113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14" t="s">
        <v>17</v>
      </c>
      <c r="D15" s="115"/>
      <c r="E15" s="115"/>
      <c r="F15" s="116"/>
      <c r="G15" s="114" t="s">
        <v>18</v>
      </c>
      <c r="H15" s="115"/>
      <c r="I15" s="115"/>
      <c r="J15" s="116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19" t="s">
        <v>17</v>
      </c>
      <c r="D33" s="120"/>
      <c r="E33" s="120"/>
      <c r="F33" s="121"/>
      <c r="G33" s="114" t="s">
        <v>18</v>
      </c>
      <c r="H33" s="115"/>
      <c r="I33" s="115"/>
      <c r="J33" s="116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14" t="s">
        <v>17</v>
      </c>
      <c r="D51" s="115"/>
      <c r="E51" s="115"/>
      <c r="F51" s="116"/>
      <c r="G51" s="114" t="s">
        <v>18</v>
      </c>
      <c r="H51" s="115"/>
      <c r="I51" s="115"/>
      <c r="J51" s="116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12" t="s">
        <v>7</v>
      </c>
      <c r="C5" s="109" t="s">
        <v>6</v>
      </c>
      <c r="D5" s="110"/>
      <c r="E5" s="111"/>
    </row>
    <row r="6" spans="2:10" x14ac:dyDescent="0.25">
      <c r="B6" s="113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14" t="s">
        <v>17</v>
      </c>
      <c r="D15" s="115"/>
      <c r="E15" s="115"/>
      <c r="F15" s="116"/>
      <c r="G15" s="114" t="s">
        <v>18</v>
      </c>
      <c r="H15" s="115"/>
      <c r="I15" s="115"/>
      <c r="J15" s="116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14" t="s">
        <v>17</v>
      </c>
      <c r="D33" s="115"/>
      <c r="E33" s="115"/>
      <c r="F33" s="116"/>
      <c r="G33" s="114" t="s">
        <v>18</v>
      </c>
      <c r="H33" s="115"/>
      <c r="I33" s="115"/>
      <c r="J33" s="116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14" t="s">
        <v>17</v>
      </c>
      <c r="D51" s="115"/>
      <c r="E51" s="115"/>
      <c r="F51" s="116"/>
      <c r="G51" s="114" t="s">
        <v>18</v>
      </c>
      <c r="H51" s="115"/>
      <c r="I51" s="115"/>
      <c r="J51" s="116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121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33">
        <f>B4-0.11</f>
        <v>0.22000000000000003</v>
      </c>
      <c r="F4" s="131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 s="131">
        <f t="shared" ref="I4:I6" si="1">E4</f>
        <v>0.22000000000000003</v>
      </c>
      <c r="J4" s="131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33">
        <f t="shared" ref="E5" si="5">B5-0.11</f>
        <v>0.55000000000000004</v>
      </c>
      <c r="F5" s="131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 s="131">
        <f t="shared" si="1"/>
        <v>0.55000000000000004</v>
      </c>
      <c r="J5" s="131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122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33">
        <f>B10-0.5</f>
        <v>2</v>
      </c>
      <c r="F10" s="131">
        <f>B10+0.5</f>
        <v>3</v>
      </c>
      <c r="G10" s="88">
        <f t="shared" ref="G10:G12" si="8">F10+1.5</f>
        <v>4.5</v>
      </c>
      <c r="H10" s="89">
        <f>I10-1</f>
        <v>1</v>
      </c>
      <c r="I10" s="131">
        <f t="shared" ref="I10:I12" si="9">E10</f>
        <v>2</v>
      </c>
      <c r="J10" s="131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33">
        <f t="shared" ref="E11:E12" si="13">B11-0.5</f>
        <v>4.5</v>
      </c>
      <c r="F11" s="13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 s="131">
        <f t="shared" si="9"/>
        <v>4.5</v>
      </c>
      <c r="J11" s="13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tabSelected="1"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33">
        <f>B5-0.3</f>
        <v>0.7</v>
      </c>
      <c r="F5" s="131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33">
        <f t="shared" ref="E6:E9" si="5">B6-0.3</f>
        <v>1.7</v>
      </c>
      <c r="F6" s="131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33">
        <f t="shared" si="5"/>
        <v>2.7</v>
      </c>
      <c r="F7" s="131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33">
        <f t="shared" si="5"/>
        <v>3.7</v>
      </c>
      <c r="F8" s="131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33">
        <f>B13-0.3</f>
        <v>0.7</v>
      </c>
      <c r="F13" s="131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33">
        <f t="shared" ref="E14:E17" si="13">B14-0.3</f>
        <v>1.7</v>
      </c>
      <c r="F14" s="131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33">
        <f t="shared" si="13"/>
        <v>2.7</v>
      </c>
      <c r="F15" s="131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33">
        <f t="shared" si="13"/>
        <v>3.7</v>
      </c>
      <c r="F16" s="131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33">
        <f>B21-0.3</f>
        <v>0.7</v>
      </c>
      <c r="F21" s="13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33">
        <f t="shared" ref="E22:E25" si="21">B22-0.3</f>
        <v>1.7</v>
      </c>
      <c r="F22" s="131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33">
        <f t="shared" si="21"/>
        <v>2.7</v>
      </c>
      <c r="F23" s="131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33">
        <f t="shared" si="21"/>
        <v>3.7</v>
      </c>
      <c r="F24" s="131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33">
        <f>B29-0.3</f>
        <v>0.7</v>
      </c>
      <c r="F29" s="131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33">
        <f t="shared" ref="E30:E33" si="29">B30-0.3</f>
        <v>1.7</v>
      </c>
      <c r="F30" s="131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33">
        <f t="shared" si="29"/>
        <v>2.7</v>
      </c>
      <c r="F31" s="1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33">
        <f t="shared" si="29"/>
        <v>3.7</v>
      </c>
      <c r="F32" s="131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33">
        <f>B39-0.3</f>
        <v>0.7</v>
      </c>
      <c r="F39" s="131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33">
        <f t="shared" ref="E40:E43" si="37">B40-0.3</f>
        <v>1.7</v>
      </c>
      <c r="F40" s="131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33">
        <f t="shared" si="37"/>
        <v>2.7</v>
      </c>
      <c r="F41" s="13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33">
        <f t="shared" si="37"/>
        <v>3.7</v>
      </c>
      <c r="F42" s="131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33">
        <f>B47-0.3</f>
        <v>0.7</v>
      </c>
      <c r="F47" s="131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33">
        <f t="shared" ref="E48:E51" si="45">B48-0.3</f>
        <v>1.7</v>
      </c>
      <c r="F48" s="131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33">
        <f t="shared" si="45"/>
        <v>2.7</v>
      </c>
      <c r="F49" s="131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33">
        <f t="shared" si="45"/>
        <v>3.7</v>
      </c>
      <c r="F50" s="131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33">
        <f>B55-0.3</f>
        <v>0.7</v>
      </c>
      <c r="F55" s="131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33">
        <f t="shared" ref="E56:E59" si="53">B56-0.3</f>
        <v>1.7</v>
      </c>
      <c r="F56" s="131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33">
        <f t="shared" si="53"/>
        <v>2.7</v>
      </c>
      <c r="F57" s="131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33">
        <f t="shared" si="53"/>
        <v>3.7</v>
      </c>
      <c r="F58" s="131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33">
        <f>B63-0.3</f>
        <v>0.7</v>
      </c>
      <c r="F63" s="131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33">
        <f t="shared" ref="E64:E67" si="61">B64-0.3</f>
        <v>1.7</v>
      </c>
      <c r="F64" s="131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33">
        <f t="shared" si="61"/>
        <v>2.7</v>
      </c>
      <c r="F65" s="131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33">
        <f t="shared" si="61"/>
        <v>3.7</v>
      </c>
      <c r="F66" s="131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33">
        <f>B72-0.3</f>
        <v>0.7</v>
      </c>
      <c r="F72" s="131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33">
        <f t="shared" ref="E73:E76" si="69">B73-0.3</f>
        <v>1.7</v>
      </c>
      <c r="F73" s="131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33">
        <f t="shared" si="69"/>
        <v>2.7</v>
      </c>
      <c r="F74" s="131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33">
        <f t="shared" si="69"/>
        <v>3.7</v>
      </c>
      <c r="F75" s="131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33">
        <f>B80-0.3</f>
        <v>0.7</v>
      </c>
      <c r="F80" s="131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33">
        <f t="shared" ref="E81:E84" si="77">B81-0.3</f>
        <v>1.7</v>
      </c>
      <c r="F81" s="13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33">
        <f t="shared" si="77"/>
        <v>2.7</v>
      </c>
      <c r="F82" s="131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33">
        <f t="shared" si="77"/>
        <v>3.7</v>
      </c>
      <c r="F83" s="131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33">
        <f>B88-0.3</f>
        <v>0.7</v>
      </c>
      <c r="F88" s="131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33">
        <f t="shared" ref="E89:E92" si="85">B89-0.3</f>
        <v>1.7</v>
      </c>
      <c r="F89" s="131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33">
        <f t="shared" si="85"/>
        <v>2.7</v>
      </c>
      <c r="F90" s="131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33">
        <f t="shared" si="85"/>
        <v>3.7</v>
      </c>
      <c r="F91" s="13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RICE_четкая модель</vt:lpstr>
      <vt:lpstr>RICE_неч мод(трап_симм_формулы)</vt:lpstr>
      <vt:lpstr>Четкий MoSCoW</vt:lpstr>
      <vt:lpstr>Неч MoSCoW (трап_симм_формулы)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2026-01-11T02:34:14Z</dcterms:modified>
</cp:coreProperties>
</file>