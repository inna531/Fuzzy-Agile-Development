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79147\Documents\Документы, инвестиции, личные финансы\2024.07.03_Альфа-банк\Магистратура ВШЭ\20_Магистерская диссертация\"/>
    </mc:Choice>
  </mc:AlternateContent>
  <xr:revisionPtr revIDLastSave="0" documentId="13_ncr:1_{D023484B-EA15-4DC3-A981-35A7F0853502}" xr6:coauthVersionLast="47" xr6:coauthVersionMax="47" xr10:uidLastSave="{00000000-0000-0000-0000-000000000000}"/>
  <bookViews>
    <workbookView xWindow="-120" yWindow="-120" windowWidth="20730" windowHeight="11040" tabRatio="839" firstSheet="1" activeTab="2" xr2:uid="{00000000-000D-0000-FFFF-FFFF00000000}"/>
  </bookViews>
  <sheets>
    <sheet name="RICE_четкая модель" sheetId="1" r:id="rId1"/>
    <sheet name="RICE_неч мод(трап_симм_формулы)" sheetId="2" r:id="rId2"/>
    <sheet name="Четкий MoSCoW" sheetId="6" r:id="rId3"/>
    <sheet name="Неч MoSCoW (трап_симм_формулы)" sheetId="7" r:id="rId4"/>
    <sheet name="RICE_неч мод (трапеции_вправо)" sheetId="3" r:id="rId5"/>
    <sheet name="RICE_неч мод (трап_симм_числа)" sheetId="4" r:id="rId6"/>
    <sheet name="Шкалы параметров_MoSCoW" sheetId="8" r:id="rId7"/>
    <sheet name="Шкалы параметров" sheetId="5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" i="6" l="1"/>
  <c r="BU9" i="7"/>
  <c r="BU10" i="7"/>
  <c r="BU11" i="7"/>
  <c r="BU12" i="7"/>
  <c r="BU13" i="7"/>
  <c r="BU14" i="7"/>
  <c r="BU15" i="7"/>
  <c r="BU16" i="7"/>
  <c r="BU17" i="7"/>
  <c r="BU8" i="7"/>
  <c r="BS9" i="7"/>
  <c r="BT9" i="7"/>
  <c r="BS10" i="7"/>
  <c r="BT10" i="7"/>
  <c r="BS11" i="7"/>
  <c r="BT11" i="7"/>
  <c r="BS12" i="7"/>
  <c r="BT12" i="7"/>
  <c r="BS13" i="7"/>
  <c r="BT13" i="7"/>
  <c r="BS14" i="7"/>
  <c r="BT14" i="7"/>
  <c r="BS15" i="7"/>
  <c r="BT15" i="7"/>
  <c r="BS16" i="7"/>
  <c r="BT16" i="7"/>
  <c r="BS17" i="7"/>
  <c r="BT17" i="7"/>
  <c r="BT8" i="7"/>
  <c r="BS8" i="7"/>
  <c r="BO9" i="7"/>
  <c r="BP9" i="7"/>
  <c r="BQ9" i="7"/>
  <c r="BR9" i="7"/>
  <c r="BO10" i="7"/>
  <c r="BP10" i="7"/>
  <c r="BQ10" i="7"/>
  <c r="BR10" i="7"/>
  <c r="BO11" i="7"/>
  <c r="BP11" i="7"/>
  <c r="BQ11" i="7"/>
  <c r="BR11" i="7"/>
  <c r="BO12" i="7"/>
  <c r="BP12" i="7"/>
  <c r="BQ12" i="7"/>
  <c r="BR12" i="7"/>
  <c r="BO13" i="7"/>
  <c r="BP13" i="7"/>
  <c r="BQ13" i="7"/>
  <c r="BR13" i="7"/>
  <c r="BO14" i="7"/>
  <c r="BP14" i="7"/>
  <c r="BQ14" i="7"/>
  <c r="BR14" i="7"/>
  <c r="BO15" i="7"/>
  <c r="BP15" i="7"/>
  <c r="BQ15" i="7"/>
  <c r="BR15" i="7"/>
  <c r="BO16" i="7"/>
  <c r="BP16" i="7"/>
  <c r="BQ16" i="7"/>
  <c r="BR16" i="7"/>
  <c r="BO17" i="7"/>
  <c r="BP17" i="7"/>
  <c r="BQ17" i="7"/>
  <c r="BR17" i="7"/>
  <c r="BR8" i="7"/>
  <c r="BQ8" i="7"/>
  <c r="BP8" i="7"/>
  <c r="BO8" i="7"/>
  <c r="BG9" i="7"/>
  <c r="BH9" i="7"/>
  <c r="BI9" i="7"/>
  <c r="BJ9" i="7"/>
  <c r="BK9" i="7"/>
  <c r="BL9" i="7"/>
  <c r="BM9" i="7"/>
  <c r="BN9" i="7"/>
  <c r="BG10" i="7"/>
  <c r="BH10" i="7"/>
  <c r="BI10" i="7"/>
  <c r="BJ10" i="7"/>
  <c r="BK10" i="7"/>
  <c r="BL10" i="7"/>
  <c r="BM10" i="7"/>
  <c r="BN10" i="7"/>
  <c r="BG11" i="7"/>
  <c r="BH11" i="7"/>
  <c r="BI11" i="7"/>
  <c r="BJ11" i="7"/>
  <c r="BK11" i="7"/>
  <c r="BL11" i="7"/>
  <c r="BM11" i="7"/>
  <c r="BN11" i="7"/>
  <c r="BG12" i="7"/>
  <c r="BH12" i="7"/>
  <c r="BI12" i="7"/>
  <c r="BJ12" i="7"/>
  <c r="BK12" i="7"/>
  <c r="BL12" i="7"/>
  <c r="BM12" i="7"/>
  <c r="BN12" i="7"/>
  <c r="BG13" i="7"/>
  <c r="BH13" i="7"/>
  <c r="BI13" i="7"/>
  <c r="BJ13" i="7"/>
  <c r="BK13" i="7"/>
  <c r="BL13" i="7"/>
  <c r="BM13" i="7"/>
  <c r="BN13" i="7"/>
  <c r="BG14" i="7"/>
  <c r="BH14" i="7"/>
  <c r="BI14" i="7"/>
  <c r="BJ14" i="7"/>
  <c r="BK14" i="7"/>
  <c r="BL14" i="7"/>
  <c r="BM14" i="7"/>
  <c r="BN14" i="7"/>
  <c r="BG15" i="7"/>
  <c r="BH15" i="7"/>
  <c r="BI15" i="7"/>
  <c r="BJ15" i="7"/>
  <c r="BK15" i="7"/>
  <c r="BL15" i="7"/>
  <c r="BM15" i="7"/>
  <c r="BN15" i="7"/>
  <c r="BG16" i="7"/>
  <c r="BH16" i="7"/>
  <c r="BI16" i="7"/>
  <c r="BJ16" i="7"/>
  <c r="BK16" i="7"/>
  <c r="BL16" i="7"/>
  <c r="BM16" i="7"/>
  <c r="BN16" i="7"/>
  <c r="BG17" i="7"/>
  <c r="BH17" i="7"/>
  <c r="BI17" i="7"/>
  <c r="BJ17" i="7"/>
  <c r="BK17" i="7"/>
  <c r="BL17" i="7"/>
  <c r="BM17" i="7"/>
  <c r="BN17" i="7"/>
  <c r="BH8" i="7"/>
  <c r="BI8" i="7"/>
  <c r="BJ8" i="7"/>
  <c r="BK8" i="7"/>
  <c r="BL8" i="7"/>
  <c r="BM8" i="7"/>
  <c r="BN8" i="7"/>
  <c r="BG8" i="7"/>
  <c r="J8" i="7"/>
  <c r="E46" i="7"/>
  <c r="E50" i="7"/>
  <c r="F50" i="7"/>
  <c r="G50" i="7"/>
  <c r="H50" i="7"/>
  <c r="I50" i="7"/>
  <c r="J50" i="7"/>
  <c r="K50" i="7"/>
  <c r="L50" i="7"/>
  <c r="E51" i="7"/>
  <c r="F51" i="7"/>
  <c r="G51" i="7"/>
  <c r="H51" i="7"/>
  <c r="I51" i="7"/>
  <c r="J51" i="7"/>
  <c r="K51" i="7"/>
  <c r="L51" i="7"/>
  <c r="E52" i="7"/>
  <c r="F52" i="7"/>
  <c r="G52" i="7"/>
  <c r="H52" i="7"/>
  <c r="I52" i="7"/>
  <c r="J52" i="7"/>
  <c r="K52" i="7"/>
  <c r="L52" i="7"/>
  <c r="L49" i="7"/>
  <c r="K49" i="7"/>
  <c r="J49" i="7"/>
  <c r="I49" i="7"/>
  <c r="F46" i="7"/>
  <c r="G46" i="7"/>
  <c r="H46" i="7"/>
  <c r="I46" i="7"/>
  <c r="J46" i="7"/>
  <c r="K46" i="7"/>
  <c r="L46" i="7"/>
  <c r="E47" i="7"/>
  <c r="F47" i="7"/>
  <c r="G47" i="7"/>
  <c r="H47" i="7"/>
  <c r="I47" i="7"/>
  <c r="J47" i="7"/>
  <c r="K47" i="7"/>
  <c r="L47" i="7"/>
  <c r="E48" i="7"/>
  <c r="F48" i="7"/>
  <c r="G48" i="7"/>
  <c r="H48" i="7"/>
  <c r="I48" i="7"/>
  <c r="J48" i="7"/>
  <c r="K48" i="7"/>
  <c r="L48" i="7"/>
  <c r="L45" i="7"/>
  <c r="K45" i="7"/>
  <c r="J45" i="7"/>
  <c r="I45" i="7"/>
  <c r="H45" i="7"/>
  <c r="H49" i="7"/>
  <c r="G49" i="7"/>
  <c r="F49" i="7"/>
  <c r="E49" i="7"/>
  <c r="E45" i="7"/>
  <c r="H43" i="7"/>
  <c r="E44" i="7"/>
  <c r="F44" i="7"/>
  <c r="G44" i="7"/>
  <c r="H44" i="7"/>
  <c r="E41" i="7"/>
  <c r="G31" i="7"/>
  <c r="H31" i="7" s="1"/>
  <c r="F31" i="7"/>
  <c r="J31" i="7" s="1"/>
  <c r="I31" i="7" s="1"/>
  <c r="G30" i="7"/>
  <c r="H30" i="7" s="1"/>
  <c r="F30" i="7"/>
  <c r="J30" i="7" s="1"/>
  <c r="I30" i="7" s="1"/>
  <c r="G29" i="7"/>
  <c r="H29" i="7" s="1"/>
  <c r="F29" i="7"/>
  <c r="J29" i="7" s="1"/>
  <c r="I29" i="7" s="1"/>
  <c r="F28" i="7"/>
  <c r="G28" i="7" s="1"/>
  <c r="K24" i="7"/>
  <c r="L44" i="7" s="1"/>
  <c r="J24" i="7"/>
  <c r="I24" i="7" s="1"/>
  <c r="G23" i="7"/>
  <c r="H23" i="7" s="1"/>
  <c r="F23" i="7"/>
  <c r="E23" i="7" s="1"/>
  <c r="G22" i="7"/>
  <c r="H22" i="7" s="1"/>
  <c r="F22" i="7"/>
  <c r="E22" i="7" s="1"/>
  <c r="F21" i="7"/>
  <c r="G21" i="7" s="1"/>
  <c r="H11" i="8"/>
  <c r="H12" i="8"/>
  <c r="H10" i="8"/>
  <c r="K10" i="8"/>
  <c r="K11" i="8"/>
  <c r="K12" i="8"/>
  <c r="K9" i="8"/>
  <c r="D11" i="8"/>
  <c r="D12" i="8"/>
  <c r="D10" i="8"/>
  <c r="G10" i="8"/>
  <c r="G11" i="8"/>
  <c r="G12" i="8"/>
  <c r="E11" i="8"/>
  <c r="F11" i="8"/>
  <c r="E12" i="8"/>
  <c r="F12" i="8"/>
  <c r="J12" i="8" s="1"/>
  <c r="F10" i="8"/>
  <c r="F4" i="8"/>
  <c r="E10" i="8"/>
  <c r="E4" i="8"/>
  <c r="F9" i="8"/>
  <c r="J9" i="8" s="1"/>
  <c r="I12" i="8"/>
  <c r="J11" i="8"/>
  <c r="I11" i="8"/>
  <c r="I10" i="8"/>
  <c r="E9" i="8"/>
  <c r="I9" i="8" s="1"/>
  <c r="J6" i="8"/>
  <c r="I6" i="8"/>
  <c r="H6" i="8" s="1"/>
  <c r="E5" i="8"/>
  <c r="D5" i="8" s="1"/>
  <c r="F5" i="8"/>
  <c r="G5" i="8" s="1"/>
  <c r="J4" i="8"/>
  <c r="K4" i="8" s="1"/>
  <c r="I4" i="8"/>
  <c r="H4" i="8" s="1"/>
  <c r="E3" i="8"/>
  <c r="F3" i="8" s="1"/>
  <c r="G3" i="8" s="1"/>
  <c r="I92" i="5"/>
  <c r="H92" i="5" s="1"/>
  <c r="F92" i="5"/>
  <c r="G92" i="5" s="1"/>
  <c r="E92" i="5"/>
  <c r="D92" i="5"/>
  <c r="F91" i="5"/>
  <c r="G91" i="5" s="1"/>
  <c r="E91" i="5"/>
  <c r="I91" i="5" s="1"/>
  <c r="H91" i="5" s="1"/>
  <c r="D91" i="5"/>
  <c r="F90" i="5"/>
  <c r="G90" i="5" s="1"/>
  <c r="E90" i="5"/>
  <c r="I90" i="5" s="1"/>
  <c r="H90" i="5" s="1"/>
  <c r="D90" i="5"/>
  <c r="F89" i="5"/>
  <c r="G89" i="5" s="1"/>
  <c r="E89" i="5"/>
  <c r="I89" i="5" s="1"/>
  <c r="H89" i="5" s="1"/>
  <c r="D89" i="5"/>
  <c r="F88" i="5"/>
  <c r="G88" i="5" s="1"/>
  <c r="E88" i="5"/>
  <c r="I88" i="5" s="1"/>
  <c r="H88" i="5" s="1"/>
  <c r="D88" i="5"/>
  <c r="J87" i="5"/>
  <c r="K87" i="5" s="1"/>
  <c r="I87" i="5"/>
  <c r="G87" i="5"/>
  <c r="F87" i="5"/>
  <c r="E87" i="5"/>
  <c r="F84" i="5"/>
  <c r="G84" i="5" s="1"/>
  <c r="E84" i="5"/>
  <c r="I84" i="5" s="1"/>
  <c r="H84" i="5" s="1"/>
  <c r="D84" i="5"/>
  <c r="F83" i="5"/>
  <c r="G83" i="5" s="1"/>
  <c r="E83" i="5"/>
  <c r="I83" i="5" s="1"/>
  <c r="H83" i="5" s="1"/>
  <c r="D83" i="5"/>
  <c r="F82" i="5"/>
  <c r="G82" i="5" s="1"/>
  <c r="E82" i="5"/>
  <c r="I82" i="5" s="1"/>
  <c r="H82" i="5" s="1"/>
  <c r="D82" i="5"/>
  <c r="F81" i="5"/>
  <c r="G81" i="5" s="1"/>
  <c r="E81" i="5"/>
  <c r="I81" i="5" s="1"/>
  <c r="H81" i="5" s="1"/>
  <c r="D81" i="5"/>
  <c r="F80" i="5"/>
  <c r="G80" i="5" s="1"/>
  <c r="E80" i="5"/>
  <c r="I80" i="5" s="1"/>
  <c r="H80" i="5" s="1"/>
  <c r="D80" i="5"/>
  <c r="J79" i="5"/>
  <c r="K79" i="5" s="1"/>
  <c r="G79" i="5"/>
  <c r="F79" i="5"/>
  <c r="E79" i="5"/>
  <c r="I79" i="5" s="1"/>
  <c r="F76" i="5"/>
  <c r="G76" i="5" s="1"/>
  <c r="E76" i="5"/>
  <c r="I76" i="5" s="1"/>
  <c r="H76" i="5" s="1"/>
  <c r="D76" i="5"/>
  <c r="F75" i="5"/>
  <c r="G75" i="5" s="1"/>
  <c r="E75" i="5"/>
  <c r="I75" i="5" s="1"/>
  <c r="H75" i="5" s="1"/>
  <c r="D75" i="5"/>
  <c r="F74" i="5"/>
  <c r="G74" i="5" s="1"/>
  <c r="E74" i="5"/>
  <c r="I74" i="5" s="1"/>
  <c r="H74" i="5" s="1"/>
  <c r="D74" i="5"/>
  <c r="F73" i="5"/>
  <c r="G73" i="5" s="1"/>
  <c r="E73" i="5"/>
  <c r="I73" i="5" s="1"/>
  <c r="H73" i="5" s="1"/>
  <c r="D73" i="5"/>
  <c r="F72" i="5"/>
  <c r="G72" i="5" s="1"/>
  <c r="E72" i="5"/>
  <c r="I72" i="5" s="1"/>
  <c r="H72" i="5" s="1"/>
  <c r="D72" i="5"/>
  <c r="J71" i="5"/>
  <c r="K71" i="5" s="1"/>
  <c r="I71" i="5"/>
  <c r="G71" i="5"/>
  <c r="F71" i="5"/>
  <c r="E71" i="5"/>
  <c r="F67" i="5"/>
  <c r="G67" i="5" s="1"/>
  <c r="E67" i="5"/>
  <c r="I67" i="5" s="1"/>
  <c r="H67" i="5" s="1"/>
  <c r="D67" i="5"/>
  <c r="F66" i="5"/>
  <c r="G66" i="5" s="1"/>
  <c r="E66" i="5"/>
  <c r="I66" i="5" s="1"/>
  <c r="H66" i="5" s="1"/>
  <c r="D66" i="5"/>
  <c r="F65" i="5"/>
  <c r="G65" i="5" s="1"/>
  <c r="E65" i="5"/>
  <c r="I65" i="5" s="1"/>
  <c r="H65" i="5" s="1"/>
  <c r="D65" i="5"/>
  <c r="F64" i="5"/>
  <c r="G64" i="5" s="1"/>
  <c r="E64" i="5"/>
  <c r="I64" i="5" s="1"/>
  <c r="H64" i="5" s="1"/>
  <c r="D64" i="5"/>
  <c r="F63" i="5"/>
  <c r="G63" i="5" s="1"/>
  <c r="E63" i="5"/>
  <c r="I63" i="5" s="1"/>
  <c r="H63" i="5" s="1"/>
  <c r="D63" i="5"/>
  <c r="J62" i="5"/>
  <c r="K62" i="5" s="1"/>
  <c r="G62" i="5"/>
  <c r="F62" i="5"/>
  <c r="E62" i="5"/>
  <c r="I62" i="5" s="1"/>
  <c r="F59" i="5"/>
  <c r="G59" i="5" s="1"/>
  <c r="E59" i="5"/>
  <c r="I59" i="5" s="1"/>
  <c r="H59" i="5" s="1"/>
  <c r="D59" i="5"/>
  <c r="F58" i="5"/>
  <c r="G58" i="5" s="1"/>
  <c r="E58" i="5"/>
  <c r="I58" i="5" s="1"/>
  <c r="H58" i="5" s="1"/>
  <c r="D58" i="5"/>
  <c r="F57" i="5"/>
  <c r="G57" i="5" s="1"/>
  <c r="E57" i="5"/>
  <c r="I57" i="5" s="1"/>
  <c r="H57" i="5" s="1"/>
  <c r="D57" i="5"/>
  <c r="F56" i="5"/>
  <c r="G56" i="5" s="1"/>
  <c r="E56" i="5"/>
  <c r="I56" i="5" s="1"/>
  <c r="H56" i="5" s="1"/>
  <c r="D56" i="5"/>
  <c r="F55" i="5"/>
  <c r="G55" i="5" s="1"/>
  <c r="E55" i="5"/>
  <c r="I55" i="5" s="1"/>
  <c r="H55" i="5" s="1"/>
  <c r="D55" i="5"/>
  <c r="J54" i="5"/>
  <c r="K54" i="5" s="1"/>
  <c r="G54" i="5"/>
  <c r="F54" i="5"/>
  <c r="E54" i="5"/>
  <c r="I54" i="5" s="1"/>
  <c r="F51" i="5"/>
  <c r="G51" i="5" s="1"/>
  <c r="E51" i="5"/>
  <c r="I51" i="5" s="1"/>
  <c r="H51" i="5" s="1"/>
  <c r="D51" i="5"/>
  <c r="F50" i="5"/>
  <c r="G50" i="5" s="1"/>
  <c r="E50" i="5"/>
  <c r="I50" i="5" s="1"/>
  <c r="H50" i="5" s="1"/>
  <c r="D50" i="5"/>
  <c r="F49" i="5"/>
  <c r="G49" i="5" s="1"/>
  <c r="E49" i="5"/>
  <c r="I49" i="5" s="1"/>
  <c r="H49" i="5" s="1"/>
  <c r="D49" i="5"/>
  <c r="F48" i="5"/>
  <c r="G48" i="5" s="1"/>
  <c r="E48" i="5"/>
  <c r="I48" i="5" s="1"/>
  <c r="H48" i="5" s="1"/>
  <c r="D48" i="5"/>
  <c r="F47" i="5"/>
  <c r="G47" i="5" s="1"/>
  <c r="E47" i="5"/>
  <c r="I47" i="5" s="1"/>
  <c r="H47" i="5" s="1"/>
  <c r="D47" i="5"/>
  <c r="J46" i="5"/>
  <c r="K46" i="5" s="1"/>
  <c r="I46" i="5"/>
  <c r="G46" i="5"/>
  <c r="F46" i="5"/>
  <c r="E46" i="5"/>
  <c r="F43" i="5"/>
  <c r="G43" i="5" s="1"/>
  <c r="E43" i="5"/>
  <c r="I43" i="5" s="1"/>
  <c r="H43" i="5" s="1"/>
  <c r="D43" i="5"/>
  <c r="F42" i="5"/>
  <c r="G42" i="5" s="1"/>
  <c r="E42" i="5"/>
  <c r="I42" i="5" s="1"/>
  <c r="H42" i="5" s="1"/>
  <c r="D42" i="5"/>
  <c r="F41" i="5"/>
  <c r="G41" i="5" s="1"/>
  <c r="E41" i="5"/>
  <c r="I41" i="5" s="1"/>
  <c r="H41" i="5" s="1"/>
  <c r="D41" i="5"/>
  <c r="F40" i="5"/>
  <c r="G40" i="5" s="1"/>
  <c r="E40" i="5"/>
  <c r="I40" i="5" s="1"/>
  <c r="H40" i="5" s="1"/>
  <c r="D40" i="5"/>
  <c r="F39" i="5"/>
  <c r="G39" i="5" s="1"/>
  <c r="E39" i="5"/>
  <c r="I39" i="5" s="1"/>
  <c r="H39" i="5" s="1"/>
  <c r="D39" i="5"/>
  <c r="J38" i="5"/>
  <c r="K38" i="5" s="1"/>
  <c r="G38" i="5"/>
  <c r="F38" i="5"/>
  <c r="E38" i="5"/>
  <c r="I38" i="5" s="1"/>
  <c r="F33" i="5"/>
  <c r="G33" i="5" s="1"/>
  <c r="E33" i="5"/>
  <c r="I33" i="5" s="1"/>
  <c r="H33" i="5" s="1"/>
  <c r="D33" i="5"/>
  <c r="F32" i="5"/>
  <c r="G32" i="5" s="1"/>
  <c r="E32" i="5"/>
  <c r="I32" i="5" s="1"/>
  <c r="H32" i="5" s="1"/>
  <c r="D32" i="5"/>
  <c r="F31" i="5"/>
  <c r="G31" i="5" s="1"/>
  <c r="E31" i="5"/>
  <c r="I31" i="5" s="1"/>
  <c r="H31" i="5" s="1"/>
  <c r="D31" i="5"/>
  <c r="F30" i="5"/>
  <c r="G30" i="5" s="1"/>
  <c r="E30" i="5"/>
  <c r="I30" i="5" s="1"/>
  <c r="H30" i="5" s="1"/>
  <c r="D30" i="5"/>
  <c r="F29" i="5"/>
  <c r="G29" i="5" s="1"/>
  <c r="E29" i="5"/>
  <c r="I29" i="5" s="1"/>
  <c r="H29" i="5" s="1"/>
  <c r="D29" i="5"/>
  <c r="J28" i="5"/>
  <c r="K28" i="5" s="1"/>
  <c r="I28" i="5"/>
  <c r="G28" i="5"/>
  <c r="F28" i="5"/>
  <c r="E28" i="5"/>
  <c r="F25" i="5"/>
  <c r="G25" i="5" s="1"/>
  <c r="E25" i="5"/>
  <c r="I25" i="5" s="1"/>
  <c r="H25" i="5" s="1"/>
  <c r="D25" i="5"/>
  <c r="F24" i="5"/>
  <c r="G24" i="5" s="1"/>
  <c r="E24" i="5"/>
  <c r="I24" i="5" s="1"/>
  <c r="H24" i="5" s="1"/>
  <c r="D24" i="5"/>
  <c r="F23" i="5"/>
  <c r="G23" i="5" s="1"/>
  <c r="E23" i="5"/>
  <c r="I23" i="5" s="1"/>
  <c r="H23" i="5" s="1"/>
  <c r="D23" i="5"/>
  <c r="F22" i="5"/>
  <c r="G22" i="5" s="1"/>
  <c r="E22" i="5"/>
  <c r="I22" i="5" s="1"/>
  <c r="H22" i="5" s="1"/>
  <c r="D22" i="5"/>
  <c r="F21" i="5"/>
  <c r="G21" i="5" s="1"/>
  <c r="E21" i="5"/>
  <c r="I21" i="5" s="1"/>
  <c r="H21" i="5" s="1"/>
  <c r="D21" i="5"/>
  <c r="J20" i="5"/>
  <c r="K20" i="5" s="1"/>
  <c r="I20" i="5"/>
  <c r="G20" i="5"/>
  <c r="F20" i="5"/>
  <c r="E20" i="5"/>
  <c r="F17" i="5"/>
  <c r="G17" i="5" s="1"/>
  <c r="E17" i="5"/>
  <c r="I17" i="5" s="1"/>
  <c r="H17" i="5" s="1"/>
  <c r="D17" i="5"/>
  <c r="F16" i="5"/>
  <c r="G16" i="5" s="1"/>
  <c r="E16" i="5"/>
  <c r="I16" i="5" s="1"/>
  <c r="H16" i="5" s="1"/>
  <c r="D16" i="5"/>
  <c r="F15" i="5"/>
  <c r="G15" i="5" s="1"/>
  <c r="E15" i="5"/>
  <c r="I15" i="5" s="1"/>
  <c r="H15" i="5" s="1"/>
  <c r="D15" i="5"/>
  <c r="F14" i="5"/>
  <c r="G14" i="5" s="1"/>
  <c r="E14" i="5"/>
  <c r="I14" i="5" s="1"/>
  <c r="H14" i="5" s="1"/>
  <c r="D14" i="5"/>
  <c r="F13" i="5"/>
  <c r="G13" i="5" s="1"/>
  <c r="E13" i="5"/>
  <c r="I13" i="5" s="1"/>
  <c r="H13" i="5" s="1"/>
  <c r="D13" i="5"/>
  <c r="J12" i="5"/>
  <c r="K12" i="5" s="1"/>
  <c r="I12" i="5"/>
  <c r="G12" i="5"/>
  <c r="F12" i="5"/>
  <c r="E12" i="5"/>
  <c r="K5" i="5"/>
  <c r="K6" i="5"/>
  <c r="K7" i="5"/>
  <c r="K8" i="5"/>
  <c r="K9" i="5"/>
  <c r="K4" i="5"/>
  <c r="H6" i="5"/>
  <c r="H7" i="5"/>
  <c r="H8" i="5"/>
  <c r="H9" i="5"/>
  <c r="H5" i="5"/>
  <c r="D6" i="5"/>
  <c r="D7" i="5"/>
  <c r="D8" i="5"/>
  <c r="D9" i="5"/>
  <c r="D5" i="5"/>
  <c r="G5" i="5"/>
  <c r="G6" i="5"/>
  <c r="G7" i="5"/>
  <c r="G8" i="5"/>
  <c r="G9" i="5"/>
  <c r="G4" i="5"/>
  <c r="E6" i="5"/>
  <c r="F6" i="5"/>
  <c r="E7" i="5"/>
  <c r="F7" i="5"/>
  <c r="E8" i="5"/>
  <c r="F8" i="5"/>
  <c r="E9" i="5"/>
  <c r="F9" i="5"/>
  <c r="F5" i="5"/>
  <c r="E5" i="5"/>
  <c r="F4" i="5"/>
  <c r="F41" i="7" l="1"/>
  <c r="K44" i="7"/>
  <c r="G43" i="7"/>
  <c r="G42" i="7"/>
  <c r="F45" i="7"/>
  <c r="G41" i="7"/>
  <c r="J44" i="7"/>
  <c r="F43" i="7"/>
  <c r="F42" i="7"/>
  <c r="G45" i="7"/>
  <c r="H42" i="7"/>
  <c r="I44" i="7"/>
  <c r="E43" i="7"/>
  <c r="E42" i="7"/>
  <c r="E29" i="7"/>
  <c r="E30" i="7"/>
  <c r="J21" i="7"/>
  <c r="E31" i="7"/>
  <c r="H21" i="7"/>
  <c r="H41" i="7" s="1"/>
  <c r="K21" i="7"/>
  <c r="K28" i="7"/>
  <c r="L28" i="7" s="1"/>
  <c r="H28" i="7"/>
  <c r="K22" i="7"/>
  <c r="K23" i="7"/>
  <c r="J28" i="7"/>
  <c r="J22" i="7"/>
  <c r="K29" i="7"/>
  <c r="L29" i="7" s="1"/>
  <c r="K30" i="7"/>
  <c r="L30" i="7" s="1"/>
  <c r="K31" i="7"/>
  <c r="L31" i="7" s="1"/>
  <c r="J23" i="7"/>
  <c r="G9" i="8"/>
  <c r="J10" i="8"/>
  <c r="I3" i="8"/>
  <c r="G4" i="8"/>
  <c r="J5" i="8"/>
  <c r="K5" i="8" s="1"/>
  <c r="D4" i="8"/>
  <c r="I5" i="8"/>
  <c r="H5" i="8" s="1"/>
  <c r="J3" i="8"/>
  <c r="K3" i="8" s="1"/>
  <c r="J88" i="5"/>
  <c r="K88" i="5" s="1"/>
  <c r="J89" i="5"/>
  <c r="K89" i="5" s="1"/>
  <c r="J90" i="5"/>
  <c r="K90" i="5" s="1"/>
  <c r="J91" i="5"/>
  <c r="K91" i="5" s="1"/>
  <c r="J92" i="5"/>
  <c r="K92" i="5" s="1"/>
  <c r="J80" i="5"/>
  <c r="K80" i="5" s="1"/>
  <c r="J81" i="5"/>
  <c r="K81" i="5" s="1"/>
  <c r="J82" i="5"/>
  <c r="K82" i="5" s="1"/>
  <c r="J83" i="5"/>
  <c r="K83" i="5" s="1"/>
  <c r="J84" i="5"/>
  <c r="K84" i="5" s="1"/>
  <c r="J72" i="5"/>
  <c r="K72" i="5" s="1"/>
  <c r="J73" i="5"/>
  <c r="K73" i="5" s="1"/>
  <c r="J74" i="5"/>
  <c r="K74" i="5" s="1"/>
  <c r="J75" i="5"/>
  <c r="K75" i="5" s="1"/>
  <c r="J76" i="5"/>
  <c r="K76" i="5" s="1"/>
  <c r="J63" i="5"/>
  <c r="K63" i="5" s="1"/>
  <c r="J64" i="5"/>
  <c r="K64" i="5" s="1"/>
  <c r="J65" i="5"/>
  <c r="K65" i="5" s="1"/>
  <c r="J66" i="5"/>
  <c r="K66" i="5" s="1"/>
  <c r="J67" i="5"/>
  <c r="K67" i="5" s="1"/>
  <c r="J55" i="5"/>
  <c r="K55" i="5" s="1"/>
  <c r="J56" i="5"/>
  <c r="K56" i="5" s="1"/>
  <c r="J57" i="5"/>
  <c r="K57" i="5" s="1"/>
  <c r="J58" i="5"/>
  <c r="K58" i="5" s="1"/>
  <c r="J59" i="5"/>
  <c r="K59" i="5" s="1"/>
  <c r="J47" i="5"/>
  <c r="K47" i="5" s="1"/>
  <c r="J48" i="5"/>
  <c r="K48" i="5" s="1"/>
  <c r="J49" i="5"/>
  <c r="K49" i="5" s="1"/>
  <c r="J50" i="5"/>
  <c r="K50" i="5" s="1"/>
  <c r="J51" i="5"/>
  <c r="K51" i="5" s="1"/>
  <c r="J39" i="5"/>
  <c r="K39" i="5" s="1"/>
  <c r="J40" i="5"/>
  <c r="K40" i="5" s="1"/>
  <c r="J41" i="5"/>
  <c r="K41" i="5" s="1"/>
  <c r="J42" i="5"/>
  <c r="K42" i="5" s="1"/>
  <c r="J43" i="5"/>
  <c r="K43" i="5" s="1"/>
  <c r="J29" i="5"/>
  <c r="K29" i="5" s="1"/>
  <c r="J30" i="5"/>
  <c r="K30" i="5" s="1"/>
  <c r="J31" i="5"/>
  <c r="K31" i="5" s="1"/>
  <c r="J32" i="5"/>
  <c r="K32" i="5" s="1"/>
  <c r="J33" i="5"/>
  <c r="K33" i="5" s="1"/>
  <c r="J21" i="5"/>
  <c r="K21" i="5" s="1"/>
  <c r="J22" i="5"/>
  <c r="K22" i="5" s="1"/>
  <c r="J23" i="5"/>
  <c r="K23" i="5" s="1"/>
  <c r="J24" i="5"/>
  <c r="K24" i="5" s="1"/>
  <c r="J25" i="5"/>
  <c r="K25" i="5" s="1"/>
  <c r="J13" i="5"/>
  <c r="K13" i="5" s="1"/>
  <c r="J14" i="5"/>
  <c r="K14" i="5" s="1"/>
  <c r="J15" i="5"/>
  <c r="K15" i="5" s="1"/>
  <c r="J16" i="5"/>
  <c r="K16" i="5" s="1"/>
  <c r="J17" i="5"/>
  <c r="K17" i="5" s="1"/>
  <c r="I23" i="7" l="1"/>
  <c r="J43" i="7"/>
  <c r="I22" i="7"/>
  <c r="J42" i="7"/>
  <c r="J41" i="7"/>
  <c r="I41" i="7"/>
  <c r="L22" i="7"/>
  <c r="K42" i="7"/>
  <c r="L42" i="7"/>
  <c r="L23" i="7"/>
  <c r="L43" i="7" s="1"/>
  <c r="K43" i="7"/>
  <c r="L21" i="7"/>
  <c r="L41" i="7"/>
  <c r="K41" i="7"/>
  <c r="I42" i="7" l="1"/>
  <c r="I43" i="7"/>
  <c r="I17" i="7" l="1"/>
  <c r="H17" i="7"/>
  <c r="G17" i="7"/>
  <c r="I16" i="7"/>
  <c r="H16" i="7"/>
  <c r="G16" i="7"/>
  <c r="I15" i="7"/>
  <c r="H15" i="7"/>
  <c r="G15" i="7"/>
  <c r="I14" i="7"/>
  <c r="H14" i="7"/>
  <c r="G14" i="7"/>
  <c r="I13" i="7"/>
  <c r="H13" i="7"/>
  <c r="G13" i="7"/>
  <c r="I12" i="7"/>
  <c r="H12" i="7"/>
  <c r="G12" i="7"/>
  <c r="I11" i="7"/>
  <c r="H11" i="7"/>
  <c r="G11" i="7"/>
  <c r="I10" i="7"/>
  <c r="H10" i="7"/>
  <c r="G10" i="7"/>
  <c r="I9" i="7"/>
  <c r="H9" i="7"/>
  <c r="G9" i="7"/>
  <c r="I8" i="7"/>
  <c r="H8" i="7"/>
  <c r="G8" i="7"/>
  <c r="J9" i="6"/>
  <c r="J10" i="6"/>
  <c r="J11" i="6"/>
  <c r="J12" i="6"/>
  <c r="J13" i="6"/>
  <c r="J14" i="6"/>
  <c r="J15" i="6"/>
  <c r="J16" i="6"/>
  <c r="J17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9" i="6"/>
  <c r="H9" i="6"/>
  <c r="I9" i="6"/>
  <c r="H8" i="6"/>
  <c r="I8" i="6"/>
  <c r="G8" i="6"/>
  <c r="I9" i="5"/>
  <c r="I8" i="5"/>
  <c r="I7" i="5"/>
  <c r="I6" i="5"/>
  <c r="I5" i="5"/>
  <c r="J4" i="5"/>
  <c r="E4" i="5"/>
  <c r="I4" i="5" s="1"/>
  <c r="J12" i="7" l="1"/>
  <c r="J16" i="7"/>
  <c r="J11" i="7"/>
  <c r="J10" i="7"/>
  <c r="J14" i="7"/>
  <c r="J15" i="7"/>
  <c r="J9" i="7"/>
  <c r="J13" i="7"/>
  <c r="J17" i="7"/>
  <c r="J6" i="5"/>
  <c r="J5" i="5"/>
  <c r="J7" i="5"/>
  <c r="J8" i="5"/>
  <c r="J9" i="5"/>
  <c r="I58" i="4" l="1"/>
  <c r="H58" i="4"/>
  <c r="H59" i="4" s="1"/>
  <c r="G58" i="4"/>
  <c r="E58" i="4"/>
  <c r="D58" i="4"/>
  <c r="D59" i="4" s="1"/>
  <c r="C58" i="4"/>
  <c r="C59" i="4" s="1"/>
  <c r="J40" i="4"/>
  <c r="H40" i="4"/>
  <c r="H41" i="4" s="1"/>
  <c r="G40" i="4"/>
  <c r="G41" i="4" s="1"/>
  <c r="F40" i="4"/>
  <c r="D40" i="4"/>
  <c r="D41" i="4" s="1"/>
  <c r="C40" i="4"/>
  <c r="C41" i="4" s="1"/>
  <c r="J22" i="4"/>
  <c r="H22" i="4"/>
  <c r="H23" i="4" s="1"/>
  <c r="G22" i="4"/>
  <c r="G23" i="4" s="1"/>
  <c r="F22" i="4"/>
  <c r="D22" i="4"/>
  <c r="D23" i="4" s="1"/>
  <c r="C22" i="4"/>
  <c r="C23" i="4" s="1"/>
  <c r="E12" i="4"/>
  <c r="D12" i="4"/>
  <c r="C12" i="4"/>
  <c r="G59" i="4" l="1"/>
  <c r="C24" i="4"/>
  <c r="C20" i="4" s="1"/>
  <c r="D24" i="4"/>
  <c r="H42" i="4"/>
  <c r="G42" i="4"/>
  <c r="G38" i="4" s="1"/>
  <c r="D60" i="4"/>
  <c r="C60" i="4"/>
  <c r="C56" i="4" s="1"/>
  <c r="H60" i="4"/>
  <c r="G60" i="4"/>
  <c r="G56" i="4" s="1"/>
  <c r="G24" i="4"/>
  <c r="G20" i="4" s="1"/>
  <c r="H24" i="4"/>
  <c r="E59" i="4"/>
  <c r="F59" i="4"/>
  <c r="D42" i="4"/>
  <c r="C42" i="4"/>
  <c r="C38" i="4" s="1"/>
  <c r="I59" i="4"/>
  <c r="E40" i="4"/>
  <c r="I40" i="4"/>
  <c r="F58" i="4"/>
  <c r="J58" i="4"/>
  <c r="J59" i="4" s="1"/>
  <c r="E22" i="4"/>
  <c r="I22" i="4"/>
  <c r="J53" i="3"/>
  <c r="J54" i="3"/>
  <c r="J55" i="3"/>
  <c r="J52" i="3"/>
  <c r="F53" i="3"/>
  <c r="F54" i="3"/>
  <c r="F55" i="3"/>
  <c r="F52" i="3"/>
  <c r="J35" i="3"/>
  <c r="J36" i="3"/>
  <c r="J37" i="3"/>
  <c r="F35" i="3"/>
  <c r="F36" i="3"/>
  <c r="F37" i="3"/>
  <c r="J34" i="3"/>
  <c r="F34" i="3"/>
  <c r="J17" i="3"/>
  <c r="J18" i="3"/>
  <c r="J19" i="3"/>
  <c r="F17" i="3"/>
  <c r="F18" i="3"/>
  <c r="F19" i="3"/>
  <c r="F16" i="3"/>
  <c r="J16" i="3"/>
  <c r="F58" i="3"/>
  <c r="I55" i="3"/>
  <c r="H55" i="3"/>
  <c r="G55" i="3"/>
  <c r="E55" i="3"/>
  <c r="D55" i="3"/>
  <c r="C55" i="3"/>
  <c r="I54" i="3"/>
  <c r="H54" i="3"/>
  <c r="G54" i="3"/>
  <c r="E54" i="3"/>
  <c r="D54" i="3"/>
  <c r="C54" i="3"/>
  <c r="J58" i="3"/>
  <c r="J59" i="3" s="1"/>
  <c r="I53" i="3"/>
  <c r="H53" i="3"/>
  <c r="G53" i="3"/>
  <c r="E53" i="3"/>
  <c r="D53" i="3"/>
  <c r="C53" i="3"/>
  <c r="I52" i="3"/>
  <c r="I58" i="3" s="1"/>
  <c r="I59" i="3" s="1"/>
  <c r="I60" i="3" s="1"/>
  <c r="H52" i="3"/>
  <c r="H58" i="3" s="1"/>
  <c r="H59" i="3" s="1"/>
  <c r="G52" i="3"/>
  <c r="G58" i="3" s="1"/>
  <c r="G59" i="3" s="1"/>
  <c r="E52" i="3"/>
  <c r="E58" i="3" s="1"/>
  <c r="E59" i="3" s="1"/>
  <c r="E60" i="3" s="1"/>
  <c r="D52" i="3"/>
  <c r="D58" i="3" s="1"/>
  <c r="D59" i="3" s="1"/>
  <c r="C52" i="3"/>
  <c r="C58" i="3" s="1"/>
  <c r="C59" i="3" s="1"/>
  <c r="I37" i="3"/>
  <c r="H37" i="3"/>
  <c r="G37" i="3"/>
  <c r="E37" i="3"/>
  <c r="D37" i="3"/>
  <c r="C37" i="3"/>
  <c r="I36" i="3"/>
  <c r="H36" i="3"/>
  <c r="G36" i="3"/>
  <c r="E36" i="3"/>
  <c r="D36" i="3"/>
  <c r="C36" i="3"/>
  <c r="I35" i="3"/>
  <c r="H35" i="3"/>
  <c r="G35" i="3"/>
  <c r="E35" i="3"/>
  <c r="D35" i="3"/>
  <c r="C35" i="3"/>
  <c r="I34" i="3"/>
  <c r="J40" i="3" s="1"/>
  <c r="H34" i="3"/>
  <c r="H40" i="3" s="1"/>
  <c r="H41" i="3" s="1"/>
  <c r="G34" i="3"/>
  <c r="G40" i="3" s="1"/>
  <c r="G41" i="3" s="1"/>
  <c r="E34" i="3"/>
  <c r="F40" i="3" s="1"/>
  <c r="D34" i="3"/>
  <c r="D40" i="3" s="1"/>
  <c r="D41" i="3" s="1"/>
  <c r="C34" i="3"/>
  <c r="C40" i="3" s="1"/>
  <c r="C41" i="3" s="1"/>
  <c r="I19" i="3"/>
  <c r="H19" i="3"/>
  <c r="G19" i="3"/>
  <c r="E19" i="3"/>
  <c r="D19" i="3"/>
  <c r="C19" i="3"/>
  <c r="I18" i="3"/>
  <c r="H18" i="3"/>
  <c r="G18" i="3"/>
  <c r="E18" i="3"/>
  <c r="D18" i="3"/>
  <c r="C18" i="3"/>
  <c r="I17" i="3"/>
  <c r="H17" i="3"/>
  <c r="G17" i="3"/>
  <c r="E17" i="3"/>
  <c r="D17" i="3"/>
  <c r="C17" i="3"/>
  <c r="I16" i="3"/>
  <c r="H16" i="3"/>
  <c r="H22" i="3" s="1"/>
  <c r="H23" i="3" s="1"/>
  <c r="G16" i="3"/>
  <c r="E16" i="3"/>
  <c r="D16" i="3"/>
  <c r="D22" i="3" s="1"/>
  <c r="D23" i="3" s="1"/>
  <c r="C16" i="3"/>
  <c r="E12" i="3"/>
  <c r="D12" i="3"/>
  <c r="C12" i="3"/>
  <c r="C53" i="2"/>
  <c r="D53" i="2"/>
  <c r="E53" i="2"/>
  <c r="F53" i="2"/>
  <c r="F58" i="2" s="1"/>
  <c r="G53" i="2"/>
  <c r="H53" i="2"/>
  <c r="I53" i="2"/>
  <c r="J53" i="2"/>
  <c r="J58" i="2" s="1"/>
  <c r="C54" i="2"/>
  <c r="D54" i="2"/>
  <c r="E54" i="2"/>
  <c r="F54" i="2"/>
  <c r="G54" i="2"/>
  <c r="H54" i="2"/>
  <c r="I54" i="2"/>
  <c r="J54" i="2"/>
  <c r="C55" i="2"/>
  <c r="D55" i="2"/>
  <c r="E55" i="2"/>
  <c r="F55" i="2"/>
  <c r="G55" i="2"/>
  <c r="H55" i="2"/>
  <c r="I55" i="2"/>
  <c r="J55" i="2"/>
  <c r="J52" i="2"/>
  <c r="I52" i="2"/>
  <c r="H52" i="2"/>
  <c r="G52" i="2"/>
  <c r="F52" i="2"/>
  <c r="E52" i="2"/>
  <c r="D52" i="2"/>
  <c r="C58" i="2" s="1"/>
  <c r="C52" i="2"/>
  <c r="I58" i="2"/>
  <c r="H58" i="2"/>
  <c r="H59" i="2" s="1"/>
  <c r="G58" i="2"/>
  <c r="E58" i="2"/>
  <c r="D58" i="2"/>
  <c r="D59" i="2" s="1"/>
  <c r="J40" i="2"/>
  <c r="I40" i="2"/>
  <c r="J41" i="2" s="1"/>
  <c r="H40" i="2"/>
  <c r="H41" i="2" s="1"/>
  <c r="G40" i="2"/>
  <c r="G41" i="2" s="1"/>
  <c r="F40" i="2"/>
  <c r="E40" i="2"/>
  <c r="F41" i="2" s="1"/>
  <c r="D40" i="2"/>
  <c r="D41" i="2" s="1"/>
  <c r="C40" i="2"/>
  <c r="C41" i="2" s="1"/>
  <c r="C35" i="2"/>
  <c r="D35" i="2"/>
  <c r="E35" i="2"/>
  <c r="F35" i="2"/>
  <c r="G35" i="2"/>
  <c r="H35" i="2"/>
  <c r="I35" i="2"/>
  <c r="J35" i="2"/>
  <c r="C36" i="2"/>
  <c r="D36" i="2"/>
  <c r="E36" i="2"/>
  <c r="F36" i="2"/>
  <c r="G36" i="2"/>
  <c r="H36" i="2"/>
  <c r="I36" i="2"/>
  <c r="J36" i="2"/>
  <c r="C37" i="2"/>
  <c r="D37" i="2"/>
  <c r="E37" i="2"/>
  <c r="F37" i="2"/>
  <c r="G37" i="2"/>
  <c r="H37" i="2"/>
  <c r="I37" i="2"/>
  <c r="J37" i="2"/>
  <c r="J34" i="2"/>
  <c r="I34" i="2"/>
  <c r="H34" i="2"/>
  <c r="G34" i="2"/>
  <c r="F34" i="2"/>
  <c r="E34" i="2"/>
  <c r="D34" i="2"/>
  <c r="C34" i="2"/>
  <c r="C29" i="2"/>
  <c r="F28" i="2"/>
  <c r="C28" i="2"/>
  <c r="G27" i="2"/>
  <c r="F27" i="2"/>
  <c r="D27" i="2"/>
  <c r="C27" i="2"/>
  <c r="C22" i="2"/>
  <c r="C19" i="2"/>
  <c r="D19" i="2"/>
  <c r="E19" i="2"/>
  <c r="F19" i="2"/>
  <c r="G19" i="2"/>
  <c r="H19" i="2"/>
  <c r="I19" i="2"/>
  <c r="J19" i="2"/>
  <c r="C18" i="2"/>
  <c r="J18" i="2"/>
  <c r="I18" i="2"/>
  <c r="H18" i="2"/>
  <c r="G18" i="2"/>
  <c r="F18" i="2"/>
  <c r="E18" i="2"/>
  <c r="D18" i="2"/>
  <c r="J17" i="2"/>
  <c r="I17" i="2"/>
  <c r="H17" i="2"/>
  <c r="G17" i="2"/>
  <c r="F17" i="2"/>
  <c r="E17" i="2"/>
  <c r="D17" i="2"/>
  <c r="C17" i="2"/>
  <c r="E12" i="2"/>
  <c r="D12" i="2"/>
  <c r="C12" i="2"/>
  <c r="E21" i="1"/>
  <c r="D21" i="1"/>
  <c r="C21" i="1"/>
  <c r="J16" i="2"/>
  <c r="F16" i="2"/>
  <c r="G16" i="2"/>
  <c r="C16" i="2"/>
  <c r="D16" i="2"/>
  <c r="D22" i="2" s="1"/>
  <c r="I16" i="2"/>
  <c r="E16" i="2"/>
  <c r="H16" i="2"/>
  <c r="G9" i="1"/>
  <c r="G10" i="1"/>
  <c r="G8" i="1"/>
  <c r="I60" i="4" l="1"/>
  <c r="J60" i="4"/>
  <c r="J56" i="4" s="1"/>
  <c r="E60" i="4"/>
  <c r="F60" i="4"/>
  <c r="F56" i="4" s="1"/>
  <c r="F63" i="4"/>
  <c r="H56" i="4"/>
  <c r="H38" i="4"/>
  <c r="F45" i="4"/>
  <c r="J23" i="4"/>
  <c r="I23" i="4"/>
  <c r="J41" i="4"/>
  <c r="I41" i="4"/>
  <c r="F27" i="4"/>
  <c r="H20" i="4"/>
  <c r="C27" i="4"/>
  <c r="D20" i="4"/>
  <c r="F23" i="4"/>
  <c r="E23" i="4"/>
  <c r="F41" i="4"/>
  <c r="E41" i="4"/>
  <c r="D38" i="4"/>
  <c r="C45" i="4"/>
  <c r="D56" i="4"/>
  <c r="C63" i="4"/>
  <c r="F59" i="3"/>
  <c r="D24" i="3"/>
  <c r="G24" i="3"/>
  <c r="G20" i="3" s="1"/>
  <c r="H24" i="3"/>
  <c r="E40" i="3"/>
  <c r="F22" i="3"/>
  <c r="E22" i="3"/>
  <c r="J22" i="3"/>
  <c r="I22" i="3"/>
  <c r="I40" i="3"/>
  <c r="D60" i="3"/>
  <c r="C60" i="3"/>
  <c r="C56" i="3" s="1"/>
  <c r="H60" i="3"/>
  <c r="G60" i="3"/>
  <c r="G56" i="3" s="1"/>
  <c r="E56" i="3"/>
  <c r="D63" i="3"/>
  <c r="I56" i="3"/>
  <c r="F60" i="3"/>
  <c r="F56" i="3" s="1"/>
  <c r="C22" i="3"/>
  <c r="C23" i="3" s="1"/>
  <c r="C24" i="3" s="1"/>
  <c r="C20" i="3" s="1"/>
  <c r="G22" i="3"/>
  <c r="G23" i="3" s="1"/>
  <c r="D42" i="3"/>
  <c r="C42" i="3"/>
  <c r="C38" i="3" s="1"/>
  <c r="H42" i="3"/>
  <c r="G42" i="3"/>
  <c r="G38" i="3" s="1"/>
  <c r="J60" i="3"/>
  <c r="J56" i="3" s="1"/>
  <c r="C59" i="2"/>
  <c r="G59" i="2"/>
  <c r="C60" i="2"/>
  <c r="C56" i="2" s="1"/>
  <c r="D60" i="2"/>
  <c r="E59" i="2"/>
  <c r="F59" i="2"/>
  <c r="I59" i="2"/>
  <c r="J59" i="2"/>
  <c r="H60" i="2"/>
  <c r="G60" i="2"/>
  <c r="G56" i="2" s="1"/>
  <c r="D42" i="2"/>
  <c r="C42" i="2"/>
  <c r="C38" i="2" s="1"/>
  <c r="H42" i="2"/>
  <c r="G42" i="2"/>
  <c r="G38" i="2" s="1"/>
  <c r="E41" i="2"/>
  <c r="I41" i="2"/>
  <c r="D23" i="2"/>
  <c r="D24" i="2" s="1"/>
  <c r="I22" i="2"/>
  <c r="I23" i="2" s="1"/>
  <c r="H22" i="2"/>
  <c r="H23" i="2" s="1"/>
  <c r="E22" i="2"/>
  <c r="E23" i="2" s="1"/>
  <c r="J22" i="2"/>
  <c r="C23" i="2"/>
  <c r="C24" i="2" s="1"/>
  <c r="C20" i="2" s="1"/>
  <c r="G22" i="2"/>
  <c r="G23" i="2" s="1"/>
  <c r="G24" i="2" s="1"/>
  <c r="G20" i="2" s="1"/>
  <c r="H24" i="2"/>
  <c r="F22" i="2"/>
  <c r="F42" i="4" l="1"/>
  <c r="F38" i="4" s="1"/>
  <c r="E42" i="4"/>
  <c r="J42" i="4"/>
  <c r="J38" i="4" s="1"/>
  <c r="I42" i="4"/>
  <c r="E56" i="4"/>
  <c r="D63" i="4"/>
  <c r="C64" i="4" s="1"/>
  <c r="F24" i="4"/>
  <c r="F20" i="4" s="1"/>
  <c r="E24" i="4"/>
  <c r="J24" i="4"/>
  <c r="J20" i="4" s="1"/>
  <c r="I24" i="4"/>
  <c r="I56" i="4"/>
  <c r="G63" i="4"/>
  <c r="F64" i="4" s="1"/>
  <c r="H38" i="3"/>
  <c r="F45" i="3"/>
  <c r="D38" i="3"/>
  <c r="C45" i="3"/>
  <c r="G63" i="3"/>
  <c r="J41" i="3"/>
  <c r="I41" i="3"/>
  <c r="C27" i="3"/>
  <c r="D20" i="3"/>
  <c r="F27" i="3"/>
  <c r="H20" i="3"/>
  <c r="D56" i="3"/>
  <c r="C63" i="3"/>
  <c r="C64" i="3" s="1"/>
  <c r="F23" i="3"/>
  <c r="E23" i="3"/>
  <c r="F63" i="3"/>
  <c r="F64" i="3" s="1"/>
  <c r="H56" i="3"/>
  <c r="J23" i="3"/>
  <c r="I23" i="3"/>
  <c r="F41" i="3"/>
  <c r="E41" i="3"/>
  <c r="F63" i="2"/>
  <c r="H56" i="2"/>
  <c r="C63" i="2"/>
  <c r="D56" i="2"/>
  <c r="E60" i="2"/>
  <c r="F60" i="2"/>
  <c r="F56" i="2" s="1"/>
  <c r="I60" i="2"/>
  <c r="J60" i="2"/>
  <c r="J56" i="2" s="1"/>
  <c r="I42" i="2"/>
  <c r="J42" i="2"/>
  <c r="J38" i="2" s="1"/>
  <c r="F42" i="2"/>
  <c r="F38" i="2" s="1"/>
  <c r="E42" i="2"/>
  <c r="F45" i="2"/>
  <c r="H38" i="2"/>
  <c r="C45" i="2"/>
  <c r="D38" i="2"/>
  <c r="H20" i="2"/>
  <c r="D20" i="2"/>
  <c r="J23" i="2"/>
  <c r="F23" i="2"/>
  <c r="J24" i="2"/>
  <c r="J20" i="2" s="1"/>
  <c r="I24" i="2"/>
  <c r="E24" i="2"/>
  <c r="F24" i="2"/>
  <c r="F20" i="2" s="1"/>
  <c r="C65" i="4" l="1"/>
  <c r="G27" i="4"/>
  <c r="F28" i="4" s="1"/>
  <c r="I20" i="4"/>
  <c r="E20" i="4"/>
  <c r="D27" i="4"/>
  <c r="C28" i="4" s="1"/>
  <c r="G45" i="4"/>
  <c r="F46" i="4" s="1"/>
  <c r="I38" i="4"/>
  <c r="D45" i="4"/>
  <c r="C46" i="4" s="1"/>
  <c r="E38" i="4"/>
  <c r="J24" i="3"/>
  <c r="J20" i="3" s="1"/>
  <c r="I24" i="3"/>
  <c r="F24" i="3"/>
  <c r="F20" i="3" s="1"/>
  <c r="E24" i="3"/>
  <c r="J42" i="3"/>
  <c r="J38" i="3" s="1"/>
  <c r="I42" i="3"/>
  <c r="F42" i="3"/>
  <c r="F38" i="3" s="1"/>
  <c r="E42" i="3"/>
  <c r="C65" i="3"/>
  <c r="I56" i="2"/>
  <c r="G63" i="2"/>
  <c r="F64" i="2" s="1"/>
  <c r="E56" i="2"/>
  <c r="D63" i="2"/>
  <c r="C64" i="2" s="1"/>
  <c r="C65" i="2" s="1"/>
  <c r="E38" i="2"/>
  <c r="D45" i="2"/>
  <c r="C46" i="2" s="1"/>
  <c r="I38" i="2"/>
  <c r="G45" i="2"/>
  <c r="F46" i="2" s="1"/>
  <c r="I20" i="2"/>
  <c r="E20" i="2"/>
  <c r="C29" i="4" l="1"/>
  <c r="C47" i="4"/>
  <c r="D45" i="3"/>
  <c r="C46" i="3" s="1"/>
  <c r="E38" i="3"/>
  <c r="G45" i="3"/>
  <c r="F46" i="3" s="1"/>
  <c r="I38" i="3"/>
  <c r="G27" i="3"/>
  <c r="F28" i="3" s="1"/>
  <c r="I20" i="3"/>
  <c r="D27" i="3"/>
  <c r="C28" i="3" s="1"/>
  <c r="E20" i="3"/>
  <c r="C47" i="2"/>
  <c r="C29" i="3" l="1"/>
  <c r="C47" i="3"/>
</calcChain>
</file>

<file path=xl/sharedStrings.xml><?xml version="1.0" encoding="utf-8"?>
<sst xmlns="http://schemas.openxmlformats.org/spreadsheetml/2006/main" count="661" uniqueCount="163">
  <si>
    <t>RICE Score</t>
  </si>
  <si>
    <t>Reach (Охват)</t>
  </si>
  <si>
    <t>Impact (Влияние)</t>
  </si>
  <si>
    <t>Confidence (Уверенность)</t>
  </si>
  <si>
    <t>Effort (Трудозатраты)</t>
  </si>
  <si>
    <t>Ранжирование в порядке убывания RICE</t>
  </si>
  <si>
    <t>Задача</t>
  </si>
  <si>
    <t>Параметр приоритизации</t>
  </si>
  <si>
    <t>Задача 1</t>
  </si>
  <si>
    <t>Задача 2</t>
  </si>
  <si>
    <t>Задача 3</t>
  </si>
  <si>
    <t>Количество человек, ед.</t>
  </si>
  <si>
    <t>От 0,5 до 1</t>
  </si>
  <si>
    <t>3 - Массивное влияние, 2 - Сильное, 1 - Среднее, 0,5 - Малое, 0,25 - Минимальное</t>
  </si>
  <si>
    <t>Количество недель</t>
  </si>
  <si>
    <t>RICE Score_ четкая модель</t>
  </si>
  <si>
    <t>Единоличное приняте решения (или при полном групповом консенсусе)</t>
  </si>
  <si>
    <t>Верхняя функция принадлежности</t>
  </si>
  <si>
    <t>Нижняя функция принадлежности</t>
  </si>
  <si>
    <t>R*I</t>
  </si>
  <si>
    <t>R*I*C</t>
  </si>
  <si>
    <t>R*I*C/E</t>
  </si>
  <si>
    <t>Дефаззификация при альфа=0,8</t>
  </si>
  <si>
    <t xml:space="preserve">RICE Score_нечеткая модель. Применение нормальных трапециевидных нечетких чисел 2-го типа. </t>
  </si>
  <si>
    <t>Единоличное принятие решения (или при полном групповом консенсусе).</t>
  </si>
  <si>
    <t>Верхний альфа -срез</t>
  </si>
  <si>
    <t>Нижний альфа-срез</t>
  </si>
  <si>
    <t>RICE Score_итог</t>
  </si>
  <si>
    <t>Центроид (среднее значение)</t>
  </si>
  <si>
    <r>
      <t xml:space="preserve">Расчет для случая, когда нечеткие числа имеют </t>
    </r>
    <r>
      <rPr>
        <b/>
        <sz val="11"/>
        <color theme="1"/>
        <rFont val="Calibri"/>
        <family val="2"/>
        <charset val="204"/>
        <scheme val="minor"/>
      </rPr>
      <t>несимметричные границы нечеткости</t>
    </r>
    <r>
      <rPr>
        <sz val="11"/>
        <color theme="1"/>
        <rFont val="Calibri"/>
        <family val="2"/>
        <charset val="204"/>
        <scheme val="minor"/>
      </rPr>
      <t xml:space="preserve"> (</t>
    </r>
    <r>
      <rPr>
        <b/>
        <sz val="11"/>
        <color theme="1"/>
        <rFont val="Calibri"/>
        <family val="2"/>
        <charset val="204"/>
        <scheme val="minor"/>
      </rPr>
      <t>сдвиг вправо</t>
    </r>
    <r>
      <rPr>
        <sz val="11"/>
        <color theme="1"/>
        <rFont val="Calibri"/>
        <family val="2"/>
        <charset val="204"/>
        <scheme val="minor"/>
      </rPr>
      <t xml:space="preserve"> относительно центра ядра, равного значению по четкой модели).</t>
    </r>
  </si>
  <si>
    <r>
      <t xml:space="preserve">Расчет для случая, когда нечеткие числа имеют </t>
    </r>
    <r>
      <rPr>
        <b/>
        <sz val="11"/>
        <color theme="1"/>
        <rFont val="Calibri"/>
        <family val="2"/>
        <charset val="204"/>
        <scheme val="minor"/>
      </rPr>
      <t>симметричные границы нечеткости</t>
    </r>
    <r>
      <rPr>
        <sz val="11"/>
        <color theme="1"/>
        <rFont val="Calibri"/>
        <family val="2"/>
        <charset val="204"/>
        <scheme val="minor"/>
      </rPr>
      <t xml:space="preserve"> относительно центра ядра, равного значению по четкой модели.</t>
    </r>
  </si>
  <si>
    <t>Шкалы оценок</t>
  </si>
  <si>
    <t>Охват (англ. Reach)</t>
  </si>
  <si>
    <t>Влияние (англ. Impact)</t>
  </si>
  <si>
    <t>Уверенность (англ. Confidence)</t>
  </si>
  <si>
    <t>Трудозатраты (англ. Effort)</t>
  </si>
  <si>
    <t>Возможные критерии для оценки результата с точки зрения пользователя:</t>
  </si>
  <si>
    <t>0 – ощутимое положительное влияние или реализация полностью отсутствуют</t>
  </si>
  <si>
    <t>1 - низкий уровень</t>
  </si>
  <si>
    <t>2 - уровень ниже среднего</t>
  </si>
  <si>
    <t>3 - средний уровень</t>
  </si>
  <si>
    <t>4 -выше среднего уровня</t>
  </si>
  <si>
    <t>5 - высокий уровень</t>
  </si>
  <si>
    <t>Оценка параметров задачи</t>
  </si>
  <si>
    <t>Характеристики задачи по методу RICE:</t>
  </si>
  <si>
    <t>Для оценки четких параметров применим шкалу от 0 до 5 (можно расписать для каждого критерия свою специфику),</t>
  </si>
  <si>
    <t xml:space="preserve"> если речь идет о слагаемых, или от 1 до 5 - если речь идет о множителях (чтобы нулевой показатель полностью не обнулял итог):</t>
  </si>
  <si>
    <t>2 - слабая, ниже среднего</t>
  </si>
  <si>
    <t>4 - хорошая, выше среднего</t>
  </si>
  <si>
    <t>3 - нормальная, средняя</t>
  </si>
  <si>
    <t>5 – отличная, требование полностью выполнено, результат достигнут, высокая</t>
  </si>
  <si>
    <t>1 – реализация очень слабая, низкая</t>
  </si>
  <si>
    <r>
      <t>Сложность (англ. Complexity)</t>
    </r>
    <r>
      <rPr>
        <sz val="11"/>
        <color rgb="FF0000FF"/>
        <rFont val="Calibri"/>
        <family val="2"/>
        <charset val="204"/>
        <scheme val="minor"/>
      </rPr>
      <t xml:space="preserve"> – насколько специфичными должны быть знания и уровень квалификации персонала</t>
    </r>
  </si>
  <si>
    <r>
      <t>Важность, ценность (англ. Importance/ Value)</t>
    </r>
    <r>
      <rPr>
        <sz val="11"/>
        <color rgb="FF0000FF"/>
        <rFont val="Calibri"/>
        <family val="2"/>
        <charset val="204"/>
        <scheme val="minor"/>
      </rPr>
      <t xml:space="preserve"> – польза для бизнеса/ пользователя</t>
    </r>
  </si>
  <si>
    <r>
      <t>Срочность (англ. Urgency/ Time criticality)</t>
    </r>
    <r>
      <rPr>
        <sz val="11"/>
        <color rgb="FF0000FF"/>
        <rFont val="Calibri"/>
        <family val="2"/>
        <charset val="204"/>
        <scheme val="minor"/>
      </rPr>
      <t xml:space="preserve"> – насколько быстро нужно реализовать задачу</t>
    </r>
  </si>
  <si>
    <r>
      <t>Трудоемкость (англ. Effort)</t>
    </r>
    <r>
      <rPr>
        <sz val="11"/>
        <color rgb="FF0000FF"/>
        <rFont val="Calibri"/>
        <family val="2"/>
        <charset val="204"/>
        <scheme val="minor"/>
      </rPr>
      <t xml:space="preserve"> – сколько усилий нужно, оценка масштабности задачи</t>
    </r>
  </si>
  <si>
    <r>
      <t>Удобство использования (англ. Usability)</t>
    </r>
    <r>
      <rPr>
        <sz val="11"/>
        <color rgb="FF0000FF"/>
        <rFont val="Calibri"/>
        <family val="2"/>
        <charset val="204"/>
        <scheme val="minor"/>
      </rPr>
      <t xml:space="preserve"> – насколько доступна функциональность приложения</t>
    </r>
  </si>
  <si>
    <r>
      <t>Скорость работы (англ. Performance)</t>
    </r>
    <r>
      <rPr>
        <sz val="11"/>
        <color rgb="FF0000FF"/>
        <rFont val="Calibri"/>
        <family val="2"/>
        <charset val="204"/>
        <scheme val="minor"/>
      </rPr>
      <t xml:space="preserve"> - время отклика задачи</t>
    </r>
  </si>
  <si>
    <r>
      <t>«Дружественность» интерфейса (англ. UX Quality)</t>
    </r>
    <r>
      <rPr>
        <sz val="11"/>
        <color rgb="FF0000FF"/>
        <rFont val="Calibri"/>
        <family val="2"/>
        <charset val="204"/>
        <scheme val="minor"/>
      </rPr>
      <t xml:space="preserve"> – насколько приложение интуитивно понятно для пользователя</t>
    </r>
  </si>
  <si>
    <t>No result (0)</t>
  </si>
  <si>
    <t>Low (1)</t>
  </si>
  <si>
    <t>Above Average (2)</t>
  </si>
  <si>
    <t>Average(3)</t>
  </si>
  <si>
    <t>Below Average (4)</t>
  </si>
  <si>
    <t>High (5)</t>
  </si>
  <si>
    <t>Задача 4</t>
  </si>
  <si>
    <t>Задача 5</t>
  </si>
  <si>
    <t>Задача 6</t>
  </si>
  <si>
    <t>Задача 7</t>
  </si>
  <si>
    <t>Задача 8</t>
  </si>
  <si>
    <t>Задача 9</t>
  </si>
  <si>
    <t>Задача 10</t>
  </si>
  <si>
    <t>Модуль авторизации системы управления обучением (LMS)</t>
  </si>
  <si>
    <t>FR2</t>
  </si>
  <si>
    <t>FR3</t>
  </si>
  <si>
    <t>FR4</t>
  </si>
  <si>
    <t>Информация о наличии книг по SMS</t>
  </si>
  <si>
    <t>FR5</t>
  </si>
  <si>
    <t>FR6</t>
  </si>
  <si>
    <t>FR7</t>
  </si>
  <si>
    <t>FR8</t>
  </si>
  <si>
    <t>Поздняя подача заявления на оплату книжного сбора</t>
  </si>
  <si>
    <t>FR9</t>
  </si>
  <si>
    <t>FR10</t>
  </si>
  <si>
    <t>FR1</t>
  </si>
  <si>
    <t>Универсальный код</t>
  </si>
  <si>
    <t>Функциональное требование (англ. functional requirements, FR)</t>
  </si>
  <si>
    <t>Расшифровка (пример)</t>
  </si>
  <si>
    <t>Проверка наличия книг</t>
  </si>
  <si>
    <t>Определение приоритета студента</t>
  </si>
  <si>
    <t>Кандидаты, представившие книги после установленного срока</t>
  </si>
  <si>
    <t>Скачивание научных статьей из журналов</t>
  </si>
  <si>
    <t>Скачивание научных статей из сборника материалов конференции</t>
  </si>
  <si>
    <t>Сообщение главному библиотекарю, если книга недоступна для конкретного курса</t>
  </si>
  <si>
    <t>Сообщение главному библиотекарю, если книга потерялась</t>
  </si>
  <si>
    <t>Пример применения MoSCoW</t>
  </si>
  <si>
    <t>Данные взяты из статьи</t>
  </si>
  <si>
    <t>https://ieeexplore.ieee.org/abstract/document/8342602</t>
  </si>
  <si>
    <r>
      <t>Ahmad, K. S., Ahmad, N., Tahir, H., Khan, S. Fuzzy_MoSCoW: A fuzzy based MoSCoW method for the prioritization of software requirements // In 2017 International Conference on Intelligent Computing, Instrumentation and Control Technologies (ICICICT), IEEE. 2017, July. PP. 433-437.</t>
    </r>
    <r>
      <rPr>
        <sz val="11"/>
        <color theme="1"/>
        <rFont val="Calibri"/>
        <family val="2"/>
        <charset val="204"/>
        <scheme val="minor"/>
      </rPr>
      <t>)</t>
    </r>
  </si>
  <si>
    <t>Расшифровка</t>
  </si>
  <si>
    <t>Система должна быть безопасной</t>
  </si>
  <si>
    <t>Система не должна быть дорогостоящей</t>
  </si>
  <si>
    <t>Система должна быть надежной</t>
  </si>
  <si>
    <t>Весовые коэффициенты</t>
  </si>
  <si>
    <t>Mo</t>
  </si>
  <si>
    <t>S</t>
  </si>
  <si>
    <t>Co</t>
  </si>
  <si>
    <t>W</t>
  </si>
  <si>
    <t>Приоритет каждого нефункционального требования</t>
  </si>
  <si>
    <t>Таблица 1</t>
  </si>
  <si>
    <t>Функциональные требования (FR), которые надо приоритизировать:</t>
  </si>
  <si>
    <t>Таблица 2</t>
  </si>
  <si>
    <t>Таблица 3</t>
  </si>
  <si>
    <t>Вес по таблице 2</t>
  </si>
  <si>
    <t>NFR1</t>
  </si>
  <si>
    <t>NFR2</t>
  </si>
  <si>
    <t>NFR3</t>
  </si>
  <si>
    <t>Перечень нефункциональных требований (non-functional requirements, NFR)</t>
  </si>
  <si>
    <t>Итоговый приоритет функциональной задачи</t>
  </si>
  <si>
    <t>Таблица 3_Весовые коэффициенты для нефункциональных требований</t>
  </si>
  <si>
    <t>Таблица 3_Весовые коэффициенты для функциональных требований</t>
  </si>
  <si>
    <t>Шкалы весовых коэффициентов для функциональных требований</t>
  </si>
  <si>
    <t>Шкалы весовых коэффициентов для нефункциональных требований</t>
  </si>
  <si>
    <t>Для функциональных требований</t>
  </si>
  <si>
    <t>Для нефункциональных требований</t>
  </si>
  <si>
    <t>Таблица 2_Весовые коэффициенты для функциональных требований</t>
  </si>
  <si>
    <t>Вес по таблице 3 (в четком виде)</t>
  </si>
  <si>
    <t>Вес в виде нечеткого трапециевидного числа 2-го типа</t>
  </si>
  <si>
    <t>Приоритет каждого нефункционального требования для функциональной задачи</t>
  </si>
  <si>
    <t>Весовые коэффициента каждого нефункционального требования для функциональной задачи</t>
  </si>
  <si>
    <t>Таблица 4_произведение веса функционального FR требования на приоритет нефункционального требовани NFR</t>
  </si>
  <si>
    <t>NFR1=Mo</t>
  </si>
  <si>
    <t>NFR2=Co</t>
  </si>
  <si>
    <t>NFR3=S</t>
  </si>
  <si>
    <t>Приоритет нефункционального требования, NFR</t>
  </si>
  <si>
    <t>Приоритет функционального требования, FR</t>
  </si>
  <si>
    <t>Произведение в виде нечеткого трапециевидного числа 2-го типа</t>
  </si>
  <si>
    <t>NFR1*FR_Mo</t>
  </si>
  <si>
    <t>NFR1*FR_S</t>
  </si>
  <si>
    <t>NFR1*FR_Co</t>
  </si>
  <si>
    <t>NFR1*FR_W</t>
  </si>
  <si>
    <t>NFR2*FR_W</t>
  </si>
  <si>
    <t>NFR3*FR_Co</t>
  </si>
  <si>
    <t>NFR3*FR_W</t>
  </si>
  <si>
    <t>NFR3*FR_S</t>
  </si>
  <si>
    <t>NFR3*FR_Mo</t>
  </si>
  <si>
    <t>NFR2*FR_Co</t>
  </si>
  <si>
    <t>NFR2*FR_S</t>
  </si>
  <si>
    <t>NFR2*FR_Mo</t>
  </si>
  <si>
    <r>
      <t xml:space="preserve">Весовые коэффициенты для нефункционального требования </t>
    </r>
    <r>
      <rPr>
        <b/>
        <sz val="11"/>
        <color theme="1"/>
        <rFont val="Calibri"/>
        <family val="2"/>
        <charset val="204"/>
        <scheme val="minor"/>
      </rPr>
      <t>NF2 в нечетком виде</t>
    </r>
    <r>
      <rPr>
        <sz val="11"/>
        <color theme="1"/>
        <rFont val="Calibri"/>
        <family val="2"/>
        <scheme val="minor"/>
      </rPr>
      <t xml:space="preserve"> для функциональных задач</t>
    </r>
  </si>
  <si>
    <r>
      <t xml:space="preserve">Весовые коэффициенты для нефункционального требования </t>
    </r>
    <r>
      <rPr>
        <b/>
        <sz val="11"/>
        <color theme="1"/>
        <rFont val="Calibri"/>
        <family val="2"/>
        <charset val="204"/>
        <scheme val="minor"/>
      </rPr>
      <t>NF3 в нечетком виде</t>
    </r>
    <r>
      <rPr>
        <sz val="11"/>
        <color theme="1"/>
        <rFont val="Calibri"/>
        <family val="2"/>
        <scheme val="minor"/>
      </rPr>
      <t xml:space="preserve"> для функциональных задач</t>
    </r>
  </si>
  <si>
    <r>
      <t xml:space="preserve">Произведение весовых коэффициентов функциональных требований FR на вес  в нефункциональном требовании </t>
    </r>
    <r>
      <rPr>
        <b/>
        <sz val="11"/>
        <color theme="1"/>
        <rFont val="Calibri"/>
        <family val="2"/>
        <charset val="204"/>
        <scheme val="minor"/>
      </rPr>
      <t>NF1 в нечетком виде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</si>
  <si>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Весовые коэффициенты для нефункционального требования </t>
    </r>
    <r>
      <rPr>
        <b/>
        <sz val="11"/>
        <color theme="1"/>
        <rFont val="Calibri"/>
        <family val="2"/>
        <charset val="204"/>
        <scheme val="minor"/>
      </rPr>
      <t>NFR2 в нечетком виде</t>
    </r>
    <r>
      <rPr>
        <sz val="11"/>
        <color theme="1"/>
        <rFont val="Calibri"/>
        <family val="2"/>
        <scheme val="minor"/>
      </rPr>
      <t xml:space="preserve"> для функциональных задач</t>
    </r>
  </si>
  <si>
    <r>
      <t xml:space="preserve">Весовые коэффициенты для нефункционального требования </t>
    </r>
    <r>
      <rPr>
        <b/>
        <sz val="11"/>
        <color theme="1"/>
        <rFont val="Calibri"/>
        <family val="2"/>
        <charset val="204"/>
        <scheme val="minor"/>
      </rPr>
      <t>NFR3 в нечетком виде</t>
    </r>
    <r>
      <rPr>
        <sz val="11"/>
        <color theme="1"/>
        <rFont val="Calibri"/>
        <family val="2"/>
        <scheme val="minor"/>
      </rPr>
      <t xml:space="preserve"> для функциональных задач</t>
    </r>
  </si>
  <si>
    <r>
      <t xml:space="preserve">Весовые коэффициенты для нефункционального требования </t>
    </r>
    <r>
      <rPr>
        <b/>
        <sz val="11"/>
        <color theme="1"/>
        <rFont val="Calibri"/>
        <family val="2"/>
        <charset val="204"/>
        <scheme val="minor"/>
      </rPr>
      <t>NFR1 в нечетком виде</t>
    </r>
    <r>
      <rPr>
        <sz val="11"/>
        <color theme="1"/>
        <rFont val="Calibri"/>
        <family val="2"/>
        <scheme val="minor"/>
      </rPr>
      <t xml:space="preserve"> для функциональных задач</t>
    </r>
  </si>
  <si>
    <t>Итоговы приоритет функционалного признака в виде нечеткого числа</t>
  </si>
  <si>
    <t>Дефаззификазия при альфа=0,8</t>
  </si>
  <si>
    <t>Верхний альфа-срез</t>
  </si>
  <si>
    <t>Расчет центроида</t>
  </si>
  <si>
    <t>Верхняя ФП</t>
  </si>
  <si>
    <t>Нижняя ФП</t>
  </si>
  <si>
    <t>Центроид_итог</t>
  </si>
  <si>
    <t>Итоговый приоритет функциональной задачи по четкой модели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</si>
</sst>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8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rgb="FF0000FF"/>
      <name val="Calibri"/>
      <family val="2"/>
      <charset val="204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99FF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91">
    <xf numFmtId="0" fontId="0" fillId="0" borderId="0" xfId="0"/>
    <xf numFmtId="0" fontId="6" fillId="0" borderId="0" xfId="0" applyFont="1"/>
    <xf numFmtId="0" fontId="0" fillId="0" borderId="1" xfId="0" applyBorder="1"/>
    <xf numFmtId="0" fontId="6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3" fontId="0" fillId="0" borderId="1" xfId="0" applyNumberFormat="1" applyBorder="1"/>
    <xf numFmtId="3" fontId="6" fillId="0" borderId="1" xfId="0" applyNumberFormat="1" applyFont="1" applyBorder="1"/>
    <xf numFmtId="0" fontId="0" fillId="0" borderId="10" xfId="0" applyBorder="1"/>
    <xf numFmtId="0" fontId="0" fillId="0" borderId="11" xfId="0" applyBorder="1"/>
    <xf numFmtId="0" fontId="0" fillId="0" borderId="22" xfId="0" applyBorder="1"/>
    <xf numFmtId="0" fontId="0" fillId="0" borderId="4" xfId="0" applyBorder="1"/>
    <xf numFmtId="0" fontId="0" fillId="0" borderId="23" xfId="0" applyBorder="1"/>
    <xf numFmtId="0" fontId="6" fillId="2" borderId="5" xfId="0" applyFont="1" applyFill="1" applyBorder="1"/>
    <xf numFmtId="0" fontId="6" fillId="3" borderId="21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" xfId="0" applyBorder="1"/>
    <xf numFmtId="0" fontId="0" fillId="0" borderId="28" xfId="0" applyBorder="1"/>
    <xf numFmtId="0" fontId="6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0" fillId="0" borderId="32" xfId="0" applyBorder="1"/>
    <xf numFmtId="0" fontId="6" fillId="0" borderId="18" xfId="0" applyFont="1" applyBorder="1"/>
    <xf numFmtId="0" fontId="6" fillId="2" borderId="10" xfId="0" applyFont="1" applyFill="1" applyBorder="1" applyAlignment="1">
      <alignment horizontal="center" vertical="center" wrapText="1"/>
    </xf>
    <xf numFmtId="3" fontId="0" fillId="0" borderId="7" xfId="0" applyNumberFormat="1" applyBorder="1"/>
    <xf numFmtId="3" fontId="0" fillId="0" borderId="8" xfId="0" applyNumberFormat="1" applyBorder="1"/>
    <xf numFmtId="3" fontId="0" fillId="0" borderId="9" xfId="0" applyNumberFormat="1" applyBorder="1"/>
    <xf numFmtId="3" fontId="6" fillId="0" borderId="24" xfId="0" applyNumberFormat="1" applyFont="1" applyBorder="1"/>
    <xf numFmtId="3" fontId="6" fillId="0" borderId="25" xfId="0" applyNumberFormat="1" applyFont="1" applyBorder="1"/>
    <xf numFmtId="3" fontId="6" fillId="0" borderId="26" xfId="0" applyNumberFormat="1" applyFont="1" applyBorder="1"/>
    <xf numFmtId="3" fontId="0" fillId="0" borderId="22" xfId="0" applyNumberFormat="1" applyBorder="1"/>
    <xf numFmtId="3" fontId="0" fillId="0" borderId="4" xfId="0" applyNumberFormat="1" applyBorder="1"/>
    <xf numFmtId="3" fontId="0" fillId="0" borderId="23" xfId="0" applyNumberFormat="1" applyBorder="1"/>
    <xf numFmtId="2" fontId="0" fillId="0" borderId="22" xfId="0" applyNumberFormat="1" applyBorder="1"/>
    <xf numFmtId="2" fontId="0" fillId="0" borderId="4" xfId="0" applyNumberFormat="1" applyBorder="1"/>
    <xf numFmtId="2" fontId="0" fillId="0" borderId="23" xfId="0" applyNumberFormat="1" applyBorder="1"/>
    <xf numFmtId="0" fontId="6" fillId="4" borderId="1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/>
    </xf>
    <xf numFmtId="3" fontId="0" fillId="0" borderId="10" xfId="0" applyNumberFormat="1" applyBorder="1"/>
    <xf numFmtId="3" fontId="0" fillId="0" borderId="11" xfId="0" applyNumberFormat="1" applyBorder="1"/>
    <xf numFmtId="3" fontId="0" fillId="0" borderId="12" xfId="0" applyNumberFormat="1" applyBorder="1"/>
    <xf numFmtId="3" fontId="0" fillId="0" borderId="13" xfId="0" applyNumberFormat="1" applyBorder="1"/>
    <xf numFmtId="3" fontId="0" fillId="0" borderId="14" xfId="0" applyNumberFormat="1" applyBorder="1"/>
    <xf numFmtId="3" fontId="0" fillId="5" borderId="24" xfId="0" applyNumberFormat="1" applyFill="1" applyBorder="1"/>
    <xf numFmtId="2" fontId="0" fillId="0" borderId="33" xfId="0" applyNumberFormat="1" applyBorder="1"/>
    <xf numFmtId="2" fontId="0" fillId="0" borderId="3" xfId="0" applyNumberFormat="1" applyBorder="1"/>
    <xf numFmtId="2" fontId="0" fillId="0" borderId="34" xfId="0" applyNumberFormat="1" applyBorder="1"/>
    <xf numFmtId="3" fontId="0" fillId="5" borderId="25" xfId="0" applyNumberFormat="1" applyFill="1" applyBorder="1"/>
    <xf numFmtId="3" fontId="0" fillId="5" borderId="26" xfId="0" applyNumberFormat="1" applyFill="1" applyBorder="1"/>
    <xf numFmtId="3" fontId="0" fillId="0" borderId="0" xfId="0" applyNumberFormat="1"/>
    <xf numFmtId="0" fontId="6" fillId="0" borderId="0" xfId="0" applyFont="1" applyAlignment="1">
      <alignment horizontal="center" vertical="center"/>
    </xf>
    <xf numFmtId="2" fontId="6" fillId="6" borderId="18" xfId="0" applyNumberFormat="1" applyFont="1" applyFill="1" applyBorder="1"/>
    <xf numFmtId="2" fontId="6" fillId="6" borderId="20" xfId="0" applyNumberFormat="1" applyFont="1" applyFill="1" applyBorder="1"/>
    <xf numFmtId="2" fontId="6" fillId="0" borderId="0" xfId="0" applyNumberFormat="1" applyFont="1"/>
    <xf numFmtId="2" fontId="6" fillId="7" borderId="35" xfId="0" applyNumberFormat="1" applyFont="1" applyFill="1" applyBorder="1"/>
    <xf numFmtId="4" fontId="6" fillId="0" borderId="24" xfId="0" applyNumberFormat="1" applyFont="1" applyBorder="1"/>
    <xf numFmtId="4" fontId="6" fillId="0" borderId="25" xfId="0" applyNumberFormat="1" applyFont="1" applyBorder="1"/>
    <xf numFmtId="4" fontId="6" fillId="0" borderId="26" xfId="0" applyNumberFormat="1" applyFont="1" applyBorder="1"/>
    <xf numFmtId="2" fontId="6" fillId="6" borderId="19" xfId="0" applyNumberFormat="1" applyFont="1" applyFill="1" applyBorder="1"/>
    <xf numFmtId="2" fontId="6" fillId="7" borderId="36" xfId="0" applyNumberFormat="1" applyFont="1" applyFill="1" applyBorder="1"/>
    <xf numFmtId="2" fontId="6" fillId="8" borderId="6" xfId="0" applyNumberFormat="1" applyFont="1" applyFill="1" applyBorder="1"/>
    <xf numFmtId="0" fontId="6" fillId="4" borderId="1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4" fontId="0" fillId="0" borderId="22" xfId="0" applyNumberFormat="1" applyBorder="1"/>
    <xf numFmtId="4" fontId="0" fillId="0" borderId="4" xfId="0" applyNumberFormat="1" applyBorder="1"/>
    <xf numFmtId="4" fontId="0" fillId="0" borderId="23" xfId="0" applyNumberFormat="1" applyBorder="1"/>
    <xf numFmtId="0" fontId="5" fillId="0" borderId="0" xfId="0" applyFont="1"/>
    <xf numFmtId="0" fontId="8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0" fontId="0" fillId="4" borderId="37" xfId="0" applyFill="1" applyBorder="1"/>
    <xf numFmtId="0" fontId="0" fillId="0" borderId="38" xfId="0" applyBorder="1"/>
    <xf numFmtId="0" fontId="0" fillId="4" borderId="39" xfId="0" applyFill="1" applyBorder="1"/>
    <xf numFmtId="0" fontId="0" fillId="0" borderId="39" xfId="0" applyBorder="1"/>
    <xf numFmtId="0" fontId="0" fillId="0" borderId="40" xfId="0" applyBorder="1"/>
    <xf numFmtId="4" fontId="0" fillId="0" borderId="38" xfId="0" applyNumberFormat="1" applyBorder="1"/>
    <xf numFmtId="4" fontId="0" fillId="0" borderId="40" xfId="0" applyNumberFormat="1" applyBorder="1"/>
    <xf numFmtId="0" fontId="0" fillId="0" borderId="41" xfId="0" applyBorder="1"/>
    <xf numFmtId="0" fontId="0" fillId="0" borderId="42" xfId="0" applyBorder="1"/>
    <xf numFmtId="4" fontId="0" fillId="0" borderId="41" xfId="0" applyNumberFormat="1" applyBorder="1"/>
    <xf numFmtId="4" fontId="0" fillId="0" borderId="42" xfId="0" applyNumberFormat="1" applyBorder="1"/>
    <xf numFmtId="0" fontId="0" fillId="0" borderId="43" xfId="0" applyBorder="1"/>
    <xf numFmtId="0" fontId="0" fillId="4" borderId="44" xfId="0" applyFill="1" applyBorder="1"/>
    <xf numFmtId="0" fontId="0" fillId="0" borderId="44" xfId="0" applyBorder="1"/>
    <xf numFmtId="0" fontId="0" fillId="0" borderId="36" xfId="0" applyBorder="1"/>
    <xf numFmtId="4" fontId="0" fillId="0" borderId="43" xfId="0" applyNumberFormat="1" applyBorder="1"/>
    <xf numFmtId="4" fontId="0" fillId="0" borderId="36" xfId="0" applyNumberFormat="1" applyBorder="1"/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1" fillId="0" borderId="0" xfId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4" fontId="0" fillId="0" borderId="1" xfId="0" applyNumberFormat="1" applyBorder="1" applyAlignment="1">
      <alignment wrapText="1"/>
    </xf>
    <xf numFmtId="0" fontId="2" fillId="0" borderId="1" xfId="0" applyFont="1" applyBorder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4" borderId="0" xfId="0" applyFill="1"/>
    <xf numFmtId="0" fontId="0" fillId="0" borderId="0" xfId="0" applyAlignment="1">
      <alignment horizontal="center"/>
    </xf>
    <xf numFmtId="0" fontId="6" fillId="0" borderId="25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4" fontId="6" fillId="0" borderId="26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/>
    </xf>
    <xf numFmtId="0" fontId="0" fillId="0" borderId="8" xfId="0" applyBorder="1"/>
    <xf numFmtId="4" fontId="0" fillId="0" borderId="9" xfId="0" applyNumberFormat="1" applyBorder="1" applyAlignment="1">
      <alignment wrapText="1"/>
    </xf>
    <xf numFmtId="4" fontId="0" fillId="0" borderId="11" xfId="0" applyNumberFormat="1" applyBorder="1" applyAlignment="1">
      <alignment wrapText="1"/>
    </xf>
    <xf numFmtId="0" fontId="3" fillId="0" borderId="13" xfId="0" applyFont="1" applyBorder="1" applyAlignment="1">
      <alignment vertical="center"/>
    </xf>
    <xf numFmtId="0" fontId="0" fillId="0" borderId="13" xfId="0" applyBorder="1"/>
    <xf numFmtId="4" fontId="0" fillId="0" borderId="14" xfId="0" applyNumberFormat="1" applyBorder="1" applyAlignment="1">
      <alignment wrapText="1"/>
    </xf>
    <xf numFmtId="0" fontId="3" fillId="0" borderId="37" xfId="0" applyFont="1" applyBorder="1" applyAlignment="1">
      <alignment vertical="center" wrapText="1"/>
    </xf>
    <xf numFmtId="0" fontId="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/>
    <xf numFmtId="0" fontId="2" fillId="0" borderId="7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24" xfId="0" applyFont="1" applyBorder="1" applyAlignment="1">
      <alignment wrapText="1"/>
    </xf>
    <xf numFmtId="0" fontId="2" fillId="0" borderId="26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14" xfId="0" applyFont="1" applyBorder="1" applyAlignment="1">
      <alignment wrapText="1"/>
    </xf>
    <xf numFmtId="0" fontId="0" fillId="0" borderId="45" xfId="0" applyBorder="1"/>
    <xf numFmtId="0" fontId="0" fillId="0" borderId="46" xfId="0" applyBorder="1"/>
    <xf numFmtId="0" fontId="0" fillId="0" borderId="35" xfId="0" applyBorder="1"/>
    <xf numFmtId="2" fontId="2" fillId="0" borderId="38" xfId="0" applyNumberFormat="1" applyFont="1" applyBorder="1"/>
    <xf numFmtId="2" fontId="2" fillId="0" borderId="40" xfId="0" applyNumberFormat="1" applyFont="1" applyBorder="1"/>
    <xf numFmtId="2" fontId="2" fillId="0" borderId="41" xfId="0" applyNumberFormat="1" applyFont="1" applyBorder="1"/>
    <xf numFmtId="2" fontId="2" fillId="0" borderId="42" xfId="0" applyNumberFormat="1" applyFont="1" applyBorder="1"/>
    <xf numFmtId="2" fontId="2" fillId="0" borderId="43" xfId="0" applyNumberFormat="1" applyFont="1" applyBorder="1"/>
    <xf numFmtId="2" fontId="2" fillId="0" borderId="36" xfId="0" applyNumberFormat="1" applyFont="1" applyBorder="1"/>
    <xf numFmtId="2" fontId="2" fillId="0" borderId="39" xfId="0" applyNumberFormat="1" applyFont="1" applyBorder="1"/>
    <xf numFmtId="2" fontId="2" fillId="0" borderId="0" xfId="0" applyNumberFormat="1" applyFont="1"/>
    <xf numFmtId="2" fontId="2" fillId="0" borderId="44" xfId="0" applyNumberFormat="1" applyFont="1" applyBorder="1"/>
    <xf numFmtId="0" fontId="0" fillId="0" borderId="5" xfId="0" applyBorder="1" applyAlignment="1">
      <alignment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/>
    <xf numFmtId="0" fontId="0" fillId="0" borderId="18" xfId="0" applyBorder="1"/>
    <xf numFmtId="0" fontId="0" fillId="0" borderId="20" xfId="0" applyBorder="1"/>
    <xf numFmtId="0" fontId="6" fillId="0" borderId="45" xfId="0" applyFont="1" applyBorder="1"/>
    <xf numFmtId="0" fontId="6" fillId="0" borderId="35" xfId="0" applyFont="1" applyBorder="1"/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0" borderId="40" xfId="0" applyBorder="1" applyAlignment="1">
      <alignment wrapText="1"/>
    </xf>
    <xf numFmtId="4" fontId="6" fillId="0" borderId="2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CCFFFF"/>
      <color rgb="FF66CCFF"/>
      <color rgb="FFCCFFCC"/>
      <color rgb="FFFFFFCC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ieeexplore.ieee.org/abstract/document/8342602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ieeexplore.ieee.org/abstract/document/8342602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21"/>
  <sheetViews>
    <sheetView zoomScaleNormal="100" workbookViewId="0">
      <selection activeCell="B8" sqref="B8:B10"/>
    </sheetView>
  </sheetViews>
  <sheetFormatPr defaultRowHeight="15" x14ac:dyDescent="0.25"/>
  <cols>
    <col min="1" max="1" width="3.7109375" customWidth="1"/>
    <col min="2" max="2" width="38.42578125" customWidth="1"/>
    <col min="3" max="3" width="23.7109375" customWidth="1"/>
    <col min="4" max="4" width="30.140625" customWidth="1"/>
    <col min="5" max="5" width="30.42578125" customWidth="1"/>
    <col min="6" max="6" width="25" customWidth="1"/>
    <col min="7" max="7" width="22.85546875" customWidth="1"/>
  </cols>
  <sheetData>
    <row r="1" spans="2:7" x14ac:dyDescent="0.25">
      <c r="B1" s="1" t="s">
        <v>15</v>
      </c>
    </row>
    <row r="2" spans="2:7" x14ac:dyDescent="0.25">
      <c r="B2" s="1" t="s">
        <v>16</v>
      </c>
    </row>
    <row r="4" spans="2:7" x14ac:dyDescent="0.25">
      <c r="B4" s="152" t="s">
        <v>6</v>
      </c>
      <c r="C4" s="151" t="s">
        <v>7</v>
      </c>
      <c r="D4" s="151"/>
      <c r="E4" s="151"/>
      <c r="F4" s="151"/>
      <c r="G4" s="151" t="s">
        <v>0</v>
      </c>
    </row>
    <row r="5" spans="2:7" x14ac:dyDescent="0.25">
      <c r="B5" s="153"/>
      <c r="C5" s="4" t="s">
        <v>1</v>
      </c>
      <c r="D5" s="4" t="s">
        <v>2</v>
      </c>
      <c r="E5" s="4" t="s">
        <v>3</v>
      </c>
      <c r="F5" s="4" t="s">
        <v>4</v>
      </c>
      <c r="G5" s="151"/>
    </row>
    <row r="6" spans="2:7" ht="45" x14ac:dyDescent="0.25">
      <c r="B6" s="154"/>
      <c r="C6" s="4" t="s">
        <v>11</v>
      </c>
      <c r="D6" s="5" t="s">
        <v>13</v>
      </c>
      <c r="E6" s="4" t="s">
        <v>12</v>
      </c>
      <c r="F6" s="4" t="s">
        <v>14</v>
      </c>
      <c r="G6" s="151"/>
    </row>
    <row r="7" spans="2:7" x14ac:dyDescent="0.25">
      <c r="B7" s="6">
        <v>1</v>
      </c>
      <c r="C7" s="6">
        <v>2</v>
      </c>
      <c r="D7" s="6">
        <v>3</v>
      </c>
      <c r="E7" s="6">
        <v>4</v>
      </c>
      <c r="F7" s="6">
        <v>5</v>
      </c>
      <c r="G7" s="6">
        <v>6</v>
      </c>
    </row>
    <row r="8" spans="2:7" x14ac:dyDescent="0.25">
      <c r="B8" s="3" t="s">
        <v>8</v>
      </c>
      <c r="C8" s="7">
        <v>10000</v>
      </c>
      <c r="D8" s="2">
        <v>1</v>
      </c>
      <c r="E8" s="2">
        <v>0.6</v>
      </c>
      <c r="F8" s="2">
        <v>10</v>
      </c>
      <c r="G8" s="8">
        <f>C8*D8*E8/F8</f>
        <v>600</v>
      </c>
    </row>
    <row r="9" spans="2:7" x14ac:dyDescent="0.25">
      <c r="B9" s="3" t="s">
        <v>9</v>
      </c>
      <c r="C9" s="7">
        <v>100</v>
      </c>
      <c r="D9" s="2">
        <v>3</v>
      </c>
      <c r="E9" s="2">
        <v>0.9</v>
      </c>
      <c r="F9" s="2">
        <v>5</v>
      </c>
      <c r="G9" s="8">
        <f t="shared" ref="G9:G10" si="0">C9*D9*E9/F9</f>
        <v>54</v>
      </c>
    </row>
    <row r="10" spans="2:7" x14ac:dyDescent="0.25">
      <c r="B10" s="3" t="s">
        <v>10</v>
      </c>
      <c r="C10" s="7">
        <v>1000</v>
      </c>
      <c r="D10" s="2">
        <v>2</v>
      </c>
      <c r="E10" s="2">
        <v>0.8</v>
      </c>
      <c r="F10" s="2">
        <v>7</v>
      </c>
      <c r="G10" s="8">
        <f t="shared" si="0"/>
        <v>228.57142857142858</v>
      </c>
    </row>
    <row r="12" spans="2:7" x14ac:dyDescent="0.25">
      <c r="B12" s="1" t="s">
        <v>0</v>
      </c>
    </row>
    <row r="13" spans="2:7" ht="15.75" thickBot="1" x14ac:dyDescent="0.3">
      <c r="B13" t="s">
        <v>5</v>
      </c>
      <c r="C13">
        <v>1</v>
      </c>
      <c r="D13">
        <v>3</v>
      </c>
      <c r="E13">
        <v>2</v>
      </c>
    </row>
    <row r="14" spans="2:7" x14ac:dyDescent="0.25">
      <c r="B14" s="158" t="s">
        <v>7</v>
      </c>
      <c r="C14" s="155" t="s">
        <v>6</v>
      </c>
      <c r="D14" s="156"/>
      <c r="E14" s="157"/>
    </row>
    <row r="15" spans="2:7" x14ac:dyDescent="0.25">
      <c r="B15" s="159"/>
      <c r="C15" s="30" t="s">
        <v>8</v>
      </c>
      <c r="D15" s="5" t="s">
        <v>9</v>
      </c>
      <c r="E15" s="21" t="s">
        <v>10</v>
      </c>
    </row>
    <row r="16" spans="2:7" ht="15.75" thickBot="1" x14ac:dyDescent="0.3">
      <c r="B16" s="25">
        <v>1</v>
      </c>
      <c r="C16" s="22">
        <v>2</v>
      </c>
      <c r="D16" s="23">
        <v>3</v>
      </c>
      <c r="E16" s="24">
        <v>4</v>
      </c>
    </row>
    <row r="17" spans="2:5" x14ac:dyDescent="0.25">
      <c r="B17" s="26" t="s">
        <v>1</v>
      </c>
      <c r="C17" s="31">
        <v>10000</v>
      </c>
      <c r="D17" s="32">
        <v>100</v>
      </c>
      <c r="E17" s="33">
        <v>1000</v>
      </c>
    </row>
    <row r="18" spans="2:5" x14ac:dyDescent="0.25">
      <c r="B18" s="27" t="s">
        <v>2</v>
      </c>
      <c r="C18" s="9">
        <v>1</v>
      </c>
      <c r="D18" s="2">
        <v>3</v>
      </c>
      <c r="E18" s="10">
        <v>2</v>
      </c>
    </row>
    <row r="19" spans="2:5" x14ac:dyDescent="0.25">
      <c r="B19" s="27" t="s">
        <v>3</v>
      </c>
      <c r="C19" s="9">
        <v>0.6</v>
      </c>
      <c r="D19" s="2">
        <v>0.9</v>
      </c>
      <c r="E19" s="10">
        <v>0.8</v>
      </c>
    </row>
    <row r="20" spans="2:5" ht="15.75" thickBot="1" x14ac:dyDescent="0.3">
      <c r="B20" s="28" t="s">
        <v>4</v>
      </c>
      <c r="C20" s="18">
        <v>10</v>
      </c>
      <c r="D20" s="19">
        <v>5</v>
      </c>
      <c r="E20" s="20">
        <v>7</v>
      </c>
    </row>
    <row r="21" spans="2:5" ht="15.75" thickBot="1" x14ac:dyDescent="0.3">
      <c r="B21" s="29" t="s">
        <v>0</v>
      </c>
      <c r="C21" s="34">
        <f>C17*C18*C19/C20</f>
        <v>600</v>
      </c>
      <c r="D21" s="35">
        <f>D17*D18*D19/D20</f>
        <v>54</v>
      </c>
      <c r="E21" s="36">
        <f>E17*E18*E19/E20</f>
        <v>228.57142857142858</v>
      </c>
    </row>
  </sheetData>
  <mergeCells count="5">
    <mergeCell ref="C4:F4"/>
    <mergeCell ref="B4:B6"/>
    <mergeCell ref="G4:G6"/>
    <mergeCell ref="C14:E14"/>
    <mergeCell ref="B14:B15"/>
  </mergeCells>
  <pageMargins left="0.70866141732283472" right="0.70866141732283472" top="0.74803149606299213" bottom="0.74803149606299213" header="0.31496062992125984" footer="0.31496062992125984"/>
  <pageSetup scale="5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30A30-01AD-4A79-8294-79BDC89AE7FD}">
  <sheetPr>
    <pageSetUpPr fitToPage="1"/>
  </sheetPr>
  <dimension ref="A1:J65"/>
  <sheetViews>
    <sheetView topLeftCell="A34" zoomScaleNormal="100" workbookViewId="0">
      <selection activeCell="A43" sqref="A43:G47"/>
    </sheetView>
  </sheetViews>
  <sheetFormatPr defaultRowHeight="15" x14ac:dyDescent="0.25"/>
  <cols>
    <col min="1" max="1" width="3.7109375" customWidth="1"/>
    <col min="2" max="2" width="32.5703125" customWidth="1"/>
    <col min="3" max="3" width="15.42578125" customWidth="1"/>
    <col min="4" max="4" width="18.28515625" customWidth="1"/>
    <col min="5" max="5" width="17.140625" customWidth="1"/>
    <col min="6" max="6" width="16.42578125" customWidth="1"/>
    <col min="7" max="7" width="14.85546875" customWidth="1"/>
    <col min="8" max="8" width="16" customWidth="1"/>
    <col min="9" max="9" width="11.42578125" customWidth="1"/>
    <col min="10" max="10" width="13.140625" customWidth="1"/>
  </cols>
  <sheetData>
    <row r="1" spans="2:10" x14ac:dyDescent="0.25">
      <c r="B1" s="1" t="s">
        <v>23</v>
      </c>
    </row>
    <row r="2" spans="2:10" x14ac:dyDescent="0.25">
      <c r="B2" s="76" t="s">
        <v>30</v>
      </c>
    </row>
    <row r="3" spans="2:10" x14ac:dyDescent="0.25">
      <c r="B3" s="1" t="s">
        <v>24</v>
      </c>
    </row>
    <row r="4" spans="2:10" ht="15.75" thickBot="1" x14ac:dyDescent="0.3"/>
    <row r="5" spans="2:10" x14ac:dyDescent="0.25">
      <c r="B5" s="158" t="s">
        <v>7</v>
      </c>
      <c r="C5" s="155" t="s">
        <v>6</v>
      </c>
      <c r="D5" s="156"/>
      <c r="E5" s="157"/>
    </row>
    <row r="6" spans="2:10" x14ac:dyDescent="0.25">
      <c r="B6" s="159"/>
      <c r="C6" s="30" t="s">
        <v>8</v>
      </c>
      <c r="D6" s="5" t="s">
        <v>9</v>
      </c>
      <c r="E6" s="21" t="s">
        <v>10</v>
      </c>
    </row>
    <row r="7" spans="2:10" ht="15.75" thickBot="1" x14ac:dyDescent="0.3">
      <c r="B7" s="25">
        <v>1</v>
      </c>
      <c r="C7" s="22">
        <v>2</v>
      </c>
      <c r="D7" s="23">
        <v>3</v>
      </c>
      <c r="E7" s="24">
        <v>4</v>
      </c>
    </row>
    <row r="8" spans="2:10" x14ac:dyDescent="0.25">
      <c r="B8" s="26" t="s">
        <v>1</v>
      </c>
      <c r="C8" s="31">
        <v>10000</v>
      </c>
      <c r="D8" s="32">
        <v>100</v>
      </c>
      <c r="E8" s="33">
        <v>1000</v>
      </c>
    </row>
    <row r="9" spans="2:10" x14ac:dyDescent="0.25">
      <c r="B9" s="27" t="s">
        <v>2</v>
      </c>
      <c r="C9" s="9">
        <v>1</v>
      </c>
      <c r="D9" s="2">
        <v>3</v>
      </c>
      <c r="E9" s="10">
        <v>2</v>
      </c>
    </row>
    <row r="10" spans="2:10" x14ac:dyDescent="0.25">
      <c r="B10" s="27" t="s">
        <v>3</v>
      </c>
      <c r="C10" s="9">
        <v>0.6</v>
      </c>
      <c r="D10" s="2">
        <v>0.9</v>
      </c>
      <c r="E10" s="10">
        <v>0.8</v>
      </c>
    </row>
    <row r="11" spans="2:10" ht="15.75" thickBot="1" x14ac:dyDescent="0.3">
      <c r="B11" s="28" t="s">
        <v>4</v>
      </c>
      <c r="C11" s="18">
        <v>10</v>
      </c>
      <c r="D11" s="19">
        <v>5</v>
      </c>
      <c r="E11" s="20">
        <v>7</v>
      </c>
    </row>
    <row r="12" spans="2:10" ht="15.75" thickBot="1" x14ac:dyDescent="0.3">
      <c r="B12" s="29" t="s">
        <v>0</v>
      </c>
      <c r="C12" s="65">
        <f>C8*C9*C10/C11</f>
        <v>600</v>
      </c>
      <c r="D12" s="66">
        <f>D8*D9*D10/D11</f>
        <v>54</v>
      </c>
      <c r="E12" s="67">
        <f>E8*E9*E10/E11</f>
        <v>228.57142857142858</v>
      </c>
    </row>
    <row r="14" spans="2:10" ht="15.75" thickBot="1" x14ac:dyDescent="0.3">
      <c r="B14" s="1" t="s">
        <v>8</v>
      </c>
      <c r="C14">
        <v>1</v>
      </c>
      <c r="D14">
        <v>2</v>
      </c>
      <c r="E14">
        <v>3</v>
      </c>
      <c r="F14">
        <v>4</v>
      </c>
      <c r="G14">
        <v>1</v>
      </c>
      <c r="H14">
        <v>2</v>
      </c>
      <c r="I14">
        <v>3</v>
      </c>
      <c r="J14">
        <v>4</v>
      </c>
    </row>
    <row r="15" spans="2:10" ht="15.75" thickBot="1" x14ac:dyDescent="0.3">
      <c r="B15" s="14" t="s">
        <v>7</v>
      </c>
      <c r="C15" s="160" t="s">
        <v>17</v>
      </c>
      <c r="D15" s="161"/>
      <c r="E15" s="161"/>
      <c r="F15" s="162"/>
      <c r="G15" s="160" t="s">
        <v>18</v>
      </c>
      <c r="H15" s="161"/>
      <c r="I15" s="161"/>
      <c r="J15" s="162"/>
    </row>
    <row r="16" spans="2:10" x14ac:dyDescent="0.25">
      <c r="B16" s="15" t="s">
        <v>1</v>
      </c>
      <c r="C16" s="37">
        <f>C8-0.03*C8</f>
        <v>9700</v>
      </c>
      <c r="D16" s="38">
        <f>C8-0.01*C8</f>
        <v>9900</v>
      </c>
      <c r="E16" s="38">
        <f>C8+0.01*C8</f>
        <v>10100</v>
      </c>
      <c r="F16" s="39">
        <f>C8+0.03*C8</f>
        <v>10300</v>
      </c>
      <c r="G16" s="37">
        <f>C8-0.02*C8</f>
        <v>9800</v>
      </c>
      <c r="H16" s="38">
        <f>C8-0.01*C8</f>
        <v>9900</v>
      </c>
      <c r="I16" s="38">
        <f>C8+0.01*C8</f>
        <v>10100</v>
      </c>
      <c r="J16" s="39">
        <f>C8+0.02*C8</f>
        <v>10200</v>
      </c>
    </row>
    <row r="17" spans="1:10" x14ac:dyDescent="0.25">
      <c r="B17" s="16" t="s">
        <v>2</v>
      </c>
      <c r="C17" s="11">
        <f>C9-0.03*C9</f>
        <v>0.97</v>
      </c>
      <c r="D17" s="12">
        <f>C9-0.01*C9</f>
        <v>0.99</v>
      </c>
      <c r="E17" s="12">
        <f>C9+0.01*C9</f>
        <v>1.01</v>
      </c>
      <c r="F17" s="13">
        <f>C9+0.03*C9</f>
        <v>1.03</v>
      </c>
      <c r="G17" s="11">
        <f>C9-0.02*C9</f>
        <v>0.98</v>
      </c>
      <c r="H17" s="12">
        <f>C9-0.01*C9</f>
        <v>0.99</v>
      </c>
      <c r="I17" s="12">
        <f>C9+0.01*C9</f>
        <v>1.01</v>
      </c>
      <c r="J17" s="13">
        <f>C9+0.02*C9</f>
        <v>1.02</v>
      </c>
    </row>
    <row r="18" spans="1:10" x14ac:dyDescent="0.25">
      <c r="B18" s="16" t="s">
        <v>3</v>
      </c>
      <c r="C18" s="40">
        <f>C10-0.03*C10</f>
        <v>0.58199999999999996</v>
      </c>
      <c r="D18" s="41">
        <f>C10-0.01*C10</f>
        <v>0.59399999999999997</v>
      </c>
      <c r="E18" s="41">
        <f>C10+0.01*C10</f>
        <v>0.60599999999999998</v>
      </c>
      <c r="F18" s="42">
        <f>C10+0.03*C10</f>
        <v>0.61799999999999999</v>
      </c>
      <c r="G18" s="40">
        <f>C10-0.02*C10</f>
        <v>0.58799999999999997</v>
      </c>
      <c r="H18" s="41">
        <f>C10-0.01*C10</f>
        <v>0.59399999999999997</v>
      </c>
      <c r="I18" s="41">
        <f>C10+0.01*C10</f>
        <v>0.60599999999999998</v>
      </c>
      <c r="J18" s="42">
        <f>C10+0.02*C10</f>
        <v>0.61199999999999999</v>
      </c>
    </row>
    <row r="19" spans="1:10" ht="15.75" thickBot="1" x14ac:dyDescent="0.3">
      <c r="B19" s="17" t="s">
        <v>4</v>
      </c>
      <c r="C19" s="54">
        <f>C11-0.03*C11</f>
        <v>9.6999999999999993</v>
      </c>
      <c r="D19" s="55">
        <f>C11-0.01*C11</f>
        <v>9.9</v>
      </c>
      <c r="E19" s="55">
        <f>C11+0.01*C11</f>
        <v>10.1</v>
      </c>
      <c r="F19" s="56">
        <f>C11+0.03*C11</f>
        <v>10.3</v>
      </c>
      <c r="G19" s="54">
        <f>C11-0.02*C11</f>
        <v>9.8000000000000007</v>
      </c>
      <c r="H19" s="55">
        <f>C11-0.01*C11</f>
        <v>9.9</v>
      </c>
      <c r="I19" s="55">
        <f>C11+0.01*C11</f>
        <v>10.1</v>
      </c>
      <c r="J19" s="56">
        <f>C11+0.02*C11</f>
        <v>10.199999999999999</v>
      </c>
    </row>
    <row r="20" spans="1:10" ht="15.75" thickBot="1" x14ac:dyDescent="0.3">
      <c r="B20" s="47" t="s">
        <v>0</v>
      </c>
      <c r="C20" s="53">
        <f>C24</f>
        <v>530.06682678168806</v>
      </c>
      <c r="D20" s="57">
        <f t="shared" ref="D20:J20" si="0">D24</f>
        <v>576.41524752475243</v>
      </c>
      <c r="E20" s="57">
        <f t="shared" si="0"/>
        <v>624.42484848484844</v>
      </c>
      <c r="F20" s="58">
        <f t="shared" si="0"/>
        <v>674.13403734312828</v>
      </c>
      <c r="G20" s="53">
        <f t="shared" si="0"/>
        <v>553.24103715322019</v>
      </c>
      <c r="H20" s="57">
        <f t="shared" si="0"/>
        <v>576.41524752475243</v>
      </c>
      <c r="I20" s="57">
        <f t="shared" si="0"/>
        <v>624.42484848484844</v>
      </c>
      <c r="J20" s="58">
        <f t="shared" si="0"/>
        <v>649.27944291398831</v>
      </c>
    </row>
    <row r="21" spans="1:10" ht="15.75" thickBot="1" x14ac:dyDescent="0.3"/>
    <row r="22" spans="1:10" x14ac:dyDescent="0.25">
      <c r="B22" s="44" t="s">
        <v>19</v>
      </c>
      <c r="C22" s="31">
        <f>C16*D17+C17*D16-D16*D17</f>
        <v>9405</v>
      </c>
      <c r="D22" s="32">
        <f>D16*D17</f>
        <v>9801</v>
      </c>
      <c r="E22" s="32">
        <f>E16*E17</f>
        <v>10201</v>
      </c>
      <c r="F22" s="33">
        <f>E16*F17+E17*F16-E16*E17</f>
        <v>10605</v>
      </c>
      <c r="G22" s="31">
        <f>G16*H17+G17*H16-H16*H17</f>
        <v>9603</v>
      </c>
      <c r="H22" s="32">
        <f>H16*H17</f>
        <v>9801</v>
      </c>
      <c r="I22" s="32">
        <f>I16*I17</f>
        <v>10201</v>
      </c>
      <c r="J22" s="33">
        <f>I16*J17+I17*J16-I16*I17</f>
        <v>10403</v>
      </c>
    </row>
    <row r="23" spans="1:10" x14ac:dyDescent="0.25">
      <c r="B23" s="45" t="s">
        <v>20</v>
      </c>
      <c r="C23" s="48">
        <f>C22*D18+C18*D22-D22*D18</f>
        <v>5468.9580000000005</v>
      </c>
      <c r="D23" s="7">
        <f>D22*D18</f>
        <v>5821.7939999999999</v>
      </c>
      <c r="E23" s="7">
        <f>E22*E18</f>
        <v>6181.8059999999996</v>
      </c>
      <c r="F23" s="49">
        <f>E22*F18+E18*F22-E18*E22</f>
        <v>6549.0420000000004</v>
      </c>
      <c r="G23" s="48">
        <f>G22*H18+G18*H22-H22*H18</f>
        <v>5645.3759999999984</v>
      </c>
      <c r="H23" s="7">
        <f>H22*H18</f>
        <v>5821.7939999999999</v>
      </c>
      <c r="I23" s="7">
        <f>I22*I18</f>
        <v>6181.8059999999996</v>
      </c>
      <c r="J23" s="49">
        <f>I22*J18+I18*J22-I18*I22</f>
        <v>6365.424</v>
      </c>
    </row>
    <row r="24" spans="1:10" ht="15.75" thickBot="1" x14ac:dyDescent="0.3">
      <c r="B24" s="46" t="s">
        <v>21</v>
      </c>
      <c r="C24" s="50">
        <f>(D23*E19-D23*F19+C23*E19)/(E19^2)</f>
        <v>530.06682678168806</v>
      </c>
      <c r="D24" s="51">
        <f>D23/E19</f>
        <v>576.41524752475243</v>
      </c>
      <c r="E24" s="51">
        <f>E23/D19</f>
        <v>624.42484848484844</v>
      </c>
      <c r="F24" s="52">
        <f>(E23*D19-E23*C19+F23*D19)/(D19^2)</f>
        <v>674.13403734312828</v>
      </c>
      <c r="G24" s="50">
        <f>(H23*I19-H23*J19+G23*I19)/(I19^2)</f>
        <v>553.24103715322019</v>
      </c>
      <c r="H24" s="51">
        <f>H23/I19</f>
        <v>576.41524752475243</v>
      </c>
      <c r="I24" s="51">
        <f>I23/H19</f>
        <v>624.42484848484844</v>
      </c>
      <c r="J24" s="52">
        <f>(I23*H19-I23*G19+J23*H19)/(H19^2)</f>
        <v>649.27944291398831</v>
      </c>
    </row>
    <row r="25" spans="1:10" x14ac:dyDescent="0.25">
      <c r="B25" s="60"/>
      <c r="C25" s="59"/>
      <c r="D25" s="59"/>
      <c r="E25" s="59"/>
      <c r="F25" s="59"/>
      <c r="G25" s="59"/>
      <c r="H25" s="59"/>
      <c r="I25" s="59"/>
      <c r="J25" s="59"/>
    </row>
    <row r="26" spans="1:10" ht="15.75" thickBot="1" x14ac:dyDescent="0.3">
      <c r="C26" s="1" t="s">
        <v>25</v>
      </c>
      <c r="F26" s="1" t="s">
        <v>26</v>
      </c>
      <c r="I26" s="59"/>
      <c r="J26" s="59"/>
    </row>
    <row r="27" spans="1:10" ht="15.75" thickBot="1" x14ac:dyDescent="0.3">
      <c r="A27" s="1">
        <v>0.8</v>
      </c>
      <c r="B27" s="43" t="s">
        <v>22</v>
      </c>
      <c r="C27" s="68">
        <f>A27*D24+(1-A27)*C24</f>
        <v>567.14556337613953</v>
      </c>
      <c r="D27" s="62">
        <f>A27*E24+(1-A27)*F24</f>
        <v>634.36668625650441</v>
      </c>
      <c r="E27" s="63"/>
      <c r="F27" s="61">
        <f>A27*H24+(1-A27)*G24</f>
        <v>571.78040545044598</v>
      </c>
      <c r="G27" s="62">
        <f>A27*I24+(1-A27)*J24</f>
        <v>629.39576737067637</v>
      </c>
      <c r="I27" s="59"/>
      <c r="J27" s="59"/>
    </row>
    <row r="28" spans="1:10" ht="15.75" thickBot="1" x14ac:dyDescent="0.3">
      <c r="A28" s="1"/>
      <c r="B28" s="71" t="s">
        <v>28</v>
      </c>
      <c r="C28" s="69">
        <f>(C27+D27)/2</f>
        <v>600.75612481632197</v>
      </c>
      <c r="D28" s="63"/>
      <c r="E28" s="63"/>
      <c r="F28" s="64">
        <f>(F27+G27)/2</f>
        <v>600.58808641056112</v>
      </c>
      <c r="G28" s="63"/>
      <c r="I28" s="59"/>
      <c r="J28" s="59"/>
    </row>
    <row r="29" spans="1:10" x14ac:dyDescent="0.25">
      <c r="B29" s="72" t="s">
        <v>27</v>
      </c>
      <c r="C29" s="70">
        <f>(C28+F28)/2</f>
        <v>600.67210561344154</v>
      </c>
      <c r="I29" s="59"/>
      <c r="J29" s="59"/>
    </row>
    <row r="30" spans="1:10" x14ac:dyDescent="0.25">
      <c r="B30" s="60"/>
      <c r="C30" s="59"/>
      <c r="D30" s="59"/>
      <c r="E30" s="59"/>
      <c r="F30" s="59"/>
      <c r="G30" s="59"/>
      <c r="H30" s="59"/>
      <c r="I30" s="59"/>
      <c r="J30" s="59"/>
    </row>
    <row r="31" spans="1:10" x14ac:dyDescent="0.25">
      <c r="B31" s="60"/>
      <c r="C31" s="59"/>
      <c r="D31" s="59"/>
      <c r="E31" s="59"/>
      <c r="F31" s="59"/>
      <c r="G31" s="59"/>
      <c r="H31" s="59"/>
      <c r="I31" s="59"/>
      <c r="J31" s="59"/>
    </row>
    <row r="32" spans="1:10" ht="15.75" thickBot="1" x14ac:dyDescent="0.3">
      <c r="B32" s="1" t="s">
        <v>9</v>
      </c>
      <c r="C32">
        <v>1</v>
      </c>
      <c r="D32">
        <v>2</v>
      </c>
      <c r="E32">
        <v>3</v>
      </c>
      <c r="F32">
        <v>4</v>
      </c>
      <c r="G32">
        <v>1</v>
      </c>
      <c r="H32">
        <v>2</v>
      </c>
      <c r="I32">
        <v>3</v>
      </c>
      <c r="J32">
        <v>4</v>
      </c>
    </row>
    <row r="33" spans="1:10" ht="15.75" thickBot="1" x14ac:dyDescent="0.3">
      <c r="B33" s="14" t="s">
        <v>7</v>
      </c>
      <c r="C33" s="160" t="s">
        <v>17</v>
      </c>
      <c r="D33" s="161"/>
      <c r="E33" s="161"/>
      <c r="F33" s="162"/>
      <c r="G33" s="160" t="s">
        <v>18</v>
      </c>
      <c r="H33" s="161"/>
      <c r="I33" s="161"/>
      <c r="J33" s="162"/>
    </row>
    <row r="34" spans="1:10" x14ac:dyDescent="0.25">
      <c r="B34" s="15" t="s">
        <v>1</v>
      </c>
      <c r="C34" s="37">
        <f>D8-0.03*D8</f>
        <v>97</v>
      </c>
      <c r="D34" s="38">
        <f>D8-0.01*D8</f>
        <v>99</v>
      </c>
      <c r="E34" s="38">
        <f>D8+0.01*D8</f>
        <v>101</v>
      </c>
      <c r="F34" s="39">
        <f>D8+0.03*D8</f>
        <v>103</v>
      </c>
      <c r="G34" s="37">
        <f>D8-0.02*D8</f>
        <v>98</v>
      </c>
      <c r="H34" s="38">
        <f>D8-0.01*D8</f>
        <v>99</v>
      </c>
      <c r="I34" s="38">
        <f>D8+0.01*D8</f>
        <v>101</v>
      </c>
      <c r="J34" s="39">
        <f>D8+0.02*D8</f>
        <v>102</v>
      </c>
    </row>
    <row r="35" spans="1:10" ht="12.75" customHeight="1" x14ac:dyDescent="0.25">
      <c r="B35" s="16" t="s">
        <v>2</v>
      </c>
      <c r="C35" s="73">
        <f t="shared" ref="C35:C37" si="1">D9-0.03*D9</f>
        <v>2.91</v>
      </c>
      <c r="D35" s="74">
        <f t="shared" ref="D35:D37" si="2">D9-0.01*D9</f>
        <v>2.97</v>
      </c>
      <c r="E35" s="74">
        <f t="shared" ref="E35:E37" si="3">D9+0.01*D9</f>
        <v>3.03</v>
      </c>
      <c r="F35" s="75">
        <f t="shared" ref="F35:F37" si="4">D9+0.03*D9</f>
        <v>3.09</v>
      </c>
      <c r="G35" s="73">
        <f t="shared" ref="G35:G37" si="5">D9-0.02*D9</f>
        <v>2.94</v>
      </c>
      <c r="H35" s="74">
        <f t="shared" ref="H35:H37" si="6">D9-0.01*D9</f>
        <v>2.97</v>
      </c>
      <c r="I35" s="74">
        <f t="shared" ref="I35:I37" si="7">D9+0.01*D9</f>
        <v>3.03</v>
      </c>
      <c r="J35" s="75">
        <f t="shared" ref="J35:J37" si="8">D9+0.02*D9</f>
        <v>3.06</v>
      </c>
    </row>
    <row r="36" spans="1:10" x14ac:dyDescent="0.25">
      <c r="B36" s="16" t="s">
        <v>3</v>
      </c>
      <c r="C36" s="73">
        <f t="shared" si="1"/>
        <v>0.873</v>
      </c>
      <c r="D36" s="74">
        <f t="shared" si="2"/>
        <v>0.89100000000000001</v>
      </c>
      <c r="E36" s="74">
        <f t="shared" si="3"/>
        <v>0.90900000000000003</v>
      </c>
      <c r="F36" s="75">
        <f t="shared" si="4"/>
        <v>0.92700000000000005</v>
      </c>
      <c r="G36" s="73">
        <f t="shared" si="5"/>
        <v>0.88200000000000001</v>
      </c>
      <c r="H36" s="74">
        <f t="shared" si="6"/>
        <v>0.89100000000000001</v>
      </c>
      <c r="I36" s="74">
        <f t="shared" si="7"/>
        <v>0.90900000000000003</v>
      </c>
      <c r="J36" s="75">
        <f t="shared" si="8"/>
        <v>0.91800000000000004</v>
      </c>
    </row>
    <row r="37" spans="1:10" ht="15.75" thickBot="1" x14ac:dyDescent="0.3">
      <c r="B37" s="17" t="s">
        <v>4</v>
      </c>
      <c r="C37" s="73">
        <f t="shared" si="1"/>
        <v>4.8499999999999996</v>
      </c>
      <c r="D37" s="74">
        <f t="shared" si="2"/>
        <v>4.95</v>
      </c>
      <c r="E37" s="74">
        <f t="shared" si="3"/>
        <v>5.05</v>
      </c>
      <c r="F37" s="75">
        <f t="shared" si="4"/>
        <v>5.15</v>
      </c>
      <c r="G37" s="73">
        <f t="shared" si="5"/>
        <v>4.9000000000000004</v>
      </c>
      <c r="H37" s="74">
        <f t="shared" si="6"/>
        <v>4.95</v>
      </c>
      <c r="I37" s="74">
        <f t="shared" si="7"/>
        <v>5.05</v>
      </c>
      <c r="J37" s="75">
        <f t="shared" si="8"/>
        <v>5.0999999999999996</v>
      </c>
    </row>
    <row r="38" spans="1:10" ht="15.75" thickBot="1" x14ac:dyDescent="0.3">
      <c r="B38" s="47" t="s">
        <v>0</v>
      </c>
      <c r="C38" s="53">
        <f>C42</f>
        <v>47.706014410351919</v>
      </c>
      <c r="D38" s="57">
        <f t="shared" ref="D38:J38" si="9">D42</f>
        <v>51.877372277227735</v>
      </c>
      <c r="E38" s="57">
        <f t="shared" si="9"/>
        <v>56.198236363636362</v>
      </c>
      <c r="F38" s="58">
        <f t="shared" si="9"/>
        <v>60.672063360881552</v>
      </c>
      <c r="G38" s="53">
        <f t="shared" si="9"/>
        <v>49.791693343789817</v>
      </c>
      <c r="H38" s="57">
        <f t="shared" si="9"/>
        <v>51.877372277227735</v>
      </c>
      <c r="I38" s="57">
        <f t="shared" si="9"/>
        <v>56.198236363636362</v>
      </c>
      <c r="J38" s="58">
        <f t="shared" si="9"/>
        <v>58.43514986225896</v>
      </c>
    </row>
    <row r="39" spans="1:10" ht="15.75" thickBot="1" x14ac:dyDescent="0.3"/>
    <row r="40" spans="1:10" x14ac:dyDescent="0.25">
      <c r="B40" s="44" t="s">
        <v>19</v>
      </c>
      <c r="C40" s="31">
        <f>C34*D35+C35*D34-D34*D35</f>
        <v>282.15000000000003</v>
      </c>
      <c r="D40" s="32">
        <f>D34*D35</f>
        <v>294.03000000000003</v>
      </c>
      <c r="E40" s="32">
        <f>E34*E35</f>
        <v>306.02999999999997</v>
      </c>
      <c r="F40" s="33">
        <f>E34*F35+E35*F34-E34*E35</f>
        <v>318.14999999999998</v>
      </c>
      <c r="G40" s="31">
        <f>G34*H35+G35*H34-H34*H35</f>
        <v>288.08999999999997</v>
      </c>
      <c r="H40" s="32">
        <f>H34*H35</f>
        <v>294.03000000000003</v>
      </c>
      <c r="I40" s="32">
        <f>I34*I35</f>
        <v>306.02999999999997</v>
      </c>
      <c r="J40" s="33">
        <f>I34*J35+I35*J34-I34*I35</f>
        <v>312.09000000000003</v>
      </c>
    </row>
    <row r="41" spans="1:10" x14ac:dyDescent="0.25">
      <c r="B41" s="45" t="s">
        <v>20</v>
      </c>
      <c r="C41" s="48">
        <f>C40*D36+C36*D40-D40*D36</f>
        <v>246.10311000000002</v>
      </c>
      <c r="D41" s="7">
        <f>D40*D36</f>
        <v>261.98073000000005</v>
      </c>
      <c r="E41" s="7">
        <f>E40*E36</f>
        <v>278.18126999999998</v>
      </c>
      <c r="F41" s="49">
        <f>E40*F36+E36*F40-E36*E40</f>
        <v>294.70688999999999</v>
      </c>
      <c r="G41" s="48">
        <f>G40*H36+G36*H40-H40*H36</f>
        <v>254.04191999999995</v>
      </c>
      <c r="H41" s="7">
        <f>H40*H36</f>
        <v>261.98073000000005</v>
      </c>
      <c r="I41" s="7">
        <f>I40*I36</f>
        <v>278.18126999999998</v>
      </c>
      <c r="J41" s="49">
        <f>I40*J36+I36*J40-I36*I40</f>
        <v>286.44408000000004</v>
      </c>
    </row>
    <row r="42" spans="1:10" ht="15.75" thickBot="1" x14ac:dyDescent="0.3">
      <c r="B42" s="46" t="s">
        <v>21</v>
      </c>
      <c r="C42" s="50">
        <f>(D41*E37-D41*F37+C41*E37)/(E37^2)</f>
        <v>47.706014410351919</v>
      </c>
      <c r="D42" s="51">
        <f>D41/E37</f>
        <v>51.877372277227735</v>
      </c>
      <c r="E42" s="51">
        <f>E41/D37</f>
        <v>56.198236363636362</v>
      </c>
      <c r="F42" s="52">
        <f>(E41*D37-E41*C37+F41*D37)/(D37^2)</f>
        <v>60.672063360881552</v>
      </c>
      <c r="G42" s="50">
        <f>(H41*I37-H41*J37+G41*I37)/(I37^2)</f>
        <v>49.791693343789817</v>
      </c>
      <c r="H42" s="51">
        <f>H41/I37</f>
        <v>51.877372277227735</v>
      </c>
      <c r="I42" s="51">
        <f>I41/H37</f>
        <v>56.198236363636362</v>
      </c>
      <c r="J42" s="52">
        <f>(I41*H37-I41*G37+J41*H37)/(H37^2)</f>
        <v>58.43514986225896</v>
      </c>
    </row>
    <row r="43" spans="1:10" x14ac:dyDescent="0.25">
      <c r="B43" s="60"/>
      <c r="C43" s="59"/>
      <c r="D43" s="59"/>
      <c r="E43" s="59"/>
      <c r="F43" s="59"/>
      <c r="G43" s="59"/>
      <c r="H43" s="59"/>
      <c r="I43" s="59"/>
      <c r="J43" s="59"/>
    </row>
    <row r="44" spans="1:10" ht="15.75" thickBot="1" x14ac:dyDescent="0.3">
      <c r="C44" s="1" t="s">
        <v>25</v>
      </c>
      <c r="F44" s="1" t="s">
        <v>26</v>
      </c>
      <c r="I44" s="59"/>
      <c r="J44" s="59"/>
    </row>
    <row r="45" spans="1:10" ht="15.75" thickBot="1" x14ac:dyDescent="0.3">
      <c r="A45" s="1">
        <v>0.8</v>
      </c>
      <c r="B45" s="43" t="s">
        <v>22</v>
      </c>
      <c r="C45" s="68">
        <f>A45*D42+(1-A45)*C42</f>
        <v>51.043100703852573</v>
      </c>
      <c r="D45" s="62">
        <f>A45*E42+(1-A45)*F42</f>
        <v>57.093001763085397</v>
      </c>
      <c r="E45" s="63"/>
      <c r="F45" s="61">
        <f>A45*H42+(1-A45)*G42</f>
        <v>51.460236490540154</v>
      </c>
      <c r="G45" s="62">
        <f>A45*I42+(1-A45)*J42</f>
        <v>56.645619063360883</v>
      </c>
      <c r="I45" s="59"/>
      <c r="J45" s="59"/>
    </row>
    <row r="46" spans="1:10" ht="15.75" thickBot="1" x14ac:dyDescent="0.3">
      <c r="A46" s="1"/>
      <c r="B46" s="71" t="s">
        <v>28</v>
      </c>
      <c r="C46" s="69">
        <f>(C45+D45)/2</f>
        <v>54.068051233468985</v>
      </c>
      <c r="D46" s="63"/>
      <c r="E46" s="63"/>
      <c r="F46" s="64">
        <f>(F45+G45)/2</f>
        <v>54.052927776950519</v>
      </c>
      <c r="G46" s="63"/>
      <c r="I46" s="59"/>
      <c r="J46" s="59"/>
    </row>
    <row r="47" spans="1:10" x14ac:dyDescent="0.25">
      <c r="B47" s="72" t="s">
        <v>27</v>
      </c>
      <c r="C47" s="70">
        <f>(C46+F46)/2</f>
        <v>54.060489505209752</v>
      </c>
      <c r="I47" s="59"/>
      <c r="J47" s="59"/>
    </row>
    <row r="50" spans="1:10" ht="15.75" thickBot="1" x14ac:dyDescent="0.3">
      <c r="B50" s="1" t="s">
        <v>10</v>
      </c>
      <c r="C50">
        <v>1</v>
      </c>
      <c r="D50">
        <v>2</v>
      </c>
      <c r="E50">
        <v>3</v>
      </c>
      <c r="F50">
        <v>4</v>
      </c>
      <c r="G50">
        <v>1</v>
      </c>
      <c r="H50">
        <v>2</v>
      </c>
      <c r="I50">
        <v>3</v>
      </c>
      <c r="J50">
        <v>4</v>
      </c>
    </row>
    <row r="51" spans="1:10" ht="15.75" thickBot="1" x14ac:dyDescent="0.3">
      <c r="B51" s="14" t="s">
        <v>7</v>
      </c>
      <c r="C51" s="160" t="s">
        <v>17</v>
      </c>
      <c r="D51" s="161"/>
      <c r="E51" s="161"/>
      <c r="F51" s="162"/>
      <c r="G51" s="160" t="s">
        <v>18</v>
      </c>
      <c r="H51" s="161"/>
      <c r="I51" s="161"/>
      <c r="J51" s="162"/>
    </row>
    <row r="52" spans="1:10" x14ac:dyDescent="0.25">
      <c r="B52" s="15" t="s">
        <v>1</v>
      </c>
      <c r="C52" s="37">
        <f>E8-0.03*E8</f>
        <v>970</v>
      </c>
      <c r="D52" s="38">
        <f>E8-0.01*E8</f>
        <v>990</v>
      </c>
      <c r="E52" s="38">
        <f>E8+0.01*E8</f>
        <v>1010</v>
      </c>
      <c r="F52" s="39">
        <f>E8+0.03*E8</f>
        <v>1030</v>
      </c>
      <c r="G52" s="37">
        <f>E8-0.02*E8</f>
        <v>980</v>
      </c>
      <c r="H52" s="38">
        <f>E8-0.01*E8</f>
        <v>990</v>
      </c>
      <c r="I52" s="38">
        <f>E8+0.01*E8</f>
        <v>1010</v>
      </c>
      <c r="J52" s="39">
        <f>E8+0.02*E8</f>
        <v>1020</v>
      </c>
    </row>
    <row r="53" spans="1:10" x14ac:dyDescent="0.25">
      <c r="B53" s="16" t="s">
        <v>2</v>
      </c>
      <c r="C53" s="73">
        <f t="shared" ref="C53:C55" si="10">E9-0.03*E9</f>
        <v>1.94</v>
      </c>
      <c r="D53" s="74">
        <f t="shared" ref="D53:D55" si="11">E9-0.01*E9</f>
        <v>1.98</v>
      </c>
      <c r="E53" s="74">
        <f t="shared" ref="E53:E55" si="12">E9+0.01*E9</f>
        <v>2.02</v>
      </c>
      <c r="F53" s="75">
        <f t="shared" ref="F53:F55" si="13">E9+0.03*E9</f>
        <v>2.06</v>
      </c>
      <c r="G53" s="73">
        <f t="shared" ref="G53:G55" si="14">E9-0.02*E9</f>
        <v>1.96</v>
      </c>
      <c r="H53" s="74">
        <f t="shared" ref="H53:H55" si="15">E9-0.01*E9</f>
        <v>1.98</v>
      </c>
      <c r="I53" s="74">
        <f t="shared" ref="I53:I55" si="16">E9+0.01*E9</f>
        <v>2.02</v>
      </c>
      <c r="J53" s="75">
        <f t="shared" ref="J53:J55" si="17">E9+0.02*E9</f>
        <v>2.04</v>
      </c>
    </row>
    <row r="54" spans="1:10" x14ac:dyDescent="0.25">
      <c r="B54" s="16" t="s">
        <v>3</v>
      </c>
      <c r="C54" s="73">
        <f t="shared" si="10"/>
        <v>0.77600000000000002</v>
      </c>
      <c r="D54" s="74">
        <f t="shared" si="11"/>
        <v>0.79200000000000004</v>
      </c>
      <c r="E54" s="74">
        <f t="shared" si="12"/>
        <v>0.80800000000000005</v>
      </c>
      <c r="F54" s="75">
        <f t="shared" si="13"/>
        <v>0.82400000000000007</v>
      </c>
      <c r="G54" s="73">
        <f t="shared" si="14"/>
        <v>0.78400000000000003</v>
      </c>
      <c r="H54" s="74">
        <f t="shared" si="15"/>
        <v>0.79200000000000004</v>
      </c>
      <c r="I54" s="74">
        <f t="shared" si="16"/>
        <v>0.80800000000000005</v>
      </c>
      <c r="J54" s="75">
        <f t="shared" si="17"/>
        <v>0.81600000000000006</v>
      </c>
    </row>
    <row r="55" spans="1:10" ht="15.75" thickBot="1" x14ac:dyDescent="0.3">
      <c r="B55" s="17" t="s">
        <v>4</v>
      </c>
      <c r="C55" s="73">
        <f t="shared" si="10"/>
        <v>6.79</v>
      </c>
      <c r="D55" s="74">
        <f t="shared" si="11"/>
        <v>6.93</v>
      </c>
      <c r="E55" s="74">
        <f t="shared" si="12"/>
        <v>7.07</v>
      </c>
      <c r="F55" s="75">
        <f t="shared" si="13"/>
        <v>7.21</v>
      </c>
      <c r="G55" s="73">
        <f t="shared" si="14"/>
        <v>6.86</v>
      </c>
      <c r="H55" s="74">
        <f t="shared" si="15"/>
        <v>6.93</v>
      </c>
      <c r="I55" s="74">
        <f t="shared" si="16"/>
        <v>7.07</v>
      </c>
      <c r="J55" s="75">
        <f t="shared" si="17"/>
        <v>7.14</v>
      </c>
    </row>
    <row r="56" spans="1:10" ht="15.75" thickBot="1" x14ac:dyDescent="0.3">
      <c r="B56" s="47" t="s">
        <v>0</v>
      </c>
      <c r="C56" s="53">
        <f>C60</f>
        <v>201.93021972635739</v>
      </c>
      <c r="D56" s="57">
        <f t="shared" ref="D56:J56" si="18">D60</f>
        <v>219.58676096181048</v>
      </c>
      <c r="E56" s="57">
        <f t="shared" si="18"/>
        <v>237.87613275613279</v>
      </c>
      <c r="F56" s="58">
        <f t="shared" si="18"/>
        <v>256.81296660690606</v>
      </c>
      <c r="G56" s="53">
        <f t="shared" si="18"/>
        <v>210.75849034408392</v>
      </c>
      <c r="H56" s="57">
        <f t="shared" si="18"/>
        <v>219.58676096181048</v>
      </c>
      <c r="I56" s="57">
        <f t="shared" si="18"/>
        <v>237.87613275613279</v>
      </c>
      <c r="J56" s="58">
        <f t="shared" si="18"/>
        <v>247.34454968151948</v>
      </c>
    </row>
    <row r="57" spans="1:10" ht="15.75" thickBot="1" x14ac:dyDescent="0.3"/>
    <row r="58" spans="1:10" x14ac:dyDescent="0.25">
      <c r="B58" s="44" t="s">
        <v>19</v>
      </c>
      <c r="C58" s="31">
        <f>C52*D53+C53*D52-D52*D53</f>
        <v>1880.9999999999998</v>
      </c>
      <c r="D58" s="32">
        <f>D52*D53</f>
        <v>1960.2</v>
      </c>
      <c r="E58" s="32">
        <f>E52*E53</f>
        <v>2040.2</v>
      </c>
      <c r="F58" s="33">
        <f>E52*F53+E53*F52-E52*E53</f>
        <v>2121</v>
      </c>
      <c r="G58" s="31">
        <f>G52*H53+G53*H52-H52*H53</f>
        <v>1920.6000000000001</v>
      </c>
      <c r="H58" s="32">
        <f>H52*H53</f>
        <v>1960.2</v>
      </c>
      <c r="I58" s="32">
        <f>I52*I53</f>
        <v>2040.2</v>
      </c>
      <c r="J58" s="33">
        <f>I52*J53+I53*J52-I52*I53</f>
        <v>2080.6000000000004</v>
      </c>
    </row>
    <row r="59" spans="1:10" x14ac:dyDescent="0.25">
      <c r="B59" s="45" t="s">
        <v>20</v>
      </c>
      <c r="C59" s="48">
        <f>C58*D54+C54*D58-D58*D54</f>
        <v>1458.3887999999999</v>
      </c>
      <c r="D59" s="7">
        <f>D58*D54</f>
        <v>1552.4784000000002</v>
      </c>
      <c r="E59" s="7">
        <f>E58*E54</f>
        <v>1648.4816000000001</v>
      </c>
      <c r="F59" s="49">
        <f>E58*F54+E54*F58-E54*E58</f>
        <v>1746.4112000000005</v>
      </c>
      <c r="G59" s="48">
        <f>G58*H54+G54*H58-H58*H54</f>
        <v>1505.4336000000001</v>
      </c>
      <c r="H59" s="7">
        <f>H58*H54</f>
        <v>1552.4784000000002</v>
      </c>
      <c r="I59" s="7">
        <f>I58*I54</f>
        <v>1648.4816000000001</v>
      </c>
      <c r="J59" s="49">
        <f>I58*J54+I54*J58-I54*I58</f>
        <v>1697.4464000000007</v>
      </c>
    </row>
    <row r="60" spans="1:10" ht="15.75" thickBot="1" x14ac:dyDescent="0.3">
      <c r="B60" s="46" t="s">
        <v>21</v>
      </c>
      <c r="C60" s="50">
        <f>(D59*E55-D59*F55+C59*E55)/(E55^2)</f>
        <v>201.93021972635739</v>
      </c>
      <c r="D60" s="51">
        <f>D59/E55</f>
        <v>219.58676096181048</v>
      </c>
      <c r="E60" s="51">
        <f>E59/D55</f>
        <v>237.87613275613279</v>
      </c>
      <c r="F60" s="52">
        <f>(E59*D55-E59*C55+F59*D55)/(D55^2)</f>
        <v>256.81296660690606</v>
      </c>
      <c r="G60" s="50">
        <f>(H59*I55-H59*J55+G59*I55)/(I55^2)</f>
        <v>210.75849034408392</v>
      </c>
      <c r="H60" s="51">
        <f>H59/I55</f>
        <v>219.58676096181048</v>
      </c>
      <c r="I60" s="51">
        <f>I59/H55</f>
        <v>237.87613275613279</v>
      </c>
      <c r="J60" s="52">
        <f>(I59*H55-I59*G55+J59*H55)/(H55^2)</f>
        <v>247.34454968151948</v>
      </c>
    </row>
    <row r="61" spans="1:10" x14ac:dyDescent="0.25">
      <c r="B61" s="60"/>
      <c r="C61" s="59"/>
      <c r="D61" s="59"/>
      <c r="E61" s="59"/>
      <c r="F61" s="59"/>
      <c r="G61" s="59"/>
      <c r="H61" s="59"/>
      <c r="I61" s="59"/>
      <c r="J61" s="59"/>
    </row>
    <row r="62" spans="1:10" ht="15.75" thickBot="1" x14ac:dyDescent="0.3">
      <c r="C62" s="1" t="s">
        <v>25</v>
      </c>
      <c r="F62" s="1" t="s">
        <v>26</v>
      </c>
      <c r="I62" s="59"/>
      <c r="J62" s="59"/>
    </row>
    <row r="63" spans="1:10" ht="15.75" thickBot="1" x14ac:dyDescent="0.3">
      <c r="A63" s="1">
        <v>0.8</v>
      </c>
      <c r="B63" s="43" t="s">
        <v>22</v>
      </c>
      <c r="C63" s="68">
        <f>A63*D60+(1-A63)*C60</f>
        <v>216.05545271471988</v>
      </c>
      <c r="D63" s="62">
        <f>A63*E60+(1-A63)*F60</f>
        <v>241.66349952628747</v>
      </c>
      <c r="E63" s="63"/>
      <c r="F63" s="61">
        <f>A63*H60+(1-A63)*G60</f>
        <v>217.82110683826519</v>
      </c>
      <c r="G63" s="62">
        <f>A63*I60+(1-A63)*J60</f>
        <v>239.76981614121013</v>
      </c>
      <c r="I63" s="59"/>
      <c r="J63" s="59"/>
    </row>
    <row r="64" spans="1:10" ht="15.75" thickBot="1" x14ac:dyDescent="0.3">
      <c r="A64" s="1"/>
      <c r="B64" s="71" t="s">
        <v>28</v>
      </c>
      <c r="C64" s="69">
        <f>(C63+D63)/2</f>
        <v>228.85947612050367</v>
      </c>
      <c r="D64" s="63"/>
      <c r="E64" s="63"/>
      <c r="F64" s="64">
        <f>(F63+G63)/2</f>
        <v>228.79546148973765</v>
      </c>
      <c r="G64" s="63"/>
      <c r="I64" s="59"/>
      <c r="J64" s="59"/>
    </row>
    <row r="65" spans="2:10" x14ac:dyDescent="0.25">
      <c r="B65" s="72" t="s">
        <v>27</v>
      </c>
      <c r="C65" s="70">
        <f>(C64+F64)/2</f>
        <v>228.82746880512065</v>
      </c>
      <c r="I65" s="59"/>
      <c r="J65" s="59"/>
    </row>
  </sheetData>
  <mergeCells count="8">
    <mergeCell ref="B5:B6"/>
    <mergeCell ref="C5:E5"/>
    <mergeCell ref="C33:F33"/>
    <mergeCell ref="G33:J33"/>
    <mergeCell ref="C51:F51"/>
    <mergeCell ref="G51:J51"/>
    <mergeCell ref="C15:F15"/>
    <mergeCell ref="G15:J15"/>
  </mergeCells>
  <pageMargins left="0.70866141732283472" right="0.70866141732283472" top="0.74803149606299213" bottom="0.74803149606299213" header="0.31496062992125984" footer="0.31496062992125984"/>
  <pageSetup scale="5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AF163-E59E-47A0-8BE3-60FB75440B97}">
  <dimension ref="A1:J30"/>
  <sheetViews>
    <sheetView tabSelected="1" topLeftCell="B13" workbookViewId="0">
      <selection activeCell="J9" sqref="J9"/>
    </sheetView>
  </sheetViews>
  <sheetFormatPr defaultRowHeight="15" x14ac:dyDescent="0.25"/>
  <cols>
    <col min="1" max="1" width="28.85546875" customWidth="1"/>
    <col min="2" max="2" width="39" customWidth="1"/>
    <col min="3" max="3" width="49.42578125" customWidth="1"/>
    <col min="4" max="4" width="11.42578125" customWidth="1"/>
    <col min="5" max="5" width="12.140625" customWidth="1"/>
    <col min="6" max="6" width="11.7109375" customWidth="1"/>
    <col min="10" max="10" width="17.85546875" customWidth="1"/>
  </cols>
  <sheetData>
    <row r="1" spans="1:10" x14ac:dyDescent="0.25">
      <c r="A1" s="1" t="s">
        <v>95</v>
      </c>
      <c r="B1" s="98"/>
      <c r="C1" s="98"/>
    </row>
    <row r="2" spans="1:10" x14ac:dyDescent="0.25">
      <c r="A2" s="1" t="s">
        <v>96</v>
      </c>
      <c r="B2" s="101" t="s">
        <v>97</v>
      </c>
      <c r="C2" s="98"/>
    </row>
    <row r="3" spans="1:10" ht="30" customHeight="1" x14ac:dyDescent="0.25">
      <c r="A3" s="164" t="s">
        <v>98</v>
      </c>
      <c r="B3" s="165"/>
      <c r="C3" s="165"/>
      <c r="D3" s="166"/>
      <c r="E3" s="166"/>
    </row>
    <row r="4" spans="1:10" x14ac:dyDescent="0.25">
      <c r="A4" s="1" t="s">
        <v>110</v>
      </c>
      <c r="B4" s="99"/>
      <c r="C4" s="99"/>
    </row>
    <row r="5" spans="1:10" x14ac:dyDescent="0.25">
      <c r="A5" s="100" t="s">
        <v>109</v>
      </c>
      <c r="B5" s="99"/>
      <c r="C5" s="99"/>
    </row>
    <row r="6" spans="1:10" ht="75.75" customHeight="1" x14ac:dyDescent="0.25">
      <c r="A6" s="163" t="s">
        <v>85</v>
      </c>
      <c r="B6" s="163" t="s">
        <v>86</v>
      </c>
      <c r="C6" s="163" t="s">
        <v>87</v>
      </c>
      <c r="D6" s="163" t="s">
        <v>128</v>
      </c>
      <c r="E6" s="163"/>
      <c r="F6" s="163"/>
      <c r="G6" s="163" t="s">
        <v>129</v>
      </c>
      <c r="H6" s="163"/>
      <c r="I6" s="163"/>
      <c r="J6" s="163" t="s">
        <v>118</v>
      </c>
    </row>
    <row r="7" spans="1:10" s="97" customFormat="1" ht="18" customHeight="1" x14ac:dyDescent="0.25">
      <c r="A7" s="163"/>
      <c r="B7" s="163"/>
      <c r="C7" s="163"/>
      <c r="D7" s="107" t="s">
        <v>114</v>
      </c>
      <c r="E7" s="107" t="s">
        <v>115</v>
      </c>
      <c r="F7" s="107" t="s">
        <v>116</v>
      </c>
      <c r="G7" s="107" t="s">
        <v>114</v>
      </c>
      <c r="H7" s="107" t="s">
        <v>115</v>
      </c>
      <c r="I7" s="107" t="s">
        <v>116</v>
      </c>
      <c r="J7" s="163"/>
    </row>
    <row r="8" spans="1:10" ht="30" x14ac:dyDescent="0.25">
      <c r="A8" s="102" t="s">
        <v>8</v>
      </c>
      <c r="B8" s="102" t="s">
        <v>84</v>
      </c>
      <c r="C8" s="103" t="s">
        <v>72</v>
      </c>
      <c r="D8" s="110" t="s">
        <v>104</v>
      </c>
      <c r="E8" s="110" t="s">
        <v>105</v>
      </c>
      <c r="F8" s="110" t="s">
        <v>104</v>
      </c>
      <c r="G8" s="110">
        <f>IF(D8=$A$21,$B$21,(IF(D8=$A$22,$B$22,IF(D8=$A$23,$B$23,$B$24))))</f>
        <v>1</v>
      </c>
      <c r="H8" s="110">
        <f t="shared" ref="H8:I8" si="0">IF(E8=$A$21,$B$21,(IF(E8=$A$22,$B$22,IF(E8=$A$23,$B$23,$B$24))))</f>
        <v>0.66</v>
      </c>
      <c r="I8" s="110">
        <f t="shared" si="0"/>
        <v>1</v>
      </c>
      <c r="J8" s="2">
        <f>G8*$D$28+H8*$D$29+I8*$D$30</f>
        <v>14.15</v>
      </c>
    </row>
    <row r="9" spans="1:10" x14ac:dyDescent="0.25">
      <c r="A9" s="102" t="s">
        <v>9</v>
      </c>
      <c r="B9" s="102" t="s">
        <v>73</v>
      </c>
      <c r="C9" s="103" t="s">
        <v>88</v>
      </c>
      <c r="D9" s="110" t="s">
        <v>106</v>
      </c>
      <c r="E9" s="110" t="s">
        <v>106</v>
      </c>
      <c r="F9" s="110" t="s">
        <v>105</v>
      </c>
      <c r="G9" s="110">
        <f>IF(D9=$A$21,$B$21,(IF(D9=$A$22,$B$22,IF(D9=$A$23,$B$23,$B$24))))</f>
        <v>0.33</v>
      </c>
      <c r="H9" s="110">
        <f t="shared" ref="H9:H10" si="1">IF(E9=$A$21,$B$21,(IF(E9=$A$22,$B$22,IF(E9=$A$23,$B$23,$B$24))))</f>
        <v>0.33</v>
      </c>
      <c r="I9" s="110">
        <f t="shared" ref="I9:I10" si="2">IF(F9=$A$21,$B$21,(IF(F9=$A$22,$B$22,IF(F9=$A$23,$B$23,$B$24))))</f>
        <v>0.66</v>
      </c>
      <c r="J9" s="2">
        <f t="shared" ref="J9:J17" si="3">G9*$D$28+H9*$D$29+I9*$D$30</f>
        <v>6.6000000000000005</v>
      </c>
    </row>
    <row r="10" spans="1:10" x14ac:dyDescent="0.25">
      <c r="A10" s="102" t="s">
        <v>10</v>
      </c>
      <c r="B10" s="102" t="s">
        <v>74</v>
      </c>
      <c r="C10" s="103" t="s">
        <v>89</v>
      </c>
      <c r="D10" s="110" t="s">
        <v>105</v>
      </c>
      <c r="E10" s="110" t="s">
        <v>105</v>
      </c>
      <c r="F10" s="110" t="s">
        <v>105</v>
      </c>
      <c r="G10" s="110">
        <f t="shared" ref="G10:G17" si="4">IF(D10=$A$21,$B$21,(IF(D10=$A$22,$B$22,IF(D10=$A$23,$B$23,$B$24))))</f>
        <v>0.66</v>
      </c>
      <c r="H10" s="110">
        <f t="shared" si="1"/>
        <v>0.66</v>
      </c>
      <c r="I10" s="110">
        <f t="shared" si="2"/>
        <v>0.66</v>
      </c>
      <c r="J10" s="2">
        <f t="shared" si="3"/>
        <v>9.9</v>
      </c>
    </row>
    <row r="11" spans="1:10" x14ac:dyDescent="0.25">
      <c r="A11" s="102" t="s">
        <v>65</v>
      </c>
      <c r="B11" s="102" t="s">
        <v>75</v>
      </c>
      <c r="C11" s="103" t="s">
        <v>76</v>
      </c>
      <c r="D11" s="110" t="s">
        <v>104</v>
      </c>
      <c r="E11" s="110" t="s">
        <v>105</v>
      </c>
      <c r="F11" s="110" t="s">
        <v>105</v>
      </c>
      <c r="G11" s="110">
        <f t="shared" si="4"/>
        <v>1</v>
      </c>
      <c r="H11" s="110">
        <f t="shared" ref="H11:H17" si="5">IF(E11=$A$21,$B$21,(IF(E11=$A$22,$B$22,IF(E11=$A$23,$B$23,$B$24))))</f>
        <v>0.66</v>
      </c>
      <c r="I11" s="110">
        <f t="shared" ref="I11:I17" si="6">IF(F11=$A$21,$B$21,(IF(F11=$A$22,$B$22,IF(F11=$A$23,$B$23,$B$24))))</f>
        <v>0.66</v>
      </c>
      <c r="J11" s="2">
        <f t="shared" si="3"/>
        <v>12.450000000000001</v>
      </c>
    </row>
    <row r="12" spans="1:10" ht="30" x14ac:dyDescent="0.25">
      <c r="A12" s="102" t="s">
        <v>66</v>
      </c>
      <c r="B12" s="102" t="s">
        <v>77</v>
      </c>
      <c r="C12" s="103" t="s">
        <v>90</v>
      </c>
      <c r="D12" s="110" t="s">
        <v>105</v>
      </c>
      <c r="E12" s="110" t="s">
        <v>104</v>
      </c>
      <c r="F12" s="110" t="s">
        <v>105</v>
      </c>
      <c r="G12" s="110">
        <f t="shared" si="4"/>
        <v>0.66</v>
      </c>
      <c r="H12" s="110">
        <f t="shared" si="5"/>
        <v>1</v>
      </c>
      <c r="I12" s="110">
        <f t="shared" si="6"/>
        <v>0.66</v>
      </c>
      <c r="J12" s="2">
        <f t="shared" si="3"/>
        <v>10.75</v>
      </c>
    </row>
    <row r="13" spans="1:10" x14ac:dyDescent="0.25">
      <c r="A13" s="102" t="s">
        <v>67</v>
      </c>
      <c r="B13" s="102" t="s">
        <v>78</v>
      </c>
      <c r="C13" s="103" t="s">
        <v>91</v>
      </c>
      <c r="D13" s="110" t="s">
        <v>104</v>
      </c>
      <c r="E13" s="110" t="s">
        <v>105</v>
      </c>
      <c r="F13" s="110" t="s">
        <v>106</v>
      </c>
      <c r="G13" s="110">
        <f t="shared" si="4"/>
        <v>1</v>
      </c>
      <c r="H13" s="110">
        <f t="shared" si="5"/>
        <v>0.66</v>
      </c>
      <c r="I13" s="110">
        <f t="shared" si="6"/>
        <v>0.33</v>
      </c>
      <c r="J13" s="2">
        <f t="shared" si="3"/>
        <v>10.8</v>
      </c>
    </row>
    <row r="14" spans="1:10" ht="30" x14ac:dyDescent="0.25">
      <c r="A14" s="102" t="s">
        <v>68</v>
      </c>
      <c r="B14" s="102" t="s">
        <v>79</v>
      </c>
      <c r="C14" s="103" t="s">
        <v>92</v>
      </c>
      <c r="D14" s="110" t="s">
        <v>104</v>
      </c>
      <c r="E14" s="110" t="s">
        <v>105</v>
      </c>
      <c r="F14" s="110" t="s">
        <v>106</v>
      </c>
      <c r="G14" s="110">
        <f t="shared" si="4"/>
        <v>1</v>
      </c>
      <c r="H14" s="110">
        <f t="shared" si="5"/>
        <v>0.66</v>
      </c>
      <c r="I14" s="110">
        <f t="shared" si="6"/>
        <v>0.33</v>
      </c>
      <c r="J14" s="2">
        <f t="shared" si="3"/>
        <v>10.8</v>
      </c>
    </row>
    <row r="15" spans="1:10" ht="30" x14ac:dyDescent="0.25">
      <c r="A15" s="102" t="s">
        <v>69</v>
      </c>
      <c r="B15" s="102" t="s">
        <v>80</v>
      </c>
      <c r="C15" s="103" t="s">
        <v>81</v>
      </c>
      <c r="D15" s="110" t="s">
        <v>105</v>
      </c>
      <c r="E15" s="110" t="s">
        <v>104</v>
      </c>
      <c r="F15" s="110" t="s">
        <v>104</v>
      </c>
      <c r="G15" s="110">
        <f t="shared" si="4"/>
        <v>0.66</v>
      </c>
      <c r="H15" s="110">
        <f t="shared" si="5"/>
        <v>1</v>
      </c>
      <c r="I15" s="110">
        <f t="shared" si="6"/>
        <v>1</v>
      </c>
      <c r="J15" s="2">
        <f t="shared" si="3"/>
        <v>12.45</v>
      </c>
    </row>
    <row r="16" spans="1:10" ht="35.25" customHeight="1" x14ac:dyDescent="0.25">
      <c r="A16" s="102" t="s">
        <v>70</v>
      </c>
      <c r="B16" s="102" t="s">
        <v>82</v>
      </c>
      <c r="C16" s="103" t="s">
        <v>93</v>
      </c>
      <c r="D16" s="110" t="s">
        <v>105</v>
      </c>
      <c r="E16" s="110" t="s">
        <v>104</v>
      </c>
      <c r="F16" s="110" t="s">
        <v>105</v>
      </c>
      <c r="G16" s="110">
        <f t="shared" si="4"/>
        <v>0.66</v>
      </c>
      <c r="H16" s="110">
        <f t="shared" si="5"/>
        <v>1</v>
      </c>
      <c r="I16" s="110">
        <f t="shared" si="6"/>
        <v>0.66</v>
      </c>
      <c r="J16" s="2">
        <f t="shared" si="3"/>
        <v>10.75</v>
      </c>
    </row>
    <row r="17" spans="1:10" ht="30" x14ac:dyDescent="0.25">
      <c r="A17" s="102" t="s">
        <v>71</v>
      </c>
      <c r="B17" s="102" t="s">
        <v>83</v>
      </c>
      <c r="C17" s="103" t="s">
        <v>94</v>
      </c>
      <c r="D17" s="110" t="s">
        <v>106</v>
      </c>
      <c r="E17" s="110" t="s">
        <v>104</v>
      </c>
      <c r="F17" s="110" t="s">
        <v>105</v>
      </c>
      <c r="G17" s="110">
        <f t="shared" si="4"/>
        <v>0.33</v>
      </c>
      <c r="H17" s="110">
        <f t="shared" si="5"/>
        <v>1</v>
      </c>
      <c r="I17" s="110">
        <f t="shared" si="6"/>
        <v>0.66</v>
      </c>
      <c r="J17" s="2">
        <f t="shared" si="3"/>
        <v>8.2750000000000004</v>
      </c>
    </row>
    <row r="19" spans="1:10" x14ac:dyDescent="0.25">
      <c r="A19" s="100" t="s">
        <v>111</v>
      </c>
    </row>
    <row r="20" spans="1:10" x14ac:dyDescent="0.25">
      <c r="A20" s="107" t="s">
        <v>103</v>
      </c>
      <c r="B20" s="108" t="s">
        <v>123</v>
      </c>
      <c r="C20" s="108" t="s">
        <v>124</v>
      </c>
    </row>
    <row r="21" spans="1:10" x14ac:dyDescent="0.25">
      <c r="A21" s="102" t="s">
        <v>104</v>
      </c>
      <c r="B21" s="2">
        <v>1</v>
      </c>
      <c r="C21" s="2">
        <v>7.5</v>
      </c>
    </row>
    <row r="22" spans="1:10" x14ac:dyDescent="0.25">
      <c r="A22" s="102" t="s">
        <v>105</v>
      </c>
      <c r="B22" s="2">
        <v>0.66</v>
      </c>
      <c r="C22" s="2">
        <v>5</v>
      </c>
    </row>
    <row r="23" spans="1:10" x14ac:dyDescent="0.25">
      <c r="A23" s="102" t="s">
        <v>106</v>
      </c>
      <c r="B23" s="2">
        <v>0.33</v>
      </c>
      <c r="C23" s="2">
        <v>2.5</v>
      </c>
    </row>
    <row r="24" spans="1:10" x14ac:dyDescent="0.25">
      <c r="A24" s="102" t="s">
        <v>107</v>
      </c>
      <c r="B24" s="2">
        <v>0</v>
      </c>
      <c r="C24" s="2">
        <v>1</v>
      </c>
    </row>
    <row r="26" spans="1:10" x14ac:dyDescent="0.25">
      <c r="A26" s="100" t="s">
        <v>112</v>
      </c>
    </row>
    <row r="27" spans="1:10" ht="60.75" thickBot="1" x14ac:dyDescent="0.3">
      <c r="A27" s="107" t="s">
        <v>117</v>
      </c>
      <c r="B27" s="108" t="s">
        <v>99</v>
      </c>
      <c r="C27" s="107" t="s">
        <v>108</v>
      </c>
      <c r="D27" s="109" t="s">
        <v>113</v>
      </c>
    </row>
    <row r="28" spans="1:10" x14ac:dyDescent="0.25">
      <c r="A28" s="130" t="s">
        <v>114</v>
      </c>
      <c r="B28" s="104" t="s">
        <v>100</v>
      </c>
      <c r="C28" s="2" t="s">
        <v>104</v>
      </c>
      <c r="D28" s="105">
        <v>7.5</v>
      </c>
    </row>
    <row r="29" spans="1:10" x14ac:dyDescent="0.25">
      <c r="A29" s="131" t="s">
        <v>115</v>
      </c>
      <c r="B29" s="104" t="s">
        <v>101</v>
      </c>
      <c r="C29" s="2" t="s">
        <v>106</v>
      </c>
      <c r="D29" s="105">
        <v>2.5</v>
      </c>
    </row>
    <row r="30" spans="1:10" ht="15.75" thickBot="1" x14ac:dyDescent="0.3">
      <c r="A30" s="132" t="s">
        <v>116</v>
      </c>
      <c r="B30" s="104" t="s">
        <v>102</v>
      </c>
      <c r="C30" s="2" t="s">
        <v>105</v>
      </c>
      <c r="D30" s="105">
        <v>5</v>
      </c>
    </row>
  </sheetData>
  <mergeCells count="7">
    <mergeCell ref="G6:I6"/>
    <mergeCell ref="J6:J7"/>
    <mergeCell ref="A3:E3"/>
    <mergeCell ref="A6:A7"/>
    <mergeCell ref="B6:B7"/>
    <mergeCell ref="C6:C7"/>
    <mergeCell ref="D6:F6"/>
  </mergeCells>
  <phoneticPr fontId="10" type="noConversion"/>
  <hyperlinks>
    <hyperlink ref="B2" r:id="rId1" xr:uid="{EF9D475C-B1BB-4AC5-9EC0-B6DBBCF2F773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D0EBE-2BB1-47C7-88EC-3B794513173D}">
  <dimension ref="A1:BU52"/>
  <sheetViews>
    <sheetView topLeftCell="D13" workbookViewId="0">
      <selection activeCell="K21" sqref="K21"/>
    </sheetView>
  </sheetViews>
  <sheetFormatPr defaultRowHeight="15" x14ac:dyDescent="0.25"/>
  <cols>
    <col min="1" max="1" width="28.85546875" customWidth="1"/>
    <col min="2" max="2" width="39" customWidth="1"/>
    <col min="3" max="3" width="40.42578125" customWidth="1"/>
    <col min="4" max="4" width="15.5703125" customWidth="1"/>
    <col min="5" max="5" width="12.140625" customWidth="1"/>
    <col min="6" max="6" width="11.7109375" customWidth="1"/>
    <col min="10" max="10" width="18" customWidth="1"/>
    <col min="11" max="67" width="9.140625" customWidth="1"/>
    <col min="68" max="68" width="13.140625" customWidth="1"/>
    <col min="69" max="69" width="9.140625" customWidth="1"/>
    <col min="70" max="70" width="12.42578125" customWidth="1"/>
    <col min="71" max="71" width="12" customWidth="1"/>
    <col min="72" max="72" width="15.5703125" customWidth="1"/>
    <col min="73" max="73" width="15" customWidth="1"/>
  </cols>
  <sheetData>
    <row r="1" spans="1:73" x14ac:dyDescent="0.25">
      <c r="A1" s="1" t="s">
        <v>95</v>
      </c>
      <c r="B1" s="98"/>
      <c r="C1" s="98"/>
    </row>
    <row r="2" spans="1:73" x14ac:dyDescent="0.25">
      <c r="A2" s="1" t="s">
        <v>96</v>
      </c>
      <c r="B2" s="101" t="s">
        <v>97</v>
      </c>
      <c r="C2" s="98"/>
    </row>
    <row r="3" spans="1:73" ht="30" customHeight="1" x14ac:dyDescent="0.25">
      <c r="A3" s="164" t="s">
        <v>98</v>
      </c>
      <c r="B3" s="165"/>
      <c r="C3" s="165"/>
      <c r="D3" s="166"/>
      <c r="E3" s="166"/>
    </row>
    <row r="4" spans="1:73" x14ac:dyDescent="0.25">
      <c r="A4" s="1" t="s">
        <v>110</v>
      </c>
      <c r="B4" s="99"/>
      <c r="C4" s="99"/>
    </row>
    <row r="5" spans="1:73" ht="15.75" thickBot="1" x14ac:dyDescent="0.3">
      <c r="A5" s="100" t="s">
        <v>109</v>
      </c>
      <c r="B5" s="99"/>
      <c r="C5" s="99"/>
      <c r="BO5">
        <v>0.8</v>
      </c>
    </row>
    <row r="6" spans="1:73" ht="86.25" customHeight="1" thickBot="1" x14ac:dyDescent="0.3">
      <c r="A6" s="163" t="s">
        <v>85</v>
      </c>
      <c r="B6" s="163" t="s">
        <v>86</v>
      </c>
      <c r="C6" s="185" t="s">
        <v>87</v>
      </c>
      <c r="D6" s="186" t="s">
        <v>128</v>
      </c>
      <c r="E6" s="187"/>
      <c r="F6" s="187"/>
      <c r="G6" s="187" t="s">
        <v>129</v>
      </c>
      <c r="H6" s="187"/>
      <c r="I6" s="187"/>
      <c r="J6" s="183" t="s">
        <v>162</v>
      </c>
      <c r="K6" s="171" t="s">
        <v>154</v>
      </c>
      <c r="L6" s="172"/>
      <c r="M6" s="172"/>
      <c r="N6" s="172"/>
      <c r="O6" s="172"/>
      <c r="P6" s="172"/>
      <c r="Q6" s="172"/>
      <c r="R6" s="173"/>
      <c r="S6" s="171" t="s">
        <v>152</v>
      </c>
      <c r="T6" s="172"/>
      <c r="U6" s="172"/>
      <c r="V6" s="172"/>
      <c r="W6" s="172"/>
      <c r="X6" s="172"/>
      <c r="Y6" s="172"/>
      <c r="Z6" s="173"/>
      <c r="AA6" s="171" t="s">
        <v>153</v>
      </c>
      <c r="AB6" s="172"/>
      <c r="AC6" s="172"/>
      <c r="AD6" s="172"/>
      <c r="AE6" s="172"/>
      <c r="AF6" s="172"/>
      <c r="AG6" s="172"/>
      <c r="AH6" s="173"/>
      <c r="AI6" s="171" t="s">
        <v>151</v>
      </c>
      <c r="AJ6" s="172"/>
      <c r="AK6" s="172"/>
      <c r="AL6" s="172"/>
      <c r="AM6" s="172"/>
      <c r="AN6" s="172"/>
      <c r="AO6" s="172"/>
      <c r="AP6" s="173"/>
      <c r="AQ6" s="171" t="s">
        <v>149</v>
      </c>
      <c r="AR6" s="172"/>
      <c r="AS6" s="172"/>
      <c r="AT6" s="172"/>
      <c r="AU6" s="172"/>
      <c r="AV6" s="172"/>
      <c r="AW6" s="172"/>
      <c r="AX6" s="173"/>
      <c r="AY6" s="171" t="s">
        <v>150</v>
      </c>
      <c r="AZ6" s="172"/>
      <c r="BA6" s="172"/>
      <c r="BB6" s="172"/>
      <c r="BC6" s="172"/>
      <c r="BD6" s="172"/>
      <c r="BE6" s="172"/>
      <c r="BF6" s="173"/>
      <c r="BG6" s="171" t="s">
        <v>155</v>
      </c>
      <c r="BH6" s="172"/>
      <c r="BI6" s="172"/>
      <c r="BJ6" s="172"/>
      <c r="BK6" s="172"/>
      <c r="BL6" s="172"/>
      <c r="BM6" s="172"/>
      <c r="BN6" s="173"/>
      <c r="BO6" s="174" t="s">
        <v>156</v>
      </c>
      <c r="BP6" s="175"/>
      <c r="BQ6" s="175"/>
      <c r="BR6" s="176"/>
      <c r="BS6" s="167" t="s">
        <v>158</v>
      </c>
      <c r="BT6" s="168"/>
      <c r="BU6" s="169" t="s">
        <v>161</v>
      </c>
    </row>
    <row r="7" spans="1:73" s="97" customFormat="1" ht="23.25" customHeight="1" thickBot="1" x14ac:dyDescent="0.3">
      <c r="A7" s="163"/>
      <c r="B7" s="163"/>
      <c r="C7" s="185"/>
      <c r="D7" s="125" t="s">
        <v>114</v>
      </c>
      <c r="E7" s="107" t="s">
        <v>115</v>
      </c>
      <c r="F7" s="107" t="s">
        <v>116</v>
      </c>
      <c r="G7" s="107" t="s">
        <v>114</v>
      </c>
      <c r="H7" s="107" t="s">
        <v>115</v>
      </c>
      <c r="I7" s="107" t="s">
        <v>116</v>
      </c>
      <c r="J7" s="184"/>
      <c r="K7" s="171" t="s">
        <v>17</v>
      </c>
      <c r="L7" s="172"/>
      <c r="M7" s="172"/>
      <c r="N7" s="173"/>
      <c r="O7" s="171" t="s">
        <v>18</v>
      </c>
      <c r="P7" s="172"/>
      <c r="Q7" s="172"/>
      <c r="R7" s="173"/>
      <c r="S7" s="171" t="s">
        <v>17</v>
      </c>
      <c r="T7" s="172"/>
      <c r="U7" s="172"/>
      <c r="V7" s="173"/>
      <c r="W7" s="171" t="s">
        <v>18</v>
      </c>
      <c r="X7" s="172"/>
      <c r="Y7" s="172"/>
      <c r="Z7" s="173"/>
      <c r="AA7" s="171" t="s">
        <v>17</v>
      </c>
      <c r="AB7" s="172"/>
      <c r="AC7" s="172"/>
      <c r="AD7" s="173"/>
      <c r="AE7" s="171" t="s">
        <v>18</v>
      </c>
      <c r="AF7" s="172"/>
      <c r="AG7" s="172"/>
      <c r="AH7" s="173"/>
      <c r="AI7" s="171" t="s">
        <v>17</v>
      </c>
      <c r="AJ7" s="172"/>
      <c r="AK7" s="172"/>
      <c r="AL7" s="173"/>
      <c r="AM7" s="171" t="s">
        <v>18</v>
      </c>
      <c r="AN7" s="172"/>
      <c r="AO7" s="172"/>
      <c r="AP7" s="173"/>
      <c r="AQ7" s="171" t="s">
        <v>17</v>
      </c>
      <c r="AR7" s="172"/>
      <c r="AS7" s="172"/>
      <c r="AT7" s="173"/>
      <c r="AU7" s="171" t="s">
        <v>18</v>
      </c>
      <c r="AV7" s="172"/>
      <c r="AW7" s="172"/>
      <c r="AX7" s="173"/>
      <c r="AY7" s="171" t="s">
        <v>17</v>
      </c>
      <c r="AZ7" s="172"/>
      <c r="BA7" s="172"/>
      <c r="BB7" s="173"/>
      <c r="BC7" s="171" t="s">
        <v>18</v>
      </c>
      <c r="BD7" s="172"/>
      <c r="BE7" s="172"/>
      <c r="BF7" s="173"/>
      <c r="BG7" s="171" t="s">
        <v>17</v>
      </c>
      <c r="BH7" s="172"/>
      <c r="BI7" s="172"/>
      <c r="BJ7" s="173"/>
      <c r="BK7" s="171" t="s">
        <v>18</v>
      </c>
      <c r="BL7" s="172"/>
      <c r="BM7" s="172"/>
      <c r="BN7" s="173"/>
      <c r="BO7" s="177" t="s">
        <v>157</v>
      </c>
      <c r="BP7" s="178"/>
      <c r="BQ7" s="177" t="s">
        <v>26</v>
      </c>
      <c r="BR7" s="179"/>
      <c r="BS7" s="150" t="s">
        <v>159</v>
      </c>
      <c r="BT7" s="150" t="s">
        <v>160</v>
      </c>
      <c r="BU7" s="170"/>
    </row>
    <row r="8" spans="1:73" ht="30" x14ac:dyDescent="0.25">
      <c r="A8" s="102" t="s">
        <v>8</v>
      </c>
      <c r="B8" s="102" t="s">
        <v>84</v>
      </c>
      <c r="C8" s="124" t="s">
        <v>72</v>
      </c>
      <c r="D8" s="126" t="s">
        <v>104</v>
      </c>
      <c r="E8" s="110" t="s">
        <v>105</v>
      </c>
      <c r="F8" s="110" t="s">
        <v>104</v>
      </c>
      <c r="G8" s="110">
        <f t="shared" ref="G8:G17" si="0">IF(D8=$A$21,$B$21,(IF(D8=$A$22,$B$22,IF(D8=$A$23,$B$23,$B$24))))</f>
        <v>1</v>
      </c>
      <c r="H8" s="110">
        <f t="shared" ref="H8:H17" si="1">IF(E8=$A$21,$B$21,(IF(E8=$A$22,$B$22,IF(E8=$A$23,$B$23,$B$24))))</f>
        <v>0.66</v>
      </c>
      <c r="I8" s="110">
        <f t="shared" ref="I8:I17" si="2">IF(F8=$A$21,$B$21,(IF(F8=$A$22,$B$22,IF(F8=$A$23,$B$23,$B$24))))</f>
        <v>1</v>
      </c>
      <c r="J8" s="10">
        <f>G8*$D$35+H8*$D$36+I8*$D$37</f>
        <v>14.15</v>
      </c>
      <c r="K8" s="81">
        <v>0.88</v>
      </c>
      <c r="L8" s="83">
        <v>0.88</v>
      </c>
      <c r="M8" s="83">
        <v>1</v>
      </c>
      <c r="N8" s="84">
        <v>1</v>
      </c>
      <c r="O8" s="81">
        <v>0.8</v>
      </c>
      <c r="P8" s="83">
        <v>0.88</v>
      </c>
      <c r="Q8" s="83">
        <v>1</v>
      </c>
      <c r="R8" s="84">
        <v>1</v>
      </c>
      <c r="S8" s="81">
        <v>0.44000000000000006</v>
      </c>
      <c r="T8" s="83">
        <v>0.55000000000000004</v>
      </c>
      <c r="U8" s="83">
        <v>0.77</v>
      </c>
      <c r="V8" s="84">
        <v>0.88</v>
      </c>
      <c r="W8" s="81">
        <v>0.47000000000000003</v>
      </c>
      <c r="X8" s="83">
        <v>0.55000000000000004</v>
      </c>
      <c r="Y8" s="83">
        <v>0.77</v>
      </c>
      <c r="Z8" s="84">
        <v>0.85</v>
      </c>
      <c r="AA8" s="81">
        <v>0.88</v>
      </c>
      <c r="AB8" s="83">
        <v>0.88</v>
      </c>
      <c r="AC8" s="83">
        <v>1</v>
      </c>
      <c r="AD8" s="84">
        <v>1</v>
      </c>
      <c r="AE8" s="81">
        <v>0.8</v>
      </c>
      <c r="AF8" s="83">
        <v>0.88</v>
      </c>
      <c r="AG8" s="83">
        <v>1</v>
      </c>
      <c r="AH8" s="84">
        <v>1</v>
      </c>
      <c r="AI8" s="81">
        <v>4.84</v>
      </c>
      <c r="AJ8" s="83">
        <v>6.16</v>
      </c>
      <c r="AK8" s="83">
        <v>8</v>
      </c>
      <c r="AL8" s="84">
        <v>9.5</v>
      </c>
      <c r="AM8" s="81">
        <v>4.7200000000000006</v>
      </c>
      <c r="AN8" s="83">
        <v>6.16</v>
      </c>
      <c r="AO8" s="83">
        <v>8</v>
      </c>
      <c r="AP8" s="84">
        <v>9</v>
      </c>
      <c r="AQ8" s="81">
        <v>5.500000000000016E-2</v>
      </c>
      <c r="AR8" s="83">
        <v>1.1000000000000001</v>
      </c>
      <c r="AS8" s="83">
        <v>2.31</v>
      </c>
      <c r="AT8" s="83">
        <v>3.7950000000000004</v>
      </c>
      <c r="AU8" s="81">
        <v>0.39000000000000012</v>
      </c>
      <c r="AV8" s="83">
        <v>1.1000000000000001</v>
      </c>
      <c r="AW8" s="83">
        <v>2.31</v>
      </c>
      <c r="AX8" s="84">
        <v>3.32</v>
      </c>
      <c r="AY8" s="81">
        <v>2.6399999999999997</v>
      </c>
      <c r="AZ8" s="83">
        <v>3.96</v>
      </c>
      <c r="BA8" s="83">
        <v>5.5</v>
      </c>
      <c r="BB8" s="83">
        <v>7</v>
      </c>
      <c r="BC8" s="81">
        <v>2.7199999999999998</v>
      </c>
      <c r="BD8" s="83">
        <v>3.96</v>
      </c>
      <c r="BE8" s="83">
        <v>5.5</v>
      </c>
      <c r="BF8" s="84">
        <v>6.5</v>
      </c>
      <c r="BG8" s="81">
        <f>AI8+AQ8+AY8</f>
        <v>7.5349999999999993</v>
      </c>
      <c r="BH8" s="83">
        <f t="shared" ref="BH8:BN8" si="3">AJ8+AR8+AZ8</f>
        <v>11.219999999999999</v>
      </c>
      <c r="BI8" s="83">
        <f t="shared" si="3"/>
        <v>15.81</v>
      </c>
      <c r="BJ8" s="83">
        <f t="shared" si="3"/>
        <v>20.295000000000002</v>
      </c>
      <c r="BK8" s="81">
        <f t="shared" si="3"/>
        <v>7.830000000000001</v>
      </c>
      <c r="BL8" s="83">
        <f t="shared" si="3"/>
        <v>11.219999999999999</v>
      </c>
      <c r="BM8" s="83">
        <f t="shared" si="3"/>
        <v>15.81</v>
      </c>
      <c r="BN8" s="83">
        <f t="shared" si="3"/>
        <v>18.82</v>
      </c>
      <c r="BO8" s="141">
        <f>BO$5*BH8+(1-BO$5)*BG8</f>
        <v>10.482999999999999</v>
      </c>
      <c r="BP8" s="147">
        <f>BO$5*BI8+(1-BO$5)*BJ8</f>
        <v>16.707000000000001</v>
      </c>
      <c r="BQ8" s="141">
        <f>BO$5*BL8+(1-BO$5)*BK8</f>
        <v>10.541999999999998</v>
      </c>
      <c r="BR8" s="142">
        <f>BO$5*BM8+(1-BO$5)*BN8</f>
        <v>16.411999999999999</v>
      </c>
      <c r="BS8" s="81">
        <f>(BO8+BP8)/2</f>
        <v>13.594999999999999</v>
      </c>
      <c r="BT8" s="84">
        <f>(BQ8+BR8)/2</f>
        <v>13.476999999999999</v>
      </c>
      <c r="BU8" s="138">
        <f>(BS8+BT8)/2</f>
        <v>13.535999999999998</v>
      </c>
    </row>
    <row r="9" spans="1:73" x14ac:dyDescent="0.25">
      <c r="A9" s="102" t="s">
        <v>9</v>
      </c>
      <c r="B9" s="102" t="s">
        <v>73</v>
      </c>
      <c r="C9" s="124" t="s">
        <v>88</v>
      </c>
      <c r="D9" s="126" t="s">
        <v>106</v>
      </c>
      <c r="E9" s="110" t="s">
        <v>106</v>
      </c>
      <c r="F9" s="110" t="s">
        <v>105</v>
      </c>
      <c r="G9" s="110">
        <f t="shared" si="0"/>
        <v>0.33</v>
      </c>
      <c r="H9" s="110">
        <f t="shared" si="1"/>
        <v>0.33</v>
      </c>
      <c r="I9" s="110">
        <f t="shared" si="2"/>
        <v>0.66</v>
      </c>
      <c r="J9" s="10">
        <f t="shared" ref="J9:J17" si="4">G9*$D$35+H9*$D$36+I9*$D$37</f>
        <v>6.6000000000000005</v>
      </c>
      <c r="K9" s="87">
        <v>0.11000000000000003</v>
      </c>
      <c r="L9">
        <v>0.22000000000000003</v>
      </c>
      <c r="M9">
        <v>0.44</v>
      </c>
      <c r="N9" s="88">
        <v>0.55000000000000004</v>
      </c>
      <c r="O9" s="87">
        <v>0.14000000000000001</v>
      </c>
      <c r="P9">
        <v>0.22000000000000003</v>
      </c>
      <c r="Q9">
        <v>0.44</v>
      </c>
      <c r="R9" s="88">
        <v>0.52</v>
      </c>
      <c r="S9" s="87">
        <v>0.11000000000000003</v>
      </c>
      <c r="T9">
        <v>0.22000000000000003</v>
      </c>
      <c r="U9">
        <v>0.44</v>
      </c>
      <c r="V9" s="88">
        <v>0.55000000000000004</v>
      </c>
      <c r="W9" s="87">
        <v>0.14000000000000001</v>
      </c>
      <c r="X9">
        <v>0.22000000000000003</v>
      </c>
      <c r="Y9">
        <v>0.44</v>
      </c>
      <c r="Z9" s="88">
        <v>0.52</v>
      </c>
      <c r="AA9" s="87">
        <v>0.44000000000000006</v>
      </c>
      <c r="AB9">
        <v>0.55000000000000004</v>
      </c>
      <c r="AC9">
        <v>0.77</v>
      </c>
      <c r="AD9" s="88">
        <v>0.88</v>
      </c>
      <c r="AE9" s="87">
        <v>0.47000000000000003</v>
      </c>
      <c r="AF9">
        <v>0.55000000000000004</v>
      </c>
      <c r="AG9">
        <v>0.77</v>
      </c>
      <c r="AH9" s="88">
        <v>0.85</v>
      </c>
      <c r="AI9" s="87">
        <v>0.44000000000000017</v>
      </c>
      <c r="AJ9">
        <v>1.5400000000000003</v>
      </c>
      <c r="AK9">
        <v>3.52</v>
      </c>
      <c r="AL9" s="88">
        <v>5.0600000000000005</v>
      </c>
      <c r="AM9" s="87">
        <v>0.76</v>
      </c>
      <c r="AN9">
        <v>1.5400000000000003</v>
      </c>
      <c r="AO9">
        <v>3.52</v>
      </c>
      <c r="AP9" s="88">
        <v>4.6000000000000014</v>
      </c>
      <c r="AQ9" s="87">
        <v>-0.10999999999999999</v>
      </c>
      <c r="AR9">
        <v>0.44000000000000006</v>
      </c>
      <c r="AS9">
        <v>1.32</v>
      </c>
      <c r="AT9">
        <v>2.3099999999999996</v>
      </c>
      <c r="AU9" s="87">
        <v>5.9999999999999942E-2</v>
      </c>
      <c r="AV9">
        <v>0.44000000000000006</v>
      </c>
      <c r="AW9">
        <v>1.32</v>
      </c>
      <c r="AX9" s="88">
        <v>2</v>
      </c>
      <c r="AY9" s="87">
        <v>1.1550000000000002</v>
      </c>
      <c r="AZ9">
        <v>2.4750000000000001</v>
      </c>
      <c r="BA9">
        <v>4.2350000000000003</v>
      </c>
      <c r="BB9">
        <v>5.9950000000000001</v>
      </c>
      <c r="BC9" s="87">
        <v>1.5650000000000008</v>
      </c>
      <c r="BD9">
        <v>2.4750000000000001</v>
      </c>
      <c r="BE9">
        <v>4.2350000000000003</v>
      </c>
      <c r="BF9" s="88">
        <v>5.4449999999999994</v>
      </c>
      <c r="BG9" s="87">
        <f t="shared" ref="BG9:BG17" si="5">AI9+AQ9+AY9</f>
        <v>1.4850000000000003</v>
      </c>
      <c r="BH9">
        <f t="shared" ref="BH9:BH17" si="6">AJ9+AR9+AZ9</f>
        <v>4.4550000000000001</v>
      </c>
      <c r="BI9">
        <f t="shared" ref="BI9:BI17" si="7">AK9+AS9+BA9</f>
        <v>9.0749999999999993</v>
      </c>
      <c r="BJ9">
        <f t="shared" ref="BJ9:BJ17" si="8">AL9+AT9+BB9</f>
        <v>13.365</v>
      </c>
      <c r="BK9" s="87">
        <f t="shared" ref="BK9:BK17" si="9">AM9+AU9+BC9</f>
        <v>2.3850000000000007</v>
      </c>
      <c r="BL9">
        <f t="shared" ref="BL9:BL17" si="10">AN9+AV9+BD9</f>
        <v>4.4550000000000001</v>
      </c>
      <c r="BM9">
        <f t="shared" ref="BM9:BM17" si="11">AO9+AW9+BE9</f>
        <v>9.0749999999999993</v>
      </c>
      <c r="BN9">
        <f t="shared" ref="BN9:BN17" si="12">AP9+AX9+BF9</f>
        <v>12.045000000000002</v>
      </c>
      <c r="BO9" s="143">
        <f t="shared" ref="BO9:BO17" si="13">BO$5*BH9+(1-BO$5)*BG9</f>
        <v>3.8610000000000002</v>
      </c>
      <c r="BP9" s="148">
        <f t="shared" ref="BP9:BP17" si="14">BO$5*BI9+(1-BO$5)*BJ9</f>
        <v>9.9329999999999998</v>
      </c>
      <c r="BQ9" s="143">
        <f t="shared" ref="BQ9:BQ17" si="15">BO$5*BL9+(1-BO$5)*BK9</f>
        <v>4.0410000000000004</v>
      </c>
      <c r="BR9" s="144">
        <f t="shared" ref="BR9:BR17" si="16">BO$5*BM9+(1-BO$5)*BN9</f>
        <v>9.6690000000000005</v>
      </c>
      <c r="BS9" s="87">
        <f t="shared" ref="BS9:BS17" si="17">(BO9+BP9)/2</f>
        <v>6.8970000000000002</v>
      </c>
      <c r="BT9" s="88">
        <f t="shared" ref="BT9:BT17" si="18">(BQ9+BR9)/2</f>
        <v>6.8550000000000004</v>
      </c>
      <c r="BU9" s="139">
        <f t="shared" ref="BU9:BU17" si="19">(BS9+BT9)/2</f>
        <v>6.8760000000000003</v>
      </c>
    </row>
    <row r="10" spans="1:73" x14ac:dyDescent="0.25">
      <c r="A10" s="102" t="s">
        <v>10</v>
      </c>
      <c r="B10" s="102" t="s">
        <v>74</v>
      </c>
      <c r="C10" s="124" t="s">
        <v>89</v>
      </c>
      <c r="D10" s="126" t="s">
        <v>105</v>
      </c>
      <c r="E10" s="110" t="s">
        <v>105</v>
      </c>
      <c r="F10" s="110" t="s">
        <v>105</v>
      </c>
      <c r="G10" s="110">
        <f t="shared" si="0"/>
        <v>0.66</v>
      </c>
      <c r="H10" s="110">
        <f t="shared" si="1"/>
        <v>0.66</v>
      </c>
      <c r="I10" s="110">
        <f t="shared" si="2"/>
        <v>0.66</v>
      </c>
      <c r="J10" s="10">
        <f t="shared" si="4"/>
        <v>9.9</v>
      </c>
      <c r="K10" s="87">
        <v>0.44000000000000006</v>
      </c>
      <c r="L10">
        <v>0.55000000000000004</v>
      </c>
      <c r="M10">
        <v>0.77</v>
      </c>
      <c r="N10" s="88">
        <v>0.88</v>
      </c>
      <c r="O10" s="87">
        <v>0.47000000000000003</v>
      </c>
      <c r="P10">
        <v>0.55000000000000004</v>
      </c>
      <c r="Q10">
        <v>0.77</v>
      </c>
      <c r="R10" s="88">
        <v>0.85</v>
      </c>
      <c r="S10" s="87">
        <v>0.44000000000000006</v>
      </c>
      <c r="T10">
        <v>0.55000000000000004</v>
      </c>
      <c r="U10">
        <v>0.77</v>
      </c>
      <c r="V10" s="88">
        <v>0.88</v>
      </c>
      <c r="W10" s="87">
        <v>0.47000000000000003</v>
      </c>
      <c r="X10">
        <v>0.55000000000000004</v>
      </c>
      <c r="Y10">
        <v>0.77</v>
      </c>
      <c r="Z10" s="88">
        <v>0.85</v>
      </c>
      <c r="AA10" s="87">
        <v>0.44000000000000006</v>
      </c>
      <c r="AB10">
        <v>0.55000000000000004</v>
      </c>
      <c r="AC10">
        <v>0.77</v>
      </c>
      <c r="AD10" s="88">
        <v>0.88</v>
      </c>
      <c r="AE10" s="87">
        <v>0.47000000000000003</v>
      </c>
      <c r="AF10">
        <v>0.55000000000000004</v>
      </c>
      <c r="AG10">
        <v>0.77</v>
      </c>
      <c r="AH10" s="88">
        <v>0.85</v>
      </c>
      <c r="AI10" s="87">
        <v>2.2549999999999999</v>
      </c>
      <c r="AJ10">
        <v>3.8500000000000005</v>
      </c>
      <c r="AK10">
        <v>6.16</v>
      </c>
      <c r="AL10" s="88">
        <v>8.1950000000000003</v>
      </c>
      <c r="AM10" s="87">
        <v>2.7399999999999993</v>
      </c>
      <c r="AN10">
        <v>3.8500000000000005</v>
      </c>
      <c r="AO10">
        <v>6.16</v>
      </c>
      <c r="AP10" s="88">
        <v>7.57</v>
      </c>
      <c r="AQ10" s="87">
        <v>5.500000000000016E-2</v>
      </c>
      <c r="AR10">
        <v>1.1000000000000001</v>
      </c>
      <c r="AS10">
        <v>2.31</v>
      </c>
      <c r="AT10">
        <v>3.7950000000000004</v>
      </c>
      <c r="AU10" s="87">
        <v>0.39000000000000012</v>
      </c>
      <c r="AV10">
        <v>1.1000000000000001</v>
      </c>
      <c r="AW10">
        <v>2.31</v>
      </c>
      <c r="AX10" s="88">
        <v>3.32</v>
      </c>
      <c r="AY10" s="87">
        <v>1.1550000000000002</v>
      </c>
      <c r="AZ10">
        <v>2.4750000000000001</v>
      </c>
      <c r="BA10">
        <v>4.2350000000000003</v>
      </c>
      <c r="BB10">
        <v>5.9950000000000001</v>
      </c>
      <c r="BC10" s="87">
        <v>1.5650000000000008</v>
      </c>
      <c r="BD10">
        <v>2.4750000000000001</v>
      </c>
      <c r="BE10">
        <v>4.2350000000000003</v>
      </c>
      <c r="BF10" s="88">
        <v>5.4449999999999994</v>
      </c>
      <c r="BG10" s="87">
        <f t="shared" si="5"/>
        <v>3.4650000000000003</v>
      </c>
      <c r="BH10">
        <f t="shared" si="6"/>
        <v>7.4250000000000007</v>
      </c>
      <c r="BI10">
        <f t="shared" si="7"/>
        <v>12.705000000000002</v>
      </c>
      <c r="BJ10">
        <f t="shared" si="8"/>
        <v>17.984999999999999</v>
      </c>
      <c r="BK10" s="87">
        <f t="shared" si="9"/>
        <v>4.6950000000000003</v>
      </c>
      <c r="BL10">
        <f t="shared" si="10"/>
        <v>7.4250000000000007</v>
      </c>
      <c r="BM10">
        <f t="shared" si="11"/>
        <v>12.705000000000002</v>
      </c>
      <c r="BN10">
        <f t="shared" si="12"/>
        <v>16.335000000000001</v>
      </c>
      <c r="BO10" s="143">
        <f t="shared" si="13"/>
        <v>6.6330000000000009</v>
      </c>
      <c r="BP10" s="148">
        <f t="shared" si="14"/>
        <v>13.761000000000001</v>
      </c>
      <c r="BQ10" s="143">
        <f t="shared" si="15"/>
        <v>6.8790000000000013</v>
      </c>
      <c r="BR10" s="144">
        <f t="shared" si="16"/>
        <v>13.431000000000001</v>
      </c>
      <c r="BS10" s="87">
        <f t="shared" si="17"/>
        <v>10.197000000000001</v>
      </c>
      <c r="BT10" s="88">
        <f t="shared" si="18"/>
        <v>10.155000000000001</v>
      </c>
      <c r="BU10" s="139">
        <f t="shared" si="19"/>
        <v>10.176000000000002</v>
      </c>
    </row>
    <row r="11" spans="1:73" x14ac:dyDescent="0.25">
      <c r="A11" s="102" t="s">
        <v>65</v>
      </c>
      <c r="B11" s="102" t="s">
        <v>75</v>
      </c>
      <c r="C11" s="124" t="s">
        <v>76</v>
      </c>
      <c r="D11" s="126" t="s">
        <v>104</v>
      </c>
      <c r="E11" s="110" t="s">
        <v>105</v>
      </c>
      <c r="F11" s="110" t="s">
        <v>105</v>
      </c>
      <c r="G11" s="110">
        <f t="shared" si="0"/>
        <v>1</v>
      </c>
      <c r="H11" s="110">
        <f t="shared" si="1"/>
        <v>0.66</v>
      </c>
      <c r="I11" s="110">
        <f t="shared" si="2"/>
        <v>0.66</v>
      </c>
      <c r="J11" s="10">
        <f t="shared" si="4"/>
        <v>12.450000000000001</v>
      </c>
      <c r="K11" s="87">
        <v>0.88</v>
      </c>
      <c r="L11">
        <v>0.88</v>
      </c>
      <c r="M11">
        <v>1</v>
      </c>
      <c r="N11" s="88">
        <v>1</v>
      </c>
      <c r="O11" s="87">
        <v>0.8</v>
      </c>
      <c r="P11">
        <v>0.88</v>
      </c>
      <c r="Q11">
        <v>1</v>
      </c>
      <c r="R11" s="88">
        <v>1</v>
      </c>
      <c r="S11" s="87">
        <v>0.44000000000000006</v>
      </c>
      <c r="T11">
        <v>0.55000000000000004</v>
      </c>
      <c r="U11">
        <v>0.77</v>
      </c>
      <c r="V11" s="88">
        <v>0.88</v>
      </c>
      <c r="W11" s="87">
        <v>0.47000000000000003</v>
      </c>
      <c r="X11">
        <v>0.55000000000000004</v>
      </c>
      <c r="Y11">
        <v>0.77</v>
      </c>
      <c r="Z11" s="88">
        <v>0.85</v>
      </c>
      <c r="AA11" s="87">
        <v>0.44000000000000006</v>
      </c>
      <c r="AB11">
        <v>0.55000000000000004</v>
      </c>
      <c r="AC11">
        <v>0.77</v>
      </c>
      <c r="AD11" s="88">
        <v>0.88</v>
      </c>
      <c r="AE11" s="87">
        <v>0.47000000000000003</v>
      </c>
      <c r="AF11">
        <v>0.55000000000000004</v>
      </c>
      <c r="AG11">
        <v>0.77</v>
      </c>
      <c r="AH11" s="88">
        <v>0.85</v>
      </c>
      <c r="AI11" s="87">
        <v>4.84</v>
      </c>
      <c r="AJ11">
        <v>6.16</v>
      </c>
      <c r="AK11">
        <v>8</v>
      </c>
      <c r="AL11" s="88">
        <v>9.5</v>
      </c>
      <c r="AM11" s="87">
        <v>4.7200000000000006</v>
      </c>
      <c r="AN11">
        <v>6.16</v>
      </c>
      <c r="AO11">
        <v>8</v>
      </c>
      <c r="AP11" s="88">
        <v>9</v>
      </c>
      <c r="AQ11" s="87">
        <v>5.500000000000016E-2</v>
      </c>
      <c r="AR11">
        <v>1.1000000000000001</v>
      </c>
      <c r="AS11">
        <v>2.31</v>
      </c>
      <c r="AT11">
        <v>3.7950000000000004</v>
      </c>
      <c r="AU11" s="87">
        <v>0.39000000000000012</v>
      </c>
      <c r="AV11">
        <v>1.1000000000000001</v>
      </c>
      <c r="AW11">
        <v>2.31</v>
      </c>
      <c r="AX11" s="88">
        <v>3.32</v>
      </c>
      <c r="AY11" s="87">
        <v>1.1550000000000002</v>
      </c>
      <c r="AZ11">
        <v>2.4750000000000001</v>
      </c>
      <c r="BA11">
        <v>4.2350000000000003</v>
      </c>
      <c r="BB11">
        <v>5.9950000000000001</v>
      </c>
      <c r="BC11" s="87">
        <v>1.5650000000000008</v>
      </c>
      <c r="BD11">
        <v>2.4750000000000001</v>
      </c>
      <c r="BE11">
        <v>4.2350000000000003</v>
      </c>
      <c r="BF11" s="88">
        <v>5.4449999999999994</v>
      </c>
      <c r="BG11" s="87">
        <f t="shared" si="5"/>
        <v>6.05</v>
      </c>
      <c r="BH11">
        <f t="shared" si="6"/>
        <v>9.7349999999999994</v>
      </c>
      <c r="BI11">
        <f t="shared" si="7"/>
        <v>14.545000000000002</v>
      </c>
      <c r="BJ11">
        <f t="shared" si="8"/>
        <v>19.29</v>
      </c>
      <c r="BK11" s="87">
        <f t="shared" si="9"/>
        <v>6.6750000000000025</v>
      </c>
      <c r="BL11">
        <f t="shared" si="10"/>
        <v>9.7349999999999994</v>
      </c>
      <c r="BM11">
        <f t="shared" si="11"/>
        <v>14.545000000000002</v>
      </c>
      <c r="BN11">
        <f t="shared" si="12"/>
        <v>17.765000000000001</v>
      </c>
      <c r="BO11" s="143">
        <f t="shared" si="13"/>
        <v>8.9979999999999993</v>
      </c>
      <c r="BP11" s="148">
        <f t="shared" si="14"/>
        <v>15.494000000000002</v>
      </c>
      <c r="BQ11" s="143">
        <f t="shared" si="15"/>
        <v>9.1230000000000011</v>
      </c>
      <c r="BR11" s="144">
        <f t="shared" si="16"/>
        <v>15.189000000000002</v>
      </c>
      <c r="BS11" s="87">
        <f t="shared" si="17"/>
        <v>12.246</v>
      </c>
      <c r="BT11" s="88">
        <f t="shared" si="18"/>
        <v>12.156000000000002</v>
      </c>
      <c r="BU11" s="139">
        <f t="shared" si="19"/>
        <v>12.201000000000001</v>
      </c>
    </row>
    <row r="12" spans="1:73" ht="30" x14ac:dyDescent="0.25">
      <c r="A12" s="102" t="s">
        <v>66</v>
      </c>
      <c r="B12" s="102" t="s">
        <v>77</v>
      </c>
      <c r="C12" s="124" t="s">
        <v>90</v>
      </c>
      <c r="D12" s="126" t="s">
        <v>105</v>
      </c>
      <c r="E12" s="110" t="s">
        <v>104</v>
      </c>
      <c r="F12" s="110" t="s">
        <v>105</v>
      </c>
      <c r="G12" s="110">
        <f t="shared" si="0"/>
        <v>0.66</v>
      </c>
      <c r="H12" s="110">
        <f t="shared" si="1"/>
        <v>1</v>
      </c>
      <c r="I12" s="110">
        <f t="shared" si="2"/>
        <v>0.66</v>
      </c>
      <c r="J12" s="10">
        <f t="shared" si="4"/>
        <v>10.75</v>
      </c>
      <c r="K12" s="87">
        <v>0.44000000000000006</v>
      </c>
      <c r="L12">
        <v>0.55000000000000004</v>
      </c>
      <c r="M12">
        <v>0.77</v>
      </c>
      <c r="N12" s="88">
        <v>0.88</v>
      </c>
      <c r="O12" s="87">
        <v>0.47000000000000003</v>
      </c>
      <c r="P12">
        <v>0.55000000000000004</v>
      </c>
      <c r="Q12">
        <v>0.77</v>
      </c>
      <c r="R12" s="88">
        <v>0.85</v>
      </c>
      <c r="S12" s="87">
        <v>0.88</v>
      </c>
      <c r="T12">
        <v>0.88</v>
      </c>
      <c r="U12">
        <v>1</v>
      </c>
      <c r="V12" s="88">
        <v>1</v>
      </c>
      <c r="W12" s="87">
        <v>0.8</v>
      </c>
      <c r="X12">
        <v>0.88</v>
      </c>
      <c r="Y12">
        <v>1</v>
      </c>
      <c r="Z12" s="88">
        <v>1</v>
      </c>
      <c r="AA12" s="87">
        <v>0.44000000000000006</v>
      </c>
      <c r="AB12">
        <v>0.55000000000000004</v>
      </c>
      <c r="AC12">
        <v>0.77</v>
      </c>
      <c r="AD12" s="88">
        <v>0.88</v>
      </c>
      <c r="AE12" s="87">
        <v>0.47000000000000003</v>
      </c>
      <c r="AF12">
        <v>0.55000000000000004</v>
      </c>
      <c r="AG12">
        <v>0.77</v>
      </c>
      <c r="AH12" s="88">
        <v>0.85</v>
      </c>
      <c r="AI12" s="87">
        <v>2.2549999999999999</v>
      </c>
      <c r="AJ12">
        <v>3.8500000000000005</v>
      </c>
      <c r="AK12">
        <v>6.16</v>
      </c>
      <c r="AL12" s="88">
        <v>8.1950000000000003</v>
      </c>
      <c r="AM12" s="87">
        <v>2.7399999999999993</v>
      </c>
      <c r="AN12">
        <v>3.8500000000000005</v>
      </c>
      <c r="AO12">
        <v>6.16</v>
      </c>
      <c r="AP12" s="88">
        <v>7.57</v>
      </c>
      <c r="AQ12" s="87">
        <v>0.44000000000000017</v>
      </c>
      <c r="AR12">
        <v>1.76</v>
      </c>
      <c r="AS12">
        <v>3</v>
      </c>
      <c r="AT12">
        <v>4.5</v>
      </c>
      <c r="AU12" s="87">
        <v>0.72</v>
      </c>
      <c r="AV12">
        <v>1.76</v>
      </c>
      <c r="AW12">
        <v>3</v>
      </c>
      <c r="AX12" s="88">
        <v>4</v>
      </c>
      <c r="AY12" s="87">
        <v>1.1550000000000002</v>
      </c>
      <c r="AZ12">
        <v>2.4750000000000001</v>
      </c>
      <c r="BA12">
        <v>4.2350000000000003</v>
      </c>
      <c r="BB12">
        <v>5.9950000000000001</v>
      </c>
      <c r="BC12" s="87">
        <v>1.5650000000000008</v>
      </c>
      <c r="BD12">
        <v>2.4750000000000001</v>
      </c>
      <c r="BE12">
        <v>4.2350000000000003</v>
      </c>
      <c r="BF12" s="88">
        <v>5.4449999999999994</v>
      </c>
      <c r="BG12" s="87">
        <f t="shared" si="5"/>
        <v>3.8500000000000005</v>
      </c>
      <c r="BH12">
        <f t="shared" si="6"/>
        <v>8.0850000000000009</v>
      </c>
      <c r="BI12">
        <f t="shared" si="7"/>
        <v>13.395</v>
      </c>
      <c r="BJ12">
        <f t="shared" si="8"/>
        <v>18.690000000000001</v>
      </c>
      <c r="BK12" s="87">
        <f t="shared" si="9"/>
        <v>5.0250000000000004</v>
      </c>
      <c r="BL12">
        <f t="shared" si="10"/>
        <v>8.0850000000000009</v>
      </c>
      <c r="BM12">
        <f t="shared" si="11"/>
        <v>13.395</v>
      </c>
      <c r="BN12">
        <f t="shared" si="12"/>
        <v>17.015000000000001</v>
      </c>
      <c r="BO12" s="143">
        <f t="shared" si="13"/>
        <v>7.2380000000000004</v>
      </c>
      <c r="BP12" s="148">
        <f t="shared" si="14"/>
        <v>14.454000000000001</v>
      </c>
      <c r="BQ12" s="143">
        <f t="shared" si="15"/>
        <v>7.4730000000000008</v>
      </c>
      <c r="BR12" s="144">
        <f t="shared" si="16"/>
        <v>14.119</v>
      </c>
      <c r="BS12" s="87">
        <f t="shared" si="17"/>
        <v>10.846</v>
      </c>
      <c r="BT12" s="88">
        <f t="shared" si="18"/>
        <v>10.795999999999999</v>
      </c>
      <c r="BU12" s="139">
        <f t="shared" si="19"/>
        <v>10.821</v>
      </c>
    </row>
    <row r="13" spans="1:73" x14ac:dyDescent="0.25">
      <c r="A13" s="102" t="s">
        <v>67</v>
      </c>
      <c r="B13" s="102" t="s">
        <v>78</v>
      </c>
      <c r="C13" s="124" t="s">
        <v>91</v>
      </c>
      <c r="D13" s="126" t="s">
        <v>104</v>
      </c>
      <c r="E13" s="110" t="s">
        <v>105</v>
      </c>
      <c r="F13" s="110" t="s">
        <v>106</v>
      </c>
      <c r="G13" s="110">
        <f t="shared" si="0"/>
        <v>1</v>
      </c>
      <c r="H13" s="110">
        <f t="shared" si="1"/>
        <v>0.66</v>
      </c>
      <c r="I13" s="110">
        <f t="shared" si="2"/>
        <v>0.33</v>
      </c>
      <c r="J13" s="10">
        <f t="shared" si="4"/>
        <v>10.8</v>
      </c>
      <c r="K13" s="87">
        <v>0.88</v>
      </c>
      <c r="L13">
        <v>0.88</v>
      </c>
      <c r="M13">
        <v>1</v>
      </c>
      <c r="N13" s="88">
        <v>1</v>
      </c>
      <c r="O13" s="87">
        <v>0.8</v>
      </c>
      <c r="P13">
        <v>0.88</v>
      </c>
      <c r="Q13">
        <v>1</v>
      </c>
      <c r="R13" s="88">
        <v>1</v>
      </c>
      <c r="S13" s="87">
        <v>0.44000000000000006</v>
      </c>
      <c r="T13">
        <v>0.55000000000000004</v>
      </c>
      <c r="U13">
        <v>0.77</v>
      </c>
      <c r="V13" s="88">
        <v>0.88</v>
      </c>
      <c r="W13" s="87">
        <v>0.47000000000000003</v>
      </c>
      <c r="X13">
        <v>0.55000000000000004</v>
      </c>
      <c r="Y13">
        <v>0.77</v>
      </c>
      <c r="Z13" s="88">
        <v>0.85</v>
      </c>
      <c r="AA13" s="87">
        <v>0.11000000000000003</v>
      </c>
      <c r="AB13">
        <v>0.22000000000000003</v>
      </c>
      <c r="AC13">
        <v>0.44</v>
      </c>
      <c r="AD13" s="88">
        <v>0.55000000000000004</v>
      </c>
      <c r="AE13" s="87">
        <v>0.14000000000000001</v>
      </c>
      <c r="AF13">
        <v>0.22000000000000003</v>
      </c>
      <c r="AG13">
        <v>0.44</v>
      </c>
      <c r="AH13" s="88">
        <v>0.52</v>
      </c>
      <c r="AI13" s="87">
        <v>4.84</v>
      </c>
      <c r="AJ13">
        <v>6.16</v>
      </c>
      <c r="AK13">
        <v>8</v>
      </c>
      <c r="AL13" s="88">
        <v>9.5</v>
      </c>
      <c r="AM13" s="87">
        <v>4.7200000000000006</v>
      </c>
      <c r="AN13">
        <v>6.16</v>
      </c>
      <c r="AO13">
        <v>8</v>
      </c>
      <c r="AP13" s="88">
        <v>9</v>
      </c>
      <c r="AQ13" s="87">
        <v>5.500000000000016E-2</v>
      </c>
      <c r="AR13">
        <v>1.1000000000000001</v>
      </c>
      <c r="AS13">
        <v>2.31</v>
      </c>
      <c r="AT13">
        <v>3.7950000000000004</v>
      </c>
      <c r="AU13" s="87">
        <v>0.39000000000000012</v>
      </c>
      <c r="AV13">
        <v>1.1000000000000001</v>
      </c>
      <c r="AW13">
        <v>2.31</v>
      </c>
      <c r="AX13" s="88">
        <v>3.32</v>
      </c>
      <c r="AY13" s="87">
        <v>0.16500000000000015</v>
      </c>
      <c r="AZ13">
        <v>0.9900000000000001</v>
      </c>
      <c r="BA13">
        <v>2.42</v>
      </c>
      <c r="BB13">
        <v>3.6850000000000005</v>
      </c>
      <c r="BC13" s="87">
        <v>0.41000000000000025</v>
      </c>
      <c r="BD13">
        <v>0.9900000000000001</v>
      </c>
      <c r="BE13">
        <v>2.42</v>
      </c>
      <c r="BF13" s="88">
        <v>3.3000000000000007</v>
      </c>
      <c r="BG13" s="87">
        <f t="shared" si="5"/>
        <v>5.0599999999999996</v>
      </c>
      <c r="BH13">
        <f t="shared" si="6"/>
        <v>8.25</v>
      </c>
      <c r="BI13">
        <f t="shared" si="7"/>
        <v>12.73</v>
      </c>
      <c r="BJ13">
        <f t="shared" si="8"/>
        <v>16.98</v>
      </c>
      <c r="BK13" s="87">
        <f t="shared" si="9"/>
        <v>5.5200000000000014</v>
      </c>
      <c r="BL13">
        <f t="shared" si="10"/>
        <v>8.25</v>
      </c>
      <c r="BM13">
        <f t="shared" si="11"/>
        <v>12.73</v>
      </c>
      <c r="BN13">
        <f t="shared" si="12"/>
        <v>15.620000000000001</v>
      </c>
      <c r="BO13" s="143">
        <f t="shared" si="13"/>
        <v>7.6120000000000001</v>
      </c>
      <c r="BP13" s="148">
        <f t="shared" si="14"/>
        <v>13.58</v>
      </c>
      <c r="BQ13" s="143">
        <f t="shared" si="15"/>
        <v>7.7040000000000006</v>
      </c>
      <c r="BR13" s="144">
        <f t="shared" si="16"/>
        <v>13.308</v>
      </c>
      <c r="BS13" s="87">
        <f t="shared" si="17"/>
        <v>10.596</v>
      </c>
      <c r="BT13" s="88">
        <f t="shared" si="18"/>
        <v>10.506</v>
      </c>
      <c r="BU13" s="139">
        <f t="shared" si="19"/>
        <v>10.551</v>
      </c>
    </row>
    <row r="14" spans="1:73" ht="30" x14ac:dyDescent="0.25">
      <c r="A14" s="102" t="s">
        <v>68</v>
      </c>
      <c r="B14" s="102" t="s">
        <v>79</v>
      </c>
      <c r="C14" s="124" t="s">
        <v>92</v>
      </c>
      <c r="D14" s="126" t="s">
        <v>104</v>
      </c>
      <c r="E14" s="110" t="s">
        <v>105</v>
      </c>
      <c r="F14" s="110" t="s">
        <v>106</v>
      </c>
      <c r="G14" s="110">
        <f t="shared" si="0"/>
        <v>1</v>
      </c>
      <c r="H14" s="110">
        <f t="shared" si="1"/>
        <v>0.66</v>
      </c>
      <c r="I14" s="110">
        <f t="shared" si="2"/>
        <v>0.33</v>
      </c>
      <c r="J14" s="10">
        <f t="shared" si="4"/>
        <v>10.8</v>
      </c>
      <c r="K14" s="87">
        <v>0.88</v>
      </c>
      <c r="L14">
        <v>0.88</v>
      </c>
      <c r="M14">
        <v>1</v>
      </c>
      <c r="N14" s="88">
        <v>1</v>
      </c>
      <c r="O14" s="87">
        <v>0.8</v>
      </c>
      <c r="P14">
        <v>0.88</v>
      </c>
      <c r="Q14">
        <v>1</v>
      </c>
      <c r="R14" s="88">
        <v>1</v>
      </c>
      <c r="S14" s="87">
        <v>0.44000000000000006</v>
      </c>
      <c r="T14">
        <v>0.55000000000000004</v>
      </c>
      <c r="U14">
        <v>0.77</v>
      </c>
      <c r="V14" s="88">
        <v>0.88</v>
      </c>
      <c r="W14" s="87">
        <v>0.47000000000000003</v>
      </c>
      <c r="X14">
        <v>0.55000000000000004</v>
      </c>
      <c r="Y14">
        <v>0.77</v>
      </c>
      <c r="Z14" s="88">
        <v>0.85</v>
      </c>
      <c r="AA14" s="87">
        <v>0.11000000000000003</v>
      </c>
      <c r="AB14">
        <v>0.22000000000000003</v>
      </c>
      <c r="AC14">
        <v>0.44</v>
      </c>
      <c r="AD14" s="88">
        <v>0.55000000000000004</v>
      </c>
      <c r="AE14" s="87">
        <v>0.14000000000000001</v>
      </c>
      <c r="AF14">
        <v>0.22000000000000003</v>
      </c>
      <c r="AG14">
        <v>0.44</v>
      </c>
      <c r="AH14" s="88">
        <v>0.52</v>
      </c>
      <c r="AI14" s="87">
        <v>4.84</v>
      </c>
      <c r="AJ14">
        <v>6.16</v>
      </c>
      <c r="AK14">
        <v>8</v>
      </c>
      <c r="AL14" s="88">
        <v>9.5</v>
      </c>
      <c r="AM14" s="87">
        <v>4.7200000000000006</v>
      </c>
      <c r="AN14">
        <v>6.16</v>
      </c>
      <c r="AO14">
        <v>8</v>
      </c>
      <c r="AP14" s="88">
        <v>9</v>
      </c>
      <c r="AQ14" s="87">
        <v>5.500000000000016E-2</v>
      </c>
      <c r="AR14">
        <v>1.1000000000000001</v>
      </c>
      <c r="AS14">
        <v>2.31</v>
      </c>
      <c r="AT14">
        <v>3.7950000000000004</v>
      </c>
      <c r="AU14" s="87">
        <v>0.39000000000000012</v>
      </c>
      <c r="AV14">
        <v>1.1000000000000001</v>
      </c>
      <c r="AW14">
        <v>2.31</v>
      </c>
      <c r="AX14" s="88">
        <v>3.32</v>
      </c>
      <c r="AY14" s="87">
        <v>0.16500000000000015</v>
      </c>
      <c r="AZ14">
        <v>0.9900000000000001</v>
      </c>
      <c r="BA14">
        <v>2.42</v>
      </c>
      <c r="BB14">
        <v>3.6850000000000005</v>
      </c>
      <c r="BC14" s="87">
        <v>0.41000000000000025</v>
      </c>
      <c r="BD14">
        <v>0.9900000000000001</v>
      </c>
      <c r="BE14">
        <v>2.42</v>
      </c>
      <c r="BF14" s="88">
        <v>3.3000000000000007</v>
      </c>
      <c r="BG14" s="87">
        <f t="shared" si="5"/>
        <v>5.0599999999999996</v>
      </c>
      <c r="BH14">
        <f t="shared" si="6"/>
        <v>8.25</v>
      </c>
      <c r="BI14">
        <f t="shared" si="7"/>
        <v>12.73</v>
      </c>
      <c r="BJ14">
        <f t="shared" si="8"/>
        <v>16.98</v>
      </c>
      <c r="BK14" s="87">
        <f t="shared" si="9"/>
        <v>5.5200000000000014</v>
      </c>
      <c r="BL14">
        <f t="shared" si="10"/>
        <v>8.25</v>
      </c>
      <c r="BM14">
        <f t="shared" si="11"/>
        <v>12.73</v>
      </c>
      <c r="BN14">
        <f t="shared" si="12"/>
        <v>15.620000000000001</v>
      </c>
      <c r="BO14" s="143">
        <f t="shared" si="13"/>
        <v>7.6120000000000001</v>
      </c>
      <c r="BP14" s="148">
        <f t="shared" si="14"/>
        <v>13.58</v>
      </c>
      <c r="BQ14" s="143">
        <f t="shared" si="15"/>
        <v>7.7040000000000006</v>
      </c>
      <c r="BR14" s="144">
        <f t="shared" si="16"/>
        <v>13.308</v>
      </c>
      <c r="BS14" s="87">
        <f t="shared" si="17"/>
        <v>10.596</v>
      </c>
      <c r="BT14" s="88">
        <f t="shared" si="18"/>
        <v>10.506</v>
      </c>
      <c r="BU14" s="139">
        <f t="shared" si="19"/>
        <v>10.551</v>
      </c>
    </row>
    <row r="15" spans="1:73" ht="30" x14ac:dyDescent="0.25">
      <c r="A15" s="102" t="s">
        <v>69</v>
      </c>
      <c r="B15" s="102" t="s">
        <v>80</v>
      </c>
      <c r="C15" s="124" t="s">
        <v>81</v>
      </c>
      <c r="D15" s="126" t="s">
        <v>105</v>
      </c>
      <c r="E15" s="110" t="s">
        <v>104</v>
      </c>
      <c r="F15" s="110" t="s">
        <v>104</v>
      </c>
      <c r="G15" s="110">
        <f t="shared" si="0"/>
        <v>0.66</v>
      </c>
      <c r="H15" s="110">
        <f t="shared" si="1"/>
        <v>1</v>
      </c>
      <c r="I15" s="110">
        <f t="shared" si="2"/>
        <v>1</v>
      </c>
      <c r="J15" s="10">
        <f t="shared" si="4"/>
        <v>12.45</v>
      </c>
      <c r="K15" s="87">
        <v>0.44000000000000006</v>
      </c>
      <c r="L15">
        <v>0.55000000000000004</v>
      </c>
      <c r="M15">
        <v>0.77</v>
      </c>
      <c r="N15" s="88">
        <v>0.88</v>
      </c>
      <c r="O15" s="87">
        <v>0.47000000000000003</v>
      </c>
      <c r="P15">
        <v>0.55000000000000004</v>
      </c>
      <c r="Q15">
        <v>0.77</v>
      </c>
      <c r="R15" s="88">
        <v>0.85</v>
      </c>
      <c r="S15" s="87">
        <v>0.88</v>
      </c>
      <c r="T15">
        <v>0.88</v>
      </c>
      <c r="U15">
        <v>1</v>
      </c>
      <c r="V15" s="88">
        <v>1</v>
      </c>
      <c r="W15" s="87">
        <v>0.8</v>
      </c>
      <c r="X15">
        <v>0.88</v>
      </c>
      <c r="Y15">
        <v>1</v>
      </c>
      <c r="Z15" s="88">
        <v>1</v>
      </c>
      <c r="AA15" s="87">
        <v>0.88</v>
      </c>
      <c r="AB15">
        <v>0.88</v>
      </c>
      <c r="AC15">
        <v>1</v>
      </c>
      <c r="AD15" s="88">
        <v>1</v>
      </c>
      <c r="AE15" s="87">
        <v>0.8</v>
      </c>
      <c r="AF15">
        <v>0.88</v>
      </c>
      <c r="AG15">
        <v>1</v>
      </c>
      <c r="AH15" s="88">
        <v>1</v>
      </c>
      <c r="AI15" s="87">
        <v>2.2549999999999999</v>
      </c>
      <c r="AJ15">
        <v>3.8500000000000005</v>
      </c>
      <c r="AK15">
        <v>6.16</v>
      </c>
      <c r="AL15" s="88">
        <v>8.1950000000000003</v>
      </c>
      <c r="AM15" s="87">
        <v>2.7399999999999993</v>
      </c>
      <c r="AN15">
        <v>3.8500000000000005</v>
      </c>
      <c r="AO15">
        <v>6.16</v>
      </c>
      <c r="AP15" s="88">
        <v>7.57</v>
      </c>
      <c r="AQ15" s="87">
        <v>0.44000000000000017</v>
      </c>
      <c r="AR15">
        <v>1.76</v>
      </c>
      <c r="AS15">
        <v>3</v>
      </c>
      <c r="AT15">
        <v>4.5</v>
      </c>
      <c r="AU15" s="87">
        <v>0.72</v>
      </c>
      <c r="AV15">
        <v>1.76</v>
      </c>
      <c r="AW15">
        <v>3</v>
      </c>
      <c r="AX15" s="88">
        <v>4</v>
      </c>
      <c r="AY15" s="87">
        <v>2.6399999999999997</v>
      </c>
      <c r="AZ15">
        <v>3.96</v>
      </c>
      <c r="BA15">
        <v>5.5</v>
      </c>
      <c r="BB15">
        <v>7</v>
      </c>
      <c r="BC15" s="87">
        <v>2.7199999999999998</v>
      </c>
      <c r="BD15">
        <v>3.96</v>
      </c>
      <c r="BE15">
        <v>5.5</v>
      </c>
      <c r="BF15" s="88">
        <v>6.5</v>
      </c>
      <c r="BG15" s="87">
        <f t="shared" si="5"/>
        <v>5.335</v>
      </c>
      <c r="BH15">
        <f t="shared" si="6"/>
        <v>9.57</v>
      </c>
      <c r="BI15">
        <f t="shared" si="7"/>
        <v>14.66</v>
      </c>
      <c r="BJ15">
        <f t="shared" si="8"/>
        <v>19.695</v>
      </c>
      <c r="BK15" s="87">
        <f t="shared" si="9"/>
        <v>6.1799999999999988</v>
      </c>
      <c r="BL15">
        <f t="shared" si="10"/>
        <v>9.57</v>
      </c>
      <c r="BM15">
        <f t="shared" si="11"/>
        <v>14.66</v>
      </c>
      <c r="BN15">
        <f t="shared" si="12"/>
        <v>18.07</v>
      </c>
      <c r="BO15" s="143">
        <f t="shared" si="13"/>
        <v>8.7230000000000008</v>
      </c>
      <c r="BP15" s="148">
        <f t="shared" si="14"/>
        <v>15.667000000000002</v>
      </c>
      <c r="BQ15" s="143">
        <f t="shared" si="15"/>
        <v>8.8919999999999995</v>
      </c>
      <c r="BR15" s="144">
        <f t="shared" si="16"/>
        <v>15.342000000000001</v>
      </c>
      <c r="BS15" s="87">
        <f t="shared" si="17"/>
        <v>12.195</v>
      </c>
      <c r="BT15" s="88">
        <f t="shared" si="18"/>
        <v>12.117000000000001</v>
      </c>
      <c r="BU15" s="139">
        <f t="shared" si="19"/>
        <v>12.156000000000001</v>
      </c>
    </row>
    <row r="16" spans="1:73" ht="36.75" customHeight="1" x14ac:dyDescent="0.25">
      <c r="A16" s="102" t="s">
        <v>70</v>
      </c>
      <c r="B16" s="102" t="s">
        <v>82</v>
      </c>
      <c r="C16" s="124" t="s">
        <v>93</v>
      </c>
      <c r="D16" s="126" t="s">
        <v>105</v>
      </c>
      <c r="E16" s="110" t="s">
        <v>104</v>
      </c>
      <c r="F16" s="110" t="s">
        <v>105</v>
      </c>
      <c r="G16" s="110">
        <f t="shared" si="0"/>
        <v>0.66</v>
      </c>
      <c r="H16" s="110">
        <f t="shared" si="1"/>
        <v>1</v>
      </c>
      <c r="I16" s="110">
        <f t="shared" si="2"/>
        <v>0.66</v>
      </c>
      <c r="J16" s="10">
        <f t="shared" si="4"/>
        <v>10.75</v>
      </c>
      <c r="K16" s="87">
        <v>0.44000000000000006</v>
      </c>
      <c r="L16">
        <v>0.55000000000000004</v>
      </c>
      <c r="M16">
        <v>0.77</v>
      </c>
      <c r="N16" s="88">
        <v>0.88</v>
      </c>
      <c r="O16" s="87">
        <v>0.47000000000000003</v>
      </c>
      <c r="P16">
        <v>0.55000000000000004</v>
      </c>
      <c r="Q16">
        <v>0.77</v>
      </c>
      <c r="R16" s="88">
        <v>0.85</v>
      </c>
      <c r="S16" s="87">
        <v>0.88</v>
      </c>
      <c r="T16">
        <v>0.88</v>
      </c>
      <c r="U16">
        <v>1</v>
      </c>
      <c r="V16" s="88">
        <v>1</v>
      </c>
      <c r="W16" s="87">
        <v>0.8</v>
      </c>
      <c r="X16">
        <v>0.88</v>
      </c>
      <c r="Y16">
        <v>1</v>
      </c>
      <c r="Z16" s="88">
        <v>1</v>
      </c>
      <c r="AA16" s="87">
        <v>0.44000000000000006</v>
      </c>
      <c r="AB16">
        <v>0.55000000000000004</v>
      </c>
      <c r="AC16">
        <v>0.77</v>
      </c>
      <c r="AD16" s="88">
        <v>0.88</v>
      </c>
      <c r="AE16" s="87">
        <v>0.47000000000000003</v>
      </c>
      <c r="AF16">
        <v>0.55000000000000004</v>
      </c>
      <c r="AG16">
        <v>0.77</v>
      </c>
      <c r="AH16" s="88">
        <v>0.85</v>
      </c>
      <c r="AI16" s="87">
        <v>2.2549999999999999</v>
      </c>
      <c r="AJ16">
        <v>3.8500000000000005</v>
      </c>
      <c r="AK16">
        <v>6.16</v>
      </c>
      <c r="AL16" s="88">
        <v>8.1950000000000003</v>
      </c>
      <c r="AM16" s="87">
        <v>2.7399999999999993</v>
      </c>
      <c r="AN16">
        <v>3.8500000000000005</v>
      </c>
      <c r="AO16">
        <v>6.16</v>
      </c>
      <c r="AP16" s="88">
        <v>7.57</v>
      </c>
      <c r="AQ16" s="87">
        <v>0.44000000000000017</v>
      </c>
      <c r="AR16">
        <v>1.76</v>
      </c>
      <c r="AS16">
        <v>3</v>
      </c>
      <c r="AT16">
        <v>4.5</v>
      </c>
      <c r="AU16" s="87">
        <v>0.72</v>
      </c>
      <c r="AV16">
        <v>1.76</v>
      </c>
      <c r="AW16">
        <v>3</v>
      </c>
      <c r="AX16" s="88">
        <v>4</v>
      </c>
      <c r="AY16" s="87">
        <v>1.1550000000000002</v>
      </c>
      <c r="AZ16">
        <v>2.4750000000000001</v>
      </c>
      <c r="BA16">
        <v>4.2350000000000003</v>
      </c>
      <c r="BB16">
        <v>5.9950000000000001</v>
      </c>
      <c r="BC16" s="87">
        <v>1.5650000000000008</v>
      </c>
      <c r="BD16">
        <v>2.4750000000000001</v>
      </c>
      <c r="BE16">
        <v>4.2350000000000003</v>
      </c>
      <c r="BF16" s="88">
        <v>5.4449999999999994</v>
      </c>
      <c r="BG16" s="87">
        <f t="shared" si="5"/>
        <v>3.8500000000000005</v>
      </c>
      <c r="BH16">
        <f t="shared" si="6"/>
        <v>8.0850000000000009</v>
      </c>
      <c r="BI16">
        <f t="shared" si="7"/>
        <v>13.395</v>
      </c>
      <c r="BJ16">
        <f t="shared" si="8"/>
        <v>18.690000000000001</v>
      </c>
      <c r="BK16" s="87">
        <f t="shared" si="9"/>
        <v>5.0250000000000004</v>
      </c>
      <c r="BL16">
        <f t="shared" si="10"/>
        <v>8.0850000000000009</v>
      </c>
      <c r="BM16">
        <f t="shared" si="11"/>
        <v>13.395</v>
      </c>
      <c r="BN16">
        <f t="shared" si="12"/>
        <v>17.015000000000001</v>
      </c>
      <c r="BO16" s="143">
        <f t="shared" si="13"/>
        <v>7.2380000000000004</v>
      </c>
      <c r="BP16" s="148">
        <f t="shared" si="14"/>
        <v>14.454000000000001</v>
      </c>
      <c r="BQ16" s="143">
        <f t="shared" si="15"/>
        <v>7.4730000000000008</v>
      </c>
      <c r="BR16" s="144">
        <f t="shared" si="16"/>
        <v>14.119</v>
      </c>
      <c r="BS16" s="87">
        <f t="shared" si="17"/>
        <v>10.846</v>
      </c>
      <c r="BT16" s="88">
        <f t="shared" si="18"/>
        <v>10.795999999999999</v>
      </c>
      <c r="BU16" s="139">
        <f t="shared" si="19"/>
        <v>10.821</v>
      </c>
    </row>
    <row r="17" spans="1:73" ht="30.75" thickBot="1" x14ac:dyDescent="0.3">
      <c r="A17" s="102" t="s">
        <v>71</v>
      </c>
      <c r="B17" s="102" t="s">
        <v>83</v>
      </c>
      <c r="C17" s="124" t="s">
        <v>94</v>
      </c>
      <c r="D17" s="127" t="s">
        <v>106</v>
      </c>
      <c r="E17" s="128" t="s">
        <v>104</v>
      </c>
      <c r="F17" s="128" t="s">
        <v>105</v>
      </c>
      <c r="G17" s="128">
        <f t="shared" si="0"/>
        <v>0.33</v>
      </c>
      <c r="H17" s="128">
        <f t="shared" si="1"/>
        <v>1</v>
      </c>
      <c r="I17" s="128">
        <f t="shared" si="2"/>
        <v>0.66</v>
      </c>
      <c r="J17" s="129">
        <f t="shared" si="4"/>
        <v>8.2750000000000004</v>
      </c>
      <c r="K17" s="91">
        <v>0.11000000000000003</v>
      </c>
      <c r="L17" s="93">
        <v>0.22000000000000003</v>
      </c>
      <c r="M17" s="93">
        <v>0.44</v>
      </c>
      <c r="N17" s="94">
        <v>0.55000000000000004</v>
      </c>
      <c r="O17" s="91">
        <v>0.14000000000000001</v>
      </c>
      <c r="P17" s="93">
        <v>0.22000000000000003</v>
      </c>
      <c r="Q17" s="93">
        <v>0.44</v>
      </c>
      <c r="R17" s="94">
        <v>0.52</v>
      </c>
      <c r="S17" s="91">
        <v>0.88</v>
      </c>
      <c r="T17" s="93">
        <v>0.88</v>
      </c>
      <c r="U17" s="93">
        <v>1</v>
      </c>
      <c r="V17" s="94">
        <v>1</v>
      </c>
      <c r="W17" s="91">
        <v>0.8</v>
      </c>
      <c r="X17" s="93">
        <v>0.88</v>
      </c>
      <c r="Y17" s="93">
        <v>1</v>
      </c>
      <c r="Z17" s="94">
        <v>1</v>
      </c>
      <c r="AA17" s="91">
        <v>0.44000000000000006</v>
      </c>
      <c r="AB17" s="93">
        <v>0.55000000000000004</v>
      </c>
      <c r="AC17" s="93">
        <v>0.77</v>
      </c>
      <c r="AD17" s="94">
        <v>0.88</v>
      </c>
      <c r="AE17" s="91">
        <v>0.47000000000000003</v>
      </c>
      <c r="AF17" s="93">
        <v>0.55000000000000004</v>
      </c>
      <c r="AG17" s="93">
        <v>0.77</v>
      </c>
      <c r="AH17" s="94">
        <v>0.85</v>
      </c>
      <c r="AI17" s="91">
        <v>0.44000000000000017</v>
      </c>
      <c r="AJ17" s="93">
        <v>1.5400000000000003</v>
      </c>
      <c r="AK17" s="93">
        <v>3.52</v>
      </c>
      <c r="AL17" s="94">
        <v>5.0600000000000005</v>
      </c>
      <c r="AM17" s="91">
        <v>0.76</v>
      </c>
      <c r="AN17" s="93">
        <v>1.5400000000000003</v>
      </c>
      <c r="AO17" s="93">
        <v>3.52</v>
      </c>
      <c r="AP17" s="94">
        <v>4.6000000000000014</v>
      </c>
      <c r="AQ17" s="91">
        <v>0.44000000000000017</v>
      </c>
      <c r="AR17" s="93">
        <v>1.76</v>
      </c>
      <c r="AS17" s="93">
        <v>3</v>
      </c>
      <c r="AT17" s="93">
        <v>4.5</v>
      </c>
      <c r="AU17" s="91">
        <v>0.72</v>
      </c>
      <c r="AV17" s="93">
        <v>1.76</v>
      </c>
      <c r="AW17" s="93">
        <v>3</v>
      </c>
      <c r="AX17" s="94">
        <v>4</v>
      </c>
      <c r="AY17" s="91">
        <v>1.1550000000000002</v>
      </c>
      <c r="AZ17" s="93">
        <v>2.4750000000000001</v>
      </c>
      <c r="BA17" s="93">
        <v>4.2350000000000003</v>
      </c>
      <c r="BB17" s="93">
        <v>5.9950000000000001</v>
      </c>
      <c r="BC17" s="91">
        <v>1.5650000000000008</v>
      </c>
      <c r="BD17" s="93">
        <v>2.4750000000000001</v>
      </c>
      <c r="BE17" s="93">
        <v>4.2350000000000003</v>
      </c>
      <c r="BF17" s="94">
        <v>5.4449999999999994</v>
      </c>
      <c r="BG17" s="91">
        <f t="shared" si="5"/>
        <v>2.0350000000000006</v>
      </c>
      <c r="BH17" s="93">
        <f t="shared" si="6"/>
        <v>5.7750000000000004</v>
      </c>
      <c r="BI17" s="93">
        <f t="shared" si="7"/>
        <v>10.754999999999999</v>
      </c>
      <c r="BJ17" s="93">
        <f t="shared" si="8"/>
        <v>15.555</v>
      </c>
      <c r="BK17" s="91">
        <f t="shared" si="9"/>
        <v>3.0450000000000008</v>
      </c>
      <c r="BL17" s="93">
        <f t="shared" si="10"/>
        <v>5.7750000000000004</v>
      </c>
      <c r="BM17" s="93">
        <f t="shared" si="11"/>
        <v>10.754999999999999</v>
      </c>
      <c r="BN17" s="93">
        <f t="shared" si="12"/>
        <v>14.045000000000002</v>
      </c>
      <c r="BO17" s="145">
        <f t="shared" si="13"/>
        <v>5.0270000000000001</v>
      </c>
      <c r="BP17" s="149">
        <f t="shared" si="14"/>
        <v>11.714999999999998</v>
      </c>
      <c r="BQ17" s="145">
        <f t="shared" si="15"/>
        <v>5.2290000000000001</v>
      </c>
      <c r="BR17" s="146">
        <f t="shared" si="16"/>
        <v>11.412999999999998</v>
      </c>
      <c r="BS17" s="91">
        <f t="shared" si="17"/>
        <v>8.3709999999999987</v>
      </c>
      <c r="BT17" s="94">
        <f t="shared" si="18"/>
        <v>8.3209999999999997</v>
      </c>
      <c r="BU17" s="140">
        <f t="shared" si="19"/>
        <v>8.3460000000000001</v>
      </c>
    </row>
    <row r="18" spans="1:73" x14ac:dyDescent="0.25">
      <c r="BF18" s="60"/>
      <c r="BG18" s="59"/>
      <c r="BH18" s="59"/>
      <c r="BI18" s="59"/>
      <c r="BJ18" s="59"/>
      <c r="BK18" s="59"/>
    </row>
    <row r="19" spans="1:73" x14ac:dyDescent="0.25">
      <c r="A19" s="1" t="s">
        <v>125</v>
      </c>
      <c r="B19" s="1"/>
    </row>
    <row r="20" spans="1:73" ht="15.75" thickBot="1" x14ac:dyDescent="0.3">
      <c r="A20" s="107" t="s">
        <v>103</v>
      </c>
      <c r="B20" s="108" t="s">
        <v>123</v>
      </c>
      <c r="E20" s="112" t="s">
        <v>17</v>
      </c>
      <c r="I20" t="s">
        <v>18</v>
      </c>
    </row>
    <row r="21" spans="1:73" x14ac:dyDescent="0.25">
      <c r="A21" s="106" t="s">
        <v>107</v>
      </c>
      <c r="B21" s="2">
        <v>0</v>
      </c>
      <c r="C21" s="79">
        <v>0</v>
      </c>
      <c r="D21" s="80" t="s">
        <v>107</v>
      </c>
      <c r="E21" s="81">
        <v>0</v>
      </c>
      <c r="F21" s="82">
        <f>C21</f>
        <v>0</v>
      </c>
      <c r="G21" s="83">
        <f>F21+0.11</f>
        <v>0.11</v>
      </c>
      <c r="H21" s="84">
        <f>G21+0.11</f>
        <v>0.22</v>
      </c>
      <c r="I21" s="85">
        <v>0</v>
      </c>
      <c r="J21" s="83">
        <f>F21</f>
        <v>0</v>
      </c>
      <c r="K21" s="83">
        <f>G21</f>
        <v>0.11</v>
      </c>
      <c r="L21" s="86">
        <f>K21+0.08</f>
        <v>0.19</v>
      </c>
    </row>
    <row r="22" spans="1:73" x14ac:dyDescent="0.25">
      <c r="A22" s="106" t="s">
        <v>106</v>
      </c>
      <c r="B22" s="2">
        <v>0.33</v>
      </c>
      <c r="C22" s="79">
        <v>0.33</v>
      </c>
      <c r="D22" s="80" t="s">
        <v>106</v>
      </c>
      <c r="E22" s="87">
        <f>F22-0.11</f>
        <v>0.11000000000000003</v>
      </c>
      <c r="F22" s="111">
        <f>C22-0.11</f>
        <v>0.22000000000000003</v>
      </c>
      <c r="G22">
        <f>C22+0.11</f>
        <v>0.44</v>
      </c>
      <c r="H22" s="88">
        <f t="shared" ref="H22:H23" si="20">G22+0.11</f>
        <v>0.55000000000000004</v>
      </c>
      <c r="I22" s="89">
        <f>J22-0.08</f>
        <v>0.14000000000000001</v>
      </c>
      <c r="J22">
        <f t="shared" ref="J22:K24" si="21">F22</f>
        <v>0.22000000000000003</v>
      </c>
      <c r="K22">
        <f t="shared" si="21"/>
        <v>0.44</v>
      </c>
      <c r="L22" s="90">
        <f t="shared" ref="L22:L23" si="22">K22+0.08</f>
        <v>0.52</v>
      </c>
    </row>
    <row r="23" spans="1:73" x14ac:dyDescent="0.25">
      <c r="A23" s="106" t="s">
        <v>105</v>
      </c>
      <c r="B23" s="2">
        <v>0.66</v>
      </c>
      <c r="C23" s="79">
        <v>0.66</v>
      </c>
      <c r="D23" s="80" t="s">
        <v>105</v>
      </c>
      <c r="E23" s="87">
        <f t="shared" ref="E23" si="23">F23-0.11</f>
        <v>0.44000000000000006</v>
      </c>
      <c r="F23" s="111">
        <f t="shared" ref="F23" si="24">C23-0.11</f>
        <v>0.55000000000000004</v>
      </c>
      <c r="G23">
        <f t="shared" ref="G23" si="25">C23+0.11</f>
        <v>0.77</v>
      </c>
      <c r="H23" s="88">
        <f t="shared" si="20"/>
        <v>0.88</v>
      </c>
      <c r="I23" s="89">
        <f t="shared" ref="I23:I24" si="26">J23-0.08</f>
        <v>0.47000000000000003</v>
      </c>
      <c r="J23">
        <f t="shared" si="21"/>
        <v>0.55000000000000004</v>
      </c>
      <c r="K23">
        <f t="shared" si="21"/>
        <v>0.77</v>
      </c>
      <c r="L23" s="90">
        <f t="shared" si="22"/>
        <v>0.85</v>
      </c>
    </row>
    <row r="24" spans="1:73" ht="15.75" thickBot="1" x14ac:dyDescent="0.3">
      <c r="A24" s="106" t="s">
        <v>104</v>
      </c>
      <c r="B24" s="2">
        <v>1</v>
      </c>
      <c r="C24" s="79">
        <v>1</v>
      </c>
      <c r="D24" s="80" t="s">
        <v>104</v>
      </c>
      <c r="E24" s="91">
        <v>0.88</v>
      </c>
      <c r="F24" s="92">
        <v>0.88</v>
      </c>
      <c r="G24" s="93">
        <v>1</v>
      </c>
      <c r="H24" s="94">
        <v>1</v>
      </c>
      <c r="I24" s="95">
        <f t="shared" si="26"/>
        <v>0.8</v>
      </c>
      <c r="J24" s="93">
        <f t="shared" si="21"/>
        <v>0.88</v>
      </c>
      <c r="K24" s="93">
        <f t="shared" si="21"/>
        <v>1</v>
      </c>
      <c r="L24" s="96">
        <v>1</v>
      </c>
    </row>
    <row r="25" spans="1:73" x14ac:dyDescent="0.25">
      <c r="A25" s="99"/>
    </row>
    <row r="26" spans="1:73" x14ac:dyDescent="0.25">
      <c r="A26" s="1" t="s">
        <v>119</v>
      </c>
    </row>
    <row r="27" spans="1:73" ht="15.75" thickBot="1" x14ac:dyDescent="0.3">
      <c r="A27" s="107" t="s">
        <v>103</v>
      </c>
      <c r="B27" s="108" t="s">
        <v>124</v>
      </c>
      <c r="E27" s="112" t="s">
        <v>17</v>
      </c>
      <c r="I27" t="s">
        <v>18</v>
      </c>
    </row>
    <row r="28" spans="1:73" x14ac:dyDescent="0.25">
      <c r="A28" s="106" t="s">
        <v>107</v>
      </c>
      <c r="B28" s="2">
        <v>1</v>
      </c>
      <c r="C28" s="79">
        <v>0</v>
      </c>
      <c r="D28" s="80" t="s">
        <v>107</v>
      </c>
      <c r="E28" s="81">
        <v>0</v>
      </c>
      <c r="F28" s="82">
        <f>C28</f>
        <v>0</v>
      </c>
      <c r="G28" s="83">
        <f>F28+0.5</f>
        <v>0.5</v>
      </c>
      <c r="H28" s="84">
        <f>G28+1.5</f>
        <v>2</v>
      </c>
      <c r="I28" s="85">
        <v>0</v>
      </c>
      <c r="J28" s="83">
        <f>F28</f>
        <v>0</v>
      </c>
      <c r="K28" s="83">
        <f>G28</f>
        <v>0.5</v>
      </c>
      <c r="L28" s="86">
        <f>K28+1</f>
        <v>1.5</v>
      </c>
    </row>
    <row r="29" spans="1:73" x14ac:dyDescent="0.25">
      <c r="A29" s="106" t="s">
        <v>106</v>
      </c>
      <c r="B29" s="2">
        <v>2.5</v>
      </c>
      <c r="C29" s="79">
        <v>2.5</v>
      </c>
      <c r="D29" s="80" t="s">
        <v>106</v>
      </c>
      <c r="E29" s="87">
        <f>F29-1.5</f>
        <v>0.5</v>
      </c>
      <c r="F29" s="111">
        <f>C29-0.5</f>
        <v>2</v>
      </c>
      <c r="G29">
        <f>C29+0.5</f>
        <v>3</v>
      </c>
      <c r="H29" s="88">
        <f t="shared" ref="H29:H31" si="27">G29+1.5</f>
        <v>4.5</v>
      </c>
      <c r="I29" s="89">
        <f>J29-1</f>
        <v>1</v>
      </c>
      <c r="J29">
        <f t="shared" ref="J29:K31" si="28">F29</f>
        <v>2</v>
      </c>
      <c r="K29">
        <f t="shared" si="28"/>
        <v>3</v>
      </c>
      <c r="L29" s="90">
        <f t="shared" ref="L29:L31" si="29">K29+1</f>
        <v>4</v>
      </c>
    </row>
    <row r="30" spans="1:73" x14ac:dyDescent="0.25">
      <c r="A30" s="106" t="s">
        <v>105</v>
      </c>
      <c r="B30" s="2">
        <v>5</v>
      </c>
      <c r="C30" s="79">
        <v>5</v>
      </c>
      <c r="D30" s="80" t="s">
        <v>105</v>
      </c>
      <c r="E30" s="87">
        <f t="shared" ref="E30:E31" si="30">F30-1.5</f>
        <v>3</v>
      </c>
      <c r="F30" s="111">
        <f>C30-0.5</f>
        <v>4.5</v>
      </c>
      <c r="G30">
        <f>C30+0.5</f>
        <v>5.5</v>
      </c>
      <c r="H30" s="88">
        <f t="shared" si="27"/>
        <v>7</v>
      </c>
      <c r="I30" s="89">
        <f t="shared" ref="I30:I31" si="31">J30-1</f>
        <v>3.5</v>
      </c>
      <c r="J30">
        <f t="shared" si="28"/>
        <v>4.5</v>
      </c>
      <c r="K30">
        <f t="shared" si="28"/>
        <v>5.5</v>
      </c>
      <c r="L30" s="90">
        <f t="shared" si="29"/>
        <v>6.5</v>
      </c>
    </row>
    <row r="31" spans="1:73" ht="15.75" thickBot="1" x14ac:dyDescent="0.3">
      <c r="A31" s="106" t="s">
        <v>104</v>
      </c>
      <c r="B31" s="2">
        <v>7.5</v>
      </c>
      <c r="C31" s="79">
        <v>7.5</v>
      </c>
      <c r="D31" s="80" t="s">
        <v>104</v>
      </c>
      <c r="E31" s="91">
        <f t="shared" si="30"/>
        <v>5.5</v>
      </c>
      <c r="F31" s="92">
        <f>C31-0.5</f>
        <v>7</v>
      </c>
      <c r="G31" s="93">
        <f>C31+0.5</f>
        <v>8</v>
      </c>
      <c r="H31" s="94">
        <f t="shared" si="27"/>
        <v>9.5</v>
      </c>
      <c r="I31" s="95">
        <f t="shared" si="31"/>
        <v>6</v>
      </c>
      <c r="J31" s="93">
        <f t="shared" si="28"/>
        <v>7</v>
      </c>
      <c r="K31" s="93">
        <f t="shared" si="28"/>
        <v>8</v>
      </c>
      <c r="L31" s="96">
        <f t="shared" si="29"/>
        <v>9</v>
      </c>
    </row>
    <row r="33" spans="1:12" ht="15.75" thickBot="1" x14ac:dyDescent="0.3">
      <c r="A33" s="1" t="s">
        <v>120</v>
      </c>
    </row>
    <row r="34" spans="1:12" ht="67.5" customHeight="1" thickBot="1" x14ac:dyDescent="0.3">
      <c r="A34" s="114" t="s">
        <v>117</v>
      </c>
      <c r="B34" s="113" t="s">
        <v>99</v>
      </c>
      <c r="C34" s="115" t="s">
        <v>108</v>
      </c>
      <c r="D34" s="116" t="s">
        <v>126</v>
      </c>
      <c r="E34" s="180" t="s">
        <v>127</v>
      </c>
      <c r="F34" s="181"/>
      <c r="G34" s="181"/>
      <c r="H34" s="181"/>
      <c r="I34" s="181"/>
      <c r="J34" s="181"/>
      <c r="K34" s="181"/>
      <c r="L34" s="182"/>
    </row>
    <row r="35" spans="1:12" x14ac:dyDescent="0.25">
      <c r="A35" s="130" t="s">
        <v>114</v>
      </c>
      <c r="B35" s="117" t="s">
        <v>100</v>
      </c>
      <c r="C35" s="118" t="s">
        <v>104</v>
      </c>
      <c r="D35" s="119">
        <v>7.5</v>
      </c>
      <c r="E35" s="87">
        <v>5.5</v>
      </c>
      <c r="F35" s="111">
        <v>7</v>
      </c>
      <c r="G35">
        <v>8</v>
      </c>
      <c r="H35" s="88">
        <v>9.5</v>
      </c>
      <c r="I35" s="89">
        <v>6</v>
      </c>
      <c r="J35">
        <v>7</v>
      </c>
      <c r="K35">
        <v>8</v>
      </c>
      <c r="L35" s="90">
        <v>9</v>
      </c>
    </row>
    <row r="36" spans="1:12" x14ac:dyDescent="0.25">
      <c r="A36" s="131" t="s">
        <v>115</v>
      </c>
      <c r="B36" s="104" t="s">
        <v>101</v>
      </c>
      <c r="C36" s="2" t="s">
        <v>106</v>
      </c>
      <c r="D36" s="120">
        <v>2.5</v>
      </c>
      <c r="E36" s="87">
        <v>0.5</v>
      </c>
      <c r="F36" s="111">
        <v>2</v>
      </c>
      <c r="G36">
        <v>3</v>
      </c>
      <c r="H36" s="88">
        <v>4.5</v>
      </c>
      <c r="I36" s="89">
        <v>1</v>
      </c>
      <c r="J36">
        <v>2</v>
      </c>
      <c r="K36">
        <v>3</v>
      </c>
      <c r="L36" s="90">
        <v>4</v>
      </c>
    </row>
    <row r="37" spans="1:12" ht="15.75" thickBot="1" x14ac:dyDescent="0.3">
      <c r="A37" s="132" t="s">
        <v>116</v>
      </c>
      <c r="B37" s="121" t="s">
        <v>102</v>
      </c>
      <c r="C37" s="122" t="s">
        <v>105</v>
      </c>
      <c r="D37" s="123">
        <v>5</v>
      </c>
      <c r="E37" s="91">
        <v>3</v>
      </c>
      <c r="F37" s="92">
        <v>4.5</v>
      </c>
      <c r="G37" s="93">
        <v>5.5</v>
      </c>
      <c r="H37" s="94">
        <v>7</v>
      </c>
      <c r="I37" s="95">
        <v>3.5</v>
      </c>
      <c r="J37" s="93">
        <v>4.5</v>
      </c>
      <c r="K37" s="93">
        <v>5.5</v>
      </c>
      <c r="L37" s="96">
        <v>6.5</v>
      </c>
    </row>
    <row r="39" spans="1:12" ht="15.75" thickBot="1" x14ac:dyDescent="0.3">
      <c r="A39" s="1" t="s">
        <v>130</v>
      </c>
    </row>
    <row r="40" spans="1:12" ht="45.75" thickBot="1" x14ac:dyDescent="0.3">
      <c r="A40" s="133" t="s">
        <v>134</v>
      </c>
      <c r="B40" s="134" t="s">
        <v>135</v>
      </c>
      <c r="E40" s="180" t="s">
        <v>136</v>
      </c>
      <c r="F40" s="181"/>
      <c r="G40" s="181"/>
      <c r="H40" s="181"/>
      <c r="I40" s="181"/>
      <c r="J40" s="181"/>
      <c r="K40" s="181"/>
      <c r="L40" s="182"/>
    </row>
    <row r="41" spans="1:12" x14ac:dyDescent="0.25">
      <c r="A41" s="130" t="s">
        <v>131</v>
      </c>
      <c r="B41" s="135" t="s">
        <v>107</v>
      </c>
      <c r="D41" s="138" t="s">
        <v>140</v>
      </c>
      <c r="E41" s="81">
        <f>E21*F$35+E$35*F21-F21*F$35</f>
        <v>0</v>
      </c>
      <c r="F41" s="83">
        <f>F21*F$35</f>
        <v>0</v>
      </c>
      <c r="G41" s="83">
        <f>G21*G$35</f>
        <v>0.88</v>
      </c>
      <c r="H41" s="84">
        <f>G21*H$35+G$35*H21-G21*G$35</f>
        <v>1.9249999999999998</v>
      </c>
      <c r="I41" s="81">
        <f>I21*J$35+I$35*J21-J21*J$35</f>
        <v>0</v>
      </c>
      <c r="J41" s="83">
        <f>J21*J$35</f>
        <v>0</v>
      </c>
      <c r="K41" s="83">
        <f>K21*K$35</f>
        <v>0.88</v>
      </c>
      <c r="L41" s="84">
        <f>K21*L$35+K$35*L21-K21*K$35</f>
        <v>1.63</v>
      </c>
    </row>
    <row r="42" spans="1:12" x14ac:dyDescent="0.25">
      <c r="A42" s="131" t="s">
        <v>131</v>
      </c>
      <c r="B42" s="136" t="s">
        <v>106</v>
      </c>
      <c r="D42" s="139" t="s">
        <v>139</v>
      </c>
      <c r="E42" s="87">
        <f t="shared" ref="E42:E44" si="32">E22*F$35+E$35*F22-F22*F$35</f>
        <v>0.44000000000000017</v>
      </c>
      <c r="F42">
        <f t="shared" ref="F42:G42" si="33">F22*F$35</f>
        <v>1.5400000000000003</v>
      </c>
      <c r="G42">
        <f t="shared" si="33"/>
        <v>3.52</v>
      </c>
      <c r="H42" s="88">
        <f t="shared" ref="H42:H44" si="34">G22*H$35+G$35*H22-G22*G$35</f>
        <v>5.0600000000000005</v>
      </c>
      <c r="I42" s="87">
        <f t="shared" ref="I42:I44" si="35">I22*J$35+I$35*J22-J22*J$35</f>
        <v>0.76</v>
      </c>
      <c r="J42">
        <f t="shared" ref="J42:K42" si="36">J22*J$35</f>
        <v>1.5400000000000003</v>
      </c>
      <c r="K42">
        <f t="shared" si="36"/>
        <v>3.52</v>
      </c>
      <c r="L42" s="88">
        <f t="shared" ref="L42:L44" si="37">K22*L$35+K$35*L22-K22*K$35</f>
        <v>4.6000000000000014</v>
      </c>
    </row>
    <row r="43" spans="1:12" x14ac:dyDescent="0.25">
      <c r="A43" s="131" t="s">
        <v>131</v>
      </c>
      <c r="B43" s="136" t="s">
        <v>105</v>
      </c>
      <c r="D43" s="139" t="s">
        <v>138</v>
      </c>
      <c r="E43" s="87">
        <f t="shared" si="32"/>
        <v>2.2549999999999999</v>
      </c>
      <c r="F43">
        <f t="shared" ref="F43:G43" si="38">F23*F$35</f>
        <v>3.8500000000000005</v>
      </c>
      <c r="G43">
        <f t="shared" si="38"/>
        <v>6.16</v>
      </c>
      <c r="H43" s="88">
        <f t="shared" si="34"/>
        <v>8.1950000000000003</v>
      </c>
      <c r="I43" s="87">
        <f t="shared" si="35"/>
        <v>2.7399999999999993</v>
      </c>
      <c r="J43">
        <f t="shared" ref="J43:K43" si="39">J23*J$35</f>
        <v>3.8500000000000005</v>
      </c>
      <c r="K43">
        <f t="shared" si="39"/>
        <v>6.16</v>
      </c>
      <c r="L43" s="88">
        <f t="shared" si="37"/>
        <v>7.57</v>
      </c>
    </row>
    <row r="44" spans="1:12" ht="15.75" thickBot="1" x14ac:dyDescent="0.3">
      <c r="A44" s="132" t="s">
        <v>131</v>
      </c>
      <c r="B44" s="137" t="s">
        <v>104</v>
      </c>
      <c r="D44" s="140" t="s">
        <v>137</v>
      </c>
      <c r="E44" s="91">
        <f t="shared" si="32"/>
        <v>4.84</v>
      </c>
      <c r="F44" s="93">
        <f t="shared" ref="F44:G44" si="40">F24*F$35</f>
        <v>6.16</v>
      </c>
      <c r="G44" s="93">
        <f t="shared" si="40"/>
        <v>8</v>
      </c>
      <c r="H44" s="94">
        <f t="shared" si="34"/>
        <v>9.5</v>
      </c>
      <c r="I44" s="91">
        <f t="shared" si="35"/>
        <v>4.7200000000000006</v>
      </c>
      <c r="J44" s="93">
        <f t="shared" ref="J44:K44" si="41">J24*J$35</f>
        <v>6.16</v>
      </c>
      <c r="K44" s="93">
        <f t="shared" si="41"/>
        <v>8</v>
      </c>
      <c r="L44" s="94">
        <f t="shared" si="37"/>
        <v>9</v>
      </c>
    </row>
    <row r="45" spans="1:12" x14ac:dyDescent="0.25">
      <c r="A45" s="130" t="s">
        <v>132</v>
      </c>
      <c r="B45" s="135" t="s">
        <v>107</v>
      </c>
      <c r="D45" s="138" t="s">
        <v>141</v>
      </c>
      <c r="E45" s="81">
        <f>E21*F$36+E$36*F21-F21*F$36</f>
        <v>0</v>
      </c>
      <c r="F45" s="83">
        <f>F21*F$36</f>
        <v>0</v>
      </c>
      <c r="G45" s="83">
        <f>G21*G$36</f>
        <v>0.33</v>
      </c>
      <c r="H45" s="84">
        <f>G21*H$36+G$36*H21-G21*G$36</f>
        <v>0.82499999999999996</v>
      </c>
      <c r="I45" s="81">
        <f>I21*J$36+I$36*J21-J21*J$36</f>
        <v>0</v>
      </c>
      <c r="J45" s="83">
        <f>J21*J$36</f>
        <v>0</v>
      </c>
      <c r="K45" s="83">
        <f>K21*K$36</f>
        <v>0.33</v>
      </c>
      <c r="L45" s="84">
        <f>K21*L$36+K$36*L21-K21*K$36</f>
        <v>0.67999999999999994</v>
      </c>
    </row>
    <row r="46" spans="1:12" x14ac:dyDescent="0.25">
      <c r="A46" s="131" t="s">
        <v>132</v>
      </c>
      <c r="B46" s="136" t="s">
        <v>106</v>
      </c>
      <c r="D46" s="139" t="s">
        <v>146</v>
      </c>
      <c r="E46" s="87">
        <f>E22*F$36+E$36*F22-F22*F$36</f>
        <v>-0.10999999999999999</v>
      </c>
      <c r="F46">
        <f t="shared" ref="F46:G46" si="42">F22*F$36</f>
        <v>0.44000000000000006</v>
      </c>
      <c r="G46">
        <f t="shared" si="42"/>
        <v>1.32</v>
      </c>
      <c r="H46" s="88">
        <f t="shared" ref="H46:H48" si="43">G22*H$36+G$36*H22-G22*G$36</f>
        <v>2.3099999999999996</v>
      </c>
      <c r="I46" s="87">
        <f t="shared" ref="I46:I48" si="44">I22*J$36+I$36*J22-J22*J$36</f>
        <v>5.9999999999999942E-2</v>
      </c>
      <c r="J46">
        <f t="shared" ref="J46:K46" si="45">J22*J$36</f>
        <v>0.44000000000000006</v>
      </c>
      <c r="K46">
        <f t="shared" si="45"/>
        <v>1.32</v>
      </c>
      <c r="L46" s="88">
        <f t="shared" ref="L46:L48" si="46">K22*L$36+K$36*L22-K22*K$36</f>
        <v>2</v>
      </c>
    </row>
    <row r="47" spans="1:12" x14ac:dyDescent="0.25">
      <c r="A47" s="131" t="s">
        <v>132</v>
      </c>
      <c r="B47" s="136" t="s">
        <v>105</v>
      </c>
      <c r="D47" s="139" t="s">
        <v>147</v>
      </c>
      <c r="E47" s="87">
        <f t="shared" ref="E47:E48" si="47">E23*F$36+E$36*F23-F23*F$36</f>
        <v>5.500000000000016E-2</v>
      </c>
      <c r="F47">
        <f t="shared" ref="F47:G47" si="48">F23*F$36</f>
        <v>1.1000000000000001</v>
      </c>
      <c r="G47">
        <f t="shared" si="48"/>
        <v>2.31</v>
      </c>
      <c r="H47" s="88">
        <f t="shared" si="43"/>
        <v>3.7950000000000004</v>
      </c>
      <c r="I47" s="87">
        <f t="shared" si="44"/>
        <v>0.39000000000000012</v>
      </c>
      <c r="J47">
        <f t="shared" ref="J47:K47" si="49">J23*J$36</f>
        <v>1.1000000000000001</v>
      </c>
      <c r="K47">
        <f t="shared" si="49"/>
        <v>2.31</v>
      </c>
      <c r="L47" s="88">
        <f t="shared" si="46"/>
        <v>3.32</v>
      </c>
    </row>
    <row r="48" spans="1:12" ht="15.75" thickBot="1" x14ac:dyDescent="0.3">
      <c r="A48" s="132" t="s">
        <v>132</v>
      </c>
      <c r="B48" s="137" t="s">
        <v>104</v>
      </c>
      <c r="D48" s="140" t="s">
        <v>148</v>
      </c>
      <c r="E48" s="91">
        <f t="shared" si="47"/>
        <v>0.44000000000000017</v>
      </c>
      <c r="F48" s="93">
        <f t="shared" ref="F48:G48" si="50">F24*F$36</f>
        <v>1.76</v>
      </c>
      <c r="G48" s="93">
        <f t="shared" si="50"/>
        <v>3</v>
      </c>
      <c r="H48" s="94">
        <f t="shared" si="43"/>
        <v>4.5</v>
      </c>
      <c r="I48" s="91">
        <f t="shared" si="44"/>
        <v>0.72</v>
      </c>
      <c r="J48" s="93">
        <f t="shared" ref="J48:K48" si="51">J24*J$36</f>
        <v>1.76</v>
      </c>
      <c r="K48" s="93">
        <f t="shared" si="51"/>
        <v>3</v>
      </c>
      <c r="L48" s="94">
        <f t="shared" si="46"/>
        <v>4</v>
      </c>
    </row>
    <row r="49" spans="1:12" x14ac:dyDescent="0.25">
      <c r="A49" s="130" t="s">
        <v>133</v>
      </c>
      <c r="B49" s="135" t="s">
        <v>107</v>
      </c>
      <c r="D49" s="138" t="s">
        <v>143</v>
      </c>
      <c r="E49" s="87">
        <f>E21*F$37+E$37*F21-F21*F$37</f>
        <v>0</v>
      </c>
      <c r="F49">
        <f>F21*F$37</f>
        <v>0</v>
      </c>
      <c r="G49">
        <f>G21*G$37</f>
        <v>0.60499999999999998</v>
      </c>
      <c r="H49" s="88">
        <f>G21*H$37+G$37*H21-G21*G$37</f>
        <v>1.375</v>
      </c>
      <c r="I49" s="87">
        <f>I21*J$37+I$37*J21-J21*J$37</f>
        <v>0</v>
      </c>
      <c r="J49">
        <f>J21*J$37</f>
        <v>0</v>
      </c>
      <c r="K49">
        <f>K21*K$37</f>
        <v>0.60499999999999998</v>
      </c>
      <c r="L49" s="88">
        <f>K21*L$37+K$37*L21-K21*K$37</f>
        <v>1.1549999999999998</v>
      </c>
    </row>
    <row r="50" spans="1:12" x14ac:dyDescent="0.25">
      <c r="A50" s="131" t="s">
        <v>133</v>
      </c>
      <c r="B50" s="136" t="s">
        <v>106</v>
      </c>
      <c r="D50" s="139" t="s">
        <v>142</v>
      </c>
      <c r="E50" s="87">
        <f t="shared" ref="E50:E52" si="52">E22*F$37+E$37*F22-F22*F$37</f>
        <v>0.16500000000000015</v>
      </c>
      <c r="F50">
        <f t="shared" ref="F50:G50" si="53">F22*F$37</f>
        <v>0.9900000000000001</v>
      </c>
      <c r="G50">
        <f t="shared" si="53"/>
        <v>2.42</v>
      </c>
      <c r="H50" s="88">
        <f t="shared" ref="H50:H52" si="54">G22*H$37+G$37*H22-G22*G$37</f>
        <v>3.6850000000000005</v>
      </c>
      <c r="I50" s="87">
        <f t="shared" ref="I50:I52" si="55">I22*J$37+I$37*J22-J22*J$37</f>
        <v>0.41000000000000025</v>
      </c>
      <c r="J50">
        <f t="shared" ref="J50:K50" si="56">J22*J$37</f>
        <v>0.9900000000000001</v>
      </c>
      <c r="K50">
        <f t="shared" si="56"/>
        <v>2.42</v>
      </c>
      <c r="L50" s="88">
        <f t="shared" ref="L50:L52" si="57">K22*L$37+K$37*L22-K22*K$37</f>
        <v>3.3000000000000007</v>
      </c>
    </row>
    <row r="51" spans="1:12" x14ac:dyDescent="0.25">
      <c r="A51" s="131" t="s">
        <v>133</v>
      </c>
      <c r="B51" s="136" t="s">
        <v>105</v>
      </c>
      <c r="D51" s="139" t="s">
        <v>144</v>
      </c>
      <c r="E51" s="87">
        <f t="shared" si="52"/>
        <v>1.1550000000000002</v>
      </c>
      <c r="F51">
        <f t="shared" ref="F51:G51" si="58">F23*F$37</f>
        <v>2.4750000000000001</v>
      </c>
      <c r="G51">
        <f t="shared" si="58"/>
        <v>4.2350000000000003</v>
      </c>
      <c r="H51" s="88">
        <f t="shared" si="54"/>
        <v>5.9950000000000001</v>
      </c>
      <c r="I51" s="87">
        <f t="shared" si="55"/>
        <v>1.5650000000000008</v>
      </c>
      <c r="J51">
        <f t="shared" ref="J51:K51" si="59">J23*J$37</f>
        <v>2.4750000000000001</v>
      </c>
      <c r="K51">
        <f t="shared" si="59"/>
        <v>4.2350000000000003</v>
      </c>
      <c r="L51" s="88">
        <f t="shared" si="57"/>
        <v>5.4449999999999994</v>
      </c>
    </row>
    <row r="52" spans="1:12" ht="15.75" thickBot="1" x14ac:dyDescent="0.3">
      <c r="A52" s="132" t="s">
        <v>133</v>
      </c>
      <c r="B52" s="137" t="s">
        <v>104</v>
      </c>
      <c r="D52" s="140" t="s">
        <v>145</v>
      </c>
      <c r="E52" s="91">
        <f t="shared" si="52"/>
        <v>2.6399999999999997</v>
      </c>
      <c r="F52" s="93">
        <f t="shared" ref="F52:G52" si="60">F24*F$37</f>
        <v>3.96</v>
      </c>
      <c r="G52" s="93">
        <f t="shared" si="60"/>
        <v>5.5</v>
      </c>
      <c r="H52" s="94">
        <f t="shared" si="54"/>
        <v>7</v>
      </c>
      <c r="I52" s="91">
        <f t="shared" si="55"/>
        <v>2.7199999999999998</v>
      </c>
      <c r="J52" s="93">
        <f t="shared" ref="J52:K52" si="61">J24*J$37</f>
        <v>3.96</v>
      </c>
      <c r="K52" s="93">
        <f t="shared" si="61"/>
        <v>5.5</v>
      </c>
      <c r="L52" s="94">
        <f t="shared" si="57"/>
        <v>6.5</v>
      </c>
    </row>
  </sheetData>
  <mergeCells count="35">
    <mergeCell ref="A3:E3"/>
    <mergeCell ref="A6:A7"/>
    <mergeCell ref="B6:B7"/>
    <mergeCell ref="C6:C7"/>
    <mergeCell ref="D6:F6"/>
    <mergeCell ref="AA6:AH6"/>
    <mergeCell ref="AA7:AD7"/>
    <mergeCell ref="AE7:AH7"/>
    <mergeCell ref="E40:L40"/>
    <mergeCell ref="AI6:AP6"/>
    <mergeCell ref="J6:J7"/>
    <mergeCell ref="E34:L34"/>
    <mergeCell ref="K6:R6"/>
    <mergeCell ref="O7:R7"/>
    <mergeCell ref="K7:N7"/>
    <mergeCell ref="S6:Z6"/>
    <mergeCell ref="S7:V7"/>
    <mergeCell ref="W7:Z7"/>
    <mergeCell ref="G6:I6"/>
    <mergeCell ref="AY6:BF6"/>
    <mergeCell ref="AI7:AL7"/>
    <mergeCell ref="AM7:AP7"/>
    <mergeCell ref="AQ7:AT7"/>
    <mergeCell ref="AU7:AX7"/>
    <mergeCell ref="AY7:BB7"/>
    <mergeCell ref="BC7:BF7"/>
    <mergeCell ref="AQ6:AX6"/>
    <mergeCell ref="BS6:BT6"/>
    <mergeCell ref="BU6:BU7"/>
    <mergeCell ref="BG6:BN6"/>
    <mergeCell ref="BG7:BJ7"/>
    <mergeCell ref="BK7:BN7"/>
    <mergeCell ref="BO6:BR6"/>
    <mergeCell ref="BO7:BP7"/>
    <mergeCell ref="BQ7:BR7"/>
  </mergeCells>
  <hyperlinks>
    <hyperlink ref="B2" r:id="rId1" xr:uid="{4DC97A13-A5A9-447D-88B6-BFF061BE3C83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0E48-8A8A-40F1-85AB-40F3B9706C1F}">
  <sheetPr>
    <pageSetUpPr fitToPage="1"/>
  </sheetPr>
  <dimension ref="A1:J65"/>
  <sheetViews>
    <sheetView topLeftCell="A49" zoomScaleNormal="100" workbookViewId="0">
      <selection activeCell="J66" sqref="J66"/>
    </sheetView>
  </sheetViews>
  <sheetFormatPr defaultRowHeight="15" x14ac:dyDescent="0.25"/>
  <cols>
    <col min="1" max="1" width="3.7109375" customWidth="1"/>
    <col min="2" max="2" width="32.5703125" customWidth="1"/>
    <col min="3" max="3" width="15.42578125" customWidth="1"/>
    <col min="4" max="4" width="18.28515625" customWidth="1"/>
    <col min="5" max="5" width="17.140625" customWidth="1"/>
    <col min="6" max="6" width="16.42578125" customWidth="1"/>
    <col min="7" max="7" width="14.85546875" customWidth="1"/>
    <col min="8" max="8" width="16" customWidth="1"/>
    <col min="9" max="9" width="11.42578125" customWidth="1"/>
    <col min="10" max="10" width="13.140625" customWidth="1"/>
  </cols>
  <sheetData>
    <row r="1" spans="2:10" x14ac:dyDescent="0.25">
      <c r="B1" s="1" t="s">
        <v>23</v>
      </c>
    </row>
    <row r="2" spans="2:10" x14ac:dyDescent="0.25">
      <c r="B2" s="76" t="s">
        <v>29</v>
      </c>
    </row>
    <row r="3" spans="2:10" x14ac:dyDescent="0.25">
      <c r="B3" s="1" t="s">
        <v>24</v>
      </c>
    </row>
    <row r="4" spans="2:10" ht="15.75" thickBot="1" x14ac:dyDescent="0.3"/>
    <row r="5" spans="2:10" x14ac:dyDescent="0.25">
      <c r="B5" s="158" t="s">
        <v>7</v>
      </c>
      <c r="C5" s="155" t="s">
        <v>6</v>
      </c>
      <c r="D5" s="156"/>
      <c r="E5" s="157"/>
    </row>
    <row r="6" spans="2:10" x14ac:dyDescent="0.25">
      <c r="B6" s="159"/>
      <c r="C6" s="30" t="s">
        <v>8</v>
      </c>
      <c r="D6" s="5" t="s">
        <v>9</v>
      </c>
      <c r="E6" s="21" t="s">
        <v>10</v>
      </c>
    </row>
    <row r="7" spans="2:10" ht="15.75" thickBot="1" x14ac:dyDescent="0.3">
      <c r="B7" s="25">
        <v>1</v>
      </c>
      <c r="C7" s="22">
        <v>2</v>
      </c>
      <c r="D7" s="23">
        <v>3</v>
      </c>
      <c r="E7" s="24">
        <v>4</v>
      </c>
    </row>
    <row r="8" spans="2:10" x14ac:dyDescent="0.25">
      <c r="B8" s="26" t="s">
        <v>1</v>
      </c>
      <c r="C8" s="31">
        <v>10000</v>
      </c>
      <c r="D8" s="32">
        <v>100</v>
      </c>
      <c r="E8" s="33">
        <v>1000</v>
      </c>
    </row>
    <row r="9" spans="2:10" x14ac:dyDescent="0.25">
      <c r="B9" s="27" t="s">
        <v>2</v>
      </c>
      <c r="C9" s="9">
        <v>1</v>
      </c>
      <c r="D9" s="2">
        <v>3</v>
      </c>
      <c r="E9" s="10">
        <v>2</v>
      </c>
    </row>
    <row r="10" spans="2:10" x14ac:dyDescent="0.25">
      <c r="B10" s="27" t="s">
        <v>3</v>
      </c>
      <c r="C10" s="9">
        <v>0.6</v>
      </c>
      <c r="D10" s="2">
        <v>0.9</v>
      </c>
      <c r="E10" s="10">
        <v>0.8</v>
      </c>
    </row>
    <row r="11" spans="2:10" ht="15.75" thickBot="1" x14ac:dyDescent="0.3">
      <c r="B11" s="28" t="s">
        <v>4</v>
      </c>
      <c r="C11" s="18">
        <v>10</v>
      </c>
      <c r="D11" s="19">
        <v>5</v>
      </c>
      <c r="E11" s="20">
        <v>7</v>
      </c>
    </row>
    <row r="12" spans="2:10" ht="15.75" thickBot="1" x14ac:dyDescent="0.3">
      <c r="B12" s="29" t="s">
        <v>0</v>
      </c>
      <c r="C12" s="65">
        <f>C8*C9*C10/C11</f>
        <v>600</v>
      </c>
      <c r="D12" s="66">
        <f>D8*D9*D10/D11</f>
        <v>54</v>
      </c>
      <c r="E12" s="67">
        <f>E8*E9*E10/E11</f>
        <v>228.57142857142858</v>
      </c>
    </row>
    <row r="14" spans="2:10" ht="15.75" thickBot="1" x14ac:dyDescent="0.3">
      <c r="B14" s="1" t="s">
        <v>8</v>
      </c>
      <c r="C14">
        <v>1</v>
      </c>
      <c r="D14">
        <v>2</v>
      </c>
      <c r="E14">
        <v>3</v>
      </c>
      <c r="F14">
        <v>4</v>
      </c>
      <c r="G14">
        <v>1</v>
      </c>
      <c r="H14">
        <v>2</v>
      </c>
      <c r="I14">
        <v>3</v>
      </c>
      <c r="J14">
        <v>4</v>
      </c>
    </row>
    <row r="15" spans="2:10" ht="15.75" thickBot="1" x14ac:dyDescent="0.3">
      <c r="B15" s="14" t="s">
        <v>7</v>
      </c>
      <c r="C15" s="160" t="s">
        <v>17</v>
      </c>
      <c r="D15" s="161"/>
      <c r="E15" s="161"/>
      <c r="F15" s="162"/>
      <c r="G15" s="160" t="s">
        <v>18</v>
      </c>
      <c r="H15" s="161"/>
      <c r="I15" s="161"/>
      <c r="J15" s="162"/>
    </row>
    <row r="16" spans="2:10" x14ac:dyDescent="0.25">
      <c r="B16" s="15" t="s">
        <v>1</v>
      </c>
      <c r="C16" s="37">
        <f>C8-0.03*C8</f>
        <v>9700</v>
      </c>
      <c r="D16" s="38">
        <f>C8-0.01*C8</f>
        <v>9900</v>
      </c>
      <c r="E16" s="38">
        <f>C8+0.01*C8</f>
        <v>10100</v>
      </c>
      <c r="F16" s="39">
        <f>C8+0.04*C8</f>
        <v>10400</v>
      </c>
      <c r="G16" s="37">
        <f>C8-0.02*C8</f>
        <v>9800</v>
      </c>
      <c r="H16" s="38">
        <f>C8-0.01*C8</f>
        <v>9900</v>
      </c>
      <c r="I16" s="38">
        <f>C8+0.01*C8</f>
        <v>10100</v>
      </c>
      <c r="J16" s="39">
        <f>C8+0.03*C8</f>
        <v>10300</v>
      </c>
    </row>
    <row r="17" spans="1:10" x14ac:dyDescent="0.25">
      <c r="B17" s="16" t="s">
        <v>2</v>
      </c>
      <c r="C17" s="11">
        <f>C9-0.03*C9</f>
        <v>0.97</v>
      </c>
      <c r="D17" s="12">
        <f>C9-0.01*C9</f>
        <v>0.99</v>
      </c>
      <c r="E17" s="12">
        <f>C9+0.01*C9</f>
        <v>1.01</v>
      </c>
      <c r="F17" s="75">
        <f t="shared" ref="F17:F19" si="0">C9+0.04*C9</f>
        <v>1.04</v>
      </c>
      <c r="G17" s="11">
        <f>C9-0.02*C9</f>
        <v>0.98</v>
      </c>
      <c r="H17" s="12">
        <f>C9-0.01*C9</f>
        <v>0.99</v>
      </c>
      <c r="I17" s="12">
        <f>C9+0.01*C9</f>
        <v>1.01</v>
      </c>
      <c r="J17" s="75">
        <f t="shared" ref="J17:J19" si="1">C9+0.03*C9</f>
        <v>1.03</v>
      </c>
    </row>
    <row r="18" spans="1:10" x14ac:dyDescent="0.25">
      <c r="B18" s="16" t="s">
        <v>3</v>
      </c>
      <c r="C18" s="40">
        <f>C10-0.03*C10</f>
        <v>0.58199999999999996</v>
      </c>
      <c r="D18" s="41">
        <f>C10-0.01*C10</f>
        <v>0.59399999999999997</v>
      </c>
      <c r="E18" s="41">
        <f>C10+0.01*C10</f>
        <v>0.60599999999999998</v>
      </c>
      <c r="F18" s="75">
        <f t="shared" si="0"/>
        <v>0.624</v>
      </c>
      <c r="G18" s="40">
        <f>C10-0.02*C10</f>
        <v>0.58799999999999997</v>
      </c>
      <c r="H18" s="41">
        <f>C10-0.01*C10</f>
        <v>0.59399999999999997</v>
      </c>
      <c r="I18" s="41">
        <f>C10+0.01*C10</f>
        <v>0.60599999999999998</v>
      </c>
      <c r="J18" s="75">
        <f t="shared" si="1"/>
        <v>0.61799999999999999</v>
      </c>
    </row>
    <row r="19" spans="1:10" ht="15.75" thickBot="1" x14ac:dyDescent="0.3">
      <c r="B19" s="17" t="s">
        <v>4</v>
      </c>
      <c r="C19" s="54">
        <f>C11-0.03*C11</f>
        <v>9.6999999999999993</v>
      </c>
      <c r="D19" s="55">
        <f>C11-0.01*C11</f>
        <v>9.9</v>
      </c>
      <c r="E19" s="55">
        <f>C11+0.01*C11</f>
        <v>10.1</v>
      </c>
      <c r="F19" s="75">
        <f t="shared" si="0"/>
        <v>10.4</v>
      </c>
      <c r="G19" s="54">
        <f>C11-0.02*C11</f>
        <v>9.8000000000000007</v>
      </c>
      <c r="H19" s="55">
        <f>C11-0.01*C11</f>
        <v>9.9</v>
      </c>
      <c r="I19" s="55">
        <f>C11+0.01*C11</f>
        <v>10.1</v>
      </c>
      <c r="J19" s="75">
        <f t="shared" si="1"/>
        <v>10.3</v>
      </c>
    </row>
    <row r="20" spans="1:10" ht="15.75" thickBot="1" x14ac:dyDescent="0.3">
      <c r="B20" s="47" t="s">
        <v>0</v>
      </c>
      <c r="C20" s="53">
        <f>C24</f>
        <v>524.35974512302721</v>
      </c>
      <c r="D20" s="57">
        <f t="shared" ref="D20:J20" si="2">D24</f>
        <v>576.41524752475243</v>
      </c>
      <c r="E20" s="57">
        <f t="shared" si="2"/>
        <v>624.42484848484844</v>
      </c>
      <c r="F20" s="58">
        <f t="shared" si="2"/>
        <v>692.68131007040108</v>
      </c>
      <c r="G20" s="53">
        <f t="shared" si="2"/>
        <v>547.53395549455911</v>
      </c>
      <c r="H20" s="57">
        <f t="shared" si="2"/>
        <v>576.41524752475243</v>
      </c>
      <c r="I20" s="57">
        <f t="shared" si="2"/>
        <v>624.42484848484844</v>
      </c>
      <c r="J20" s="58">
        <f t="shared" si="2"/>
        <v>667.8267156412611</v>
      </c>
    </row>
    <row r="21" spans="1:10" ht="15.75" thickBot="1" x14ac:dyDescent="0.3"/>
    <row r="22" spans="1:10" x14ac:dyDescent="0.25">
      <c r="B22" s="44" t="s">
        <v>19</v>
      </c>
      <c r="C22" s="31">
        <f>C16*D17+C17*D16-D16*D17</f>
        <v>9405</v>
      </c>
      <c r="D22" s="32">
        <f>D16*D17</f>
        <v>9801</v>
      </c>
      <c r="E22" s="32">
        <f>E16*E17</f>
        <v>10201</v>
      </c>
      <c r="F22" s="33">
        <f>E16*F17+E17*F16-E16*E17</f>
        <v>10807</v>
      </c>
      <c r="G22" s="31">
        <f>G16*H17+G17*H16-H16*H17</f>
        <v>9603</v>
      </c>
      <c r="H22" s="32">
        <f>H16*H17</f>
        <v>9801</v>
      </c>
      <c r="I22" s="32">
        <f>I16*I17</f>
        <v>10201</v>
      </c>
      <c r="J22" s="33">
        <f>I16*J17+I17*J16-I16*I17</f>
        <v>10605</v>
      </c>
    </row>
    <row r="23" spans="1:10" x14ac:dyDescent="0.25">
      <c r="B23" s="45" t="s">
        <v>20</v>
      </c>
      <c r="C23" s="48">
        <f>C22*D18+C18*D22-D22*D18</f>
        <v>5468.9580000000005</v>
      </c>
      <c r="D23" s="7">
        <f>D22*D18</f>
        <v>5821.7939999999999</v>
      </c>
      <c r="E23" s="7">
        <f>E22*E18</f>
        <v>6181.8059999999996</v>
      </c>
      <c r="F23" s="49">
        <f>E22*F18+E18*F22-E18*E22</f>
        <v>6732.6600000000008</v>
      </c>
      <c r="G23" s="48">
        <f>G22*H18+G18*H22-H22*H18</f>
        <v>5645.3759999999984</v>
      </c>
      <c r="H23" s="7">
        <f>H22*H18</f>
        <v>5821.7939999999999</v>
      </c>
      <c r="I23" s="7">
        <f>I22*I18</f>
        <v>6181.8059999999996</v>
      </c>
      <c r="J23" s="49">
        <f>I22*J18+I18*J22-I18*I22</f>
        <v>6549.0420000000004</v>
      </c>
    </row>
    <row r="24" spans="1:10" ht="15.75" thickBot="1" x14ac:dyDescent="0.3">
      <c r="B24" s="46" t="s">
        <v>21</v>
      </c>
      <c r="C24" s="50">
        <f>(D23*E19-D23*F19+C23*E19)/(E19^2)</f>
        <v>524.35974512302721</v>
      </c>
      <c r="D24" s="51">
        <f>D23/E19</f>
        <v>576.41524752475243</v>
      </c>
      <c r="E24" s="51">
        <f>E23/D19</f>
        <v>624.42484848484844</v>
      </c>
      <c r="F24" s="52">
        <f>(E23*D19-E23*C19+F23*D19)/(D19^2)</f>
        <v>692.68131007040108</v>
      </c>
      <c r="G24" s="50">
        <f>(H23*I19-H23*J19+G23*I19)/(I19^2)</f>
        <v>547.53395549455911</v>
      </c>
      <c r="H24" s="51">
        <f>H23/I19</f>
        <v>576.41524752475243</v>
      </c>
      <c r="I24" s="51">
        <f>I23/H19</f>
        <v>624.42484848484844</v>
      </c>
      <c r="J24" s="52">
        <f>(I23*H19-I23*G19+J23*H19)/(H19^2)</f>
        <v>667.8267156412611</v>
      </c>
    </row>
    <row r="25" spans="1:10" x14ac:dyDescent="0.25">
      <c r="B25" s="60"/>
      <c r="C25" s="59"/>
      <c r="D25" s="59"/>
      <c r="E25" s="59"/>
      <c r="F25" s="59"/>
      <c r="G25" s="59"/>
      <c r="H25" s="59"/>
      <c r="I25" s="59"/>
      <c r="J25" s="59"/>
    </row>
    <row r="26" spans="1:10" ht="15.75" thickBot="1" x14ac:dyDescent="0.3">
      <c r="C26" s="1" t="s">
        <v>25</v>
      </c>
      <c r="F26" s="1" t="s">
        <v>26</v>
      </c>
      <c r="I26" s="59"/>
      <c r="J26" s="59"/>
    </row>
    <row r="27" spans="1:10" ht="15.75" thickBot="1" x14ac:dyDescent="0.3">
      <c r="A27" s="1">
        <v>0.8</v>
      </c>
      <c r="B27" s="43" t="s">
        <v>22</v>
      </c>
      <c r="C27" s="68">
        <f>A27*D24+(1-A27)*C24</f>
        <v>566.00414704440743</v>
      </c>
      <c r="D27" s="62">
        <f>A27*E24+(1-A27)*F24</f>
        <v>638.0761408019589</v>
      </c>
      <c r="E27" s="63"/>
      <c r="F27" s="61">
        <f>A27*H24+(1-A27)*G24</f>
        <v>570.63898911871377</v>
      </c>
      <c r="G27" s="62">
        <f>A27*I24+(1-A27)*J24</f>
        <v>633.10522191613097</v>
      </c>
      <c r="I27" s="59"/>
      <c r="J27" s="59"/>
    </row>
    <row r="28" spans="1:10" ht="15.75" thickBot="1" x14ac:dyDescent="0.3">
      <c r="A28" s="1"/>
      <c r="B28" s="71" t="s">
        <v>28</v>
      </c>
      <c r="C28" s="69">
        <f>(C27+D27)/2</f>
        <v>602.04014392318322</v>
      </c>
      <c r="D28" s="63"/>
      <c r="E28" s="63"/>
      <c r="F28" s="64">
        <f>(F27+G27)/2</f>
        <v>601.87210551742237</v>
      </c>
      <c r="G28" s="63"/>
      <c r="I28" s="59"/>
      <c r="J28" s="59"/>
    </row>
    <row r="29" spans="1:10" x14ac:dyDescent="0.25">
      <c r="B29" s="72" t="s">
        <v>27</v>
      </c>
      <c r="C29" s="70">
        <f>(C28+F28)/2</f>
        <v>601.9561247203028</v>
      </c>
      <c r="I29" s="59"/>
      <c r="J29" s="59"/>
    </row>
    <row r="30" spans="1:10" x14ac:dyDescent="0.25">
      <c r="B30" s="60"/>
      <c r="C30" s="59"/>
      <c r="D30" s="59"/>
      <c r="E30" s="59"/>
      <c r="F30" s="59"/>
      <c r="G30" s="59"/>
      <c r="H30" s="59"/>
      <c r="I30" s="59"/>
      <c r="J30" s="59"/>
    </row>
    <row r="31" spans="1:10" x14ac:dyDescent="0.25">
      <c r="B31" s="60"/>
      <c r="C31" s="59"/>
      <c r="D31" s="59"/>
      <c r="E31" s="59"/>
      <c r="F31" s="59"/>
      <c r="G31" s="59"/>
      <c r="H31" s="59"/>
      <c r="I31" s="59"/>
      <c r="J31" s="59"/>
    </row>
    <row r="32" spans="1:10" ht="15.75" thickBot="1" x14ac:dyDescent="0.3">
      <c r="B32" s="1" t="s">
        <v>9</v>
      </c>
      <c r="C32">
        <v>1</v>
      </c>
      <c r="D32">
        <v>2</v>
      </c>
      <c r="E32">
        <v>3</v>
      </c>
      <c r="F32">
        <v>4</v>
      </c>
      <c r="G32">
        <v>1</v>
      </c>
      <c r="H32">
        <v>2</v>
      </c>
      <c r="I32">
        <v>3</v>
      </c>
      <c r="J32">
        <v>4</v>
      </c>
    </row>
    <row r="33" spans="1:10" ht="15.75" thickBot="1" x14ac:dyDescent="0.3">
      <c r="B33" s="14" t="s">
        <v>7</v>
      </c>
      <c r="C33" s="188" t="s">
        <v>17</v>
      </c>
      <c r="D33" s="189"/>
      <c r="E33" s="189"/>
      <c r="F33" s="190"/>
      <c r="G33" s="160" t="s">
        <v>18</v>
      </c>
      <c r="H33" s="161"/>
      <c r="I33" s="161"/>
      <c r="J33" s="162"/>
    </row>
    <row r="34" spans="1:10" x14ac:dyDescent="0.25">
      <c r="B34" s="15" t="s">
        <v>1</v>
      </c>
      <c r="C34" s="37">
        <f>D8-0.03*D8</f>
        <v>97</v>
      </c>
      <c r="D34" s="38">
        <f>D8-0.01*D8</f>
        <v>99</v>
      </c>
      <c r="E34" s="38">
        <f>D8+0.01*D8</f>
        <v>101</v>
      </c>
      <c r="F34" s="39">
        <f>D8+0.04*D8</f>
        <v>104</v>
      </c>
      <c r="G34" s="37">
        <f>D8-0.02*D8</f>
        <v>98</v>
      </c>
      <c r="H34" s="38">
        <f>D8-0.01*D8</f>
        <v>99</v>
      </c>
      <c r="I34" s="38">
        <f>D8+0.01*D8</f>
        <v>101</v>
      </c>
      <c r="J34" s="39">
        <f>D8+0.03*D8</f>
        <v>103</v>
      </c>
    </row>
    <row r="35" spans="1:10" ht="12.75" customHeight="1" x14ac:dyDescent="0.25">
      <c r="B35" s="16" t="s">
        <v>2</v>
      </c>
      <c r="C35" s="73">
        <f t="shared" ref="C35:C37" si="3">D9-0.03*D9</f>
        <v>2.91</v>
      </c>
      <c r="D35" s="74">
        <f t="shared" ref="D35:D37" si="4">D9-0.01*D9</f>
        <v>2.97</v>
      </c>
      <c r="E35" s="74">
        <f t="shared" ref="E35:E37" si="5">D9+0.01*D9</f>
        <v>3.03</v>
      </c>
      <c r="F35" s="75">
        <f t="shared" ref="F35:F37" si="6">D9+0.04*D9</f>
        <v>3.12</v>
      </c>
      <c r="G35" s="73">
        <f t="shared" ref="G35:G37" si="7">D9-0.02*D9</f>
        <v>2.94</v>
      </c>
      <c r="H35" s="74">
        <f t="shared" ref="H35:H37" si="8">D9-0.01*D9</f>
        <v>2.97</v>
      </c>
      <c r="I35" s="74">
        <f t="shared" ref="I35:I37" si="9">D9+0.01*D9</f>
        <v>3.03</v>
      </c>
      <c r="J35" s="75">
        <f t="shared" ref="J35:J37" si="10">D9+0.03*D9</f>
        <v>3.09</v>
      </c>
    </row>
    <row r="36" spans="1:10" x14ac:dyDescent="0.25">
      <c r="B36" s="16" t="s">
        <v>3</v>
      </c>
      <c r="C36" s="73">
        <f t="shared" si="3"/>
        <v>0.873</v>
      </c>
      <c r="D36" s="74">
        <f t="shared" si="4"/>
        <v>0.89100000000000001</v>
      </c>
      <c r="E36" s="74">
        <f t="shared" si="5"/>
        <v>0.90900000000000003</v>
      </c>
      <c r="F36" s="75">
        <f t="shared" si="6"/>
        <v>0.93600000000000005</v>
      </c>
      <c r="G36" s="73">
        <f t="shared" si="7"/>
        <v>0.88200000000000001</v>
      </c>
      <c r="H36" s="74">
        <f t="shared" si="8"/>
        <v>0.89100000000000001</v>
      </c>
      <c r="I36" s="74">
        <f t="shared" si="9"/>
        <v>0.90900000000000003</v>
      </c>
      <c r="J36" s="75">
        <f t="shared" si="10"/>
        <v>0.92700000000000005</v>
      </c>
    </row>
    <row r="37" spans="1:10" ht="15.75" thickBot="1" x14ac:dyDescent="0.3">
      <c r="B37" s="17" t="s">
        <v>4</v>
      </c>
      <c r="C37" s="73">
        <f t="shared" si="3"/>
        <v>4.8499999999999996</v>
      </c>
      <c r="D37" s="74">
        <f t="shared" si="4"/>
        <v>4.95</v>
      </c>
      <c r="E37" s="74">
        <f t="shared" si="5"/>
        <v>5.05</v>
      </c>
      <c r="F37" s="75">
        <f t="shared" si="6"/>
        <v>5.2</v>
      </c>
      <c r="G37" s="73">
        <f t="shared" si="7"/>
        <v>4.9000000000000004</v>
      </c>
      <c r="H37" s="74">
        <f t="shared" si="8"/>
        <v>4.95</v>
      </c>
      <c r="I37" s="74">
        <f t="shared" si="9"/>
        <v>5.05</v>
      </c>
      <c r="J37" s="75">
        <f t="shared" si="10"/>
        <v>5.15</v>
      </c>
    </row>
    <row r="38" spans="1:10" ht="15.75" thickBot="1" x14ac:dyDescent="0.3">
      <c r="B38" s="47" t="s">
        <v>0</v>
      </c>
      <c r="C38" s="53">
        <f>C42</f>
        <v>47.192377061072449</v>
      </c>
      <c r="D38" s="57">
        <f t="shared" ref="D38:J38" si="11">D42</f>
        <v>51.877372277227735</v>
      </c>
      <c r="E38" s="57">
        <f t="shared" si="11"/>
        <v>56.198236363636362</v>
      </c>
      <c r="F38" s="58">
        <f t="shared" si="11"/>
        <v>62.341317906336108</v>
      </c>
      <c r="G38" s="53">
        <f t="shared" si="11"/>
        <v>49.278055994510325</v>
      </c>
      <c r="H38" s="57">
        <f t="shared" si="11"/>
        <v>51.877372277227735</v>
      </c>
      <c r="I38" s="57">
        <f t="shared" si="11"/>
        <v>56.198236363636362</v>
      </c>
      <c r="J38" s="58">
        <f t="shared" si="11"/>
        <v>60.104404407713496</v>
      </c>
    </row>
    <row r="39" spans="1:10" ht="15.75" thickBot="1" x14ac:dyDescent="0.3"/>
    <row r="40" spans="1:10" x14ac:dyDescent="0.25">
      <c r="B40" s="44" t="s">
        <v>19</v>
      </c>
      <c r="C40" s="31">
        <f>C34*D35+C35*D34-D34*D35</f>
        <v>282.15000000000003</v>
      </c>
      <c r="D40" s="32">
        <f>D34*D35</f>
        <v>294.03000000000003</v>
      </c>
      <c r="E40" s="32">
        <f>E34*E35</f>
        <v>306.02999999999997</v>
      </c>
      <c r="F40" s="33">
        <f>E34*F35+E35*F34-E34*E35</f>
        <v>324.21000000000004</v>
      </c>
      <c r="G40" s="31">
        <f>G34*H35+G35*H34-H34*H35</f>
        <v>288.08999999999997</v>
      </c>
      <c r="H40" s="32">
        <f>H34*H35</f>
        <v>294.03000000000003</v>
      </c>
      <c r="I40" s="32">
        <f>I34*I35</f>
        <v>306.02999999999997</v>
      </c>
      <c r="J40" s="33">
        <f>I34*J35+I35*J34-I34*I35</f>
        <v>318.14999999999998</v>
      </c>
    </row>
    <row r="41" spans="1:10" x14ac:dyDescent="0.25">
      <c r="B41" s="45" t="s">
        <v>20</v>
      </c>
      <c r="C41" s="48">
        <f>C40*D36+C36*D40-D40*D36</f>
        <v>246.10311000000002</v>
      </c>
      <c r="D41" s="7">
        <f>D40*D36</f>
        <v>261.98073000000005</v>
      </c>
      <c r="E41" s="7">
        <f>E40*E36</f>
        <v>278.18126999999998</v>
      </c>
      <c r="F41" s="49">
        <f>E40*F36+E36*F40-E36*E40</f>
        <v>302.96970000000005</v>
      </c>
      <c r="G41" s="48">
        <f>G40*H36+G36*H40-H40*H36</f>
        <v>254.04191999999995</v>
      </c>
      <c r="H41" s="7">
        <f>H40*H36</f>
        <v>261.98073000000005</v>
      </c>
      <c r="I41" s="7">
        <f>I40*I36</f>
        <v>278.18126999999998</v>
      </c>
      <c r="J41" s="49">
        <f>I40*J36+I36*J40-I36*I40</f>
        <v>294.70688999999999</v>
      </c>
    </row>
    <row r="42" spans="1:10" ht="15.75" thickBot="1" x14ac:dyDescent="0.3">
      <c r="B42" s="46" t="s">
        <v>21</v>
      </c>
      <c r="C42" s="50">
        <f>(D41*E37-D41*F37+C41*E37)/(E37^2)</f>
        <v>47.192377061072449</v>
      </c>
      <c r="D42" s="51">
        <f>D41/E37</f>
        <v>51.877372277227735</v>
      </c>
      <c r="E42" s="51">
        <f>E41/D37</f>
        <v>56.198236363636362</v>
      </c>
      <c r="F42" s="52">
        <f>(E41*D37-E41*C37+F41*D37)/(D37^2)</f>
        <v>62.341317906336108</v>
      </c>
      <c r="G42" s="50">
        <f>(H41*I37-H41*J37+G41*I37)/(I37^2)</f>
        <v>49.278055994510325</v>
      </c>
      <c r="H42" s="51">
        <f>H41/I37</f>
        <v>51.877372277227735</v>
      </c>
      <c r="I42" s="51">
        <f>I41/H37</f>
        <v>56.198236363636362</v>
      </c>
      <c r="J42" s="52">
        <f>(I41*H37-I41*G37+J41*H37)/(H37^2)</f>
        <v>60.104404407713496</v>
      </c>
    </row>
    <row r="43" spans="1:10" x14ac:dyDescent="0.25">
      <c r="B43" s="60"/>
      <c r="C43" s="59"/>
      <c r="D43" s="59"/>
      <c r="E43" s="59"/>
      <c r="F43" s="59"/>
      <c r="G43" s="59"/>
      <c r="H43" s="59"/>
      <c r="I43" s="59"/>
      <c r="J43" s="59"/>
    </row>
    <row r="44" spans="1:10" ht="15.75" thickBot="1" x14ac:dyDescent="0.3">
      <c r="C44" s="1" t="s">
        <v>25</v>
      </c>
      <c r="F44" s="1" t="s">
        <v>26</v>
      </c>
      <c r="I44" s="59"/>
      <c r="J44" s="59"/>
    </row>
    <row r="45" spans="1:10" ht="15.75" thickBot="1" x14ac:dyDescent="0.3">
      <c r="A45" s="1">
        <v>0.8</v>
      </c>
      <c r="B45" s="43" t="s">
        <v>22</v>
      </c>
      <c r="C45" s="68">
        <f>A45*D42+(1-A45)*C42</f>
        <v>50.940373233996681</v>
      </c>
      <c r="D45" s="62">
        <f>A45*E42+(1-A45)*F42</f>
        <v>57.42685267217631</v>
      </c>
      <c r="E45" s="63"/>
      <c r="F45" s="61">
        <f>A45*H42+(1-A45)*G42</f>
        <v>51.357509020684255</v>
      </c>
      <c r="G45" s="62">
        <f>A45*I42+(1-A45)*J42</f>
        <v>56.979469972451788</v>
      </c>
      <c r="I45" s="59"/>
      <c r="J45" s="59"/>
    </row>
    <row r="46" spans="1:10" ht="15.75" thickBot="1" x14ac:dyDescent="0.3">
      <c r="A46" s="1"/>
      <c r="B46" s="71" t="s">
        <v>28</v>
      </c>
      <c r="C46" s="69">
        <f>(C45+D45)/2</f>
        <v>54.183612953086495</v>
      </c>
      <c r="D46" s="63"/>
      <c r="E46" s="63"/>
      <c r="F46" s="64">
        <f>(F45+G45)/2</f>
        <v>54.168489496568021</v>
      </c>
      <c r="G46" s="63"/>
      <c r="I46" s="59"/>
      <c r="J46" s="59"/>
    </row>
    <row r="47" spans="1:10" x14ac:dyDescent="0.25">
      <c r="B47" s="72" t="s">
        <v>27</v>
      </c>
      <c r="C47" s="70">
        <f>(C46+F46)/2</f>
        <v>54.176051224827262</v>
      </c>
      <c r="I47" s="59"/>
      <c r="J47" s="59"/>
    </row>
    <row r="50" spans="1:10" ht="15.75" thickBot="1" x14ac:dyDescent="0.3">
      <c r="B50" s="1" t="s">
        <v>10</v>
      </c>
      <c r="C50">
        <v>1</v>
      </c>
      <c r="D50">
        <v>2</v>
      </c>
      <c r="E50">
        <v>3</v>
      </c>
      <c r="F50">
        <v>4</v>
      </c>
      <c r="G50">
        <v>1</v>
      </c>
      <c r="H50">
        <v>2</v>
      </c>
      <c r="I50">
        <v>3</v>
      </c>
      <c r="J50">
        <v>4</v>
      </c>
    </row>
    <row r="51" spans="1:10" ht="15.75" thickBot="1" x14ac:dyDescent="0.3">
      <c r="B51" s="14" t="s">
        <v>7</v>
      </c>
      <c r="C51" s="160" t="s">
        <v>17</v>
      </c>
      <c r="D51" s="161"/>
      <c r="E51" s="161"/>
      <c r="F51" s="162"/>
      <c r="G51" s="160" t="s">
        <v>18</v>
      </c>
      <c r="H51" s="161"/>
      <c r="I51" s="161"/>
      <c r="J51" s="162"/>
    </row>
    <row r="52" spans="1:10" x14ac:dyDescent="0.25">
      <c r="B52" s="15" t="s">
        <v>1</v>
      </c>
      <c r="C52" s="37">
        <f>E8-0.03*E8</f>
        <v>970</v>
      </c>
      <c r="D52" s="38">
        <f>E8-0.01*E8</f>
        <v>990</v>
      </c>
      <c r="E52" s="38">
        <f>E8+0.01*E8</f>
        <v>1010</v>
      </c>
      <c r="F52" s="39">
        <f>E8+0.04*E8</f>
        <v>1040</v>
      </c>
      <c r="G52" s="37">
        <f>E8-0.02*E8</f>
        <v>980</v>
      </c>
      <c r="H52" s="38">
        <f>E8-0.01*E8</f>
        <v>990</v>
      </c>
      <c r="I52" s="38">
        <f>E8+0.01*E8</f>
        <v>1010</v>
      </c>
      <c r="J52" s="39">
        <f>E8+0.03*E8</f>
        <v>1030</v>
      </c>
    </row>
    <row r="53" spans="1:10" x14ac:dyDescent="0.25">
      <c r="B53" s="16" t="s">
        <v>2</v>
      </c>
      <c r="C53" s="73">
        <f t="shared" ref="C53:C55" si="12">E9-0.03*E9</f>
        <v>1.94</v>
      </c>
      <c r="D53" s="74">
        <f t="shared" ref="D53:D55" si="13">E9-0.01*E9</f>
        <v>1.98</v>
      </c>
      <c r="E53" s="74">
        <f t="shared" ref="E53:E55" si="14">E9+0.01*E9</f>
        <v>2.02</v>
      </c>
      <c r="F53" s="75">
        <f t="shared" ref="F53:F55" si="15">E9+0.04*E9</f>
        <v>2.08</v>
      </c>
      <c r="G53" s="73">
        <f t="shared" ref="G53:G55" si="16">E9-0.02*E9</f>
        <v>1.96</v>
      </c>
      <c r="H53" s="74">
        <f t="shared" ref="H53:H55" si="17">E9-0.01*E9</f>
        <v>1.98</v>
      </c>
      <c r="I53" s="74">
        <f t="shared" ref="I53:I55" si="18">E9+0.01*E9</f>
        <v>2.02</v>
      </c>
      <c r="J53" s="75">
        <f t="shared" ref="J53:J55" si="19">E9+0.03*E9</f>
        <v>2.06</v>
      </c>
    </row>
    <row r="54" spans="1:10" x14ac:dyDescent="0.25">
      <c r="B54" s="16" t="s">
        <v>3</v>
      </c>
      <c r="C54" s="73">
        <f t="shared" si="12"/>
        <v>0.77600000000000002</v>
      </c>
      <c r="D54" s="74">
        <f t="shared" si="13"/>
        <v>0.79200000000000004</v>
      </c>
      <c r="E54" s="74">
        <f t="shared" si="14"/>
        <v>0.80800000000000005</v>
      </c>
      <c r="F54" s="75">
        <f t="shared" si="15"/>
        <v>0.83200000000000007</v>
      </c>
      <c r="G54" s="73">
        <f t="shared" si="16"/>
        <v>0.78400000000000003</v>
      </c>
      <c r="H54" s="74">
        <f t="shared" si="17"/>
        <v>0.79200000000000004</v>
      </c>
      <c r="I54" s="74">
        <f t="shared" si="18"/>
        <v>0.80800000000000005</v>
      </c>
      <c r="J54" s="75">
        <f t="shared" si="19"/>
        <v>0.82400000000000007</v>
      </c>
    </row>
    <row r="55" spans="1:10" ht="15.75" thickBot="1" x14ac:dyDescent="0.3">
      <c r="B55" s="17" t="s">
        <v>4</v>
      </c>
      <c r="C55" s="73">
        <f t="shared" si="12"/>
        <v>6.79</v>
      </c>
      <c r="D55" s="74">
        <f t="shared" si="13"/>
        <v>6.93</v>
      </c>
      <c r="E55" s="74">
        <f t="shared" si="14"/>
        <v>7.07</v>
      </c>
      <c r="F55" s="75">
        <f t="shared" si="15"/>
        <v>7.28</v>
      </c>
      <c r="G55" s="73">
        <f t="shared" si="16"/>
        <v>6.86</v>
      </c>
      <c r="H55" s="74">
        <f t="shared" si="17"/>
        <v>6.93</v>
      </c>
      <c r="I55" s="74">
        <f t="shared" si="18"/>
        <v>7.07</v>
      </c>
      <c r="J55" s="75">
        <f t="shared" si="19"/>
        <v>7.21</v>
      </c>
    </row>
    <row r="56" spans="1:10" ht="15.75" thickBot="1" x14ac:dyDescent="0.3">
      <c r="B56" s="47" t="s">
        <v>0</v>
      </c>
      <c r="C56" s="53">
        <f>C60</f>
        <v>199.75609338020084</v>
      </c>
      <c r="D56" s="57">
        <f t="shared" ref="D56:J56" si="20">D60</f>
        <v>219.58676096181048</v>
      </c>
      <c r="E56" s="57">
        <f t="shared" si="20"/>
        <v>237.87613275613279</v>
      </c>
      <c r="F56" s="58">
        <f t="shared" si="20"/>
        <v>263.87859431253383</v>
      </c>
      <c r="G56" s="53">
        <f t="shared" si="20"/>
        <v>208.5843639979274</v>
      </c>
      <c r="H56" s="57">
        <f t="shared" si="20"/>
        <v>219.58676096181048</v>
      </c>
      <c r="I56" s="57">
        <f t="shared" si="20"/>
        <v>237.87613275613279</v>
      </c>
      <c r="J56" s="58">
        <f t="shared" si="20"/>
        <v>254.41017738714714</v>
      </c>
    </row>
    <row r="57" spans="1:10" ht="15.75" thickBot="1" x14ac:dyDescent="0.3"/>
    <row r="58" spans="1:10" x14ac:dyDescent="0.25">
      <c r="B58" s="44" t="s">
        <v>19</v>
      </c>
      <c r="C58" s="31">
        <f>C52*D53+C53*D52-D52*D53</f>
        <v>1880.9999999999998</v>
      </c>
      <c r="D58" s="32">
        <f>D52*D53</f>
        <v>1960.2</v>
      </c>
      <c r="E58" s="32">
        <f>E52*E53</f>
        <v>2040.2</v>
      </c>
      <c r="F58" s="33">
        <f>E52*F53+E53*F52-E52*E53</f>
        <v>2161.4000000000005</v>
      </c>
      <c r="G58" s="31">
        <f>G52*H53+G53*H52-H52*H53</f>
        <v>1920.6000000000001</v>
      </c>
      <c r="H58" s="32">
        <f>H52*H53</f>
        <v>1960.2</v>
      </c>
      <c r="I58" s="32">
        <f>I52*I53</f>
        <v>2040.2</v>
      </c>
      <c r="J58" s="33">
        <f>I52*J53+I53*J52-I52*I53</f>
        <v>2121</v>
      </c>
    </row>
    <row r="59" spans="1:10" x14ac:dyDescent="0.25">
      <c r="B59" s="45" t="s">
        <v>20</v>
      </c>
      <c r="C59" s="48">
        <f>C58*D54+C54*D58-D58*D54</f>
        <v>1458.3887999999999</v>
      </c>
      <c r="D59" s="7">
        <f>D58*D54</f>
        <v>1552.4784000000002</v>
      </c>
      <c r="E59" s="7">
        <f>E58*E54</f>
        <v>1648.4816000000001</v>
      </c>
      <c r="F59" s="49">
        <f>E58*F54+E54*F58-E54*E58</f>
        <v>1795.3760000000007</v>
      </c>
      <c r="G59" s="48">
        <f>G58*H54+G54*H58-H58*H54</f>
        <v>1505.4336000000001</v>
      </c>
      <c r="H59" s="7">
        <f>H58*H54</f>
        <v>1552.4784000000002</v>
      </c>
      <c r="I59" s="7">
        <f>I58*I54</f>
        <v>1648.4816000000001</v>
      </c>
      <c r="J59" s="49">
        <f>I58*J54+I54*J58-I54*I58</f>
        <v>1746.4112000000005</v>
      </c>
    </row>
    <row r="60" spans="1:10" ht="15.75" thickBot="1" x14ac:dyDescent="0.3">
      <c r="B60" s="46" t="s">
        <v>21</v>
      </c>
      <c r="C60" s="50">
        <f>(D59*E55-D59*F55+C59*E55)/(E55^2)</f>
        <v>199.75609338020084</v>
      </c>
      <c r="D60" s="51">
        <f>D59/E55</f>
        <v>219.58676096181048</v>
      </c>
      <c r="E60" s="51">
        <f>E59/D55</f>
        <v>237.87613275613279</v>
      </c>
      <c r="F60" s="52">
        <f>(E59*D55-E59*C55+F59*D55)/(D55^2)</f>
        <v>263.87859431253383</v>
      </c>
      <c r="G60" s="50">
        <f>(H59*I55-H59*J55+G59*I55)/(I55^2)</f>
        <v>208.5843639979274</v>
      </c>
      <c r="H60" s="51">
        <f>H59/I55</f>
        <v>219.58676096181048</v>
      </c>
      <c r="I60" s="51">
        <f>I59/H55</f>
        <v>237.87613275613279</v>
      </c>
      <c r="J60" s="52">
        <f>(I59*H55-I59*G55+J59*H55)/(H55^2)</f>
        <v>254.41017738714714</v>
      </c>
    </row>
    <row r="61" spans="1:10" x14ac:dyDescent="0.25">
      <c r="B61" s="60"/>
      <c r="C61" s="59"/>
      <c r="D61" s="59"/>
      <c r="E61" s="59"/>
      <c r="F61" s="59"/>
      <c r="G61" s="59"/>
      <c r="H61" s="59"/>
      <c r="I61" s="59"/>
      <c r="J61" s="59"/>
    </row>
    <row r="62" spans="1:10" ht="15.75" thickBot="1" x14ac:dyDescent="0.3">
      <c r="C62" s="1" t="s">
        <v>25</v>
      </c>
      <c r="F62" s="1" t="s">
        <v>26</v>
      </c>
      <c r="I62" s="59"/>
      <c r="J62" s="59"/>
    </row>
    <row r="63" spans="1:10" ht="15.75" thickBot="1" x14ac:dyDescent="0.3">
      <c r="A63" s="1">
        <v>0.8</v>
      </c>
      <c r="B63" s="43" t="s">
        <v>22</v>
      </c>
      <c r="C63" s="68">
        <f>A63*D60+(1-A63)*C60</f>
        <v>215.62062744548857</v>
      </c>
      <c r="D63" s="62">
        <f>A63*E60+(1-A63)*F60</f>
        <v>243.076625067413</v>
      </c>
      <c r="E63" s="63"/>
      <c r="F63" s="61">
        <f>A63*H60+(1-A63)*G60</f>
        <v>217.38628156903388</v>
      </c>
      <c r="G63" s="62">
        <f>A63*I60+(1-A63)*J60</f>
        <v>241.18294168233567</v>
      </c>
      <c r="I63" s="59"/>
      <c r="J63" s="59"/>
    </row>
    <row r="64" spans="1:10" ht="15.75" thickBot="1" x14ac:dyDescent="0.3">
      <c r="A64" s="1"/>
      <c r="B64" s="71" t="s">
        <v>28</v>
      </c>
      <c r="C64" s="69">
        <f>(C63+D63)/2</f>
        <v>229.34862625645079</v>
      </c>
      <c r="D64" s="63"/>
      <c r="E64" s="63"/>
      <c r="F64" s="64">
        <f>(F63+G63)/2</f>
        <v>229.28461162568476</v>
      </c>
      <c r="G64" s="63"/>
      <c r="I64" s="59"/>
      <c r="J64" s="59"/>
    </row>
    <row r="65" spans="2:10" x14ac:dyDescent="0.25">
      <c r="B65" s="72" t="s">
        <v>27</v>
      </c>
      <c r="C65" s="70">
        <f>(C64+F64)/2</f>
        <v>229.31661894106776</v>
      </c>
      <c r="I65" s="59"/>
      <c r="J65" s="59"/>
    </row>
  </sheetData>
  <mergeCells count="8">
    <mergeCell ref="C51:F51"/>
    <mergeCell ref="G51:J51"/>
    <mergeCell ref="B5:B6"/>
    <mergeCell ref="C5:E5"/>
    <mergeCell ref="C15:F15"/>
    <mergeCell ref="G15:J15"/>
    <mergeCell ref="C33:F33"/>
    <mergeCell ref="G33:J33"/>
  </mergeCells>
  <pageMargins left="0.70866141732283472" right="0.70866141732283472" top="0.74803149606299213" bottom="0.74803149606299213" header="0.31496062992125984" footer="0.31496062992125984"/>
  <pageSetup scale="5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2F8EB-DFEE-4180-957C-EAD500E29935}">
  <sheetPr>
    <pageSetUpPr fitToPage="1"/>
  </sheetPr>
  <dimension ref="A1:J65"/>
  <sheetViews>
    <sheetView topLeftCell="A49" zoomScaleNormal="100" workbookViewId="0">
      <selection activeCell="F11" sqref="F11"/>
    </sheetView>
  </sheetViews>
  <sheetFormatPr defaultRowHeight="15" x14ac:dyDescent="0.25"/>
  <cols>
    <col min="1" max="1" width="3.7109375" customWidth="1"/>
    <col min="2" max="2" width="32.5703125" customWidth="1"/>
    <col min="3" max="3" width="15.42578125" customWidth="1"/>
    <col min="4" max="4" width="18.28515625" customWidth="1"/>
    <col min="5" max="5" width="17.140625" customWidth="1"/>
    <col min="6" max="6" width="16.42578125" customWidth="1"/>
    <col min="7" max="7" width="14.85546875" customWidth="1"/>
    <col min="8" max="8" width="16" customWidth="1"/>
    <col min="9" max="9" width="11.42578125" customWidth="1"/>
    <col min="10" max="10" width="13.140625" customWidth="1"/>
  </cols>
  <sheetData>
    <row r="1" spans="2:10" x14ac:dyDescent="0.25">
      <c r="B1" s="1" t="s">
        <v>23</v>
      </c>
    </row>
    <row r="2" spans="2:10" x14ac:dyDescent="0.25">
      <c r="B2" s="76" t="s">
        <v>30</v>
      </c>
    </row>
    <row r="3" spans="2:10" x14ac:dyDescent="0.25">
      <c r="B3" s="1" t="s">
        <v>24</v>
      </c>
    </row>
    <row r="4" spans="2:10" ht="15.75" thickBot="1" x14ac:dyDescent="0.3"/>
    <row r="5" spans="2:10" x14ac:dyDescent="0.25">
      <c r="B5" s="158" t="s">
        <v>7</v>
      </c>
      <c r="C5" s="155" t="s">
        <v>6</v>
      </c>
      <c r="D5" s="156"/>
      <c r="E5" s="157"/>
    </row>
    <row r="6" spans="2:10" x14ac:dyDescent="0.25">
      <c r="B6" s="159"/>
      <c r="C6" s="30" t="s">
        <v>8</v>
      </c>
      <c r="D6" s="5" t="s">
        <v>9</v>
      </c>
      <c r="E6" s="21" t="s">
        <v>10</v>
      </c>
    </row>
    <row r="7" spans="2:10" ht="15.75" thickBot="1" x14ac:dyDescent="0.3">
      <c r="B7" s="25">
        <v>1</v>
      </c>
      <c r="C7" s="22">
        <v>2</v>
      </c>
      <c r="D7" s="23">
        <v>3</v>
      </c>
      <c r="E7" s="24">
        <v>4</v>
      </c>
    </row>
    <row r="8" spans="2:10" x14ac:dyDescent="0.25">
      <c r="B8" s="26" t="s">
        <v>1</v>
      </c>
      <c r="C8" s="31">
        <v>10000</v>
      </c>
      <c r="D8" s="32">
        <v>100</v>
      </c>
      <c r="E8" s="33">
        <v>1000</v>
      </c>
    </row>
    <row r="9" spans="2:10" x14ac:dyDescent="0.25">
      <c r="B9" s="27" t="s">
        <v>2</v>
      </c>
      <c r="C9" s="9">
        <v>1</v>
      </c>
      <c r="D9" s="2">
        <v>3</v>
      </c>
      <c r="E9" s="10">
        <v>2</v>
      </c>
    </row>
    <row r="10" spans="2:10" x14ac:dyDescent="0.25">
      <c r="B10" s="27" t="s">
        <v>3</v>
      </c>
      <c r="C10" s="9">
        <v>0.6</v>
      </c>
      <c r="D10" s="2">
        <v>0.9</v>
      </c>
      <c r="E10" s="10">
        <v>0.8</v>
      </c>
    </row>
    <row r="11" spans="2:10" ht="15.75" thickBot="1" x14ac:dyDescent="0.3">
      <c r="B11" s="28" t="s">
        <v>4</v>
      </c>
      <c r="C11" s="18">
        <v>10</v>
      </c>
      <c r="D11" s="19">
        <v>5</v>
      </c>
      <c r="E11" s="20">
        <v>7</v>
      </c>
    </row>
    <row r="12" spans="2:10" ht="15.75" thickBot="1" x14ac:dyDescent="0.3">
      <c r="B12" s="29" t="s">
        <v>0</v>
      </c>
      <c r="C12" s="65">
        <f>C8*C9*C10/C11</f>
        <v>600</v>
      </c>
      <c r="D12" s="66">
        <f>D8*D9*D10/D11</f>
        <v>54</v>
      </c>
      <c r="E12" s="67">
        <f>E8*E9*E10/E11</f>
        <v>228.57142857142858</v>
      </c>
    </row>
    <row r="14" spans="2:10" ht="15.75" thickBot="1" x14ac:dyDescent="0.3">
      <c r="B14" s="1" t="s">
        <v>8</v>
      </c>
      <c r="C14">
        <v>1</v>
      </c>
      <c r="D14">
        <v>2</v>
      </c>
      <c r="E14">
        <v>3</v>
      </c>
      <c r="F14">
        <v>4</v>
      </c>
      <c r="G14">
        <v>1</v>
      </c>
      <c r="H14">
        <v>2</v>
      </c>
      <c r="I14">
        <v>3</v>
      </c>
      <c r="J14">
        <v>4</v>
      </c>
    </row>
    <row r="15" spans="2:10" ht="15.75" thickBot="1" x14ac:dyDescent="0.3">
      <c r="B15" s="14" t="s">
        <v>7</v>
      </c>
      <c r="C15" s="160" t="s">
        <v>17</v>
      </c>
      <c r="D15" s="161"/>
      <c r="E15" s="161"/>
      <c r="F15" s="162"/>
      <c r="G15" s="160" t="s">
        <v>18</v>
      </c>
      <c r="H15" s="161"/>
      <c r="I15" s="161"/>
      <c r="J15" s="162"/>
    </row>
    <row r="16" spans="2:10" x14ac:dyDescent="0.25">
      <c r="B16" s="15" t="s">
        <v>1</v>
      </c>
      <c r="C16" s="37">
        <v>9700</v>
      </c>
      <c r="D16" s="38">
        <v>9900</v>
      </c>
      <c r="E16" s="38">
        <v>10100</v>
      </c>
      <c r="F16" s="39">
        <v>10300</v>
      </c>
      <c r="G16" s="37">
        <v>9800</v>
      </c>
      <c r="H16" s="38">
        <v>9900</v>
      </c>
      <c r="I16" s="38">
        <v>10100</v>
      </c>
      <c r="J16" s="39">
        <v>10200</v>
      </c>
    </row>
    <row r="17" spans="1:10" x14ac:dyDescent="0.25">
      <c r="B17" s="16" t="s">
        <v>2</v>
      </c>
      <c r="C17" s="11">
        <v>0.97</v>
      </c>
      <c r="D17" s="12">
        <v>0.99</v>
      </c>
      <c r="E17" s="12">
        <v>1.01</v>
      </c>
      <c r="F17" s="13">
        <v>1.03</v>
      </c>
      <c r="G17" s="11">
        <v>0.98</v>
      </c>
      <c r="H17" s="12">
        <v>0.99</v>
      </c>
      <c r="I17" s="12">
        <v>1.01</v>
      </c>
      <c r="J17" s="13">
        <v>1.02</v>
      </c>
    </row>
    <row r="18" spans="1:10" x14ac:dyDescent="0.25">
      <c r="B18" s="16" t="s">
        <v>3</v>
      </c>
      <c r="C18" s="40">
        <v>0.57999999999999996</v>
      </c>
      <c r="D18" s="41">
        <v>0.59</v>
      </c>
      <c r="E18" s="41">
        <v>0.61</v>
      </c>
      <c r="F18" s="42">
        <v>0.62</v>
      </c>
      <c r="G18" s="40">
        <v>0.59</v>
      </c>
      <c r="H18" s="41">
        <v>0.59</v>
      </c>
      <c r="I18" s="41">
        <v>0.61</v>
      </c>
      <c r="J18" s="42">
        <v>0.61</v>
      </c>
    </row>
    <row r="19" spans="1:10" ht="15.75" thickBot="1" x14ac:dyDescent="0.3">
      <c r="B19" s="17" t="s">
        <v>4</v>
      </c>
      <c r="C19" s="54">
        <v>9.6999999999999993</v>
      </c>
      <c r="D19" s="55">
        <v>9.9</v>
      </c>
      <c r="E19" s="55">
        <v>10.1</v>
      </c>
      <c r="F19" s="56">
        <v>10.3</v>
      </c>
      <c r="G19" s="54">
        <v>9.8000000000000007</v>
      </c>
      <c r="H19" s="55">
        <v>9.9</v>
      </c>
      <c r="I19" s="55">
        <v>10.1</v>
      </c>
      <c r="J19" s="56">
        <v>10.199999999999999</v>
      </c>
    </row>
    <row r="20" spans="1:10" ht="15.75" thickBot="1" x14ac:dyDescent="0.3">
      <c r="B20" s="47" t="s">
        <v>0</v>
      </c>
      <c r="C20" s="53">
        <f>C24</f>
        <v>528.35972943829017</v>
      </c>
      <c r="D20" s="57">
        <f t="shared" ref="D20:J20" si="0">D24</f>
        <v>572.53366336633667</v>
      </c>
      <c r="E20" s="57">
        <f t="shared" si="0"/>
        <v>628.54646464646464</v>
      </c>
      <c r="F20" s="58">
        <f t="shared" si="0"/>
        <v>676.44134272013059</v>
      </c>
      <c r="G20" s="53">
        <f t="shared" si="0"/>
        <v>555.29867660033335</v>
      </c>
      <c r="H20" s="57">
        <f t="shared" si="0"/>
        <v>572.53366336633667</v>
      </c>
      <c r="I20" s="57">
        <f t="shared" si="0"/>
        <v>628.54646464646464</v>
      </c>
      <c r="J20" s="58">
        <f t="shared" si="0"/>
        <v>647.34188348127725</v>
      </c>
    </row>
    <row r="21" spans="1:10" ht="15.75" thickBot="1" x14ac:dyDescent="0.3"/>
    <row r="22" spans="1:10" x14ac:dyDescent="0.25">
      <c r="B22" s="44" t="s">
        <v>19</v>
      </c>
      <c r="C22" s="31">
        <f>C16*D17+C17*D16-D16*D17</f>
        <v>9405</v>
      </c>
      <c r="D22" s="32">
        <f>D16*D17</f>
        <v>9801</v>
      </c>
      <c r="E22" s="32">
        <f>E16*E17</f>
        <v>10201</v>
      </c>
      <c r="F22" s="33">
        <f>E16*F17+E17*F16-E16*E17</f>
        <v>10605</v>
      </c>
      <c r="G22" s="31">
        <f>G16*H17+G17*H16-H16*H17</f>
        <v>9603</v>
      </c>
      <c r="H22" s="32">
        <f>H16*H17</f>
        <v>9801</v>
      </c>
      <c r="I22" s="32">
        <f>I16*I17</f>
        <v>10201</v>
      </c>
      <c r="J22" s="33">
        <f>I16*J17+I17*J16-I16*I17</f>
        <v>10403</v>
      </c>
    </row>
    <row r="23" spans="1:10" x14ac:dyDescent="0.25">
      <c r="B23" s="45" t="s">
        <v>20</v>
      </c>
      <c r="C23" s="48">
        <f>C22*D18+C18*D22-D22*D18</f>
        <v>5450.9399999999987</v>
      </c>
      <c r="D23" s="7">
        <f>D22*D18</f>
        <v>5782.59</v>
      </c>
      <c r="E23" s="7">
        <f>E22*E18</f>
        <v>6222.61</v>
      </c>
      <c r="F23" s="49">
        <f>E22*F18+E18*F22-E18*E22</f>
        <v>6571.06</v>
      </c>
      <c r="G23" s="48">
        <f>G22*H18+G18*H22-H22*H18</f>
        <v>5665.77</v>
      </c>
      <c r="H23" s="7">
        <f>H22*H18</f>
        <v>5782.59</v>
      </c>
      <c r="I23" s="7">
        <f>I22*I18</f>
        <v>6222.61</v>
      </c>
      <c r="J23" s="49">
        <f>I22*J18+I18*J22-I18*I22</f>
        <v>6345.829999999999</v>
      </c>
    </row>
    <row r="24" spans="1:10" ht="15.75" thickBot="1" x14ac:dyDescent="0.3">
      <c r="B24" s="46" t="s">
        <v>21</v>
      </c>
      <c r="C24" s="50">
        <f>(D23*E19-D23*F19+C23*E19)/(E19^2)</f>
        <v>528.35972943829017</v>
      </c>
      <c r="D24" s="51">
        <f>D23/E19</f>
        <v>572.53366336633667</v>
      </c>
      <c r="E24" s="51">
        <f>E23/D19</f>
        <v>628.54646464646464</v>
      </c>
      <c r="F24" s="52">
        <f>(E23*D19-E23*C19+F23*D19)/(D19^2)</f>
        <v>676.44134272013059</v>
      </c>
      <c r="G24" s="50">
        <f>(H23*I19-H23*J19+G23*I19)/(I19^2)</f>
        <v>555.29867660033335</v>
      </c>
      <c r="H24" s="51">
        <f>H23/I19</f>
        <v>572.53366336633667</v>
      </c>
      <c r="I24" s="51">
        <f>I23/H19</f>
        <v>628.54646464646464</v>
      </c>
      <c r="J24" s="52">
        <f>(I23*H19-I23*G19+J23*H19)/(H19^2)</f>
        <v>647.34188348127725</v>
      </c>
    </row>
    <row r="25" spans="1:10" x14ac:dyDescent="0.25">
      <c r="B25" s="60"/>
      <c r="C25" s="59"/>
      <c r="D25" s="59"/>
      <c r="E25" s="59"/>
      <c r="F25" s="59"/>
      <c r="G25" s="59"/>
      <c r="H25" s="59"/>
      <c r="I25" s="59"/>
      <c r="J25" s="59"/>
    </row>
    <row r="26" spans="1:10" ht="15.75" thickBot="1" x14ac:dyDescent="0.3">
      <c r="C26" s="1" t="s">
        <v>25</v>
      </c>
      <c r="F26" s="1" t="s">
        <v>26</v>
      </c>
      <c r="I26" s="59"/>
      <c r="J26" s="59"/>
    </row>
    <row r="27" spans="1:10" ht="15.75" thickBot="1" x14ac:dyDescent="0.3">
      <c r="A27" s="1">
        <v>0.8</v>
      </c>
      <c r="B27" s="43" t="s">
        <v>22</v>
      </c>
      <c r="C27" s="68">
        <f>A27*D24+(1-A27)*C24</f>
        <v>563.6988765807273</v>
      </c>
      <c r="D27" s="62">
        <f>A27*E24+(1-A27)*F24</f>
        <v>638.12544026119781</v>
      </c>
      <c r="E27" s="63"/>
      <c r="F27" s="61">
        <f>A27*H24+(1-A27)*G24</f>
        <v>569.08666601313598</v>
      </c>
      <c r="G27" s="62">
        <f>A27*I24+(1-A27)*J24</f>
        <v>632.30554841342712</v>
      </c>
      <c r="I27" s="59"/>
      <c r="J27" s="59"/>
    </row>
    <row r="28" spans="1:10" ht="15.75" thickBot="1" x14ac:dyDescent="0.3">
      <c r="A28" s="1"/>
      <c r="B28" s="71" t="s">
        <v>28</v>
      </c>
      <c r="C28" s="69">
        <f>(C27+D27)/2</f>
        <v>600.91215842096256</v>
      </c>
      <c r="D28" s="63"/>
      <c r="E28" s="63"/>
      <c r="F28" s="64">
        <f>(F27+G27)/2</f>
        <v>600.69610721328149</v>
      </c>
      <c r="G28" s="63"/>
      <c r="I28" s="59"/>
      <c r="J28" s="59"/>
    </row>
    <row r="29" spans="1:10" x14ac:dyDescent="0.25">
      <c r="B29" s="72" t="s">
        <v>27</v>
      </c>
      <c r="C29" s="70">
        <f>(C28+F28)/2</f>
        <v>600.80413281712208</v>
      </c>
      <c r="I29" s="59"/>
      <c r="J29" s="59"/>
    </row>
    <row r="30" spans="1:10" x14ac:dyDescent="0.25">
      <c r="B30" s="60"/>
      <c r="C30" s="59"/>
      <c r="D30" s="59"/>
      <c r="E30" s="59"/>
      <c r="F30" s="59"/>
      <c r="G30" s="59"/>
      <c r="H30" s="59"/>
      <c r="I30" s="59"/>
      <c r="J30" s="59"/>
    </row>
    <row r="31" spans="1:10" x14ac:dyDescent="0.25">
      <c r="B31" s="60"/>
      <c r="C31" s="59"/>
      <c r="D31" s="59"/>
      <c r="E31" s="59"/>
      <c r="F31" s="59"/>
      <c r="G31" s="59"/>
      <c r="H31" s="59"/>
      <c r="I31" s="59"/>
      <c r="J31" s="59"/>
    </row>
    <row r="32" spans="1:10" ht="15.75" thickBot="1" x14ac:dyDescent="0.3">
      <c r="B32" s="1" t="s">
        <v>9</v>
      </c>
      <c r="C32">
        <v>1</v>
      </c>
      <c r="D32">
        <v>2</v>
      </c>
      <c r="E32">
        <v>3</v>
      </c>
      <c r="F32">
        <v>4</v>
      </c>
      <c r="G32">
        <v>1</v>
      </c>
      <c r="H32">
        <v>2</v>
      </c>
      <c r="I32">
        <v>3</v>
      </c>
      <c r="J32">
        <v>4</v>
      </c>
    </row>
    <row r="33" spans="1:10" ht="15.75" thickBot="1" x14ac:dyDescent="0.3">
      <c r="B33" s="14" t="s">
        <v>7</v>
      </c>
      <c r="C33" s="160" t="s">
        <v>17</v>
      </c>
      <c r="D33" s="161"/>
      <c r="E33" s="161"/>
      <c r="F33" s="162"/>
      <c r="G33" s="160" t="s">
        <v>18</v>
      </c>
      <c r="H33" s="161"/>
      <c r="I33" s="161"/>
      <c r="J33" s="162"/>
    </row>
    <row r="34" spans="1:10" x14ac:dyDescent="0.25">
      <c r="B34" s="15" t="s">
        <v>1</v>
      </c>
      <c r="C34" s="37">
        <v>97</v>
      </c>
      <c r="D34" s="38">
        <v>99</v>
      </c>
      <c r="E34" s="38">
        <v>101</v>
      </c>
      <c r="F34" s="39">
        <v>103</v>
      </c>
      <c r="G34" s="37">
        <v>98</v>
      </c>
      <c r="H34" s="38">
        <v>99</v>
      </c>
      <c r="I34" s="38">
        <v>101</v>
      </c>
      <c r="J34" s="39">
        <v>102</v>
      </c>
    </row>
    <row r="35" spans="1:10" ht="12.75" customHeight="1" x14ac:dyDescent="0.25">
      <c r="B35" s="16" t="s">
        <v>2</v>
      </c>
      <c r="C35" s="73">
        <v>2.91</v>
      </c>
      <c r="D35" s="74">
        <v>2.97</v>
      </c>
      <c r="E35" s="74">
        <v>3.03</v>
      </c>
      <c r="F35" s="75">
        <v>3.09</v>
      </c>
      <c r="G35" s="73">
        <v>2.94</v>
      </c>
      <c r="H35" s="74">
        <v>2.97</v>
      </c>
      <c r="I35" s="74">
        <v>3.03</v>
      </c>
      <c r="J35" s="75">
        <v>3.06</v>
      </c>
    </row>
    <row r="36" spans="1:10" x14ac:dyDescent="0.25">
      <c r="B36" s="16" t="s">
        <v>3</v>
      </c>
      <c r="C36" s="73">
        <v>0.87</v>
      </c>
      <c r="D36" s="74">
        <v>0.89</v>
      </c>
      <c r="E36" s="74">
        <v>0.91</v>
      </c>
      <c r="F36" s="75">
        <v>0.93</v>
      </c>
      <c r="G36" s="73">
        <v>0.88</v>
      </c>
      <c r="H36" s="74">
        <v>0.89</v>
      </c>
      <c r="I36" s="74">
        <v>0.91</v>
      </c>
      <c r="J36" s="75">
        <v>0.92</v>
      </c>
    </row>
    <row r="37" spans="1:10" ht="15.75" thickBot="1" x14ac:dyDescent="0.3">
      <c r="B37" s="17" t="s">
        <v>4</v>
      </c>
      <c r="C37" s="73">
        <v>4.8499999999999996</v>
      </c>
      <c r="D37" s="74">
        <v>4.95</v>
      </c>
      <c r="E37" s="74">
        <v>5.05</v>
      </c>
      <c r="F37" s="75">
        <v>5.15</v>
      </c>
      <c r="G37" s="73">
        <v>4.9000000000000004</v>
      </c>
      <c r="H37" s="74">
        <v>4.95</v>
      </c>
      <c r="I37" s="74">
        <v>5.05</v>
      </c>
      <c r="J37" s="75">
        <v>5.0999999999999996</v>
      </c>
    </row>
    <row r="38" spans="1:10" ht="15.75" thickBot="1" x14ac:dyDescent="0.3">
      <c r="B38" s="47" t="s">
        <v>0</v>
      </c>
      <c r="C38" s="53">
        <f>C42</f>
        <v>47.534848544260363</v>
      </c>
      <c r="D38" s="57">
        <f t="shared" ref="D38:J38" si="1">D42</f>
        <v>51.819148514851491</v>
      </c>
      <c r="E38" s="57">
        <f t="shared" si="1"/>
        <v>56.260060606060605</v>
      </c>
      <c r="F38" s="58">
        <f t="shared" si="1"/>
        <v>60.861233547597173</v>
      </c>
      <c r="G38" s="53">
        <f t="shared" si="1"/>
        <v>49.676998529555931</v>
      </c>
      <c r="H38" s="57">
        <f t="shared" si="1"/>
        <v>51.819148514851491</v>
      </c>
      <c r="I38" s="57">
        <f t="shared" si="1"/>
        <v>56.260060606060605</v>
      </c>
      <c r="J38" s="58">
        <f t="shared" si="1"/>
        <v>58.560647076828907</v>
      </c>
    </row>
    <row r="39" spans="1:10" ht="15.75" thickBot="1" x14ac:dyDescent="0.3"/>
    <row r="40" spans="1:10" x14ac:dyDescent="0.25">
      <c r="B40" s="44" t="s">
        <v>19</v>
      </c>
      <c r="C40" s="31">
        <f>C34*D35+C35*D34-D34*D35</f>
        <v>282.15000000000003</v>
      </c>
      <c r="D40" s="32">
        <f>D34*D35</f>
        <v>294.03000000000003</v>
      </c>
      <c r="E40" s="32">
        <f>E34*E35</f>
        <v>306.02999999999997</v>
      </c>
      <c r="F40" s="33">
        <f>E34*F35+E35*F34-E34*E35</f>
        <v>318.14999999999998</v>
      </c>
      <c r="G40" s="31">
        <f>G34*H35+G35*H34-H34*H35</f>
        <v>288.08999999999997</v>
      </c>
      <c r="H40" s="32">
        <f>H34*H35</f>
        <v>294.03000000000003</v>
      </c>
      <c r="I40" s="32">
        <f>I34*I35</f>
        <v>306.02999999999997</v>
      </c>
      <c r="J40" s="33">
        <f>I34*J35+I35*J34-I34*I35</f>
        <v>312.09000000000003</v>
      </c>
    </row>
    <row r="41" spans="1:10" x14ac:dyDescent="0.25">
      <c r="B41" s="45" t="s">
        <v>20</v>
      </c>
      <c r="C41" s="48">
        <f>C40*D36+C36*D40-D40*D36</f>
        <v>245.23290000000003</v>
      </c>
      <c r="D41" s="7">
        <f>D40*D36</f>
        <v>261.68670000000003</v>
      </c>
      <c r="E41" s="7">
        <f>E40*E36</f>
        <v>278.4873</v>
      </c>
      <c r="F41" s="49">
        <f>E40*F36+E36*F40-E36*E40</f>
        <v>295.63709999999992</v>
      </c>
      <c r="G41" s="48">
        <f>G40*H36+G36*H40-H40*H36</f>
        <v>253.45980000000003</v>
      </c>
      <c r="H41" s="7">
        <f>H40*H36</f>
        <v>261.68670000000003</v>
      </c>
      <c r="I41" s="7">
        <f>I40*I36</f>
        <v>278.4873</v>
      </c>
      <c r="J41" s="49">
        <f>I40*J36+I36*J40-I36*I40</f>
        <v>287.06220000000008</v>
      </c>
    </row>
    <row r="42" spans="1:10" ht="15.75" thickBot="1" x14ac:dyDescent="0.3">
      <c r="B42" s="46" t="s">
        <v>21</v>
      </c>
      <c r="C42" s="50">
        <f>(D41*E37-D41*F37+C41*E37)/(E37^2)</f>
        <v>47.534848544260363</v>
      </c>
      <c r="D42" s="51">
        <f>D41/E37</f>
        <v>51.819148514851491</v>
      </c>
      <c r="E42" s="51">
        <f>E41/D37</f>
        <v>56.260060606060605</v>
      </c>
      <c r="F42" s="52">
        <f>(E41*D37-E41*C37+F41*D37)/(D37^2)</f>
        <v>60.861233547597173</v>
      </c>
      <c r="G42" s="50">
        <f>(H41*I37-H41*J37+G41*I37)/(I37^2)</f>
        <v>49.676998529555931</v>
      </c>
      <c r="H42" s="51">
        <f>H41/I37</f>
        <v>51.819148514851491</v>
      </c>
      <c r="I42" s="51">
        <f>I41/H37</f>
        <v>56.260060606060605</v>
      </c>
      <c r="J42" s="52">
        <f>(I41*H37-I41*G37+J41*H37)/(H37^2)</f>
        <v>58.560647076828907</v>
      </c>
    </row>
    <row r="43" spans="1:10" x14ac:dyDescent="0.25">
      <c r="B43" s="60"/>
      <c r="C43" s="59"/>
      <c r="D43" s="59"/>
      <c r="E43" s="59"/>
      <c r="F43" s="59"/>
      <c r="G43" s="59"/>
      <c r="H43" s="59"/>
      <c r="I43" s="59"/>
      <c r="J43" s="59"/>
    </row>
    <row r="44" spans="1:10" ht="15.75" thickBot="1" x14ac:dyDescent="0.3">
      <c r="C44" s="1" t="s">
        <v>25</v>
      </c>
      <c r="F44" s="1" t="s">
        <v>26</v>
      </c>
      <c r="I44" s="59"/>
      <c r="J44" s="59"/>
    </row>
    <row r="45" spans="1:10" ht="15.75" thickBot="1" x14ac:dyDescent="0.3">
      <c r="A45" s="1">
        <v>0.8</v>
      </c>
      <c r="B45" s="43" t="s">
        <v>22</v>
      </c>
      <c r="C45" s="68">
        <f>A45*D42+(1-A45)*C42</f>
        <v>50.962288520733267</v>
      </c>
      <c r="D45" s="62">
        <f>A45*E42+(1-A45)*F42</f>
        <v>57.180295194367915</v>
      </c>
      <c r="E45" s="63"/>
      <c r="F45" s="61">
        <f>A45*H42+(1-A45)*G42</f>
        <v>51.390718517792379</v>
      </c>
      <c r="G45" s="62">
        <f>A45*I42+(1-A45)*J42</f>
        <v>56.720177900214267</v>
      </c>
      <c r="I45" s="59"/>
      <c r="J45" s="59"/>
    </row>
    <row r="46" spans="1:10" ht="15.75" thickBot="1" x14ac:dyDescent="0.3">
      <c r="A46" s="1"/>
      <c r="B46" s="71" t="s">
        <v>28</v>
      </c>
      <c r="C46" s="69">
        <f>(C45+D45)/2</f>
        <v>54.071291857550591</v>
      </c>
      <c r="D46" s="63"/>
      <c r="E46" s="63"/>
      <c r="F46" s="64">
        <f>(F45+G45)/2</f>
        <v>54.055448209003323</v>
      </c>
      <c r="G46" s="63"/>
      <c r="I46" s="59"/>
      <c r="J46" s="59"/>
    </row>
    <row r="47" spans="1:10" x14ac:dyDescent="0.25">
      <c r="B47" s="72" t="s">
        <v>27</v>
      </c>
      <c r="C47" s="70">
        <f>(C46+F46)/2</f>
        <v>54.063370033276954</v>
      </c>
      <c r="I47" s="59"/>
      <c r="J47" s="59"/>
    </row>
    <row r="50" spans="1:10" ht="15.75" thickBot="1" x14ac:dyDescent="0.3">
      <c r="B50" s="1" t="s">
        <v>10</v>
      </c>
      <c r="C50">
        <v>1</v>
      </c>
      <c r="D50">
        <v>2</v>
      </c>
      <c r="E50">
        <v>3</v>
      </c>
      <c r="F50">
        <v>4</v>
      </c>
      <c r="G50">
        <v>1</v>
      </c>
      <c r="H50">
        <v>2</v>
      </c>
      <c r="I50">
        <v>3</v>
      </c>
      <c r="J50">
        <v>4</v>
      </c>
    </row>
    <row r="51" spans="1:10" ht="15.75" thickBot="1" x14ac:dyDescent="0.3">
      <c r="B51" s="14" t="s">
        <v>7</v>
      </c>
      <c r="C51" s="160" t="s">
        <v>17</v>
      </c>
      <c r="D51" s="161"/>
      <c r="E51" s="161"/>
      <c r="F51" s="162"/>
      <c r="G51" s="160" t="s">
        <v>18</v>
      </c>
      <c r="H51" s="161"/>
      <c r="I51" s="161"/>
      <c r="J51" s="162"/>
    </row>
    <row r="52" spans="1:10" x14ac:dyDescent="0.25">
      <c r="B52" s="15" t="s">
        <v>1</v>
      </c>
      <c r="C52" s="37">
        <v>970</v>
      </c>
      <c r="D52" s="38">
        <v>990</v>
      </c>
      <c r="E52" s="38">
        <v>1010</v>
      </c>
      <c r="F52" s="39">
        <v>1030</v>
      </c>
      <c r="G52" s="37">
        <v>980</v>
      </c>
      <c r="H52" s="38">
        <v>990</v>
      </c>
      <c r="I52" s="38">
        <v>1010</v>
      </c>
      <c r="J52" s="39">
        <v>1020</v>
      </c>
    </row>
    <row r="53" spans="1:10" x14ac:dyDescent="0.25">
      <c r="B53" s="16" t="s">
        <v>2</v>
      </c>
      <c r="C53" s="73">
        <v>1.94</v>
      </c>
      <c r="D53" s="74">
        <v>1.98</v>
      </c>
      <c r="E53" s="74">
        <v>2.02</v>
      </c>
      <c r="F53" s="75">
        <v>2.06</v>
      </c>
      <c r="G53" s="73">
        <v>1.96</v>
      </c>
      <c r="H53" s="74">
        <v>1.98</v>
      </c>
      <c r="I53" s="74">
        <v>2.02</v>
      </c>
      <c r="J53" s="75">
        <v>2.04</v>
      </c>
    </row>
    <row r="54" spans="1:10" x14ac:dyDescent="0.25">
      <c r="B54" s="16" t="s">
        <v>3</v>
      </c>
      <c r="C54" s="73">
        <v>0.78</v>
      </c>
      <c r="D54" s="74">
        <v>0.79</v>
      </c>
      <c r="E54" s="74">
        <v>0.81</v>
      </c>
      <c r="F54" s="75">
        <v>0.82</v>
      </c>
      <c r="G54" s="73">
        <v>0.78</v>
      </c>
      <c r="H54" s="74">
        <v>0.79</v>
      </c>
      <c r="I54" s="74">
        <v>0.81</v>
      </c>
      <c r="J54" s="75">
        <v>0.82</v>
      </c>
    </row>
    <row r="55" spans="1:10" ht="15.75" thickBot="1" x14ac:dyDescent="0.3">
      <c r="B55" s="17" t="s">
        <v>4</v>
      </c>
      <c r="C55" s="73">
        <v>6.79</v>
      </c>
      <c r="D55" s="74">
        <v>6.93</v>
      </c>
      <c r="E55" s="74">
        <v>7.07</v>
      </c>
      <c r="F55" s="75">
        <v>7.21</v>
      </c>
      <c r="G55" s="73">
        <v>6.86</v>
      </c>
      <c r="H55" s="74">
        <v>6.93</v>
      </c>
      <c r="I55" s="74">
        <v>7.07</v>
      </c>
      <c r="J55" s="75">
        <v>7.14</v>
      </c>
    </row>
    <row r="56" spans="1:10" ht="15.75" thickBot="1" x14ac:dyDescent="0.3">
      <c r="B56" s="47" t="s">
        <v>0</v>
      </c>
      <c r="C56" s="53">
        <f>C60</f>
        <v>203.07262873387762</v>
      </c>
      <c r="D56" s="57">
        <f t="shared" ref="D56:J56" si="2">D60</f>
        <v>219.03224893917962</v>
      </c>
      <c r="E56" s="57">
        <f t="shared" si="2"/>
        <v>238.4649350649351</v>
      </c>
      <c r="F56" s="58">
        <f t="shared" si="2"/>
        <v>255.6705758887577</v>
      </c>
      <c r="G56" s="53">
        <f t="shared" si="2"/>
        <v>209.66615877995162</v>
      </c>
      <c r="H56" s="57">
        <f t="shared" si="2"/>
        <v>219.03224893917962</v>
      </c>
      <c r="I56" s="57">
        <f t="shared" si="2"/>
        <v>238.4649350649351</v>
      </c>
      <c r="J56" s="58">
        <f t="shared" si="2"/>
        <v>248.53976124885219</v>
      </c>
    </row>
    <row r="57" spans="1:10" ht="15.75" thickBot="1" x14ac:dyDescent="0.3"/>
    <row r="58" spans="1:10" x14ac:dyDescent="0.25">
      <c r="B58" s="44" t="s">
        <v>19</v>
      </c>
      <c r="C58" s="31">
        <f>C52*D53+C53*D52-D52*D53</f>
        <v>1880.9999999999998</v>
      </c>
      <c r="D58" s="32">
        <f>D52*D53</f>
        <v>1960.2</v>
      </c>
      <c r="E58" s="32">
        <f>E52*E53</f>
        <v>2040.2</v>
      </c>
      <c r="F58" s="33">
        <f>E52*F53+E53*F52-E52*E53</f>
        <v>2121</v>
      </c>
      <c r="G58" s="31">
        <f>G52*H53+G53*H52-H52*H53</f>
        <v>1920.6000000000001</v>
      </c>
      <c r="H58" s="32">
        <f>H52*H53</f>
        <v>1960.2</v>
      </c>
      <c r="I58" s="32">
        <f>I52*I53</f>
        <v>2040.2</v>
      </c>
      <c r="J58" s="33">
        <f>I52*J53+I53*J52-I52*I53</f>
        <v>2080.6000000000004</v>
      </c>
    </row>
    <row r="59" spans="1:10" x14ac:dyDescent="0.25">
      <c r="B59" s="45" t="s">
        <v>20</v>
      </c>
      <c r="C59" s="48">
        <f>C58*D54+C54*D58-D58*D54</f>
        <v>1466.3879999999999</v>
      </c>
      <c r="D59" s="7">
        <f>D58*D54</f>
        <v>1548.558</v>
      </c>
      <c r="E59" s="7">
        <f>E58*E54</f>
        <v>1652.5620000000001</v>
      </c>
      <c r="F59" s="49">
        <f>E58*F54+E54*F58-E54*E58</f>
        <v>1738.412</v>
      </c>
      <c r="G59" s="48">
        <f>G58*H54+G54*H58-H58*H54</f>
        <v>1497.6720000000005</v>
      </c>
      <c r="H59" s="7">
        <f>H58*H54</f>
        <v>1548.558</v>
      </c>
      <c r="I59" s="7">
        <f>I58*I54</f>
        <v>1652.5620000000001</v>
      </c>
      <c r="J59" s="49">
        <f>I58*J54+I54*J58-I54*I58</f>
        <v>1705.6880000000003</v>
      </c>
    </row>
    <row r="60" spans="1:10" ht="15.75" thickBot="1" x14ac:dyDescent="0.3">
      <c r="B60" s="46" t="s">
        <v>21</v>
      </c>
      <c r="C60" s="50">
        <f>(D59*E55-D59*F55+C59*E55)/(E55^2)</f>
        <v>203.07262873387762</v>
      </c>
      <c r="D60" s="51">
        <f>D59/E55</f>
        <v>219.03224893917962</v>
      </c>
      <c r="E60" s="51">
        <f>E59/D55</f>
        <v>238.4649350649351</v>
      </c>
      <c r="F60" s="52">
        <f>(E59*D55-E59*C55+F59*D55)/(D55^2)</f>
        <v>255.6705758887577</v>
      </c>
      <c r="G60" s="50">
        <f>(H59*I55-H59*J55+G59*I55)/(I55^2)</f>
        <v>209.66615877995162</v>
      </c>
      <c r="H60" s="51">
        <f>H59/I55</f>
        <v>219.03224893917962</v>
      </c>
      <c r="I60" s="51">
        <f>I59/H55</f>
        <v>238.4649350649351</v>
      </c>
      <c r="J60" s="52">
        <f>(I59*H55-I59*G55+J59*H55)/(H55^2)</f>
        <v>248.53976124885219</v>
      </c>
    </row>
    <row r="61" spans="1:10" x14ac:dyDescent="0.25">
      <c r="B61" s="60"/>
      <c r="C61" s="59"/>
      <c r="D61" s="59"/>
      <c r="E61" s="59"/>
      <c r="F61" s="59"/>
      <c r="G61" s="59"/>
      <c r="H61" s="59"/>
      <c r="I61" s="59"/>
      <c r="J61" s="59"/>
    </row>
    <row r="62" spans="1:10" ht="15.75" thickBot="1" x14ac:dyDescent="0.3">
      <c r="C62" s="1" t="s">
        <v>25</v>
      </c>
      <c r="F62" s="1" t="s">
        <v>26</v>
      </c>
      <c r="I62" s="59"/>
      <c r="J62" s="59"/>
    </row>
    <row r="63" spans="1:10" ht="15.75" thickBot="1" x14ac:dyDescent="0.3">
      <c r="A63" s="1">
        <v>0.8</v>
      </c>
      <c r="B63" s="43" t="s">
        <v>22</v>
      </c>
      <c r="C63" s="68">
        <f>A63*D60+(1-A63)*C60</f>
        <v>215.84032489811923</v>
      </c>
      <c r="D63" s="62">
        <f>A63*E60+(1-A63)*F60</f>
        <v>241.90606322969961</v>
      </c>
      <c r="E63" s="63"/>
      <c r="F63" s="61">
        <f>A63*H60+(1-A63)*G60</f>
        <v>217.15903090733403</v>
      </c>
      <c r="G63" s="62">
        <f>A63*I60+(1-A63)*J60</f>
        <v>240.47990030171854</v>
      </c>
      <c r="I63" s="59"/>
      <c r="J63" s="59"/>
    </row>
    <row r="64" spans="1:10" ht="15.75" thickBot="1" x14ac:dyDescent="0.3">
      <c r="A64" s="1"/>
      <c r="B64" s="71" t="s">
        <v>28</v>
      </c>
      <c r="C64" s="69">
        <f>(C63+D63)/2</f>
        <v>228.87319406390941</v>
      </c>
      <c r="D64" s="63"/>
      <c r="E64" s="63"/>
      <c r="F64" s="64">
        <f>(F63+G63)/2</f>
        <v>228.81946560452627</v>
      </c>
      <c r="G64" s="63"/>
      <c r="I64" s="59"/>
      <c r="J64" s="59"/>
    </row>
    <row r="65" spans="2:10" x14ac:dyDescent="0.25">
      <c r="B65" s="72" t="s">
        <v>27</v>
      </c>
      <c r="C65" s="70">
        <f>(C64+F64)/2</f>
        <v>228.84632983421784</v>
      </c>
      <c r="I65" s="59"/>
      <c r="J65" s="59"/>
    </row>
  </sheetData>
  <mergeCells count="8">
    <mergeCell ref="C51:F51"/>
    <mergeCell ref="G51:J51"/>
    <mergeCell ref="B5:B6"/>
    <mergeCell ref="C5:E5"/>
    <mergeCell ref="C15:F15"/>
    <mergeCell ref="G15:J15"/>
    <mergeCell ref="C33:F33"/>
    <mergeCell ref="G33:J33"/>
  </mergeCells>
  <pageMargins left="0.70866141732283472" right="0.70866141732283472" top="0.74803149606299213" bottom="0.74803149606299213" header="0.31496062992125984" footer="0.31496062992125984"/>
  <pageSetup scale="5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3E7AF-58B0-4E73-9973-FCC2457B4464}">
  <dimension ref="A1:K13"/>
  <sheetViews>
    <sheetView workbookViewId="0">
      <selection activeCell="A13" sqref="A13"/>
    </sheetView>
  </sheetViews>
  <sheetFormatPr defaultRowHeight="15" x14ac:dyDescent="0.25"/>
  <cols>
    <col min="1" max="1" width="55.140625" style="78" customWidth="1"/>
    <col min="2" max="2" width="8.140625" customWidth="1"/>
    <col min="3" max="3" width="18.7109375" customWidth="1"/>
    <col min="4" max="4" width="6.5703125" customWidth="1"/>
    <col min="5" max="5" width="7.42578125" customWidth="1"/>
    <col min="6" max="6" width="7.140625" customWidth="1"/>
    <col min="7" max="7" width="6.42578125" customWidth="1"/>
  </cols>
  <sheetData>
    <row r="1" spans="1:11" x14ac:dyDescent="0.25">
      <c r="A1" s="1"/>
    </row>
    <row r="2" spans="1:11" ht="15.75" thickBot="1" x14ac:dyDescent="0.3">
      <c r="A2" s="1" t="s">
        <v>121</v>
      </c>
    </row>
    <row r="3" spans="1:11" x14ac:dyDescent="0.25">
      <c r="A3" s="1"/>
      <c r="B3" s="79">
        <v>0</v>
      </c>
      <c r="C3" s="80" t="s">
        <v>107</v>
      </c>
      <c r="D3" s="81">
        <v>0</v>
      </c>
      <c r="E3" s="82">
        <f>B3</f>
        <v>0</v>
      </c>
      <c r="F3" s="83">
        <f>E3+0.11</f>
        <v>0.11</v>
      </c>
      <c r="G3" s="84">
        <f>F3+0.11</f>
        <v>0.22</v>
      </c>
      <c r="H3" s="85">
        <v>0</v>
      </c>
      <c r="I3" s="83">
        <f>E3</f>
        <v>0</v>
      </c>
      <c r="J3" s="83">
        <f>F3</f>
        <v>0.11</v>
      </c>
      <c r="K3" s="86">
        <f>J3+0.08</f>
        <v>0.19</v>
      </c>
    </row>
    <row r="4" spans="1:11" x14ac:dyDescent="0.25">
      <c r="B4" s="79">
        <v>0.33</v>
      </c>
      <c r="C4" s="80" t="s">
        <v>106</v>
      </c>
      <c r="D4" s="87">
        <f>E4-0.11</f>
        <v>0.11000000000000003</v>
      </c>
      <c r="E4" s="111">
        <f>B4-0.11</f>
        <v>0.22000000000000003</v>
      </c>
      <c r="F4">
        <f>B4+0.11</f>
        <v>0.44</v>
      </c>
      <c r="G4" s="88">
        <f t="shared" ref="G4:G5" si="0">F4+0.11</f>
        <v>0.55000000000000004</v>
      </c>
      <c r="H4" s="89">
        <f>I4-0.08</f>
        <v>0.14000000000000001</v>
      </c>
      <c r="I4">
        <f t="shared" ref="I4:I6" si="1">E4</f>
        <v>0.22000000000000003</v>
      </c>
      <c r="J4">
        <f t="shared" ref="J4:J6" si="2">F4</f>
        <v>0.44</v>
      </c>
      <c r="K4" s="90">
        <f t="shared" ref="K4:K5" si="3">J4+0.08</f>
        <v>0.52</v>
      </c>
    </row>
    <row r="5" spans="1:11" x14ac:dyDescent="0.25">
      <c r="B5" s="79">
        <v>0.66</v>
      </c>
      <c r="C5" s="80" t="s">
        <v>105</v>
      </c>
      <c r="D5" s="87">
        <f t="shared" ref="D5" si="4">E5-0.11</f>
        <v>0.44000000000000006</v>
      </c>
      <c r="E5" s="111">
        <f t="shared" ref="E5" si="5">B5-0.11</f>
        <v>0.55000000000000004</v>
      </c>
      <c r="F5">
        <f t="shared" ref="F5" si="6">B5+0.11</f>
        <v>0.77</v>
      </c>
      <c r="G5" s="88">
        <f t="shared" si="0"/>
        <v>0.88</v>
      </c>
      <c r="H5" s="89">
        <f t="shared" ref="H5:H6" si="7">I5-0.08</f>
        <v>0.47000000000000003</v>
      </c>
      <c r="I5">
        <f t="shared" si="1"/>
        <v>0.55000000000000004</v>
      </c>
      <c r="J5">
        <f t="shared" si="2"/>
        <v>0.77</v>
      </c>
      <c r="K5" s="90">
        <f t="shared" si="3"/>
        <v>0.85</v>
      </c>
    </row>
    <row r="6" spans="1:11" ht="15.75" thickBot="1" x14ac:dyDescent="0.3">
      <c r="B6" s="79">
        <v>1</v>
      </c>
      <c r="C6" s="80" t="s">
        <v>104</v>
      </c>
      <c r="D6" s="91">
        <v>0.88</v>
      </c>
      <c r="E6" s="92">
        <v>0.88</v>
      </c>
      <c r="F6" s="93">
        <v>1</v>
      </c>
      <c r="G6" s="94">
        <v>1</v>
      </c>
      <c r="H6" s="95">
        <f t="shared" si="7"/>
        <v>0.8</v>
      </c>
      <c r="I6" s="93">
        <f t="shared" si="1"/>
        <v>0.88</v>
      </c>
      <c r="J6" s="93">
        <f t="shared" si="2"/>
        <v>1</v>
      </c>
      <c r="K6" s="96">
        <v>1</v>
      </c>
    </row>
    <row r="7" spans="1:11" x14ac:dyDescent="0.25">
      <c r="A7" s="1"/>
    </row>
    <row r="8" spans="1:11" ht="15.75" thickBot="1" x14ac:dyDescent="0.3">
      <c r="A8" s="1" t="s">
        <v>122</v>
      </c>
    </row>
    <row r="9" spans="1:11" x14ac:dyDescent="0.25">
      <c r="A9" s="1"/>
      <c r="B9" s="79">
        <v>0</v>
      </c>
      <c r="C9" s="80" t="s">
        <v>107</v>
      </c>
      <c r="D9" s="81">
        <v>0</v>
      </c>
      <c r="E9" s="82">
        <f>B9</f>
        <v>0</v>
      </c>
      <c r="F9" s="83">
        <f>E9+0.5</f>
        <v>0.5</v>
      </c>
      <c r="G9" s="84">
        <f>F9+1.5</f>
        <v>2</v>
      </c>
      <c r="H9" s="85">
        <v>0</v>
      </c>
      <c r="I9" s="83">
        <f>E9</f>
        <v>0</v>
      </c>
      <c r="J9" s="83">
        <f>F9</f>
        <v>0.5</v>
      </c>
      <c r="K9" s="86">
        <f>J9+1</f>
        <v>1.5</v>
      </c>
    </row>
    <row r="10" spans="1:11" x14ac:dyDescent="0.25">
      <c r="B10" s="79">
        <v>2.5</v>
      </c>
      <c r="C10" s="80" t="s">
        <v>106</v>
      </c>
      <c r="D10" s="87">
        <f>E10-1.5</f>
        <v>0.5</v>
      </c>
      <c r="E10" s="111">
        <f>B10-0.5</f>
        <v>2</v>
      </c>
      <c r="F10">
        <f>B10+0.5</f>
        <v>3</v>
      </c>
      <c r="G10" s="88">
        <f t="shared" ref="G10:G12" si="8">F10+1.5</f>
        <v>4.5</v>
      </c>
      <c r="H10" s="89">
        <f>I10-1</f>
        <v>1</v>
      </c>
      <c r="I10">
        <f t="shared" ref="I10:I12" si="9">E10</f>
        <v>2</v>
      </c>
      <c r="J10">
        <f t="shared" ref="J10:J12" si="10">F10</f>
        <v>3</v>
      </c>
      <c r="K10" s="90">
        <f t="shared" ref="K10:K12" si="11">J10+1</f>
        <v>4</v>
      </c>
    </row>
    <row r="11" spans="1:11" x14ac:dyDescent="0.25">
      <c r="B11" s="79">
        <v>5</v>
      </c>
      <c r="C11" s="80" t="s">
        <v>105</v>
      </c>
      <c r="D11" s="87">
        <f t="shared" ref="D11:D12" si="12">E11-1.5</f>
        <v>3</v>
      </c>
      <c r="E11" s="111">
        <f t="shared" ref="E11:E12" si="13">B11-0.5</f>
        <v>4.5</v>
      </c>
      <c r="F11">
        <f t="shared" ref="F11:F12" si="14">B11+0.5</f>
        <v>5.5</v>
      </c>
      <c r="G11" s="88">
        <f t="shared" si="8"/>
        <v>7</v>
      </c>
      <c r="H11" s="89">
        <f t="shared" ref="H11:H12" si="15">I11-1</f>
        <v>3.5</v>
      </c>
      <c r="I11">
        <f t="shared" si="9"/>
        <v>4.5</v>
      </c>
      <c r="J11">
        <f t="shared" si="10"/>
        <v>5.5</v>
      </c>
      <c r="K11" s="90">
        <f t="shared" si="11"/>
        <v>6.5</v>
      </c>
    </row>
    <row r="12" spans="1:11" ht="15.75" thickBot="1" x14ac:dyDescent="0.3">
      <c r="B12" s="79">
        <v>7.5</v>
      </c>
      <c r="C12" s="80" t="s">
        <v>104</v>
      </c>
      <c r="D12" s="91">
        <f t="shared" si="12"/>
        <v>5.5</v>
      </c>
      <c r="E12" s="92">
        <f t="shared" si="13"/>
        <v>7</v>
      </c>
      <c r="F12" s="93">
        <f t="shared" si="14"/>
        <v>8</v>
      </c>
      <c r="G12" s="94">
        <f t="shared" si="8"/>
        <v>9.5</v>
      </c>
      <c r="H12" s="95">
        <f t="shared" si="15"/>
        <v>6</v>
      </c>
      <c r="I12" s="93">
        <f t="shared" si="9"/>
        <v>7</v>
      </c>
      <c r="J12" s="93">
        <f t="shared" si="10"/>
        <v>8</v>
      </c>
      <c r="K12" s="96">
        <f t="shared" si="11"/>
        <v>9</v>
      </c>
    </row>
    <row r="13" spans="1:11" x14ac:dyDescent="0.25">
      <c r="A13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49126-CFF0-430B-BE46-F43975E386BA}">
  <dimension ref="A1:K102"/>
  <sheetViews>
    <sheetView workbookViewId="0">
      <selection activeCell="D87" sqref="D87:K92"/>
    </sheetView>
  </sheetViews>
  <sheetFormatPr defaultRowHeight="15" x14ac:dyDescent="0.25"/>
  <cols>
    <col min="1" max="1" width="55.140625" style="78" customWidth="1"/>
    <col min="2" max="2" width="3.42578125" customWidth="1"/>
    <col min="3" max="3" width="18.7109375" customWidth="1"/>
    <col min="4" max="4" width="6.5703125" customWidth="1"/>
    <col min="5" max="5" width="7.42578125" customWidth="1"/>
    <col min="6" max="6" width="7.140625" customWidth="1"/>
    <col min="7" max="7" width="6.42578125" customWidth="1"/>
  </cols>
  <sheetData>
    <row r="1" spans="1:11" x14ac:dyDescent="0.25">
      <c r="A1" s="77" t="s">
        <v>31</v>
      </c>
    </row>
    <row r="2" spans="1:11" x14ac:dyDescent="0.25">
      <c r="A2" s="77" t="s">
        <v>43</v>
      </c>
    </row>
    <row r="3" spans="1:11" ht="15.75" thickBot="1" x14ac:dyDescent="0.3">
      <c r="A3" s="1" t="s">
        <v>52</v>
      </c>
    </row>
    <row r="4" spans="1:11" x14ac:dyDescent="0.25">
      <c r="A4" s="1"/>
      <c r="B4" s="79">
        <v>0</v>
      </c>
      <c r="C4" s="80" t="s">
        <v>59</v>
      </c>
      <c r="D4" s="81">
        <v>0</v>
      </c>
      <c r="E4" s="82">
        <f>B4</f>
        <v>0</v>
      </c>
      <c r="F4" s="83">
        <f>B4+0.3</f>
        <v>0.3</v>
      </c>
      <c r="G4" s="86">
        <f>F4+0.4</f>
        <v>0.7</v>
      </c>
      <c r="H4" s="85">
        <v>0</v>
      </c>
      <c r="I4" s="83">
        <f t="shared" ref="I4:J4" si="0">E4</f>
        <v>0</v>
      </c>
      <c r="J4" s="83">
        <f t="shared" si="0"/>
        <v>0.3</v>
      </c>
      <c r="K4" s="86">
        <f>J4+0.3</f>
        <v>0.6</v>
      </c>
    </row>
    <row r="5" spans="1:11" x14ac:dyDescent="0.25">
      <c r="A5" s="78" t="s">
        <v>38</v>
      </c>
      <c r="B5" s="79">
        <v>1</v>
      </c>
      <c r="C5" s="80" t="s">
        <v>60</v>
      </c>
      <c r="D5" s="87">
        <f>E5-0.4</f>
        <v>0.29999999999999993</v>
      </c>
      <c r="E5" s="111">
        <f>B5-0.3</f>
        <v>0.7</v>
      </c>
      <c r="F5">
        <f>B5+0.3</f>
        <v>1.3</v>
      </c>
      <c r="G5" s="90">
        <f t="shared" ref="G5:G9" si="1">F5+0.4</f>
        <v>1.7000000000000002</v>
      </c>
      <c r="H5" s="89">
        <f>I5-0.3</f>
        <v>0.39999999999999997</v>
      </c>
      <c r="I5">
        <f t="shared" ref="I5:J9" si="2">E5</f>
        <v>0.7</v>
      </c>
      <c r="J5">
        <f t="shared" si="2"/>
        <v>1.3</v>
      </c>
      <c r="K5" s="90">
        <f t="shared" ref="K5:K9" si="3">J5+0.3</f>
        <v>1.6</v>
      </c>
    </row>
    <row r="6" spans="1:11" x14ac:dyDescent="0.25">
      <c r="A6" s="78" t="s">
        <v>39</v>
      </c>
      <c r="B6" s="79">
        <v>2</v>
      </c>
      <c r="C6" s="80" t="s">
        <v>61</v>
      </c>
      <c r="D6" s="87">
        <f t="shared" ref="D6:D9" si="4">E6-0.4</f>
        <v>1.2999999999999998</v>
      </c>
      <c r="E6" s="111">
        <f t="shared" ref="E6:E9" si="5">B6-0.3</f>
        <v>1.7</v>
      </c>
      <c r="F6">
        <f t="shared" ref="F6:F9" si="6">B6+0.3</f>
        <v>2.2999999999999998</v>
      </c>
      <c r="G6" s="90">
        <f t="shared" si="1"/>
        <v>2.6999999999999997</v>
      </c>
      <c r="H6" s="89">
        <f t="shared" ref="H6:H9" si="7">I6-0.3</f>
        <v>1.4</v>
      </c>
      <c r="I6">
        <f t="shared" si="2"/>
        <v>1.7</v>
      </c>
      <c r="J6">
        <f t="shared" si="2"/>
        <v>2.2999999999999998</v>
      </c>
      <c r="K6" s="90">
        <f t="shared" si="3"/>
        <v>2.5999999999999996</v>
      </c>
    </row>
    <row r="7" spans="1:11" x14ac:dyDescent="0.25">
      <c r="A7" s="78" t="s">
        <v>40</v>
      </c>
      <c r="B7" s="79">
        <v>3</v>
      </c>
      <c r="C7" s="80" t="s">
        <v>62</v>
      </c>
      <c r="D7" s="87">
        <f t="shared" si="4"/>
        <v>2.3000000000000003</v>
      </c>
      <c r="E7" s="111">
        <f t="shared" si="5"/>
        <v>2.7</v>
      </c>
      <c r="F7">
        <f t="shared" si="6"/>
        <v>3.3</v>
      </c>
      <c r="G7" s="90">
        <f t="shared" si="1"/>
        <v>3.6999999999999997</v>
      </c>
      <c r="H7" s="89">
        <f t="shared" si="7"/>
        <v>2.4000000000000004</v>
      </c>
      <c r="I7">
        <f t="shared" si="2"/>
        <v>2.7</v>
      </c>
      <c r="J7">
        <f t="shared" si="2"/>
        <v>3.3</v>
      </c>
      <c r="K7" s="90">
        <f t="shared" si="3"/>
        <v>3.5999999999999996</v>
      </c>
    </row>
    <row r="8" spans="1:11" x14ac:dyDescent="0.25">
      <c r="A8" s="78" t="s">
        <v>41</v>
      </c>
      <c r="B8" s="79">
        <v>4</v>
      </c>
      <c r="C8" s="80" t="s">
        <v>63</v>
      </c>
      <c r="D8" s="87">
        <f t="shared" si="4"/>
        <v>3.3000000000000003</v>
      </c>
      <c r="E8" s="111">
        <f t="shared" si="5"/>
        <v>3.7</v>
      </c>
      <c r="F8">
        <f t="shared" si="6"/>
        <v>4.3</v>
      </c>
      <c r="G8" s="90">
        <f t="shared" si="1"/>
        <v>4.7</v>
      </c>
      <c r="H8" s="89">
        <f t="shared" si="7"/>
        <v>3.4000000000000004</v>
      </c>
      <c r="I8">
        <f t="shared" si="2"/>
        <v>3.7</v>
      </c>
      <c r="J8">
        <f t="shared" si="2"/>
        <v>4.3</v>
      </c>
      <c r="K8" s="90">
        <f t="shared" si="3"/>
        <v>4.5999999999999996</v>
      </c>
    </row>
    <row r="9" spans="1:11" ht="15.75" thickBot="1" x14ac:dyDescent="0.3">
      <c r="A9" s="78" t="s">
        <v>42</v>
      </c>
      <c r="B9" s="79">
        <v>5</v>
      </c>
      <c r="C9" s="80" t="s">
        <v>64</v>
      </c>
      <c r="D9" s="91">
        <f t="shared" si="4"/>
        <v>4.3</v>
      </c>
      <c r="E9" s="92">
        <f t="shared" si="5"/>
        <v>4.7</v>
      </c>
      <c r="F9" s="93">
        <f t="shared" si="6"/>
        <v>5.3</v>
      </c>
      <c r="G9" s="96">
        <f t="shared" si="1"/>
        <v>5.7</v>
      </c>
      <c r="H9" s="95">
        <f t="shared" si="7"/>
        <v>4.4000000000000004</v>
      </c>
      <c r="I9" s="93">
        <f t="shared" si="2"/>
        <v>4.7</v>
      </c>
      <c r="J9" s="93">
        <f t="shared" si="2"/>
        <v>5.3</v>
      </c>
      <c r="K9" s="96">
        <f t="shared" si="3"/>
        <v>5.6</v>
      </c>
    </row>
    <row r="10" spans="1:11" x14ac:dyDescent="0.25">
      <c r="A10" s="1"/>
    </row>
    <row r="11" spans="1:11" ht="15.75" thickBot="1" x14ac:dyDescent="0.3">
      <c r="A11" s="1" t="s">
        <v>53</v>
      </c>
    </row>
    <row r="12" spans="1:11" x14ac:dyDescent="0.25">
      <c r="A12" s="1"/>
      <c r="B12" s="79">
        <v>0</v>
      </c>
      <c r="C12" s="80" t="s">
        <v>59</v>
      </c>
      <c r="D12" s="81">
        <v>0</v>
      </c>
      <c r="E12" s="82">
        <f>B12</f>
        <v>0</v>
      </c>
      <c r="F12" s="83">
        <f>B12+0.3</f>
        <v>0.3</v>
      </c>
      <c r="G12" s="86">
        <f>F12+0.4</f>
        <v>0.7</v>
      </c>
      <c r="H12" s="85">
        <v>0</v>
      </c>
      <c r="I12" s="83">
        <f t="shared" ref="I12:I17" si="8">E12</f>
        <v>0</v>
      </c>
      <c r="J12" s="83">
        <f t="shared" ref="J12:J17" si="9">F12</f>
        <v>0.3</v>
      </c>
      <c r="K12" s="86">
        <f>J12+0.3</f>
        <v>0.6</v>
      </c>
    </row>
    <row r="13" spans="1:11" x14ac:dyDescent="0.25">
      <c r="A13" s="78" t="s">
        <v>38</v>
      </c>
      <c r="B13" s="79">
        <v>1</v>
      </c>
      <c r="C13" s="80" t="s">
        <v>60</v>
      </c>
      <c r="D13" s="87">
        <f>E13-0.4</f>
        <v>0.29999999999999993</v>
      </c>
      <c r="E13" s="111">
        <f>B13-0.3</f>
        <v>0.7</v>
      </c>
      <c r="F13">
        <f>B13+0.3</f>
        <v>1.3</v>
      </c>
      <c r="G13" s="90">
        <f t="shared" ref="G13:G17" si="10">F13+0.4</f>
        <v>1.7000000000000002</v>
      </c>
      <c r="H13" s="89">
        <f>I13-0.3</f>
        <v>0.39999999999999997</v>
      </c>
      <c r="I13">
        <f t="shared" si="8"/>
        <v>0.7</v>
      </c>
      <c r="J13">
        <f t="shared" si="9"/>
        <v>1.3</v>
      </c>
      <c r="K13" s="90">
        <f t="shared" ref="K13:K17" si="11">J13+0.3</f>
        <v>1.6</v>
      </c>
    </row>
    <row r="14" spans="1:11" x14ac:dyDescent="0.25">
      <c r="A14" s="78" t="s">
        <v>39</v>
      </c>
      <c r="B14" s="79">
        <v>2</v>
      </c>
      <c r="C14" s="80" t="s">
        <v>61</v>
      </c>
      <c r="D14" s="87">
        <f t="shared" ref="D14:D17" si="12">E14-0.4</f>
        <v>1.2999999999999998</v>
      </c>
      <c r="E14" s="111">
        <f t="shared" ref="E14:E17" si="13">B14-0.3</f>
        <v>1.7</v>
      </c>
      <c r="F14">
        <f t="shared" ref="F14:F17" si="14">B14+0.3</f>
        <v>2.2999999999999998</v>
      </c>
      <c r="G14" s="90">
        <f t="shared" si="10"/>
        <v>2.6999999999999997</v>
      </c>
      <c r="H14" s="89">
        <f t="shared" ref="H14:H17" si="15">I14-0.3</f>
        <v>1.4</v>
      </c>
      <c r="I14">
        <f t="shared" si="8"/>
        <v>1.7</v>
      </c>
      <c r="J14">
        <f t="shared" si="9"/>
        <v>2.2999999999999998</v>
      </c>
      <c r="K14" s="90">
        <f t="shared" si="11"/>
        <v>2.5999999999999996</v>
      </c>
    </row>
    <row r="15" spans="1:11" x14ac:dyDescent="0.25">
      <c r="A15" s="78" t="s">
        <v>40</v>
      </c>
      <c r="B15" s="79">
        <v>3</v>
      </c>
      <c r="C15" s="80" t="s">
        <v>62</v>
      </c>
      <c r="D15" s="87">
        <f t="shared" si="12"/>
        <v>2.3000000000000003</v>
      </c>
      <c r="E15" s="111">
        <f t="shared" si="13"/>
        <v>2.7</v>
      </c>
      <c r="F15">
        <f t="shared" si="14"/>
        <v>3.3</v>
      </c>
      <c r="G15" s="90">
        <f t="shared" si="10"/>
        <v>3.6999999999999997</v>
      </c>
      <c r="H15" s="89">
        <f t="shared" si="15"/>
        <v>2.4000000000000004</v>
      </c>
      <c r="I15">
        <f t="shared" si="8"/>
        <v>2.7</v>
      </c>
      <c r="J15">
        <f t="shared" si="9"/>
        <v>3.3</v>
      </c>
      <c r="K15" s="90">
        <f t="shared" si="11"/>
        <v>3.5999999999999996</v>
      </c>
    </row>
    <row r="16" spans="1:11" x14ac:dyDescent="0.25">
      <c r="A16" s="78" t="s">
        <v>41</v>
      </c>
      <c r="B16" s="79">
        <v>4</v>
      </c>
      <c r="C16" s="80" t="s">
        <v>63</v>
      </c>
      <c r="D16" s="87">
        <f t="shared" si="12"/>
        <v>3.3000000000000003</v>
      </c>
      <c r="E16" s="111">
        <f t="shared" si="13"/>
        <v>3.7</v>
      </c>
      <c r="F16">
        <f t="shared" si="14"/>
        <v>4.3</v>
      </c>
      <c r="G16" s="90">
        <f t="shared" si="10"/>
        <v>4.7</v>
      </c>
      <c r="H16" s="89">
        <f t="shared" si="15"/>
        <v>3.4000000000000004</v>
      </c>
      <c r="I16">
        <f t="shared" si="8"/>
        <v>3.7</v>
      </c>
      <c r="J16">
        <f t="shared" si="9"/>
        <v>4.3</v>
      </c>
      <c r="K16" s="90">
        <f t="shared" si="11"/>
        <v>4.5999999999999996</v>
      </c>
    </row>
    <row r="17" spans="1:11" ht="15.75" thickBot="1" x14ac:dyDescent="0.3">
      <c r="A17" s="78" t="s">
        <v>42</v>
      </c>
      <c r="B17" s="79">
        <v>5</v>
      </c>
      <c r="C17" s="80" t="s">
        <v>64</v>
      </c>
      <c r="D17" s="91">
        <f t="shared" si="12"/>
        <v>4.3</v>
      </c>
      <c r="E17" s="92">
        <f t="shared" si="13"/>
        <v>4.7</v>
      </c>
      <c r="F17" s="93">
        <f t="shared" si="14"/>
        <v>5.3</v>
      </c>
      <c r="G17" s="96">
        <f t="shared" si="10"/>
        <v>5.7</v>
      </c>
      <c r="H17" s="95">
        <f t="shared" si="15"/>
        <v>4.4000000000000004</v>
      </c>
      <c r="I17" s="93">
        <f t="shared" si="8"/>
        <v>4.7</v>
      </c>
      <c r="J17" s="93">
        <f t="shared" si="9"/>
        <v>5.3</v>
      </c>
      <c r="K17" s="96">
        <f t="shared" si="11"/>
        <v>5.6</v>
      </c>
    </row>
    <row r="18" spans="1:11" x14ac:dyDescent="0.25">
      <c r="A18" s="1"/>
    </row>
    <row r="19" spans="1:11" ht="15.75" thickBot="1" x14ac:dyDescent="0.3">
      <c r="A19" s="1" t="s">
        <v>54</v>
      </c>
    </row>
    <row r="20" spans="1:11" x14ac:dyDescent="0.25">
      <c r="A20" s="1"/>
      <c r="B20" s="79">
        <v>0</v>
      </c>
      <c r="C20" s="80" t="s">
        <v>59</v>
      </c>
      <c r="D20" s="81">
        <v>0</v>
      </c>
      <c r="E20" s="82">
        <f>B20</f>
        <v>0</v>
      </c>
      <c r="F20" s="83">
        <f>B20+0.3</f>
        <v>0.3</v>
      </c>
      <c r="G20" s="86">
        <f>F20+0.4</f>
        <v>0.7</v>
      </c>
      <c r="H20" s="85">
        <v>0</v>
      </c>
      <c r="I20" s="83">
        <f t="shared" ref="I20:I25" si="16">E20</f>
        <v>0</v>
      </c>
      <c r="J20" s="83">
        <f t="shared" ref="J20:J25" si="17">F20</f>
        <v>0.3</v>
      </c>
      <c r="K20" s="86">
        <f>J20+0.3</f>
        <v>0.6</v>
      </c>
    </row>
    <row r="21" spans="1:11" x14ac:dyDescent="0.25">
      <c r="A21" s="78" t="s">
        <v>38</v>
      </c>
      <c r="B21" s="79">
        <v>1</v>
      </c>
      <c r="C21" s="80" t="s">
        <v>60</v>
      </c>
      <c r="D21" s="87">
        <f>E21-0.4</f>
        <v>0.29999999999999993</v>
      </c>
      <c r="E21" s="111">
        <f>B21-0.3</f>
        <v>0.7</v>
      </c>
      <c r="F21">
        <f>B21+0.3</f>
        <v>1.3</v>
      </c>
      <c r="G21" s="90">
        <f t="shared" ref="G21:G25" si="18">F21+0.4</f>
        <v>1.7000000000000002</v>
      </c>
      <c r="H21" s="89">
        <f>I21-0.3</f>
        <v>0.39999999999999997</v>
      </c>
      <c r="I21">
        <f t="shared" si="16"/>
        <v>0.7</v>
      </c>
      <c r="J21">
        <f t="shared" si="17"/>
        <v>1.3</v>
      </c>
      <c r="K21" s="90">
        <f t="shared" ref="K21:K25" si="19">J21+0.3</f>
        <v>1.6</v>
      </c>
    </row>
    <row r="22" spans="1:11" x14ac:dyDescent="0.25">
      <c r="A22" s="78" t="s">
        <v>39</v>
      </c>
      <c r="B22" s="79">
        <v>2</v>
      </c>
      <c r="C22" s="80" t="s">
        <v>61</v>
      </c>
      <c r="D22" s="87">
        <f t="shared" ref="D22:D25" si="20">E22-0.4</f>
        <v>1.2999999999999998</v>
      </c>
      <c r="E22" s="111">
        <f t="shared" ref="E22:E25" si="21">B22-0.3</f>
        <v>1.7</v>
      </c>
      <c r="F22">
        <f t="shared" ref="F22:F25" si="22">B22+0.3</f>
        <v>2.2999999999999998</v>
      </c>
      <c r="G22" s="90">
        <f t="shared" si="18"/>
        <v>2.6999999999999997</v>
      </c>
      <c r="H22" s="89">
        <f t="shared" ref="H22:H25" si="23">I22-0.3</f>
        <v>1.4</v>
      </c>
      <c r="I22">
        <f t="shared" si="16"/>
        <v>1.7</v>
      </c>
      <c r="J22">
        <f t="shared" si="17"/>
        <v>2.2999999999999998</v>
      </c>
      <c r="K22" s="90">
        <f t="shared" si="19"/>
        <v>2.5999999999999996</v>
      </c>
    </row>
    <row r="23" spans="1:11" x14ac:dyDescent="0.25">
      <c r="A23" s="78" t="s">
        <v>40</v>
      </c>
      <c r="B23" s="79">
        <v>3</v>
      </c>
      <c r="C23" s="80" t="s">
        <v>62</v>
      </c>
      <c r="D23" s="87">
        <f t="shared" si="20"/>
        <v>2.3000000000000003</v>
      </c>
      <c r="E23" s="111">
        <f t="shared" si="21"/>
        <v>2.7</v>
      </c>
      <c r="F23">
        <f t="shared" si="22"/>
        <v>3.3</v>
      </c>
      <c r="G23" s="90">
        <f t="shared" si="18"/>
        <v>3.6999999999999997</v>
      </c>
      <c r="H23" s="89">
        <f t="shared" si="23"/>
        <v>2.4000000000000004</v>
      </c>
      <c r="I23">
        <f t="shared" si="16"/>
        <v>2.7</v>
      </c>
      <c r="J23">
        <f t="shared" si="17"/>
        <v>3.3</v>
      </c>
      <c r="K23" s="90">
        <f t="shared" si="19"/>
        <v>3.5999999999999996</v>
      </c>
    </row>
    <row r="24" spans="1:11" x14ac:dyDescent="0.25">
      <c r="A24" s="78" t="s">
        <v>41</v>
      </c>
      <c r="B24" s="79">
        <v>4</v>
      </c>
      <c r="C24" s="80" t="s">
        <v>63</v>
      </c>
      <c r="D24" s="87">
        <f t="shared" si="20"/>
        <v>3.3000000000000003</v>
      </c>
      <c r="E24" s="111">
        <f t="shared" si="21"/>
        <v>3.7</v>
      </c>
      <c r="F24">
        <f t="shared" si="22"/>
        <v>4.3</v>
      </c>
      <c r="G24" s="90">
        <f t="shared" si="18"/>
        <v>4.7</v>
      </c>
      <c r="H24" s="89">
        <f t="shared" si="23"/>
        <v>3.4000000000000004</v>
      </c>
      <c r="I24">
        <f t="shared" si="16"/>
        <v>3.7</v>
      </c>
      <c r="J24">
        <f t="shared" si="17"/>
        <v>4.3</v>
      </c>
      <c r="K24" s="90">
        <f t="shared" si="19"/>
        <v>4.5999999999999996</v>
      </c>
    </row>
    <row r="25" spans="1:11" ht="15.75" thickBot="1" x14ac:dyDescent="0.3">
      <c r="A25" s="78" t="s">
        <v>42</v>
      </c>
      <c r="B25" s="79">
        <v>5</v>
      </c>
      <c r="C25" s="80" t="s">
        <v>64</v>
      </c>
      <c r="D25" s="91">
        <f t="shared" si="20"/>
        <v>4.3</v>
      </c>
      <c r="E25" s="92">
        <f t="shared" si="21"/>
        <v>4.7</v>
      </c>
      <c r="F25" s="93">
        <f t="shared" si="22"/>
        <v>5.3</v>
      </c>
      <c r="G25" s="96">
        <f t="shared" si="18"/>
        <v>5.7</v>
      </c>
      <c r="H25" s="95">
        <f t="shared" si="23"/>
        <v>4.4000000000000004</v>
      </c>
      <c r="I25" s="93">
        <f t="shared" si="16"/>
        <v>4.7</v>
      </c>
      <c r="J25" s="93">
        <f t="shared" si="17"/>
        <v>5.3</v>
      </c>
      <c r="K25" s="96">
        <f t="shared" si="19"/>
        <v>5.6</v>
      </c>
    </row>
    <row r="26" spans="1:11" x14ac:dyDescent="0.25">
      <c r="A26" s="1"/>
    </row>
    <row r="27" spans="1:11" ht="15.75" thickBot="1" x14ac:dyDescent="0.3">
      <c r="A27" s="1" t="s">
        <v>55</v>
      </c>
    </row>
    <row r="28" spans="1:11" x14ac:dyDescent="0.25">
      <c r="A28" s="1"/>
      <c r="B28" s="79">
        <v>0</v>
      </c>
      <c r="C28" s="80" t="s">
        <v>59</v>
      </c>
      <c r="D28" s="81">
        <v>0</v>
      </c>
      <c r="E28" s="82">
        <f>B28</f>
        <v>0</v>
      </c>
      <c r="F28" s="83">
        <f>B28+0.3</f>
        <v>0.3</v>
      </c>
      <c r="G28" s="86">
        <f>F28+0.4</f>
        <v>0.7</v>
      </c>
      <c r="H28" s="85">
        <v>0</v>
      </c>
      <c r="I28" s="83">
        <f t="shared" ref="I28:I33" si="24">E28</f>
        <v>0</v>
      </c>
      <c r="J28" s="83">
        <f t="shared" ref="J28:J33" si="25">F28</f>
        <v>0.3</v>
      </c>
      <c r="K28" s="86">
        <f>J28+0.3</f>
        <v>0.6</v>
      </c>
    </row>
    <row r="29" spans="1:11" x14ac:dyDescent="0.25">
      <c r="A29" s="78" t="s">
        <v>38</v>
      </c>
      <c r="B29" s="79">
        <v>1</v>
      </c>
      <c r="C29" s="80" t="s">
        <v>60</v>
      </c>
      <c r="D29" s="87">
        <f>E29-0.4</f>
        <v>0.29999999999999993</v>
      </c>
      <c r="E29" s="111">
        <f>B29-0.3</f>
        <v>0.7</v>
      </c>
      <c r="F29">
        <f>B29+0.3</f>
        <v>1.3</v>
      </c>
      <c r="G29" s="90">
        <f t="shared" ref="G29:G33" si="26">F29+0.4</f>
        <v>1.7000000000000002</v>
      </c>
      <c r="H29" s="89">
        <f>I29-0.3</f>
        <v>0.39999999999999997</v>
      </c>
      <c r="I29">
        <f t="shared" si="24"/>
        <v>0.7</v>
      </c>
      <c r="J29">
        <f t="shared" si="25"/>
        <v>1.3</v>
      </c>
      <c r="K29" s="90">
        <f t="shared" ref="K29:K33" si="27">J29+0.3</f>
        <v>1.6</v>
      </c>
    </row>
    <row r="30" spans="1:11" x14ac:dyDescent="0.25">
      <c r="A30" s="78" t="s">
        <v>39</v>
      </c>
      <c r="B30" s="79">
        <v>2</v>
      </c>
      <c r="C30" s="80" t="s">
        <v>61</v>
      </c>
      <c r="D30" s="87">
        <f t="shared" ref="D30:D33" si="28">E30-0.4</f>
        <v>1.2999999999999998</v>
      </c>
      <c r="E30" s="111">
        <f t="shared" ref="E30:E33" si="29">B30-0.3</f>
        <v>1.7</v>
      </c>
      <c r="F30">
        <f t="shared" ref="F30:F33" si="30">B30+0.3</f>
        <v>2.2999999999999998</v>
      </c>
      <c r="G30" s="90">
        <f t="shared" si="26"/>
        <v>2.6999999999999997</v>
      </c>
      <c r="H30" s="89">
        <f t="shared" ref="H30:H33" si="31">I30-0.3</f>
        <v>1.4</v>
      </c>
      <c r="I30">
        <f t="shared" si="24"/>
        <v>1.7</v>
      </c>
      <c r="J30">
        <f t="shared" si="25"/>
        <v>2.2999999999999998</v>
      </c>
      <c r="K30" s="90">
        <f t="shared" si="27"/>
        <v>2.5999999999999996</v>
      </c>
    </row>
    <row r="31" spans="1:11" x14ac:dyDescent="0.25">
      <c r="A31" s="78" t="s">
        <v>40</v>
      </c>
      <c r="B31" s="79">
        <v>3</v>
      </c>
      <c r="C31" s="80" t="s">
        <v>62</v>
      </c>
      <c r="D31" s="87">
        <f t="shared" si="28"/>
        <v>2.3000000000000003</v>
      </c>
      <c r="E31" s="111">
        <f t="shared" si="29"/>
        <v>2.7</v>
      </c>
      <c r="F31">
        <f t="shared" si="30"/>
        <v>3.3</v>
      </c>
      <c r="G31" s="90">
        <f t="shared" si="26"/>
        <v>3.6999999999999997</v>
      </c>
      <c r="H31" s="89">
        <f t="shared" si="31"/>
        <v>2.4000000000000004</v>
      </c>
      <c r="I31">
        <f t="shared" si="24"/>
        <v>2.7</v>
      </c>
      <c r="J31">
        <f t="shared" si="25"/>
        <v>3.3</v>
      </c>
      <c r="K31" s="90">
        <f t="shared" si="27"/>
        <v>3.5999999999999996</v>
      </c>
    </row>
    <row r="32" spans="1:11" x14ac:dyDescent="0.25">
      <c r="A32" s="78" t="s">
        <v>41</v>
      </c>
      <c r="B32" s="79">
        <v>4</v>
      </c>
      <c r="C32" s="80" t="s">
        <v>63</v>
      </c>
      <c r="D32" s="87">
        <f t="shared" si="28"/>
        <v>3.3000000000000003</v>
      </c>
      <c r="E32" s="111">
        <f t="shared" si="29"/>
        <v>3.7</v>
      </c>
      <c r="F32">
        <f t="shared" si="30"/>
        <v>4.3</v>
      </c>
      <c r="G32" s="90">
        <f t="shared" si="26"/>
        <v>4.7</v>
      </c>
      <c r="H32" s="89">
        <f t="shared" si="31"/>
        <v>3.4000000000000004</v>
      </c>
      <c r="I32">
        <f t="shared" si="24"/>
        <v>3.7</v>
      </c>
      <c r="J32">
        <f t="shared" si="25"/>
        <v>4.3</v>
      </c>
      <c r="K32" s="90">
        <f t="shared" si="27"/>
        <v>4.5999999999999996</v>
      </c>
    </row>
    <row r="33" spans="1:11" ht="15.75" thickBot="1" x14ac:dyDescent="0.3">
      <c r="A33" s="78" t="s">
        <v>42</v>
      </c>
      <c r="B33" s="79">
        <v>5</v>
      </c>
      <c r="C33" s="80" t="s">
        <v>64</v>
      </c>
      <c r="D33" s="91">
        <f t="shared" si="28"/>
        <v>4.3</v>
      </c>
      <c r="E33" s="92">
        <f t="shared" si="29"/>
        <v>4.7</v>
      </c>
      <c r="F33" s="93">
        <f t="shared" si="30"/>
        <v>5.3</v>
      </c>
      <c r="G33" s="96">
        <f t="shared" si="26"/>
        <v>5.7</v>
      </c>
      <c r="H33" s="95">
        <f t="shared" si="31"/>
        <v>4.4000000000000004</v>
      </c>
      <c r="I33" s="93">
        <f t="shared" si="24"/>
        <v>4.7</v>
      </c>
      <c r="J33" s="93">
        <f t="shared" si="25"/>
        <v>5.3</v>
      </c>
      <c r="K33" s="96">
        <f t="shared" si="27"/>
        <v>5.6</v>
      </c>
    </row>
    <row r="34" spans="1:11" x14ac:dyDescent="0.25">
      <c r="A34" s="1"/>
    </row>
    <row r="36" spans="1:11" x14ac:dyDescent="0.25">
      <c r="A36" s="77" t="s">
        <v>44</v>
      </c>
    </row>
    <row r="37" spans="1:11" ht="15.75" thickBot="1" x14ac:dyDescent="0.3">
      <c r="A37" s="1" t="s">
        <v>32</v>
      </c>
    </row>
    <row r="38" spans="1:11" x14ac:dyDescent="0.25">
      <c r="A38" s="1"/>
      <c r="B38" s="79">
        <v>0</v>
      </c>
      <c r="C38" s="80" t="s">
        <v>59</v>
      </c>
      <c r="D38" s="81">
        <v>0</v>
      </c>
      <c r="E38" s="82">
        <f>B38</f>
        <v>0</v>
      </c>
      <c r="F38" s="83">
        <f>B38+0.3</f>
        <v>0.3</v>
      </c>
      <c r="G38" s="86">
        <f>F38+0.4</f>
        <v>0.7</v>
      </c>
      <c r="H38" s="85">
        <v>0</v>
      </c>
      <c r="I38" s="83">
        <f t="shared" ref="I38:I43" si="32">E38</f>
        <v>0</v>
      </c>
      <c r="J38" s="83">
        <f t="shared" ref="J38:J43" si="33">F38</f>
        <v>0.3</v>
      </c>
      <c r="K38" s="86">
        <f>J38+0.3</f>
        <v>0.6</v>
      </c>
    </row>
    <row r="39" spans="1:11" x14ac:dyDescent="0.25">
      <c r="A39" s="78" t="s">
        <v>38</v>
      </c>
      <c r="B39" s="79">
        <v>1</v>
      </c>
      <c r="C39" s="80" t="s">
        <v>60</v>
      </c>
      <c r="D39" s="87">
        <f>E39-0.4</f>
        <v>0.29999999999999993</v>
      </c>
      <c r="E39" s="111">
        <f>B39-0.3</f>
        <v>0.7</v>
      </c>
      <c r="F39">
        <f>B39+0.3</f>
        <v>1.3</v>
      </c>
      <c r="G39" s="90">
        <f t="shared" ref="G39:G43" si="34">F39+0.4</f>
        <v>1.7000000000000002</v>
      </c>
      <c r="H39" s="89">
        <f>I39-0.3</f>
        <v>0.39999999999999997</v>
      </c>
      <c r="I39">
        <f t="shared" si="32"/>
        <v>0.7</v>
      </c>
      <c r="J39">
        <f t="shared" si="33"/>
        <v>1.3</v>
      </c>
      <c r="K39" s="90">
        <f t="shared" ref="K39:K43" si="35">J39+0.3</f>
        <v>1.6</v>
      </c>
    </row>
    <row r="40" spans="1:11" x14ac:dyDescent="0.25">
      <c r="A40" s="78" t="s">
        <v>39</v>
      </c>
      <c r="B40" s="79">
        <v>2</v>
      </c>
      <c r="C40" s="80" t="s">
        <v>61</v>
      </c>
      <c r="D40" s="87">
        <f t="shared" ref="D40:D43" si="36">E40-0.4</f>
        <v>1.2999999999999998</v>
      </c>
      <c r="E40" s="111">
        <f t="shared" ref="E40:E43" si="37">B40-0.3</f>
        <v>1.7</v>
      </c>
      <c r="F40">
        <f t="shared" ref="F40:F43" si="38">B40+0.3</f>
        <v>2.2999999999999998</v>
      </c>
      <c r="G40" s="90">
        <f t="shared" si="34"/>
        <v>2.6999999999999997</v>
      </c>
      <c r="H40" s="89">
        <f t="shared" ref="H40:H43" si="39">I40-0.3</f>
        <v>1.4</v>
      </c>
      <c r="I40">
        <f t="shared" si="32"/>
        <v>1.7</v>
      </c>
      <c r="J40">
        <f t="shared" si="33"/>
        <v>2.2999999999999998</v>
      </c>
      <c r="K40" s="90">
        <f t="shared" si="35"/>
        <v>2.5999999999999996</v>
      </c>
    </row>
    <row r="41" spans="1:11" x14ac:dyDescent="0.25">
      <c r="A41" s="78" t="s">
        <v>40</v>
      </c>
      <c r="B41" s="79">
        <v>3</v>
      </c>
      <c r="C41" s="80" t="s">
        <v>62</v>
      </c>
      <c r="D41" s="87">
        <f t="shared" si="36"/>
        <v>2.3000000000000003</v>
      </c>
      <c r="E41" s="111">
        <f t="shared" si="37"/>
        <v>2.7</v>
      </c>
      <c r="F41">
        <f t="shared" si="38"/>
        <v>3.3</v>
      </c>
      <c r="G41" s="90">
        <f t="shared" si="34"/>
        <v>3.6999999999999997</v>
      </c>
      <c r="H41" s="89">
        <f t="shared" si="39"/>
        <v>2.4000000000000004</v>
      </c>
      <c r="I41">
        <f t="shared" si="32"/>
        <v>2.7</v>
      </c>
      <c r="J41">
        <f t="shared" si="33"/>
        <v>3.3</v>
      </c>
      <c r="K41" s="90">
        <f t="shared" si="35"/>
        <v>3.5999999999999996</v>
      </c>
    </row>
    <row r="42" spans="1:11" x14ac:dyDescent="0.25">
      <c r="A42" s="78" t="s">
        <v>41</v>
      </c>
      <c r="B42" s="79">
        <v>4</v>
      </c>
      <c r="C42" s="80" t="s">
        <v>63</v>
      </c>
      <c r="D42" s="87">
        <f t="shared" si="36"/>
        <v>3.3000000000000003</v>
      </c>
      <c r="E42" s="111">
        <f t="shared" si="37"/>
        <v>3.7</v>
      </c>
      <c r="F42">
        <f t="shared" si="38"/>
        <v>4.3</v>
      </c>
      <c r="G42" s="90">
        <f t="shared" si="34"/>
        <v>4.7</v>
      </c>
      <c r="H42" s="89">
        <f t="shared" si="39"/>
        <v>3.4000000000000004</v>
      </c>
      <c r="I42">
        <f t="shared" si="32"/>
        <v>3.7</v>
      </c>
      <c r="J42">
        <f t="shared" si="33"/>
        <v>4.3</v>
      </c>
      <c r="K42" s="90">
        <f t="shared" si="35"/>
        <v>4.5999999999999996</v>
      </c>
    </row>
    <row r="43" spans="1:11" ht="15.75" thickBot="1" x14ac:dyDescent="0.3">
      <c r="A43" s="78" t="s">
        <v>42</v>
      </c>
      <c r="B43" s="79">
        <v>5</v>
      </c>
      <c r="C43" s="80" t="s">
        <v>64</v>
      </c>
      <c r="D43" s="91">
        <f t="shared" si="36"/>
        <v>4.3</v>
      </c>
      <c r="E43" s="92">
        <f t="shared" si="37"/>
        <v>4.7</v>
      </c>
      <c r="F43" s="93">
        <f t="shared" si="38"/>
        <v>5.3</v>
      </c>
      <c r="G43" s="96">
        <f t="shared" si="34"/>
        <v>5.7</v>
      </c>
      <c r="H43" s="95">
        <f t="shared" si="39"/>
        <v>4.4000000000000004</v>
      </c>
      <c r="I43" s="93">
        <f t="shared" si="32"/>
        <v>4.7</v>
      </c>
      <c r="J43" s="93">
        <f t="shared" si="33"/>
        <v>5.3</v>
      </c>
      <c r="K43" s="96">
        <f t="shared" si="35"/>
        <v>5.6</v>
      </c>
    </row>
    <row r="45" spans="1:11" ht="15.75" thickBot="1" x14ac:dyDescent="0.3">
      <c r="A45" s="1" t="s">
        <v>33</v>
      </c>
    </row>
    <row r="46" spans="1:11" x14ac:dyDescent="0.25">
      <c r="A46" s="1"/>
      <c r="B46" s="79">
        <v>0</v>
      </c>
      <c r="C46" s="80" t="s">
        <v>59</v>
      </c>
      <c r="D46" s="81">
        <v>0</v>
      </c>
      <c r="E46" s="82">
        <f>B46</f>
        <v>0</v>
      </c>
      <c r="F46" s="83">
        <f>B46+0.3</f>
        <v>0.3</v>
      </c>
      <c r="G46" s="86">
        <f>F46+0.4</f>
        <v>0.7</v>
      </c>
      <c r="H46" s="85">
        <v>0</v>
      </c>
      <c r="I46" s="83">
        <f t="shared" ref="I46:I51" si="40">E46</f>
        <v>0</v>
      </c>
      <c r="J46" s="83">
        <f t="shared" ref="J46:J51" si="41">F46</f>
        <v>0.3</v>
      </c>
      <c r="K46" s="86">
        <f>J46+0.3</f>
        <v>0.6</v>
      </c>
    </row>
    <row r="47" spans="1:11" x14ac:dyDescent="0.25">
      <c r="A47" s="78" t="s">
        <v>38</v>
      </c>
      <c r="B47" s="79">
        <v>1</v>
      </c>
      <c r="C47" s="80" t="s">
        <v>60</v>
      </c>
      <c r="D47" s="87">
        <f>E47-0.4</f>
        <v>0.29999999999999993</v>
      </c>
      <c r="E47" s="111">
        <f>B47-0.3</f>
        <v>0.7</v>
      </c>
      <c r="F47">
        <f>B47+0.3</f>
        <v>1.3</v>
      </c>
      <c r="G47" s="90">
        <f t="shared" ref="G47:G51" si="42">F47+0.4</f>
        <v>1.7000000000000002</v>
      </c>
      <c r="H47" s="89">
        <f>I47-0.3</f>
        <v>0.39999999999999997</v>
      </c>
      <c r="I47">
        <f t="shared" si="40"/>
        <v>0.7</v>
      </c>
      <c r="J47">
        <f t="shared" si="41"/>
        <v>1.3</v>
      </c>
      <c r="K47" s="90">
        <f t="shared" ref="K47:K51" si="43">J47+0.3</f>
        <v>1.6</v>
      </c>
    </row>
    <row r="48" spans="1:11" x14ac:dyDescent="0.25">
      <c r="A48" s="78" t="s">
        <v>39</v>
      </c>
      <c r="B48" s="79">
        <v>2</v>
      </c>
      <c r="C48" s="80" t="s">
        <v>61</v>
      </c>
      <c r="D48" s="87">
        <f t="shared" ref="D48:D51" si="44">E48-0.4</f>
        <v>1.2999999999999998</v>
      </c>
      <c r="E48" s="111">
        <f t="shared" ref="E48:E51" si="45">B48-0.3</f>
        <v>1.7</v>
      </c>
      <c r="F48">
        <f t="shared" ref="F48:F51" si="46">B48+0.3</f>
        <v>2.2999999999999998</v>
      </c>
      <c r="G48" s="90">
        <f t="shared" si="42"/>
        <v>2.6999999999999997</v>
      </c>
      <c r="H48" s="89">
        <f t="shared" ref="H48:H51" si="47">I48-0.3</f>
        <v>1.4</v>
      </c>
      <c r="I48">
        <f t="shared" si="40"/>
        <v>1.7</v>
      </c>
      <c r="J48">
        <f t="shared" si="41"/>
        <v>2.2999999999999998</v>
      </c>
      <c r="K48" s="90">
        <f t="shared" si="43"/>
        <v>2.5999999999999996</v>
      </c>
    </row>
    <row r="49" spans="1:11" x14ac:dyDescent="0.25">
      <c r="A49" s="78" t="s">
        <v>40</v>
      </c>
      <c r="B49" s="79">
        <v>3</v>
      </c>
      <c r="C49" s="80" t="s">
        <v>62</v>
      </c>
      <c r="D49" s="87">
        <f t="shared" si="44"/>
        <v>2.3000000000000003</v>
      </c>
      <c r="E49" s="111">
        <f t="shared" si="45"/>
        <v>2.7</v>
      </c>
      <c r="F49">
        <f t="shared" si="46"/>
        <v>3.3</v>
      </c>
      <c r="G49" s="90">
        <f t="shared" si="42"/>
        <v>3.6999999999999997</v>
      </c>
      <c r="H49" s="89">
        <f t="shared" si="47"/>
        <v>2.4000000000000004</v>
      </c>
      <c r="I49">
        <f t="shared" si="40"/>
        <v>2.7</v>
      </c>
      <c r="J49">
        <f t="shared" si="41"/>
        <v>3.3</v>
      </c>
      <c r="K49" s="90">
        <f t="shared" si="43"/>
        <v>3.5999999999999996</v>
      </c>
    </row>
    <row r="50" spans="1:11" ht="13.5" customHeight="1" x14ac:dyDescent="0.25">
      <c r="A50" s="78" t="s">
        <v>41</v>
      </c>
      <c r="B50" s="79">
        <v>4</v>
      </c>
      <c r="C50" s="80" t="s">
        <v>63</v>
      </c>
      <c r="D50" s="87">
        <f t="shared" si="44"/>
        <v>3.3000000000000003</v>
      </c>
      <c r="E50" s="111">
        <f t="shared" si="45"/>
        <v>3.7</v>
      </c>
      <c r="F50">
        <f t="shared" si="46"/>
        <v>4.3</v>
      </c>
      <c r="G50" s="90">
        <f t="shared" si="42"/>
        <v>4.7</v>
      </c>
      <c r="H50" s="89">
        <f t="shared" si="47"/>
        <v>3.4000000000000004</v>
      </c>
      <c r="I50">
        <f t="shared" si="40"/>
        <v>3.7</v>
      </c>
      <c r="J50">
        <f t="shared" si="41"/>
        <v>4.3</v>
      </c>
      <c r="K50" s="90">
        <f t="shared" si="43"/>
        <v>4.5999999999999996</v>
      </c>
    </row>
    <row r="51" spans="1:11" ht="15.75" thickBot="1" x14ac:dyDescent="0.3">
      <c r="A51" s="78" t="s">
        <v>42</v>
      </c>
      <c r="B51" s="79">
        <v>5</v>
      </c>
      <c r="C51" s="80" t="s">
        <v>64</v>
      </c>
      <c r="D51" s="91">
        <f t="shared" si="44"/>
        <v>4.3</v>
      </c>
      <c r="E51" s="92">
        <f t="shared" si="45"/>
        <v>4.7</v>
      </c>
      <c r="F51" s="93">
        <f t="shared" si="46"/>
        <v>5.3</v>
      </c>
      <c r="G51" s="96">
        <f t="shared" si="42"/>
        <v>5.7</v>
      </c>
      <c r="H51" s="95">
        <f t="shared" si="47"/>
        <v>4.4000000000000004</v>
      </c>
      <c r="I51" s="93">
        <f t="shared" si="40"/>
        <v>4.7</v>
      </c>
      <c r="J51" s="93">
        <f t="shared" si="41"/>
        <v>5.3</v>
      </c>
      <c r="K51" s="96">
        <f t="shared" si="43"/>
        <v>5.6</v>
      </c>
    </row>
    <row r="52" spans="1:11" x14ac:dyDescent="0.25">
      <c r="A52" s="1"/>
    </row>
    <row r="53" spans="1:11" ht="15.75" thickBot="1" x14ac:dyDescent="0.3">
      <c r="A53" s="1" t="s">
        <v>34</v>
      </c>
    </row>
    <row r="54" spans="1:11" x14ac:dyDescent="0.25">
      <c r="A54" s="1"/>
      <c r="B54" s="79">
        <v>0</v>
      </c>
      <c r="C54" s="80" t="s">
        <v>59</v>
      </c>
      <c r="D54" s="81">
        <v>0</v>
      </c>
      <c r="E54" s="82">
        <f>B54</f>
        <v>0</v>
      </c>
      <c r="F54" s="83">
        <f>B54+0.3</f>
        <v>0.3</v>
      </c>
      <c r="G54" s="86">
        <f>F54+0.4</f>
        <v>0.7</v>
      </c>
      <c r="H54" s="85">
        <v>0</v>
      </c>
      <c r="I54" s="83">
        <f t="shared" ref="I54:I59" si="48">E54</f>
        <v>0</v>
      </c>
      <c r="J54" s="83">
        <f t="shared" ref="J54:J59" si="49">F54</f>
        <v>0.3</v>
      </c>
      <c r="K54" s="86">
        <f>J54+0.3</f>
        <v>0.6</v>
      </c>
    </row>
    <row r="55" spans="1:11" x14ac:dyDescent="0.25">
      <c r="A55" s="78" t="s">
        <v>38</v>
      </c>
      <c r="B55" s="79">
        <v>1</v>
      </c>
      <c r="C55" s="80" t="s">
        <v>60</v>
      </c>
      <c r="D55" s="87">
        <f>E55-0.4</f>
        <v>0.29999999999999993</v>
      </c>
      <c r="E55" s="111">
        <f>B55-0.3</f>
        <v>0.7</v>
      </c>
      <c r="F55">
        <f>B55+0.3</f>
        <v>1.3</v>
      </c>
      <c r="G55" s="90">
        <f t="shared" ref="G55:G59" si="50">F55+0.4</f>
        <v>1.7000000000000002</v>
      </c>
      <c r="H55" s="89">
        <f>I55-0.3</f>
        <v>0.39999999999999997</v>
      </c>
      <c r="I55">
        <f t="shared" si="48"/>
        <v>0.7</v>
      </c>
      <c r="J55">
        <f t="shared" si="49"/>
        <v>1.3</v>
      </c>
      <c r="K55" s="90">
        <f t="shared" ref="K55:K59" si="51">J55+0.3</f>
        <v>1.6</v>
      </c>
    </row>
    <row r="56" spans="1:11" x14ac:dyDescent="0.25">
      <c r="A56" s="78" t="s">
        <v>39</v>
      </c>
      <c r="B56" s="79">
        <v>2</v>
      </c>
      <c r="C56" s="80" t="s">
        <v>61</v>
      </c>
      <c r="D56" s="87">
        <f t="shared" ref="D56:D59" si="52">E56-0.4</f>
        <v>1.2999999999999998</v>
      </c>
      <c r="E56" s="111">
        <f t="shared" ref="E56:E59" si="53">B56-0.3</f>
        <v>1.7</v>
      </c>
      <c r="F56">
        <f t="shared" ref="F56:F59" si="54">B56+0.3</f>
        <v>2.2999999999999998</v>
      </c>
      <c r="G56" s="90">
        <f t="shared" si="50"/>
        <v>2.6999999999999997</v>
      </c>
      <c r="H56" s="89">
        <f t="shared" ref="H56:H59" si="55">I56-0.3</f>
        <v>1.4</v>
      </c>
      <c r="I56">
        <f t="shared" si="48"/>
        <v>1.7</v>
      </c>
      <c r="J56">
        <f t="shared" si="49"/>
        <v>2.2999999999999998</v>
      </c>
      <c r="K56" s="90">
        <f t="shared" si="51"/>
        <v>2.5999999999999996</v>
      </c>
    </row>
    <row r="57" spans="1:11" x14ac:dyDescent="0.25">
      <c r="A57" s="78" t="s">
        <v>40</v>
      </c>
      <c r="B57" s="79">
        <v>3</v>
      </c>
      <c r="C57" s="80" t="s">
        <v>62</v>
      </c>
      <c r="D57" s="87">
        <f t="shared" si="52"/>
        <v>2.3000000000000003</v>
      </c>
      <c r="E57" s="111">
        <f t="shared" si="53"/>
        <v>2.7</v>
      </c>
      <c r="F57">
        <f t="shared" si="54"/>
        <v>3.3</v>
      </c>
      <c r="G57" s="90">
        <f t="shared" si="50"/>
        <v>3.6999999999999997</v>
      </c>
      <c r="H57" s="89">
        <f t="shared" si="55"/>
        <v>2.4000000000000004</v>
      </c>
      <c r="I57">
        <f t="shared" si="48"/>
        <v>2.7</v>
      </c>
      <c r="J57">
        <f t="shared" si="49"/>
        <v>3.3</v>
      </c>
      <c r="K57" s="90">
        <f t="shared" si="51"/>
        <v>3.5999999999999996</v>
      </c>
    </row>
    <row r="58" spans="1:11" x14ac:dyDescent="0.25">
      <c r="A58" s="78" t="s">
        <v>41</v>
      </c>
      <c r="B58" s="79">
        <v>4</v>
      </c>
      <c r="C58" s="80" t="s">
        <v>63</v>
      </c>
      <c r="D58" s="87">
        <f t="shared" si="52"/>
        <v>3.3000000000000003</v>
      </c>
      <c r="E58" s="111">
        <f t="shared" si="53"/>
        <v>3.7</v>
      </c>
      <c r="F58">
        <f t="shared" si="54"/>
        <v>4.3</v>
      </c>
      <c r="G58" s="90">
        <f t="shared" si="50"/>
        <v>4.7</v>
      </c>
      <c r="H58" s="89">
        <f t="shared" si="55"/>
        <v>3.4000000000000004</v>
      </c>
      <c r="I58">
        <f t="shared" si="48"/>
        <v>3.7</v>
      </c>
      <c r="J58">
        <f t="shared" si="49"/>
        <v>4.3</v>
      </c>
      <c r="K58" s="90">
        <f t="shared" si="51"/>
        <v>4.5999999999999996</v>
      </c>
    </row>
    <row r="59" spans="1:11" ht="15.75" thickBot="1" x14ac:dyDescent="0.3">
      <c r="A59" s="78" t="s">
        <v>42</v>
      </c>
      <c r="B59" s="79">
        <v>5</v>
      </c>
      <c r="C59" s="80" t="s">
        <v>64</v>
      </c>
      <c r="D59" s="91">
        <f t="shared" si="52"/>
        <v>4.3</v>
      </c>
      <c r="E59" s="92">
        <f t="shared" si="53"/>
        <v>4.7</v>
      </c>
      <c r="F59" s="93">
        <f t="shared" si="54"/>
        <v>5.3</v>
      </c>
      <c r="G59" s="96">
        <f t="shared" si="50"/>
        <v>5.7</v>
      </c>
      <c r="H59" s="95">
        <f t="shared" si="55"/>
        <v>4.4000000000000004</v>
      </c>
      <c r="I59" s="93">
        <f t="shared" si="48"/>
        <v>4.7</v>
      </c>
      <c r="J59" s="93">
        <f t="shared" si="49"/>
        <v>5.3</v>
      </c>
      <c r="K59" s="96">
        <f t="shared" si="51"/>
        <v>5.6</v>
      </c>
    </row>
    <row r="61" spans="1:11" ht="15.75" thickBot="1" x14ac:dyDescent="0.3">
      <c r="A61" s="1" t="s">
        <v>35</v>
      </c>
    </row>
    <row r="62" spans="1:11" x14ac:dyDescent="0.25">
      <c r="A62" s="1"/>
      <c r="B62" s="79">
        <v>0</v>
      </c>
      <c r="C62" s="80" t="s">
        <v>59</v>
      </c>
      <c r="D62" s="81">
        <v>0</v>
      </c>
      <c r="E62" s="82">
        <f>B62</f>
        <v>0</v>
      </c>
      <c r="F62" s="83">
        <f>B62+0.3</f>
        <v>0.3</v>
      </c>
      <c r="G62" s="86">
        <f>F62+0.4</f>
        <v>0.7</v>
      </c>
      <c r="H62" s="85">
        <v>0</v>
      </c>
      <c r="I62" s="83">
        <f t="shared" ref="I62:I67" si="56">E62</f>
        <v>0</v>
      </c>
      <c r="J62" s="83">
        <f t="shared" ref="J62:J67" si="57">F62</f>
        <v>0.3</v>
      </c>
      <c r="K62" s="86">
        <f>J62+0.3</f>
        <v>0.6</v>
      </c>
    </row>
    <row r="63" spans="1:11" x14ac:dyDescent="0.25">
      <c r="A63" s="78" t="s">
        <v>38</v>
      </c>
      <c r="B63" s="79">
        <v>1</v>
      </c>
      <c r="C63" s="80" t="s">
        <v>60</v>
      </c>
      <c r="D63" s="87">
        <f>E63-0.4</f>
        <v>0.29999999999999993</v>
      </c>
      <c r="E63" s="111">
        <f>B63-0.3</f>
        <v>0.7</v>
      </c>
      <c r="F63">
        <f>B63+0.3</f>
        <v>1.3</v>
      </c>
      <c r="G63" s="90">
        <f t="shared" ref="G63:G67" si="58">F63+0.4</f>
        <v>1.7000000000000002</v>
      </c>
      <c r="H63" s="89">
        <f>I63-0.3</f>
        <v>0.39999999999999997</v>
      </c>
      <c r="I63">
        <f t="shared" si="56"/>
        <v>0.7</v>
      </c>
      <c r="J63">
        <f t="shared" si="57"/>
        <v>1.3</v>
      </c>
      <c r="K63" s="90">
        <f t="shared" ref="K63:K67" si="59">J63+0.3</f>
        <v>1.6</v>
      </c>
    </row>
    <row r="64" spans="1:11" x14ac:dyDescent="0.25">
      <c r="A64" s="78" t="s">
        <v>39</v>
      </c>
      <c r="B64" s="79">
        <v>2</v>
      </c>
      <c r="C64" s="80" t="s">
        <v>61</v>
      </c>
      <c r="D64" s="87">
        <f t="shared" ref="D64:D67" si="60">E64-0.4</f>
        <v>1.2999999999999998</v>
      </c>
      <c r="E64" s="111">
        <f t="shared" ref="E64:E67" si="61">B64-0.3</f>
        <v>1.7</v>
      </c>
      <c r="F64">
        <f t="shared" ref="F64:F67" si="62">B64+0.3</f>
        <v>2.2999999999999998</v>
      </c>
      <c r="G64" s="90">
        <f t="shared" si="58"/>
        <v>2.6999999999999997</v>
      </c>
      <c r="H64" s="89">
        <f t="shared" ref="H64:H67" si="63">I64-0.3</f>
        <v>1.4</v>
      </c>
      <c r="I64">
        <f t="shared" si="56"/>
        <v>1.7</v>
      </c>
      <c r="J64">
        <f t="shared" si="57"/>
        <v>2.2999999999999998</v>
      </c>
      <c r="K64" s="90">
        <f t="shared" si="59"/>
        <v>2.5999999999999996</v>
      </c>
    </row>
    <row r="65" spans="1:11" x14ac:dyDescent="0.25">
      <c r="A65" s="78" t="s">
        <v>40</v>
      </c>
      <c r="B65" s="79">
        <v>3</v>
      </c>
      <c r="C65" s="80" t="s">
        <v>62</v>
      </c>
      <c r="D65" s="87">
        <f t="shared" si="60"/>
        <v>2.3000000000000003</v>
      </c>
      <c r="E65" s="111">
        <f t="shared" si="61"/>
        <v>2.7</v>
      </c>
      <c r="F65">
        <f t="shared" si="62"/>
        <v>3.3</v>
      </c>
      <c r="G65" s="90">
        <f t="shared" si="58"/>
        <v>3.6999999999999997</v>
      </c>
      <c r="H65" s="89">
        <f t="shared" si="63"/>
        <v>2.4000000000000004</v>
      </c>
      <c r="I65">
        <f t="shared" si="56"/>
        <v>2.7</v>
      </c>
      <c r="J65">
        <f t="shared" si="57"/>
        <v>3.3</v>
      </c>
      <c r="K65" s="90">
        <f t="shared" si="59"/>
        <v>3.5999999999999996</v>
      </c>
    </row>
    <row r="66" spans="1:11" x14ac:dyDescent="0.25">
      <c r="A66" s="78" t="s">
        <v>41</v>
      </c>
      <c r="B66" s="79">
        <v>4</v>
      </c>
      <c r="C66" s="80" t="s">
        <v>63</v>
      </c>
      <c r="D66" s="87">
        <f t="shared" si="60"/>
        <v>3.3000000000000003</v>
      </c>
      <c r="E66" s="111">
        <f t="shared" si="61"/>
        <v>3.7</v>
      </c>
      <c r="F66">
        <f t="shared" si="62"/>
        <v>4.3</v>
      </c>
      <c r="G66" s="90">
        <f t="shared" si="58"/>
        <v>4.7</v>
      </c>
      <c r="H66" s="89">
        <f t="shared" si="63"/>
        <v>3.4000000000000004</v>
      </c>
      <c r="I66">
        <f t="shared" si="56"/>
        <v>3.7</v>
      </c>
      <c r="J66">
        <f t="shared" si="57"/>
        <v>4.3</v>
      </c>
      <c r="K66" s="90">
        <f t="shared" si="59"/>
        <v>4.5999999999999996</v>
      </c>
    </row>
    <row r="67" spans="1:11" ht="15.75" thickBot="1" x14ac:dyDescent="0.3">
      <c r="A67" s="78" t="s">
        <v>42</v>
      </c>
      <c r="B67" s="79">
        <v>5</v>
      </c>
      <c r="C67" s="80" t="s">
        <v>64</v>
      </c>
      <c r="D67" s="91">
        <f t="shared" si="60"/>
        <v>4.3</v>
      </c>
      <c r="E67" s="92">
        <f t="shared" si="61"/>
        <v>4.7</v>
      </c>
      <c r="F67" s="93">
        <f t="shared" si="62"/>
        <v>5.3</v>
      </c>
      <c r="G67" s="96">
        <f t="shared" si="58"/>
        <v>5.7</v>
      </c>
      <c r="H67" s="95">
        <f t="shared" si="63"/>
        <v>4.4000000000000004</v>
      </c>
      <c r="I67" s="93">
        <f t="shared" si="56"/>
        <v>4.7</v>
      </c>
      <c r="J67" s="93">
        <f t="shared" si="57"/>
        <v>5.3</v>
      </c>
      <c r="K67" s="96">
        <f t="shared" si="59"/>
        <v>5.6</v>
      </c>
    </row>
    <row r="69" spans="1:11" x14ac:dyDescent="0.25">
      <c r="A69" s="77" t="s">
        <v>36</v>
      </c>
    </row>
    <row r="70" spans="1:11" ht="15" customHeight="1" thickBot="1" x14ac:dyDescent="0.3">
      <c r="A70" s="1" t="s">
        <v>56</v>
      </c>
    </row>
    <row r="71" spans="1:11" ht="15" customHeight="1" x14ac:dyDescent="0.25">
      <c r="A71" s="1"/>
      <c r="B71" s="79">
        <v>0</v>
      </c>
      <c r="C71" s="80" t="s">
        <v>59</v>
      </c>
      <c r="D71" s="81">
        <v>0</v>
      </c>
      <c r="E71" s="82">
        <f>B71</f>
        <v>0</v>
      </c>
      <c r="F71" s="83">
        <f>B71+0.3</f>
        <v>0.3</v>
      </c>
      <c r="G71" s="86">
        <f>F71+0.4</f>
        <v>0.7</v>
      </c>
      <c r="H71" s="85">
        <v>0</v>
      </c>
      <c r="I71" s="83">
        <f t="shared" ref="I71:I76" si="64">E71</f>
        <v>0</v>
      </c>
      <c r="J71" s="83">
        <f t="shared" ref="J71:J76" si="65">F71</f>
        <v>0.3</v>
      </c>
      <c r="K71" s="86">
        <f>J71+0.3</f>
        <v>0.6</v>
      </c>
    </row>
    <row r="72" spans="1:11" x14ac:dyDescent="0.25">
      <c r="A72" s="78" t="s">
        <v>38</v>
      </c>
      <c r="B72" s="79">
        <v>1</v>
      </c>
      <c r="C72" s="80" t="s">
        <v>60</v>
      </c>
      <c r="D72" s="87">
        <f>E72-0.4</f>
        <v>0.29999999999999993</v>
      </c>
      <c r="E72" s="111">
        <f>B72-0.3</f>
        <v>0.7</v>
      </c>
      <c r="F72">
        <f>B72+0.3</f>
        <v>1.3</v>
      </c>
      <c r="G72" s="90">
        <f t="shared" ref="G72:G76" si="66">F72+0.4</f>
        <v>1.7000000000000002</v>
      </c>
      <c r="H72" s="89">
        <f>I72-0.3</f>
        <v>0.39999999999999997</v>
      </c>
      <c r="I72">
        <f t="shared" si="64"/>
        <v>0.7</v>
      </c>
      <c r="J72">
        <f t="shared" si="65"/>
        <v>1.3</v>
      </c>
      <c r="K72" s="90">
        <f t="shared" ref="K72:K76" si="67">J72+0.3</f>
        <v>1.6</v>
      </c>
    </row>
    <row r="73" spans="1:11" x14ac:dyDescent="0.25">
      <c r="A73" s="78" t="s">
        <v>39</v>
      </c>
      <c r="B73" s="79">
        <v>2</v>
      </c>
      <c r="C73" s="80" t="s">
        <v>61</v>
      </c>
      <c r="D73" s="87">
        <f t="shared" ref="D73:D76" si="68">E73-0.4</f>
        <v>1.2999999999999998</v>
      </c>
      <c r="E73" s="111">
        <f t="shared" ref="E73:E76" si="69">B73-0.3</f>
        <v>1.7</v>
      </c>
      <c r="F73">
        <f t="shared" ref="F73:F76" si="70">B73+0.3</f>
        <v>2.2999999999999998</v>
      </c>
      <c r="G73" s="90">
        <f t="shared" si="66"/>
        <v>2.6999999999999997</v>
      </c>
      <c r="H73" s="89">
        <f t="shared" ref="H73:H76" si="71">I73-0.3</f>
        <v>1.4</v>
      </c>
      <c r="I73">
        <f t="shared" si="64"/>
        <v>1.7</v>
      </c>
      <c r="J73">
        <f t="shared" si="65"/>
        <v>2.2999999999999998</v>
      </c>
      <c r="K73" s="90">
        <f t="shared" si="67"/>
        <v>2.5999999999999996</v>
      </c>
    </row>
    <row r="74" spans="1:11" x14ac:dyDescent="0.25">
      <c r="A74" s="78" t="s">
        <v>40</v>
      </c>
      <c r="B74" s="79">
        <v>3</v>
      </c>
      <c r="C74" s="80" t="s">
        <v>62</v>
      </c>
      <c r="D74" s="87">
        <f t="shared" si="68"/>
        <v>2.3000000000000003</v>
      </c>
      <c r="E74" s="111">
        <f t="shared" si="69"/>
        <v>2.7</v>
      </c>
      <c r="F74">
        <f t="shared" si="70"/>
        <v>3.3</v>
      </c>
      <c r="G74" s="90">
        <f t="shared" si="66"/>
        <v>3.6999999999999997</v>
      </c>
      <c r="H74" s="89">
        <f t="shared" si="71"/>
        <v>2.4000000000000004</v>
      </c>
      <c r="I74">
        <f t="shared" si="64"/>
        <v>2.7</v>
      </c>
      <c r="J74">
        <f t="shared" si="65"/>
        <v>3.3</v>
      </c>
      <c r="K74" s="90">
        <f t="shared" si="67"/>
        <v>3.5999999999999996</v>
      </c>
    </row>
    <row r="75" spans="1:11" x14ac:dyDescent="0.25">
      <c r="A75" s="78" t="s">
        <v>41</v>
      </c>
      <c r="B75" s="79">
        <v>4</v>
      </c>
      <c r="C75" s="80" t="s">
        <v>63</v>
      </c>
      <c r="D75" s="87">
        <f t="shared" si="68"/>
        <v>3.3000000000000003</v>
      </c>
      <c r="E75" s="111">
        <f t="shared" si="69"/>
        <v>3.7</v>
      </c>
      <c r="F75">
        <f t="shared" si="70"/>
        <v>4.3</v>
      </c>
      <c r="G75" s="90">
        <f t="shared" si="66"/>
        <v>4.7</v>
      </c>
      <c r="H75" s="89">
        <f t="shared" si="71"/>
        <v>3.4000000000000004</v>
      </c>
      <c r="I75">
        <f t="shared" si="64"/>
        <v>3.7</v>
      </c>
      <c r="J75">
        <f t="shared" si="65"/>
        <v>4.3</v>
      </c>
      <c r="K75" s="90">
        <f t="shared" si="67"/>
        <v>4.5999999999999996</v>
      </c>
    </row>
    <row r="76" spans="1:11" ht="15.75" thickBot="1" x14ac:dyDescent="0.3">
      <c r="A76" s="78" t="s">
        <v>42</v>
      </c>
      <c r="B76" s="79">
        <v>5</v>
      </c>
      <c r="C76" s="80" t="s">
        <v>64</v>
      </c>
      <c r="D76" s="91">
        <f t="shared" si="68"/>
        <v>4.3</v>
      </c>
      <c r="E76" s="92">
        <f t="shared" si="69"/>
        <v>4.7</v>
      </c>
      <c r="F76" s="93">
        <f t="shared" si="70"/>
        <v>5.3</v>
      </c>
      <c r="G76" s="96">
        <f t="shared" si="66"/>
        <v>5.7</v>
      </c>
      <c r="H76" s="95">
        <f t="shared" si="71"/>
        <v>4.4000000000000004</v>
      </c>
      <c r="I76" s="93">
        <f t="shared" si="64"/>
        <v>4.7</v>
      </c>
      <c r="J76" s="93">
        <f t="shared" si="65"/>
        <v>5.3</v>
      </c>
      <c r="K76" s="96">
        <f t="shared" si="67"/>
        <v>5.6</v>
      </c>
    </row>
    <row r="77" spans="1:11" x14ac:dyDescent="0.25">
      <c r="A77" s="1"/>
    </row>
    <row r="78" spans="1:11" ht="15.75" thickBot="1" x14ac:dyDescent="0.3">
      <c r="A78" s="1" t="s">
        <v>57</v>
      </c>
    </row>
    <row r="79" spans="1:11" x14ac:dyDescent="0.25">
      <c r="A79" s="1"/>
      <c r="B79" s="79">
        <v>0</v>
      </c>
      <c r="C79" s="80" t="s">
        <v>59</v>
      </c>
      <c r="D79" s="81">
        <v>0</v>
      </c>
      <c r="E79" s="82">
        <f>B79</f>
        <v>0</v>
      </c>
      <c r="F79" s="83">
        <f>B79+0.3</f>
        <v>0.3</v>
      </c>
      <c r="G79" s="86">
        <f>F79+0.4</f>
        <v>0.7</v>
      </c>
      <c r="H79" s="85">
        <v>0</v>
      </c>
      <c r="I79" s="83">
        <f t="shared" ref="I79:I84" si="72">E79</f>
        <v>0</v>
      </c>
      <c r="J79" s="83">
        <f t="shared" ref="J79:J84" si="73">F79</f>
        <v>0.3</v>
      </c>
      <c r="K79" s="86">
        <f>J79+0.3</f>
        <v>0.6</v>
      </c>
    </row>
    <row r="80" spans="1:11" x14ac:dyDescent="0.25">
      <c r="A80" s="78" t="s">
        <v>38</v>
      </c>
      <c r="B80" s="79">
        <v>1</v>
      </c>
      <c r="C80" s="80" t="s">
        <v>60</v>
      </c>
      <c r="D80" s="87">
        <f>E80-0.4</f>
        <v>0.29999999999999993</v>
      </c>
      <c r="E80" s="111">
        <f>B80-0.3</f>
        <v>0.7</v>
      </c>
      <c r="F80">
        <f>B80+0.3</f>
        <v>1.3</v>
      </c>
      <c r="G80" s="90">
        <f t="shared" ref="G80:G84" si="74">F80+0.4</f>
        <v>1.7000000000000002</v>
      </c>
      <c r="H80" s="89">
        <f>I80-0.3</f>
        <v>0.39999999999999997</v>
      </c>
      <c r="I80">
        <f t="shared" si="72"/>
        <v>0.7</v>
      </c>
      <c r="J80">
        <f t="shared" si="73"/>
        <v>1.3</v>
      </c>
      <c r="K80" s="90">
        <f t="shared" ref="K80:K84" si="75">J80+0.3</f>
        <v>1.6</v>
      </c>
    </row>
    <row r="81" spans="1:11" x14ac:dyDescent="0.25">
      <c r="A81" s="78" t="s">
        <v>39</v>
      </c>
      <c r="B81" s="79">
        <v>2</v>
      </c>
      <c r="C81" s="80" t="s">
        <v>61</v>
      </c>
      <c r="D81" s="87">
        <f t="shared" ref="D81:D84" si="76">E81-0.4</f>
        <v>1.2999999999999998</v>
      </c>
      <c r="E81" s="111">
        <f t="shared" ref="E81:E84" si="77">B81-0.3</f>
        <v>1.7</v>
      </c>
      <c r="F81">
        <f t="shared" ref="F81:F84" si="78">B81+0.3</f>
        <v>2.2999999999999998</v>
      </c>
      <c r="G81" s="90">
        <f t="shared" si="74"/>
        <v>2.6999999999999997</v>
      </c>
      <c r="H81" s="89">
        <f t="shared" ref="H81:H84" si="79">I81-0.3</f>
        <v>1.4</v>
      </c>
      <c r="I81">
        <f t="shared" si="72"/>
        <v>1.7</v>
      </c>
      <c r="J81">
        <f t="shared" si="73"/>
        <v>2.2999999999999998</v>
      </c>
      <c r="K81" s="90">
        <f t="shared" si="75"/>
        <v>2.5999999999999996</v>
      </c>
    </row>
    <row r="82" spans="1:11" x14ac:dyDescent="0.25">
      <c r="A82" s="78" t="s">
        <v>40</v>
      </c>
      <c r="B82" s="79">
        <v>3</v>
      </c>
      <c r="C82" s="80" t="s">
        <v>62</v>
      </c>
      <c r="D82" s="87">
        <f t="shared" si="76"/>
        <v>2.3000000000000003</v>
      </c>
      <c r="E82" s="111">
        <f t="shared" si="77"/>
        <v>2.7</v>
      </c>
      <c r="F82">
        <f t="shared" si="78"/>
        <v>3.3</v>
      </c>
      <c r="G82" s="90">
        <f t="shared" si="74"/>
        <v>3.6999999999999997</v>
      </c>
      <c r="H82" s="89">
        <f t="shared" si="79"/>
        <v>2.4000000000000004</v>
      </c>
      <c r="I82">
        <f t="shared" si="72"/>
        <v>2.7</v>
      </c>
      <c r="J82">
        <f t="shared" si="73"/>
        <v>3.3</v>
      </c>
      <c r="K82" s="90">
        <f t="shared" si="75"/>
        <v>3.5999999999999996</v>
      </c>
    </row>
    <row r="83" spans="1:11" x14ac:dyDescent="0.25">
      <c r="A83" s="78" t="s">
        <v>41</v>
      </c>
      <c r="B83" s="79">
        <v>4</v>
      </c>
      <c r="C83" s="80" t="s">
        <v>63</v>
      </c>
      <c r="D83" s="87">
        <f t="shared" si="76"/>
        <v>3.3000000000000003</v>
      </c>
      <c r="E83" s="111">
        <f t="shared" si="77"/>
        <v>3.7</v>
      </c>
      <c r="F83">
        <f t="shared" si="78"/>
        <v>4.3</v>
      </c>
      <c r="G83" s="90">
        <f t="shared" si="74"/>
        <v>4.7</v>
      </c>
      <c r="H83" s="89">
        <f t="shared" si="79"/>
        <v>3.4000000000000004</v>
      </c>
      <c r="I83">
        <f t="shared" si="72"/>
        <v>3.7</v>
      </c>
      <c r="J83">
        <f t="shared" si="73"/>
        <v>4.3</v>
      </c>
      <c r="K83" s="90">
        <f t="shared" si="75"/>
        <v>4.5999999999999996</v>
      </c>
    </row>
    <row r="84" spans="1:11" ht="15.75" thickBot="1" x14ac:dyDescent="0.3">
      <c r="A84" s="78" t="s">
        <v>42</v>
      </c>
      <c r="B84" s="79">
        <v>5</v>
      </c>
      <c r="C84" s="80" t="s">
        <v>64</v>
      </c>
      <c r="D84" s="91">
        <f t="shared" si="76"/>
        <v>4.3</v>
      </c>
      <c r="E84" s="92">
        <f t="shared" si="77"/>
        <v>4.7</v>
      </c>
      <c r="F84" s="93">
        <f t="shared" si="78"/>
        <v>5.3</v>
      </c>
      <c r="G84" s="96">
        <f t="shared" si="74"/>
        <v>5.7</v>
      </c>
      <c r="H84" s="95">
        <f t="shared" si="79"/>
        <v>4.4000000000000004</v>
      </c>
      <c r="I84" s="93">
        <f t="shared" si="72"/>
        <v>4.7</v>
      </c>
      <c r="J84" s="93">
        <f t="shared" si="73"/>
        <v>5.3</v>
      </c>
      <c r="K84" s="96">
        <f t="shared" si="75"/>
        <v>5.6</v>
      </c>
    </row>
    <row r="85" spans="1:11" x14ac:dyDescent="0.25">
      <c r="A85" s="1"/>
    </row>
    <row r="86" spans="1:11" ht="15.75" thickBot="1" x14ac:dyDescent="0.3">
      <c r="A86" s="1" t="s">
        <v>58</v>
      </c>
    </row>
    <row r="87" spans="1:11" x14ac:dyDescent="0.25">
      <c r="A87" s="1"/>
      <c r="B87" s="79">
        <v>0</v>
      </c>
      <c r="C87" s="80" t="s">
        <v>59</v>
      </c>
      <c r="D87" s="81">
        <v>0</v>
      </c>
      <c r="E87" s="82">
        <f>B87</f>
        <v>0</v>
      </c>
      <c r="F87" s="83">
        <f>B87+0.3</f>
        <v>0.3</v>
      </c>
      <c r="G87" s="86">
        <f>F87+0.4</f>
        <v>0.7</v>
      </c>
      <c r="H87" s="85">
        <v>0</v>
      </c>
      <c r="I87" s="83">
        <f t="shared" ref="I87:I92" si="80">E87</f>
        <v>0</v>
      </c>
      <c r="J87" s="83">
        <f t="shared" ref="J87:J92" si="81">F87</f>
        <v>0.3</v>
      </c>
      <c r="K87" s="86">
        <f>J87+0.3</f>
        <v>0.6</v>
      </c>
    </row>
    <row r="88" spans="1:11" x14ac:dyDescent="0.25">
      <c r="A88" s="78" t="s">
        <v>38</v>
      </c>
      <c r="B88" s="79">
        <v>1</v>
      </c>
      <c r="C88" s="80" t="s">
        <v>60</v>
      </c>
      <c r="D88" s="87">
        <f>E88-0.4</f>
        <v>0.29999999999999993</v>
      </c>
      <c r="E88" s="111">
        <f>B88-0.3</f>
        <v>0.7</v>
      </c>
      <c r="F88">
        <f>B88+0.3</f>
        <v>1.3</v>
      </c>
      <c r="G88" s="90">
        <f t="shared" ref="G88:G92" si="82">F88+0.4</f>
        <v>1.7000000000000002</v>
      </c>
      <c r="H88" s="89">
        <f>I88-0.3</f>
        <v>0.39999999999999997</v>
      </c>
      <c r="I88">
        <f t="shared" si="80"/>
        <v>0.7</v>
      </c>
      <c r="J88">
        <f t="shared" si="81"/>
        <v>1.3</v>
      </c>
      <c r="K88" s="90">
        <f t="shared" ref="K88:K92" si="83">J88+0.3</f>
        <v>1.6</v>
      </c>
    </row>
    <row r="89" spans="1:11" x14ac:dyDescent="0.25">
      <c r="A89" s="78" t="s">
        <v>39</v>
      </c>
      <c r="B89" s="79">
        <v>2</v>
      </c>
      <c r="C89" s="80" t="s">
        <v>61</v>
      </c>
      <c r="D89" s="87">
        <f t="shared" ref="D89:D92" si="84">E89-0.4</f>
        <v>1.2999999999999998</v>
      </c>
      <c r="E89" s="111">
        <f t="shared" ref="E89:E92" si="85">B89-0.3</f>
        <v>1.7</v>
      </c>
      <c r="F89">
        <f t="shared" ref="F89:F92" si="86">B89+0.3</f>
        <v>2.2999999999999998</v>
      </c>
      <c r="G89" s="90">
        <f t="shared" si="82"/>
        <v>2.6999999999999997</v>
      </c>
      <c r="H89" s="89">
        <f t="shared" ref="H89:H92" si="87">I89-0.3</f>
        <v>1.4</v>
      </c>
      <c r="I89">
        <f t="shared" si="80"/>
        <v>1.7</v>
      </c>
      <c r="J89">
        <f t="shared" si="81"/>
        <v>2.2999999999999998</v>
      </c>
      <c r="K89" s="90">
        <f t="shared" si="83"/>
        <v>2.5999999999999996</v>
      </c>
    </row>
    <row r="90" spans="1:11" x14ac:dyDescent="0.25">
      <c r="A90" s="78" t="s">
        <v>40</v>
      </c>
      <c r="B90" s="79">
        <v>3</v>
      </c>
      <c r="C90" s="80" t="s">
        <v>62</v>
      </c>
      <c r="D90" s="87">
        <f t="shared" si="84"/>
        <v>2.3000000000000003</v>
      </c>
      <c r="E90" s="111">
        <f t="shared" si="85"/>
        <v>2.7</v>
      </c>
      <c r="F90">
        <f t="shared" si="86"/>
        <v>3.3</v>
      </c>
      <c r="G90" s="90">
        <f t="shared" si="82"/>
        <v>3.6999999999999997</v>
      </c>
      <c r="H90" s="89">
        <f t="shared" si="87"/>
        <v>2.4000000000000004</v>
      </c>
      <c r="I90">
        <f t="shared" si="80"/>
        <v>2.7</v>
      </c>
      <c r="J90">
        <f t="shared" si="81"/>
        <v>3.3</v>
      </c>
      <c r="K90" s="90">
        <f t="shared" si="83"/>
        <v>3.5999999999999996</v>
      </c>
    </row>
    <row r="91" spans="1:11" x14ac:dyDescent="0.25">
      <c r="A91" s="78" t="s">
        <v>41</v>
      </c>
      <c r="B91" s="79">
        <v>4</v>
      </c>
      <c r="C91" s="80" t="s">
        <v>63</v>
      </c>
      <c r="D91" s="87">
        <f t="shared" si="84"/>
        <v>3.3000000000000003</v>
      </c>
      <c r="E91" s="111">
        <f t="shared" si="85"/>
        <v>3.7</v>
      </c>
      <c r="F91">
        <f t="shared" si="86"/>
        <v>4.3</v>
      </c>
      <c r="G91" s="90">
        <f t="shared" si="82"/>
        <v>4.7</v>
      </c>
      <c r="H91" s="89">
        <f t="shared" si="87"/>
        <v>3.4000000000000004</v>
      </c>
      <c r="I91">
        <f t="shared" si="80"/>
        <v>3.7</v>
      </c>
      <c r="J91">
        <f t="shared" si="81"/>
        <v>4.3</v>
      </c>
      <c r="K91" s="90">
        <f t="shared" si="83"/>
        <v>4.5999999999999996</v>
      </c>
    </row>
    <row r="92" spans="1:11" ht="15.75" thickBot="1" x14ac:dyDescent="0.3">
      <c r="A92" s="78" t="s">
        <v>42</v>
      </c>
      <c r="B92" s="79">
        <v>5</v>
      </c>
      <c r="C92" s="80" t="s">
        <v>64</v>
      </c>
      <c r="D92" s="91">
        <f t="shared" si="84"/>
        <v>4.3</v>
      </c>
      <c r="E92" s="92">
        <f t="shared" si="85"/>
        <v>4.7</v>
      </c>
      <c r="F92" s="93">
        <f t="shared" si="86"/>
        <v>5.3</v>
      </c>
      <c r="G92" s="96">
        <f t="shared" si="82"/>
        <v>5.7</v>
      </c>
      <c r="H92" s="95">
        <f t="shared" si="87"/>
        <v>4.4000000000000004</v>
      </c>
      <c r="I92" s="93">
        <f t="shared" si="80"/>
        <v>4.7</v>
      </c>
      <c r="J92" s="93">
        <f t="shared" si="81"/>
        <v>5.3</v>
      </c>
      <c r="K92" s="96">
        <f t="shared" si="83"/>
        <v>5.6</v>
      </c>
    </row>
    <row r="94" spans="1:11" x14ac:dyDescent="0.25">
      <c r="A94" s="77" t="s">
        <v>45</v>
      </c>
    </row>
    <row r="95" spans="1:11" x14ac:dyDescent="0.25">
      <c r="A95" s="77" t="s">
        <v>46</v>
      </c>
    </row>
    <row r="96" spans="1:11" x14ac:dyDescent="0.25">
      <c r="A96" s="77"/>
    </row>
    <row r="97" spans="1:1" x14ac:dyDescent="0.25">
      <c r="A97" s="78" t="s">
        <v>37</v>
      </c>
    </row>
    <row r="98" spans="1:1" x14ac:dyDescent="0.25">
      <c r="A98" s="78" t="s">
        <v>51</v>
      </c>
    </row>
    <row r="99" spans="1:1" x14ac:dyDescent="0.25">
      <c r="A99" s="78" t="s">
        <v>47</v>
      </c>
    </row>
    <row r="100" spans="1:1" x14ac:dyDescent="0.25">
      <c r="A100" s="78" t="s">
        <v>49</v>
      </c>
    </row>
    <row r="101" spans="1:1" x14ac:dyDescent="0.25">
      <c r="A101" s="78" t="s">
        <v>48</v>
      </c>
    </row>
    <row r="102" spans="1:1" x14ac:dyDescent="0.25">
      <c r="A102" s="7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RICE_четкая модель</vt:lpstr>
      <vt:lpstr>RICE_неч мод(трап_симм_формулы)</vt:lpstr>
      <vt:lpstr>Четкий MoSCoW</vt:lpstr>
      <vt:lpstr>Неч MoSCoW (трап_симм_формулы)</vt:lpstr>
      <vt:lpstr>RICE_неч мод (трапеции_вправо)</vt:lpstr>
      <vt:lpstr>RICE_неч мод (трап_симм_числа)</vt:lpstr>
      <vt:lpstr>Шкалы параметров_MoSCoW</vt:lpstr>
      <vt:lpstr>Шкалы параметров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Инна Понаровская</cp:lastModifiedBy>
  <dcterms:created xsi:type="dcterms:W3CDTF">2015-06-05T18:17:20Z</dcterms:created>
  <dcterms:modified xsi:type="dcterms:W3CDTF">2026-01-11T22:26:09Z</dcterms:modified>
</cp:coreProperties>
</file>