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AF582D40-312A-4CE5-9E2E-EB95E0939CB7}" xr6:coauthVersionLast="47" xr6:coauthVersionMax="47" xr10:uidLastSave="{00000000-0000-0000-0000-000000000000}"/>
  <bookViews>
    <workbookView xWindow="-120" yWindow="-120" windowWidth="20730" windowHeight="11040" tabRatio="844" xr2:uid="{00000000-000D-0000-FFFF-FFFF00000000}"/>
  </bookViews>
  <sheets>
    <sheet name="Сравнение оценок_формат" sheetId="26" r:id="rId1"/>
    <sheet name="Сравнение оценок" sheetId="25" r:id="rId2"/>
    <sheet name="Матрица_взаимосвязей_FR" sheetId="29" r:id="rId3"/>
    <sheet name="Fuzzy_MoSCoW_коллект_взвеш ср" sheetId="12" r:id="rId4"/>
    <sheet name="Fuzzy_MoSCoW_коллект_Hsu 1996" sheetId="23" r:id="rId5"/>
    <sheet name="Fuzzy_MoSCoW_коллект_Chen1998" sheetId="24" r:id="rId6"/>
    <sheet name="Fuzzy_MoSCoW_колл_Lu 2006" sheetId="22" r:id="rId7"/>
    <sheet name="Четкий MoSCoW_коллект_взвеш ср" sheetId="9" r:id="rId8"/>
    <sheet name="Четкий MoSCoW_коллект_Hsu 1996" sheetId="14" r:id="rId9"/>
    <sheet name="Четкий MoSCoW_коллект_Chen 1998" sheetId="19" r:id="rId10"/>
    <sheet name="Четкий MoSCoW_коллект_Lu 2006" sheetId="21" r:id="rId11"/>
    <sheet name="Fuzzy_RICE_один эксперт" sheetId="28" r:id="rId12"/>
    <sheet name="Четкий RICE_один эксперт" sheetId="27" r:id="rId13"/>
  </sheets>
  <definedNames>
    <definedName name="_Toc223326463" localSheetId="3">'Fuzzy_MoSCoW_коллект_взвеш ср'!$A$1</definedName>
    <definedName name="_Toc223326464" localSheetId="8">'Четкий MoSCoW_коллект_Hsu 1996'!$A$1</definedName>
    <definedName name="_Toc223326466" localSheetId="5">Fuzzy_MoSCoW_коллект_Chen1998!$A$1</definedName>
    <definedName name="_Toc223326467" localSheetId="6">'Fuzzy_MoSCoW_колл_Lu 2006'!$A$1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1" i="23" l="1"/>
  <c r="B248" i="23"/>
  <c r="I254" i="24" l="1"/>
  <c r="H254" i="24"/>
  <c r="B155" i="14"/>
  <c r="B161" i="14"/>
  <c r="K83" i="21"/>
  <c r="K82" i="21"/>
  <c r="K81" i="21"/>
  <c r="K80" i="21"/>
  <c r="K79" i="21"/>
  <c r="K78" i="21"/>
  <c r="K77" i="21"/>
  <c r="K76" i="21"/>
  <c r="K75" i="21"/>
  <c r="K74" i="21"/>
  <c r="K53" i="21"/>
  <c r="K52" i="21"/>
  <c r="K51" i="21"/>
  <c r="K50" i="21"/>
  <c r="K49" i="21"/>
  <c r="K48" i="21"/>
  <c r="K47" i="21"/>
  <c r="K46" i="21"/>
  <c r="K45" i="21"/>
  <c r="K44" i="21"/>
  <c r="K23" i="21"/>
  <c r="K22" i="21"/>
  <c r="K21" i="21"/>
  <c r="K20" i="21"/>
  <c r="K19" i="21"/>
  <c r="K18" i="21"/>
  <c r="K17" i="21"/>
  <c r="K16" i="21"/>
  <c r="K15" i="21"/>
  <c r="K14" i="21"/>
  <c r="K83" i="19"/>
  <c r="K82" i="19"/>
  <c r="K81" i="19"/>
  <c r="K80" i="19"/>
  <c r="K79" i="19"/>
  <c r="K78" i="19"/>
  <c r="K77" i="19"/>
  <c r="K76" i="19"/>
  <c r="K75" i="19"/>
  <c r="K74" i="19"/>
  <c r="K53" i="19"/>
  <c r="K52" i="19"/>
  <c r="K51" i="19"/>
  <c r="K50" i="19"/>
  <c r="K49" i="19"/>
  <c r="K48" i="19"/>
  <c r="K47" i="19"/>
  <c r="K46" i="19"/>
  <c r="K45" i="19"/>
  <c r="K44" i="19"/>
  <c r="K23" i="19"/>
  <c r="K22" i="19"/>
  <c r="K21" i="19"/>
  <c r="K20" i="19"/>
  <c r="K19" i="19"/>
  <c r="K18" i="19"/>
  <c r="K17" i="19"/>
  <c r="K16" i="19"/>
  <c r="K15" i="19"/>
  <c r="K14" i="19"/>
  <c r="D96" i="21"/>
  <c r="D95" i="21"/>
  <c r="D94" i="21"/>
  <c r="D36" i="21"/>
  <c r="D35" i="21"/>
  <c r="D34" i="21"/>
  <c r="D66" i="21"/>
  <c r="D65" i="21"/>
  <c r="D64" i="21"/>
  <c r="BN127" i="22"/>
  <c r="BM127" i="22"/>
  <c r="BL127" i="22"/>
  <c r="BK127" i="22"/>
  <c r="BJ127" i="22"/>
  <c r="BR127" i="22" s="1"/>
  <c r="BI127" i="22"/>
  <c r="BQ127" i="22" s="1"/>
  <c r="BT127" i="22" s="1"/>
  <c r="BH127" i="22"/>
  <c r="BP127" i="22" s="1"/>
  <c r="BG127" i="22"/>
  <c r="BO127" i="22" s="1"/>
  <c r="BN126" i="22"/>
  <c r="BM126" i="22"/>
  <c r="BL126" i="22"/>
  <c r="BK126" i="22"/>
  <c r="BJ126" i="22"/>
  <c r="BR126" i="22" s="1"/>
  <c r="BI126" i="22"/>
  <c r="BQ126" i="22" s="1"/>
  <c r="BT126" i="22" s="1"/>
  <c r="BH126" i="22"/>
  <c r="BP126" i="22" s="1"/>
  <c r="BG126" i="22"/>
  <c r="BO126" i="22" s="1"/>
  <c r="BN125" i="22"/>
  <c r="BM125" i="22"/>
  <c r="BL125" i="22"/>
  <c r="BK125" i="22"/>
  <c r="BJ125" i="22"/>
  <c r="BR125" i="22" s="1"/>
  <c r="BI125" i="22"/>
  <c r="BQ125" i="22" s="1"/>
  <c r="BT125" i="22" s="1"/>
  <c r="BH125" i="22"/>
  <c r="BP125" i="22" s="1"/>
  <c r="BG125" i="22"/>
  <c r="BO125" i="22" s="1"/>
  <c r="BN124" i="22"/>
  <c r="BM124" i="22"/>
  <c r="BL124" i="22"/>
  <c r="BK124" i="22"/>
  <c r="BJ124" i="22"/>
  <c r="BR124" i="22" s="1"/>
  <c r="BI124" i="22"/>
  <c r="BH124" i="22"/>
  <c r="BP124" i="22" s="1"/>
  <c r="BG124" i="22"/>
  <c r="BO124" i="22" s="1"/>
  <c r="BN123" i="22"/>
  <c r="BM123" i="22"/>
  <c r="BL123" i="22"/>
  <c r="BK123" i="22"/>
  <c r="BJ123" i="22"/>
  <c r="BR123" i="22" s="1"/>
  <c r="BI123" i="22"/>
  <c r="BQ123" i="22" s="1"/>
  <c r="BT123" i="22" s="1"/>
  <c r="BH123" i="22"/>
  <c r="BP123" i="22" s="1"/>
  <c r="BG123" i="22"/>
  <c r="BO123" i="22" s="1"/>
  <c r="BN122" i="22"/>
  <c r="BM122" i="22"/>
  <c r="BL122" i="22"/>
  <c r="BK122" i="22"/>
  <c r="BJ122" i="22"/>
  <c r="BR122" i="22" s="1"/>
  <c r="BI122" i="22"/>
  <c r="BQ122" i="22" s="1"/>
  <c r="BT122" i="22" s="1"/>
  <c r="BH122" i="22"/>
  <c r="BP122" i="22" s="1"/>
  <c r="BG122" i="22"/>
  <c r="BO122" i="22" s="1"/>
  <c r="BN121" i="22"/>
  <c r="BM121" i="22"/>
  <c r="BL121" i="22"/>
  <c r="BK121" i="22"/>
  <c r="BJ121" i="22"/>
  <c r="BR121" i="22" s="1"/>
  <c r="BI121" i="22"/>
  <c r="BQ121" i="22" s="1"/>
  <c r="BT121" i="22" s="1"/>
  <c r="BH121" i="22"/>
  <c r="BP121" i="22" s="1"/>
  <c r="BG121" i="22"/>
  <c r="BO121" i="22" s="1"/>
  <c r="BN120" i="22"/>
  <c r="BM120" i="22"/>
  <c r="BL120" i="22"/>
  <c r="BK120" i="22"/>
  <c r="BJ120" i="22"/>
  <c r="BR120" i="22" s="1"/>
  <c r="BI120" i="22"/>
  <c r="BQ120" i="22" s="1"/>
  <c r="BT120" i="22" s="1"/>
  <c r="BH120" i="22"/>
  <c r="BP120" i="22" s="1"/>
  <c r="BG120" i="22"/>
  <c r="BO120" i="22" s="1"/>
  <c r="BN119" i="22"/>
  <c r="BM119" i="22"/>
  <c r="BL119" i="22"/>
  <c r="BK119" i="22"/>
  <c r="BJ119" i="22"/>
  <c r="BR119" i="22" s="1"/>
  <c r="BI119" i="22"/>
  <c r="BQ119" i="22" s="1"/>
  <c r="BT119" i="22" s="1"/>
  <c r="BH119" i="22"/>
  <c r="BP119" i="22" s="1"/>
  <c r="BG119" i="22"/>
  <c r="BO119" i="22" s="1"/>
  <c r="BN118" i="22"/>
  <c r="BM118" i="22"/>
  <c r="BL118" i="22"/>
  <c r="BK118" i="22"/>
  <c r="BJ118" i="22"/>
  <c r="BR118" i="22" s="1"/>
  <c r="BI118" i="22"/>
  <c r="BQ118" i="22" s="1"/>
  <c r="BT118" i="22" s="1"/>
  <c r="BH118" i="22"/>
  <c r="BP118" i="22" s="1"/>
  <c r="BG118" i="22"/>
  <c r="BO118" i="22" s="1"/>
  <c r="BN75" i="22"/>
  <c r="BM75" i="22"/>
  <c r="BL75" i="22"/>
  <c r="BK75" i="22"/>
  <c r="BJ75" i="22"/>
  <c r="BR75" i="22" s="1"/>
  <c r="BI75" i="22"/>
  <c r="BQ75" i="22" s="1"/>
  <c r="BT75" i="22" s="1"/>
  <c r="BH75" i="22"/>
  <c r="BP75" i="22" s="1"/>
  <c r="BG75" i="22"/>
  <c r="BO75" i="22" s="1"/>
  <c r="BN74" i="22"/>
  <c r="BM74" i="22"/>
  <c r="BL74" i="22"/>
  <c r="BK74" i="22"/>
  <c r="BJ74" i="22"/>
  <c r="BR74" i="22" s="1"/>
  <c r="BI74" i="22"/>
  <c r="BQ74" i="22" s="1"/>
  <c r="BT74" i="22" s="1"/>
  <c r="BH74" i="22"/>
  <c r="BP74" i="22" s="1"/>
  <c r="BG74" i="22"/>
  <c r="BO74" i="22" s="1"/>
  <c r="BN73" i="22"/>
  <c r="BM73" i="22"/>
  <c r="BL73" i="22"/>
  <c r="BK73" i="22"/>
  <c r="BJ73" i="22"/>
  <c r="BR73" i="22" s="1"/>
  <c r="BI73" i="22"/>
  <c r="BQ73" i="22" s="1"/>
  <c r="BT73" i="22" s="1"/>
  <c r="BH73" i="22"/>
  <c r="BP73" i="22" s="1"/>
  <c r="BG73" i="22"/>
  <c r="BO73" i="22" s="1"/>
  <c r="BN72" i="22"/>
  <c r="BM72" i="22"/>
  <c r="BL72" i="22"/>
  <c r="BK72" i="22"/>
  <c r="BJ72" i="22"/>
  <c r="BR72" i="22" s="1"/>
  <c r="BI72" i="22"/>
  <c r="BQ72" i="22" s="1"/>
  <c r="BT72" i="22" s="1"/>
  <c r="BH72" i="22"/>
  <c r="BP72" i="22" s="1"/>
  <c r="BG72" i="22"/>
  <c r="BO72" i="22" s="1"/>
  <c r="BN71" i="22"/>
  <c r="BM71" i="22"/>
  <c r="BL71" i="22"/>
  <c r="BK71" i="22"/>
  <c r="BJ71" i="22"/>
  <c r="BR71" i="22" s="1"/>
  <c r="BI71" i="22"/>
  <c r="BQ71" i="22" s="1"/>
  <c r="BT71" i="22" s="1"/>
  <c r="BH71" i="22"/>
  <c r="BP71" i="22" s="1"/>
  <c r="BG71" i="22"/>
  <c r="BO71" i="22" s="1"/>
  <c r="BN70" i="22"/>
  <c r="BM70" i="22"/>
  <c r="BL70" i="22"/>
  <c r="BK70" i="22"/>
  <c r="BJ70" i="22"/>
  <c r="BR70" i="22" s="1"/>
  <c r="BI70" i="22"/>
  <c r="BQ70" i="22" s="1"/>
  <c r="BT70" i="22" s="1"/>
  <c r="BH70" i="22"/>
  <c r="BP70" i="22" s="1"/>
  <c r="BG70" i="22"/>
  <c r="BO70" i="22" s="1"/>
  <c r="BN69" i="22"/>
  <c r="BM69" i="22"/>
  <c r="BL69" i="22"/>
  <c r="BK69" i="22"/>
  <c r="BJ69" i="22"/>
  <c r="BR69" i="22" s="1"/>
  <c r="BI69" i="22"/>
  <c r="BQ69" i="22" s="1"/>
  <c r="BT69" i="22" s="1"/>
  <c r="BH69" i="22"/>
  <c r="BP69" i="22" s="1"/>
  <c r="BG69" i="22"/>
  <c r="BO69" i="22" s="1"/>
  <c r="BN68" i="22"/>
  <c r="BM68" i="22"/>
  <c r="BL68" i="22"/>
  <c r="BK68" i="22"/>
  <c r="BJ68" i="22"/>
  <c r="BR68" i="22" s="1"/>
  <c r="BI68" i="22"/>
  <c r="BQ68" i="22" s="1"/>
  <c r="BT68" i="22" s="1"/>
  <c r="BH68" i="22"/>
  <c r="BP68" i="22" s="1"/>
  <c r="BG68" i="22"/>
  <c r="BO68" i="22" s="1"/>
  <c r="BN67" i="22"/>
  <c r="BM67" i="22"/>
  <c r="BL67" i="22"/>
  <c r="BK67" i="22"/>
  <c r="BJ67" i="22"/>
  <c r="BR67" i="22" s="1"/>
  <c r="BI67" i="22"/>
  <c r="BQ67" i="22" s="1"/>
  <c r="BT67" i="22" s="1"/>
  <c r="BH67" i="22"/>
  <c r="BP67" i="22" s="1"/>
  <c r="BG67" i="22"/>
  <c r="BO67" i="22" s="1"/>
  <c r="BN66" i="22"/>
  <c r="BM66" i="22"/>
  <c r="BL66" i="22"/>
  <c r="BK66" i="22"/>
  <c r="BJ66" i="22"/>
  <c r="BR66" i="22" s="1"/>
  <c r="BI66" i="22"/>
  <c r="BQ66" i="22" s="1"/>
  <c r="BT66" i="22" s="1"/>
  <c r="BH66" i="22"/>
  <c r="BP66" i="22" s="1"/>
  <c r="BG66" i="22"/>
  <c r="BO66" i="22" s="1"/>
  <c r="BN23" i="22"/>
  <c r="BM23" i="22"/>
  <c r="BL23" i="22"/>
  <c r="BK23" i="22"/>
  <c r="BJ23" i="22"/>
  <c r="BR23" i="22" s="1"/>
  <c r="BI23" i="22"/>
  <c r="BQ23" i="22" s="1"/>
  <c r="BT23" i="22" s="1"/>
  <c r="BH23" i="22"/>
  <c r="BP23" i="22" s="1"/>
  <c r="BG23" i="22"/>
  <c r="BO23" i="22" s="1"/>
  <c r="BN22" i="22"/>
  <c r="BM22" i="22"/>
  <c r="BL22" i="22"/>
  <c r="BK22" i="22"/>
  <c r="BJ22" i="22"/>
  <c r="BR22" i="22" s="1"/>
  <c r="BI22" i="22"/>
  <c r="BQ22" i="22" s="1"/>
  <c r="BT22" i="22" s="1"/>
  <c r="BH22" i="22"/>
  <c r="BP22" i="22" s="1"/>
  <c r="BG22" i="22"/>
  <c r="BO22" i="22" s="1"/>
  <c r="BN21" i="22"/>
  <c r="BM21" i="22"/>
  <c r="BL21" i="22"/>
  <c r="BK21" i="22"/>
  <c r="BJ21" i="22"/>
  <c r="BR21" i="22" s="1"/>
  <c r="BI21" i="22"/>
  <c r="BQ21" i="22" s="1"/>
  <c r="BT21" i="22" s="1"/>
  <c r="BH21" i="22"/>
  <c r="BP21" i="22" s="1"/>
  <c r="BG21" i="22"/>
  <c r="BO21" i="22" s="1"/>
  <c r="BN20" i="22"/>
  <c r="BM20" i="22"/>
  <c r="BL20" i="22"/>
  <c r="BK20" i="22"/>
  <c r="BJ20" i="22"/>
  <c r="BR20" i="22" s="1"/>
  <c r="BI20" i="22"/>
  <c r="BQ20" i="22" s="1"/>
  <c r="BT20" i="22" s="1"/>
  <c r="BH20" i="22"/>
  <c r="BP20" i="22" s="1"/>
  <c r="BG20" i="22"/>
  <c r="BO20" i="22" s="1"/>
  <c r="BN19" i="22"/>
  <c r="BM19" i="22"/>
  <c r="BL19" i="22"/>
  <c r="BK19" i="22"/>
  <c r="BJ19" i="22"/>
  <c r="BR19" i="22" s="1"/>
  <c r="BI19" i="22"/>
  <c r="BQ19" i="22" s="1"/>
  <c r="BT19" i="22" s="1"/>
  <c r="BH19" i="22"/>
  <c r="BP19" i="22" s="1"/>
  <c r="BG19" i="22"/>
  <c r="BO19" i="22" s="1"/>
  <c r="BN18" i="22"/>
  <c r="BM18" i="22"/>
  <c r="BL18" i="22"/>
  <c r="BK18" i="22"/>
  <c r="BJ18" i="22"/>
  <c r="BR18" i="22" s="1"/>
  <c r="BI18" i="22"/>
  <c r="BQ18" i="22" s="1"/>
  <c r="BT18" i="22" s="1"/>
  <c r="BH18" i="22"/>
  <c r="BP18" i="22" s="1"/>
  <c r="BG18" i="22"/>
  <c r="BO18" i="22" s="1"/>
  <c r="BN17" i="22"/>
  <c r="BM17" i="22"/>
  <c r="BL17" i="22"/>
  <c r="BK17" i="22"/>
  <c r="BJ17" i="22"/>
  <c r="BR17" i="22" s="1"/>
  <c r="BI17" i="22"/>
  <c r="BQ17" i="22" s="1"/>
  <c r="BT17" i="22" s="1"/>
  <c r="BH17" i="22"/>
  <c r="BP17" i="22" s="1"/>
  <c r="BG17" i="22"/>
  <c r="BO17" i="22" s="1"/>
  <c r="BN16" i="22"/>
  <c r="BM16" i="22"/>
  <c r="BL16" i="22"/>
  <c r="BK16" i="22"/>
  <c r="BJ16" i="22"/>
  <c r="BR16" i="22" s="1"/>
  <c r="BI16" i="22"/>
  <c r="BQ16" i="22" s="1"/>
  <c r="BT16" i="22" s="1"/>
  <c r="BH16" i="22"/>
  <c r="BP16" i="22" s="1"/>
  <c r="BG16" i="22"/>
  <c r="BO16" i="22" s="1"/>
  <c r="BN15" i="22"/>
  <c r="BM15" i="22"/>
  <c r="BL15" i="22"/>
  <c r="BK15" i="22"/>
  <c r="BJ15" i="22"/>
  <c r="BR15" i="22" s="1"/>
  <c r="BI15" i="22"/>
  <c r="BQ15" i="22" s="1"/>
  <c r="BT15" i="22" s="1"/>
  <c r="BH15" i="22"/>
  <c r="BP15" i="22" s="1"/>
  <c r="BG15" i="22"/>
  <c r="BO15" i="22" s="1"/>
  <c r="BN14" i="22"/>
  <c r="BM14" i="22"/>
  <c r="BL14" i="22"/>
  <c r="BK14" i="22"/>
  <c r="BJ14" i="22"/>
  <c r="BR14" i="22" s="1"/>
  <c r="BI14" i="22"/>
  <c r="BQ14" i="22" s="1"/>
  <c r="BT14" i="22" s="1"/>
  <c r="BH14" i="22"/>
  <c r="BP14" i="22" s="1"/>
  <c r="BG14" i="22"/>
  <c r="BO14" i="22" s="1"/>
  <c r="K134" i="22"/>
  <c r="J134" i="22"/>
  <c r="K131" i="22"/>
  <c r="K82" i="22"/>
  <c r="J82" i="22"/>
  <c r="K79" i="22"/>
  <c r="K30" i="22"/>
  <c r="J30" i="22"/>
  <c r="K27" i="22"/>
  <c r="D147" i="22"/>
  <c r="D146" i="22"/>
  <c r="D145" i="22"/>
  <c r="D95" i="22"/>
  <c r="D94" i="22"/>
  <c r="D93" i="22"/>
  <c r="D43" i="22"/>
  <c r="D42" i="22"/>
  <c r="D41" i="22"/>
  <c r="C141" i="22"/>
  <c r="C140" i="22"/>
  <c r="C139" i="22"/>
  <c r="C138" i="22"/>
  <c r="C134" i="22"/>
  <c r="C133" i="22"/>
  <c r="C132" i="22"/>
  <c r="C131" i="22"/>
  <c r="F131" i="22" s="1"/>
  <c r="J131" i="22" s="1"/>
  <c r="C89" i="22"/>
  <c r="C88" i="22"/>
  <c r="C87" i="22"/>
  <c r="C86" i="22"/>
  <c r="C82" i="22"/>
  <c r="C81" i="22"/>
  <c r="C80" i="22"/>
  <c r="C79" i="22"/>
  <c r="F79" i="22" s="1"/>
  <c r="J79" i="22" s="1"/>
  <c r="C37" i="22"/>
  <c r="C36" i="22"/>
  <c r="C35" i="22"/>
  <c r="C34" i="22"/>
  <c r="C30" i="22"/>
  <c r="C29" i="22"/>
  <c r="C28" i="22"/>
  <c r="C27" i="22"/>
  <c r="F27" i="22" s="1"/>
  <c r="J27" i="22" s="1"/>
  <c r="D96" i="19"/>
  <c r="D95" i="19"/>
  <c r="D94" i="19"/>
  <c r="D66" i="19"/>
  <c r="D65" i="19"/>
  <c r="D64" i="19"/>
  <c r="D36" i="19"/>
  <c r="D35" i="19"/>
  <c r="D34" i="19"/>
  <c r="C127" i="19"/>
  <c r="C128" i="19"/>
  <c r="C126" i="19"/>
  <c r="E108" i="9"/>
  <c r="E109" i="9"/>
  <c r="E110" i="9"/>
  <c r="E111" i="9"/>
  <c r="E112" i="9"/>
  <c r="E113" i="9"/>
  <c r="E114" i="9"/>
  <c r="E115" i="9"/>
  <c r="E116" i="9"/>
  <c r="E107" i="9"/>
  <c r="C101" i="9"/>
  <c r="C102" i="9"/>
  <c r="C100" i="9"/>
  <c r="C103" i="9"/>
  <c r="B103" i="9"/>
  <c r="B129" i="19"/>
  <c r="C129" i="19"/>
  <c r="BN127" i="24"/>
  <c r="BM127" i="24"/>
  <c r="X316" i="24" s="1"/>
  <c r="BL127" i="24"/>
  <c r="W176" i="24" s="1"/>
  <c r="BK127" i="24"/>
  <c r="BJ127" i="24"/>
  <c r="BR127" i="24" s="1"/>
  <c r="BI127" i="24"/>
  <c r="BH127" i="24"/>
  <c r="BG127" i="24"/>
  <c r="BO127" i="24" s="1"/>
  <c r="BN126" i="24"/>
  <c r="BM126" i="24"/>
  <c r="BL126" i="24"/>
  <c r="W315" i="24" s="1"/>
  <c r="BK126" i="24"/>
  <c r="BJ126" i="24"/>
  <c r="BR126" i="24" s="1"/>
  <c r="BI126" i="24"/>
  <c r="BQ126" i="24" s="1"/>
  <c r="BT126" i="24" s="1"/>
  <c r="BH126" i="24"/>
  <c r="BG126" i="24"/>
  <c r="BO126" i="24" s="1"/>
  <c r="BN125" i="24"/>
  <c r="BM125" i="24"/>
  <c r="BL125" i="24"/>
  <c r="W314" i="24" s="1"/>
  <c r="BK125" i="24"/>
  <c r="V314" i="24" s="1"/>
  <c r="BJ125" i="24"/>
  <c r="BR125" i="24" s="1"/>
  <c r="BI125" i="24"/>
  <c r="BQ125" i="24" s="1"/>
  <c r="BT125" i="24" s="1"/>
  <c r="BH125" i="24"/>
  <c r="BP125" i="24" s="1"/>
  <c r="BG125" i="24"/>
  <c r="BN124" i="24"/>
  <c r="Y313" i="24" s="1"/>
  <c r="BM124" i="24"/>
  <c r="BL124" i="24"/>
  <c r="W313" i="24" s="1"/>
  <c r="BK124" i="24"/>
  <c r="BJ124" i="24"/>
  <c r="BI124" i="24"/>
  <c r="BQ124" i="24" s="1"/>
  <c r="BH124" i="24"/>
  <c r="BG124" i="24"/>
  <c r="BO124" i="24" s="1"/>
  <c r="BN123" i="24"/>
  <c r="Y172" i="24" s="1"/>
  <c r="BM123" i="24"/>
  <c r="X312" i="24" s="1"/>
  <c r="BL123" i="24"/>
  <c r="BK123" i="24"/>
  <c r="BJ123" i="24"/>
  <c r="BR123" i="24" s="1"/>
  <c r="BI123" i="24"/>
  <c r="BH123" i="24"/>
  <c r="BG123" i="24"/>
  <c r="BO123" i="24" s="1"/>
  <c r="BN122" i="24"/>
  <c r="BM122" i="24"/>
  <c r="BL122" i="24"/>
  <c r="W311" i="24" s="1"/>
  <c r="BK122" i="24"/>
  <c r="BJ122" i="24"/>
  <c r="BR122" i="24" s="1"/>
  <c r="BI122" i="24"/>
  <c r="BQ122" i="24" s="1"/>
  <c r="BT122" i="24" s="1"/>
  <c r="BH122" i="24"/>
  <c r="BG122" i="24"/>
  <c r="BO122" i="24" s="1"/>
  <c r="BN121" i="24"/>
  <c r="BM121" i="24"/>
  <c r="BL121" i="24"/>
  <c r="W310" i="24" s="1"/>
  <c r="BK121" i="24"/>
  <c r="V310" i="24" s="1"/>
  <c r="BJ121" i="24"/>
  <c r="BR121" i="24" s="1"/>
  <c r="BI121" i="24"/>
  <c r="BQ121" i="24" s="1"/>
  <c r="BT121" i="24" s="1"/>
  <c r="BH121" i="24"/>
  <c r="BP121" i="24" s="1"/>
  <c r="BG121" i="24"/>
  <c r="BN120" i="24"/>
  <c r="BM120" i="24"/>
  <c r="BL120" i="24"/>
  <c r="W309" i="24" s="1"/>
  <c r="BK120" i="24"/>
  <c r="BJ120" i="24"/>
  <c r="BR120" i="24" s="1"/>
  <c r="BI120" i="24"/>
  <c r="BQ120" i="24" s="1"/>
  <c r="BT120" i="24" s="1"/>
  <c r="BH120" i="24"/>
  <c r="BG120" i="24"/>
  <c r="BO120" i="24" s="1"/>
  <c r="BN119" i="24"/>
  <c r="BM119" i="24"/>
  <c r="BL119" i="24"/>
  <c r="W308" i="24" s="1"/>
  <c r="BK119" i="24"/>
  <c r="BJ119" i="24"/>
  <c r="BR119" i="24" s="1"/>
  <c r="BI119" i="24"/>
  <c r="BH119" i="24"/>
  <c r="BG119" i="24"/>
  <c r="BO119" i="24" s="1"/>
  <c r="BN118" i="24"/>
  <c r="BM118" i="24"/>
  <c r="BL118" i="24"/>
  <c r="W307" i="24" s="1"/>
  <c r="BK118" i="24"/>
  <c r="BJ118" i="24"/>
  <c r="BR118" i="24" s="1"/>
  <c r="BI118" i="24"/>
  <c r="BQ118" i="24" s="1"/>
  <c r="BT118" i="24" s="1"/>
  <c r="BH118" i="24"/>
  <c r="BG118" i="24"/>
  <c r="BO118" i="24" s="1"/>
  <c r="BN75" i="24"/>
  <c r="BM75" i="24"/>
  <c r="BL75" i="24"/>
  <c r="O316" i="24" s="1"/>
  <c r="BK75" i="24"/>
  <c r="BJ75" i="24"/>
  <c r="BR75" i="24" s="1"/>
  <c r="BI75" i="24"/>
  <c r="BQ75" i="24" s="1"/>
  <c r="BT75" i="24" s="1"/>
  <c r="BH75" i="24"/>
  <c r="BG75" i="24"/>
  <c r="BO75" i="24" s="1"/>
  <c r="BN74" i="24"/>
  <c r="Q175" i="24" s="1"/>
  <c r="BM74" i="24"/>
  <c r="BL74" i="24"/>
  <c r="O315" i="24" s="1"/>
  <c r="BK74" i="24"/>
  <c r="BJ74" i="24"/>
  <c r="BR74" i="24" s="1"/>
  <c r="BI74" i="24"/>
  <c r="BQ74" i="24" s="1"/>
  <c r="BT74" i="24" s="1"/>
  <c r="BH74" i="24"/>
  <c r="BG74" i="24"/>
  <c r="BO74" i="24" s="1"/>
  <c r="BN73" i="24"/>
  <c r="BM73" i="24"/>
  <c r="BL73" i="24"/>
  <c r="O314" i="24" s="1"/>
  <c r="BK73" i="24"/>
  <c r="BJ73" i="24"/>
  <c r="BR73" i="24" s="1"/>
  <c r="BI73" i="24"/>
  <c r="BQ73" i="24" s="1"/>
  <c r="BT73" i="24" s="1"/>
  <c r="BH73" i="24"/>
  <c r="BG73" i="24"/>
  <c r="BO73" i="24" s="1"/>
  <c r="BN72" i="24"/>
  <c r="BM72" i="24"/>
  <c r="BL72" i="24"/>
  <c r="O313" i="24" s="1"/>
  <c r="BK72" i="24"/>
  <c r="BJ72" i="24"/>
  <c r="BR72" i="24" s="1"/>
  <c r="BI72" i="24"/>
  <c r="BQ72" i="24" s="1"/>
  <c r="BT72" i="24" s="1"/>
  <c r="BH72" i="24"/>
  <c r="BG72" i="24"/>
  <c r="BO72" i="24" s="1"/>
  <c r="BN71" i="24"/>
  <c r="BM71" i="24"/>
  <c r="BL71" i="24"/>
  <c r="O312" i="24" s="1"/>
  <c r="BK71" i="24"/>
  <c r="BJ71" i="24"/>
  <c r="BR71" i="24" s="1"/>
  <c r="BI71" i="24"/>
  <c r="BQ71" i="24" s="1"/>
  <c r="BT71" i="24" s="1"/>
  <c r="BH71" i="24"/>
  <c r="BG71" i="24"/>
  <c r="BO71" i="24" s="1"/>
  <c r="BN70" i="24"/>
  <c r="BM70" i="24"/>
  <c r="BL70" i="24"/>
  <c r="O311" i="24" s="1"/>
  <c r="BK70" i="24"/>
  <c r="BJ70" i="24"/>
  <c r="BR70" i="24" s="1"/>
  <c r="BI70" i="24"/>
  <c r="BQ70" i="24" s="1"/>
  <c r="BT70" i="24" s="1"/>
  <c r="BH70" i="24"/>
  <c r="BG70" i="24"/>
  <c r="BO70" i="24" s="1"/>
  <c r="BN69" i="24"/>
  <c r="BM69" i="24"/>
  <c r="BL69" i="24"/>
  <c r="O310" i="24" s="1"/>
  <c r="BK69" i="24"/>
  <c r="BJ69" i="24"/>
  <c r="BR69" i="24" s="1"/>
  <c r="BI69" i="24"/>
  <c r="BQ69" i="24" s="1"/>
  <c r="BT69" i="24" s="1"/>
  <c r="BH69" i="24"/>
  <c r="BG69" i="24"/>
  <c r="BO69" i="24" s="1"/>
  <c r="BN68" i="24"/>
  <c r="BM68" i="24"/>
  <c r="BL68" i="24"/>
  <c r="O309" i="24" s="1"/>
  <c r="BK68" i="24"/>
  <c r="BJ68" i="24"/>
  <c r="BR68" i="24" s="1"/>
  <c r="BI68" i="24"/>
  <c r="BH68" i="24"/>
  <c r="BG68" i="24"/>
  <c r="BO68" i="24" s="1"/>
  <c r="BN67" i="24"/>
  <c r="BM67" i="24"/>
  <c r="BL67" i="24"/>
  <c r="O308" i="24" s="1"/>
  <c r="BK67" i="24"/>
  <c r="BJ67" i="24"/>
  <c r="BR67" i="24" s="1"/>
  <c r="BI67" i="24"/>
  <c r="BQ67" i="24" s="1"/>
  <c r="BT67" i="24" s="1"/>
  <c r="BH67" i="24"/>
  <c r="BG67" i="24"/>
  <c r="BO67" i="24" s="1"/>
  <c r="BN66" i="24"/>
  <c r="BM66" i="24"/>
  <c r="BL66" i="24"/>
  <c r="O307" i="24" s="1"/>
  <c r="BK66" i="24"/>
  <c r="BJ66" i="24"/>
  <c r="BR66" i="24" s="1"/>
  <c r="BI66" i="24"/>
  <c r="BH66" i="24"/>
  <c r="BG66" i="24"/>
  <c r="BO66" i="24" s="1"/>
  <c r="BN23" i="24"/>
  <c r="BM23" i="24"/>
  <c r="BL23" i="24"/>
  <c r="G316" i="24" s="1"/>
  <c r="BK23" i="24"/>
  <c r="BJ23" i="24"/>
  <c r="BR23" i="24" s="1"/>
  <c r="BI23" i="24"/>
  <c r="BQ23" i="24" s="1"/>
  <c r="BT23" i="24" s="1"/>
  <c r="BH23" i="24"/>
  <c r="BG23" i="24"/>
  <c r="BO23" i="24" s="1"/>
  <c r="BN22" i="24"/>
  <c r="BM22" i="24"/>
  <c r="BL22" i="24"/>
  <c r="G315" i="24" s="1"/>
  <c r="BK22" i="24"/>
  <c r="BJ22" i="24"/>
  <c r="BR22" i="24" s="1"/>
  <c r="BI22" i="24"/>
  <c r="BQ22" i="24" s="1"/>
  <c r="BT22" i="24" s="1"/>
  <c r="BH22" i="24"/>
  <c r="BG22" i="24"/>
  <c r="BO22" i="24" s="1"/>
  <c r="BN21" i="24"/>
  <c r="BM21" i="24"/>
  <c r="BL21" i="24"/>
  <c r="G314" i="24" s="1"/>
  <c r="BK21" i="24"/>
  <c r="BJ21" i="24"/>
  <c r="BR21" i="24" s="1"/>
  <c r="BI21" i="24"/>
  <c r="BQ21" i="24" s="1"/>
  <c r="BH21" i="24"/>
  <c r="BG21" i="24"/>
  <c r="BO21" i="24" s="1"/>
  <c r="BN20" i="24"/>
  <c r="BM20" i="24"/>
  <c r="BL20" i="24"/>
  <c r="G313" i="24" s="1"/>
  <c r="BK20" i="24"/>
  <c r="BJ20" i="24"/>
  <c r="BR20" i="24" s="1"/>
  <c r="BI20" i="24"/>
  <c r="BQ20" i="24" s="1"/>
  <c r="BT20" i="24" s="1"/>
  <c r="BH20" i="24"/>
  <c r="BG20" i="24"/>
  <c r="BO20" i="24" s="1"/>
  <c r="BN19" i="24"/>
  <c r="BM19" i="24"/>
  <c r="BL19" i="24"/>
  <c r="G312" i="24" s="1"/>
  <c r="BK19" i="24"/>
  <c r="BJ19" i="24"/>
  <c r="BR19" i="24" s="1"/>
  <c r="BI19" i="24"/>
  <c r="BQ19" i="24" s="1"/>
  <c r="BT19" i="24" s="1"/>
  <c r="BH19" i="24"/>
  <c r="BG19" i="24"/>
  <c r="BO19" i="24" s="1"/>
  <c r="BN18" i="24"/>
  <c r="BM18" i="24"/>
  <c r="BL18" i="24"/>
  <c r="G311" i="24" s="1"/>
  <c r="BK18" i="24"/>
  <c r="F171" i="24" s="1"/>
  <c r="BJ18" i="24"/>
  <c r="BR18" i="24" s="1"/>
  <c r="BI18" i="24"/>
  <c r="BQ18" i="24" s="1"/>
  <c r="BT18" i="24" s="1"/>
  <c r="BH18" i="24"/>
  <c r="BG18" i="24"/>
  <c r="BO18" i="24" s="1"/>
  <c r="BN17" i="24"/>
  <c r="BM17" i="24"/>
  <c r="BL17" i="24"/>
  <c r="G310" i="24" s="1"/>
  <c r="BK17" i="24"/>
  <c r="BJ17" i="24"/>
  <c r="BR17" i="24" s="1"/>
  <c r="BI17" i="24"/>
  <c r="BH17" i="24"/>
  <c r="BG17" i="24"/>
  <c r="BO17" i="24" s="1"/>
  <c r="BN16" i="24"/>
  <c r="BM16" i="24"/>
  <c r="BL16" i="24"/>
  <c r="G309" i="24" s="1"/>
  <c r="BK16" i="24"/>
  <c r="BJ16" i="24"/>
  <c r="BR16" i="24" s="1"/>
  <c r="BI16" i="24"/>
  <c r="BQ16" i="24" s="1"/>
  <c r="BT16" i="24" s="1"/>
  <c r="BH16" i="24"/>
  <c r="BG16" i="24"/>
  <c r="BO16" i="24" s="1"/>
  <c r="BN15" i="24"/>
  <c r="BM15" i="24"/>
  <c r="BL15" i="24"/>
  <c r="G308" i="24" s="1"/>
  <c r="BK15" i="24"/>
  <c r="BJ15" i="24"/>
  <c r="BR15" i="24" s="1"/>
  <c r="BI15" i="24"/>
  <c r="BH15" i="24"/>
  <c r="BG15" i="24"/>
  <c r="BO15" i="24" s="1"/>
  <c r="BN14" i="24"/>
  <c r="BM14" i="24"/>
  <c r="BL14" i="24"/>
  <c r="G307" i="24" s="1"/>
  <c r="BK14" i="24"/>
  <c r="BJ14" i="24"/>
  <c r="BR14" i="24" s="1"/>
  <c r="BI14" i="24"/>
  <c r="BQ14" i="24" s="1"/>
  <c r="BT14" i="24" s="1"/>
  <c r="BH14" i="24"/>
  <c r="BG14" i="24"/>
  <c r="BO14" i="24" s="1"/>
  <c r="D147" i="24"/>
  <c r="D146" i="24"/>
  <c r="D145" i="24"/>
  <c r="D95" i="24"/>
  <c r="D94" i="24"/>
  <c r="D93" i="24"/>
  <c r="D43" i="24"/>
  <c r="D42" i="24"/>
  <c r="D41" i="24"/>
  <c r="K134" i="24"/>
  <c r="J134" i="24"/>
  <c r="J162" i="24" s="1"/>
  <c r="K131" i="24"/>
  <c r="K82" i="24"/>
  <c r="K110" i="24" s="1"/>
  <c r="J82" i="24"/>
  <c r="I110" i="24" s="1"/>
  <c r="K79" i="24"/>
  <c r="K107" i="24" s="1"/>
  <c r="K30" i="24"/>
  <c r="J30" i="24"/>
  <c r="K27" i="24"/>
  <c r="C141" i="24"/>
  <c r="C140" i="24"/>
  <c r="C139" i="24"/>
  <c r="C138" i="24"/>
  <c r="C134" i="24"/>
  <c r="C133" i="24"/>
  <c r="C132" i="24"/>
  <c r="C131" i="24"/>
  <c r="F131" i="24" s="1"/>
  <c r="C89" i="24"/>
  <c r="C88" i="24"/>
  <c r="C87" i="24"/>
  <c r="C86" i="24"/>
  <c r="C82" i="24"/>
  <c r="C81" i="24"/>
  <c r="C80" i="24"/>
  <c r="C79" i="24"/>
  <c r="F79" i="24" s="1"/>
  <c r="C37" i="24"/>
  <c r="C36" i="24"/>
  <c r="C35" i="24"/>
  <c r="C34" i="24"/>
  <c r="C30" i="24"/>
  <c r="C29" i="24"/>
  <c r="C28" i="24"/>
  <c r="C27" i="24"/>
  <c r="F27" i="24" s="1"/>
  <c r="J27" i="24" s="1"/>
  <c r="D96" i="14"/>
  <c r="D95" i="14"/>
  <c r="D94" i="14"/>
  <c r="D65" i="14"/>
  <c r="D66" i="14"/>
  <c r="D64" i="14"/>
  <c r="D36" i="14"/>
  <c r="D35" i="14"/>
  <c r="D34" i="14"/>
  <c r="BN127" i="23"/>
  <c r="Y284" i="23" s="1"/>
  <c r="BM127" i="23"/>
  <c r="X284" i="23" s="1"/>
  <c r="BL127" i="23"/>
  <c r="W284" i="23" s="1"/>
  <c r="BK127" i="23"/>
  <c r="V284" i="23" s="1"/>
  <c r="BJ127" i="23"/>
  <c r="BR127" i="23" s="1"/>
  <c r="BI127" i="23"/>
  <c r="BQ127" i="23" s="1"/>
  <c r="BT127" i="23" s="1"/>
  <c r="BH127" i="23"/>
  <c r="BP127" i="23" s="1"/>
  <c r="BG127" i="23"/>
  <c r="BO127" i="23" s="1"/>
  <c r="BN126" i="23"/>
  <c r="Y283" i="23" s="1"/>
  <c r="BM126" i="23"/>
  <c r="X283" i="23" s="1"/>
  <c r="BL126" i="23"/>
  <c r="BK126" i="23"/>
  <c r="V283" i="23" s="1"/>
  <c r="BJ126" i="23"/>
  <c r="BR126" i="23" s="1"/>
  <c r="BI126" i="23"/>
  <c r="BQ126" i="23" s="1"/>
  <c r="BT126" i="23" s="1"/>
  <c r="BH126" i="23"/>
  <c r="BP126" i="23" s="1"/>
  <c r="BG126" i="23"/>
  <c r="BO126" i="23" s="1"/>
  <c r="BN125" i="23"/>
  <c r="Y282" i="23" s="1"/>
  <c r="BM125" i="23"/>
  <c r="X282" i="23" s="1"/>
  <c r="BL125" i="23"/>
  <c r="W282" i="23" s="1"/>
  <c r="BK125" i="23"/>
  <c r="BJ125" i="23"/>
  <c r="BR125" i="23" s="1"/>
  <c r="BI125" i="23"/>
  <c r="BQ125" i="23" s="1"/>
  <c r="BT125" i="23" s="1"/>
  <c r="BH125" i="23"/>
  <c r="BP125" i="23" s="1"/>
  <c r="BG125" i="23"/>
  <c r="BO125" i="23" s="1"/>
  <c r="BN124" i="23"/>
  <c r="Y281" i="23" s="1"/>
  <c r="BM124" i="23"/>
  <c r="X281" i="23" s="1"/>
  <c r="BL124" i="23"/>
  <c r="W281" i="23" s="1"/>
  <c r="BK124" i="23"/>
  <c r="V281" i="23" s="1"/>
  <c r="BJ124" i="23"/>
  <c r="BR124" i="23" s="1"/>
  <c r="BI124" i="23"/>
  <c r="BQ124" i="23" s="1"/>
  <c r="BT124" i="23" s="1"/>
  <c r="BH124" i="23"/>
  <c r="BP124" i="23" s="1"/>
  <c r="BG124" i="23"/>
  <c r="BO124" i="23" s="1"/>
  <c r="BN123" i="23"/>
  <c r="Y280" i="23" s="1"/>
  <c r="BM123" i="23"/>
  <c r="BL123" i="23"/>
  <c r="W280" i="23" s="1"/>
  <c r="BK123" i="23"/>
  <c r="V280" i="23" s="1"/>
  <c r="BJ123" i="23"/>
  <c r="BR123" i="23" s="1"/>
  <c r="BI123" i="23"/>
  <c r="BQ123" i="23" s="1"/>
  <c r="BT123" i="23" s="1"/>
  <c r="BH123" i="23"/>
  <c r="BP123" i="23" s="1"/>
  <c r="BG123" i="23"/>
  <c r="BO123" i="23" s="1"/>
  <c r="BN122" i="23"/>
  <c r="Y279" i="23" s="1"/>
  <c r="BM122" i="23"/>
  <c r="X279" i="23" s="1"/>
  <c r="BL122" i="23"/>
  <c r="BK122" i="23"/>
  <c r="V279" i="23" s="1"/>
  <c r="BJ122" i="23"/>
  <c r="BR122" i="23" s="1"/>
  <c r="BI122" i="23"/>
  <c r="BQ122" i="23" s="1"/>
  <c r="BT122" i="23" s="1"/>
  <c r="BH122" i="23"/>
  <c r="BP122" i="23" s="1"/>
  <c r="BG122" i="23"/>
  <c r="BO122" i="23" s="1"/>
  <c r="BN121" i="23"/>
  <c r="Y278" i="23" s="1"/>
  <c r="BM121" i="23"/>
  <c r="X278" i="23" s="1"/>
  <c r="BL121" i="23"/>
  <c r="W278" i="23" s="1"/>
  <c r="BK121" i="23"/>
  <c r="BJ121" i="23"/>
  <c r="BR121" i="23" s="1"/>
  <c r="BI121" i="23"/>
  <c r="BQ121" i="23" s="1"/>
  <c r="BT121" i="23" s="1"/>
  <c r="BH121" i="23"/>
  <c r="BP121" i="23" s="1"/>
  <c r="BG121" i="23"/>
  <c r="BO121" i="23" s="1"/>
  <c r="BN120" i="23"/>
  <c r="Y277" i="23" s="1"/>
  <c r="BM120" i="23"/>
  <c r="X277" i="23" s="1"/>
  <c r="BL120" i="23"/>
  <c r="W277" i="23" s="1"/>
  <c r="BK120" i="23"/>
  <c r="V277" i="23" s="1"/>
  <c r="BJ120" i="23"/>
  <c r="BR120" i="23" s="1"/>
  <c r="BI120" i="23"/>
  <c r="BQ120" i="23" s="1"/>
  <c r="BT120" i="23" s="1"/>
  <c r="BH120" i="23"/>
  <c r="BP120" i="23" s="1"/>
  <c r="BG120" i="23"/>
  <c r="BO120" i="23" s="1"/>
  <c r="BN119" i="23"/>
  <c r="Y276" i="23" s="1"/>
  <c r="BM119" i="23"/>
  <c r="BL119" i="23"/>
  <c r="W276" i="23" s="1"/>
  <c r="BK119" i="23"/>
  <c r="V276" i="23" s="1"/>
  <c r="BJ119" i="23"/>
  <c r="BR119" i="23" s="1"/>
  <c r="BI119" i="23"/>
  <c r="BQ119" i="23" s="1"/>
  <c r="BT119" i="23" s="1"/>
  <c r="BH119" i="23"/>
  <c r="BP119" i="23" s="1"/>
  <c r="BG119" i="23"/>
  <c r="BO119" i="23" s="1"/>
  <c r="BN118" i="23"/>
  <c r="Y275" i="23" s="1"/>
  <c r="BM118" i="23"/>
  <c r="X275" i="23" s="1"/>
  <c r="BL118" i="23"/>
  <c r="BK118" i="23"/>
  <c r="V275" i="23" s="1"/>
  <c r="BJ118" i="23"/>
  <c r="BR118" i="23" s="1"/>
  <c r="BI118" i="23"/>
  <c r="BQ118" i="23" s="1"/>
  <c r="BT118" i="23" s="1"/>
  <c r="BH118" i="23"/>
  <c r="BP118" i="23" s="1"/>
  <c r="BG118" i="23"/>
  <c r="BO118" i="23" s="1"/>
  <c r="BN75" i="23"/>
  <c r="Q284" i="23" s="1"/>
  <c r="BM75" i="23"/>
  <c r="P284" i="23" s="1"/>
  <c r="BL75" i="23"/>
  <c r="BK75" i="23"/>
  <c r="N284" i="23" s="1"/>
  <c r="BJ75" i="23"/>
  <c r="BI75" i="23"/>
  <c r="BH75" i="23"/>
  <c r="BP75" i="23" s="1"/>
  <c r="BG75" i="23"/>
  <c r="BN74" i="23"/>
  <c r="Q283" i="23" s="1"/>
  <c r="BM74" i="23"/>
  <c r="P283" i="23" s="1"/>
  <c r="BL74" i="23"/>
  <c r="O283" i="23" s="1"/>
  <c r="BK74" i="23"/>
  <c r="BJ74" i="23"/>
  <c r="BI74" i="23"/>
  <c r="BH74" i="23"/>
  <c r="BG74" i="23"/>
  <c r="BN73" i="23"/>
  <c r="Q282" i="23" s="1"/>
  <c r="BM73" i="23"/>
  <c r="P282" i="23" s="1"/>
  <c r="BL73" i="23"/>
  <c r="O282" i="23" s="1"/>
  <c r="BK73" i="23"/>
  <c r="N282" i="23" s="1"/>
  <c r="BJ73" i="23"/>
  <c r="BI73" i="23"/>
  <c r="BH73" i="23"/>
  <c r="BG73" i="23"/>
  <c r="BN72" i="23"/>
  <c r="Q281" i="23" s="1"/>
  <c r="BM72" i="23"/>
  <c r="BL72" i="23"/>
  <c r="O281" i="23" s="1"/>
  <c r="BK72" i="23"/>
  <c r="N281" i="23" s="1"/>
  <c r="BJ72" i="23"/>
  <c r="BI72" i="23"/>
  <c r="BQ72" i="23" s="1"/>
  <c r="BT72" i="23" s="1"/>
  <c r="BH72" i="23"/>
  <c r="BG72" i="23"/>
  <c r="BN71" i="23"/>
  <c r="Q280" i="23" s="1"/>
  <c r="BM71" i="23"/>
  <c r="P280" i="23" s="1"/>
  <c r="BL71" i="23"/>
  <c r="BK71" i="23"/>
  <c r="N280" i="23" s="1"/>
  <c r="BJ71" i="23"/>
  <c r="BI71" i="23"/>
  <c r="BH71" i="23"/>
  <c r="BP71" i="23" s="1"/>
  <c r="BG71" i="23"/>
  <c r="BN70" i="23"/>
  <c r="Q279" i="23" s="1"/>
  <c r="BM70" i="23"/>
  <c r="P279" i="23" s="1"/>
  <c r="BL70" i="23"/>
  <c r="O279" i="23" s="1"/>
  <c r="BK70" i="23"/>
  <c r="BJ70" i="23"/>
  <c r="BI70" i="23"/>
  <c r="BH70" i="23"/>
  <c r="BG70" i="23"/>
  <c r="BN69" i="23"/>
  <c r="Q278" i="23" s="1"/>
  <c r="BM69" i="23"/>
  <c r="P278" i="23" s="1"/>
  <c r="BL69" i="23"/>
  <c r="O278" i="23" s="1"/>
  <c r="BK69" i="23"/>
  <c r="N278" i="23" s="1"/>
  <c r="BJ69" i="23"/>
  <c r="BR69" i="23" s="1"/>
  <c r="BI69" i="23"/>
  <c r="BH69" i="23"/>
  <c r="BG69" i="23"/>
  <c r="BN68" i="23"/>
  <c r="Q277" i="23" s="1"/>
  <c r="BM68" i="23"/>
  <c r="BL68" i="23"/>
  <c r="O277" i="23" s="1"/>
  <c r="BK68" i="23"/>
  <c r="N277" i="23" s="1"/>
  <c r="BJ68" i="23"/>
  <c r="BI68" i="23"/>
  <c r="BQ68" i="23" s="1"/>
  <c r="BT68" i="23" s="1"/>
  <c r="BH68" i="23"/>
  <c r="BG68" i="23"/>
  <c r="BN67" i="23"/>
  <c r="Q276" i="23" s="1"/>
  <c r="BM67" i="23"/>
  <c r="P276" i="23" s="1"/>
  <c r="BL67" i="23"/>
  <c r="BK67" i="23"/>
  <c r="N276" i="23" s="1"/>
  <c r="BJ67" i="23"/>
  <c r="BI67" i="23"/>
  <c r="BH67" i="23"/>
  <c r="BP67" i="23" s="1"/>
  <c r="BG67" i="23"/>
  <c r="BN66" i="23"/>
  <c r="Q275" i="23" s="1"/>
  <c r="BM66" i="23"/>
  <c r="P275" i="23" s="1"/>
  <c r="BL66" i="23"/>
  <c r="O275" i="23" s="1"/>
  <c r="BK66" i="23"/>
  <c r="BJ66" i="23"/>
  <c r="BI66" i="23"/>
  <c r="BH66" i="23"/>
  <c r="BG66" i="23"/>
  <c r="BN23" i="23"/>
  <c r="I284" i="23" s="1"/>
  <c r="BM23" i="23"/>
  <c r="H284" i="23" s="1"/>
  <c r="BL23" i="23"/>
  <c r="G284" i="23" s="1"/>
  <c r="BK23" i="23"/>
  <c r="F284" i="23" s="1"/>
  <c r="BJ23" i="23"/>
  <c r="BR23" i="23" s="1"/>
  <c r="BI23" i="23"/>
  <c r="BQ23" i="23" s="1"/>
  <c r="BT23" i="23" s="1"/>
  <c r="BH23" i="23"/>
  <c r="BP23" i="23" s="1"/>
  <c r="BG23" i="23"/>
  <c r="BO23" i="23" s="1"/>
  <c r="BN22" i="23"/>
  <c r="I283" i="23" s="1"/>
  <c r="BM22" i="23"/>
  <c r="H283" i="23" s="1"/>
  <c r="BL22" i="23"/>
  <c r="G283" i="23" s="1"/>
  <c r="BK22" i="23"/>
  <c r="F283" i="23" s="1"/>
  <c r="BJ22" i="23"/>
  <c r="BR22" i="23" s="1"/>
  <c r="BI22" i="23"/>
  <c r="BQ22" i="23" s="1"/>
  <c r="BT22" i="23" s="1"/>
  <c r="BH22" i="23"/>
  <c r="BP22" i="23" s="1"/>
  <c r="BG22" i="23"/>
  <c r="BO22" i="23" s="1"/>
  <c r="BN21" i="23"/>
  <c r="I282" i="23" s="1"/>
  <c r="BM21" i="23"/>
  <c r="H282" i="23" s="1"/>
  <c r="BL21" i="23"/>
  <c r="G282" i="23" s="1"/>
  <c r="BK21" i="23"/>
  <c r="F282" i="23" s="1"/>
  <c r="BJ21" i="23"/>
  <c r="BR21" i="23" s="1"/>
  <c r="BI21" i="23"/>
  <c r="BQ21" i="23" s="1"/>
  <c r="BT21" i="23" s="1"/>
  <c r="BH21" i="23"/>
  <c r="BP21" i="23" s="1"/>
  <c r="BS21" i="23" s="1"/>
  <c r="BG21" i="23"/>
  <c r="BO21" i="23" s="1"/>
  <c r="BN20" i="23"/>
  <c r="I281" i="23" s="1"/>
  <c r="BM20" i="23"/>
  <c r="H281" i="23" s="1"/>
  <c r="BL20" i="23"/>
  <c r="G281" i="23" s="1"/>
  <c r="BK20" i="23"/>
  <c r="F281" i="23" s="1"/>
  <c r="BJ20" i="23"/>
  <c r="BR20" i="23" s="1"/>
  <c r="BI20" i="23"/>
  <c r="BQ20" i="23" s="1"/>
  <c r="BT20" i="23" s="1"/>
  <c r="BH20" i="23"/>
  <c r="BP20" i="23" s="1"/>
  <c r="BS20" i="23" s="1"/>
  <c r="BG20" i="23"/>
  <c r="BO20" i="23" s="1"/>
  <c r="BN19" i="23"/>
  <c r="I280" i="23" s="1"/>
  <c r="BM19" i="23"/>
  <c r="H280" i="23" s="1"/>
  <c r="BL19" i="23"/>
  <c r="G280" i="23" s="1"/>
  <c r="BK19" i="23"/>
  <c r="F280" i="23" s="1"/>
  <c r="BJ19" i="23"/>
  <c r="BR19" i="23" s="1"/>
  <c r="BI19" i="23"/>
  <c r="BQ19" i="23" s="1"/>
  <c r="BT19" i="23" s="1"/>
  <c r="BH19" i="23"/>
  <c r="BP19" i="23" s="1"/>
  <c r="BG19" i="23"/>
  <c r="BO19" i="23" s="1"/>
  <c r="BN18" i="23"/>
  <c r="I279" i="23" s="1"/>
  <c r="BM18" i="23"/>
  <c r="H279" i="23" s="1"/>
  <c r="BL18" i="23"/>
  <c r="G279" i="23" s="1"/>
  <c r="BK18" i="23"/>
  <c r="F279" i="23" s="1"/>
  <c r="BJ18" i="23"/>
  <c r="BR18" i="23" s="1"/>
  <c r="BI18" i="23"/>
  <c r="BQ18" i="23" s="1"/>
  <c r="BT18" i="23" s="1"/>
  <c r="BH18" i="23"/>
  <c r="BP18" i="23" s="1"/>
  <c r="BG18" i="23"/>
  <c r="BO18" i="23" s="1"/>
  <c r="BN17" i="23"/>
  <c r="I278" i="23" s="1"/>
  <c r="BM17" i="23"/>
  <c r="H278" i="23" s="1"/>
  <c r="BL17" i="23"/>
  <c r="G278" i="23" s="1"/>
  <c r="BK17" i="23"/>
  <c r="F278" i="23" s="1"/>
  <c r="BJ17" i="23"/>
  <c r="BR17" i="23" s="1"/>
  <c r="BI17" i="23"/>
  <c r="BQ17" i="23" s="1"/>
  <c r="BT17" i="23" s="1"/>
  <c r="BH17" i="23"/>
  <c r="BP17" i="23" s="1"/>
  <c r="BS17" i="23" s="1"/>
  <c r="BG17" i="23"/>
  <c r="BO17" i="23" s="1"/>
  <c r="BN16" i="23"/>
  <c r="I277" i="23" s="1"/>
  <c r="BM16" i="23"/>
  <c r="H277" i="23" s="1"/>
  <c r="BL16" i="23"/>
  <c r="G277" i="23" s="1"/>
  <c r="BK16" i="23"/>
  <c r="F277" i="23" s="1"/>
  <c r="BJ16" i="23"/>
  <c r="BR16" i="23" s="1"/>
  <c r="BI16" i="23"/>
  <c r="BQ16" i="23" s="1"/>
  <c r="BT16" i="23" s="1"/>
  <c r="BH16" i="23"/>
  <c r="BP16" i="23" s="1"/>
  <c r="BS16" i="23" s="1"/>
  <c r="BG16" i="23"/>
  <c r="BO16" i="23" s="1"/>
  <c r="BN15" i="23"/>
  <c r="I276" i="23" s="1"/>
  <c r="BM15" i="23"/>
  <c r="H276" i="23" s="1"/>
  <c r="BL15" i="23"/>
  <c r="G276" i="23" s="1"/>
  <c r="BK15" i="23"/>
  <c r="F276" i="23" s="1"/>
  <c r="BJ15" i="23"/>
  <c r="BR15" i="23" s="1"/>
  <c r="BI15" i="23"/>
  <c r="BQ15" i="23" s="1"/>
  <c r="BT15" i="23" s="1"/>
  <c r="BH15" i="23"/>
  <c r="BP15" i="23" s="1"/>
  <c r="BG15" i="23"/>
  <c r="BO15" i="23" s="1"/>
  <c r="BN14" i="23"/>
  <c r="I275" i="23" s="1"/>
  <c r="BM14" i="23"/>
  <c r="H275" i="23" s="1"/>
  <c r="BL14" i="23"/>
  <c r="G275" i="23" s="1"/>
  <c r="BK14" i="23"/>
  <c r="F275" i="23" s="1"/>
  <c r="BJ14" i="23"/>
  <c r="BR14" i="23" s="1"/>
  <c r="BI14" i="23"/>
  <c r="BQ14" i="23" s="1"/>
  <c r="BT14" i="23" s="1"/>
  <c r="BH14" i="23"/>
  <c r="BP14" i="23" s="1"/>
  <c r="BG14" i="23"/>
  <c r="BO14" i="23" s="1"/>
  <c r="K134" i="23"/>
  <c r="L162" i="23" s="1"/>
  <c r="J134" i="23"/>
  <c r="I162" i="23" s="1"/>
  <c r="K131" i="23"/>
  <c r="L159" i="23" s="1"/>
  <c r="K82" i="23"/>
  <c r="K110" i="23" s="1"/>
  <c r="J82" i="23"/>
  <c r="I110" i="23" s="1"/>
  <c r="K79" i="23"/>
  <c r="K30" i="23"/>
  <c r="L58" i="23" s="1"/>
  <c r="J30" i="23"/>
  <c r="I58" i="23" s="1"/>
  <c r="K27" i="23"/>
  <c r="L55" i="23" s="1"/>
  <c r="D147" i="23"/>
  <c r="D146" i="23"/>
  <c r="D145" i="23"/>
  <c r="D94" i="23"/>
  <c r="D95" i="23"/>
  <c r="D93" i="23"/>
  <c r="D43" i="23"/>
  <c r="D42" i="23"/>
  <c r="D41" i="23"/>
  <c r="C141" i="23"/>
  <c r="C140" i="23"/>
  <c r="C139" i="23"/>
  <c r="C138" i="23"/>
  <c r="C134" i="23"/>
  <c r="C133" i="23"/>
  <c r="C132" i="23"/>
  <c r="C131" i="23"/>
  <c r="F131" i="23" s="1"/>
  <c r="C89" i="23"/>
  <c r="C88" i="23"/>
  <c r="C87" i="23"/>
  <c r="C86" i="23"/>
  <c r="C82" i="23"/>
  <c r="C81" i="23"/>
  <c r="C80" i="23"/>
  <c r="C79" i="23"/>
  <c r="F79" i="23" s="1"/>
  <c r="C37" i="23"/>
  <c r="C36" i="23"/>
  <c r="C35" i="23"/>
  <c r="C34" i="23"/>
  <c r="C30" i="23"/>
  <c r="C29" i="23"/>
  <c r="C28" i="23"/>
  <c r="C27" i="23"/>
  <c r="F27" i="23" s="1"/>
  <c r="C140" i="12"/>
  <c r="C139" i="12"/>
  <c r="C138" i="12"/>
  <c r="C137" i="12"/>
  <c r="C133" i="12"/>
  <c r="C132" i="12"/>
  <c r="C131" i="12"/>
  <c r="C130" i="12"/>
  <c r="C88" i="12"/>
  <c r="C87" i="12"/>
  <c r="C86" i="12"/>
  <c r="C85" i="12"/>
  <c r="C81" i="12"/>
  <c r="C80" i="12"/>
  <c r="C79" i="12"/>
  <c r="C78" i="12"/>
  <c r="D95" i="9"/>
  <c r="D94" i="9"/>
  <c r="D93" i="9"/>
  <c r="D65" i="9"/>
  <c r="D64" i="9"/>
  <c r="D63" i="9"/>
  <c r="D35" i="9"/>
  <c r="D34" i="9"/>
  <c r="D33" i="9"/>
  <c r="K29" i="12"/>
  <c r="J29" i="12"/>
  <c r="K26" i="12"/>
  <c r="D42" i="12"/>
  <c r="D41" i="12"/>
  <c r="D40" i="12"/>
  <c r="D146" i="12"/>
  <c r="D145" i="12"/>
  <c r="D144" i="12"/>
  <c r="D93" i="12"/>
  <c r="D94" i="12"/>
  <c r="D92" i="12"/>
  <c r="K133" i="12"/>
  <c r="J133" i="12"/>
  <c r="K130" i="12"/>
  <c r="F130" i="12"/>
  <c r="J130" i="12" s="1"/>
  <c r="C34" i="12"/>
  <c r="C35" i="12"/>
  <c r="C36" i="12"/>
  <c r="C33" i="12"/>
  <c r="C27" i="12"/>
  <c r="C28" i="12"/>
  <c r="C29" i="12"/>
  <c r="C26" i="12"/>
  <c r="F26" i="12" s="1"/>
  <c r="J26" i="12" s="1"/>
  <c r="L44" i="28"/>
  <c r="M44" i="28"/>
  <c r="P44" i="28" s="1"/>
  <c r="N44" i="28"/>
  <c r="O44" i="28"/>
  <c r="L45" i="28"/>
  <c r="M45" i="28"/>
  <c r="P45" i="28" s="1"/>
  <c r="N45" i="28"/>
  <c r="O45" i="28"/>
  <c r="L46" i="28"/>
  <c r="M46" i="28"/>
  <c r="P46" i="28" s="1"/>
  <c r="N46" i="28"/>
  <c r="O46" i="28"/>
  <c r="L47" i="28"/>
  <c r="M47" i="28"/>
  <c r="P47" i="28" s="1"/>
  <c r="N47" i="28"/>
  <c r="O47" i="28"/>
  <c r="L48" i="28"/>
  <c r="M48" i="28"/>
  <c r="P48" i="28" s="1"/>
  <c r="N48" i="28"/>
  <c r="O48" i="28"/>
  <c r="L49" i="28"/>
  <c r="M49" i="28"/>
  <c r="P49" i="28" s="1"/>
  <c r="N49" i="28"/>
  <c r="O49" i="28"/>
  <c r="L50" i="28"/>
  <c r="M50" i="28"/>
  <c r="P50" i="28" s="1"/>
  <c r="N50" i="28"/>
  <c r="O50" i="28"/>
  <c r="L51" i="28"/>
  <c r="M51" i="28"/>
  <c r="P51" i="28" s="1"/>
  <c r="N51" i="28"/>
  <c r="O51" i="28"/>
  <c r="L52" i="28"/>
  <c r="M52" i="28"/>
  <c r="P52" i="28" s="1"/>
  <c r="N52" i="28"/>
  <c r="O52" i="28"/>
  <c r="E22" i="28"/>
  <c r="F22" i="28"/>
  <c r="G22" i="28"/>
  <c r="H22" i="28"/>
  <c r="I22" i="28"/>
  <c r="J22" i="28"/>
  <c r="K22" i="28"/>
  <c r="D22" i="28"/>
  <c r="E21" i="28"/>
  <c r="F21" i="28"/>
  <c r="G21" i="28"/>
  <c r="H21" i="28"/>
  <c r="I21" i="28"/>
  <c r="J21" i="28"/>
  <c r="K21" i="28"/>
  <c r="D21" i="28"/>
  <c r="E20" i="28"/>
  <c r="F20" i="28"/>
  <c r="G20" i="28"/>
  <c r="H20" i="28"/>
  <c r="I20" i="28"/>
  <c r="J20" i="28"/>
  <c r="K20" i="28"/>
  <c r="D20" i="28"/>
  <c r="E19" i="28"/>
  <c r="F19" i="28"/>
  <c r="G19" i="28"/>
  <c r="H19" i="28"/>
  <c r="I19" i="28"/>
  <c r="J19" i="28"/>
  <c r="K19" i="28"/>
  <c r="D19" i="28"/>
  <c r="G9" i="27"/>
  <c r="D27" i="27" s="1"/>
  <c r="G10" i="27"/>
  <c r="D26" i="27" s="1"/>
  <c r="G11" i="27"/>
  <c r="D22" i="27" s="1"/>
  <c r="G12" i="27"/>
  <c r="D28" i="27" s="1"/>
  <c r="G13" i="27"/>
  <c r="D30" i="27" s="1"/>
  <c r="G14" i="27"/>
  <c r="D29" i="27" s="1"/>
  <c r="E30" i="27" s="1"/>
  <c r="G15" i="27"/>
  <c r="D25" i="27" s="1"/>
  <c r="G16" i="27"/>
  <c r="D23" i="27" s="1"/>
  <c r="G17" i="27"/>
  <c r="D24" i="27" s="1"/>
  <c r="G8" i="27"/>
  <c r="D21" i="27" s="1"/>
  <c r="E22" i="27" s="1"/>
  <c r="B222" i="23"/>
  <c r="I245" i="24"/>
  <c r="D245" i="24"/>
  <c r="C188" i="24"/>
  <c r="C187" i="24"/>
  <c r="B183" i="24"/>
  <c r="C180" i="24" s="1"/>
  <c r="H162" i="24"/>
  <c r="G162" i="24"/>
  <c r="F162" i="24"/>
  <c r="E162" i="24"/>
  <c r="H159" i="24"/>
  <c r="G159" i="24"/>
  <c r="H158" i="24"/>
  <c r="G158" i="24"/>
  <c r="F158" i="24"/>
  <c r="E158" i="24"/>
  <c r="H155" i="24"/>
  <c r="G155" i="24"/>
  <c r="H154" i="24"/>
  <c r="G154" i="24"/>
  <c r="F154" i="24"/>
  <c r="E154" i="24"/>
  <c r="H151" i="24"/>
  <c r="G151" i="24"/>
  <c r="I127" i="24"/>
  <c r="H127" i="24"/>
  <c r="G127" i="24"/>
  <c r="I126" i="24"/>
  <c r="H126" i="24"/>
  <c r="G126" i="24"/>
  <c r="I125" i="24"/>
  <c r="H125" i="24"/>
  <c r="G125" i="24"/>
  <c r="I124" i="24"/>
  <c r="H124" i="24"/>
  <c r="G124" i="24"/>
  <c r="I123" i="24"/>
  <c r="H123" i="24"/>
  <c r="G123" i="24"/>
  <c r="I122" i="24"/>
  <c r="H122" i="24"/>
  <c r="G122" i="24"/>
  <c r="I121" i="24"/>
  <c r="H121" i="24"/>
  <c r="G121" i="24"/>
  <c r="I120" i="24"/>
  <c r="H120" i="24"/>
  <c r="G120" i="24"/>
  <c r="I119" i="24"/>
  <c r="H119" i="24"/>
  <c r="G119" i="24"/>
  <c r="I118" i="24"/>
  <c r="H118" i="24"/>
  <c r="G118" i="24"/>
  <c r="H110" i="24"/>
  <c r="G110" i="24"/>
  <c r="F110" i="24"/>
  <c r="E110" i="24"/>
  <c r="H107" i="24"/>
  <c r="G107" i="24"/>
  <c r="H106" i="24"/>
  <c r="G106" i="24"/>
  <c r="F106" i="24"/>
  <c r="E106" i="24"/>
  <c r="H103" i="24"/>
  <c r="G103" i="24"/>
  <c r="H102" i="24"/>
  <c r="G102" i="24"/>
  <c r="F102" i="24"/>
  <c r="E102" i="24"/>
  <c r="H99" i="24"/>
  <c r="G99" i="24"/>
  <c r="I75" i="24"/>
  <c r="H75" i="24"/>
  <c r="G75" i="24"/>
  <c r="I74" i="24"/>
  <c r="H74" i="24"/>
  <c r="G74" i="24"/>
  <c r="I73" i="24"/>
  <c r="H73" i="24"/>
  <c r="G73" i="24"/>
  <c r="I72" i="24"/>
  <c r="H72" i="24"/>
  <c r="G72" i="24"/>
  <c r="I71" i="24"/>
  <c r="H71" i="24"/>
  <c r="G71" i="24"/>
  <c r="I70" i="24"/>
  <c r="H70" i="24"/>
  <c r="G70" i="24"/>
  <c r="I69" i="24"/>
  <c r="H69" i="24"/>
  <c r="G69" i="24"/>
  <c r="I68" i="24"/>
  <c r="H68" i="24"/>
  <c r="G68" i="24"/>
  <c r="I67" i="24"/>
  <c r="H67" i="24"/>
  <c r="G67" i="24"/>
  <c r="I66" i="24"/>
  <c r="H66" i="24"/>
  <c r="G66" i="24"/>
  <c r="I23" i="24"/>
  <c r="H23" i="24"/>
  <c r="G23" i="24"/>
  <c r="I22" i="24"/>
  <c r="H22" i="24"/>
  <c r="G22" i="24"/>
  <c r="I21" i="24"/>
  <c r="H21" i="24"/>
  <c r="G21" i="24"/>
  <c r="I20" i="24"/>
  <c r="H20" i="24"/>
  <c r="G20" i="24"/>
  <c r="I19" i="24"/>
  <c r="H19" i="24"/>
  <c r="G19" i="24"/>
  <c r="I18" i="24"/>
  <c r="H18" i="24"/>
  <c r="G18" i="24"/>
  <c r="I17" i="24"/>
  <c r="H17" i="24"/>
  <c r="G17" i="24"/>
  <c r="I16" i="24"/>
  <c r="H16" i="24"/>
  <c r="G16" i="24"/>
  <c r="I15" i="24"/>
  <c r="H15" i="24"/>
  <c r="G15" i="24"/>
  <c r="I14" i="24"/>
  <c r="H14" i="24"/>
  <c r="G14" i="24"/>
  <c r="I231" i="23"/>
  <c r="H231" i="23"/>
  <c r="G231" i="23"/>
  <c r="D231" i="23"/>
  <c r="C231" i="23"/>
  <c r="B231" i="23"/>
  <c r="B244" i="23" s="1"/>
  <c r="I230" i="23"/>
  <c r="H230" i="23"/>
  <c r="G230" i="23"/>
  <c r="D230" i="23"/>
  <c r="D243" i="23" s="1"/>
  <c r="C230" i="23"/>
  <c r="B230" i="23"/>
  <c r="B243" i="23" s="1"/>
  <c r="I229" i="23"/>
  <c r="H229" i="23"/>
  <c r="G229" i="23"/>
  <c r="D229" i="23"/>
  <c r="C229" i="23"/>
  <c r="B229" i="23"/>
  <c r="B242" i="23" s="1"/>
  <c r="I228" i="23"/>
  <c r="H228" i="23"/>
  <c r="G228" i="23"/>
  <c r="D228" i="23"/>
  <c r="D241" i="23" s="1"/>
  <c r="C228" i="23"/>
  <c r="B228" i="23"/>
  <c r="I227" i="23"/>
  <c r="H227" i="23"/>
  <c r="G227" i="23"/>
  <c r="D227" i="23"/>
  <c r="D240" i="23" s="1"/>
  <c r="C227" i="23"/>
  <c r="B227" i="23"/>
  <c r="B240" i="23" s="1"/>
  <c r="I226" i="23"/>
  <c r="H226" i="23"/>
  <c r="G226" i="23"/>
  <c r="D226" i="23"/>
  <c r="D239" i="23" s="1"/>
  <c r="C226" i="23"/>
  <c r="B226" i="23"/>
  <c r="I225" i="23"/>
  <c r="H225" i="23"/>
  <c r="G225" i="23"/>
  <c r="D225" i="23"/>
  <c r="D238" i="23" s="1"/>
  <c r="C225" i="23"/>
  <c r="B225" i="23"/>
  <c r="B238" i="23" s="1"/>
  <c r="I224" i="23"/>
  <c r="H224" i="23"/>
  <c r="G224" i="23"/>
  <c r="D224" i="23"/>
  <c r="D237" i="23" s="1"/>
  <c r="C224" i="23"/>
  <c r="B224" i="23"/>
  <c r="I223" i="23"/>
  <c r="H223" i="23"/>
  <c r="G223" i="23"/>
  <c r="D223" i="23"/>
  <c r="D236" i="23" s="1"/>
  <c r="C223" i="23"/>
  <c r="B223" i="23"/>
  <c r="B236" i="23" s="1"/>
  <c r="I222" i="23"/>
  <c r="H222" i="23"/>
  <c r="G222" i="23"/>
  <c r="D222" i="23"/>
  <c r="D235" i="23" s="1"/>
  <c r="C222" i="23"/>
  <c r="B169" i="23"/>
  <c r="C168" i="23" s="1"/>
  <c r="H162" i="23"/>
  <c r="G162" i="23"/>
  <c r="F162" i="23"/>
  <c r="E162" i="23"/>
  <c r="H159" i="23"/>
  <c r="G159" i="23"/>
  <c r="H158" i="23"/>
  <c r="G158" i="23"/>
  <c r="F158" i="23"/>
  <c r="E158" i="23"/>
  <c r="H155" i="23"/>
  <c r="G155" i="23"/>
  <c r="H154" i="23"/>
  <c r="G154" i="23"/>
  <c r="F154" i="23"/>
  <c r="E154" i="23"/>
  <c r="H151" i="23"/>
  <c r="G151" i="23"/>
  <c r="I127" i="23"/>
  <c r="H127" i="23"/>
  <c r="G127" i="23"/>
  <c r="I126" i="23"/>
  <c r="H126" i="23"/>
  <c r="G126" i="23"/>
  <c r="I125" i="23"/>
  <c r="H125" i="23"/>
  <c r="G125" i="23"/>
  <c r="I124" i="23"/>
  <c r="H124" i="23"/>
  <c r="G124" i="23"/>
  <c r="I123" i="23"/>
  <c r="H123" i="23"/>
  <c r="G123" i="23"/>
  <c r="I122" i="23"/>
  <c r="H122" i="23"/>
  <c r="G122" i="23"/>
  <c r="I121" i="23"/>
  <c r="H121" i="23"/>
  <c r="G121" i="23"/>
  <c r="I120" i="23"/>
  <c r="H120" i="23"/>
  <c r="G120" i="23"/>
  <c r="I119" i="23"/>
  <c r="H119" i="23"/>
  <c r="G119" i="23"/>
  <c r="I118" i="23"/>
  <c r="H118" i="23"/>
  <c r="G118" i="23"/>
  <c r="H110" i="23"/>
  <c r="G110" i="23"/>
  <c r="F110" i="23"/>
  <c r="E110" i="23"/>
  <c r="H107" i="23"/>
  <c r="G107" i="23"/>
  <c r="H106" i="23"/>
  <c r="G106" i="23"/>
  <c r="F106" i="23"/>
  <c r="E106" i="23"/>
  <c r="H103" i="23"/>
  <c r="G103" i="23"/>
  <c r="H102" i="23"/>
  <c r="G102" i="23"/>
  <c r="F102" i="23"/>
  <c r="E102" i="23"/>
  <c r="H99" i="23"/>
  <c r="G99" i="23"/>
  <c r="I75" i="23"/>
  <c r="H75" i="23"/>
  <c r="G75" i="23"/>
  <c r="I74" i="23"/>
  <c r="H74" i="23"/>
  <c r="G74" i="23"/>
  <c r="I73" i="23"/>
  <c r="H73" i="23"/>
  <c r="G73" i="23"/>
  <c r="I72" i="23"/>
  <c r="H72" i="23"/>
  <c r="G72" i="23"/>
  <c r="I71" i="23"/>
  <c r="H71" i="23"/>
  <c r="G71" i="23"/>
  <c r="I70" i="23"/>
  <c r="H70" i="23"/>
  <c r="G70" i="23"/>
  <c r="I69" i="23"/>
  <c r="H69" i="23"/>
  <c r="G69" i="23"/>
  <c r="I68" i="23"/>
  <c r="H68" i="23"/>
  <c r="G68" i="23"/>
  <c r="I67" i="23"/>
  <c r="H67" i="23"/>
  <c r="G67" i="23"/>
  <c r="I66" i="23"/>
  <c r="H66" i="23"/>
  <c r="G66" i="23"/>
  <c r="H58" i="23"/>
  <c r="G58" i="23"/>
  <c r="F58" i="23"/>
  <c r="E58" i="23"/>
  <c r="H55" i="23"/>
  <c r="G55" i="23"/>
  <c r="H54" i="23"/>
  <c r="G54" i="23"/>
  <c r="F54" i="23"/>
  <c r="E54" i="23"/>
  <c r="H51" i="23"/>
  <c r="G51" i="23"/>
  <c r="H50" i="23"/>
  <c r="G50" i="23"/>
  <c r="F50" i="23"/>
  <c r="E50" i="23"/>
  <c r="H47" i="23"/>
  <c r="G47" i="23"/>
  <c r="I23" i="23"/>
  <c r="H23" i="23"/>
  <c r="G23" i="23"/>
  <c r="I22" i="23"/>
  <c r="H22" i="23"/>
  <c r="G22" i="23"/>
  <c r="I21" i="23"/>
  <c r="H21" i="23"/>
  <c r="G21" i="23"/>
  <c r="I20" i="23"/>
  <c r="H20" i="23"/>
  <c r="G20" i="23"/>
  <c r="I19" i="23"/>
  <c r="H19" i="23"/>
  <c r="G19" i="23"/>
  <c r="I18" i="23"/>
  <c r="H18" i="23"/>
  <c r="G18" i="23"/>
  <c r="I17" i="23"/>
  <c r="H17" i="23"/>
  <c r="G17" i="23"/>
  <c r="I16" i="23"/>
  <c r="H16" i="23"/>
  <c r="G16" i="23"/>
  <c r="I15" i="23"/>
  <c r="H15" i="23"/>
  <c r="G15" i="23"/>
  <c r="I14" i="23"/>
  <c r="H14" i="23"/>
  <c r="G14" i="23"/>
  <c r="BS17" i="22" l="1"/>
  <c r="BU17" i="22" s="1"/>
  <c r="BQ124" i="22"/>
  <c r="BT124" i="22" s="1"/>
  <c r="BS20" i="22"/>
  <c r="BU20" i="22" s="1"/>
  <c r="G141" i="22"/>
  <c r="F141" i="22"/>
  <c r="G140" i="22"/>
  <c r="F140" i="22"/>
  <c r="G139" i="22"/>
  <c r="F139" i="22"/>
  <c r="J139" i="22" s="1"/>
  <c r="I139" i="22" s="1"/>
  <c r="G138" i="22"/>
  <c r="F138" i="22"/>
  <c r="J138" i="22" s="1"/>
  <c r="F133" i="22"/>
  <c r="G133" i="22"/>
  <c r="G132" i="22"/>
  <c r="F132" i="22"/>
  <c r="J132" i="22" s="1"/>
  <c r="G89" i="22"/>
  <c r="F89" i="22"/>
  <c r="F88" i="22"/>
  <c r="G88" i="22"/>
  <c r="G87" i="22"/>
  <c r="F87" i="22"/>
  <c r="J87" i="22" s="1"/>
  <c r="I87" i="22" s="1"/>
  <c r="F86" i="22"/>
  <c r="J86" i="22" s="1"/>
  <c r="G86" i="22"/>
  <c r="F81" i="22"/>
  <c r="G81" i="22"/>
  <c r="F80" i="22"/>
  <c r="J80" i="22" s="1"/>
  <c r="G80" i="22"/>
  <c r="G37" i="22"/>
  <c r="F37" i="22"/>
  <c r="G36" i="22"/>
  <c r="F36" i="22"/>
  <c r="F35" i="22"/>
  <c r="J35" i="22" s="1"/>
  <c r="I35" i="22" s="1"/>
  <c r="G35" i="22"/>
  <c r="G34" i="22"/>
  <c r="F34" i="22"/>
  <c r="J34" i="22" s="1"/>
  <c r="F29" i="22"/>
  <c r="G29" i="22"/>
  <c r="G28" i="22"/>
  <c r="F28" i="22"/>
  <c r="J28" i="22" s="1"/>
  <c r="BS14" i="22"/>
  <c r="BU14" i="22" s="1"/>
  <c r="BS127" i="22"/>
  <c r="BU127" i="22" s="1"/>
  <c r="BS126" i="22"/>
  <c r="BU126" i="22" s="1"/>
  <c r="BS125" i="22"/>
  <c r="BU125" i="22" s="1"/>
  <c r="BS124" i="22"/>
  <c r="BU124" i="22" s="1"/>
  <c r="BS123" i="22"/>
  <c r="BU123" i="22" s="1"/>
  <c r="BS122" i="22"/>
  <c r="BU122" i="22" s="1"/>
  <c r="BV122" i="22" s="1"/>
  <c r="BS121" i="22"/>
  <c r="BU121" i="22" s="1"/>
  <c r="BS120" i="22"/>
  <c r="BU120" i="22" s="1"/>
  <c r="BV120" i="22" s="1"/>
  <c r="BS119" i="22"/>
  <c r="BU119" i="22" s="1"/>
  <c r="BV119" i="22" s="1"/>
  <c r="BS118" i="22"/>
  <c r="BU118" i="22" s="1"/>
  <c r="BS74" i="22"/>
  <c r="BU74" i="22" s="1"/>
  <c r="BS73" i="22"/>
  <c r="BU73" i="22" s="1"/>
  <c r="BV73" i="22" s="1"/>
  <c r="BS72" i="22"/>
  <c r="BU72" i="22" s="1"/>
  <c r="BS70" i="22"/>
  <c r="BU70" i="22" s="1"/>
  <c r="BV70" i="22" s="1"/>
  <c r="BS69" i="22"/>
  <c r="BU69" i="22" s="1"/>
  <c r="BS68" i="22"/>
  <c r="BU68" i="22" s="1"/>
  <c r="BV68" i="22" s="1"/>
  <c r="BS75" i="22"/>
  <c r="BU75" i="22" s="1"/>
  <c r="BS71" i="22"/>
  <c r="BU71" i="22" s="1"/>
  <c r="BS67" i="22"/>
  <c r="BU67" i="22" s="1"/>
  <c r="BV67" i="22" s="1"/>
  <c r="BS66" i="22"/>
  <c r="BU66" i="22" s="1"/>
  <c r="BS16" i="22"/>
  <c r="BU16" i="22" s="1"/>
  <c r="BV16" i="22" s="1"/>
  <c r="BV19" i="22"/>
  <c r="BV20" i="22"/>
  <c r="BV14" i="22"/>
  <c r="BV17" i="22"/>
  <c r="BS23" i="22"/>
  <c r="BU23" i="22" s="1"/>
  <c r="BS22" i="22"/>
  <c r="BU22" i="22" s="1"/>
  <c r="BS21" i="22"/>
  <c r="BU21" i="22" s="1"/>
  <c r="BS15" i="22"/>
  <c r="BU15" i="22" s="1"/>
  <c r="BV15" i="22" s="1"/>
  <c r="BS19" i="22"/>
  <c r="BU19" i="22" s="1"/>
  <c r="BS18" i="22"/>
  <c r="BU18" i="22" s="1"/>
  <c r="BV18" i="22" s="1"/>
  <c r="K141" i="22"/>
  <c r="L141" i="22" s="1"/>
  <c r="H141" i="22"/>
  <c r="K140" i="22"/>
  <c r="L140" i="22" s="1"/>
  <c r="H140" i="22"/>
  <c r="K139" i="22"/>
  <c r="L139" i="22" s="1"/>
  <c r="H139" i="22"/>
  <c r="K138" i="22"/>
  <c r="L138" i="22" s="1"/>
  <c r="H138" i="22"/>
  <c r="K133" i="22"/>
  <c r="L133" i="22" s="1"/>
  <c r="H133" i="22"/>
  <c r="K132" i="22"/>
  <c r="L132" i="22" s="1"/>
  <c r="H132" i="22"/>
  <c r="K89" i="22"/>
  <c r="L89" i="22" s="1"/>
  <c r="H89" i="22"/>
  <c r="J89" i="22"/>
  <c r="I89" i="22" s="1"/>
  <c r="E89" i="22"/>
  <c r="K88" i="22"/>
  <c r="L88" i="22" s="1"/>
  <c r="H88" i="22"/>
  <c r="K87" i="22"/>
  <c r="L87" i="22" s="1"/>
  <c r="H87" i="22"/>
  <c r="K86" i="22"/>
  <c r="L86" i="22" s="1"/>
  <c r="H86" i="22"/>
  <c r="H81" i="22"/>
  <c r="K81" i="22"/>
  <c r="L81" i="22" s="1"/>
  <c r="K80" i="22"/>
  <c r="L80" i="22" s="1"/>
  <c r="H80" i="22"/>
  <c r="K37" i="22"/>
  <c r="L37" i="22" s="1"/>
  <c r="H37" i="22"/>
  <c r="K36" i="22"/>
  <c r="L36" i="22" s="1"/>
  <c r="H36" i="22"/>
  <c r="H35" i="22"/>
  <c r="K35" i="22"/>
  <c r="L35" i="22" s="1"/>
  <c r="K34" i="22"/>
  <c r="L34" i="22" s="1"/>
  <c r="H34" i="22"/>
  <c r="H29" i="22"/>
  <c r="K29" i="22"/>
  <c r="L29" i="22" s="1"/>
  <c r="J29" i="22"/>
  <c r="I29" i="22" s="1"/>
  <c r="E29" i="22"/>
  <c r="K28" i="22"/>
  <c r="L28" i="22" s="1"/>
  <c r="H28" i="22"/>
  <c r="E25" i="27"/>
  <c r="E24" i="27"/>
  <c r="Q44" i="28"/>
  <c r="Q45" i="28"/>
  <c r="Q49" i="28"/>
  <c r="R49" i="28" s="1"/>
  <c r="Q46" i="28"/>
  <c r="Q47" i="28"/>
  <c r="R47" i="28" s="1"/>
  <c r="Q48" i="28"/>
  <c r="Q50" i="28"/>
  <c r="Q51" i="28"/>
  <c r="Q52" i="28"/>
  <c r="E25" i="28"/>
  <c r="E26" i="28" s="1"/>
  <c r="E27" i="28" s="1"/>
  <c r="E43" i="28" s="1"/>
  <c r="I25" i="28"/>
  <c r="I26" i="28" s="1"/>
  <c r="R44" i="28"/>
  <c r="E59" i="28" s="1"/>
  <c r="R45" i="28"/>
  <c r="R46" i="28"/>
  <c r="R48" i="28"/>
  <c r="R50" i="28"/>
  <c r="R51" i="28"/>
  <c r="E65" i="28" s="1"/>
  <c r="R52" i="28"/>
  <c r="F141" i="24"/>
  <c r="G141" i="24"/>
  <c r="F140" i="24"/>
  <c r="G140" i="24"/>
  <c r="G139" i="24"/>
  <c r="F139" i="24"/>
  <c r="J139" i="24" s="1"/>
  <c r="I139" i="24" s="1"/>
  <c r="F138" i="24"/>
  <c r="J138" i="24" s="1"/>
  <c r="G138" i="24"/>
  <c r="G133" i="24"/>
  <c r="F133" i="24"/>
  <c r="G132" i="24"/>
  <c r="F132" i="24"/>
  <c r="J131" i="24"/>
  <c r="F151" i="24"/>
  <c r="G89" i="24"/>
  <c r="F89" i="24"/>
  <c r="G88" i="24"/>
  <c r="F88" i="24"/>
  <c r="G87" i="24"/>
  <c r="F87" i="24"/>
  <c r="J87" i="24" s="1"/>
  <c r="I87" i="24" s="1"/>
  <c r="G86" i="24"/>
  <c r="F86" i="24"/>
  <c r="J86" i="24" s="1"/>
  <c r="F81" i="24"/>
  <c r="G81" i="24"/>
  <c r="G109" i="24" s="1"/>
  <c r="F80" i="24"/>
  <c r="F104" i="24" s="1"/>
  <c r="G80" i="24"/>
  <c r="G108" i="24" s="1"/>
  <c r="F107" i="24"/>
  <c r="J79" i="24"/>
  <c r="G37" i="24"/>
  <c r="F37" i="24"/>
  <c r="G36" i="24"/>
  <c r="F36" i="24"/>
  <c r="G35" i="24"/>
  <c r="F35" i="24"/>
  <c r="J35" i="24" s="1"/>
  <c r="I35" i="24" s="1"/>
  <c r="F34" i="24"/>
  <c r="J34" i="24" s="1"/>
  <c r="G34" i="24"/>
  <c r="G29" i="24"/>
  <c r="F29" i="24"/>
  <c r="F28" i="24"/>
  <c r="J28" i="24" s="1"/>
  <c r="G28" i="24"/>
  <c r="BQ127" i="24"/>
  <c r="BT127" i="24" s="1"/>
  <c r="T316" i="24"/>
  <c r="BP127" i="24"/>
  <c r="BS127" i="24" s="1"/>
  <c r="BU127" i="24" s="1"/>
  <c r="S316" i="24"/>
  <c r="BP126" i="24"/>
  <c r="BS126" i="24" s="1"/>
  <c r="BU126" i="24" s="1"/>
  <c r="S315" i="24"/>
  <c r="R314" i="24"/>
  <c r="BO125" i="24"/>
  <c r="BS125" i="24" s="1"/>
  <c r="BU125" i="24" s="1"/>
  <c r="U313" i="24"/>
  <c r="BR124" i="24"/>
  <c r="BT124" i="24" s="1"/>
  <c r="BP124" i="24"/>
  <c r="BS124" i="24" s="1"/>
  <c r="BU124" i="24" s="1"/>
  <c r="S313" i="24"/>
  <c r="BQ123" i="24"/>
  <c r="BT123" i="24" s="1"/>
  <c r="T312" i="24"/>
  <c r="S312" i="24"/>
  <c r="BP123" i="24"/>
  <c r="BS123" i="24" s="1"/>
  <c r="BU123" i="24" s="1"/>
  <c r="S311" i="24"/>
  <c r="BP122" i="24"/>
  <c r="BS122" i="24" s="1"/>
  <c r="BU122" i="24" s="1"/>
  <c r="BV122" i="24" s="1"/>
  <c r="R310" i="24"/>
  <c r="BO121" i="24"/>
  <c r="BS121" i="24" s="1"/>
  <c r="BU121" i="24" s="1"/>
  <c r="S309" i="24"/>
  <c r="BP120" i="24"/>
  <c r="BS120" i="24" s="1"/>
  <c r="BU120" i="24" s="1"/>
  <c r="BV120" i="24" s="1"/>
  <c r="T168" i="24"/>
  <c r="BQ119" i="24"/>
  <c r="BT119" i="24" s="1"/>
  <c r="S308" i="24"/>
  <c r="BP119" i="24"/>
  <c r="BS119" i="24" s="1"/>
  <c r="BU119" i="24" s="1"/>
  <c r="BV119" i="24" s="1"/>
  <c r="S307" i="24"/>
  <c r="BP118" i="24"/>
  <c r="BS118" i="24" s="1"/>
  <c r="BU118" i="24" s="1"/>
  <c r="BP75" i="24"/>
  <c r="BS75" i="24" s="1"/>
  <c r="BU75" i="24" s="1"/>
  <c r="K316" i="24"/>
  <c r="BP74" i="24"/>
  <c r="BS74" i="24" s="1"/>
  <c r="BU74" i="24" s="1"/>
  <c r="K315" i="24"/>
  <c r="BP73" i="24"/>
  <c r="BS73" i="24" s="1"/>
  <c r="BU73" i="24" s="1"/>
  <c r="K314" i="24"/>
  <c r="K313" i="24"/>
  <c r="BP72" i="24"/>
  <c r="BS72" i="24" s="1"/>
  <c r="BU72" i="24" s="1"/>
  <c r="BP71" i="24"/>
  <c r="BS71" i="24" s="1"/>
  <c r="BU71" i="24" s="1"/>
  <c r="K312" i="24"/>
  <c r="K311" i="24"/>
  <c r="BP70" i="24"/>
  <c r="BS70" i="24" s="1"/>
  <c r="BU70" i="24" s="1"/>
  <c r="BV70" i="24" s="1"/>
  <c r="BP69" i="24"/>
  <c r="BS69" i="24" s="1"/>
  <c r="BU69" i="24" s="1"/>
  <c r="K310" i="24"/>
  <c r="BQ68" i="24"/>
  <c r="BT68" i="24" s="1"/>
  <c r="L169" i="24"/>
  <c r="BP68" i="24"/>
  <c r="BS68" i="24" s="1"/>
  <c r="BU68" i="24" s="1"/>
  <c r="BV68" i="24" s="1"/>
  <c r="K309" i="24"/>
  <c r="BP67" i="24"/>
  <c r="BS67" i="24" s="1"/>
  <c r="BU67" i="24" s="1"/>
  <c r="BV67" i="24" s="1"/>
  <c r="K308" i="24"/>
  <c r="BQ66" i="24"/>
  <c r="BT66" i="24" s="1"/>
  <c r="L167" i="24"/>
  <c r="BP66" i="24"/>
  <c r="BS66" i="24" s="1"/>
  <c r="BU66" i="24" s="1"/>
  <c r="K307" i="24"/>
  <c r="BP23" i="24"/>
  <c r="BS23" i="24" s="1"/>
  <c r="BU23" i="24" s="1"/>
  <c r="C316" i="24"/>
  <c r="BP22" i="24"/>
  <c r="BS22" i="24" s="1"/>
  <c r="BU22" i="24" s="1"/>
  <c r="C315" i="24"/>
  <c r="BP21" i="24"/>
  <c r="BS21" i="24" s="1"/>
  <c r="C314" i="24"/>
  <c r="BP20" i="24"/>
  <c r="BS20" i="24" s="1"/>
  <c r="BU20" i="24" s="1"/>
  <c r="C313" i="24"/>
  <c r="C312" i="24"/>
  <c r="BP19" i="24"/>
  <c r="BS19" i="24" s="1"/>
  <c r="BU19" i="24" s="1"/>
  <c r="BP18" i="24"/>
  <c r="BS18" i="24" s="1"/>
  <c r="BU18" i="24" s="1"/>
  <c r="BV18" i="24" s="1"/>
  <c r="C311" i="24"/>
  <c r="D170" i="24"/>
  <c r="BQ17" i="24"/>
  <c r="BT17" i="24" s="1"/>
  <c r="C310" i="24"/>
  <c r="BP17" i="24"/>
  <c r="BS17" i="24" s="1"/>
  <c r="BU17" i="24" s="1"/>
  <c r="C309" i="24"/>
  <c r="BP16" i="24"/>
  <c r="BS16" i="24" s="1"/>
  <c r="BU16" i="24" s="1"/>
  <c r="BV16" i="24" s="1"/>
  <c r="BQ15" i="24"/>
  <c r="BT15" i="24" s="1"/>
  <c r="D168" i="24"/>
  <c r="C308" i="24"/>
  <c r="BP15" i="24"/>
  <c r="BS15" i="24" s="1"/>
  <c r="BU15" i="24" s="1"/>
  <c r="BV15" i="24" s="1"/>
  <c r="BP14" i="24"/>
  <c r="BS14" i="24" s="1"/>
  <c r="BU14" i="24" s="1"/>
  <c r="C307" i="24"/>
  <c r="BT21" i="24"/>
  <c r="K141" i="24"/>
  <c r="L141" i="24" s="1"/>
  <c r="H141" i="24"/>
  <c r="K140" i="24"/>
  <c r="L140" i="24" s="1"/>
  <c r="H140" i="24"/>
  <c r="K139" i="24"/>
  <c r="L139" i="24" s="1"/>
  <c r="H139" i="24"/>
  <c r="H133" i="24"/>
  <c r="G161" i="24"/>
  <c r="K133" i="24"/>
  <c r="J133" i="24"/>
  <c r="E133" i="24"/>
  <c r="E161" i="24" s="1"/>
  <c r="F161" i="24"/>
  <c r="H132" i="24"/>
  <c r="H152" i="24" s="1"/>
  <c r="K132" i="24"/>
  <c r="L132" i="24" s="1"/>
  <c r="F156" i="24"/>
  <c r="J132" i="24"/>
  <c r="K89" i="24"/>
  <c r="L89" i="24" s="1"/>
  <c r="H89" i="24"/>
  <c r="K88" i="24"/>
  <c r="L88" i="24" s="1"/>
  <c r="H88" i="24"/>
  <c r="K87" i="24"/>
  <c r="L87" i="24" s="1"/>
  <c r="H87" i="24"/>
  <c r="K86" i="24"/>
  <c r="L86" i="24" s="1"/>
  <c r="H86" i="24"/>
  <c r="K81" i="24"/>
  <c r="H81" i="24"/>
  <c r="K80" i="24"/>
  <c r="L80" i="24" s="1"/>
  <c r="H80" i="24"/>
  <c r="H104" i="24" s="1"/>
  <c r="K37" i="24"/>
  <c r="L37" i="24" s="1"/>
  <c r="H37" i="24"/>
  <c r="J37" i="24"/>
  <c r="I37" i="24" s="1"/>
  <c r="E37" i="24"/>
  <c r="K36" i="24"/>
  <c r="L36" i="24" s="1"/>
  <c r="H36" i="24"/>
  <c r="H35" i="24"/>
  <c r="K35" i="24"/>
  <c r="L35" i="24" s="1"/>
  <c r="K34" i="24"/>
  <c r="L34" i="24" s="1"/>
  <c r="H34" i="24"/>
  <c r="K29" i="24"/>
  <c r="L29" i="24" s="1"/>
  <c r="H29" i="24"/>
  <c r="K28" i="24"/>
  <c r="L28" i="24" s="1"/>
  <c r="H28" i="24"/>
  <c r="F57" i="24"/>
  <c r="G52" i="24"/>
  <c r="F56" i="24"/>
  <c r="F55" i="24"/>
  <c r="H57" i="24"/>
  <c r="G58" i="24"/>
  <c r="G55" i="24"/>
  <c r="F58" i="24"/>
  <c r="E58" i="24"/>
  <c r="G54" i="24"/>
  <c r="G51" i="24"/>
  <c r="H53" i="24"/>
  <c r="F54" i="24"/>
  <c r="E54" i="24"/>
  <c r="G50" i="24"/>
  <c r="G47" i="24"/>
  <c r="H49" i="24"/>
  <c r="F50" i="24"/>
  <c r="E50" i="24"/>
  <c r="BS126" i="23"/>
  <c r="BS125" i="23"/>
  <c r="BS124" i="23"/>
  <c r="BS123" i="23"/>
  <c r="BS122" i="23"/>
  <c r="BS121" i="23"/>
  <c r="BS120" i="23"/>
  <c r="BS118" i="23"/>
  <c r="BS23" i="23"/>
  <c r="BS22" i="23"/>
  <c r="BR75" i="23"/>
  <c r="M284" i="23"/>
  <c r="BQ75" i="23"/>
  <c r="BT75" i="23" s="1"/>
  <c r="L284" i="23"/>
  <c r="BO75" i="23"/>
  <c r="BS75" i="23" s="1"/>
  <c r="J284" i="23"/>
  <c r="BR74" i="23"/>
  <c r="M283" i="23"/>
  <c r="BQ74" i="23"/>
  <c r="BT74" i="23" s="1"/>
  <c r="L283" i="23"/>
  <c r="BP74" i="23"/>
  <c r="K283" i="23"/>
  <c r="BO74" i="23"/>
  <c r="J283" i="23"/>
  <c r="BR73" i="23"/>
  <c r="M282" i="23"/>
  <c r="BQ73" i="23"/>
  <c r="BT73" i="23" s="1"/>
  <c r="L282" i="23"/>
  <c r="BP73" i="23"/>
  <c r="K282" i="23"/>
  <c r="BO73" i="23"/>
  <c r="BS73" i="23" s="1"/>
  <c r="J282" i="23"/>
  <c r="BR72" i="23"/>
  <c r="M281" i="23"/>
  <c r="BP72" i="23"/>
  <c r="K281" i="23"/>
  <c r="BO72" i="23"/>
  <c r="BS72" i="23" s="1"/>
  <c r="J281" i="23"/>
  <c r="BR71" i="23"/>
  <c r="M280" i="23"/>
  <c r="BQ71" i="23"/>
  <c r="BT71" i="23" s="1"/>
  <c r="L280" i="23"/>
  <c r="BO71" i="23"/>
  <c r="BS71" i="23" s="1"/>
  <c r="J280" i="23"/>
  <c r="BR70" i="23"/>
  <c r="M279" i="23"/>
  <c r="BQ70" i="23"/>
  <c r="BT70" i="23" s="1"/>
  <c r="L279" i="23"/>
  <c r="BP70" i="23"/>
  <c r="K279" i="23"/>
  <c r="BO70" i="23"/>
  <c r="BS70" i="23" s="1"/>
  <c r="BU70" i="23" s="1"/>
  <c r="BV70" i="23" s="1"/>
  <c r="J279" i="23"/>
  <c r="BQ69" i="23"/>
  <c r="BT69" i="23" s="1"/>
  <c r="L278" i="23"/>
  <c r="BP69" i="23"/>
  <c r="K278" i="23"/>
  <c r="BO69" i="23"/>
  <c r="J278" i="23"/>
  <c r="BR68" i="23"/>
  <c r="M277" i="23"/>
  <c r="BP68" i="23"/>
  <c r="K277" i="23"/>
  <c r="BO68" i="23"/>
  <c r="BS68" i="23" s="1"/>
  <c r="J277" i="23"/>
  <c r="BR67" i="23"/>
  <c r="M276" i="23"/>
  <c r="BQ67" i="23"/>
  <c r="BT67" i="23" s="1"/>
  <c r="L276" i="23"/>
  <c r="BO67" i="23"/>
  <c r="BS67" i="23" s="1"/>
  <c r="BU67" i="23" s="1"/>
  <c r="BV67" i="23" s="1"/>
  <c r="J276" i="23"/>
  <c r="BR66" i="23"/>
  <c r="M275" i="23"/>
  <c r="BQ66" i="23"/>
  <c r="BT66" i="23" s="1"/>
  <c r="L275" i="23"/>
  <c r="BP66" i="23"/>
  <c r="K275" i="23"/>
  <c r="BO66" i="23"/>
  <c r="J275" i="23"/>
  <c r="BS127" i="23"/>
  <c r="BS19" i="23"/>
  <c r="BS18" i="23"/>
  <c r="BS15" i="23"/>
  <c r="BS119" i="23"/>
  <c r="BS69" i="23"/>
  <c r="BS74" i="23"/>
  <c r="BS66" i="23"/>
  <c r="BS14" i="23"/>
  <c r="BU14" i="23" s="1"/>
  <c r="U284" i="23"/>
  <c r="T284" i="23"/>
  <c r="S284" i="23"/>
  <c r="R284" i="23"/>
  <c r="U283" i="23"/>
  <c r="T283" i="23"/>
  <c r="R283" i="23"/>
  <c r="BU126" i="23"/>
  <c r="U282" i="23"/>
  <c r="T282" i="23"/>
  <c r="S282" i="23"/>
  <c r="R282" i="23"/>
  <c r="U281" i="23"/>
  <c r="T281" i="23"/>
  <c r="S281" i="23"/>
  <c r="R281" i="23"/>
  <c r="U280" i="23"/>
  <c r="S280" i="23"/>
  <c r="BU123" i="23"/>
  <c r="R280" i="23"/>
  <c r="U279" i="23"/>
  <c r="T279" i="23"/>
  <c r="R279" i="23"/>
  <c r="U278" i="23"/>
  <c r="T278" i="23"/>
  <c r="S278" i="23"/>
  <c r="R278" i="23"/>
  <c r="U277" i="23"/>
  <c r="T277" i="23"/>
  <c r="S277" i="23"/>
  <c r="BU120" i="23"/>
  <c r="BV120" i="23" s="1"/>
  <c r="R277" i="23"/>
  <c r="U276" i="23"/>
  <c r="S276" i="23"/>
  <c r="R276" i="23"/>
  <c r="U275" i="23"/>
  <c r="T275" i="23"/>
  <c r="R275" i="23"/>
  <c r="BU118" i="23"/>
  <c r="BU75" i="23"/>
  <c r="BU74" i="23"/>
  <c r="BU73" i="23"/>
  <c r="BU72" i="23"/>
  <c r="BU71" i="23"/>
  <c r="BU69" i="23"/>
  <c r="BU68" i="23"/>
  <c r="BV68" i="23" s="1"/>
  <c r="BU66" i="23"/>
  <c r="E284" i="23"/>
  <c r="D284" i="23"/>
  <c r="C284" i="23"/>
  <c r="B284" i="23"/>
  <c r="E283" i="23"/>
  <c r="D283" i="23"/>
  <c r="C283" i="23"/>
  <c r="B283" i="23"/>
  <c r="E282" i="23"/>
  <c r="D282" i="23"/>
  <c r="C282" i="23"/>
  <c r="B282" i="23"/>
  <c r="E281" i="23"/>
  <c r="D281" i="23"/>
  <c r="C281" i="23"/>
  <c r="B281" i="23"/>
  <c r="E280" i="23"/>
  <c r="D280" i="23"/>
  <c r="C280" i="23"/>
  <c r="B280" i="23"/>
  <c r="E279" i="23"/>
  <c r="D279" i="23"/>
  <c r="C279" i="23"/>
  <c r="B279" i="23"/>
  <c r="E278" i="23"/>
  <c r="D278" i="23"/>
  <c r="BU17" i="23"/>
  <c r="C278" i="23"/>
  <c r="B278" i="23"/>
  <c r="E277" i="23"/>
  <c r="D277" i="23"/>
  <c r="C277" i="23"/>
  <c r="B277" i="23"/>
  <c r="E276" i="23"/>
  <c r="D276" i="23"/>
  <c r="C276" i="23"/>
  <c r="B276" i="23"/>
  <c r="E275" i="23"/>
  <c r="D275" i="23"/>
  <c r="C275" i="23"/>
  <c r="B275" i="23"/>
  <c r="G141" i="23"/>
  <c r="F141" i="23"/>
  <c r="G140" i="23"/>
  <c r="F140" i="23"/>
  <c r="G139" i="23"/>
  <c r="F139" i="23"/>
  <c r="J139" i="23" s="1"/>
  <c r="I139" i="23" s="1"/>
  <c r="G138" i="23"/>
  <c r="F138" i="23"/>
  <c r="J138" i="23" s="1"/>
  <c r="G133" i="23"/>
  <c r="F133" i="23"/>
  <c r="G132" i="23"/>
  <c r="F132" i="23"/>
  <c r="E151" i="23"/>
  <c r="J131" i="23"/>
  <c r="I159" i="23" s="1"/>
  <c r="G89" i="23"/>
  <c r="F89" i="23"/>
  <c r="G88" i="23"/>
  <c r="F88" i="23"/>
  <c r="G87" i="23"/>
  <c r="F87" i="23"/>
  <c r="J87" i="23" s="1"/>
  <c r="I87" i="23" s="1"/>
  <c r="G86" i="23"/>
  <c r="F86" i="23"/>
  <c r="J86" i="23" s="1"/>
  <c r="G81" i="23"/>
  <c r="F81" i="23"/>
  <c r="G80" i="23"/>
  <c r="F80" i="23"/>
  <c r="E104" i="23" s="1"/>
  <c r="J79" i="23"/>
  <c r="I103" i="23" s="1"/>
  <c r="E107" i="23"/>
  <c r="G37" i="23"/>
  <c r="F37" i="23"/>
  <c r="G36" i="23"/>
  <c r="F36" i="23"/>
  <c r="G35" i="23"/>
  <c r="F35" i="23"/>
  <c r="J35" i="23" s="1"/>
  <c r="I35" i="23" s="1"/>
  <c r="G34" i="23"/>
  <c r="F34" i="23"/>
  <c r="J34" i="23" s="1"/>
  <c r="F29" i="23"/>
  <c r="G29" i="23"/>
  <c r="G28" i="23"/>
  <c r="F28" i="23"/>
  <c r="F55" i="23"/>
  <c r="J27" i="23"/>
  <c r="K141" i="23"/>
  <c r="L141" i="23" s="1"/>
  <c r="H141" i="23"/>
  <c r="J141" i="23"/>
  <c r="I141" i="23" s="1"/>
  <c r="E141" i="23"/>
  <c r="H140" i="23"/>
  <c r="K140" i="23"/>
  <c r="L140" i="23" s="1"/>
  <c r="K139" i="23"/>
  <c r="L139" i="23" s="1"/>
  <c r="H139" i="23"/>
  <c r="H138" i="23"/>
  <c r="K138" i="23"/>
  <c r="L138" i="23" s="1"/>
  <c r="K133" i="23"/>
  <c r="H133" i="23"/>
  <c r="K132" i="23"/>
  <c r="H132" i="23"/>
  <c r="H160" i="23" s="1"/>
  <c r="K89" i="23"/>
  <c r="L89" i="23" s="1"/>
  <c r="H89" i="23"/>
  <c r="K88" i="23"/>
  <c r="L88" i="23" s="1"/>
  <c r="H88" i="23"/>
  <c r="K87" i="23"/>
  <c r="L87" i="23" s="1"/>
  <c r="H87" i="23"/>
  <c r="K86" i="23"/>
  <c r="L86" i="23" s="1"/>
  <c r="H86" i="23"/>
  <c r="K81" i="23"/>
  <c r="H81" i="23"/>
  <c r="G109" i="23"/>
  <c r="J81" i="23"/>
  <c r="I81" i="23" s="1"/>
  <c r="E81" i="23"/>
  <c r="F105" i="23"/>
  <c r="K80" i="23"/>
  <c r="L80" i="23" s="1"/>
  <c r="H80" i="23"/>
  <c r="H108" i="23" s="1"/>
  <c r="G108" i="23"/>
  <c r="E108" i="23"/>
  <c r="J80" i="23"/>
  <c r="I108" i="23" s="1"/>
  <c r="K37" i="23"/>
  <c r="L37" i="23" s="1"/>
  <c r="H37" i="23"/>
  <c r="K36" i="23"/>
  <c r="L36" i="23" s="1"/>
  <c r="H36" i="23"/>
  <c r="K35" i="23"/>
  <c r="L35" i="23" s="1"/>
  <c r="H35" i="23"/>
  <c r="K34" i="23"/>
  <c r="L34" i="23" s="1"/>
  <c r="H34" i="23"/>
  <c r="K29" i="23"/>
  <c r="H29" i="23"/>
  <c r="K28" i="23"/>
  <c r="L28" i="23" s="1"/>
  <c r="H28" i="23"/>
  <c r="J28" i="23"/>
  <c r="I52" i="23" s="1"/>
  <c r="F56" i="23"/>
  <c r="G34" i="12"/>
  <c r="F34" i="12"/>
  <c r="J34" i="12" s="1"/>
  <c r="I34" i="12" s="1"/>
  <c r="G35" i="12"/>
  <c r="F35" i="12"/>
  <c r="F36" i="12"/>
  <c r="G36" i="12"/>
  <c r="F33" i="12"/>
  <c r="J33" i="12" s="1"/>
  <c r="G33" i="12"/>
  <c r="G27" i="12"/>
  <c r="F27" i="12"/>
  <c r="J27" i="12" s="1"/>
  <c r="G28" i="12"/>
  <c r="F28" i="12"/>
  <c r="K35" i="12"/>
  <c r="L35" i="12" s="1"/>
  <c r="H35" i="12"/>
  <c r="J35" i="12"/>
  <c r="I35" i="12" s="1"/>
  <c r="E35" i="12"/>
  <c r="K34" i="12"/>
  <c r="L34" i="12" s="1"/>
  <c r="H34" i="12"/>
  <c r="K33" i="12"/>
  <c r="L33" i="12" s="1"/>
  <c r="H33" i="12"/>
  <c r="K28" i="12"/>
  <c r="L28" i="12" s="1"/>
  <c r="H28" i="12"/>
  <c r="J28" i="12"/>
  <c r="I28" i="12" s="1"/>
  <c r="E28" i="12"/>
  <c r="K27" i="12"/>
  <c r="L27" i="12" s="1"/>
  <c r="H27" i="12"/>
  <c r="G140" i="12"/>
  <c r="F140" i="12"/>
  <c r="G139" i="12"/>
  <c r="F139" i="12"/>
  <c r="G138" i="12"/>
  <c r="F138" i="12"/>
  <c r="J138" i="12" s="1"/>
  <c r="I138" i="12" s="1"/>
  <c r="G137" i="12"/>
  <c r="F137" i="12"/>
  <c r="J137" i="12" s="1"/>
  <c r="G132" i="12"/>
  <c r="F132" i="12"/>
  <c r="G131" i="12"/>
  <c r="F131" i="12"/>
  <c r="J131" i="12" s="1"/>
  <c r="F85" i="12"/>
  <c r="G85" i="12"/>
  <c r="H85" i="12" s="1"/>
  <c r="H140" i="12"/>
  <c r="K140" i="12"/>
  <c r="L140" i="12" s="1"/>
  <c r="J140" i="12"/>
  <c r="I140" i="12" s="1"/>
  <c r="E140" i="12"/>
  <c r="K139" i="12"/>
  <c r="L139" i="12" s="1"/>
  <c r="H139" i="12"/>
  <c r="E139" i="12"/>
  <c r="J139" i="12"/>
  <c r="I139" i="12" s="1"/>
  <c r="K138" i="12"/>
  <c r="L138" i="12" s="1"/>
  <c r="H138" i="12"/>
  <c r="H137" i="12"/>
  <c r="K137" i="12"/>
  <c r="L137" i="12" s="1"/>
  <c r="K132" i="12"/>
  <c r="L132" i="12" s="1"/>
  <c r="H132" i="12"/>
  <c r="J132" i="12"/>
  <c r="I132" i="12" s="1"/>
  <c r="E132" i="12"/>
  <c r="H131" i="12"/>
  <c r="K131" i="12"/>
  <c r="L131" i="12" s="1"/>
  <c r="H25" i="28"/>
  <c r="K25" i="28"/>
  <c r="J25" i="28"/>
  <c r="D25" i="28"/>
  <c r="G25" i="28"/>
  <c r="F25" i="28"/>
  <c r="D244" i="23"/>
  <c r="C235" i="23"/>
  <c r="C237" i="23"/>
  <c r="C239" i="23"/>
  <c r="C241" i="23"/>
  <c r="C243" i="23"/>
  <c r="B256" i="23"/>
  <c r="B239" i="23"/>
  <c r="D252" i="23" s="1"/>
  <c r="D265" i="23" s="1"/>
  <c r="D242" i="23"/>
  <c r="D256" i="23"/>
  <c r="C256" i="23"/>
  <c r="C236" i="23"/>
  <c r="C238" i="23"/>
  <c r="C240" i="23"/>
  <c r="C253" i="23" s="1"/>
  <c r="C242" i="23"/>
  <c r="C244" i="23"/>
  <c r="C257" i="23" s="1"/>
  <c r="B235" i="23"/>
  <c r="B237" i="23"/>
  <c r="B241" i="23"/>
  <c r="L99" i="24"/>
  <c r="J119" i="24"/>
  <c r="J120" i="24"/>
  <c r="J125" i="24"/>
  <c r="J20" i="24"/>
  <c r="J23" i="24"/>
  <c r="J75" i="24"/>
  <c r="O171" i="24"/>
  <c r="E51" i="24"/>
  <c r="J14" i="24"/>
  <c r="J68" i="24"/>
  <c r="J69" i="24"/>
  <c r="J118" i="24"/>
  <c r="F152" i="24"/>
  <c r="J158" i="24"/>
  <c r="F160" i="24"/>
  <c r="O173" i="24"/>
  <c r="I158" i="24"/>
  <c r="J16" i="24"/>
  <c r="J67" i="24"/>
  <c r="J71" i="24"/>
  <c r="J121" i="24"/>
  <c r="I154" i="24"/>
  <c r="E156" i="24"/>
  <c r="I162" i="24"/>
  <c r="S175" i="24"/>
  <c r="J66" i="24"/>
  <c r="J154" i="24"/>
  <c r="W168" i="24"/>
  <c r="O169" i="24"/>
  <c r="S171" i="24"/>
  <c r="G174" i="24"/>
  <c r="W175" i="24"/>
  <c r="L309" i="24"/>
  <c r="J19" i="24"/>
  <c r="J21" i="24"/>
  <c r="J22" i="24"/>
  <c r="E47" i="24"/>
  <c r="E55" i="24"/>
  <c r="J74" i="24"/>
  <c r="E100" i="24"/>
  <c r="I102" i="24"/>
  <c r="L103" i="24"/>
  <c r="L107" i="24"/>
  <c r="J110" i="24"/>
  <c r="J124" i="24"/>
  <c r="J126" i="24"/>
  <c r="J127" i="24"/>
  <c r="F153" i="24"/>
  <c r="F157" i="24"/>
  <c r="O167" i="24"/>
  <c r="G170" i="24"/>
  <c r="W171" i="24"/>
  <c r="W174" i="24"/>
  <c r="G176" i="24"/>
  <c r="Q315" i="24"/>
  <c r="J15" i="24"/>
  <c r="J17" i="24"/>
  <c r="J18" i="24"/>
  <c r="J70" i="24"/>
  <c r="J72" i="24"/>
  <c r="J73" i="24"/>
  <c r="F100" i="24"/>
  <c r="J102" i="24"/>
  <c r="E104" i="24"/>
  <c r="J106" i="24"/>
  <c r="F108" i="24"/>
  <c r="J122" i="24"/>
  <c r="J123" i="24"/>
  <c r="G168" i="24"/>
  <c r="W170" i="24"/>
  <c r="G172" i="24"/>
  <c r="O175" i="24"/>
  <c r="C181" i="24"/>
  <c r="V308" i="24"/>
  <c r="V168" i="24"/>
  <c r="W312" i="24"/>
  <c r="X315" i="24"/>
  <c r="X175" i="24"/>
  <c r="G160" i="24"/>
  <c r="G156" i="24"/>
  <c r="G152" i="24"/>
  <c r="D307" i="24"/>
  <c r="D167" i="24"/>
  <c r="H307" i="24"/>
  <c r="H167" i="24"/>
  <c r="E308" i="24"/>
  <c r="E168" i="24"/>
  <c r="I308" i="24"/>
  <c r="I168" i="24"/>
  <c r="B309" i="24"/>
  <c r="B169" i="24"/>
  <c r="F309" i="24"/>
  <c r="F169" i="24"/>
  <c r="D311" i="24"/>
  <c r="D171" i="24"/>
  <c r="H311" i="24"/>
  <c r="H171" i="24"/>
  <c r="E312" i="24"/>
  <c r="E172" i="24"/>
  <c r="I312" i="24"/>
  <c r="I172" i="24"/>
  <c r="B313" i="24"/>
  <c r="B173" i="24"/>
  <c r="F313" i="24"/>
  <c r="F173" i="24"/>
  <c r="D315" i="24"/>
  <c r="D175" i="24"/>
  <c r="H315" i="24"/>
  <c r="H175" i="24"/>
  <c r="E316" i="24"/>
  <c r="E176" i="24"/>
  <c r="I176" i="24"/>
  <c r="I316" i="24"/>
  <c r="M307" i="24"/>
  <c r="M167" i="24"/>
  <c r="Q307" i="24"/>
  <c r="Q167" i="24"/>
  <c r="J308" i="24"/>
  <c r="J168" i="24"/>
  <c r="N308" i="24"/>
  <c r="N168" i="24"/>
  <c r="L310" i="24"/>
  <c r="L170" i="24"/>
  <c r="P310" i="24"/>
  <c r="P170" i="24"/>
  <c r="M311" i="24"/>
  <c r="M171" i="24"/>
  <c r="Q311" i="24"/>
  <c r="Q171" i="24"/>
  <c r="J312" i="24"/>
  <c r="J172" i="24"/>
  <c r="N312" i="24"/>
  <c r="N172" i="24"/>
  <c r="L314" i="24"/>
  <c r="L174" i="24"/>
  <c r="P314" i="24"/>
  <c r="P174" i="24"/>
  <c r="M315" i="24"/>
  <c r="M175" i="24"/>
  <c r="J316" i="24"/>
  <c r="J176" i="24"/>
  <c r="N316" i="24"/>
  <c r="N176" i="24"/>
  <c r="E99" i="24"/>
  <c r="E103" i="24"/>
  <c r="I106" i="24"/>
  <c r="E107" i="24"/>
  <c r="R307" i="24"/>
  <c r="R167" i="24"/>
  <c r="V307" i="24"/>
  <c r="V167" i="24"/>
  <c r="T309" i="24"/>
  <c r="T169" i="24"/>
  <c r="X309" i="24"/>
  <c r="X169" i="24"/>
  <c r="U311" i="24"/>
  <c r="U171" i="24"/>
  <c r="Y311" i="24"/>
  <c r="Y171" i="24"/>
  <c r="T313" i="24"/>
  <c r="T173" i="24"/>
  <c r="X313" i="24"/>
  <c r="X173" i="24"/>
  <c r="U315" i="24"/>
  <c r="U175" i="24"/>
  <c r="Y315" i="24"/>
  <c r="Y175" i="24"/>
  <c r="F155" i="24"/>
  <c r="F159" i="24"/>
  <c r="C167" i="24"/>
  <c r="S167" i="24"/>
  <c r="K168" i="24"/>
  <c r="C169" i="24"/>
  <c r="S169" i="24"/>
  <c r="K170" i="24"/>
  <c r="C171" i="24"/>
  <c r="K172" i="24"/>
  <c r="C173" i="24"/>
  <c r="S173" i="24"/>
  <c r="K174" i="24"/>
  <c r="C175" i="24"/>
  <c r="K176" i="24"/>
  <c r="L307" i="24"/>
  <c r="D310" i="24"/>
  <c r="E313" i="24"/>
  <c r="E173" i="24"/>
  <c r="F314" i="24"/>
  <c r="F174" i="24"/>
  <c r="H316" i="24"/>
  <c r="H176" i="24"/>
  <c r="P307" i="24"/>
  <c r="P167" i="24"/>
  <c r="N309" i="24"/>
  <c r="N169" i="24"/>
  <c r="L311" i="24"/>
  <c r="L171" i="24"/>
  <c r="P311" i="24"/>
  <c r="P171" i="24"/>
  <c r="M312" i="24"/>
  <c r="M172" i="24"/>
  <c r="J313" i="24"/>
  <c r="J173" i="24"/>
  <c r="P315" i="24"/>
  <c r="P175" i="24"/>
  <c r="M316" i="24"/>
  <c r="M176" i="24"/>
  <c r="L102" i="24"/>
  <c r="U310" i="24"/>
  <c r="U170" i="24"/>
  <c r="T311" i="24"/>
  <c r="T171" i="24"/>
  <c r="Y314" i="24"/>
  <c r="Y174" i="24"/>
  <c r="E307" i="24"/>
  <c r="E167" i="24"/>
  <c r="I307" i="24"/>
  <c r="I167" i="24"/>
  <c r="B308" i="24"/>
  <c r="B168" i="24"/>
  <c r="F308" i="24"/>
  <c r="F168" i="24"/>
  <c r="H310" i="24"/>
  <c r="H170" i="24"/>
  <c r="E311" i="24"/>
  <c r="E171" i="24"/>
  <c r="I311" i="24"/>
  <c r="I171" i="24"/>
  <c r="B312" i="24"/>
  <c r="B172" i="24"/>
  <c r="F312" i="24"/>
  <c r="F172" i="24"/>
  <c r="D314" i="24"/>
  <c r="D174" i="24"/>
  <c r="H314" i="24"/>
  <c r="H174" i="24"/>
  <c r="E315" i="24"/>
  <c r="E175" i="24"/>
  <c r="I315" i="24"/>
  <c r="I175" i="24"/>
  <c r="B316" i="24"/>
  <c r="B176" i="24"/>
  <c r="F316" i="24"/>
  <c r="F176" i="24"/>
  <c r="J307" i="24"/>
  <c r="J167" i="24"/>
  <c r="N307" i="24"/>
  <c r="N167" i="24"/>
  <c r="P309" i="24"/>
  <c r="P169" i="24"/>
  <c r="M310" i="24"/>
  <c r="M170" i="24"/>
  <c r="Q310" i="24"/>
  <c r="Q170" i="24"/>
  <c r="J311" i="24"/>
  <c r="J171" i="24"/>
  <c r="N171" i="24"/>
  <c r="N311" i="24"/>
  <c r="L313" i="24"/>
  <c r="L173" i="24"/>
  <c r="P313" i="24"/>
  <c r="P173" i="24"/>
  <c r="M314" i="24"/>
  <c r="M174" i="24"/>
  <c r="Q314" i="24"/>
  <c r="Q174" i="24"/>
  <c r="J315" i="24"/>
  <c r="J175" i="24"/>
  <c r="N315" i="24"/>
  <c r="N175" i="24"/>
  <c r="F99" i="24"/>
  <c r="F101" i="24"/>
  <c r="F103" i="24"/>
  <c r="F105" i="24"/>
  <c r="X308" i="24"/>
  <c r="X168" i="24"/>
  <c r="U309" i="24"/>
  <c r="U169" i="24"/>
  <c r="Y309" i="24"/>
  <c r="Y169" i="24"/>
  <c r="S310" i="24"/>
  <c r="R311" i="24"/>
  <c r="R171" i="24"/>
  <c r="V171" i="24"/>
  <c r="V311" i="24"/>
  <c r="U312" i="24"/>
  <c r="U172" i="24"/>
  <c r="S314" i="24"/>
  <c r="R315" i="24"/>
  <c r="R175" i="24"/>
  <c r="V315" i="24"/>
  <c r="V175" i="24"/>
  <c r="U316" i="24"/>
  <c r="U176" i="24"/>
  <c r="Y316" i="24"/>
  <c r="Y176" i="24"/>
  <c r="L159" i="24"/>
  <c r="L155" i="24"/>
  <c r="L151" i="24"/>
  <c r="K159" i="24"/>
  <c r="K155" i="24"/>
  <c r="K151" i="24"/>
  <c r="G167" i="24"/>
  <c r="W167" i="24"/>
  <c r="O168" i="24"/>
  <c r="G169" i="24"/>
  <c r="W169" i="24"/>
  <c r="O170" i="24"/>
  <c r="G171" i="24"/>
  <c r="O172" i="24"/>
  <c r="G173" i="24"/>
  <c r="W173" i="24"/>
  <c r="O174" i="24"/>
  <c r="G175" i="24"/>
  <c r="O176" i="24"/>
  <c r="D308" i="24"/>
  <c r="F311" i="24"/>
  <c r="H308" i="24"/>
  <c r="H168" i="24"/>
  <c r="E309" i="24"/>
  <c r="E169" i="24"/>
  <c r="I309" i="24"/>
  <c r="I169" i="24"/>
  <c r="B310" i="24"/>
  <c r="B170" i="24"/>
  <c r="F310" i="24"/>
  <c r="F170" i="24"/>
  <c r="D312" i="24"/>
  <c r="D172" i="24"/>
  <c r="H312" i="24"/>
  <c r="H172" i="24"/>
  <c r="I313" i="24"/>
  <c r="I173" i="24"/>
  <c r="B314" i="24"/>
  <c r="B174" i="24"/>
  <c r="D316" i="24"/>
  <c r="D176" i="24"/>
  <c r="G49" i="24"/>
  <c r="G53" i="24"/>
  <c r="G57" i="24"/>
  <c r="M308" i="24"/>
  <c r="M168" i="24"/>
  <c r="Q308" i="24"/>
  <c r="Q168" i="24"/>
  <c r="J309" i="24"/>
  <c r="J169" i="24"/>
  <c r="Q312" i="24"/>
  <c r="Q172" i="24"/>
  <c r="N313" i="24"/>
  <c r="N173" i="24"/>
  <c r="L315" i="24"/>
  <c r="L175" i="24"/>
  <c r="Q316" i="24"/>
  <c r="Q176" i="24"/>
  <c r="L106" i="24"/>
  <c r="L110" i="24"/>
  <c r="U307" i="24"/>
  <c r="U167" i="24"/>
  <c r="Y307" i="24"/>
  <c r="Y167" i="24"/>
  <c r="R308" i="24"/>
  <c r="R168" i="24"/>
  <c r="Y310" i="24"/>
  <c r="Y170" i="24"/>
  <c r="X311" i="24"/>
  <c r="X171" i="24"/>
  <c r="U314" i="24"/>
  <c r="U174" i="24"/>
  <c r="T315" i="24"/>
  <c r="T175" i="24"/>
  <c r="W316" i="24"/>
  <c r="E159" i="24"/>
  <c r="E155" i="24"/>
  <c r="W172" i="24"/>
  <c r="B307" i="24"/>
  <c r="B167" i="24"/>
  <c r="F307" i="24"/>
  <c r="F167" i="24"/>
  <c r="D309" i="24"/>
  <c r="D169" i="24"/>
  <c r="H309" i="24"/>
  <c r="H169" i="24"/>
  <c r="E310" i="24"/>
  <c r="E170" i="24"/>
  <c r="I310" i="24"/>
  <c r="I170" i="24"/>
  <c r="B311" i="24"/>
  <c r="B171" i="24"/>
  <c r="D313" i="24"/>
  <c r="D173" i="24"/>
  <c r="H313" i="24"/>
  <c r="H173" i="24"/>
  <c r="E314" i="24"/>
  <c r="E174" i="24"/>
  <c r="I314" i="24"/>
  <c r="I174" i="24"/>
  <c r="B315" i="24"/>
  <c r="B175" i="24"/>
  <c r="F315" i="24"/>
  <c r="F175" i="24"/>
  <c r="F47" i="24"/>
  <c r="F48" i="24"/>
  <c r="F49" i="24"/>
  <c r="F51" i="24"/>
  <c r="F52" i="24"/>
  <c r="F53" i="24"/>
  <c r="L308" i="24"/>
  <c r="L168" i="24"/>
  <c r="P308" i="24"/>
  <c r="P168" i="24"/>
  <c r="M309" i="24"/>
  <c r="M169" i="24"/>
  <c r="Q309" i="24"/>
  <c r="Q169" i="24"/>
  <c r="J310" i="24"/>
  <c r="J170" i="24"/>
  <c r="N170" i="24"/>
  <c r="N310" i="24"/>
  <c r="L312" i="24"/>
  <c r="L172" i="24"/>
  <c r="P312" i="24"/>
  <c r="P172" i="24"/>
  <c r="M313" i="24"/>
  <c r="M173" i="24"/>
  <c r="Q173" i="24"/>
  <c r="Q313" i="24"/>
  <c r="J314" i="24"/>
  <c r="J174" i="24"/>
  <c r="N314" i="24"/>
  <c r="N174" i="24"/>
  <c r="L316" i="24"/>
  <c r="L176" i="24"/>
  <c r="P316" i="24"/>
  <c r="P176" i="24"/>
  <c r="K99" i="24"/>
  <c r="G100" i="24"/>
  <c r="G101" i="24"/>
  <c r="K102" i="24"/>
  <c r="K103" i="24"/>
  <c r="G104" i="24"/>
  <c r="G105" i="24"/>
  <c r="K106" i="24"/>
  <c r="T307" i="24"/>
  <c r="T167" i="24"/>
  <c r="X307" i="24"/>
  <c r="X167" i="24"/>
  <c r="U308" i="24"/>
  <c r="U168" i="24"/>
  <c r="Y308" i="24"/>
  <c r="Y168" i="24"/>
  <c r="R309" i="24"/>
  <c r="R169" i="24"/>
  <c r="V309" i="24"/>
  <c r="V169" i="24"/>
  <c r="T310" i="24"/>
  <c r="T170" i="24"/>
  <c r="X310" i="24"/>
  <c r="X170" i="24"/>
  <c r="R312" i="24"/>
  <c r="R172" i="24"/>
  <c r="V312" i="24"/>
  <c r="V172" i="24"/>
  <c r="R313" i="24"/>
  <c r="R173" i="24"/>
  <c r="V313" i="24"/>
  <c r="V173" i="24"/>
  <c r="T314" i="24"/>
  <c r="T174" i="24"/>
  <c r="X314" i="24"/>
  <c r="X174" i="24"/>
  <c r="R316" i="24"/>
  <c r="R176" i="24"/>
  <c r="V316" i="24"/>
  <c r="V176" i="24"/>
  <c r="L162" i="24"/>
  <c r="L158" i="24"/>
  <c r="L154" i="24"/>
  <c r="K162" i="24"/>
  <c r="K158" i="24"/>
  <c r="K154" i="24"/>
  <c r="E151" i="24"/>
  <c r="K167" i="24"/>
  <c r="C168" i="24"/>
  <c r="S168" i="24"/>
  <c r="K169" i="24"/>
  <c r="C170" i="24"/>
  <c r="S170" i="24"/>
  <c r="K171" i="24"/>
  <c r="C172" i="24"/>
  <c r="S172" i="24"/>
  <c r="K173" i="24"/>
  <c r="C174" i="24"/>
  <c r="S174" i="24"/>
  <c r="K175" i="24"/>
  <c r="C176" i="24"/>
  <c r="S176" i="24"/>
  <c r="T308" i="24"/>
  <c r="Y312" i="24"/>
  <c r="G153" i="24"/>
  <c r="G157" i="24"/>
  <c r="T172" i="24"/>
  <c r="X172" i="24"/>
  <c r="T176" i="24"/>
  <c r="X176" i="24"/>
  <c r="C182" i="24"/>
  <c r="U173" i="24"/>
  <c r="Y173" i="24"/>
  <c r="R170" i="24"/>
  <c r="V170" i="24"/>
  <c r="R174" i="24"/>
  <c r="V174" i="24"/>
  <c r="C166" i="23"/>
  <c r="J70" i="23"/>
  <c r="J71" i="23"/>
  <c r="J124" i="23"/>
  <c r="F151" i="23"/>
  <c r="J19" i="23"/>
  <c r="J23" i="23"/>
  <c r="L51" i="23"/>
  <c r="J73" i="23"/>
  <c r="J125" i="23"/>
  <c r="C167" i="23"/>
  <c r="E155" i="23"/>
  <c r="J69" i="23"/>
  <c r="J120" i="23"/>
  <c r="J14" i="23"/>
  <c r="J17" i="23"/>
  <c r="J22" i="23"/>
  <c r="J162" i="23"/>
  <c r="J15" i="23"/>
  <c r="F107" i="23"/>
  <c r="K158" i="23"/>
  <c r="J102" i="23"/>
  <c r="J18" i="23"/>
  <c r="J20" i="23"/>
  <c r="J21" i="23"/>
  <c r="L47" i="23"/>
  <c r="J66" i="23"/>
  <c r="J67" i="23"/>
  <c r="F103" i="23"/>
  <c r="J110" i="23"/>
  <c r="F155" i="23"/>
  <c r="E159" i="23"/>
  <c r="K162" i="23"/>
  <c r="J118" i="23"/>
  <c r="J119" i="23"/>
  <c r="J122" i="23"/>
  <c r="J154" i="23"/>
  <c r="F159" i="23"/>
  <c r="J16" i="23"/>
  <c r="I50" i="23"/>
  <c r="J75" i="23"/>
  <c r="F99" i="23"/>
  <c r="J50" i="23"/>
  <c r="J74" i="23"/>
  <c r="J106" i="23"/>
  <c r="J121" i="23"/>
  <c r="J127" i="23"/>
  <c r="K154" i="23"/>
  <c r="J158" i="23"/>
  <c r="K107" i="23"/>
  <c r="K103" i="23"/>
  <c r="K99" i="23"/>
  <c r="L107" i="23"/>
  <c r="L103" i="23"/>
  <c r="L99" i="23"/>
  <c r="W275" i="23"/>
  <c r="V282" i="23"/>
  <c r="E47" i="23"/>
  <c r="E51" i="23"/>
  <c r="E55" i="23"/>
  <c r="K55" i="23"/>
  <c r="K276" i="23"/>
  <c r="O276" i="23"/>
  <c r="K280" i="23"/>
  <c r="O280" i="23"/>
  <c r="K284" i="23"/>
  <c r="O284" i="23"/>
  <c r="S279" i="23"/>
  <c r="W279" i="23"/>
  <c r="L54" i="23"/>
  <c r="S275" i="23"/>
  <c r="F47" i="23"/>
  <c r="F51" i="23"/>
  <c r="I54" i="23"/>
  <c r="J68" i="23"/>
  <c r="M278" i="23"/>
  <c r="J72" i="23"/>
  <c r="T276" i="23"/>
  <c r="X276" i="23"/>
  <c r="J123" i="23"/>
  <c r="J126" i="23"/>
  <c r="S283" i="23"/>
  <c r="W283" i="23"/>
  <c r="L50" i="23"/>
  <c r="J58" i="23"/>
  <c r="J54" i="23"/>
  <c r="K47" i="23"/>
  <c r="K50" i="23"/>
  <c r="K51" i="23"/>
  <c r="K54" i="23"/>
  <c r="K58" i="23"/>
  <c r="N275" i="23"/>
  <c r="L277" i="23"/>
  <c r="P277" i="23"/>
  <c r="N279" i="23"/>
  <c r="L281" i="23"/>
  <c r="P281" i="23"/>
  <c r="N283" i="23"/>
  <c r="V278" i="23"/>
  <c r="T280" i="23"/>
  <c r="X280" i="23"/>
  <c r="L102" i="23"/>
  <c r="L106" i="23"/>
  <c r="L110" i="23"/>
  <c r="I154" i="23"/>
  <c r="I158" i="23"/>
  <c r="E99" i="23"/>
  <c r="I102" i="23"/>
  <c r="E103" i="23"/>
  <c r="I106" i="23"/>
  <c r="F153" i="23"/>
  <c r="F157" i="23"/>
  <c r="K151" i="23"/>
  <c r="G153" i="23"/>
  <c r="K155" i="23"/>
  <c r="G157" i="23"/>
  <c r="K159" i="23"/>
  <c r="G161" i="23"/>
  <c r="K102" i="23"/>
  <c r="K106" i="23"/>
  <c r="L151" i="23"/>
  <c r="L154" i="23"/>
  <c r="L155" i="23"/>
  <c r="L158" i="23"/>
  <c r="B250" i="23" l="1"/>
  <c r="B263" i="23" s="1"/>
  <c r="E141" i="22"/>
  <c r="J141" i="22"/>
  <c r="I141" i="22" s="1"/>
  <c r="E140" i="22"/>
  <c r="J140" i="22"/>
  <c r="I140" i="22" s="1"/>
  <c r="E133" i="22"/>
  <c r="J133" i="22"/>
  <c r="I133" i="22" s="1"/>
  <c r="E88" i="22"/>
  <c r="J88" i="22"/>
  <c r="I88" i="22" s="1"/>
  <c r="E81" i="22"/>
  <c r="J81" i="22"/>
  <c r="I81" i="22" s="1"/>
  <c r="E37" i="22"/>
  <c r="J37" i="22"/>
  <c r="I37" i="22" s="1"/>
  <c r="E36" i="22"/>
  <c r="J36" i="22"/>
  <c r="I36" i="22" s="1"/>
  <c r="BV74" i="22"/>
  <c r="BV75" i="22"/>
  <c r="BV127" i="22"/>
  <c r="BV126" i="22"/>
  <c r="BV125" i="22"/>
  <c r="BV124" i="22"/>
  <c r="BV123" i="22"/>
  <c r="BV121" i="22"/>
  <c r="BV118" i="22"/>
  <c r="BV71" i="22"/>
  <c r="BV72" i="22"/>
  <c r="BV69" i="22"/>
  <c r="BV66" i="22"/>
  <c r="BV23" i="22"/>
  <c r="BV22" i="22"/>
  <c r="BV21" i="22"/>
  <c r="D26" i="28"/>
  <c r="D27" i="28" s="1"/>
  <c r="H26" i="28"/>
  <c r="I27" i="28"/>
  <c r="I43" i="28" s="1"/>
  <c r="M43" i="28" s="1"/>
  <c r="H27" i="28"/>
  <c r="H43" i="28" s="1"/>
  <c r="D23" i="28"/>
  <c r="D43" i="28"/>
  <c r="B189" i="24"/>
  <c r="E152" i="24"/>
  <c r="E160" i="24"/>
  <c r="G48" i="24"/>
  <c r="G56" i="24"/>
  <c r="J152" i="24"/>
  <c r="J160" i="24"/>
  <c r="J156" i="24"/>
  <c r="E141" i="24"/>
  <c r="J141" i="24"/>
  <c r="I141" i="24" s="1"/>
  <c r="E140" i="24"/>
  <c r="J140" i="24"/>
  <c r="I140" i="24" s="1"/>
  <c r="H138" i="24"/>
  <c r="K138" i="24"/>
  <c r="L138" i="24" s="1"/>
  <c r="E89" i="24"/>
  <c r="J89" i="24"/>
  <c r="I89" i="24" s="1"/>
  <c r="E88" i="24"/>
  <c r="J88" i="24"/>
  <c r="I88" i="24" s="1"/>
  <c r="E81" i="24"/>
  <c r="F109" i="24"/>
  <c r="J81" i="24"/>
  <c r="I81" i="24" s="1"/>
  <c r="E108" i="24"/>
  <c r="J80" i="24"/>
  <c r="J108" i="24" s="1"/>
  <c r="E36" i="24"/>
  <c r="J36" i="24"/>
  <c r="I36" i="24" s="1"/>
  <c r="E29" i="24"/>
  <c r="E57" i="24" s="1"/>
  <c r="J29" i="24"/>
  <c r="I29" i="24" s="1"/>
  <c r="H157" i="24"/>
  <c r="H161" i="24"/>
  <c r="H153" i="24"/>
  <c r="L133" i="24"/>
  <c r="L157" i="24"/>
  <c r="I133" i="24"/>
  <c r="I153" i="24" s="1"/>
  <c r="J157" i="24"/>
  <c r="I160" i="24"/>
  <c r="I152" i="24"/>
  <c r="I156" i="24"/>
  <c r="L81" i="24"/>
  <c r="K101" i="24"/>
  <c r="H101" i="24"/>
  <c r="H109" i="24"/>
  <c r="H105" i="24"/>
  <c r="BV127" i="24"/>
  <c r="BV126" i="24"/>
  <c r="BV125" i="24"/>
  <c r="BV123" i="24"/>
  <c r="BV124" i="24"/>
  <c r="BV118" i="24"/>
  <c r="BV121" i="24"/>
  <c r="BV73" i="24"/>
  <c r="BV74" i="24"/>
  <c r="BV75" i="24"/>
  <c r="BV72" i="24"/>
  <c r="BV71" i="24"/>
  <c r="BV66" i="24"/>
  <c r="BV69" i="24"/>
  <c r="BV19" i="24"/>
  <c r="BV20" i="24"/>
  <c r="BV14" i="24"/>
  <c r="BV17" i="24"/>
  <c r="BU21" i="24"/>
  <c r="E48" i="24"/>
  <c r="E52" i="24"/>
  <c r="E56" i="24"/>
  <c r="H55" i="24"/>
  <c r="H58" i="24"/>
  <c r="J58" i="24"/>
  <c r="I58" i="24"/>
  <c r="H51" i="24"/>
  <c r="H54" i="24"/>
  <c r="H47" i="24"/>
  <c r="H50" i="24"/>
  <c r="H56" i="24"/>
  <c r="K56" i="24"/>
  <c r="J57" i="24"/>
  <c r="K55" i="24"/>
  <c r="K58" i="24"/>
  <c r="K57" i="24"/>
  <c r="K54" i="24"/>
  <c r="K51" i="24"/>
  <c r="K53" i="24"/>
  <c r="J54" i="24"/>
  <c r="I54" i="24"/>
  <c r="K47" i="24"/>
  <c r="K50" i="24"/>
  <c r="K49" i="24"/>
  <c r="J50" i="24"/>
  <c r="I50" i="24"/>
  <c r="J55" i="24"/>
  <c r="J47" i="24"/>
  <c r="J36" i="12"/>
  <c r="I36" i="12" s="1"/>
  <c r="E36" i="12"/>
  <c r="H36" i="12"/>
  <c r="K36" i="12"/>
  <c r="L36" i="12" s="1"/>
  <c r="E152" i="23"/>
  <c r="E156" i="23"/>
  <c r="G101" i="23"/>
  <c r="G105" i="23"/>
  <c r="G104" i="23"/>
  <c r="G100" i="23"/>
  <c r="BV121" i="23"/>
  <c r="BV118" i="23"/>
  <c r="BU127" i="23"/>
  <c r="BU125" i="23"/>
  <c r="BU124" i="23"/>
  <c r="BU122" i="23"/>
  <c r="BV122" i="23" s="1"/>
  <c r="BU119" i="23"/>
  <c r="BV119" i="23" s="1"/>
  <c r="BU121" i="23"/>
  <c r="BV75" i="23"/>
  <c r="BV74" i="23"/>
  <c r="BV73" i="23"/>
  <c r="BV71" i="23"/>
  <c r="BV72" i="23"/>
  <c r="BV69" i="23"/>
  <c r="BV66" i="23"/>
  <c r="BU23" i="23"/>
  <c r="BU22" i="23"/>
  <c r="BU21" i="23"/>
  <c r="BU20" i="23"/>
  <c r="BU19" i="23"/>
  <c r="BU18" i="23"/>
  <c r="BV18" i="23" s="1"/>
  <c r="BU15" i="23"/>
  <c r="BV15" i="23" s="1"/>
  <c r="BU16" i="23"/>
  <c r="BV16" i="23" s="1"/>
  <c r="G156" i="23"/>
  <c r="G152" i="23"/>
  <c r="G160" i="23"/>
  <c r="F156" i="23"/>
  <c r="F160" i="23"/>
  <c r="F152" i="23"/>
  <c r="F109" i="23"/>
  <c r="F101" i="23"/>
  <c r="F108" i="23"/>
  <c r="E100" i="23"/>
  <c r="F100" i="23"/>
  <c r="F104" i="23"/>
  <c r="F53" i="23"/>
  <c r="F57" i="23"/>
  <c r="F49" i="23"/>
  <c r="G53" i="23"/>
  <c r="G49" i="23"/>
  <c r="G57" i="23"/>
  <c r="G48" i="23"/>
  <c r="G52" i="23"/>
  <c r="G56" i="23"/>
  <c r="F48" i="23"/>
  <c r="F52" i="23"/>
  <c r="E52" i="23"/>
  <c r="E48" i="23"/>
  <c r="E56" i="23"/>
  <c r="E140" i="23"/>
  <c r="J140" i="23"/>
  <c r="I140" i="23" s="1"/>
  <c r="F161" i="23"/>
  <c r="E133" i="23"/>
  <c r="J133" i="23"/>
  <c r="E160" i="23"/>
  <c r="J132" i="23"/>
  <c r="E89" i="23"/>
  <c r="J89" i="23"/>
  <c r="I89" i="23" s="1"/>
  <c r="E88" i="23"/>
  <c r="J88" i="23"/>
  <c r="I88" i="23" s="1"/>
  <c r="E37" i="23"/>
  <c r="J37" i="23"/>
  <c r="I37" i="23" s="1"/>
  <c r="E36" i="23"/>
  <c r="J36" i="23"/>
  <c r="I36" i="23" s="1"/>
  <c r="E29" i="23"/>
  <c r="J29" i="23"/>
  <c r="L133" i="23"/>
  <c r="L161" i="23"/>
  <c r="H161" i="23"/>
  <c r="H153" i="23"/>
  <c r="H157" i="23"/>
  <c r="L132" i="23"/>
  <c r="L156" i="23" s="1"/>
  <c r="K152" i="23"/>
  <c r="L81" i="23"/>
  <c r="L105" i="23" s="1"/>
  <c r="L109" i="23"/>
  <c r="H101" i="23"/>
  <c r="H105" i="23"/>
  <c r="H109" i="23"/>
  <c r="L29" i="23"/>
  <c r="L53" i="23" s="1"/>
  <c r="K57" i="23"/>
  <c r="H49" i="23"/>
  <c r="H53" i="23"/>
  <c r="H57" i="23"/>
  <c r="H56" i="23"/>
  <c r="H48" i="23"/>
  <c r="H52" i="23"/>
  <c r="K26" i="28"/>
  <c r="J26" i="28"/>
  <c r="H23" i="28"/>
  <c r="D32" i="28" s="1"/>
  <c r="I23" i="28"/>
  <c r="F26" i="28"/>
  <c r="G26" i="28"/>
  <c r="E23" i="28"/>
  <c r="E32" i="28" s="1"/>
  <c r="D36" i="28" s="1"/>
  <c r="F289" i="23"/>
  <c r="C249" i="23"/>
  <c r="C262" i="23" s="1"/>
  <c r="D249" i="23"/>
  <c r="D262" i="23" s="1"/>
  <c r="C251" i="23"/>
  <c r="C264" i="23" s="1"/>
  <c r="D251" i="23"/>
  <c r="D264" i="23" s="1"/>
  <c r="S292" i="23" s="1"/>
  <c r="T293" i="23"/>
  <c r="V293" i="23"/>
  <c r="X293" i="23"/>
  <c r="W293" i="23"/>
  <c r="C266" i="23"/>
  <c r="J294" i="23" s="1"/>
  <c r="B252" i="23"/>
  <c r="C252" i="23"/>
  <c r="D250" i="23"/>
  <c r="D263" i="23" s="1"/>
  <c r="S291" i="23" s="1"/>
  <c r="D257" i="23"/>
  <c r="D270" i="23" s="1"/>
  <c r="Y298" i="23" s="1"/>
  <c r="S293" i="23"/>
  <c r="B249" i="23"/>
  <c r="E249" i="23" s="1"/>
  <c r="B254" i="23"/>
  <c r="C254" i="23"/>
  <c r="D254" i="23"/>
  <c r="D267" i="23" s="1"/>
  <c r="C255" i="23"/>
  <c r="C268" i="23" s="1"/>
  <c r="B255" i="23"/>
  <c r="B268" i="23" s="1"/>
  <c r="D255" i="23"/>
  <c r="D268" i="23" s="1"/>
  <c r="R298" i="23"/>
  <c r="V298" i="23"/>
  <c r="X298" i="23"/>
  <c r="S298" i="23"/>
  <c r="W298" i="23"/>
  <c r="T298" i="23"/>
  <c r="U298" i="23"/>
  <c r="C291" i="23"/>
  <c r="G291" i="23"/>
  <c r="E291" i="23"/>
  <c r="D291" i="23"/>
  <c r="H291" i="23"/>
  <c r="I291" i="23"/>
  <c r="F291" i="23"/>
  <c r="L294" i="23"/>
  <c r="M294" i="23"/>
  <c r="P294" i="23"/>
  <c r="N294" i="23"/>
  <c r="Q294" i="23"/>
  <c r="B253" i="23"/>
  <c r="D248" i="23"/>
  <c r="D261" i="23" s="1"/>
  <c r="S289" i="23" s="1"/>
  <c r="C250" i="23"/>
  <c r="K294" i="23"/>
  <c r="O294" i="23"/>
  <c r="U293" i="23"/>
  <c r="Y293" i="23"/>
  <c r="B257" i="23"/>
  <c r="B251" i="23"/>
  <c r="E251" i="23" s="1"/>
  <c r="C248" i="23"/>
  <c r="C261" i="23" s="1"/>
  <c r="D253" i="23"/>
  <c r="D266" i="23" s="1"/>
  <c r="T294" i="23" s="1"/>
  <c r="J51" i="24"/>
  <c r="K48" i="24"/>
  <c r="E153" i="24"/>
  <c r="E157" i="24"/>
  <c r="J100" i="24"/>
  <c r="I104" i="24"/>
  <c r="L48" i="24"/>
  <c r="J104" i="24"/>
  <c r="I100" i="24"/>
  <c r="K52" i="24"/>
  <c r="I108" i="24"/>
  <c r="H108" i="24"/>
  <c r="I55" i="24"/>
  <c r="I47" i="24"/>
  <c r="I51" i="24"/>
  <c r="I157" i="24"/>
  <c r="K105" i="24"/>
  <c r="J153" i="24"/>
  <c r="K157" i="24"/>
  <c r="I161" i="24"/>
  <c r="J161" i="24"/>
  <c r="E53" i="24"/>
  <c r="E49" i="24"/>
  <c r="C183" i="24"/>
  <c r="H52" i="24"/>
  <c r="H48" i="24"/>
  <c r="H156" i="24"/>
  <c r="H100" i="24"/>
  <c r="L161" i="24"/>
  <c r="J53" i="24"/>
  <c r="K161" i="24"/>
  <c r="L153" i="24"/>
  <c r="K109" i="24"/>
  <c r="L105" i="24"/>
  <c r="L109" i="24"/>
  <c r="L101" i="24"/>
  <c r="J49" i="24"/>
  <c r="K153" i="24"/>
  <c r="I53" i="24"/>
  <c r="J109" i="24"/>
  <c r="J105" i="24"/>
  <c r="J101" i="24"/>
  <c r="D205" i="24"/>
  <c r="E109" i="24"/>
  <c r="E105" i="24"/>
  <c r="E101" i="24"/>
  <c r="H160" i="24"/>
  <c r="K108" i="24"/>
  <c r="K104" i="24"/>
  <c r="K100" i="24"/>
  <c r="L100" i="24"/>
  <c r="J56" i="24"/>
  <c r="J52" i="24"/>
  <c r="J48" i="24"/>
  <c r="I56" i="24"/>
  <c r="I52" i="24"/>
  <c r="I48" i="24"/>
  <c r="I159" i="24"/>
  <c r="I155" i="24"/>
  <c r="I151" i="24"/>
  <c r="J159" i="24"/>
  <c r="J155" i="24"/>
  <c r="J151" i="24"/>
  <c r="J107" i="24"/>
  <c r="J103" i="24"/>
  <c r="J99" i="24"/>
  <c r="I107" i="24"/>
  <c r="I103" i="24"/>
  <c r="I99" i="24"/>
  <c r="K160" i="24"/>
  <c r="K156" i="24"/>
  <c r="K152" i="24"/>
  <c r="L152" i="24"/>
  <c r="J100" i="23"/>
  <c r="I100" i="23"/>
  <c r="B269" i="23"/>
  <c r="B297" i="23" s="1"/>
  <c r="B265" i="23"/>
  <c r="J104" i="23"/>
  <c r="H104" i="23"/>
  <c r="C169" i="23"/>
  <c r="J108" i="23"/>
  <c r="C269" i="23"/>
  <c r="I155" i="23"/>
  <c r="C267" i="23"/>
  <c r="K156" i="23"/>
  <c r="C263" i="23"/>
  <c r="I151" i="23"/>
  <c r="C270" i="23"/>
  <c r="O298" i="23" s="1"/>
  <c r="H156" i="23"/>
  <c r="H152" i="23"/>
  <c r="I48" i="23"/>
  <c r="J48" i="23"/>
  <c r="J52" i="23"/>
  <c r="J56" i="23"/>
  <c r="I56" i="23"/>
  <c r="L101" i="23"/>
  <c r="I104" i="23"/>
  <c r="K101" i="23"/>
  <c r="K105" i="23"/>
  <c r="B262" i="23"/>
  <c r="R293" i="23"/>
  <c r="J152" i="23"/>
  <c r="I99" i="23"/>
  <c r="I160" i="23"/>
  <c r="K160" i="23"/>
  <c r="E256" i="23"/>
  <c r="K109" i="23"/>
  <c r="K49" i="23"/>
  <c r="J151" i="23"/>
  <c r="J159" i="23"/>
  <c r="J155" i="23"/>
  <c r="K161" i="23"/>
  <c r="K157" i="23"/>
  <c r="K153" i="23"/>
  <c r="H100" i="23"/>
  <c r="I107" i="23"/>
  <c r="J107" i="23"/>
  <c r="J99" i="23"/>
  <c r="J103" i="23"/>
  <c r="K53" i="23"/>
  <c r="J109" i="23"/>
  <c r="J101" i="23"/>
  <c r="J105" i="23"/>
  <c r="D269" i="23"/>
  <c r="S297" i="23" s="1"/>
  <c r="K108" i="23"/>
  <c r="K104" i="23"/>
  <c r="K100" i="23"/>
  <c r="L104" i="23"/>
  <c r="E161" i="23"/>
  <c r="E157" i="23"/>
  <c r="E153" i="23"/>
  <c r="B291" i="23"/>
  <c r="J55" i="23"/>
  <c r="J51" i="23"/>
  <c r="J47" i="23"/>
  <c r="I55" i="23"/>
  <c r="I51" i="23"/>
  <c r="I47" i="23"/>
  <c r="K48" i="23"/>
  <c r="L48" i="23"/>
  <c r="K52" i="23"/>
  <c r="K56" i="23"/>
  <c r="E109" i="23"/>
  <c r="E105" i="23"/>
  <c r="E101" i="23"/>
  <c r="I304" i="22"/>
  <c r="H304" i="22"/>
  <c r="G304" i="22"/>
  <c r="I303" i="22"/>
  <c r="H303" i="22"/>
  <c r="G303" i="22"/>
  <c r="I302" i="22"/>
  <c r="H302" i="22"/>
  <c r="G302" i="22"/>
  <c r="I300" i="22"/>
  <c r="H300" i="22"/>
  <c r="G300" i="22"/>
  <c r="I299" i="22"/>
  <c r="H299" i="22"/>
  <c r="G299" i="22"/>
  <c r="I298" i="22"/>
  <c r="H298" i="22"/>
  <c r="G298" i="22"/>
  <c r="I296" i="22"/>
  <c r="H296" i="22"/>
  <c r="G296" i="22"/>
  <c r="I295" i="22"/>
  <c r="H295" i="22"/>
  <c r="G295" i="22"/>
  <c r="I294" i="22"/>
  <c r="H294" i="22"/>
  <c r="G294" i="22"/>
  <c r="I292" i="22"/>
  <c r="H292" i="22"/>
  <c r="G292" i="22"/>
  <c r="I291" i="22"/>
  <c r="H291" i="22"/>
  <c r="G291" i="22"/>
  <c r="I290" i="22"/>
  <c r="H290" i="22"/>
  <c r="G290" i="22"/>
  <c r="I288" i="22"/>
  <c r="H288" i="22"/>
  <c r="G288" i="22"/>
  <c r="I287" i="22"/>
  <c r="H287" i="22"/>
  <c r="G287" i="22"/>
  <c r="I286" i="22"/>
  <c r="H286" i="22"/>
  <c r="G286" i="22"/>
  <c r="I284" i="22"/>
  <c r="H284" i="22"/>
  <c r="G284" i="22"/>
  <c r="I283" i="22"/>
  <c r="H283" i="22"/>
  <c r="G283" i="22"/>
  <c r="I282" i="22"/>
  <c r="H282" i="22"/>
  <c r="G282" i="22"/>
  <c r="I280" i="22"/>
  <c r="H280" i="22"/>
  <c r="G280" i="22"/>
  <c r="I279" i="22"/>
  <c r="H279" i="22"/>
  <c r="G279" i="22"/>
  <c r="I278" i="22"/>
  <c r="H278" i="22"/>
  <c r="G278" i="22"/>
  <c r="I276" i="22"/>
  <c r="H276" i="22"/>
  <c r="G276" i="22"/>
  <c r="I275" i="22"/>
  <c r="H275" i="22"/>
  <c r="G275" i="22"/>
  <c r="I274" i="22"/>
  <c r="H274" i="22"/>
  <c r="G274" i="22"/>
  <c r="I272" i="22"/>
  <c r="H272" i="22"/>
  <c r="G272" i="22"/>
  <c r="I271" i="22"/>
  <c r="H271" i="22"/>
  <c r="G271" i="22"/>
  <c r="I270" i="22"/>
  <c r="H270" i="22"/>
  <c r="G270" i="22"/>
  <c r="I268" i="22"/>
  <c r="H268" i="22"/>
  <c r="G268" i="22"/>
  <c r="I267" i="22"/>
  <c r="H267" i="22"/>
  <c r="G267" i="22"/>
  <c r="I266" i="22"/>
  <c r="H266" i="22"/>
  <c r="G266" i="22"/>
  <c r="D304" i="22"/>
  <c r="D347" i="22" s="1"/>
  <c r="C304" i="22"/>
  <c r="B304" i="22"/>
  <c r="D303" i="22"/>
  <c r="C303" i="22"/>
  <c r="C346" i="22" s="1"/>
  <c r="B303" i="22"/>
  <c r="D302" i="22"/>
  <c r="C302" i="22"/>
  <c r="B302" i="22"/>
  <c r="B345" i="22" s="1"/>
  <c r="D300" i="22"/>
  <c r="C300" i="22"/>
  <c r="B300" i="22"/>
  <c r="D299" i="22"/>
  <c r="D342" i="22" s="1"/>
  <c r="C299" i="22"/>
  <c r="B299" i="22"/>
  <c r="D298" i="22"/>
  <c r="C298" i="22"/>
  <c r="C341" i="22" s="1"/>
  <c r="B298" i="22"/>
  <c r="D296" i="22"/>
  <c r="C296" i="22"/>
  <c r="B296" i="22"/>
  <c r="B339" i="22" s="1"/>
  <c r="D295" i="22"/>
  <c r="C295" i="22"/>
  <c r="B295" i="22"/>
  <c r="D294" i="22"/>
  <c r="D337" i="22" s="1"/>
  <c r="C294" i="22"/>
  <c r="B294" i="22"/>
  <c r="D292" i="22"/>
  <c r="C292" i="22"/>
  <c r="C335" i="22" s="1"/>
  <c r="B292" i="22"/>
  <c r="D291" i="22"/>
  <c r="C291" i="22"/>
  <c r="B291" i="22"/>
  <c r="D290" i="22"/>
  <c r="C290" i="22"/>
  <c r="B290" i="22"/>
  <c r="D288" i="22"/>
  <c r="C288" i="22"/>
  <c r="B288" i="22"/>
  <c r="D287" i="22"/>
  <c r="C287" i="22"/>
  <c r="B287" i="22"/>
  <c r="D286" i="22"/>
  <c r="C286" i="22"/>
  <c r="B286" i="22"/>
  <c r="D284" i="22"/>
  <c r="C284" i="22"/>
  <c r="B284" i="22"/>
  <c r="D283" i="22"/>
  <c r="C283" i="22"/>
  <c r="B283" i="22"/>
  <c r="D282" i="22"/>
  <c r="C282" i="22"/>
  <c r="B282" i="22"/>
  <c r="D280" i="22"/>
  <c r="C280" i="22"/>
  <c r="B280" i="22"/>
  <c r="D279" i="22"/>
  <c r="C279" i="22"/>
  <c r="B279" i="22"/>
  <c r="D278" i="22"/>
  <c r="C278" i="22"/>
  <c r="B278" i="22"/>
  <c r="D276" i="22"/>
  <c r="C276" i="22"/>
  <c r="B276" i="22"/>
  <c r="D275" i="22"/>
  <c r="C275" i="22"/>
  <c r="B275" i="22"/>
  <c r="D274" i="22"/>
  <c r="C274" i="22"/>
  <c r="B274" i="22"/>
  <c r="D272" i="22"/>
  <c r="C272" i="22"/>
  <c r="B272" i="22"/>
  <c r="D271" i="22"/>
  <c r="C271" i="22"/>
  <c r="B271" i="22"/>
  <c r="D270" i="22"/>
  <c r="C270" i="22"/>
  <c r="B270" i="22"/>
  <c r="D268" i="22"/>
  <c r="C266" i="22"/>
  <c r="D266" i="22"/>
  <c r="C267" i="22"/>
  <c r="D267" i="22"/>
  <c r="C268" i="22"/>
  <c r="B267" i="22"/>
  <c r="B268" i="22"/>
  <c r="B266" i="22"/>
  <c r="B169" i="22"/>
  <c r="H162" i="22"/>
  <c r="G162" i="22"/>
  <c r="F162" i="22"/>
  <c r="E162" i="22"/>
  <c r="H159" i="22"/>
  <c r="G159" i="22"/>
  <c r="H158" i="22"/>
  <c r="G158" i="22"/>
  <c r="F158" i="22"/>
  <c r="E158" i="22"/>
  <c r="H155" i="22"/>
  <c r="G155" i="22"/>
  <c r="H154" i="22"/>
  <c r="G154" i="22"/>
  <c r="F154" i="22"/>
  <c r="E154" i="22"/>
  <c r="H151" i="22"/>
  <c r="G151" i="22"/>
  <c r="J162" i="22"/>
  <c r="G161" i="22"/>
  <c r="F161" i="22"/>
  <c r="F160" i="22"/>
  <c r="K159" i="22"/>
  <c r="Y388" i="22"/>
  <c r="X388" i="22"/>
  <c r="W388" i="22"/>
  <c r="V388" i="22"/>
  <c r="U388" i="22"/>
  <c r="T388" i="22"/>
  <c r="S388" i="22"/>
  <c r="R388" i="22"/>
  <c r="I127" i="22"/>
  <c r="H127" i="22"/>
  <c r="G127" i="22"/>
  <c r="Y387" i="22"/>
  <c r="W387" i="22"/>
  <c r="V387" i="22"/>
  <c r="U387" i="22"/>
  <c r="S387" i="22"/>
  <c r="R387" i="22"/>
  <c r="I126" i="22"/>
  <c r="H126" i="22"/>
  <c r="G126" i="22"/>
  <c r="X386" i="22"/>
  <c r="V386" i="22"/>
  <c r="U386" i="22"/>
  <c r="T386" i="22"/>
  <c r="R386" i="22"/>
  <c r="I125" i="22"/>
  <c r="H125" i="22"/>
  <c r="G125" i="22"/>
  <c r="Y385" i="22"/>
  <c r="X385" i="22"/>
  <c r="W385" i="22"/>
  <c r="U385" i="22"/>
  <c r="T385" i="22"/>
  <c r="S385" i="22"/>
  <c r="R385" i="22"/>
  <c r="I124" i="22"/>
  <c r="H124" i="22"/>
  <c r="G124" i="22"/>
  <c r="Y384" i="22"/>
  <c r="X384" i="22"/>
  <c r="W384" i="22"/>
  <c r="V384" i="22"/>
  <c r="U384" i="22"/>
  <c r="T384" i="22"/>
  <c r="S384" i="22"/>
  <c r="R384" i="22"/>
  <c r="I123" i="22"/>
  <c r="H123" i="22"/>
  <c r="G123" i="22"/>
  <c r="Y383" i="22"/>
  <c r="W383" i="22"/>
  <c r="V383" i="22"/>
  <c r="U383" i="22"/>
  <c r="S383" i="22"/>
  <c r="R383" i="22"/>
  <c r="I122" i="22"/>
  <c r="H122" i="22"/>
  <c r="G122" i="22"/>
  <c r="X382" i="22"/>
  <c r="V382" i="22"/>
  <c r="U382" i="22"/>
  <c r="T382" i="22"/>
  <c r="R382" i="22"/>
  <c r="I121" i="22"/>
  <c r="H121" i="22"/>
  <c r="G121" i="22"/>
  <c r="Y381" i="22"/>
  <c r="W381" i="22"/>
  <c r="V381" i="22"/>
  <c r="U381" i="22"/>
  <c r="S381" i="22"/>
  <c r="R381" i="22"/>
  <c r="I120" i="22"/>
  <c r="H120" i="22"/>
  <c r="G120" i="22"/>
  <c r="X380" i="22"/>
  <c r="V380" i="22"/>
  <c r="T380" i="22"/>
  <c r="R380" i="22"/>
  <c r="I119" i="22"/>
  <c r="H119" i="22"/>
  <c r="G119" i="22"/>
  <c r="Y379" i="22"/>
  <c r="W379" i="22"/>
  <c r="V379" i="22"/>
  <c r="U379" i="22"/>
  <c r="S379" i="22"/>
  <c r="R379" i="22"/>
  <c r="I118" i="22"/>
  <c r="H118" i="22"/>
  <c r="G118" i="22"/>
  <c r="H110" i="22"/>
  <c r="G110" i="22"/>
  <c r="F110" i="22"/>
  <c r="E110" i="22"/>
  <c r="H107" i="22"/>
  <c r="G107" i="22"/>
  <c r="H106" i="22"/>
  <c r="G106" i="22"/>
  <c r="F106" i="22"/>
  <c r="E106" i="22"/>
  <c r="H103" i="22"/>
  <c r="G103" i="22"/>
  <c r="H102" i="22"/>
  <c r="G102" i="22"/>
  <c r="F102" i="22"/>
  <c r="E102" i="22"/>
  <c r="H99" i="22"/>
  <c r="G99" i="22"/>
  <c r="L110" i="22"/>
  <c r="I110" i="22"/>
  <c r="F109" i="22"/>
  <c r="E108" i="22"/>
  <c r="F107" i="22"/>
  <c r="Q388" i="22"/>
  <c r="O388" i="22"/>
  <c r="N388" i="22"/>
  <c r="M388" i="22"/>
  <c r="L388" i="22"/>
  <c r="K388" i="22"/>
  <c r="J388" i="22"/>
  <c r="I75" i="22"/>
  <c r="H75" i="22"/>
  <c r="G75" i="22"/>
  <c r="Q387" i="22"/>
  <c r="P387" i="22"/>
  <c r="N387" i="22"/>
  <c r="M387" i="22"/>
  <c r="L387" i="22"/>
  <c r="K387" i="22"/>
  <c r="J387" i="22"/>
  <c r="I74" i="22"/>
  <c r="H74" i="22"/>
  <c r="G74" i="22"/>
  <c r="Q386" i="22"/>
  <c r="P386" i="22"/>
  <c r="O386" i="22"/>
  <c r="N386" i="22"/>
  <c r="M386" i="22"/>
  <c r="K386" i="22"/>
  <c r="J386" i="22"/>
  <c r="I73" i="22"/>
  <c r="H73" i="22"/>
  <c r="G73" i="22"/>
  <c r="Q385" i="22"/>
  <c r="P385" i="22"/>
  <c r="O385" i="22"/>
  <c r="N385" i="22"/>
  <c r="M385" i="22"/>
  <c r="J385" i="22"/>
  <c r="I72" i="22"/>
  <c r="H72" i="22"/>
  <c r="G72" i="22"/>
  <c r="Q384" i="22"/>
  <c r="O384" i="22"/>
  <c r="N384" i="22"/>
  <c r="M384" i="22"/>
  <c r="L384" i="22"/>
  <c r="K384" i="22"/>
  <c r="J384" i="22"/>
  <c r="I71" i="22"/>
  <c r="H71" i="22"/>
  <c r="G71" i="22"/>
  <c r="Q383" i="22"/>
  <c r="O383" i="22"/>
  <c r="N383" i="22"/>
  <c r="M383" i="22"/>
  <c r="K383" i="22"/>
  <c r="J383" i="22"/>
  <c r="I70" i="22"/>
  <c r="H70" i="22"/>
  <c r="G70" i="22"/>
  <c r="Q382" i="22"/>
  <c r="P382" i="22"/>
  <c r="N382" i="22"/>
  <c r="M382" i="22"/>
  <c r="L382" i="22"/>
  <c r="J382" i="22"/>
  <c r="I69" i="22"/>
  <c r="H69" i="22"/>
  <c r="G69" i="22"/>
  <c r="Q381" i="22"/>
  <c r="P381" i="22"/>
  <c r="O381" i="22"/>
  <c r="N381" i="22"/>
  <c r="M381" i="22"/>
  <c r="L381" i="22"/>
  <c r="K381" i="22"/>
  <c r="J381" i="22"/>
  <c r="I68" i="22"/>
  <c r="H68" i="22"/>
  <c r="G68" i="22"/>
  <c r="Q380" i="22"/>
  <c r="P380" i="22"/>
  <c r="O380" i="22"/>
  <c r="N380" i="22"/>
  <c r="M380" i="22"/>
  <c r="L380" i="22"/>
  <c r="K380" i="22"/>
  <c r="J380" i="22"/>
  <c r="I67" i="22"/>
  <c r="H67" i="22"/>
  <c r="G67" i="22"/>
  <c r="Q379" i="22"/>
  <c r="O379" i="22"/>
  <c r="N379" i="22"/>
  <c r="M379" i="22"/>
  <c r="K379" i="22"/>
  <c r="J379" i="22"/>
  <c r="I66" i="22"/>
  <c r="H66" i="22"/>
  <c r="G66" i="22"/>
  <c r="H58" i="22"/>
  <c r="G58" i="22"/>
  <c r="F58" i="22"/>
  <c r="E58" i="22"/>
  <c r="H55" i="22"/>
  <c r="G55" i="22"/>
  <c r="H54" i="22"/>
  <c r="G54" i="22"/>
  <c r="F54" i="22"/>
  <c r="E54" i="22"/>
  <c r="H51" i="22"/>
  <c r="G51" i="22"/>
  <c r="H50" i="22"/>
  <c r="G50" i="22"/>
  <c r="F50" i="22"/>
  <c r="E50" i="22"/>
  <c r="H47" i="22"/>
  <c r="G47" i="22"/>
  <c r="L58" i="22"/>
  <c r="F57" i="22"/>
  <c r="K55" i="22"/>
  <c r="F55" i="22"/>
  <c r="I388" i="22"/>
  <c r="G388" i="22"/>
  <c r="F388" i="22"/>
  <c r="E388" i="22"/>
  <c r="C388" i="22"/>
  <c r="B388" i="22"/>
  <c r="I23" i="22"/>
  <c r="H23" i="22"/>
  <c r="G23" i="22"/>
  <c r="I387" i="22"/>
  <c r="F387" i="22"/>
  <c r="E387" i="22"/>
  <c r="D387" i="22"/>
  <c r="B387" i="22"/>
  <c r="I22" i="22"/>
  <c r="H22" i="22"/>
  <c r="G22" i="22"/>
  <c r="I386" i="22"/>
  <c r="H386" i="22"/>
  <c r="F386" i="22"/>
  <c r="E386" i="22"/>
  <c r="D386" i="22"/>
  <c r="C386" i="22"/>
  <c r="B386" i="22"/>
  <c r="I21" i="22"/>
  <c r="H21" i="22"/>
  <c r="G21" i="22"/>
  <c r="I385" i="22"/>
  <c r="H385" i="22"/>
  <c r="G385" i="22"/>
  <c r="E385" i="22"/>
  <c r="D385" i="22"/>
  <c r="C385" i="22"/>
  <c r="B385" i="22"/>
  <c r="I20" i="22"/>
  <c r="H20" i="22"/>
  <c r="G20" i="22"/>
  <c r="I384" i="22"/>
  <c r="H384" i="22"/>
  <c r="G384" i="22"/>
  <c r="F384" i="22"/>
  <c r="E384" i="22"/>
  <c r="C384" i="22"/>
  <c r="B384" i="22"/>
  <c r="I19" i="22"/>
  <c r="H19" i="22"/>
  <c r="G19" i="22"/>
  <c r="I383" i="22"/>
  <c r="G383" i="22"/>
  <c r="F383" i="22"/>
  <c r="E383" i="22"/>
  <c r="D383" i="22"/>
  <c r="B383" i="22"/>
  <c r="I18" i="22"/>
  <c r="H18" i="22"/>
  <c r="G18" i="22"/>
  <c r="I382" i="22"/>
  <c r="H382" i="22"/>
  <c r="F382" i="22"/>
  <c r="E382" i="22"/>
  <c r="D382" i="22"/>
  <c r="C382" i="22"/>
  <c r="B382" i="22"/>
  <c r="I17" i="22"/>
  <c r="H17" i="22"/>
  <c r="G17" i="22"/>
  <c r="I381" i="22"/>
  <c r="H381" i="22"/>
  <c r="G381" i="22"/>
  <c r="E381" i="22"/>
  <c r="D381" i="22"/>
  <c r="C381" i="22"/>
  <c r="B381" i="22"/>
  <c r="I16" i="22"/>
  <c r="H16" i="22"/>
  <c r="G16" i="22"/>
  <c r="I380" i="22"/>
  <c r="H380" i="22"/>
  <c r="G380" i="22"/>
  <c r="F380" i="22"/>
  <c r="E380" i="22"/>
  <c r="B380" i="22"/>
  <c r="I15" i="22"/>
  <c r="H15" i="22"/>
  <c r="G15" i="22"/>
  <c r="I379" i="22"/>
  <c r="G379" i="22"/>
  <c r="F379" i="22"/>
  <c r="E379" i="22"/>
  <c r="D379" i="22"/>
  <c r="C379" i="22"/>
  <c r="B379" i="22"/>
  <c r="I14" i="22"/>
  <c r="H14" i="22"/>
  <c r="G14" i="22"/>
  <c r="B116" i="21"/>
  <c r="C115" i="21" s="1"/>
  <c r="I83" i="21"/>
  <c r="H83" i="21"/>
  <c r="G83" i="21"/>
  <c r="I82" i="21"/>
  <c r="H82" i="21"/>
  <c r="G82" i="21"/>
  <c r="I81" i="21"/>
  <c r="H81" i="21"/>
  <c r="G81" i="21"/>
  <c r="I80" i="21"/>
  <c r="H80" i="21"/>
  <c r="G80" i="21"/>
  <c r="I79" i="21"/>
  <c r="H79" i="21"/>
  <c r="G79" i="21"/>
  <c r="I78" i="21"/>
  <c r="H78" i="21"/>
  <c r="G78" i="21"/>
  <c r="I77" i="21"/>
  <c r="H77" i="21"/>
  <c r="G77" i="21"/>
  <c r="I76" i="21"/>
  <c r="H76" i="21"/>
  <c r="G76" i="21"/>
  <c r="I75" i="21"/>
  <c r="H75" i="21"/>
  <c r="G75" i="21"/>
  <c r="I74" i="21"/>
  <c r="H74" i="21"/>
  <c r="G74" i="21"/>
  <c r="I53" i="21"/>
  <c r="H53" i="21"/>
  <c r="G53" i="21"/>
  <c r="I52" i="21"/>
  <c r="H52" i="21"/>
  <c r="G52" i="21"/>
  <c r="I51" i="21"/>
  <c r="H51" i="21"/>
  <c r="G51" i="21"/>
  <c r="I50" i="21"/>
  <c r="H50" i="21"/>
  <c r="G50" i="21"/>
  <c r="I49" i="21"/>
  <c r="H49" i="21"/>
  <c r="G49" i="21"/>
  <c r="I48" i="21"/>
  <c r="H48" i="21"/>
  <c r="G48" i="21"/>
  <c r="I47" i="21"/>
  <c r="H47" i="21"/>
  <c r="G47" i="21"/>
  <c r="I46" i="21"/>
  <c r="H46" i="21"/>
  <c r="G46" i="21"/>
  <c r="I45" i="21"/>
  <c r="H45" i="21"/>
  <c r="G45" i="21"/>
  <c r="I44" i="21"/>
  <c r="H44" i="21"/>
  <c r="G44" i="21"/>
  <c r="I23" i="21"/>
  <c r="H23" i="21"/>
  <c r="G23" i="21"/>
  <c r="I22" i="21"/>
  <c r="H22" i="21"/>
  <c r="G22" i="21"/>
  <c r="I21" i="21"/>
  <c r="H21" i="21"/>
  <c r="G21" i="21"/>
  <c r="I20" i="21"/>
  <c r="H20" i="21"/>
  <c r="G20" i="21"/>
  <c r="I19" i="21"/>
  <c r="H19" i="21"/>
  <c r="G19" i="21"/>
  <c r="I18" i="21"/>
  <c r="H18" i="21"/>
  <c r="G18" i="21"/>
  <c r="I17" i="21"/>
  <c r="H17" i="21"/>
  <c r="G17" i="21"/>
  <c r="I16" i="21"/>
  <c r="H16" i="21"/>
  <c r="G16" i="21"/>
  <c r="I15" i="21"/>
  <c r="H15" i="21"/>
  <c r="G15" i="21"/>
  <c r="I14" i="21"/>
  <c r="H14" i="21"/>
  <c r="G14" i="21"/>
  <c r="C134" i="19"/>
  <c r="C133" i="19"/>
  <c r="I83" i="19"/>
  <c r="H83" i="19"/>
  <c r="G83" i="19"/>
  <c r="I82" i="19"/>
  <c r="H82" i="19"/>
  <c r="G8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53" i="19"/>
  <c r="H53" i="19"/>
  <c r="G53" i="19"/>
  <c r="I52" i="19"/>
  <c r="H52" i="19"/>
  <c r="G5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23" i="19"/>
  <c r="H23" i="19"/>
  <c r="G23" i="19"/>
  <c r="I22" i="19"/>
  <c r="H22" i="19"/>
  <c r="G2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B208" i="19" l="1"/>
  <c r="C208" i="19"/>
  <c r="D208" i="19"/>
  <c r="B209" i="19"/>
  <c r="C209" i="19"/>
  <c r="D209" i="19"/>
  <c r="B210" i="19"/>
  <c r="C210" i="19"/>
  <c r="D210" i="19"/>
  <c r="B211" i="19"/>
  <c r="C211" i="19"/>
  <c r="D211" i="19"/>
  <c r="B212" i="19"/>
  <c r="C212" i="19"/>
  <c r="D212" i="19"/>
  <c r="B213" i="19"/>
  <c r="C213" i="19"/>
  <c r="D213" i="19"/>
  <c r="B214" i="19"/>
  <c r="C214" i="19"/>
  <c r="D214" i="19"/>
  <c r="B215" i="19"/>
  <c r="C215" i="19"/>
  <c r="D215" i="19"/>
  <c r="B216" i="19"/>
  <c r="C216" i="19"/>
  <c r="D216" i="19"/>
  <c r="D207" i="19"/>
  <c r="D233" i="19" s="1"/>
  <c r="C207" i="19"/>
  <c r="B207" i="19"/>
  <c r="X291" i="23"/>
  <c r="T292" i="23"/>
  <c r="C289" i="23"/>
  <c r="X292" i="23"/>
  <c r="D289" i="23"/>
  <c r="H289" i="23"/>
  <c r="E250" i="23"/>
  <c r="I289" i="23"/>
  <c r="W292" i="23"/>
  <c r="R292" i="23"/>
  <c r="W291" i="23"/>
  <c r="G289" i="23"/>
  <c r="Y292" i="23"/>
  <c r="T291" i="23"/>
  <c r="V292" i="23"/>
  <c r="E289" i="23"/>
  <c r="U292" i="23"/>
  <c r="Y291" i="23"/>
  <c r="B334" i="22"/>
  <c r="D331" i="22"/>
  <c r="C330" i="22"/>
  <c r="D326" i="22"/>
  <c r="B323" i="22"/>
  <c r="D321" i="22"/>
  <c r="C314" i="22"/>
  <c r="D315" i="22"/>
  <c r="B329" i="22"/>
  <c r="C319" i="22"/>
  <c r="C309" i="22"/>
  <c r="D310" i="22"/>
  <c r="L43" i="28"/>
  <c r="P43" i="28"/>
  <c r="BV23" i="24"/>
  <c r="BV22" i="24"/>
  <c r="BV21" i="24"/>
  <c r="L58" i="24"/>
  <c r="L55" i="24"/>
  <c r="L57" i="24"/>
  <c r="L54" i="24"/>
  <c r="L51" i="24"/>
  <c r="L53" i="24"/>
  <c r="L50" i="24"/>
  <c r="L47" i="24"/>
  <c r="L49" i="24"/>
  <c r="U291" i="23"/>
  <c r="R291" i="23"/>
  <c r="I133" i="23"/>
  <c r="J161" i="23"/>
  <c r="J157" i="23"/>
  <c r="J153" i="23"/>
  <c r="J160" i="23"/>
  <c r="J156" i="23"/>
  <c r="I156" i="23"/>
  <c r="I152" i="23"/>
  <c r="E57" i="23"/>
  <c r="E49" i="23"/>
  <c r="E53" i="23"/>
  <c r="L157" i="23"/>
  <c r="L153" i="23"/>
  <c r="L57" i="23"/>
  <c r="L49" i="23"/>
  <c r="B270" i="23"/>
  <c r="C298" i="23" s="1"/>
  <c r="E257" i="23"/>
  <c r="B267" i="23"/>
  <c r="B295" i="23" s="1"/>
  <c r="E254" i="23"/>
  <c r="E252" i="23"/>
  <c r="C265" i="23"/>
  <c r="S290" i="23"/>
  <c r="Y290" i="23"/>
  <c r="T290" i="23"/>
  <c r="U290" i="23"/>
  <c r="W290" i="23"/>
  <c r="X290" i="23"/>
  <c r="V290" i="23"/>
  <c r="R290" i="23"/>
  <c r="W289" i="23"/>
  <c r="R289" i="23"/>
  <c r="BV127" i="23"/>
  <c r="BV126" i="23"/>
  <c r="BV125" i="23"/>
  <c r="BV123" i="23"/>
  <c r="BV124" i="23"/>
  <c r="BV23" i="23"/>
  <c r="BV22" i="23"/>
  <c r="BV21" i="23"/>
  <c r="BV20" i="23"/>
  <c r="BV19" i="23"/>
  <c r="BV17" i="23"/>
  <c r="BV14" i="23"/>
  <c r="J49" i="23"/>
  <c r="J53" i="23"/>
  <c r="J57" i="23"/>
  <c r="I29" i="23"/>
  <c r="J27" i="28"/>
  <c r="J43" i="28" s="1"/>
  <c r="K27" i="28"/>
  <c r="F27" i="28"/>
  <c r="F43" i="28" s="1"/>
  <c r="G27" i="28"/>
  <c r="Q290" i="23"/>
  <c r="M290" i="23"/>
  <c r="N290" i="23"/>
  <c r="L290" i="23"/>
  <c r="P290" i="23"/>
  <c r="J290" i="23"/>
  <c r="K290" i="23"/>
  <c r="O290" i="23"/>
  <c r="X294" i="23"/>
  <c r="E253" i="23"/>
  <c r="V291" i="23"/>
  <c r="M289" i="23"/>
  <c r="O289" i="23"/>
  <c r="P289" i="23"/>
  <c r="Q289" i="23"/>
  <c r="L289" i="23"/>
  <c r="K289" i="23"/>
  <c r="AA289" i="23" s="1"/>
  <c r="N289" i="23"/>
  <c r="F290" i="23"/>
  <c r="C290" i="23"/>
  <c r="D290" i="23"/>
  <c r="AB290" i="23" s="1"/>
  <c r="H290" i="23"/>
  <c r="I290" i="23"/>
  <c r="G290" i="23"/>
  <c r="E290" i="23"/>
  <c r="AC290" i="23" s="1"/>
  <c r="J295" i="23"/>
  <c r="M295" i="23"/>
  <c r="N295" i="23"/>
  <c r="K295" i="23"/>
  <c r="O295" i="23"/>
  <c r="Q295" i="23"/>
  <c r="L295" i="23"/>
  <c r="S295" i="23"/>
  <c r="W295" i="23"/>
  <c r="T295" i="23"/>
  <c r="U295" i="23"/>
  <c r="V295" i="23"/>
  <c r="X295" i="23"/>
  <c r="Y295" i="23"/>
  <c r="E248" i="23"/>
  <c r="K297" i="23"/>
  <c r="P297" i="23"/>
  <c r="O297" i="23"/>
  <c r="M297" i="23"/>
  <c r="Q297" i="23"/>
  <c r="L297" i="23"/>
  <c r="I293" i="23"/>
  <c r="E293" i="23"/>
  <c r="C293" i="23"/>
  <c r="F293" i="23"/>
  <c r="H293" i="23"/>
  <c r="D293" i="23"/>
  <c r="G293" i="23"/>
  <c r="R296" i="23"/>
  <c r="T296" i="23"/>
  <c r="X296" i="23"/>
  <c r="Y296" i="23"/>
  <c r="S296" i="23"/>
  <c r="U296" i="23"/>
  <c r="W296" i="23"/>
  <c r="Q293" i="23"/>
  <c r="L293" i="23"/>
  <c r="O293" i="23"/>
  <c r="P293" i="23"/>
  <c r="K293" i="23"/>
  <c r="AA293" i="23" s="1"/>
  <c r="M293" i="23"/>
  <c r="Q292" i="23"/>
  <c r="O292" i="23"/>
  <c r="L292" i="23"/>
  <c r="N292" i="23"/>
  <c r="P292" i="23"/>
  <c r="K292" i="23"/>
  <c r="P295" i="23"/>
  <c r="B266" i="23"/>
  <c r="H298" i="23"/>
  <c r="D298" i="23"/>
  <c r="O291" i="23"/>
  <c r="M291" i="23"/>
  <c r="Q291" i="23"/>
  <c r="K291" i="23"/>
  <c r="AA291" i="23" s="1"/>
  <c r="N291" i="23"/>
  <c r="E297" i="23"/>
  <c r="I297" i="23"/>
  <c r="C297" i="23"/>
  <c r="AA297" i="23" s="1"/>
  <c r="G297" i="23"/>
  <c r="F297" i="23"/>
  <c r="D297" i="23"/>
  <c r="H297" i="23"/>
  <c r="F295" i="23"/>
  <c r="I295" i="23"/>
  <c r="M292" i="23"/>
  <c r="V296" i="23"/>
  <c r="N293" i="23"/>
  <c r="H296" i="23"/>
  <c r="D296" i="23"/>
  <c r="F296" i="23"/>
  <c r="I296" i="23"/>
  <c r="G296" i="23"/>
  <c r="E296" i="23"/>
  <c r="C296" i="23"/>
  <c r="B264" i="23"/>
  <c r="E264" i="23" s="1"/>
  <c r="Y297" i="23"/>
  <c r="U297" i="23"/>
  <c r="T297" i="23"/>
  <c r="V297" i="23"/>
  <c r="X297" i="23"/>
  <c r="R295" i="23"/>
  <c r="N298" i="23"/>
  <c r="Q298" i="23"/>
  <c r="P298" i="23"/>
  <c r="M298" i="23"/>
  <c r="L298" i="23"/>
  <c r="L296" i="23"/>
  <c r="P296" i="23"/>
  <c r="M296" i="23"/>
  <c r="N296" i="23"/>
  <c r="K296" i="23"/>
  <c r="AA296" i="23" s="1"/>
  <c r="Q296" i="23"/>
  <c r="O296" i="23"/>
  <c r="E255" i="23"/>
  <c r="R294" i="23"/>
  <c r="V294" i="23"/>
  <c r="W294" i="23"/>
  <c r="Y294" i="23"/>
  <c r="S294" i="23"/>
  <c r="U294" i="23"/>
  <c r="L291" i="23"/>
  <c r="AB291" i="23" s="1"/>
  <c r="P291" i="23"/>
  <c r="Y289" i="23"/>
  <c r="T289" i="23"/>
  <c r="U289" i="23"/>
  <c r="V289" i="23"/>
  <c r="AD289" i="23" s="1"/>
  <c r="X289" i="23"/>
  <c r="N297" i="23"/>
  <c r="K298" i="23"/>
  <c r="W297" i="23"/>
  <c r="L56" i="24"/>
  <c r="L52" i="24"/>
  <c r="I57" i="24"/>
  <c r="S201" i="24"/>
  <c r="O201" i="24"/>
  <c r="F201" i="24"/>
  <c r="M201" i="24"/>
  <c r="L199" i="24"/>
  <c r="P198" i="24"/>
  <c r="R203" i="24"/>
  <c r="M199" i="24"/>
  <c r="X204" i="24"/>
  <c r="Q197" i="24"/>
  <c r="M202" i="24"/>
  <c r="E205" i="24"/>
  <c r="F203" i="24"/>
  <c r="F196" i="24"/>
  <c r="T203" i="24"/>
  <c r="Y204" i="24"/>
  <c r="H196" i="24"/>
  <c r="S196" i="24"/>
  <c r="N198" i="24"/>
  <c r="H203" i="24"/>
  <c r="J200" i="24"/>
  <c r="G204" i="24"/>
  <c r="L204" i="24"/>
  <c r="H198" i="24"/>
  <c r="Y197" i="24"/>
  <c r="V205" i="24"/>
  <c r="K204" i="24"/>
  <c r="B198" i="24"/>
  <c r="S198" i="24"/>
  <c r="U199" i="24"/>
  <c r="O197" i="24"/>
  <c r="W201" i="24"/>
  <c r="J199" i="24"/>
  <c r="R199" i="24"/>
  <c r="F198" i="24"/>
  <c r="V196" i="24"/>
  <c r="K197" i="24"/>
  <c r="P204" i="24"/>
  <c r="I202" i="24"/>
  <c r="C204" i="24"/>
  <c r="E201" i="24"/>
  <c r="M196" i="24"/>
  <c r="L203" i="24"/>
  <c r="Y200" i="24"/>
  <c r="K199" i="24"/>
  <c r="Y203" i="24"/>
  <c r="B205" i="24"/>
  <c r="L202" i="24"/>
  <c r="Y205" i="24"/>
  <c r="B199" i="24"/>
  <c r="X200" i="24"/>
  <c r="B200" i="24"/>
  <c r="Q198" i="24"/>
  <c r="T199" i="24"/>
  <c r="K196" i="24"/>
  <c r="T201" i="24"/>
  <c r="N201" i="24"/>
  <c r="K205" i="24"/>
  <c r="I200" i="24"/>
  <c r="H201" i="24"/>
  <c r="D202" i="24"/>
  <c r="P205" i="24"/>
  <c r="H200" i="24"/>
  <c r="M200" i="24"/>
  <c r="X198" i="24"/>
  <c r="C200" i="24"/>
  <c r="T200" i="24"/>
  <c r="G196" i="24"/>
  <c r="I199" i="24"/>
  <c r="L108" i="24"/>
  <c r="V202" i="24"/>
  <c r="X196" i="24"/>
  <c r="R197" i="24"/>
  <c r="P197" i="24"/>
  <c r="K198" i="24"/>
  <c r="I197" i="24"/>
  <c r="I205" i="24"/>
  <c r="M204" i="24"/>
  <c r="U204" i="24"/>
  <c r="J202" i="24"/>
  <c r="U198" i="24"/>
  <c r="I198" i="24"/>
  <c r="J203" i="24"/>
  <c r="N197" i="24"/>
  <c r="B202" i="24"/>
  <c r="J197" i="24"/>
  <c r="J205" i="24"/>
  <c r="S202" i="24"/>
  <c r="B197" i="24"/>
  <c r="J196" i="24"/>
  <c r="M203" i="24"/>
  <c r="G198" i="24"/>
  <c r="U203" i="24"/>
  <c r="E203" i="24"/>
  <c r="N199" i="24"/>
  <c r="V201" i="24"/>
  <c r="C199" i="24"/>
  <c r="V199" i="24"/>
  <c r="H205" i="24"/>
  <c r="E204" i="24"/>
  <c r="J198" i="24"/>
  <c r="F204" i="24"/>
  <c r="R202" i="24"/>
  <c r="H204" i="24"/>
  <c r="J201" i="24"/>
  <c r="X202" i="24"/>
  <c r="K203" i="24"/>
  <c r="E200" i="24"/>
  <c r="N200" i="24"/>
  <c r="G202" i="24"/>
  <c r="B204" i="24"/>
  <c r="K202" i="24"/>
  <c r="F197" i="24"/>
  <c r="Q199" i="24"/>
  <c r="R200" i="24"/>
  <c r="W198" i="24"/>
  <c r="D201" i="24"/>
  <c r="H202" i="24"/>
  <c r="L205" i="24"/>
  <c r="L104" i="24"/>
  <c r="T196" i="24"/>
  <c r="U202" i="24"/>
  <c r="E199" i="24"/>
  <c r="P203" i="24"/>
  <c r="O199" i="24"/>
  <c r="P200" i="24"/>
  <c r="I196" i="24"/>
  <c r="I204" i="24"/>
  <c r="J204" i="24"/>
  <c r="R204" i="24"/>
  <c r="H197" i="24"/>
  <c r="N202" i="24"/>
  <c r="Q202" i="24"/>
  <c r="S199" i="24"/>
  <c r="R196" i="24"/>
  <c r="B203" i="24"/>
  <c r="V197" i="24"/>
  <c r="I201" i="24"/>
  <c r="P199" i="24"/>
  <c r="W202" i="24"/>
  <c r="I49" i="24"/>
  <c r="S205" i="24"/>
  <c r="R198" i="24"/>
  <c r="Y196" i="24"/>
  <c r="L197" i="24"/>
  <c r="V198" i="24"/>
  <c r="C205" i="24"/>
  <c r="N204" i="24"/>
  <c r="N203" i="24"/>
  <c r="K201" i="24"/>
  <c r="D203" i="24"/>
  <c r="B196" i="24"/>
  <c r="N205" i="24"/>
  <c r="P196" i="24"/>
  <c r="X197" i="24"/>
  <c r="F199" i="24"/>
  <c r="M198" i="24"/>
  <c r="R201" i="24"/>
  <c r="E197" i="24"/>
  <c r="S203" i="24"/>
  <c r="U200" i="24"/>
  <c r="U201" i="24"/>
  <c r="M197" i="24"/>
  <c r="Q200" i="24"/>
  <c r="U197" i="24"/>
  <c r="R205" i="24"/>
  <c r="M205" i="24"/>
  <c r="G200" i="24"/>
  <c r="L156" i="24"/>
  <c r="P201" i="24"/>
  <c r="C197" i="24"/>
  <c r="X201" i="24"/>
  <c r="T202" i="24"/>
  <c r="H199" i="24"/>
  <c r="V204" i="24"/>
  <c r="Q201" i="24"/>
  <c r="F202" i="24"/>
  <c r="F205" i="24"/>
  <c r="P202" i="24"/>
  <c r="U205" i="24"/>
  <c r="O205" i="24"/>
  <c r="Y199" i="24"/>
  <c r="D198" i="24"/>
  <c r="I203" i="24"/>
  <c r="S197" i="24"/>
  <c r="T205" i="24"/>
  <c r="D200" i="24"/>
  <c r="C196" i="24"/>
  <c r="E196" i="24"/>
  <c r="Y198" i="24"/>
  <c r="E198" i="24"/>
  <c r="X205" i="24"/>
  <c r="L160" i="24"/>
  <c r="C202" i="24"/>
  <c r="O203" i="24"/>
  <c r="U196" i="24"/>
  <c r="L201" i="24"/>
  <c r="C201" i="24"/>
  <c r="D196" i="24"/>
  <c r="Q196" i="24"/>
  <c r="C198" i="24"/>
  <c r="E202" i="24"/>
  <c r="B201" i="24"/>
  <c r="N196" i="24"/>
  <c r="Q203" i="24"/>
  <c r="V200" i="24"/>
  <c r="W196" i="24"/>
  <c r="Q205" i="24"/>
  <c r="T204" i="24"/>
  <c r="K200" i="24"/>
  <c r="Y202" i="24"/>
  <c r="G197" i="24"/>
  <c r="S204" i="24"/>
  <c r="S200" i="24"/>
  <c r="W203" i="24"/>
  <c r="T197" i="24"/>
  <c r="L196" i="24"/>
  <c r="W205" i="24"/>
  <c r="W200" i="24"/>
  <c r="G203" i="24"/>
  <c r="Y201" i="24"/>
  <c r="G201" i="24"/>
  <c r="O196" i="24"/>
  <c r="O204" i="24"/>
  <c r="D199" i="24"/>
  <c r="W204" i="24"/>
  <c r="F200" i="24"/>
  <c r="O198" i="24"/>
  <c r="W197" i="24"/>
  <c r="G199" i="24"/>
  <c r="O202" i="24"/>
  <c r="G205" i="24"/>
  <c r="Q204" i="24"/>
  <c r="L198" i="24"/>
  <c r="O200" i="24"/>
  <c r="W199" i="24"/>
  <c r="D197" i="24"/>
  <c r="X199" i="24"/>
  <c r="X203" i="24"/>
  <c r="C203" i="24"/>
  <c r="V203" i="24"/>
  <c r="D204" i="24"/>
  <c r="I109" i="24"/>
  <c r="I105" i="24"/>
  <c r="I101" i="24"/>
  <c r="T198" i="24"/>
  <c r="L200" i="24"/>
  <c r="B293" i="23"/>
  <c r="B289" i="23"/>
  <c r="J297" i="23"/>
  <c r="E268" i="23"/>
  <c r="J298" i="23"/>
  <c r="E269" i="23"/>
  <c r="J296" i="23"/>
  <c r="J292" i="23"/>
  <c r="J289" i="23"/>
  <c r="E261" i="23"/>
  <c r="E262" i="23"/>
  <c r="J291" i="23"/>
  <c r="Z291" i="23" s="1"/>
  <c r="E263" i="23"/>
  <c r="B290" i="23"/>
  <c r="L160" i="23"/>
  <c r="L152" i="23"/>
  <c r="E265" i="23"/>
  <c r="J293" i="23"/>
  <c r="L108" i="23"/>
  <c r="B296" i="23"/>
  <c r="L100" i="23"/>
  <c r="R297" i="23"/>
  <c r="L52" i="23"/>
  <c r="I161" i="23"/>
  <c r="I157" i="23"/>
  <c r="I153" i="23"/>
  <c r="L56" i="23"/>
  <c r="E270" i="23"/>
  <c r="I109" i="23"/>
  <c r="I105" i="23"/>
  <c r="I101" i="23"/>
  <c r="B310" i="22"/>
  <c r="C310" i="22"/>
  <c r="D311" i="22"/>
  <c r="D323" i="22"/>
  <c r="D329" i="22"/>
  <c r="D346" i="22"/>
  <c r="D345" i="22"/>
  <c r="C345" i="22"/>
  <c r="B347" i="22"/>
  <c r="D341" i="22"/>
  <c r="C343" i="22"/>
  <c r="B343" i="22"/>
  <c r="B342" i="22"/>
  <c r="D339" i="22"/>
  <c r="C339" i="22"/>
  <c r="C338" i="22"/>
  <c r="B338" i="22"/>
  <c r="B337" i="22"/>
  <c r="D335" i="22"/>
  <c r="D334" i="22"/>
  <c r="C334" i="22"/>
  <c r="C333" i="22"/>
  <c r="B333" i="22"/>
  <c r="D330" i="22"/>
  <c r="C329" i="22"/>
  <c r="B331" i="22"/>
  <c r="D325" i="22"/>
  <c r="C327" i="22"/>
  <c r="C325" i="22"/>
  <c r="B327" i="22"/>
  <c r="B326" i="22"/>
  <c r="C323" i="22"/>
  <c r="C322" i="22"/>
  <c r="B322" i="22"/>
  <c r="B321" i="22"/>
  <c r="D319" i="22"/>
  <c r="D318" i="22"/>
  <c r="C318" i="22"/>
  <c r="C317" i="22"/>
  <c r="B318" i="22"/>
  <c r="B317" i="22"/>
  <c r="D314" i="22"/>
  <c r="D313" i="22"/>
  <c r="C313" i="22"/>
  <c r="B315" i="22"/>
  <c r="B313" i="22"/>
  <c r="D309" i="22"/>
  <c r="C311" i="22"/>
  <c r="B311" i="22"/>
  <c r="B309" i="22"/>
  <c r="B351" i="22" s="1"/>
  <c r="B314" i="22"/>
  <c r="C315" i="22"/>
  <c r="D317" i="22"/>
  <c r="B319" i="22"/>
  <c r="C321" i="22"/>
  <c r="D322" i="22"/>
  <c r="B325" i="22"/>
  <c r="C326" i="22"/>
  <c r="D327" i="22"/>
  <c r="B330" i="22"/>
  <c r="C331" i="22"/>
  <c r="D333" i="22"/>
  <c r="B335" i="22"/>
  <c r="C337" i="22"/>
  <c r="D338" i="22"/>
  <c r="B341" i="22"/>
  <c r="C342" i="22"/>
  <c r="D343" i="22"/>
  <c r="B346" i="22"/>
  <c r="C347" i="22"/>
  <c r="J125" i="22"/>
  <c r="J123" i="22"/>
  <c r="J19" i="22"/>
  <c r="J14" i="22"/>
  <c r="J16" i="22"/>
  <c r="J20" i="22"/>
  <c r="J102" i="22"/>
  <c r="J124" i="22"/>
  <c r="J68" i="22"/>
  <c r="I108" i="22"/>
  <c r="J119" i="22"/>
  <c r="J71" i="22"/>
  <c r="J75" i="22"/>
  <c r="G56" i="22"/>
  <c r="J67" i="22"/>
  <c r="J74" i="22"/>
  <c r="F108" i="22"/>
  <c r="J122" i="22"/>
  <c r="J127" i="22"/>
  <c r="G52" i="22"/>
  <c r="K56" i="22"/>
  <c r="J22" i="22"/>
  <c r="K51" i="22"/>
  <c r="L55" i="22"/>
  <c r="J73" i="22"/>
  <c r="F100" i="22"/>
  <c r="I106" i="22"/>
  <c r="J110" i="22"/>
  <c r="J120" i="22"/>
  <c r="J126" i="22"/>
  <c r="K108" i="22"/>
  <c r="K100" i="22"/>
  <c r="K47" i="22"/>
  <c r="K50" i="22"/>
  <c r="L51" i="22"/>
  <c r="J66" i="22"/>
  <c r="H104" i="22"/>
  <c r="G100" i="22"/>
  <c r="K102" i="22"/>
  <c r="K106" i="22"/>
  <c r="G108" i="22"/>
  <c r="K110" i="22"/>
  <c r="J17" i="22"/>
  <c r="L47" i="22"/>
  <c r="K58" i="22"/>
  <c r="G104" i="22"/>
  <c r="J121" i="22"/>
  <c r="L151" i="22"/>
  <c r="L155" i="22"/>
  <c r="L159" i="22"/>
  <c r="K48" i="22"/>
  <c r="K54" i="22"/>
  <c r="J18" i="22"/>
  <c r="J23" i="22"/>
  <c r="J70" i="22"/>
  <c r="J72" i="22"/>
  <c r="E99" i="22"/>
  <c r="E103" i="22"/>
  <c r="E107" i="22"/>
  <c r="J15" i="22"/>
  <c r="G48" i="22"/>
  <c r="F99" i="22"/>
  <c r="F103" i="22"/>
  <c r="F105" i="22"/>
  <c r="H153" i="22"/>
  <c r="H157" i="22"/>
  <c r="H161" i="22"/>
  <c r="L383" i="22"/>
  <c r="L107" i="22"/>
  <c r="L103" i="22"/>
  <c r="L99" i="22"/>
  <c r="K107" i="22"/>
  <c r="K99" i="22"/>
  <c r="K103" i="22"/>
  <c r="C383" i="22"/>
  <c r="C387" i="22"/>
  <c r="G387" i="22"/>
  <c r="F56" i="22"/>
  <c r="F52" i="22"/>
  <c r="F48" i="22"/>
  <c r="E56" i="22"/>
  <c r="E52" i="22"/>
  <c r="E48" i="22"/>
  <c r="H57" i="22"/>
  <c r="H53" i="22"/>
  <c r="H49" i="22"/>
  <c r="G49" i="22"/>
  <c r="L379" i="22"/>
  <c r="P383" i="22"/>
  <c r="G382" i="22"/>
  <c r="H383" i="22"/>
  <c r="D384" i="22"/>
  <c r="J21" i="22"/>
  <c r="G386" i="22"/>
  <c r="H387" i="22"/>
  <c r="J58" i="22"/>
  <c r="J54" i="22"/>
  <c r="J50" i="22"/>
  <c r="I58" i="22"/>
  <c r="I54" i="22"/>
  <c r="I50" i="22"/>
  <c r="G53" i="22"/>
  <c r="J69" i="22"/>
  <c r="K382" i="22"/>
  <c r="O382" i="22"/>
  <c r="U380" i="22"/>
  <c r="Y380" i="22"/>
  <c r="D380" i="22"/>
  <c r="C380" i="22"/>
  <c r="H379" i="22"/>
  <c r="F381" i="22"/>
  <c r="F385" i="22"/>
  <c r="D388" i="22"/>
  <c r="H388" i="22"/>
  <c r="G57" i="22"/>
  <c r="P379" i="22"/>
  <c r="L385" i="22"/>
  <c r="H109" i="22"/>
  <c r="H105" i="22"/>
  <c r="H101" i="22"/>
  <c r="G109" i="22"/>
  <c r="G101" i="22"/>
  <c r="G105" i="22"/>
  <c r="S382" i="22"/>
  <c r="W382" i="22"/>
  <c r="S386" i="22"/>
  <c r="W386" i="22"/>
  <c r="K162" i="22"/>
  <c r="K158" i="22"/>
  <c r="K154" i="22"/>
  <c r="L162" i="22"/>
  <c r="L158" i="22"/>
  <c r="L154" i="22"/>
  <c r="H48" i="22"/>
  <c r="L50" i="22"/>
  <c r="H52" i="22"/>
  <c r="L54" i="22"/>
  <c r="H56" i="22"/>
  <c r="L386" i="22"/>
  <c r="O387" i="22"/>
  <c r="L108" i="22"/>
  <c r="E104" i="22"/>
  <c r="T381" i="22"/>
  <c r="X381" i="22"/>
  <c r="E47" i="22"/>
  <c r="E51" i="22"/>
  <c r="E55" i="22"/>
  <c r="P384" i="22"/>
  <c r="P388" i="22"/>
  <c r="F101" i="22"/>
  <c r="F104" i="22"/>
  <c r="K104" i="22"/>
  <c r="J106" i="22"/>
  <c r="J118" i="22"/>
  <c r="S380" i="22"/>
  <c r="W380" i="22"/>
  <c r="Y382" i="22"/>
  <c r="T383" i="22"/>
  <c r="X383" i="22"/>
  <c r="V385" i="22"/>
  <c r="T387" i="22"/>
  <c r="X387" i="22"/>
  <c r="G160" i="22"/>
  <c r="G156" i="22"/>
  <c r="G152" i="22"/>
  <c r="C168" i="22"/>
  <c r="C167" i="22"/>
  <c r="C166" i="22"/>
  <c r="T379" i="22"/>
  <c r="F47" i="22"/>
  <c r="F49" i="22"/>
  <c r="F51" i="22"/>
  <c r="F53" i="22"/>
  <c r="K385" i="22"/>
  <c r="E100" i="22"/>
  <c r="I102" i="22"/>
  <c r="F159" i="22"/>
  <c r="F155" i="22"/>
  <c r="F151" i="22"/>
  <c r="E159" i="22"/>
  <c r="E155" i="22"/>
  <c r="E151" i="22"/>
  <c r="X379" i="22"/>
  <c r="L102" i="22"/>
  <c r="L106" i="22"/>
  <c r="E152" i="22"/>
  <c r="I154" i="22"/>
  <c r="E156" i="22"/>
  <c r="I158" i="22"/>
  <c r="E160" i="22"/>
  <c r="I162" i="22"/>
  <c r="Y386" i="22"/>
  <c r="F152" i="22"/>
  <c r="F153" i="22"/>
  <c r="J154" i="22"/>
  <c r="F156" i="22"/>
  <c r="F157" i="22"/>
  <c r="J158" i="22"/>
  <c r="K151" i="22"/>
  <c r="G153" i="22"/>
  <c r="K155" i="22"/>
  <c r="G157" i="22"/>
  <c r="J17" i="21"/>
  <c r="B103" i="21" s="1"/>
  <c r="J21" i="21"/>
  <c r="B280" i="21" s="1"/>
  <c r="J45" i="21"/>
  <c r="C274" i="21" s="1"/>
  <c r="J49" i="21"/>
  <c r="C278" i="21" s="1"/>
  <c r="J53" i="21"/>
  <c r="C282" i="21" s="1"/>
  <c r="J77" i="21"/>
  <c r="D276" i="21" s="1"/>
  <c r="J81" i="21"/>
  <c r="D280" i="21" s="1"/>
  <c r="J83" i="21"/>
  <c r="D109" i="21" s="1"/>
  <c r="J16" i="21"/>
  <c r="B275" i="21" s="1"/>
  <c r="J20" i="21"/>
  <c r="B106" i="21" s="1"/>
  <c r="J44" i="21"/>
  <c r="C100" i="21" s="1"/>
  <c r="J48" i="21"/>
  <c r="C277" i="21" s="1"/>
  <c r="J52" i="21"/>
  <c r="C108" i="21" s="1"/>
  <c r="J76" i="21"/>
  <c r="D102" i="21" s="1"/>
  <c r="J80" i="21"/>
  <c r="D106" i="21" s="1"/>
  <c r="J15" i="21"/>
  <c r="B101" i="21" s="1"/>
  <c r="J19" i="21"/>
  <c r="B278" i="21" s="1"/>
  <c r="J23" i="21"/>
  <c r="B109" i="21" s="1"/>
  <c r="J47" i="21"/>
  <c r="C103" i="21" s="1"/>
  <c r="J51" i="21"/>
  <c r="C280" i="21" s="1"/>
  <c r="J75" i="21"/>
  <c r="D274" i="21" s="1"/>
  <c r="J79" i="21"/>
  <c r="D105" i="21" s="1"/>
  <c r="J14" i="21"/>
  <c r="B273" i="21" s="1"/>
  <c r="J18" i="21"/>
  <c r="B277" i="21" s="1"/>
  <c r="J22" i="21"/>
  <c r="B108" i="21" s="1"/>
  <c r="J46" i="21"/>
  <c r="C275" i="21" s="1"/>
  <c r="J50" i="21"/>
  <c r="C106" i="21" s="1"/>
  <c r="J74" i="21"/>
  <c r="D273" i="21" s="1"/>
  <c r="J78" i="21"/>
  <c r="D104" i="21" s="1"/>
  <c r="J82" i="21"/>
  <c r="D108" i="21" s="1"/>
  <c r="C114" i="21"/>
  <c r="C113" i="21"/>
  <c r="J16" i="19"/>
  <c r="J44" i="19"/>
  <c r="J48" i="19"/>
  <c r="J52" i="19"/>
  <c r="J76" i="19"/>
  <c r="J80" i="19"/>
  <c r="J20" i="19"/>
  <c r="J15" i="19"/>
  <c r="J19" i="19"/>
  <c r="J23" i="19"/>
  <c r="J47" i="19"/>
  <c r="J51" i="19"/>
  <c r="J75" i="19"/>
  <c r="J79" i="19"/>
  <c r="J83" i="19"/>
  <c r="J14" i="19"/>
  <c r="J18" i="19"/>
  <c r="J22" i="19"/>
  <c r="J46" i="19"/>
  <c r="J50" i="19"/>
  <c r="J74" i="19"/>
  <c r="J78" i="19"/>
  <c r="J82" i="19"/>
  <c r="J17" i="19"/>
  <c r="J21" i="19"/>
  <c r="J45" i="19"/>
  <c r="J49" i="19"/>
  <c r="J53" i="19"/>
  <c r="J77" i="19"/>
  <c r="J81" i="19"/>
  <c r="B104" i="14"/>
  <c r="C103" i="14" s="1"/>
  <c r="I83" i="14"/>
  <c r="H83" i="14"/>
  <c r="G83" i="14"/>
  <c r="I82" i="14"/>
  <c r="H82" i="14"/>
  <c r="G8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53" i="14"/>
  <c r="H53" i="14"/>
  <c r="G53" i="14"/>
  <c r="I52" i="14"/>
  <c r="H52" i="14"/>
  <c r="G5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23" i="14"/>
  <c r="H23" i="14"/>
  <c r="G23" i="14"/>
  <c r="I22" i="14"/>
  <c r="H22" i="14"/>
  <c r="G2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B167" i="12"/>
  <c r="H161" i="12"/>
  <c r="G161" i="12"/>
  <c r="F161" i="12"/>
  <c r="E161" i="12"/>
  <c r="H158" i="12"/>
  <c r="G158" i="12"/>
  <c r="H157" i="12"/>
  <c r="G157" i="12"/>
  <c r="F157" i="12"/>
  <c r="E157" i="12"/>
  <c r="H154" i="12"/>
  <c r="G154" i="12"/>
  <c r="H153" i="12"/>
  <c r="G153" i="12"/>
  <c r="F153" i="12"/>
  <c r="E153" i="12"/>
  <c r="H150" i="12"/>
  <c r="G150" i="12"/>
  <c r="K153" i="12"/>
  <c r="BN126" i="12"/>
  <c r="Y186" i="12" s="1"/>
  <c r="BM126" i="12"/>
  <c r="X186" i="12" s="1"/>
  <c r="BL126" i="12"/>
  <c r="W186" i="12" s="1"/>
  <c r="BK126" i="12"/>
  <c r="BJ126" i="12"/>
  <c r="BI126" i="12"/>
  <c r="BQ126" i="12" s="1"/>
  <c r="BH126" i="12"/>
  <c r="BG126" i="12"/>
  <c r="I126" i="12"/>
  <c r="H126" i="12"/>
  <c r="G126" i="12"/>
  <c r="J126" i="12" s="1"/>
  <c r="BN125" i="12"/>
  <c r="Y185" i="12" s="1"/>
  <c r="BM125" i="12"/>
  <c r="X185" i="12" s="1"/>
  <c r="BL125" i="12"/>
  <c r="W185" i="12" s="1"/>
  <c r="BK125" i="12"/>
  <c r="V185" i="12" s="1"/>
  <c r="BJ125" i="12"/>
  <c r="BI125" i="12"/>
  <c r="BH125" i="12"/>
  <c r="BP125" i="12" s="1"/>
  <c r="BG125" i="12"/>
  <c r="I125" i="12"/>
  <c r="H125" i="12"/>
  <c r="G125" i="12"/>
  <c r="BN124" i="12"/>
  <c r="Y184" i="12" s="1"/>
  <c r="BM124" i="12"/>
  <c r="BL124" i="12"/>
  <c r="BK124" i="12"/>
  <c r="V184" i="12" s="1"/>
  <c r="BJ124" i="12"/>
  <c r="BI124" i="12"/>
  <c r="BQ124" i="12" s="1"/>
  <c r="BH124" i="12"/>
  <c r="BP124" i="12" s="1"/>
  <c r="BG124" i="12"/>
  <c r="I124" i="12"/>
  <c r="H124" i="12"/>
  <c r="G124" i="12"/>
  <c r="BN123" i="12"/>
  <c r="Y183" i="12" s="1"/>
  <c r="BM123" i="12"/>
  <c r="X183" i="12" s="1"/>
  <c r="BL123" i="12"/>
  <c r="BK123" i="12"/>
  <c r="V183" i="12" s="1"/>
  <c r="BJ123" i="12"/>
  <c r="BR123" i="12" s="1"/>
  <c r="BI123" i="12"/>
  <c r="BH123" i="12"/>
  <c r="BP123" i="12" s="1"/>
  <c r="BG123" i="12"/>
  <c r="I123" i="12"/>
  <c r="H123" i="12"/>
  <c r="G123" i="12"/>
  <c r="J123" i="12" s="1"/>
  <c r="BN122" i="12"/>
  <c r="Y182" i="12" s="1"/>
  <c r="BM122" i="12"/>
  <c r="BL122" i="12"/>
  <c r="W182" i="12" s="1"/>
  <c r="BK122" i="12"/>
  <c r="BJ122" i="12"/>
  <c r="BI122" i="12"/>
  <c r="BQ122" i="12" s="1"/>
  <c r="BH122" i="12"/>
  <c r="BG122" i="12"/>
  <c r="I122" i="12"/>
  <c r="H122" i="12"/>
  <c r="G122" i="12"/>
  <c r="J122" i="12" s="1"/>
  <c r="BN121" i="12"/>
  <c r="Y181" i="12" s="1"/>
  <c r="BM121" i="12"/>
  <c r="BL121" i="12"/>
  <c r="W181" i="12" s="1"/>
  <c r="BK121" i="12"/>
  <c r="V181" i="12" s="1"/>
  <c r="BJ121" i="12"/>
  <c r="BI121" i="12"/>
  <c r="BQ121" i="12" s="1"/>
  <c r="BH121" i="12"/>
  <c r="BP121" i="12" s="1"/>
  <c r="BG121" i="12"/>
  <c r="I121" i="12"/>
  <c r="H121" i="12"/>
  <c r="G121" i="12"/>
  <c r="BN120" i="12"/>
  <c r="Y180" i="12" s="1"/>
  <c r="BM120" i="12"/>
  <c r="BL120" i="12"/>
  <c r="BK120" i="12"/>
  <c r="V180" i="12" s="1"/>
  <c r="BJ120" i="12"/>
  <c r="BI120" i="12"/>
  <c r="BH120" i="12"/>
  <c r="BG120" i="12"/>
  <c r="I120" i="12"/>
  <c r="H120" i="12"/>
  <c r="G120" i="12"/>
  <c r="BN119" i="12"/>
  <c r="Y179" i="12" s="1"/>
  <c r="BM119" i="12"/>
  <c r="X179" i="12" s="1"/>
  <c r="BL119" i="12"/>
  <c r="BK119" i="12"/>
  <c r="V179" i="12" s="1"/>
  <c r="BJ119" i="12"/>
  <c r="BR119" i="12" s="1"/>
  <c r="BI119" i="12"/>
  <c r="BH119" i="12"/>
  <c r="BP119" i="12" s="1"/>
  <c r="BG119" i="12"/>
  <c r="I119" i="12"/>
  <c r="H119" i="12"/>
  <c r="G119" i="12"/>
  <c r="BN118" i="12"/>
  <c r="Y178" i="12" s="1"/>
  <c r="BM118" i="12"/>
  <c r="BL118" i="12"/>
  <c r="W178" i="12" s="1"/>
  <c r="BK118" i="12"/>
  <c r="BJ118" i="12"/>
  <c r="BI118" i="12"/>
  <c r="BQ118" i="12" s="1"/>
  <c r="BH118" i="12"/>
  <c r="BG118" i="12"/>
  <c r="I118" i="12"/>
  <c r="H118" i="12"/>
  <c r="G118" i="12"/>
  <c r="BN117" i="12"/>
  <c r="Y177" i="12" s="1"/>
  <c r="BM117" i="12"/>
  <c r="BL117" i="12"/>
  <c r="W177" i="12" s="1"/>
  <c r="BK117" i="12"/>
  <c r="V177" i="12" s="1"/>
  <c r="BJ117" i="12"/>
  <c r="BR117" i="12" s="1"/>
  <c r="BI117" i="12"/>
  <c r="BQ117" i="12" s="1"/>
  <c r="BT117" i="12" s="1"/>
  <c r="BH117" i="12"/>
  <c r="BP117" i="12" s="1"/>
  <c r="BG117" i="12"/>
  <c r="BO117" i="12" s="1"/>
  <c r="I117" i="12"/>
  <c r="H117" i="12"/>
  <c r="G117" i="12"/>
  <c r="H109" i="12"/>
  <c r="G109" i="12"/>
  <c r="F109" i="12"/>
  <c r="E109" i="12"/>
  <c r="H106" i="12"/>
  <c r="G106" i="12"/>
  <c r="H105" i="12"/>
  <c r="G105" i="12"/>
  <c r="F105" i="12"/>
  <c r="E105" i="12"/>
  <c r="H102" i="12"/>
  <c r="G102" i="12"/>
  <c r="H101" i="12"/>
  <c r="G101" i="12"/>
  <c r="F101" i="12"/>
  <c r="E101" i="12"/>
  <c r="H98" i="12"/>
  <c r="G98" i="12"/>
  <c r="G88" i="12"/>
  <c r="H88" i="12" s="1"/>
  <c r="F88" i="12"/>
  <c r="E88" i="12" s="1"/>
  <c r="G87" i="12"/>
  <c r="F87" i="12"/>
  <c r="G86" i="12"/>
  <c r="F86" i="12"/>
  <c r="J86" i="12" s="1"/>
  <c r="I86" i="12" s="1"/>
  <c r="K85" i="12"/>
  <c r="L85" i="12" s="1"/>
  <c r="J85" i="12"/>
  <c r="K81" i="12"/>
  <c r="J81" i="12"/>
  <c r="J105" i="12" s="1"/>
  <c r="G80" i="12"/>
  <c r="F80" i="12"/>
  <c r="F100" i="12" s="1"/>
  <c r="G79" i="12"/>
  <c r="F79" i="12"/>
  <c r="K78" i="12"/>
  <c r="F78" i="12"/>
  <c r="F98" i="12" s="1"/>
  <c r="BN74" i="12"/>
  <c r="Q186" i="12" s="1"/>
  <c r="BM74" i="12"/>
  <c r="P186" i="12" s="1"/>
  <c r="BL74" i="12"/>
  <c r="O186" i="12" s="1"/>
  <c r="BK74" i="12"/>
  <c r="N186" i="12" s="1"/>
  <c r="BJ74" i="12"/>
  <c r="BI74" i="12"/>
  <c r="BH74" i="12"/>
  <c r="BP74" i="12" s="1"/>
  <c r="BG74" i="12"/>
  <c r="I74" i="12"/>
  <c r="H74" i="12"/>
  <c r="G74" i="12"/>
  <c r="BN73" i="12"/>
  <c r="Q185" i="12" s="1"/>
  <c r="BM73" i="12"/>
  <c r="BL73" i="12"/>
  <c r="O185" i="12" s="1"/>
  <c r="BK73" i="12"/>
  <c r="N185" i="12" s="1"/>
  <c r="BJ73" i="12"/>
  <c r="BI73" i="12"/>
  <c r="BQ73" i="12" s="1"/>
  <c r="BH73" i="12"/>
  <c r="BG73" i="12"/>
  <c r="BO73" i="12" s="1"/>
  <c r="I73" i="12"/>
  <c r="H73" i="12"/>
  <c r="G73" i="12"/>
  <c r="BN72" i="12"/>
  <c r="Q184" i="12" s="1"/>
  <c r="BM72" i="12"/>
  <c r="P184" i="12" s="1"/>
  <c r="BL72" i="12"/>
  <c r="BK72" i="12"/>
  <c r="N184" i="12" s="1"/>
  <c r="BJ72" i="12"/>
  <c r="BR72" i="12" s="1"/>
  <c r="BI72" i="12"/>
  <c r="BH72" i="12"/>
  <c r="BP72" i="12" s="1"/>
  <c r="BG72" i="12"/>
  <c r="I72" i="12"/>
  <c r="H72" i="12"/>
  <c r="G72" i="12"/>
  <c r="J72" i="12" s="1"/>
  <c r="BN71" i="12"/>
  <c r="Q183" i="12" s="1"/>
  <c r="BM71" i="12"/>
  <c r="BL71" i="12"/>
  <c r="O183" i="12" s="1"/>
  <c r="BK71" i="12"/>
  <c r="BJ71" i="12"/>
  <c r="BI71" i="12"/>
  <c r="BQ71" i="12" s="1"/>
  <c r="BH71" i="12"/>
  <c r="BG71" i="12"/>
  <c r="I71" i="12"/>
  <c r="H71" i="12"/>
  <c r="G71" i="12"/>
  <c r="J71" i="12" s="1"/>
  <c r="BN70" i="12"/>
  <c r="Q182" i="12" s="1"/>
  <c r="BM70" i="12"/>
  <c r="P182" i="12" s="1"/>
  <c r="BL70" i="12"/>
  <c r="O182" i="12" s="1"/>
  <c r="BK70" i="12"/>
  <c r="N182" i="12" s="1"/>
  <c r="BJ70" i="12"/>
  <c r="BI70" i="12"/>
  <c r="BH70" i="12"/>
  <c r="BP70" i="12" s="1"/>
  <c r="BG70" i="12"/>
  <c r="I70" i="12"/>
  <c r="H70" i="12"/>
  <c r="G70" i="12"/>
  <c r="BN69" i="12"/>
  <c r="Q181" i="12" s="1"/>
  <c r="BM69" i="12"/>
  <c r="BL69" i="12"/>
  <c r="O181" i="12" s="1"/>
  <c r="BK69" i="12"/>
  <c r="N181" i="12" s="1"/>
  <c r="BJ69" i="12"/>
  <c r="BI69" i="12"/>
  <c r="BQ69" i="12" s="1"/>
  <c r="BH69" i="12"/>
  <c r="BG69" i="12"/>
  <c r="I69" i="12"/>
  <c r="H69" i="12"/>
  <c r="G69" i="12"/>
  <c r="J69" i="12" s="1"/>
  <c r="BN68" i="12"/>
  <c r="Q180" i="12" s="1"/>
  <c r="BM68" i="12"/>
  <c r="BL68" i="12"/>
  <c r="BK68" i="12"/>
  <c r="N180" i="12" s="1"/>
  <c r="BJ68" i="12"/>
  <c r="BI68" i="12"/>
  <c r="BQ68" i="12" s="1"/>
  <c r="BH68" i="12"/>
  <c r="BP68" i="12" s="1"/>
  <c r="BG68" i="12"/>
  <c r="I68" i="12"/>
  <c r="H68" i="12"/>
  <c r="G68" i="12"/>
  <c r="BN67" i="12"/>
  <c r="Q179" i="12" s="1"/>
  <c r="BM67" i="12"/>
  <c r="P179" i="12" s="1"/>
  <c r="BL67" i="12"/>
  <c r="O179" i="12" s="1"/>
  <c r="BK67" i="12"/>
  <c r="N179" i="12" s="1"/>
  <c r="BJ67" i="12"/>
  <c r="BI67" i="12"/>
  <c r="BQ67" i="12" s="1"/>
  <c r="BH67" i="12"/>
  <c r="BG67" i="12"/>
  <c r="I67" i="12"/>
  <c r="H67" i="12"/>
  <c r="G67" i="12"/>
  <c r="BN66" i="12"/>
  <c r="Q178" i="12" s="1"/>
  <c r="BM66" i="12"/>
  <c r="BL66" i="12"/>
  <c r="O178" i="12" s="1"/>
  <c r="BK66" i="12"/>
  <c r="N178" i="12" s="1"/>
  <c r="BJ66" i="12"/>
  <c r="BI66" i="12"/>
  <c r="BH66" i="12"/>
  <c r="BP66" i="12" s="1"/>
  <c r="BG66" i="12"/>
  <c r="I66" i="12"/>
  <c r="H66" i="12"/>
  <c r="G66" i="12"/>
  <c r="BN65" i="12"/>
  <c r="Q177" i="12" s="1"/>
  <c r="BM65" i="12"/>
  <c r="BL65" i="12"/>
  <c r="BK65" i="12"/>
  <c r="N177" i="12" s="1"/>
  <c r="BJ65" i="12"/>
  <c r="BR65" i="12" s="1"/>
  <c r="BI65" i="12"/>
  <c r="BQ65" i="12" s="1"/>
  <c r="BT65" i="12" s="1"/>
  <c r="BH65" i="12"/>
  <c r="BP65" i="12" s="1"/>
  <c r="BG65" i="12"/>
  <c r="BO65" i="12" s="1"/>
  <c r="I65" i="12"/>
  <c r="H65" i="12"/>
  <c r="G65" i="12"/>
  <c r="J65" i="12" s="1"/>
  <c r="H57" i="12"/>
  <c r="G57" i="12"/>
  <c r="F57" i="12"/>
  <c r="E57" i="12"/>
  <c r="H54" i="12"/>
  <c r="G54" i="12"/>
  <c r="H53" i="12"/>
  <c r="G53" i="12"/>
  <c r="F53" i="12"/>
  <c r="E53" i="12"/>
  <c r="H50" i="12"/>
  <c r="G50" i="12"/>
  <c r="H49" i="12"/>
  <c r="G49" i="12"/>
  <c r="F49" i="12"/>
  <c r="E49" i="12"/>
  <c r="H46" i="12"/>
  <c r="G46" i="12"/>
  <c r="E56" i="12"/>
  <c r="BN22" i="12"/>
  <c r="I186" i="12" s="1"/>
  <c r="BM22" i="12"/>
  <c r="BL22" i="12"/>
  <c r="G186" i="12" s="1"/>
  <c r="BK22" i="12"/>
  <c r="F186" i="12" s="1"/>
  <c r="BJ22" i="12"/>
  <c r="BI22" i="12"/>
  <c r="BH22" i="12"/>
  <c r="BG22" i="12"/>
  <c r="I22" i="12"/>
  <c r="H22" i="12"/>
  <c r="G22" i="12"/>
  <c r="BN21" i="12"/>
  <c r="I185" i="12" s="1"/>
  <c r="BM21" i="12"/>
  <c r="BL21" i="12"/>
  <c r="BK21" i="12"/>
  <c r="F185" i="12" s="1"/>
  <c r="BJ21" i="12"/>
  <c r="BI21" i="12"/>
  <c r="BH21" i="12"/>
  <c r="BG21" i="12"/>
  <c r="I21" i="12"/>
  <c r="H21" i="12"/>
  <c r="G21" i="12"/>
  <c r="J21" i="12" s="1"/>
  <c r="BN20" i="12"/>
  <c r="I184" i="12" s="1"/>
  <c r="BM20" i="12"/>
  <c r="H184" i="12" s="1"/>
  <c r="BL20" i="12"/>
  <c r="G184" i="12" s="1"/>
  <c r="BK20" i="12"/>
  <c r="F184" i="12" s="1"/>
  <c r="BJ20" i="12"/>
  <c r="BI20" i="12"/>
  <c r="BQ20" i="12" s="1"/>
  <c r="BH20" i="12"/>
  <c r="BG20" i="12"/>
  <c r="I20" i="12"/>
  <c r="H20" i="12"/>
  <c r="G20" i="12"/>
  <c r="J20" i="12" s="1"/>
  <c r="BN19" i="12"/>
  <c r="I183" i="12" s="1"/>
  <c r="BM19" i="12"/>
  <c r="H183" i="12" s="1"/>
  <c r="BL19" i="12"/>
  <c r="G183" i="12" s="1"/>
  <c r="BK19" i="12"/>
  <c r="F183" i="12" s="1"/>
  <c r="BJ19" i="12"/>
  <c r="BI19" i="12"/>
  <c r="BQ19" i="12" s="1"/>
  <c r="BH19" i="12"/>
  <c r="BP19" i="12" s="1"/>
  <c r="BG19" i="12"/>
  <c r="I19" i="12"/>
  <c r="H19" i="12"/>
  <c r="G19" i="12"/>
  <c r="BN18" i="12"/>
  <c r="I182" i="12" s="1"/>
  <c r="BM18" i="12"/>
  <c r="BL18" i="12"/>
  <c r="G182" i="12" s="1"/>
  <c r="BK18" i="12"/>
  <c r="F182" i="12" s="1"/>
  <c r="BJ18" i="12"/>
  <c r="BI18" i="12"/>
  <c r="BH18" i="12"/>
  <c r="BG18" i="12"/>
  <c r="I18" i="12"/>
  <c r="H18" i="12"/>
  <c r="G18" i="12"/>
  <c r="BN17" i="12"/>
  <c r="I181" i="12" s="1"/>
  <c r="BM17" i="12"/>
  <c r="BL17" i="12"/>
  <c r="BK17" i="12"/>
  <c r="F181" i="12" s="1"/>
  <c r="BJ17" i="12"/>
  <c r="BI17" i="12"/>
  <c r="BH17" i="12"/>
  <c r="BG17" i="12"/>
  <c r="I17" i="12"/>
  <c r="H17" i="12"/>
  <c r="G17" i="12"/>
  <c r="J17" i="12" s="1"/>
  <c r="BN16" i="12"/>
  <c r="I180" i="12" s="1"/>
  <c r="BM16" i="12"/>
  <c r="H180" i="12" s="1"/>
  <c r="BL16" i="12"/>
  <c r="G180" i="12" s="1"/>
  <c r="BK16" i="12"/>
  <c r="F180" i="12" s="1"/>
  <c r="BJ16" i="12"/>
  <c r="BI16" i="12"/>
  <c r="BQ16" i="12" s="1"/>
  <c r="BH16" i="12"/>
  <c r="BG16" i="12"/>
  <c r="I16" i="12"/>
  <c r="H16" i="12"/>
  <c r="G16" i="12"/>
  <c r="J16" i="12" s="1"/>
  <c r="BN15" i="12"/>
  <c r="I179" i="12" s="1"/>
  <c r="BM15" i="12"/>
  <c r="BL15" i="12"/>
  <c r="G179" i="12" s="1"/>
  <c r="BK15" i="12"/>
  <c r="F179" i="12" s="1"/>
  <c r="BJ15" i="12"/>
  <c r="BI15" i="12"/>
  <c r="BQ15" i="12" s="1"/>
  <c r="BH15" i="12"/>
  <c r="BP15" i="12" s="1"/>
  <c r="BG15" i="12"/>
  <c r="I15" i="12"/>
  <c r="H15" i="12"/>
  <c r="G15" i="12"/>
  <c r="BN14" i="12"/>
  <c r="I178" i="12" s="1"/>
  <c r="BM14" i="12"/>
  <c r="BL14" i="12"/>
  <c r="G178" i="12" s="1"/>
  <c r="BK14" i="12"/>
  <c r="F178" i="12" s="1"/>
  <c r="BJ14" i="12"/>
  <c r="BI14" i="12"/>
  <c r="BH14" i="12"/>
  <c r="BG14" i="12"/>
  <c r="I14" i="12"/>
  <c r="H14" i="12"/>
  <c r="G14" i="12"/>
  <c r="BN13" i="12"/>
  <c r="I177" i="12" s="1"/>
  <c r="BM13" i="12"/>
  <c r="BL13" i="12"/>
  <c r="BK13" i="12"/>
  <c r="F177" i="12" s="1"/>
  <c r="BJ13" i="12"/>
  <c r="BI13" i="12"/>
  <c r="BH13" i="12"/>
  <c r="BG13" i="12"/>
  <c r="I13" i="12"/>
  <c r="H13" i="12"/>
  <c r="G13" i="12"/>
  <c r="J13" i="12" s="1"/>
  <c r="H295" i="23" l="1"/>
  <c r="G295" i="23"/>
  <c r="D295" i="23"/>
  <c r="C295" i="23"/>
  <c r="AA295" i="23" s="1"/>
  <c r="AD291" i="23"/>
  <c r="AE289" i="23"/>
  <c r="AI289" i="23" s="1"/>
  <c r="AH291" i="23"/>
  <c r="E267" i="23"/>
  <c r="Z295" i="23"/>
  <c r="E295" i="23"/>
  <c r="AE290" i="23"/>
  <c r="AA290" i="23"/>
  <c r="AF297" i="23"/>
  <c r="I298" i="23"/>
  <c r="AG298" i="23" s="1"/>
  <c r="AF289" i="23"/>
  <c r="AC291" i="23"/>
  <c r="G298" i="23"/>
  <c r="AE298" i="23" s="1"/>
  <c r="F298" i="23"/>
  <c r="AG290" i="23"/>
  <c r="AK290" i="23" s="1"/>
  <c r="AD290" i="23"/>
  <c r="AD295" i="23"/>
  <c r="AH295" i="23" s="1"/>
  <c r="E298" i="23"/>
  <c r="AC298" i="23" s="1"/>
  <c r="B298" i="23"/>
  <c r="AF290" i="23"/>
  <c r="AJ290" i="23" s="1"/>
  <c r="AM290" i="23" s="1"/>
  <c r="N43" i="28"/>
  <c r="K23" i="28"/>
  <c r="K43" i="28"/>
  <c r="G23" i="28"/>
  <c r="G43" i="28"/>
  <c r="B212" i="24"/>
  <c r="C212" i="24"/>
  <c r="D212" i="24"/>
  <c r="B213" i="24"/>
  <c r="C213" i="24"/>
  <c r="D213" i="24"/>
  <c r="B211" i="24"/>
  <c r="C211" i="24"/>
  <c r="D211" i="24"/>
  <c r="J66" i="12"/>
  <c r="J118" i="12"/>
  <c r="Z289" i="23"/>
  <c r="AH289" i="23" s="1"/>
  <c r="Z290" i="23"/>
  <c r="B294" i="23"/>
  <c r="E266" i="23"/>
  <c r="BS117" i="12"/>
  <c r="BS65" i="12"/>
  <c r="I49" i="23"/>
  <c r="I57" i="23"/>
  <c r="I53" i="23"/>
  <c r="BQ120" i="12"/>
  <c r="J119" i="12"/>
  <c r="U186" i="12"/>
  <c r="BR126" i="12"/>
  <c r="BT126" i="12" s="1"/>
  <c r="S186" i="12"/>
  <c r="BP126" i="12"/>
  <c r="R186" i="12"/>
  <c r="BO126" i="12"/>
  <c r="U185" i="12"/>
  <c r="BR125" i="12"/>
  <c r="T185" i="12"/>
  <c r="BQ125" i="12"/>
  <c r="BT125" i="12" s="1"/>
  <c r="R185" i="12"/>
  <c r="BO125" i="12"/>
  <c r="BS125" i="12" s="1"/>
  <c r="BU125" i="12" s="1"/>
  <c r="U184" i="12"/>
  <c r="BR124" i="12"/>
  <c r="BT124" i="12" s="1"/>
  <c r="R184" i="12"/>
  <c r="BO124" i="12"/>
  <c r="BS124" i="12" s="1"/>
  <c r="BU124" i="12" s="1"/>
  <c r="T183" i="12"/>
  <c r="BQ123" i="12"/>
  <c r="BT123" i="12" s="1"/>
  <c r="R183" i="12"/>
  <c r="BO123" i="12"/>
  <c r="BS123" i="12" s="1"/>
  <c r="BU123" i="12" s="1"/>
  <c r="U182" i="12"/>
  <c r="BR122" i="12"/>
  <c r="BT122" i="12" s="1"/>
  <c r="S182" i="12"/>
  <c r="BP122" i="12"/>
  <c r="R182" i="12"/>
  <c r="BO122" i="12"/>
  <c r="U181" i="12"/>
  <c r="BR121" i="12"/>
  <c r="BT121" i="12" s="1"/>
  <c r="R181" i="12"/>
  <c r="BO121" i="12"/>
  <c r="BS121" i="12" s="1"/>
  <c r="BU121" i="12" s="1"/>
  <c r="BV121" i="12" s="1"/>
  <c r="U180" i="12"/>
  <c r="BR120" i="12"/>
  <c r="BT120" i="12" s="1"/>
  <c r="S180" i="12"/>
  <c r="BP120" i="12"/>
  <c r="R180" i="12"/>
  <c r="BO120" i="12"/>
  <c r="T179" i="12"/>
  <c r="BQ119" i="12"/>
  <c r="BT119" i="12" s="1"/>
  <c r="R179" i="12"/>
  <c r="BO119" i="12"/>
  <c r="BS119" i="12" s="1"/>
  <c r="BU119" i="12" s="1"/>
  <c r="BV119" i="12" s="1"/>
  <c r="U178" i="12"/>
  <c r="BR118" i="12"/>
  <c r="BT118" i="12" s="1"/>
  <c r="S178" i="12"/>
  <c r="BP118" i="12"/>
  <c r="R178" i="12"/>
  <c r="BO118" i="12"/>
  <c r="U177" i="12"/>
  <c r="R177" i="12"/>
  <c r="BU117" i="12"/>
  <c r="E186" i="12"/>
  <c r="BR22" i="12"/>
  <c r="D186" i="12"/>
  <c r="BQ22" i="12"/>
  <c r="BT22" i="12" s="1"/>
  <c r="C186" i="12"/>
  <c r="BP22" i="12"/>
  <c r="B186" i="12"/>
  <c r="BO22" i="12"/>
  <c r="E185" i="12"/>
  <c r="BR21" i="12"/>
  <c r="D185" i="12"/>
  <c r="BQ21" i="12"/>
  <c r="BT21" i="12" s="1"/>
  <c r="C185" i="12"/>
  <c r="BP21" i="12"/>
  <c r="B185" i="12"/>
  <c r="BO21" i="12"/>
  <c r="E184" i="12"/>
  <c r="BR20" i="12"/>
  <c r="BT20" i="12" s="1"/>
  <c r="C184" i="12"/>
  <c r="BP20" i="12"/>
  <c r="B184" i="12"/>
  <c r="BO20" i="12"/>
  <c r="E183" i="12"/>
  <c r="BR19" i="12"/>
  <c r="BT19" i="12" s="1"/>
  <c r="B183" i="12"/>
  <c r="BO19" i="12"/>
  <c r="BS19" i="12" s="1"/>
  <c r="BU19" i="12" s="1"/>
  <c r="E182" i="12"/>
  <c r="BR18" i="12"/>
  <c r="D182" i="12"/>
  <c r="BQ18" i="12"/>
  <c r="BT18" i="12" s="1"/>
  <c r="C182" i="12"/>
  <c r="BP18" i="12"/>
  <c r="B182" i="12"/>
  <c r="BO18" i="12"/>
  <c r="E181" i="12"/>
  <c r="BR17" i="12"/>
  <c r="D181" i="12"/>
  <c r="BQ17" i="12"/>
  <c r="BT17" i="12" s="1"/>
  <c r="C181" i="12"/>
  <c r="BP17" i="12"/>
  <c r="B181" i="12"/>
  <c r="BO17" i="12"/>
  <c r="E180" i="12"/>
  <c r="BR16" i="12"/>
  <c r="BT16" i="12" s="1"/>
  <c r="C180" i="12"/>
  <c r="BP16" i="12"/>
  <c r="B180" i="12"/>
  <c r="BO16" i="12"/>
  <c r="E179" i="12"/>
  <c r="BR15" i="12"/>
  <c r="BT15" i="12" s="1"/>
  <c r="B179" i="12"/>
  <c r="BO15" i="12"/>
  <c r="BS15" i="12" s="1"/>
  <c r="E178" i="12"/>
  <c r="BR14" i="12"/>
  <c r="D178" i="12"/>
  <c r="BQ14" i="12"/>
  <c r="BT14" i="12" s="1"/>
  <c r="C178" i="12"/>
  <c r="BP14" i="12"/>
  <c r="B178" i="12"/>
  <c r="BO14" i="12"/>
  <c r="E177" i="12"/>
  <c r="BR13" i="12"/>
  <c r="D177" i="12"/>
  <c r="BQ13" i="12"/>
  <c r="BT13" i="12" s="1"/>
  <c r="C177" i="12"/>
  <c r="BP13" i="12"/>
  <c r="B177" i="12"/>
  <c r="BO13" i="12"/>
  <c r="M178" i="12"/>
  <c r="BR66" i="12"/>
  <c r="L178" i="12"/>
  <c r="BQ66" i="12"/>
  <c r="BT66" i="12" s="1"/>
  <c r="J178" i="12"/>
  <c r="BO66" i="12"/>
  <c r="BS66" i="12" s="1"/>
  <c r="BU66" i="12" s="1"/>
  <c r="BV66" i="12" s="1"/>
  <c r="M185" i="12"/>
  <c r="BR73" i="12"/>
  <c r="BT73" i="12" s="1"/>
  <c r="K185" i="12"/>
  <c r="BP73" i="12"/>
  <c r="BS73" i="12" s="1"/>
  <c r="BU73" i="12" s="1"/>
  <c r="M182" i="12"/>
  <c r="BR70" i="12"/>
  <c r="L182" i="12"/>
  <c r="BQ70" i="12"/>
  <c r="BT70" i="12" s="1"/>
  <c r="J182" i="12"/>
  <c r="BO70" i="12"/>
  <c r="BS70" i="12" s="1"/>
  <c r="BU70" i="12" s="1"/>
  <c r="M186" i="12"/>
  <c r="BR74" i="12"/>
  <c r="L186" i="12"/>
  <c r="BQ74" i="12"/>
  <c r="BT74" i="12" s="1"/>
  <c r="J186" i="12"/>
  <c r="BO74" i="12"/>
  <c r="BS74" i="12" s="1"/>
  <c r="M179" i="12"/>
  <c r="BR67" i="12"/>
  <c r="BT67" i="12" s="1"/>
  <c r="K179" i="12"/>
  <c r="BP67" i="12"/>
  <c r="J179" i="12"/>
  <c r="BO67" i="12"/>
  <c r="M181" i="12"/>
  <c r="BR69" i="12"/>
  <c r="BT69" i="12" s="1"/>
  <c r="K181" i="12"/>
  <c r="BP69" i="12"/>
  <c r="J181" i="12"/>
  <c r="BO69" i="12"/>
  <c r="L184" i="12"/>
  <c r="BQ72" i="12"/>
  <c r="BT72" i="12" s="1"/>
  <c r="J184" i="12"/>
  <c r="BO72" i="12"/>
  <c r="BS72" i="12" s="1"/>
  <c r="M183" i="12"/>
  <c r="BR71" i="12"/>
  <c r="BT71" i="12" s="1"/>
  <c r="K183" i="12"/>
  <c r="BP71" i="12"/>
  <c r="J183" i="12"/>
  <c r="BO71" i="12"/>
  <c r="M180" i="12"/>
  <c r="BR68" i="12"/>
  <c r="BT68" i="12" s="1"/>
  <c r="J180" i="12"/>
  <c r="BO68" i="12"/>
  <c r="BS68" i="12" s="1"/>
  <c r="BU68" i="12" s="1"/>
  <c r="M177" i="12"/>
  <c r="K177" i="12"/>
  <c r="J177" i="12"/>
  <c r="G108" i="12"/>
  <c r="H80" i="12"/>
  <c r="G32" i="28"/>
  <c r="J23" i="28"/>
  <c r="F23" i="28"/>
  <c r="B318" i="23"/>
  <c r="C352" i="22"/>
  <c r="B352" i="22"/>
  <c r="D352" i="22"/>
  <c r="AC297" i="23"/>
  <c r="AD296" i="23"/>
  <c r="AB289" i="23"/>
  <c r="AG293" i="23"/>
  <c r="AB293" i="23"/>
  <c r="AE296" i="23"/>
  <c r="AI296" i="23" s="1"/>
  <c r="AL296" i="23" s="1"/>
  <c r="AF296" i="23"/>
  <c r="J125" i="12"/>
  <c r="J121" i="12"/>
  <c r="J70" i="12"/>
  <c r="J68" i="12"/>
  <c r="J117" i="12"/>
  <c r="J74" i="12"/>
  <c r="J67" i="12"/>
  <c r="J19" i="12"/>
  <c r="J15" i="12"/>
  <c r="C165" i="12"/>
  <c r="N195" i="12" s="1"/>
  <c r="C166" i="12"/>
  <c r="C164" i="12"/>
  <c r="I161" i="12"/>
  <c r="I157" i="12"/>
  <c r="I153" i="12"/>
  <c r="H156" i="12"/>
  <c r="G156" i="12"/>
  <c r="H152" i="12"/>
  <c r="G160" i="12"/>
  <c r="F160" i="12"/>
  <c r="E156" i="12"/>
  <c r="E160" i="12"/>
  <c r="G159" i="12"/>
  <c r="G151" i="12"/>
  <c r="E151" i="12"/>
  <c r="E159" i="12"/>
  <c r="E155" i="12"/>
  <c r="L158" i="12"/>
  <c r="K158" i="12"/>
  <c r="L154" i="12"/>
  <c r="K154" i="12"/>
  <c r="L150" i="12"/>
  <c r="K150" i="12"/>
  <c r="E158" i="12"/>
  <c r="W184" i="12"/>
  <c r="T181" i="12"/>
  <c r="T195" i="12" s="1"/>
  <c r="S179" i="12"/>
  <c r="S193" i="12" s="1"/>
  <c r="X177" i="12"/>
  <c r="X191" i="12" s="1"/>
  <c r="T177" i="12"/>
  <c r="T191" i="12" s="1"/>
  <c r="K88" i="12"/>
  <c r="L88" i="12" s="1"/>
  <c r="H87" i="12"/>
  <c r="K87" i="12"/>
  <c r="L87" i="12" s="1"/>
  <c r="E87" i="12"/>
  <c r="J87" i="12"/>
  <c r="I87" i="12" s="1"/>
  <c r="L101" i="12"/>
  <c r="K105" i="12"/>
  <c r="K101" i="12"/>
  <c r="F107" i="12"/>
  <c r="F103" i="12"/>
  <c r="J79" i="12"/>
  <c r="E103" i="12"/>
  <c r="E99" i="12"/>
  <c r="E107" i="12"/>
  <c r="K106" i="12"/>
  <c r="K98" i="12"/>
  <c r="L106" i="12"/>
  <c r="J185" i="12"/>
  <c r="P180" i="12"/>
  <c r="L180" i="12"/>
  <c r="L177" i="12"/>
  <c r="L57" i="12"/>
  <c r="K53" i="12"/>
  <c r="K57" i="12"/>
  <c r="K49" i="12"/>
  <c r="I53" i="12"/>
  <c r="J53" i="12"/>
  <c r="G48" i="12"/>
  <c r="G56" i="12"/>
  <c r="F48" i="12"/>
  <c r="F56" i="12"/>
  <c r="G51" i="12"/>
  <c r="G47" i="12"/>
  <c r="G55" i="12"/>
  <c r="I51" i="12"/>
  <c r="F47" i="12"/>
  <c r="F55" i="12"/>
  <c r="E55" i="12"/>
  <c r="E51" i="12"/>
  <c r="E47" i="12"/>
  <c r="F51" i="12"/>
  <c r="K46" i="12"/>
  <c r="K54" i="12"/>
  <c r="F50" i="12"/>
  <c r="E50" i="12"/>
  <c r="J50" i="12"/>
  <c r="E54" i="12"/>
  <c r="F54" i="12"/>
  <c r="F46" i="12"/>
  <c r="E46" i="12"/>
  <c r="H185" i="12"/>
  <c r="D183" i="12"/>
  <c r="H181" i="12"/>
  <c r="H179" i="12"/>
  <c r="D179" i="12"/>
  <c r="H177" i="12"/>
  <c r="AG296" i="23"/>
  <c r="AB295" i="23"/>
  <c r="AC295" i="23"/>
  <c r="Z294" i="23"/>
  <c r="F294" i="23"/>
  <c r="AD294" i="23" s="1"/>
  <c r="G294" i="23"/>
  <c r="AE294" i="23" s="1"/>
  <c r="E294" i="23"/>
  <c r="AC294" i="23" s="1"/>
  <c r="H294" i="23"/>
  <c r="AF294" i="23" s="1"/>
  <c r="C294" i="23"/>
  <c r="AA294" i="23" s="1"/>
  <c r="AI294" i="23" s="1"/>
  <c r="D294" i="23"/>
  <c r="AB294" i="23" s="1"/>
  <c r="I294" i="23"/>
  <c r="AG294" i="23" s="1"/>
  <c r="D292" i="23"/>
  <c r="AB292" i="23" s="1"/>
  <c r="H292" i="23"/>
  <c r="AF292" i="23" s="1"/>
  <c r="E292" i="23"/>
  <c r="AC292" i="23" s="1"/>
  <c r="C292" i="23"/>
  <c r="AA292" i="23" s="1"/>
  <c r="I292" i="23"/>
  <c r="AG292" i="23" s="1"/>
  <c r="G292" i="23"/>
  <c r="AE292" i="23" s="1"/>
  <c r="F292" i="23"/>
  <c r="AD292" i="23" s="1"/>
  <c r="B292" i="23"/>
  <c r="Z292" i="23" s="1"/>
  <c r="AH292" i="23" s="1"/>
  <c r="D237" i="24"/>
  <c r="C248" i="24"/>
  <c r="C216" i="24"/>
  <c r="G211" i="24"/>
  <c r="D225" i="24"/>
  <c r="G243" i="24"/>
  <c r="C240" i="24"/>
  <c r="H224" i="24"/>
  <c r="I237" i="24"/>
  <c r="I213" i="24"/>
  <c r="C244" i="24"/>
  <c r="H216" i="24"/>
  <c r="D233" i="24"/>
  <c r="C236" i="24"/>
  <c r="D224" i="24"/>
  <c r="H240" i="24"/>
  <c r="I219" i="24"/>
  <c r="G219" i="24"/>
  <c r="B243" i="24"/>
  <c r="C220" i="24"/>
  <c r="G231" i="24"/>
  <c r="I248" i="24"/>
  <c r="B229" i="24"/>
  <c r="C224" i="24"/>
  <c r="G221" i="24"/>
  <c r="C225" i="24"/>
  <c r="C223" i="24"/>
  <c r="C237" i="24"/>
  <c r="C221" i="24"/>
  <c r="G220" i="24"/>
  <c r="G240" i="24"/>
  <c r="D232" i="24"/>
  <c r="H228" i="24"/>
  <c r="B227" i="24"/>
  <c r="C241" i="24"/>
  <c r="H237" i="24"/>
  <c r="B248" i="24"/>
  <c r="B247" i="24"/>
  <c r="C215" i="24"/>
  <c r="G244" i="24"/>
  <c r="H217" i="24"/>
  <c r="I231" i="24"/>
  <c r="C245" i="24"/>
  <c r="I221" i="24"/>
  <c r="D217" i="24"/>
  <c r="G239" i="24"/>
  <c r="H211" i="24"/>
  <c r="H231" i="24"/>
  <c r="G259" i="24" s="1"/>
  <c r="B249" i="24"/>
  <c r="C247" i="24"/>
  <c r="C233" i="24"/>
  <c r="C229" i="24"/>
  <c r="D258" i="24" s="1"/>
  <c r="D221" i="24"/>
  <c r="B232" i="24"/>
  <c r="B241" i="24"/>
  <c r="G225" i="24"/>
  <c r="D239" i="24"/>
  <c r="I224" i="24"/>
  <c r="I244" i="24"/>
  <c r="H239" i="24"/>
  <c r="I215" i="24"/>
  <c r="D229" i="24"/>
  <c r="C219" i="24"/>
  <c r="H236" i="24"/>
  <c r="G213" i="24"/>
  <c r="H220" i="24"/>
  <c r="D241" i="24"/>
  <c r="I223" i="24"/>
  <c r="C227" i="24"/>
  <c r="B235" i="24"/>
  <c r="I236" i="24"/>
  <c r="D220" i="24"/>
  <c r="D247" i="24"/>
  <c r="G248" i="24"/>
  <c r="H263" i="24" s="1"/>
  <c r="G224" i="24"/>
  <c r="I232" i="24"/>
  <c r="H213" i="24"/>
  <c r="D227" i="24"/>
  <c r="H223" i="24"/>
  <c r="G257" i="24" s="1"/>
  <c r="I249" i="24"/>
  <c r="D240" i="24"/>
  <c r="B221" i="24"/>
  <c r="H249" i="24"/>
  <c r="D215" i="24"/>
  <c r="H248" i="24"/>
  <c r="C243" i="24"/>
  <c r="I241" i="24"/>
  <c r="H241" i="24"/>
  <c r="G241" i="24"/>
  <c r="I216" i="24"/>
  <c r="H233" i="24"/>
  <c r="B216" i="24"/>
  <c r="H229" i="24"/>
  <c r="G229" i="24"/>
  <c r="I229" i="24"/>
  <c r="I217" i="24"/>
  <c r="G215" i="24"/>
  <c r="G216" i="24"/>
  <c r="D244" i="24"/>
  <c r="H225" i="24"/>
  <c r="I233" i="24"/>
  <c r="C249" i="24"/>
  <c r="B239" i="24"/>
  <c r="I228" i="24"/>
  <c r="B215" i="24"/>
  <c r="B237" i="24"/>
  <c r="H235" i="24"/>
  <c r="G235" i="24"/>
  <c r="I235" i="24"/>
  <c r="G232" i="24"/>
  <c r="B228" i="24"/>
  <c r="I220" i="24"/>
  <c r="H256" i="24" s="1"/>
  <c r="B225" i="24"/>
  <c r="C235" i="24"/>
  <c r="H227" i="24"/>
  <c r="G227" i="24"/>
  <c r="I227" i="24"/>
  <c r="G223" i="24"/>
  <c r="H215" i="24"/>
  <c r="H244" i="24"/>
  <c r="D219" i="24"/>
  <c r="I225" i="24"/>
  <c r="D249" i="24"/>
  <c r="C239" i="24"/>
  <c r="B217" i="24"/>
  <c r="I239" i="24"/>
  <c r="I212" i="24"/>
  <c r="H212" i="24"/>
  <c r="G212" i="24"/>
  <c r="G237" i="24"/>
  <c r="I260" i="24" s="1"/>
  <c r="H221" i="24"/>
  <c r="B245" i="24"/>
  <c r="H219" i="24"/>
  <c r="B220" i="24"/>
  <c r="C256" i="24" s="1"/>
  <c r="D248" i="24"/>
  <c r="D243" i="24"/>
  <c r="D236" i="24"/>
  <c r="C232" i="24"/>
  <c r="H243" i="24"/>
  <c r="H232" i="24"/>
  <c r="I211" i="24"/>
  <c r="C228" i="24"/>
  <c r="G217" i="24"/>
  <c r="B223" i="24"/>
  <c r="D235" i="24"/>
  <c r="B224" i="24"/>
  <c r="G247" i="24"/>
  <c r="I247" i="24"/>
  <c r="H247" i="24"/>
  <c r="B236" i="24"/>
  <c r="D223" i="24"/>
  <c r="I240" i="24"/>
  <c r="B240" i="24"/>
  <c r="B244" i="24"/>
  <c r="B219" i="24"/>
  <c r="G233" i="24"/>
  <c r="D216" i="24"/>
  <c r="G228" i="24"/>
  <c r="C217" i="24"/>
  <c r="D231" i="24"/>
  <c r="C231" i="24"/>
  <c r="B231" i="24"/>
  <c r="G236" i="24"/>
  <c r="G249" i="24"/>
  <c r="H245" i="24"/>
  <c r="G245" i="24"/>
  <c r="I243" i="24"/>
  <c r="D228" i="24"/>
  <c r="B233" i="24"/>
  <c r="Z293" i="23"/>
  <c r="AE293" i="23"/>
  <c r="AI293" i="23" s="1"/>
  <c r="AF293" i="23"/>
  <c r="AC293" i="23"/>
  <c r="AC289" i="23"/>
  <c r="AG289" i="23"/>
  <c r="AE291" i="23"/>
  <c r="AI291" i="23" s="1"/>
  <c r="AD293" i="23"/>
  <c r="AG297" i="23"/>
  <c r="AE295" i="23"/>
  <c r="Z297" i="23"/>
  <c r="AE297" i="23"/>
  <c r="AI297" i="23" s="1"/>
  <c r="AC296" i="23"/>
  <c r="AK296" i="23" s="1"/>
  <c r="AB298" i="23"/>
  <c r="AD297" i="23"/>
  <c r="AG291" i="23"/>
  <c r="Z296" i="23"/>
  <c r="AH296" i="23" s="1"/>
  <c r="AG295" i="23"/>
  <c r="AF291" i="23"/>
  <c r="AJ291" i="23" s="1"/>
  <c r="AB296" i="23"/>
  <c r="AJ296" i="23" s="1"/>
  <c r="AF298" i="23"/>
  <c r="AF295" i="23"/>
  <c r="Z298" i="23"/>
  <c r="AB297" i="23"/>
  <c r="AJ297" i="23" s="1"/>
  <c r="AA298" i="23"/>
  <c r="AI298" i="23" s="1"/>
  <c r="AD298" i="23"/>
  <c r="B331" i="23"/>
  <c r="J104" i="22"/>
  <c r="J108" i="22"/>
  <c r="J100" i="22"/>
  <c r="L56" i="22"/>
  <c r="I100" i="22"/>
  <c r="K52" i="22"/>
  <c r="I104" i="22"/>
  <c r="J109" i="22"/>
  <c r="L100" i="22"/>
  <c r="L104" i="22"/>
  <c r="I105" i="22"/>
  <c r="I109" i="22"/>
  <c r="I101" i="22"/>
  <c r="H100" i="22"/>
  <c r="D358" i="22"/>
  <c r="B355" i="22"/>
  <c r="J103" i="22"/>
  <c r="J107" i="22"/>
  <c r="J99" i="22"/>
  <c r="I99" i="22"/>
  <c r="I107" i="22"/>
  <c r="D354" i="22"/>
  <c r="J105" i="22"/>
  <c r="C360" i="22"/>
  <c r="I103" i="22"/>
  <c r="H108" i="22"/>
  <c r="J101" i="22"/>
  <c r="C355" i="22"/>
  <c r="D360" i="22"/>
  <c r="B357" i="22"/>
  <c r="B353" i="22"/>
  <c r="C354" i="22"/>
  <c r="C353" i="22"/>
  <c r="D353" i="22"/>
  <c r="H160" i="22"/>
  <c r="H156" i="22"/>
  <c r="H152" i="22"/>
  <c r="B359" i="22"/>
  <c r="D356" i="22"/>
  <c r="C356" i="22"/>
  <c r="C169" i="22"/>
  <c r="B360" i="22"/>
  <c r="D357" i="22"/>
  <c r="K160" i="22"/>
  <c r="K156" i="22"/>
  <c r="K152" i="22"/>
  <c r="L156" i="22"/>
  <c r="E105" i="22"/>
  <c r="E109" i="22"/>
  <c r="E101" i="22"/>
  <c r="J55" i="22"/>
  <c r="J51" i="22"/>
  <c r="J47" i="22"/>
  <c r="I55" i="22"/>
  <c r="I51" i="22"/>
  <c r="I47" i="22"/>
  <c r="L109" i="22"/>
  <c r="L105" i="22"/>
  <c r="L101" i="22"/>
  <c r="K109" i="22"/>
  <c r="K101" i="22"/>
  <c r="K105" i="22"/>
  <c r="D359" i="22"/>
  <c r="B356" i="22"/>
  <c r="C357" i="22"/>
  <c r="L57" i="22"/>
  <c r="L53" i="22"/>
  <c r="L49" i="22"/>
  <c r="K53" i="22"/>
  <c r="K49" i="22"/>
  <c r="K57" i="22"/>
  <c r="J56" i="22"/>
  <c r="J52" i="22"/>
  <c r="J48" i="22"/>
  <c r="I56" i="22"/>
  <c r="I52" i="22"/>
  <c r="I48" i="22"/>
  <c r="K161" i="22"/>
  <c r="K157" i="22"/>
  <c r="K153" i="22"/>
  <c r="L161" i="22"/>
  <c r="L157" i="22"/>
  <c r="L153" i="22"/>
  <c r="J159" i="22"/>
  <c r="J155" i="22"/>
  <c r="J151" i="22"/>
  <c r="I159" i="22"/>
  <c r="I155" i="22"/>
  <c r="I151" i="22"/>
  <c r="C358" i="22"/>
  <c r="D355" i="22"/>
  <c r="D351" i="22"/>
  <c r="C359" i="22"/>
  <c r="C351" i="22"/>
  <c r="E161" i="22"/>
  <c r="E157" i="22"/>
  <c r="E153" i="22"/>
  <c r="E57" i="22"/>
  <c r="E53" i="22"/>
  <c r="E49" i="22"/>
  <c r="J160" i="22"/>
  <c r="J156" i="22"/>
  <c r="J152" i="22"/>
  <c r="I160" i="22"/>
  <c r="I156" i="22"/>
  <c r="I152" i="22"/>
  <c r="J161" i="22"/>
  <c r="J157" i="22"/>
  <c r="J153" i="22"/>
  <c r="J57" i="22"/>
  <c r="J53" i="22"/>
  <c r="J49" i="22"/>
  <c r="B358" i="22"/>
  <c r="B354" i="22"/>
  <c r="B148" i="21"/>
  <c r="C148" i="21"/>
  <c r="D148" i="21"/>
  <c r="C149" i="21"/>
  <c r="B149" i="21"/>
  <c r="D149" i="21"/>
  <c r="D157" i="21"/>
  <c r="C157" i="21"/>
  <c r="B157" i="21"/>
  <c r="B147" i="21"/>
  <c r="D147" i="21"/>
  <c r="C147" i="21"/>
  <c r="C155" i="21"/>
  <c r="B155" i="21"/>
  <c r="D155" i="21"/>
  <c r="D156" i="21"/>
  <c r="C156" i="21"/>
  <c r="B156" i="21"/>
  <c r="B107" i="21"/>
  <c r="D101" i="21"/>
  <c r="C281" i="21"/>
  <c r="C109" i="21"/>
  <c r="C159" i="21" s="1"/>
  <c r="C101" i="21"/>
  <c r="B276" i="21"/>
  <c r="D107" i="21"/>
  <c r="D279" i="21"/>
  <c r="D277" i="21"/>
  <c r="D278" i="21"/>
  <c r="B279" i="21"/>
  <c r="C273" i="21"/>
  <c r="D281" i="21"/>
  <c r="C116" i="21"/>
  <c r="B282" i="21"/>
  <c r="D275" i="21"/>
  <c r="B102" i="21"/>
  <c r="D103" i="21"/>
  <c r="C135" i="21" s="1"/>
  <c r="C102" i="21"/>
  <c r="B104" i="21"/>
  <c r="C105" i="21"/>
  <c r="B274" i="21"/>
  <c r="C104" i="21"/>
  <c r="D282" i="21"/>
  <c r="B105" i="21"/>
  <c r="D145" i="21" s="1"/>
  <c r="C107" i="21"/>
  <c r="B281" i="21"/>
  <c r="D100" i="21"/>
  <c r="C276" i="21"/>
  <c r="B100" i="21"/>
  <c r="C279" i="21"/>
  <c r="B220" i="19"/>
  <c r="B100" i="19"/>
  <c r="C228" i="19"/>
  <c r="C108" i="19"/>
  <c r="C225" i="19"/>
  <c r="C105" i="19"/>
  <c r="D228" i="19"/>
  <c r="D108" i="19"/>
  <c r="C222" i="19"/>
  <c r="C102" i="19"/>
  <c r="D229" i="19"/>
  <c r="D109" i="19"/>
  <c r="C223" i="19"/>
  <c r="C103" i="19"/>
  <c r="B226" i="19"/>
  <c r="B106" i="19"/>
  <c r="C224" i="19"/>
  <c r="C104" i="19"/>
  <c r="C229" i="19"/>
  <c r="C109" i="19"/>
  <c r="C226" i="19"/>
  <c r="C106" i="19"/>
  <c r="B221" i="19"/>
  <c r="B101" i="19"/>
  <c r="D227" i="19"/>
  <c r="D107" i="19"/>
  <c r="C221" i="19"/>
  <c r="C101" i="19"/>
  <c r="D224" i="19"/>
  <c r="D104" i="19"/>
  <c r="B228" i="19"/>
  <c r="B108" i="19"/>
  <c r="D225" i="19"/>
  <c r="D105" i="19"/>
  <c r="B229" i="19"/>
  <c r="B109" i="19"/>
  <c r="D226" i="19"/>
  <c r="D106" i="19"/>
  <c r="C220" i="19"/>
  <c r="C100" i="19"/>
  <c r="B223" i="19"/>
  <c r="B103" i="19"/>
  <c r="C227" i="19"/>
  <c r="C107" i="19"/>
  <c r="D223" i="19"/>
  <c r="D103" i="19"/>
  <c r="B227" i="19"/>
  <c r="B107" i="19"/>
  <c r="D220" i="19"/>
  <c r="D100" i="19"/>
  <c r="B224" i="19"/>
  <c r="B104" i="19"/>
  <c r="D221" i="19"/>
  <c r="D101" i="19"/>
  <c r="B225" i="19"/>
  <c r="B105" i="19"/>
  <c r="D222" i="19"/>
  <c r="D102" i="19"/>
  <c r="B222" i="19"/>
  <c r="B102" i="19"/>
  <c r="J17" i="14"/>
  <c r="B195" i="14" s="1"/>
  <c r="J21" i="14"/>
  <c r="J45" i="14"/>
  <c r="J49" i="14"/>
  <c r="C197" i="14" s="1"/>
  <c r="J53" i="14"/>
  <c r="C201" i="14" s="1"/>
  <c r="J77" i="14"/>
  <c r="D195" i="14" s="1"/>
  <c r="J81" i="14"/>
  <c r="C101" i="14"/>
  <c r="C102" i="14"/>
  <c r="J16" i="14"/>
  <c r="J20" i="14"/>
  <c r="J44" i="14"/>
  <c r="J48" i="14"/>
  <c r="J52" i="14"/>
  <c r="C200" i="14" s="1"/>
  <c r="J76" i="14"/>
  <c r="J80" i="14"/>
  <c r="J15" i="14"/>
  <c r="J19" i="14"/>
  <c r="B197" i="14" s="1"/>
  <c r="J23" i="14"/>
  <c r="B201" i="14" s="1"/>
  <c r="J47" i="14"/>
  <c r="C195" i="14" s="1"/>
  <c r="J51" i="14"/>
  <c r="J75" i="14"/>
  <c r="J79" i="14"/>
  <c r="D197" i="14" s="1"/>
  <c r="J83" i="14"/>
  <c r="D201" i="14" s="1"/>
  <c r="J14" i="14"/>
  <c r="J18" i="14"/>
  <c r="J22" i="14"/>
  <c r="B200" i="14" s="1"/>
  <c r="J46" i="14"/>
  <c r="J50" i="14"/>
  <c r="J74" i="14"/>
  <c r="J78" i="14"/>
  <c r="J82" i="14"/>
  <c r="D200" i="14" s="1"/>
  <c r="W180" i="12"/>
  <c r="X181" i="12"/>
  <c r="S183" i="12"/>
  <c r="S184" i="12"/>
  <c r="V186" i="12"/>
  <c r="K184" i="12"/>
  <c r="P178" i="12"/>
  <c r="C183" i="12"/>
  <c r="H178" i="12"/>
  <c r="L185" i="12"/>
  <c r="K186" i="12"/>
  <c r="G104" i="12"/>
  <c r="K80" i="12"/>
  <c r="L80" i="12" s="1"/>
  <c r="G100" i="12"/>
  <c r="K182" i="12"/>
  <c r="L54" i="12"/>
  <c r="L50" i="12"/>
  <c r="L46" i="12"/>
  <c r="H56" i="12"/>
  <c r="H52" i="12"/>
  <c r="H48" i="12"/>
  <c r="J49" i="12"/>
  <c r="K50" i="12"/>
  <c r="F52" i="12"/>
  <c r="J57" i="12"/>
  <c r="H79" i="12"/>
  <c r="H99" i="12" s="1"/>
  <c r="H107" i="12"/>
  <c r="G107" i="12"/>
  <c r="H103" i="12"/>
  <c r="K79" i="12"/>
  <c r="I109" i="12"/>
  <c r="I105" i="12"/>
  <c r="I101" i="12"/>
  <c r="J101" i="12"/>
  <c r="V178" i="12"/>
  <c r="V182" i="12"/>
  <c r="O177" i="12"/>
  <c r="C179" i="12"/>
  <c r="S181" i="12"/>
  <c r="H182" i="12"/>
  <c r="H186" i="12"/>
  <c r="L179" i="12"/>
  <c r="O180" i="12"/>
  <c r="J80" i="12"/>
  <c r="E80" i="12"/>
  <c r="F108" i="12"/>
  <c r="F104" i="12"/>
  <c r="U179" i="12"/>
  <c r="T180" i="12"/>
  <c r="X180" i="12"/>
  <c r="U183" i="12"/>
  <c r="T184" i="12"/>
  <c r="X184" i="12"/>
  <c r="S185" i="12"/>
  <c r="F159" i="12"/>
  <c r="F155" i="12"/>
  <c r="F151" i="12"/>
  <c r="S177" i="12"/>
  <c r="K180" i="12"/>
  <c r="I49" i="12"/>
  <c r="E52" i="12"/>
  <c r="I57" i="12"/>
  <c r="P177" i="12"/>
  <c r="L181" i="12"/>
  <c r="P181" i="12"/>
  <c r="P185" i="12"/>
  <c r="G177" i="12"/>
  <c r="J14" i="12"/>
  <c r="D180" i="12"/>
  <c r="G181" i="12"/>
  <c r="J18" i="12"/>
  <c r="D184" i="12"/>
  <c r="G185" i="12"/>
  <c r="J22" i="12"/>
  <c r="E48" i="12"/>
  <c r="G52" i="12"/>
  <c r="N183" i="12"/>
  <c r="E106" i="12"/>
  <c r="E102" i="12"/>
  <c r="E98" i="12"/>
  <c r="J78" i="12"/>
  <c r="F106" i="12"/>
  <c r="F102" i="12"/>
  <c r="L109" i="12"/>
  <c r="K109" i="12"/>
  <c r="L105" i="12"/>
  <c r="H86" i="12"/>
  <c r="K86" i="12"/>
  <c r="L86" i="12" s="1"/>
  <c r="G99" i="12"/>
  <c r="G103" i="12"/>
  <c r="J109" i="12"/>
  <c r="G152" i="12"/>
  <c r="H160" i="12"/>
  <c r="K161" i="12"/>
  <c r="L157" i="12"/>
  <c r="K157" i="12"/>
  <c r="L153" i="12"/>
  <c r="L161" i="12"/>
  <c r="K178" i="12"/>
  <c r="M184" i="12"/>
  <c r="J88" i="12"/>
  <c r="I88" i="12" s="1"/>
  <c r="L98" i="12"/>
  <c r="K102" i="12"/>
  <c r="F158" i="12"/>
  <c r="F154" i="12"/>
  <c r="F150" i="12"/>
  <c r="E150" i="12"/>
  <c r="E152" i="12"/>
  <c r="G155" i="12"/>
  <c r="X178" i="12"/>
  <c r="X182" i="12"/>
  <c r="P183" i="12"/>
  <c r="O184" i="12"/>
  <c r="J73" i="12"/>
  <c r="F99" i="12"/>
  <c r="L102" i="12"/>
  <c r="J120" i="12"/>
  <c r="J124" i="12"/>
  <c r="T186" i="12"/>
  <c r="J161" i="12"/>
  <c r="J157" i="12"/>
  <c r="J153" i="12"/>
  <c r="E154" i="12"/>
  <c r="T178" i="12"/>
  <c r="W179" i="12"/>
  <c r="T182" i="12"/>
  <c r="L183" i="12"/>
  <c r="W183" i="12"/>
  <c r="L49" i="12"/>
  <c r="L53" i="12"/>
  <c r="F152" i="12"/>
  <c r="F156" i="12"/>
  <c r="I82" i="9"/>
  <c r="H82" i="9"/>
  <c r="G82" i="9"/>
  <c r="I81" i="9"/>
  <c r="H81" i="9"/>
  <c r="G81" i="9"/>
  <c r="J81" i="9" s="1"/>
  <c r="D115" i="9" s="1"/>
  <c r="I80" i="9"/>
  <c r="H80" i="9"/>
  <c r="G80" i="9"/>
  <c r="J80" i="9" s="1"/>
  <c r="I79" i="9"/>
  <c r="H79" i="9"/>
  <c r="G79" i="9"/>
  <c r="J79" i="9" s="1"/>
  <c r="I78" i="9"/>
  <c r="H78" i="9"/>
  <c r="G78" i="9"/>
  <c r="J78" i="9" s="1"/>
  <c r="D112" i="9" s="1"/>
  <c r="I77" i="9"/>
  <c r="H77" i="9"/>
  <c r="G77" i="9"/>
  <c r="J77" i="9" s="1"/>
  <c r="I76" i="9"/>
  <c r="H76" i="9"/>
  <c r="G76" i="9"/>
  <c r="I75" i="9"/>
  <c r="H75" i="9"/>
  <c r="G75" i="9"/>
  <c r="J75" i="9" s="1"/>
  <c r="I74" i="9"/>
  <c r="H74" i="9"/>
  <c r="G74" i="9"/>
  <c r="I73" i="9"/>
  <c r="H73" i="9"/>
  <c r="G73" i="9"/>
  <c r="J73" i="9" s="1"/>
  <c r="G50" i="9"/>
  <c r="I52" i="9"/>
  <c r="H52" i="9"/>
  <c r="G52" i="9"/>
  <c r="J52" i="9" s="1"/>
  <c r="C116" i="9" s="1"/>
  <c r="I51" i="9"/>
  <c r="H51" i="9"/>
  <c r="G51" i="9"/>
  <c r="I50" i="9"/>
  <c r="H50" i="9"/>
  <c r="I49" i="9"/>
  <c r="H49" i="9"/>
  <c r="G49" i="9"/>
  <c r="J49" i="9" s="1"/>
  <c r="I48" i="9"/>
  <c r="H48" i="9"/>
  <c r="G48" i="9"/>
  <c r="J48" i="9" s="1"/>
  <c r="C112" i="9" s="1"/>
  <c r="I47" i="9"/>
  <c r="H47" i="9"/>
  <c r="G47" i="9"/>
  <c r="J47" i="9" s="1"/>
  <c r="I46" i="9"/>
  <c r="H46" i="9"/>
  <c r="G46" i="9"/>
  <c r="J46" i="9" s="1"/>
  <c r="C110" i="9" s="1"/>
  <c r="I45" i="9"/>
  <c r="H45" i="9"/>
  <c r="G45" i="9"/>
  <c r="J45" i="9" s="1"/>
  <c r="I44" i="9"/>
  <c r="H44" i="9"/>
  <c r="G44" i="9"/>
  <c r="J44" i="9" s="1"/>
  <c r="I43" i="9"/>
  <c r="H43" i="9"/>
  <c r="G43" i="9"/>
  <c r="J43" i="9" s="1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J13" i="9" s="1"/>
  <c r="AM296" i="23" l="1"/>
  <c r="AK293" i="23"/>
  <c r="AJ292" i="23"/>
  <c r="AH294" i="23"/>
  <c r="AH297" i="23"/>
  <c r="AL297" i="23" s="1"/>
  <c r="AL291" i="23"/>
  <c r="AI292" i="23"/>
  <c r="AL292" i="23" s="1"/>
  <c r="AK295" i="23"/>
  <c r="AL289" i="23"/>
  <c r="AK298" i="23"/>
  <c r="AI290" i="23"/>
  <c r="AK291" i="23"/>
  <c r="AM291" i="23" s="1"/>
  <c r="AK294" i="23"/>
  <c r="B317" i="23"/>
  <c r="AJ289" i="23"/>
  <c r="AJ298" i="23"/>
  <c r="AM298" i="23" s="1"/>
  <c r="AK292" i="23"/>
  <c r="AM292" i="23" s="1"/>
  <c r="AJ294" i="23"/>
  <c r="AM294" i="23" s="1"/>
  <c r="AJ295" i="23"/>
  <c r="AM295" i="23" s="1"/>
  <c r="AI295" i="23"/>
  <c r="AL295" i="23" s="1"/>
  <c r="AH298" i="23"/>
  <c r="AL298" i="23" s="1"/>
  <c r="B332" i="23"/>
  <c r="AK289" i="23"/>
  <c r="B330" i="23"/>
  <c r="AH293" i="23"/>
  <c r="AL293" i="23" s="1"/>
  <c r="AN293" i="23" s="1"/>
  <c r="AO293" i="23" s="1"/>
  <c r="AL294" i="23"/>
  <c r="AJ293" i="23"/>
  <c r="AM293" i="23" s="1"/>
  <c r="AK297" i="23"/>
  <c r="AM297" i="23" s="1"/>
  <c r="B319" i="23"/>
  <c r="AH290" i="23"/>
  <c r="O43" i="28"/>
  <c r="Q43" i="28" s="1"/>
  <c r="R43" i="28" s="1"/>
  <c r="E56" i="28" s="1"/>
  <c r="B199" i="14"/>
  <c r="K22" i="14"/>
  <c r="K23" i="14"/>
  <c r="K21" i="14"/>
  <c r="C193" i="14"/>
  <c r="K45" i="14"/>
  <c r="D199" i="14"/>
  <c r="K82" i="14"/>
  <c r="K83" i="14"/>
  <c r="K81" i="14"/>
  <c r="B194" i="14"/>
  <c r="K16" i="14"/>
  <c r="B198" i="14"/>
  <c r="K20" i="14"/>
  <c r="K19" i="14"/>
  <c r="C192" i="14"/>
  <c r="K47" i="14"/>
  <c r="K44" i="14"/>
  <c r="C196" i="14"/>
  <c r="K48" i="14"/>
  <c r="D194" i="14"/>
  <c r="K76" i="14"/>
  <c r="D198" i="14"/>
  <c r="K80" i="14"/>
  <c r="K79" i="14"/>
  <c r="B193" i="14"/>
  <c r="K15" i="14"/>
  <c r="C199" i="14"/>
  <c r="K53" i="14"/>
  <c r="K51" i="14"/>
  <c r="K52" i="14"/>
  <c r="D193" i="14"/>
  <c r="K75" i="14"/>
  <c r="B192" i="14"/>
  <c r="K14" i="14"/>
  <c r="K17" i="14"/>
  <c r="B196" i="14"/>
  <c r="K18" i="14"/>
  <c r="C194" i="14"/>
  <c r="K46" i="14"/>
  <c r="C198" i="14"/>
  <c r="K49" i="14"/>
  <c r="K50" i="14"/>
  <c r="D192" i="14"/>
  <c r="K74" i="14"/>
  <c r="K77" i="14"/>
  <c r="D196" i="14"/>
  <c r="K78" i="14"/>
  <c r="F32" i="28"/>
  <c r="E36" i="28" s="1"/>
  <c r="D37" i="28" s="1"/>
  <c r="J76" i="9"/>
  <c r="D110" i="9" s="1"/>
  <c r="D114" i="9"/>
  <c r="K82" i="9"/>
  <c r="K81" i="9"/>
  <c r="K80" i="9"/>
  <c r="D113" i="9"/>
  <c r="K79" i="9"/>
  <c r="K78" i="9"/>
  <c r="D111" i="9"/>
  <c r="K77" i="9"/>
  <c r="D109" i="9"/>
  <c r="K75" i="9"/>
  <c r="D107" i="9"/>
  <c r="K76" i="9"/>
  <c r="K73" i="9"/>
  <c r="C113" i="9"/>
  <c r="K49" i="9"/>
  <c r="K48" i="9"/>
  <c r="C111" i="9"/>
  <c r="K47" i="9"/>
  <c r="C109" i="9"/>
  <c r="K45" i="9"/>
  <c r="C108" i="9"/>
  <c r="K44" i="9"/>
  <c r="C107" i="9"/>
  <c r="K46" i="9"/>
  <c r="K43" i="9"/>
  <c r="K13" i="9"/>
  <c r="K16" i="9"/>
  <c r="BU15" i="12"/>
  <c r="BV15" i="12" s="1"/>
  <c r="B336" i="23"/>
  <c r="AN295" i="23"/>
  <c r="AO295" i="23" s="1"/>
  <c r="B322" i="23"/>
  <c r="B338" i="23"/>
  <c r="B324" i="23"/>
  <c r="AN296" i="23"/>
  <c r="BU74" i="12"/>
  <c r="BV125" i="12"/>
  <c r="BV126" i="12"/>
  <c r="BV124" i="12"/>
  <c r="BV123" i="12"/>
  <c r="BV122" i="12"/>
  <c r="BV120" i="12"/>
  <c r="BV117" i="12"/>
  <c r="BV19" i="12"/>
  <c r="BV18" i="12"/>
  <c r="B323" i="23"/>
  <c r="J82" i="9"/>
  <c r="D116" i="9" s="1"/>
  <c r="BS67" i="12"/>
  <c r="BU67" i="12" s="1"/>
  <c r="BV67" i="12" s="1"/>
  <c r="BS126" i="12"/>
  <c r="BU126" i="12" s="1"/>
  <c r="BS122" i="12"/>
  <c r="BU122" i="12" s="1"/>
  <c r="BS120" i="12"/>
  <c r="BU120" i="12" s="1"/>
  <c r="BS118" i="12"/>
  <c r="BU118" i="12" s="1"/>
  <c r="BV118" i="12" s="1"/>
  <c r="BS22" i="12"/>
  <c r="BU22" i="12" s="1"/>
  <c r="BS21" i="12"/>
  <c r="BU21" i="12" s="1"/>
  <c r="BS20" i="12"/>
  <c r="BU20" i="12" s="1"/>
  <c r="BS18" i="12"/>
  <c r="BU18" i="12" s="1"/>
  <c r="BS17" i="12"/>
  <c r="BU17" i="12" s="1"/>
  <c r="BV17" i="12" s="1"/>
  <c r="BS16" i="12"/>
  <c r="BU16" i="12" s="1"/>
  <c r="BS14" i="12"/>
  <c r="BU14" i="12" s="1"/>
  <c r="BV14" i="12" s="1"/>
  <c r="BS13" i="12"/>
  <c r="BU13" i="12" s="1"/>
  <c r="J199" i="12"/>
  <c r="P194" i="12"/>
  <c r="L194" i="12"/>
  <c r="L191" i="12"/>
  <c r="H199" i="12"/>
  <c r="D197" i="12"/>
  <c r="H193" i="12"/>
  <c r="BU65" i="12"/>
  <c r="BS69" i="12"/>
  <c r="BU69" i="12" s="1"/>
  <c r="BV69" i="12" s="1"/>
  <c r="BU72" i="12"/>
  <c r="BS71" i="12"/>
  <c r="BU71" i="12" s="1"/>
  <c r="H100" i="12"/>
  <c r="H104" i="12"/>
  <c r="H108" i="12"/>
  <c r="V192" i="12"/>
  <c r="S195" i="12"/>
  <c r="T194" i="12"/>
  <c r="T198" i="12"/>
  <c r="X198" i="12"/>
  <c r="X196" i="12"/>
  <c r="T200" i="12"/>
  <c r="W193" i="12"/>
  <c r="V196" i="12"/>
  <c r="U193" i="12"/>
  <c r="X194" i="12"/>
  <c r="U197" i="12"/>
  <c r="X192" i="12"/>
  <c r="T192" i="12"/>
  <c r="T196" i="12"/>
  <c r="W197" i="12"/>
  <c r="S199" i="12"/>
  <c r="S191" i="12"/>
  <c r="M193" i="12"/>
  <c r="O200" i="12"/>
  <c r="M197" i="12"/>
  <c r="M192" i="12"/>
  <c r="J193" i="12"/>
  <c r="N193" i="12"/>
  <c r="M194" i="12"/>
  <c r="Q197" i="12"/>
  <c r="N198" i="12"/>
  <c r="M199" i="12"/>
  <c r="O199" i="12"/>
  <c r="P198" i="12"/>
  <c r="Q194" i="12"/>
  <c r="M200" i="12"/>
  <c r="J196" i="12"/>
  <c r="J200" i="12"/>
  <c r="N192" i="12"/>
  <c r="M195" i="12"/>
  <c r="Q200" i="12"/>
  <c r="N191" i="12"/>
  <c r="K199" i="12"/>
  <c r="J194" i="12"/>
  <c r="N194" i="12"/>
  <c r="J195" i="12"/>
  <c r="J197" i="12"/>
  <c r="N199" i="12"/>
  <c r="K195" i="12"/>
  <c r="K193" i="12"/>
  <c r="O193" i="12"/>
  <c r="Q191" i="12"/>
  <c r="L196" i="12"/>
  <c r="Q195" i="12"/>
  <c r="P193" i="12"/>
  <c r="M196" i="12"/>
  <c r="P200" i="12"/>
  <c r="Q193" i="12"/>
  <c r="K197" i="12"/>
  <c r="P196" i="12"/>
  <c r="Y198" i="12"/>
  <c r="W196" i="12"/>
  <c r="Y191" i="12"/>
  <c r="S192" i="12"/>
  <c r="S197" i="12"/>
  <c r="S200" i="12"/>
  <c r="R197" i="12"/>
  <c r="T199" i="12"/>
  <c r="R193" i="12"/>
  <c r="R194" i="12"/>
  <c r="X200" i="12"/>
  <c r="S196" i="12"/>
  <c r="X193" i="12"/>
  <c r="AF193" i="12" s="1"/>
  <c r="Y194" i="12"/>
  <c r="W200" i="12"/>
  <c r="V194" i="12"/>
  <c r="I192" i="12"/>
  <c r="D199" i="12"/>
  <c r="I200" i="12"/>
  <c r="E196" i="12"/>
  <c r="I196" i="12"/>
  <c r="B197" i="12"/>
  <c r="Z197" i="12" s="1"/>
  <c r="E195" i="12"/>
  <c r="G197" i="12"/>
  <c r="B198" i="12"/>
  <c r="E199" i="12"/>
  <c r="E200" i="12"/>
  <c r="I198" i="12"/>
  <c r="D191" i="12"/>
  <c r="AB191" i="12" s="1"/>
  <c r="D192" i="12"/>
  <c r="C197" i="12"/>
  <c r="AA197" i="12" s="1"/>
  <c r="F197" i="12"/>
  <c r="D200" i="12"/>
  <c r="C194" i="12"/>
  <c r="C198" i="12"/>
  <c r="G194" i="12"/>
  <c r="J160" i="12"/>
  <c r="J152" i="12"/>
  <c r="J156" i="12"/>
  <c r="L151" i="12"/>
  <c r="K159" i="12"/>
  <c r="K155" i="12"/>
  <c r="K151" i="12"/>
  <c r="L159" i="12"/>
  <c r="L155" i="12"/>
  <c r="H159" i="12"/>
  <c r="H151" i="12"/>
  <c r="H155" i="12"/>
  <c r="J150" i="12"/>
  <c r="J158" i="12"/>
  <c r="J154" i="12"/>
  <c r="I158" i="12"/>
  <c r="H55" i="12"/>
  <c r="H51" i="12"/>
  <c r="H47" i="12"/>
  <c r="K198" i="12"/>
  <c r="P192" i="12"/>
  <c r="L198" i="12"/>
  <c r="N200" i="12"/>
  <c r="Q192" i="12"/>
  <c r="O197" i="12"/>
  <c r="Q196" i="12"/>
  <c r="L192" i="12"/>
  <c r="E192" i="12"/>
  <c r="D195" i="12"/>
  <c r="I199" i="12"/>
  <c r="F194" i="12"/>
  <c r="B321" i="23"/>
  <c r="B320" i="23"/>
  <c r="B326" i="23"/>
  <c r="B325" i="23"/>
  <c r="J50" i="9"/>
  <c r="J51" i="9"/>
  <c r="C115" i="9" s="1"/>
  <c r="M191" i="12"/>
  <c r="L200" i="12"/>
  <c r="Q199" i="12"/>
  <c r="N196" i="12"/>
  <c r="Q198" i="12"/>
  <c r="J198" i="12"/>
  <c r="O196" i="12"/>
  <c r="O192" i="12"/>
  <c r="J191" i="12"/>
  <c r="O195" i="12"/>
  <c r="J192" i="12"/>
  <c r="K191" i="12"/>
  <c r="I103" i="12"/>
  <c r="I99" i="12"/>
  <c r="J103" i="12"/>
  <c r="J99" i="12"/>
  <c r="J56" i="12"/>
  <c r="J48" i="12"/>
  <c r="J52" i="12"/>
  <c r="V191" i="12"/>
  <c r="W192" i="12"/>
  <c r="Y192" i="12"/>
  <c r="V193" i="12"/>
  <c r="Y193" i="12"/>
  <c r="S194" i="12"/>
  <c r="R195" i="12"/>
  <c r="V195" i="12"/>
  <c r="Y196" i="12"/>
  <c r="V197" i="12"/>
  <c r="U198" i="12"/>
  <c r="V198" i="12"/>
  <c r="U199" i="12"/>
  <c r="R191" i="12"/>
  <c r="U191" i="12"/>
  <c r="W191" i="12"/>
  <c r="R192" i="12"/>
  <c r="U195" i="12"/>
  <c r="W195" i="12"/>
  <c r="Y195" i="12"/>
  <c r="R196" i="12"/>
  <c r="U196" i="12"/>
  <c r="Y197" i="12"/>
  <c r="R198" i="12"/>
  <c r="W198" i="12"/>
  <c r="R199" i="12"/>
  <c r="W199" i="12"/>
  <c r="Y199" i="12"/>
  <c r="R200" i="12"/>
  <c r="U200" i="12"/>
  <c r="Y200" i="12"/>
  <c r="U192" i="12"/>
  <c r="T193" i="12"/>
  <c r="U194" i="12"/>
  <c r="T197" i="12"/>
  <c r="X197" i="12"/>
  <c r="V199" i="12"/>
  <c r="X199" i="12"/>
  <c r="E191" i="12"/>
  <c r="B192" i="12"/>
  <c r="G192" i="12"/>
  <c r="E193" i="12"/>
  <c r="G193" i="12"/>
  <c r="B194" i="12"/>
  <c r="I194" i="12"/>
  <c r="B195" i="12"/>
  <c r="D196" i="12"/>
  <c r="F196" i="12"/>
  <c r="E197" i="12"/>
  <c r="F198" i="12"/>
  <c r="F199" i="12"/>
  <c r="C191" i="12"/>
  <c r="I191" i="12"/>
  <c r="G198" i="12"/>
  <c r="C167" i="12"/>
  <c r="I150" i="12"/>
  <c r="I154" i="12"/>
  <c r="K47" i="12"/>
  <c r="K51" i="12"/>
  <c r="K55" i="12"/>
  <c r="I47" i="12"/>
  <c r="J47" i="12"/>
  <c r="I55" i="12"/>
  <c r="J55" i="12"/>
  <c r="J51" i="12"/>
  <c r="I50" i="12"/>
  <c r="J54" i="12"/>
  <c r="W194" i="12"/>
  <c r="X195" i="12"/>
  <c r="S198" i="12"/>
  <c r="V200" i="12"/>
  <c r="G200" i="12"/>
  <c r="B193" i="12"/>
  <c r="I193" i="12"/>
  <c r="B200" i="12"/>
  <c r="B199" i="12"/>
  <c r="Z199" i="12" s="1"/>
  <c r="C195" i="12"/>
  <c r="H197" i="12"/>
  <c r="F193" i="12"/>
  <c r="E194" i="12"/>
  <c r="C200" i="12"/>
  <c r="I195" i="12"/>
  <c r="I197" i="12"/>
  <c r="F192" i="12"/>
  <c r="B196" i="12"/>
  <c r="E198" i="12"/>
  <c r="G196" i="12"/>
  <c r="C199" i="12"/>
  <c r="B191" i="12"/>
  <c r="F195" i="12"/>
  <c r="F200" i="12"/>
  <c r="F191" i="12"/>
  <c r="D193" i="12"/>
  <c r="C192" i="12"/>
  <c r="H194" i="12"/>
  <c r="C196" i="12"/>
  <c r="H198" i="12"/>
  <c r="J107" i="12"/>
  <c r="I107" i="12"/>
  <c r="K52" i="12"/>
  <c r="L56" i="12"/>
  <c r="L48" i="12"/>
  <c r="K48" i="12"/>
  <c r="L52" i="12"/>
  <c r="K56" i="12"/>
  <c r="I46" i="12"/>
  <c r="I54" i="12"/>
  <c r="J46" i="12"/>
  <c r="H195" i="12"/>
  <c r="H191" i="12"/>
  <c r="C269" i="24"/>
  <c r="B335" i="23"/>
  <c r="H259" i="24"/>
  <c r="C257" i="24"/>
  <c r="B257" i="24"/>
  <c r="B270" i="24" s="1"/>
  <c r="D257" i="24"/>
  <c r="C263" i="24"/>
  <c r="C276" i="24" s="1"/>
  <c r="G254" i="24"/>
  <c r="D260" i="24"/>
  <c r="D273" i="24" s="1"/>
  <c r="H257" i="24"/>
  <c r="C261" i="24"/>
  <c r="I255" i="24"/>
  <c r="D262" i="24"/>
  <c r="H262" i="24"/>
  <c r="G255" i="24"/>
  <c r="C259" i="24"/>
  <c r="C272" i="24" s="1"/>
  <c r="B263" i="24"/>
  <c r="H258" i="24"/>
  <c r="G256" i="24"/>
  <c r="I256" i="24"/>
  <c r="D256" i="24"/>
  <c r="H261" i="24"/>
  <c r="D261" i="24"/>
  <c r="G261" i="24"/>
  <c r="I257" i="24"/>
  <c r="C260" i="24"/>
  <c r="B259" i="24"/>
  <c r="B272" i="24" s="1"/>
  <c r="B255" i="24"/>
  <c r="I262" i="24"/>
  <c r="H260" i="24"/>
  <c r="G258" i="24"/>
  <c r="B254" i="24"/>
  <c r="B267" i="24" s="1"/>
  <c r="D259" i="24"/>
  <c r="D254" i="24"/>
  <c r="B261" i="24"/>
  <c r="B274" i="24" s="1"/>
  <c r="D263" i="24"/>
  <c r="C254" i="24"/>
  <c r="I258" i="24"/>
  <c r="D271" i="24" s="1"/>
  <c r="B258" i="24"/>
  <c r="B271" i="24" s="1"/>
  <c r="G263" i="24"/>
  <c r="B262" i="24"/>
  <c r="B256" i="24"/>
  <c r="I263" i="24"/>
  <c r="I259" i="24"/>
  <c r="H255" i="24"/>
  <c r="I261" i="24"/>
  <c r="B260" i="24"/>
  <c r="C258" i="24"/>
  <c r="D255" i="24"/>
  <c r="D268" i="24" s="1"/>
  <c r="G260" i="24"/>
  <c r="C255" i="24"/>
  <c r="C262" i="24"/>
  <c r="G262" i="24"/>
  <c r="B334" i="23"/>
  <c r="B333" i="23"/>
  <c r="B337" i="23"/>
  <c r="B339" i="23"/>
  <c r="L48" i="22"/>
  <c r="L52" i="22"/>
  <c r="B367" i="22"/>
  <c r="C372" i="22"/>
  <c r="C366" i="22"/>
  <c r="B370" i="22"/>
  <c r="C365" i="22"/>
  <c r="D368" i="22"/>
  <c r="C373" i="22"/>
  <c r="B365" i="22"/>
  <c r="D365" i="22"/>
  <c r="L160" i="22"/>
  <c r="B371" i="22"/>
  <c r="C364" i="22"/>
  <c r="D373" i="22"/>
  <c r="B373" i="22"/>
  <c r="B366" i="22"/>
  <c r="C370" i="22"/>
  <c r="D369" i="22"/>
  <c r="D366" i="22"/>
  <c r="I57" i="22"/>
  <c r="I53" i="22"/>
  <c r="I49" i="22"/>
  <c r="I161" i="22"/>
  <c r="I157" i="22"/>
  <c r="I153" i="22"/>
  <c r="C367" i="22"/>
  <c r="C371" i="22"/>
  <c r="L152" i="22"/>
  <c r="B372" i="22"/>
  <c r="B368" i="22"/>
  <c r="C368" i="22"/>
  <c r="B369" i="22"/>
  <c r="D370" i="22"/>
  <c r="C369" i="22"/>
  <c r="B364" i="22"/>
  <c r="D364" i="22"/>
  <c r="D372" i="22"/>
  <c r="D367" i="22"/>
  <c r="D371" i="22"/>
  <c r="D197" i="21"/>
  <c r="D238" i="21" s="1"/>
  <c r="C190" i="21"/>
  <c r="C231" i="21" s="1"/>
  <c r="D186" i="21"/>
  <c r="D227" i="21" s="1"/>
  <c r="D196" i="21"/>
  <c r="D237" i="21" s="1"/>
  <c r="D198" i="21"/>
  <c r="D239" i="21" s="1"/>
  <c r="D189" i="21"/>
  <c r="D230" i="21" s="1"/>
  <c r="C176" i="21"/>
  <c r="C217" i="21" s="1"/>
  <c r="C198" i="21"/>
  <c r="C239" i="21" s="1"/>
  <c r="C200" i="21"/>
  <c r="C241" i="21" s="1"/>
  <c r="B197" i="21"/>
  <c r="B238" i="21" s="1"/>
  <c r="B196" i="21"/>
  <c r="B237" i="21" s="1"/>
  <c r="B188" i="21"/>
  <c r="B229" i="21" s="1"/>
  <c r="D190" i="21"/>
  <c r="D231" i="21" s="1"/>
  <c r="C189" i="21"/>
  <c r="C230" i="21" s="1"/>
  <c r="C188" i="21"/>
  <c r="C229" i="21" s="1"/>
  <c r="D188" i="21"/>
  <c r="D229" i="21" s="1"/>
  <c r="C197" i="21"/>
  <c r="C238" i="21" s="1"/>
  <c r="C196" i="21"/>
  <c r="C237" i="21" s="1"/>
  <c r="B198" i="21"/>
  <c r="B239" i="21" s="1"/>
  <c r="B190" i="21"/>
  <c r="B231" i="21" s="1"/>
  <c r="B189" i="21"/>
  <c r="B230" i="21" s="1"/>
  <c r="B124" i="21"/>
  <c r="C145" i="21"/>
  <c r="B141" i="21"/>
  <c r="B136" i="21"/>
  <c r="D133" i="21"/>
  <c r="D124" i="21"/>
  <c r="B135" i="21"/>
  <c r="C161" i="21"/>
  <c r="D159" i="21"/>
  <c r="C141" i="21"/>
  <c r="B159" i="21"/>
  <c r="B132" i="21"/>
  <c r="C132" i="21"/>
  <c r="D132" i="21"/>
  <c r="B153" i="21"/>
  <c r="C153" i="21"/>
  <c r="D153" i="21"/>
  <c r="C123" i="21"/>
  <c r="B123" i="21"/>
  <c r="D123" i="21"/>
  <c r="B152" i="21"/>
  <c r="D152" i="21"/>
  <c r="C152" i="21"/>
  <c r="B137" i="21"/>
  <c r="C137" i="21"/>
  <c r="D137" i="21"/>
  <c r="D129" i="21"/>
  <c r="C129" i="21"/>
  <c r="B129" i="21"/>
  <c r="D135" i="21"/>
  <c r="D161" i="21"/>
  <c r="D127" i="21"/>
  <c r="C124" i="21"/>
  <c r="D140" i="21"/>
  <c r="C140" i="21"/>
  <c r="B140" i="21"/>
  <c r="B143" i="21"/>
  <c r="C143" i="21"/>
  <c r="D143" i="21"/>
  <c r="C144" i="21"/>
  <c r="B144" i="21"/>
  <c r="D144" i="21"/>
  <c r="B131" i="21"/>
  <c r="D131" i="21"/>
  <c r="C131" i="21"/>
  <c r="C128" i="21"/>
  <c r="B128" i="21"/>
  <c r="D128" i="21"/>
  <c r="D151" i="21"/>
  <c r="C151" i="21"/>
  <c r="B151" i="21"/>
  <c r="D141" i="21"/>
  <c r="B133" i="21"/>
  <c r="C127" i="21"/>
  <c r="C136" i="21"/>
  <c r="B125" i="21"/>
  <c r="D125" i="21"/>
  <c r="C125" i="21"/>
  <c r="C139" i="21"/>
  <c r="B139" i="21"/>
  <c r="D139" i="21"/>
  <c r="C160" i="21"/>
  <c r="D160" i="21"/>
  <c r="B160" i="21"/>
  <c r="B161" i="21"/>
  <c r="C133" i="21"/>
  <c r="B145" i="21"/>
  <c r="B127" i="21"/>
  <c r="D136" i="21"/>
  <c r="B115" i="19"/>
  <c r="B135" i="19"/>
  <c r="C113" i="19"/>
  <c r="C121" i="19"/>
  <c r="B118" i="19"/>
  <c r="B120" i="19"/>
  <c r="B122" i="19"/>
  <c r="C114" i="19"/>
  <c r="C122" i="19"/>
  <c r="B119" i="19"/>
  <c r="D121" i="19"/>
  <c r="D115" i="19"/>
  <c r="D114" i="19"/>
  <c r="D113" i="19"/>
  <c r="D116" i="19"/>
  <c r="B116" i="19"/>
  <c r="D119" i="19"/>
  <c r="D118" i="19"/>
  <c r="D117" i="19"/>
  <c r="D120" i="19"/>
  <c r="C119" i="19"/>
  <c r="C117" i="19"/>
  <c r="C116" i="19"/>
  <c r="C115" i="19"/>
  <c r="C118" i="19"/>
  <c r="B113" i="19"/>
  <c r="B117" i="19"/>
  <c r="C120" i="19"/>
  <c r="B121" i="19"/>
  <c r="B114" i="19"/>
  <c r="D122" i="19"/>
  <c r="D155" i="14"/>
  <c r="B153" i="14"/>
  <c r="C104" i="14"/>
  <c r="G199" i="12"/>
  <c r="D198" i="12"/>
  <c r="G195" i="12"/>
  <c r="G191" i="12"/>
  <c r="L195" i="12"/>
  <c r="J108" i="12"/>
  <c r="I80" i="12"/>
  <c r="J104" i="12"/>
  <c r="J100" i="12"/>
  <c r="C193" i="12"/>
  <c r="K108" i="12"/>
  <c r="L104" i="12"/>
  <c r="K104" i="12"/>
  <c r="L100" i="12"/>
  <c r="K100" i="12"/>
  <c r="L108" i="12"/>
  <c r="L199" i="12"/>
  <c r="L197" i="12"/>
  <c r="N197" i="12"/>
  <c r="P199" i="12"/>
  <c r="D194" i="12"/>
  <c r="J159" i="12"/>
  <c r="J155" i="12"/>
  <c r="J151" i="12"/>
  <c r="I151" i="12"/>
  <c r="I159" i="12"/>
  <c r="I155" i="12"/>
  <c r="L193" i="12"/>
  <c r="H200" i="12"/>
  <c r="O198" i="12"/>
  <c r="M198" i="12"/>
  <c r="K192" i="12"/>
  <c r="K156" i="12"/>
  <c r="L152" i="12"/>
  <c r="K152" i="12"/>
  <c r="K160" i="12"/>
  <c r="L160" i="12"/>
  <c r="L156" i="12"/>
  <c r="P195" i="12"/>
  <c r="O194" i="12"/>
  <c r="H196" i="12"/>
  <c r="O191" i="12"/>
  <c r="K200" i="12"/>
  <c r="E108" i="12"/>
  <c r="E104" i="12"/>
  <c r="E100" i="12"/>
  <c r="H192" i="12"/>
  <c r="I106" i="12"/>
  <c r="I102" i="12"/>
  <c r="I98" i="12"/>
  <c r="J106" i="12"/>
  <c r="J102" i="12"/>
  <c r="J98" i="12"/>
  <c r="P197" i="12"/>
  <c r="P191" i="12"/>
  <c r="K194" i="12"/>
  <c r="K99" i="12"/>
  <c r="L79" i="12"/>
  <c r="L107" i="12" s="1"/>
  <c r="K107" i="12"/>
  <c r="L103" i="12"/>
  <c r="L99" i="12"/>
  <c r="K103" i="12"/>
  <c r="K196" i="12"/>
  <c r="J15" i="9"/>
  <c r="J74" i="9"/>
  <c r="J14" i="9"/>
  <c r="J22" i="9"/>
  <c r="B116" i="9" s="1"/>
  <c r="J21" i="9"/>
  <c r="B115" i="9" s="1"/>
  <c r="J20" i="9"/>
  <c r="J19" i="9"/>
  <c r="J18" i="9"/>
  <c r="B112" i="9" s="1"/>
  <c r="J17" i="9"/>
  <c r="B107" i="9"/>
  <c r="J16" i="9"/>
  <c r="B110" i="9" s="1"/>
  <c r="AM289" i="23" l="1"/>
  <c r="AN289" i="23" s="1"/>
  <c r="AO294" i="23"/>
  <c r="AN297" i="23"/>
  <c r="AL290" i="23"/>
  <c r="AN290" i="23" s="1"/>
  <c r="AO290" i="23" s="1"/>
  <c r="AN294" i="23"/>
  <c r="AN291" i="23"/>
  <c r="AO291" i="23" s="1"/>
  <c r="AN292" i="23"/>
  <c r="E57" i="28"/>
  <c r="C114" i="9"/>
  <c r="K52" i="9"/>
  <c r="K51" i="9"/>
  <c r="K50" i="9"/>
  <c r="B109" i="9"/>
  <c r="K15" i="9"/>
  <c r="D108" i="9"/>
  <c r="K74" i="9"/>
  <c r="B108" i="9"/>
  <c r="K14" i="9"/>
  <c r="B114" i="9"/>
  <c r="K22" i="9"/>
  <c r="K21" i="9"/>
  <c r="K20" i="9"/>
  <c r="B113" i="9"/>
  <c r="K19" i="9"/>
  <c r="K18" i="9"/>
  <c r="B111" i="9"/>
  <c r="K17" i="9"/>
  <c r="AN298" i="23"/>
  <c r="AE197" i="12"/>
  <c r="AB192" i="12"/>
  <c r="AD194" i="12"/>
  <c r="AO292" i="23"/>
  <c r="AO289" i="23"/>
  <c r="AO298" i="23"/>
  <c r="AO297" i="23"/>
  <c r="AO296" i="23"/>
  <c r="AB200" i="12"/>
  <c r="AG198" i="12"/>
  <c r="BV21" i="12"/>
  <c r="BV22" i="12"/>
  <c r="BV20" i="12"/>
  <c r="BV13" i="12"/>
  <c r="BV16" i="12"/>
  <c r="BV68" i="12"/>
  <c r="BV65" i="12"/>
  <c r="BV73" i="12"/>
  <c r="BV72" i="12"/>
  <c r="BV74" i="12"/>
  <c r="BV70" i="12"/>
  <c r="BV71" i="12"/>
  <c r="AA199" i="12"/>
  <c r="Z193" i="12"/>
  <c r="AB199" i="12"/>
  <c r="AF194" i="12"/>
  <c r="Z200" i="12"/>
  <c r="AF198" i="12"/>
  <c r="AC194" i="12"/>
  <c r="AD192" i="12"/>
  <c r="AG196" i="12"/>
  <c r="AC199" i="12"/>
  <c r="AB194" i="12"/>
  <c r="AJ194" i="12" s="1"/>
  <c r="AC195" i="12"/>
  <c r="AA195" i="12"/>
  <c r="AC197" i="12"/>
  <c r="AI197" i="12"/>
  <c r="AE200" i="12"/>
  <c r="AF196" i="12"/>
  <c r="AC196" i="12"/>
  <c r="AK196" i="12" s="1"/>
  <c r="Z198" i="12"/>
  <c r="AD199" i="12"/>
  <c r="AH199" i="12" s="1"/>
  <c r="AF200" i="12"/>
  <c r="AJ200" i="12" s="1"/>
  <c r="AG199" i="12"/>
  <c r="AK199" i="12" s="1"/>
  <c r="AC200" i="12"/>
  <c r="AG200" i="12"/>
  <c r="AC192" i="12"/>
  <c r="AC191" i="12"/>
  <c r="Z192" i="12"/>
  <c r="AH192" i="12" s="1"/>
  <c r="AE192" i="12"/>
  <c r="AC193" i="12"/>
  <c r="AE193" i="12"/>
  <c r="Z194" i="12"/>
  <c r="AH194" i="12" s="1"/>
  <c r="AG194" i="12"/>
  <c r="AK194" i="12" s="1"/>
  <c r="Z195" i="12"/>
  <c r="AB196" i="12"/>
  <c r="AJ196" i="12" s="1"/>
  <c r="AM196" i="12" s="1"/>
  <c r="AD196" i="12"/>
  <c r="AD198" i="12"/>
  <c r="AA191" i="12"/>
  <c r="AG191" i="12"/>
  <c r="AE194" i="12"/>
  <c r="AA198" i="12"/>
  <c r="AG193" i="12"/>
  <c r="AD193" i="12"/>
  <c r="AH193" i="12" s="1"/>
  <c r="AG195" i="12"/>
  <c r="AK195" i="12" s="1"/>
  <c r="I156" i="12"/>
  <c r="I160" i="12"/>
  <c r="I152" i="12"/>
  <c r="AG192" i="12"/>
  <c r="AA193" i="12"/>
  <c r="AI193" i="12" s="1"/>
  <c r="AL193" i="12" s="1"/>
  <c r="AG197" i="12"/>
  <c r="AK197" i="12" s="1"/>
  <c r="Z196" i="12"/>
  <c r="AH196" i="12" s="1"/>
  <c r="AC198" i="12"/>
  <c r="AK198" i="12" s="1"/>
  <c r="AE196" i="12"/>
  <c r="Z191" i="12"/>
  <c r="AD195" i="12"/>
  <c r="AD200" i="12"/>
  <c r="AH200" i="12" s="1"/>
  <c r="AD191" i="12"/>
  <c r="AB193" i="12"/>
  <c r="AJ193" i="12" s="1"/>
  <c r="AB198" i="12"/>
  <c r="AJ198" i="12" s="1"/>
  <c r="AM198" i="12" s="1"/>
  <c r="AB195" i="12"/>
  <c r="AF192" i="12"/>
  <c r="AJ192" i="12" s="1"/>
  <c r="AA194" i="12"/>
  <c r="AI194" i="12" s="1"/>
  <c r="AL194" i="12" s="1"/>
  <c r="I52" i="12"/>
  <c r="I56" i="12"/>
  <c r="I48" i="12"/>
  <c r="AE199" i="12"/>
  <c r="AI199" i="12" s="1"/>
  <c r="AL199" i="12" s="1"/>
  <c r="AE195" i="12"/>
  <c r="AI195" i="12" s="1"/>
  <c r="AF195" i="12"/>
  <c r="AA200" i="12"/>
  <c r="AI200" i="12" s="1"/>
  <c r="AL200" i="12" s="1"/>
  <c r="AF197" i="12"/>
  <c r="AF191" i="12"/>
  <c r="AJ191" i="12" s="1"/>
  <c r="AB197" i="12"/>
  <c r="AJ197" i="12" s="1"/>
  <c r="AE198" i="12"/>
  <c r="AA196" i="12"/>
  <c r="AI196" i="12" s="1"/>
  <c r="AL196" i="12" s="1"/>
  <c r="AN196" i="12" s="1"/>
  <c r="D160" i="14"/>
  <c r="F109" i="9"/>
  <c r="F108" i="9"/>
  <c r="F111" i="9"/>
  <c r="AD197" i="12"/>
  <c r="AH197" i="12" s="1"/>
  <c r="AL197" i="12" s="1"/>
  <c r="AF199" i="12"/>
  <c r="AJ199" i="12" s="1"/>
  <c r="AM199" i="12" s="1"/>
  <c r="AA192" i="12"/>
  <c r="AI192" i="12" s="1"/>
  <c r="AL192" i="12" s="1"/>
  <c r="L55" i="12"/>
  <c r="L51" i="12"/>
  <c r="L47" i="12"/>
  <c r="B269" i="24"/>
  <c r="B275" i="24"/>
  <c r="D269" i="24"/>
  <c r="B276" i="24"/>
  <c r="C268" i="24"/>
  <c r="C271" i="24"/>
  <c r="C284" i="24" s="1"/>
  <c r="C297" i="24" s="1"/>
  <c r="C267" i="24"/>
  <c r="C275" i="24"/>
  <c r="B268" i="24"/>
  <c r="B281" i="24" s="1"/>
  <c r="C274" i="24"/>
  <c r="D272" i="24"/>
  <c r="D285" i="24" s="1"/>
  <c r="D298" i="24" s="1"/>
  <c r="R326" i="24" s="1"/>
  <c r="D275" i="24"/>
  <c r="B273" i="24"/>
  <c r="D276" i="24"/>
  <c r="C270" i="24"/>
  <c r="D274" i="24"/>
  <c r="D287" i="24" s="1"/>
  <c r="D300" i="24" s="1"/>
  <c r="D267" i="24"/>
  <c r="D280" i="24" s="1"/>
  <c r="D293" i="24" s="1"/>
  <c r="C273" i="24"/>
  <c r="D270" i="24"/>
  <c r="O398" i="22"/>
  <c r="P398" i="22"/>
  <c r="Q398" i="22"/>
  <c r="N398" i="22"/>
  <c r="Q396" i="22"/>
  <c r="N396" i="22"/>
  <c r="O396" i="22"/>
  <c r="P396" i="22"/>
  <c r="U398" i="22"/>
  <c r="X398" i="22"/>
  <c r="V398" i="22"/>
  <c r="W398" i="22"/>
  <c r="Y398" i="22"/>
  <c r="U394" i="22"/>
  <c r="X394" i="22"/>
  <c r="V394" i="22"/>
  <c r="W394" i="22"/>
  <c r="Y394" i="22"/>
  <c r="T397" i="22"/>
  <c r="W397" i="22"/>
  <c r="Y397" i="22"/>
  <c r="X397" i="22"/>
  <c r="V397" i="22"/>
  <c r="B400" i="22"/>
  <c r="F400" i="22"/>
  <c r="G400" i="22"/>
  <c r="H400" i="22"/>
  <c r="I400" i="22"/>
  <c r="Y399" i="22"/>
  <c r="W399" i="22"/>
  <c r="X399" i="22"/>
  <c r="V399" i="22"/>
  <c r="G401" i="22"/>
  <c r="I401" i="22"/>
  <c r="H401" i="22"/>
  <c r="F401" i="22"/>
  <c r="M399" i="22"/>
  <c r="P399" i="22"/>
  <c r="N399" i="22"/>
  <c r="Q399" i="22"/>
  <c r="O399" i="22"/>
  <c r="D402" i="22"/>
  <c r="H402" i="22"/>
  <c r="I402" i="22"/>
  <c r="F402" i="22"/>
  <c r="G402" i="22"/>
  <c r="D394" i="22"/>
  <c r="H394" i="22"/>
  <c r="I394" i="22"/>
  <c r="F394" i="22"/>
  <c r="G394" i="22"/>
  <c r="J395" i="22"/>
  <c r="P395" i="22"/>
  <c r="N395" i="22"/>
  <c r="Q395" i="22"/>
  <c r="O395" i="22"/>
  <c r="K401" i="22"/>
  <c r="P401" i="22"/>
  <c r="O401" i="22"/>
  <c r="N401" i="22"/>
  <c r="Q401" i="22"/>
  <c r="V400" i="22"/>
  <c r="X400" i="22"/>
  <c r="Y400" i="22"/>
  <c r="W400" i="22"/>
  <c r="W393" i="22"/>
  <c r="Y393" i="22"/>
  <c r="X393" i="22"/>
  <c r="V393" i="22"/>
  <c r="H398" i="22"/>
  <c r="F398" i="22"/>
  <c r="I398" i="22"/>
  <c r="G398" i="22"/>
  <c r="D395" i="22"/>
  <c r="I395" i="22"/>
  <c r="G395" i="22"/>
  <c r="H395" i="22"/>
  <c r="F395" i="22"/>
  <c r="U402" i="22"/>
  <c r="X402" i="22"/>
  <c r="Y402" i="22"/>
  <c r="V402" i="22"/>
  <c r="W402" i="22"/>
  <c r="J394" i="22"/>
  <c r="O394" i="22"/>
  <c r="Q394" i="22"/>
  <c r="P394" i="22"/>
  <c r="N394" i="22"/>
  <c r="D396" i="22"/>
  <c r="F396" i="22"/>
  <c r="H396" i="22"/>
  <c r="G396" i="22"/>
  <c r="I396" i="22"/>
  <c r="W401" i="22"/>
  <c r="X401" i="22"/>
  <c r="V401" i="22"/>
  <c r="Y401" i="22"/>
  <c r="G397" i="22"/>
  <c r="H397" i="22"/>
  <c r="F397" i="22"/>
  <c r="I397" i="22"/>
  <c r="L393" i="22"/>
  <c r="N393" i="22"/>
  <c r="P393" i="22"/>
  <c r="O393" i="22"/>
  <c r="Q393" i="22"/>
  <c r="B399" i="22"/>
  <c r="I399" i="22"/>
  <c r="G399" i="22"/>
  <c r="H399" i="22"/>
  <c r="F399" i="22"/>
  <c r="V396" i="22"/>
  <c r="X396" i="22"/>
  <c r="Y396" i="22"/>
  <c r="W396" i="22"/>
  <c r="G393" i="22"/>
  <c r="I393" i="22"/>
  <c r="H393" i="22"/>
  <c r="F393" i="22"/>
  <c r="P397" i="22"/>
  <c r="N397" i="22"/>
  <c r="O397" i="22"/>
  <c r="Q397" i="22"/>
  <c r="Q400" i="22"/>
  <c r="N400" i="22"/>
  <c r="O400" i="22"/>
  <c r="P400" i="22"/>
  <c r="T395" i="22"/>
  <c r="Y395" i="22"/>
  <c r="W395" i="22"/>
  <c r="X395" i="22"/>
  <c r="V395" i="22"/>
  <c r="L395" i="22"/>
  <c r="AB395" i="22" s="1"/>
  <c r="K402" i="22"/>
  <c r="O402" i="22"/>
  <c r="P402" i="22"/>
  <c r="AF402" i="22" s="1"/>
  <c r="Q402" i="22"/>
  <c r="N402" i="22"/>
  <c r="M401" i="22"/>
  <c r="R402" i="22"/>
  <c r="R398" i="22"/>
  <c r="R394" i="22"/>
  <c r="J399" i="22"/>
  <c r="K395" i="22"/>
  <c r="C396" i="22"/>
  <c r="E396" i="22"/>
  <c r="K394" i="22"/>
  <c r="K393" i="22"/>
  <c r="J402" i="22"/>
  <c r="M393" i="22"/>
  <c r="M402" i="22"/>
  <c r="L402" i="22"/>
  <c r="B395" i="22"/>
  <c r="S394" i="22"/>
  <c r="T394" i="22"/>
  <c r="L394" i="22"/>
  <c r="M394" i="22"/>
  <c r="J393" i="22"/>
  <c r="T398" i="22"/>
  <c r="T402" i="22"/>
  <c r="C400" i="22"/>
  <c r="J401" i="22"/>
  <c r="S398" i="22"/>
  <c r="S402" i="22"/>
  <c r="L401" i="22"/>
  <c r="B396" i="22"/>
  <c r="B394" i="22"/>
  <c r="M395" i="22"/>
  <c r="E399" i="22"/>
  <c r="E394" i="22"/>
  <c r="D400" i="22"/>
  <c r="D399" i="22"/>
  <c r="R397" i="22"/>
  <c r="E400" i="22"/>
  <c r="B402" i="22"/>
  <c r="C399" i="22"/>
  <c r="C394" i="22"/>
  <c r="S397" i="22"/>
  <c r="U397" i="22"/>
  <c r="U395" i="22"/>
  <c r="S395" i="22"/>
  <c r="R395" i="22"/>
  <c r="E395" i="22"/>
  <c r="C402" i="22"/>
  <c r="E402" i="22"/>
  <c r="C395" i="22"/>
  <c r="L399" i="22"/>
  <c r="K399" i="22"/>
  <c r="S401" i="22"/>
  <c r="U401" i="22"/>
  <c r="R401" i="22"/>
  <c r="T401" i="22"/>
  <c r="J398" i="22"/>
  <c r="L398" i="22"/>
  <c r="M398" i="22"/>
  <c r="K398" i="22"/>
  <c r="M397" i="22"/>
  <c r="K397" i="22"/>
  <c r="J397" i="22"/>
  <c r="L397" i="22"/>
  <c r="D401" i="22"/>
  <c r="E401" i="22"/>
  <c r="B401" i="22"/>
  <c r="C401" i="22"/>
  <c r="J396" i="22"/>
  <c r="M396" i="22"/>
  <c r="L396" i="22"/>
  <c r="K396" i="22"/>
  <c r="T399" i="22"/>
  <c r="S399" i="22"/>
  <c r="U399" i="22"/>
  <c r="R399" i="22"/>
  <c r="D397" i="22"/>
  <c r="E397" i="22"/>
  <c r="B397" i="22"/>
  <c r="C397" i="22"/>
  <c r="U400" i="22"/>
  <c r="T400" i="22"/>
  <c r="R400" i="22"/>
  <c r="S400" i="22"/>
  <c r="U396" i="22"/>
  <c r="T396" i="22"/>
  <c r="R396" i="22"/>
  <c r="S396" i="22"/>
  <c r="R393" i="22"/>
  <c r="U393" i="22"/>
  <c r="S393" i="22"/>
  <c r="T393" i="22"/>
  <c r="D393" i="22"/>
  <c r="B393" i="22"/>
  <c r="E393" i="22"/>
  <c r="C393" i="22"/>
  <c r="E398" i="22"/>
  <c r="B398" i="22"/>
  <c r="C398" i="22"/>
  <c r="D398" i="22"/>
  <c r="M400" i="22"/>
  <c r="J400" i="22"/>
  <c r="K400" i="22"/>
  <c r="L400" i="22"/>
  <c r="D253" i="21"/>
  <c r="D255" i="21"/>
  <c r="B253" i="21"/>
  <c r="C253" i="21"/>
  <c r="B255" i="21"/>
  <c r="C255" i="21"/>
  <c r="C174" i="21"/>
  <c r="C215" i="21" s="1"/>
  <c r="C166" i="21"/>
  <c r="C207" i="21" s="1"/>
  <c r="C169" i="21"/>
  <c r="C210" i="21" s="1"/>
  <c r="C184" i="21"/>
  <c r="C225" i="21" s="1"/>
  <c r="D176" i="21"/>
  <c r="D217" i="21" s="1"/>
  <c r="D193" i="21"/>
  <c r="D234" i="21" s="1"/>
  <c r="D173" i="21"/>
  <c r="D214" i="21" s="1"/>
  <c r="C186" i="21"/>
  <c r="C227" i="21" s="1"/>
  <c r="D177" i="21"/>
  <c r="D218" i="21" s="1"/>
  <c r="B202" i="21"/>
  <c r="B243" i="21" s="1"/>
  <c r="D180" i="21"/>
  <c r="D221" i="21" s="1"/>
  <c r="D166" i="21"/>
  <c r="D207" i="21" s="1"/>
  <c r="B174" i="21"/>
  <c r="B215" i="21" s="1"/>
  <c r="D192" i="21"/>
  <c r="D233" i="21" s="1"/>
  <c r="C172" i="21"/>
  <c r="C213" i="21" s="1"/>
  <c r="B185" i="21"/>
  <c r="B226" i="21" s="1"/>
  <c r="B184" i="21"/>
  <c r="B225" i="21" s="1"/>
  <c r="C165" i="21"/>
  <c r="C206" i="21" s="1"/>
  <c r="B170" i="21"/>
  <c r="B211" i="21" s="1"/>
  <c r="C178" i="21"/>
  <c r="C219" i="21" s="1"/>
  <c r="B193" i="21"/>
  <c r="B234" i="21" s="1"/>
  <c r="D194" i="21"/>
  <c r="D235" i="21" s="1"/>
  <c r="C173" i="21"/>
  <c r="C214" i="21" s="1"/>
  <c r="D200" i="21"/>
  <c r="D241" i="21" s="1"/>
  <c r="D174" i="21"/>
  <c r="D215" i="21" s="1"/>
  <c r="B165" i="21"/>
  <c r="B206" i="21" s="1"/>
  <c r="C201" i="21"/>
  <c r="C242" i="21" s="1"/>
  <c r="C168" i="21"/>
  <c r="C209" i="21" s="1"/>
  <c r="C248" i="21" s="1"/>
  <c r="C192" i="21"/>
  <c r="C233" i="21" s="1"/>
  <c r="D185" i="21"/>
  <c r="D226" i="21" s="1"/>
  <c r="D181" i="21"/>
  <c r="D222" i="21" s="1"/>
  <c r="D178" i="21"/>
  <c r="D219" i="21" s="1"/>
  <c r="C164" i="21"/>
  <c r="C205" i="21" s="1"/>
  <c r="C182" i="21"/>
  <c r="C223" i="21" s="1"/>
  <c r="D165" i="21"/>
  <c r="D206" i="21" s="1"/>
  <c r="B168" i="21"/>
  <c r="B209" i="21" s="1"/>
  <c r="B248" i="21" s="1"/>
  <c r="B201" i="21"/>
  <c r="B242" i="21" s="1"/>
  <c r="B180" i="21"/>
  <c r="B221" i="21" s="1"/>
  <c r="B166" i="21"/>
  <c r="B207" i="21" s="1"/>
  <c r="D182" i="21"/>
  <c r="D223" i="21" s="1"/>
  <c r="D169" i="21"/>
  <c r="D210" i="21" s="1"/>
  <c r="D172" i="21"/>
  <c r="D213" i="21" s="1"/>
  <c r="C185" i="21"/>
  <c r="C226" i="21" s="1"/>
  <c r="B181" i="21"/>
  <c r="B222" i="21" s="1"/>
  <c r="D168" i="21"/>
  <c r="D209" i="21" s="1"/>
  <c r="D248" i="21" s="1"/>
  <c r="C170" i="21"/>
  <c r="C211" i="21" s="1"/>
  <c r="B178" i="21"/>
  <c r="B219" i="21" s="1"/>
  <c r="D164" i="21"/>
  <c r="D205" i="21" s="1"/>
  <c r="C194" i="21"/>
  <c r="C235" i="21" s="1"/>
  <c r="B173" i="21"/>
  <c r="B214" i="21" s="1"/>
  <c r="C202" i="21"/>
  <c r="C243" i="21" s="1"/>
  <c r="B177" i="21"/>
  <c r="B218" i="21" s="1"/>
  <c r="B186" i="21"/>
  <c r="B227" i="21" s="1"/>
  <c r="D201" i="21"/>
  <c r="D242" i="21" s="1"/>
  <c r="C180" i="21"/>
  <c r="C221" i="21" s="1"/>
  <c r="C177" i="21"/>
  <c r="C218" i="21" s="1"/>
  <c r="B192" i="21"/>
  <c r="B233" i="21" s="1"/>
  <c r="B169" i="21"/>
  <c r="B210" i="21" s="1"/>
  <c r="B172" i="21"/>
  <c r="B213" i="21" s="1"/>
  <c r="D184" i="21"/>
  <c r="D225" i="21" s="1"/>
  <c r="C181" i="21"/>
  <c r="C222" i="21" s="1"/>
  <c r="D202" i="21"/>
  <c r="D243" i="21" s="1"/>
  <c r="D170" i="21"/>
  <c r="D211" i="21" s="1"/>
  <c r="C193" i="21"/>
  <c r="C234" i="21" s="1"/>
  <c r="B164" i="21"/>
  <c r="B205" i="21" s="1"/>
  <c r="B247" i="21" s="1"/>
  <c r="B194" i="21"/>
  <c r="B235" i="21" s="1"/>
  <c r="B200" i="21"/>
  <c r="B241" i="21" s="1"/>
  <c r="B176" i="21"/>
  <c r="B217" i="21" s="1"/>
  <c r="B182" i="21"/>
  <c r="B223" i="21" s="1"/>
  <c r="D177" i="19"/>
  <c r="B177" i="19"/>
  <c r="D176" i="19"/>
  <c r="C177" i="19"/>
  <c r="D190" i="19" s="1"/>
  <c r="B175" i="19"/>
  <c r="C175" i="19"/>
  <c r="D175" i="19"/>
  <c r="C176" i="19"/>
  <c r="B176" i="19"/>
  <c r="B168" i="19"/>
  <c r="C168" i="19"/>
  <c r="B160" i="19"/>
  <c r="C160" i="19"/>
  <c r="C164" i="19"/>
  <c r="B164" i="19"/>
  <c r="D165" i="19"/>
  <c r="D164" i="19"/>
  <c r="B165" i="19"/>
  <c r="C165" i="19"/>
  <c r="C145" i="19"/>
  <c r="D145" i="19"/>
  <c r="D144" i="19"/>
  <c r="B145" i="19"/>
  <c r="B159" i="19"/>
  <c r="C159" i="19"/>
  <c r="D159" i="19"/>
  <c r="B140" i="19"/>
  <c r="C140" i="19"/>
  <c r="D155" i="19"/>
  <c r="B155" i="19"/>
  <c r="C155" i="19"/>
  <c r="B185" i="19" s="1"/>
  <c r="C148" i="19"/>
  <c r="B148" i="19"/>
  <c r="D168" i="19"/>
  <c r="C169" i="19"/>
  <c r="D169" i="19"/>
  <c r="B169" i="19"/>
  <c r="C151" i="19"/>
  <c r="D151" i="19"/>
  <c r="B151" i="19"/>
  <c r="D149" i="19"/>
  <c r="B149" i="19"/>
  <c r="C149" i="19"/>
  <c r="D148" i="19"/>
  <c r="B144" i="19"/>
  <c r="C144" i="19"/>
  <c r="C143" i="19"/>
  <c r="D143" i="19"/>
  <c r="B143" i="19"/>
  <c r="B152" i="19"/>
  <c r="C152" i="19"/>
  <c r="B157" i="19"/>
  <c r="D157" i="19"/>
  <c r="C157" i="19"/>
  <c r="D156" i="19"/>
  <c r="D152" i="19"/>
  <c r="B153" i="19"/>
  <c r="C153" i="19"/>
  <c r="D153" i="19"/>
  <c r="B173" i="19"/>
  <c r="D173" i="19"/>
  <c r="C173" i="19"/>
  <c r="D172" i="19"/>
  <c r="D171" i="19"/>
  <c r="B171" i="19"/>
  <c r="B190" i="19"/>
  <c r="C171" i="19"/>
  <c r="B189" i="19" s="1"/>
  <c r="D139" i="19"/>
  <c r="B139" i="19"/>
  <c r="C139" i="19"/>
  <c r="B156" i="19"/>
  <c r="C185" i="19" s="1"/>
  <c r="C156" i="19"/>
  <c r="C161" i="19"/>
  <c r="D160" i="19"/>
  <c r="B161" i="19"/>
  <c r="D186" i="19" s="1"/>
  <c r="D161" i="19"/>
  <c r="D141" i="19"/>
  <c r="C141" i="19"/>
  <c r="B141" i="19"/>
  <c r="D181" i="19" s="1"/>
  <c r="D140" i="19"/>
  <c r="B163" i="19"/>
  <c r="D163" i="19"/>
  <c r="C163" i="19"/>
  <c r="B187" i="19" s="1"/>
  <c r="C167" i="19"/>
  <c r="B167" i="19"/>
  <c r="D167" i="19"/>
  <c r="C190" i="19"/>
  <c r="B172" i="19"/>
  <c r="C172" i="19"/>
  <c r="B147" i="19"/>
  <c r="C147" i="19"/>
  <c r="D147" i="19"/>
  <c r="D159" i="14"/>
  <c r="D158" i="14"/>
  <c r="C154" i="14"/>
  <c r="D157" i="14"/>
  <c r="C155" i="14"/>
  <c r="B168" i="14" s="1"/>
  <c r="D153" i="14"/>
  <c r="C160" i="14"/>
  <c r="C156" i="14"/>
  <c r="C168" i="14"/>
  <c r="C181" i="14" s="1"/>
  <c r="C207" i="14" s="1"/>
  <c r="C162" i="14"/>
  <c r="D154" i="14"/>
  <c r="C153" i="14"/>
  <c r="C166" i="14" s="1"/>
  <c r="C179" i="14" s="1"/>
  <c r="C205" i="14" s="1"/>
  <c r="D161" i="14"/>
  <c r="B154" i="14"/>
  <c r="B159" i="14"/>
  <c r="C158" i="14"/>
  <c r="B157" i="14"/>
  <c r="B162" i="14"/>
  <c r="C157" i="14"/>
  <c r="C159" i="14"/>
  <c r="D162" i="14"/>
  <c r="B156" i="14"/>
  <c r="D156" i="14"/>
  <c r="B160" i="14"/>
  <c r="B158" i="14"/>
  <c r="C161" i="14"/>
  <c r="I108" i="12"/>
  <c r="I104" i="12"/>
  <c r="I100" i="12"/>
  <c r="AE191" i="12"/>
  <c r="C250" i="21" l="1"/>
  <c r="B183" i="19"/>
  <c r="F116" i="9"/>
  <c r="F115" i="9"/>
  <c r="F114" i="9"/>
  <c r="F113" i="9"/>
  <c r="F112" i="9"/>
  <c r="F110" i="9"/>
  <c r="F107" i="9"/>
  <c r="C187" i="19"/>
  <c r="D283" i="24"/>
  <c r="D296" i="24" s="1"/>
  <c r="AM194" i="12"/>
  <c r="AI191" i="12"/>
  <c r="AK200" i="12"/>
  <c r="AK193" i="12"/>
  <c r="AM193" i="12" s="1"/>
  <c r="AN193" i="12" s="1"/>
  <c r="AO193" i="12" s="1"/>
  <c r="AN199" i="12"/>
  <c r="AH198" i="12"/>
  <c r="AI198" i="12"/>
  <c r="AL198" i="12" s="1"/>
  <c r="AN198" i="12" s="1"/>
  <c r="AM197" i="12"/>
  <c r="AN197" i="12" s="1"/>
  <c r="AH195" i="12"/>
  <c r="AL195" i="12" s="1"/>
  <c r="AJ195" i="12"/>
  <c r="AM195" i="12" s="1"/>
  <c r="AK192" i="12"/>
  <c r="AM192" i="12" s="1"/>
  <c r="AN192" i="12" s="1"/>
  <c r="AO192" i="12" s="1"/>
  <c r="AM200" i="12"/>
  <c r="AN200" i="12" s="1"/>
  <c r="AN194" i="12"/>
  <c r="AH191" i="12"/>
  <c r="AK191" i="12"/>
  <c r="AM191" i="12" s="1"/>
  <c r="AL191" i="12"/>
  <c r="AN191" i="12" s="1"/>
  <c r="AE394" i="22"/>
  <c r="C282" i="24"/>
  <c r="C295" i="24" s="1"/>
  <c r="B283" i="24"/>
  <c r="B296" i="24" s="1"/>
  <c r="B289" i="24"/>
  <c r="B302" i="24" s="1"/>
  <c r="D168" i="14"/>
  <c r="B286" i="24"/>
  <c r="B299" i="24" s="1"/>
  <c r="F327" i="24" s="1"/>
  <c r="D288" i="24"/>
  <c r="D301" i="24" s="1"/>
  <c r="B284" i="24"/>
  <c r="D282" i="24"/>
  <c r="D295" i="24" s="1"/>
  <c r="S321" i="24"/>
  <c r="W321" i="24"/>
  <c r="V321" i="24"/>
  <c r="T321" i="24"/>
  <c r="Y321" i="24"/>
  <c r="X321" i="24"/>
  <c r="U321" i="24"/>
  <c r="C327" i="24"/>
  <c r="D327" i="24"/>
  <c r="I327" i="24"/>
  <c r="E327" i="24"/>
  <c r="J323" i="24"/>
  <c r="O323" i="24"/>
  <c r="K323" i="24"/>
  <c r="Q323" i="24"/>
  <c r="P323" i="24"/>
  <c r="L323" i="24"/>
  <c r="M323" i="24"/>
  <c r="N323" i="24"/>
  <c r="R324" i="24"/>
  <c r="W324" i="24"/>
  <c r="V324" i="24"/>
  <c r="X324" i="24"/>
  <c r="U324" i="24"/>
  <c r="Y324" i="24"/>
  <c r="S324" i="24"/>
  <c r="T324" i="24"/>
  <c r="G324" i="24"/>
  <c r="C324" i="24"/>
  <c r="F324" i="24"/>
  <c r="E324" i="24"/>
  <c r="H324" i="24"/>
  <c r="I324" i="24"/>
  <c r="D324" i="24"/>
  <c r="K325" i="24"/>
  <c r="O325" i="24"/>
  <c r="M325" i="24"/>
  <c r="N325" i="24"/>
  <c r="Q325" i="24"/>
  <c r="L325" i="24"/>
  <c r="P325" i="24"/>
  <c r="C330" i="24"/>
  <c r="G330" i="24"/>
  <c r="D330" i="24"/>
  <c r="I330" i="24"/>
  <c r="E330" i="24"/>
  <c r="C281" i="24"/>
  <c r="C294" i="24" s="1"/>
  <c r="R323" i="24"/>
  <c r="W328" i="24"/>
  <c r="V328" i="24"/>
  <c r="T328" i="24"/>
  <c r="U328" i="24"/>
  <c r="X328" i="24"/>
  <c r="Y328" i="24"/>
  <c r="S328" i="24"/>
  <c r="C288" i="24"/>
  <c r="C301" i="24" s="1"/>
  <c r="C289" i="24"/>
  <c r="C302" i="24" s="1"/>
  <c r="D281" i="24"/>
  <c r="D294" i="24" s="1"/>
  <c r="D286" i="24"/>
  <c r="D299" i="24" s="1"/>
  <c r="X329" i="24"/>
  <c r="T329" i="24"/>
  <c r="V329" i="24"/>
  <c r="C283" i="24"/>
  <c r="C296" i="24" s="1"/>
  <c r="C280" i="24"/>
  <c r="C293" i="24" s="1"/>
  <c r="B285" i="24"/>
  <c r="B298" i="24" s="1"/>
  <c r="C285" i="24"/>
  <c r="C298" i="24" s="1"/>
  <c r="D284" i="24"/>
  <c r="D297" i="24" s="1"/>
  <c r="S326" i="24"/>
  <c r="X326" i="24"/>
  <c r="T326" i="24"/>
  <c r="W326" i="24"/>
  <c r="V326" i="24"/>
  <c r="Y326" i="24"/>
  <c r="U326" i="24"/>
  <c r="C286" i="24"/>
  <c r="C299" i="24" s="1"/>
  <c r="D289" i="24"/>
  <c r="D302" i="24" s="1"/>
  <c r="C287" i="24"/>
  <c r="C300" i="24" s="1"/>
  <c r="B288" i="24"/>
  <c r="B287" i="24"/>
  <c r="B300" i="24" s="1"/>
  <c r="B280" i="24"/>
  <c r="B293" i="24" s="1"/>
  <c r="B282" i="24"/>
  <c r="B295" i="24" s="1"/>
  <c r="E295" i="24" s="1"/>
  <c r="B324" i="24"/>
  <c r="E283" i="24"/>
  <c r="E296" i="24"/>
  <c r="R328" i="24"/>
  <c r="J326" i="24"/>
  <c r="R330" i="24"/>
  <c r="R321" i="24"/>
  <c r="E280" i="24"/>
  <c r="J327" i="24"/>
  <c r="J322" i="24"/>
  <c r="B323" i="24"/>
  <c r="Z323" i="24" s="1"/>
  <c r="J325" i="24"/>
  <c r="R327" i="24"/>
  <c r="B330" i="24"/>
  <c r="E293" i="24"/>
  <c r="B321" i="24"/>
  <c r="B301" i="24"/>
  <c r="E281" i="24"/>
  <c r="B294" i="24"/>
  <c r="B328" i="24"/>
  <c r="R325" i="24"/>
  <c r="R329" i="24"/>
  <c r="E284" i="24"/>
  <c r="B297" i="24"/>
  <c r="E299" i="24"/>
  <c r="B327" i="24"/>
  <c r="AG399" i="22"/>
  <c r="AF393" i="22"/>
  <c r="Z395" i="22"/>
  <c r="Z399" i="22"/>
  <c r="AD402" i="22"/>
  <c r="Z394" i="22"/>
  <c r="AG398" i="22"/>
  <c r="AA395" i="22"/>
  <c r="AD399" i="22"/>
  <c r="AA394" i="22"/>
  <c r="AI394" i="22" s="1"/>
  <c r="Z402" i="22"/>
  <c r="AH402" i="22" s="1"/>
  <c r="AB402" i="22"/>
  <c r="AJ402" i="22" s="1"/>
  <c r="AE398" i="22"/>
  <c r="AC402" i="22"/>
  <c r="AF398" i="22"/>
  <c r="AB394" i="22"/>
  <c r="AG402" i="22"/>
  <c r="AC394" i="22"/>
  <c r="AD398" i="22"/>
  <c r="AA402" i="22"/>
  <c r="AG396" i="22"/>
  <c r="AC399" i="22"/>
  <c r="AK399" i="22" s="1"/>
  <c r="Z400" i="22"/>
  <c r="AD394" i="22"/>
  <c r="AA396" i="22"/>
  <c r="AB397" i="22"/>
  <c r="AE399" i="22"/>
  <c r="AA398" i="22"/>
  <c r="AI398" i="22" s="1"/>
  <c r="AF399" i="22"/>
  <c r="AE402" i="22"/>
  <c r="AG394" i="22"/>
  <c r="AC395" i="22"/>
  <c r="AA400" i="22"/>
  <c r="AC398" i="22"/>
  <c r="AK398" i="22" s="1"/>
  <c r="AB396" i="22"/>
  <c r="AA401" i="22"/>
  <c r="AF394" i="22"/>
  <c r="AB398" i="22"/>
  <c r="AJ398" i="22" s="1"/>
  <c r="AM398" i="22" s="1"/>
  <c r="AF400" i="22"/>
  <c r="AE393" i="22"/>
  <c r="AA399" i="22"/>
  <c r="AI399" i="22" s="1"/>
  <c r="AA393" i="22"/>
  <c r="AI393" i="22" s="1"/>
  <c r="AC396" i="22"/>
  <c r="AK396" i="22" s="1"/>
  <c r="AB399" i="22"/>
  <c r="AJ399" i="22" s="1"/>
  <c r="AM399" i="22" s="1"/>
  <c r="AB400" i="22"/>
  <c r="AJ400" i="22" s="1"/>
  <c r="AG400" i="22"/>
  <c r="AC397" i="22"/>
  <c r="AB401" i="22"/>
  <c r="Z398" i="22"/>
  <c r="AH398" i="22" s="1"/>
  <c r="Z393" i="22"/>
  <c r="AD396" i="22"/>
  <c r="AG393" i="22"/>
  <c r="AA397" i="22"/>
  <c r="AI397" i="22" s="1"/>
  <c r="AE397" i="22"/>
  <c r="AC400" i="22"/>
  <c r="AK400" i="22" s="1"/>
  <c r="AD393" i="22"/>
  <c r="AG401" i="22"/>
  <c r="Z396" i="22"/>
  <c r="AH396" i="22" s="1"/>
  <c r="AB393" i="22"/>
  <c r="AJ393" i="22" s="1"/>
  <c r="AE396" i="22"/>
  <c r="AD397" i="22"/>
  <c r="AD400" i="22"/>
  <c r="AG397" i="22"/>
  <c r="AC393" i="22"/>
  <c r="AK393" i="22" s="1"/>
  <c r="AC401" i="22"/>
  <c r="AK401" i="22" s="1"/>
  <c r="AF401" i="22"/>
  <c r="AE400" i="22"/>
  <c r="AF395" i="22"/>
  <c r="AJ395" i="22" s="1"/>
  <c r="Z397" i="22"/>
  <c r="AH397" i="22" s="1"/>
  <c r="Z401" i="22"/>
  <c r="AG395" i="22"/>
  <c r="AD401" i="22"/>
  <c r="AF396" i="22"/>
  <c r="AD395" i="22"/>
  <c r="AE401" i="22"/>
  <c r="AE395" i="22"/>
  <c r="AF397" i="22"/>
  <c r="D252" i="21"/>
  <c r="B254" i="21"/>
  <c r="C247" i="21"/>
  <c r="B250" i="21"/>
  <c r="D247" i="21"/>
  <c r="C256" i="21"/>
  <c r="C254" i="21"/>
  <c r="B252" i="21"/>
  <c r="D250" i="21"/>
  <c r="D256" i="21"/>
  <c r="C252" i="21"/>
  <c r="C265" i="21" s="1"/>
  <c r="C291" i="21" s="1"/>
  <c r="B256" i="21"/>
  <c r="B249" i="21"/>
  <c r="C251" i="21"/>
  <c r="C249" i="21"/>
  <c r="D251" i="21"/>
  <c r="D249" i="21"/>
  <c r="B251" i="21"/>
  <c r="D254" i="21"/>
  <c r="C267" i="21" s="1"/>
  <c r="C293" i="21" s="1"/>
  <c r="B266" i="21"/>
  <c r="B292" i="21" s="1"/>
  <c r="C266" i="21"/>
  <c r="C292" i="21" s="1"/>
  <c r="D266" i="21"/>
  <c r="D292" i="21" s="1"/>
  <c r="C268" i="21"/>
  <c r="C294" i="21" s="1"/>
  <c r="D268" i="21"/>
  <c r="D294" i="21" s="1"/>
  <c r="B268" i="21"/>
  <c r="B294" i="21" s="1"/>
  <c r="D182" i="19"/>
  <c r="C184" i="19"/>
  <c r="D183" i="19"/>
  <c r="D187" i="19"/>
  <c r="B182" i="19"/>
  <c r="C189" i="19"/>
  <c r="B188" i="19"/>
  <c r="C182" i="19"/>
  <c r="C195" i="19" s="1"/>
  <c r="C203" i="19"/>
  <c r="C242" i="19" s="1"/>
  <c r="B203" i="19"/>
  <c r="B242" i="19" s="1"/>
  <c r="D203" i="19"/>
  <c r="D242" i="19" s="1"/>
  <c r="D189" i="19"/>
  <c r="D184" i="19"/>
  <c r="D188" i="19"/>
  <c r="C183" i="19"/>
  <c r="B186" i="19"/>
  <c r="B181" i="19"/>
  <c r="D185" i="19"/>
  <c r="C186" i="19"/>
  <c r="C199" i="19" s="1"/>
  <c r="C181" i="19"/>
  <c r="C234" i="19"/>
  <c r="B184" i="19"/>
  <c r="C188" i="19"/>
  <c r="B167" i="14"/>
  <c r="B180" i="14" s="1"/>
  <c r="B206" i="14" s="1"/>
  <c r="B172" i="14"/>
  <c r="B185" i="14" s="1"/>
  <c r="B211" i="14" s="1"/>
  <c r="B171" i="14"/>
  <c r="B184" i="14" s="1"/>
  <c r="B210" i="14" s="1"/>
  <c r="C173" i="14"/>
  <c r="C186" i="14" s="1"/>
  <c r="C212" i="14" s="1"/>
  <c r="D175" i="14"/>
  <c r="D188" i="14" s="1"/>
  <c r="D214" i="14" s="1"/>
  <c r="D174" i="14"/>
  <c r="D187" i="14" s="1"/>
  <c r="D213" i="14" s="1"/>
  <c r="C169" i="14"/>
  <c r="C182" i="14" s="1"/>
  <c r="C208" i="14" s="1"/>
  <c r="B170" i="14"/>
  <c r="B183" i="14" s="1"/>
  <c r="B209" i="14" s="1"/>
  <c r="B181" i="14"/>
  <c r="C167" i="14"/>
  <c r="C180" i="14" s="1"/>
  <c r="C206" i="14" s="1"/>
  <c r="B174" i="14"/>
  <c r="B187" i="14" s="1"/>
  <c r="B213" i="14" s="1"/>
  <c r="C175" i="14"/>
  <c r="C188" i="14" s="1"/>
  <c r="C214" i="14" s="1"/>
  <c r="D166" i="14"/>
  <c r="D179" i="14" s="1"/>
  <c r="D205" i="14" s="1"/>
  <c r="D171" i="14"/>
  <c r="D184" i="14" s="1"/>
  <c r="D210" i="14" s="1"/>
  <c r="B173" i="14"/>
  <c r="C172" i="14"/>
  <c r="C171" i="14"/>
  <c r="D172" i="14"/>
  <c r="D185" i="14" s="1"/>
  <c r="D211" i="14" s="1"/>
  <c r="D169" i="14"/>
  <c r="D182" i="14" s="1"/>
  <c r="D208" i="14" s="1"/>
  <c r="C170" i="14"/>
  <c r="C183" i="14" s="1"/>
  <c r="C209" i="14" s="1"/>
  <c r="C174" i="14"/>
  <c r="C187" i="14" s="1"/>
  <c r="C213" i="14" s="1"/>
  <c r="B169" i="14"/>
  <c r="B182" i="14" s="1"/>
  <c r="B208" i="14" s="1"/>
  <c r="E208" i="14" s="1"/>
  <c r="B175" i="14"/>
  <c r="B188" i="14" s="1"/>
  <c r="D167" i="14"/>
  <c r="D173" i="14"/>
  <c r="D186" i="14" s="1"/>
  <c r="D212" i="14" s="1"/>
  <c r="D170" i="14"/>
  <c r="B166" i="14"/>
  <c r="B179" i="14" s="1"/>
  <c r="B205" i="14" s="1"/>
  <c r="F330" i="24" l="1"/>
  <c r="H330" i="24"/>
  <c r="AH399" i="22"/>
  <c r="AL399" i="22" s="1"/>
  <c r="AK402" i="22"/>
  <c r="AJ394" i="22"/>
  <c r="AI402" i="22"/>
  <c r="AL402" i="22" s="1"/>
  <c r="AI396" i="22"/>
  <c r="AI400" i="22"/>
  <c r="AI401" i="22"/>
  <c r="AH395" i="22"/>
  <c r="AH394" i="22"/>
  <c r="AL394" i="22" s="1"/>
  <c r="AI395" i="22"/>
  <c r="AL395" i="22" s="1"/>
  <c r="AK394" i="22"/>
  <c r="AJ397" i="22"/>
  <c r="AK395" i="22"/>
  <c r="AM395" i="22" s="1"/>
  <c r="AJ396" i="22"/>
  <c r="AK397" i="22"/>
  <c r="AH393" i="22"/>
  <c r="AH401" i="22"/>
  <c r="AH400" i="22"/>
  <c r="AJ401" i="22"/>
  <c r="AM393" i="22"/>
  <c r="AM400" i="22"/>
  <c r="AN395" i="22"/>
  <c r="AO395" i="22" s="1"/>
  <c r="AM402" i="22"/>
  <c r="AN402" i="22" s="1"/>
  <c r="AM394" i="22"/>
  <c r="AN394" i="22" s="1"/>
  <c r="AO394" i="22" s="1"/>
  <c r="AL396" i="22"/>
  <c r="AM401" i="22"/>
  <c r="AM397" i="22"/>
  <c r="AL398" i="22"/>
  <c r="AN398" i="22" s="1"/>
  <c r="AL400" i="22"/>
  <c r="AN400" i="22" s="1"/>
  <c r="AM396" i="22"/>
  <c r="AL401" i="22"/>
  <c r="AN401" i="22" s="1"/>
  <c r="AN399" i="22"/>
  <c r="AL393" i="22"/>
  <c r="AN393" i="22" s="1"/>
  <c r="AL397" i="22"/>
  <c r="AN397" i="22" s="1"/>
  <c r="AO397" i="22" s="1"/>
  <c r="D263" i="21"/>
  <c r="D289" i="21" s="1"/>
  <c r="W323" i="24"/>
  <c r="S323" i="24"/>
  <c r="T323" i="24"/>
  <c r="V323" i="24"/>
  <c r="Y323" i="24"/>
  <c r="X323" i="24"/>
  <c r="U323" i="24"/>
  <c r="D181" i="14"/>
  <c r="E168" i="14"/>
  <c r="AO199" i="12"/>
  <c r="AO198" i="12"/>
  <c r="AO200" i="12"/>
  <c r="AO196" i="12"/>
  <c r="AO197" i="12"/>
  <c r="AO194" i="12"/>
  <c r="AO191" i="12"/>
  <c r="AN195" i="12"/>
  <c r="AO195" i="12" s="1"/>
  <c r="D261" i="21"/>
  <c r="D287" i="21" s="1"/>
  <c r="C260" i="21"/>
  <c r="C286" i="21" s="1"/>
  <c r="E302" i="24"/>
  <c r="E288" i="24"/>
  <c r="U329" i="24"/>
  <c r="W329" i="24"/>
  <c r="Y329" i="24"/>
  <c r="S329" i="24"/>
  <c r="H327" i="24"/>
  <c r="G327" i="24"/>
  <c r="E286" i="24"/>
  <c r="E285" i="24"/>
  <c r="J328" i="24"/>
  <c r="Z328" i="24" s="1"/>
  <c r="K328" i="24"/>
  <c r="O328" i="24"/>
  <c r="Q328" i="24"/>
  <c r="L328" i="24"/>
  <c r="P328" i="24"/>
  <c r="M328" i="24"/>
  <c r="N328" i="24"/>
  <c r="B326" i="24"/>
  <c r="Z326" i="24" s="1"/>
  <c r="G326" i="24"/>
  <c r="C326" i="24"/>
  <c r="D326" i="24"/>
  <c r="F326" i="24"/>
  <c r="H326" i="24"/>
  <c r="E326" i="24"/>
  <c r="I326" i="24"/>
  <c r="E300" i="24"/>
  <c r="C322" i="24"/>
  <c r="G322" i="24"/>
  <c r="E322" i="24"/>
  <c r="I322" i="24"/>
  <c r="D322" i="24"/>
  <c r="H322" i="24"/>
  <c r="F322" i="24"/>
  <c r="E289" i="24"/>
  <c r="E287" i="24"/>
  <c r="C321" i="24"/>
  <c r="G321" i="24"/>
  <c r="H321" i="24"/>
  <c r="E321" i="24"/>
  <c r="D321" i="24"/>
  <c r="F321" i="24"/>
  <c r="I321" i="24"/>
  <c r="S330" i="24"/>
  <c r="T330" i="24"/>
  <c r="X330" i="24"/>
  <c r="Y330" i="24"/>
  <c r="W330" i="24"/>
  <c r="U330" i="24"/>
  <c r="V330" i="24"/>
  <c r="J321" i="24"/>
  <c r="Z321" i="24" s="1"/>
  <c r="AH321" i="24" s="1"/>
  <c r="O321" i="24"/>
  <c r="K321" i="24"/>
  <c r="L321" i="24"/>
  <c r="N321" i="24"/>
  <c r="AD321" i="24" s="1"/>
  <c r="M321" i="24"/>
  <c r="Q321" i="24"/>
  <c r="P321" i="24"/>
  <c r="AF321" i="24" s="1"/>
  <c r="J329" i="24"/>
  <c r="K329" i="24"/>
  <c r="O329" i="24"/>
  <c r="N329" i="24"/>
  <c r="Q329" i="24"/>
  <c r="P329" i="24"/>
  <c r="M329" i="24"/>
  <c r="L329" i="24"/>
  <c r="K322" i="24"/>
  <c r="O322" i="24"/>
  <c r="P322" i="24"/>
  <c r="N322" i="24"/>
  <c r="Q322" i="24"/>
  <c r="L322" i="24"/>
  <c r="M322" i="24"/>
  <c r="C323" i="24"/>
  <c r="AA323" i="24" s="1"/>
  <c r="AI323" i="24" s="1"/>
  <c r="G323" i="24"/>
  <c r="AE323" i="24" s="1"/>
  <c r="D323" i="24"/>
  <c r="AB323" i="24" s="1"/>
  <c r="F323" i="24"/>
  <c r="AD323" i="24" s="1"/>
  <c r="AH323" i="24" s="1"/>
  <c r="E323" i="24"/>
  <c r="AC323" i="24" s="1"/>
  <c r="H323" i="24"/>
  <c r="AF323" i="24" s="1"/>
  <c r="I323" i="24"/>
  <c r="AG323" i="24" s="1"/>
  <c r="O330" i="24"/>
  <c r="K330" i="24"/>
  <c r="M330" i="24"/>
  <c r="N330" i="24"/>
  <c r="P330" i="24"/>
  <c r="L330" i="24"/>
  <c r="Q330" i="24"/>
  <c r="E282" i="24"/>
  <c r="J330" i="24"/>
  <c r="Z330" i="24" s="1"/>
  <c r="C328" i="24"/>
  <c r="AA328" i="24" s="1"/>
  <c r="G328" i="24"/>
  <c r="AE328" i="24" s="1"/>
  <c r="E328" i="24"/>
  <c r="D328" i="24"/>
  <c r="AB328" i="24" s="1"/>
  <c r="I328" i="24"/>
  <c r="AG328" i="24" s="1"/>
  <c r="H328" i="24"/>
  <c r="F328" i="24"/>
  <c r="AD328" i="24" s="1"/>
  <c r="O327" i="24"/>
  <c r="K327" i="24"/>
  <c r="M327" i="24"/>
  <c r="Q327" i="24"/>
  <c r="N327" i="24"/>
  <c r="P327" i="24"/>
  <c r="L327" i="24"/>
  <c r="W325" i="24"/>
  <c r="S325" i="24"/>
  <c r="X325" i="24"/>
  <c r="T325" i="24"/>
  <c r="U325" i="24"/>
  <c r="Y325" i="24"/>
  <c r="V325" i="24"/>
  <c r="O324" i="24"/>
  <c r="AE324" i="24" s="1"/>
  <c r="K324" i="24"/>
  <c r="AA324" i="24" s="1"/>
  <c r="AI324" i="24" s="1"/>
  <c r="Q324" i="24"/>
  <c r="AG324" i="24" s="1"/>
  <c r="P324" i="24"/>
  <c r="AF324" i="24" s="1"/>
  <c r="N324" i="24"/>
  <c r="AD324" i="24" s="1"/>
  <c r="M324" i="24"/>
  <c r="AC324" i="24" s="1"/>
  <c r="AK324" i="24" s="1"/>
  <c r="L324" i="24"/>
  <c r="AB324" i="24" s="1"/>
  <c r="AJ324" i="24" s="1"/>
  <c r="AM324" i="24" s="1"/>
  <c r="J324" i="24"/>
  <c r="Z324" i="24" s="1"/>
  <c r="AH324" i="24" s="1"/>
  <c r="W327" i="24"/>
  <c r="Y327" i="24"/>
  <c r="U327" i="24"/>
  <c r="S327" i="24"/>
  <c r="X327" i="24"/>
  <c r="T327" i="24"/>
  <c r="V327" i="24"/>
  <c r="C325" i="24"/>
  <c r="G325" i="24"/>
  <c r="AE325" i="24" s="1"/>
  <c r="F325" i="24"/>
  <c r="I325" i="24"/>
  <c r="AG325" i="24" s="1"/>
  <c r="E325" i="24"/>
  <c r="H325" i="24"/>
  <c r="D325" i="24"/>
  <c r="C329" i="24"/>
  <c r="G329" i="24"/>
  <c r="D329" i="24"/>
  <c r="I329" i="24"/>
  <c r="E329" i="24"/>
  <c r="H329" i="24"/>
  <c r="F329" i="24"/>
  <c r="E298" i="24"/>
  <c r="O326" i="24"/>
  <c r="K326" i="24"/>
  <c r="N326" i="24"/>
  <c r="M326" i="24"/>
  <c r="P326" i="24"/>
  <c r="L326" i="24"/>
  <c r="Q326" i="24"/>
  <c r="R322" i="24"/>
  <c r="W322" i="24"/>
  <c r="S322" i="24"/>
  <c r="Y322" i="24"/>
  <c r="V322" i="24"/>
  <c r="T322" i="24"/>
  <c r="X322" i="24"/>
  <c r="U322" i="24"/>
  <c r="Z327" i="24"/>
  <c r="E294" i="24"/>
  <c r="B322" i="24"/>
  <c r="Z322" i="24" s="1"/>
  <c r="E297" i="24"/>
  <c r="B325" i="24"/>
  <c r="Z325" i="24" s="1"/>
  <c r="E301" i="24"/>
  <c r="B329" i="24"/>
  <c r="D265" i="21"/>
  <c r="D291" i="21" s="1"/>
  <c r="B267" i="21"/>
  <c r="B293" i="21" s="1"/>
  <c r="D264" i="21"/>
  <c r="D290" i="21" s="1"/>
  <c r="B269" i="21"/>
  <c r="B295" i="21" s="1"/>
  <c r="B260" i="21"/>
  <c r="B286" i="21" s="1"/>
  <c r="C263" i="21"/>
  <c r="C289" i="21" s="1"/>
  <c r="B265" i="21"/>
  <c r="B291" i="21" s="1"/>
  <c r="E291" i="21" s="1"/>
  <c r="C269" i="21"/>
  <c r="C295" i="21" s="1"/>
  <c r="D260" i="21"/>
  <c r="D286" i="21" s="1"/>
  <c r="B264" i="21"/>
  <c r="B290" i="21" s="1"/>
  <c r="C264" i="21"/>
  <c r="C290" i="21" s="1"/>
  <c r="D269" i="21"/>
  <c r="D295" i="21" s="1"/>
  <c r="D267" i="21"/>
  <c r="D293" i="21" s="1"/>
  <c r="B263" i="21"/>
  <c r="B289" i="21" s="1"/>
  <c r="D262" i="21"/>
  <c r="D288" i="21" s="1"/>
  <c r="B262" i="21"/>
  <c r="B288" i="21" s="1"/>
  <c r="B261" i="21"/>
  <c r="B287" i="21" s="1"/>
  <c r="C261" i="21"/>
  <c r="C287" i="21" s="1"/>
  <c r="C262" i="21"/>
  <c r="C288" i="21" s="1"/>
  <c r="E266" i="21"/>
  <c r="E268" i="21"/>
  <c r="E292" i="21"/>
  <c r="C194" i="19"/>
  <c r="C233" i="19" s="1"/>
  <c r="B195" i="19"/>
  <c r="D195" i="19"/>
  <c r="D234" i="19" s="1"/>
  <c r="D200" i="19"/>
  <c r="D239" i="19" s="1"/>
  <c r="B200" i="19"/>
  <c r="C200" i="19"/>
  <c r="E203" i="19"/>
  <c r="C238" i="19"/>
  <c r="C239" i="19"/>
  <c r="D198" i="19"/>
  <c r="C198" i="19"/>
  <c r="B198" i="19"/>
  <c r="D199" i="19"/>
  <c r="B199" i="19"/>
  <c r="C202" i="19"/>
  <c r="D202" i="19"/>
  <c r="B202" i="19"/>
  <c r="B197" i="19"/>
  <c r="C197" i="19"/>
  <c r="E242" i="19"/>
  <c r="B194" i="19"/>
  <c r="D194" i="19"/>
  <c r="B196" i="19"/>
  <c r="C196" i="19"/>
  <c r="D196" i="19"/>
  <c r="D197" i="19"/>
  <c r="C201" i="19"/>
  <c r="B201" i="19"/>
  <c r="D201" i="19"/>
  <c r="B207" i="14"/>
  <c r="E205" i="14"/>
  <c r="E213" i="14"/>
  <c r="E216" i="19"/>
  <c r="E179" i="14"/>
  <c r="E187" i="14"/>
  <c r="E173" i="14"/>
  <c r="B186" i="14"/>
  <c r="E172" i="14"/>
  <c r="C185" i="14"/>
  <c r="E175" i="14"/>
  <c r="E170" i="14"/>
  <c r="D183" i="14"/>
  <c r="E167" i="14"/>
  <c r="D180" i="14"/>
  <c r="E182" i="14"/>
  <c r="E171" i="14"/>
  <c r="C184" i="14"/>
  <c r="E174" i="14"/>
  <c r="E169" i="14"/>
  <c r="E166" i="14"/>
  <c r="F292" i="21" l="1"/>
  <c r="F291" i="21"/>
  <c r="AI328" i="24"/>
  <c r="AJ323" i="24"/>
  <c r="AH328" i="24"/>
  <c r="AL328" i="24" s="1"/>
  <c r="AO400" i="22"/>
  <c r="AO401" i="22"/>
  <c r="AO402" i="22"/>
  <c r="AO398" i="22"/>
  <c r="AO399" i="22"/>
  <c r="AO393" i="22"/>
  <c r="AO396" i="22"/>
  <c r="AN396" i="22"/>
  <c r="F205" i="14"/>
  <c r="F208" i="14"/>
  <c r="B363" i="24"/>
  <c r="AK323" i="24"/>
  <c r="AM323" i="24" s="1"/>
  <c r="AL323" i="24"/>
  <c r="AL324" i="24"/>
  <c r="AN324" i="24" s="1"/>
  <c r="AC325" i="24"/>
  <c r="AA322" i="24"/>
  <c r="AD322" i="24"/>
  <c r="AH322" i="24" s="1"/>
  <c r="AD330" i="24"/>
  <c r="AH330" i="24" s="1"/>
  <c r="AG327" i="24"/>
  <c r="AD327" i="24"/>
  <c r="AH327" i="24" s="1"/>
  <c r="AA329" i="24"/>
  <c r="AB329" i="24"/>
  <c r="AC329" i="24"/>
  <c r="AF329" i="24"/>
  <c r="AD329" i="24"/>
  <c r="AD326" i="24"/>
  <c r="AH326" i="24" s="1"/>
  <c r="B350" i="24"/>
  <c r="D207" i="14"/>
  <c r="E207" i="14" s="1"/>
  <c r="F207" i="14" s="1"/>
  <c r="E181" i="14"/>
  <c r="B351" i="24"/>
  <c r="B364" i="24"/>
  <c r="E288" i="21"/>
  <c r="F288" i="21" s="1"/>
  <c r="AC328" i="24"/>
  <c r="AE321" i="24"/>
  <c r="AB321" i="24"/>
  <c r="AJ321" i="24" s="1"/>
  <c r="AA330" i="24"/>
  <c r="AC330" i="24"/>
  <c r="AF330" i="24"/>
  <c r="AG330" i="24"/>
  <c r="AC327" i="24"/>
  <c r="AB327" i="24"/>
  <c r="AA325" i="24"/>
  <c r="AI325" i="24" s="1"/>
  <c r="AB325" i="24"/>
  <c r="AC326" i="24"/>
  <c r="AG329" i="24"/>
  <c r="AC322" i="24"/>
  <c r="AG321" i="24"/>
  <c r="AA321" i="24"/>
  <c r="AE322" i="24"/>
  <c r="AC321" i="24"/>
  <c r="AB322" i="24"/>
  <c r="AF326" i="24"/>
  <c r="AE326" i="24"/>
  <c r="AG322" i="24"/>
  <c r="AA326" i="24"/>
  <c r="AI326" i="24" s="1"/>
  <c r="AL326" i="24" s="1"/>
  <c r="AE329" i="24"/>
  <c r="AD325" i="24"/>
  <c r="AH325" i="24" s="1"/>
  <c r="AF325" i="24"/>
  <c r="AF327" i="24"/>
  <c r="AA327" i="24"/>
  <c r="AB330" i="24"/>
  <c r="AE327" i="24"/>
  <c r="Z329" i="24"/>
  <c r="AE330" i="24"/>
  <c r="AG326" i="24"/>
  <c r="AB326" i="24"/>
  <c r="AF328" i="24"/>
  <c r="AJ328" i="24" s="1"/>
  <c r="AF322" i="24"/>
  <c r="E293" i="21"/>
  <c r="E260" i="21"/>
  <c r="E290" i="21"/>
  <c r="F290" i="21" s="1"/>
  <c r="E263" i="21"/>
  <c r="E265" i="21"/>
  <c r="E267" i="21"/>
  <c r="E261" i="21"/>
  <c r="E269" i="21"/>
  <c r="E264" i="21"/>
  <c r="E262" i="21"/>
  <c r="E289" i="21"/>
  <c r="E286" i="21"/>
  <c r="E294" i="21"/>
  <c r="E287" i="21"/>
  <c r="F287" i="21" s="1"/>
  <c r="E295" i="21"/>
  <c r="E195" i="19"/>
  <c r="B239" i="19"/>
  <c r="E239" i="19" s="1"/>
  <c r="E200" i="19"/>
  <c r="E194" i="19"/>
  <c r="D238" i="19"/>
  <c r="E202" i="19"/>
  <c r="E201" i="19"/>
  <c r="C235" i="19"/>
  <c r="D241" i="19"/>
  <c r="E198" i="19"/>
  <c r="D240" i="19"/>
  <c r="C240" i="19"/>
  <c r="E196" i="19"/>
  <c r="C236" i="19"/>
  <c r="C241" i="19"/>
  <c r="C237" i="19"/>
  <c r="D235" i="19"/>
  <c r="D236" i="19"/>
  <c r="E197" i="19"/>
  <c r="E212" i="19"/>
  <c r="E199" i="19"/>
  <c r="D237" i="19"/>
  <c r="E180" i="14"/>
  <c r="D206" i="14"/>
  <c r="E206" i="14" s="1"/>
  <c r="F206" i="14" s="1"/>
  <c r="E188" i="14"/>
  <c r="B214" i="14"/>
  <c r="E214" i="14" s="1"/>
  <c r="E185" i="14"/>
  <c r="C211" i="14"/>
  <c r="E211" i="14" s="1"/>
  <c r="E186" i="14"/>
  <c r="B212" i="14"/>
  <c r="E212" i="14" s="1"/>
  <c r="E184" i="14"/>
  <c r="C210" i="14"/>
  <c r="E210" i="14" s="1"/>
  <c r="E183" i="14"/>
  <c r="D209" i="14"/>
  <c r="E209" i="14" s="1"/>
  <c r="F209" i="14" s="1"/>
  <c r="F295" i="21" l="1"/>
  <c r="F294" i="21"/>
  <c r="F293" i="21"/>
  <c r="F289" i="21"/>
  <c r="F286" i="21"/>
  <c r="F238" i="19"/>
  <c r="F239" i="19"/>
  <c r="AJ330" i="24"/>
  <c r="AH329" i="24"/>
  <c r="AJ326" i="24"/>
  <c r="AN323" i="24"/>
  <c r="AO323" i="24" s="1"/>
  <c r="AI322" i="24"/>
  <c r="AI329" i="24"/>
  <c r="AK329" i="24"/>
  <c r="AJ322" i="24"/>
  <c r="AI330" i="24"/>
  <c r="AL330" i="24" s="1"/>
  <c r="AJ327" i="24"/>
  <c r="AJ329" i="24"/>
  <c r="AI327" i="24"/>
  <c r="AL327" i="24" s="1"/>
  <c r="AK325" i="24"/>
  <c r="B365" i="24"/>
  <c r="AK328" i="24"/>
  <c r="B355" i="24"/>
  <c r="AK321" i="24"/>
  <c r="AI321" i="24"/>
  <c r="AL321" i="24" s="1"/>
  <c r="F211" i="14"/>
  <c r="F210" i="14"/>
  <c r="F213" i="14"/>
  <c r="F214" i="14"/>
  <c r="F212" i="14"/>
  <c r="B370" i="24"/>
  <c r="AK330" i="24"/>
  <c r="B367" i="24"/>
  <c r="AK327" i="24"/>
  <c r="B352" i="24"/>
  <c r="AJ325" i="24"/>
  <c r="B366" i="24"/>
  <c r="AK326" i="24"/>
  <c r="AM326" i="24" s="1"/>
  <c r="AN326" i="24" s="1"/>
  <c r="B362" i="24"/>
  <c r="AK322" i="24"/>
  <c r="AM322" i="24" s="1"/>
  <c r="AL322" i="24"/>
  <c r="AN322" i="24" s="1"/>
  <c r="AO322" i="24" s="1"/>
  <c r="AL329" i="24"/>
  <c r="AM329" i="24"/>
  <c r="AL325" i="24"/>
  <c r="AM328" i="24"/>
  <c r="AN328" i="24" s="1"/>
  <c r="AM321" i="24"/>
  <c r="AN321" i="24" s="1"/>
  <c r="B349" i="24"/>
  <c r="B353" i="24"/>
  <c r="B361" i="24"/>
  <c r="B348" i="24"/>
  <c r="B354" i="24"/>
  <c r="B368" i="24"/>
  <c r="B357" i="24"/>
  <c r="B369" i="24"/>
  <c r="B356" i="24"/>
  <c r="E210" i="19"/>
  <c r="B236" i="19"/>
  <c r="E236" i="19" s="1"/>
  <c r="E209" i="19"/>
  <c r="B234" i="19"/>
  <c r="E234" i="19" s="1"/>
  <c r="F234" i="19" s="1"/>
  <c r="E208" i="19"/>
  <c r="E213" i="19"/>
  <c r="E214" i="19"/>
  <c r="B238" i="19"/>
  <c r="E238" i="19" s="1"/>
  <c r="B240" i="19"/>
  <c r="E240" i="19" s="1"/>
  <c r="B237" i="19"/>
  <c r="E237" i="19" s="1"/>
  <c r="F237" i="19" s="1"/>
  <c r="E211" i="19"/>
  <c r="B235" i="19"/>
  <c r="E235" i="19" s="1"/>
  <c r="F235" i="19" s="1"/>
  <c r="B241" i="19"/>
  <c r="E241" i="19" s="1"/>
  <c r="E215" i="19"/>
  <c r="B233" i="19"/>
  <c r="E233" i="19" s="1"/>
  <c r="E207" i="19"/>
  <c r="F242" i="19" l="1"/>
  <c r="F241" i="19"/>
  <c r="F240" i="19"/>
  <c r="F236" i="19"/>
  <c r="F233" i="19"/>
  <c r="AM330" i="24"/>
  <c r="AN330" i="24" s="1"/>
  <c r="AM325" i="24"/>
  <c r="AN325" i="24" s="1"/>
  <c r="AO325" i="24" s="1"/>
  <c r="AM327" i="24"/>
  <c r="AN327" i="24" s="1"/>
  <c r="AO327" i="24"/>
  <c r="AO326" i="24"/>
  <c r="AO330" i="24"/>
  <c r="AO329" i="24"/>
  <c r="AO328" i="24"/>
  <c r="AO321" i="24"/>
  <c r="AO324" i="24"/>
  <c r="AN329" i="24"/>
</calcChain>
</file>

<file path=xl/sharedStrings.xml><?xml version="1.0" encoding="utf-8"?>
<sst xmlns="http://schemas.openxmlformats.org/spreadsheetml/2006/main" count="4889" uniqueCount="331">
  <si>
    <t>Задача 1</t>
  </si>
  <si>
    <t>Задача 2</t>
  </si>
  <si>
    <t>Задача 3</t>
  </si>
  <si>
    <t>Верхняя функция принадлежности</t>
  </si>
  <si>
    <t>Нижняя функция принадлежности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</si>
  <si>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</si>
  <si>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</si>
  <si>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</si>
  <si>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</si>
  <si>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</si>
  <si>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</si>
  <si>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</si>
  <si>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</si>
  <si>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</si>
  <si>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</si>
  <si>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</si>
  <si>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</si>
  <si>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</si>
  <si>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</si>
  <si>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</si>
  <si>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</si>
  <si>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</si>
  <si>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</si>
  <si>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</si>
  <si>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</si>
  <si>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</si>
  <si>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</si>
  <si>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</si>
  <si>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</si>
  <si>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</si>
  <si>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</si>
  <si>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</si>
  <si>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</si>
  <si>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</si>
  <si>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</si>
  <si>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</si>
  <si>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</si>
  <si>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</si>
  <si>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</si>
  <si>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</si>
  <si>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</si>
  <si>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</si>
  <si>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</si>
  <si>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</si>
  <si>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</si>
  <si>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</si>
  <si>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</si>
  <si>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Функциональные требования (FR), которые надо приоритизировать:</t>
  </si>
  <si>
    <t>NFR1</t>
  </si>
  <si>
    <t>NFR2</t>
  </si>
  <si>
    <t>NFR3</t>
  </si>
  <si>
    <t>Итоговый приоритет функциональной задачи</t>
  </si>
  <si>
    <t>Для функциональных требований</t>
  </si>
  <si>
    <t>Для нефункциональных требований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</si>
  <si>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</si>
  <si>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</si>
  <si>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</si>
  <si>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</si>
  <si>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</si>
  <si>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</si>
  <si>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</si>
  <si>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</si>
  <si>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</si>
  <si>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</si>
  <si>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</si>
  <si>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</si>
  <si>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</si>
  <si>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</si>
  <si>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</si>
  <si>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</si>
  <si>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</si>
  <si>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</si>
  <si>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</si>
  <si>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</si>
  <si>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</si>
  <si>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</si>
  <si>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</si>
  <si>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</si>
  <si>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</si>
  <si>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</si>
  <si>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Расчет центроида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</si>
  <si>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</si>
  <si>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</si>
  <si>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</si>
  <si>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</si>
  <si>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</si>
  <si>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</si>
  <si>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</si>
  <si>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</si>
  <si>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</si>
  <si>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</si>
  <si>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</si>
  <si>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</si>
  <si>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</si>
  <si>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</si>
  <si>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</si>
  <si>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</si>
  <si>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</si>
  <si>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</si>
  <si>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</si>
  <si>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</si>
  <si>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</si>
  <si>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Таблица 4_Удельные веса оценок экспертов для расчета итоговой взвешенной средней оценки</t>
  </si>
  <si>
    <t>Функциональная задача</t>
  </si>
  <si>
    <t>Оценка эксперта 1</t>
  </si>
  <si>
    <t>Оценка эксперта 2</t>
  </si>
  <si>
    <t>Оценка эксперта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</si>
  <si>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</si>
  <si>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</si>
  <si>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</si>
  <si>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1.4_Весовые коэффициенты для функциональных требований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</si>
  <si>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</si>
  <si>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</si>
  <si>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</si>
  <si>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</si>
  <si>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</si>
  <si>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</si>
  <si>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</si>
  <si>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</si>
  <si>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Итоговы приоритет функционального признака в виде нечеткого числа</t>
  </si>
  <si>
    <t>Эксперт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</si>
  <si>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</si>
  <si>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</si>
  <si>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</si>
  <si>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</si>
  <si>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</si>
  <si>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</si>
  <si>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Произведение нечеткой оценки на ее вес (Эксперт 3)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</si>
  <si>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</si>
  <si>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</si>
  <si>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</si>
  <si>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</si>
  <si>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</si>
  <si>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Итого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</si>
  <si>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</si>
  <si>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</si>
  <si>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</si>
  <si>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</si>
  <si>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</si>
  <si>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Коэффициент степени консенсуса эксперта CDC(Ei)</t>
  </si>
  <si>
    <t>Таблица 5_ Средняя степень согласия эксперта (Ai)</t>
  </si>
  <si>
    <t>Значение гиперпараметра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</si>
  <si>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</si>
  <si>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</si>
  <si>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</si>
  <si>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</si>
  <si>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Коллективное принятие решений</t>
  </si>
  <si>
    <t xml:space="preserve">
https://www.sciencedirect.com/science/article/pii/0165011495001859 </t>
  </si>
  <si>
    <t>FMoSCoW данные взяты из статьи</t>
  </si>
  <si>
    <t>https://www.tandfonline.com/doi/abs/10.1080/019697298125641</t>
  </si>
  <si>
    <t>https://link.springer.com/article/10.1007/s11424-006-0063-y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</si>
  <si>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</si>
  <si>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</si>
  <si>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</si>
  <si>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Коэффициент степени консенсуса эксперта C(Ei)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</si>
  <si>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</si>
  <si>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</si>
  <si>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</si>
  <si>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</si>
  <si>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</si>
  <si>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</si>
  <si>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</si>
  <si>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</si>
  <si>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</si>
  <si>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Бета (расчет r)</t>
  </si>
  <si>
    <t>Взвешенная степень согласованности эксперта С(Ei)</t>
  </si>
  <si>
    <t>Вес агрегирования эксперта w(Ei)</t>
  </si>
  <si>
    <t>Таблица 5_Удельные веса оценок экспертов для расчета итоговой взвешенной средней оценки</t>
  </si>
  <si>
    <t>Матрицы нормированного расстояния dM между нечеткими оценками экспертов</t>
  </si>
  <si>
    <t>Матрицы сходства AM между нечеткими оценками экспертов</t>
  </si>
  <si>
    <t>Таблица 8_Вес агрегирования эксперта w(Ei)</t>
  </si>
  <si>
    <t>Таблица 4_Удельные веса оценок экспертов для расчета итоговой взвешенной средней оценки в виде в виде четких параметров (с нормализацией)</t>
  </si>
  <si>
    <t>Lu, C., Lan, J., Wang, Z. Aggregation of fuzzy opinions under group decision-making based on similarity and distance //Journal of Systems Science and Complexity. 2006, 19(1). PP. 63-71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</si>
  <si>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</t>
    </r>
    <r>
      <rPr>
        <sz val="11"/>
        <color theme="1"/>
        <rFont val="Calibri"/>
        <family val="2"/>
        <charset val="204"/>
        <scheme val="minor"/>
      </rPr>
      <t>)</t>
    </r>
  </si>
  <si>
    <t>Chen, S. M. Aggregating fuzzy opinions in the group decision-making environment // Cybernetics &amp; Systems. 1998, 29(4). PP. 363-376</t>
  </si>
  <si>
    <t>Hsu H.-M., Chen C.-T. Aggregation of fuzzy opinions under group decision making // Fuzzy sets and systems. 1996 May 13;79(3). PP. 279-285</t>
  </si>
  <si>
    <t>Обобщенная средняя степень согласия эксперта A(Ei)</t>
  </si>
  <si>
    <t>Агрегированная оценка</t>
  </si>
  <si>
    <t>№ п/п</t>
  </si>
  <si>
    <t>Четкие подходы</t>
  </si>
  <si>
    <t>Нечеткие подходы</t>
  </si>
  <si>
    <t>Четкий MoSCoW_взвешенные средние</t>
  </si>
  <si>
    <t>Четкий MoSCoW_Lu 2006</t>
  </si>
  <si>
    <t>FMoSCoW_взвешенные средние</t>
  </si>
  <si>
    <t>FMoSCoW_Lu 2006</t>
  </si>
  <si>
    <t>Матрицы агрегированной меры согласованности AMr между нечеткими оценками экспертов</t>
  </si>
  <si>
    <t>Матрицы средней агрегированной меры cогласованности AMr между нечеткими оценками экспертов</t>
  </si>
  <si>
    <t>FMoSCoW_Hsu 1996</t>
  </si>
  <si>
    <t>FMoSCoW_Chen 1998</t>
  </si>
  <si>
    <t>Четкий MoSCoW_Hsu 1996</t>
  </si>
  <si>
    <t>Четкий MoSCoW_Chen 1998</t>
  </si>
  <si>
    <t>Нечеткая модель коллективного принятия решений с использованием метода взвешенной средней</t>
  </si>
  <si>
    <r>
      <t>Нечеткая м</t>
    </r>
    <r>
      <rPr>
        <b/>
        <sz val="14"/>
        <rFont val="Calibri"/>
        <family val="2"/>
        <charset val="204"/>
      </rPr>
      <t>одель коллективного принятия решений при наличии консенсуса</t>
    </r>
  </si>
  <si>
    <t>Четкая модель коллективного принятия решений с использованием метода взвешенной средней</t>
  </si>
  <si>
    <t>Нечеткая модель коллективного принятия решений на основе меры сходства со стандартизированными оценками</t>
  </si>
  <si>
    <t>Нечеткая модель коллективного принятия решений с использованием мер сходства и расстояния в оценках экспертов</t>
  </si>
  <si>
    <r>
      <t>Четкая м</t>
    </r>
    <r>
      <rPr>
        <b/>
        <sz val="14"/>
        <rFont val="Calibri"/>
        <family val="2"/>
        <charset val="204"/>
        <scheme val="minor"/>
      </rPr>
      <t>одель коллективного принятия решений при наличии консенсуса</t>
    </r>
  </si>
  <si>
    <t>Четкая модель коллективного принятия решений на основе меры сходства со стандартизированными оценками</t>
  </si>
  <si>
    <t>Четкая модель коллективного принятия решений с использованием мер сходства и расстояния в оценках экспертов</t>
  </si>
  <si>
    <t>Оценка эксперта , умноженная на соответствующий коэффициент консенсуса</t>
  </si>
  <si>
    <t>Оценка эксперта 1, умноженная на соответствующий коэффициент консенсуса</t>
  </si>
  <si>
    <t>Оценка эксперта 2, умноженная на соответствующий коэффициент консенсуса</t>
  </si>
  <si>
    <t>Нечеткий MoSCoW_взвешенные средние</t>
  </si>
  <si>
    <t>Нечеткий MoSCoW_Hsu 1996</t>
  </si>
  <si>
    <t xml:space="preserve"> Нечеткий MoSCoW_Chen 1998</t>
  </si>
  <si>
    <t>Нечеткий MoSCoW_Lu 2006</t>
  </si>
  <si>
    <t>Параметр приоритизации</t>
  </si>
  <si>
    <t>Reach (Охват)</t>
  </si>
  <si>
    <t>Impact (Влияние)</t>
  </si>
  <si>
    <t>Confidence (Уверенность)</t>
  </si>
  <si>
    <t>Effort (Трудозатраты)</t>
  </si>
  <si>
    <t>Количество человек, ед.</t>
  </si>
  <si>
    <t>От 0,5 до 1</t>
  </si>
  <si>
    <t>Количество недель</t>
  </si>
  <si>
    <t>R*I</t>
  </si>
  <si>
    <t>R*I*C</t>
  </si>
  <si>
    <t>R*I*C/E</t>
  </si>
  <si>
    <t>Верхний альфа -срез</t>
  </si>
  <si>
    <t>Дефаззификация при альфа=0,8</t>
  </si>
  <si>
    <t>Центроид (среднее значение)</t>
  </si>
  <si>
    <t>Сравнение результатов моделирования приоритизации (метод MoSCoW) по выполненным расчетам</t>
  </si>
  <si>
    <t>Метод RICE_ четкая модель</t>
  </si>
  <si>
    <t>Матрица взаимосвязанности функциональных требований</t>
  </si>
  <si>
    <t>FR</t>
  </si>
  <si>
    <t>Место</t>
  </si>
  <si>
    <t>Исходный рейтинг</t>
  </si>
  <si>
    <t>Скорректированный
рейтинг</t>
  </si>
  <si>
    <t>1. Расчет рейтинга по методу RICE</t>
  </si>
  <si>
    <t>2. Итоговая приоритизация после учета взаимосвязанности функциональных требований</t>
  </si>
  <si>
    <t>Пример расчета для FR1</t>
  </si>
  <si>
    <t>R, Reach (Охват), количество человек</t>
  </si>
  <si>
    <t>I, Impact (Влияние), оценка в баллах</t>
  </si>
  <si>
    <t>С, Confidence (Уверенность), коэффициент от 0,5 до 1</t>
  </si>
  <si>
    <t>E, Effort (Трудозатраты), количество недель</t>
  </si>
  <si>
    <t>Функциональное требование</t>
  </si>
  <si>
    <t>Метод RICE_нечеткая модель. Применение нормальных трапециевидных нечетких чисел 2-го типа</t>
  </si>
  <si>
    <t>Редукция типа ИНМТ2 нечеткое трапециевидное число 1-го типа</t>
  </si>
  <si>
    <t>a</t>
  </si>
  <si>
    <t>RICE Score ИНМT2</t>
  </si>
  <si>
    <t>RICE НМT1</t>
  </si>
  <si>
    <t>Функция принадлежности</t>
  </si>
  <si>
    <t>alpha</t>
  </si>
  <si>
    <t>2) Итоговые нечеткие приоритеты и результаты дефаззификации</t>
  </si>
  <si>
    <t>RICE в формате ИНМТ2</t>
  </si>
  <si>
    <t>RICE после редукции в ИНМТ1</t>
  </si>
  <si>
    <t>Альфа-срез</t>
  </si>
  <si>
    <t>Итог</t>
  </si>
  <si>
    <t>x1</t>
  </si>
  <si>
    <t>x2</t>
  </si>
  <si>
    <t>x3</t>
  </si>
  <si>
    <t>x4</t>
  </si>
  <si>
    <t>x5</t>
  </si>
  <si>
    <t>x6</t>
  </si>
  <si>
    <t>x7</t>
  </si>
  <si>
    <t>x8</t>
  </si>
  <si>
    <t>Левый</t>
  </si>
  <si>
    <t>Правый</t>
  </si>
  <si>
    <t>3) Итоговая приоритизация после учета взаимосвязанности</t>
  </si>
  <si>
    <t>Исходный центроид</t>
  </si>
  <si>
    <t>Скорректированный
центроид</t>
  </si>
  <si>
    <t>NFR2=Mo</t>
  </si>
  <si>
    <t>NFR3=Mo</t>
  </si>
  <si>
    <t>NFR2=S</t>
  </si>
  <si>
    <t>NFR1=S</t>
  </si>
  <si>
    <t>Редукция типа ИНМТ2 нечеткое трапециевидное число 1-го типа при a=0,6</t>
  </si>
  <si>
    <t>Скорректированный центроид (с учетом взаимосвязанности требований)</t>
  </si>
  <si>
    <t>Скорректированный приоритет (с учетом взаимосвязанности требований)</t>
  </si>
  <si>
    <t>Коллективная оценка</t>
  </si>
  <si>
    <t>Значение</t>
  </si>
  <si>
    <t>a (редукция типа CLTR)</t>
  </si>
  <si>
    <t>alpha (уровень альфа-среза)</t>
  </si>
  <si>
    <t>alpha (величина альфа-среза)</t>
  </si>
  <si>
    <t>beta (расчет CDCi)</t>
  </si>
  <si>
    <t>Наименование</t>
  </si>
  <si>
    <t>Центроид</t>
  </si>
  <si>
    <t>Ненормализованные весовые коэффициенты</t>
  </si>
  <si>
    <t>Нормализованные весовые коэффициенты</t>
  </si>
  <si>
    <t>Максимум области определения нечетких оценок (m)</t>
  </si>
  <si>
    <t>Исходное значение</t>
  </si>
  <si>
    <t>Нормализованное значение</t>
  </si>
  <si>
    <t>Итоговы приоритет функционального признака в виде нечеткого трапециевидного числа 2-го типа (агрегированная коллективная оценка)</t>
  </si>
  <si>
    <t>Итоговы приоритет функционального признака в виде нечеткого трапециевидного числа 2-го типа (агрегировання коллективная оценка)</t>
  </si>
  <si>
    <t>Перечень нефункциональных требований</t>
  </si>
  <si>
    <t xml:space="preserve">Перечень нефункциональных требований </t>
  </si>
  <si>
    <t xml:space="preserve">Функциональное требование </t>
  </si>
  <si>
    <t>Функциональное требование (англ. Functional Requirements, FR)</t>
  </si>
  <si>
    <t>Перечень нефункциональных требований (Non-Functional Requirements, NFR)</t>
  </si>
  <si>
    <t>Таблица 6_Удельные веса оценок экспертов для расчета итоговой взвешенной средней оценки в виде в виде четких параметров (с нормализацией)</t>
  </si>
  <si>
    <t>Оценка эксперта 3, умноженная на соответствующий коэффициент консенсуса</t>
  </si>
  <si>
    <t>Перечень нефункциональных требований (Non-Functional requirements, NFR)</t>
  </si>
  <si>
    <t>beta (расчет r)</t>
  </si>
  <si>
    <t>Коэффициент beta</t>
  </si>
  <si>
    <t>Единоличное принятие решения (или при полном коллективном консенсусе)</t>
  </si>
  <si>
    <t>Единоличное приняте решения (или при полном коллективном консенсусе)</t>
  </si>
  <si>
    <t>Перечень нефункциональных требований (Non-Nunctional Requirements, NFR)</t>
  </si>
  <si>
    <t>Таблица 6_ Средняя степень согласия эксперта (Ai)</t>
  </si>
  <si>
    <t>Таблица 7_ Относительная степень согласия эксперта (RADi)</t>
  </si>
  <si>
    <t>Таблица 8_Коэффициент степени консенсуса эксперта CDCi</t>
  </si>
  <si>
    <t>Таблица 9_Индивидуальные экспертные рейтинги функциональных требований</t>
  </si>
  <si>
    <t>Таблица 6_Приоритетная значимость функциональных требований в виде нечетких трапециевидных чисел 2-го типа</t>
  </si>
  <si>
    <t>Таблица 7_Расчет взвешенной средней коллективной оценки приоритета функциональных требований</t>
  </si>
  <si>
    <t>Таблица 8_Сортировка коллективного рейтинга функциональных требований по убыванию</t>
  </si>
  <si>
    <t>Таблица 3.5_Произведение веса функционального требования FR на приоритет нефункционального требовани NFR</t>
  </si>
  <si>
    <t>Таблица 8_Расчет коллективной агрегированной оценки приоритета функциональных требований</t>
  </si>
  <si>
    <t>Таблица 9_Сортировка коллективного рейтинга функциональных требований по убыванию</t>
  </si>
  <si>
    <t>Таблица 1.5_Произведение веса функционального требования FR на приоритет нефункционального требовани NFR</t>
  </si>
  <si>
    <t>Таблица 7_Приоритетная значимость функциональных требований в виде нечетких трапециевидных чисел 2-го типа</t>
  </si>
  <si>
    <t>Таблица 8_Расчет взвешенной средней оценки приоритета функциональных задач</t>
  </si>
  <si>
    <t>Таблица 2.5_Произведение веса функционального требования FR на приоритет нефункционального требовани NFR</t>
  </si>
  <si>
    <t>AM_UMF</t>
  </si>
  <si>
    <t>AM_LMF</t>
  </si>
  <si>
    <t>dM_UMF</t>
  </si>
  <si>
    <t>dM_LMF</t>
  </si>
  <si>
    <t>AMr_UMF</t>
  </si>
  <si>
    <t>AMr_LMF</t>
  </si>
  <si>
    <t>Таблица 8_Расчет взвешенной средней оценки приоритета функциональных требований</t>
  </si>
  <si>
    <t>Таблица 5_Расчет взвешенного среднего коллективного рейтинга функциональных требований</t>
  </si>
  <si>
    <t>Таблица 6_Сортировка взвешенного среднего коллективного рейтинга функциональных требований по убыванию</t>
  </si>
  <si>
    <t>Таблица 10_Коллективный рейтинг функциональных требований</t>
  </si>
  <si>
    <t>Таблица 11_Сортировка коллективного рейтинга функциональных требований по убыванию</t>
  </si>
  <si>
    <t>Таблица 4_Индивидуальные экспертные рейтинги функциональных требований</t>
  </si>
  <si>
    <t>Таблица 5_Нормализованные индивидуальные экспертные рейтинги функциональных требований (по максимальной оценке одного из требований)</t>
  </si>
  <si>
    <t>Таблица 9_Коллективный рейтинг функциональных требований</t>
  </si>
  <si>
    <t>Таблица 8_Индивидуальные экспертные рейтинги функциональных требований</t>
  </si>
  <si>
    <t>Таблица 7_ Взвешенная степень согласованности эксперта С(Ei)</t>
  </si>
  <si>
    <t>Таблица 10_Коллективный рейтинг функциональных требований R</t>
  </si>
  <si>
    <t>Таблица 10_Сортировка коллективного рейтинга функциональных требований по убыванию</t>
  </si>
  <si>
    <t>Таблица 5_Параметры модели</t>
  </si>
  <si>
    <t>Таблица 6_Параметры модели</t>
  </si>
  <si>
    <t>Таблица 7_Параметры модели</t>
  </si>
  <si>
    <t>3 - очень сильное, 2 - сильное, 1 - среднее, 0,5 - малое, 0,25 - минимальное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</si>
</sst>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sz val="14"/>
      <name val="Calibri"/>
      <family val="2"/>
      <charset val="204"/>
    </font>
    <font>
      <b/>
      <sz val="14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27">
    <xf numFmtId="0" fontId="0" fillId="0" borderId="0" xfId="0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8" xfId="0" applyBorder="1"/>
    <xf numFmtId="0" fontId="0" fillId="0" borderId="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7" fillId="0" borderId="16" xfId="0" applyFont="1" applyBorder="1"/>
    <xf numFmtId="2" fontId="0" fillId="0" borderId="20" xfId="0" applyNumberFormat="1" applyBorder="1"/>
    <xf numFmtId="2" fontId="0" fillId="0" borderId="2" xfId="0" applyNumberFormat="1" applyBorder="1"/>
    <xf numFmtId="2" fontId="0" fillId="0" borderId="21" xfId="0" applyNumberFormat="1" applyBorder="1"/>
    <xf numFmtId="0" fontId="0" fillId="0" borderId="0" xfId="0" applyAlignment="1">
      <alignment horizontal="right"/>
    </xf>
    <xf numFmtId="0" fontId="0" fillId="4" borderId="30" xfId="0" applyFill="1" applyBorder="1"/>
    <xf numFmtId="0" fontId="0" fillId="0" borderId="31" xfId="0" applyBorder="1"/>
    <xf numFmtId="0" fontId="0" fillId="4" borderId="32" xfId="0" applyFill="1" applyBorder="1"/>
    <xf numFmtId="0" fontId="0" fillId="0" borderId="32" xfId="0" applyBorder="1"/>
    <xf numFmtId="0" fontId="0" fillId="0" borderId="33" xfId="0" applyBorder="1"/>
    <xf numFmtId="4" fontId="0" fillId="0" borderId="31" xfId="0" applyNumberFormat="1" applyBorder="1"/>
    <xf numFmtId="4" fontId="0" fillId="0" borderId="33" xfId="0" applyNumberFormat="1" applyBorder="1"/>
    <xf numFmtId="0" fontId="0" fillId="0" borderId="34" xfId="0" applyBorder="1"/>
    <xf numFmtId="0" fontId="0" fillId="0" borderId="35" xfId="0" applyBorder="1"/>
    <xf numFmtId="4" fontId="0" fillId="0" borderId="34" xfId="0" applyNumberFormat="1" applyBorder="1"/>
    <xf numFmtId="4" fontId="0" fillId="0" borderId="35" xfId="0" applyNumberFormat="1" applyBorder="1"/>
    <xf numFmtId="0" fontId="0" fillId="0" borderId="36" xfId="0" applyBorder="1"/>
    <xf numFmtId="0" fontId="0" fillId="4" borderId="37" xfId="0" applyFill="1" applyBorder="1"/>
    <xf numFmtId="0" fontId="0" fillId="0" borderId="37" xfId="0" applyBorder="1"/>
    <xf numFmtId="0" fontId="0" fillId="0" borderId="29" xfId="0" applyBorder="1"/>
    <xf numFmtId="4" fontId="0" fillId="0" borderId="36" xfId="0" applyNumberFormat="1" applyBorder="1"/>
    <xf numFmtId="4" fontId="0" fillId="0" borderId="29" xfId="0" applyNumberFormat="1" applyBorder="1"/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4" fontId="7" fillId="0" borderId="2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0" fillId="0" borderId="6" xfId="0" applyBorder="1"/>
    <xf numFmtId="0" fontId="6" fillId="0" borderId="11" xfId="0" applyFont="1" applyBorder="1" applyAlignment="1">
      <alignment vertical="center"/>
    </xf>
    <xf numFmtId="0" fontId="0" fillId="0" borderId="11" xfId="0" applyBorder="1"/>
    <xf numFmtId="0" fontId="6" fillId="0" borderId="30" xfId="0" applyFont="1" applyBorder="1" applyAlignment="1">
      <alignment vertical="center" wrapText="1"/>
    </xf>
    <xf numFmtId="0" fontId="0" fillId="0" borderId="12" xfId="0" applyBorder="1"/>
    <xf numFmtId="0" fontId="5" fillId="0" borderId="5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0" fillId="0" borderId="38" xfId="0" applyBorder="1"/>
    <xf numFmtId="0" fontId="0" fillId="0" borderId="39" xfId="0" applyBorder="1"/>
    <xf numFmtId="0" fontId="0" fillId="0" borderId="28" xfId="0" applyBorder="1"/>
    <xf numFmtId="0" fontId="10" fillId="0" borderId="0" xfId="0" applyFont="1" applyAlignment="1">
      <alignment wrapText="1"/>
    </xf>
    <xf numFmtId="164" fontId="0" fillId="0" borderId="9" xfId="0" applyNumberFormat="1" applyBorder="1"/>
    <xf numFmtId="164" fontId="0" fillId="0" borderId="12" xfId="0" applyNumberFormat="1" applyBorder="1"/>
    <xf numFmtId="0" fontId="11" fillId="0" borderId="0" xfId="0" applyFont="1" applyAlignment="1">
      <alignment wrapText="1"/>
    </xf>
    <xf numFmtId="4" fontId="0" fillId="3" borderId="7" xfId="0" applyNumberFormat="1" applyFill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2" xfId="0" applyNumberFormat="1" applyFill="1" applyBorder="1" applyAlignment="1">
      <alignment wrapText="1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7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0" fillId="0" borderId="7" xfId="0" applyBorder="1"/>
    <xf numFmtId="0" fontId="7" fillId="0" borderId="16" xfId="0" applyFont="1" applyBorder="1" applyAlignment="1">
      <alignment horizontal="center" vertical="center" wrapText="1"/>
    </xf>
    <xf numFmtId="0" fontId="0" fillId="0" borderId="45" xfId="0" applyBorder="1"/>
    <xf numFmtId="0" fontId="7" fillId="0" borderId="38" xfId="0" applyFont="1" applyBorder="1" applyAlignment="1">
      <alignment horizontal="center" vertical="center" wrapText="1"/>
    </xf>
    <xf numFmtId="0" fontId="7" fillId="0" borderId="22" xfId="0" applyFont="1" applyBorder="1"/>
    <xf numFmtId="0" fontId="7" fillId="0" borderId="24" xfId="0" applyFont="1" applyBorder="1"/>
    <xf numFmtId="0" fontId="0" fillId="0" borderId="27" xfId="0" applyBorder="1"/>
    <xf numFmtId="0" fontId="7" fillId="0" borderId="42" xfId="0" applyFont="1" applyBorder="1"/>
    <xf numFmtId="0" fontId="7" fillId="0" borderId="44" xfId="0" applyFont="1" applyBorder="1"/>
    <xf numFmtId="0" fontId="7" fillId="0" borderId="46" xfId="0" applyFont="1" applyBorder="1" applyAlignment="1">
      <alignment horizontal="center" vertical="center" wrapText="1"/>
    </xf>
    <xf numFmtId="0" fontId="0" fillId="0" borderId="13" xfId="0" applyBorder="1"/>
    <xf numFmtId="0" fontId="12" fillId="0" borderId="0" xfId="0" applyFont="1"/>
    <xf numFmtId="4" fontId="0" fillId="0" borderId="1" xfId="0" applyNumberFormat="1" applyBorder="1"/>
    <xf numFmtId="4" fontId="0" fillId="0" borderId="0" xfId="0" applyNumberFormat="1"/>
    <xf numFmtId="0" fontId="4" fillId="0" borderId="0" xfId="0" applyFont="1"/>
    <xf numFmtId="0" fontId="12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7" fillId="0" borderId="5" xfId="0" applyFont="1" applyBorder="1"/>
    <xf numFmtId="0" fontId="7" fillId="0" borderId="10" xfId="0" applyFont="1" applyBorder="1"/>
    <xf numFmtId="2" fontId="0" fillId="0" borderId="0" xfId="0" applyNumberFormat="1" applyAlignment="1">
      <alignment wrapText="1"/>
    </xf>
    <xf numFmtId="2" fontId="0" fillId="0" borderId="40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30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41" xfId="0" applyNumberFormat="1" applyBorder="1"/>
    <xf numFmtId="2" fontId="0" fillId="0" borderId="31" xfId="0" applyNumberFormat="1" applyBorder="1"/>
    <xf numFmtId="2" fontId="0" fillId="0" borderId="34" xfId="0" applyNumberFormat="1" applyBorder="1"/>
    <xf numFmtId="2" fontId="0" fillId="0" borderId="36" xfId="0" applyNumberFormat="1" applyBorder="1"/>
    <xf numFmtId="2" fontId="0" fillId="0" borderId="29" xfId="0" applyNumberFormat="1" applyBorder="1"/>
    <xf numFmtId="0" fontId="13" fillId="0" borderId="0" xfId="0" applyFont="1" applyAlignment="1">
      <alignment wrapText="1"/>
    </xf>
    <xf numFmtId="2" fontId="9" fillId="0" borderId="0" xfId="1" applyNumberFormat="1" applyAlignment="1"/>
    <xf numFmtId="0" fontId="7" fillId="0" borderId="5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48" xfId="0" applyFont="1" applyBorder="1"/>
    <xf numFmtId="0" fontId="7" fillId="0" borderId="46" xfId="0" applyFont="1" applyBorder="1"/>
    <xf numFmtId="0" fontId="7" fillId="0" borderId="8" xfId="0" applyFont="1" applyBorder="1" applyAlignment="1">
      <alignment wrapText="1"/>
    </xf>
    <xf numFmtId="0" fontId="7" fillId="0" borderId="7" xfId="0" applyFont="1" applyBorder="1"/>
    <xf numFmtId="0" fontId="7" fillId="0" borderId="9" xfId="0" applyFont="1" applyBorder="1"/>
    <xf numFmtId="0" fontId="7" fillId="0" borderId="12" xfId="0" applyFont="1" applyBorder="1"/>
    <xf numFmtId="0" fontId="6" fillId="0" borderId="5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0" xfId="0" applyFont="1" applyBorder="1" applyAlignment="1">
      <alignment wrapText="1"/>
    </xf>
    <xf numFmtId="164" fontId="0" fillId="0" borderId="0" xfId="0" applyNumberFormat="1"/>
    <xf numFmtId="0" fontId="12" fillId="0" borderId="0" xfId="0" applyFont="1" applyAlignment="1">
      <alignment horizontal="left" vertical="center"/>
    </xf>
    <xf numFmtId="2" fontId="0" fillId="0" borderId="49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50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42" xfId="0" applyNumberFormat="1" applyBorder="1"/>
    <xf numFmtId="2" fontId="0" fillId="0" borderId="53" xfId="0" applyNumberFormat="1" applyBorder="1"/>
    <xf numFmtId="0" fontId="7" fillId="0" borderId="0" xfId="0" applyFont="1" applyAlignment="1">
      <alignment horizontal="center" vertical="center"/>
    </xf>
    <xf numFmtId="3" fontId="0" fillId="0" borderId="0" xfId="0" applyNumberFormat="1"/>
    <xf numFmtId="2" fontId="0" fillId="0" borderId="33" xfId="0" applyNumberFormat="1" applyBorder="1"/>
    <xf numFmtId="2" fontId="0" fillId="0" borderId="38" xfId="0" applyNumberFormat="1" applyBorder="1"/>
    <xf numFmtId="2" fontId="0" fillId="0" borderId="35" xfId="0" applyNumberFormat="1" applyBorder="1"/>
    <xf numFmtId="2" fontId="0" fillId="0" borderId="39" xfId="0" applyNumberFormat="1" applyBorder="1"/>
    <xf numFmtId="2" fontId="0" fillId="0" borderId="28" xfId="0" applyNumberFormat="1" applyBorder="1"/>
    <xf numFmtId="164" fontId="0" fillId="0" borderId="21" xfId="0" applyNumberFormat="1" applyBorder="1"/>
    <xf numFmtId="0" fontId="0" fillId="0" borderId="1" xfId="0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0" fontId="11" fillId="0" borderId="0" xfId="0" applyFont="1"/>
    <xf numFmtId="0" fontId="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8" xfId="0" applyFont="1" applyBorder="1"/>
    <xf numFmtId="0" fontId="7" fillId="0" borderId="1" xfId="0" applyFont="1" applyBorder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7" fillId="2" borderId="3" xfId="0" applyFont="1" applyFill="1" applyBorder="1"/>
    <xf numFmtId="0" fontId="7" fillId="5" borderId="16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7" fillId="6" borderId="17" xfId="0" applyNumberFormat="1" applyFont="1" applyFill="1" applyBorder="1"/>
    <xf numFmtId="2" fontId="7" fillId="6" borderId="18" xfId="0" applyNumberFormat="1" applyFont="1" applyFill="1" applyBorder="1"/>
    <xf numFmtId="2" fontId="7" fillId="0" borderId="0" xfId="0" applyNumberFormat="1" applyFont="1"/>
    <xf numFmtId="0" fontId="7" fillId="4" borderId="1" xfId="0" applyFont="1" applyFill="1" applyBorder="1" applyAlignment="1">
      <alignment horizontal="right"/>
    </xf>
    <xf numFmtId="2" fontId="7" fillId="7" borderId="29" xfId="0" applyNumberFormat="1" applyFont="1" applyFill="1" applyBorder="1"/>
    <xf numFmtId="3" fontId="7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" fontId="7" fillId="0" borderId="0" xfId="0" applyNumberFormat="1" applyFont="1"/>
    <xf numFmtId="3" fontId="0" fillId="0" borderId="34" xfId="0" applyNumberFormat="1" applyBorder="1"/>
    <xf numFmtId="3" fontId="0" fillId="0" borderId="60" xfId="0" applyNumberFormat="1" applyBorder="1"/>
    <xf numFmtId="3" fontId="0" fillId="0" borderId="59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37" xfId="0" applyNumberFormat="1" applyBorder="1"/>
    <xf numFmtId="3" fontId="0" fillId="0" borderId="53" xfId="0" applyNumberFormat="1" applyBorder="1"/>
    <xf numFmtId="3" fontId="0" fillId="0" borderId="61" xfId="0" applyNumberFormat="1" applyBorder="1"/>
    <xf numFmtId="3" fontId="0" fillId="0" borderId="29" xfId="0" applyNumberFormat="1" applyBorder="1"/>
    <xf numFmtId="2" fontId="0" fillId="0" borderId="60" xfId="0" applyNumberFormat="1" applyBorder="1"/>
    <xf numFmtId="2" fontId="0" fillId="0" borderId="59" xfId="0" applyNumberFormat="1" applyBorder="1"/>
    <xf numFmtId="2" fontId="0" fillId="0" borderId="37" xfId="0" applyNumberFormat="1" applyBorder="1"/>
    <xf numFmtId="2" fontId="0" fillId="0" borderId="6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3" borderId="4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3" fontId="0" fillId="0" borderId="56" xfId="0" applyNumberForma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4" fontId="0" fillId="0" borderId="22" xfId="0" applyNumberFormat="1" applyBorder="1"/>
    <xf numFmtId="4" fontId="0" fillId="0" borderId="23" xfId="0" applyNumberFormat="1" applyBorder="1"/>
    <xf numFmtId="4" fontId="0" fillId="0" borderId="24" xfId="0" applyNumberFormat="1" applyBorder="1"/>
    <xf numFmtId="1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" fontId="0" fillId="5" borderId="42" xfId="0" applyNumberFormat="1" applyFill="1" applyBorder="1"/>
    <xf numFmtId="4" fontId="0" fillId="5" borderId="43" xfId="0" applyNumberFormat="1" applyFill="1" applyBorder="1"/>
    <xf numFmtId="4" fontId="0" fillId="5" borderId="44" xfId="0" applyNumberFormat="1" applyFill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0" borderId="8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0" fontId="7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vertical="center" wrapText="1"/>
    </xf>
    <xf numFmtId="4" fontId="0" fillId="3" borderId="30" xfId="0" applyNumberFormat="1" applyFill="1" applyBorder="1" applyAlignment="1">
      <alignment wrapText="1"/>
    </xf>
    <xf numFmtId="4" fontId="0" fillId="3" borderId="41" xfId="0" applyNumberFormat="1" applyFill="1" applyBorder="1" applyAlignment="1">
      <alignment wrapText="1"/>
    </xf>
    <xf numFmtId="0" fontId="7" fillId="0" borderId="63" xfId="0" applyFont="1" applyBorder="1" applyAlignment="1">
      <alignment horizontal="center" vertical="center"/>
    </xf>
    <xf numFmtId="2" fontId="0" fillId="0" borderId="32" xfId="0" applyNumberFormat="1" applyBorder="1"/>
    <xf numFmtId="0" fontId="6" fillId="0" borderId="20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21" xfId="0" applyFont="1" applyBorder="1" applyAlignment="1">
      <alignment vertical="center" wrapText="1"/>
    </xf>
    <xf numFmtId="0" fontId="0" fillId="3" borderId="2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0" xfId="0" applyFont="1" applyBorder="1" applyAlignment="1">
      <alignment wrapText="1"/>
    </xf>
    <xf numFmtId="0" fontId="7" fillId="0" borderId="41" xfId="0" applyFont="1" applyBorder="1" applyAlignment="1">
      <alignment horizontal="center" vertical="center" wrapText="1"/>
    </xf>
    <xf numFmtId="0" fontId="6" fillId="0" borderId="40" xfId="0" applyFont="1" applyBorder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0" fillId="3" borderId="2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5" fillId="0" borderId="45" xfId="0" applyFont="1" applyBorder="1" applyAlignment="1">
      <alignment wrapText="1"/>
    </xf>
    <xf numFmtId="0" fontId="6" fillId="0" borderId="20" xfId="0" applyFont="1" applyBorder="1" applyAlignment="1">
      <alignment vertical="center"/>
    </xf>
    <xf numFmtId="4" fontId="0" fillId="3" borderId="21" xfId="0" applyNumberFormat="1" applyFill="1" applyBorder="1" applyAlignment="1">
      <alignment wrapText="1"/>
    </xf>
    <xf numFmtId="0" fontId="7" fillId="0" borderId="22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0" fillId="3" borderId="4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2" xfId="0" applyFill="1" applyBorder="1" applyAlignment="1">
      <alignment horizontal="center"/>
    </xf>
    <xf numFmtId="0" fontId="5" fillId="0" borderId="20" xfId="0" applyFont="1" applyBorder="1" applyAlignment="1">
      <alignment wrapText="1"/>
    </xf>
    <xf numFmtId="0" fontId="6" fillId="0" borderId="2" xfId="0" applyFont="1" applyBorder="1" applyAlignment="1">
      <alignment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4" fontId="7" fillId="0" borderId="46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2" fontId="0" fillId="0" borderId="54" xfId="0" applyNumberFormat="1" applyBorder="1"/>
    <xf numFmtId="2" fontId="0" fillId="0" borderId="55" xfId="0" applyNumberFormat="1" applyBorder="1"/>
    <xf numFmtId="0" fontId="0" fillId="3" borderId="40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7" fillId="0" borderId="8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31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right"/>
    </xf>
    <xf numFmtId="2" fontId="0" fillId="0" borderId="35" xfId="0" applyNumberFormat="1" applyBorder="1" applyAlignment="1">
      <alignment horizontal="right"/>
    </xf>
    <xf numFmtId="2" fontId="0" fillId="0" borderId="29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49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62" xfId="0" applyNumberFormat="1" applyBorder="1" applyAlignment="1">
      <alignment horizontal="right"/>
    </xf>
    <xf numFmtId="2" fontId="0" fillId="0" borderId="20" xfId="0" applyNumberFormat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2" fontId="0" fillId="0" borderId="0" xfId="0" applyNumberFormat="1" applyAlignment="1">
      <alignment horizontal="right" vertical="center" wrapText="1"/>
    </xf>
    <xf numFmtId="0" fontId="6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right" vertical="center" wrapText="1"/>
    </xf>
    <xf numFmtId="2" fontId="2" fillId="0" borderId="7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2" fontId="2" fillId="0" borderId="9" xfId="0" applyNumberFormat="1" applyFont="1" applyBorder="1" applyAlignment="1">
      <alignment horizontal="right" vertical="center" wrapText="1"/>
    </xf>
    <xf numFmtId="2" fontId="2" fillId="0" borderId="11" xfId="0" applyNumberFormat="1" applyFont="1" applyBorder="1" applyAlignment="1">
      <alignment horizontal="right" vertical="center" wrapText="1"/>
    </xf>
    <xf numFmtId="2" fontId="2" fillId="0" borderId="12" xfId="0" applyNumberFormat="1" applyFont="1" applyBorder="1" applyAlignment="1">
      <alignment horizontal="right" vertical="center" wrapText="1"/>
    </xf>
    <xf numFmtId="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4" fontId="2" fillId="0" borderId="7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4" fontId="2" fillId="0" borderId="9" xfId="0" applyNumberFormat="1" applyFon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4" fontId="2" fillId="0" borderId="12" xfId="0" applyNumberFormat="1" applyFont="1" applyBorder="1" applyAlignment="1">
      <alignment horizontal="right"/>
    </xf>
    <xf numFmtId="2" fontId="0" fillId="0" borderId="5" xfId="0" applyNumberFormat="1" applyBorder="1" applyAlignment="1">
      <alignment horizontal="right" vertical="center" wrapText="1"/>
    </xf>
    <xf numFmtId="2" fontId="0" fillId="0" borderId="6" xfId="0" applyNumberFormat="1" applyBorder="1" applyAlignment="1">
      <alignment horizontal="right" vertical="center" wrapText="1"/>
    </xf>
    <xf numFmtId="2" fontId="0" fillId="0" borderId="7" xfId="0" applyNumberFormat="1" applyBorder="1" applyAlignment="1">
      <alignment horizontal="right" vertical="center" wrapText="1"/>
    </xf>
    <xf numFmtId="4" fontId="0" fillId="0" borderId="20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21" xfId="0" applyNumberFormat="1" applyBorder="1" applyAlignment="1">
      <alignment horizontal="right"/>
    </xf>
    <xf numFmtId="2" fontId="0" fillId="0" borderId="8" xfId="0" applyNumberForma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2" fontId="0" fillId="0" borderId="9" xfId="0" applyNumberFormat="1" applyBorder="1" applyAlignment="1">
      <alignment horizontal="right" vertical="center" wrapText="1"/>
    </xf>
    <xf numFmtId="4" fontId="0" fillId="0" borderId="8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9" xfId="0" applyNumberFormat="1" applyBorder="1" applyAlignment="1">
      <alignment horizontal="right"/>
    </xf>
    <xf numFmtId="2" fontId="0" fillId="0" borderId="10" xfId="0" applyNumberFormat="1" applyBorder="1" applyAlignment="1">
      <alignment horizontal="right" vertical="center" wrapText="1"/>
    </xf>
    <xf numFmtId="2" fontId="0" fillId="0" borderId="11" xfId="0" applyNumberFormat="1" applyBorder="1" applyAlignment="1">
      <alignment horizontal="right" vertical="center" wrapText="1"/>
    </xf>
    <xf numFmtId="2" fontId="0" fillId="0" borderId="12" xfId="0" applyNumberFormat="1" applyBorder="1" applyAlignment="1">
      <alignment horizontal="right" vertical="center" wrapText="1"/>
    </xf>
    <xf numFmtId="4" fontId="0" fillId="0" borderId="10" xfId="0" applyNumberForma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4" fontId="0" fillId="0" borderId="42" xfId="0" applyNumberFormat="1" applyBorder="1" applyAlignment="1">
      <alignment horizontal="right"/>
    </xf>
    <xf numFmtId="4" fontId="0" fillId="0" borderId="44" xfId="0" applyNumberFormat="1" applyBorder="1" applyAlignment="1">
      <alignment horizontal="right"/>
    </xf>
    <xf numFmtId="0" fontId="2" fillId="0" borderId="38" xfId="0" applyFont="1" applyBorder="1" applyAlignment="1">
      <alignment horizontal="center" wrapText="1"/>
    </xf>
    <xf numFmtId="0" fontId="2" fillId="0" borderId="39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7" fillId="0" borderId="11" xfId="0" applyFont="1" applyBorder="1"/>
    <xf numFmtId="0" fontId="7" fillId="0" borderId="22" xfId="0" applyFont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0" fillId="0" borderId="2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4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2" xfId="0" applyBorder="1" applyAlignment="1">
      <alignment horizontal="right"/>
    </xf>
    <xf numFmtId="0" fontId="6" fillId="0" borderId="56" xfId="0" applyFont="1" applyBorder="1" applyAlignment="1">
      <alignment vertical="center" wrapText="1"/>
    </xf>
    <xf numFmtId="0" fontId="0" fillId="3" borderId="6" xfId="0" applyFill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0" xfId="0" applyBorder="1" applyAlignment="1">
      <alignment horizontal="right"/>
    </xf>
    <xf numFmtId="2" fontId="0" fillId="0" borderId="0" xfId="0" applyNumberForma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6" fillId="0" borderId="38" xfId="0" applyFont="1" applyBorder="1" applyAlignment="1">
      <alignment horizontal="center" wrapText="1"/>
    </xf>
    <xf numFmtId="0" fontId="6" fillId="0" borderId="39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2" fontId="0" fillId="0" borderId="43" xfId="0" applyNumberFormat="1" applyBorder="1"/>
    <xf numFmtId="0" fontId="7" fillId="0" borderId="48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51" xfId="0" applyBorder="1"/>
    <xf numFmtId="0" fontId="0" fillId="0" borderId="54" xfId="0" applyBorder="1"/>
    <xf numFmtId="0" fontId="0" fillId="0" borderId="55" xfId="0" applyBorder="1"/>
    <xf numFmtId="0" fontId="7" fillId="0" borderId="29" xfId="0" applyFont="1" applyBorder="1"/>
    <xf numFmtId="0" fontId="7" fillId="0" borderId="25" xfId="0" applyFont="1" applyBorder="1" applyAlignment="1">
      <alignment wrapText="1"/>
    </xf>
    <xf numFmtId="0" fontId="7" fillId="0" borderId="33" xfId="0" applyFont="1" applyBorder="1" applyAlignment="1">
      <alignment horizontal="center"/>
    </xf>
    <xf numFmtId="0" fontId="7" fillId="0" borderId="51" xfId="0" applyFont="1" applyBorder="1"/>
    <xf numFmtId="0" fontId="0" fillId="0" borderId="25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2" fontId="0" fillId="0" borderId="13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0" fillId="0" borderId="21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0" fillId="0" borderId="0" xfId="0" applyNumberFormat="1" applyAlignment="1">
      <alignment horizontal="right" vertical="center"/>
    </xf>
    <xf numFmtId="0" fontId="6" fillId="0" borderId="45" xfId="0" applyFont="1" applyBorder="1" applyAlignment="1">
      <alignment horizontal="center" wrapText="1"/>
    </xf>
    <xf numFmtId="2" fontId="0" fillId="0" borderId="0" xfId="0" applyNumberFormat="1" applyAlignment="1">
      <alignment horizontal="center" vertical="center"/>
    </xf>
    <xf numFmtId="0" fontId="6" fillId="0" borderId="26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0" fillId="0" borderId="44" xfId="0" applyBorder="1"/>
    <xf numFmtId="0" fontId="7" fillId="0" borderId="26" xfId="0" applyFont="1" applyBorder="1" applyAlignment="1">
      <alignment wrapText="1"/>
    </xf>
    <xf numFmtId="0" fontId="7" fillId="0" borderId="54" xfId="0" applyFont="1" applyBorder="1"/>
    <xf numFmtId="2" fontId="0" fillId="0" borderId="14" xfId="0" applyNumberFormat="1" applyBorder="1"/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2" fontId="19" fillId="3" borderId="1" xfId="0" applyNumberFormat="1" applyFont="1" applyFill="1" applyBorder="1" applyAlignment="1">
      <alignment horizontal="center"/>
    </xf>
    <xf numFmtId="2" fontId="7" fillId="0" borderId="38" xfId="0" applyNumberFormat="1" applyFont="1" applyBorder="1" applyAlignment="1">
      <alignment horizontal="center" vertical="center" wrapText="1"/>
    </xf>
    <xf numFmtId="2" fontId="7" fillId="0" borderId="28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4" fontId="7" fillId="0" borderId="2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/>
    <xf numFmtId="0" fontId="12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8" fillId="0" borderId="30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0" fillId="0" borderId="57" xfId="0" applyBorder="1" applyAlignment="1">
      <alignment horizontal="center"/>
    </xf>
    <xf numFmtId="4" fontId="7" fillId="0" borderId="48" xfId="0" applyNumberFormat="1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4" fontId="7" fillId="0" borderId="1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7" fillId="0" borderId="41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0" fontId="7" fillId="2" borderId="46" xfId="0" applyFont="1" applyFill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7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7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0" fillId="0" borderId="33" xfId="0" applyNumberFormat="1" applyFill="1" applyBorder="1"/>
    <xf numFmtId="2" fontId="0" fillId="0" borderId="35" xfId="0" applyNumberFormat="1" applyFill="1" applyBorder="1"/>
    <xf numFmtId="2" fontId="0" fillId="0" borderId="29" xfId="0" applyNumberForma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CC"/>
      <color rgb="FFCCFFCC"/>
      <color rgb="FFCCFFFF"/>
      <color rgb="FF66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ieeexplore.ieee.org/abstract/document/834260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2D8A-E85E-44DE-B18C-AC4A24978C79}">
  <dimension ref="A1:L30"/>
  <sheetViews>
    <sheetView tabSelected="1" workbookViewId="0">
      <selection activeCell="K3" sqref="K3"/>
    </sheetView>
  </sheetViews>
  <sheetFormatPr defaultRowHeight="15" x14ac:dyDescent="0.25"/>
  <cols>
    <col min="1" max="1" width="5.85546875" style="33" customWidth="1"/>
    <col min="2" max="2" width="9.5703125" customWidth="1"/>
    <col min="3" max="3" width="14.28515625" customWidth="1"/>
    <col min="4" max="4" width="9" customWidth="1"/>
    <col min="5" max="6" width="8.5703125" customWidth="1"/>
    <col min="7" max="7" width="7.42578125" customWidth="1"/>
    <col min="9" max="9" width="8.5703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2" ht="18.75" x14ac:dyDescent="0.3">
      <c r="B1" s="148" t="s">
        <v>220</v>
      </c>
    </row>
    <row r="3" spans="1:12" s="33" customFormat="1" ht="48" customHeight="1" x14ac:dyDescent="0.25">
      <c r="A3" s="151" t="s">
        <v>178</v>
      </c>
      <c r="B3" s="470" t="s">
        <v>202</v>
      </c>
      <c r="C3" s="471"/>
      <c r="D3" s="470" t="s">
        <v>203</v>
      </c>
      <c r="E3" s="471"/>
      <c r="F3" s="470" t="s">
        <v>204</v>
      </c>
      <c r="G3" s="471"/>
      <c r="H3" s="470" t="s">
        <v>205</v>
      </c>
      <c r="I3" s="471"/>
    </row>
    <row r="4" spans="1:12" x14ac:dyDescent="0.25">
      <c r="A4" s="152">
        <v>1</v>
      </c>
      <c r="B4" s="154" t="s">
        <v>24</v>
      </c>
      <c r="C4" s="154">
        <v>21.534100000000002</v>
      </c>
      <c r="D4" s="153" t="s">
        <v>24</v>
      </c>
      <c r="E4" s="154">
        <v>21.486197620328653</v>
      </c>
      <c r="F4" s="153" t="s">
        <v>24</v>
      </c>
      <c r="G4" s="154">
        <v>21.567441010101</v>
      </c>
      <c r="H4" s="153" t="s">
        <v>24</v>
      </c>
      <c r="I4" s="154">
        <v>21.372975102653506</v>
      </c>
    </row>
    <row r="5" spans="1:12" x14ac:dyDescent="0.25">
      <c r="A5" s="152">
        <v>2</v>
      </c>
      <c r="B5" s="154" t="s">
        <v>15</v>
      </c>
      <c r="C5" s="154">
        <v>19.830090000000002</v>
      </c>
      <c r="D5" s="153" t="s">
        <v>15</v>
      </c>
      <c r="E5" s="154">
        <v>19.993186090546587</v>
      </c>
      <c r="F5" s="153" t="s">
        <v>15</v>
      </c>
      <c r="G5" s="154">
        <v>19.936190430594198</v>
      </c>
      <c r="H5" s="153" t="s">
        <v>15</v>
      </c>
      <c r="I5" s="154">
        <v>20.072573521276802</v>
      </c>
    </row>
    <row r="6" spans="1:12" x14ac:dyDescent="0.25">
      <c r="A6" s="152">
        <v>3</v>
      </c>
      <c r="B6" s="154" t="s">
        <v>20</v>
      </c>
      <c r="C6" s="154">
        <v>15.93521</v>
      </c>
      <c r="D6" s="153" t="s">
        <v>20</v>
      </c>
      <c r="E6" s="154">
        <v>15.933610824536682</v>
      </c>
      <c r="F6" s="153" t="s">
        <v>20</v>
      </c>
      <c r="G6" s="154">
        <v>15.933183306920901</v>
      </c>
      <c r="H6" s="153" t="s">
        <v>20</v>
      </c>
      <c r="I6" s="154">
        <v>15.9385151958764</v>
      </c>
    </row>
    <row r="7" spans="1:12" x14ac:dyDescent="0.25">
      <c r="A7" s="152">
        <v>4</v>
      </c>
      <c r="B7" s="154" t="s">
        <v>13</v>
      </c>
      <c r="C7" s="154">
        <v>13.87979</v>
      </c>
      <c r="D7" s="153" t="s">
        <v>13</v>
      </c>
      <c r="E7" s="154">
        <v>13.780819766326111</v>
      </c>
      <c r="F7" s="153" t="s">
        <v>13</v>
      </c>
      <c r="G7" s="154">
        <v>13.7199504877859</v>
      </c>
      <c r="H7" s="423" t="s">
        <v>23</v>
      </c>
      <c r="I7" s="424">
        <v>13.7872377263375</v>
      </c>
    </row>
    <row r="8" spans="1:12" x14ac:dyDescent="0.25">
      <c r="A8" s="152">
        <v>5</v>
      </c>
      <c r="B8" s="154" t="s">
        <v>23</v>
      </c>
      <c r="C8" s="154">
        <v>13.73822</v>
      </c>
      <c r="D8" s="153" t="s">
        <v>23</v>
      </c>
      <c r="E8" s="154">
        <v>13.73830136006131</v>
      </c>
      <c r="F8" s="153" t="s">
        <v>23</v>
      </c>
      <c r="G8" s="154">
        <v>1.6315069255096699</v>
      </c>
      <c r="H8" s="423" t="s">
        <v>13</v>
      </c>
      <c r="I8" s="424">
        <v>1.8150122027513</v>
      </c>
    </row>
    <row r="9" spans="1:12" x14ac:dyDescent="0.25">
      <c r="A9" s="152">
        <v>6</v>
      </c>
      <c r="B9" s="154" t="s">
        <v>17</v>
      </c>
      <c r="C9" s="154">
        <v>13.569699999999999</v>
      </c>
      <c r="D9" s="153" t="s">
        <v>17</v>
      </c>
      <c r="E9" s="154">
        <v>13.575144343599652</v>
      </c>
      <c r="F9" s="153" t="s">
        <v>17</v>
      </c>
      <c r="G9" s="154">
        <v>13.808246763142099</v>
      </c>
      <c r="H9" s="153" t="s">
        <v>17</v>
      </c>
      <c r="I9" s="154">
        <v>13.725170587588099</v>
      </c>
    </row>
    <row r="10" spans="1:12" x14ac:dyDescent="0.25">
      <c r="A10" s="152">
        <v>7</v>
      </c>
      <c r="B10" s="154" t="s">
        <v>19</v>
      </c>
      <c r="C10" s="154">
        <v>10.799810000000001</v>
      </c>
      <c r="D10" s="153" t="s">
        <v>19</v>
      </c>
      <c r="E10" s="154">
        <v>10.798427214863018</v>
      </c>
      <c r="F10" s="153" t="s">
        <v>19</v>
      </c>
      <c r="G10" s="154">
        <v>13.585083776408601</v>
      </c>
      <c r="H10" s="153" t="s">
        <v>19</v>
      </c>
      <c r="I10" s="154">
        <v>13.5423110971609</v>
      </c>
    </row>
    <row r="11" spans="1:12" x14ac:dyDescent="0.25">
      <c r="A11" s="152">
        <v>8</v>
      </c>
      <c r="B11" s="154" t="s">
        <v>18</v>
      </c>
      <c r="C11" s="154">
        <v>8.6392199999999999</v>
      </c>
      <c r="D11" s="153" t="s">
        <v>18</v>
      </c>
      <c r="E11" s="154">
        <v>8.6373106051369817</v>
      </c>
      <c r="F11" s="153" t="s">
        <v>18</v>
      </c>
      <c r="G11" s="154">
        <v>10.7977833069209</v>
      </c>
      <c r="H11" s="153" t="s">
        <v>18</v>
      </c>
      <c r="I11" s="154">
        <v>10.803462204256601</v>
      </c>
    </row>
    <row r="12" spans="1:12" x14ac:dyDescent="0.25">
      <c r="A12" s="152">
        <v>9</v>
      </c>
      <c r="B12" s="154" t="s">
        <v>14</v>
      </c>
      <c r="C12" s="154">
        <v>6.1486699999999992</v>
      </c>
      <c r="D12" s="153" t="s">
        <v>14</v>
      </c>
      <c r="E12" s="154">
        <v>6.1377451040721258</v>
      </c>
      <c r="F12" s="153" t="s">
        <v>14</v>
      </c>
      <c r="G12" s="154">
        <v>8.62095048778591</v>
      </c>
      <c r="H12" s="153" t="s">
        <v>14</v>
      </c>
      <c r="I12" s="154">
        <v>8.6858902846318795</v>
      </c>
    </row>
    <row r="13" spans="1:12" x14ac:dyDescent="0.25">
      <c r="A13" s="152">
        <v>10</v>
      </c>
      <c r="B13" s="154" t="s">
        <v>22</v>
      </c>
      <c r="C13" s="154">
        <v>1.6589499999999999</v>
      </c>
      <c r="D13" s="153" t="s">
        <v>22</v>
      </c>
      <c r="E13" s="154">
        <v>1.7433154082038367</v>
      </c>
      <c r="F13" s="153" t="s">
        <v>22</v>
      </c>
      <c r="G13" s="154">
        <v>6.1739787631421503</v>
      </c>
      <c r="H13" s="153" t="s">
        <v>22</v>
      </c>
      <c r="I13" s="154">
        <v>6.0741991962845896</v>
      </c>
    </row>
    <row r="15" spans="1:12" s="33" customFormat="1" ht="48.75" customHeight="1" x14ac:dyDescent="0.25">
      <c r="A15" s="151" t="s">
        <v>178</v>
      </c>
      <c r="B15" s="470" t="s">
        <v>181</v>
      </c>
      <c r="C15" s="471"/>
      <c r="D15" s="470" t="s">
        <v>189</v>
      </c>
      <c r="E15" s="471"/>
      <c r="F15" s="470" t="s">
        <v>190</v>
      </c>
      <c r="G15" s="471"/>
      <c r="H15" s="470" t="s">
        <v>182</v>
      </c>
      <c r="I15" s="471"/>
    </row>
    <row r="16" spans="1:12" x14ac:dyDescent="0.25">
      <c r="A16" s="152">
        <v>1</v>
      </c>
      <c r="B16" s="153" t="s">
        <v>24</v>
      </c>
      <c r="C16" s="154">
        <v>22.25</v>
      </c>
      <c r="D16" s="153" t="s">
        <v>24</v>
      </c>
      <c r="E16" s="154">
        <v>22.281343283582089</v>
      </c>
      <c r="F16" s="153" t="s">
        <v>24</v>
      </c>
      <c r="G16" s="154">
        <v>22.2813432835821</v>
      </c>
      <c r="H16" s="153" t="s">
        <v>24</v>
      </c>
      <c r="I16" s="154">
        <v>21.9411764705882</v>
      </c>
      <c r="K16" s="33"/>
      <c r="L16" s="33"/>
    </row>
    <row r="17" spans="1:12" x14ac:dyDescent="0.25">
      <c r="A17" s="152">
        <v>2</v>
      </c>
      <c r="B17" s="153" t="s">
        <v>15</v>
      </c>
      <c r="C17" s="154">
        <v>20.346</v>
      </c>
      <c r="D17" s="153" t="s">
        <v>15</v>
      </c>
      <c r="E17" s="154">
        <v>20.471538927159855</v>
      </c>
      <c r="F17" s="153" t="s">
        <v>15</v>
      </c>
      <c r="G17" s="154">
        <v>20.469034615384601</v>
      </c>
      <c r="H17" s="153" t="s">
        <v>15</v>
      </c>
      <c r="I17" s="154">
        <v>20.697492742495999</v>
      </c>
      <c r="K17" s="33"/>
      <c r="L17" s="33"/>
    </row>
    <row r="18" spans="1:12" x14ac:dyDescent="0.25">
      <c r="A18" s="152">
        <v>3</v>
      </c>
      <c r="B18" s="153" t="s">
        <v>20</v>
      </c>
      <c r="C18" s="154">
        <v>15.994000000000002</v>
      </c>
      <c r="D18" s="153" t="s">
        <v>20</v>
      </c>
      <c r="E18" s="154">
        <v>15.989802764976959</v>
      </c>
      <c r="F18" s="153" t="s">
        <v>20</v>
      </c>
      <c r="G18" s="154">
        <v>15.9897352711012</v>
      </c>
      <c r="H18" s="153" t="s">
        <v>20</v>
      </c>
      <c r="I18" s="154">
        <v>16.021176470588198</v>
      </c>
      <c r="K18" s="33"/>
      <c r="L18" s="33"/>
    </row>
    <row r="19" spans="1:12" x14ac:dyDescent="0.25">
      <c r="A19" s="152">
        <v>4</v>
      </c>
      <c r="B19" s="153" t="s">
        <v>13</v>
      </c>
      <c r="C19" s="154">
        <v>14.071999999999999</v>
      </c>
      <c r="D19" s="153" t="s">
        <v>13</v>
      </c>
      <c r="E19" s="154">
        <v>13.992023079134992</v>
      </c>
      <c r="F19" s="153" t="s">
        <v>13</v>
      </c>
      <c r="G19" s="154">
        <v>13.9559994858612</v>
      </c>
      <c r="H19" s="423" t="s">
        <v>23</v>
      </c>
      <c r="I19" s="424">
        <v>14.0952941176471</v>
      </c>
      <c r="K19" s="33"/>
      <c r="L19" s="33"/>
    </row>
    <row r="20" spans="1:12" x14ac:dyDescent="0.25">
      <c r="A20" s="152">
        <v>5</v>
      </c>
      <c r="B20" s="153" t="s">
        <v>23</v>
      </c>
      <c r="C20" s="154">
        <v>13.973000000000001</v>
      </c>
      <c r="D20" s="153" t="s">
        <v>23</v>
      </c>
      <c r="E20" s="154">
        <v>13.958000881704628</v>
      </c>
      <c r="F20" s="153" t="s">
        <v>23</v>
      </c>
      <c r="G20" s="154">
        <v>1.2438364633611201</v>
      </c>
      <c r="H20" s="423" t="s">
        <v>13</v>
      </c>
      <c r="I20" s="424">
        <v>1.49470588235294</v>
      </c>
      <c r="K20" s="33"/>
      <c r="L20" s="33"/>
    </row>
    <row r="21" spans="1:12" x14ac:dyDescent="0.25">
      <c r="A21" s="152">
        <v>6</v>
      </c>
      <c r="B21" s="153" t="s">
        <v>17</v>
      </c>
      <c r="C21" s="154">
        <v>13.585000000000001</v>
      </c>
      <c r="D21" s="153" t="s">
        <v>17</v>
      </c>
      <c r="E21" s="154">
        <v>13.5933709892454</v>
      </c>
      <c r="F21" s="153" t="s">
        <v>17</v>
      </c>
      <c r="G21" s="154">
        <v>13.9964996489688</v>
      </c>
      <c r="H21" s="153" t="s">
        <v>17</v>
      </c>
      <c r="I21" s="154">
        <v>13.8564950601119</v>
      </c>
      <c r="K21" s="33"/>
      <c r="L21" s="33"/>
    </row>
    <row r="22" spans="1:12" x14ac:dyDescent="0.25">
      <c r="A22" s="152">
        <v>7</v>
      </c>
      <c r="B22" s="153" t="s">
        <v>19</v>
      </c>
      <c r="C22" s="154">
        <v>10.714000000000002</v>
      </c>
      <c r="D22" s="153" t="s">
        <v>19</v>
      </c>
      <c r="E22" s="154">
        <v>10.709903448275863</v>
      </c>
      <c r="F22" s="153" t="s">
        <v>19</v>
      </c>
      <c r="G22" s="154">
        <v>13.5944447300771</v>
      </c>
      <c r="H22" s="153" t="s">
        <v>19</v>
      </c>
      <c r="I22" s="154">
        <v>13.5124550430023</v>
      </c>
      <c r="K22" s="33"/>
      <c r="L22" s="33"/>
    </row>
    <row r="23" spans="1:12" x14ac:dyDescent="0.25">
      <c r="A23" s="152">
        <v>8</v>
      </c>
      <c r="B23" s="153" t="s">
        <v>18</v>
      </c>
      <c r="C23" s="154">
        <v>8.6129999999999995</v>
      </c>
      <c r="D23" s="153" t="s">
        <v>18</v>
      </c>
      <c r="E23" s="154">
        <v>8.6011199999999999</v>
      </c>
      <c r="F23" s="153" t="s">
        <v>18</v>
      </c>
      <c r="G23" s="154">
        <v>10.7097352711012</v>
      </c>
      <c r="H23" s="153" t="s">
        <v>18</v>
      </c>
      <c r="I23" s="154">
        <v>10.741176470588201</v>
      </c>
      <c r="K23" s="33"/>
      <c r="L23" s="33"/>
    </row>
    <row r="24" spans="1:12" x14ac:dyDescent="0.25">
      <c r="A24" s="152">
        <v>9</v>
      </c>
      <c r="B24" s="153" t="s">
        <v>14</v>
      </c>
      <c r="C24" s="154">
        <v>5.9125000000000005</v>
      </c>
      <c r="D24" s="153" t="s">
        <v>14</v>
      </c>
      <c r="E24" s="154">
        <v>5.9128631815907955</v>
      </c>
      <c r="F24" s="153" t="s">
        <v>14</v>
      </c>
      <c r="G24" s="154">
        <v>8.5959994858611797</v>
      </c>
      <c r="H24" s="153" t="s">
        <v>14</v>
      </c>
      <c r="I24" s="154">
        <v>8.7352941176470598</v>
      </c>
      <c r="K24" s="33"/>
      <c r="L24" s="33"/>
    </row>
    <row r="25" spans="1:12" x14ac:dyDescent="0.25">
      <c r="A25" s="152">
        <v>10</v>
      </c>
      <c r="B25" s="153" t="s">
        <v>22</v>
      </c>
      <c r="C25" s="154">
        <v>1.2705000000000002</v>
      </c>
      <c r="D25" s="153" t="s">
        <v>22</v>
      </c>
      <c r="E25" s="154">
        <v>1.5972000000000002</v>
      </c>
      <c r="F25" s="153" t="s">
        <v>22</v>
      </c>
      <c r="G25" s="154">
        <v>5.9326996489688497</v>
      </c>
      <c r="H25" s="153" t="s">
        <v>22</v>
      </c>
      <c r="I25" s="154">
        <v>5.7357564544375998</v>
      </c>
      <c r="K25" s="33"/>
      <c r="L25" s="33"/>
    </row>
    <row r="26" spans="1:12" x14ac:dyDescent="0.25">
      <c r="K26" s="33"/>
      <c r="L26" s="33"/>
    </row>
    <row r="27" spans="1:12" x14ac:dyDescent="0.25">
      <c r="K27" s="33"/>
      <c r="L27" s="33"/>
    </row>
    <row r="28" spans="1:12" x14ac:dyDescent="0.25">
      <c r="K28" s="33"/>
      <c r="L28" s="33"/>
    </row>
    <row r="29" spans="1:12" x14ac:dyDescent="0.25">
      <c r="K29" s="33"/>
      <c r="L29" s="33"/>
    </row>
    <row r="30" spans="1:12" x14ac:dyDescent="0.25">
      <c r="K30" s="33"/>
      <c r="L30" s="33"/>
    </row>
  </sheetData>
  <mergeCells count="8">
    <mergeCell ref="H15:I15"/>
    <mergeCell ref="B3:C3"/>
    <mergeCell ref="D3:E3"/>
    <mergeCell ref="F3:G3"/>
    <mergeCell ref="H3:I3"/>
    <mergeCell ref="B15:C15"/>
    <mergeCell ref="D15:E15"/>
    <mergeCell ref="F15:G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1186-EF05-4B92-9A34-A4066CD5C583}">
  <dimension ref="A1:Q14"/>
  <sheetViews>
    <sheetView topLeftCell="D1" workbookViewId="0">
      <selection activeCell="L17" sqref="L17"/>
    </sheetView>
  </sheetViews>
  <sheetFormatPr defaultRowHeight="15" x14ac:dyDescent="0.25"/>
  <cols>
    <col min="1" max="1" width="5.85546875" style="33" customWidth="1"/>
    <col min="2" max="2" width="14.42578125" customWidth="1"/>
    <col min="3" max="3" width="18.140625" customWidth="1"/>
    <col min="4" max="4" width="9" customWidth="1"/>
    <col min="5" max="5" width="11.140625" customWidth="1"/>
    <col min="6" max="6" width="10.140625" customWidth="1"/>
    <col min="7" max="7" width="11.7109375" customWidth="1"/>
    <col min="9" max="9" width="11.42578125" customWidth="1"/>
    <col min="10" max="10" width="15.140625" customWidth="1"/>
    <col min="11" max="11" width="22.140625" customWidth="1"/>
    <col min="12" max="12" width="10.7109375" customWidth="1"/>
    <col min="13" max="13" width="15.140625" customWidth="1"/>
    <col min="14" max="14" width="11.85546875" customWidth="1"/>
    <col min="15" max="15" width="14.28515625" customWidth="1"/>
    <col min="16" max="16" width="11" customWidth="1"/>
    <col min="17" max="17" width="15.140625" customWidth="1"/>
  </cols>
  <sheetData>
    <row r="1" spans="1:17" ht="18.75" x14ac:dyDescent="0.3">
      <c r="B1" s="149" t="s">
        <v>220</v>
      </c>
    </row>
    <row r="3" spans="1:17" x14ac:dyDescent="0.25">
      <c r="A3" s="474" t="s">
        <v>178</v>
      </c>
      <c r="B3" s="472" t="s">
        <v>180</v>
      </c>
      <c r="C3" s="476"/>
      <c r="D3" s="476"/>
      <c r="E3" s="476"/>
      <c r="F3" s="476"/>
      <c r="G3" s="476"/>
      <c r="H3" s="476"/>
      <c r="I3" s="473"/>
      <c r="J3" s="475" t="s">
        <v>179</v>
      </c>
      <c r="K3" s="475"/>
      <c r="L3" s="475"/>
      <c r="M3" s="475"/>
      <c r="N3" s="475"/>
      <c r="O3" s="475"/>
      <c r="P3" s="475"/>
      <c r="Q3" s="475"/>
    </row>
    <row r="4" spans="1:17" x14ac:dyDescent="0.25">
      <c r="A4" s="474"/>
      <c r="B4" s="472" t="s">
        <v>183</v>
      </c>
      <c r="C4" s="473"/>
      <c r="D4" s="472" t="s">
        <v>187</v>
      </c>
      <c r="E4" s="473"/>
      <c r="F4" s="472" t="s">
        <v>188</v>
      </c>
      <c r="G4" s="473"/>
      <c r="H4" s="472" t="s">
        <v>184</v>
      </c>
      <c r="I4" s="473"/>
      <c r="J4" s="472" t="s">
        <v>181</v>
      </c>
      <c r="K4" s="473"/>
      <c r="L4" s="472" t="s">
        <v>189</v>
      </c>
      <c r="M4" s="473"/>
      <c r="N4" s="472" t="s">
        <v>190</v>
      </c>
      <c r="O4" s="473"/>
      <c r="P4" s="472" t="s">
        <v>182</v>
      </c>
      <c r="Q4" s="473"/>
    </row>
    <row r="5" spans="1:17" x14ac:dyDescent="0.25">
      <c r="A5" s="146">
        <v>1</v>
      </c>
      <c r="B5" s="98" t="s">
        <v>24</v>
      </c>
      <c r="C5" s="98">
        <v>21.534100000000002</v>
      </c>
      <c r="D5" s="2" t="s">
        <v>24</v>
      </c>
      <c r="E5" s="98">
        <v>21.486197620328653</v>
      </c>
      <c r="F5" s="2" t="s">
        <v>24</v>
      </c>
      <c r="G5" s="98">
        <v>21.567441010101</v>
      </c>
      <c r="H5" s="2" t="s">
        <v>24</v>
      </c>
      <c r="I5" s="98">
        <v>21.372975102653506</v>
      </c>
      <c r="J5" s="2" t="s">
        <v>24</v>
      </c>
      <c r="K5" s="98">
        <v>22.25</v>
      </c>
      <c r="L5" s="2" t="s">
        <v>24</v>
      </c>
      <c r="M5" s="98">
        <v>22.281343283582089</v>
      </c>
      <c r="N5" s="2" t="s">
        <v>24</v>
      </c>
      <c r="O5" s="98">
        <v>22.2813432835821</v>
      </c>
      <c r="P5" s="2" t="s">
        <v>24</v>
      </c>
      <c r="Q5" s="98">
        <v>21.9411764705882</v>
      </c>
    </row>
    <row r="6" spans="1:17" x14ac:dyDescent="0.25">
      <c r="A6" s="146">
        <v>2</v>
      </c>
      <c r="B6" s="98" t="s">
        <v>15</v>
      </c>
      <c r="C6" s="98">
        <v>19.830090000000002</v>
      </c>
      <c r="D6" s="2" t="s">
        <v>15</v>
      </c>
      <c r="E6" s="98">
        <v>19.993186090546587</v>
      </c>
      <c r="F6" s="2" t="s">
        <v>15</v>
      </c>
      <c r="G6" s="98">
        <v>19.936190430594198</v>
      </c>
      <c r="H6" s="2" t="s">
        <v>15</v>
      </c>
      <c r="I6" s="98">
        <v>20.072573521276802</v>
      </c>
      <c r="J6" s="2" t="s">
        <v>15</v>
      </c>
      <c r="K6" s="98">
        <v>20.346</v>
      </c>
      <c r="L6" s="2" t="s">
        <v>15</v>
      </c>
      <c r="M6" s="98">
        <v>20.471538927159855</v>
      </c>
      <c r="N6" s="2" t="s">
        <v>15</v>
      </c>
      <c r="O6" s="98">
        <v>20.469034615384601</v>
      </c>
      <c r="P6" s="2" t="s">
        <v>15</v>
      </c>
      <c r="Q6" s="98">
        <v>20.697492742495999</v>
      </c>
    </row>
    <row r="7" spans="1:17" x14ac:dyDescent="0.25">
      <c r="A7" s="146">
        <v>3</v>
      </c>
      <c r="B7" s="98" t="s">
        <v>20</v>
      </c>
      <c r="C7" s="98">
        <v>15.93521</v>
      </c>
      <c r="D7" s="2" t="s">
        <v>20</v>
      </c>
      <c r="E7" s="98">
        <v>15.933610824536682</v>
      </c>
      <c r="F7" s="2" t="s">
        <v>20</v>
      </c>
      <c r="G7" s="98">
        <v>15.933183306920901</v>
      </c>
      <c r="H7" s="2" t="s">
        <v>20</v>
      </c>
      <c r="I7" s="98">
        <v>15.9385151958764</v>
      </c>
      <c r="J7" s="2" t="s">
        <v>20</v>
      </c>
      <c r="K7" s="98">
        <v>15.994000000000002</v>
      </c>
      <c r="L7" s="2" t="s">
        <v>20</v>
      </c>
      <c r="M7" s="98">
        <v>15.989802764976959</v>
      </c>
      <c r="N7" s="2" t="s">
        <v>20</v>
      </c>
      <c r="O7" s="98">
        <v>15.9897352711012</v>
      </c>
      <c r="P7" s="2" t="s">
        <v>20</v>
      </c>
      <c r="Q7" s="98">
        <v>16.021176470588198</v>
      </c>
    </row>
    <row r="8" spans="1:17" x14ac:dyDescent="0.25">
      <c r="A8" s="146">
        <v>6</v>
      </c>
      <c r="B8" s="98" t="s">
        <v>13</v>
      </c>
      <c r="C8" s="98">
        <v>13.87979</v>
      </c>
      <c r="D8" s="2" t="s">
        <v>13</v>
      </c>
      <c r="E8" s="98">
        <v>13.780819766326111</v>
      </c>
      <c r="F8" s="2" t="s">
        <v>13</v>
      </c>
      <c r="G8" s="98">
        <v>13.7199504877859</v>
      </c>
      <c r="H8" s="2" t="s">
        <v>23</v>
      </c>
      <c r="I8" s="98">
        <v>13.7872377263375</v>
      </c>
      <c r="J8" s="2" t="s">
        <v>13</v>
      </c>
      <c r="K8" s="98">
        <v>14.071999999999999</v>
      </c>
      <c r="L8" s="2" t="s">
        <v>13</v>
      </c>
      <c r="M8" s="98">
        <v>13.992023079134992</v>
      </c>
      <c r="N8" s="2" t="s">
        <v>13</v>
      </c>
      <c r="O8" s="98">
        <v>13.9559994858612</v>
      </c>
      <c r="P8" s="2" t="s">
        <v>23</v>
      </c>
      <c r="Q8" s="98">
        <v>14.0952941176471</v>
      </c>
    </row>
    <row r="9" spans="1:17" x14ac:dyDescent="0.25">
      <c r="A9" s="146">
        <v>5</v>
      </c>
      <c r="B9" s="98" t="s">
        <v>23</v>
      </c>
      <c r="C9" s="98">
        <v>13.73822</v>
      </c>
      <c r="D9" s="2" t="s">
        <v>23</v>
      </c>
      <c r="E9" s="98">
        <v>13.73830136006131</v>
      </c>
      <c r="F9" s="2" t="s">
        <v>23</v>
      </c>
      <c r="G9" s="98">
        <v>1.6315069255096699</v>
      </c>
      <c r="H9" s="2" t="s">
        <v>13</v>
      </c>
      <c r="I9" s="98">
        <v>1.8150122027513</v>
      </c>
      <c r="J9" s="2" t="s">
        <v>23</v>
      </c>
      <c r="K9" s="98">
        <v>13.973000000000001</v>
      </c>
      <c r="L9" s="2" t="s">
        <v>23</v>
      </c>
      <c r="M9" s="98">
        <v>13.958000881704628</v>
      </c>
      <c r="N9" s="2" t="s">
        <v>23</v>
      </c>
      <c r="O9" s="98">
        <v>1.2438364633611201</v>
      </c>
      <c r="P9" s="2" t="s">
        <v>13</v>
      </c>
      <c r="Q9" s="98">
        <v>1.49470588235294</v>
      </c>
    </row>
    <row r="10" spans="1:17" x14ac:dyDescent="0.25">
      <c r="A10" s="146">
        <v>7</v>
      </c>
      <c r="B10" s="98" t="s">
        <v>17</v>
      </c>
      <c r="C10" s="98">
        <v>13.569699999999999</v>
      </c>
      <c r="D10" s="2" t="s">
        <v>17</v>
      </c>
      <c r="E10" s="98">
        <v>13.575144343599652</v>
      </c>
      <c r="F10" s="2" t="s">
        <v>17</v>
      </c>
      <c r="G10" s="98">
        <v>13.808246763142099</v>
      </c>
      <c r="H10" s="2" t="s">
        <v>17</v>
      </c>
      <c r="I10" s="98">
        <v>13.725170587588099</v>
      </c>
      <c r="J10" s="2" t="s">
        <v>17</v>
      </c>
      <c r="K10" s="98">
        <v>13.585000000000001</v>
      </c>
      <c r="L10" s="2" t="s">
        <v>17</v>
      </c>
      <c r="M10" s="98">
        <v>13.5933709892454</v>
      </c>
      <c r="N10" s="2" t="s">
        <v>17</v>
      </c>
      <c r="O10" s="98">
        <v>13.9964996489688</v>
      </c>
      <c r="P10" s="2" t="s">
        <v>17</v>
      </c>
      <c r="Q10" s="98">
        <v>13.8564950601119</v>
      </c>
    </row>
    <row r="11" spans="1:17" x14ac:dyDescent="0.25">
      <c r="A11" s="146">
        <v>9</v>
      </c>
      <c r="B11" s="98" t="s">
        <v>19</v>
      </c>
      <c r="C11" s="98">
        <v>10.799810000000001</v>
      </c>
      <c r="D11" s="2" t="s">
        <v>19</v>
      </c>
      <c r="E11" s="98">
        <v>10.798427214863018</v>
      </c>
      <c r="F11" s="2" t="s">
        <v>19</v>
      </c>
      <c r="G11" s="98">
        <v>13.585083776408601</v>
      </c>
      <c r="H11" s="2" t="s">
        <v>19</v>
      </c>
      <c r="I11" s="98">
        <v>13.5423110971609</v>
      </c>
      <c r="J11" s="2" t="s">
        <v>19</v>
      </c>
      <c r="K11" s="98">
        <v>10.714000000000002</v>
      </c>
      <c r="L11" s="2" t="s">
        <v>19</v>
      </c>
      <c r="M11" s="98">
        <v>10.709903448275863</v>
      </c>
      <c r="N11" s="2" t="s">
        <v>19</v>
      </c>
      <c r="O11" s="98">
        <v>13.5944447300771</v>
      </c>
      <c r="P11" s="2" t="s">
        <v>19</v>
      </c>
      <c r="Q11" s="98">
        <v>13.5124550430023</v>
      </c>
    </row>
    <row r="12" spans="1:17" x14ac:dyDescent="0.25">
      <c r="A12" s="146">
        <v>8</v>
      </c>
      <c r="B12" s="98" t="s">
        <v>18</v>
      </c>
      <c r="C12" s="98">
        <v>8.6392199999999999</v>
      </c>
      <c r="D12" s="2" t="s">
        <v>18</v>
      </c>
      <c r="E12" s="98">
        <v>8.6373106051369817</v>
      </c>
      <c r="F12" s="2" t="s">
        <v>18</v>
      </c>
      <c r="G12" s="98">
        <v>10.7977833069209</v>
      </c>
      <c r="H12" s="2" t="s">
        <v>18</v>
      </c>
      <c r="I12" s="98">
        <v>10.803462204256601</v>
      </c>
      <c r="J12" s="2" t="s">
        <v>18</v>
      </c>
      <c r="K12" s="98">
        <v>8.6129999999999995</v>
      </c>
      <c r="L12" s="2" t="s">
        <v>18</v>
      </c>
      <c r="M12" s="98">
        <v>8.6011199999999999</v>
      </c>
      <c r="N12" s="2" t="s">
        <v>18</v>
      </c>
      <c r="O12" s="98">
        <v>10.7097352711012</v>
      </c>
      <c r="P12" s="2" t="s">
        <v>18</v>
      </c>
      <c r="Q12" s="98">
        <v>10.741176470588201</v>
      </c>
    </row>
    <row r="13" spans="1:17" x14ac:dyDescent="0.25">
      <c r="A13" s="146">
        <v>10</v>
      </c>
      <c r="B13" s="98" t="s">
        <v>14</v>
      </c>
      <c r="C13" s="98">
        <v>6.1486699999999992</v>
      </c>
      <c r="D13" s="2" t="s">
        <v>14</v>
      </c>
      <c r="E13" s="98">
        <v>6.1377451040721258</v>
      </c>
      <c r="F13" s="2" t="s">
        <v>14</v>
      </c>
      <c r="G13" s="98">
        <v>8.62095048778591</v>
      </c>
      <c r="H13" s="2" t="s">
        <v>14</v>
      </c>
      <c r="I13" s="98">
        <v>8.6858902846318795</v>
      </c>
      <c r="J13" s="2" t="s">
        <v>14</v>
      </c>
      <c r="K13" s="98">
        <v>5.9125000000000005</v>
      </c>
      <c r="L13" s="2" t="s">
        <v>14</v>
      </c>
      <c r="M13" s="98">
        <v>5.9128631815907955</v>
      </c>
      <c r="N13" s="2" t="s">
        <v>14</v>
      </c>
      <c r="O13" s="98">
        <v>8.5959994858611797</v>
      </c>
      <c r="P13" s="2" t="s">
        <v>14</v>
      </c>
      <c r="Q13" s="98">
        <v>8.7352941176470598</v>
      </c>
    </row>
    <row r="14" spans="1:17" x14ac:dyDescent="0.25">
      <c r="A14" s="146">
        <v>4</v>
      </c>
      <c r="B14" s="98" t="s">
        <v>22</v>
      </c>
      <c r="C14" s="98">
        <v>1.6589499999999999</v>
      </c>
      <c r="D14" s="2" t="s">
        <v>22</v>
      </c>
      <c r="E14" s="98">
        <v>1.7433154082038367</v>
      </c>
      <c r="F14" s="2" t="s">
        <v>22</v>
      </c>
      <c r="G14" s="98">
        <v>6.1739787631421503</v>
      </c>
      <c r="H14" s="2" t="s">
        <v>22</v>
      </c>
      <c r="I14" s="98">
        <v>6.0741991962845896</v>
      </c>
      <c r="J14" s="2" t="s">
        <v>22</v>
      </c>
      <c r="K14" s="98">
        <v>1.2705000000000002</v>
      </c>
      <c r="L14" s="2" t="s">
        <v>22</v>
      </c>
      <c r="M14" s="98">
        <v>1.5972000000000002</v>
      </c>
      <c r="N14" s="2" t="s">
        <v>22</v>
      </c>
      <c r="O14" s="98">
        <v>5.9326996489688497</v>
      </c>
      <c r="P14" s="2" t="s">
        <v>22</v>
      </c>
      <c r="Q14" s="98">
        <v>5.7357564544375998</v>
      </c>
    </row>
  </sheetData>
  <sortState xmlns:xlrd2="http://schemas.microsoft.com/office/spreadsheetml/2017/richdata2" ref="A5:Q14">
    <sortCondition descending="1" ref="C5:C14"/>
  </sortState>
  <mergeCells count="11">
    <mergeCell ref="P4:Q4"/>
    <mergeCell ref="A3:A4"/>
    <mergeCell ref="J3:Q3"/>
    <mergeCell ref="J4:K4"/>
    <mergeCell ref="L4:M4"/>
    <mergeCell ref="N4:O4"/>
    <mergeCell ref="B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9D802-3FD2-4638-A417-C55BDDE3D27D}">
  <dimension ref="A1:K13"/>
  <sheetViews>
    <sheetView workbookViewId="0">
      <selection activeCell="A3" sqref="A3:K13"/>
    </sheetView>
  </sheetViews>
  <sheetFormatPr defaultRowHeight="15" x14ac:dyDescent="0.25"/>
  <cols>
    <col min="1" max="1" width="10" customWidth="1"/>
    <col min="2" max="11" width="12" customWidth="1"/>
  </cols>
  <sheetData>
    <row r="1" spans="1:11" ht="20.100000000000001" customHeight="1" x14ac:dyDescent="0.25">
      <c r="A1" s="1" t="s">
        <v>222</v>
      </c>
    </row>
    <row r="3" spans="1:11" x14ac:dyDescent="0.25">
      <c r="A3" s="174" t="s">
        <v>223</v>
      </c>
      <c r="B3" s="174" t="s">
        <v>24</v>
      </c>
      <c r="C3" s="174" t="s">
        <v>13</v>
      </c>
      <c r="D3" s="174" t="s">
        <v>14</v>
      </c>
      <c r="E3" s="174" t="s">
        <v>15</v>
      </c>
      <c r="F3" s="174" t="s">
        <v>17</v>
      </c>
      <c r="G3" s="174" t="s">
        <v>18</v>
      </c>
      <c r="H3" s="174" t="s">
        <v>19</v>
      </c>
      <c r="I3" s="174" t="s">
        <v>20</v>
      </c>
      <c r="J3" s="174" t="s">
        <v>22</v>
      </c>
      <c r="K3" s="174" t="s">
        <v>23</v>
      </c>
    </row>
    <row r="4" spans="1:11" x14ac:dyDescent="0.25">
      <c r="A4" s="174" t="s">
        <v>24</v>
      </c>
      <c r="B4" s="175">
        <v>1</v>
      </c>
      <c r="C4" s="175">
        <v>0</v>
      </c>
      <c r="D4" s="175">
        <v>0</v>
      </c>
      <c r="E4" s="175">
        <v>1</v>
      </c>
      <c r="F4" s="175">
        <v>0</v>
      </c>
      <c r="G4" s="175">
        <v>0</v>
      </c>
      <c r="H4" s="175">
        <v>0</v>
      </c>
      <c r="I4" s="175">
        <v>0</v>
      </c>
      <c r="J4" s="175">
        <v>0</v>
      </c>
      <c r="K4" s="175">
        <v>0</v>
      </c>
    </row>
    <row r="5" spans="1:11" x14ac:dyDescent="0.25">
      <c r="A5" s="174" t="s">
        <v>13</v>
      </c>
      <c r="B5" s="175">
        <v>0</v>
      </c>
      <c r="C5" s="175">
        <v>1</v>
      </c>
      <c r="D5" s="175">
        <v>0</v>
      </c>
      <c r="E5" s="175">
        <v>0</v>
      </c>
      <c r="F5" s="175">
        <v>0</v>
      </c>
      <c r="G5" s="175">
        <v>0</v>
      </c>
      <c r="H5" s="175">
        <v>0</v>
      </c>
      <c r="I5" s="175">
        <v>0</v>
      </c>
      <c r="J5" s="175">
        <v>0</v>
      </c>
      <c r="K5" s="175">
        <v>0</v>
      </c>
    </row>
    <row r="6" spans="1:11" x14ac:dyDescent="0.25">
      <c r="A6" s="174" t="s">
        <v>14</v>
      </c>
      <c r="B6" s="175">
        <v>0</v>
      </c>
      <c r="C6" s="175">
        <v>0</v>
      </c>
      <c r="D6" s="175">
        <v>1</v>
      </c>
      <c r="E6" s="175">
        <v>0</v>
      </c>
      <c r="F6" s="175">
        <v>0</v>
      </c>
      <c r="G6" s="175">
        <v>0</v>
      </c>
      <c r="H6" s="175">
        <v>0</v>
      </c>
      <c r="I6" s="175">
        <v>0</v>
      </c>
      <c r="J6" s="175">
        <v>0</v>
      </c>
      <c r="K6" s="175">
        <v>0</v>
      </c>
    </row>
    <row r="7" spans="1:11" x14ac:dyDescent="0.25">
      <c r="A7" s="174" t="s">
        <v>15</v>
      </c>
      <c r="B7" s="175">
        <v>1</v>
      </c>
      <c r="C7" s="175">
        <v>0</v>
      </c>
      <c r="D7" s="175">
        <v>0</v>
      </c>
      <c r="E7" s="175">
        <v>1</v>
      </c>
      <c r="F7" s="175">
        <v>0</v>
      </c>
      <c r="G7" s="175">
        <v>0</v>
      </c>
      <c r="H7" s="175">
        <v>0</v>
      </c>
      <c r="I7" s="175">
        <v>0</v>
      </c>
      <c r="J7" s="175">
        <v>0</v>
      </c>
      <c r="K7" s="175">
        <v>0</v>
      </c>
    </row>
    <row r="8" spans="1:11" x14ac:dyDescent="0.25">
      <c r="A8" s="174" t="s">
        <v>17</v>
      </c>
      <c r="B8" s="175">
        <v>0</v>
      </c>
      <c r="C8" s="175">
        <v>0</v>
      </c>
      <c r="D8" s="175">
        <v>0</v>
      </c>
      <c r="E8" s="175">
        <v>0</v>
      </c>
      <c r="F8" s="175">
        <v>1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</row>
    <row r="9" spans="1:11" x14ac:dyDescent="0.25">
      <c r="A9" s="174" t="s">
        <v>18</v>
      </c>
      <c r="B9" s="175">
        <v>0</v>
      </c>
      <c r="C9" s="175">
        <v>0</v>
      </c>
      <c r="D9" s="175">
        <v>0</v>
      </c>
      <c r="E9" s="175">
        <v>0</v>
      </c>
      <c r="F9" s="175">
        <v>0</v>
      </c>
      <c r="G9" s="175">
        <v>1</v>
      </c>
      <c r="H9" s="175">
        <v>1</v>
      </c>
      <c r="I9" s="175">
        <v>0</v>
      </c>
      <c r="J9" s="175">
        <v>0</v>
      </c>
      <c r="K9" s="175">
        <v>0</v>
      </c>
    </row>
    <row r="10" spans="1:11" x14ac:dyDescent="0.25">
      <c r="A10" s="174" t="s">
        <v>19</v>
      </c>
      <c r="B10" s="175">
        <v>0</v>
      </c>
      <c r="C10" s="175">
        <v>0</v>
      </c>
      <c r="D10" s="175">
        <v>0</v>
      </c>
      <c r="E10" s="175">
        <v>0</v>
      </c>
      <c r="F10" s="175">
        <v>0</v>
      </c>
      <c r="G10" s="175">
        <v>1</v>
      </c>
      <c r="H10" s="175">
        <v>1</v>
      </c>
      <c r="I10" s="175">
        <v>0</v>
      </c>
      <c r="J10" s="175">
        <v>0</v>
      </c>
      <c r="K10" s="175">
        <v>0</v>
      </c>
    </row>
    <row r="11" spans="1:11" x14ac:dyDescent="0.25">
      <c r="A11" s="174" t="s">
        <v>20</v>
      </c>
      <c r="B11" s="175">
        <v>0</v>
      </c>
      <c r="C11" s="175">
        <v>0</v>
      </c>
      <c r="D11" s="175">
        <v>0</v>
      </c>
      <c r="E11" s="175">
        <v>0</v>
      </c>
      <c r="F11" s="175">
        <v>0</v>
      </c>
      <c r="G11" s="175">
        <v>0</v>
      </c>
      <c r="H11" s="175">
        <v>0</v>
      </c>
      <c r="I11" s="175">
        <v>1</v>
      </c>
      <c r="J11" s="175">
        <v>1</v>
      </c>
      <c r="K11" s="175">
        <v>1</v>
      </c>
    </row>
    <row r="12" spans="1:11" x14ac:dyDescent="0.25">
      <c r="A12" s="174" t="s">
        <v>22</v>
      </c>
      <c r="B12" s="175">
        <v>0</v>
      </c>
      <c r="C12" s="175">
        <v>0</v>
      </c>
      <c r="D12" s="175">
        <v>0</v>
      </c>
      <c r="E12" s="175">
        <v>0</v>
      </c>
      <c r="F12" s="175">
        <v>0</v>
      </c>
      <c r="G12" s="175">
        <v>0</v>
      </c>
      <c r="H12" s="175">
        <v>0</v>
      </c>
      <c r="I12" s="175">
        <v>1</v>
      </c>
      <c r="J12" s="175">
        <v>1</v>
      </c>
      <c r="K12" s="175">
        <v>1</v>
      </c>
    </row>
    <row r="13" spans="1:11" x14ac:dyDescent="0.25">
      <c r="A13" s="174" t="s">
        <v>23</v>
      </c>
      <c r="B13" s="175">
        <v>0</v>
      </c>
      <c r="C13" s="175">
        <v>0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  <c r="I13" s="175">
        <v>1</v>
      </c>
      <c r="J13" s="175">
        <v>1</v>
      </c>
      <c r="K13" s="17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V214"/>
  <sheetViews>
    <sheetView topLeftCell="A160" zoomScale="80" zoomScaleNormal="80" workbookViewId="0">
      <selection activeCell="J209" sqref="J209"/>
    </sheetView>
  </sheetViews>
  <sheetFormatPr defaultRowHeight="15" x14ac:dyDescent="0.25"/>
  <cols>
    <col min="1" max="1" width="33.5703125" customWidth="1"/>
    <col min="2" max="2" width="41.7109375" customWidth="1"/>
    <col min="3" max="3" width="40.42578125" customWidth="1"/>
    <col min="4" max="4" width="16.140625" customWidth="1"/>
    <col min="5" max="5" width="13.85546875" customWidth="1"/>
    <col min="6" max="6" width="15.28515625" customWidth="1"/>
    <col min="7" max="9" width="9.5703125" customWidth="1"/>
    <col min="10" max="10" width="17.85546875" customWidth="1"/>
    <col min="11" max="39" width="9.5703125" customWidth="1"/>
    <col min="40" max="40" width="11.5703125" customWidth="1"/>
    <col min="41" max="41" width="22.140625" customWidth="1"/>
    <col min="42" max="53" width="9.5703125" customWidth="1"/>
    <col min="54" max="70" width="9.140625" customWidth="1"/>
    <col min="71" max="71" width="11" customWidth="1"/>
    <col min="72" max="72" width="10.140625" customWidth="1"/>
    <col min="73" max="73" width="15.5703125" customWidth="1"/>
    <col min="74" max="74" width="23.7109375" customWidth="1"/>
    <col min="75" max="81" width="9.140625" customWidth="1"/>
  </cols>
  <sheetData>
    <row r="1" spans="1:74" ht="18.75" x14ac:dyDescent="0.3">
      <c r="A1" s="148" t="s">
        <v>191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35</v>
      </c>
      <c r="B4" s="37" t="s">
        <v>36</v>
      </c>
      <c r="C4" s="34"/>
    </row>
    <row r="5" spans="1:74" ht="30" customHeight="1" x14ac:dyDescent="0.25">
      <c r="A5" s="468" t="s">
        <v>173</v>
      </c>
      <c r="B5" s="469"/>
      <c r="C5" s="469"/>
      <c r="D5" s="462"/>
      <c r="E5" s="462"/>
    </row>
    <row r="6" spans="1:74" ht="15.75" x14ac:dyDescent="0.25">
      <c r="A6" s="65"/>
      <c r="B6" s="35"/>
      <c r="C6" s="35"/>
    </row>
    <row r="7" spans="1:74" ht="15.75" x14ac:dyDescent="0.25">
      <c r="A7" s="65"/>
      <c r="B7" s="35"/>
      <c r="C7" s="35"/>
    </row>
    <row r="8" spans="1:74" ht="18.75" x14ac:dyDescent="0.3">
      <c r="A8" s="68" t="s">
        <v>84</v>
      </c>
      <c r="B8" s="35"/>
      <c r="C8" s="35"/>
    </row>
    <row r="9" spans="1:74" x14ac:dyDescent="0.25">
      <c r="A9" s="1" t="s">
        <v>47</v>
      </c>
      <c r="B9" s="35"/>
      <c r="C9" s="35"/>
    </row>
    <row r="10" spans="1:74" ht="15.75" thickBot="1" x14ac:dyDescent="0.3">
      <c r="A10" s="36" t="s">
        <v>87</v>
      </c>
      <c r="B10" s="35"/>
      <c r="C10" s="35"/>
      <c r="BO10">
        <v>0.6</v>
      </c>
      <c r="BS10">
        <v>0.8</v>
      </c>
    </row>
    <row r="11" spans="1:74" ht="86.25" customHeight="1" thickBot="1" x14ac:dyDescent="0.3">
      <c r="A11" s="464" t="s">
        <v>25</v>
      </c>
      <c r="B11" s="455" t="s">
        <v>285</v>
      </c>
      <c r="C11" s="444" t="s">
        <v>26</v>
      </c>
      <c r="D11" s="464" t="s">
        <v>55</v>
      </c>
      <c r="E11" s="455"/>
      <c r="F11" s="444"/>
      <c r="G11" s="454" t="s">
        <v>56</v>
      </c>
      <c r="H11" s="455"/>
      <c r="I11" s="455"/>
      <c r="J11" s="444" t="s">
        <v>81</v>
      </c>
      <c r="K11" s="435" t="s">
        <v>78</v>
      </c>
      <c r="L11" s="436"/>
      <c r="M11" s="436"/>
      <c r="N11" s="436"/>
      <c r="O11" s="436"/>
      <c r="P11" s="436"/>
      <c r="Q11" s="436"/>
      <c r="R11" s="437"/>
      <c r="S11" s="435" t="s">
        <v>76</v>
      </c>
      <c r="T11" s="436"/>
      <c r="U11" s="436"/>
      <c r="V11" s="436"/>
      <c r="W11" s="436"/>
      <c r="X11" s="436"/>
      <c r="Y11" s="436"/>
      <c r="Z11" s="437"/>
      <c r="AA11" s="435" t="s">
        <v>77</v>
      </c>
      <c r="AB11" s="436"/>
      <c r="AC11" s="436"/>
      <c r="AD11" s="436"/>
      <c r="AE11" s="436"/>
      <c r="AF11" s="436"/>
      <c r="AG11" s="436"/>
      <c r="AH11" s="437"/>
      <c r="AI11" s="435" t="s">
        <v>75</v>
      </c>
      <c r="AJ11" s="436"/>
      <c r="AK11" s="436"/>
      <c r="AL11" s="436"/>
      <c r="AM11" s="436"/>
      <c r="AN11" s="436"/>
      <c r="AO11" s="436"/>
      <c r="AP11" s="437"/>
      <c r="AQ11" s="435" t="s">
        <v>82</v>
      </c>
      <c r="AR11" s="436"/>
      <c r="AS11" s="436"/>
      <c r="AT11" s="436"/>
      <c r="AU11" s="436"/>
      <c r="AV11" s="436"/>
      <c r="AW11" s="436"/>
      <c r="AX11" s="437"/>
      <c r="AY11" s="435" t="s">
        <v>83</v>
      </c>
      <c r="AZ11" s="436"/>
      <c r="BA11" s="436"/>
      <c r="BB11" s="436"/>
      <c r="BC11" s="436"/>
      <c r="BD11" s="436"/>
      <c r="BE11" s="436"/>
      <c r="BF11" s="437"/>
      <c r="BG11" s="438" t="s">
        <v>119</v>
      </c>
      <c r="BH11" s="439"/>
      <c r="BI11" s="439"/>
      <c r="BJ11" s="439"/>
      <c r="BK11" s="439"/>
      <c r="BL11" s="439"/>
      <c r="BM11" s="439"/>
      <c r="BN11" s="440"/>
      <c r="BO11" s="427" t="s">
        <v>264</v>
      </c>
      <c r="BP11" s="428"/>
      <c r="BQ11" s="428"/>
      <c r="BR11" s="429"/>
      <c r="BS11" s="433" t="s">
        <v>79</v>
      </c>
      <c r="BT11" s="434"/>
      <c r="BU11" s="425" t="s">
        <v>80</v>
      </c>
      <c r="BV11" s="425" t="s">
        <v>265</v>
      </c>
    </row>
    <row r="12" spans="1:74" s="33" customFormat="1" ht="23.25" customHeight="1" thickBot="1" x14ac:dyDescent="0.3">
      <c r="A12" s="465"/>
      <c r="B12" s="466"/>
      <c r="C12" s="445"/>
      <c r="D12" s="240" t="s">
        <v>48</v>
      </c>
      <c r="E12" s="218" t="s">
        <v>49</v>
      </c>
      <c r="F12" s="241" t="s">
        <v>50</v>
      </c>
      <c r="G12" s="257" t="s">
        <v>48</v>
      </c>
      <c r="H12" s="218" t="s">
        <v>49</v>
      </c>
      <c r="I12" s="218" t="s">
        <v>50</v>
      </c>
      <c r="J12" s="445"/>
      <c r="K12" s="446" t="s">
        <v>3</v>
      </c>
      <c r="L12" s="447"/>
      <c r="M12" s="447"/>
      <c r="N12" s="448"/>
      <c r="O12" s="446" t="s">
        <v>4</v>
      </c>
      <c r="P12" s="447"/>
      <c r="Q12" s="447"/>
      <c r="R12" s="448"/>
      <c r="S12" s="446" t="s">
        <v>3</v>
      </c>
      <c r="T12" s="447"/>
      <c r="U12" s="447"/>
      <c r="V12" s="448"/>
      <c r="W12" s="446" t="s">
        <v>4</v>
      </c>
      <c r="X12" s="447"/>
      <c r="Y12" s="447"/>
      <c r="Z12" s="448"/>
      <c r="AA12" s="446" t="s">
        <v>3</v>
      </c>
      <c r="AB12" s="447"/>
      <c r="AC12" s="447"/>
      <c r="AD12" s="448"/>
      <c r="AE12" s="446" t="s">
        <v>4</v>
      </c>
      <c r="AF12" s="447"/>
      <c r="AG12" s="447"/>
      <c r="AH12" s="448"/>
      <c r="AI12" s="435" t="s">
        <v>3</v>
      </c>
      <c r="AJ12" s="436"/>
      <c r="AK12" s="436"/>
      <c r="AL12" s="437"/>
      <c r="AM12" s="435" t="s">
        <v>4</v>
      </c>
      <c r="AN12" s="436"/>
      <c r="AO12" s="436"/>
      <c r="AP12" s="437"/>
      <c r="AQ12" s="435" t="s">
        <v>3</v>
      </c>
      <c r="AR12" s="436"/>
      <c r="AS12" s="436"/>
      <c r="AT12" s="437"/>
      <c r="AU12" s="435" t="s">
        <v>4</v>
      </c>
      <c r="AV12" s="436"/>
      <c r="AW12" s="436"/>
      <c r="AX12" s="437"/>
      <c r="AY12" s="435" t="s">
        <v>3</v>
      </c>
      <c r="AZ12" s="436"/>
      <c r="BA12" s="436"/>
      <c r="BB12" s="437"/>
      <c r="BC12" s="435" t="s">
        <v>4</v>
      </c>
      <c r="BD12" s="436"/>
      <c r="BE12" s="436"/>
      <c r="BF12" s="437"/>
      <c r="BG12" s="435" t="s">
        <v>3</v>
      </c>
      <c r="BH12" s="436"/>
      <c r="BI12" s="436"/>
      <c r="BJ12" s="437"/>
      <c r="BK12" s="435" t="s">
        <v>4</v>
      </c>
      <c r="BL12" s="436"/>
      <c r="BM12" s="436"/>
      <c r="BN12" s="437"/>
      <c r="BO12" s="430"/>
      <c r="BP12" s="431"/>
      <c r="BQ12" s="431"/>
      <c r="BR12" s="432"/>
      <c r="BS12" s="430"/>
      <c r="BT12" s="432"/>
      <c r="BU12" s="426"/>
      <c r="BV12" s="426"/>
    </row>
    <row r="13" spans="1:74" ht="30" x14ac:dyDescent="0.25">
      <c r="A13" s="235" t="s">
        <v>0</v>
      </c>
      <c r="B13" s="236" t="s">
        <v>24</v>
      </c>
      <c r="C13" s="237" t="s">
        <v>12</v>
      </c>
      <c r="D13" s="238" t="s">
        <v>42</v>
      </c>
      <c r="E13" s="239" t="s">
        <v>42</v>
      </c>
      <c r="F13" s="250" t="s">
        <v>42</v>
      </c>
      <c r="G13" s="292">
        <f>IF(D13=$A$26,$B$26,(IF(D13=$A$27,$B$27,IF(D13=$A$28,$B$28,$B$29))))</f>
        <v>1</v>
      </c>
      <c r="H13" s="289">
        <f t="shared" ref="G13:I22" si="0">IF(E13=$A$26,$B$26,(IF(E13=$A$27,$B$27,IF(E13=$A$28,$B$28,$B$29))))</f>
        <v>1</v>
      </c>
      <c r="I13" s="289">
        <f t="shared" si="0"/>
        <v>1</v>
      </c>
      <c r="J13" s="102">
        <f>G13*$D$40+H13*$D$41+I13*$D$42</f>
        <v>24</v>
      </c>
      <c r="K13" s="110">
        <v>0.77</v>
      </c>
      <c r="L13" s="234">
        <v>1</v>
      </c>
      <c r="M13" s="234">
        <v>1</v>
      </c>
      <c r="N13" s="140">
        <v>1</v>
      </c>
      <c r="O13" s="234">
        <v>0.8</v>
      </c>
      <c r="P13" s="234">
        <v>1</v>
      </c>
      <c r="Q13" s="234">
        <v>1</v>
      </c>
      <c r="R13" s="234">
        <v>1</v>
      </c>
      <c r="S13" s="110">
        <v>0.77</v>
      </c>
      <c r="T13" s="234">
        <v>1</v>
      </c>
      <c r="U13" s="234">
        <v>1</v>
      </c>
      <c r="V13" s="234">
        <v>1</v>
      </c>
      <c r="W13" s="110">
        <v>0.8</v>
      </c>
      <c r="X13" s="234">
        <v>1</v>
      </c>
      <c r="Y13" s="234">
        <v>1</v>
      </c>
      <c r="Z13" s="140">
        <v>1</v>
      </c>
      <c r="AA13" s="110">
        <v>0.77</v>
      </c>
      <c r="AB13" s="234">
        <v>1</v>
      </c>
      <c r="AC13" s="234">
        <v>1</v>
      </c>
      <c r="AD13" s="140">
        <v>1</v>
      </c>
      <c r="AE13" s="110">
        <v>0.8</v>
      </c>
      <c r="AF13" s="234">
        <v>1</v>
      </c>
      <c r="AG13" s="234">
        <v>1</v>
      </c>
      <c r="AH13" s="140">
        <v>1</v>
      </c>
      <c r="AI13" s="110">
        <v>4.2750000000000004</v>
      </c>
      <c r="AJ13" s="234">
        <v>7.5</v>
      </c>
      <c r="AK13" s="234">
        <v>8.5</v>
      </c>
      <c r="AL13" s="234">
        <v>8.5</v>
      </c>
      <c r="AM13" s="110">
        <v>5</v>
      </c>
      <c r="AN13" s="234">
        <v>7.5</v>
      </c>
      <c r="AO13" s="234">
        <v>8.5</v>
      </c>
      <c r="AP13" s="140">
        <v>8.5</v>
      </c>
      <c r="AQ13" s="110">
        <v>4.2750000000000004</v>
      </c>
      <c r="AR13" s="234">
        <v>7.5</v>
      </c>
      <c r="AS13" s="234">
        <v>8.5</v>
      </c>
      <c r="AT13" s="234">
        <v>8.5</v>
      </c>
      <c r="AU13" s="110">
        <v>5</v>
      </c>
      <c r="AV13" s="234">
        <v>7.5</v>
      </c>
      <c r="AW13" s="234">
        <v>8.5</v>
      </c>
      <c r="AX13" s="140">
        <v>8.5</v>
      </c>
      <c r="AY13" s="110">
        <v>4.2750000000000004</v>
      </c>
      <c r="AZ13" s="234">
        <v>7.5</v>
      </c>
      <c r="BA13" s="234">
        <v>8.5</v>
      </c>
      <c r="BB13" s="234">
        <v>8.5</v>
      </c>
      <c r="BC13" s="110">
        <v>5</v>
      </c>
      <c r="BD13" s="234">
        <v>7.5</v>
      </c>
      <c r="BE13" s="234">
        <v>8.5</v>
      </c>
      <c r="BF13" s="140">
        <v>8.5</v>
      </c>
      <c r="BG13" s="110">
        <f>AI13+AQ13+AY13</f>
        <v>12.825000000000001</v>
      </c>
      <c r="BH13" s="234">
        <f t="shared" ref="BH13:BN22" si="1">AJ13+AR13+AZ13</f>
        <v>22.5</v>
      </c>
      <c r="BI13" s="234">
        <f t="shared" si="1"/>
        <v>25.5</v>
      </c>
      <c r="BJ13" s="234">
        <f t="shared" si="1"/>
        <v>25.5</v>
      </c>
      <c r="BK13" s="110">
        <f t="shared" si="1"/>
        <v>15</v>
      </c>
      <c r="BL13" s="234">
        <f t="shared" si="1"/>
        <v>22.5</v>
      </c>
      <c r="BM13" s="234">
        <f t="shared" si="1"/>
        <v>25.5</v>
      </c>
      <c r="BN13" s="234">
        <f t="shared" si="1"/>
        <v>25.5</v>
      </c>
      <c r="BO13" s="110">
        <f>(1-$BO$10)*BG13+$BO$10*BK13</f>
        <v>14.13</v>
      </c>
      <c r="BP13" s="234">
        <f t="shared" ref="BP13:BR13" si="2">(1-$BO$10)*BH13+$BO$10*BL13</f>
        <v>22.5</v>
      </c>
      <c r="BQ13" s="234">
        <f t="shared" si="2"/>
        <v>25.5</v>
      </c>
      <c r="BR13" s="234">
        <f t="shared" si="2"/>
        <v>25.5</v>
      </c>
      <c r="BS13" s="110">
        <f t="shared" ref="BS13:BS22" si="3">$BS$10*BP13+(1-$BS$10)*BO13</f>
        <v>20.826000000000001</v>
      </c>
      <c r="BT13" s="140">
        <f t="shared" ref="BT13:BT22" si="4">$BS$10*BQ13+(1-$BS$10)*BR13</f>
        <v>25.5</v>
      </c>
      <c r="BU13" s="140">
        <f>(BS13+BT13)/2</f>
        <v>23.163</v>
      </c>
      <c r="BV13" s="140">
        <f>BU13</f>
        <v>23.163</v>
      </c>
    </row>
    <row r="14" spans="1:74" x14ac:dyDescent="0.25">
      <c r="A14" s="226" t="s">
        <v>1</v>
      </c>
      <c r="B14" s="222" t="s">
        <v>13</v>
      </c>
      <c r="C14" s="227" t="s">
        <v>27</v>
      </c>
      <c r="D14" s="72" t="s">
        <v>45</v>
      </c>
      <c r="E14" s="73" t="s">
        <v>43</v>
      </c>
      <c r="F14" s="251" t="s">
        <v>42</v>
      </c>
      <c r="G14" s="293">
        <f t="shared" si="0"/>
        <v>0</v>
      </c>
      <c r="H14" s="290">
        <f t="shared" si="0"/>
        <v>0.66</v>
      </c>
      <c r="I14" s="290">
        <f t="shared" si="0"/>
        <v>1</v>
      </c>
      <c r="J14" s="105">
        <f t="shared" ref="J14:J22" si="5">G14*$D$40+H14*$D$41+I14*$D$42</f>
        <v>13.280000000000001</v>
      </c>
      <c r="K14" s="111">
        <v>0</v>
      </c>
      <c r="L14" s="97">
        <v>0</v>
      </c>
      <c r="M14" s="97">
        <v>0</v>
      </c>
      <c r="N14" s="142">
        <v>0.22</v>
      </c>
      <c r="O14" s="97">
        <v>0</v>
      </c>
      <c r="P14" s="97">
        <v>0</v>
      </c>
      <c r="Q14" s="97">
        <v>0</v>
      </c>
      <c r="R14" s="97">
        <v>0.15</v>
      </c>
      <c r="S14" s="111">
        <v>0.44000000000000006</v>
      </c>
      <c r="T14" s="97">
        <v>0.55000000000000004</v>
      </c>
      <c r="U14" s="97">
        <v>0.77</v>
      </c>
      <c r="V14" s="97">
        <v>0.89</v>
      </c>
      <c r="W14" s="111">
        <v>0.47000000000000003</v>
      </c>
      <c r="X14" s="97">
        <v>0.55000000000000004</v>
      </c>
      <c r="Y14" s="97">
        <v>0.77</v>
      </c>
      <c r="Z14" s="142">
        <v>0.86</v>
      </c>
      <c r="AA14" s="111">
        <v>0.77</v>
      </c>
      <c r="AB14" s="97">
        <v>1</v>
      </c>
      <c r="AC14" s="97">
        <v>1</v>
      </c>
      <c r="AD14" s="142">
        <v>1</v>
      </c>
      <c r="AE14" s="111">
        <v>0.8</v>
      </c>
      <c r="AF14" s="97">
        <v>1</v>
      </c>
      <c r="AG14" s="97">
        <v>1</v>
      </c>
      <c r="AH14" s="142">
        <v>1</v>
      </c>
      <c r="AI14" s="111">
        <v>0</v>
      </c>
      <c r="AJ14" s="97">
        <v>0</v>
      </c>
      <c r="AK14" s="97">
        <v>0</v>
      </c>
      <c r="AL14" s="97">
        <v>1.87</v>
      </c>
      <c r="AM14" s="111">
        <v>0</v>
      </c>
      <c r="AN14" s="97">
        <v>0</v>
      </c>
      <c r="AO14" s="97">
        <v>0</v>
      </c>
      <c r="AP14" s="142">
        <v>1.2749999999999999</v>
      </c>
      <c r="AQ14" s="111">
        <v>2.4750000000000005</v>
      </c>
      <c r="AR14" s="97">
        <v>4.125</v>
      </c>
      <c r="AS14" s="97">
        <v>6.5449999999999999</v>
      </c>
      <c r="AT14" s="97">
        <v>7.5649999999999995</v>
      </c>
      <c r="AU14" s="111">
        <v>2.9750000000000005</v>
      </c>
      <c r="AV14" s="97">
        <v>4.125</v>
      </c>
      <c r="AW14" s="97">
        <v>6.5449999999999999</v>
      </c>
      <c r="AX14" s="142">
        <v>7.3100000000000005</v>
      </c>
      <c r="AY14" s="111">
        <v>4.2750000000000004</v>
      </c>
      <c r="AZ14" s="97">
        <v>7.5</v>
      </c>
      <c r="BA14" s="97">
        <v>8.5</v>
      </c>
      <c r="BB14" s="97">
        <v>8.5</v>
      </c>
      <c r="BC14" s="111">
        <v>5</v>
      </c>
      <c r="BD14" s="97">
        <v>7.5</v>
      </c>
      <c r="BE14" s="97">
        <v>8.5</v>
      </c>
      <c r="BF14" s="142">
        <v>8.5</v>
      </c>
      <c r="BG14" s="111">
        <f t="shared" ref="BG14:BG22" si="6">AI14+AQ14+AY14</f>
        <v>6.7500000000000009</v>
      </c>
      <c r="BH14" s="97">
        <f t="shared" si="1"/>
        <v>11.625</v>
      </c>
      <c r="BI14" s="97">
        <f t="shared" si="1"/>
        <v>15.045</v>
      </c>
      <c r="BJ14" s="97">
        <f t="shared" si="1"/>
        <v>17.934999999999999</v>
      </c>
      <c r="BK14" s="111">
        <f t="shared" si="1"/>
        <v>7.9750000000000005</v>
      </c>
      <c r="BL14" s="97">
        <f t="shared" si="1"/>
        <v>11.625</v>
      </c>
      <c r="BM14" s="97">
        <f t="shared" si="1"/>
        <v>15.045</v>
      </c>
      <c r="BN14" s="97">
        <f t="shared" si="1"/>
        <v>17.085000000000001</v>
      </c>
      <c r="BO14" s="111">
        <f t="shared" ref="BO14:BO22" si="7">(1-$BO$10)*BG14+$BO$10*BK14</f>
        <v>7.4850000000000012</v>
      </c>
      <c r="BP14" s="97">
        <f t="shared" ref="BP14:BP22" si="8">(1-$BO$10)*BH14+$BO$10*BL14</f>
        <v>11.625</v>
      </c>
      <c r="BQ14" s="97">
        <f t="shared" ref="BQ14:BQ22" si="9">(1-$BO$10)*BI14+$BO$10*BM14</f>
        <v>15.045</v>
      </c>
      <c r="BR14" s="97">
        <f t="shared" ref="BR14:BR22" si="10">(1-$BO$10)*BJ14+$BO$10*BN14</f>
        <v>17.424999999999997</v>
      </c>
      <c r="BS14" s="111">
        <f t="shared" si="3"/>
        <v>10.797000000000001</v>
      </c>
      <c r="BT14" s="142">
        <f t="shared" si="4"/>
        <v>15.521000000000001</v>
      </c>
      <c r="BU14" s="142">
        <f t="shared" ref="BU14:BU22" si="11">(BS14+BT14)/2</f>
        <v>13.159000000000001</v>
      </c>
      <c r="BV14" s="142">
        <f>BU14</f>
        <v>13.159000000000001</v>
      </c>
    </row>
    <row r="15" spans="1:74" x14ac:dyDescent="0.25">
      <c r="A15" s="226" t="s">
        <v>2</v>
      </c>
      <c r="B15" s="222" t="s">
        <v>14</v>
      </c>
      <c r="C15" s="227" t="s">
        <v>28</v>
      </c>
      <c r="D15" s="72" t="s">
        <v>43</v>
      </c>
      <c r="E15" s="73" t="s">
        <v>45</v>
      </c>
      <c r="F15" s="251" t="s">
        <v>45</v>
      </c>
      <c r="G15" s="293">
        <f t="shared" si="0"/>
        <v>0.66</v>
      </c>
      <c r="H15" s="290">
        <f t="shared" si="0"/>
        <v>0</v>
      </c>
      <c r="I15" s="290">
        <f t="shared" si="0"/>
        <v>0</v>
      </c>
      <c r="J15" s="105">
        <f t="shared" si="5"/>
        <v>5.28</v>
      </c>
      <c r="K15" s="111">
        <v>0.44000000000000006</v>
      </c>
      <c r="L15" s="97">
        <v>0.55000000000000004</v>
      </c>
      <c r="M15" s="97">
        <v>0.77</v>
      </c>
      <c r="N15" s="142">
        <v>0.89</v>
      </c>
      <c r="O15" s="97">
        <v>0.47000000000000003</v>
      </c>
      <c r="P15" s="97">
        <v>0.55000000000000004</v>
      </c>
      <c r="Q15" s="97">
        <v>0.77</v>
      </c>
      <c r="R15" s="97">
        <v>0.86</v>
      </c>
      <c r="S15" s="111">
        <v>0</v>
      </c>
      <c r="T15" s="97">
        <v>0</v>
      </c>
      <c r="U15" s="97">
        <v>0</v>
      </c>
      <c r="V15" s="97">
        <v>0.22</v>
      </c>
      <c r="W15" s="111">
        <v>0</v>
      </c>
      <c r="X15" s="97">
        <v>0</v>
      </c>
      <c r="Y15" s="97">
        <v>0</v>
      </c>
      <c r="Z15" s="142">
        <v>0.15</v>
      </c>
      <c r="AA15" s="111">
        <v>0</v>
      </c>
      <c r="AB15" s="97">
        <v>0</v>
      </c>
      <c r="AC15" s="97">
        <v>0</v>
      </c>
      <c r="AD15" s="142">
        <v>0.22</v>
      </c>
      <c r="AE15" s="111">
        <v>0</v>
      </c>
      <c r="AF15" s="97">
        <v>0</v>
      </c>
      <c r="AG15" s="97">
        <v>0</v>
      </c>
      <c r="AH15" s="142">
        <v>0.15</v>
      </c>
      <c r="AI15" s="111">
        <v>2.4750000000000005</v>
      </c>
      <c r="AJ15" s="97">
        <v>4.125</v>
      </c>
      <c r="AK15" s="97">
        <v>6.5449999999999999</v>
      </c>
      <c r="AL15" s="97">
        <v>7.5649999999999995</v>
      </c>
      <c r="AM15" s="111">
        <v>2.9750000000000005</v>
      </c>
      <c r="AN15" s="97">
        <v>4.125</v>
      </c>
      <c r="AO15" s="97">
        <v>6.5449999999999999</v>
      </c>
      <c r="AP15" s="142">
        <v>7.3100000000000005</v>
      </c>
      <c r="AQ15" s="111">
        <v>0</v>
      </c>
      <c r="AR15" s="97">
        <v>0</v>
      </c>
      <c r="AS15" s="97">
        <v>0</v>
      </c>
      <c r="AT15" s="97">
        <v>1.87</v>
      </c>
      <c r="AU15" s="111">
        <v>0</v>
      </c>
      <c r="AV15" s="97">
        <v>0</v>
      </c>
      <c r="AW15" s="97">
        <v>0</v>
      </c>
      <c r="AX15" s="142">
        <v>1.2749999999999999</v>
      </c>
      <c r="AY15" s="111">
        <v>0</v>
      </c>
      <c r="AZ15" s="97">
        <v>0</v>
      </c>
      <c r="BA15" s="97">
        <v>0</v>
      </c>
      <c r="BB15" s="97">
        <v>1.87</v>
      </c>
      <c r="BC15" s="111">
        <v>0</v>
      </c>
      <c r="BD15" s="97">
        <v>0</v>
      </c>
      <c r="BE15" s="97">
        <v>0</v>
      </c>
      <c r="BF15" s="142">
        <v>1.2749999999999999</v>
      </c>
      <c r="BG15" s="111">
        <f t="shared" si="6"/>
        <v>2.4750000000000005</v>
      </c>
      <c r="BH15" s="97">
        <f t="shared" si="1"/>
        <v>4.125</v>
      </c>
      <c r="BI15" s="97">
        <f t="shared" si="1"/>
        <v>6.5449999999999999</v>
      </c>
      <c r="BJ15" s="97">
        <f t="shared" si="1"/>
        <v>11.305</v>
      </c>
      <c r="BK15" s="111">
        <f t="shared" si="1"/>
        <v>2.9750000000000005</v>
      </c>
      <c r="BL15" s="97">
        <f t="shared" si="1"/>
        <v>4.125</v>
      </c>
      <c r="BM15" s="97">
        <f t="shared" si="1"/>
        <v>6.5449999999999999</v>
      </c>
      <c r="BN15" s="97">
        <f t="shared" si="1"/>
        <v>9.8600000000000012</v>
      </c>
      <c r="BO15" s="111">
        <f t="shared" si="7"/>
        <v>2.7750000000000004</v>
      </c>
      <c r="BP15" s="97">
        <f t="shared" si="8"/>
        <v>4.125</v>
      </c>
      <c r="BQ15" s="97">
        <f t="shared" si="9"/>
        <v>6.5449999999999999</v>
      </c>
      <c r="BR15" s="97">
        <f t="shared" si="10"/>
        <v>10.438000000000001</v>
      </c>
      <c r="BS15" s="111">
        <f t="shared" si="3"/>
        <v>3.8550000000000004</v>
      </c>
      <c r="BT15" s="142">
        <f t="shared" si="4"/>
        <v>7.3236000000000008</v>
      </c>
      <c r="BU15" s="142">
        <f t="shared" si="11"/>
        <v>5.5893000000000006</v>
      </c>
      <c r="BV15" s="142">
        <f>BU15</f>
        <v>5.5893000000000006</v>
      </c>
    </row>
    <row r="16" spans="1:74" x14ac:dyDescent="0.25">
      <c r="A16" s="226" t="s">
        <v>5</v>
      </c>
      <c r="B16" s="222" t="s">
        <v>15</v>
      </c>
      <c r="C16" s="227" t="s">
        <v>16</v>
      </c>
      <c r="D16" s="72" t="s">
        <v>42</v>
      </c>
      <c r="E16" s="73" t="s">
        <v>43</v>
      </c>
      <c r="F16" s="251" t="s">
        <v>42</v>
      </c>
      <c r="G16" s="293">
        <f t="shared" si="0"/>
        <v>1</v>
      </c>
      <c r="H16" s="290">
        <f t="shared" si="0"/>
        <v>0.66</v>
      </c>
      <c r="I16" s="290">
        <f t="shared" si="0"/>
        <v>1</v>
      </c>
      <c r="J16" s="105">
        <f t="shared" si="5"/>
        <v>21.28</v>
      </c>
      <c r="K16" s="111">
        <v>0.77</v>
      </c>
      <c r="L16" s="97">
        <v>1</v>
      </c>
      <c r="M16" s="97">
        <v>1</v>
      </c>
      <c r="N16" s="142">
        <v>1</v>
      </c>
      <c r="O16" s="97">
        <v>0.8</v>
      </c>
      <c r="P16" s="97">
        <v>1</v>
      </c>
      <c r="Q16" s="97">
        <v>1</v>
      </c>
      <c r="R16" s="97">
        <v>1</v>
      </c>
      <c r="S16" s="111">
        <v>0.44000000000000006</v>
      </c>
      <c r="T16" s="97">
        <v>0.55000000000000004</v>
      </c>
      <c r="U16" s="97">
        <v>0.77</v>
      </c>
      <c r="V16" s="97">
        <v>0.89</v>
      </c>
      <c r="W16" s="111">
        <v>0.47000000000000003</v>
      </c>
      <c r="X16" s="97">
        <v>0.55000000000000004</v>
      </c>
      <c r="Y16" s="97">
        <v>0.77</v>
      </c>
      <c r="Z16" s="142">
        <v>0.86</v>
      </c>
      <c r="AA16" s="111">
        <v>0.77</v>
      </c>
      <c r="AB16" s="97">
        <v>1</v>
      </c>
      <c r="AC16" s="97">
        <v>1</v>
      </c>
      <c r="AD16" s="142">
        <v>1</v>
      </c>
      <c r="AE16" s="111">
        <v>0.8</v>
      </c>
      <c r="AF16" s="97">
        <v>1</v>
      </c>
      <c r="AG16" s="97">
        <v>1</v>
      </c>
      <c r="AH16" s="142">
        <v>1</v>
      </c>
      <c r="AI16" s="111">
        <v>4.2750000000000004</v>
      </c>
      <c r="AJ16" s="97">
        <v>7.5</v>
      </c>
      <c r="AK16" s="97">
        <v>8.5</v>
      </c>
      <c r="AL16" s="97">
        <v>8.5</v>
      </c>
      <c r="AM16" s="111">
        <v>5</v>
      </c>
      <c r="AN16" s="97">
        <v>7.5</v>
      </c>
      <c r="AO16" s="97">
        <v>8.5</v>
      </c>
      <c r="AP16" s="142">
        <v>8.5</v>
      </c>
      <c r="AQ16" s="111">
        <v>2.4750000000000005</v>
      </c>
      <c r="AR16" s="97">
        <v>4.125</v>
      </c>
      <c r="AS16" s="97">
        <v>6.5449999999999999</v>
      </c>
      <c r="AT16" s="97">
        <v>7.5649999999999995</v>
      </c>
      <c r="AU16" s="111">
        <v>2.9750000000000005</v>
      </c>
      <c r="AV16" s="97">
        <v>4.125</v>
      </c>
      <c r="AW16" s="97">
        <v>6.5449999999999999</v>
      </c>
      <c r="AX16" s="142">
        <v>7.3100000000000005</v>
      </c>
      <c r="AY16" s="111">
        <v>4.2750000000000004</v>
      </c>
      <c r="AZ16" s="97">
        <v>7.5</v>
      </c>
      <c r="BA16" s="97">
        <v>8.5</v>
      </c>
      <c r="BB16" s="97">
        <v>8.5</v>
      </c>
      <c r="BC16" s="111">
        <v>5</v>
      </c>
      <c r="BD16" s="97">
        <v>7.5</v>
      </c>
      <c r="BE16" s="97">
        <v>8.5</v>
      </c>
      <c r="BF16" s="142">
        <v>8.5</v>
      </c>
      <c r="BG16" s="111">
        <f t="shared" si="6"/>
        <v>11.025000000000002</v>
      </c>
      <c r="BH16" s="97">
        <f t="shared" si="1"/>
        <v>19.125</v>
      </c>
      <c r="BI16" s="97">
        <f t="shared" si="1"/>
        <v>23.545000000000002</v>
      </c>
      <c r="BJ16" s="97">
        <f t="shared" si="1"/>
        <v>24.564999999999998</v>
      </c>
      <c r="BK16" s="111">
        <f t="shared" si="1"/>
        <v>12.975000000000001</v>
      </c>
      <c r="BL16" s="97">
        <f t="shared" si="1"/>
        <v>19.125</v>
      </c>
      <c r="BM16" s="97">
        <f t="shared" si="1"/>
        <v>23.545000000000002</v>
      </c>
      <c r="BN16" s="97">
        <f t="shared" si="1"/>
        <v>24.310000000000002</v>
      </c>
      <c r="BO16" s="111">
        <f t="shared" si="7"/>
        <v>12.195</v>
      </c>
      <c r="BP16" s="97">
        <f t="shared" si="8"/>
        <v>19.125</v>
      </c>
      <c r="BQ16" s="97">
        <f t="shared" si="9"/>
        <v>23.545000000000002</v>
      </c>
      <c r="BR16" s="97">
        <f t="shared" si="10"/>
        <v>24.411999999999999</v>
      </c>
      <c r="BS16" s="111">
        <f t="shared" si="3"/>
        <v>17.739000000000001</v>
      </c>
      <c r="BT16" s="142">
        <f t="shared" si="4"/>
        <v>23.718400000000003</v>
      </c>
      <c r="BU16" s="142">
        <f t="shared" si="11"/>
        <v>20.728700000000003</v>
      </c>
      <c r="BV16" s="142">
        <f>BU13</f>
        <v>23.163</v>
      </c>
    </row>
    <row r="17" spans="1:74" ht="30" x14ac:dyDescent="0.25">
      <c r="A17" s="226" t="s">
        <v>6</v>
      </c>
      <c r="B17" s="222" t="s">
        <v>17</v>
      </c>
      <c r="C17" s="227" t="s">
        <v>29</v>
      </c>
      <c r="D17" s="72" t="s">
        <v>43</v>
      </c>
      <c r="E17" s="73" t="s">
        <v>44</v>
      </c>
      <c r="F17" s="251" t="s">
        <v>43</v>
      </c>
      <c r="G17" s="293">
        <f t="shared" si="0"/>
        <v>0.66</v>
      </c>
      <c r="H17" s="290">
        <f t="shared" si="0"/>
        <v>0.33</v>
      </c>
      <c r="I17" s="290">
        <f t="shared" si="0"/>
        <v>0.66</v>
      </c>
      <c r="J17" s="105">
        <f t="shared" si="5"/>
        <v>13.2</v>
      </c>
      <c r="K17" s="111">
        <v>0.44000000000000006</v>
      </c>
      <c r="L17" s="97">
        <v>0.55000000000000004</v>
      </c>
      <c r="M17" s="97">
        <v>0.77</v>
      </c>
      <c r="N17" s="142">
        <v>0.89</v>
      </c>
      <c r="O17" s="97">
        <v>0.47000000000000003</v>
      </c>
      <c r="P17" s="97">
        <v>0.55000000000000004</v>
      </c>
      <c r="Q17" s="97">
        <v>0.77</v>
      </c>
      <c r="R17" s="97">
        <v>0.86</v>
      </c>
      <c r="S17" s="111">
        <v>0</v>
      </c>
      <c r="T17" s="97">
        <v>0.22000000000000003</v>
      </c>
      <c r="U17" s="97">
        <v>0.44</v>
      </c>
      <c r="V17" s="97">
        <v>0.55000000000000004</v>
      </c>
      <c r="W17" s="111">
        <v>0.06</v>
      </c>
      <c r="X17" s="97">
        <v>0.22000000000000003</v>
      </c>
      <c r="Y17" s="97">
        <v>0.44</v>
      </c>
      <c r="Z17" s="142">
        <v>0.52</v>
      </c>
      <c r="AA17" s="111">
        <v>0.44000000000000006</v>
      </c>
      <c r="AB17" s="97">
        <v>0.55000000000000004</v>
      </c>
      <c r="AC17" s="97">
        <v>0.77</v>
      </c>
      <c r="AD17" s="142">
        <v>0.89</v>
      </c>
      <c r="AE17" s="111">
        <v>0.47000000000000003</v>
      </c>
      <c r="AF17" s="97">
        <v>0.55000000000000004</v>
      </c>
      <c r="AG17" s="97">
        <v>0.77</v>
      </c>
      <c r="AH17" s="142">
        <v>0.86</v>
      </c>
      <c r="AI17" s="111">
        <v>2.4750000000000005</v>
      </c>
      <c r="AJ17" s="97">
        <v>4.125</v>
      </c>
      <c r="AK17" s="97">
        <v>6.5449999999999999</v>
      </c>
      <c r="AL17" s="97">
        <v>7.5649999999999995</v>
      </c>
      <c r="AM17" s="111">
        <v>2.9750000000000005</v>
      </c>
      <c r="AN17" s="97">
        <v>4.125</v>
      </c>
      <c r="AO17" s="97">
        <v>6.5449999999999999</v>
      </c>
      <c r="AP17" s="142">
        <v>7.3100000000000005</v>
      </c>
      <c r="AQ17" s="111">
        <v>0</v>
      </c>
      <c r="AR17" s="97">
        <v>1.6500000000000001</v>
      </c>
      <c r="AS17" s="97">
        <v>3.74</v>
      </c>
      <c r="AT17" s="97">
        <v>4.6750000000000007</v>
      </c>
      <c r="AU17" s="111">
        <v>0.22999999999999998</v>
      </c>
      <c r="AV17" s="97">
        <v>1.6500000000000001</v>
      </c>
      <c r="AW17" s="97">
        <v>3.74</v>
      </c>
      <c r="AX17" s="142">
        <v>4.42</v>
      </c>
      <c r="AY17" s="111">
        <v>2.4750000000000005</v>
      </c>
      <c r="AZ17" s="97">
        <v>4.125</v>
      </c>
      <c r="BA17" s="97">
        <v>6.5449999999999999</v>
      </c>
      <c r="BB17" s="97">
        <v>7.5649999999999995</v>
      </c>
      <c r="BC17" s="111">
        <v>2.9750000000000005</v>
      </c>
      <c r="BD17" s="97">
        <v>4.125</v>
      </c>
      <c r="BE17" s="97">
        <v>6.5449999999999999</v>
      </c>
      <c r="BF17" s="142">
        <v>7.3100000000000005</v>
      </c>
      <c r="BG17" s="111">
        <f t="shared" si="6"/>
        <v>4.9500000000000011</v>
      </c>
      <c r="BH17" s="97">
        <f t="shared" si="1"/>
        <v>9.9</v>
      </c>
      <c r="BI17" s="97">
        <f t="shared" si="1"/>
        <v>16.829999999999998</v>
      </c>
      <c r="BJ17" s="97">
        <f t="shared" si="1"/>
        <v>19.805</v>
      </c>
      <c r="BK17" s="111">
        <f t="shared" si="1"/>
        <v>6.1800000000000015</v>
      </c>
      <c r="BL17" s="97">
        <f t="shared" si="1"/>
        <v>9.9</v>
      </c>
      <c r="BM17" s="97">
        <f t="shared" si="1"/>
        <v>16.829999999999998</v>
      </c>
      <c r="BN17" s="97">
        <f t="shared" si="1"/>
        <v>19.04</v>
      </c>
      <c r="BO17" s="111">
        <f t="shared" si="7"/>
        <v>5.6880000000000006</v>
      </c>
      <c r="BP17" s="97">
        <f t="shared" si="8"/>
        <v>9.9</v>
      </c>
      <c r="BQ17" s="97">
        <f t="shared" si="9"/>
        <v>16.829999999999998</v>
      </c>
      <c r="BR17" s="97">
        <f t="shared" si="10"/>
        <v>19.346</v>
      </c>
      <c r="BS17" s="111">
        <f t="shared" si="3"/>
        <v>9.0576000000000008</v>
      </c>
      <c r="BT17" s="142">
        <f t="shared" si="4"/>
        <v>17.333199999999998</v>
      </c>
      <c r="BU17" s="142">
        <f t="shared" si="11"/>
        <v>13.195399999999999</v>
      </c>
      <c r="BV17" s="142">
        <f>BU17</f>
        <v>13.195399999999999</v>
      </c>
    </row>
    <row r="18" spans="1:74" x14ac:dyDescent="0.25">
      <c r="A18" s="226" t="s">
        <v>7</v>
      </c>
      <c r="B18" s="222" t="s">
        <v>18</v>
      </c>
      <c r="C18" s="227" t="s">
        <v>30</v>
      </c>
      <c r="D18" s="72" t="s">
        <v>44</v>
      </c>
      <c r="E18" s="73" t="s">
        <v>44</v>
      </c>
      <c r="F18" s="251" t="s">
        <v>44</v>
      </c>
      <c r="G18" s="293">
        <f t="shared" si="0"/>
        <v>0.33</v>
      </c>
      <c r="H18" s="290">
        <f t="shared" si="0"/>
        <v>0.33</v>
      </c>
      <c r="I18" s="290">
        <f t="shared" si="0"/>
        <v>0.33</v>
      </c>
      <c r="J18" s="105">
        <f t="shared" si="5"/>
        <v>7.92</v>
      </c>
      <c r="K18" s="111">
        <v>0</v>
      </c>
      <c r="L18" s="97">
        <v>0.22000000000000003</v>
      </c>
      <c r="M18" s="97">
        <v>0.44</v>
      </c>
      <c r="N18" s="142">
        <v>0.55000000000000004</v>
      </c>
      <c r="O18" s="97">
        <v>0.06</v>
      </c>
      <c r="P18" s="97">
        <v>0.22000000000000003</v>
      </c>
      <c r="Q18" s="97">
        <v>0.44</v>
      </c>
      <c r="R18" s="97">
        <v>0.52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</v>
      </c>
      <c r="AB18" s="97">
        <v>0.22000000000000003</v>
      </c>
      <c r="AC18" s="97">
        <v>0.44</v>
      </c>
      <c r="AD18" s="142">
        <v>0.55000000000000004</v>
      </c>
      <c r="AE18" s="111">
        <v>0.06</v>
      </c>
      <c r="AF18" s="97">
        <v>0.22000000000000003</v>
      </c>
      <c r="AG18" s="97">
        <v>0.44</v>
      </c>
      <c r="AH18" s="142">
        <v>0.52</v>
      </c>
      <c r="AI18" s="111">
        <v>0</v>
      </c>
      <c r="AJ18" s="97">
        <v>1.6500000000000001</v>
      </c>
      <c r="AK18" s="97">
        <v>3.74</v>
      </c>
      <c r="AL18" s="97">
        <v>4.6750000000000007</v>
      </c>
      <c r="AM18" s="111">
        <v>0.22999999999999998</v>
      </c>
      <c r="AN18" s="97">
        <v>1.6500000000000001</v>
      </c>
      <c r="AO18" s="97">
        <v>3.74</v>
      </c>
      <c r="AP18" s="142">
        <v>4.42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0</v>
      </c>
      <c r="AZ18" s="97">
        <v>1.6500000000000001</v>
      </c>
      <c r="BA18" s="97">
        <v>3.74</v>
      </c>
      <c r="BB18" s="97">
        <v>4.6750000000000007</v>
      </c>
      <c r="BC18" s="111">
        <v>0.22999999999999998</v>
      </c>
      <c r="BD18" s="97">
        <v>1.6500000000000001</v>
      </c>
      <c r="BE18" s="97">
        <v>3.74</v>
      </c>
      <c r="BF18" s="142">
        <v>4.42</v>
      </c>
      <c r="BG18" s="111">
        <f t="shared" si="6"/>
        <v>0</v>
      </c>
      <c r="BH18" s="97">
        <f t="shared" si="1"/>
        <v>4.95</v>
      </c>
      <c r="BI18" s="97">
        <f t="shared" si="1"/>
        <v>11.22</v>
      </c>
      <c r="BJ18" s="97">
        <f t="shared" si="1"/>
        <v>14.025000000000002</v>
      </c>
      <c r="BK18" s="111">
        <f t="shared" si="1"/>
        <v>0.69</v>
      </c>
      <c r="BL18" s="97">
        <f t="shared" si="1"/>
        <v>4.95</v>
      </c>
      <c r="BM18" s="97">
        <f t="shared" si="1"/>
        <v>11.22</v>
      </c>
      <c r="BN18" s="97">
        <f t="shared" si="1"/>
        <v>13.26</v>
      </c>
      <c r="BO18" s="111">
        <f t="shared" si="7"/>
        <v>0.41399999999999998</v>
      </c>
      <c r="BP18" s="97">
        <f t="shared" si="8"/>
        <v>4.95</v>
      </c>
      <c r="BQ18" s="97">
        <f t="shared" si="9"/>
        <v>11.22</v>
      </c>
      <c r="BR18" s="97">
        <f t="shared" si="10"/>
        <v>13.566000000000001</v>
      </c>
      <c r="BS18" s="111">
        <f t="shared" si="3"/>
        <v>4.0428000000000006</v>
      </c>
      <c r="BT18" s="142">
        <f t="shared" si="4"/>
        <v>11.6892</v>
      </c>
      <c r="BU18" s="142">
        <f t="shared" si="11"/>
        <v>7.8659999999999997</v>
      </c>
      <c r="BV18" s="142">
        <f>BU19</f>
        <v>10.724700000000002</v>
      </c>
    </row>
    <row r="19" spans="1:74" ht="30" x14ac:dyDescent="0.25">
      <c r="A19" s="226" t="s">
        <v>8</v>
      </c>
      <c r="B19" s="222" t="s">
        <v>19</v>
      </c>
      <c r="C19" s="227" t="s">
        <v>31</v>
      </c>
      <c r="D19" s="72" t="s">
        <v>43</v>
      </c>
      <c r="E19" s="73" t="s">
        <v>43</v>
      </c>
      <c r="F19" s="251" t="s">
        <v>45</v>
      </c>
      <c r="G19" s="293">
        <f t="shared" si="0"/>
        <v>0.66</v>
      </c>
      <c r="H19" s="290">
        <f t="shared" si="0"/>
        <v>0.66</v>
      </c>
      <c r="I19" s="290">
        <f t="shared" si="0"/>
        <v>0</v>
      </c>
      <c r="J19" s="105">
        <f t="shared" si="5"/>
        <v>10.56</v>
      </c>
      <c r="K19" s="111">
        <v>0.44000000000000006</v>
      </c>
      <c r="L19" s="97">
        <v>0.55000000000000004</v>
      </c>
      <c r="M19" s="97">
        <v>0.77</v>
      </c>
      <c r="N19" s="142">
        <v>0.89</v>
      </c>
      <c r="O19" s="97">
        <v>0.47000000000000003</v>
      </c>
      <c r="P19" s="97">
        <v>0.55000000000000004</v>
      </c>
      <c r="Q19" s="97">
        <v>0.77</v>
      </c>
      <c r="R19" s="97">
        <v>0.86</v>
      </c>
      <c r="S19" s="111">
        <v>0.44000000000000006</v>
      </c>
      <c r="T19" s="97">
        <v>0.55000000000000004</v>
      </c>
      <c r="U19" s="97">
        <v>0.77</v>
      </c>
      <c r="V19" s="97">
        <v>0.89</v>
      </c>
      <c r="W19" s="111">
        <v>0.47000000000000003</v>
      </c>
      <c r="X19" s="97">
        <v>0.55000000000000004</v>
      </c>
      <c r="Y19" s="97">
        <v>0.77</v>
      </c>
      <c r="Z19" s="142">
        <v>0.86</v>
      </c>
      <c r="AA19" s="111">
        <v>0</v>
      </c>
      <c r="AB19" s="97">
        <v>0</v>
      </c>
      <c r="AC19" s="97">
        <v>0</v>
      </c>
      <c r="AD19" s="142">
        <v>0.22</v>
      </c>
      <c r="AE19" s="111">
        <v>0</v>
      </c>
      <c r="AF19" s="97">
        <v>0</v>
      </c>
      <c r="AG19" s="97">
        <v>0</v>
      </c>
      <c r="AH19" s="142">
        <v>0.15</v>
      </c>
      <c r="AI19" s="111">
        <v>2.4750000000000005</v>
      </c>
      <c r="AJ19" s="97">
        <v>4.125</v>
      </c>
      <c r="AK19" s="97">
        <v>6.5449999999999999</v>
      </c>
      <c r="AL19" s="97">
        <v>7.5649999999999995</v>
      </c>
      <c r="AM19" s="111">
        <v>2.9750000000000005</v>
      </c>
      <c r="AN19" s="97">
        <v>4.125</v>
      </c>
      <c r="AO19" s="97">
        <v>6.5449999999999999</v>
      </c>
      <c r="AP19" s="142">
        <v>7.3100000000000005</v>
      </c>
      <c r="AQ19" s="111">
        <v>2.4750000000000005</v>
      </c>
      <c r="AR19" s="97">
        <v>4.125</v>
      </c>
      <c r="AS19" s="97">
        <v>6.5449999999999999</v>
      </c>
      <c r="AT19" s="97">
        <v>7.5649999999999995</v>
      </c>
      <c r="AU19" s="111">
        <v>2.9750000000000005</v>
      </c>
      <c r="AV19" s="97">
        <v>4.125</v>
      </c>
      <c r="AW19" s="97">
        <v>6.5449999999999999</v>
      </c>
      <c r="AX19" s="142">
        <v>7.3100000000000005</v>
      </c>
      <c r="AY19" s="111">
        <v>0</v>
      </c>
      <c r="AZ19" s="97">
        <v>0</v>
      </c>
      <c r="BA19" s="97">
        <v>0</v>
      </c>
      <c r="BB19" s="97">
        <v>1.87</v>
      </c>
      <c r="BC19" s="111">
        <v>0</v>
      </c>
      <c r="BD19" s="97">
        <v>0</v>
      </c>
      <c r="BE19" s="97">
        <v>0</v>
      </c>
      <c r="BF19" s="142">
        <v>1.2749999999999999</v>
      </c>
      <c r="BG19" s="111">
        <f t="shared" si="6"/>
        <v>4.9500000000000011</v>
      </c>
      <c r="BH19" s="97">
        <f t="shared" si="1"/>
        <v>8.25</v>
      </c>
      <c r="BI19" s="97">
        <f t="shared" si="1"/>
        <v>13.09</v>
      </c>
      <c r="BJ19" s="97">
        <f t="shared" si="1"/>
        <v>17</v>
      </c>
      <c r="BK19" s="111">
        <f t="shared" si="1"/>
        <v>5.9500000000000011</v>
      </c>
      <c r="BL19" s="97">
        <f t="shared" si="1"/>
        <v>8.25</v>
      </c>
      <c r="BM19" s="97">
        <f t="shared" si="1"/>
        <v>13.09</v>
      </c>
      <c r="BN19" s="97">
        <f t="shared" si="1"/>
        <v>15.895000000000001</v>
      </c>
      <c r="BO19" s="111">
        <f t="shared" si="7"/>
        <v>5.5500000000000007</v>
      </c>
      <c r="BP19" s="97">
        <f t="shared" si="8"/>
        <v>8.25</v>
      </c>
      <c r="BQ19" s="97">
        <f t="shared" si="9"/>
        <v>13.09</v>
      </c>
      <c r="BR19" s="97">
        <f t="shared" si="10"/>
        <v>16.337000000000003</v>
      </c>
      <c r="BS19" s="111">
        <f t="shared" si="3"/>
        <v>7.7100000000000009</v>
      </c>
      <c r="BT19" s="142">
        <f t="shared" si="4"/>
        <v>13.739400000000002</v>
      </c>
      <c r="BU19" s="142">
        <f t="shared" si="11"/>
        <v>10.724700000000002</v>
      </c>
      <c r="BV19" s="142">
        <f>BU19</f>
        <v>10.724700000000002</v>
      </c>
    </row>
    <row r="20" spans="1:74" ht="30" x14ac:dyDescent="0.25">
      <c r="A20" s="226" t="s">
        <v>9</v>
      </c>
      <c r="B20" s="222" t="s">
        <v>20</v>
      </c>
      <c r="C20" s="227" t="s">
        <v>21</v>
      </c>
      <c r="D20" s="72" t="s">
        <v>43</v>
      </c>
      <c r="E20" s="73" t="s">
        <v>43</v>
      </c>
      <c r="F20" s="251" t="s">
        <v>43</v>
      </c>
      <c r="G20" s="293">
        <f t="shared" si="0"/>
        <v>0.66</v>
      </c>
      <c r="H20" s="290">
        <f t="shared" si="0"/>
        <v>0.66</v>
      </c>
      <c r="I20" s="290">
        <f t="shared" si="0"/>
        <v>0.66</v>
      </c>
      <c r="J20" s="105">
        <f t="shared" si="5"/>
        <v>15.84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0.44000000000000006</v>
      </c>
      <c r="AB20" s="97">
        <v>0.55000000000000004</v>
      </c>
      <c r="AC20" s="97">
        <v>0.77</v>
      </c>
      <c r="AD20" s="142">
        <v>0.89</v>
      </c>
      <c r="AE20" s="111">
        <v>0.47000000000000003</v>
      </c>
      <c r="AF20" s="97">
        <v>0.55000000000000004</v>
      </c>
      <c r="AG20" s="97">
        <v>0.77</v>
      </c>
      <c r="AH20" s="142">
        <v>0.86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2.4750000000000005</v>
      </c>
      <c r="AZ20" s="97">
        <v>4.125</v>
      </c>
      <c r="BA20" s="97">
        <v>6.5449999999999999</v>
      </c>
      <c r="BB20" s="97">
        <v>7.5649999999999995</v>
      </c>
      <c r="BC20" s="111">
        <v>2.9750000000000005</v>
      </c>
      <c r="BD20" s="97">
        <v>4.125</v>
      </c>
      <c r="BE20" s="97">
        <v>6.5449999999999999</v>
      </c>
      <c r="BF20" s="142">
        <v>7.3100000000000005</v>
      </c>
      <c r="BG20" s="111">
        <f t="shared" si="6"/>
        <v>7.4250000000000016</v>
      </c>
      <c r="BH20" s="97">
        <f t="shared" si="1"/>
        <v>12.375</v>
      </c>
      <c r="BI20" s="97">
        <f t="shared" si="1"/>
        <v>19.634999999999998</v>
      </c>
      <c r="BJ20" s="97">
        <f t="shared" si="1"/>
        <v>22.695</v>
      </c>
      <c r="BK20" s="111">
        <f t="shared" si="1"/>
        <v>8.9250000000000007</v>
      </c>
      <c r="BL20" s="97">
        <f t="shared" si="1"/>
        <v>12.375</v>
      </c>
      <c r="BM20" s="97">
        <f t="shared" si="1"/>
        <v>19.634999999999998</v>
      </c>
      <c r="BN20" s="97">
        <f t="shared" si="1"/>
        <v>21.93</v>
      </c>
      <c r="BO20" s="111">
        <f t="shared" si="7"/>
        <v>8.3250000000000011</v>
      </c>
      <c r="BP20" s="97">
        <f t="shared" si="8"/>
        <v>12.375</v>
      </c>
      <c r="BQ20" s="97">
        <f t="shared" si="9"/>
        <v>19.634999999999998</v>
      </c>
      <c r="BR20" s="97">
        <f t="shared" si="10"/>
        <v>22.236000000000001</v>
      </c>
      <c r="BS20" s="111">
        <f t="shared" si="3"/>
        <v>11.565</v>
      </c>
      <c r="BT20" s="142">
        <f t="shared" si="4"/>
        <v>20.155199999999997</v>
      </c>
      <c r="BU20" s="142">
        <f t="shared" si="11"/>
        <v>15.860099999999999</v>
      </c>
      <c r="BV20" s="142">
        <f>BU20</f>
        <v>15.860099999999999</v>
      </c>
    </row>
    <row r="21" spans="1:74" ht="36.75" customHeight="1" x14ac:dyDescent="0.25">
      <c r="A21" s="226" t="s">
        <v>10</v>
      </c>
      <c r="B21" s="222" t="s">
        <v>22</v>
      </c>
      <c r="C21" s="227" t="s">
        <v>32</v>
      </c>
      <c r="D21" s="72" t="s">
        <v>45</v>
      </c>
      <c r="E21" s="73" t="s">
        <v>45</v>
      </c>
      <c r="F21" s="251" t="s">
        <v>45</v>
      </c>
      <c r="G21" s="293">
        <f t="shared" si="0"/>
        <v>0</v>
      </c>
      <c r="H21" s="290">
        <f t="shared" si="0"/>
        <v>0</v>
      </c>
      <c r="I21" s="290">
        <f t="shared" si="0"/>
        <v>0</v>
      </c>
      <c r="J21" s="105">
        <f t="shared" si="5"/>
        <v>0</v>
      </c>
      <c r="K21" s="111">
        <v>0</v>
      </c>
      <c r="L21" s="97">
        <v>0</v>
      </c>
      <c r="M21" s="97">
        <v>0</v>
      </c>
      <c r="N21" s="142">
        <v>0.22</v>
      </c>
      <c r="O21" s="97">
        <v>0</v>
      </c>
      <c r="P21" s="97">
        <v>0</v>
      </c>
      <c r="Q21" s="97">
        <v>0</v>
      </c>
      <c r="R21" s="97">
        <v>0.15</v>
      </c>
      <c r="S21" s="111">
        <v>0</v>
      </c>
      <c r="T21" s="97">
        <v>0</v>
      </c>
      <c r="U21" s="97">
        <v>0</v>
      </c>
      <c r="V21" s="97">
        <v>0.22</v>
      </c>
      <c r="W21" s="111">
        <v>0</v>
      </c>
      <c r="X21" s="97">
        <v>0</v>
      </c>
      <c r="Y21" s="97">
        <v>0</v>
      </c>
      <c r="Z21" s="142">
        <v>0.15</v>
      </c>
      <c r="AA21" s="111">
        <v>0</v>
      </c>
      <c r="AB21" s="97">
        <v>0</v>
      </c>
      <c r="AC21" s="97">
        <v>0</v>
      </c>
      <c r="AD21" s="142">
        <v>0.22</v>
      </c>
      <c r="AE21" s="111">
        <v>0</v>
      </c>
      <c r="AF21" s="97">
        <v>0</v>
      </c>
      <c r="AG21" s="97">
        <v>0</v>
      </c>
      <c r="AH21" s="142">
        <v>0.15</v>
      </c>
      <c r="AI21" s="111">
        <v>0</v>
      </c>
      <c r="AJ21" s="97">
        <v>0</v>
      </c>
      <c r="AK21" s="97">
        <v>0</v>
      </c>
      <c r="AL21" s="97">
        <v>1.87</v>
      </c>
      <c r="AM21" s="111">
        <v>0</v>
      </c>
      <c r="AN21" s="97">
        <v>0</v>
      </c>
      <c r="AO21" s="97">
        <v>0</v>
      </c>
      <c r="AP21" s="142">
        <v>1.2749999999999999</v>
      </c>
      <c r="AQ21" s="111">
        <v>0</v>
      </c>
      <c r="AR21" s="97">
        <v>0</v>
      </c>
      <c r="AS21" s="97">
        <v>0</v>
      </c>
      <c r="AT21" s="97">
        <v>1.87</v>
      </c>
      <c r="AU21" s="111">
        <v>0</v>
      </c>
      <c r="AV21" s="97">
        <v>0</v>
      </c>
      <c r="AW21" s="97">
        <v>0</v>
      </c>
      <c r="AX21" s="142">
        <v>1.2749999999999999</v>
      </c>
      <c r="AY21" s="111">
        <v>0</v>
      </c>
      <c r="AZ21" s="97">
        <v>0</v>
      </c>
      <c r="BA21" s="97">
        <v>0</v>
      </c>
      <c r="BB21" s="97">
        <v>1.87</v>
      </c>
      <c r="BC21" s="111">
        <v>0</v>
      </c>
      <c r="BD21" s="97">
        <v>0</v>
      </c>
      <c r="BE21" s="97">
        <v>0</v>
      </c>
      <c r="BF21" s="142">
        <v>1.2749999999999999</v>
      </c>
      <c r="BG21" s="111">
        <f t="shared" si="6"/>
        <v>0</v>
      </c>
      <c r="BH21" s="97">
        <f t="shared" si="1"/>
        <v>0</v>
      </c>
      <c r="BI21" s="97">
        <f t="shared" si="1"/>
        <v>0</v>
      </c>
      <c r="BJ21" s="97">
        <f t="shared" si="1"/>
        <v>5.61</v>
      </c>
      <c r="BK21" s="111">
        <f t="shared" si="1"/>
        <v>0</v>
      </c>
      <c r="BL21" s="97">
        <f t="shared" si="1"/>
        <v>0</v>
      </c>
      <c r="BM21" s="97">
        <f t="shared" si="1"/>
        <v>0</v>
      </c>
      <c r="BN21" s="97">
        <f t="shared" si="1"/>
        <v>3.8249999999999997</v>
      </c>
      <c r="BO21" s="111">
        <f t="shared" si="7"/>
        <v>0</v>
      </c>
      <c r="BP21" s="97">
        <f t="shared" si="8"/>
        <v>0</v>
      </c>
      <c r="BQ21" s="97">
        <f t="shared" si="9"/>
        <v>0</v>
      </c>
      <c r="BR21" s="97">
        <f t="shared" si="10"/>
        <v>4.5389999999999997</v>
      </c>
      <c r="BS21" s="111">
        <f t="shared" si="3"/>
        <v>0</v>
      </c>
      <c r="BT21" s="142">
        <f t="shared" si="4"/>
        <v>0.90779999999999972</v>
      </c>
      <c r="BU21" s="142">
        <f t="shared" si="11"/>
        <v>0.45389999999999986</v>
      </c>
      <c r="BV21" s="142">
        <f>BU20</f>
        <v>15.860099999999999</v>
      </c>
    </row>
    <row r="22" spans="1:74" ht="30.75" thickBot="1" x14ac:dyDescent="0.3">
      <c r="A22" s="228" t="s">
        <v>11</v>
      </c>
      <c r="B22" s="229" t="s">
        <v>23</v>
      </c>
      <c r="C22" s="230" t="s">
        <v>33</v>
      </c>
      <c r="D22" s="74" t="s">
        <v>44</v>
      </c>
      <c r="E22" s="75" t="s">
        <v>44</v>
      </c>
      <c r="F22" s="252" t="s">
        <v>42</v>
      </c>
      <c r="G22" s="294">
        <f t="shared" si="0"/>
        <v>0.33</v>
      </c>
      <c r="H22" s="291">
        <f t="shared" si="0"/>
        <v>0.33</v>
      </c>
      <c r="I22" s="291">
        <f t="shared" si="0"/>
        <v>1</v>
      </c>
      <c r="J22" s="109">
        <f t="shared" si="5"/>
        <v>13.280000000000001</v>
      </c>
      <c r="K22" s="112">
        <v>0</v>
      </c>
      <c r="L22" s="188">
        <v>0.22000000000000003</v>
      </c>
      <c r="M22" s="188">
        <v>0.44</v>
      </c>
      <c r="N22" s="113">
        <v>0.55000000000000004</v>
      </c>
      <c r="O22" s="188">
        <v>0.06</v>
      </c>
      <c r="P22" s="188">
        <v>0.22000000000000003</v>
      </c>
      <c r="Q22" s="188">
        <v>0.44</v>
      </c>
      <c r="R22" s="188">
        <v>0.52</v>
      </c>
      <c r="S22" s="112">
        <v>0</v>
      </c>
      <c r="T22" s="188">
        <v>0.22000000000000003</v>
      </c>
      <c r="U22" s="188">
        <v>0.44</v>
      </c>
      <c r="V22" s="188">
        <v>0.55000000000000004</v>
      </c>
      <c r="W22" s="112">
        <v>0.06</v>
      </c>
      <c r="X22" s="188">
        <v>0.22000000000000003</v>
      </c>
      <c r="Y22" s="188">
        <v>0.44</v>
      </c>
      <c r="Z22" s="113">
        <v>0.52</v>
      </c>
      <c r="AA22" s="112">
        <v>0.77</v>
      </c>
      <c r="AB22" s="188">
        <v>1</v>
      </c>
      <c r="AC22" s="188">
        <v>1</v>
      </c>
      <c r="AD22" s="113">
        <v>1</v>
      </c>
      <c r="AE22" s="112">
        <v>0.8</v>
      </c>
      <c r="AF22" s="188">
        <v>1</v>
      </c>
      <c r="AG22" s="188">
        <v>1</v>
      </c>
      <c r="AH22" s="113">
        <v>1</v>
      </c>
      <c r="AI22" s="112">
        <v>0</v>
      </c>
      <c r="AJ22" s="188">
        <v>1.6500000000000001</v>
      </c>
      <c r="AK22" s="188">
        <v>3.74</v>
      </c>
      <c r="AL22" s="188">
        <v>4.6750000000000007</v>
      </c>
      <c r="AM22" s="112">
        <v>0.22999999999999998</v>
      </c>
      <c r="AN22" s="188">
        <v>1.6500000000000001</v>
      </c>
      <c r="AO22" s="188">
        <v>3.74</v>
      </c>
      <c r="AP22" s="113">
        <v>4.42</v>
      </c>
      <c r="AQ22" s="112">
        <v>0</v>
      </c>
      <c r="AR22" s="188">
        <v>1.6500000000000001</v>
      </c>
      <c r="AS22" s="188">
        <v>3.74</v>
      </c>
      <c r="AT22" s="188">
        <v>4.6750000000000007</v>
      </c>
      <c r="AU22" s="112">
        <v>0.22999999999999998</v>
      </c>
      <c r="AV22" s="188">
        <v>1.6500000000000001</v>
      </c>
      <c r="AW22" s="188">
        <v>3.74</v>
      </c>
      <c r="AX22" s="113">
        <v>4.42</v>
      </c>
      <c r="AY22" s="112">
        <v>4.2750000000000004</v>
      </c>
      <c r="AZ22" s="188">
        <v>7.5</v>
      </c>
      <c r="BA22" s="188">
        <v>8.5</v>
      </c>
      <c r="BB22" s="188">
        <v>8.5</v>
      </c>
      <c r="BC22" s="112">
        <v>5</v>
      </c>
      <c r="BD22" s="188">
        <v>7.5</v>
      </c>
      <c r="BE22" s="188">
        <v>8.5</v>
      </c>
      <c r="BF22" s="113">
        <v>8.5</v>
      </c>
      <c r="BG22" s="112">
        <f t="shared" si="6"/>
        <v>4.2750000000000004</v>
      </c>
      <c r="BH22" s="188">
        <f t="shared" si="1"/>
        <v>10.8</v>
      </c>
      <c r="BI22" s="188">
        <f t="shared" si="1"/>
        <v>15.98</v>
      </c>
      <c r="BJ22" s="188">
        <f t="shared" si="1"/>
        <v>17.850000000000001</v>
      </c>
      <c r="BK22" s="112">
        <f t="shared" si="1"/>
        <v>5.46</v>
      </c>
      <c r="BL22" s="188">
        <f t="shared" si="1"/>
        <v>10.8</v>
      </c>
      <c r="BM22" s="188">
        <f t="shared" si="1"/>
        <v>15.98</v>
      </c>
      <c r="BN22" s="188">
        <f t="shared" si="1"/>
        <v>17.34</v>
      </c>
      <c r="BO22" s="112">
        <f t="shared" si="7"/>
        <v>4.9859999999999998</v>
      </c>
      <c r="BP22" s="188">
        <f t="shared" si="8"/>
        <v>10.8</v>
      </c>
      <c r="BQ22" s="188">
        <f t="shared" si="9"/>
        <v>15.98</v>
      </c>
      <c r="BR22" s="188">
        <f t="shared" si="10"/>
        <v>17.544</v>
      </c>
      <c r="BS22" s="112">
        <f t="shared" si="3"/>
        <v>9.6372</v>
      </c>
      <c r="BT22" s="113">
        <f t="shared" si="4"/>
        <v>16.2928</v>
      </c>
      <c r="BU22" s="113">
        <f t="shared" si="11"/>
        <v>12.965</v>
      </c>
      <c r="BV22" s="113">
        <f>BU20</f>
        <v>15.860099999999999</v>
      </c>
    </row>
    <row r="23" spans="1:74" x14ac:dyDescent="0.25">
      <c r="BF23" s="138"/>
      <c r="BG23" s="139"/>
      <c r="BH23" s="139"/>
      <c r="BI23" s="139"/>
      <c r="BJ23" s="139"/>
      <c r="BK23" s="139"/>
    </row>
    <row r="24" spans="1:74" x14ac:dyDescent="0.25">
      <c r="A24" s="1" t="s">
        <v>107</v>
      </c>
      <c r="B24" s="1"/>
    </row>
    <row r="25" spans="1:74" ht="15.75" thickBot="1" x14ac:dyDescent="0.3">
      <c r="A25" s="42" t="s">
        <v>41</v>
      </c>
      <c r="B25" s="43" t="s">
        <v>52</v>
      </c>
      <c r="E25" s="45" t="s">
        <v>3</v>
      </c>
      <c r="I25" t="s">
        <v>4</v>
      </c>
    </row>
    <row r="26" spans="1:74" x14ac:dyDescent="0.25">
      <c r="A26" s="41" t="s">
        <v>45</v>
      </c>
      <c r="B26" s="2">
        <v>0</v>
      </c>
      <c r="C26" s="15">
        <f>B26</f>
        <v>0</v>
      </c>
      <c r="D26" s="16" t="s">
        <v>45</v>
      </c>
      <c r="E26" s="17">
        <v>0</v>
      </c>
      <c r="F26" s="18">
        <f>C26</f>
        <v>0</v>
      </c>
      <c r="G26" s="19">
        <v>0</v>
      </c>
      <c r="H26" s="20">
        <v>0.22</v>
      </c>
      <c r="I26" s="21">
        <v>0</v>
      </c>
      <c r="J26" s="19">
        <f>F26</f>
        <v>0</v>
      </c>
      <c r="K26" s="19">
        <f>G26</f>
        <v>0</v>
      </c>
      <c r="L26" s="22">
        <v>0.15</v>
      </c>
    </row>
    <row r="27" spans="1:74" x14ac:dyDescent="0.25">
      <c r="A27" s="41" t="s">
        <v>44</v>
      </c>
      <c r="B27" s="2">
        <v>0.33</v>
      </c>
      <c r="C27" s="15">
        <f t="shared" ref="C27:C29" si="12">B27</f>
        <v>0.33</v>
      </c>
      <c r="D27" s="16" t="s">
        <v>44</v>
      </c>
      <c r="E27" s="23">
        <v>0</v>
      </c>
      <c r="F27" s="44">
        <f>C27-0.11</f>
        <v>0.22000000000000003</v>
      </c>
      <c r="G27">
        <f>C27+0.11</f>
        <v>0.44</v>
      </c>
      <c r="H27" s="24">
        <f t="shared" ref="H27" si="13">G27+0.11</f>
        <v>0.55000000000000004</v>
      </c>
      <c r="I27" s="25">
        <v>0.06</v>
      </c>
      <c r="J27">
        <f t="shared" ref="J27:J29" si="14">F27</f>
        <v>0.22000000000000003</v>
      </c>
      <c r="K27">
        <f t="shared" ref="K27:K29" si="15">G27</f>
        <v>0.44</v>
      </c>
      <c r="L27" s="26">
        <f t="shared" ref="L27" si="16">K27+0.08</f>
        <v>0.52</v>
      </c>
    </row>
    <row r="28" spans="1:74" x14ac:dyDescent="0.25">
      <c r="A28" s="41" t="s">
        <v>43</v>
      </c>
      <c r="B28" s="2">
        <v>0.66</v>
      </c>
      <c r="C28" s="15">
        <f t="shared" si="12"/>
        <v>0.66</v>
      </c>
      <c r="D28" s="16" t="s">
        <v>43</v>
      </c>
      <c r="E28" s="23">
        <f t="shared" ref="E28" si="17">F28-0.11</f>
        <v>0.44000000000000006</v>
      </c>
      <c r="F28" s="44">
        <f t="shared" ref="F28" si="18">C28-0.11</f>
        <v>0.55000000000000004</v>
      </c>
      <c r="G28">
        <f t="shared" ref="G28" si="19">C28+0.11</f>
        <v>0.77</v>
      </c>
      <c r="H28" s="24">
        <f>G28+0.12</f>
        <v>0.89</v>
      </c>
      <c r="I28" s="25">
        <f t="shared" ref="I28" si="20">J28-0.08</f>
        <v>0.47000000000000003</v>
      </c>
      <c r="J28">
        <f t="shared" si="14"/>
        <v>0.55000000000000004</v>
      </c>
      <c r="K28">
        <f t="shared" si="15"/>
        <v>0.77</v>
      </c>
      <c r="L28" s="26">
        <f>K28+0.09</f>
        <v>0.86</v>
      </c>
    </row>
    <row r="29" spans="1:74" ht="15.75" thickBot="1" x14ac:dyDescent="0.3">
      <c r="A29" s="41" t="s">
        <v>42</v>
      </c>
      <c r="B29" s="2">
        <v>1</v>
      </c>
      <c r="C29" s="15">
        <f t="shared" si="12"/>
        <v>1</v>
      </c>
      <c r="D29" s="16" t="s">
        <v>42</v>
      </c>
      <c r="E29" s="27">
        <v>0.77</v>
      </c>
      <c r="F29" s="28">
        <v>1</v>
      </c>
      <c r="G29" s="29">
        <v>1</v>
      </c>
      <c r="H29" s="30">
        <v>1</v>
      </c>
      <c r="I29" s="31">
        <v>0.8</v>
      </c>
      <c r="J29" s="29">
        <f t="shared" si="14"/>
        <v>1</v>
      </c>
      <c r="K29" s="29">
        <f t="shared" si="15"/>
        <v>1</v>
      </c>
      <c r="L29" s="32">
        <v>1</v>
      </c>
    </row>
    <row r="30" spans="1:74" x14ac:dyDescent="0.25">
      <c r="A30" s="35"/>
    </row>
    <row r="31" spans="1:74" x14ac:dyDescent="0.25">
      <c r="A31" s="1" t="s">
        <v>109</v>
      </c>
    </row>
    <row r="32" spans="1:74" ht="15.75" thickBot="1" x14ac:dyDescent="0.3">
      <c r="A32" s="42" t="s">
        <v>41</v>
      </c>
      <c r="B32" s="43" t="s">
        <v>53</v>
      </c>
      <c r="E32" s="45" t="s">
        <v>3</v>
      </c>
      <c r="I32" t="s">
        <v>4</v>
      </c>
    </row>
    <row r="33" spans="1:12" x14ac:dyDescent="0.25">
      <c r="A33" s="41" t="s">
        <v>45</v>
      </c>
      <c r="B33" s="2">
        <v>0.5</v>
      </c>
      <c r="C33" s="15">
        <f>B33</f>
        <v>0.5</v>
      </c>
      <c r="D33" s="16" t="s">
        <v>45</v>
      </c>
      <c r="E33" s="17">
        <v>0</v>
      </c>
      <c r="F33" s="18">
        <f>C33-0.5</f>
        <v>0</v>
      </c>
      <c r="G33" s="19">
        <f>C33+0.5</f>
        <v>1</v>
      </c>
      <c r="H33" s="20">
        <f t="shared" ref="H33:H35" si="21">G33+1.5</f>
        <v>2.5</v>
      </c>
      <c r="I33" s="21">
        <v>0</v>
      </c>
      <c r="J33" s="19">
        <f>F33</f>
        <v>0</v>
      </c>
      <c r="K33" s="19">
        <f>G33</f>
        <v>1</v>
      </c>
      <c r="L33" s="22">
        <f t="shared" ref="L33:L35" si="22">K33+1</f>
        <v>2</v>
      </c>
    </row>
    <row r="34" spans="1:12" x14ac:dyDescent="0.25">
      <c r="A34" s="41" t="s">
        <v>44</v>
      </c>
      <c r="B34" s="2">
        <v>3</v>
      </c>
      <c r="C34" s="15">
        <f t="shared" ref="C34:C36" si="23">B34</f>
        <v>3</v>
      </c>
      <c r="D34" s="16" t="s">
        <v>44</v>
      </c>
      <c r="E34" s="23">
        <v>1.5</v>
      </c>
      <c r="F34" s="44">
        <f>C34-0.5</f>
        <v>2.5</v>
      </c>
      <c r="G34">
        <f>C34+0.5</f>
        <v>3.5</v>
      </c>
      <c r="H34" s="24">
        <f t="shared" si="21"/>
        <v>5</v>
      </c>
      <c r="I34" s="25">
        <f t="shared" ref="I34:I36" si="24">J34-1</f>
        <v>1.5</v>
      </c>
      <c r="J34">
        <f t="shared" ref="J34:J36" si="25">F34</f>
        <v>2.5</v>
      </c>
      <c r="K34">
        <f t="shared" ref="K34:K36" si="26">G34</f>
        <v>3.5</v>
      </c>
      <c r="L34" s="26">
        <f t="shared" si="22"/>
        <v>4.5</v>
      </c>
    </row>
    <row r="35" spans="1:12" x14ac:dyDescent="0.25">
      <c r="A35" s="41" t="s">
        <v>43</v>
      </c>
      <c r="B35" s="2">
        <v>5.5</v>
      </c>
      <c r="C35" s="15">
        <f t="shared" si="23"/>
        <v>5.5</v>
      </c>
      <c r="D35" s="16" t="s">
        <v>43</v>
      </c>
      <c r="E35" s="23">
        <f t="shared" ref="E35:E36" si="27">F35-1.5</f>
        <v>3.5</v>
      </c>
      <c r="F35" s="44">
        <f>C35-0.5</f>
        <v>5</v>
      </c>
      <c r="G35">
        <f>C35+0.5</f>
        <v>6</v>
      </c>
      <c r="H35" s="24">
        <f t="shared" si="21"/>
        <v>7.5</v>
      </c>
      <c r="I35" s="25">
        <f t="shared" si="24"/>
        <v>4</v>
      </c>
      <c r="J35">
        <f t="shared" si="25"/>
        <v>5</v>
      </c>
      <c r="K35">
        <f t="shared" si="26"/>
        <v>6</v>
      </c>
      <c r="L35" s="26">
        <f t="shared" si="22"/>
        <v>7</v>
      </c>
    </row>
    <row r="36" spans="1:12" ht="15.75" thickBot="1" x14ac:dyDescent="0.3">
      <c r="A36" s="41" t="s">
        <v>42</v>
      </c>
      <c r="B36" s="2">
        <v>8</v>
      </c>
      <c r="C36" s="15">
        <f t="shared" si="23"/>
        <v>8</v>
      </c>
      <c r="D36" s="16" t="s">
        <v>42</v>
      </c>
      <c r="E36" s="27">
        <f t="shared" si="27"/>
        <v>6</v>
      </c>
      <c r="F36" s="28">
        <f>C36-0.5</f>
        <v>7.5</v>
      </c>
      <c r="G36" s="29">
        <f>C36+0.5</f>
        <v>8.5</v>
      </c>
      <c r="H36" s="30">
        <f>G36</f>
        <v>8.5</v>
      </c>
      <c r="I36" s="31">
        <f t="shared" si="24"/>
        <v>6.5</v>
      </c>
      <c r="J36" s="29">
        <f t="shared" si="25"/>
        <v>7.5</v>
      </c>
      <c r="K36" s="29">
        <f t="shared" si="26"/>
        <v>8.5</v>
      </c>
      <c r="L36" s="32">
        <f>K36</f>
        <v>8.5</v>
      </c>
    </row>
    <row r="38" spans="1:12" ht="15.75" thickBot="1" x14ac:dyDescent="0.3">
      <c r="A38" s="1" t="s">
        <v>110</v>
      </c>
    </row>
    <row r="39" spans="1:12" ht="67.5" customHeight="1" thickBot="1" x14ac:dyDescent="0.3">
      <c r="A39" s="47" t="s">
        <v>286</v>
      </c>
      <c r="B39" s="46" t="s">
        <v>37</v>
      </c>
      <c r="C39" s="48" t="s">
        <v>46</v>
      </c>
      <c r="D39" s="49" t="s">
        <v>108</v>
      </c>
      <c r="E39" s="458" t="s">
        <v>54</v>
      </c>
      <c r="F39" s="459"/>
      <c r="G39" s="459"/>
      <c r="H39" s="459"/>
      <c r="I39" s="459"/>
      <c r="J39" s="459"/>
      <c r="K39" s="459"/>
      <c r="L39" s="460"/>
    </row>
    <row r="40" spans="1:12" x14ac:dyDescent="0.25">
      <c r="A40" s="56" t="s">
        <v>48</v>
      </c>
      <c r="B40" s="50" t="s">
        <v>38</v>
      </c>
      <c r="C40" s="51" t="s">
        <v>42</v>
      </c>
      <c r="D40" s="69">
        <f>B36</f>
        <v>8</v>
      </c>
      <c r="E40" s="23">
        <v>6</v>
      </c>
      <c r="F40" s="44">
        <v>7.5</v>
      </c>
      <c r="G40">
        <v>8.5</v>
      </c>
      <c r="H40" s="24">
        <v>8.5</v>
      </c>
      <c r="I40" s="25">
        <v>6.5</v>
      </c>
      <c r="J40">
        <v>7.5</v>
      </c>
      <c r="K40">
        <v>8.5</v>
      </c>
      <c r="L40" s="26">
        <v>8.5</v>
      </c>
    </row>
    <row r="41" spans="1:12" x14ac:dyDescent="0.25">
      <c r="A41" s="57" t="s">
        <v>49</v>
      </c>
      <c r="B41" s="40" t="s">
        <v>39</v>
      </c>
      <c r="C41" s="2" t="s">
        <v>42</v>
      </c>
      <c r="D41" s="70">
        <f>B36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ht="15.75" thickBot="1" x14ac:dyDescent="0.3">
      <c r="A42" s="58" t="s">
        <v>50</v>
      </c>
      <c r="B42" s="52" t="s">
        <v>40</v>
      </c>
      <c r="C42" s="53" t="s">
        <v>42</v>
      </c>
      <c r="D42" s="71">
        <f>B36</f>
        <v>8</v>
      </c>
      <c r="E42" s="27">
        <v>6</v>
      </c>
      <c r="F42" s="28">
        <v>7.5</v>
      </c>
      <c r="G42" s="29">
        <v>8.5</v>
      </c>
      <c r="H42" s="30">
        <v>8.5</v>
      </c>
      <c r="I42" s="31">
        <v>6.5</v>
      </c>
      <c r="J42" s="29">
        <v>7.5</v>
      </c>
      <c r="K42" s="29">
        <v>8.5</v>
      </c>
      <c r="L42" s="32">
        <v>8.5</v>
      </c>
    </row>
    <row r="44" spans="1:12" ht="15.75" thickBot="1" x14ac:dyDescent="0.3">
      <c r="A44" s="1" t="s">
        <v>305</v>
      </c>
    </row>
    <row r="45" spans="1:12" ht="30.75" thickBot="1" x14ac:dyDescent="0.3">
      <c r="A45" s="356" t="s">
        <v>60</v>
      </c>
      <c r="B45" s="357" t="s">
        <v>61</v>
      </c>
      <c r="E45" s="458" t="s">
        <v>62</v>
      </c>
      <c r="F45" s="459"/>
      <c r="G45" s="459"/>
      <c r="H45" s="459"/>
      <c r="I45" s="459"/>
      <c r="J45" s="459"/>
      <c r="K45" s="459"/>
      <c r="L45" s="460"/>
    </row>
    <row r="46" spans="1:12" x14ac:dyDescent="0.25">
      <c r="A46" s="56" t="s">
        <v>57</v>
      </c>
      <c r="B46" s="59" t="s">
        <v>45</v>
      </c>
      <c r="D46" s="62" t="s">
        <v>66</v>
      </c>
      <c r="E46" s="110">
        <f>E26*F$40+E$40*F26-F26*F$40</f>
        <v>0</v>
      </c>
      <c r="F46" s="234">
        <f>F26*F$40</f>
        <v>0</v>
      </c>
      <c r="G46" s="234">
        <f>G26*G$40</f>
        <v>0</v>
      </c>
      <c r="H46" s="140">
        <f>G26*H$40+G$40*H26-G26*G$40</f>
        <v>1.87</v>
      </c>
      <c r="I46" s="110">
        <f>I26*J$40+I$40*J26-J26*J$40</f>
        <v>0</v>
      </c>
      <c r="J46" s="234">
        <f>J26*J$40</f>
        <v>0</v>
      </c>
      <c r="K46" s="234">
        <f>K26*K$40</f>
        <v>0</v>
      </c>
      <c r="L46" s="140">
        <f>K26*L$40+K$40*L26-K26*K$40</f>
        <v>1.2749999999999999</v>
      </c>
    </row>
    <row r="47" spans="1:12" x14ac:dyDescent="0.25">
      <c r="A47" s="57" t="s">
        <v>57</v>
      </c>
      <c r="B47" s="60" t="s">
        <v>44</v>
      </c>
      <c r="D47" s="63" t="s">
        <v>65</v>
      </c>
      <c r="E47" s="111">
        <f>IF(E27*F$40+E$40*F27-F27*F$40&lt;0,0,E27*F$40+E$40*F27-F27*F$40)</f>
        <v>0</v>
      </c>
      <c r="F47" s="97">
        <f t="shared" ref="F47:G49" si="28">F27*F$40</f>
        <v>1.6500000000000001</v>
      </c>
      <c r="G47" s="97">
        <f t="shared" si="28"/>
        <v>3.74</v>
      </c>
      <c r="H47" s="142">
        <f t="shared" ref="H47:H49" si="29">G27*H$40+G$40*H27-G27*G$40</f>
        <v>4.6750000000000007</v>
      </c>
      <c r="I47" s="111">
        <f t="shared" ref="I47:I49" si="30">I27*J$40+I$40*J27-J27*J$40</f>
        <v>0.22999999999999998</v>
      </c>
      <c r="J47" s="97">
        <f t="shared" ref="J47:K49" si="31">J27*J$40</f>
        <v>1.6500000000000001</v>
      </c>
      <c r="K47" s="97">
        <f t="shared" si="31"/>
        <v>3.74</v>
      </c>
      <c r="L47" s="142">
        <f t="shared" ref="L47:L49" si="32">K27*L$40+K$40*L27-K27*K$40</f>
        <v>4.42</v>
      </c>
    </row>
    <row r="48" spans="1:12" x14ac:dyDescent="0.25">
      <c r="A48" s="57" t="s">
        <v>57</v>
      </c>
      <c r="B48" s="60" t="s">
        <v>43</v>
      </c>
      <c r="D48" s="63" t="s">
        <v>64</v>
      </c>
      <c r="E48" s="111">
        <f t="shared" ref="E48:E49" si="33">E28*F$40+E$40*F28-F28*F$40</f>
        <v>2.4750000000000005</v>
      </c>
      <c r="F48" s="97">
        <f t="shared" si="28"/>
        <v>4.125</v>
      </c>
      <c r="G48" s="97">
        <f t="shared" si="28"/>
        <v>6.5449999999999999</v>
      </c>
      <c r="H48" s="142">
        <f t="shared" si="29"/>
        <v>7.5649999999999995</v>
      </c>
      <c r="I48" s="111">
        <f t="shared" si="30"/>
        <v>2.9750000000000005</v>
      </c>
      <c r="J48" s="97">
        <f t="shared" si="31"/>
        <v>4.125</v>
      </c>
      <c r="K48" s="97">
        <f t="shared" si="31"/>
        <v>6.5449999999999999</v>
      </c>
      <c r="L48" s="142">
        <f t="shared" si="32"/>
        <v>7.3100000000000005</v>
      </c>
    </row>
    <row r="49" spans="1:74" ht="15.75" thickBot="1" x14ac:dyDescent="0.3">
      <c r="A49" s="58" t="s">
        <v>57</v>
      </c>
      <c r="B49" s="61" t="s">
        <v>42</v>
      </c>
      <c r="D49" s="64" t="s">
        <v>63</v>
      </c>
      <c r="E49" s="112">
        <f t="shared" si="33"/>
        <v>4.2750000000000004</v>
      </c>
      <c r="F49" s="188">
        <f t="shared" si="28"/>
        <v>7.5</v>
      </c>
      <c r="G49" s="188">
        <f t="shared" si="28"/>
        <v>8.5</v>
      </c>
      <c r="H49" s="113">
        <f t="shared" si="29"/>
        <v>8.5</v>
      </c>
      <c r="I49" s="112">
        <f t="shared" si="30"/>
        <v>5</v>
      </c>
      <c r="J49" s="188">
        <f t="shared" si="31"/>
        <v>7.5</v>
      </c>
      <c r="K49" s="188">
        <f t="shared" si="31"/>
        <v>8.5</v>
      </c>
      <c r="L49" s="113">
        <f t="shared" si="32"/>
        <v>8.5</v>
      </c>
    </row>
    <row r="50" spans="1:74" x14ac:dyDescent="0.25">
      <c r="A50" s="223" t="s">
        <v>260</v>
      </c>
      <c r="B50" s="59" t="s">
        <v>45</v>
      </c>
      <c r="D50" s="62" t="s">
        <v>67</v>
      </c>
      <c r="E50" s="110">
        <f>E26*F$41+E$41*F26-F26*F$41</f>
        <v>0</v>
      </c>
      <c r="F50" s="234">
        <f>F26*F$41</f>
        <v>0</v>
      </c>
      <c r="G50" s="234">
        <f>G26*G$41</f>
        <v>0</v>
      </c>
      <c r="H50" s="140">
        <f>G26*H$41+G$41*H26-G26*G$41</f>
        <v>1.87</v>
      </c>
      <c r="I50" s="110">
        <f>I26*J$41+I$41*J26-J26*J$41</f>
        <v>0</v>
      </c>
      <c r="J50" s="234">
        <f>J26*J$41</f>
        <v>0</v>
      </c>
      <c r="K50" s="234">
        <f>K26*K$41</f>
        <v>0</v>
      </c>
      <c r="L50" s="140">
        <f>K26*L$41+K$41*L26-K26*K$41</f>
        <v>1.2749999999999999</v>
      </c>
    </row>
    <row r="51" spans="1:74" x14ac:dyDescent="0.25">
      <c r="A51" s="224" t="s">
        <v>260</v>
      </c>
      <c r="B51" s="60" t="s">
        <v>44</v>
      </c>
      <c r="D51" s="63" t="s">
        <v>72</v>
      </c>
      <c r="E51" s="111">
        <f>IF(E27*F$41+E$41*F27-F27*F$41&lt;0,0,E27*F$41+E$41*F27-F27*F$41)</f>
        <v>0</v>
      </c>
      <c r="F51" s="97">
        <f t="shared" ref="F51:G53" si="34">F27*F$41</f>
        <v>1.6500000000000001</v>
      </c>
      <c r="G51" s="97">
        <f t="shared" si="34"/>
        <v>3.74</v>
      </c>
      <c r="H51" s="142">
        <f t="shared" ref="H51:H53" si="35">G27*H$41+G$41*H27-G27*G$41</f>
        <v>4.6750000000000007</v>
      </c>
      <c r="I51" s="111">
        <f t="shared" ref="I51:I53" si="36">I27*J$41+I$41*J27-J27*J$41</f>
        <v>0.22999999999999998</v>
      </c>
      <c r="J51" s="97">
        <f t="shared" ref="J51:K53" si="37">J27*J$41</f>
        <v>1.6500000000000001</v>
      </c>
      <c r="K51" s="97">
        <f t="shared" si="37"/>
        <v>3.74</v>
      </c>
      <c r="L51" s="142">
        <f t="shared" ref="L51:L53" si="38">K27*L$41+K$41*L27-K27*K$41</f>
        <v>4.42</v>
      </c>
    </row>
    <row r="52" spans="1:74" x14ac:dyDescent="0.25">
      <c r="A52" s="224" t="s">
        <v>260</v>
      </c>
      <c r="B52" s="60" t="s">
        <v>43</v>
      </c>
      <c r="D52" s="63" t="s">
        <v>73</v>
      </c>
      <c r="E52" s="111">
        <f t="shared" ref="E52:E53" si="39">E28*F$41+E$41*F28-F28*F$41</f>
        <v>2.4750000000000005</v>
      </c>
      <c r="F52" s="97">
        <f t="shared" si="34"/>
        <v>4.125</v>
      </c>
      <c r="G52" s="97">
        <f t="shared" si="34"/>
        <v>6.5449999999999999</v>
      </c>
      <c r="H52" s="142">
        <f t="shared" si="35"/>
        <v>7.5649999999999995</v>
      </c>
      <c r="I52" s="111">
        <f t="shared" si="36"/>
        <v>2.9750000000000005</v>
      </c>
      <c r="J52" s="97">
        <f t="shared" si="37"/>
        <v>4.125</v>
      </c>
      <c r="K52" s="97">
        <f t="shared" si="37"/>
        <v>6.5449999999999999</v>
      </c>
      <c r="L52" s="142">
        <f t="shared" si="38"/>
        <v>7.3100000000000005</v>
      </c>
    </row>
    <row r="53" spans="1:74" ht="15.75" thickBot="1" x14ac:dyDescent="0.3">
      <c r="A53" s="225" t="s">
        <v>260</v>
      </c>
      <c r="B53" s="61" t="s">
        <v>42</v>
      </c>
      <c r="D53" s="64" t="s">
        <v>74</v>
      </c>
      <c r="E53" s="112">
        <f t="shared" si="39"/>
        <v>4.2750000000000004</v>
      </c>
      <c r="F53" s="188">
        <f t="shared" si="34"/>
        <v>7.5</v>
      </c>
      <c r="G53" s="188">
        <f t="shared" si="34"/>
        <v>8.5</v>
      </c>
      <c r="H53" s="113">
        <f t="shared" si="35"/>
        <v>8.5</v>
      </c>
      <c r="I53" s="112">
        <f t="shared" si="36"/>
        <v>5</v>
      </c>
      <c r="J53" s="188">
        <f t="shared" si="37"/>
        <v>7.5</v>
      </c>
      <c r="K53" s="188">
        <f t="shared" si="37"/>
        <v>8.5</v>
      </c>
      <c r="L53" s="113">
        <f t="shared" si="38"/>
        <v>8.5</v>
      </c>
    </row>
    <row r="54" spans="1:74" x14ac:dyDescent="0.25">
      <c r="A54" s="223" t="s">
        <v>261</v>
      </c>
      <c r="B54" s="59" t="s">
        <v>45</v>
      </c>
      <c r="D54" s="62" t="s">
        <v>69</v>
      </c>
      <c r="E54" s="111">
        <f>E26*F$42+E$42*F26-F26*F$42</f>
        <v>0</v>
      </c>
      <c r="F54" s="97">
        <f>F26*F$42</f>
        <v>0</v>
      </c>
      <c r="G54" s="97">
        <f>G26*G$42</f>
        <v>0</v>
      </c>
      <c r="H54" s="142">
        <f>G26*H$42+G$42*H26-G26*G$42</f>
        <v>1.87</v>
      </c>
      <c r="I54" s="111">
        <f>I26*J$42+I$42*J26-J26*J$42</f>
        <v>0</v>
      </c>
      <c r="J54" s="97">
        <f>J26*J$42</f>
        <v>0</v>
      </c>
      <c r="K54" s="97">
        <f>K26*K$42</f>
        <v>0</v>
      </c>
      <c r="L54" s="142">
        <f>K26*L$42+K$42*L26-K26*K$42</f>
        <v>1.2749999999999999</v>
      </c>
    </row>
    <row r="55" spans="1:74" x14ac:dyDescent="0.25">
      <c r="A55" s="224" t="s">
        <v>261</v>
      </c>
      <c r="B55" s="60" t="s">
        <v>44</v>
      </c>
      <c r="D55" s="63" t="s">
        <v>68</v>
      </c>
      <c r="E55" s="111">
        <f>IF(E27*F$42+E$42*F27-F27*F$42&lt;0,0,E27*F$42+E$42*F27-F27*F$42)</f>
        <v>0</v>
      </c>
      <c r="F55" s="97">
        <f t="shared" ref="F55:G57" si="40">F27*F$42</f>
        <v>1.6500000000000001</v>
      </c>
      <c r="G55" s="97">
        <f t="shared" si="40"/>
        <v>3.74</v>
      </c>
      <c r="H55" s="142">
        <f t="shared" ref="H55:H57" si="41">G27*H$42+G$42*H27-G27*G$42</f>
        <v>4.6750000000000007</v>
      </c>
      <c r="I55" s="111">
        <f t="shared" ref="I55:I57" si="42">I27*J$42+I$42*J27-J27*J$42</f>
        <v>0.22999999999999998</v>
      </c>
      <c r="J55" s="97">
        <f t="shared" ref="J55:K57" si="43">J27*J$42</f>
        <v>1.6500000000000001</v>
      </c>
      <c r="K55" s="97">
        <f t="shared" si="43"/>
        <v>3.74</v>
      </c>
      <c r="L55" s="142">
        <f t="shared" ref="L55:L57" si="44">K27*L$42+K$42*L27-K27*K$42</f>
        <v>4.42</v>
      </c>
    </row>
    <row r="56" spans="1:74" x14ac:dyDescent="0.25">
      <c r="A56" s="224" t="s">
        <v>261</v>
      </c>
      <c r="B56" s="60" t="s">
        <v>43</v>
      </c>
      <c r="D56" s="63" t="s">
        <v>70</v>
      </c>
      <c r="E56" s="111">
        <f t="shared" ref="E56:E57" si="45">E28*F$42+E$42*F28-F28*F$42</f>
        <v>2.4750000000000005</v>
      </c>
      <c r="F56" s="97">
        <f t="shared" si="40"/>
        <v>4.125</v>
      </c>
      <c r="G56" s="97">
        <f t="shared" si="40"/>
        <v>6.5449999999999999</v>
      </c>
      <c r="H56" s="142">
        <f t="shared" si="41"/>
        <v>7.5649999999999995</v>
      </c>
      <c r="I56" s="111">
        <f t="shared" si="42"/>
        <v>2.9750000000000005</v>
      </c>
      <c r="J56" s="97">
        <f t="shared" si="43"/>
        <v>4.125</v>
      </c>
      <c r="K56" s="97">
        <f t="shared" si="43"/>
        <v>6.5449999999999999</v>
      </c>
      <c r="L56" s="142">
        <f t="shared" si="44"/>
        <v>7.3100000000000005</v>
      </c>
    </row>
    <row r="57" spans="1:74" ht="15.75" thickBot="1" x14ac:dyDescent="0.3">
      <c r="A57" s="225" t="s">
        <v>261</v>
      </c>
      <c r="B57" s="61" t="s">
        <v>42</v>
      </c>
      <c r="D57" s="64" t="s">
        <v>71</v>
      </c>
      <c r="E57" s="112">
        <f t="shared" si="45"/>
        <v>4.2750000000000004</v>
      </c>
      <c r="F57" s="188">
        <f t="shared" si="40"/>
        <v>7.5</v>
      </c>
      <c r="G57" s="188">
        <f t="shared" si="40"/>
        <v>8.5</v>
      </c>
      <c r="H57" s="113">
        <f t="shared" si="41"/>
        <v>8.5</v>
      </c>
      <c r="I57" s="112">
        <f t="shared" si="42"/>
        <v>5</v>
      </c>
      <c r="J57" s="188">
        <f t="shared" si="43"/>
        <v>7.5</v>
      </c>
      <c r="K57" s="188">
        <f t="shared" si="43"/>
        <v>8.5</v>
      </c>
      <c r="L57" s="113">
        <f t="shared" si="44"/>
        <v>8.5</v>
      </c>
    </row>
    <row r="60" spans="1:74" ht="18.75" x14ac:dyDescent="0.3">
      <c r="A60" s="68" t="s">
        <v>85</v>
      </c>
      <c r="B60" s="35"/>
      <c r="C60" s="35"/>
    </row>
    <row r="61" spans="1:74" x14ac:dyDescent="0.25">
      <c r="A61" s="1" t="s">
        <v>47</v>
      </c>
      <c r="B61" s="35"/>
      <c r="C61" s="35"/>
    </row>
    <row r="62" spans="1:74" ht="15.75" thickBot="1" x14ac:dyDescent="0.3">
      <c r="A62" s="36" t="s">
        <v>90</v>
      </c>
      <c r="B62" s="35"/>
      <c r="C62" s="35"/>
      <c r="BO62">
        <v>0.6</v>
      </c>
      <c r="BS62">
        <v>0.8</v>
      </c>
    </row>
    <row r="63" spans="1:74" ht="86.25" customHeight="1" thickBot="1" x14ac:dyDescent="0.3">
      <c r="A63" s="464" t="s">
        <v>25</v>
      </c>
      <c r="B63" s="455" t="s">
        <v>234</v>
      </c>
      <c r="C63" s="444" t="s">
        <v>26</v>
      </c>
      <c r="D63" s="464" t="s">
        <v>55</v>
      </c>
      <c r="E63" s="455"/>
      <c r="F63" s="444"/>
      <c r="G63" s="454" t="s">
        <v>56</v>
      </c>
      <c r="H63" s="455"/>
      <c r="I63" s="455"/>
      <c r="J63" s="444" t="s">
        <v>81</v>
      </c>
      <c r="K63" s="435" t="s">
        <v>78</v>
      </c>
      <c r="L63" s="436"/>
      <c r="M63" s="436"/>
      <c r="N63" s="436"/>
      <c r="O63" s="436"/>
      <c r="P63" s="436"/>
      <c r="Q63" s="436"/>
      <c r="R63" s="437"/>
      <c r="S63" s="435" t="s">
        <v>76</v>
      </c>
      <c r="T63" s="436"/>
      <c r="U63" s="436"/>
      <c r="V63" s="436"/>
      <c r="W63" s="436"/>
      <c r="X63" s="436"/>
      <c r="Y63" s="436"/>
      <c r="Z63" s="437"/>
      <c r="AA63" s="435" t="s">
        <v>77</v>
      </c>
      <c r="AB63" s="436"/>
      <c r="AC63" s="436"/>
      <c r="AD63" s="436"/>
      <c r="AE63" s="436"/>
      <c r="AF63" s="436"/>
      <c r="AG63" s="436"/>
      <c r="AH63" s="437"/>
      <c r="AI63" s="435" t="s">
        <v>75</v>
      </c>
      <c r="AJ63" s="436"/>
      <c r="AK63" s="436"/>
      <c r="AL63" s="436"/>
      <c r="AM63" s="436"/>
      <c r="AN63" s="436"/>
      <c r="AO63" s="436"/>
      <c r="AP63" s="437"/>
      <c r="AQ63" s="435" t="s">
        <v>82</v>
      </c>
      <c r="AR63" s="436"/>
      <c r="AS63" s="436"/>
      <c r="AT63" s="436"/>
      <c r="AU63" s="436"/>
      <c r="AV63" s="436"/>
      <c r="AW63" s="436"/>
      <c r="AX63" s="437"/>
      <c r="AY63" s="435" t="s">
        <v>83</v>
      </c>
      <c r="AZ63" s="436"/>
      <c r="BA63" s="436"/>
      <c r="BB63" s="436"/>
      <c r="BC63" s="436"/>
      <c r="BD63" s="436"/>
      <c r="BE63" s="436"/>
      <c r="BF63" s="437"/>
      <c r="BG63" s="438" t="s">
        <v>119</v>
      </c>
      <c r="BH63" s="439"/>
      <c r="BI63" s="439"/>
      <c r="BJ63" s="439"/>
      <c r="BK63" s="439"/>
      <c r="BL63" s="439"/>
      <c r="BM63" s="439"/>
      <c r="BN63" s="440"/>
      <c r="BO63" s="427" t="s">
        <v>264</v>
      </c>
      <c r="BP63" s="428"/>
      <c r="BQ63" s="428"/>
      <c r="BR63" s="429"/>
      <c r="BS63" s="433" t="s">
        <v>79</v>
      </c>
      <c r="BT63" s="434"/>
      <c r="BU63" s="425" t="s">
        <v>80</v>
      </c>
      <c r="BV63" s="425" t="s">
        <v>265</v>
      </c>
    </row>
    <row r="64" spans="1:74" s="33" customFormat="1" ht="23.25" customHeight="1" thickBot="1" x14ac:dyDescent="0.3">
      <c r="A64" s="465"/>
      <c r="B64" s="466"/>
      <c r="C64" s="445"/>
      <c r="D64" s="240" t="s">
        <v>48</v>
      </c>
      <c r="E64" s="218" t="s">
        <v>49</v>
      </c>
      <c r="F64" s="241" t="s">
        <v>50</v>
      </c>
      <c r="G64" s="257" t="s">
        <v>48</v>
      </c>
      <c r="H64" s="218" t="s">
        <v>49</v>
      </c>
      <c r="I64" s="218" t="s">
        <v>50</v>
      </c>
      <c r="J64" s="445"/>
      <c r="K64" s="446" t="s">
        <v>3</v>
      </c>
      <c r="L64" s="447"/>
      <c r="M64" s="447"/>
      <c r="N64" s="448"/>
      <c r="O64" s="446" t="s">
        <v>4</v>
      </c>
      <c r="P64" s="447"/>
      <c r="Q64" s="447"/>
      <c r="R64" s="448"/>
      <c r="S64" s="446" t="s">
        <v>3</v>
      </c>
      <c r="T64" s="447"/>
      <c r="U64" s="447"/>
      <c r="V64" s="448"/>
      <c r="W64" s="446" t="s">
        <v>4</v>
      </c>
      <c r="X64" s="447"/>
      <c r="Y64" s="447"/>
      <c r="Z64" s="448"/>
      <c r="AA64" s="446" t="s">
        <v>3</v>
      </c>
      <c r="AB64" s="447"/>
      <c r="AC64" s="447"/>
      <c r="AD64" s="448"/>
      <c r="AE64" s="446" t="s">
        <v>4</v>
      </c>
      <c r="AF64" s="447"/>
      <c r="AG64" s="447"/>
      <c r="AH64" s="448"/>
      <c r="AI64" s="435" t="s">
        <v>3</v>
      </c>
      <c r="AJ64" s="436"/>
      <c r="AK64" s="436"/>
      <c r="AL64" s="437"/>
      <c r="AM64" s="435" t="s">
        <v>4</v>
      </c>
      <c r="AN64" s="436"/>
      <c r="AO64" s="436"/>
      <c r="AP64" s="437"/>
      <c r="AQ64" s="435" t="s">
        <v>3</v>
      </c>
      <c r="AR64" s="436"/>
      <c r="AS64" s="436"/>
      <c r="AT64" s="437"/>
      <c r="AU64" s="435" t="s">
        <v>4</v>
      </c>
      <c r="AV64" s="436"/>
      <c r="AW64" s="436"/>
      <c r="AX64" s="437"/>
      <c r="AY64" s="435" t="s">
        <v>3</v>
      </c>
      <c r="AZ64" s="436"/>
      <c r="BA64" s="436"/>
      <c r="BB64" s="437"/>
      <c r="BC64" s="435" t="s">
        <v>4</v>
      </c>
      <c r="BD64" s="436"/>
      <c r="BE64" s="436"/>
      <c r="BF64" s="437"/>
      <c r="BG64" s="435" t="s">
        <v>3</v>
      </c>
      <c r="BH64" s="436"/>
      <c r="BI64" s="436"/>
      <c r="BJ64" s="437"/>
      <c r="BK64" s="435" t="s">
        <v>4</v>
      </c>
      <c r="BL64" s="436"/>
      <c r="BM64" s="436"/>
      <c r="BN64" s="437"/>
      <c r="BO64" s="430"/>
      <c r="BP64" s="431"/>
      <c r="BQ64" s="431"/>
      <c r="BR64" s="432"/>
      <c r="BS64" s="430"/>
      <c r="BT64" s="432"/>
      <c r="BU64" s="426"/>
      <c r="BV64" s="426"/>
    </row>
    <row r="65" spans="1:74" ht="30" x14ac:dyDescent="0.25">
      <c r="A65" s="235" t="s">
        <v>0</v>
      </c>
      <c r="B65" s="236" t="s">
        <v>24</v>
      </c>
      <c r="C65" s="237" t="s">
        <v>12</v>
      </c>
      <c r="D65" s="238" t="s">
        <v>42</v>
      </c>
      <c r="E65" s="239" t="s">
        <v>42</v>
      </c>
      <c r="F65" s="250" t="s">
        <v>42</v>
      </c>
      <c r="G65" s="292">
        <f>IF(D65=$A$78,$B$78,(IF(D65=$A$79,$B$79,IF(D65=$A$80,$B$80,$B$81))))</f>
        <v>1</v>
      </c>
      <c r="H65" s="289">
        <f t="shared" ref="H65:I74" si="46">IF(E65=$A$78,$B$78,(IF(E65=$A$79,$B$79,IF(E65=$A$80,$B$80,$B$81))))</f>
        <v>1</v>
      </c>
      <c r="I65" s="289">
        <f t="shared" si="46"/>
        <v>1</v>
      </c>
      <c r="J65" s="14">
        <f>G65*$D$92+H65*$D$93+I65*$D$94</f>
        <v>21.5</v>
      </c>
      <c r="K65" s="110">
        <v>0.77</v>
      </c>
      <c r="L65" s="234">
        <v>1</v>
      </c>
      <c r="M65" s="234">
        <v>1</v>
      </c>
      <c r="N65" s="140">
        <v>1</v>
      </c>
      <c r="O65" s="234">
        <v>0.8</v>
      </c>
      <c r="P65" s="234">
        <v>1</v>
      </c>
      <c r="Q65" s="234">
        <v>1</v>
      </c>
      <c r="R65" s="234">
        <v>1</v>
      </c>
      <c r="S65" s="110">
        <v>0.77</v>
      </c>
      <c r="T65" s="234">
        <v>1</v>
      </c>
      <c r="U65" s="234">
        <v>1</v>
      </c>
      <c r="V65" s="140">
        <v>1</v>
      </c>
      <c r="W65" s="110">
        <v>0.8</v>
      </c>
      <c r="X65" s="234">
        <v>1</v>
      </c>
      <c r="Y65" s="234">
        <v>1</v>
      </c>
      <c r="Z65" s="140">
        <v>1</v>
      </c>
      <c r="AA65" s="110">
        <v>0.77</v>
      </c>
      <c r="AB65" s="234">
        <v>1</v>
      </c>
      <c r="AC65" s="234">
        <v>1</v>
      </c>
      <c r="AD65" s="140">
        <v>1</v>
      </c>
      <c r="AE65" s="110">
        <v>0.8</v>
      </c>
      <c r="AF65" s="234">
        <v>1</v>
      </c>
      <c r="AG65" s="234">
        <v>1</v>
      </c>
      <c r="AH65" s="234">
        <v>1</v>
      </c>
      <c r="AI65" s="110">
        <v>4.2750000000000004</v>
      </c>
      <c r="AJ65" s="234">
        <v>7.5</v>
      </c>
      <c r="AK65" s="234">
        <v>8.5</v>
      </c>
      <c r="AL65" s="234">
        <v>8.5</v>
      </c>
      <c r="AM65" s="110">
        <v>5</v>
      </c>
      <c r="AN65" s="234">
        <v>7.5</v>
      </c>
      <c r="AO65" s="234">
        <v>8.5</v>
      </c>
      <c r="AP65" s="234">
        <v>8.5</v>
      </c>
      <c r="AQ65" s="110">
        <v>2.3499999999999996</v>
      </c>
      <c r="AR65" s="234">
        <v>5</v>
      </c>
      <c r="AS65" s="234">
        <v>6</v>
      </c>
      <c r="AT65" s="234">
        <v>7.5</v>
      </c>
      <c r="AU65" s="110">
        <v>3</v>
      </c>
      <c r="AV65" s="234">
        <v>5</v>
      </c>
      <c r="AW65" s="234">
        <v>6</v>
      </c>
      <c r="AX65" s="140">
        <v>7</v>
      </c>
      <c r="AY65" s="110">
        <v>4.2750000000000004</v>
      </c>
      <c r="AZ65" s="234">
        <v>7.5</v>
      </c>
      <c r="BA65" s="234">
        <v>8.5</v>
      </c>
      <c r="BB65" s="234">
        <v>8.5</v>
      </c>
      <c r="BC65" s="110">
        <v>5</v>
      </c>
      <c r="BD65" s="234">
        <v>7.5</v>
      </c>
      <c r="BE65" s="234">
        <v>8.5</v>
      </c>
      <c r="BF65" s="234">
        <v>8.5</v>
      </c>
      <c r="BG65" s="110">
        <f>AI65+AQ65+AY65</f>
        <v>10.9</v>
      </c>
      <c r="BH65" s="234">
        <f t="shared" ref="BH65:BN74" si="47">AJ65+AR65+AZ65</f>
        <v>20</v>
      </c>
      <c r="BI65" s="234">
        <f t="shared" si="47"/>
        <v>23</v>
      </c>
      <c r="BJ65" s="234">
        <f t="shared" si="47"/>
        <v>24.5</v>
      </c>
      <c r="BK65" s="110">
        <f t="shared" si="47"/>
        <v>13</v>
      </c>
      <c r="BL65" s="234">
        <f t="shared" si="47"/>
        <v>20</v>
      </c>
      <c r="BM65" s="234">
        <f t="shared" si="47"/>
        <v>23</v>
      </c>
      <c r="BN65" s="234">
        <f t="shared" si="47"/>
        <v>24</v>
      </c>
      <c r="BO65" s="110">
        <f>(1-$BO$62)*BG65+$BO$62*BK65</f>
        <v>12.16</v>
      </c>
      <c r="BP65" s="234">
        <f>(1-$BO$62)*BH65+$BO$62*BL65</f>
        <v>20</v>
      </c>
      <c r="BQ65" s="234">
        <f>(1-$BO$62)*BI65+$BO$62*BM65</f>
        <v>23</v>
      </c>
      <c r="BR65" s="234">
        <f>(1-$BO$62)*BJ65+$BO$62*BN65</f>
        <v>24.2</v>
      </c>
      <c r="BS65" s="110">
        <f>$BS$62*BP65+(1-$BS$62)*BO65</f>
        <v>18.431999999999999</v>
      </c>
      <c r="BT65" s="140">
        <f>$BS$62*BQ65+(1-$BS$62)*BR65</f>
        <v>23.240000000000002</v>
      </c>
      <c r="BU65" s="140">
        <f>(BS65+BT65)/2</f>
        <v>20.835999999999999</v>
      </c>
      <c r="BV65" s="140">
        <f>BU65</f>
        <v>20.835999999999999</v>
      </c>
    </row>
    <row r="66" spans="1:74" x14ac:dyDescent="0.25">
      <c r="A66" s="226" t="s">
        <v>1</v>
      </c>
      <c r="B66" s="222" t="s">
        <v>13</v>
      </c>
      <c r="C66" s="227" t="s">
        <v>27</v>
      </c>
      <c r="D66" s="72" t="s">
        <v>45</v>
      </c>
      <c r="E66" s="73" t="s">
        <v>42</v>
      </c>
      <c r="F66" s="251" t="s">
        <v>42</v>
      </c>
      <c r="G66" s="293">
        <f t="shared" ref="G66:G74" si="48">IF(D66=$A$78,$B$78,(IF(D66=$A$79,$B$79,IF(D66=$A$80,$B$80,$B$81))))</f>
        <v>0</v>
      </c>
      <c r="H66" s="290">
        <f t="shared" si="46"/>
        <v>1</v>
      </c>
      <c r="I66" s="290">
        <f t="shared" si="46"/>
        <v>1</v>
      </c>
      <c r="J66" s="104">
        <f t="shared" ref="J66:J74" si="49">G66*$D$92+H66*$D$93+I66*$D$94</f>
        <v>13.5</v>
      </c>
      <c r="K66" s="111">
        <v>0</v>
      </c>
      <c r="L66" s="97">
        <v>0</v>
      </c>
      <c r="M66" s="97">
        <v>0</v>
      </c>
      <c r="N66" s="142">
        <v>0.22</v>
      </c>
      <c r="O66" s="97">
        <v>0</v>
      </c>
      <c r="P66" s="97">
        <v>0</v>
      </c>
      <c r="Q66" s="97">
        <v>0</v>
      </c>
      <c r="R66" s="97">
        <v>0.15</v>
      </c>
      <c r="S66" s="111">
        <v>0.77</v>
      </c>
      <c r="T66" s="97">
        <v>1</v>
      </c>
      <c r="U66" s="97">
        <v>1</v>
      </c>
      <c r="V66" s="142">
        <v>1</v>
      </c>
      <c r="W66" s="111">
        <v>0.8</v>
      </c>
      <c r="X66" s="97">
        <v>1</v>
      </c>
      <c r="Y66" s="97">
        <v>1</v>
      </c>
      <c r="Z66" s="142">
        <v>1</v>
      </c>
      <c r="AA66" s="111">
        <v>0.77</v>
      </c>
      <c r="AB66" s="97">
        <v>1</v>
      </c>
      <c r="AC66" s="97">
        <v>1</v>
      </c>
      <c r="AD66" s="142">
        <v>1</v>
      </c>
      <c r="AE66" s="111">
        <v>0.8</v>
      </c>
      <c r="AF66" s="97">
        <v>1</v>
      </c>
      <c r="AG66" s="97">
        <v>1</v>
      </c>
      <c r="AH66" s="97">
        <v>1</v>
      </c>
      <c r="AI66" s="111">
        <v>0</v>
      </c>
      <c r="AJ66" s="97">
        <v>0</v>
      </c>
      <c r="AK66" s="97">
        <v>0</v>
      </c>
      <c r="AL66" s="97">
        <v>1.87</v>
      </c>
      <c r="AM66" s="111">
        <v>0</v>
      </c>
      <c r="AN66" s="97">
        <v>0</v>
      </c>
      <c r="AO66" s="97">
        <v>0</v>
      </c>
      <c r="AP66" s="97">
        <v>1.2749999999999999</v>
      </c>
      <c r="AQ66" s="111">
        <v>2.3499999999999996</v>
      </c>
      <c r="AR66" s="97">
        <v>5</v>
      </c>
      <c r="AS66" s="97">
        <v>6</v>
      </c>
      <c r="AT66" s="97">
        <v>7.5</v>
      </c>
      <c r="AU66" s="111">
        <v>3</v>
      </c>
      <c r="AV66" s="97">
        <v>5</v>
      </c>
      <c r="AW66" s="97">
        <v>6</v>
      </c>
      <c r="AX66" s="142">
        <v>7</v>
      </c>
      <c r="AY66" s="111">
        <v>4.2750000000000004</v>
      </c>
      <c r="AZ66" s="97">
        <v>7.5</v>
      </c>
      <c r="BA66" s="97">
        <v>8.5</v>
      </c>
      <c r="BB66" s="97">
        <v>8.5</v>
      </c>
      <c r="BC66" s="111">
        <v>5</v>
      </c>
      <c r="BD66" s="97">
        <v>7.5</v>
      </c>
      <c r="BE66" s="97">
        <v>8.5</v>
      </c>
      <c r="BF66" s="97">
        <v>8.5</v>
      </c>
      <c r="BG66" s="111">
        <f t="shared" ref="BG66:BG74" si="50">AI66+AQ66+AY66</f>
        <v>6.625</v>
      </c>
      <c r="BH66" s="97">
        <f t="shared" si="47"/>
        <v>12.5</v>
      </c>
      <c r="BI66" s="97">
        <f t="shared" si="47"/>
        <v>14.5</v>
      </c>
      <c r="BJ66" s="97">
        <f t="shared" si="47"/>
        <v>17.87</v>
      </c>
      <c r="BK66" s="111">
        <f t="shared" si="47"/>
        <v>8</v>
      </c>
      <c r="BL66" s="97">
        <f t="shared" si="47"/>
        <v>12.5</v>
      </c>
      <c r="BM66" s="97">
        <f t="shared" si="47"/>
        <v>14.5</v>
      </c>
      <c r="BN66" s="97">
        <f t="shared" si="47"/>
        <v>16.774999999999999</v>
      </c>
      <c r="BO66" s="111">
        <f t="shared" ref="BO66:BO74" si="51">(1-$BO$62)*BG66+$BO$62*BK66</f>
        <v>7.45</v>
      </c>
      <c r="BP66" s="97">
        <f t="shared" ref="BP66:BP74" si="52">(1-$BO$62)*BH66+$BO$62*BL66</f>
        <v>12.5</v>
      </c>
      <c r="BQ66" s="97">
        <f t="shared" ref="BQ66:BQ74" si="53">(1-$BO$62)*BI66+$BO$62*BM66</f>
        <v>14.5</v>
      </c>
      <c r="BR66" s="97">
        <f t="shared" ref="BR66:BR74" si="54">(1-$BO$62)*BJ66+$BO$62*BN66</f>
        <v>17.213000000000001</v>
      </c>
      <c r="BS66" s="111">
        <f t="shared" ref="BS66:BS74" si="55">$BS$62*BP66+(1-$BS$62)*BO66</f>
        <v>11.49</v>
      </c>
      <c r="BT66" s="142">
        <f t="shared" ref="BT66:BT74" si="56">$BS$62*BQ66+(1-$BS$62)*BR66</f>
        <v>15.0426</v>
      </c>
      <c r="BU66" s="142">
        <f t="shared" ref="BU66:BU74" si="57">(BS66+BT66)/2</f>
        <v>13.266300000000001</v>
      </c>
      <c r="BV66" s="142">
        <f>BU66</f>
        <v>13.266300000000001</v>
      </c>
    </row>
    <row r="67" spans="1:74" x14ac:dyDescent="0.25">
      <c r="A67" s="226" t="s">
        <v>2</v>
      </c>
      <c r="B67" s="222" t="s">
        <v>14</v>
      </c>
      <c r="C67" s="227" t="s">
        <v>28</v>
      </c>
      <c r="D67" s="72" t="s">
        <v>43</v>
      </c>
      <c r="E67" s="73" t="s">
        <v>44</v>
      </c>
      <c r="F67" s="251" t="s">
        <v>45</v>
      </c>
      <c r="G67" s="293">
        <f t="shared" si="48"/>
        <v>0.66</v>
      </c>
      <c r="H67" s="290">
        <f t="shared" si="46"/>
        <v>0.33</v>
      </c>
      <c r="I67" s="290">
        <f t="shared" si="46"/>
        <v>0</v>
      </c>
      <c r="J67" s="104">
        <f t="shared" si="49"/>
        <v>7.0950000000000006</v>
      </c>
      <c r="K67" s="111">
        <v>0.44000000000000006</v>
      </c>
      <c r="L67" s="97">
        <v>0.55000000000000004</v>
      </c>
      <c r="M67" s="97">
        <v>0.77</v>
      </c>
      <c r="N67" s="142">
        <v>0.89</v>
      </c>
      <c r="O67" s="97">
        <v>0.47000000000000003</v>
      </c>
      <c r="P67" s="97">
        <v>0.55000000000000004</v>
      </c>
      <c r="Q67" s="97">
        <v>0.77</v>
      </c>
      <c r="R67" s="97">
        <v>0.86</v>
      </c>
      <c r="S67" s="111">
        <v>0</v>
      </c>
      <c r="T67" s="97">
        <v>0.22000000000000003</v>
      </c>
      <c r="U67" s="97">
        <v>0.44</v>
      </c>
      <c r="V67" s="142">
        <v>0.55000000000000004</v>
      </c>
      <c r="W67" s="111">
        <v>0.06</v>
      </c>
      <c r="X67" s="97">
        <v>0.22000000000000003</v>
      </c>
      <c r="Y67" s="97">
        <v>0.44</v>
      </c>
      <c r="Z67" s="142">
        <v>0.52</v>
      </c>
      <c r="AA67" s="111">
        <v>0</v>
      </c>
      <c r="AB67" s="97">
        <v>0</v>
      </c>
      <c r="AC67" s="97">
        <v>0</v>
      </c>
      <c r="AD67" s="142">
        <v>0.22</v>
      </c>
      <c r="AE67" s="111">
        <v>0</v>
      </c>
      <c r="AF67" s="97">
        <v>0</v>
      </c>
      <c r="AG67" s="97">
        <v>0</v>
      </c>
      <c r="AH67" s="97">
        <v>0.15</v>
      </c>
      <c r="AI67" s="111">
        <v>2.4750000000000005</v>
      </c>
      <c r="AJ67" s="97">
        <v>4.125</v>
      </c>
      <c r="AK67" s="97">
        <v>6.5449999999999999</v>
      </c>
      <c r="AL67" s="97">
        <v>7.5649999999999995</v>
      </c>
      <c r="AM67" s="111">
        <v>2.9750000000000005</v>
      </c>
      <c r="AN67" s="97">
        <v>4.125</v>
      </c>
      <c r="AO67" s="97">
        <v>6.5449999999999999</v>
      </c>
      <c r="AP67" s="97">
        <v>7.3100000000000005</v>
      </c>
      <c r="AQ67" s="111">
        <v>0</v>
      </c>
      <c r="AR67" s="97">
        <v>1.1000000000000001</v>
      </c>
      <c r="AS67" s="97">
        <v>2.64</v>
      </c>
      <c r="AT67" s="97">
        <v>3.9599999999999995</v>
      </c>
      <c r="AU67" s="111">
        <v>8.0000000000000071E-2</v>
      </c>
      <c r="AV67" s="97">
        <v>1.1000000000000001</v>
      </c>
      <c r="AW67" s="97">
        <v>2.64</v>
      </c>
      <c r="AX67" s="142">
        <v>3.56</v>
      </c>
      <c r="AY67" s="111">
        <v>0</v>
      </c>
      <c r="AZ67" s="97">
        <v>0</v>
      </c>
      <c r="BA67" s="97">
        <v>0</v>
      </c>
      <c r="BB67" s="97">
        <v>1.87</v>
      </c>
      <c r="BC67" s="111">
        <v>0</v>
      </c>
      <c r="BD67" s="97">
        <v>0</v>
      </c>
      <c r="BE67" s="97">
        <v>0</v>
      </c>
      <c r="BF67" s="97">
        <v>1.2749999999999999</v>
      </c>
      <c r="BG67" s="111">
        <f t="shared" si="50"/>
        <v>2.4750000000000005</v>
      </c>
      <c r="BH67" s="97">
        <f t="shared" si="47"/>
        <v>5.2249999999999996</v>
      </c>
      <c r="BI67" s="97">
        <f t="shared" si="47"/>
        <v>9.1850000000000005</v>
      </c>
      <c r="BJ67" s="97">
        <f t="shared" si="47"/>
        <v>13.395</v>
      </c>
      <c r="BK67" s="111">
        <f t="shared" si="47"/>
        <v>3.0550000000000006</v>
      </c>
      <c r="BL67" s="97">
        <f t="shared" si="47"/>
        <v>5.2249999999999996</v>
      </c>
      <c r="BM67" s="97">
        <f t="shared" si="47"/>
        <v>9.1850000000000005</v>
      </c>
      <c r="BN67" s="97">
        <f t="shared" si="47"/>
        <v>12.145000000000001</v>
      </c>
      <c r="BO67" s="111">
        <f t="shared" si="51"/>
        <v>2.8230000000000004</v>
      </c>
      <c r="BP67" s="97">
        <f t="shared" si="52"/>
        <v>5.2249999999999996</v>
      </c>
      <c r="BQ67" s="97">
        <f t="shared" si="53"/>
        <v>9.1850000000000005</v>
      </c>
      <c r="BR67" s="97">
        <f t="shared" si="54"/>
        <v>12.645000000000001</v>
      </c>
      <c r="BS67" s="111">
        <f t="shared" si="55"/>
        <v>4.7446000000000002</v>
      </c>
      <c r="BT67" s="142">
        <f t="shared" si="56"/>
        <v>9.8770000000000007</v>
      </c>
      <c r="BU67" s="142">
        <f t="shared" si="57"/>
        <v>7.3108000000000004</v>
      </c>
      <c r="BV67" s="142">
        <f>BU67</f>
        <v>7.3108000000000004</v>
      </c>
    </row>
    <row r="68" spans="1:74" x14ac:dyDescent="0.25">
      <c r="A68" s="226" t="s">
        <v>5</v>
      </c>
      <c r="B68" s="222" t="s">
        <v>15</v>
      </c>
      <c r="C68" s="227" t="s">
        <v>16</v>
      </c>
      <c r="D68" s="72" t="s">
        <v>42</v>
      </c>
      <c r="E68" s="73" t="s">
        <v>42</v>
      </c>
      <c r="F68" s="251" t="s">
        <v>42</v>
      </c>
      <c r="G68" s="293">
        <f t="shared" si="48"/>
        <v>1</v>
      </c>
      <c r="H68" s="290">
        <f t="shared" si="46"/>
        <v>1</v>
      </c>
      <c r="I68" s="290">
        <f t="shared" si="46"/>
        <v>1</v>
      </c>
      <c r="J68" s="104">
        <f t="shared" si="49"/>
        <v>21.5</v>
      </c>
      <c r="K68" s="111">
        <v>0.77</v>
      </c>
      <c r="L68" s="97">
        <v>1</v>
      </c>
      <c r="M68" s="97">
        <v>1</v>
      </c>
      <c r="N68" s="142">
        <v>1</v>
      </c>
      <c r="O68" s="97">
        <v>0.8</v>
      </c>
      <c r="P68" s="97">
        <v>1</v>
      </c>
      <c r="Q68" s="97">
        <v>1</v>
      </c>
      <c r="R68" s="97">
        <v>1</v>
      </c>
      <c r="S68" s="111">
        <v>0.77</v>
      </c>
      <c r="T68" s="97">
        <v>1</v>
      </c>
      <c r="U68" s="97">
        <v>1</v>
      </c>
      <c r="V68" s="142">
        <v>1</v>
      </c>
      <c r="W68" s="111">
        <v>0.8</v>
      </c>
      <c r="X68" s="97">
        <v>1</v>
      </c>
      <c r="Y68" s="97">
        <v>1</v>
      </c>
      <c r="Z68" s="142">
        <v>1</v>
      </c>
      <c r="AA68" s="111">
        <v>0.77</v>
      </c>
      <c r="AB68" s="97">
        <v>1</v>
      </c>
      <c r="AC68" s="97">
        <v>1</v>
      </c>
      <c r="AD68" s="142">
        <v>1</v>
      </c>
      <c r="AE68" s="111">
        <v>0.8</v>
      </c>
      <c r="AF68" s="97">
        <v>1</v>
      </c>
      <c r="AG68" s="97">
        <v>1</v>
      </c>
      <c r="AH68" s="97">
        <v>1</v>
      </c>
      <c r="AI68" s="111">
        <v>4.2750000000000004</v>
      </c>
      <c r="AJ68" s="97">
        <v>7.5</v>
      </c>
      <c r="AK68" s="97">
        <v>8.5</v>
      </c>
      <c r="AL68" s="97">
        <v>8.5</v>
      </c>
      <c r="AM68" s="111">
        <v>5</v>
      </c>
      <c r="AN68" s="97">
        <v>7.5</v>
      </c>
      <c r="AO68" s="97">
        <v>8.5</v>
      </c>
      <c r="AP68" s="97">
        <v>8.5</v>
      </c>
      <c r="AQ68" s="111">
        <v>2.3499999999999996</v>
      </c>
      <c r="AR68" s="97">
        <v>5</v>
      </c>
      <c r="AS68" s="97">
        <v>6</v>
      </c>
      <c r="AT68" s="97">
        <v>7.5</v>
      </c>
      <c r="AU68" s="111">
        <v>3</v>
      </c>
      <c r="AV68" s="97">
        <v>5</v>
      </c>
      <c r="AW68" s="97">
        <v>6</v>
      </c>
      <c r="AX68" s="142">
        <v>7</v>
      </c>
      <c r="AY68" s="111">
        <v>4.2750000000000004</v>
      </c>
      <c r="AZ68" s="97">
        <v>7.5</v>
      </c>
      <c r="BA68" s="97">
        <v>8.5</v>
      </c>
      <c r="BB68" s="97">
        <v>8.5</v>
      </c>
      <c r="BC68" s="111">
        <v>5</v>
      </c>
      <c r="BD68" s="97">
        <v>7.5</v>
      </c>
      <c r="BE68" s="97">
        <v>8.5</v>
      </c>
      <c r="BF68" s="97">
        <v>8.5</v>
      </c>
      <c r="BG68" s="111">
        <f t="shared" si="50"/>
        <v>10.9</v>
      </c>
      <c r="BH68" s="97">
        <f t="shared" si="47"/>
        <v>20</v>
      </c>
      <c r="BI68" s="97">
        <f t="shared" si="47"/>
        <v>23</v>
      </c>
      <c r="BJ68" s="97">
        <f t="shared" si="47"/>
        <v>24.5</v>
      </c>
      <c r="BK68" s="111">
        <f t="shared" si="47"/>
        <v>13</v>
      </c>
      <c r="BL68" s="97">
        <f t="shared" si="47"/>
        <v>20</v>
      </c>
      <c r="BM68" s="97">
        <f t="shared" si="47"/>
        <v>23</v>
      </c>
      <c r="BN68" s="97">
        <f t="shared" si="47"/>
        <v>24</v>
      </c>
      <c r="BO68" s="111">
        <f t="shared" si="51"/>
        <v>12.16</v>
      </c>
      <c r="BP68" s="97">
        <f t="shared" si="52"/>
        <v>20</v>
      </c>
      <c r="BQ68" s="97">
        <f t="shared" si="53"/>
        <v>23</v>
      </c>
      <c r="BR68" s="97">
        <f t="shared" si="54"/>
        <v>24.2</v>
      </c>
      <c r="BS68" s="111">
        <f t="shared" si="55"/>
        <v>18.431999999999999</v>
      </c>
      <c r="BT68" s="142">
        <f t="shared" si="56"/>
        <v>23.240000000000002</v>
      </c>
      <c r="BU68" s="142">
        <f t="shared" si="57"/>
        <v>20.835999999999999</v>
      </c>
      <c r="BV68" s="142">
        <f>BU65</f>
        <v>20.835999999999999</v>
      </c>
    </row>
    <row r="69" spans="1:74" ht="30" x14ac:dyDescent="0.25">
      <c r="A69" s="226" t="s">
        <v>6</v>
      </c>
      <c r="B69" s="222" t="s">
        <v>17</v>
      </c>
      <c r="C69" s="227" t="s">
        <v>29</v>
      </c>
      <c r="D69" s="72" t="s">
        <v>43</v>
      </c>
      <c r="E69" s="73" t="s">
        <v>43</v>
      </c>
      <c r="F69" s="251" t="s">
        <v>43</v>
      </c>
      <c r="G69" s="293">
        <f t="shared" si="48"/>
        <v>0.66</v>
      </c>
      <c r="H69" s="290">
        <f t="shared" si="46"/>
        <v>0.66</v>
      </c>
      <c r="I69" s="290">
        <f t="shared" si="46"/>
        <v>0.66</v>
      </c>
      <c r="J69" s="104">
        <f t="shared" si="49"/>
        <v>14.190000000000001</v>
      </c>
      <c r="K69" s="111">
        <v>0.44000000000000006</v>
      </c>
      <c r="L69" s="97">
        <v>0.55000000000000004</v>
      </c>
      <c r="M69" s="97">
        <v>0.77</v>
      </c>
      <c r="N69" s="142">
        <v>0.89</v>
      </c>
      <c r="O69" s="97">
        <v>0.47000000000000003</v>
      </c>
      <c r="P69" s="97">
        <v>0.55000000000000004</v>
      </c>
      <c r="Q69" s="97">
        <v>0.77</v>
      </c>
      <c r="R69" s="97">
        <v>0.86</v>
      </c>
      <c r="S69" s="111">
        <v>0.44000000000000006</v>
      </c>
      <c r="T69" s="97">
        <v>0.55000000000000004</v>
      </c>
      <c r="U69" s="97">
        <v>0.77</v>
      </c>
      <c r="V69" s="142">
        <v>0.89</v>
      </c>
      <c r="W69" s="111">
        <v>0.47000000000000003</v>
      </c>
      <c r="X69" s="97">
        <v>0.55000000000000004</v>
      </c>
      <c r="Y69" s="97">
        <v>0.77</v>
      </c>
      <c r="Z69" s="142">
        <v>0.86</v>
      </c>
      <c r="AA69" s="111">
        <v>0.44000000000000006</v>
      </c>
      <c r="AB69" s="97">
        <v>0.55000000000000004</v>
      </c>
      <c r="AC69" s="97">
        <v>0.77</v>
      </c>
      <c r="AD69" s="142">
        <v>0.89</v>
      </c>
      <c r="AE69" s="111">
        <v>0.47000000000000003</v>
      </c>
      <c r="AF69" s="97">
        <v>0.55000000000000004</v>
      </c>
      <c r="AG69" s="97">
        <v>0.77</v>
      </c>
      <c r="AH69" s="97">
        <v>0.86</v>
      </c>
      <c r="AI69" s="111">
        <v>2.4750000000000005</v>
      </c>
      <c r="AJ69" s="97">
        <v>4.125</v>
      </c>
      <c r="AK69" s="97">
        <v>6.5449999999999999</v>
      </c>
      <c r="AL69" s="97">
        <v>7.5649999999999995</v>
      </c>
      <c r="AM69" s="111">
        <v>2.9750000000000005</v>
      </c>
      <c r="AN69" s="97">
        <v>4.125</v>
      </c>
      <c r="AO69" s="97">
        <v>6.5449999999999999</v>
      </c>
      <c r="AP69" s="97">
        <v>7.3100000000000005</v>
      </c>
      <c r="AQ69" s="111">
        <v>1.375</v>
      </c>
      <c r="AR69" s="97">
        <v>2.75</v>
      </c>
      <c r="AS69" s="97">
        <v>4.62</v>
      </c>
      <c r="AT69" s="97">
        <v>6.4950000000000001</v>
      </c>
      <c r="AU69" s="111">
        <v>1.8000000000000007</v>
      </c>
      <c r="AV69" s="97">
        <v>2.75</v>
      </c>
      <c r="AW69" s="97">
        <v>4.62</v>
      </c>
      <c r="AX69" s="142">
        <v>5.9300000000000006</v>
      </c>
      <c r="AY69" s="111">
        <v>2.4750000000000005</v>
      </c>
      <c r="AZ69" s="97">
        <v>4.125</v>
      </c>
      <c r="BA69" s="97">
        <v>6.5449999999999999</v>
      </c>
      <c r="BB69" s="97">
        <v>7.5649999999999995</v>
      </c>
      <c r="BC69" s="111">
        <v>2.9750000000000005</v>
      </c>
      <c r="BD69" s="97">
        <v>4.125</v>
      </c>
      <c r="BE69" s="97">
        <v>6.5449999999999999</v>
      </c>
      <c r="BF69" s="97">
        <v>7.3100000000000005</v>
      </c>
      <c r="BG69" s="111">
        <f t="shared" si="50"/>
        <v>6.3250000000000011</v>
      </c>
      <c r="BH69" s="97">
        <f t="shared" si="47"/>
        <v>11</v>
      </c>
      <c r="BI69" s="97">
        <f t="shared" si="47"/>
        <v>17.71</v>
      </c>
      <c r="BJ69" s="97">
        <f t="shared" si="47"/>
        <v>21.625</v>
      </c>
      <c r="BK69" s="111">
        <f t="shared" si="47"/>
        <v>7.7500000000000018</v>
      </c>
      <c r="BL69" s="97">
        <f t="shared" si="47"/>
        <v>11</v>
      </c>
      <c r="BM69" s="97">
        <f t="shared" si="47"/>
        <v>17.71</v>
      </c>
      <c r="BN69" s="97">
        <f t="shared" si="47"/>
        <v>20.550000000000004</v>
      </c>
      <c r="BO69" s="111">
        <f t="shared" si="51"/>
        <v>7.1800000000000015</v>
      </c>
      <c r="BP69" s="97">
        <f t="shared" si="52"/>
        <v>11</v>
      </c>
      <c r="BQ69" s="97">
        <f t="shared" si="53"/>
        <v>17.71</v>
      </c>
      <c r="BR69" s="97">
        <f t="shared" si="54"/>
        <v>20.980000000000004</v>
      </c>
      <c r="BS69" s="111">
        <f t="shared" si="55"/>
        <v>10.236000000000001</v>
      </c>
      <c r="BT69" s="142">
        <f t="shared" si="56"/>
        <v>18.364000000000001</v>
      </c>
      <c r="BU69" s="142">
        <f t="shared" si="57"/>
        <v>14.3</v>
      </c>
      <c r="BV69" s="142">
        <f>BU69</f>
        <v>14.3</v>
      </c>
    </row>
    <row r="70" spans="1:74" x14ac:dyDescent="0.25">
      <c r="A70" s="226" t="s">
        <v>7</v>
      </c>
      <c r="B70" s="222" t="s">
        <v>18</v>
      </c>
      <c r="C70" s="227" t="s">
        <v>30</v>
      </c>
      <c r="D70" s="72" t="s">
        <v>44</v>
      </c>
      <c r="E70" s="73" t="s">
        <v>43</v>
      </c>
      <c r="F70" s="251" t="s">
        <v>44</v>
      </c>
      <c r="G70" s="293">
        <f t="shared" si="48"/>
        <v>0.33</v>
      </c>
      <c r="H70" s="290">
        <f t="shared" si="46"/>
        <v>0.66</v>
      </c>
      <c r="I70" s="290">
        <f t="shared" si="46"/>
        <v>0.33</v>
      </c>
      <c r="J70" s="104">
        <f t="shared" si="49"/>
        <v>8.91</v>
      </c>
      <c r="K70" s="111">
        <v>0</v>
      </c>
      <c r="L70" s="97">
        <v>0.22000000000000003</v>
      </c>
      <c r="M70" s="97">
        <v>0.44</v>
      </c>
      <c r="N70" s="142">
        <v>0.55000000000000004</v>
      </c>
      <c r="O70" s="97">
        <v>0.06</v>
      </c>
      <c r="P70" s="97">
        <v>0.22000000000000003</v>
      </c>
      <c r="Q70" s="97">
        <v>0.44</v>
      </c>
      <c r="R70" s="97">
        <v>0.52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</v>
      </c>
      <c r="AB70" s="97">
        <v>0.22000000000000003</v>
      </c>
      <c r="AC70" s="97">
        <v>0.44</v>
      </c>
      <c r="AD70" s="142">
        <v>0.55000000000000004</v>
      </c>
      <c r="AE70" s="111">
        <v>0.06</v>
      </c>
      <c r="AF70" s="97">
        <v>0.22000000000000003</v>
      </c>
      <c r="AG70" s="97">
        <v>0.44</v>
      </c>
      <c r="AH70" s="97">
        <v>0.52</v>
      </c>
      <c r="AI70" s="111">
        <v>0</v>
      </c>
      <c r="AJ70" s="97">
        <v>1.6500000000000001</v>
      </c>
      <c r="AK70" s="97">
        <v>3.74</v>
      </c>
      <c r="AL70" s="97">
        <v>4.6750000000000007</v>
      </c>
      <c r="AM70" s="111">
        <v>0.22999999999999998</v>
      </c>
      <c r="AN70" s="97">
        <v>1.6500000000000001</v>
      </c>
      <c r="AO70" s="97">
        <v>3.74</v>
      </c>
      <c r="AP70" s="97">
        <v>4.42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0</v>
      </c>
      <c r="AZ70" s="97">
        <v>1.6500000000000001</v>
      </c>
      <c r="BA70" s="97">
        <v>3.74</v>
      </c>
      <c r="BB70" s="97">
        <v>4.6750000000000007</v>
      </c>
      <c r="BC70" s="111">
        <v>0.22999999999999998</v>
      </c>
      <c r="BD70" s="97">
        <v>1.6500000000000001</v>
      </c>
      <c r="BE70" s="97">
        <v>3.74</v>
      </c>
      <c r="BF70" s="97">
        <v>4.42</v>
      </c>
      <c r="BG70" s="111">
        <f t="shared" si="50"/>
        <v>1.375</v>
      </c>
      <c r="BH70" s="97">
        <f t="shared" si="47"/>
        <v>6.0500000000000007</v>
      </c>
      <c r="BI70" s="97">
        <f t="shared" si="47"/>
        <v>12.1</v>
      </c>
      <c r="BJ70" s="97">
        <f t="shared" si="47"/>
        <v>15.845000000000002</v>
      </c>
      <c r="BK70" s="111">
        <f t="shared" si="47"/>
        <v>2.2600000000000007</v>
      </c>
      <c r="BL70" s="97">
        <f t="shared" si="47"/>
        <v>6.0500000000000007</v>
      </c>
      <c r="BM70" s="97">
        <f t="shared" si="47"/>
        <v>12.1</v>
      </c>
      <c r="BN70" s="97">
        <f t="shared" si="47"/>
        <v>14.770000000000001</v>
      </c>
      <c r="BO70" s="111">
        <f t="shared" si="51"/>
        <v>1.9060000000000004</v>
      </c>
      <c r="BP70" s="97">
        <f t="shared" si="52"/>
        <v>6.0500000000000007</v>
      </c>
      <c r="BQ70" s="97">
        <f t="shared" si="53"/>
        <v>12.1</v>
      </c>
      <c r="BR70" s="97">
        <f t="shared" si="54"/>
        <v>15.200000000000001</v>
      </c>
      <c r="BS70" s="111">
        <f t="shared" si="55"/>
        <v>5.2212000000000005</v>
      </c>
      <c r="BT70" s="142">
        <f t="shared" si="56"/>
        <v>12.719999999999999</v>
      </c>
      <c r="BU70" s="142">
        <f t="shared" si="57"/>
        <v>8.9705999999999992</v>
      </c>
      <c r="BV70" s="142">
        <f>BU71</f>
        <v>10.832000000000001</v>
      </c>
    </row>
    <row r="71" spans="1:74" ht="30" x14ac:dyDescent="0.25">
      <c r="A71" s="226" t="s">
        <v>8</v>
      </c>
      <c r="B71" s="222" t="s">
        <v>19</v>
      </c>
      <c r="C71" s="227" t="s">
        <v>31</v>
      </c>
      <c r="D71" s="72" t="s">
        <v>43</v>
      </c>
      <c r="E71" s="73" t="s">
        <v>42</v>
      </c>
      <c r="F71" s="251" t="s">
        <v>45</v>
      </c>
      <c r="G71" s="293">
        <f t="shared" si="48"/>
        <v>0.66</v>
      </c>
      <c r="H71" s="290">
        <f t="shared" si="46"/>
        <v>1</v>
      </c>
      <c r="I71" s="290">
        <f t="shared" si="46"/>
        <v>0</v>
      </c>
      <c r="J71" s="104">
        <f t="shared" si="49"/>
        <v>10.780000000000001</v>
      </c>
      <c r="K71" s="111">
        <v>0.44000000000000006</v>
      </c>
      <c r="L71" s="97">
        <v>0.55000000000000004</v>
      </c>
      <c r="M71" s="97">
        <v>0.77</v>
      </c>
      <c r="N71" s="142">
        <v>0.89</v>
      </c>
      <c r="O71" s="97">
        <v>0.47000000000000003</v>
      </c>
      <c r="P71" s="97">
        <v>0.55000000000000004</v>
      </c>
      <c r="Q71" s="97">
        <v>0.77</v>
      </c>
      <c r="R71" s="97">
        <v>0.86</v>
      </c>
      <c r="S71" s="111">
        <v>0.77</v>
      </c>
      <c r="T71" s="97">
        <v>1</v>
      </c>
      <c r="U71" s="97">
        <v>1</v>
      </c>
      <c r="V71" s="142">
        <v>1</v>
      </c>
      <c r="W71" s="111">
        <v>0.8</v>
      </c>
      <c r="X71" s="97">
        <v>1</v>
      </c>
      <c r="Y71" s="97">
        <v>1</v>
      </c>
      <c r="Z71" s="142">
        <v>1</v>
      </c>
      <c r="AA71" s="111">
        <v>0</v>
      </c>
      <c r="AB71" s="97">
        <v>0</v>
      </c>
      <c r="AC71" s="97">
        <v>0</v>
      </c>
      <c r="AD71" s="142">
        <v>0.22</v>
      </c>
      <c r="AE71" s="111">
        <v>0</v>
      </c>
      <c r="AF71" s="97">
        <v>0</v>
      </c>
      <c r="AG71" s="97">
        <v>0</v>
      </c>
      <c r="AH71" s="97">
        <v>0.15</v>
      </c>
      <c r="AI71" s="111">
        <v>2.4750000000000005</v>
      </c>
      <c r="AJ71" s="97">
        <v>4.125</v>
      </c>
      <c r="AK71" s="97">
        <v>6.5449999999999999</v>
      </c>
      <c r="AL71" s="97">
        <v>7.5649999999999995</v>
      </c>
      <c r="AM71" s="111">
        <v>2.9750000000000005</v>
      </c>
      <c r="AN71" s="97">
        <v>4.125</v>
      </c>
      <c r="AO71" s="97">
        <v>6.5449999999999999</v>
      </c>
      <c r="AP71" s="97">
        <v>7.3100000000000005</v>
      </c>
      <c r="AQ71" s="111">
        <v>2.3499999999999996</v>
      </c>
      <c r="AR71" s="97">
        <v>5</v>
      </c>
      <c r="AS71" s="97">
        <v>6</v>
      </c>
      <c r="AT71" s="97">
        <v>7.5</v>
      </c>
      <c r="AU71" s="111">
        <v>3</v>
      </c>
      <c r="AV71" s="97">
        <v>5</v>
      </c>
      <c r="AW71" s="97">
        <v>6</v>
      </c>
      <c r="AX71" s="142">
        <v>7</v>
      </c>
      <c r="AY71" s="111">
        <v>0</v>
      </c>
      <c r="AZ71" s="97">
        <v>0</v>
      </c>
      <c r="BA71" s="97">
        <v>0</v>
      </c>
      <c r="BB71" s="97">
        <v>1.87</v>
      </c>
      <c r="BC71" s="111">
        <v>0</v>
      </c>
      <c r="BD71" s="97">
        <v>0</v>
      </c>
      <c r="BE71" s="97">
        <v>0</v>
      </c>
      <c r="BF71" s="97">
        <v>1.2749999999999999</v>
      </c>
      <c r="BG71" s="111">
        <f t="shared" si="50"/>
        <v>4.8250000000000002</v>
      </c>
      <c r="BH71" s="97">
        <f t="shared" si="47"/>
        <v>9.125</v>
      </c>
      <c r="BI71" s="97">
        <f t="shared" si="47"/>
        <v>12.545</v>
      </c>
      <c r="BJ71" s="97">
        <f t="shared" si="47"/>
        <v>16.934999999999999</v>
      </c>
      <c r="BK71" s="111">
        <f t="shared" si="47"/>
        <v>5.9750000000000005</v>
      </c>
      <c r="BL71" s="97">
        <f t="shared" si="47"/>
        <v>9.125</v>
      </c>
      <c r="BM71" s="97">
        <f t="shared" si="47"/>
        <v>12.545</v>
      </c>
      <c r="BN71" s="97">
        <f t="shared" si="47"/>
        <v>15.585000000000001</v>
      </c>
      <c r="BO71" s="111">
        <f t="shared" si="51"/>
        <v>5.5150000000000006</v>
      </c>
      <c r="BP71" s="97">
        <f t="shared" si="52"/>
        <v>9.125</v>
      </c>
      <c r="BQ71" s="97">
        <f t="shared" si="53"/>
        <v>12.545</v>
      </c>
      <c r="BR71" s="97">
        <f t="shared" si="54"/>
        <v>16.125</v>
      </c>
      <c r="BS71" s="111">
        <f t="shared" si="55"/>
        <v>8.4030000000000005</v>
      </c>
      <c r="BT71" s="142">
        <f t="shared" si="56"/>
        <v>13.261000000000001</v>
      </c>
      <c r="BU71" s="142">
        <f t="shared" si="57"/>
        <v>10.832000000000001</v>
      </c>
      <c r="BV71" s="142">
        <f>BU71</f>
        <v>10.832000000000001</v>
      </c>
    </row>
    <row r="72" spans="1:74" ht="30" x14ac:dyDescent="0.25">
      <c r="A72" s="226" t="s">
        <v>9</v>
      </c>
      <c r="B72" s="222" t="s">
        <v>20</v>
      </c>
      <c r="C72" s="227" t="s">
        <v>21</v>
      </c>
      <c r="D72" s="72" t="s">
        <v>43</v>
      </c>
      <c r="E72" s="73" t="s">
        <v>42</v>
      </c>
      <c r="F72" s="251" t="s">
        <v>43</v>
      </c>
      <c r="G72" s="293">
        <f t="shared" si="48"/>
        <v>0.66</v>
      </c>
      <c r="H72" s="290">
        <f t="shared" si="46"/>
        <v>1</v>
      </c>
      <c r="I72" s="290">
        <f t="shared" si="46"/>
        <v>0.66</v>
      </c>
      <c r="J72" s="104">
        <f t="shared" si="49"/>
        <v>16.060000000000002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0.44000000000000006</v>
      </c>
      <c r="AB72" s="97">
        <v>0.55000000000000004</v>
      </c>
      <c r="AC72" s="97">
        <v>0.77</v>
      </c>
      <c r="AD72" s="142">
        <v>0.89</v>
      </c>
      <c r="AE72" s="111">
        <v>0.47000000000000003</v>
      </c>
      <c r="AF72" s="97">
        <v>0.55000000000000004</v>
      </c>
      <c r="AG72" s="97">
        <v>0.77</v>
      </c>
      <c r="AH72" s="97">
        <v>0.86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2.4750000000000005</v>
      </c>
      <c r="AZ72" s="97">
        <v>4.125</v>
      </c>
      <c r="BA72" s="97">
        <v>6.5449999999999999</v>
      </c>
      <c r="BB72" s="97">
        <v>7.5649999999999995</v>
      </c>
      <c r="BC72" s="111">
        <v>2.9750000000000005</v>
      </c>
      <c r="BD72" s="97">
        <v>4.125</v>
      </c>
      <c r="BE72" s="97">
        <v>6.5449999999999999</v>
      </c>
      <c r="BF72" s="97">
        <v>7.3100000000000005</v>
      </c>
      <c r="BG72" s="111">
        <f t="shared" si="50"/>
        <v>7.3000000000000007</v>
      </c>
      <c r="BH72" s="97">
        <f t="shared" si="47"/>
        <v>13.25</v>
      </c>
      <c r="BI72" s="97">
        <f t="shared" si="47"/>
        <v>19.09</v>
      </c>
      <c r="BJ72" s="97">
        <f t="shared" si="47"/>
        <v>22.63</v>
      </c>
      <c r="BK72" s="111">
        <f t="shared" si="47"/>
        <v>8.9500000000000011</v>
      </c>
      <c r="BL72" s="97">
        <f t="shared" si="47"/>
        <v>13.25</v>
      </c>
      <c r="BM72" s="97">
        <f t="shared" si="47"/>
        <v>19.09</v>
      </c>
      <c r="BN72" s="97">
        <f t="shared" si="47"/>
        <v>21.62</v>
      </c>
      <c r="BO72" s="111">
        <f t="shared" si="51"/>
        <v>8.2900000000000009</v>
      </c>
      <c r="BP72" s="97">
        <f t="shared" si="52"/>
        <v>13.25</v>
      </c>
      <c r="BQ72" s="97">
        <f t="shared" si="53"/>
        <v>19.09</v>
      </c>
      <c r="BR72" s="97">
        <f t="shared" si="54"/>
        <v>22.024000000000001</v>
      </c>
      <c r="BS72" s="111">
        <f t="shared" si="55"/>
        <v>12.258000000000001</v>
      </c>
      <c r="BT72" s="142">
        <f t="shared" si="56"/>
        <v>19.6768</v>
      </c>
      <c r="BU72" s="142">
        <f t="shared" si="57"/>
        <v>15.967400000000001</v>
      </c>
      <c r="BV72" s="142">
        <f>BU72</f>
        <v>15.967400000000001</v>
      </c>
    </row>
    <row r="73" spans="1:74" ht="36.75" customHeight="1" x14ac:dyDescent="0.25">
      <c r="A73" s="226" t="s">
        <v>10</v>
      </c>
      <c r="B73" s="222" t="s">
        <v>22</v>
      </c>
      <c r="C73" s="227" t="s">
        <v>32</v>
      </c>
      <c r="D73" s="72" t="s">
        <v>45</v>
      </c>
      <c r="E73" s="73" t="s">
        <v>44</v>
      </c>
      <c r="F73" s="251" t="s">
        <v>45</v>
      </c>
      <c r="G73" s="293">
        <f t="shared" si="48"/>
        <v>0</v>
      </c>
      <c r="H73" s="290">
        <f t="shared" si="46"/>
        <v>0.33</v>
      </c>
      <c r="I73" s="290">
        <f t="shared" si="46"/>
        <v>0</v>
      </c>
      <c r="J73" s="104">
        <f t="shared" si="49"/>
        <v>1.8150000000000002</v>
      </c>
      <c r="K73" s="111">
        <v>0</v>
      </c>
      <c r="L73" s="97">
        <v>0</v>
      </c>
      <c r="M73" s="97">
        <v>0</v>
      </c>
      <c r="N73" s="142">
        <v>0.22</v>
      </c>
      <c r="O73" s="97">
        <v>0</v>
      </c>
      <c r="P73" s="97">
        <v>0</v>
      </c>
      <c r="Q73" s="97">
        <v>0</v>
      </c>
      <c r="R73" s="97">
        <v>0.15</v>
      </c>
      <c r="S73" s="111">
        <v>0</v>
      </c>
      <c r="T73" s="97">
        <v>0.22000000000000003</v>
      </c>
      <c r="U73" s="97">
        <v>0.44</v>
      </c>
      <c r="V73" s="142">
        <v>0.55000000000000004</v>
      </c>
      <c r="W73" s="111">
        <v>0.06</v>
      </c>
      <c r="X73" s="97">
        <v>0.22000000000000003</v>
      </c>
      <c r="Y73" s="97">
        <v>0.44</v>
      </c>
      <c r="Z73" s="142">
        <v>0.52</v>
      </c>
      <c r="AA73" s="111">
        <v>0</v>
      </c>
      <c r="AB73" s="97">
        <v>0</v>
      </c>
      <c r="AC73" s="97">
        <v>0</v>
      </c>
      <c r="AD73" s="142">
        <v>0.22</v>
      </c>
      <c r="AE73" s="111">
        <v>0</v>
      </c>
      <c r="AF73" s="97">
        <v>0</v>
      </c>
      <c r="AG73" s="97">
        <v>0</v>
      </c>
      <c r="AH73" s="97">
        <v>0.15</v>
      </c>
      <c r="AI73" s="111">
        <v>0</v>
      </c>
      <c r="AJ73" s="97">
        <v>0</v>
      </c>
      <c r="AK73" s="97">
        <v>0</v>
      </c>
      <c r="AL73" s="97">
        <v>1.87</v>
      </c>
      <c r="AM73" s="111">
        <v>0</v>
      </c>
      <c r="AN73" s="97">
        <v>0</v>
      </c>
      <c r="AO73" s="97">
        <v>0</v>
      </c>
      <c r="AP73" s="97">
        <v>1.2749999999999999</v>
      </c>
      <c r="AQ73" s="111">
        <v>0</v>
      </c>
      <c r="AR73" s="97">
        <v>1.1000000000000001</v>
      </c>
      <c r="AS73" s="97">
        <v>2.64</v>
      </c>
      <c r="AT73" s="97">
        <v>3.9599999999999995</v>
      </c>
      <c r="AU73" s="111">
        <v>8.0000000000000071E-2</v>
      </c>
      <c r="AV73" s="97">
        <v>1.1000000000000001</v>
      </c>
      <c r="AW73" s="97">
        <v>2.64</v>
      </c>
      <c r="AX73" s="142">
        <v>3.56</v>
      </c>
      <c r="AY73" s="111">
        <v>0</v>
      </c>
      <c r="AZ73" s="97">
        <v>0</v>
      </c>
      <c r="BA73" s="97">
        <v>0</v>
      </c>
      <c r="BB73" s="97">
        <v>1.87</v>
      </c>
      <c r="BC73" s="111">
        <v>0</v>
      </c>
      <c r="BD73" s="97">
        <v>0</v>
      </c>
      <c r="BE73" s="97">
        <v>0</v>
      </c>
      <c r="BF73" s="97">
        <v>1.2749999999999999</v>
      </c>
      <c r="BG73" s="111">
        <f t="shared" si="50"/>
        <v>0</v>
      </c>
      <c r="BH73" s="97">
        <f t="shared" si="47"/>
        <v>1.1000000000000001</v>
      </c>
      <c r="BI73" s="97">
        <f t="shared" si="47"/>
        <v>2.64</v>
      </c>
      <c r="BJ73" s="97">
        <f t="shared" si="47"/>
        <v>7.7</v>
      </c>
      <c r="BK73" s="111">
        <f t="shared" si="47"/>
        <v>8.0000000000000071E-2</v>
      </c>
      <c r="BL73" s="97">
        <f t="shared" si="47"/>
        <v>1.1000000000000001</v>
      </c>
      <c r="BM73" s="97">
        <f t="shared" si="47"/>
        <v>2.64</v>
      </c>
      <c r="BN73" s="97">
        <f t="shared" si="47"/>
        <v>6.1099999999999994</v>
      </c>
      <c r="BO73" s="111">
        <f t="shared" si="51"/>
        <v>4.8000000000000043E-2</v>
      </c>
      <c r="BP73" s="97">
        <f t="shared" si="52"/>
        <v>1.1000000000000001</v>
      </c>
      <c r="BQ73" s="97">
        <f t="shared" si="53"/>
        <v>2.64</v>
      </c>
      <c r="BR73" s="97">
        <f t="shared" si="54"/>
        <v>6.7459999999999996</v>
      </c>
      <c r="BS73" s="111">
        <f t="shared" si="55"/>
        <v>0.88960000000000017</v>
      </c>
      <c r="BT73" s="142">
        <f t="shared" si="56"/>
        <v>3.4611999999999998</v>
      </c>
      <c r="BU73" s="142">
        <f t="shared" si="57"/>
        <v>2.1753999999999998</v>
      </c>
      <c r="BV73" s="142">
        <f>BU72</f>
        <v>15.967400000000001</v>
      </c>
    </row>
    <row r="74" spans="1:74" ht="30.75" thickBot="1" x14ac:dyDescent="0.3">
      <c r="A74" s="228" t="s">
        <v>11</v>
      </c>
      <c r="B74" s="229" t="s">
        <v>23</v>
      </c>
      <c r="C74" s="230" t="s">
        <v>33</v>
      </c>
      <c r="D74" s="74" t="s">
        <v>44</v>
      </c>
      <c r="E74" s="75" t="s">
        <v>43</v>
      </c>
      <c r="F74" s="252" t="s">
        <v>42</v>
      </c>
      <c r="G74" s="294">
        <f t="shared" si="48"/>
        <v>0.33</v>
      </c>
      <c r="H74" s="291">
        <f t="shared" si="46"/>
        <v>0.66</v>
      </c>
      <c r="I74" s="291">
        <f t="shared" si="46"/>
        <v>1</v>
      </c>
      <c r="J74" s="108">
        <f t="shared" si="49"/>
        <v>14.27</v>
      </c>
      <c r="K74" s="112">
        <v>0</v>
      </c>
      <c r="L74" s="188">
        <v>0.22000000000000003</v>
      </c>
      <c r="M74" s="188">
        <v>0.44</v>
      </c>
      <c r="N74" s="113">
        <v>0.55000000000000004</v>
      </c>
      <c r="O74" s="188">
        <v>0.06</v>
      </c>
      <c r="P74" s="188">
        <v>0.22000000000000003</v>
      </c>
      <c r="Q74" s="188">
        <v>0.44</v>
      </c>
      <c r="R74" s="188">
        <v>0.52</v>
      </c>
      <c r="S74" s="112">
        <v>0.44000000000000006</v>
      </c>
      <c r="T74" s="188">
        <v>0.55000000000000004</v>
      </c>
      <c r="U74" s="188">
        <v>0.77</v>
      </c>
      <c r="V74" s="113">
        <v>0.89</v>
      </c>
      <c r="W74" s="112">
        <v>0.47000000000000003</v>
      </c>
      <c r="X74" s="188">
        <v>0.55000000000000004</v>
      </c>
      <c r="Y74" s="188">
        <v>0.77</v>
      </c>
      <c r="Z74" s="113">
        <v>0.86</v>
      </c>
      <c r="AA74" s="112">
        <v>0.77</v>
      </c>
      <c r="AB74" s="188">
        <v>1</v>
      </c>
      <c r="AC74" s="188">
        <v>1</v>
      </c>
      <c r="AD74" s="113">
        <v>1</v>
      </c>
      <c r="AE74" s="112">
        <v>0.8</v>
      </c>
      <c r="AF74" s="188">
        <v>1</v>
      </c>
      <c r="AG74" s="188">
        <v>1</v>
      </c>
      <c r="AH74" s="188">
        <v>1</v>
      </c>
      <c r="AI74" s="112">
        <v>0</v>
      </c>
      <c r="AJ74" s="188">
        <v>1.6500000000000001</v>
      </c>
      <c r="AK74" s="188">
        <v>3.74</v>
      </c>
      <c r="AL74" s="188">
        <v>4.6750000000000007</v>
      </c>
      <c r="AM74" s="112">
        <v>0.22999999999999998</v>
      </c>
      <c r="AN74" s="188">
        <v>1.6500000000000001</v>
      </c>
      <c r="AO74" s="188">
        <v>3.74</v>
      </c>
      <c r="AP74" s="188">
        <v>4.42</v>
      </c>
      <c r="AQ74" s="112">
        <v>1.375</v>
      </c>
      <c r="AR74" s="188">
        <v>2.75</v>
      </c>
      <c r="AS74" s="188">
        <v>4.62</v>
      </c>
      <c r="AT74" s="188">
        <v>6.4950000000000001</v>
      </c>
      <c r="AU74" s="112">
        <v>1.8000000000000007</v>
      </c>
      <c r="AV74" s="188">
        <v>2.75</v>
      </c>
      <c r="AW74" s="188">
        <v>4.62</v>
      </c>
      <c r="AX74" s="113">
        <v>5.9300000000000006</v>
      </c>
      <c r="AY74" s="112">
        <v>4.2750000000000004</v>
      </c>
      <c r="AZ74" s="188">
        <v>7.5</v>
      </c>
      <c r="BA74" s="188">
        <v>8.5</v>
      </c>
      <c r="BB74" s="188">
        <v>8.5</v>
      </c>
      <c r="BC74" s="112">
        <v>5</v>
      </c>
      <c r="BD74" s="188">
        <v>7.5</v>
      </c>
      <c r="BE74" s="188">
        <v>8.5</v>
      </c>
      <c r="BF74" s="188">
        <v>8.5</v>
      </c>
      <c r="BG74" s="112">
        <f t="shared" si="50"/>
        <v>5.65</v>
      </c>
      <c r="BH74" s="188">
        <f t="shared" si="47"/>
        <v>11.9</v>
      </c>
      <c r="BI74" s="188">
        <f t="shared" si="47"/>
        <v>16.86</v>
      </c>
      <c r="BJ74" s="188">
        <f t="shared" si="47"/>
        <v>19.670000000000002</v>
      </c>
      <c r="BK74" s="112">
        <f t="shared" si="47"/>
        <v>7.0300000000000011</v>
      </c>
      <c r="BL74" s="188">
        <f t="shared" si="47"/>
        <v>11.9</v>
      </c>
      <c r="BM74" s="188">
        <f t="shared" si="47"/>
        <v>16.86</v>
      </c>
      <c r="BN74" s="188">
        <f t="shared" si="47"/>
        <v>18.850000000000001</v>
      </c>
      <c r="BO74" s="112">
        <f t="shared" si="51"/>
        <v>6.4780000000000015</v>
      </c>
      <c r="BP74" s="188">
        <f t="shared" si="52"/>
        <v>11.9</v>
      </c>
      <c r="BQ74" s="188">
        <f t="shared" si="53"/>
        <v>16.86</v>
      </c>
      <c r="BR74" s="188">
        <f t="shared" si="54"/>
        <v>19.178000000000001</v>
      </c>
      <c r="BS74" s="112">
        <f t="shared" si="55"/>
        <v>10.815600000000002</v>
      </c>
      <c r="BT74" s="113">
        <f t="shared" si="56"/>
        <v>17.323599999999999</v>
      </c>
      <c r="BU74" s="113">
        <f t="shared" si="57"/>
        <v>14.069600000000001</v>
      </c>
      <c r="BV74" s="113">
        <f>BU72</f>
        <v>15.967400000000001</v>
      </c>
    </row>
    <row r="75" spans="1:74" x14ac:dyDescent="0.25">
      <c r="BF75" s="138"/>
      <c r="BG75" s="139"/>
      <c r="BH75" s="139"/>
      <c r="BI75" s="139"/>
      <c r="BJ75" s="139"/>
      <c r="BK75" s="139"/>
    </row>
    <row r="76" spans="1:74" x14ac:dyDescent="0.25">
      <c r="A76" s="1" t="s">
        <v>111</v>
      </c>
      <c r="B76" s="1"/>
    </row>
    <row r="77" spans="1:74" ht="15.75" thickBot="1" x14ac:dyDescent="0.3">
      <c r="A77" s="42" t="s">
        <v>41</v>
      </c>
      <c r="B77" s="43" t="s">
        <v>52</v>
      </c>
      <c r="E77" s="45" t="s">
        <v>3</v>
      </c>
      <c r="I77" t="s">
        <v>4</v>
      </c>
    </row>
    <row r="78" spans="1:74" x14ac:dyDescent="0.25">
      <c r="A78" s="41" t="s">
        <v>45</v>
      </c>
      <c r="B78" s="2">
        <v>0</v>
      </c>
      <c r="C78" s="15">
        <f>B78</f>
        <v>0</v>
      </c>
      <c r="D78" s="16" t="s">
        <v>45</v>
      </c>
      <c r="E78" s="17">
        <v>0</v>
      </c>
      <c r="F78" s="18">
        <f>C78</f>
        <v>0</v>
      </c>
      <c r="G78" s="19">
        <v>0</v>
      </c>
      <c r="H78" s="20">
        <v>0.22</v>
      </c>
      <c r="I78" s="21">
        <v>0</v>
      </c>
      <c r="J78" s="19">
        <f>F78</f>
        <v>0</v>
      </c>
      <c r="K78" s="19">
        <f>G78</f>
        <v>0</v>
      </c>
      <c r="L78" s="22">
        <v>0.15</v>
      </c>
    </row>
    <row r="79" spans="1:74" x14ac:dyDescent="0.25">
      <c r="A79" s="41" t="s">
        <v>44</v>
      </c>
      <c r="B79" s="2">
        <v>0.33</v>
      </c>
      <c r="C79" s="15">
        <f t="shared" ref="C79:C81" si="58">B79</f>
        <v>0.33</v>
      </c>
      <c r="D79" s="16" t="s">
        <v>44</v>
      </c>
      <c r="E79" s="23">
        <v>0</v>
      </c>
      <c r="F79" s="44">
        <f>C79-0.11</f>
        <v>0.22000000000000003</v>
      </c>
      <c r="G79">
        <f>C79+0.11</f>
        <v>0.44</v>
      </c>
      <c r="H79" s="24">
        <f t="shared" ref="H79" si="59">G79+0.11</f>
        <v>0.55000000000000004</v>
      </c>
      <c r="I79" s="25">
        <v>0.06</v>
      </c>
      <c r="J79">
        <f t="shared" ref="J79:K81" si="60">F79</f>
        <v>0.22000000000000003</v>
      </c>
      <c r="K79">
        <f t="shared" si="60"/>
        <v>0.44</v>
      </c>
      <c r="L79" s="26">
        <f t="shared" ref="L79" si="61">K79+0.08</f>
        <v>0.52</v>
      </c>
    </row>
    <row r="80" spans="1:74" x14ac:dyDescent="0.25">
      <c r="A80" s="41" t="s">
        <v>43</v>
      </c>
      <c r="B80" s="2">
        <v>0.66</v>
      </c>
      <c r="C80" s="15">
        <f t="shared" si="58"/>
        <v>0.66</v>
      </c>
      <c r="D80" s="16" t="s">
        <v>43</v>
      </c>
      <c r="E80" s="23">
        <f t="shared" ref="E80" si="62">F80-0.11</f>
        <v>0.44000000000000006</v>
      </c>
      <c r="F80" s="44">
        <f t="shared" ref="F80" si="63">C80-0.11</f>
        <v>0.55000000000000004</v>
      </c>
      <c r="G80">
        <f t="shared" ref="G80" si="64">C80+0.11</f>
        <v>0.77</v>
      </c>
      <c r="H80" s="24">
        <f>G80+0.12</f>
        <v>0.89</v>
      </c>
      <c r="I80" s="25">
        <f t="shared" ref="I80" si="65">J80-0.08</f>
        <v>0.47000000000000003</v>
      </c>
      <c r="J80">
        <f t="shared" si="60"/>
        <v>0.55000000000000004</v>
      </c>
      <c r="K80">
        <f t="shared" si="60"/>
        <v>0.77</v>
      </c>
      <c r="L80" s="26">
        <f>K80+0.09</f>
        <v>0.86</v>
      </c>
    </row>
    <row r="81" spans="1:12" ht="15.75" thickBot="1" x14ac:dyDescent="0.3">
      <c r="A81" s="41" t="s">
        <v>42</v>
      </c>
      <c r="B81" s="2">
        <v>1</v>
      </c>
      <c r="C81" s="15">
        <f t="shared" si="58"/>
        <v>1</v>
      </c>
      <c r="D81" s="16" t="s">
        <v>42</v>
      </c>
      <c r="E81" s="27">
        <v>0.77</v>
      </c>
      <c r="F81" s="28">
        <v>1</v>
      </c>
      <c r="G81" s="29">
        <v>1</v>
      </c>
      <c r="H81" s="30">
        <v>1</v>
      </c>
      <c r="I81" s="31">
        <v>0.8</v>
      </c>
      <c r="J81" s="29">
        <f t="shared" si="60"/>
        <v>1</v>
      </c>
      <c r="K81" s="29">
        <f t="shared" si="60"/>
        <v>1</v>
      </c>
      <c r="L81" s="32">
        <v>1</v>
      </c>
    </row>
    <row r="82" spans="1:12" x14ac:dyDescent="0.25">
      <c r="A82" s="35"/>
    </row>
    <row r="83" spans="1:12" x14ac:dyDescent="0.25">
      <c r="A83" s="1" t="s">
        <v>112</v>
      </c>
    </row>
    <row r="84" spans="1:12" ht="15.75" thickBot="1" x14ac:dyDescent="0.3">
      <c r="A84" s="42" t="s">
        <v>41</v>
      </c>
      <c r="B84" s="43" t="s">
        <v>53</v>
      </c>
      <c r="E84" s="45" t="s">
        <v>3</v>
      </c>
      <c r="I84" t="s">
        <v>4</v>
      </c>
    </row>
    <row r="85" spans="1:12" x14ac:dyDescent="0.25">
      <c r="A85" s="41" t="s">
        <v>45</v>
      </c>
      <c r="B85" s="2">
        <v>0.5</v>
      </c>
      <c r="C85" s="15">
        <f>B85</f>
        <v>0.5</v>
      </c>
      <c r="D85" s="16" t="s">
        <v>45</v>
      </c>
      <c r="E85" s="17">
        <v>0</v>
      </c>
      <c r="F85" s="18">
        <f>C85-0.5</f>
        <v>0</v>
      </c>
      <c r="G85" s="19">
        <f>C85+0.5</f>
        <v>1</v>
      </c>
      <c r="H85" s="20">
        <f t="shared" ref="H85:H87" si="66">G85+1.5</f>
        <v>2.5</v>
      </c>
      <c r="I85" s="21">
        <v>0</v>
      </c>
      <c r="J85" s="19">
        <f>F85</f>
        <v>0</v>
      </c>
      <c r="K85" s="19">
        <f>G85</f>
        <v>1</v>
      </c>
      <c r="L85" s="22">
        <f t="shared" ref="L85:L87" si="67">K85+1</f>
        <v>2</v>
      </c>
    </row>
    <row r="86" spans="1:12" x14ac:dyDescent="0.25">
      <c r="A86" s="41" t="s">
        <v>44</v>
      </c>
      <c r="B86" s="2">
        <v>3</v>
      </c>
      <c r="C86" s="15">
        <f t="shared" ref="C86:C88" si="68">B86</f>
        <v>3</v>
      </c>
      <c r="D86" s="16" t="s">
        <v>44</v>
      </c>
      <c r="E86" s="23">
        <v>1.5</v>
      </c>
      <c r="F86" s="44">
        <f>C86-0.5</f>
        <v>2.5</v>
      </c>
      <c r="G86">
        <f>C86+0.5</f>
        <v>3.5</v>
      </c>
      <c r="H86" s="24">
        <f t="shared" si="66"/>
        <v>5</v>
      </c>
      <c r="I86" s="25">
        <f t="shared" ref="I86:I88" si="69">J86-1</f>
        <v>1.5</v>
      </c>
      <c r="J86">
        <f t="shared" ref="J86:K88" si="70">F86</f>
        <v>2.5</v>
      </c>
      <c r="K86">
        <f t="shared" si="70"/>
        <v>3.5</v>
      </c>
      <c r="L86" s="26">
        <f t="shared" si="67"/>
        <v>4.5</v>
      </c>
    </row>
    <row r="87" spans="1:12" x14ac:dyDescent="0.25">
      <c r="A87" s="41" t="s">
        <v>43</v>
      </c>
      <c r="B87" s="2">
        <v>5.5</v>
      </c>
      <c r="C87" s="15">
        <f t="shared" si="68"/>
        <v>5.5</v>
      </c>
      <c r="D87" s="16" t="s">
        <v>43</v>
      </c>
      <c r="E87" s="23">
        <f t="shared" ref="E87:E88" si="71">F87-1.5</f>
        <v>3.5</v>
      </c>
      <c r="F87" s="44">
        <f>C87-0.5</f>
        <v>5</v>
      </c>
      <c r="G87">
        <f>C87+0.5</f>
        <v>6</v>
      </c>
      <c r="H87" s="24">
        <f t="shared" si="66"/>
        <v>7.5</v>
      </c>
      <c r="I87" s="25">
        <f t="shared" si="69"/>
        <v>4</v>
      </c>
      <c r="J87">
        <f t="shared" si="70"/>
        <v>5</v>
      </c>
      <c r="K87">
        <f t="shared" si="70"/>
        <v>6</v>
      </c>
      <c r="L87" s="26">
        <f t="shared" si="67"/>
        <v>7</v>
      </c>
    </row>
    <row r="88" spans="1:12" ht="15.75" thickBot="1" x14ac:dyDescent="0.3">
      <c r="A88" s="41" t="s">
        <v>42</v>
      </c>
      <c r="B88" s="2">
        <v>8</v>
      </c>
      <c r="C88" s="15">
        <f t="shared" si="68"/>
        <v>8</v>
      </c>
      <c r="D88" s="16" t="s">
        <v>42</v>
      </c>
      <c r="E88" s="27">
        <f t="shared" si="71"/>
        <v>6</v>
      </c>
      <c r="F88" s="28">
        <f>C88-0.5</f>
        <v>7.5</v>
      </c>
      <c r="G88" s="29">
        <f>C88+0.5</f>
        <v>8.5</v>
      </c>
      <c r="H88" s="30">
        <f>G88</f>
        <v>8.5</v>
      </c>
      <c r="I88" s="31">
        <f t="shared" si="69"/>
        <v>6.5</v>
      </c>
      <c r="J88" s="29">
        <f t="shared" si="70"/>
        <v>7.5</v>
      </c>
      <c r="K88" s="29">
        <f t="shared" si="70"/>
        <v>8.5</v>
      </c>
      <c r="L88" s="32">
        <f>K88</f>
        <v>8.5</v>
      </c>
    </row>
    <row r="90" spans="1:12" ht="15.75" thickBot="1" x14ac:dyDescent="0.3">
      <c r="A90" s="1" t="s">
        <v>113</v>
      </c>
    </row>
    <row r="91" spans="1:12" ht="67.5" customHeight="1" thickBot="1" x14ac:dyDescent="0.3">
      <c r="A91" s="47" t="s">
        <v>282</v>
      </c>
      <c r="B91" s="46" t="s">
        <v>37</v>
      </c>
      <c r="C91" s="48" t="s">
        <v>46</v>
      </c>
      <c r="D91" s="49" t="s">
        <v>114</v>
      </c>
      <c r="E91" s="477" t="s">
        <v>54</v>
      </c>
      <c r="F91" s="478"/>
      <c r="G91" s="478"/>
      <c r="H91" s="478"/>
      <c r="I91" s="478"/>
      <c r="J91" s="478"/>
      <c r="K91" s="478"/>
      <c r="L91" s="479"/>
    </row>
    <row r="92" spans="1:12" x14ac:dyDescent="0.25">
      <c r="A92" s="56" t="s">
        <v>48</v>
      </c>
      <c r="B92" s="50" t="s">
        <v>38</v>
      </c>
      <c r="C92" s="51" t="s">
        <v>42</v>
      </c>
      <c r="D92" s="231">
        <f>B88</f>
        <v>8</v>
      </c>
      <c r="E92" s="17">
        <v>6</v>
      </c>
      <c r="F92" s="18">
        <v>7.5</v>
      </c>
      <c r="G92" s="19">
        <v>8.5</v>
      </c>
      <c r="H92" s="19">
        <v>8.5</v>
      </c>
      <c r="I92" s="21">
        <v>6.5</v>
      </c>
      <c r="J92" s="19">
        <v>7.5</v>
      </c>
      <c r="K92" s="19">
        <v>8.5</v>
      </c>
      <c r="L92" s="22">
        <v>8.5</v>
      </c>
    </row>
    <row r="93" spans="1:12" x14ac:dyDescent="0.25">
      <c r="A93" s="57" t="s">
        <v>49</v>
      </c>
      <c r="B93" s="40" t="s">
        <v>39</v>
      </c>
      <c r="C93" s="2" t="s">
        <v>43</v>
      </c>
      <c r="D93" s="231">
        <f>B87</f>
        <v>5.5</v>
      </c>
      <c r="E93" s="23">
        <v>3.5</v>
      </c>
      <c r="F93" s="44">
        <v>5</v>
      </c>
      <c r="G93">
        <v>6</v>
      </c>
      <c r="H93">
        <v>7.5</v>
      </c>
      <c r="I93" s="25">
        <v>4</v>
      </c>
      <c r="J93">
        <v>5</v>
      </c>
      <c r="K93">
        <v>6</v>
      </c>
      <c r="L93" s="26">
        <v>7</v>
      </c>
    </row>
    <row r="94" spans="1:12" ht="15.75" thickBot="1" x14ac:dyDescent="0.3">
      <c r="A94" s="58" t="s">
        <v>50</v>
      </c>
      <c r="B94" s="52" t="s">
        <v>40</v>
      </c>
      <c r="C94" s="53" t="s">
        <v>42</v>
      </c>
      <c r="D94" s="232">
        <f>B88</f>
        <v>8</v>
      </c>
      <c r="E94" s="27">
        <v>6</v>
      </c>
      <c r="F94" s="28">
        <v>7.5</v>
      </c>
      <c r="G94" s="29">
        <v>8.5</v>
      </c>
      <c r="H94" s="29">
        <v>8.5</v>
      </c>
      <c r="I94" s="31">
        <v>6.5</v>
      </c>
      <c r="J94" s="29">
        <v>7.5</v>
      </c>
      <c r="K94" s="29">
        <v>8.5</v>
      </c>
      <c r="L94" s="32">
        <v>8.5</v>
      </c>
    </row>
    <row r="96" spans="1:12" ht="15.75" thickBot="1" x14ac:dyDescent="0.3">
      <c r="A96" s="1" t="s">
        <v>308</v>
      </c>
    </row>
    <row r="97" spans="1:12" ht="30.75" thickBot="1" x14ac:dyDescent="0.3">
      <c r="A97" s="356" t="s">
        <v>60</v>
      </c>
      <c r="B97" s="357" t="s">
        <v>61</v>
      </c>
      <c r="E97" s="458" t="s">
        <v>62</v>
      </c>
      <c r="F97" s="459"/>
      <c r="G97" s="459"/>
      <c r="H97" s="459"/>
      <c r="I97" s="459"/>
      <c r="J97" s="459"/>
      <c r="K97" s="459"/>
      <c r="L97" s="460"/>
    </row>
    <row r="98" spans="1:12" x14ac:dyDescent="0.25">
      <c r="A98" s="56" t="s">
        <v>57</v>
      </c>
      <c r="B98" s="59" t="s">
        <v>45</v>
      </c>
      <c r="D98" s="62" t="s">
        <v>66</v>
      </c>
      <c r="E98" s="110">
        <f>E78*F$92+E$92*F78-F78*F$92</f>
        <v>0</v>
      </c>
      <c r="F98" s="234">
        <f>F78*F$92</f>
        <v>0</v>
      </c>
      <c r="G98" s="234">
        <f>G78*G$92</f>
        <v>0</v>
      </c>
      <c r="H98" s="140">
        <f>G78*H$92+G$92*H78-G78*G$92</f>
        <v>1.87</v>
      </c>
      <c r="I98" s="110">
        <f>I78*J$92+I$92*J78-J78*J$92</f>
        <v>0</v>
      </c>
      <c r="J98" s="234">
        <f>J78*J$92</f>
        <v>0</v>
      </c>
      <c r="K98" s="234">
        <f>K78*K$92</f>
        <v>0</v>
      </c>
      <c r="L98" s="140">
        <f>K78*L$92+K$92*L78-K78*K$92</f>
        <v>1.2749999999999999</v>
      </c>
    </row>
    <row r="99" spans="1:12" x14ac:dyDescent="0.25">
      <c r="A99" s="57" t="s">
        <v>57</v>
      </c>
      <c r="B99" s="60" t="s">
        <v>44</v>
      </c>
      <c r="D99" s="63" t="s">
        <v>65</v>
      </c>
      <c r="E99" s="111">
        <f>IF(E79*F$92+E$92*F79-F79*F$92&lt;0,0,E79*F$92+E$92*F79-F79*F$92)</f>
        <v>0</v>
      </c>
      <c r="F99" s="97">
        <f t="shared" ref="F99:G101" si="72">F79*F$92</f>
        <v>1.6500000000000001</v>
      </c>
      <c r="G99" s="97">
        <f t="shared" si="72"/>
        <v>3.74</v>
      </c>
      <c r="H99" s="142">
        <f t="shared" ref="H99:H101" si="73">G79*H$92+G$92*H79-G79*G$92</f>
        <v>4.6750000000000007</v>
      </c>
      <c r="I99" s="111">
        <f t="shared" ref="I99:I101" si="74">I79*J$92+I$92*J79-J79*J$92</f>
        <v>0.22999999999999998</v>
      </c>
      <c r="J99" s="97">
        <f t="shared" ref="J99:K101" si="75">J79*J$92</f>
        <v>1.6500000000000001</v>
      </c>
      <c r="K99" s="97">
        <f t="shared" si="75"/>
        <v>3.74</v>
      </c>
      <c r="L99" s="142">
        <f t="shared" ref="L99:L101" si="76">K79*L$92+K$92*L79-K79*K$92</f>
        <v>4.42</v>
      </c>
    </row>
    <row r="100" spans="1:12" x14ac:dyDescent="0.25">
      <c r="A100" s="57" t="s">
        <v>57</v>
      </c>
      <c r="B100" s="60" t="s">
        <v>43</v>
      </c>
      <c r="D100" s="63" t="s">
        <v>64</v>
      </c>
      <c r="E100" s="111">
        <f t="shared" ref="E100:E101" si="77">E80*F$92+E$92*F80-F80*F$92</f>
        <v>2.4750000000000005</v>
      </c>
      <c r="F100" s="97">
        <f t="shared" si="72"/>
        <v>4.125</v>
      </c>
      <c r="G100" s="97">
        <f t="shared" si="72"/>
        <v>6.5449999999999999</v>
      </c>
      <c r="H100" s="142">
        <f t="shared" si="73"/>
        <v>7.5649999999999995</v>
      </c>
      <c r="I100" s="111">
        <f t="shared" si="74"/>
        <v>2.9750000000000005</v>
      </c>
      <c r="J100" s="97">
        <f t="shared" si="75"/>
        <v>4.125</v>
      </c>
      <c r="K100" s="97">
        <f t="shared" si="75"/>
        <v>6.5449999999999999</v>
      </c>
      <c r="L100" s="142">
        <f t="shared" si="76"/>
        <v>7.3100000000000005</v>
      </c>
    </row>
    <row r="101" spans="1:12" ht="15.75" thickBot="1" x14ac:dyDescent="0.3">
      <c r="A101" s="58" t="s">
        <v>57</v>
      </c>
      <c r="B101" s="61" t="s">
        <v>42</v>
      </c>
      <c r="D101" s="64" t="s">
        <v>63</v>
      </c>
      <c r="E101" s="112">
        <f t="shared" si="77"/>
        <v>4.2750000000000004</v>
      </c>
      <c r="F101" s="188">
        <f t="shared" si="72"/>
        <v>7.5</v>
      </c>
      <c r="G101" s="188">
        <f t="shared" si="72"/>
        <v>8.5</v>
      </c>
      <c r="H101" s="113">
        <f t="shared" si="73"/>
        <v>8.5</v>
      </c>
      <c r="I101" s="112">
        <f t="shared" si="74"/>
        <v>5</v>
      </c>
      <c r="J101" s="188">
        <f t="shared" si="75"/>
        <v>7.5</v>
      </c>
      <c r="K101" s="188">
        <f t="shared" si="75"/>
        <v>8.5</v>
      </c>
      <c r="L101" s="113">
        <f t="shared" si="76"/>
        <v>8.5</v>
      </c>
    </row>
    <row r="102" spans="1:12" x14ac:dyDescent="0.25">
      <c r="A102" s="223" t="s">
        <v>262</v>
      </c>
      <c r="B102" s="59" t="s">
        <v>45</v>
      </c>
      <c r="D102" s="62" t="s">
        <v>67</v>
      </c>
      <c r="E102" s="110">
        <f>E78*F$93+E$93*F78-F78*F$93</f>
        <v>0</v>
      </c>
      <c r="F102" s="234">
        <f>F78*F$93</f>
        <v>0</v>
      </c>
      <c r="G102" s="234">
        <f>G78*G$93</f>
        <v>0</v>
      </c>
      <c r="H102" s="140">
        <f>G78*H$93+G$93*H78-G78*G$93</f>
        <v>1.32</v>
      </c>
      <c r="I102" s="110">
        <f>I78*J$93+I$93*J78-J78*J$93</f>
        <v>0</v>
      </c>
      <c r="J102" s="234">
        <f>J78*J$93</f>
        <v>0</v>
      </c>
      <c r="K102" s="234">
        <f>K78*K$93</f>
        <v>0</v>
      </c>
      <c r="L102" s="140">
        <f>K78*L$93+K$93*L78-K78*K$93</f>
        <v>0.89999999999999991</v>
      </c>
    </row>
    <row r="103" spans="1:12" x14ac:dyDescent="0.25">
      <c r="A103" s="224" t="s">
        <v>262</v>
      </c>
      <c r="B103" s="60" t="s">
        <v>44</v>
      </c>
      <c r="D103" s="63" t="s">
        <v>72</v>
      </c>
      <c r="E103" s="111">
        <f>IF(E79*F$93+E$93*F79-F79*F$93&lt;0,0,E79*F$93+E$93*F79-F79*F$93)</f>
        <v>0</v>
      </c>
      <c r="F103" s="97">
        <f t="shared" ref="F103:G105" si="78">F79*F$93</f>
        <v>1.1000000000000001</v>
      </c>
      <c r="G103" s="97">
        <f t="shared" si="78"/>
        <v>2.64</v>
      </c>
      <c r="H103" s="142">
        <f t="shared" ref="H103:H105" si="79">G79*H$93+G$93*H79-G79*G$93</f>
        <v>3.9599999999999995</v>
      </c>
      <c r="I103" s="111">
        <f t="shared" ref="I103:I105" si="80">I79*J$93+I$93*J79-J79*J$93</f>
        <v>8.0000000000000071E-2</v>
      </c>
      <c r="J103" s="97">
        <f t="shared" ref="J103:K105" si="81">J79*J$93</f>
        <v>1.1000000000000001</v>
      </c>
      <c r="K103" s="97">
        <f t="shared" si="81"/>
        <v>2.64</v>
      </c>
      <c r="L103" s="142">
        <f t="shared" ref="L103:L105" si="82">K79*L$93+K$93*L79-K79*K$93</f>
        <v>3.56</v>
      </c>
    </row>
    <row r="104" spans="1:12" x14ac:dyDescent="0.25">
      <c r="A104" s="224" t="s">
        <v>262</v>
      </c>
      <c r="B104" s="60" t="s">
        <v>43</v>
      </c>
      <c r="D104" s="63" t="s">
        <v>73</v>
      </c>
      <c r="E104" s="111">
        <f t="shared" ref="E104:E105" si="83">E80*F$93+E$93*F80-F80*F$93</f>
        <v>1.375</v>
      </c>
      <c r="F104" s="97">
        <f t="shared" si="78"/>
        <v>2.75</v>
      </c>
      <c r="G104" s="97">
        <f t="shared" si="78"/>
        <v>4.62</v>
      </c>
      <c r="H104" s="142">
        <f t="shared" si="79"/>
        <v>6.4950000000000001</v>
      </c>
      <c r="I104" s="111">
        <f t="shared" si="80"/>
        <v>1.8000000000000007</v>
      </c>
      <c r="J104" s="97">
        <f t="shared" si="81"/>
        <v>2.75</v>
      </c>
      <c r="K104" s="97">
        <f t="shared" si="81"/>
        <v>4.62</v>
      </c>
      <c r="L104" s="142">
        <f t="shared" si="82"/>
        <v>5.9300000000000006</v>
      </c>
    </row>
    <row r="105" spans="1:12" ht="15.75" thickBot="1" x14ac:dyDescent="0.3">
      <c r="A105" s="225" t="s">
        <v>262</v>
      </c>
      <c r="B105" s="61" t="s">
        <v>42</v>
      </c>
      <c r="D105" s="64" t="s">
        <v>74</v>
      </c>
      <c r="E105" s="112">
        <f t="shared" si="83"/>
        <v>2.3499999999999996</v>
      </c>
      <c r="F105" s="188">
        <f t="shared" si="78"/>
        <v>5</v>
      </c>
      <c r="G105" s="188">
        <f t="shared" si="78"/>
        <v>6</v>
      </c>
      <c r="H105" s="113">
        <f t="shared" si="79"/>
        <v>7.5</v>
      </c>
      <c r="I105" s="112">
        <f t="shared" si="80"/>
        <v>3</v>
      </c>
      <c r="J105" s="188">
        <f t="shared" si="81"/>
        <v>5</v>
      </c>
      <c r="K105" s="188">
        <f t="shared" si="81"/>
        <v>6</v>
      </c>
      <c r="L105" s="113">
        <f t="shared" si="82"/>
        <v>7</v>
      </c>
    </row>
    <row r="106" spans="1:12" x14ac:dyDescent="0.25">
      <c r="A106" s="223" t="s">
        <v>261</v>
      </c>
      <c r="B106" s="59" t="s">
        <v>45</v>
      </c>
      <c r="D106" s="62" t="s">
        <v>69</v>
      </c>
      <c r="E106" s="110">
        <f>E78*F$94+E$94*F78-F78*F$94</f>
        <v>0</v>
      </c>
      <c r="F106" s="234">
        <f>F78*F$94</f>
        <v>0</v>
      </c>
      <c r="G106" s="234">
        <f>G78*G$94</f>
        <v>0</v>
      </c>
      <c r="H106" s="140">
        <f>G78*H$94+G$94*H78-G78*G$94</f>
        <v>1.87</v>
      </c>
      <c r="I106" s="110">
        <f>I78*J$94+I$94*J78-J78*J$94</f>
        <v>0</v>
      </c>
      <c r="J106" s="234">
        <f>J78*J$94</f>
        <v>0</v>
      </c>
      <c r="K106" s="234">
        <f>K78*K$94</f>
        <v>0</v>
      </c>
      <c r="L106" s="140">
        <f>K78*L$94+K$94*L78-K78*K$94</f>
        <v>1.2749999999999999</v>
      </c>
    </row>
    <row r="107" spans="1:12" x14ac:dyDescent="0.25">
      <c r="A107" s="224" t="s">
        <v>261</v>
      </c>
      <c r="B107" s="60" t="s">
        <v>44</v>
      </c>
      <c r="D107" s="63" t="s">
        <v>68</v>
      </c>
      <c r="E107" s="111">
        <f>IF(E79*F$94+E$94*F79-F79*F$94&lt;0,0,E79*F$94+E$94*F79-F79*F$94)</f>
        <v>0</v>
      </c>
      <c r="F107" s="97">
        <f t="shared" ref="F107:G109" si="84">F79*F$94</f>
        <v>1.6500000000000001</v>
      </c>
      <c r="G107" s="97">
        <f t="shared" si="84"/>
        <v>3.74</v>
      </c>
      <c r="H107" s="142">
        <f t="shared" ref="H107:H109" si="85">G79*H$94+G$94*H79-G79*G$94</f>
        <v>4.6750000000000007</v>
      </c>
      <c r="I107" s="111">
        <f t="shared" ref="I107:I109" si="86">I79*J$94+I$94*J79-J79*J$94</f>
        <v>0.22999999999999998</v>
      </c>
      <c r="J107" s="97">
        <f t="shared" ref="J107:K109" si="87">J79*J$94</f>
        <v>1.6500000000000001</v>
      </c>
      <c r="K107" s="97">
        <f t="shared" si="87"/>
        <v>3.74</v>
      </c>
      <c r="L107" s="142">
        <f t="shared" ref="L107:L109" si="88">K79*L$94+K$94*L79-K79*K$94</f>
        <v>4.42</v>
      </c>
    </row>
    <row r="108" spans="1:12" x14ac:dyDescent="0.25">
      <c r="A108" s="224" t="s">
        <v>261</v>
      </c>
      <c r="B108" s="60" t="s">
        <v>43</v>
      </c>
      <c r="D108" s="63" t="s">
        <v>70</v>
      </c>
      <c r="E108" s="111">
        <f t="shared" ref="E108:E109" si="89">E80*F$94+E$94*F80-F80*F$94</f>
        <v>2.4750000000000005</v>
      </c>
      <c r="F108" s="97">
        <f t="shared" si="84"/>
        <v>4.125</v>
      </c>
      <c r="G108" s="97">
        <f t="shared" si="84"/>
        <v>6.5449999999999999</v>
      </c>
      <c r="H108" s="142">
        <f t="shared" si="85"/>
        <v>7.5649999999999995</v>
      </c>
      <c r="I108" s="111">
        <f t="shared" si="86"/>
        <v>2.9750000000000005</v>
      </c>
      <c r="J108" s="97">
        <f t="shared" si="87"/>
        <v>4.125</v>
      </c>
      <c r="K108" s="97">
        <f t="shared" si="87"/>
        <v>6.5449999999999999</v>
      </c>
      <c r="L108" s="142">
        <f t="shared" si="88"/>
        <v>7.3100000000000005</v>
      </c>
    </row>
    <row r="109" spans="1:12" ht="15.75" thickBot="1" x14ac:dyDescent="0.3">
      <c r="A109" s="225" t="s">
        <v>261</v>
      </c>
      <c r="B109" s="61" t="s">
        <v>42</v>
      </c>
      <c r="D109" s="64" t="s">
        <v>71</v>
      </c>
      <c r="E109" s="112">
        <f t="shared" si="89"/>
        <v>4.2750000000000004</v>
      </c>
      <c r="F109" s="188">
        <f t="shared" si="84"/>
        <v>7.5</v>
      </c>
      <c r="G109" s="188">
        <f t="shared" si="84"/>
        <v>8.5</v>
      </c>
      <c r="H109" s="113">
        <f t="shared" si="85"/>
        <v>8.5</v>
      </c>
      <c r="I109" s="112">
        <f t="shared" si="86"/>
        <v>5</v>
      </c>
      <c r="J109" s="188">
        <f t="shared" si="87"/>
        <v>7.5</v>
      </c>
      <c r="K109" s="188">
        <f t="shared" si="87"/>
        <v>8.5</v>
      </c>
      <c r="L109" s="113">
        <f t="shared" si="88"/>
        <v>8.5</v>
      </c>
    </row>
    <row r="112" spans="1:12" ht="18.75" x14ac:dyDescent="0.3">
      <c r="A112" s="68" t="s">
        <v>86</v>
      </c>
      <c r="B112" s="35"/>
      <c r="C112" s="35"/>
    </row>
    <row r="113" spans="1:74" x14ac:dyDescent="0.25">
      <c r="A113" s="1" t="s">
        <v>47</v>
      </c>
      <c r="B113" s="35"/>
      <c r="C113" s="35"/>
    </row>
    <row r="114" spans="1:74" ht="15.75" thickBot="1" x14ac:dyDescent="0.3">
      <c r="A114" s="36" t="s">
        <v>93</v>
      </c>
      <c r="B114" s="35"/>
      <c r="C114" s="35"/>
      <c r="BO114">
        <v>0.6</v>
      </c>
      <c r="BS114">
        <v>0.8</v>
      </c>
    </row>
    <row r="115" spans="1:74" ht="86.25" customHeight="1" thickBot="1" x14ac:dyDescent="0.3">
      <c r="A115" s="464" t="s">
        <v>25</v>
      </c>
      <c r="B115" s="455" t="s">
        <v>284</v>
      </c>
      <c r="C115" s="444" t="s">
        <v>26</v>
      </c>
      <c r="D115" s="464" t="s">
        <v>55</v>
      </c>
      <c r="E115" s="455"/>
      <c r="F115" s="444"/>
      <c r="G115" s="454" t="s">
        <v>56</v>
      </c>
      <c r="H115" s="455"/>
      <c r="I115" s="455"/>
      <c r="J115" s="444" t="s">
        <v>81</v>
      </c>
      <c r="K115" s="435" t="s">
        <v>78</v>
      </c>
      <c r="L115" s="436"/>
      <c r="M115" s="436"/>
      <c r="N115" s="436"/>
      <c r="O115" s="436"/>
      <c r="P115" s="436"/>
      <c r="Q115" s="436"/>
      <c r="R115" s="437"/>
      <c r="S115" s="435" t="s">
        <v>76</v>
      </c>
      <c r="T115" s="436"/>
      <c r="U115" s="436"/>
      <c r="V115" s="436"/>
      <c r="W115" s="436"/>
      <c r="X115" s="436"/>
      <c r="Y115" s="436"/>
      <c r="Z115" s="437"/>
      <c r="AA115" s="435" t="s">
        <v>77</v>
      </c>
      <c r="AB115" s="436"/>
      <c r="AC115" s="436"/>
      <c r="AD115" s="436"/>
      <c r="AE115" s="436"/>
      <c r="AF115" s="436"/>
      <c r="AG115" s="436"/>
      <c r="AH115" s="437"/>
      <c r="AI115" s="435" t="s">
        <v>75</v>
      </c>
      <c r="AJ115" s="436"/>
      <c r="AK115" s="436"/>
      <c r="AL115" s="436"/>
      <c r="AM115" s="436"/>
      <c r="AN115" s="436"/>
      <c r="AO115" s="436"/>
      <c r="AP115" s="437"/>
      <c r="AQ115" s="435" t="s">
        <v>82</v>
      </c>
      <c r="AR115" s="436"/>
      <c r="AS115" s="436"/>
      <c r="AT115" s="436"/>
      <c r="AU115" s="436"/>
      <c r="AV115" s="436"/>
      <c r="AW115" s="436"/>
      <c r="AX115" s="437"/>
      <c r="AY115" s="435" t="s">
        <v>83</v>
      </c>
      <c r="AZ115" s="436"/>
      <c r="BA115" s="436"/>
      <c r="BB115" s="436"/>
      <c r="BC115" s="436"/>
      <c r="BD115" s="436"/>
      <c r="BE115" s="436"/>
      <c r="BF115" s="437"/>
      <c r="BG115" s="438" t="s">
        <v>119</v>
      </c>
      <c r="BH115" s="439"/>
      <c r="BI115" s="439"/>
      <c r="BJ115" s="439"/>
      <c r="BK115" s="439"/>
      <c r="BL115" s="439"/>
      <c r="BM115" s="439"/>
      <c r="BN115" s="440"/>
      <c r="BO115" s="427" t="s">
        <v>264</v>
      </c>
      <c r="BP115" s="428"/>
      <c r="BQ115" s="428"/>
      <c r="BR115" s="429"/>
      <c r="BS115" s="433" t="s">
        <v>79</v>
      </c>
      <c r="BT115" s="434"/>
      <c r="BU115" s="425" t="s">
        <v>80</v>
      </c>
      <c r="BV115" s="425" t="s">
        <v>265</v>
      </c>
    </row>
    <row r="116" spans="1:74" s="33" customFormat="1" ht="23.25" customHeight="1" thickBot="1" x14ac:dyDescent="0.3">
      <c r="A116" s="465"/>
      <c r="B116" s="466"/>
      <c r="C116" s="445"/>
      <c r="D116" s="240" t="s">
        <v>48</v>
      </c>
      <c r="E116" s="218" t="s">
        <v>49</v>
      </c>
      <c r="F116" s="241" t="s">
        <v>50</v>
      </c>
      <c r="G116" s="257" t="s">
        <v>48</v>
      </c>
      <c r="H116" s="218" t="s">
        <v>49</v>
      </c>
      <c r="I116" s="218" t="s">
        <v>50</v>
      </c>
      <c r="J116" s="445"/>
      <c r="K116" s="446" t="s">
        <v>3</v>
      </c>
      <c r="L116" s="447"/>
      <c r="M116" s="447"/>
      <c r="N116" s="448"/>
      <c r="O116" s="446" t="s">
        <v>4</v>
      </c>
      <c r="P116" s="447"/>
      <c r="Q116" s="447"/>
      <c r="R116" s="448"/>
      <c r="S116" s="446" t="s">
        <v>3</v>
      </c>
      <c r="T116" s="447"/>
      <c r="U116" s="447"/>
      <c r="V116" s="448"/>
      <c r="W116" s="446" t="s">
        <v>4</v>
      </c>
      <c r="X116" s="447"/>
      <c r="Y116" s="447"/>
      <c r="Z116" s="448"/>
      <c r="AA116" s="446" t="s">
        <v>3</v>
      </c>
      <c r="AB116" s="447"/>
      <c r="AC116" s="447"/>
      <c r="AD116" s="448"/>
      <c r="AE116" s="446" t="s">
        <v>4</v>
      </c>
      <c r="AF116" s="447"/>
      <c r="AG116" s="447"/>
      <c r="AH116" s="448"/>
      <c r="AI116" s="435" t="s">
        <v>3</v>
      </c>
      <c r="AJ116" s="436"/>
      <c r="AK116" s="436"/>
      <c r="AL116" s="437"/>
      <c r="AM116" s="435" t="s">
        <v>4</v>
      </c>
      <c r="AN116" s="436"/>
      <c r="AO116" s="436"/>
      <c r="AP116" s="437"/>
      <c r="AQ116" s="435" t="s">
        <v>3</v>
      </c>
      <c r="AR116" s="436"/>
      <c r="AS116" s="436"/>
      <c r="AT116" s="437"/>
      <c r="AU116" s="435" t="s">
        <v>4</v>
      </c>
      <c r="AV116" s="436"/>
      <c r="AW116" s="436"/>
      <c r="AX116" s="437"/>
      <c r="AY116" s="435" t="s">
        <v>3</v>
      </c>
      <c r="AZ116" s="436"/>
      <c r="BA116" s="436"/>
      <c r="BB116" s="437"/>
      <c r="BC116" s="435" t="s">
        <v>4</v>
      </c>
      <c r="BD116" s="436"/>
      <c r="BE116" s="436"/>
      <c r="BF116" s="437"/>
      <c r="BG116" s="435" t="s">
        <v>3</v>
      </c>
      <c r="BH116" s="436"/>
      <c r="BI116" s="436"/>
      <c r="BJ116" s="437"/>
      <c r="BK116" s="435" t="s">
        <v>4</v>
      </c>
      <c r="BL116" s="436"/>
      <c r="BM116" s="436"/>
      <c r="BN116" s="437"/>
      <c r="BO116" s="430"/>
      <c r="BP116" s="431"/>
      <c r="BQ116" s="431"/>
      <c r="BR116" s="432"/>
      <c r="BS116" s="430"/>
      <c r="BT116" s="432"/>
      <c r="BU116" s="426"/>
      <c r="BV116" s="426"/>
    </row>
    <row r="117" spans="1:74" ht="30" x14ac:dyDescent="0.25">
      <c r="A117" s="235" t="s">
        <v>0</v>
      </c>
      <c r="B117" s="307" t="s">
        <v>24</v>
      </c>
      <c r="C117" s="237" t="s">
        <v>12</v>
      </c>
      <c r="D117" s="238" t="s">
        <v>42</v>
      </c>
      <c r="E117" s="239" t="s">
        <v>42</v>
      </c>
      <c r="F117" s="250" t="s">
        <v>42</v>
      </c>
      <c r="G117" s="292">
        <f>IF(D117=$A$130,$B$130,(IF(D117=$A$131,$B$131,IF(D117=$A$132,$B$132,$B$133))))</f>
        <v>1</v>
      </c>
      <c r="H117" s="289">
        <f t="shared" ref="H117:I126" si="90">IF(E117=$A$130,$B$130,(IF(E117=$A$131,$B$131,IF(E117=$A$132,$B$132,$B$133))))</f>
        <v>1</v>
      </c>
      <c r="I117" s="289">
        <f t="shared" si="90"/>
        <v>1</v>
      </c>
      <c r="J117" s="14">
        <f>G117*$D$144+H117*$D$145+I117*$D$146</f>
        <v>21.5</v>
      </c>
      <c r="K117" s="110">
        <v>0.77</v>
      </c>
      <c r="L117" s="234">
        <v>1</v>
      </c>
      <c r="M117" s="234">
        <v>1</v>
      </c>
      <c r="N117" s="234">
        <v>1</v>
      </c>
      <c r="O117" s="110">
        <v>0.8</v>
      </c>
      <c r="P117" s="234">
        <v>1</v>
      </c>
      <c r="Q117" s="234">
        <v>1</v>
      </c>
      <c r="R117" s="140">
        <v>1</v>
      </c>
      <c r="S117" s="110">
        <v>0.77</v>
      </c>
      <c r="T117" s="234">
        <v>1</v>
      </c>
      <c r="U117" s="234">
        <v>1</v>
      </c>
      <c r="V117" s="234">
        <v>1</v>
      </c>
      <c r="W117" s="110">
        <v>0.8</v>
      </c>
      <c r="X117" s="234">
        <v>1</v>
      </c>
      <c r="Y117" s="234">
        <v>1</v>
      </c>
      <c r="Z117" s="140">
        <v>1</v>
      </c>
      <c r="AA117" s="110">
        <v>0.77</v>
      </c>
      <c r="AB117" s="234">
        <v>1</v>
      </c>
      <c r="AC117" s="234">
        <v>1</v>
      </c>
      <c r="AD117" s="140">
        <v>1</v>
      </c>
      <c r="AE117" s="110">
        <v>0.8</v>
      </c>
      <c r="AF117" s="234">
        <v>1</v>
      </c>
      <c r="AG117" s="234">
        <v>1</v>
      </c>
      <c r="AH117" s="140">
        <v>1</v>
      </c>
      <c r="AI117" s="110">
        <v>2.3499999999999996</v>
      </c>
      <c r="AJ117" s="234">
        <v>5</v>
      </c>
      <c r="AK117" s="234">
        <v>6</v>
      </c>
      <c r="AL117" s="234">
        <v>7.5</v>
      </c>
      <c r="AM117" s="110">
        <v>3</v>
      </c>
      <c r="AN117" s="234">
        <v>5</v>
      </c>
      <c r="AO117" s="234">
        <v>6</v>
      </c>
      <c r="AP117" s="140">
        <v>7</v>
      </c>
      <c r="AQ117" s="110">
        <v>4.2750000000000004</v>
      </c>
      <c r="AR117" s="234">
        <v>7.5</v>
      </c>
      <c r="AS117" s="234">
        <v>8.5</v>
      </c>
      <c r="AT117" s="234">
        <v>8.5</v>
      </c>
      <c r="AU117" s="110">
        <v>5</v>
      </c>
      <c r="AV117" s="234">
        <v>7.5</v>
      </c>
      <c r="AW117" s="234">
        <v>8.5</v>
      </c>
      <c r="AX117" s="140">
        <v>8.5</v>
      </c>
      <c r="AY117" s="110">
        <v>4.2750000000000004</v>
      </c>
      <c r="AZ117" s="234">
        <v>7.5</v>
      </c>
      <c r="BA117" s="234">
        <v>8.5</v>
      </c>
      <c r="BB117" s="234">
        <v>8.5</v>
      </c>
      <c r="BC117" s="110">
        <v>5</v>
      </c>
      <c r="BD117" s="234">
        <v>7.5</v>
      </c>
      <c r="BE117" s="234">
        <v>8.5</v>
      </c>
      <c r="BF117" s="140">
        <v>8.5</v>
      </c>
      <c r="BG117" s="110">
        <f>AI117+AQ117+AY117</f>
        <v>10.9</v>
      </c>
      <c r="BH117" s="234">
        <f t="shared" ref="BH117:BN126" si="91">AJ117+AR117+AZ117</f>
        <v>20</v>
      </c>
      <c r="BI117" s="234">
        <f t="shared" si="91"/>
        <v>23</v>
      </c>
      <c r="BJ117" s="234">
        <f t="shared" si="91"/>
        <v>24.5</v>
      </c>
      <c r="BK117" s="110">
        <f t="shared" si="91"/>
        <v>13</v>
      </c>
      <c r="BL117" s="234">
        <f t="shared" si="91"/>
        <v>20</v>
      </c>
      <c r="BM117" s="234">
        <f t="shared" si="91"/>
        <v>23</v>
      </c>
      <c r="BN117" s="234">
        <f t="shared" si="91"/>
        <v>24</v>
      </c>
      <c r="BO117" s="110">
        <f>(1-$BO$114)*BG117+$BO$114*BK117</f>
        <v>12.16</v>
      </c>
      <c r="BP117" s="234">
        <f>(1-$BO$114)*BH117+$BO$114*BL117</f>
        <v>20</v>
      </c>
      <c r="BQ117" s="234">
        <f>(1-$BO$114)*BI117+$BO$114*BM117</f>
        <v>23</v>
      </c>
      <c r="BR117" s="234">
        <f>(1-$BO$114)*BJ117+$BO$114*BN117</f>
        <v>24.2</v>
      </c>
      <c r="BS117" s="110">
        <f>$BS$114*BP117+(1-$BS$114)*BO117</f>
        <v>18.431999999999999</v>
      </c>
      <c r="BT117" s="140">
        <f>$BS$114*BQ117+(1-$BS$114)*BR117</f>
        <v>23.240000000000002</v>
      </c>
      <c r="BU117" s="140">
        <f>(BS117+BT117)/2</f>
        <v>20.835999999999999</v>
      </c>
      <c r="BV117" s="140">
        <f>BU117</f>
        <v>20.835999999999999</v>
      </c>
    </row>
    <row r="118" spans="1:74" x14ac:dyDescent="0.25">
      <c r="A118" s="226" t="s">
        <v>1</v>
      </c>
      <c r="B118" s="273" t="s">
        <v>13</v>
      </c>
      <c r="C118" s="227" t="s">
        <v>27</v>
      </c>
      <c r="D118" s="72" t="s">
        <v>44</v>
      </c>
      <c r="E118" s="73" t="s">
        <v>43</v>
      </c>
      <c r="F118" s="251" t="s">
        <v>42</v>
      </c>
      <c r="G118" s="293">
        <f t="shared" ref="G118:G126" si="92">IF(D118=$A$130,$B$130,(IF(D118=$A$131,$B$131,IF(D118=$A$132,$B$132,$B$133))))</f>
        <v>0.33</v>
      </c>
      <c r="H118" s="290">
        <f t="shared" si="90"/>
        <v>0.66</v>
      </c>
      <c r="I118" s="290">
        <f t="shared" si="90"/>
        <v>1</v>
      </c>
      <c r="J118" s="104">
        <f t="shared" ref="J118:J126" si="93">G118*$D$144+H118*$D$145+I118*$D$146</f>
        <v>15.095000000000001</v>
      </c>
      <c r="K118" s="111">
        <v>0</v>
      </c>
      <c r="L118" s="97">
        <v>0.22000000000000003</v>
      </c>
      <c r="M118" s="97">
        <v>0.44</v>
      </c>
      <c r="N118" s="97">
        <v>0.55000000000000004</v>
      </c>
      <c r="O118" s="111">
        <v>0.06</v>
      </c>
      <c r="P118" s="97">
        <v>0.22000000000000003</v>
      </c>
      <c r="Q118" s="97">
        <v>0.44</v>
      </c>
      <c r="R118" s="142">
        <v>0.52</v>
      </c>
      <c r="S118" s="111">
        <v>0.44000000000000006</v>
      </c>
      <c r="T118" s="97">
        <v>0.55000000000000004</v>
      </c>
      <c r="U118" s="97">
        <v>0.77</v>
      </c>
      <c r="V118" s="97">
        <v>0.89</v>
      </c>
      <c r="W118" s="111">
        <v>0.47000000000000003</v>
      </c>
      <c r="X118" s="97">
        <v>0.55000000000000004</v>
      </c>
      <c r="Y118" s="97">
        <v>0.77</v>
      </c>
      <c r="Z118" s="142">
        <v>0.86</v>
      </c>
      <c r="AA118" s="111">
        <v>0.77</v>
      </c>
      <c r="AB118" s="97">
        <v>1</v>
      </c>
      <c r="AC118" s="97">
        <v>1</v>
      </c>
      <c r="AD118" s="142">
        <v>1</v>
      </c>
      <c r="AE118" s="111">
        <v>0.8</v>
      </c>
      <c r="AF118" s="97">
        <v>1</v>
      </c>
      <c r="AG118" s="97">
        <v>1</v>
      </c>
      <c r="AH118" s="142">
        <v>1</v>
      </c>
      <c r="AI118" s="111">
        <v>0</v>
      </c>
      <c r="AJ118" s="97">
        <v>1.1000000000000001</v>
      </c>
      <c r="AK118" s="97">
        <v>2.64</v>
      </c>
      <c r="AL118" s="97">
        <v>3.9599999999999995</v>
      </c>
      <c r="AM118" s="111">
        <v>8.0000000000000071E-2</v>
      </c>
      <c r="AN118" s="97">
        <v>1.1000000000000001</v>
      </c>
      <c r="AO118" s="97">
        <v>2.64</v>
      </c>
      <c r="AP118" s="142">
        <v>3.56</v>
      </c>
      <c r="AQ118" s="111">
        <v>2.4750000000000005</v>
      </c>
      <c r="AR118" s="97">
        <v>4.125</v>
      </c>
      <c r="AS118" s="97">
        <v>6.5449999999999999</v>
      </c>
      <c r="AT118" s="97">
        <v>7.5649999999999995</v>
      </c>
      <c r="AU118" s="111">
        <v>2.9750000000000005</v>
      </c>
      <c r="AV118" s="97">
        <v>4.125</v>
      </c>
      <c r="AW118" s="97">
        <v>6.5449999999999999</v>
      </c>
      <c r="AX118" s="142">
        <v>7.3100000000000005</v>
      </c>
      <c r="AY118" s="111">
        <v>4.2750000000000004</v>
      </c>
      <c r="AZ118" s="97">
        <v>7.5</v>
      </c>
      <c r="BA118" s="97">
        <v>8.5</v>
      </c>
      <c r="BB118" s="97">
        <v>8.5</v>
      </c>
      <c r="BC118" s="111">
        <v>5</v>
      </c>
      <c r="BD118" s="97">
        <v>7.5</v>
      </c>
      <c r="BE118" s="97">
        <v>8.5</v>
      </c>
      <c r="BF118" s="142">
        <v>8.5</v>
      </c>
      <c r="BG118" s="111">
        <f t="shared" ref="BG118:BG126" si="94">AI118+AQ118+AY118</f>
        <v>6.7500000000000009</v>
      </c>
      <c r="BH118" s="97">
        <f t="shared" si="91"/>
        <v>12.725</v>
      </c>
      <c r="BI118" s="97">
        <f t="shared" si="91"/>
        <v>17.685000000000002</v>
      </c>
      <c r="BJ118" s="97">
        <f t="shared" si="91"/>
        <v>20.024999999999999</v>
      </c>
      <c r="BK118" s="111">
        <f t="shared" si="91"/>
        <v>8.0549999999999997</v>
      </c>
      <c r="BL118" s="97">
        <f t="shared" si="91"/>
        <v>12.725</v>
      </c>
      <c r="BM118" s="97">
        <f t="shared" si="91"/>
        <v>17.685000000000002</v>
      </c>
      <c r="BN118" s="97">
        <f t="shared" si="91"/>
        <v>19.37</v>
      </c>
      <c r="BO118" s="111">
        <f t="shared" ref="BO118:BO126" si="95">(1-$BO$114)*BG118+$BO$114*BK118</f>
        <v>7.5329999999999995</v>
      </c>
      <c r="BP118" s="97">
        <f t="shared" ref="BP118:BP126" si="96">(1-$BO$114)*BH118+$BO$114*BL118</f>
        <v>12.725</v>
      </c>
      <c r="BQ118" s="97">
        <f t="shared" ref="BQ118:BQ126" si="97">(1-$BO$114)*BI118+$BO$114*BM118</f>
        <v>17.685000000000002</v>
      </c>
      <c r="BR118" s="97">
        <f t="shared" ref="BR118:BR126" si="98">(1-$BO$114)*BJ118+$BO$114*BN118</f>
        <v>19.631999999999998</v>
      </c>
      <c r="BS118" s="111">
        <f t="shared" ref="BS118:BS126" si="99">$BS$114*BP118+(1-$BS$114)*BO118</f>
        <v>11.686599999999999</v>
      </c>
      <c r="BT118" s="142">
        <f t="shared" ref="BT118:BT126" si="100">$BS$114*BQ118+(1-$BS$114)*BR118</f>
        <v>18.074400000000001</v>
      </c>
      <c r="BU118" s="142">
        <f t="shared" ref="BU118:BU126" si="101">(BS118+BT118)/2</f>
        <v>14.8805</v>
      </c>
      <c r="BV118" s="142">
        <f>BU118</f>
        <v>14.8805</v>
      </c>
    </row>
    <row r="119" spans="1:74" x14ac:dyDescent="0.25">
      <c r="A119" s="226" t="s">
        <v>2</v>
      </c>
      <c r="B119" s="273" t="s">
        <v>14</v>
      </c>
      <c r="C119" s="227" t="s">
        <v>28</v>
      </c>
      <c r="D119" s="72" t="s">
        <v>42</v>
      </c>
      <c r="E119" s="73" t="s">
        <v>45</v>
      </c>
      <c r="F119" s="251" t="s">
        <v>45</v>
      </c>
      <c r="G119" s="293">
        <f t="shared" si="92"/>
        <v>1</v>
      </c>
      <c r="H119" s="290">
        <f t="shared" si="90"/>
        <v>0</v>
      </c>
      <c r="I119" s="290">
        <f t="shared" si="90"/>
        <v>0</v>
      </c>
      <c r="J119" s="104">
        <f t="shared" si="93"/>
        <v>5.5</v>
      </c>
      <c r="K119" s="111">
        <v>0.77</v>
      </c>
      <c r="L119" s="97">
        <v>1</v>
      </c>
      <c r="M119" s="97">
        <v>1</v>
      </c>
      <c r="N119" s="97">
        <v>1</v>
      </c>
      <c r="O119" s="111">
        <v>0.8</v>
      </c>
      <c r="P119" s="97">
        <v>1</v>
      </c>
      <c r="Q119" s="97">
        <v>1</v>
      </c>
      <c r="R119" s="142">
        <v>1</v>
      </c>
      <c r="S119" s="111">
        <v>0</v>
      </c>
      <c r="T119" s="97">
        <v>0</v>
      </c>
      <c r="U119" s="97">
        <v>0</v>
      </c>
      <c r="V119" s="97">
        <v>0.22</v>
      </c>
      <c r="W119" s="111">
        <v>0</v>
      </c>
      <c r="X119" s="97">
        <v>0</v>
      </c>
      <c r="Y119" s="97">
        <v>0</v>
      </c>
      <c r="Z119" s="142">
        <v>0.15</v>
      </c>
      <c r="AA119" s="111">
        <v>0</v>
      </c>
      <c r="AB119" s="97">
        <v>0</v>
      </c>
      <c r="AC119" s="97">
        <v>0</v>
      </c>
      <c r="AD119" s="142">
        <v>0.22</v>
      </c>
      <c r="AE119" s="111">
        <v>0</v>
      </c>
      <c r="AF119" s="97">
        <v>0</v>
      </c>
      <c r="AG119" s="97">
        <v>0</v>
      </c>
      <c r="AH119" s="142">
        <v>0.15</v>
      </c>
      <c r="AI119" s="111">
        <v>2.3499999999999996</v>
      </c>
      <c r="AJ119" s="97">
        <v>5</v>
      </c>
      <c r="AK119" s="97">
        <v>6</v>
      </c>
      <c r="AL119" s="97">
        <v>7.5</v>
      </c>
      <c r="AM119" s="111">
        <v>3</v>
      </c>
      <c r="AN119" s="97">
        <v>5</v>
      </c>
      <c r="AO119" s="97">
        <v>6</v>
      </c>
      <c r="AP119" s="142">
        <v>7</v>
      </c>
      <c r="AQ119" s="111">
        <v>0</v>
      </c>
      <c r="AR119" s="97">
        <v>0</v>
      </c>
      <c r="AS119" s="97">
        <v>0</v>
      </c>
      <c r="AT119" s="97">
        <v>1.87</v>
      </c>
      <c r="AU119" s="111">
        <v>0</v>
      </c>
      <c r="AV119" s="97">
        <v>0</v>
      </c>
      <c r="AW119" s="97">
        <v>0</v>
      </c>
      <c r="AX119" s="142">
        <v>1.2749999999999999</v>
      </c>
      <c r="AY119" s="111">
        <v>0</v>
      </c>
      <c r="AZ119" s="97">
        <v>0</v>
      </c>
      <c r="BA119" s="97">
        <v>0</v>
      </c>
      <c r="BB119" s="97">
        <v>1.87</v>
      </c>
      <c r="BC119" s="111">
        <v>0</v>
      </c>
      <c r="BD119" s="97">
        <v>0</v>
      </c>
      <c r="BE119" s="97">
        <v>0</v>
      </c>
      <c r="BF119" s="142">
        <v>1.2749999999999999</v>
      </c>
      <c r="BG119" s="111">
        <f t="shared" si="94"/>
        <v>2.3499999999999996</v>
      </c>
      <c r="BH119" s="97">
        <f t="shared" si="91"/>
        <v>5</v>
      </c>
      <c r="BI119" s="97">
        <f t="shared" si="91"/>
        <v>6</v>
      </c>
      <c r="BJ119" s="97">
        <f t="shared" si="91"/>
        <v>11.240000000000002</v>
      </c>
      <c r="BK119" s="111">
        <f t="shared" si="91"/>
        <v>3</v>
      </c>
      <c r="BL119" s="97">
        <f t="shared" si="91"/>
        <v>5</v>
      </c>
      <c r="BM119" s="97">
        <f t="shared" si="91"/>
        <v>6</v>
      </c>
      <c r="BN119" s="97">
        <f t="shared" si="91"/>
        <v>9.5500000000000007</v>
      </c>
      <c r="BO119" s="111">
        <f t="shared" si="95"/>
        <v>2.7399999999999998</v>
      </c>
      <c r="BP119" s="97">
        <f t="shared" si="96"/>
        <v>5</v>
      </c>
      <c r="BQ119" s="97">
        <f t="shared" si="97"/>
        <v>6</v>
      </c>
      <c r="BR119" s="97">
        <f t="shared" si="98"/>
        <v>10.226000000000003</v>
      </c>
      <c r="BS119" s="111">
        <f t="shared" si="99"/>
        <v>4.548</v>
      </c>
      <c r="BT119" s="142">
        <f t="shared" si="100"/>
        <v>6.8452000000000002</v>
      </c>
      <c r="BU119" s="142">
        <f t="shared" si="101"/>
        <v>5.6966000000000001</v>
      </c>
      <c r="BV119" s="142">
        <f>BU119</f>
        <v>5.6966000000000001</v>
      </c>
    </row>
    <row r="120" spans="1:74" x14ac:dyDescent="0.25">
      <c r="A120" s="226" t="s">
        <v>5</v>
      </c>
      <c r="B120" s="273" t="s">
        <v>15</v>
      </c>
      <c r="C120" s="227" t="s">
        <v>16</v>
      </c>
      <c r="D120" s="72" t="s">
        <v>42</v>
      </c>
      <c r="E120" s="73" t="s">
        <v>43</v>
      </c>
      <c r="F120" s="251" t="s">
        <v>42</v>
      </c>
      <c r="G120" s="293">
        <f t="shared" si="92"/>
        <v>1</v>
      </c>
      <c r="H120" s="290">
        <f t="shared" si="90"/>
        <v>0.66</v>
      </c>
      <c r="I120" s="290">
        <f t="shared" si="90"/>
        <v>1</v>
      </c>
      <c r="J120" s="104">
        <f t="shared" si="93"/>
        <v>18.78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0.44000000000000006</v>
      </c>
      <c r="T120" s="97">
        <v>0.55000000000000004</v>
      </c>
      <c r="U120" s="97">
        <v>0.77</v>
      </c>
      <c r="V120" s="97">
        <v>0.89</v>
      </c>
      <c r="W120" s="111">
        <v>0.47000000000000003</v>
      </c>
      <c r="X120" s="97">
        <v>0.55000000000000004</v>
      </c>
      <c r="Y120" s="97">
        <v>0.77</v>
      </c>
      <c r="Z120" s="142">
        <v>0.86</v>
      </c>
      <c r="AA120" s="111">
        <v>0.77</v>
      </c>
      <c r="AB120" s="97">
        <v>1</v>
      </c>
      <c r="AC120" s="97">
        <v>1</v>
      </c>
      <c r="AD120" s="142">
        <v>1</v>
      </c>
      <c r="AE120" s="111">
        <v>0.8</v>
      </c>
      <c r="AF120" s="97">
        <v>1</v>
      </c>
      <c r="AG120" s="97">
        <v>1</v>
      </c>
      <c r="AH120" s="142">
        <v>1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2.4750000000000005</v>
      </c>
      <c r="AR120" s="97">
        <v>4.125</v>
      </c>
      <c r="AS120" s="97">
        <v>6.5449999999999999</v>
      </c>
      <c r="AT120" s="97">
        <v>7.5649999999999995</v>
      </c>
      <c r="AU120" s="111">
        <v>2.9750000000000005</v>
      </c>
      <c r="AV120" s="97">
        <v>4.125</v>
      </c>
      <c r="AW120" s="97">
        <v>6.5449999999999999</v>
      </c>
      <c r="AX120" s="142">
        <v>7.3100000000000005</v>
      </c>
      <c r="AY120" s="111">
        <v>4.2750000000000004</v>
      </c>
      <c r="AZ120" s="97">
        <v>7.5</v>
      </c>
      <c r="BA120" s="97">
        <v>8.5</v>
      </c>
      <c r="BB120" s="97">
        <v>8.5</v>
      </c>
      <c r="BC120" s="111">
        <v>5</v>
      </c>
      <c r="BD120" s="97">
        <v>7.5</v>
      </c>
      <c r="BE120" s="97">
        <v>8.5</v>
      </c>
      <c r="BF120" s="142">
        <v>8.5</v>
      </c>
      <c r="BG120" s="111">
        <f t="shared" si="94"/>
        <v>9.1000000000000014</v>
      </c>
      <c r="BH120" s="97">
        <f t="shared" si="91"/>
        <v>16.625</v>
      </c>
      <c r="BI120" s="97">
        <f t="shared" si="91"/>
        <v>21.045000000000002</v>
      </c>
      <c r="BJ120" s="97">
        <f t="shared" si="91"/>
        <v>23.564999999999998</v>
      </c>
      <c r="BK120" s="111">
        <f t="shared" si="91"/>
        <v>10.975000000000001</v>
      </c>
      <c r="BL120" s="97">
        <f t="shared" si="91"/>
        <v>16.625</v>
      </c>
      <c r="BM120" s="97">
        <f t="shared" si="91"/>
        <v>21.045000000000002</v>
      </c>
      <c r="BN120" s="97">
        <f t="shared" si="91"/>
        <v>22.810000000000002</v>
      </c>
      <c r="BO120" s="111">
        <f t="shared" si="95"/>
        <v>10.225000000000001</v>
      </c>
      <c r="BP120" s="97">
        <f t="shared" si="96"/>
        <v>16.625</v>
      </c>
      <c r="BQ120" s="97">
        <f t="shared" si="97"/>
        <v>21.045000000000002</v>
      </c>
      <c r="BR120" s="97">
        <f t="shared" si="98"/>
        <v>23.112000000000002</v>
      </c>
      <c r="BS120" s="111">
        <f t="shared" si="99"/>
        <v>15.345000000000001</v>
      </c>
      <c r="BT120" s="142">
        <f t="shared" si="100"/>
        <v>21.458400000000001</v>
      </c>
      <c r="BU120" s="142">
        <f t="shared" si="101"/>
        <v>18.401700000000002</v>
      </c>
      <c r="BV120" s="142">
        <f>BU117</f>
        <v>20.835999999999999</v>
      </c>
    </row>
    <row r="121" spans="1:74" ht="30" x14ac:dyDescent="0.25">
      <c r="A121" s="226" t="s">
        <v>6</v>
      </c>
      <c r="B121" s="273" t="s">
        <v>17</v>
      </c>
      <c r="C121" s="227" t="s">
        <v>29</v>
      </c>
      <c r="D121" s="72" t="s">
        <v>42</v>
      </c>
      <c r="E121" s="73" t="s">
        <v>44</v>
      </c>
      <c r="F121" s="251" t="s">
        <v>43</v>
      </c>
      <c r="G121" s="293">
        <f t="shared" si="92"/>
        <v>1</v>
      </c>
      <c r="H121" s="290">
        <f t="shared" si="90"/>
        <v>0.33</v>
      </c>
      <c r="I121" s="290">
        <f t="shared" si="90"/>
        <v>0.66</v>
      </c>
      <c r="J121" s="104">
        <f t="shared" si="93"/>
        <v>13.420000000000002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</v>
      </c>
      <c r="T121" s="97">
        <v>0.22000000000000003</v>
      </c>
      <c r="U121" s="97">
        <v>0.44</v>
      </c>
      <c r="V121" s="97">
        <v>0.55000000000000004</v>
      </c>
      <c r="W121" s="111">
        <v>0.06</v>
      </c>
      <c r="X121" s="97">
        <v>0.22000000000000003</v>
      </c>
      <c r="Y121" s="97">
        <v>0.44</v>
      </c>
      <c r="Z121" s="142">
        <v>0.52</v>
      </c>
      <c r="AA121" s="111">
        <v>0.44000000000000006</v>
      </c>
      <c r="AB121" s="97">
        <v>0.55000000000000004</v>
      </c>
      <c r="AC121" s="97">
        <v>0.77</v>
      </c>
      <c r="AD121" s="142">
        <v>0.89</v>
      </c>
      <c r="AE121" s="111">
        <v>0.47000000000000003</v>
      </c>
      <c r="AF121" s="97">
        <v>0.55000000000000004</v>
      </c>
      <c r="AG121" s="97">
        <v>0.77</v>
      </c>
      <c r="AH121" s="142">
        <v>0.86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0</v>
      </c>
      <c r="AR121" s="97">
        <v>1.6500000000000001</v>
      </c>
      <c r="AS121" s="97">
        <v>3.74</v>
      </c>
      <c r="AT121" s="97">
        <v>4.6750000000000007</v>
      </c>
      <c r="AU121" s="111">
        <v>0.22999999999999998</v>
      </c>
      <c r="AV121" s="97">
        <v>1.6500000000000001</v>
      </c>
      <c r="AW121" s="97">
        <v>3.74</v>
      </c>
      <c r="AX121" s="142">
        <v>4.42</v>
      </c>
      <c r="AY121" s="111">
        <v>2.4750000000000005</v>
      </c>
      <c r="AZ121" s="97">
        <v>4.125</v>
      </c>
      <c r="BA121" s="97">
        <v>6.5449999999999999</v>
      </c>
      <c r="BB121" s="97">
        <v>7.5649999999999995</v>
      </c>
      <c r="BC121" s="111">
        <v>2.9750000000000005</v>
      </c>
      <c r="BD121" s="97">
        <v>4.125</v>
      </c>
      <c r="BE121" s="97">
        <v>6.5449999999999999</v>
      </c>
      <c r="BF121" s="142">
        <v>7.3100000000000005</v>
      </c>
      <c r="BG121" s="111">
        <f t="shared" si="94"/>
        <v>4.8250000000000002</v>
      </c>
      <c r="BH121" s="97">
        <f t="shared" si="91"/>
        <v>10.775</v>
      </c>
      <c r="BI121" s="97">
        <f t="shared" si="91"/>
        <v>16.285</v>
      </c>
      <c r="BJ121" s="97">
        <f t="shared" si="91"/>
        <v>19.740000000000002</v>
      </c>
      <c r="BK121" s="111">
        <f t="shared" si="91"/>
        <v>6.2050000000000001</v>
      </c>
      <c r="BL121" s="97">
        <f t="shared" si="91"/>
        <v>10.775</v>
      </c>
      <c r="BM121" s="97">
        <f t="shared" si="91"/>
        <v>16.285</v>
      </c>
      <c r="BN121" s="97">
        <f t="shared" si="91"/>
        <v>18.73</v>
      </c>
      <c r="BO121" s="111">
        <f t="shared" si="95"/>
        <v>5.6530000000000005</v>
      </c>
      <c r="BP121" s="97">
        <f t="shared" si="96"/>
        <v>10.775</v>
      </c>
      <c r="BQ121" s="97">
        <f t="shared" si="97"/>
        <v>16.285</v>
      </c>
      <c r="BR121" s="97">
        <f t="shared" si="98"/>
        <v>19.134</v>
      </c>
      <c r="BS121" s="111">
        <f t="shared" si="99"/>
        <v>9.7506000000000004</v>
      </c>
      <c r="BT121" s="142">
        <f t="shared" si="100"/>
        <v>16.854800000000001</v>
      </c>
      <c r="BU121" s="142">
        <f t="shared" si="101"/>
        <v>13.302700000000002</v>
      </c>
      <c r="BV121" s="142">
        <f>BU121</f>
        <v>13.302700000000002</v>
      </c>
    </row>
    <row r="122" spans="1:74" x14ac:dyDescent="0.25">
      <c r="A122" s="226" t="s">
        <v>7</v>
      </c>
      <c r="B122" s="273" t="s">
        <v>18</v>
      </c>
      <c r="C122" s="227" t="s">
        <v>30</v>
      </c>
      <c r="D122" s="72" t="s">
        <v>43</v>
      </c>
      <c r="E122" s="73" t="s">
        <v>44</v>
      </c>
      <c r="F122" s="251" t="s">
        <v>44</v>
      </c>
      <c r="G122" s="293">
        <f t="shared" si="92"/>
        <v>0.66</v>
      </c>
      <c r="H122" s="290">
        <f t="shared" si="90"/>
        <v>0.33</v>
      </c>
      <c r="I122" s="290">
        <f t="shared" si="90"/>
        <v>0.33</v>
      </c>
      <c r="J122" s="104">
        <f t="shared" si="93"/>
        <v>8.91</v>
      </c>
      <c r="K122" s="111">
        <v>0.44000000000000006</v>
      </c>
      <c r="L122" s="97">
        <v>0.55000000000000004</v>
      </c>
      <c r="M122" s="97">
        <v>0.77</v>
      </c>
      <c r="N122" s="97">
        <v>0.89</v>
      </c>
      <c r="O122" s="111">
        <v>0.47000000000000003</v>
      </c>
      <c r="P122" s="97">
        <v>0.55000000000000004</v>
      </c>
      <c r="Q122" s="97">
        <v>0.77</v>
      </c>
      <c r="R122" s="142">
        <v>0.86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</v>
      </c>
      <c r="AB122" s="97">
        <v>0.22000000000000003</v>
      </c>
      <c r="AC122" s="97">
        <v>0.44</v>
      </c>
      <c r="AD122" s="142">
        <v>0.55000000000000004</v>
      </c>
      <c r="AE122" s="111">
        <v>0.06</v>
      </c>
      <c r="AF122" s="97">
        <v>0.22000000000000003</v>
      </c>
      <c r="AG122" s="97">
        <v>0.44</v>
      </c>
      <c r="AH122" s="142">
        <v>0.52</v>
      </c>
      <c r="AI122" s="111">
        <v>1.375</v>
      </c>
      <c r="AJ122" s="97">
        <v>2.75</v>
      </c>
      <c r="AK122" s="97">
        <v>4.62</v>
      </c>
      <c r="AL122" s="97">
        <v>6.4950000000000001</v>
      </c>
      <c r="AM122" s="111">
        <v>1.8000000000000007</v>
      </c>
      <c r="AN122" s="97">
        <v>2.75</v>
      </c>
      <c r="AO122" s="97">
        <v>4.62</v>
      </c>
      <c r="AP122" s="142">
        <v>5.9300000000000006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0</v>
      </c>
      <c r="AZ122" s="97">
        <v>1.6500000000000001</v>
      </c>
      <c r="BA122" s="97">
        <v>3.74</v>
      </c>
      <c r="BB122" s="97">
        <v>4.6750000000000007</v>
      </c>
      <c r="BC122" s="111">
        <v>0.22999999999999998</v>
      </c>
      <c r="BD122" s="97">
        <v>1.6500000000000001</v>
      </c>
      <c r="BE122" s="97">
        <v>3.74</v>
      </c>
      <c r="BF122" s="142">
        <v>4.42</v>
      </c>
      <c r="BG122" s="111">
        <f t="shared" si="94"/>
        <v>1.375</v>
      </c>
      <c r="BH122" s="97">
        <f t="shared" si="91"/>
        <v>6.0500000000000007</v>
      </c>
      <c r="BI122" s="97">
        <f t="shared" si="91"/>
        <v>12.1</v>
      </c>
      <c r="BJ122" s="97">
        <f t="shared" si="91"/>
        <v>15.845000000000002</v>
      </c>
      <c r="BK122" s="111">
        <f t="shared" si="91"/>
        <v>2.2600000000000007</v>
      </c>
      <c r="BL122" s="97">
        <f t="shared" si="91"/>
        <v>6.0500000000000007</v>
      </c>
      <c r="BM122" s="97">
        <f t="shared" si="91"/>
        <v>12.1</v>
      </c>
      <c r="BN122" s="97">
        <f t="shared" si="91"/>
        <v>14.770000000000001</v>
      </c>
      <c r="BO122" s="111">
        <f t="shared" si="95"/>
        <v>1.9060000000000004</v>
      </c>
      <c r="BP122" s="97">
        <f t="shared" si="96"/>
        <v>6.0500000000000007</v>
      </c>
      <c r="BQ122" s="97">
        <f t="shared" si="97"/>
        <v>12.1</v>
      </c>
      <c r="BR122" s="97">
        <f t="shared" si="98"/>
        <v>15.200000000000001</v>
      </c>
      <c r="BS122" s="111">
        <f t="shared" si="99"/>
        <v>5.2212000000000005</v>
      </c>
      <c r="BT122" s="142">
        <f t="shared" si="100"/>
        <v>12.719999999999999</v>
      </c>
      <c r="BU122" s="142">
        <f t="shared" si="101"/>
        <v>8.9705999999999992</v>
      </c>
      <c r="BV122" s="142">
        <f>BU123</f>
        <v>10.832000000000001</v>
      </c>
    </row>
    <row r="123" spans="1:74" ht="30" x14ac:dyDescent="0.25">
      <c r="A123" s="226" t="s">
        <v>8</v>
      </c>
      <c r="B123" s="273" t="s">
        <v>19</v>
      </c>
      <c r="C123" s="227" t="s">
        <v>31</v>
      </c>
      <c r="D123" s="72" t="s">
        <v>42</v>
      </c>
      <c r="E123" s="73" t="s">
        <v>43</v>
      </c>
      <c r="F123" s="251" t="s">
        <v>45</v>
      </c>
      <c r="G123" s="293">
        <f t="shared" si="92"/>
        <v>1</v>
      </c>
      <c r="H123" s="290">
        <f t="shared" si="90"/>
        <v>0.66</v>
      </c>
      <c r="I123" s="290">
        <f t="shared" si="90"/>
        <v>0</v>
      </c>
      <c r="J123" s="104">
        <f t="shared" si="93"/>
        <v>10.780000000000001</v>
      </c>
      <c r="K123" s="111">
        <v>0.77</v>
      </c>
      <c r="L123" s="97">
        <v>1</v>
      </c>
      <c r="M123" s="97">
        <v>1</v>
      </c>
      <c r="N123" s="97">
        <v>1</v>
      </c>
      <c r="O123" s="111">
        <v>0.8</v>
      </c>
      <c r="P123" s="97">
        <v>1</v>
      </c>
      <c r="Q123" s="97">
        <v>1</v>
      </c>
      <c r="R123" s="142">
        <v>1</v>
      </c>
      <c r="S123" s="111">
        <v>0.44000000000000006</v>
      </c>
      <c r="T123" s="97">
        <v>0.55000000000000004</v>
      </c>
      <c r="U123" s="97">
        <v>0.77</v>
      </c>
      <c r="V123" s="97">
        <v>0.89</v>
      </c>
      <c r="W123" s="111">
        <v>0.47000000000000003</v>
      </c>
      <c r="X123" s="97">
        <v>0.55000000000000004</v>
      </c>
      <c r="Y123" s="97">
        <v>0.77</v>
      </c>
      <c r="Z123" s="142">
        <v>0.86</v>
      </c>
      <c r="AA123" s="111">
        <v>0</v>
      </c>
      <c r="AB123" s="97">
        <v>0</v>
      </c>
      <c r="AC123" s="97">
        <v>0</v>
      </c>
      <c r="AD123" s="142">
        <v>0.22</v>
      </c>
      <c r="AE123" s="111">
        <v>0</v>
      </c>
      <c r="AF123" s="97">
        <v>0</v>
      </c>
      <c r="AG123" s="97">
        <v>0</v>
      </c>
      <c r="AH123" s="142">
        <v>0.15</v>
      </c>
      <c r="AI123" s="111">
        <v>2.3499999999999996</v>
      </c>
      <c r="AJ123" s="97">
        <v>5</v>
      </c>
      <c r="AK123" s="97">
        <v>6</v>
      </c>
      <c r="AL123" s="97">
        <v>7.5</v>
      </c>
      <c r="AM123" s="111">
        <v>3</v>
      </c>
      <c r="AN123" s="97">
        <v>5</v>
      </c>
      <c r="AO123" s="97">
        <v>6</v>
      </c>
      <c r="AP123" s="142">
        <v>7</v>
      </c>
      <c r="AQ123" s="111">
        <v>2.4750000000000005</v>
      </c>
      <c r="AR123" s="97">
        <v>4.125</v>
      </c>
      <c r="AS123" s="97">
        <v>6.5449999999999999</v>
      </c>
      <c r="AT123" s="97">
        <v>7.5649999999999995</v>
      </c>
      <c r="AU123" s="111">
        <v>2.9750000000000005</v>
      </c>
      <c r="AV123" s="97">
        <v>4.125</v>
      </c>
      <c r="AW123" s="97">
        <v>6.5449999999999999</v>
      </c>
      <c r="AX123" s="142">
        <v>7.3100000000000005</v>
      </c>
      <c r="AY123" s="111">
        <v>0</v>
      </c>
      <c r="AZ123" s="97">
        <v>0</v>
      </c>
      <c r="BA123" s="97">
        <v>0</v>
      </c>
      <c r="BB123" s="97">
        <v>1.87</v>
      </c>
      <c r="BC123" s="111">
        <v>0</v>
      </c>
      <c r="BD123" s="97">
        <v>0</v>
      </c>
      <c r="BE123" s="97">
        <v>0</v>
      </c>
      <c r="BF123" s="142">
        <v>1.2749999999999999</v>
      </c>
      <c r="BG123" s="111">
        <f t="shared" si="94"/>
        <v>4.8250000000000002</v>
      </c>
      <c r="BH123" s="97">
        <f t="shared" si="91"/>
        <v>9.125</v>
      </c>
      <c r="BI123" s="97">
        <f t="shared" si="91"/>
        <v>12.545</v>
      </c>
      <c r="BJ123" s="97">
        <f t="shared" si="91"/>
        <v>16.934999999999999</v>
      </c>
      <c r="BK123" s="111">
        <f t="shared" si="91"/>
        <v>5.9750000000000005</v>
      </c>
      <c r="BL123" s="97">
        <f t="shared" si="91"/>
        <v>9.125</v>
      </c>
      <c r="BM123" s="97">
        <f t="shared" si="91"/>
        <v>12.545</v>
      </c>
      <c r="BN123" s="97">
        <f t="shared" si="91"/>
        <v>15.585000000000001</v>
      </c>
      <c r="BO123" s="111">
        <f t="shared" si="95"/>
        <v>5.5150000000000006</v>
      </c>
      <c r="BP123" s="97">
        <f t="shared" si="96"/>
        <v>9.125</v>
      </c>
      <c r="BQ123" s="97">
        <f t="shared" si="97"/>
        <v>12.545</v>
      </c>
      <c r="BR123" s="97">
        <f t="shared" si="98"/>
        <v>16.125</v>
      </c>
      <c r="BS123" s="111">
        <f t="shared" si="99"/>
        <v>8.4030000000000005</v>
      </c>
      <c r="BT123" s="142">
        <f t="shared" si="100"/>
        <v>13.261000000000001</v>
      </c>
      <c r="BU123" s="142">
        <f t="shared" si="101"/>
        <v>10.832000000000001</v>
      </c>
      <c r="BV123" s="142">
        <f>BU123</f>
        <v>10.832000000000001</v>
      </c>
    </row>
    <row r="124" spans="1:74" ht="30" x14ac:dyDescent="0.25">
      <c r="A124" s="226" t="s">
        <v>9</v>
      </c>
      <c r="B124" s="273" t="s">
        <v>20</v>
      </c>
      <c r="C124" s="227" t="s">
        <v>21</v>
      </c>
      <c r="D124" s="72" t="s">
        <v>42</v>
      </c>
      <c r="E124" s="73" t="s">
        <v>43</v>
      </c>
      <c r="F124" s="251" t="s">
        <v>43</v>
      </c>
      <c r="G124" s="293">
        <f t="shared" si="92"/>
        <v>1</v>
      </c>
      <c r="H124" s="290">
        <f t="shared" si="90"/>
        <v>0.66</v>
      </c>
      <c r="I124" s="290">
        <f t="shared" si="90"/>
        <v>0.66</v>
      </c>
      <c r="J124" s="104">
        <f t="shared" si="93"/>
        <v>16.060000000000002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0.44000000000000006</v>
      </c>
      <c r="AB124" s="97">
        <v>0.55000000000000004</v>
      </c>
      <c r="AC124" s="97">
        <v>0.77</v>
      </c>
      <c r="AD124" s="142">
        <v>0.89</v>
      </c>
      <c r="AE124" s="111">
        <v>0.47000000000000003</v>
      </c>
      <c r="AF124" s="97">
        <v>0.55000000000000004</v>
      </c>
      <c r="AG124" s="97">
        <v>0.77</v>
      </c>
      <c r="AH124" s="142">
        <v>0.86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2.4750000000000005</v>
      </c>
      <c r="AZ124" s="97">
        <v>4.125</v>
      </c>
      <c r="BA124" s="97">
        <v>6.5449999999999999</v>
      </c>
      <c r="BB124" s="97">
        <v>7.5649999999999995</v>
      </c>
      <c r="BC124" s="111">
        <v>2.9750000000000005</v>
      </c>
      <c r="BD124" s="97">
        <v>4.125</v>
      </c>
      <c r="BE124" s="97">
        <v>6.5449999999999999</v>
      </c>
      <c r="BF124" s="142">
        <v>7.3100000000000005</v>
      </c>
      <c r="BG124" s="111">
        <f t="shared" si="94"/>
        <v>7.3000000000000007</v>
      </c>
      <c r="BH124" s="97">
        <f t="shared" si="91"/>
        <v>13.25</v>
      </c>
      <c r="BI124" s="97">
        <f t="shared" si="91"/>
        <v>19.09</v>
      </c>
      <c r="BJ124" s="97">
        <f t="shared" si="91"/>
        <v>22.63</v>
      </c>
      <c r="BK124" s="111">
        <f t="shared" si="91"/>
        <v>8.9500000000000011</v>
      </c>
      <c r="BL124" s="97">
        <f t="shared" si="91"/>
        <v>13.25</v>
      </c>
      <c r="BM124" s="97">
        <f t="shared" si="91"/>
        <v>19.09</v>
      </c>
      <c r="BN124" s="97">
        <f t="shared" si="91"/>
        <v>21.62</v>
      </c>
      <c r="BO124" s="111">
        <f t="shared" si="95"/>
        <v>8.2900000000000009</v>
      </c>
      <c r="BP124" s="97">
        <f t="shared" si="96"/>
        <v>13.25</v>
      </c>
      <c r="BQ124" s="97">
        <f t="shared" si="97"/>
        <v>19.09</v>
      </c>
      <c r="BR124" s="97">
        <f t="shared" si="98"/>
        <v>22.024000000000001</v>
      </c>
      <c r="BS124" s="111">
        <f t="shared" si="99"/>
        <v>12.258000000000001</v>
      </c>
      <c r="BT124" s="142">
        <f t="shared" si="100"/>
        <v>19.6768</v>
      </c>
      <c r="BU124" s="142">
        <f t="shared" si="101"/>
        <v>15.967400000000001</v>
      </c>
      <c r="BV124" s="142">
        <f>BU124</f>
        <v>15.967400000000001</v>
      </c>
    </row>
    <row r="125" spans="1:74" ht="36.75" customHeight="1" x14ac:dyDescent="0.25">
      <c r="A125" s="226" t="s">
        <v>10</v>
      </c>
      <c r="B125" s="273" t="s">
        <v>22</v>
      </c>
      <c r="C125" s="227" t="s">
        <v>32</v>
      </c>
      <c r="D125" s="72" t="s">
        <v>44</v>
      </c>
      <c r="E125" s="73" t="s">
        <v>45</v>
      </c>
      <c r="F125" s="251" t="s">
        <v>45</v>
      </c>
      <c r="G125" s="293">
        <f t="shared" si="92"/>
        <v>0.33</v>
      </c>
      <c r="H125" s="290">
        <f t="shared" si="90"/>
        <v>0</v>
      </c>
      <c r="I125" s="290">
        <f t="shared" si="90"/>
        <v>0</v>
      </c>
      <c r="J125" s="104">
        <f t="shared" si="93"/>
        <v>1.8150000000000002</v>
      </c>
      <c r="K125" s="111">
        <v>0</v>
      </c>
      <c r="L125" s="97">
        <v>0.22000000000000003</v>
      </c>
      <c r="M125" s="97">
        <v>0.44</v>
      </c>
      <c r="N125" s="97">
        <v>0.55000000000000004</v>
      </c>
      <c r="O125" s="111">
        <v>0.06</v>
      </c>
      <c r="P125" s="97">
        <v>0.22000000000000003</v>
      </c>
      <c r="Q125" s="97">
        <v>0.44</v>
      </c>
      <c r="R125" s="142">
        <v>0.52</v>
      </c>
      <c r="S125" s="111">
        <v>0</v>
      </c>
      <c r="T125" s="97">
        <v>0</v>
      </c>
      <c r="U125" s="97">
        <v>0</v>
      </c>
      <c r="V125" s="97">
        <v>0.22</v>
      </c>
      <c r="W125" s="111">
        <v>0</v>
      </c>
      <c r="X125" s="97">
        <v>0</v>
      </c>
      <c r="Y125" s="97">
        <v>0</v>
      </c>
      <c r="Z125" s="142">
        <v>0.15</v>
      </c>
      <c r="AA125" s="111">
        <v>0</v>
      </c>
      <c r="AB125" s="97">
        <v>0</v>
      </c>
      <c r="AC125" s="97">
        <v>0</v>
      </c>
      <c r="AD125" s="142">
        <v>0.22</v>
      </c>
      <c r="AE125" s="111">
        <v>0</v>
      </c>
      <c r="AF125" s="97">
        <v>0</v>
      </c>
      <c r="AG125" s="97">
        <v>0</v>
      </c>
      <c r="AH125" s="142">
        <v>0.15</v>
      </c>
      <c r="AI125" s="111">
        <v>0</v>
      </c>
      <c r="AJ125" s="97">
        <v>1.1000000000000001</v>
      </c>
      <c r="AK125" s="97">
        <v>2.64</v>
      </c>
      <c r="AL125" s="97">
        <v>3.9599999999999995</v>
      </c>
      <c r="AM125" s="111">
        <v>8.0000000000000071E-2</v>
      </c>
      <c r="AN125" s="97">
        <v>1.1000000000000001</v>
      </c>
      <c r="AO125" s="97">
        <v>2.64</v>
      </c>
      <c r="AP125" s="142">
        <v>3.56</v>
      </c>
      <c r="AQ125" s="111">
        <v>0</v>
      </c>
      <c r="AR125" s="97">
        <v>0</v>
      </c>
      <c r="AS125" s="97">
        <v>0</v>
      </c>
      <c r="AT125" s="97">
        <v>1.87</v>
      </c>
      <c r="AU125" s="111">
        <v>0</v>
      </c>
      <c r="AV125" s="97">
        <v>0</v>
      </c>
      <c r="AW125" s="97">
        <v>0</v>
      </c>
      <c r="AX125" s="142">
        <v>1.2749999999999999</v>
      </c>
      <c r="AY125" s="111">
        <v>0</v>
      </c>
      <c r="AZ125" s="97">
        <v>0</v>
      </c>
      <c r="BA125" s="97">
        <v>0</v>
      </c>
      <c r="BB125" s="97">
        <v>1.87</v>
      </c>
      <c r="BC125" s="111">
        <v>0</v>
      </c>
      <c r="BD125" s="97">
        <v>0</v>
      </c>
      <c r="BE125" s="97">
        <v>0</v>
      </c>
      <c r="BF125" s="142">
        <v>1.2749999999999999</v>
      </c>
      <c r="BG125" s="111">
        <f t="shared" si="94"/>
        <v>0</v>
      </c>
      <c r="BH125" s="97">
        <f t="shared" si="91"/>
        <v>1.1000000000000001</v>
      </c>
      <c r="BI125" s="97">
        <f t="shared" si="91"/>
        <v>2.64</v>
      </c>
      <c r="BJ125" s="97">
        <f t="shared" si="91"/>
        <v>7.7</v>
      </c>
      <c r="BK125" s="111">
        <f t="shared" si="91"/>
        <v>8.0000000000000071E-2</v>
      </c>
      <c r="BL125" s="97">
        <f t="shared" si="91"/>
        <v>1.1000000000000001</v>
      </c>
      <c r="BM125" s="97">
        <f t="shared" si="91"/>
        <v>2.64</v>
      </c>
      <c r="BN125" s="97">
        <f t="shared" si="91"/>
        <v>6.1099999999999994</v>
      </c>
      <c r="BO125" s="111">
        <f t="shared" si="95"/>
        <v>4.8000000000000043E-2</v>
      </c>
      <c r="BP125" s="97">
        <f t="shared" si="96"/>
        <v>1.1000000000000001</v>
      </c>
      <c r="BQ125" s="97">
        <f t="shared" si="97"/>
        <v>2.64</v>
      </c>
      <c r="BR125" s="97">
        <f t="shared" si="98"/>
        <v>6.7459999999999996</v>
      </c>
      <c r="BS125" s="111">
        <f t="shared" si="99"/>
        <v>0.88960000000000017</v>
      </c>
      <c r="BT125" s="142">
        <f t="shared" si="100"/>
        <v>3.4611999999999998</v>
      </c>
      <c r="BU125" s="142">
        <f t="shared" si="101"/>
        <v>2.1753999999999998</v>
      </c>
      <c r="BV125" s="142">
        <f>BU124</f>
        <v>15.967400000000001</v>
      </c>
    </row>
    <row r="126" spans="1:74" ht="30.75" thickBot="1" x14ac:dyDescent="0.3">
      <c r="A126" s="228" t="s">
        <v>11</v>
      </c>
      <c r="B126" s="308" t="s">
        <v>23</v>
      </c>
      <c r="C126" s="230" t="s">
        <v>33</v>
      </c>
      <c r="D126" s="74" t="s">
        <v>43</v>
      </c>
      <c r="E126" s="75" t="s">
        <v>44</v>
      </c>
      <c r="F126" s="252" t="s">
        <v>42</v>
      </c>
      <c r="G126" s="294">
        <f t="shared" si="92"/>
        <v>0.66</v>
      </c>
      <c r="H126" s="291">
        <f t="shared" si="90"/>
        <v>0.33</v>
      </c>
      <c r="I126" s="291">
        <f t="shared" si="90"/>
        <v>1</v>
      </c>
      <c r="J126" s="108">
        <f t="shared" si="93"/>
        <v>14.27</v>
      </c>
      <c r="K126" s="112">
        <v>0.44000000000000006</v>
      </c>
      <c r="L126" s="188">
        <v>0.55000000000000004</v>
      </c>
      <c r="M126" s="188">
        <v>0.77</v>
      </c>
      <c r="N126" s="188">
        <v>0.89</v>
      </c>
      <c r="O126" s="112">
        <v>0.47000000000000003</v>
      </c>
      <c r="P126" s="188">
        <v>0.55000000000000004</v>
      </c>
      <c r="Q126" s="188">
        <v>0.77</v>
      </c>
      <c r="R126" s="113">
        <v>0.86</v>
      </c>
      <c r="S126" s="112">
        <v>0</v>
      </c>
      <c r="T126" s="188">
        <v>0.22000000000000003</v>
      </c>
      <c r="U126" s="188">
        <v>0.44</v>
      </c>
      <c r="V126" s="188">
        <v>0.55000000000000004</v>
      </c>
      <c r="W126" s="112">
        <v>0.06</v>
      </c>
      <c r="X126" s="188">
        <v>0.22000000000000003</v>
      </c>
      <c r="Y126" s="188">
        <v>0.44</v>
      </c>
      <c r="Z126" s="113">
        <v>0.52</v>
      </c>
      <c r="AA126" s="112">
        <v>0.77</v>
      </c>
      <c r="AB126" s="188">
        <v>1</v>
      </c>
      <c r="AC126" s="188">
        <v>1</v>
      </c>
      <c r="AD126" s="113">
        <v>1</v>
      </c>
      <c r="AE126" s="112">
        <v>0.8</v>
      </c>
      <c r="AF126" s="188">
        <v>1</v>
      </c>
      <c r="AG126" s="188">
        <v>1</v>
      </c>
      <c r="AH126" s="113">
        <v>1</v>
      </c>
      <c r="AI126" s="112">
        <v>1.375</v>
      </c>
      <c r="AJ126" s="188">
        <v>2.75</v>
      </c>
      <c r="AK126" s="188">
        <v>4.62</v>
      </c>
      <c r="AL126" s="188">
        <v>6.4950000000000001</v>
      </c>
      <c r="AM126" s="112">
        <v>1.8000000000000007</v>
      </c>
      <c r="AN126" s="188">
        <v>2.75</v>
      </c>
      <c r="AO126" s="188">
        <v>4.62</v>
      </c>
      <c r="AP126" s="113">
        <v>5.9300000000000006</v>
      </c>
      <c r="AQ126" s="112">
        <v>0</v>
      </c>
      <c r="AR126" s="188">
        <v>1.6500000000000001</v>
      </c>
      <c r="AS126" s="188">
        <v>3.74</v>
      </c>
      <c r="AT126" s="188">
        <v>4.6750000000000007</v>
      </c>
      <c r="AU126" s="112">
        <v>0.22999999999999998</v>
      </c>
      <c r="AV126" s="188">
        <v>1.6500000000000001</v>
      </c>
      <c r="AW126" s="188">
        <v>3.74</v>
      </c>
      <c r="AX126" s="113">
        <v>4.42</v>
      </c>
      <c r="AY126" s="112">
        <v>4.2750000000000004</v>
      </c>
      <c r="AZ126" s="188">
        <v>7.5</v>
      </c>
      <c r="BA126" s="188">
        <v>8.5</v>
      </c>
      <c r="BB126" s="188">
        <v>8.5</v>
      </c>
      <c r="BC126" s="112">
        <v>5</v>
      </c>
      <c r="BD126" s="188">
        <v>7.5</v>
      </c>
      <c r="BE126" s="188">
        <v>8.5</v>
      </c>
      <c r="BF126" s="113">
        <v>8.5</v>
      </c>
      <c r="BG126" s="112">
        <f t="shared" si="94"/>
        <v>5.65</v>
      </c>
      <c r="BH126" s="188">
        <f t="shared" si="91"/>
        <v>11.9</v>
      </c>
      <c r="BI126" s="188">
        <f t="shared" si="91"/>
        <v>16.86</v>
      </c>
      <c r="BJ126" s="188">
        <f t="shared" si="91"/>
        <v>19.670000000000002</v>
      </c>
      <c r="BK126" s="112">
        <f t="shared" si="91"/>
        <v>7.0300000000000011</v>
      </c>
      <c r="BL126" s="188">
        <f t="shared" si="91"/>
        <v>11.9</v>
      </c>
      <c r="BM126" s="188">
        <f t="shared" si="91"/>
        <v>16.86</v>
      </c>
      <c r="BN126" s="188">
        <f t="shared" si="91"/>
        <v>18.850000000000001</v>
      </c>
      <c r="BO126" s="112">
        <f t="shared" si="95"/>
        <v>6.4780000000000015</v>
      </c>
      <c r="BP126" s="188">
        <f t="shared" si="96"/>
        <v>11.9</v>
      </c>
      <c r="BQ126" s="188">
        <f t="shared" si="97"/>
        <v>16.86</v>
      </c>
      <c r="BR126" s="188">
        <f t="shared" si="98"/>
        <v>19.178000000000001</v>
      </c>
      <c r="BS126" s="112">
        <f t="shared" si="99"/>
        <v>10.815600000000002</v>
      </c>
      <c r="BT126" s="113">
        <f t="shared" si="100"/>
        <v>17.323599999999999</v>
      </c>
      <c r="BU126" s="113">
        <f t="shared" si="101"/>
        <v>14.069600000000001</v>
      </c>
      <c r="BV126" s="113">
        <f>BU124</f>
        <v>15.967400000000001</v>
      </c>
    </row>
    <row r="127" spans="1:74" x14ac:dyDescent="0.25">
      <c r="BF127" s="138"/>
      <c r="BG127" s="139"/>
      <c r="BH127" s="139"/>
      <c r="BI127" s="139"/>
      <c r="BJ127" s="139"/>
      <c r="BK127" s="139"/>
    </row>
    <row r="128" spans="1:74" x14ac:dyDescent="0.25">
      <c r="A128" s="1" t="s">
        <v>115</v>
      </c>
      <c r="B128" s="1"/>
    </row>
    <row r="129" spans="1:12" ht="15.75" thickBot="1" x14ac:dyDescent="0.3">
      <c r="A129" s="42" t="s">
        <v>41</v>
      </c>
      <c r="B129" s="43" t="s">
        <v>52</v>
      </c>
      <c r="E129" s="45" t="s">
        <v>3</v>
      </c>
      <c r="I129" t="s">
        <v>4</v>
      </c>
    </row>
    <row r="130" spans="1:12" x14ac:dyDescent="0.25">
      <c r="A130" s="41" t="s">
        <v>45</v>
      </c>
      <c r="B130" s="2">
        <v>0</v>
      </c>
      <c r="C130" s="15">
        <f>B130</f>
        <v>0</v>
      </c>
      <c r="D130" s="16" t="s">
        <v>45</v>
      </c>
      <c r="E130" s="17">
        <v>0</v>
      </c>
      <c r="F130" s="18">
        <f>C130</f>
        <v>0</v>
      </c>
      <c r="G130" s="19">
        <v>0</v>
      </c>
      <c r="H130" s="20">
        <v>0.22</v>
      </c>
      <c r="I130" s="21">
        <v>0</v>
      </c>
      <c r="J130" s="19">
        <f>F130</f>
        <v>0</v>
      </c>
      <c r="K130" s="19">
        <f>G130</f>
        <v>0</v>
      </c>
      <c r="L130" s="22">
        <v>0.15</v>
      </c>
    </row>
    <row r="131" spans="1:12" x14ac:dyDescent="0.25">
      <c r="A131" s="41" t="s">
        <v>44</v>
      </c>
      <c r="B131" s="2">
        <v>0.33</v>
      </c>
      <c r="C131" s="15">
        <f t="shared" ref="C131:C133" si="102">B131</f>
        <v>0.33</v>
      </c>
      <c r="D131" s="16" t="s">
        <v>44</v>
      </c>
      <c r="E131" s="23">
        <v>0</v>
      </c>
      <c r="F131" s="44">
        <f>C131-0.11</f>
        <v>0.22000000000000003</v>
      </c>
      <c r="G131">
        <f>C131+0.11</f>
        <v>0.44</v>
      </c>
      <c r="H131" s="24">
        <f t="shared" ref="H131" si="103">G131+0.11</f>
        <v>0.55000000000000004</v>
      </c>
      <c r="I131" s="25">
        <v>0.06</v>
      </c>
      <c r="J131">
        <f t="shared" ref="J131:J133" si="104">F131</f>
        <v>0.22000000000000003</v>
      </c>
      <c r="K131">
        <f t="shared" ref="K131:K133" si="105">G131</f>
        <v>0.44</v>
      </c>
      <c r="L131" s="26">
        <f t="shared" ref="L131" si="106">K131+0.08</f>
        <v>0.52</v>
      </c>
    </row>
    <row r="132" spans="1:12" x14ac:dyDescent="0.25">
      <c r="A132" s="41" t="s">
        <v>43</v>
      </c>
      <c r="B132" s="2">
        <v>0.66</v>
      </c>
      <c r="C132" s="15">
        <f t="shared" si="102"/>
        <v>0.66</v>
      </c>
      <c r="D132" s="16" t="s">
        <v>43</v>
      </c>
      <c r="E132" s="23">
        <f t="shared" ref="E132" si="107">F132-0.11</f>
        <v>0.44000000000000006</v>
      </c>
      <c r="F132" s="44">
        <f t="shared" ref="F132" si="108">C132-0.11</f>
        <v>0.55000000000000004</v>
      </c>
      <c r="G132">
        <f t="shared" ref="G132" si="109">C132+0.11</f>
        <v>0.77</v>
      </c>
      <c r="H132" s="24">
        <f>G132+0.12</f>
        <v>0.89</v>
      </c>
      <c r="I132" s="25">
        <f t="shared" ref="I132" si="110">J132-0.08</f>
        <v>0.47000000000000003</v>
      </c>
      <c r="J132">
        <f t="shared" si="104"/>
        <v>0.55000000000000004</v>
      </c>
      <c r="K132">
        <f t="shared" si="105"/>
        <v>0.77</v>
      </c>
      <c r="L132" s="26">
        <f>K132+0.09</f>
        <v>0.86</v>
      </c>
    </row>
    <row r="133" spans="1:12" ht="15.75" thickBot="1" x14ac:dyDescent="0.3">
      <c r="A133" s="41" t="s">
        <v>42</v>
      </c>
      <c r="B133" s="2">
        <v>1</v>
      </c>
      <c r="C133" s="15">
        <f t="shared" si="102"/>
        <v>1</v>
      </c>
      <c r="D133" s="16" t="s">
        <v>42</v>
      </c>
      <c r="E133" s="27">
        <v>0.77</v>
      </c>
      <c r="F133" s="28">
        <v>1</v>
      </c>
      <c r="G133" s="29">
        <v>1</v>
      </c>
      <c r="H133" s="30">
        <v>1</v>
      </c>
      <c r="I133" s="31">
        <v>0.8</v>
      </c>
      <c r="J133" s="29">
        <f t="shared" si="104"/>
        <v>1</v>
      </c>
      <c r="K133" s="29">
        <f t="shared" si="105"/>
        <v>1</v>
      </c>
      <c r="L133" s="32">
        <v>1</v>
      </c>
    </row>
    <row r="134" spans="1:12" x14ac:dyDescent="0.25">
      <c r="A134" s="35"/>
    </row>
    <row r="135" spans="1:12" x14ac:dyDescent="0.25">
      <c r="A135" s="1" t="s">
        <v>116</v>
      </c>
    </row>
    <row r="136" spans="1:12" ht="15.75" thickBot="1" x14ac:dyDescent="0.3">
      <c r="A136" s="42" t="s">
        <v>41</v>
      </c>
      <c r="B136" s="43" t="s">
        <v>53</v>
      </c>
      <c r="E136" s="45" t="s">
        <v>3</v>
      </c>
      <c r="I136" t="s">
        <v>4</v>
      </c>
    </row>
    <row r="137" spans="1:12" x14ac:dyDescent="0.25">
      <c r="A137" s="41" t="s">
        <v>45</v>
      </c>
      <c r="B137" s="2">
        <v>0.5</v>
      </c>
      <c r="C137" s="15">
        <f>B137</f>
        <v>0.5</v>
      </c>
      <c r="D137" s="16" t="s">
        <v>45</v>
      </c>
      <c r="E137" s="17">
        <v>0</v>
      </c>
      <c r="F137" s="18">
        <f>C137-0.5</f>
        <v>0</v>
      </c>
      <c r="G137" s="19">
        <f>C137+0.5</f>
        <v>1</v>
      </c>
      <c r="H137" s="20">
        <f t="shared" ref="H137:H139" si="111">G137+1.5</f>
        <v>2.5</v>
      </c>
      <c r="I137" s="21">
        <v>0</v>
      </c>
      <c r="J137" s="19">
        <f>F137</f>
        <v>0</v>
      </c>
      <c r="K137" s="19">
        <f>G137</f>
        <v>1</v>
      </c>
      <c r="L137" s="22">
        <f t="shared" ref="L137:L139" si="112">K137+1</f>
        <v>2</v>
      </c>
    </row>
    <row r="138" spans="1:12" x14ac:dyDescent="0.25">
      <c r="A138" s="41" t="s">
        <v>44</v>
      </c>
      <c r="B138" s="2">
        <v>3</v>
      </c>
      <c r="C138" s="15">
        <f t="shared" ref="C138:C140" si="113">B138</f>
        <v>3</v>
      </c>
      <c r="D138" s="16" t="s">
        <v>44</v>
      </c>
      <c r="E138" s="23">
        <v>1.5</v>
      </c>
      <c r="F138" s="44">
        <f>C138-0.5</f>
        <v>2.5</v>
      </c>
      <c r="G138">
        <f>C138+0.5</f>
        <v>3.5</v>
      </c>
      <c r="H138" s="24">
        <f t="shared" si="111"/>
        <v>5</v>
      </c>
      <c r="I138" s="25">
        <f t="shared" ref="I138:I140" si="114">J138-1</f>
        <v>1.5</v>
      </c>
      <c r="J138">
        <f t="shared" ref="J138:J140" si="115">F138</f>
        <v>2.5</v>
      </c>
      <c r="K138">
        <f t="shared" ref="K138:K140" si="116">G138</f>
        <v>3.5</v>
      </c>
      <c r="L138" s="26">
        <f t="shared" si="112"/>
        <v>4.5</v>
      </c>
    </row>
    <row r="139" spans="1:12" x14ac:dyDescent="0.25">
      <c r="A139" s="41" t="s">
        <v>43</v>
      </c>
      <c r="B139" s="2">
        <v>5.5</v>
      </c>
      <c r="C139" s="15">
        <f t="shared" si="113"/>
        <v>5.5</v>
      </c>
      <c r="D139" s="16" t="s">
        <v>43</v>
      </c>
      <c r="E139" s="23">
        <f t="shared" ref="E139:E140" si="117">F139-1.5</f>
        <v>3.5</v>
      </c>
      <c r="F139" s="44">
        <f>C139-0.5</f>
        <v>5</v>
      </c>
      <c r="G139">
        <f>C139+0.5</f>
        <v>6</v>
      </c>
      <c r="H139" s="24">
        <f t="shared" si="111"/>
        <v>7.5</v>
      </c>
      <c r="I139" s="25">
        <f t="shared" si="114"/>
        <v>4</v>
      </c>
      <c r="J139">
        <f t="shared" si="115"/>
        <v>5</v>
      </c>
      <c r="K139">
        <f t="shared" si="116"/>
        <v>6</v>
      </c>
      <c r="L139" s="26">
        <f t="shared" si="112"/>
        <v>7</v>
      </c>
    </row>
    <row r="140" spans="1:12" ht="15.75" thickBot="1" x14ac:dyDescent="0.3">
      <c r="A140" s="41" t="s">
        <v>42</v>
      </c>
      <c r="B140" s="2">
        <v>8</v>
      </c>
      <c r="C140" s="15">
        <f t="shared" si="113"/>
        <v>8</v>
      </c>
      <c r="D140" s="16" t="s">
        <v>42</v>
      </c>
      <c r="E140" s="27">
        <f t="shared" si="117"/>
        <v>6</v>
      </c>
      <c r="F140" s="28">
        <f>C140-0.5</f>
        <v>7.5</v>
      </c>
      <c r="G140" s="29">
        <f>C140+0.5</f>
        <v>8.5</v>
      </c>
      <c r="H140" s="30">
        <f>G140</f>
        <v>8.5</v>
      </c>
      <c r="I140" s="31">
        <f t="shared" si="114"/>
        <v>6.5</v>
      </c>
      <c r="J140" s="29">
        <f t="shared" si="115"/>
        <v>7.5</v>
      </c>
      <c r="K140" s="29">
        <f t="shared" si="116"/>
        <v>8.5</v>
      </c>
      <c r="L140" s="32">
        <f>K140</f>
        <v>8.5</v>
      </c>
    </row>
    <row r="142" spans="1:12" ht="15.75" thickBot="1" x14ac:dyDescent="0.3">
      <c r="A142" s="1" t="s">
        <v>117</v>
      </c>
    </row>
    <row r="143" spans="1:12" ht="67.5" customHeight="1" thickBot="1" x14ac:dyDescent="0.3">
      <c r="A143" s="47" t="s">
        <v>283</v>
      </c>
      <c r="B143" s="46" t="s">
        <v>37</v>
      </c>
      <c r="C143" s="48" t="s">
        <v>46</v>
      </c>
      <c r="D143" s="49" t="s">
        <v>118</v>
      </c>
      <c r="E143" s="458" t="s">
        <v>54</v>
      </c>
      <c r="F143" s="459"/>
      <c r="G143" s="459"/>
      <c r="H143" s="459"/>
      <c r="I143" s="459"/>
      <c r="J143" s="459"/>
      <c r="K143" s="459"/>
      <c r="L143" s="460"/>
    </row>
    <row r="144" spans="1:12" x14ac:dyDescent="0.25">
      <c r="A144" s="56" t="s">
        <v>48</v>
      </c>
      <c r="B144" s="50" t="s">
        <v>38</v>
      </c>
      <c r="C144" s="51" t="s">
        <v>43</v>
      </c>
      <c r="D144" s="70">
        <f>B139</f>
        <v>5.5</v>
      </c>
      <c r="E144" s="23">
        <v>3.5</v>
      </c>
      <c r="F144" s="44">
        <v>5</v>
      </c>
      <c r="G144">
        <v>6</v>
      </c>
      <c r="H144" s="24">
        <v>7.5</v>
      </c>
      <c r="I144" s="25">
        <v>4</v>
      </c>
      <c r="J144">
        <v>5</v>
      </c>
      <c r="K144">
        <v>6</v>
      </c>
      <c r="L144" s="26">
        <v>7</v>
      </c>
    </row>
    <row r="145" spans="1:12" x14ac:dyDescent="0.25">
      <c r="A145" s="57" t="s">
        <v>49</v>
      </c>
      <c r="B145" s="40" t="s">
        <v>39</v>
      </c>
      <c r="C145" s="2" t="s">
        <v>42</v>
      </c>
      <c r="D145" s="70">
        <f>B140</f>
        <v>8</v>
      </c>
      <c r="E145" s="23">
        <v>6</v>
      </c>
      <c r="F145" s="44">
        <v>7.5</v>
      </c>
      <c r="G145">
        <v>8.5</v>
      </c>
      <c r="H145" s="24">
        <v>8.5</v>
      </c>
      <c r="I145" s="25">
        <v>6.5</v>
      </c>
      <c r="J145">
        <v>7.5</v>
      </c>
      <c r="K145">
        <v>8.5</v>
      </c>
      <c r="L145" s="26">
        <v>8.5</v>
      </c>
    </row>
    <row r="146" spans="1:12" ht="15.75" thickBot="1" x14ac:dyDescent="0.3">
      <c r="A146" s="58" t="s">
        <v>50</v>
      </c>
      <c r="B146" s="52" t="s">
        <v>40</v>
      </c>
      <c r="C146" s="53" t="s">
        <v>42</v>
      </c>
      <c r="D146" s="71">
        <f>B140</f>
        <v>8</v>
      </c>
      <c r="E146" s="27">
        <v>6</v>
      </c>
      <c r="F146" s="28">
        <v>7.5</v>
      </c>
      <c r="G146" s="29">
        <v>8.5</v>
      </c>
      <c r="H146" s="30">
        <v>8.5</v>
      </c>
      <c r="I146" s="31">
        <v>6.5</v>
      </c>
      <c r="J146" s="29">
        <v>7.5</v>
      </c>
      <c r="K146" s="29">
        <v>8.5</v>
      </c>
      <c r="L146" s="32">
        <v>8.5</v>
      </c>
    </row>
    <row r="148" spans="1:12" ht="15.75" thickBot="1" x14ac:dyDescent="0.3">
      <c r="A148" s="1" t="s">
        <v>302</v>
      </c>
    </row>
    <row r="149" spans="1:12" ht="30.75" thickBot="1" x14ac:dyDescent="0.3">
      <c r="A149" s="356" t="s">
        <v>60</v>
      </c>
      <c r="B149" s="357" t="s">
        <v>61</v>
      </c>
      <c r="E149" s="458" t="s">
        <v>62</v>
      </c>
      <c r="F149" s="459"/>
      <c r="G149" s="459"/>
      <c r="H149" s="459"/>
      <c r="I149" s="459"/>
      <c r="J149" s="459"/>
      <c r="K149" s="459"/>
      <c r="L149" s="460"/>
    </row>
    <row r="150" spans="1:12" x14ac:dyDescent="0.25">
      <c r="A150" s="223" t="s">
        <v>263</v>
      </c>
      <c r="B150" s="59" t="s">
        <v>45</v>
      </c>
      <c r="D150" s="62" t="s">
        <v>66</v>
      </c>
      <c r="E150" s="110">
        <f>E130*F$144+E$144*F130-F130*F$144</f>
        <v>0</v>
      </c>
      <c r="F150" s="234">
        <f>F130*F$144</f>
        <v>0</v>
      </c>
      <c r="G150" s="234">
        <f>G130*G$144</f>
        <v>0</v>
      </c>
      <c r="H150" s="140">
        <f>G130*H$144+G$144*H130-G130*G$144</f>
        <v>1.32</v>
      </c>
      <c r="I150" s="110">
        <f>I130*J$144+I$144*J130-J130*J$144</f>
        <v>0</v>
      </c>
      <c r="J150" s="234">
        <f>J130*J$144</f>
        <v>0</v>
      </c>
      <c r="K150" s="234">
        <f>K130*K$144</f>
        <v>0</v>
      </c>
      <c r="L150" s="140">
        <f>K130*L$144+K$144*L130-K130*K$144</f>
        <v>0.89999999999999991</v>
      </c>
    </row>
    <row r="151" spans="1:12" x14ac:dyDescent="0.25">
      <c r="A151" s="224" t="s">
        <v>263</v>
      </c>
      <c r="B151" s="60" t="s">
        <v>44</v>
      </c>
      <c r="D151" s="63" t="s">
        <v>65</v>
      </c>
      <c r="E151" s="111">
        <f>IF(E131*F$144+E$144*F131-F131*F$144&lt;0,0,E131*F$144+E$144*F131-F131*F$144)</f>
        <v>0</v>
      </c>
      <c r="F151" s="97">
        <f t="shared" ref="F151:G153" si="118">F131*F$144</f>
        <v>1.1000000000000001</v>
      </c>
      <c r="G151" s="97">
        <f t="shared" si="118"/>
        <v>2.64</v>
      </c>
      <c r="H151" s="142">
        <f t="shared" ref="H151:H153" si="119">G131*H$144+G$144*H131-G131*G$144</f>
        <v>3.9599999999999995</v>
      </c>
      <c r="I151" s="111">
        <f t="shared" ref="I151:I153" si="120">I131*J$144+I$144*J131-J131*J$144</f>
        <v>8.0000000000000071E-2</v>
      </c>
      <c r="J151" s="97">
        <f t="shared" ref="J151:K153" si="121">J131*J$144</f>
        <v>1.1000000000000001</v>
      </c>
      <c r="K151" s="97">
        <f t="shared" si="121"/>
        <v>2.64</v>
      </c>
      <c r="L151" s="142">
        <f t="shared" ref="L151:L153" si="122">K131*L$144+K$144*L131-K131*K$144</f>
        <v>3.56</v>
      </c>
    </row>
    <row r="152" spans="1:12" x14ac:dyDescent="0.25">
      <c r="A152" s="224" t="s">
        <v>263</v>
      </c>
      <c r="B152" s="60" t="s">
        <v>43</v>
      </c>
      <c r="D152" s="63" t="s">
        <v>64</v>
      </c>
      <c r="E152" s="111">
        <f t="shared" ref="E152:E153" si="123">E132*F$144+E$144*F132-F132*F$144</f>
        <v>1.375</v>
      </c>
      <c r="F152" s="97">
        <f t="shared" si="118"/>
        <v>2.75</v>
      </c>
      <c r="G152" s="97">
        <f t="shared" si="118"/>
        <v>4.62</v>
      </c>
      <c r="H152" s="142">
        <f t="shared" si="119"/>
        <v>6.4950000000000001</v>
      </c>
      <c r="I152" s="111">
        <f t="shared" si="120"/>
        <v>1.8000000000000007</v>
      </c>
      <c r="J152" s="97">
        <f t="shared" si="121"/>
        <v>2.75</v>
      </c>
      <c r="K152" s="97">
        <f t="shared" si="121"/>
        <v>4.62</v>
      </c>
      <c r="L152" s="142">
        <f t="shared" si="122"/>
        <v>5.9300000000000006</v>
      </c>
    </row>
    <row r="153" spans="1:12" ht="15.75" thickBot="1" x14ac:dyDescent="0.3">
      <c r="A153" s="225" t="s">
        <v>263</v>
      </c>
      <c r="B153" s="61" t="s">
        <v>42</v>
      </c>
      <c r="D153" s="64" t="s">
        <v>63</v>
      </c>
      <c r="E153" s="112">
        <f t="shared" si="123"/>
        <v>2.3499999999999996</v>
      </c>
      <c r="F153" s="188">
        <f t="shared" si="118"/>
        <v>5</v>
      </c>
      <c r="G153" s="188">
        <f t="shared" si="118"/>
        <v>6</v>
      </c>
      <c r="H153" s="113">
        <f t="shared" si="119"/>
        <v>7.5</v>
      </c>
      <c r="I153" s="112">
        <f t="shared" si="120"/>
        <v>3</v>
      </c>
      <c r="J153" s="188">
        <f t="shared" si="121"/>
        <v>5</v>
      </c>
      <c r="K153" s="188">
        <f t="shared" si="121"/>
        <v>6</v>
      </c>
      <c r="L153" s="113">
        <f t="shared" si="122"/>
        <v>7</v>
      </c>
    </row>
    <row r="154" spans="1:12" x14ac:dyDescent="0.25">
      <c r="A154" s="223" t="s">
        <v>260</v>
      </c>
      <c r="B154" s="59" t="s">
        <v>45</v>
      </c>
      <c r="D154" s="62" t="s">
        <v>67</v>
      </c>
      <c r="E154" s="110">
        <f>E130*F$145+E$145*F130-F130*F$145</f>
        <v>0</v>
      </c>
      <c r="F154" s="234">
        <f>F130*F$145</f>
        <v>0</v>
      </c>
      <c r="G154" s="234">
        <f>G130*G$145</f>
        <v>0</v>
      </c>
      <c r="H154" s="140">
        <f>G130*H$145+G$145*H130-G130*G$145</f>
        <v>1.87</v>
      </c>
      <c r="I154" s="110">
        <f>I130*J$145+I$145*J130-J130*J$145</f>
        <v>0</v>
      </c>
      <c r="J154" s="234">
        <f>J130*J$145</f>
        <v>0</v>
      </c>
      <c r="K154" s="234">
        <f>K130*K$145</f>
        <v>0</v>
      </c>
      <c r="L154" s="140">
        <f>K130*L$145+K$145*L130-K130*K$145</f>
        <v>1.2749999999999999</v>
      </c>
    </row>
    <row r="155" spans="1:12" x14ac:dyDescent="0.25">
      <c r="A155" s="224" t="s">
        <v>260</v>
      </c>
      <c r="B155" s="60" t="s">
        <v>44</v>
      </c>
      <c r="D155" s="63" t="s">
        <v>72</v>
      </c>
      <c r="E155" s="111">
        <f>IF(E131*F$145+E$145*F131-F131*F$145&lt;0,0,E131*F$145+E$145*F131-F131*F$145)</f>
        <v>0</v>
      </c>
      <c r="F155" s="97">
        <f t="shared" ref="F155:G157" si="124">F131*F$145</f>
        <v>1.6500000000000001</v>
      </c>
      <c r="G155" s="97">
        <f t="shared" si="124"/>
        <v>3.74</v>
      </c>
      <c r="H155" s="142">
        <f t="shared" ref="H155:H157" si="125">G131*H$145+G$145*H131-G131*G$145</f>
        <v>4.6750000000000007</v>
      </c>
      <c r="I155" s="111">
        <f t="shared" ref="I155:I157" si="126">I131*J$145+I$145*J131-J131*J$145</f>
        <v>0.22999999999999998</v>
      </c>
      <c r="J155" s="97">
        <f t="shared" ref="J155:K157" si="127">J131*J$145</f>
        <v>1.6500000000000001</v>
      </c>
      <c r="K155" s="97">
        <f t="shared" si="127"/>
        <v>3.74</v>
      </c>
      <c r="L155" s="142">
        <f t="shared" ref="L155:L157" si="128">K131*L$145+K$145*L131-K131*K$145</f>
        <v>4.42</v>
      </c>
    </row>
    <row r="156" spans="1:12" x14ac:dyDescent="0.25">
      <c r="A156" s="224" t="s">
        <v>260</v>
      </c>
      <c r="B156" s="60" t="s">
        <v>43</v>
      </c>
      <c r="D156" s="63" t="s">
        <v>73</v>
      </c>
      <c r="E156" s="111">
        <f t="shared" ref="E156:E157" si="129">E132*F$145+E$145*F132-F132*F$145</f>
        <v>2.4750000000000005</v>
      </c>
      <c r="F156" s="97">
        <f t="shared" si="124"/>
        <v>4.125</v>
      </c>
      <c r="G156" s="97">
        <f t="shared" si="124"/>
        <v>6.5449999999999999</v>
      </c>
      <c r="H156" s="142">
        <f t="shared" si="125"/>
        <v>7.5649999999999995</v>
      </c>
      <c r="I156" s="111">
        <f t="shared" si="126"/>
        <v>2.9750000000000005</v>
      </c>
      <c r="J156" s="97">
        <f t="shared" si="127"/>
        <v>4.125</v>
      </c>
      <c r="K156" s="97">
        <f t="shared" si="127"/>
        <v>6.5449999999999999</v>
      </c>
      <c r="L156" s="142">
        <f t="shared" si="128"/>
        <v>7.3100000000000005</v>
      </c>
    </row>
    <row r="157" spans="1:12" ht="15.75" thickBot="1" x14ac:dyDescent="0.3">
      <c r="A157" s="225" t="s">
        <v>260</v>
      </c>
      <c r="B157" s="61" t="s">
        <v>42</v>
      </c>
      <c r="D157" s="64" t="s">
        <v>74</v>
      </c>
      <c r="E157" s="112">
        <f t="shared" si="129"/>
        <v>4.2750000000000004</v>
      </c>
      <c r="F157" s="188">
        <f t="shared" si="124"/>
        <v>7.5</v>
      </c>
      <c r="G157" s="188">
        <f t="shared" si="124"/>
        <v>8.5</v>
      </c>
      <c r="H157" s="113">
        <f t="shared" si="125"/>
        <v>8.5</v>
      </c>
      <c r="I157" s="112">
        <f t="shared" si="126"/>
        <v>5</v>
      </c>
      <c r="J157" s="188">
        <f t="shared" si="127"/>
        <v>7.5</v>
      </c>
      <c r="K157" s="188">
        <f t="shared" si="127"/>
        <v>8.5</v>
      </c>
      <c r="L157" s="113">
        <f t="shared" si="128"/>
        <v>8.5</v>
      </c>
    </row>
    <row r="158" spans="1:12" x14ac:dyDescent="0.25">
      <c r="A158" s="223" t="s">
        <v>261</v>
      </c>
      <c r="B158" s="59" t="s">
        <v>45</v>
      </c>
      <c r="D158" s="62" t="s">
        <v>69</v>
      </c>
      <c r="E158" s="110">
        <f>E130*F$146+E$146*F130-F130*F$146</f>
        <v>0</v>
      </c>
      <c r="F158" s="234">
        <f>F130*F$146</f>
        <v>0</v>
      </c>
      <c r="G158" s="234">
        <f>G130*G$146</f>
        <v>0</v>
      </c>
      <c r="H158" s="140">
        <f>G130*H$146+G$146*H130-G130*G$146</f>
        <v>1.87</v>
      </c>
      <c r="I158" s="110">
        <f>I130*J$146+I$146*J130-J130*J$146</f>
        <v>0</v>
      </c>
      <c r="J158" s="234">
        <f>J130*J$146</f>
        <v>0</v>
      </c>
      <c r="K158" s="234">
        <f>K130*K$146</f>
        <v>0</v>
      </c>
      <c r="L158" s="140">
        <f>K130*L$146+K$146*L130-K130*K$146</f>
        <v>1.2749999999999999</v>
      </c>
    </row>
    <row r="159" spans="1:12" x14ac:dyDescent="0.25">
      <c r="A159" s="224" t="s">
        <v>261</v>
      </c>
      <c r="B159" s="60" t="s">
        <v>44</v>
      </c>
      <c r="D159" s="63" t="s">
        <v>68</v>
      </c>
      <c r="E159" s="111">
        <f>IF(E131*F$146+E$146*F131-F131*F$146&lt;0,0,E131*F$146+E$146*F131-F131*F$146)</f>
        <v>0</v>
      </c>
      <c r="F159" s="97">
        <f t="shared" ref="F159:G161" si="130">F131*F$146</f>
        <v>1.6500000000000001</v>
      </c>
      <c r="G159" s="97">
        <f t="shared" si="130"/>
        <v>3.74</v>
      </c>
      <c r="H159" s="142">
        <f t="shared" ref="H159:H161" si="131">G131*H$146+G$146*H131-G131*G$146</f>
        <v>4.6750000000000007</v>
      </c>
      <c r="I159" s="111">
        <f t="shared" ref="I159:I161" si="132">I131*J$146+I$146*J131-J131*J$146</f>
        <v>0.22999999999999998</v>
      </c>
      <c r="J159" s="97">
        <f t="shared" ref="J159:K161" si="133">J131*J$146</f>
        <v>1.6500000000000001</v>
      </c>
      <c r="K159" s="97">
        <f t="shared" si="133"/>
        <v>3.74</v>
      </c>
      <c r="L159" s="142">
        <f t="shared" ref="L159:L161" si="134">K131*L$146+K$146*L131-K131*K$146</f>
        <v>4.42</v>
      </c>
    </row>
    <row r="160" spans="1:12" x14ac:dyDescent="0.25">
      <c r="A160" s="224" t="s">
        <v>261</v>
      </c>
      <c r="B160" s="60" t="s">
        <v>43</v>
      </c>
      <c r="D160" s="63" t="s">
        <v>70</v>
      </c>
      <c r="E160" s="111">
        <f t="shared" ref="E160:E161" si="135">E132*F$146+E$146*F132-F132*F$146</f>
        <v>2.4750000000000005</v>
      </c>
      <c r="F160" s="97">
        <f t="shared" si="130"/>
        <v>4.125</v>
      </c>
      <c r="G160" s="97">
        <f t="shared" si="130"/>
        <v>6.5449999999999999</v>
      </c>
      <c r="H160" s="142">
        <f t="shared" si="131"/>
        <v>7.5649999999999995</v>
      </c>
      <c r="I160" s="111">
        <f t="shared" si="132"/>
        <v>2.9750000000000005</v>
      </c>
      <c r="J160" s="97">
        <f t="shared" si="133"/>
        <v>4.125</v>
      </c>
      <c r="K160" s="97">
        <f t="shared" si="133"/>
        <v>6.5449999999999999</v>
      </c>
      <c r="L160" s="142">
        <f t="shared" si="134"/>
        <v>7.3100000000000005</v>
      </c>
    </row>
    <row r="161" spans="1:25" ht="15.75" thickBot="1" x14ac:dyDescent="0.3">
      <c r="A161" s="225" t="s">
        <v>261</v>
      </c>
      <c r="B161" s="61" t="s">
        <v>42</v>
      </c>
      <c r="D161" s="64" t="s">
        <v>71</v>
      </c>
      <c r="E161" s="112">
        <f t="shared" si="135"/>
        <v>4.2750000000000004</v>
      </c>
      <c r="F161" s="188">
        <f t="shared" si="130"/>
        <v>7.5</v>
      </c>
      <c r="G161" s="188">
        <f t="shared" si="130"/>
        <v>8.5</v>
      </c>
      <c r="H161" s="113">
        <f t="shared" si="131"/>
        <v>8.5</v>
      </c>
      <c r="I161" s="112">
        <f t="shared" si="132"/>
        <v>5</v>
      </c>
      <c r="J161" s="188">
        <f t="shared" si="133"/>
        <v>7.5</v>
      </c>
      <c r="K161" s="188">
        <f t="shared" si="133"/>
        <v>8.5</v>
      </c>
      <c r="L161" s="113">
        <f t="shared" si="134"/>
        <v>8.5</v>
      </c>
    </row>
    <row r="163" spans="1:25" ht="15.75" thickBot="1" x14ac:dyDescent="0.3">
      <c r="A163" s="1" t="s">
        <v>171</v>
      </c>
    </row>
    <row r="164" spans="1:25" x14ac:dyDescent="0.25">
      <c r="A164" s="9" t="s">
        <v>100</v>
      </c>
      <c r="B164" s="9">
        <v>0.75</v>
      </c>
      <c r="C164" s="91">
        <f>B164/B$167</f>
        <v>0.3</v>
      </c>
    </row>
    <row r="165" spans="1:25" x14ac:dyDescent="0.25">
      <c r="A165" s="10" t="s">
        <v>101</v>
      </c>
      <c r="B165" s="10">
        <v>0.75</v>
      </c>
      <c r="C165" s="76">
        <f t="shared" ref="C165:C166" si="136">B165/B$167</f>
        <v>0.3</v>
      </c>
    </row>
    <row r="166" spans="1:25" ht="15.75" thickBot="1" x14ac:dyDescent="0.3">
      <c r="A166" s="87" t="s">
        <v>120</v>
      </c>
      <c r="B166" s="87">
        <v>1</v>
      </c>
      <c r="C166" s="77">
        <f t="shared" si="136"/>
        <v>0.4</v>
      </c>
    </row>
    <row r="167" spans="1:25" ht="15.75" thickBot="1" x14ac:dyDescent="0.3">
      <c r="A167" s="11" t="s">
        <v>130</v>
      </c>
      <c r="B167" s="88">
        <f>SUM(B164:B166)</f>
        <v>2.5</v>
      </c>
      <c r="C167" s="89">
        <f>SUM(C164:C166)</f>
        <v>1</v>
      </c>
    </row>
    <row r="168" spans="1:25" x14ac:dyDescent="0.25">
      <c r="A168" s="1"/>
      <c r="B168" s="1"/>
      <c r="C168" s="1"/>
    </row>
    <row r="169" spans="1:25" ht="15.75" thickBot="1" x14ac:dyDescent="0.3">
      <c r="A169" s="128" t="s">
        <v>327</v>
      </c>
      <c r="C169" s="1"/>
    </row>
    <row r="170" spans="1:25" ht="15.75" thickBot="1" x14ac:dyDescent="0.3">
      <c r="A170" s="278" t="s">
        <v>273</v>
      </c>
      <c r="B170" s="279" t="s">
        <v>268</v>
      </c>
      <c r="C170" s="1"/>
    </row>
    <row r="171" spans="1:25" x14ac:dyDescent="0.25">
      <c r="A171" s="395" t="s">
        <v>269</v>
      </c>
      <c r="B171" s="397">
        <v>0.6</v>
      </c>
      <c r="C171" s="1"/>
    </row>
    <row r="172" spans="1:25" ht="15.75" thickBot="1" x14ac:dyDescent="0.3">
      <c r="A172" s="396" t="s">
        <v>270</v>
      </c>
      <c r="B172" s="398">
        <v>0.8</v>
      </c>
      <c r="C172" s="1"/>
    </row>
    <row r="174" spans="1:25" s="1" customFormat="1" ht="15.75" thickBot="1" x14ac:dyDescent="0.3">
      <c r="A174" s="1" t="s">
        <v>299</v>
      </c>
    </row>
    <row r="175" spans="1:25" ht="15.75" thickBot="1" x14ac:dyDescent="0.3">
      <c r="A175" s="456" t="s">
        <v>234</v>
      </c>
      <c r="B175" s="443" t="s">
        <v>121</v>
      </c>
      <c r="C175" s="441"/>
      <c r="D175" s="441"/>
      <c r="E175" s="441"/>
      <c r="F175" s="441"/>
      <c r="G175" s="441"/>
      <c r="H175" s="441"/>
      <c r="I175" s="442"/>
      <c r="J175" s="443" t="s">
        <v>122</v>
      </c>
      <c r="K175" s="441"/>
      <c r="L175" s="441"/>
      <c r="M175" s="441"/>
      <c r="N175" s="441"/>
      <c r="O175" s="441"/>
      <c r="P175" s="441"/>
      <c r="Q175" s="442"/>
      <c r="R175" s="443" t="s">
        <v>123</v>
      </c>
      <c r="S175" s="441"/>
      <c r="T175" s="441"/>
      <c r="U175" s="441"/>
      <c r="V175" s="441"/>
      <c r="W175" s="441"/>
      <c r="X175" s="441"/>
      <c r="Y175" s="442"/>
    </row>
    <row r="176" spans="1:25" ht="33.75" customHeight="1" thickBot="1" x14ac:dyDescent="0.3">
      <c r="A176" s="467"/>
      <c r="B176" s="438" t="s">
        <v>3</v>
      </c>
      <c r="C176" s="452"/>
      <c r="D176" s="452"/>
      <c r="E176" s="453"/>
      <c r="F176" s="443" t="s">
        <v>4</v>
      </c>
      <c r="G176" s="452"/>
      <c r="H176" s="452"/>
      <c r="I176" s="453"/>
      <c r="J176" s="438" t="s">
        <v>3</v>
      </c>
      <c r="K176" s="452"/>
      <c r="L176" s="452"/>
      <c r="M176" s="453"/>
      <c r="N176" s="443" t="s">
        <v>4</v>
      </c>
      <c r="O176" s="452"/>
      <c r="P176" s="452"/>
      <c r="Q176" s="453"/>
      <c r="R176" s="438" t="s">
        <v>3</v>
      </c>
      <c r="S176" s="452"/>
      <c r="T176" s="452"/>
      <c r="U176" s="453"/>
      <c r="V176" s="443" t="s">
        <v>4</v>
      </c>
      <c r="W176" s="452"/>
      <c r="X176" s="452"/>
      <c r="Y176" s="453"/>
    </row>
    <row r="177" spans="1:41" x14ac:dyDescent="0.25">
      <c r="A177" s="309" t="s">
        <v>24</v>
      </c>
      <c r="B177" s="12">
        <f t="shared" ref="B177:B186" si="137">BG13</f>
        <v>12.825000000000001</v>
      </c>
      <c r="C177" s="13">
        <f t="shared" ref="C177:C186" si="138">BH13</f>
        <v>22.5</v>
      </c>
      <c r="D177" s="13">
        <f t="shared" ref="D177:D186" si="139">BI13</f>
        <v>25.5</v>
      </c>
      <c r="E177" s="14">
        <f t="shared" ref="E177:E186" si="140">BJ13</f>
        <v>25.5</v>
      </c>
      <c r="F177" s="12">
        <f t="shared" ref="F177:F186" si="141">BK13</f>
        <v>15</v>
      </c>
      <c r="G177" s="13">
        <f t="shared" ref="G177:G186" si="142">BL13</f>
        <v>22.5</v>
      </c>
      <c r="H177" s="13">
        <f t="shared" ref="H177:H186" si="143">BM13</f>
        <v>25.5</v>
      </c>
      <c r="I177" s="102">
        <f t="shared" ref="I177:I186" si="144">BN13</f>
        <v>25.5</v>
      </c>
      <c r="J177" s="12">
        <f t="shared" ref="J177:J186" si="145">BG65</f>
        <v>10.9</v>
      </c>
      <c r="K177" s="13">
        <f t="shared" ref="K177:K186" si="146">BH65</f>
        <v>20</v>
      </c>
      <c r="L177" s="13">
        <f t="shared" ref="L177:L186" si="147">BI65</f>
        <v>23</v>
      </c>
      <c r="M177" s="14">
        <f t="shared" ref="M177:M186" si="148">BJ65</f>
        <v>24.5</v>
      </c>
      <c r="N177" s="12">
        <f t="shared" ref="N177:N186" si="149">BK65</f>
        <v>13</v>
      </c>
      <c r="O177" s="13">
        <f t="shared" ref="O177:O186" si="150">BL65</f>
        <v>20</v>
      </c>
      <c r="P177" s="13">
        <f t="shared" ref="P177:P186" si="151">BM65</f>
        <v>23</v>
      </c>
      <c r="Q177" s="14">
        <f t="shared" ref="Q177:Q186" si="152">BN65</f>
        <v>24</v>
      </c>
      <c r="R177" s="12">
        <f t="shared" ref="R177:R186" si="153">BG117</f>
        <v>10.9</v>
      </c>
      <c r="S177" s="13">
        <f t="shared" ref="S177:S186" si="154">BH117</f>
        <v>20</v>
      </c>
      <c r="T177" s="13">
        <f t="shared" ref="T177:T186" si="155">BI117</f>
        <v>23</v>
      </c>
      <c r="U177" s="14">
        <f t="shared" ref="U177:U186" si="156">BJ117</f>
        <v>24.5</v>
      </c>
      <c r="V177" s="12">
        <f t="shared" ref="V177:V186" si="157">BK117</f>
        <v>13</v>
      </c>
      <c r="W177" s="13">
        <f t="shared" ref="W177:W186" si="158">BL117</f>
        <v>20</v>
      </c>
      <c r="X177" s="13">
        <f t="shared" ref="X177:X186" si="159">BM117</f>
        <v>23</v>
      </c>
      <c r="Y177" s="14">
        <f t="shared" ref="Y177:Y186" si="160">BN117</f>
        <v>24</v>
      </c>
    </row>
    <row r="178" spans="1:41" x14ac:dyDescent="0.25">
      <c r="A178" s="310" t="s">
        <v>13</v>
      </c>
      <c r="B178" s="103">
        <f t="shared" si="137"/>
        <v>6.7500000000000009</v>
      </c>
      <c r="C178" s="98">
        <f t="shared" si="138"/>
        <v>11.625</v>
      </c>
      <c r="D178" s="98">
        <f t="shared" si="139"/>
        <v>15.045</v>
      </c>
      <c r="E178" s="104">
        <f t="shared" si="140"/>
        <v>17.934999999999999</v>
      </c>
      <c r="F178" s="103">
        <f t="shared" si="141"/>
        <v>7.9750000000000005</v>
      </c>
      <c r="G178" s="98">
        <f t="shared" si="142"/>
        <v>11.625</v>
      </c>
      <c r="H178" s="98">
        <f t="shared" si="143"/>
        <v>15.045</v>
      </c>
      <c r="I178" s="105">
        <f t="shared" si="144"/>
        <v>17.085000000000001</v>
      </c>
      <c r="J178" s="103">
        <f t="shared" si="145"/>
        <v>6.625</v>
      </c>
      <c r="K178" s="98">
        <f t="shared" si="146"/>
        <v>12.5</v>
      </c>
      <c r="L178" s="98">
        <f t="shared" si="147"/>
        <v>14.5</v>
      </c>
      <c r="M178" s="104">
        <f t="shared" si="148"/>
        <v>17.87</v>
      </c>
      <c r="N178" s="103">
        <f t="shared" si="149"/>
        <v>8</v>
      </c>
      <c r="O178" s="98">
        <f t="shared" si="150"/>
        <v>12.5</v>
      </c>
      <c r="P178" s="98">
        <f t="shared" si="151"/>
        <v>14.5</v>
      </c>
      <c r="Q178" s="104">
        <f t="shared" si="152"/>
        <v>16.774999999999999</v>
      </c>
      <c r="R178" s="103">
        <f t="shared" si="153"/>
        <v>6.7500000000000009</v>
      </c>
      <c r="S178" s="98">
        <f t="shared" si="154"/>
        <v>12.725</v>
      </c>
      <c r="T178" s="98">
        <f t="shared" si="155"/>
        <v>17.685000000000002</v>
      </c>
      <c r="U178" s="104">
        <f t="shared" si="156"/>
        <v>20.024999999999999</v>
      </c>
      <c r="V178" s="103">
        <f t="shared" si="157"/>
        <v>8.0549999999999997</v>
      </c>
      <c r="W178" s="98">
        <f t="shared" si="158"/>
        <v>12.725</v>
      </c>
      <c r="X178" s="98">
        <f t="shared" si="159"/>
        <v>17.685000000000002</v>
      </c>
      <c r="Y178" s="104">
        <f t="shared" si="160"/>
        <v>19.37</v>
      </c>
    </row>
    <row r="179" spans="1:41" x14ac:dyDescent="0.25">
      <c r="A179" s="310" t="s">
        <v>14</v>
      </c>
      <c r="B179" s="103">
        <f t="shared" si="137"/>
        <v>2.4750000000000005</v>
      </c>
      <c r="C179" s="98">
        <f t="shared" si="138"/>
        <v>4.125</v>
      </c>
      <c r="D179" s="98">
        <f t="shared" si="139"/>
        <v>6.5449999999999999</v>
      </c>
      <c r="E179" s="104">
        <f t="shared" si="140"/>
        <v>11.305</v>
      </c>
      <c r="F179" s="103">
        <f t="shared" si="141"/>
        <v>2.9750000000000005</v>
      </c>
      <c r="G179" s="98">
        <f t="shared" si="142"/>
        <v>4.125</v>
      </c>
      <c r="H179" s="98">
        <f t="shared" si="143"/>
        <v>6.5449999999999999</v>
      </c>
      <c r="I179" s="105">
        <f t="shared" si="144"/>
        <v>9.8600000000000012</v>
      </c>
      <c r="J179" s="103">
        <f t="shared" si="145"/>
        <v>2.4750000000000005</v>
      </c>
      <c r="K179" s="98">
        <f t="shared" si="146"/>
        <v>5.2249999999999996</v>
      </c>
      <c r="L179" s="98">
        <f t="shared" si="147"/>
        <v>9.1850000000000005</v>
      </c>
      <c r="M179" s="104">
        <f t="shared" si="148"/>
        <v>13.395</v>
      </c>
      <c r="N179" s="103">
        <f t="shared" si="149"/>
        <v>3.0550000000000006</v>
      </c>
      <c r="O179" s="98">
        <f t="shared" si="150"/>
        <v>5.2249999999999996</v>
      </c>
      <c r="P179" s="98">
        <f t="shared" si="151"/>
        <v>9.1850000000000005</v>
      </c>
      <c r="Q179" s="104">
        <f t="shared" si="152"/>
        <v>12.145000000000001</v>
      </c>
      <c r="R179" s="103">
        <f t="shared" si="153"/>
        <v>2.3499999999999996</v>
      </c>
      <c r="S179" s="98">
        <f t="shared" si="154"/>
        <v>5</v>
      </c>
      <c r="T179" s="98">
        <f t="shared" si="155"/>
        <v>6</v>
      </c>
      <c r="U179" s="104">
        <f t="shared" si="156"/>
        <v>11.240000000000002</v>
      </c>
      <c r="V179" s="103">
        <f t="shared" si="157"/>
        <v>3</v>
      </c>
      <c r="W179" s="98">
        <f t="shared" si="158"/>
        <v>5</v>
      </c>
      <c r="X179" s="98">
        <f t="shared" si="159"/>
        <v>6</v>
      </c>
      <c r="Y179" s="104">
        <f t="shared" si="160"/>
        <v>9.5500000000000007</v>
      </c>
    </row>
    <row r="180" spans="1:41" x14ac:dyDescent="0.25">
      <c r="A180" s="310" t="s">
        <v>15</v>
      </c>
      <c r="B180" s="103">
        <f t="shared" si="137"/>
        <v>11.025000000000002</v>
      </c>
      <c r="C180" s="98">
        <f t="shared" si="138"/>
        <v>19.125</v>
      </c>
      <c r="D180" s="98">
        <f t="shared" si="139"/>
        <v>23.545000000000002</v>
      </c>
      <c r="E180" s="104">
        <f t="shared" si="140"/>
        <v>24.564999999999998</v>
      </c>
      <c r="F180" s="103">
        <f t="shared" si="141"/>
        <v>12.975000000000001</v>
      </c>
      <c r="G180" s="98">
        <f t="shared" si="142"/>
        <v>19.125</v>
      </c>
      <c r="H180" s="98">
        <f t="shared" si="143"/>
        <v>23.545000000000002</v>
      </c>
      <c r="I180" s="105">
        <f t="shared" si="144"/>
        <v>24.310000000000002</v>
      </c>
      <c r="J180" s="103">
        <f t="shared" si="145"/>
        <v>10.9</v>
      </c>
      <c r="K180" s="98">
        <f t="shared" si="146"/>
        <v>20</v>
      </c>
      <c r="L180" s="98">
        <f t="shared" si="147"/>
        <v>23</v>
      </c>
      <c r="M180" s="104">
        <f t="shared" si="148"/>
        <v>24.5</v>
      </c>
      <c r="N180" s="103">
        <f t="shared" si="149"/>
        <v>13</v>
      </c>
      <c r="O180" s="98">
        <f t="shared" si="150"/>
        <v>20</v>
      </c>
      <c r="P180" s="98">
        <f t="shared" si="151"/>
        <v>23</v>
      </c>
      <c r="Q180" s="104">
        <f t="shared" si="152"/>
        <v>24</v>
      </c>
      <c r="R180" s="103">
        <f t="shared" si="153"/>
        <v>9.1000000000000014</v>
      </c>
      <c r="S180" s="98">
        <f t="shared" si="154"/>
        <v>16.625</v>
      </c>
      <c r="T180" s="98">
        <f t="shared" si="155"/>
        <v>21.045000000000002</v>
      </c>
      <c r="U180" s="104">
        <f t="shared" si="156"/>
        <v>23.564999999999998</v>
      </c>
      <c r="V180" s="103">
        <f t="shared" si="157"/>
        <v>10.975000000000001</v>
      </c>
      <c r="W180" s="98">
        <f t="shared" si="158"/>
        <v>16.625</v>
      </c>
      <c r="X180" s="98">
        <f t="shared" si="159"/>
        <v>21.045000000000002</v>
      </c>
      <c r="Y180" s="104">
        <f t="shared" si="160"/>
        <v>22.810000000000002</v>
      </c>
    </row>
    <row r="181" spans="1:41" x14ac:dyDescent="0.25">
      <c r="A181" s="310" t="s">
        <v>17</v>
      </c>
      <c r="B181" s="103">
        <f t="shared" si="137"/>
        <v>4.9500000000000011</v>
      </c>
      <c r="C181" s="98">
        <f t="shared" si="138"/>
        <v>9.9</v>
      </c>
      <c r="D181" s="98">
        <f t="shared" si="139"/>
        <v>16.829999999999998</v>
      </c>
      <c r="E181" s="104">
        <f t="shared" si="140"/>
        <v>19.805</v>
      </c>
      <c r="F181" s="103">
        <f t="shared" si="141"/>
        <v>6.1800000000000015</v>
      </c>
      <c r="G181" s="98">
        <f t="shared" si="142"/>
        <v>9.9</v>
      </c>
      <c r="H181" s="98">
        <f t="shared" si="143"/>
        <v>16.829999999999998</v>
      </c>
      <c r="I181" s="105">
        <f t="shared" si="144"/>
        <v>19.04</v>
      </c>
      <c r="J181" s="103">
        <f t="shared" si="145"/>
        <v>6.3250000000000011</v>
      </c>
      <c r="K181" s="98">
        <f t="shared" si="146"/>
        <v>11</v>
      </c>
      <c r="L181" s="98">
        <f t="shared" si="147"/>
        <v>17.71</v>
      </c>
      <c r="M181" s="104">
        <f t="shared" si="148"/>
        <v>21.625</v>
      </c>
      <c r="N181" s="103">
        <f t="shared" si="149"/>
        <v>7.7500000000000018</v>
      </c>
      <c r="O181" s="98">
        <f t="shared" si="150"/>
        <v>11</v>
      </c>
      <c r="P181" s="98">
        <f t="shared" si="151"/>
        <v>17.71</v>
      </c>
      <c r="Q181" s="104">
        <f t="shared" si="152"/>
        <v>20.550000000000004</v>
      </c>
      <c r="R181" s="103">
        <f t="shared" si="153"/>
        <v>4.8250000000000002</v>
      </c>
      <c r="S181" s="98">
        <f t="shared" si="154"/>
        <v>10.775</v>
      </c>
      <c r="T181" s="98">
        <f t="shared" si="155"/>
        <v>16.285</v>
      </c>
      <c r="U181" s="104">
        <f t="shared" si="156"/>
        <v>19.740000000000002</v>
      </c>
      <c r="V181" s="103">
        <f t="shared" si="157"/>
        <v>6.2050000000000001</v>
      </c>
      <c r="W181" s="98">
        <f t="shared" si="158"/>
        <v>10.775</v>
      </c>
      <c r="X181" s="98">
        <f t="shared" si="159"/>
        <v>16.285</v>
      </c>
      <c r="Y181" s="104">
        <f t="shared" si="160"/>
        <v>18.73</v>
      </c>
    </row>
    <row r="182" spans="1:41" x14ac:dyDescent="0.25">
      <c r="A182" s="310" t="s">
        <v>18</v>
      </c>
      <c r="B182" s="103">
        <f t="shared" si="137"/>
        <v>0</v>
      </c>
      <c r="C182" s="98">
        <f t="shared" si="138"/>
        <v>4.95</v>
      </c>
      <c r="D182" s="98">
        <f t="shared" si="139"/>
        <v>11.22</v>
      </c>
      <c r="E182" s="104">
        <f t="shared" si="140"/>
        <v>14.025000000000002</v>
      </c>
      <c r="F182" s="103">
        <f t="shared" si="141"/>
        <v>0.69</v>
      </c>
      <c r="G182" s="98">
        <f t="shared" si="142"/>
        <v>4.95</v>
      </c>
      <c r="H182" s="98">
        <f t="shared" si="143"/>
        <v>11.22</v>
      </c>
      <c r="I182" s="105">
        <f t="shared" si="144"/>
        <v>13.26</v>
      </c>
      <c r="J182" s="103">
        <f t="shared" si="145"/>
        <v>1.375</v>
      </c>
      <c r="K182" s="98">
        <f t="shared" si="146"/>
        <v>6.0500000000000007</v>
      </c>
      <c r="L182" s="98">
        <f t="shared" si="147"/>
        <v>12.1</v>
      </c>
      <c r="M182" s="104">
        <f t="shared" si="148"/>
        <v>15.845000000000002</v>
      </c>
      <c r="N182" s="103">
        <f t="shared" si="149"/>
        <v>2.2600000000000007</v>
      </c>
      <c r="O182" s="98">
        <f t="shared" si="150"/>
        <v>6.0500000000000007</v>
      </c>
      <c r="P182" s="98">
        <f t="shared" si="151"/>
        <v>12.1</v>
      </c>
      <c r="Q182" s="104">
        <f t="shared" si="152"/>
        <v>14.770000000000001</v>
      </c>
      <c r="R182" s="103">
        <f t="shared" si="153"/>
        <v>1.375</v>
      </c>
      <c r="S182" s="98">
        <f t="shared" si="154"/>
        <v>6.0500000000000007</v>
      </c>
      <c r="T182" s="98">
        <f t="shared" si="155"/>
        <v>12.1</v>
      </c>
      <c r="U182" s="104">
        <f t="shared" si="156"/>
        <v>15.845000000000002</v>
      </c>
      <c r="V182" s="103">
        <f t="shared" si="157"/>
        <v>2.2600000000000007</v>
      </c>
      <c r="W182" s="98">
        <f t="shared" si="158"/>
        <v>6.0500000000000007</v>
      </c>
      <c r="X182" s="98">
        <f t="shared" si="159"/>
        <v>12.1</v>
      </c>
      <c r="Y182" s="104">
        <f t="shared" si="160"/>
        <v>14.770000000000001</v>
      </c>
    </row>
    <row r="183" spans="1:41" x14ac:dyDescent="0.25">
      <c r="A183" s="310" t="s">
        <v>19</v>
      </c>
      <c r="B183" s="103">
        <f t="shared" si="137"/>
        <v>4.9500000000000011</v>
      </c>
      <c r="C183" s="98">
        <f t="shared" si="138"/>
        <v>8.25</v>
      </c>
      <c r="D183" s="98">
        <f t="shared" si="139"/>
        <v>13.09</v>
      </c>
      <c r="E183" s="104">
        <f t="shared" si="140"/>
        <v>17</v>
      </c>
      <c r="F183" s="103">
        <f t="shared" si="141"/>
        <v>5.9500000000000011</v>
      </c>
      <c r="G183" s="98">
        <f t="shared" si="142"/>
        <v>8.25</v>
      </c>
      <c r="H183" s="98">
        <f t="shared" si="143"/>
        <v>13.09</v>
      </c>
      <c r="I183" s="105">
        <f t="shared" si="144"/>
        <v>15.895000000000001</v>
      </c>
      <c r="J183" s="103">
        <f t="shared" si="145"/>
        <v>4.8250000000000002</v>
      </c>
      <c r="K183" s="98">
        <f t="shared" si="146"/>
        <v>9.125</v>
      </c>
      <c r="L183" s="98">
        <f t="shared" si="147"/>
        <v>12.545</v>
      </c>
      <c r="M183" s="104">
        <f t="shared" si="148"/>
        <v>16.934999999999999</v>
      </c>
      <c r="N183" s="103">
        <f t="shared" si="149"/>
        <v>5.9750000000000005</v>
      </c>
      <c r="O183" s="98">
        <f t="shared" si="150"/>
        <v>9.125</v>
      </c>
      <c r="P183" s="98">
        <f t="shared" si="151"/>
        <v>12.545</v>
      </c>
      <c r="Q183" s="104">
        <f t="shared" si="152"/>
        <v>15.585000000000001</v>
      </c>
      <c r="R183" s="103">
        <f t="shared" si="153"/>
        <v>4.8250000000000002</v>
      </c>
      <c r="S183" s="98">
        <f t="shared" si="154"/>
        <v>9.125</v>
      </c>
      <c r="T183" s="98">
        <f t="shared" si="155"/>
        <v>12.545</v>
      </c>
      <c r="U183" s="104">
        <f t="shared" si="156"/>
        <v>16.934999999999999</v>
      </c>
      <c r="V183" s="103">
        <f t="shared" si="157"/>
        <v>5.9750000000000005</v>
      </c>
      <c r="W183" s="98">
        <f t="shared" si="158"/>
        <v>9.125</v>
      </c>
      <c r="X183" s="98">
        <f t="shared" si="159"/>
        <v>12.545</v>
      </c>
      <c r="Y183" s="104">
        <f t="shared" si="160"/>
        <v>15.585000000000001</v>
      </c>
    </row>
    <row r="184" spans="1:41" x14ac:dyDescent="0.25">
      <c r="A184" s="310" t="s">
        <v>20</v>
      </c>
      <c r="B184" s="103">
        <f t="shared" si="137"/>
        <v>7.4250000000000016</v>
      </c>
      <c r="C184" s="98">
        <f t="shared" si="138"/>
        <v>12.375</v>
      </c>
      <c r="D184" s="98">
        <f t="shared" si="139"/>
        <v>19.634999999999998</v>
      </c>
      <c r="E184" s="104">
        <f t="shared" si="140"/>
        <v>22.695</v>
      </c>
      <c r="F184" s="103">
        <f t="shared" si="141"/>
        <v>8.9250000000000007</v>
      </c>
      <c r="G184" s="98">
        <f t="shared" si="142"/>
        <v>12.375</v>
      </c>
      <c r="H184" s="98">
        <f t="shared" si="143"/>
        <v>19.634999999999998</v>
      </c>
      <c r="I184" s="105">
        <f t="shared" si="144"/>
        <v>21.93</v>
      </c>
      <c r="J184" s="103">
        <f t="shared" si="145"/>
        <v>7.3000000000000007</v>
      </c>
      <c r="K184" s="98">
        <f t="shared" si="146"/>
        <v>13.25</v>
      </c>
      <c r="L184" s="98">
        <f t="shared" si="147"/>
        <v>19.09</v>
      </c>
      <c r="M184" s="104">
        <f t="shared" si="148"/>
        <v>22.63</v>
      </c>
      <c r="N184" s="103">
        <f t="shared" si="149"/>
        <v>8.9500000000000011</v>
      </c>
      <c r="O184" s="98">
        <f t="shared" si="150"/>
        <v>13.25</v>
      </c>
      <c r="P184" s="98">
        <f t="shared" si="151"/>
        <v>19.09</v>
      </c>
      <c r="Q184" s="104">
        <f t="shared" si="152"/>
        <v>21.62</v>
      </c>
      <c r="R184" s="103">
        <f t="shared" si="153"/>
        <v>7.3000000000000007</v>
      </c>
      <c r="S184" s="98">
        <f t="shared" si="154"/>
        <v>13.25</v>
      </c>
      <c r="T184" s="98">
        <f t="shared" si="155"/>
        <v>19.09</v>
      </c>
      <c r="U184" s="104">
        <f t="shared" si="156"/>
        <v>22.63</v>
      </c>
      <c r="V184" s="103">
        <f t="shared" si="157"/>
        <v>8.9500000000000011</v>
      </c>
      <c r="W184" s="98">
        <f t="shared" si="158"/>
        <v>13.25</v>
      </c>
      <c r="X184" s="98">
        <f t="shared" si="159"/>
        <v>19.09</v>
      </c>
      <c r="Y184" s="104">
        <f t="shared" si="160"/>
        <v>21.62</v>
      </c>
    </row>
    <row r="185" spans="1:41" x14ac:dyDescent="0.25">
      <c r="A185" s="310" t="s">
        <v>22</v>
      </c>
      <c r="B185" s="103">
        <f t="shared" si="137"/>
        <v>0</v>
      </c>
      <c r="C185" s="98">
        <f t="shared" si="138"/>
        <v>0</v>
      </c>
      <c r="D185" s="98">
        <f t="shared" si="139"/>
        <v>0</v>
      </c>
      <c r="E185" s="104">
        <f t="shared" si="140"/>
        <v>5.61</v>
      </c>
      <c r="F185" s="103">
        <f t="shared" si="141"/>
        <v>0</v>
      </c>
      <c r="G185" s="98">
        <f t="shared" si="142"/>
        <v>0</v>
      </c>
      <c r="H185" s="98">
        <f t="shared" si="143"/>
        <v>0</v>
      </c>
      <c r="I185" s="105">
        <f t="shared" si="144"/>
        <v>3.8249999999999997</v>
      </c>
      <c r="J185" s="103">
        <f t="shared" si="145"/>
        <v>0</v>
      </c>
      <c r="K185" s="98">
        <f t="shared" si="146"/>
        <v>1.1000000000000001</v>
      </c>
      <c r="L185" s="98">
        <f t="shared" si="147"/>
        <v>2.64</v>
      </c>
      <c r="M185" s="104">
        <f t="shared" si="148"/>
        <v>7.7</v>
      </c>
      <c r="N185" s="103">
        <f t="shared" si="149"/>
        <v>8.0000000000000071E-2</v>
      </c>
      <c r="O185" s="98">
        <f t="shared" si="150"/>
        <v>1.1000000000000001</v>
      </c>
      <c r="P185" s="98">
        <f t="shared" si="151"/>
        <v>2.64</v>
      </c>
      <c r="Q185" s="104">
        <f t="shared" si="152"/>
        <v>6.1099999999999994</v>
      </c>
      <c r="R185" s="103">
        <f t="shared" si="153"/>
        <v>0</v>
      </c>
      <c r="S185" s="98">
        <f t="shared" si="154"/>
        <v>1.1000000000000001</v>
      </c>
      <c r="T185" s="98">
        <f t="shared" si="155"/>
        <v>2.64</v>
      </c>
      <c r="U185" s="104">
        <f t="shared" si="156"/>
        <v>7.7</v>
      </c>
      <c r="V185" s="103">
        <f t="shared" si="157"/>
        <v>8.0000000000000071E-2</v>
      </c>
      <c r="W185" s="98">
        <f t="shared" si="158"/>
        <v>1.1000000000000001</v>
      </c>
      <c r="X185" s="98">
        <f t="shared" si="159"/>
        <v>2.64</v>
      </c>
      <c r="Y185" s="104">
        <f t="shared" si="160"/>
        <v>6.1099999999999994</v>
      </c>
    </row>
    <row r="186" spans="1:41" ht="15.75" thickBot="1" x14ac:dyDescent="0.3">
      <c r="A186" s="311" t="s">
        <v>23</v>
      </c>
      <c r="B186" s="106">
        <f t="shared" si="137"/>
        <v>4.2750000000000004</v>
      </c>
      <c r="C186" s="107">
        <f t="shared" si="138"/>
        <v>10.8</v>
      </c>
      <c r="D186" s="107">
        <f t="shared" si="139"/>
        <v>15.98</v>
      </c>
      <c r="E186" s="108">
        <f t="shared" si="140"/>
        <v>17.850000000000001</v>
      </c>
      <c r="F186" s="106">
        <f t="shared" si="141"/>
        <v>5.46</v>
      </c>
      <c r="G186" s="107">
        <f t="shared" si="142"/>
        <v>10.8</v>
      </c>
      <c r="H186" s="107">
        <f t="shared" si="143"/>
        <v>15.98</v>
      </c>
      <c r="I186" s="109">
        <f t="shared" si="144"/>
        <v>17.34</v>
      </c>
      <c r="J186" s="106">
        <f t="shared" si="145"/>
        <v>5.65</v>
      </c>
      <c r="K186" s="107">
        <f t="shared" si="146"/>
        <v>11.9</v>
      </c>
      <c r="L186" s="107">
        <f t="shared" si="147"/>
        <v>16.86</v>
      </c>
      <c r="M186" s="108">
        <f t="shared" si="148"/>
        <v>19.670000000000002</v>
      </c>
      <c r="N186" s="106">
        <f t="shared" si="149"/>
        <v>7.0300000000000011</v>
      </c>
      <c r="O186" s="107">
        <f t="shared" si="150"/>
        <v>11.9</v>
      </c>
      <c r="P186" s="107">
        <f t="shared" si="151"/>
        <v>16.86</v>
      </c>
      <c r="Q186" s="108">
        <f t="shared" si="152"/>
        <v>18.850000000000001</v>
      </c>
      <c r="R186" s="106">
        <f t="shared" si="153"/>
        <v>5.65</v>
      </c>
      <c r="S186" s="107">
        <f t="shared" si="154"/>
        <v>11.9</v>
      </c>
      <c r="T186" s="107">
        <f t="shared" si="155"/>
        <v>16.86</v>
      </c>
      <c r="U186" s="108">
        <f t="shared" si="156"/>
        <v>19.670000000000002</v>
      </c>
      <c r="V186" s="106">
        <f t="shared" si="157"/>
        <v>7.0300000000000011</v>
      </c>
      <c r="W186" s="107">
        <f t="shared" si="158"/>
        <v>11.9</v>
      </c>
      <c r="X186" s="107">
        <f t="shared" si="159"/>
        <v>16.86</v>
      </c>
      <c r="Y186" s="108">
        <f t="shared" si="160"/>
        <v>18.850000000000001</v>
      </c>
    </row>
    <row r="188" spans="1:41" ht="15.75" thickBot="1" x14ac:dyDescent="0.3">
      <c r="A188" s="1" t="s">
        <v>300</v>
      </c>
      <c r="AH188">
        <v>0.6</v>
      </c>
      <c r="AL188">
        <v>0.8</v>
      </c>
    </row>
    <row r="189" spans="1:41" ht="51" customHeight="1" thickBot="1" x14ac:dyDescent="0.3">
      <c r="A189" s="456" t="s">
        <v>234</v>
      </c>
      <c r="B189" s="443" t="s">
        <v>124</v>
      </c>
      <c r="C189" s="441"/>
      <c r="D189" s="441"/>
      <c r="E189" s="441"/>
      <c r="F189" s="441"/>
      <c r="G189" s="441"/>
      <c r="H189" s="441"/>
      <c r="I189" s="442"/>
      <c r="J189" s="443" t="s">
        <v>125</v>
      </c>
      <c r="K189" s="441"/>
      <c r="L189" s="441"/>
      <c r="M189" s="441"/>
      <c r="N189" s="441"/>
      <c r="O189" s="441"/>
      <c r="P189" s="441"/>
      <c r="Q189" s="442"/>
      <c r="R189" s="443" t="s">
        <v>127</v>
      </c>
      <c r="S189" s="441"/>
      <c r="T189" s="441"/>
      <c r="U189" s="441"/>
      <c r="V189" s="441"/>
      <c r="W189" s="441"/>
      <c r="X189" s="441"/>
      <c r="Y189" s="442"/>
      <c r="Z189" s="438" t="s">
        <v>280</v>
      </c>
      <c r="AA189" s="439"/>
      <c r="AB189" s="439"/>
      <c r="AC189" s="439"/>
      <c r="AD189" s="439"/>
      <c r="AE189" s="439"/>
      <c r="AF189" s="439"/>
      <c r="AG189" s="440"/>
      <c r="AH189" s="427" t="s">
        <v>264</v>
      </c>
      <c r="AI189" s="428"/>
      <c r="AJ189" s="428"/>
      <c r="AK189" s="429"/>
      <c r="AL189" s="433" t="s">
        <v>79</v>
      </c>
      <c r="AM189" s="434"/>
      <c r="AN189" s="425" t="s">
        <v>80</v>
      </c>
      <c r="AO189" s="425" t="s">
        <v>265</v>
      </c>
    </row>
    <row r="190" spans="1:41" ht="31.5" customHeight="1" thickBot="1" x14ac:dyDescent="0.3">
      <c r="A190" s="467"/>
      <c r="B190" s="438" t="s">
        <v>3</v>
      </c>
      <c r="C190" s="452"/>
      <c r="D190" s="452"/>
      <c r="E190" s="453"/>
      <c r="F190" s="443" t="s">
        <v>4</v>
      </c>
      <c r="G190" s="452"/>
      <c r="H190" s="452"/>
      <c r="I190" s="453"/>
      <c r="J190" s="438" t="s">
        <v>3</v>
      </c>
      <c r="K190" s="452"/>
      <c r="L190" s="452"/>
      <c r="M190" s="453"/>
      <c r="N190" s="443" t="s">
        <v>4</v>
      </c>
      <c r="O190" s="452"/>
      <c r="P190" s="452"/>
      <c r="Q190" s="453"/>
      <c r="R190" s="438" t="s">
        <v>3</v>
      </c>
      <c r="S190" s="452"/>
      <c r="T190" s="452"/>
      <c r="U190" s="453"/>
      <c r="V190" s="443" t="s">
        <v>4</v>
      </c>
      <c r="W190" s="452"/>
      <c r="X190" s="452"/>
      <c r="Y190" s="453"/>
      <c r="Z190" s="480" t="s">
        <v>3</v>
      </c>
      <c r="AA190" s="481"/>
      <c r="AB190" s="481"/>
      <c r="AC190" s="482"/>
      <c r="AD190" s="480" t="s">
        <v>4</v>
      </c>
      <c r="AE190" s="481"/>
      <c r="AF190" s="481"/>
      <c r="AG190" s="482"/>
      <c r="AH190" s="449"/>
      <c r="AI190" s="450"/>
      <c r="AJ190" s="450"/>
      <c r="AK190" s="451"/>
      <c r="AL190" s="483"/>
      <c r="AM190" s="484"/>
      <c r="AN190" s="426"/>
      <c r="AO190" s="426"/>
    </row>
    <row r="191" spans="1:41" x14ac:dyDescent="0.25">
      <c r="A191" s="309" t="s">
        <v>24</v>
      </c>
      <c r="B191" s="12">
        <f t="shared" ref="B191:I200" si="161">B177*$C$164</f>
        <v>3.8475000000000001</v>
      </c>
      <c r="C191" s="13">
        <f t="shared" si="161"/>
        <v>6.75</v>
      </c>
      <c r="D191" s="13">
        <f t="shared" si="161"/>
        <v>7.6499999999999995</v>
      </c>
      <c r="E191" s="14">
        <f t="shared" si="161"/>
        <v>7.6499999999999995</v>
      </c>
      <c r="F191" s="12">
        <f t="shared" si="161"/>
        <v>4.5</v>
      </c>
      <c r="G191" s="13">
        <f t="shared" si="161"/>
        <v>6.75</v>
      </c>
      <c r="H191" s="13">
        <f t="shared" si="161"/>
        <v>7.6499999999999995</v>
      </c>
      <c r="I191" s="102">
        <f t="shared" si="161"/>
        <v>7.6499999999999995</v>
      </c>
      <c r="J191" s="12">
        <f t="shared" ref="J191:Q200" si="162">J177*$C$165</f>
        <v>3.27</v>
      </c>
      <c r="K191" s="13">
        <f t="shared" si="162"/>
        <v>6</v>
      </c>
      <c r="L191" s="13">
        <f t="shared" si="162"/>
        <v>6.8999999999999995</v>
      </c>
      <c r="M191" s="14">
        <f t="shared" si="162"/>
        <v>7.35</v>
      </c>
      <c r="N191" s="12">
        <f t="shared" si="162"/>
        <v>3.9</v>
      </c>
      <c r="O191" s="13">
        <f t="shared" si="162"/>
        <v>6</v>
      </c>
      <c r="P191" s="13">
        <f t="shared" si="162"/>
        <v>6.8999999999999995</v>
      </c>
      <c r="Q191" s="102">
        <f t="shared" si="162"/>
        <v>7.1999999999999993</v>
      </c>
      <c r="R191" s="12">
        <f t="shared" ref="R191:Y200" si="163">R177*$C$166</f>
        <v>4.3600000000000003</v>
      </c>
      <c r="S191" s="13">
        <f t="shared" si="163"/>
        <v>8</v>
      </c>
      <c r="T191" s="13">
        <f t="shared" si="163"/>
        <v>9.2000000000000011</v>
      </c>
      <c r="U191" s="14">
        <f t="shared" si="163"/>
        <v>9.8000000000000007</v>
      </c>
      <c r="V191" s="12">
        <f t="shared" si="163"/>
        <v>5.2</v>
      </c>
      <c r="W191" s="13">
        <f t="shared" si="163"/>
        <v>8</v>
      </c>
      <c r="X191" s="13">
        <f t="shared" si="163"/>
        <v>9.2000000000000011</v>
      </c>
      <c r="Y191" s="102">
        <f t="shared" si="163"/>
        <v>9.6000000000000014</v>
      </c>
      <c r="Z191" s="110">
        <f>B191+J191+R191</f>
        <v>11.477499999999999</v>
      </c>
      <c r="AA191" s="234">
        <f t="shared" ref="AA191:AG200" si="164">C191+K191+S191</f>
        <v>20.75</v>
      </c>
      <c r="AB191" s="234">
        <f t="shared" si="164"/>
        <v>23.75</v>
      </c>
      <c r="AC191" s="140">
        <f t="shared" si="164"/>
        <v>24.8</v>
      </c>
      <c r="AD191" s="110">
        <f t="shared" si="164"/>
        <v>13.600000000000001</v>
      </c>
      <c r="AE191" s="234">
        <f t="shared" si="164"/>
        <v>20.75</v>
      </c>
      <c r="AF191" s="234">
        <f t="shared" si="164"/>
        <v>23.75</v>
      </c>
      <c r="AG191" s="140">
        <f t="shared" si="164"/>
        <v>24.45</v>
      </c>
      <c r="AH191" s="110">
        <f>(1-$AH$188)*Z191+$AH$188*AD191</f>
        <v>12.751000000000001</v>
      </c>
      <c r="AI191" s="234">
        <f t="shared" ref="AI191:AK191" si="165">(1-$AH$188)*AA191+$AH$188*AE191</f>
        <v>20.75</v>
      </c>
      <c r="AJ191" s="234">
        <f t="shared" si="165"/>
        <v>23.75</v>
      </c>
      <c r="AK191" s="140">
        <f t="shared" si="165"/>
        <v>24.59</v>
      </c>
      <c r="AL191" s="234">
        <f>$BS$114*AI191+(1-$BS$114)*AH191</f>
        <v>19.150200000000002</v>
      </c>
      <c r="AM191" s="140">
        <f>$BS$114*AJ191+(1-$BS$114)*AK191</f>
        <v>23.917999999999999</v>
      </c>
      <c r="AN191" s="140">
        <f>(AL191+AM191)/2</f>
        <v>21.534100000000002</v>
      </c>
      <c r="AO191" s="140">
        <f>AN191</f>
        <v>21.534100000000002</v>
      </c>
    </row>
    <row r="192" spans="1:41" x14ac:dyDescent="0.25">
      <c r="A192" s="310" t="s">
        <v>13</v>
      </c>
      <c r="B192" s="103">
        <f t="shared" si="161"/>
        <v>2.0250000000000004</v>
      </c>
      <c r="C192" s="98">
        <f t="shared" si="161"/>
        <v>3.4874999999999998</v>
      </c>
      <c r="D192" s="98">
        <f t="shared" si="161"/>
        <v>4.5134999999999996</v>
      </c>
      <c r="E192" s="104">
        <f t="shared" si="161"/>
        <v>5.3804999999999996</v>
      </c>
      <c r="F192" s="103">
        <f t="shared" si="161"/>
        <v>2.3925000000000001</v>
      </c>
      <c r="G192" s="98">
        <f t="shared" si="161"/>
        <v>3.4874999999999998</v>
      </c>
      <c r="H192" s="98">
        <f t="shared" si="161"/>
        <v>4.5134999999999996</v>
      </c>
      <c r="I192" s="105">
        <f t="shared" si="161"/>
        <v>5.1254999999999997</v>
      </c>
      <c r="J192" s="103">
        <f t="shared" si="162"/>
        <v>1.9874999999999998</v>
      </c>
      <c r="K192" s="98">
        <f t="shared" si="162"/>
        <v>3.75</v>
      </c>
      <c r="L192" s="98">
        <f t="shared" si="162"/>
        <v>4.3499999999999996</v>
      </c>
      <c r="M192" s="104">
        <f t="shared" si="162"/>
        <v>5.3609999999999998</v>
      </c>
      <c r="N192" s="103">
        <f t="shared" si="162"/>
        <v>2.4</v>
      </c>
      <c r="O192" s="98">
        <f t="shared" si="162"/>
        <v>3.75</v>
      </c>
      <c r="P192" s="98">
        <f t="shared" si="162"/>
        <v>4.3499999999999996</v>
      </c>
      <c r="Q192" s="105">
        <f t="shared" si="162"/>
        <v>5.0324999999999998</v>
      </c>
      <c r="R192" s="103">
        <f t="shared" si="163"/>
        <v>2.7000000000000006</v>
      </c>
      <c r="S192" s="98">
        <f t="shared" si="163"/>
        <v>5.09</v>
      </c>
      <c r="T192" s="98">
        <f t="shared" si="163"/>
        <v>7.0740000000000016</v>
      </c>
      <c r="U192" s="104">
        <f t="shared" si="163"/>
        <v>8.01</v>
      </c>
      <c r="V192" s="103">
        <f t="shared" si="163"/>
        <v>3.222</v>
      </c>
      <c r="W192" s="98">
        <f t="shared" si="163"/>
        <v>5.09</v>
      </c>
      <c r="X192" s="98">
        <f t="shared" si="163"/>
        <v>7.0740000000000016</v>
      </c>
      <c r="Y192" s="105">
        <f t="shared" si="163"/>
        <v>7.7480000000000011</v>
      </c>
      <c r="Z192" s="111">
        <f t="shared" ref="Z192:Z200" si="166">B192+J192+R192</f>
        <v>6.7125000000000004</v>
      </c>
      <c r="AA192" s="97">
        <f t="shared" si="164"/>
        <v>12.327500000000001</v>
      </c>
      <c r="AB192" s="97">
        <f t="shared" si="164"/>
        <v>15.9375</v>
      </c>
      <c r="AC192" s="142">
        <f t="shared" si="164"/>
        <v>18.7515</v>
      </c>
      <c r="AD192" s="111">
        <f t="shared" si="164"/>
        <v>8.0145</v>
      </c>
      <c r="AE192" s="97">
        <f t="shared" si="164"/>
        <v>12.327500000000001</v>
      </c>
      <c r="AF192" s="97">
        <f t="shared" si="164"/>
        <v>15.9375</v>
      </c>
      <c r="AG192" s="142">
        <f t="shared" si="164"/>
        <v>17.905999999999999</v>
      </c>
      <c r="AH192" s="111">
        <f t="shared" ref="AH192:AH200" si="167">(1-$AH$188)*Z192+$AH$188*AD192</f>
        <v>7.4937000000000005</v>
      </c>
      <c r="AI192" s="97">
        <f t="shared" ref="AI192:AI200" si="168">(1-$AH$188)*AA192+$AH$188*AE192</f>
        <v>12.327500000000001</v>
      </c>
      <c r="AJ192" s="97">
        <f t="shared" ref="AJ192:AJ200" si="169">(1-$AH$188)*AB192+$AH$188*AF192</f>
        <v>15.9375</v>
      </c>
      <c r="AK192" s="142">
        <f t="shared" ref="AK192:AK200" si="170">(1-$AH$188)*AC192+$AH$188*AG192</f>
        <v>18.244199999999999</v>
      </c>
      <c r="AL192" s="97">
        <f t="shared" ref="AL192:AL200" si="171">$BS$114*AI192+(1-$BS$114)*AH192</f>
        <v>11.360740000000002</v>
      </c>
      <c r="AM192" s="142">
        <f t="shared" ref="AM192:AM200" si="172">$BS$114*AJ192+(1-$BS$114)*AK192</f>
        <v>16.39884</v>
      </c>
      <c r="AN192" s="142">
        <f t="shared" ref="AN192:AN200" si="173">(AL192+AM192)/2</f>
        <v>13.87979</v>
      </c>
      <c r="AO192" s="142">
        <f>AN192</f>
        <v>13.87979</v>
      </c>
    </row>
    <row r="193" spans="1:41" x14ac:dyDescent="0.25">
      <c r="A193" s="310" t="s">
        <v>14</v>
      </c>
      <c r="B193" s="103">
        <f t="shared" si="161"/>
        <v>0.74250000000000016</v>
      </c>
      <c r="C193" s="98">
        <f t="shared" si="161"/>
        <v>1.2375</v>
      </c>
      <c r="D193" s="98">
        <f t="shared" si="161"/>
        <v>1.9634999999999998</v>
      </c>
      <c r="E193" s="104">
        <f t="shared" si="161"/>
        <v>3.3914999999999997</v>
      </c>
      <c r="F193" s="103">
        <f t="shared" si="161"/>
        <v>0.89250000000000018</v>
      </c>
      <c r="G193" s="98">
        <f t="shared" si="161"/>
        <v>1.2375</v>
      </c>
      <c r="H193" s="98">
        <f t="shared" si="161"/>
        <v>1.9634999999999998</v>
      </c>
      <c r="I193" s="105">
        <f t="shared" si="161"/>
        <v>2.9580000000000002</v>
      </c>
      <c r="J193" s="103">
        <f t="shared" si="162"/>
        <v>0.74250000000000016</v>
      </c>
      <c r="K193" s="98">
        <f t="shared" si="162"/>
        <v>1.5674999999999999</v>
      </c>
      <c r="L193" s="98">
        <f t="shared" si="162"/>
        <v>2.7555000000000001</v>
      </c>
      <c r="M193" s="104">
        <f t="shared" si="162"/>
        <v>4.0184999999999995</v>
      </c>
      <c r="N193" s="103">
        <f t="shared" si="162"/>
        <v>0.91650000000000009</v>
      </c>
      <c r="O193" s="98">
        <f t="shared" si="162"/>
        <v>1.5674999999999999</v>
      </c>
      <c r="P193" s="98">
        <f t="shared" si="162"/>
        <v>2.7555000000000001</v>
      </c>
      <c r="Q193" s="105">
        <f t="shared" si="162"/>
        <v>3.6435000000000004</v>
      </c>
      <c r="R193" s="103">
        <f t="shared" si="163"/>
        <v>0.94</v>
      </c>
      <c r="S193" s="98">
        <f t="shared" si="163"/>
        <v>2</v>
      </c>
      <c r="T193" s="98">
        <f t="shared" si="163"/>
        <v>2.4000000000000004</v>
      </c>
      <c r="U193" s="104">
        <f t="shared" si="163"/>
        <v>4.4960000000000013</v>
      </c>
      <c r="V193" s="103">
        <f t="shared" si="163"/>
        <v>1.2000000000000002</v>
      </c>
      <c r="W193" s="98">
        <f t="shared" si="163"/>
        <v>2</v>
      </c>
      <c r="X193" s="98">
        <f t="shared" si="163"/>
        <v>2.4000000000000004</v>
      </c>
      <c r="Y193" s="105">
        <f t="shared" si="163"/>
        <v>3.8200000000000003</v>
      </c>
      <c r="Z193" s="111">
        <f t="shared" si="166"/>
        <v>2.4250000000000003</v>
      </c>
      <c r="AA193" s="97">
        <f t="shared" si="164"/>
        <v>4.8049999999999997</v>
      </c>
      <c r="AB193" s="97">
        <f t="shared" si="164"/>
        <v>7.1189999999999998</v>
      </c>
      <c r="AC193" s="142">
        <f t="shared" si="164"/>
        <v>11.906000000000001</v>
      </c>
      <c r="AD193" s="111">
        <f t="shared" si="164"/>
        <v>3.0090000000000003</v>
      </c>
      <c r="AE193" s="97">
        <f t="shared" si="164"/>
        <v>4.8049999999999997</v>
      </c>
      <c r="AF193" s="97">
        <f t="shared" si="164"/>
        <v>7.1189999999999998</v>
      </c>
      <c r="AG193" s="142">
        <f t="shared" si="164"/>
        <v>10.421500000000002</v>
      </c>
      <c r="AH193" s="111">
        <f t="shared" si="167"/>
        <v>2.7754000000000003</v>
      </c>
      <c r="AI193" s="97">
        <f t="shared" si="168"/>
        <v>4.8049999999999997</v>
      </c>
      <c r="AJ193" s="97">
        <f t="shared" si="169"/>
        <v>7.1189999999999998</v>
      </c>
      <c r="AK193" s="142">
        <f t="shared" si="170"/>
        <v>11.015300000000002</v>
      </c>
      <c r="AL193" s="97">
        <f t="shared" si="171"/>
        <v>4.3990799999999997</v>
      </c>
      <c r="AM193" s="142">
        <f t="shared" si="172"/>
        <v>7.8982599999999996</v>
      </c>
      <c r="AN193" s="142">
        <f t="shared" si="173"/>
        <v>6.1486699999999992</v>
      </c>
      <c r="AO193" s="142">
        <f>AN193</f>
        <v>6.1486699999999992</v>
      </c>
    </row>
    <row r="194" spans="1:41" x14ac:dyDescent="0.25">
      <c r="A194" s="310" t="s">
        <v>15</v>
      </c>
      <c r="B194" s="103">
        <f t="shared" si="161"/>
        <v>3.3075000000000006</v>
      </c>
      <c r="C194" s="98">
        <f t="shared" si="161"/>
        <v>5.7374999999999998</v>
      </c>
      <c r="D194" s="98">
        <f t="shared" si="161"/>
        <v>7.0635000000000003</v>
      </c>
      <c r="E194" s="104">
        <f t="shared" si="161"/>
        <v>7.3694999999999986</v>
      </c>
      <c r="F194" s="103">
        <f t="shared" si="161"/>
        <v>3.8925000000000001</v>
      </c>
      <c r="G194" s="98">
        <f t="shared" si="161"/>
        <v>5.7374999999999998</v>
      </c>
      <c r="H194" s="98">
        <f t="shared" si="161"/>
        <v>7.0635000000000003</v>
      </c>
      <c r="I194" s="105">
        <f t="shared" si="161"/>
        <v>7.2930000000000001</v>
      </c>
      <c r="J194" s="103">
        <f t="shared" si="162"/>
        <v>3.27</v>
      </c>
      <c r="K194" s="98">
        <f t="shared" si="162"/>
        <v>6</v>
      </c>
      <c r="L194" s="98">
        <f t="shared" si="162"/>
        <v>6.8999999999999995</v>
      </c>
      <c r="M194" s="104">
        <f t="shared" si="162"/>
        <v>7.35</v>
      </c>
      <c r="N194" s="103">
        <f t="shared" si="162"/>
        <v>3.9</v>
      </c>
      <c r="O194" s="98">
        <f t="shared" si="162"/>
        <v>6</v>
      </c>
      <c r="P194" s="98">
        <f t="shared" si="162"/>
        <v>6.8999999999999995</v>
      </c>
      <c r="Q194" s="105">
        <f t="shared" si="162"/>
        <v>7.1999999999999993</v>
      </c>
      <c r="R194" s="103">
        <f t="shared" si="163"/>
        <v>3.6400000000000006</v>
      </c>
      <c r="S194" s="98">
        <f t="shared" si="163"/>
        <v>6.65</v>
      </c>
      <c r="T194" s="98">
        <f t="shared" si="163"/>
        <v>8.418000000000001</v>
      </c>
      <c r="U194" s="104">
        <f t="shared" si="163"/>
        <v>9.4260000000000002</v>
      </c>
      <c r="V194" s="103">
        <f t="shared" si="163"/>
        <v>4.3900000000000006</v>
      </c>
      <c r="W194" s="98">
        <f t="shared" si="163"/>
        <v>6.65</v>
      </c>
      <c r="X194" s="98">
        <f t="shared" si="163"/>
        <v>8.418000000000001</v>
      </c>
      <c r="Y194" s="105">
        <f t="shared" si="163"/>
        <v>9.1240000000000006</v>
      </c>
      <c r="Z194" s="111">
        <f t="shared" si="166"/>
        <v>10.217500000000001</v>
      </c>
      <c r="AA194" s="97">
        <f t="shared" si="164"/>
        <v>18.387500000000003</v>
      </c>
      <c r="AB194" s="97">
        <f t="shared" si="164"/>
        <v>22.381500000000003</v>
      </c>
      <c r="AC194" s="142">
        <f t="shared" si="164"/>
        <v>24.145499999999998</v>
      </c>
      <c r="AD194" s="111">
        <f t="shared" si="164"/>
        <v>12.182500000000001</v>
      </c>
      <c r="AE194" s="97">
        <f t="shared" si="164"/>
        <v>18.387500000000003</v>
      </c>
      <c r="AF194" s="97">
        <f t="shared" si="164"/>
        <v>22.381500000000003</v>
      </c>
      <c r="AG194" s="142">
        <f t="shared" si="164"/>
        <v>23.616999999999997</v>
      </c>
      <c r="AH194" s="111">
        <f t="shared" si="167"/>
        <v>11.3965</v>
      </c>
      <c r="AI194" s="97">
        <f t="shared" si="168"/>
        <v>18.387500000000003</v>
      </c>
      <c r="AJ194" s="97">
        <f t="shared" si="169"/>
        <v>22.381500000000003</v>
      </c>
      <c r="AK194" s="142">
        <f t="shared" si="170"/>
        <v>23.828399999999998</v>
      </c>
      <c r="AL194" s="97">
        <f t="shared" si="171"/>
        <v>16.9893</v>
      </c>
      <c r="AM194" s="142">
        <f t="shared" si="172"/>
        <v>22.670880000000004</v>
      </c>
      <c r="AN194" s="142">
        <f t="shared" si="173"/>
        <v>19.830090000000002</v>
      </c>
      <c r="AO194" s="142">
        <f>AN191</f>
        <v>21.534100000000002</v>
      </c>
    </row>
    <row r="195" spans="1:41" x14ac:dyDescent="0.25">
      <c r="A195" s="310" t="s">
        <v>17</v>
      </c>
      <c r="B195" s="103">
        <f t="shared" si="161"/>
        <v>1.4850000000000003</v>
      </c>
      <c r="C195" s="98">
        <f t="shared" si="161"/>
        <v>2.97</v>
      </c>
      <c r="D195" s="98">
        <f t="shared" si="161"/>
        <v>5.0489999999999995</v>
      </c>
      <c r="E195" s="104">
        <f t="shared" si="161"/>
        <v>5.9414999999999996</v>
      </c>
      <c r="F195" s="103">
        <f t="shared" si="161"/>
        <v>1.8540000000000003</v>
      </c>
      <c r="G195" s="98">
        <f t="shared" si="161"/>
        <v>2.97</v>
      </c>
      <c r="H195" s="98">
        <f t="shared" si="161"/>
        <v>5.0489999999999995</v>
      </c>
      <c r="I195" s="105">
        <f t="shared" si="161"/>
        <v>5.7119999999999997</v>
      </c>
      <c r="J195" s="103">
        <f t="shared" si="162"/>
        <v>1.8975000000000002</v>
      </c>
      <c r="K195" s="98">
        <f t="shared" si="162"/>
        <v>3.3</v>
      </c>
      <c r="L195" s="98">
        <f t="shared" si="162"/>
        <v>5.3129999999999997</v>
      </c>
      <c r="M195" s="104">
        <f t="shared" si="162"/>
        <v>6.4874999999999998</v>
      </c>
      <c r="N195" s="103">
        <f t="shared" si="162"/>
        <v>2.3250000000000006</v>
      </c>
      <c r="O195" s="98">
        <f t="shared" si="162"/>
        <v>3.3</v>
      </c>
      <c r="P195" s="98">
        <f t="shared" si="162"/>
        <v>5.3129999999999997</v>
      </c>
      <c r="Q195" s="105">
        <f t="shared" si="162"/>
        <v>6.1650000000000009</v>
      </c>
      <c r="R195" s="103">
        <f t="shared" si="163"/>
        <v>1.9300000000000002</v>
      </c>
      <c r="S195" s="98">
        <f t="shared" si="163"/>
        <v>4.3100000000000005</v>
      </c>
      <c r="T195" s="98">
        <f t="shared" si="163"/>
        <v>6.5140000000000002</v>
      </c>
      <c r="U195" s="104">
        <f t="shared" si="163"/>
        <v>7.8960000000000008</v>
      </c>
      <c r="V195" s="103">
        <f t="shared" si="163"/>
        <v>2.4820000000000002</v>
      </c>
      <c r="W195" s="98">
        <f t="shared" si="163"/>
        <v>4.3100000000000005</v>
      </c>
      <c r="X195" s="98">
        <f t="shared" si="163"/>
        <v>6.5140000000000002</v>
      </c>
      <c r="Y195" s="105">
        <f t="shared" si="163"/>
        <v>7.4920000000000009</v>
      </c>
      <c r="Z195" s="111">
        <f t="shared" si="166"/>
        <v>5.3125</v>
      </c>
      <c r="AA195" s="97">
        <f t="shared" si="164"/>
        <v>10.58</v>
      </c>
      <c r="AB195" s="97">
        <f t="shared" si="164"/>
        <v>16.875999999999998</v>
      </c>
      <c r="AC195" s="142">
        <f t="shared" si="164"/>
        <v>20.324999999999999</v>
      </c>
      <c r="AD195" s="111">
        <f t="shared" si="164"/>
        <v>6.6610000000000014</v>
      </c>
      <c r="AE195" s="97">
        <f t="shared" si="164"/>
        <v>10.58</v>
      </c>
      <c r="AF195" s="97">
        <f t="shared" si="164"/>
        <v>16.875999999999998</v>
      </c>
      <c r="AG195" s="142">
        <f t="shared" si="164"/>
        <v>19.369</v>
      </c>
      <c r="AH195" s="111">
        <f t="shared" si="167"/>
        <v>6.1216000000000008</v>
      </c>
      <c r="AI195" s="97">
        <f t="shared" si="168"/>
        <v>10.58</v>
      </c>
      <c r="AJ195" s="97">
        <f t="shared" si="169"/>
        <v>16.875999999999998</v>
      </c>
      <c r="AK195" s="142">
        <f t="shared" si="170"/>
        <v>19.7514</v>
      </c>
      <c r="AL195" s="97">
        <f t="shared" si="171"/>
        <v>9.6883200000000009</v>
      </c>
      <c r="AM195" s="142">
        <f t="shared" si="172"/>
        <v>17.451079999999997</v>
      </c>
      <c r="AN195" s="142">
        <f t="shared" si="173"/>
        <v>13.569699999999999</v>
      </c>
      <c r="AO195" s="142">
        <f>AN195</f>
        <v>13.569699999999999</v>
      </c>
    </row>
    <row r="196" spans="1:41" x14ac:dyDescent="0.25">
      <c r="A196" s="310" t="s">
        <v>18</v>
      </c>
      <c r="B196" s="103">
        <f t="shared" si="161"/>
        <v>0</v>
      </c>
      <c r="C196" s="98">
        <f t="shared" si="161"/>
        <v>1.4850000000000001</v>
      </c>
      <c r="D196" s="98">
        <f t="shared" si="161"/>
        <v>3.3660000000000001</v>
      </c>
      <c r="E196" s="104">
        <f t="shared" si="161"/>
        <v>4.2075000000000005</v>
      </c>
      <c r="F196" s="103">
        <f t="shared" si="161"/>
        <v>0.20699999999999999</v>
      </c>
      <c r="G196" s="98">
        <f t="shared" si="161"/>
        <v>1.4850000000000001</v>
      </c>
      <c r="H196" s="98">
        <f t="shared" si="161"/>
        <v>3.3660000000000001</v>
      </c>
      <c r="I196" s="105">
        <f t="shared" si="161"/>
        <v>3.9779999999999998</v>
      </c>
      <c r="J196" s="103">
        <f t="shared" si="162"/>
        <v>0.41249999999999998</v>
      </c>
      <c r="K196" s="98">
        <f t="shared" si="162"/>
        <v>1.8150000000000002</v>
      </c>
      <c r="L196" s="98">
        <f t="shared" si="162"/>
        <v>3.63</v>
      </c>
      <c r="M196" s="104">
        <f t="shared" si="162"/>
        <v>4.7535000000000007</v>
      </c>
      <c r="N196" s="103">
        <f t="shared" si="162"/>
        <v>0.67800000000000016</v>
      </c>
      <c r="O196" s="98">
        <f t="shared" si="162"/>
        <v>1.8150000000000002</v>
      </c>
      <c r="P196" s="98">
        <f t="shared" si="162"/>
        <v>3.63</v>
      </c>
      <c r="Q196" s="105">
        <f t="shared" si="162"/>
        <v>4.431</v>
      </c>
      <c r="R196" s="103">
        <f t="shared" si="163"/>
        <v>0.55000000000000004</v>
      </c>
      <c r="S196" s="98">
        <f t="shared" si="163"/>
        <v>2.4200000000000004</v>
      </c>
      <c r="T196" s="98">
        <f t="shared" si="163"/>
        <v>4.84</v>
      </c>
      <c r="U196" s="104">
        <f t="shared" si="163"/>
        <v>6.338000000000001</v>
      </c>
      <c r="V196" s="103">
        <f t="shared" si="163"/>
        <v>0.90400000000000036</v>
      </c>
      <c r="W196" s="98">
        <f t="shared" si="163"/>
        <v>2.4200000000000004</v>
      </c>
      <c r="X196" s="98">
        <f t="shared" si="163"/>
        <v>4.84</v>
      </c>
      <c r="Y196" s="105">
        <f t="shared" si="163"/>
        <v>5.9080000000000013</v>
      </c>
      <c r="Z196" s="111">
        <f t="shared" si="166"/>
        <v>0.96250000000000002</v>
      </c>
      <c r="AA196" s="97">
        <f t="shared" si="164"/>
        <v>5.7200000000000006</v>
      </c>
      <c r="AB196" s="97">
        <f t="shared" si="164"/>
        <v>11.836</v>
      </c>
      <c r="AC196" s="142">
        <f t="shared" si="164"/>
        <v>15.299000000000003</v>
      </c>
      <c r="AD196" s="111">
        <f t="shared" si="164"/>
        <v>1.7890000000000006</v>
      </c>
      <c r="AE196" s="97">
        <f t="shared" si="164"/>
        <v>5.7200000000000006</v>
      </c>
      <c r="AF196" s="97">
        <f t="shared" si="164"/>
        <v>11.836</v>
      </c>
      <c r="AG196" s="142">
        <f t="shared" si="164"/>
        <v>14.317</v>
      </c>
      <c r="AH196" s="111">
        <f t="shared" si="167"/>
        <v>1.4584000000000004</v>
      </c>
      <c r="AI196" s="97">
        <f t="shared" si="168"/>
        <v>5.7200000000000006</v>
      </c>
      <c r="AJ196" s="97">
        <f t="shared" si="169"/>
        <v>11.836</v>
      </c>
      <c r="AK196" s="142">
        <f t="shared" si="170"/>
        <v>14.709800000000001</v>
      </c>
      <c r="AL196" s="97">
        <f t="shared" si="171"/>
        <v>4.8676800000000009</v>
      </c>
      <c r="AM196" s="142">
        <f t="shared" si="172"/>
        <v>12.41076</v>
      </c>
      <c r="AN196" s="142">
        <f t="shared" si="173"/>
        <v>8.6392199999999999</v>
      </c>
      <c r="AO196" s="142">
        <f>AN197</f>
        <v>10.799810000000001</v>
      </c>
    </row>
    <row r="197" spans="1:41" x14ac:dyDescent="0.25">
      <c r="A197" s="310" t="s">
        <v>19</v>
      </c>
      <c r="B197" s="103">
        <f t="shared" si="161"/>
        <v>1.4850000000000003</v>
      </c>
      <c r="C197" s="98">
        <f t="shared" si="161"/>
        <v>2.4750000000000001</v>
      </c>
      <c r="D197" s="98">
        <f t="shared" si="161"/>
        <v>3.9269999999999996</v>
      </c>
      <c r="E197" s="104">
        <f t="shared" si="161"/>
        <v>5.0999999999999996</v>
      </c>
      <c r="F197" s="103">
        <f t="shared" si="161"/>
        <v>1.7850000000000004</v>
      </c>
      <c r="G197" s="98">
        <f t="shared" si="161"/>
        <v>2.4750000000000001</v>
      </c>
      <c r="H197" s="98">
        <f t="shared" si="161"/>
        <v>3.9269999999999996</v>
      </c>
      <c r="I197" s="105">
        <f t="shared" si="161"/>
        <v>4.7685000000000004</v>
      </c>
      <c r="J197" s="103">
        <f t="shared" si="162"/>
        <v>1.4475</v>
      </c>
      <c r="K197" s="98">
        <f t="shared" si="162"/>
        <v>2.7374999999999998</v>
      </c>
      <c r="L197" s="98">
        <f t="shared" si="162"/>
        <v>3.7634999999999996</v>
      </c>
      <c r="M197" s="104">
        <f t="shared" si="162"/>
        <v>5.0804999999999998</v>
      </c>
      <c r="N197" s="103">
        <f t="shared" si="162"/>
        <v>1.7925000000000002</v>
      </c>
      <c r="O197" s="98">
        <f t="shared" si="162"/>
        <v>2.7374999999999998</v>
      </c>
      <c r="P197" s="98">
        <f t="shared" si="162"/>
        <v>3.7634999999999996</v>
      </c>
      <c r="Q197" s="105">
        <f t="shared" si="162"/>
        <v>4.6755000000000004</v>
      </c>
      <c r="R197" s="103">
        <f t="shared" si="163"/>
        <v>1.9300000000000002</v>
      </c>
      <c r="S197" s="98">
        <f t="shared" si="163"/>
        <v>3.6500000000000004</v>
      </c>
      <c r="T197" s="98">
        <f t="shared" si="163"/>
        <v>5.0180000000000007</v>
      </c>
      <c r="U197" s="104">
        <f t="shared" si="163"/>
        <v>6.774</v>
      </c>
      <c r="V197" s="103">
        <f t="shared" si="163"/>
        <v>2.39</v>
      </c>
      <c r="W197" s="98">
        <f t="shared" si="163"/>
        <v>3.6500000000000004</v>
      </c>
      <c r="X197" s="98">
        <f t="shared" si="163"/>
        <v>5.0180000000000007</v>
      </c>
      <c r="Y197" s="105">
        <f t="shared" si="163"/>
        <v>6.2340000000000009</v>
      </c>
      <c r="Z197" s="111">
        <f t="shared" si="166"/>
        <v>4.8625000000000007</v>
      </c>
      <c r="AA197" s="97">
        <f t="shared" si="164"/>
        <v>8.8625000000000007</v>
      </c>
      <c r="AB197" s="97">
        <f t="shared" si="164"/>
        <v>12.708500000000001</v>
      </c>
      <c r="AC197" s="142">
        <f t="shared" si="164"/>
        <v>16.954499999999999</v>
      </c>
      <c r="AD197" s="111">
        <f t="shared" si="164"/>
        <v>5.9675000000000011</v>
      </c>
      <c r="AE197" s="97">
        <f t="shared" si="164"/>
        <v>8.8625000000000007</v>
      </c>
      <c r="AF197" s="97">
        <f t="shared" si="164"/>
        <v>12.708500000000001</v>
      </c>
      <c r="AG197" s="142">
        <f t="shared" si="164"/>
        <v>15.678000000000001</v>
      </c>
      <c r="AH197" s="111">
        <f>(1-$AH$188)*Z197+$AH$188*AD197</f>
        <v>5.525500000000001</v>
      </c>
      <c r="AI197" s="97">
        <f t="shared" si="168"/>
        <v>8.8625000000000007</v>
      </c>
      <c r="AJ197" s="97">
        <f t="shared" si="169"/>
        <v>12.708500000000001</v>
      </c>
      <c r="AK197" s="142">
        <f t="shared" si="170"/>
        <v>16.188600000000001</v>
      </c>
      <c r="AL197" s="97">
        <f t="shared" si="171"/>
        <v>8.1951000000000001</v>
      </c>
      <c r="AM197" s="142">
        <f t="shared" si="172"/>
        <v>13.404520000000002</v>
      </c>
      <c r="AN197" s="142">
        <f t="shared" si="173"/>
        <v>10.799810000000001</v>
      </c>
      <c r="AO197" s="142">
        <f>AN197</f>
        <v>10.799810000000001</v>
      </c>
    </row>
    <row r="198" spans="1:41" x14ac:dyDescent="0.25">
      <c r="A198" s="310" t="s">
        <v>20</v>
      </c>
      <c r="B198" s="103">
        <f t="shared" si="161"/>
        <v>2.2275000000000005</v>
      </c>
      <c r="C198" s="98">
        <f t="shared" si="161"/>
        <v>3.7124999999999999</v>
      </c>
      <c r="D198" s="98">
        <f t="shared" si="161"/>
        <v>5.8904999999999994</v>
      </c>
      <c r="E198" s="104">
        <f t="shared" si="161"/>
        <v>6.8084999999999996</v>
      </c>
      <c r="F198" s="103">
        <f t="shared" si="161"/>
        <v>2.6775000000000002</v>
      </c>
      <c r="G198" s="98">
        <f t="shared" si="161"/>
        <v>3.7124999999999999</v>
      </c>
      <c r="H198" s="98">
        <f t="shared" si="161"/>
        <v>5.8904999999999994</v>
      </c>
      <c r="I198" s="105">
        <f t="shared" si="161"/>
        <v>6.5789999999999997</v>
      </c>
      <c r="J198" s="103">
        <f t="shared" si="162"/>
        <v>2.19</v>
      </c>
      <c r="K198" s="98">
        <f t="shared" si="162"/>
        <v>3.9749999999999996</v>
      </c>
      <c r="L198" s="98">
        <f t="shared" si="162"/>
        <v>5.7269999999999994</v>
      </c>
      <c r="M198" s="104">
        <f t="shared" si="162"/>
        <v>6.7889999999999997</v>
      </c>
      <c r="N198" s="103">
        <f t="shared" si="162"/>
        <v>2.6850000000000001</v>
      </c>
      <c r="O198" s="98">
        <f t="shared" si="162"/>
        <v>3.9749999999999996</v>
      </c>
      <c r="P198" s="98">
        <f t="shared" si="162"/>
        <v>5.7269999999999994</v>
      </c>
      <c r="Q198" s="105">
        <f t="shared" si="162"/>
        <v>6.4859999999999998</v>
      </c>
      <c r="R198" s="103">
        <f t="shared" si="163"/>
        <v>2.9200000000000004</v>
      </c>
      <c r="S198" s="98">
        <f t="shared" si="163"/>
        <v>5.3000000000000007</v>
      </c>
      <c r="T198" s="98">
        <f t="shared" si="163"/>
        <v>7.6360000000000001</v>
      </c>
      <c r="U198" s="104">
        <f t="shared" si="163"/>
        <v>9.0519999999999996</v>
      </c>
      <c r="V198" s="103">
        <f t="shared" si="163"/>
        <v>3.5800000000000005</v>
      </c>
      <c r="W198" s="98">
        <f t="shared" si="163"/>
        <v>5.3000000000000007</v>
      </c>
      <c r="X198" s="98">
        <f t="shared" si="163"/>
        <v>7.6360000000000001</v>
      </c>
      <c r="Y198" s="105">
        <f t="shared" si="163"/>
        <v>8.6480000000000015</v>
      </c>
      <c r="Z198" s="111">
        <f t="shared" si="166"/>
        <v>7.3375000000000004</v>
      </c>
      <c r="AA198" s="97">
        <f t="shared" si="164"/>
        <v>12.987500000000001</v>
      </c>
      <c r="AB198" s="97">
        <f t="shared" si="164"/>
        <v>19.253499999999999</v>
      </c>
      <c r="AC198" s="142">
        <f t="shared" si="164"/>
        <v>22.6495</v>
      </c>
      <c r="AD198" s="111">
        <f t="shared" si="164"/>
        <v>8.9425000000000008</v>
      </c>
      <c r="AE198" s="97">
        <f t="shared" si="164"/>
        <v>12.987500000000001</v>
      </c>
      <c r="AF198" s="97">
        <f t="shared" si="164"/>
        <v>19.253499999999999</v>
      </c>
      <c r="AG198" s="142">
        <f t="shared" si="164"/>
        <v>21.713000000000001</v>
      </c>
      <c r="AH198" s="111">
        <f t="shared" si="167"/>
        <v>8.3004999999999995</v>
      </c>
      <c r="AI198" s="97">
        <f t="shared" si="168"/>
        <v>12.987500000000001</v>
      </c>
      <c r="AJ198" s="97">
        <f t="shared" si="169"/>
        <v>19.253499999999999</v>
      </c>
      <c r="AK198" s="142">
        <f t="shared" si="170"/>
        <v>22.087600000000002</v>
      </c>
      <c r="AL198" s="97">
        <f t="shared" si="171"/>
        <v>12.0501</v>
      </c>
      <c r="AM198" s="142">
        <f t="shared" si="172"/>
        <v>19.820319999999999</v>
      </c>
      <c r="AN198" s="142">
        <f t="shared" si="173"/>
        <v>15.93521</v>
      </c>
      <c r="AO198" s="142">
        <f>AN198</f>
        <v>15.93521</v>
      </c>
    </row>
    <row r="199" spans="1:41" x14ac:dyDescent="0.25">
      <c r="A199" s="310" t="s">
        <v>22</v>
      </c>
      <c r="B199" s="103">
        <f t="shared" si="161"/>
        <v>0</v>
      </c>
      <c r="C199" s="98">
        <f t="shared" si="161"/>
        <v>0</v>
      </c>
      <c r="D199" s="98">
        <f t="shared" si="161"/>
        <v>0</v>
      </c>
      <c r="E199" s="104">
        <f t="shared" si="161"/>
        <v>1.6830000000000001</v>
      </c>
      <c r="F199" s="103">
        <f t="shared" si="161"/>
        <v>0</v>
      </c>
      <c r="G199" s="98">
        <f t="shared" si="161"/>
        <v>0</v>
      </c>
      <c r="H199" s="98">
        <f t="shared" si="161"/>
        <v>0</v>
      </c>
      <c r="I199" s="105">
        <f t="shared" si="161"/>
        <v>1.1475</v>
      </c>
      <c r="J199" s="103">
        <f t="shared" si="162"/>
        <v>0</v>
      </c>
      <c r="K199" s="98">
        <f t="shared" si="162"/>
        <v>0.33</v>
      </c>
      <c r="L199" s="98">
        <f t="shared" si="162"/>
        <v>0.79200000000000004</v>
      </c>
      <c r="M199" s="104">
        <f t="shared" si="162"/>
        <v>2.31</v>
      </c>
      <c r="N199" s="103">
        <f t="shared" si="162"/>
        <v>2.4000000000000021E-2</v>
      </c>
      <c r="O199" s="98">
        <f t="shared" si="162"/>
        <v>0.33</v>
      </c>
      <c r="P199" s="98">
        <f t="shared" si="162"/>
        <v>0.79200000000000004</v>
      </c>
      <c r="Q199" s="105">
        <f t="shared" si="162"/>
        <v>1.8329999999999997</v>
      </c>
      <c r="R199" s="103">
        <f t="shared" si="163"/>
        <v>0</v>
      </c>
      <c r="S199" s="98">
        <f t="shared" si="163"/>
        <v>0.44000000000000006</v>
      </c>
      <c r="T199" s="98">
        <f t="shared" si="163"/>
        <v>1.056</v>
      </c>
      <c r="U199" s="104">
        <f t="shared" si="163"/>
        <v>3.08</v>
      </c>
      <c r="V199" s="103">
        <f t="shared" si="163"/>
        <v>3.2000000000000028E-2</v>
      </c>
      <c r="W199" s="98">
        <f t="shared" si="163"/>
        <v>0.44000000000000006</v>
      </c>
      <c r="X199" s="98">
        <f t="shared" si="163"/>
        <v>1.056</v>
      </c>
      <c r="Y199" s="105">
        <f t="shared" si="163"/>
        <v>2.444</v>
      </c>
      <c r="Z199" s="111">
        <f t="shared" si="166"/>
        <v>0</v>
      </c>
      <c r="AA199" s="97">
        <f t="shared" si="164"/>
        <v>0.77</v>
      </c>
      <c r="AB199" s="97">
        <f t="shared" si="164"/>
        <v>1.8480000000000001</v>
      </c>
      <c r="AC199" s="142">
        <f t="shared" si="164"/>
        <v>7.0730000000000004</v>
      </c>
      <c r="AD199" s="111">
        <f t="shared" si="164"/>
        <v>5.600000000000005E-2</v>
      </c>
      <c r="AE199" s="97">
        <f t="shared" si="164"/>
        <v>0.77</v>
      </c>
      <c r="AF199" s="97">
        <f t="shared" si="164"/>
        <v>1.8480000000000001</v>
      </c>
      <c r="AG199" s="142">
        <f t="shared" si="164"/>
        <v>5.4245000000000001</v>
      </c>
      <c r="AH199" s="111">
        <f t="shared" si="167"/>
        <v>3.3600000000000026E-2</v>
      </c>
      <c r="AI199" s="97">
        <f t="shared" si="168"/>
        <v>0.77</v>
      </c>
      <c r="AJ199" s="97">
        <f t="shared" si="169"/>
        <v>1.8480000000000001</v>
      </c>
      <c r="AK199" s="142">
        <f t="shared" si="170"/>
        <v>6.0838999999999999</v>
      </c>
      <c r="AL199" s="97">
        <f t="shared" si="171"/>
        <v>0.62272000000000016</v>
      </c>
      <c r="AM199" s="142">
        <f t="shared" si="172"/>
        <v>2.6951799999999997</v>
      </c>
      <c r="AN199" s="142">
        <f t="shared" si="173"/>
        <v>1.6589499999999999</v>
      </c>
      <c r="AO199" s="142">
        <f>AN198</f>
        <v>15.93521</v>
      </c>
    </row>
    <row r="200" spans="1:41" ht="15.75" thickBot="1" x14ac:dyDescent="0.3">
      <c r="A200" s="311" t="s">
        <v>23</v>
      </c>
      <c r="B200" s="106">
        <f t="shared" si="161"/>
        <v>1.2825</v>
      </c>
      <c r="C200" s="107">
        <f t="shared" si="161"/>
        <v>3.24</v>
      </c>
      <c r="D200" s="107">
        <f t="shared" si="161"/>
        <v>4.7939999999999996</v>
      </c>
      <c r="E200" s="108">
        <f t="shared" si="161"/>
        <v>5.3550000000000004</v>
      </c>
      <c r="F200" s="106">
        <f t="shared" si="161"/>
        <v>1.6379999999999999</v>
      </c>
      <c r="G200" s="107">
        <f t="shared" si="161"/>
        <v>3.24</v>
      </c>
      <c r="H200" s="107">
        <f t="shared" si="161"/>
        <v>4.7939999999999996</v>
      </c>
      <c r="I200" s="109">
        <f t="shared" si="161"/>
        <v>5.202</v>
      </c>
      <c r="J200" s="106">
        <f t="shared" si="162"/>
        <v>1.6950000000000001</v>
      </c>
      <c r="K200" s="107">
        <f t="shared" si="162"/>
        <v>3.57</v>
      </c>
      <c r="L200" s="107">
        <f t="shared" si="162"/>
        <v>5.0579999999999998</v>
      </c>
      <c r="M200" s="108">
        <f t="shared" si="162"/>
        <v>5.9010000000000007</v>
      </c>
      <c r="N200" s="106">
        <f t="shared" si="162"/>
        <v>2.1090000000000004</v>
      </c>
      <c r="O200" s="107">
        <f t="shared" si="162"/>
        <v>3.57</v>
      </c>
      <c r="P200" s="107">
        <f t="shared" si="162"/>
        <v>5.0579999999999998</v>
      </c>
      <c r="Q200" s="109">
        <f t="shared" si="162"/>
        <v>5.6550000000000002</v>
      </c>
      <c r="R200" s="106">
        <f t="shared" si="163"/>
        <v>2.2600000000000002</v>
      </c>
      <c r="S200" s="107">
        <f t="shared" si="163"/>
        <v>4.7600000000000007</v>
      </c>
      <c r="T200" s="107">
        <f t="shared" si="163"/>
        <v>6.7439999999999998</v>
      </c>
      <c r="U200" s="108">
        <f t="shared" si="163"/>
        <v>7.8680000000000012</v>
      </c>
      <c r="V200" s="106">
        <f t="shared" si="163"/>
        <v>2.8120000000000007</v>
      </c>
      <c r="W200" s="107">
        <f t="shared" si="163"/>
        <v>4.7600000000000007</v>
      </c>
      <c r="X200" s="107">
        <f t="shared" si="163"/>
        <v>6.7439999999999998</v>
      </c>
      <c r="Y200" s="109">
        <f t="shared" si="163"/>
        <v>7.5400000000000009</v>
      </c>
      <c r="Z200" s="112">
        <f t="shared" si="166"/>
        <v>5.2375000000000007</v>
      </c>
      <c r="AA200" s="188">
        <f t="shared" si="164"/>
        <v>11.57</v>
      </c>
      <c r="AB200" s="188">
        <f t="shared" si="164"/>
        <v>16.596</v>
      </c>
      <c r="AC200" s="113">
        <f t="shared" si="164"/>
        <v>19.124000000000002</v>
      </c>
      <c r="AD200" s="112">
        <f t="shared" si="164"/>
        <v>6.5590000000000011</v>
      </c>
      <c r="AE200" s="188">
        <f t="shared" si="164"/>
        <v>11.57</v>
      </c>
      <c r="AF200" s="188">
        <f t="shared" si="164"/>
        <v>16.596</v>
      </c>
      <c r="AG200" s="113">
        <f t="shared" si="164"/>
        <v>18.396999999999998</v>
      </c>
      <c r="AH200" s="112">
        <f t="shared" si="167"/>
        <v>6.0304000000000002</v>
      </c>
      <c r="AI200" s="188">
        <f t="shared" si="168"/>
        <v>11.57</v>
      </c>
      <c r="AJ200" s="188">
        <f t="shared" si="169"/>
        <v>16.596</v>
      </c>
      <c r="AK200" s="113">
        <f t="shared" si="170"/>
        <v>18.687799999999999</v>
      </c>
      <c r="AL200" s="188">
        <f t="shared" si="171"/>
        <v>10.46208</v>
      </c>
      <c r="AM200" s="113">
        <f t="shared" si="172"/>
        <v>17.01436</v>
      </c>
      <c r="AN200" s="113">
        <f t="shared" si="173"/>
        <v>13.73822</v>
      </c>
      <c r="AO200" s="113">
        <f>AN198</f>
        <v>15.93521</v>
      </c>
    </row>
    <row r="202" spans="1:41" ht="15.75" thickBot="1" x14ac:dyDescent="0.3">
      <c r="A202" s="1" t="s">
        <v>301</v>
      </c>
    </row>
    <row r="203" spans="1:41" x14ac:dyDescent="0.25">
      <c r="A203" s="456" t="s">
        <v>234</v>
      </c>
      <c r="B203" s="425" t="s">
        <v>274</v>
      </c>
      <c r="C203" s="425" t="s">
        <v>265</v>
      </c>
    </row>
    <row r="204" spans="1:41" ht="38.25" customHeight="1" thickBot="1" x14ac:dyDescent="0.3">
      <c r="A204" s="457"/>
      <c r="B204" s="426"/>
      <c r="C204" s="426"/>
    </row>
    <row r="205" spans="1:41" x14ac:dyDescent="0.25">
      <c r="A205" s="351" t="s">
        <v>24</v>
      </c>
      <c r="B205" s="286">
        <v>21.534100000000002</v>
      </c>
      <c r="C205" s="286">
        <v>21.534100000000002</v>
      </c>
    </row>
    <row r="206" spans="1:41" x14ac:dyDescent="0.25">
      <c r="A206" s="352" t="s">
        <v>15</v>
      </c>
      <c r="B206" s="287">
        <v>19.830090000000002</v>
      </c>
      <c r="C206" s="287">
        <v>21.534100000000002</v>
      </c>
    </row>
    <row r="207" spans="1:41" x14ac:dyDescent="0.25">
      <c r="A207" s="352" t="s">
        <v>20</v>
      </c>
      <c r="B207" s="287">
        <v>15.93521</v>
      </c>
      <c r="C207" s="287">
        <v>15.93521</v>
      </c>
    </row>
    <row r="208" spans="1:41" x14ac:dyDescent="0.25">
      <c r="A208" s="352" t="s">
        <v>23</v>
      </c>
      <c r="B208" s="287">
        <v>13.73822</v>
      </c>
      <c r="C208" s="287">
        <v>15.93521</v>
      </c>
    </row>
    <row r="209" spans="1:3" x14ac:dyDescent="0.25">
      <c r="A209" s="352" t="s">
        <v>22</v>
      </c>
      <c r="B209" s="287">
        <v>1.6589499999999999</v>
      </c>
      <c r="C209" s="287">
        <v>15.93521</v>
      </c>
    </row>
    <row r="210" spans="1:3" x14ac:dyDescent="0.25">
      <c r="A210" s="352" t="s">
        <v>13</v>
      </c>
      <c r="B210" s="287">
        <v>13.87979</v>
      </c>
      <c r="C210" s="287">
        <v>13.87979</v>
      </c>
    </row>
    <row r="211" spans="1:3" x14ac:dyDescent="0.25">
      <c r="A211" s="352" t="s">
        <v>17</v>
      </c>
      <c r="B211" s="287">
        <v>13.569699999999999</v>
      </c>
      <c r="C211" s="287">
        <v>13.569699999999999</v>
      </c>
    </row>
    <row r="212" spans="1:3" x14ac:dyDescent="0.25">
      <c r="A212" s="352" t="s">
        <v>19</v>
      </c>
      <c r="B212" s="287">
        <v>10.799810000000001</v>
      </c>
      <c r="C212" s="287">
        <v>10.799810000000001</v>
      </c>
    </row>
    <row r="213" spans="1:3" x14ac:dyDescent="0.25">
      <c r="A213" s="352" t="s">
        <v>18</v>
      </c>
      <c r="B213" s="287">
        <v>8.6392199999999999</v>
      </c>
      <c r="C213" s="287">
        <v>10.799810000000001</v>
      </c>
    </row>
    <row r="214" spans="1:3" ht="15.75" thickBot="1" x14ac:dyDescent="0.3">
      <c r="A214" s="353" t="s">
        <v>14</v>
      </c>
      <c r="B214" s="288">
        <v>6.1486699999999992</v>
      </c>
      <c r="C214" s="288">
        <v>6.1486699999999992</v>
      </c>
    </row>
  </sheetData>
  <sortState xmlns:xlrd2="http://schemas.microsoft.com/office/spreadsheetml/2017/richdata2" ref="A205:BV214">
    <sortCondition descending="1" ref="C205:C214"/>
  </sortState>
  <mergeCells count="130">
    <mergeCell ref="BV63:BV64"/>
    <mergeCell ref="BV115:BV116"/>
    <mergeCell ref="AO189:AO190"/>
    <mergeCell ref="BO115:BR116"/>
    <mergeCell ref="BS115:BT116"/>
    <mergeCell ref="BU115:BU116"/>
    <mergeCell ref="AH189:AK190"/>
    <mergeCell ref="AL189:AM190"/>
    <mergeCell ref="BS11:BT12"/>
    <mergeCell ref="BU11:BU12"/>
    <mergeCell ref="BO11:BR12"/>
    <mergeCell ref="BO63:BR64"/>
    <mergeCell ref="BS63:BT64"/>
    <mergeCell ref="BU63:BU64"/>
    <mergeCell ref="AN189:AN190"/>
    <mergeCell ref="AU116:AX116"/>
    <mergeCell ref="AY116:BB116"/>
    <mergeCell ref="BC116:BF116"/>
    <mergeCell ref="BG116:BJ116"/>
    <mergeCell ref="BK116:BN116"/>
    <mergeCell ref="BV11:BV12"/>
    <mergeCell ref="AQ11:AX11"/>
    <mergeCell ref="AQ12:AT12"/>
    <mergeCell ref="AU12:AX12"/>
    <mergeCell ref="B190:E190"/>
    <mergeCell ref="F190:I190"/>
    <mergeCell ref="J190:M190"/>
    <mergeCell ref="N190:Q190"/>
    <mergeCell ref="R190:U190"/>
    <mergeCell ref="V190:Y190"/>
    <mergeCell ref="Z190:AC190"/>
    <mergeCell ref="A189:A190"/>
    <mergeCell ref="B189:I189"/>
    <mergeCell ref="J189:Q189"/>
    <mergeCell ref="R189:Y189"/>
    <mergeCell ref="Z189:AG189"/>
    <mergeCell ref="AD190:AG190"/>
    <mergeCell ref="N176:Q176"/>
    <mergeCell ref="R176:U176"/>
    <mergeCell ref="V176:Y176"/>
    <mergeCell ref="E143:L143"/>
    <mergeCell ref="E149:L149"/>
    <mergeCell ref="A175:A176"/>
    <mergeCell ref="B175:I175"/>
    <mergeCell ref="J175:Q175"/>
    <mergeCell ref="R175:Y175"/>
    <mergeCell ref="B176:E176"/>
    <mergeCell ref="F176:I176"/>
    <mergeCell ref="J176:M176"/>
    <mergeCell ref="AY115:BF115"/>
    <mergeCell ref="BG115:BN115"/>
    <mergeCell ref="K116:N116"/>
    <mergeCell ref="O116:R116"/>
    <mergeCell ref="S116:V116"/>
    <mergeCell ref="W116:Z116"/>
    <mergeCell ref="AA116:AD116"/>
    <mergeCell ref="K115:R115"/>
    <mergeCell ref="S115:Z115"/>
    <mergeCell ref="AA115:AH115"/>
    <mergeCell ref="AI115:AP115"/>
    <mergeCell ref="AQ115:AX115"/>
    <mergeCell ref="AE116:AH116"/>
    <mergeCell ref="AI116:AL116"/>
    <mergeCell ref="AM116:AP116"/>
    <mergeCell ref="AQ116:AT116"/>
    <mergeCell ref="E97:L97"/>
    <mergeCell ref="A115:A116"/>
    <mergeCell ref="B115:B116"/>
    <mergeCell ref="C115:C116"/>
    <mergeCell ref="D115:F115"/>
    <mergeCell ref="G115:I115"/>
    <mergeCell ref="AM64:AP64"/>
    <mergeCell ref="AQ64:AT64"/>
    <mergeCell ref="K64:N64"/>
    <mergeCell ref="O64:R64"/>
    <mergeCell ref="S64:V64"/>
    <mergeCell ref="W64:Z64"/>
    <mergeCell ref="AA64:AD64"/>
    <mergeCell ref="AE64:AH64"/>
    <mergeCell ref="AI64:AL64"/>
    <mergeCell ref="J115:J116"/>
    <mergeCell ref="AQ63:AX63"/>
    <mergeCell ref="AY63:BF63"/>
    <mergeCell ref="BG63:BN63"/>
    <mergeCell ref="BK64:BN64"/>
    <mergeCell ref="AU64:AX64"/>
    <mergeCell ref="AY64:BB64"/>
    <mergeCell ref="BC64:BF64"/>
    <mergeCell ref="BG64:BJ64"/>
    <mergeCell ref="E91:L91"/>
    <mergeCell ref="AI11:AP11"/>
    <mergeCell ref="AE12:AH12"/>
    <mergeCell ref="AI12:AL12"/>
    <mergeCell ref="AM12:AP12"/>
    <mergeCell ref="E39:L39"/>
    <mergeCell ref="E45:L45"/>
    <mergeCell ref="A63:A64"/>
    <mergeCell ref="B63:B64"/>
    <mergeCell ref="C63:C64"/>
    <mergeCell ref="D63:F63"/>
    <mergeCell ref="G63:I63"/>
    <mergeCell ref="J63:J64"/>
    <mergeCell ref="K63:R63"/>
    <mergeCell ref="S63:Z63"/>
    <mergeCell ref="AA63:AH63"/>
    <mergeCell ref="AI63:AP63"/>
    <mergeCell ref="A203:A204"/>
    <mergeCell ref="B203:B204"/>
    <mergeCell ref="C203:C204"/>
    <mergeCell ref="AY12:BB12"/>
    <mergeCell ref="BC12:BF12"/>
    <mergeCell ref="BG12:BJ12"/>
    <mergeCell ref="BK12:BN12"/>
    <mergeCell ref="A5:E5"/>
    <mergeCell ref="A11:A12"/>
    <mergeCell ref="B11:B12"/>
    <mergeCell ref="C11:C12"/>
    <mergeCell ref="D11:F11"/>
    <mergeCell ref="G11:I11"/>
    <mergeCell ref="AY11:BF11"/>
    <mergeCell ref="BG11:BN11"/>
    <mergeCell ref="J11:J12"/>
    <mergeCell ref="K12:N12"/>
    <mergeCell ref="O12:R12"/>
    <mergeCell ref="S12:V12"/>
    <mergeCell ref="W12:Z12"/>
    <mergeCell ref="AA12:AD12"/>
    <mergeCell ref="K11:R11"/>
    <mergeCell ref="S11:Z11"/>
    <mergeCell ref="AA11:AH11"/>
  </mergeCells>
  <hyperlinks>
    <hyperlink ref="B4" r:id="rId1" xr:uid="{4D2DACB5-3264-4F17-9B5E-44BA2F5A7FC5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90B7-CE2F-4528-9C7E-3EA5F1828D9A}">
  <dimension ref="A1:BV340"/>
  <sheetViews>
    <sheetView topLeftCell="A166" zoomScale="89" zoomScaleNormal="89" workbookViewId="0">
      <selection activeCell="B180" sqref="B180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11" width="20.42578125" customWidth="1"/>
    <col min="12" max="12" width="14.140625" customWidth="1"/>
    <col min="13" max="31" width="9.140625" customWidth="1"/>
    <col min="32" max="32" width="15.7109375" customWidth="1"/>
    <col min="33" max="39" width="9.140625" customWidth="1"/>
    <col min="40" max="40" width="15.7109375" customWidth="1"/>
    <col min="41" max="41" width="24.710937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1" customWidth="1"/>
  </cols>
  <sheetData>
    <row r="1" spans="1:74" ht="18.75" x14ac:dyDescent="0.3">
      <c r="A1" s="148" t="s">
        <v>192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68" t="s">
        <v>173</v>
      </c>
      <c r="B5" s="469"/>
      <c r="C5" s="469"/>
      <c r="D5" s="462"/>
      <c r="E5" s="462"/>
    </row>
    <row r="6" spans="1:74" ht="31.5" x14ac:dyDescent="0.25">
      <c r="A6" s="114" t="s">
        <v>146</v>
      </c>
      <c r="B6" s="37" t="s">
        <v>147</v>
      </c>
      <c r="C6" s="35"/>
    </row>
    <row r="7" spans="1:74" x14ac:dyDescent="0.25">
      <c r="A7" s="468" t="s">
        <v>175</v>
      </c>
      <c r="B7" s="469"/>
      <c r="C7" s="469"/>
      <c r="D7" s="462"/>
      <c r="E7" s="462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64" t="s">
        <v>25</v>
      </c>
      <c r="B12" s="455" t="s">
        <v>285</v>
      </c>
      <c r="C12" s="444" t="s">
        <v>26</v>
      </c>
      <c r="D12" s="464" t="s">
        <v>55</v>
      </c>
      <c r="E12" s="455"/>
      <c r="F12" s="444"/>
      <c r="G12" s="454" t="s">
        <v>56</v>
      </c>
      <c r="H12" s="455"/>
      <c r="I12" s="455"/>
      <c r="J12" s="444" t="s">
        <v>81</v>
      </c>
      <c r="K12" s="435" t="s">
        <v>78</v>
      </c>
      <c r="L12" s="436"/>
      <c r="M12" s="436"/>
      <c r="N12" s="436"/>
      <c r="O12" s="436"/>
      <c r="P12" s="436"/>
      <c r="Q12" s="436"/>
      <c r="R12" s="437"/>
      <c r="S12" s="435" t="s">
        <v>76</v>
      </c>
      <c r="T12" s="436"/>
      <c r="U12" s="436"/>
      <c r="V12" s="436"/>
      <c r="W12" s="436"/>
      <c r="X12" s="436"/>
      <c r="Y12" s="436"/>
      <c r="Z12" s="437"/>
      <c r="AA12" s="435" t="s">
        <v>77</v>
      </c>
      <c r="AB12" s="436"/>
      <c r="AC12" s="436"/>
      <c r="AD12" s="436"/>
      <c r="AE12" s="436"/>
      <c r="AF12" s="436"/>
      <c r="AG12" s="436"/>
      <c r="AH12" s="437"/>
      <c r="AI12" s="435" t="s">
        <v>75</v>
      </c>
      <c r="AJ12" s="436"/>
      <c r="AK12" s="436"/>
      <c r="AL12" s="436"/>
      <c r="AM12" s="436"/>
      <c r="AN12" s="436"/>
      <c r="AO12" s="436"/>
      <c r="AP12" s="437"/>
      <c r="AQ12" s="435" t="s">
        <v>82</v>
      </c>
      <c r="AR12" s="436"/>
      <c r="AS12" s="436"/>
      <c r="AT12" s="436"/>
      <c r="AU12" s="436"/>
      <c r="AV12" s="436"/>
      <c r="AW12" s="436"/>
      <c r="AX12" s="437"/>
      <c r="AY12" s="435" t="s">
        <v>83</v>
      </c>
      <c r="AZ12" s="436"/>
      <c r="BA12" s="436"/>
      <c r="BB12" s="436"/>
      <c r="BC12" s="436"/>
      <c r="BD12" s="436"/>
      <c r="BE12" s="436"/>
      <c r="BF12" s="437"/>
      <c r="BG12" s="438" t="s">
        <v>119</v>
      </c>
      <c r="BH12" s="439"/>
      <c r="BI12" s="439"/>
      <c r="BJ12" s="439"/>
      <c r="BK12" s="439"/>
      <c r="BL12" s="439"/>
      <c r="BM12" s="439"/>
      <c r="BN12" s="440"/>
      <c r="BO12" s="427" t="s">
        <v>264</v>
      </c>
      <c r="BP12" s="428"/>
      <c r="BQ12" s="428"/>
      <c r="BR12" s="429"/>
      <c r="BS12" s="433" t="s">
        <v>79</v>
      </c>
      <c r="BT12" s="434"/>
      <c r="BU12" s="425" t="s">
        <v>80</v>
      </c>
      <c r="BV12" s="425" t="s">
        <v>265</v>
      </c>
    </row>
    <row r="13" spans="1:74" s="33" customFormat="1" ht="23.25" customHeight="1" thickBot="1" x14ac:dyDescent="0.3">
      <c r="A13" s="465"/>
      <c r="B13" s="466"/>
      <c r="C13" s="445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45"/>
      <c r="K13" s="446" t="s">
        <v>3</v>
      </c>
      <c r="L13" s="447"/>
      <c r="M13" s="447"/>
      <c r="N13" s="448"/>
      <c r="O13" s="446" t="s">
        <v>4</v>
      </c>
      <c r="P13" s="447"/>
      <c r="Q13" s="447"/>
      <c r="R13" s="448"/>
      <c r="S13" s="446" t="s">
        <v>3</v>
      </c>
      <c r="T13" s="447"/>
      <c r="U13" s="447"/>
      <c r="V13" s="448"/>
      <c r="W13" s="446" t="s">
        <v>4</v>
      </c>
      <c r="X13" s="447"/>
      <c r="Y13" s="447"/>
      <c r="Z13" s="448"/>
      <c r="AA13" s="446" t="s">
        <v>3</v>
      </c>
      <c r="AB13" s="447"/>
      <c r="AC13" s="447"/>
      <c r="AD13" s="448"/>
      <c r="AE13" s="446" t="s">
        <v>4</v>
      </c>
      <c r="AF13" s="447"/>
      <c r="AG13" s="447"/>
      <c r="AH13" s="448"/>
      <c r="AI13" s="435" t="s">
        <v>3</v>
      </c>
      <c r="AJ13" s="436"/>
      <c r="AK13" s="436"/>
      <c r="AL13" s="437"/>
      <c r="AM13" s="435" t="s">
        <v>4</v>
      </c>
      <c r="AN13" s="436"/>
      <c r="AO13" s="436"/>
      <c r="AP13" s="437"/>
      <c r="AQ13" s="435" t="s">
        <v>3</v>
      </c>
      <c r="AR13" s="436"/>
      <c r="AS13" s="436"/>
      <c r="AT13" s="437"/>
      <c r="AU13" s="435" t="s">
        <v>4</v>
      </c>
      <c r="AV13" s="436"/>
      <c r="AW13" s="436"/>
      <c r="AX13" s="437"/>
      <c r="AY13" s="435" t="s">
        <v>3</v>
      </c>
      <c r="AZ13" s="436"/>
      <c r="BA13" s="436"/>
      <c r="BB13" s="437"/>
      <c r="BC13" s="435" t="s">
        <v>4</v>
      </c>
      <c r="BD13" s="436"/>
      <c r="BE13" s="436"/>
      <c r="BF13" s="437"/>
      <c r="BG13" s="435" t="s">
        <v>3</v>
      </c>
      <c r="BH13" s="436"/>
      <c r="BI13" s="436"/>
      <c r="BJ13" s="437"/>
      <c r="BK13" s="435" t="s">
        <v>4</v>
      </c>
      <c r="BL13" s="436"/>
      <c r="BM13" s="436"/>
      <c r="BN13" s="437"/>
      <c r="BO13" s="430"/>
      <c r="BP13" s="431"/>
      <c r="BQ13" s="431"/>
      <c r="BR13" s="432"/>
      <c r="BS13" s="430"/>
      <c r="BT13" s="432"/>
      <c r="BU13" s="426"/>
      <c r="BV13" s="426"/>
    </row>
    <row r="14" spans="1:74" ht="30" x14ac:dyDescent="0.25">
      <c r="A14" s="235" t="s">
        <v>0</v>
      </c>
      <c r="B14" s="236" t="s">
        <v>24</v>
      </c>
      <c r="C14" s="237" t="s">
        <v>12</v>
      </c>
      <c r="D14" s="238" t="s">
        <v>42</v>
      </c>
      <c r="E14" s="239" t="s">
        <v>42</v>
      </c>
      <c r="F14" s="269" t="s">
        <v>42</v>
      </c>
      <c r="G14" s="295">
        <f>IF(D14=$A$27,$B$27,(IF(D14=$A$28,$B$28,IF(D14=$A$29,$B$29,$B$30))))</f>
        <v>1</v>
      </c>
      <c r="H14" s="289">
        <f t="shared" ref="G14:I23" si="0">IF(E14=$A$27,$B$27,(IF(E14=$A$28,$B$28,IF(E14=$A$29,$B$29,$B$30))))</f>
        <v>1</v>
      </c>
      <c r="I14" s="289">
        <f t="shared" si="0"/>
        <v>1</v>
      </c>
      <c r="J14" s="14">
        <f>G14*$D$41+H14*$D$42+I14*$D$43</f>
        <v>24</v>
      </c>
      <c r="K14" s="110">
        <v>0.77</v>
      </c>
      <c r="L14" s="234">
        <v>1</v>
      </c>
      <c r="M14" s="234">
        <v>1</v>
      </c>
      <c r="N14" s="140">
        <v>1</v>
      </c>
      <c r="O14" s="234">
        <v>0.8</v>
      </c>
      <c r="P14" s="234">
        <v>1</v>
      </c>
      <c r="Q14" s="234">
        <v>1</v>
      </c>
      <c r="R14" s="234">
        <v>1</v>
      </c>
      <c r="S14" s="110">
        <v>0.77</v>
      </c>
      <c r="T14" s="234">
        <v>1</v>
      </c>
      <c r="U14" s="234">
        <v>1</v>
      </c>
      <c r="V14" s="234">
        <v>1</v>
      </c>
      <c r="W14" s="110">
        <v>0.8</v>
      </c>
      <c r="X14" s="234">
        <v>1</v>
      </c>
      <c r="Y14" s="234">
        <v>1</v>
      </c>
      <c r="Z14" s="140">
        <v>1</v>
      </c>
      <c r="AA14" s="110">
        <v>0.77</v>
      </c>
      <c r="AB14" s="234">
        <v>1</v>
      </c>
      <c r="AC14" s="234">
        <v>1</v>
      </c>
      <c r="AD14" s="140">
        <v>1</v>
      </c>
      <c r="AE14" s="110">
        <v>0.8</v>
      </c>
      <c r="AF14" s="234">
        <v>1</v>
      </c>
      <c r="AG14" s="234">
        <v>1</v>
      </c>
      <c r="AH14" s="140">
        <v>1</v>
      </c>
      <c r="AI14" s="110">
        <v>4.2750000000000004</v>
      </c>
      <c r="AJ14" s="234">
        <v>7.5</v>
      </c>
      <c r="AK14" s="234">
        <v>8.5</v>
      </c>
      <c r="AL14" s="234">
        <v>8.5</v>
      </c>
      <c r="AM14" s="110">
        <v>5</v>
      </c>
      <c r="AN14" s="234">
        <v>7.5</v>
      </c>
      <c r="AO14" s="234">
        <v>8.5</v>
      </c>
      <c r="AP14" s="140">
        <v>8.5</v>
      </c>
      <c r="AQ14" s="110">
        <v>4.2750000000000004</v>
      </c>
      <c r="AR14" s="234">
        <v>7.5</v>
      </c>
      <c r="AS14" s="234">
        <v>8.5</v>
      </c>
      <c r="AT14" s="234">
        <v>8.5</v>
      </c>
      <c r="AU14" s="110">
        <v>5</v>
      </c>
      <c r="AV14" s="234">
        <v>7.5</v>
      </c>
      <c r="AW14" s="234">
        <v>8.5</v>
      </c>
      <c r="AX14" s="140">
        <v>8.5</v>
      </c>
      <c r="AY14" s="110">
        <v>4.2750000000000004</v>
      </c>
      <c r="AZ14" s="234">
        <v>7.5</v>
      </c>
      <c r="BA14" s="234">
        <v>8.5</v>
      </c>
      <c r="BB14" s="234">
        <v>8.5</v>
      </c>
      <c r="BC14" s="110">
        <v>5</v>
      </c>
      <c r="BD14" s="234">
        <v>7.5</v>
      </c>
      <c r="BE14" s="234">
        <v>8.5</v>
      </c>
      <c r="BF14" s="140">
        <v>8.5</v>
      </c>
      <c r="BG14" s="110">
        <f>AI14+AQ14+AY14</f>
        <v>12.825000000000001</v>
      </c>
      <c r="BH14" s="234">
        <f t="shared" ref="BH14:BN23" si="1">AJ14+AR14+AZ14</f>
        <v>22.5</v>
      </c>
      <c r="BI14" s="234">
        <f t="shared" si="1"/>
        <v>25.5</v>
      </c>
      <c r="BJ14" s="234">
        <f t="shared" si="1"/>
        <v>25.5</v>
      </c>
      <c r="BK14" s="110">
        <f t="shared" si="1"/>
        <v>15</v>
      </c>
      <c r="BL14" s="234">
        <f t="shared" si="1"/>
        <v>22.5</v>
      </c>
      <c r="BM14" s="234">
        <f t="shared" si="1"/>
        <v>25.5</v>
      </c>
      <c r="BN14" s="234">
        <f t="shared" si="1"/>
        <v>25.5</v>
      </c>
      <c r="BO14" s="110">
        <f>(1-$BO$11)*BG14+$BO$11*BK14</f>
        <v>14.13</v>
      </c>
      <c r="BP14" s="234">
        <f>(1-$BO$11)*BH14+$BO$11*BL14</f>
        <v>22.5</v>
      </c>
      <c r="BQ14" s="234">
        <f>(1-$BO$11)*BI14+$BO$11*BM14</f>
        <v>25.5</v>
      </c>
      <c r="BR14" s="234">
        <f>(1-$BO$11)*BJ14+$BO$11*BN14</f>
        <v>25.5</v>
      </c>
      <c r="BS14" s="110">
        <f>$BS$11*BP14+(1-$BS$11)*BO14</f>
        <v>20.826000000000001</v>
      </c>
      <c r="BT14" s="234">
        <f>$BS$11*BQ14+(1-$BS$11)*BR14</f>
        <v>25.5</v>
      </c>
      <c r="BU14" s="141">
        <f>(BS14+BT14)/2</f>
        <v>23.163</v>
      </c>
      <c r="BV14" s="140">
        <f>BU14</f>
        <v>23.163</v>
      </c>
    </row>
    <row r="15" spans="1:74" x14ac:dyDescent="0.25">
      <c r="A15" s="226" t="s">
        <v>1</v>
      </c>
      <c r="B15" s="222" t="s">
        <v>13</v>
      </c>
      <c r="C15" s="227" t="s">
        <v>27</v>
      </c>
      <c r="D15" s="72" t="s">
        <v>45</v>
      </c>
      <c r="E15" s="73" t="s">
        <v>43</v>
      </c>
      <c r="F15" s="270" t="s">
        <v>42</v>
      </c>
      <c r="G15" s="296">
        <f t="shared" si="0"/>
        <v>0</v>
      </c>
      <c r="H15" s="290">
        <f t="shared" si="0"/>
        <v>0.66</v>
      </c>
      <c r="I15" s="290">
        <f t="shared" si="0"/>
        <v>1</v>
      </c>
      <c r="J15" s="104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2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2">
        <v>0.86</v>
      </c>
      <c r="AA15" s="111">
        <v>0.77</v>
      </c>
      <c r="AB15" s="97">
        <v>1</v>
      </c>
      <c r="AC15" s="97">
        <v>1</v>
      </c>
      <c r="AD15" s="142">
        <v>1</v>
      </c>
      <c r="AE15" s="111">
        <v>0.8</v>
      </c>
      <c r="AF15" s="97">
        <v>1</v>
      </c>
      <c r="AG15" s="97">
        <v>1</v>
      </c>
      <c r="AH15" s="142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2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2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2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O23" si="4">(1-$BO$11)*BG15+$BO$11*BK15</f>
        <v>7.4850000000000012</v>
      </c>
      <c r="BP15" s="97">
        <f t="shared" ref="BP15:BP23" si="5">(1-$BO$11)*BH15+$BO$11*BL15</f>
        <v>11.625</v>
      </c>
      <c r="BQ15" s="97">
        <f t="shared" ref="BQ15:BQ23" si="6">(1-$BO$11)*BI15+$BO$11*BM15</f>
        <v>15.045</v>
      </c>
      <c r="BR15" s="97">
        <f t="shared" ref="BR15:BR23" si="7">(1-$BO$11)*BJ15+$BO$11*BN15</f>
        <v>17.424999999999997</v>
      </c>
      <c r="BS15" s="111">
        <f t="shared" ref="BS15:BS23" si="8">$BS$11*BP15+(1-$BS$11)*BO15</f>
        <v>10.797000000000001</v>
      </c>
      <c r="BT15" s="97">
        <f t="shared" ref="BT15:BT23" si="9">$BS$11*BQ15+(1-$BS$11)*BR15</f>
        <v>15.521000000000001</v>
      </c>
      <c r="BU15" s="143">
        <f t="shared" ref="BU15:BU23" si="10">(BS15+BT15)/2</f>
        <v>13.159000000000001</v>
      </c>
      <c r="BV15" s="142">
        <f>BU15</f>
        <v>13.159000000000001</v>
      </c>
    </row>
    <row r="16" spans="1:74" x14ac:dyDescent="0.25">
      <c r="A16" s="226" t="s">
        <v>2</v>
      </c>
      <c r="B16" s="222" t="s">
        <v>14</v>
      </c>
      <c r="C16" s="227" t="s">
        <v>28</v>
      </c>
      <c r="D16" s="72" t="s">
        <v>43</v>
      </c>
      <c r="E16" s="73" t="s">
        <v>45</v>
      </c>
      <c r="F16" s="270" t="s">
        <v>45</v>
      </c>
      <c r="G16" s="296">
        <f t="shared" si="0"/>
        <v>0.66</v>
      </c>
      <c r="H16" s="290">
        <f t="shared" si="0"/>
        <v>0</v>
      </c>
      <c r="I16" s="290">
        <f t="shared" si="0"/>
        <v>0</v>
      </c>
      <c r="J16" s="104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2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2">
        <v>0.15</v>
      </c>
      <c r="AA16" s="111">
        <v>0</v>
      </c>
      <c r="AB16" s="97">
        <v>0</v>
      </c>
      <c r="AC16" s="97">
        <v>0</v>
      </c>
      <c r="AD16" s="142">
        <v>0.22</v>
      </c>
      <c r="AE16" s="111">
        <v>0</v>
      </c>
      <c r="AF16" s="97">
        <v>0</v>
      </c>
      <c r="AG16" s="97">
        <v>0</v>
      </c>
      <c r="AH16" s="142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2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2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2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5"/>
        <v>4.125</v>
      </c>
      <c r="BQ16" s="97">
        <f t="shared" si="6"/>
        <v>6.5449999999999999</v>
      </c>
      <c r="BR16" s="97">
        <f t="shared" si="7"/>
        <v>10.438000000000001</v>
      </c>
      <c r="BS16" s="111">
        <f t="shared" si="8"/>
        <v>3.8550000000000004</v>
      </c>
      <c r="BT16" s="97">
        <f t="shared" si="9"/>
        <v>7.3236000000000008</v>
      </c>
      <c r="BU16" s="143">
        <f t="shared" si="10"/>
        <v>5.5893000000000006</v>
      </c>
      <c r="BV16" s="142">
        <f>BU16</f>
        <v>5.5893000000000006</v>
      </c>
    </row>
    <row r="17" spans="1:74" x14ac:dyDescent="0.25">
      <c r="A17" s="226" t="s">
        <v>5</v>
      </c>
      <c r="B17" s="222" t="s">
        <v>15</v>
      </c>
      <c r="C17" s="227" t="s">
        <v>16</v>
      </c>
      <c r="D17" s="72" t="s">
        <v>42</v>
      </c>
      <c r="E17" s="73" t="s">
        <v>43</v>
      </c>
      <c r="F17" s="270" t="s">
        <v>42</v>
      </c>
      <c r="G17" s="296">
        <f t="shared" si="0"/>
        <v>1</v>
      </c>
      <c r="H17" s="290">
        <f t="shared" si="0"/>
        <v>0.66</v>
      </c>
      <c r="I17" s="290">
        <f t="shared" si="0"/>
        <v>1</v>
      </c>
      <c r="J17" s="104">
        <f t="shared" si="2"/>
        <v>21.28</v>
      </c>
      <c r="K17" s="111">
        <v>0.77</v>
      </c>
      <c r="L17" s="97">
        <v>1</v>
      </c>
      <c r="M17" s="97">
        <v>1</v>
      </c>
      <c r="N17" s="142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2">
        <v>0.86</v>
      </c>
      <c r="AA17" s="111">
        <v>0.77</v>
      </c>
      <c r="AB17" s="97">
        <v>1</v>
      </c>
      <c r="AC17" s="97">
        <v>1</v>
      </c>
      <c r="AD17" s="142">
        <v>1</v>
      </c>
      <c r="AE17" s="111">
        <v>0.8</v>
      </c>
      <c r="AF17" s="97">
        <v>1</v>
      </c>
      <c r="AG17" s="97">
        <v>1</v>
      </c>
      <c r="AH17" s="142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2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2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2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5"/>
        <v>19.125</v>
      </c>
      <c r="BQ17" s="97">
        <f t="shared" si="6"/>
        <v>23.545000000000002</v>
      </c>
      <c r="BR17" s="97">
        <f t="shared" si="7"/>
        <v>24.411999999999999</v>
      </c>
      <c r="BS17" s="111">
        <f t="shared" si="8"/>
        <v>17.739000000000001</v>
      </c>
      <c r="BT17" s="97">
        <f t="shared" si="9"/>
        <v>23.718400000000003</v>
      </c>
      <c r="BU17" s="143">
        <f t="shared" si="10"/>
        <v>20.728700000000003</v>
      </c>
      <c r="BV17" s="142">
        <f>BU14</f>
        <v>23.163</v>
      </c>
    </row>
    <row r="18" spans="1:74" ht="30" x14ac:dyDescent="0.25">
      <c r="A18" s="226" t="s">
        <v>6</v>
      </c>
      <c r="B18" s="222" t="s">
        <v>17</v>
      </c>
      <c r="C18" s="227" t="s">
        <v>29</v>
      </c>
      <c r="D18" s="72" t="s">
        <v>43</v>
      </c>
      <c r="E18" s="73" t="s">
        <v>44</v>
      </c>
      <c r="F18" s="270" t="s">
        <v>43</v>
      </c>
      <c r="G18" s="296">
        <f t="shared" si="0"/>
        <v>0.66</v>
      </c>
      <c r="H18" s="290">
        <f t="shared" si="0"/>
        <v>0.33</v>
      </c>
      <c r="I18" s="290">
        <f t="shared" si="0"/>
        <v>0.66</v>
      </c>
      <c r="J18" s="104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2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0.44000000000000006</v>
      </c>
      <c r="AB18" s="97">
        <v>0.55000000000000004</v>
      </c>
      <c r="AC18" s="97">
        <v>0.77</v>
      </c>
      <c r="AD18" s="142">
        <v>0.89</v>
      </c>
      <c r="AE18" s="111">
        <v>0.47000000000000003</v>
      </c>
      <c r="AF18" s="97">
        <v>0.55000000000000004</v>
      </c>
      <c r="AG18" s="97">
        <v>0.77</v>
      </c>
      <c r="AH18" s="142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2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2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5"/>
        <v>9.9</v>
      </c>
      <c r="BQ18" s="97">
        <f t="shared" si="6"/>
        <v>16.829999999999998</v>
      </c>
      <c r="BR18" s="97">
        <f t="shared" si="7"/>
        <v>19.346</v>
      </c>
      <c r="BS18" s="111">
        <f t="shared" si="8"/>
        <v>9.0576000000000008</v>
      </c>
      <c r="BT18" s="97">
        <f t="shared" si="9"/>
        <v>17.333199999999998</v>
      </c>
      <c r="BU18" s="143">
        <f t="shared" si="10"/>
        <v>13.195399999999999</v>
      </c>
      <c r="BV18" s="142">
        <f>BU18</f>
        <v>13.195399999999999</v>
      </c>
    </row>
    <row r="19" spans="1:74" x14ac:dyDescent="0.25">
      <c r="A19" s="226" t="s">
        <v>7</v>
      </c>
      <c r="B19" s="222" t="s">
        <v>18</v>
      </c>
      <c r="C19" s="227" t="s">
        <v>30</v>
      </c>
      <c r="D19" s="72" t="s">
        <v>44</v>
      </c>
      <c r="E19" s="73" t="s">
        <v>44</v>
      </c>
      <c r="F19" s="270" t="s">
        <v>44</v>
      </c>
      <c r="G19" s="296">
        <f t="shared" si="0"/>
        <v>0.33</v>
      </c>
      <c r="H19" s="290">
        <f t="shared" si="0"/>
        <v>0.33</v>
      </c>
      <c r="I19" s="290">
        <f t="shared" si="0"/>
        <v>0.33</v>
      </c>
      <c r="J19" s="104">
        <f t="shared" si="2"/>
        <v>7.92</v>
      </c>
      <c r="K19" s="111">
        <v>0</v>
      </c>
      <c r="L19" s="97">
        <v>0.22000000000000003</v>
      </c>
      <c r="M19" s="97">
        <v>0.44</v>
      </c>
      <c r="N19" s="142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2">
        <v>0.52</v>
      </c>
      <c r="AA19" s="111">
        <v>0</v>
      </c>
      <c r="AB19" s="97">
        <v>0.22000000000000003</v>
      </c>
      <c r="AC19" s="97">
        <v>0.44</v>
      </c>
      <c r="AD19" s="142">
        <v>0.55000000000000004</v>
      </c>
      <c r="AE19" s="111">
        <v>0.06</v>
      </c>
      <c r="AF19" s="97">
        <v>0.22000000000000003</v>
      </c>
      <c r="AG19" s="97">
        <v>0.44</v>
      </c>
      <c r="AH19" s="142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2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2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2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5"/>
        <v>4.95</v>
      </c>
      <c r="BQ19" s="97">
        <f t="shared" si="6"/>
        <v>11.22</v>
      </c>
      <c r="BR19" s="97">
        <f t="shared" si="7"/>
        <v>13.566000000000001</v>
      </c>
      <c r="BS19" s="111">
        <f t="shared" si="8"/>
        <v>4.0428000000000006</v>
      </c>
      <c r="BT19" s="97">
        <f t="shared" si="9"/>
        <v>11.6892</v>
      </c>
      <c r="BU19" s="143">
        <f t="shared" si="10"/>
        <v>7.8659999999999997</v>
      </c>
      <c r="BV19" s="142">
        <f>BU20</f>
        <v>10.724700000000002</v>
      </c>
    </row>
    <row r="20" spans="1:74" ht="30" x14ac:dyDescent="0.25">
      <c r="A20" s="226" t="s">
        <v>8</v>
      </c>
      <c r="B20" s="222" t="s">
        <v>19</v>
      </c>
      <c r="C20" s="227" t="s">
        <v>31</v>
      </c>
      <c r="D20" s="72" t="s">
        <v>43</v>
      </c>
      <c r="E20" s="73" t="s">
        <v>43</v>
      </c>
      <c r="F20" s="270" t="s">
        <v>45</v>
      </c>
      <c r="G20" s="296">
        <f t="shared" si="0"/>
        <v>0.66</v>
      </c>
      <c r="H20" s="290">
        <f t="shared" si="0"/>
        <v>0.66</v>
      </c>
      <c r="I20" s="290">
        <f t="shared" si="0"/>
        <v>0</v>
      </c>
      <c r="J20" s="104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</v>
      </c>
      <c r="AB20" s="97">
        <v>0</v>
      </c>
      <c r="AC20" s="97">
        <v>0</v>
      </c>
      <c r="AD20" s="142">
        <v>0.22</v>
      </c>
      <c r="AE20" s="111">
        <v>0</v>
      </c>
      <c r="AF20" s="97">
        <v>0</v>
      </c>
      <c r="AG20" s="97">
        <v>0</v>
      </c>
      <c r="AH20" s="142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2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5"/>
        <v>8.25</v>
      </c>
      <c r="BQ20" s="97">
        <f t="shared" si="6"/>
        <v>13.09</v>
      </c>
      <c r="BR20" s="97">
        <f t="shared" si="7"/>
        <v>16.337000000000003</v>
      </c>
      <c r="BS20" s="111">
        <f t="shared" si="8"/>
        <v>7.7100000000000009</v>
      </c>
      <c r="BT20" s="97">
        <f t="shared" si="9"/>
        <v>13.739400000000002</v>
      </c>
      <c r="BU20" s="143">
        <f t="shared" si="10"/>
        <v>10.724700000000002</v>
      </c>
      <c r="BV20" s="142">
        <f>BU20</f>
        <v>10.724700000000002</v>
      </c>
    </row>
    <row r="21" spans="1:74" ht="30" x14ac:dyDescent="0.25">
      <c r="A21" s="226" t="s">
        <v>9</v>
      </c>
      <c r="B21" s="222" t="s">
        <v>20</v>
      </c>
      <c r="C21" s="227" t="s">
        <v>21</v>
      </c>
      <c r="D21" s="72" t="s">
        <v>43</v>
      </c>
      <c r="E21" s="73" t="s">
        <v>43</v>
      </c>
      <c r="F21" s="270" t="s">
        <v>43</v>
      </c>
      <c r="G21" s="296">
        <f t="shared" si="0"/>
        <v>0.66</v>
      </c>
      <c r="H21" s="290">
        <f t="shared" si="0"/>
        <v>0.66</v>
      </c>
      <c r="I21" s="290">
        <f t="shared" si="0"/>
        <v>0.66</v>
      </c>
      <c r="J21" s="104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2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2">
        <v>0.86</v>
      </c>
      <c r="AA21" s="111">
        <v>0.44000000000000006</v>
      </c>
      <c r="AB21" s="97">
        <v>0.55000000000000004</v>
      </c>
      <c r="AC21" s="97">
        <v>0.77</v>
      </c>
      <c r="AD21" s="142">
        <v>0.89</v>
      </c>
      <c r="AE21" s="111">
        <v>0.47000000000000003</v>
      </c>
      <c r="AF21" s="97">
        <v>0.55000000000000004</v>
      </c>
      <c r="AG21" s="97">
        <v>0.77</v>
      </c>
      <c r="AH21" s="142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2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2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2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5"/>
        <v>12.375</v>
      </c>
      <c r="BQ21" s="97">
        <f t="shared" si="6"/>
        <v>19.634999999999998</v>
      </c>
      <c r="BR21" s="97">
        <f t="shared" si="7"/>
        <v>22.236000000000001</v>
      </c>
      <c r="BS21" s="111">
        <f t="shared" si="8"/>
        <v>11.565</v>
      </c>
      <c r="BT21" s="97">
        <f t="shared" si="9"/>
        <v>20.155199999999997</v>
      </c>
      <c r="BU21" s="143">
        <f t="shared" si="10"/>
        <v>15.860099999999999</v>
      </c>
      <c r="BV21" s="142">
        <f>BU21</f>
        <v>15.860099999999999</v>
      </c>
    </row>
    <row r="22" spans="1:74" ht="36.75" customHeight="1" x14ac:dyDescent="0.25">
      <c r="A22" s="226" t="s">
        <v>10</v>
      </c>
      <c r="B22" s="222" t="s">
        <v>22</v>
      </c>
      <c r="C22" s="227" t="s">
        <v>32</v>
      </c>
      <c r="D22" s="72" t="s">
        <v>45</v>
      </c>
      <c r="E22" s="73" t="s">
        <v>45</v>
      </c>
      <c r="F22" s="270" t="s">
        <v>45</v>
      </c>
      <c r="G22" s="296">
        <f t="shared" si="0"/>
        <v>0</v>
      </c>
      <c r="H22" s="290">
        <f t="shared" si="0"/>
        <v>0</v>
      </c>
      <c r="I22" s="290">
        <f t="shared" si="0"/>
        <v>0</v>
      </c>
      <c r="J22" s="104">
        <f t="shared" si="2"/>
        <v>0</v>
      </c>
      <c r="K22" s="111">
        <v>0</v>
      </c>
      <c r="L22" s="97">
        <v>0</v>
      </c>
      <c r="M22" s="97">
        <v>0</v>
      </c>
      <c r="N22" s="142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2">
        <v>0.15</v>
      </c>
      <c r="AA22" s="111">
        <v>0</v>
      </c>
      <c r="AB22" s="97">
        <v>0</v>
      </c>
      <c r="AC22" s="97">
        <v>0</v>
      </c>
      <c r="AD22" s="142">
        <v>0.22</v>
      </c>
      <c r="AE22" s="111">
        <v>0</v>
      </c>
      <c r="AF22" s="97">
        <v>0</v>
      </c>
      <c r="AG22" s="97">
        <v>0</v>
      </c>
      <c r="AH22" s="142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2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2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2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5"/>
        <v>0</v>
      </c>
      <c r="BQ22" s="97">
        <f t="shared" si="6"/>
        <v>0</v>
      </c>
      <c r="BR22" s="97">
        <f t="shared" si="7"/>
        <v>4.5389999999999997</v>
      </c>
      <c r="BS22" s="111">
        <f t="shared" si="8"/>
        <v>0</v>
      </c>
      <c r="BT22" s="97">
        <f t="shared" si="9"/>
        <v>0.90779999999999972</v>
      </c>
      <c r="BU22" s="143">
        <f t="shared" si="10"/>
        <v>0.45389999999999986</v>
      </c>
      <c r="BV22" s="142">
        <f>BU21</f>
        <v>15.860099999999999</v>
      </c>
    </row>
    <row r="23" spans="1:74" ht="30.75" thickBot="1" x14ac:dyDescent="0.3">
      <c r="A23" s="228" t="s">
        <v>11</v>
      </c>
      <c r="B23" s="229" t="s">
        <v>23</v>
      </c>
      <c r="C23" s="230" t="s">
        <v>33</v>
      </c>
      <c r="D23" s="74" t="s">
        <v>44</v>
      </c>
      <c r="E23" s="75" t="s">
        <v>44</v>
      </c>
      <c r="F23" s="271" t="s">
        <v>42</v>
      </c>
      <c r="G23" s="297">
        <f t="shared" si="0"/>
        <v>0.33</v>
      </c>
      <c r="H23" s="291">
        <f t="shared" si="0"/>
        <v>0.33</v>
      </c>
      <c r="I23" s="291">
        <f t="shared" si="0"/>
        <v>1</v>
      </c>
      <c r="J23" s="108">
        <f t="shared" si="2"/>
        <v>13.280000000000001</v>
      </c>
      <c r="K23" s="112">
        <v>0</v>
      </c>
      <c r="L23" s="188">
        <v>0.22000000000000003</v>
      </c>
      <c r="M23" s="188">
        <v>0.44</v>
      </c>
      <c r="N23" s="113">
        <v>0.55000000000000004</v>
      </c>
      <c r="O23" s="188">
        <v>0.06</v>
      </c>
      <c r="P23" s="188">
        <v>0.22000000000000003</v>
      </c>
      <c r="Q23" s="188">
        <v>0.44</v>
      </c>
      <c r="R23" s="188">
        <v>0.52</v>
      </c>
      <c r="S23" s="112">
        <v>0</v>
      </c>
      <c r="T23" s="188">
        <v>0.22000000000000003</v>
      </c>
      <c r="U23" s="188">
        <v>0.44</v>
      </c>
      <c r="V23" s="188">
        <v>0.55000000000000004</v>
      </c>
      <c r="W23" s="112">
        <v>0.06</v>
      </c>
      <c r="X23" s="188">
        <v>0.22000000000000003</v>
      </c>
      <c r="Y23" s="188">
        <v>0.44</v>
      </c>
      <c r="Z23" s="113">
        <v>0.52</v>
      </c>
      <c r="AA23" s="112">
        <v>0.77</v>
      </c>
      <c r="AB23" s="188">
        <v>1</v>
      </c>
      <c r="AC23" s="188">
        <v>1</v>
      </c>
      <c r="AD23" s="113">
        <v>1</v>
      </c>
      <c r="AE23" s="112">
        <v>0.8</v>
      </c>
      <c r="AF23" s="188">
        <v>1</v>
      </c>
      <c r="AG23" s="188">
        <v>1</v>
      </c>
      <c r="AH23" s="113">
        <v>1</v>
      </c>
      <c r="AI23" s="112">
        <v>0</v>
      </c>
      <c r="AJ23" s="188">
        <v>1.6500000000000001</v>
      </c>
      <c r="AK23" s="188">
        <v>3.74</v>
      </c>
      <c r="AL23" s="188">
        <v>4.6750000000000007</v>
      </c>
      <c r="AM23" s="112">
        <v>0.22999999999999998</v>
      </c>
      <c r="AN23" s="188">
        <v>1.6500000000000001</v>
      </c>
      <c r="AO23" s="188">
        <v>3.74</v>
      </c>
      <c r="AP23" s="113">
        <v>4.42</v>
      </c>
      <c r="AQ23" s="112">
        <v>0</v>
      </c>
      <c r="AR23" s="188">
        <v>1.6500000000000001</v>
      </c>
      <c r="AS23" s="188">
        <v>3.74</v>
      </c>
      <c r="AT23" s="188">
        <v>4.6750000000000007</v>
      </c>
      <c r="AU23" s="112">
        <v>0.22999999999999998</v>
      </c>
      <c r="AV23" s="188">
        <v>1.6500000000000001</v>
      </c>
      <c r="AW23" s="188">
        <v>3.74</v>
      </c>
      <c r="AX23" s="113">
        <v>4.42</v>
      </c>
      <c r="AY23" s="112">
        <v>4.2750000000000004</v>
      </c>
      <c r="AZ23" s="188">
        <v>7.5</v>
      </c>
      <c r="BA23" s="188">
        <v>8.5</v>
      </c>
      <c r="BB23" s="188">
        <v>8.5</v>
      </c>
      <c r="BC23" s="112">
        <v>5</v>
      </c>
      <c r="BD23" s="188">
        <v>7.5</v>
      </c>
      <c r="BE23" s="188">
        <v>8.5</v>
      </c>
      <c r="BF23" s="113">
        <v>8.5</v>
      </c>
      <c r="BG23" s="112">
        <f t="shared" si="3"/>
        <v>4.2750000000000004</v>
      </c>
      <c r="BH23" s="188">
        <f t="shared" si="1"/>
        <v>10.8</v>
      </c>
      <c r="BI23" s="188">
        <f t="shared" si="1"/>
        <v>15.98</v>
      </c>
      <c r="BJ23" s="188">
        <f t="shared" si="1"/>
        <v>17.850000000000001</v>
      </c>
      <c r="BK23" s="112">
        <f t="shared" si="1"/>
        <v>5.46</v>
      </c>
      <c r="BL23" s="188">
        <f t="shared" si="1"/>
        <v>10.8</v>
      </c>
      <c r="BM23" s="188">
        <f t="shared" si="1"/>
        <v>15.98</v>
      </c>
      <c r="BN23" s="188">
        <f t="shared" si="1"/>
        <v>17.34</v>
      </c>
      <c r="BO23" s="112">
        <f t="shared" si="4"/>
        <v>4.9859999999999998</v>
      </c>
      <c r="BP23" s="188">
        <f t="shared" si="5"/>
        <v>10.8</v>
      </c>
      <c r="BQ23" s="188">
        <f t="shared" si="6"/>
        <v>15.98</v>
      </c>
      <c r="BR23" s="188">
        <f t="shared" si="7"/>
        <v>17.544</v>
      </c>
      <c r="BS23" s="112">
        <f t="shared" si="8"/>
        <v>9.6372</v>
      </c>
      <c r="BT23" s="188">
        <f t="shared" si="9"/>
        <v>16.2928</v>
      </c>
      <c r="BU23" s="144">
        <f t="shared" si="10"/>
        <v>12.965</v>
      </c>
      <c r="BV23" s="113">
        <f>BU21</f>
        <v>15.860099999999999</v>
      </c>
    </row>
    <row r="24" spans="1:74" x14ac:dyDescent="0.25">
      <c r="BF24" s="138"/>
      <c r="BG24" s="139"/>
      <c r="BH24" s="139"/>
      <c r="BI24" s="139"/>
      <c r="BJ24" s="139"/>
      <c r="BK24" s="139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11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12">G28+0.11</f>
        <v>0.55000000000000004</v>
      </c>
      <c r="I28" s="25">
        <v>0.06</v>
      </c>
      <c r="J28">
        <f t="shared" ref="J28:K30" si="13">F28</f>
        <v>0.22000000000000003</v>
      </c>
      <c r="K28">
        <f t="shared" si="13"/>
        <v>0.44</v>
      </c>
      <c r="L28" s="26">
        <f t="shared" ref="L28" si="14">K28+0.08</f>
        <v>0.52</v>
      </c>
    </row>
    <row r="29" spans="1:74" x14ac:dyDescent="0.25">
      <c r="A29" s="41" t="s">
        <v>43</v>
      </c>
      <c r="B29" s="2">
        <v>0.66</v>
      </c>
      <c r="C29" s="15">
        <f t="shared" si="11"/>
        <v>0.66</v>
      </c>
      <c r="D29" s="16" t="s">
        <v>43</v>
      </c>
      <c r="E29" s="23">
        <f t="shared" ref="E29" si="15">F29-0.11</f>
        <v>0.44000000000000006</v>
      </c>
      <c r="F29" s="44">
        <f>C29-0.11</f>
        <v>0.55000000000000004</v>
      </c>
      <c r="G29">
        <f t="shared" ref="G29" si="16">C29+0.11</f>
        <v>0.77</v>
      </c>
      <c r="H29" s="24">
        <f>G29+0.12</f>
        <v>0.89</v>
      </c>
      <c r="I29" s="25">
        <f t="shared" ref="I29" si="17">J29-0.08</f>
        <v>0.47000000000000003</v>
      </c>
      <c r="J29">
        <f t="shared" si="13"/>
        <v>0.55000000000000004</v>
      </c>
      <c r="K29">
        <f t="shared" si="13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11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3"/>
        <v>1</v>
      </c>
      <c r="K30" s="29">
        <f t="shared" si="13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8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9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20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8"/>
        <v>5</v>
      </c>
      <c r="I35" s="25">
        <f t="shared" ref="I35:I37" si="21">J35-1</f>
        <v>1.5</v>
      </c>
      <c r="J35">
        <f t="shared" ref="J35:K37" si="22">F35</f>
        <v>2.5</v>
      </c>
      <c r="K35">
        <f t="shared" si="22"/>
        <v>3.5</v>
      </c>
      <c r="L35" s="26">
        <f t="shared" si="19"/>
        <v>4.5</v>
      </c>
    </row>
    <row r="36" spans="1:12" x14ac:dyDescent="0.25">
      <c r="A36" s="41" t="s">
        <v>43</v>
      </c>
      <c r="B36" s="2">
        <v>5.5</v>
      </c>
      <c r="C36" s="15">
        <f t="shared" si="20"/>
        <v>5.5</v>
      </c>
      <c r="D36" s="16" t="s">
        <v>43</v>
      </c>
      <c r="E36" s="23">
        <f t="shared" ref="E36:E37" si="23">F36-1.5</f>
        <v>3.5</v>
      </c>
      <c r="F36" s="44">
        <f>C36-0.5</f>
        <v>5</v>
      </c>
      <c r="G36">
        <f>C36+0.5</f>
        <v>6</v>
      </c>
      <c r="H36" s="24">
        <f t="shared" si="18"/>
        <v>7.5</v>
      </c>
      <c r="I36" s="25">
        <f t="shared" si="21"/>
        <v>4</v>
      </c>
      <c r="J36">
        <f t="shared" si="22"/>
        <v>5</v>
      </c>
      <c r="K36">
        <f t="shared" si="22"/>
        <v>6</v>
      </c>
      <c r="L36" s="26">
        <f t="shared" si="19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20"/>
        <v>8</v>
      </c>
      <c r="D37" s="16" t="s">
        <v>42</v>
      </c>
      <c r="E37" s="27">
        <f t="shared" si="23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21"/>
        <v>6.5</v>
      </c>
      <c r="J37" s="29">
        <f t="shared" si="22"/>
        <v>7.5</v>
      </c>
      <c r="K37" s="29">
        <f t="shared" si="22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286</v>
      </c>
      <c r="B40" s="46" t="s">
        <v>37</v>
      </c>
      <c r="C40" s="48" t="s">
        <v>46</v>
      </c>
      <c r="D40" s="49" t="s">
        <v>108</v>
      </c>
      <c r="E40" s="458" t="s">
        <v>54</v>
      </c>
      <c r="F40" s="459"/>
      <c r="G40" s="459"/>
      <c r="H40" s="459"/>
      <c r="I40" s="459"/>
      <c r="J40" s="459"/>
      <c r="K40" s="459"/>
      <c r="L40" s="460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6" t="s">
        <v>61</v>
      </c>
      <c r="E46" s="458" t="s">
        <v>62</v>
      </c>
      <c r="F46" s="459"/>
      <c r="G46" s="459"/>
      <c r="H46" s="459"/>
      <c r="I46" s="459"/>
      <c r="J46" s="459"/>
      <c r="K46" s="459"/>
      <c r="L46" s="460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4">
        <f>F27*F$41</f>
        <v>0</v>
      </c>
      <c r="G47" s="234">
        <f>G27*G$41</f>
        <v>0</v>
      </c>
      <c r="H47" s="140">
        <f>G27*H$41+G$41*H27-G27*G$41</f>
        <v>1.87</v>
      </c>
      <c r="I47" s="110">
        <f>I27*J$41+I$41*J27-J27*J$41</f>
        <v>0</v>
      </c>
      <c r="J47" s="234">
        <f>J27*J$41</f>
        <v>0</v>
      </c>
      <c r="K47" s="234">
        <f>K27*K$41</f>
        <v>0</v>
      </c>
      <c r="L47" s="140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4">F28*F$41</f>
        <v>1.6500000000000001</v>
      </c>
      <c r="G48" s="97">
        <f t="shared" si="24"/>
        <v>3.74</v>
      </c>
      <c r="H48" s="142">
        <f t="shared" ref="H48:H50" si="25">G28*H$41+G$41*H28-G28*G$41</f>
        <v>4.6750000000000007</v>
      </c>
      <c r="I48" s="111">
        <f t="shared" ref="I48:I50" si="26">I28*J$41+I$41*J28-J28*J$41</f>
        <v>0.22999999999999998</v>
      </c>
      <c r="J48" s="97">
        <f t="shared" ref="J48:K50" si="27">J28*J$41</f>
        <v>1.6500000000000001</v>
      </c>
      <c r="K48" s="97">
        <f t="shared" si="27"/>
        <v>3.74</v>
      </c>
      <c r="L48" s="142">
        <f t="shared" ref="L48:L50" si="28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9">E29*F$41+E$41*F29-F29*F$41</f>
        <v>2.4750000000000005</v>
      </c>
      <c r="F49" s="97">
        <f t="shared" si="24"/>
        <v>4.125</v>
      </c>
      <c r="G49" s="97">
        <f t="shared" si="24"/>
        <v>6.5449999999999999</v>
      </c>
      <c r="H49" s="142">
        <f t="shared" si="25"/>
        <v>7.5649999999999995</v>
      </c>
      <c r="I49" s="111">
        <f t="shared" si="26"/>
        <v>2.9750000000000005</v>
      </c>
      <c r="J49" s="97">
        <f t="shared" si="27"/>
        <v>4.125</v>
      </c>
      <c r="K49" s="97">
        <f t="shared" si="27"/>
        <v>6.5449999999999999</v>
      </c>
      <c r="L49" s="142">
        <f t="shared" si="28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9"/>
        <v>4.2750000000000004</v>
      </c>
      <c r="F50" s="188">
        <f t="shared" si="24"/>
        <v>7.5</v>
      </c>
      <c r="G50" s="188">
        <f t="shared" si="24"/>
        <v>8.5</v>
      </c>
      <c r="H50" s="113">
        <f t="shared" si="25"/>
        <v>8.5</v>
      </c>
      <c r="I50" s="112">
        <f t="shared" si="26"/>
        <v>5</v>
      </c>
      <c r="J50" s="188">
        <f t="shared" si="27"/>
        <v>7.5</v>
      </c>
      <c r="K50" s="188">
        <f t="shared" si="27"/>
        <v>8.5</v>
      </c>
      <c r="L50" s="113">
        <f t="shared" si="28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4">
        <f>F27*F$42</f>
        <v>0</v>
      </c>
      <c r="G51" s="234">
        <f>G27*G$42</f>
        <v>0</v>
      </c>
      <c r="H51" s="140">
        <f>G27*H$42+G$42*H27-G27*G$42</f>
        <v>1.87</v>
      </c>
      <c r="I51" s="110">
        <f>I27*J$42+I$42*J27-J27*J$42</f>
        <v>0</v>
      </c>
      <c r="J51" s="234">
        <f>J27*J$42</f>
        <v>0</v>
      </c>
      <c r="K51" s="234">
        <f>K27*K$42</f>
        <v>0</v>
      </c>
      <c r="L51" s="140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30">F28*F$42</f>
        <v>1.6500000000000001</v>
      </c>
      <c r="G52" s="97">
        <f t="shared" si="30"/>
        <v>3.74</v>
      </c>
      <c r="H52" s="142">
        <f t="shared" ref="H52:H54" si="31">G28*H$42+G$42*H28-G28*G$42</f>
        <v>4.6750000000000007</v>
      </c>
      <c r="I52" s="111">
        <f t="shared" ref="I52:I54" si="32">I28*J$42+I$42*J28-J28*J$42</f>
        <v>0.22999999999999998</v>
      </c>
      <c r="J52" s="97">
        <f t="shared" ref="J52:K54" si="33">J28*J$42</f>
        <v>1.6500000000000001</v>
      </c>
      <c r="K52" s="97">
        <f t="shared" si="33"/>
        <v>3.74</v>
      </c>
      <c r="L52" s="142">
        <f t="shared" ref="L52:L54" si="34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5">E29*F$42+E$42*F29-F29*F$42</f>
        <v>2.4750000000000005</v>
      </c>
      <c r="F53" s="97">
        <f t="shared" si="30"/>
        <v>4.125</v>
      </c>
      <c r="G53" s="97">
        <f t="shared" si="30"/>
        <v>6.5449999999999999</v>
      </c>
      <c r="H53" s="142">
        <f t="shared" si="31"/>
        <v>7.5649999999999995</v>
      </c>
      <c r="I53" s="111">
        <f t="shared" si="32"/>
        <v>2.9750000000000005</v>
      </c>
      <c r="J53" s="97">
        <f t="shared" si="33"/>
        <v>4.125</v>
      </c>
      <c r="K53" s="97">
        <f t="shared" si="33"/>
        <v>6.5449999999999999</v>
      </c>
      <c r="L53" s="142">
        <f t="shared" si="34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5"/>
        <v>4.2750000000000004</v>
      </c>
      <c r="F54" s="188">
        <f t="shared" si="30"/>
        <v>7.5</v>
      </c>
      <c r="G54" s="188">
        <f t="shared" si="30"/>
        <v>8.5</v>
      </c>
      <c r="H54" s="113">
        <f t="shared" si="31"/>
        <v>8.5</v>
      </c>
      <c r="I54" s="112">
        <f t="shared" si="32"/>
        <v>5</v>
      </c>
      <c r="J54" s="188">
        <f t="shared" si="33"/>
        <v>7.5</v>
      </c>
      <c r="K54" s="188">
        <f t="shared" si="33"/>
        <v>8.5</v>
      </c>
      <c r="L54" s="113">
        <f t="shared" si="34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2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2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6">F28*F$43</f>
        <v>1.6500000000000001</v>
      </c>
      <c r="G56" s="97">
        <f t="shared" si="36"/>
        <v>3.74</v>
      </c>
      <c r="H56" s="142">
        <f t="shared" ref="H56:H58" si="37">G28*H$43+G$43*H28-G28*G$43</f>
        <v>4.6750000000000007</v>
      </c>
      <c r="I56" s="111">
        <f t="shared" ref="I56:I58" si="38">I28*J$43+I$43*J28-J28*J$43</f>
        <v>0.22999999999999998</v>
      </c>
      <c r="J56" s="97">
        <f t="shared" ref="J56:K58" si="39">J28*J$43</f>
        <v>1.6500000000000001</v>
      </c>
      <c r="K56" s="97">
        <f t="shared" si="39"/>
        <v>3.74</v>
      </c>
      <c r="L56" s="142">
        <f t="shared" ref="L56:L58" si="40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41">E29*F$43+E$43*F29-F29*F$43</f>
        <v>2.4750000000000005</v>
      </c>
      <c r="F57" s="97">
        <f t="shared" si="36"/>
        <v>4.125</v>
      </c>
      <c r="G57" s="97">
        <f t="shared" si="36"/>
        <v>6.5449999999999999</v>
      </c>
      <c r="H57" s="142">
        <f t="shared" si="37"/>
        <v>7.5649999999999995</v>
      </c>
      <c r="I57" s="111">
        <f t="shared" si="38"/>
        <v>2.9750000000000005</v>
      </c>
      <c r="J57" s="97">
        <f t="shared" si="39"/>
        <v>4.125</v>
      </c>
      <c r="K57" s="97">
        <f t="shared" si="39"/>
        <v>6.5449999999999999</v>
      </c>
      <c r="L57" s="142">
        <f t="shared" si="40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41"/>
        <v>4.2750000000000004</v>
      </c>
      <c r="F58" s="188">
        <f t="shared" si="36"/>
        <v>7.5</v>
      </c>
      <c r="G58" s="188">
        <f t="shared" si="36"/>
        <v>8.5</v>
      </c>
      <c r="H58" s="113">
        <f t="shared" si="37"/>
        <v>8.5</v>
      </c>
      <c r="I58" s="112">
        <f t="shared" si="38"/>
        <v>5</v>
      </c>
      <c r="J58" s="188">
        <f t="shared" si="39"/>
        <v>7.5</v>
      </c>
      <c r="K58" s="188">
        <f t="shared" si="39"/>
        <v>8.5</v>
      </c>
      <c r="L58" s="113">
        <f t="shared" si="40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64" t="s">
        <v>25</v>
      </c>
      <c r="B64" s="455" t="s">
        <v>284</v>
      </c>
      <c r="C64" s="444" t="s">
        <v>26</v>
      </c>
      <c r="D64" s="464" t="s">
        <v>55</v>
      </c>
      <c r="E64" s="455"/>
      <c r="F64" s="444"/>
      <c r="G64" s="454" t="s">
        <v>56</v>
      </c>
      <c r="H64" s="455"/>
      <c r="I64" s="455"/>
      <c r="J64" s="444" t="s">
        <v>81</v>
      </c>
      <c r="K64" s="435" t="s">
        <v>78</v>
      </c>
      <c r="L64" s="436"/>
      <c r="M64" s="436"/>
      <c r="N64" s="436"/>
      <c r="O64" s="436"/>
      <c r="P64" s="436"/>
      <c r="Q64" s="436"/>
      <c r="R64" s="437"/>
      <c r="S64" s="435" t="s">
        <v>76</v>
      </c>
      <c r="T64" s="436"/>
      <c r="U64" s="436"/>
      <c r="V64" s="436"/>
      <c r="W64" s="436"/>
      <c r="X64" s="436"/>
      <c r="Y64" s="436"/>
      <c r="Z64" s="437"/>
      <c r="AA64" s="435" t="s">
        <v>77</v>
      </c>
      <c r="AB64" s="436"/>
      <c r="AC64" s="436"/>
      <c r="AD64" s="436"/>
      <c r="AE64" s="436"/>
      <c r="AF64" s="436"/>
      <c r="AG64" s="436"/>
      <c r="AH64" s="437"/>
      <c r="AI64" s="435" t="s">
        <v>75</v>
      </c>
      <c r="AJ64" s="436"/>
      <c r="AK64" s="436"/>
      <c r="AL64" s="436"/>
      <c r="AM64" s="436"/>
      <c r="AN64" s="436"/>
      <c r="AO64" s="436"/>
      <c r="AP64" s="437"/>
      <c r="AQ64" s="435" t="s">
        <v>82</v>
      </c>
      <c r="AR64" s="436"/>
      <c r="AS64" s="436"/>
      <c r="AT64" s="436"/>
      <c r="AU64" s="436"/>
      <c r="AV64" s="436"/>
      <c r="AW64" s="436"/>
      <c r="AX64" s="437"/>
      <c r="AY64" s="435" t="s">
        <v>83</v>
      </c>
      <c r="AZ64" s="436"/>
      <c r="BA64" s="436"/>
      <c r="BB64" s="436"/>
      <c r="BC64" s="436"/>
      <c r="BD64" s="436"/>
      <c r="BE64" s="436"/>
      <c r="BF64" s="437"/>
      <c r="BG64" s="438" t="s">
        <v>119</v>
      </c>
      <c r="BH64" s="439"/>
      <c r="BI64" s="439"/>
      <c r="BJ64" s="439"/>
      <c r="BK64" s="439"/>
      <c r="BL64" s="439"/>
      <c r="BM64" s="439"/>
      <c r="BN64" s="440"/>
      <c r="BO64" s="427" t="s">
        <v>264</v>
      </c>
      <c r="BP64" s="428"/>
      <c r="BQ64" s="428"/>
      <c r="BR64" s="429"/>
      <c r="BS64" s="433" t="s">
        <v>79</v>
      </c>
      <c r="BT64" s="434"/>
      <c r="BU64" s="425" t="s">
        <v>80</v>
      </c>
      <c r="BV64" s="425" t="s">
        <v>265</v>
      </c>
    </row>
    <row r="65" spans="1:74" s="33" customFormat="1" ht="23.25" customHeight="1" thickBot="1" x14ac:dyDescent="0.3">
      <c r="A65" s="465"/>
      <c r="B65" s="466"/>
      <c r="C65" s="445"/>
      <c r="D65" s="240" t="s">
        <v>48</v>
      </c>
      <c r="E65" s="218" t="s">
        <v>49</v>
      </c>
      <c r="F65" s="241" t="s">
        <v>50</v>
      </c>
      <c r="G65" s="257" t="s">
        <v>48</v>
      </c>
      <c r="H65" s="218" t="s">
        <v>49</v>
      </c>
      <c r="I65" s="218" t="s">
        <v>50</v>
      </c>
      <c r="J65" s="445"/>
      <c r="K65" s="446" t="s">
        <v>3</v>
      </c>
      <c r="L65" s="447"/>
      <c r="M65" s="447"/>
      <c r="N65" s="448"/>
      <c r="O65" s="446" t="s">
        <v>4</v>
      </c>
      <c r="P65" s="447"/>
      <c r="Q65" s="447"/>
      <c r="R65" s="448"/>
      <c r="S65" s="446" t="s">
        <v>3</v>
      </c>
      <c r="T65" s="447"/>
      <c r="U65" s="447"/>
      <c r="V65" s="448"/>
      <c r="W65" s="446" t="s">
        <v>4</v>
      </c>
      <c r="X65" s="447"/>
      <c r="Y65" s="447"/>
      <c r="Z65" s="448"/>
      <c r="AA65" s="446" t="s">
        <v>3</v>
      </c>
      <c r="AB65" s="447"/>
      <c r="AC65" s="447"/>
      <c r="AD65" s="448"/>
      <c r="AE65" s="446" t="s">
        <v>4</v>
      </c>
      <c r="AF65" s="447"/>
      <c r="AG65" s="447"/>
      <c r="AH65" s="448"/>
      <c r="AI65" s="435" t="s">
        <v>3</v>
      </c>
      <c r="AJ65" s="436"/>
      <c r="AK65" s="436"/>
      <c r="AL65" s="437"/>
      <c r="AM65" s="435" t="s">
        <v>4</v>
      </c>
      <c r="AN65" s="436"/>
      <c r="AO65" s="436"/>
      <c r="AP65" s="437"/>
      <c r="AQ65" s="435" t="s">
        <v>3</v>
      </c>
      <c r="AR65" s="436"/>
      <c r="AS65" s="436"/>
      <c r="AT65" s="437"/>
      <c r="AU65" s="435" t="s">
        <v>4</v>
      </c>
      <c r="AV65" s="436"/>
      <c r="AW65" s="436"/>
      <c r="AX65" s="437"/>
      <c r="AY65" s="435" t="s">
        <v>3</v>
      </c>
      <c r="AZ65" s="436"/>
      <c r="BA65" s="436"/>
      <c r="BB65" s="437"/>
      <c r="BC65" s="435" t="s">
        <v>4</v>
      </c>
      <c r="BD65" s="436"/>
      <c r="BE65" s="436"/>
      <c r="BF65" s="437"/>
      <c r="BG65" s="435" t="s">
        <v>3</v>
      </c>
      <c r="BH65" s="436"/>
      <c r="BI65" s="436"/>
      <c r="BJ65" s="437"/>
      <c r="BK65" s="435" t="s">
        <v>4</v>
      </c>
      <c r="BL65" s="436"/>
      <c r="BM65" s="436"/>
      <c r="BN65" s="437"/>
      <c r="BO65" s="430"/>
      <c r="BP65" s="431"/>
      <c r="BQ65" s="431"/>
      <c r="BR65" s="432"/>
      <c r="BS65" s="430"/>
      <c r="BT65" s="432"/>
      <c r="BU65" s="426"/>
      <c r="BV65" s="426"/>
    </row>
    <row r="66" spans="1:74" ht="30" x14ac:dyDescent="0.25">
      <c r="A66" s="235" t="s">
        <v>0</v>
      </c>
      <c r="B66" s="236" t="s">
        <v>24</v>
      </c>
      <c r="C66" s="237" t="s">
        <v>12</v>
      </c>
      <c r="D66" s="238" t="s">
        <v>42</v>
      </c>
      <c r="E66" s="239" t="s">
        <v>42</v>
      </c>
      <c r="F66" s="269" t="s">
        <v>42</v>
      </c>
      <c r="G66" s="298">
        <f>IF(D66=$A$79,$B$79,(IF(D66=$A$80,$B$80,IF(D66=$A$81,$B$81,$B$82))))</f>
        <v>1</v>
      </c>
      <c r="H66" s="299">
        <f t="shared" ref="H66:I75" si="42">IF(E66=$A$79,$B$79,(IF(E66=$A$80,$B$80,IF(E66=$A$81,$B$81,$B$82))))</f>
        <v>1</v>
      </c>
      <c r="I66" s="299">
        <f t="shared" si="42"/>
        <v>1</v>
      </c>
      <c r="J66" s="145">
        <f>G66*$D$93+H66*$D$94+I66*$D$95</f>
        <v>21.5</v>
      </c>
      <c r="K66" s="110">
        <v>0.77</v>
      </c>
      <c r="L66" s="234">
        <v>1</v>
      </c>
      <c r="M66" s="234">
        <v>1</v>
      </c>
      <c r="N66" s="140">
        <v>1</v>
      </c>
      <c r="O66" s="234">
        <v>0.8</v>
      </c>
      <c r="P66" s="234">
        <v>1</v>
      </c>
      <c r="Q66" s="234">
        <v>1</v>
      </c>
      <c r="R66" s="234">
        <v>1</v>
      </c>
      <c r="S66" s="110">
        <v>0.77</v>
      </c>
      <c r="T66" s="234">
        <v>1</v>
      </c>
      <c r="U66" s="234">
        <v>1</v>
      </c>
      <c r="V66" s="140">
        <v>1</v>
      </c>
      <c r="W66" s="110">
        <v>0.8</v>
      </c>
      <c r="X66" s="234">
        <v>1</v>
      </c>
      <c r="Y66" s="234">
        <v>1</v>
      </c>
      <c r="Z66" s="140">
        <v>1</v>
      </c>
      <c r="AA66" s="110">
        <v>0.77</v>
      </c>
      <c r="AB66" s="234">
        <v>1</v>
      </c>
      <c r="AC66" s="234">
        <v>1</v>
      </c>
      <c r="AD66" s="140">
        <v>1</v>
      </c>
      <c r="AE66" s="110">
        <v>0.8</v>
      </c>
      <c r="AF66" s="234">
        <v>1</v>
      </c>
      <c r="AG66" s="234">
        <v>1</v>
      </c>
      <c r="AH66" s="234">
        <v>1</v>
      </c>
      <c r="AI66" s="110">
        <v>4.2750000000000004</v>
      </c>
      <c r="AJ66" s="234">
        <v>7.5</v>
      </c>
      <c r="AK66" s="234">
        <v>8.5</v>
      </c>
      <c r="AL66" s="234">
        <v>8.5</v>
      </c>
      <c r="AM66" s="110">
        <v>5</v>
      </c>
      <c r="AN66" s="234">
        <v>7.5</v>
      </c>
      <c r="AO66" s="234">
        <v>8.5</v>
      </c>
      <c r="AP66" s="234">
        <v>8.5</v>
      </c>
      <c r="AQ66" s="110">
        <v>2.3499999999999996</v>
      </c>
      <c r="AR66" s="234">
        <v>5</v>
      </c>
      <c r="AS66" s="234">
        <v>6</v>
      </c>
      <c r="AT66" s="234">
        <v>7.5</v>
      </c>
      <c r="AU66" s="110">
        <v>3</v>
      </c>
      <c r="AV66" s="234">
        <v>5</v>
      </c>
      <c r="AW66" s="234">
        <v>6</v>
      </c>
      <c r="AX66" s="140">
        <v>7</v>
      </c>
      <c r="AY66" s="110">
        <v>4.2750000000000004</v>
      </c>
      <c r="AZ66" s="234">
        <v>7.5</v>
      </c>
      <c r="BA66" s="234">
        <v>8.5</v>
      </c>
      <c r="BB66" s="234">
        <v>8.5</v>
      </c>
      <c r="BC66" s="110">
        <v>5</v>
      </c>
      <c r="BD66" s="234">
        <v>7.5</v>
      </c>
      <c r="BE66" s="234">
        <v>8.5</v>
      </c>
      <c r="BF66" s="234">
        <v>8.5</v>
      </c>
      <c r="BG66" s="110">
        <f>AI66+AQ66+AY66</f>
        <v>10.9</v>
      </c>
      <c r="BH66" s="234">
        <f t="shared" ref="BH66:BN75" si="43">AJ66+AR66+AZ66</f>
        <v>20</v>
      </c>
      <c r="BI66" s="234">
        <f t="shared" si="43"/>
        <v>23</v>
      </c>
      <c r="BJ66" s="234">
        <f t="shared" si="43"/>
        <v>24.5</v>
      </c>
      <c r="BK66" s="110">
        <f t="shared" si="43"/>
        <v>13</v>
      </c>
      <c r="BL66" s="234">
        <f t="shared" si="43"/>
        <v>20</v>
      </c>
      <c r="BM66" s="234">
        <f t="shared" si="43"/>
        <v>23</v>
      </c>
      <c r="BN66" s="234">
        <f t="shared" si="43"/>
        <v>24</v>
      </c>
      <c r="BO66" s="110">
        <f>(1-$BO$63)*BG66+$BO$63*BK66</f>
        <v>12.16</v>
      </c>
      <c r="BP66" s="234">
        <f t="shared" ref="BP66:BR66" si="44">(1-$BO$63)*BH66+$BO$63*BL66</f>
        <v>20</v>
      </c>
      <c r="BQ66" s="234">
        <f t="shared" si="44"/>
        <v>23</v>
      </c>
      <c r="BR66" s="234">
        <f t="shared" si="44"/>
        <v>24.2</v>
      </c>
      <c r="BS66" s="110">
        <f>$BS$63*BP66+(1-$BS$63)*BO66</f>
        <v>18.431999999999999</v>
      </c>
      <c r="BT66" s="140">
        <f>$BS$63*BQ66+(1-$BS$63)*BR66</f>
        <v>23.240000000000002</v>
      </c>
      <c r="BU66" s="140">
        <f>(BS66+BT66)/2</f>
        <v>20.835999999999999</v>
      </c>
      <c r="BV66" s="140">
        <f>BU66</f>
        <v>20.835999999999999</v>
      </c>
    </row>
    <row r="67" spans="1:74" x14ac:dyDescent="0.25">
      <c r="A67" s="226" t="s">
        <v>1</v>
      </c>
      <c r="B67" s="222" t="s">
        <v>13</v>
      </c>
      <c r="C67" s="227" t="s">
        <v>27</v>
      </c>
      <c r="D67" s="72" t="s">
        <v>45</v>
      </c>
      <c r="E67" s="73" t="s">
        <v>42</v>
      </c>
      <c r="F67" s="270" t="s">
        <v>42</v>
      </c>
      <c r="G67" s="300">
        <f t="shared" ref="G67:G75" si="45">IF(D67=$A$79,$B$79,(IF(D67=$A$80,$B$80,IF(D67=$A$81,$B$81,$B$82))))</f>
        <v>0</v>
      </c>
      <c r="H67" s="301">
        <f t="shared" si="42"/>
        <v>1</v>
      </c>
      <c r="I67" s="301">
        <f t="shared" si="42"/>
        <v>1</v>
      </c>
      <c r="J67" s="66">
        <f t="shared" ref="J67:J75" si="46">G67*$D$93+H67*$D$94+I67*$D$95</f>
        <v>13.5</v>
      </c>
      <c r="K67" s="111">
        <v>0</v>
      </c>
      <c r="L67" s="97">
        <v>0</v>
      </c>
      <c r="M67" s="97">
        <v>0</v>
      </c>
      <c r="N67" s="142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2">
        <v>1</v>
      </c>
      <c r="W67" s="111">
        <v>0.8</v>
      </c>
      <c r="X67" s="97">
        <v>1</v>
      </c>
      <c r="Y67" s="97">
        <v>1</v>
      </c>
      <c r="Z67" s="142">
        <v>1</v>
      </c>
      <c r="AA67" s="111">
        <v>0.77</v>
      </c>
      <c r="AB67" s="97">
        <v>1</v>
      </c>
      <c r="AC67" s="97">
        <v>1</v>
      </c>
      <c r="AD67" s="142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2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7">AI67+AQ67+AY67</f>
        <v>6.625</v>
      </c>
      <c r="BH67" s="97">
        <f t="shared" si="43"/>
        <v>12.5</v>
      </c>
      <c r="BI67" s="97">
        <f t="shared" si="43"/>
        <v>14.5</v>
      </c>
      <c r="BJ67" s="97">
        <f t="shared" si="43"/>
        <v>17.87</v>
      </c>
      <c r="BK67" s="111">
        <f t="shared" si="43"/>
        <v>8</v>
      </c>
      <c r="BL67" s="97">
        <f t="shared" si="43"/>
        <v>12.5</v>
      </c>
      <c r="BM67" s="97">
        <f t="shared" si="43"/>
        <v>14.5</v>
      </c>
      <c r="BN67" s="97">
        <f t="shared" si="43"/>
        <v>16.774999999999999</v>
      </c>
      <c r="BO67" s="111">
        <f t="shared" ref="BO67:BO75" si="48">(1-$BO$63)*BG67+$BO$63*BK67</f>
        <v>7.45</v>
      </c>
      <c r="BP67" s="97">
        <f t="shared" ref="BP67:BP75" si="49">(1-$BO$63)*BH67+$BO$63*BL67</f>
        <v>12.5</v>
      </c>
      <c r="BQ67" s="97">
        <f t="shared" ref="BQ67:BQ75" si="50">(1-$BO$63)*BI67+$BO$63*BM67</f>
        <v>14.5</v>
      </c>
      <c r="BR67" s="97">
        <f t="shared" ref="BR67:BR75" si="51">(1-$BO$63)*BJ67+$BO$63*BN67</f>
        <v>17.213000000000001</v>
      </c>
      <c r="BS67" s="111">
        <f t="shared" ref="BS67:BS75" si="52">$BS$63*BP67+(1-$BS$63)*BO67</f>
        <v>11.49</v>
      </c>
      <c r="BT67" s="142">
        <f t="shared" ref="BT67:BT75" si="53">$BS$63*BQ67+(1-$BS$63)*BR67</f>
        <v>15.0426</v>
      </c>
      <c r="BU67" s="142">
        <f t="shared" ref="BU67:BU75" si="54">(BS67+BT67)/2</f>
        <v>13.266300000000001</v>
      </c>
      <c r="BV67" s="142">
        <f>BU67</f>
        <v>13.266300000000001</v>
      </c>
    </row>
    <row r="68" spans="1:74" x14ac:dyDescent="0.25">
      <c r="A68" s="226" t="s">
        <v>2</v>
      </c>
      <c r="B68" s="222" t="s">
        <v>14</v>
      </c>
      <c r="C68" s="227" t="s">
        <v>28</v>
      </c>
      <c r="D68" s="72" t="s">
        <v>43</v>
      </c>
      <c r="E68" s="73" t="s">
        <v>44</v>
      </c>
      <c r="F68" s="270" t="s">
        <v>45</v>
      </c>
      <c r="G68" s="300">
        <f t="shared" si="45"/>
        <v>0.66</v>
      </c>
      <c r="H68" s="301">
        <f t="shared" si="42"/>
        <v>0.33</v>
      </c>
      <c r="I68" s="301">
        <f t="shared" si="42"/>
        <v>0</v>
      </c>
      <c r="J68" s="66">
        <f t="shared" si="46"/>
        <v>7.0950000000000006</v>
      </c>
      <c r="K68" s="111">
        <v>0.44000000000000006</v>
      </c>
      <c r="L68" s="97">
        <v>0.55000000000000004</v>
      </c>
      <c r="M68" s="97">
        <v>0.77</v>
      </c>
      <c r="N68" s="142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2">
        <v>0.55000000000000004</v>
      </c>
      <c r="W68" s="111">
        <v>0.06</v>
      </c>
      <c r="X68" s="97">
        <v>0.22000000000000003</v>
      </c>
      <c r="Y68" s="97">
        <v>0.44</v>
      </c>
      <c r="Z68" s="142">
        <v>0.52</v>
      </c>
      <c r="AA68" s="111">
        <v>0</v>
      </c>
      <c r="AB68" s="97">
        <v>0</v>
      </c>
      <c r="AC68" s="97">
        <v>0</v>
      </c>
      <c r="AD68" s="142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2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7"/>
        <v>2.4750000000000005</v>
      </c>
      <c r="BH68" s="97">
        <f t="shared" si="43"/>
        <v>5.2249999999999996</v>
      </c>
      <c r="BI68" s="97">
        <f t="shared" si="43"/>
        <v>9.1850000000000005</v>
      </c>
      <c r="BJ68" s="97">
        <f t="shared" si="43"/>
        <v>13.395</v>
      </c>
      <c r="BK68" s="111">
        <f t="shared" si="43"/>
        <v>3.0550000000000006</v>
      </c>
      <c r="BL68" s="97">
        <f t="shared" si="43"/>
        <v>5.2249999999999996</v>
      </c>
      <c r="BM68" s="97">
        <f t="shared" si="43"/>
        <v>9.1850000000000005</v>
      </c>
      <c r="BN68" s="97">
        <f t="shared" si="43"/>
        <v>12.145000000000001</v>
      </c>
      <c r="BO68" s="111">
        <f t="shared" si="48"/>
        <v>2.8230000000000004</v>
      </c>
      <c r="BP68" s="97">
        <f t="shared" si="49"/>
        <v>5.2249999999999996</v>
      </c>
      <c r="BQ68" s="97">
        <f t="shared" si="50"/>
        <v>9.1850000000000005</v>
      </c>
      <c r="BR68" s="97">
        <f t="shared" si="51"/>
        <v>12.645000000000001</v>
      </c>
      <c r="BS68" s="111">
        <f t="shared" si="52"/>
        <v>4.7446000000000002</v>
      </c>
      <c r="BT68" s="142">
        <f t="shared" si="53"/>
        <v>9.8770000000000007</v>
      </c>
      <c r="BU68" s="142">
        <f t="shared" si="54"/>
        <v>7.3108000000000004</v>
      </c>
      <c r="BV68" s="142">
        <f>BU68</f>
        <v>7.3108000000000004</v>
      </c>
    </row>
    <row r="69" spans="1:74" x14ac:dyDescent="0.25">
      <c r="A69" s="226" t="s">
        <v>5</v>
      </c>
      <c r="B69" s="222" t="s">
        <v>15</v>
      </c>
      <c r="C69" s="227" t="s">
        <v>16</v>
      </c>
      <c r="D69" s="72" t="s">
        <v>42</v>
      </c>
      <c r="E69" s="73" t="s">
        <v>42</v>
      </c>
      <c r="F69" s="270" t="s">
        <v>42</v>
      </c>
      <c r="G69" s="300">
        <f t="shared" si="45"/>
        <v>1</v>
      </c>
      <c r="H69" s="301">
        <f t="shared" si="42"/>
        <v>1</v>
      </c>
      <c r="I69" s="301">
        <f t="shared" si="42"/>
        <v>1</v>
      </c>
      <c r="J69" s="66">
        <f t="shared" si="46"/>
        <v>21.5</v>
      </c>
      <c r="K69" s="111">
        <v>0.77</v>
      </c>
      <c r="L69" s="97">
        <v>1</v>
      </c>
      <c r="M69" s="97">
        <v>1</v>
      </c>
      <c r="N69" s="142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2">
        <v>1</v>
      </c>
      <c r="W69" s="111">
        <v>0.8</v>
      </c>
      <c r="X69" s="97">
        <v>1</v>
      </c>
      <c r="Y69" s="97">
        <v>1</v>
      </c>
      <c r="Z69" s="142">
        <v>1</v>
      </c>
      <c r="AA69" s="111">
        <v>0.77</v>
      </c>
      <c r="AB69" s="97">
        <v>1</v>
      </c>
      <c r="AC69" s="97">
        <v>1</v>
      </c>
      <c r="AD69" s="142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2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7"/>
        <v>10.9</v>
      </c>
      <c r="BH69" s="97">
        <f t="shared" si="43"/>
        <v>20</v>
      </c>
      <c r="BI69" s="97">
        <f t="shared" si="43"/>
        <v>23</v>
      </c>
      <c r="BJ69" s="97">
        <f t="shared" si="43"/>
        <v>24.5</v>
      </c>
      <c r="BK69" s="111">
        <f t="shared" si="43"/>
        <v>13</v>
      </c>
      <c r="BL69" s="97">
        <f t="shared" si="43"/>
        <v>20</v>
      </c>
      <c r="BM69" s="97">
        <f t="shared" si="43"/>
        <v>23</v>
      </c>
      <c r="BN69" s="97">
        <f t="shared" si="43"/>
        <v>24</v>
      </c>
      <c r="BO69" s="111">
        <f t="shared" si="48"/>
        <v>12.16</v>
      </c>
      <c r="BP69" s="97">
        <f t="shared" si="49"/>
        <v>20</v>
      </c>
      <c r="BQ69" s="97">
        <f t="shared" si="50"/>
        <v>23</v>
      </c>
      <c r="BR69" s="97">
        <f t="shared" si="51"/>
        <v>24.2</v>
      </c>
      <c r="BS69" s="111">
        <f t="shared" si="52"/>
        <v>18.431999999999999</v>
      </c>
      <c r="BT69" s="142">
        <f t="shared" si="53"/>
        <v>23.240000000000002</v>
      </c>
      <c r="BU69" s="142">
        <f t="shared" si="54"/>
        <v>20.835999999999999</v>
      </c>
      <c r="BV69" s="142">
        <f>BU66</f>
        <v>20.835999999999999</v>
      </c>
    </row>
    <row r="70" spans="1:74" ht="30" x14ac:dyDescent="0.25">
      <c r="A70" s="226" t="s">
        <v>6</v>
      </c>
      <c r="B70" s="222" t="s">
        <v>17</v>
      </c>
      <c r="C70" s="227" t="s">
        <v>29</v>
      </c>
      <c r="D70" s="72" t="s">
        <v>43</v>
      </c>
      <c r="E70" s="73" t="s">
        <v>43</v>
      </c>
      <c r="F70" s="270" t="s">
        <v>43</v>
      </c>
      <c r="G70" s="300">
        <f t="shared" si="45"/>
        <v>0.66</v>
      </c>
      <c r="H70" s="301">
        <f t="shared" si="42"/>
        <v>0.66</v>
      </c>
      <c r="I70" s="301">
        <f t="shared" si="42"/>
        <v>0.66</v>
      </c>
      <c r="J70" s="66">
        <f t="shared" si="46"/>
        <v>14.190000000000001</v>
      </c>
      <c r="K70" s="111">
        <v>0.44000000000000006</v>
      </c>
      <c r="L70" s="97">
        <v>0.55000000000000004</v>
      </c>
      <c r="M70" s="97">
        <v>0.77</v>
      </c>
      <c r="N70" s="142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0.44000000000000006</v>
      </c>
      <c r="AB70" s="97">
        <v>0.55000000000000004</v>
      </c>
      <c r="AC70" s="97">
        <v>0.77</v>
      </c>
      <c r="AD70" s="142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7"/>
        <v>6.3250000000000011</v>
      </c>
      <c r="BH70" s="97">
        <f t="shared" si="43"/>
        <v>11</v>
      </c>
      <c r="BI70" s="97">
        <f t="shared" si="43"/>
        <v>17.71</v>
      </c>
      <c r="BJ70" s="97">
        <f t="shared" si="43"/>
        <v>21.625</v>
      </c>
      <c r="BK70" s="111">
        <f t="shared" si="43"/>
        <v>7.7500000000000018</v>
      </c>
      <c r="BL70" s="97">
        <f t="shared" si="43"/>
        <v>11</v>
      </c>
      <c r="BM70" s="97">
        <f t="shared" si="43"/>
        <v>17.71</v>
      </c>
      <c r="BN70" s="97">
        <f t="shared" si="43"/>
        <v>20.550000000000004</v>
      </c>
      <c r="BO70" s="111">
        <f t="shared" si="48"/>
        <v>7.1800000000000015</v>
      </c>
      <c r="BP70" s="97">
        <f t="shared" si="49"/>
        <v>11</v>
      </c>
      <c r="BQ70" s="97">
        <f t="shared" si="50"/>
        <v>17.71</v>
      </c>
      <c r="BR70" s="97">
        <f t="shared" si="51"/>
        <v>20.980000000000004</v>
      </c>
      <c r="BS70" s="111">
        <f t="shared" si="52"/>
        <v>10.236000000000001</v>
      </c>
      <c r="BT70" s="142">
        <f t="shared" si="53"/>
        <v>18.364000000000001</v>
      </c>
      <c r="BU70" s="142">
        <f t="shared" si="54"/>
        <v>14.3</v>
      </c>
      <c r="BV70" s="142">
        <f>BU70</f>
        <v>14.3</v>
      </c>
    </row>
    <row r="71" spans="1:74" x14ac:dyDescent="0.25">
      <c r="A71" s="226" t="s">
        <v>7</v>
      </c>
      <c r="B71" s="222" t="s">
        <v>18</v>
      </c>
      <c r="C71" s="227" t="s">
        <v>30</v>
      </c>
      <c r="D71" s="72" t="s">
        <v>44</v>
      </c>
      <c r="E71" s="73" t="s">
        <v>43</v>
      </c>
      <c r="F71" s="270" t="s">
        <v>44</v>
      </c>
      <c r="G71" s="300">
        <f t="shared" si="45"/>
        <v>0.33</v>
      </c>
      <c r="H71" s="301">
        <f t="shared" si="42"/>
        <v>0.66</v>
      </c>
      <c r="I71" s="301">
        <f t="shared" si="42"/>
        <v>0.33</v>
      </c>
      <c r="J71" s="66">
        <f t="shared" si="46"/>
        <v>8.91</v>
      </c>
      <c r="K71" s="111">
        <v>0</v>
      </c>
      <c r="L71" s="97">
        <v>0.22000000000000003</v>
      </c>
      <c r="M71" s="97">
        <v>0.44</v>
      </c>
      <c r="N71" s="142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2">
        <v>0.89</v>
      </c>
      <c r="W71" s="111">
        <v>0.47000000000000003</v>
      </c>
      <c r="X71" s="97">
        <v>0.55000000000000004</v>
      </c>
      <c r="Y71" s="97">
        <v>0.77</v>
      </c>
      <c r="Z71" s="142">
        <v>0.86</v>
      </c>
      <c r="AA71" s="111">
        <v>0</v>
      </c>
      <c r="AB71" s="97">
        <v>0.22000000000000003</v>
      </c>
      <c r="AC71" s="97">
        <v>0.44</v>
      </c>
      <c r="AD71" s="142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2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7"/>
        <v>1.375</v>
      </c>
      <c r="BH71" s="97">
        <f t="shared" si="43"/>
        <v>6.0500000000000007</v>
      </c>
      <c r="BI71" s="97">
        <f t="shared" si="43"/>
        <v>12.1</v>
      </c>
      <c r="BJ71" s="97">
        <f t="shared" si="43"/>
        <v>15.845000000000002</v>
      </c>
      <c r="BK71" s="111">
        <f t="shared" si="43"/>
        <v>2.2600000000000007</v>
      </c>
      <c r="BL71" s="97">
        <f t="shared" si="43"/>
        <v>6.0500000000000007</v>
      </c>
      <c r="BM71" s="97">
        <f t="shared" si="43"/>
        <v>12.1</v>
      </c>
      <c r="BN71" s="97">
        <f t="shared" si="43"/>
        <v>14.770000000000001</v>
      </c>
      <c r="BO71" s="111">
        <f t="shared" si="48"/>
        <v>1.9060000000000004</v>
      </c>
      <c r="BP71" s="97">
        <f t="shared" si="49"/>
        <v>6.0500000000000007</v>
      </c>
      <c r="BQ71" s="97">
        <f t="shared" si="50"/>
        <v>12.1</v>
      </c>
      <c r="BR71" s="97">
        <f t="shared" si="51"/>
        <v>15.200000000000001</v>
      </c>
      <c r="BS71" s="111">
        <f t="shared" si="52"/>
        <v>5.2212000000000005</v>
      </c>
      <c r="BT71" s="142">
        <f t="shared" si="53"/>
        <v>12.719999999999999</v>
      </c>
      <c r="BU71" s="142">
        <f t="shared" si="54"/>
        <v>8.9705999999999992</v>
      </c>
      <c r="BV71" s="142">
        <f>BU72</f>
        <v>10.832000000000001</v>
      </c>
    </row>
    <row r="72" spans="1:74" ht="30" x14ac:dyDescent="0.25">
      <c r="A72" s="226" t="s">
        <v>8</v>
      </c>
      <c r="B72" s="222" t="s">
        <v>19</v>
      </c>
      <c r="C72" s="227" t="s">
        <v>31</v>
      </c>
      <c r="D72" s="72" t="s">
        <v>43</v>
      </c>
      <c r="E72" s="73" t="s">
        <v>42</v>
      </c>
      <c r="F72" s="270" t="s">
        <v>45</v>
      </c>
      <c r="G72" s="300">
        <f t="shared" si="45"/>
        <v>0.66</v>
      </c>
      <c r="H72" s="301">
        <f t="shared" si="42"/>
        <v>1</v>
      </c>
      <c r="I72" s="301">
        <f t="shared" si="42"/>
        <v>0</v>
      </c>
      <c r="J72" s="66">
        <f t="shared" si="46"/>
        <v>10.780000000000001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</v>
      </c>
      <c r="AB72" s="97">
        <v>0</v>
      </c>
      <c r="AC72" s="97">
        <v>0</v>
      </c>
      <c r="AD72" s="142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7"/>
        <v>4.8250000000000002</v>
      </c>
      <c r="BH72" s="97">
        <f t="shared" si="43"/>
        <v>9.125</v>
      </c>
      <c r="BI72" s="97">
        <f t="shared" si="43"/>
        <v>12.545</v>
      </c>
      <c r="BJ72" s="97">
        <f t="shared" si="43"/>
        <v>16.934999999999999</v>
      </c>
      <c r="BK72" s="111">
        <f t="shared" si="43"/>
        <v>5.9750000000000005</v>
      </c>
      <c r="BL72" s="97">
        <f t="shared" si="43"/>
        <v>9.125</v>
      </c>
      <c r="BM72" s="97">
        <f t="shared" si="43"/>
        <v>12.545</v>
      </c>
      <c r="BN72" s="97">
        <f t="shared" si="43"/>
        <v>15.585000000000001</v>
      </c>
      <c r="BO72" s="111">
        <f t="shared" si="48"/>
        <v>5.5150000000000006</v>
      </c>
      <c r="BP72" s="97">
        <f t="shared" si="49"/>
        <v>9.125</v>
      </c>
      <c r="BQ72" s="97">
        <f t="shared" si="50"/>
        <v>12.545</v>
      </c>
      <c r="BR72" s="97">
        <f t="shared" si="51"/>
        <v>16.125</v>
      </c>
      <c r="BS72" s="111">
        <f t="shared" si="52"/>
        <v>8.4030000000000005</v>
      </c>
      <c r="BT72" s="142">
        <f t="shared" si="53"/>
        <v>13.261000000000001</v>
      </c>
      <c r="BU72" s="142">
        <f t="shared" si="54"/>
        <v>10.832000000000001</v>
      </c>
      <c r="BV72" s="142">
        <f>BU72</f>
        <v>10.832000000000001</v>
      </c>
    </row>
    <row r="73" spans="1:74" ht="30" x14ac:dyDescent="0.25">
      <c r="A73" s="226" t="s">
        <v>9</v>
      </c>
      <c r="B73" s="222" t="s">
        <v>20</v>
      </c>
      <c r="C73" s="227" t="s">
        <v>21</v>
      </c>
      <c r="D73" s="72" t="s">
        <v>43</v>
      </c>
      <c r="E73" s="73" t="s">
        <v>42</v>
      </c>
      <c r="F73" s="270" t="s">
        <v>43</v>
      </c>
      <c r="G73" s="300">
        <f t="shared" si="45"/>
        <v>0.66</v>
      </c>
      <c r="H73" s="301">
        <f t="shared" si="42"/>
        <v>1</v>
      </c>
      <c r="I73" s="301">
        <f t="shared" si="42"/>
        <v>0.66</v>
      </c>
      <c r="J73" s="66">
        <f t="shared" si="46"/>
        <v>16.060000000000002</v>
      </c>
      <c r="K73" s="111">
        <v>0.44000000000000006</v>
      </c>
      <c r="L73" s="97">
        <v>0.55000000000000004</v>
      </c>
      <c r="M73" s="97">
        <v>0.77</v>
      </c>
      <c r="N73" s="142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2">
        <v>1</v>
      </c>
      <c r="W73" s="111">
        <v>0.8</v>
      </c>
      <c r="X73" s="97">
        <v>1</v>
      </c>
      <c r="Y73" s="97">
        <v>1</v>
      </c>
      <c r="Z73" s="142">
        <v>1</v>
      </c>
      <c r="AA73" s="111">
        <v>0.44000000000000006</v>
      </c>
      <c r="AB73" s="97">
        <v>0.55000000000000004</v>
      </c>
      <c r="AC73" s="97">
        <v>0.77</v>
      </c>
      <c r="AD73" s="142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2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7"/>
        <v>7.3000000000000007</v>
      </c>
      <c r="BH73" s="97">
        <f t="shared" si="43"/>
        <v>13.25</v>
      </c>
      <c r="BI73" s="97">
        <f t="shared" si="43"/>
        <v>19.09</v>
      </c>
      <c r="BJ73" s="97">
        <f t="shared" si="43"/>
        <v>22.63</v>
      </c>
      <c r="BK73" s="111">
        <f t="shared" si="43"/>
        <v>8.9500000000000011</v>
      </c>
      <c r="BL73" s="97">
        <f t="shared" si="43"/>
        <v>13.25</v>
      </c>
      <c r="BM73" s="97">
        <f t="shared" si="43"/>
        <v>19.09</v>
      </c>
      <c r="BN73" s="97">
        <f t="shared" si="43"/>
        <v>21.62</v>
      </c>
      <c r="BO73" s="111">
        <f t="shared" si="48"/>
        <v>8.2900000000000009</v>
      </c>
      <c r="BP73" s="97">
        <f t="shared" si="49"/>
        <v>13.25</v>
      </c>
      <c r="BQ73" s="97">
        <f t="shared" si="50"/>
        <v>19.09</v>
      </c>
      <c r="BR73" s="97">
        <f t="shared" si="51"/>
        <v>22.024000000000001</v>
      </c>
      <c r="BS73" s="111">
        <f t="shared" si="52"/>
        <v>12.258000000000001</v>
      </c>
      <c r="BT73" s="142">
        <f t="shared" si="53"/>
        <v>19.6768</v>
      </c>
      <c r="BU73" s="142">
        <f t="shared" si="54"/>
        <v>15.967400000000001</v>
      </c>
      <c r="BV73" s="142">
        <f>BU73</f>
        <v>15.967400000000001</v>
      </c>
    </row>
    <row r="74" spans="1:74" ht="36.75" customHeight="1" x14ac:dyDescent="0.25">
      <c r="A74" s="226" t="s">
        <v>10</v>
      </c>
      <c r="B74" s="222" t="s">
        <v>22</v>
      </c>
      <c r="C74" s="227" t="s">
        <v>32</v>
      </c>
      <c r="D74" s="72" t="s">
        <v>45</v>
      </c>
      <c r="E74" s="73" t="s">
        <v>44</v>
      </c>
      <c r="F74" s="270" t="s">
        <v>45</v>
      </c>
      <c r="G74" s="300">
        <f t="shared" si="45"/>
        <v>0</v>
      </c>
      <c r="H74" s="301">
        <f t="shared" si="42"/>
        <v>0.33</v>
      </c>
      <c r="I74" s="301">
        <f t="shared" si="42"/>
        <v>0</v>
      </c>
      <c r="J74" s="66">
        <f t="shared" si="46"/>
        <v>1.8150000000000002</v>
      </c>
      <c r="K74" s="111">
        <v>0</v>
      </c>
      <c r="L74" s="97">
        <v>0</v>
      </c>
      <c r="M74" s="97">
        <v>0</v>
      </c>
      <c r="N74" s="142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2">
        <v>0.55000000000000004</v>
      </c>
      <c r="W74" s="111">
        <v>0.06</v>
      </c>
      <c r="X74" s="97">
        <v>0.22000000000000003</v>
      </c>
      <c r="Y74" s="97">
        <v>0.44</v>
      </c>
      <c r="Z74" s="142">
        <v>0.52</v>
      </c>
      <c r="AA74" s="111">
        <v>0</v>
      </c>
      <c r="AB74" s="97">
        <v>0</v>
      </c>
      <c r="AC74" s="97">
        <v>0</v>
      </c>
      <c r="AD74" s="142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2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7"/>
        <v>0</v>
      </c>
      <c r="BH74" s="97">
        <f t="shared" si="43"/>
        <v>1.1000000000000001</v>
      </c>
      <c r="BI74" s="97">
        <f t="shared" si="43"/>
        <v>2.64</v>
      </c>
      <c r="BJ74" s="97">
        <f t="shared" si="43"/>
        <v>7.7</v>
      </c>
      <c r="BK74" s="111">
        <f t="shared" si="43"/>
        <v>8.0000000000000071E-2</v>
      </c>
      <c r="BL74" s="97">
        <f t="shared" si="43"/>
        <v>1.1000000000000001</v>
      </c>
      <c r="BM74" s="97">
        <f t="shared" si="43"/>
        <v>2.64</v>
      </c>
      <c r="BN74" s="97">
        <f t="shared" si="43"/>
        <v>6.1099999999999994</v>
      </c>
      <c r="BO74" s="111">
        <f t="shared" si="48"/>
        <v>4.8000000000000043E-2</v>
      </c>
      <c r="BP74" s="97">
        <f t="shared" si="49"/>
        <v>1.1000000000000001</v>
      </c>
      <c r="BQ74" s="97">
        <f t="shared" si="50"/>
        <v>2.64</v>
      </c>
      <c r="BR74" s="97">
        <f t="shared" si="51"/>
        <v>6.7459999999999996</v>
      </c>
      <c r="BS74" s="111">
        <f t="shared" si="52"/>
        <v>0.88960000000000017</v>
      </c>
      <c r="BT74" s="142">
        <f t="shared" si="53"/>
        <v>3.4611999999999998</v>
      </c>
      <c r="BU74" s="142">
        <f t="shared" si="54"/>
        <v>2.1753999999999998</v>
      </c>
      <c r="BV74" s="142">
        <f>BU73</f>
        <v>15.967400000000001</v>
      </c>
    </row>
    <row r="75" spans="1:74" ht="30.75" thickBot="1" x14ac:dyDescent="0.3">
      <c r="A75" s="228" t="s">
        <v>11</v>
      </c>
      <c r="B75" s="229" t="s">
        <v>23</v>
      </c>
      <c r="C75" s="230" t="s">
        <v>33</v>
      </c>
      <c r="D75" s="74" t="s">
        <v>44</v>
      </c>
      <c r="E75" s="75" t="s">
        <v>43</v>
      </c>
      <c r="F75" s="271" t="s">
        <v>42</v>
      </c>
      <c r="G75" s="302">
        <f t="shared" si="45"/>
        <v>0.33</v>
      </c>
      <c r="H75" s="303">
        <f t="shared" si="42"/>
        <v>0.66</v>
      </c>
      <c r="I75" s="303">
        <f t="shared" si="42"/>
        <v>1</v>
      </c>
      <c r="J75" s="67">
        <f t="shared" si="46"/>
        <v>14.27</v>
      </c>
      <c r="K75" s="112">
        <v>0</v>
      </c>
      <c r="L75" s="188">
        <v>0.22000000000000003</v>
      </c>
      <c r="M75" s="188">
        <v>0.44</v>
      </c>
      <c r="N75" s="113">
        <v>0.55000000000000004</v>
      </c>
      <c r="O75" s="188">
        <v>0.06</v>
      </c>
      <c r="P75" s="188">
        <v>0.22000000000000003</v>
      </c>
      <c r="Q75" s="188">
        <v>0.44</v>
      </c>
      <c r="R75" s="188">
        <v>0.52</v>
      </c>
      <c r="S75" s="112">
        <v>0.44000000000000006</v>
      </c>
      <c r="T75" s="188">
        <v>0.55000000000000004</v>
      </c>
      <c r="U75" s="188">
        <v>0.77</v>
      </c>
      <c r="V75" s="113">
        <v>0.89</v>
      </c>
      <c r="W75" s="112">
        <v>0.47000000000000003</v>
      </c>
      <c r="X75" s="188">
        <v>0.55000000000000004</v>
      </c>
      <c r="Y75" s="188">
        <v>0.77</v>
      </c>
      <c r="Z75" s="113">
        <v>0.86</v>
      </c>
      <c r="AA75" s="112">
        <v>0.77</v>
      </c>
      <c r="AB75" s="188">
        <v>1</v>
      </c>
      <c r="AC75" s="188">
        <v>1</v>
      </c>
      <c r="AD75" s="113">
        <v>1</v>
      </c>
      <c r="AE75" s="112">
        <v>0.8</v>
      </c>
      <c r="AF75" s="188">
        <v>1</v>
      </c>
      <c r="AG75" s="188">
        <v>1</v>
      </c>
      <c r="AH75" s="188">
        <v>1</v>
      </c>
      <c r="AI75" s="112">
        <v>0</v>
      </c>
      <c r="AJ75" s="188">
        <v>1.6500000000000001</v>
      </c>
      <c r="AK75" s="188">
        <v>3.74</v>
      </c>
      <c r="AL75" s="188">
        <v>4.6750000000000007</v>
      </c>
      <c r="AM75" s="112">
        <v>0.22999999999999998</v>
      </c>
      <c r="AN75" s="188">
        <v>1.6500000000000001</v>
      </c>
      <c r="AO75" s="188">
        <v>3.74</v>
      </c>
      <c r="AP75" s="188">
        <v>4.42</v>
      </c>
      <c r="AQ75" s="112">
        <v>1.375</v>
      </c>
      <c r="AR75" s="188">
        <v>2.75</v>
      </c>
      <c r="AS75" s="188">
        <v>4.62</v>
      </c>
      <c r="AT75" s="188">
        <v>6.4950000000000001</v>
      </c>
      <c r="AU75" s="112">
        <v>1.8000000000000007</v>
      </c>
      <c r="AV75" s="188">
        <v>2.75</v>
      </c>
      <c r="AW75" s="188">
        <v>4.62</v>
      </c>
      <c r="AX75" s="113">
        <v>5.9300000000000006</v>
      </c>
      <c r="AY75" s="112">
        <v>4.2750000000000004</v>
      </c>
      <c r="AZ75" s="188">
        <v>7.5</v>
      </c>
      <c r="BA75" s="188">
        <v>8.5</v>
      </c>
      <c r="BB75" s="188">
        <v>8.5</v>
      </c>
      <c r="BC75" s="112">
        <v>5</v>
      </c>
      <c r="BD75" s="188">
        <v>7.5</v>
      </c>
      <c r="BE75" s="188">
        <v>8.5</v>
      </c>
      <c r="BF75" s="188">
        <v>8.5</v>
      </c>
      <c r="BG75" s="112">
        <f t="shared" si="47"/>
        <v>5.65</v>
      </c>
      <c r="BH75" s="188">
        <f t="shared" si="43"/>
        <v>11.9</v>
      </c>
      <c r="BI75" s="188">
        <f t="shared" si="43"/>
        <v>16.86</v>
      </c>
      <c r="BJ75" s="188">
        <f t="shared" si="43"/>
        <v>19.670000000000002</v>
      </c>
      <c r="BK75" s="112">
        <f t="shared" si="43"/>
        <v>7.0300000000000011</v>
      </c>
      <c r="BL75" s="188">
        <f t="shared" si="43"/>
        <v>11.9</v>
      </c>
      <c r="BM75" s="188">
        <f t="shared" si="43"/>
        <v>16.86</v>
      </c>
      <c r="BN75" s="188">
        <f t="shared" si="43"/>
        <v>18.850000000000001</v>
      </c>
      <c r="BO75" s="112">
        <f t="shared" si="48"/>
        <v>6.4780000000000015</v>
      </c>
      <c r="BP75" s="188">
        <f t="shared" si="49"/>
        <v>11.9</v>
      </c>
      <c r="BQ75" s="188">
        <f t="shared" si="50"/>
        <v>16.86</v>
      </c>
      <c r="BR75" s="188">
        <f t="shared" si="51"/>
        <v>19.178000000000001</v>
      </c>
      <c r="BS75" s="112">
        <f t="shared" si="52"/>
        <v>10.815600000000002</v>
      </c>
      <c r="BT75" s="113">
        <f t="shared" si="53"/>
        <v>17.323599999999999</v>
      </c>
      <c r="BU75" s="113">
        <f t="shared" si="54"/>
        <v>14.069600000000001</v>
      </c>
      <c r="BV75" s="113">
        <f>BU73</f>
        <v>15.967400000000001</v>
      </c>
    </row>
    <row r="76" spans="1:74" x14ac:dyDescent="0.25">
      <c r="BF76" s="138"/>
      <c r="BG76" s="139"/>
      <c r="BH76" s="139"/>
      <c r="BI76" s="139"/>
      <c r="BJ76" s="139"/>
      <c r="BK76" s="139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55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6">G80+0.11</f>
        <v>0.55000000000000004</v>
      </c>
      <c r="I80" s="25">
        <v>0.06</v>
      </c>
      <c r="J80">
        <f t="shared" ref="J80:J82" si="57">F80</f>
        <v>0.22000000000000003</v>
      </c>
      <c r="K80">
        <f t="shared" ref="K80:K82" si="58">G80</f>
        <v>0.44</v>
      </c>
      <c r="L80" s="26">
        <f t="shared" ref="L80" si="59">K80+0.08</f>
        <v>0.52</v>
      </c>
    </row>
    <row r="81" spans="1:12" x14ac:dyDescent="0.25">
      <c r="A81" s="41" t="s">
        <v>43</v>
      </c>
      <c r="B81" s="2">
        <v>0.66</v>
      </c>
      <c r="C81" s="15">
        <f t="shared" si="55"/>
        <v>0.66</v>
      </c>
      <c r="D81" s="16" t="s">
        <v>43</v>
      </c>
      <c r="E81" s="23">
        <f t="shared" ref="E81" si="60">F81-0.11</f>
        <v>0.44000000000000006</v>
      </c>
      <c r="F81" s="44">
        <f>C81-0.11</f>
        <v>0.55000000000000004</v>
      </c>
      <c r="G81">
        <f t="shared" ref="G81" si="61">C81+0.11</f>
        <v>0.77</v>
      </c>
      <c r="H81" s="24">
        <f>G81+0.12</f>
        <v>0.89</v>
      </c>
      <c r="I81" s="25">
        <f t="shared" ref="I81" si="62">J81-0.08</f>
        <v>0.47000000000000003</v>
      </c>
      <c r="J81">
        <f t="shared" si="57"/>
        <v>0.55000000000000004</v>
      </c>
      <c r="K81">
        <f t="shared" si="58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55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7"/>
        <v>1</v>
      </c>
      <c r="K82" s="29">
        <f t="shared" si="58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63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64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65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63"/>
        <v>5</v>
      </c>
      <c r="I87" s="25">
        <f t="shared" ref="I87:I89" si="66">J87-1</f>
        <v>1.5</v>
      </c>
      <c r="J87">
        <f t="shared" ref="J87:J89" si="67">F87</f>
        <v>2.5</v>
      </c>
      <c r="K87">
        <f t="shared" ref="K87:K89" si="68">G87</f>
        <v>3.5</v>
      </c>
      <c r="L87" s="26">
        <f t="shared" si="64"/>
        <v>4.5</v>
      </c>
    </row>
    <row r="88" spans="1:12" x14ac:dyDescent="0.25">
      <c r="A88" s="41" t="s">
        <v>43</v>
      </c>
      <c r="B88" s="2">
        <v>5.5</v>
      </c>
      <c r="C88" s="15">
        <f t="shared" si="65"/>
        <v>5.5</v>
      </c>
      <c r="D88" s="16" t="s">
        <v>43</v>
      </c>
      <c r="E88" s="23">
        <f t="shared" ref="E88:E89" si="69">F88-1.5</f>
        <v>3.5</v>
      </c>
      <c r="F88" s="44">
        <f>C88-0.5</f>
        <v>5</v>
      </c>
      <c r="G88">
        <f>C88+0.5</f>
        <v>6</v>
      </c>
      <c r="H88" s="24">
        <f t="shared" si="63"/>
        <v>7.5</v>
      </c>
      <c r="I88" s="25">
        <f t="shared" si="66"/>
        <v>4</v>
      </c>
      <c r="J88">
        <f t="shared" si="67"/>
        <v>5</v>
      </c>
      <c r="K88">
        <f t="shared" si="68"/>
        <v>6</v>
      </c>
      <c r="L88" s="26">
        <f t="shared" si="64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65"/>
        <v>8</v>
      </c>
      <c r="D89" s="16" t="s">
        <v>42</v>
      </c>
      <c r="E89" s="27">
        <f t="shared" si="69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66"/>
        <v>6.5</v>
      </c>
      <c r="J89" s="29">
        <f t="shared" si="67"/>
        <v>7.5</v>
      </c>
      <c r="K89" s="29">
        <f t="shared" si="68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58" t="s">
        <v>54</v>
      </c>
      <c r="F92" s="459"/>
      <c r="G92" s="459"/>
      <c r="H92" s="459"/>
      <c r="I92" s="459"/>
      <c r="J92" s="459"/>
      <c r="K92" s="459"/>
      <c r="L92" s="460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356" t="s">
        <v>60</v>
      </c>
      <c r="B98" s="357" t="s">
        <v>61</v>
      </c>
      <c r="E98" s="458" t="s">
        <v>62</v>
      </c>
      <c r="F98" s="459"/>
      <c r="G98" s="459"/>
      <c r="H98" s="459"/>
      <c r="I98" s="459"/>
      <c r="J98" s="459"/>
      <c r="K98" s="459"/>
      <c r="L98" s="460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4">
        <f>F79*F$93</f>
        <v>0</v>
      </c>
      <c r="G99" s="234">
        <f>G79*G$93</f>
        <v>0</v>
      </c>
      <c r="H99" s="140">
        <f>G79*H$93+G$93*H79-G79*G$93</f>
        <v>1.87</v>
      </c>
      <c r="I99" s="110">
        <f>I79*J$93+I$93*J79-J79*J$93</f>
        <v>0</v>
      </c>
      <c r="J99" s="234">
        <f>J79*J$93</f>
        <v>0</v>
      </c>
      <c r="K99" s="234">
        <f>K79*K$93</f>
        <v>0</v>
      </c>
      <c r="L99" s="140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70">F80*F$93</f>
        <v>1.6500000000000001</v>
      </c>
      <c r="G100" s="97">
        <f t="shared" si="70"/>
        <v>3.74</v>
      </c>
      <c r="H100" s="142">
        <f t="shared" ref="H100:H102" si="71">G80*H$93+G$93*H80-G80*G$93</f>
        <v>4.6750000000000007</v>
      </c>
      <c r="I100" s="111">
        <f t="shared" ref="I100:I102" si="72">I80*J$93+I$93*J80-J80*J$93</f>
        <v>0.22999999999999998</v>
      </c>
      <c r="J100" s="97">
        <f t="shared" ref="J100:K102" si="73">J80*J$93</f>
        <v>1.6500000000000001</v>
      </c>
      <c r="K100" s="97">
        <f t="shared" si="73"/>
        <v>3.74</v>
      </c>
      <c r="L100" s="142">
        <f t="shared" ref="L100:L102" si="74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75">E81*F$93+E$93*F81-F81*F$93</f>
        <v>2.4750000000000005</v>
      </c>
      <c r="F101" s="97">
        <f t="shared" si="70"/>
        <v>4.125</v>
      </c>
      <c r="G101" s="97">
        <f t="shared" si="70"/>
        <v>6.5449999999999999</v>
      </c>
      <c r="H101" s="142">
        <f t="shared" si="71"/>
        <v>7.5649999999999995</v>
      </c>
      <c r="I101" s="111">
        <f t="shared" si="72"/>
        <v>2.9750000000000005</v>
      </c>
      <c r="J101" s="97">
        <f t="shared" si="73"/>
        <v>4.125</v>
      </c>
      <c r="K101" s="97">
        <f t="shared" si="73"/>
        <v>6.5449999999999999</v>
      </c>
      <c r="L101" s="142">
        <f t="shared" si="74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75"/>
        <v>4.2750000000000004</v>
      </c>
      <c r="F102" s="188">
        <f t="shared" si="70"/>
        <v>7.5</v>
      </c>
      <c r="G102" s="188">
        <f t="shared" si="70"/>
        <v>8.5</v>
      </c>
      <c r="H102" s="113">
        <f t="shared" si="71"/>
        <v>8.5</v>
      </c>
      <c r="I102" s="112">
        <f t="shared" si="72"/>
        <v>5</v>
      </c>
      <c r="J102" s="188">
        <f t="shared" si="73"/>
        <v>7.5</v>
      </c>
      <c r="K102" s="188">
        <f t="shared" si="73"/>
        <v>8.5</v>
      </c>
      <c r="L102" s="113">
        <f t="shared" si="74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4">
        <f>F79*F$94</f>
        <v>0</v>
      </c>
      <c r="G103" s="234">
        <f>G79*G$94</f>
        <v>0</v>
      </c>
      <c r="H103" s="140">
        <f>G79*H$94+G$94*H79-G79*G$94</f>
        <v>1.32</v>
      </c>
      <c r="I103" s="110">
        <f>I79*J$94+I$94*J79-J79*J$94</f>
        <v>0</v>
      </c>
      <c r="J103" s="234">
        <f>J79*J$94</f>
        <v>0</v>
      </c>
      <c r="K103" s="234">
        <f>K79*K$94</f>
        <v>0</v>
      </c>
      <c r="L103" s="140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76">F80*F$94</f>
        <v>1.1000000000000001</v>
      </c>
      <c r="G104" s="97">
        <f t="shared" si="76"/>
        <v>2.64</v>
      </c>
      <c r="H104" s="142">
        <f t="shared" ref="H104:H106" si="77">G80*H$94+G$94*H80-G80*G$94</f>
        <v>3.9599999999999995</v>
      </c>
      <c r="I104" s="111">
        <f t="shared" ref="I104:I106" si="78">I80*J$94+I$94*J80-J80*J$94</f>
        <v>8.0000000000000071E-2</v>
      </c>
      <c r="J104" s="97">
        <f t="shared" ref="J104:K106" si="79">J80*J$94</f>
        <v>1.1000000000000001</v>
      </c>
      <c r="K104" s="97">
        <f t="shared" si="79"/>
        <v>2.64</v>
      </c>
      <c r="L104" s="142">
        <f t="shared" ref="L104:L106" si="80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81">E81*F$94+E$94*F81-F81*F$94</f>
        <v>1.375</v>
      </c>
      <c r="F105" s="97">
        <f t="shared" si="76"/>
        <v>2.75</v>
      </c>
      <c r="G105" s="97">
        <f t="shared" si="76"/>
        <v>4.62</v>
      </c>
      <c r="H105" s="142">
        <f t="shared" si="77"/>
        <v>6.4950000000000001</v>
      </c>
      <c r="I105" s="111">
        <f t="shared" si="78"/>
        <v>1.8000000000000007</v>
      </c>
      <c r="J105" s="97">
        <f t="shared" si="79"/>
        <v>2.75</v>
      </c>
      <c r="K105" s="97">
        <f t="shared" si="79"/>
        <v>4.62</v>
      </c>
      <c r="L105" s="142">
        <f t="shared" si="80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81"/>
        <v>2.3499999999999996</v>
      </c>
      <c r="F106" s="188">
        <f t="shared" si="76"/>
        <v>5</v>
      </c>
      <c r="G106" s="188">
        <f t="shared" si="76"/>
        <v>6</v>
      </c>
      <c r="H106" s="113">
        <f t="shared" si="77"/>
        <v>7.5</v>
      </c>
      <c r="I106" s="112">
        <f t="shared" si="78"/>
        <v>3</v>
      </c>
      <c r="J106" s="188">
        <f t="shared" si="79"/>
        <v>5</v>
      </c>
      <c r="K106" s="188">
        <f t="shared" si="79"/>
        <v>6</v>
      </c>
      <c r="L106" s="113">
        <f t="shared" si="80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4">
        <f>F79*F$95</f>
        <v>0</v>
      </c>
      <c r="G107" s="234">
        <f>G79*G$95</f>
        <v>0</v>
      </c>
      <c r="H107" s="140">
        <f>G79*H$95+G$95*H79-G79*G$95</f>
        <v>1.87</v>
      </c>
      <c r="I107" s="110">
        <f>I79*J$95+I$95*J79-J79*J$95</f>
        <v>0</v>
      </c>
      <c r="J107" s="234">
        <f>J79*J$95</f>
        <v>0</v>
      </c>
      <c r="K107" s="234">
        <f>K79*K$95</f>
        <v>0</v>
      </c>
      <c r="L107" s="140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82">F80*F$95</f>
        <v>1.6500000000000001</v>
      </c>
      <c r="G108" s="97">
        <f t="shared" si="82"/>
        <v>3.74</v>
      </c>
      <c r="H108" s="142">
        <f t="shared" ref="H108:H110" si="83">G80*H$95+G$95*H80-G80*G$95</f>
        <v>4.6750000000000007</v>
      </c>
      <c r="I108" s="111">
        <f t="shared" ref="I108:I110" si="84">I80*J$95+I$95*J80-J80*J$95</f>
        <v>0.22999999999999998</v>
      </c>
      <c r="J108" s="97">
        <f t="shared" ref="J108:K110" si="85">J80*J$95</f>
        <v>1.6500000000000001</v>
      </c>
      <c r="K108" s="97">
        <f t="shared" si="85"/>
        <v>3.74</v>
      </c>
      <c r="L108" s="142">
        <f t="shared" ref="L108:L110" si="86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87">E81*F$95+E$95*F81-F81*F$95</f>
        <v>2.4750000000000005</v>
      </c>
      <c r="F109" s="97">
        <f t="shared" si="82"/>
        <v>4.125</v>
      </c>
      <c r="G109" s="97">
        <f t="shared" si="82"/>
        <v>6.5449999999999999</v>
      </c>
      <c r="H109" s="142">
        <f t="shared" si="83"/>
        <v>7.5649999999999995</v>
      </c>
      <c r="I109" s="111">
        <f t="shared" si="84"/>
        <v>2.9750000000000005</v>
      </c>
      <c r="J109" s="97">
        <f t="shared" si="85"/>
        <v>4.125</v>
      </c>
      <c r="K109" s="97">
        <f t="shared" si="85"/>
        <v>6.5449999999999999</v>
      </c>
      <c r="L109" s="142">
        <f t="shared" si="86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87"/>
        <v>4.2750000000000004</v>
      </c>
      <c r="F110" s="188">
        <f t="shared" si="82"/>
        <v>7.5</v>
      </c>
      <c r="G110" s="188">
        <f t="shared" si="82"/>
        <v>8.5</v>
      </c>
      <c r="H110" s="113">
        <f t="shared" si="83"/>
        <v>8.5</v>
      </c>
      <c r="I110" s="112">
        <f t="shared" si="84"/>
        <v>5</v>
      </c>
      <c r="J110" s="188">
        <f t="shared" si="85"/>
        <v>7.5</v>
      </c>
      <c r="K110" s="188">
        <f t="shared" si="85"/>
        <v>8.5</v>
      </c>
      <c r="L110" s="113">
        <f t="shared" si="86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64" t="s">
        <v>25</v>
      </c>
      <c r="B116" s="455" t="s">
        <v>284</v>
      </c>
      <c r="C116" s="444" t="s">
        <v>26</v>
      </c>
      <c r="D116" s="464" t="s">
        <v>55</v>
      </c>
      <c r="E116" s="455"/>
      <c r="F116" s="444"/>
      <c r="G116" s="454" t="s">
        <v>56</v>
      </c>
      <c r="H116" s="455"/>
      <c r="I116" s="455"/>
      <c r="J116" s="444" t="s">
        <v>81</v>
      </c>
      <c r="K116" s="435" t="s">
        <v>78</v>
      </c>
      <c r="L116" s="436"/>
      <c r="M116" s="436"/>
      <c r="N116" s="436"/>
      <c r="O116" s="436"/>
      <c r="P116" s="436"/>
      <c r="Q116" s="436"/>
      <c r="R116" s="437"/>
      <c r="S116" s="435" t="s">
        <v>76</v>
      </c>
      <c r="T116" s="436"/>
      <c r="U116" s="436"/>
      <c r="V116" s="436"/>
      <c r="W116" s="436"/>
      <c r="X116" s="436"/>
      <c r="Y116" s="436"/>
      <c r="Z116" s="437"/>
      <c r="AA116" s="435" t="s">
        <v>77</v>
      </c>
      <c r="AB116" s="436"/>
      <c r="AC116" s="436"/>
      <c r="AD116" s="436"/>
      <c r="AE116" s="436"/>
      <c r="AF116" s="436"/>
      <c r="AG116" s="436"/>
      <c r="AH116" s="437"/>
      <c r="AI116" s="435" t="s">
        <v>75</v>
      </c>
      <c r="AJ116" s="436"/>
      <c r="AK116" s="436"/>
      <c r="AL116" s="436"/>
      <c r="AM116" s="436"/>
      <c r="AN116" s="436"/>
      <c r="AO116" s="436"/>
      <c r="AP116" s="437"/>
      <c r="AQ116" s="435" t="s">
        <v>82</v>
      </c>
      <c r="AR116" s="436"/>
      <c r="AS116" s="436"/>
      <c r="AT116" s="436"/>
      <c r="AU116" s="436"/>
      <c r="AV116" s="436"/>
      <c r="AW116" s="436"/>
      <c r="AX116" s="437"/>
      <c r="AY116" s="435" t="s">
        <v>83</v>
      </c>
      <c r="AZ116" s="436"/>
      <c r="BA116" s="436"/>
      <c r="BB116" s="436"/>
      <c r="BC116" s="436"/>
      <c r="BD116" s="436"/>
      <c r="BE116" s="436"/>
      <c r="BF116" s="437"/>
      <c r="BG116" s="438" t="s">
        <v>119</v>
      </c>
      <c r="BH116" s="439"/>
      <c r="BI116" s="439"/>
      <c r="BJ116" s="439"/>
      <c r="BK116" s="439"/>
      <c r="BL116" s="439"/>
      <c r="BM116" s="439"/>
      <c r="BN116" s="440"/>
      <c r="BO116" s="427" t="s">
        <v>264</v>
      </c>
      <c r="BP116" s="428"/>
      <c r="BQ116" s="428"/>
      <c r="BR116" s="429"/>
      <c r="BS116" s="433" t="s">
        <v>79</v>
      </c>
      <c r="BT116" s="434"/>
      <c r="BU116" s="425" t="s">
        <v>80</v>
      </c>
      <c r="BV116" s="425" t="s">
        <v>265</v>
      </c>
    </row>
    <row r="117" spans="1:74" s="33" customFormat="1" ht="23.25" customHeight="1" thickBot="1" x14ac:dyDescent="0.3">
      <c r="A117" s="465"/>
      <c r="B117" s="466"/>
      <c r="C117" s="445"/>
      <c r="D117" s="240" t="s">
        <v>48</v>
      </c>
      <c r="E117" s="218" t="s">
        <v>49</v>
      </c>
      <c r="F117" s="241" t="s">
        <v>50</v>
      </c>
      <c r="G117" s="257" t="s">
        <v>48</v>
      </c>
      <c r="H117" s="218" t="s">
        <v>49</v>
      </c>
      <c r="I117" s="218" t="s">
        <v>50</v>
      </c>
      <c r="J117" s="445"/>
      <c r="K117" s="446" t="s">
        <v>3</v>
      </c>
      <c r="L117" s="447"/>
      <c r="M117" s="447"/>
      <c r="N117" s="448"/>
      <c r="O117" s="446" t="s">
        <v>4</v>
      </c>
      <c r="P117" s="447"/>
      <c r="Q117" s="447"/>
      <c r="R117" s="448"/>
      <c r="S117" s="446" t="s">
        <v>3</v>
      </c>
      <c r="T117" s="447"/>
      <c r="U117" s="447"/>
      <c r="V117" s="448"/>
      <c r="W117" s="446" t="s">
        <v>4</v>
      </c>
      <c r="X117" s="447"/>
      <c r="Y117" s="447"/>
      <c r="Z117" s="448"/>
      <c r="AA117" s="446" t="s">
        <v>3</v>
      </c>
      <c r="AB117" s="447"/>
      <c r="AC117" s="447"/>
      <c r="AD117" s="448"/>
      <c r="AE117" s="446" t="s">
        <v>4</v>
      </c>
      <c r="AF117" s="447"/>
      <c r="AG117" s="447"/>
      <c r="AH117" s="448"/>
      <c r="AI117" s="435" t="s">
        <v>3</v>
      </c>
      <c r="AJ117" s="436"/>
      <c r="AK117" s="436"/>
      <c r="AL117" s="437"/>
      <c r="AM117" s="435" t="s">
        <v>4</v>
      </c>
      <c r="AN117" s="436"/>
      <c r="AO117" s="436"/>
      <c r="AP117" s="437"/>
      <c r="AQ117" s="435" t="s">
        <v>3</v>
      </c>
      <c r="AR117" s="436"/>
      <c r="AS117" s="436"/>
      <c r="AT117" s="437"/>
      <c r="AU117" s="435" t="s">
        <v>4</v>
      </c>
      <c r="AV117" s="436"/>
      <c r="AW117" s="436"/>
      <c r="AX117" s="437"/>
      <c r="AY117" s="435" t="s">
        <v>3</v>
      </c>
      <c r="AZ117" s="436"/>
      <c r="BA117" s="436"/>
      <c r="BB117" s="437"/>
      <c r="BC117" s="435" t="s">
        <v>4</v>
      </c>
      <c r="BD117" s="436"/>
      <c r="BE117" s="436"/>
      <c r="BF117" s="437"/>
      <c r="BG117" s="435" t="s">
        <v>3</v>
      </c>
      <c r="BH117" s="436"/>
      <c r="BI117" s="436"/>
      <c r="BJ117" s="437"/>
      <c r="BK117" s="435" t="s">
        <v>4</v>
      </c>
      <c r="BL117" s="436"/>
      <c r="BM117" s="436"/>
      <c r="BN117" s="437"/>
      <c r="BO117" s="430"/>
      <c r="BP117" s="431"/>
      <c r="BQ117" s="431"/>
      <c r="BR117" s="432"/>
      <c r="BS117" s="430"/>
      <c r="BT117" s="432"/>
      <c r="BU117" s="426"/>
      <c r="BV117" s="426"/>
    </row>
    <row r="118" spans="1:74" ht="30" x14ac:dyDescent="0.25">
      <c r="A118" s="235" t="s">
        <v>0</v>
      </c>
      <c r="B118" s="236" t="s">
        <v>24</v>
      </c>
      <c r="C118" s="237" t="s">
        <v>12</v>
      </c>
      <c r="D118" s="238" t="s">
        <v>42</v>
      </c>
      <c r="E118" s="239" t="s">
        <v>42</v>
      </c>
      <c r="F118" s="250" t="s">
        <v>42</v>
      </c>
      <c r="G118" s="295">
        <f>IF(D118=$A$131,$B$131,(IF(D118=$A$132,$B$132,IF(D118=$A$133,$B$133,$B$134))))</f>
        <v>1</v>
      </c>
      <c r="H118" s="289">
        <f t="shared" ref="H118:I127" si="88">IF(E118=$A$131,$B$131,(IF(E118=$A$132,$B$132,IF(E118=$A$133,$B$133,$B$134))))</f>
        <v>1</v>
      </c>
      <c r="I118" s="289">
        <f t="shared" si="88"/>
        <v>1</v>
      </c>
      <c r="J118" s="14">
        <f>G118*$D$145+H118*$D$146+I118*$D$147</f>
        <v>21.5</v>
      </c>
      <c r="K118" s="110">
        <v>0.77</v>
      </c>
      <c r="L118" s="234">
        <v>1</v>
      </c>
      <c r="M118" s="234">
        <v>1</v>
      </c>
      <c r="N118" s="234">
        <v>1</v>
      </c>
      <c r="O118" s="110">
        <v>0.8</v>
      </c>
      <c r="P118" s="234">
        <v>1</v>
      </c>
      <c r="Q118" s="234">
        <v>1</v>
      </c>
      <c r="R118" s="140">
        <v>1</v>
      </c>
      <c r="S118" s="110">
        <v>0.77</v>
      </c>
      <c r="T118" s="234">
        <v>1</v>
      </c>
      <c r="U118" s="234">
        <v>1</v>
      </c>
      <c r="V118" s="234">
        <v>1</v>
      </c>
      <c r="W118" s="110">
        <v>0.8</v>
      </c>
      <c r="X118" s="234">
        <v>1</v>
      </c>
      <c r="Y118" s="234">
        <v>1</v>
      </c>
      <c r="Z118" s="140">
        <v>1</v>
      </c>
      <c r="AA118" s="110">
        <v>0.77</v>
      </c>
      <c r="AB118" s="234">
        <v>1</v>
      </c>
      <c r="AC118" s="234">
        <v>1</v>
      </c>
      <c r="AD118" s="140">
        <v>1</v>
      </c>
      <c r="AE118" s="110">
        <v>0.8</v>
      </c>
      <c r="AF118" s="234">
        <v>1</v>
      </c>
      <c r="AG118" s="234">
        <v>1</v>
      </c>
      <c r="AH118" s="140">
        <v>1</v>
      </c>
      <c r="AI118" s="110">
        <v>2.3499999999999996</v>
      </c>
      <c r="AJ118" s="234">
        <v>5</v>
      </c>
      <c r="AK118" s="234">
        <v>6</v>
      </c>
      <c r="AL118" s="234">
        <v>7.5</v>
      </c>
      <c r="AM118" s="110">
        <v>3</v>
      </c>
      <c r="AN118" s="234">
        <v>5</v>
      </c>
      <c r="AO118" s="234">
        <v>6</v>
      </c>
      <c r="AP118" s="140">
        <v>7</v>
      </c>
      <c r="AQ118" s="110">
        <v>4.2750000000000004</v>
      </c>
      <c r="AR118" s="234">
        <v>7.5</v>
      </c>
      <c r="AS118" s="234">
        <v>8.5</v>
      </c>
      <c r="AT118" s="234">
        <v>8.5</v>
      </c>
      <c r="AU118" s="110">
        <v>5</v>
      </c>
      <c r="AV118" s="234">
        <v>7.5</v>
      </c>
      <c r="AW118" s="234">
        <v>8.5</v>
      </c>
      <c r="AX118" s="140">
        <v>8.5</v>
      </c>
      <c r="AY118" s="110">
        <v>4.2750000000000004</v>
      </c>
      <c r="AZ118" s="234">
        <v>7.5</v>
      </c>
      <c r="BA118" s="234">
        <v>8.5</v>
      </c>
      <c r="BB118" s="234">
        <v>8.5</v>
      </c>
      <c r="BC118" s="110">
        <v>5</v>
      </c>
      <c r="BD118" s="234">
        <v>7.5</v>
      </c>
      <c r="BE118" s="234">
        <v>8.5</v>
      </c>
      <c r="BF118" s="140">
        <v>8.5</v>
      </c>
      <c r="BG118" s="110">
        <f>AI118+AQ118+AY118</f>
        <v>10.9</v>
      </c>
      <c r="BH118" s="234">
        <f t="shared" ref="BH118:BN127" si="89">AJ118+AR118+AZ118</f>
        <v>20</v>
      </c>
      <c r="BI118" s="234">
        <f t="shared" si="89"/>
        <v>23</v>
      </c>
      <c r="BJ118" s="234">
        <f t="shared" si="89"/>
        <v>24.5</v>
      </c>
      <c r="BK118" s="110">
        <f t="shared" si="89"/>
        <v>13</v>
      </c>
      <c r="BL118" s="234">
        <f t="shared" si="89"/>
        <v>20</v>
      </c>
      <c r="BM118" s="234">
        <f t="shared" si="89"/>
        <v>23</v>
      </c>
      <c r="BN118" s="234">
        <f t="shared" si="89"/>
        <v>24</v>
      </c>
      <c r="BO118" s="110">
        <f>(1-$BO$115)*BG118+$BO$115*BK118</f>
        <v>12.16</v>
      </c>
      <c r="BP118" s="234">
        <f>(1-$BO$115)*BH118+$BO$115*BL118</f>
        <v>20</v>
      </c>
      <c r="BQ118" s="234">
        <f>(1-$BO$115)*BI118+$BO$115*BM118</f>
        <v>23</v>
      </c>
      <c r="BR118" s="234">
        <f>(1-$BO$115)*BJ118+$BO$115*BN118</f>
        <v>24.2</v>
      </c>
      <c r="BS118" s="110">
        <f>$BS$115*BP118+(1-$BS$115)*BO118</f>
        <v>18.431999999999999</v>
      </c>
      <c r="BT118" s="140">
        <f>$BS$115*BQ118+(1-$BS$115)*BR118</f>
        <v>23.240000000000002</v>
      </c>
      <c r="BU118" s="140">
        <f>(BS118+BT118)/2</f>
        <v>20.835999999999999</v>
      </c>
      <c r="BV118" s="140">
        <f>BU118</f>
        <v>20.835999999999999</v>
      </c>
    </row>
    <row r="119" spans="1:74" x14ac:dyDescent="0.25">
      <c r="A119" s="226" t="s">
        <v>1</v>
      </c>
      <c r="B119" s="222" t="s">
        <v>13</v>
      </c>
      <c r="C119" s="227" t="s">
        <v>27</v>
      </c>
      <c r="D119" s="72" t="s">
        <v>44</v>
      </c>
      <c r="E119" s="73" t="s">
        <v>43</v>
      </c>
      <c r="F119" s="251" t="s">
        <v>42</v>
      </c>
      <c r="G119" s="296">
        <f t="shared" ref="G119:G127" si="90">IF(D119=$A$131,$B$131,(IF(D119=$A$132,$B$132,IF(D119=$A$133,$B$133,$B$134))))</f>
        <v>0.33</v>
      </c>
      <c r="H119" s="290">
        <f t="shared" si="88"/>
        <v>0.66</v>
      </c>
      <c r="I119" s="290">
        <f t="shared" si="88"/>
        <v>1</v>
      </c>
      <c r="J119" s="104">
        <f t="shared" ref="J119:J127" si="91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2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2">
        <v>0.86</v>
      </c>
      <c r="AA119" s="111">
        <v>0.77</v>
      </c>
      <c r="AB119" s="97">
        <v>1</v>
      </c>
      <c r="AC119" s="97">
        <v>1</v>
      </c>
      <c r="AD119" s="142">
        <v>1</v>
      </c>
      <c r="AE119" s="111">
        <v>0.8</v>
      </c>
      <c r="AF119" s="97">
        <v>1</v>
      </c>
      <c r="AG119" s="97">
        <v>1</v>
      </c>
      <c r="AH119" s="142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2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2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2">
        <v>8.5</v>
      </c>
      <c r="BG119" s="111">
        <f t="shared" ref="BG119:BG127" si="92">AI119+AQ119+AY119</f>
        <v>6.7500000000000009</v>
      </c>
      <c r="BH119" s="97">
        <f t="shared" si="89"/>
        <v>12.725</v>
      </c>
      <c r="BI119" s="97">
        <f t="shared" si="89"/>
        <v>17.685000000000002</v>
      </c>
      <c r="BJ119" s="97">
        <f t="shared" si="89"/>
        <v>20.024999999999999</v>
      </c>
      <c r="BK119" s="111">
        <f t="shared" si="89"/>
        <v>8.0549999999999997</v>
      </c>
      <c r="BL119" s="97">
        <f t="shared" si="89"/>
        <v>12.725</v>
      </c>
      <c r="BM119" s="97">
        <f t="shared" si="89"/>
        <v>17.685000000000002</v>
      </c>
      <c r="BN119" s="97">
        <f t="shared" si="89"/>
        <v>19.37</v>
      </c>
      <c r="BO119" s="111">
        <f t="shared" ref="BO119:BO127" si="93">(1-$BO$115)*BG119+$BO$115*BK119</f>
        <v>7.5329999999999995</v>
      </c>
      <c r="BP119" s="97">
        <f t="shared" ref="BP119:BP127" si="94">(1-$BO$115)*BH119+$BO$115*BL119</f>
        <v>12.725</v>
      </c>
      <c r="BQ119" s="97">
        <f t="shared" ref="BQ119:BQ127" si="95">(1-$BO$115)*BI119+$BO$115*BM119</f>
        <v>17.685000000000002</v>
      </c>
      <c r="BR119" s="97">
        <f t="shared" ref="BR119:BR127" si="96">(1-$BO$115)*BJ119+$BO$115*BN119</f>
        <v>19.631999999999998</v>
      </c>
      <c r="BS119" s="111">
        <f t="shared" ref="BS119:BS127" si="97">$BS$115*BP119+(1-$BS$115)*BO119</f>
        <v>11.686599999999999</v>
      </c>
      <c r="BT119" s="142">
        <f t="shared" ref="BT119:BT127" si="98">$BS$115*BQ119+(1-$BS$115)*BR119</f>
        <v>18.074400000000001</v>
      </c>
      <c r="BU119" s="142">
        <f t="shared" ref="BU119:BU127" si="99">(BS119+BT119)/2</f>
        <v>14.8805</v>
      </c>
      <c r="BV119" s="142">
        <f>BU119</f>
        <v>14.8805</v>
      </c>
    </row>
    <row r="120" spans="1:74" x14ac:dyDescent="0.25">
      <c r="A120" s="226" t="s">
        <v>2</v>
      </c>
      <c r="B120" s="222" t="s">
        <v>14</v>
      </c>
      <c r="C120" s="227" t="s">
        <v>28</v>
      </c>
      <c r="D120" s="72" t="s">
        <v>42</v>
      </c>
      <c r="E120" s="73" t="s">
        <v>45</v>
      </c>
      <c r="F120" s="251" t="s">
        <v>45</v>
      </c>
      <c r="G120" s="296">
        <f t="shared" si="90"/>
        <v>1</v>
      </c>
      <c r="H120" s="290">
        <f t="shared" si="88"/>
        <v>0</v>
      </c>
      <c r="I120" s="290">
        <f t="shared" si="88"/>
        <v>0</v>
      </c>
      <c r="J120" s="104">
        <f t="shared" si="91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2">
        <v>0.15</v>
      </c>
      <c r="AA120" s="111">
        <v>0</v>
      </c>
      <c r="AB120" s="97">
        <v>0</v>
      </c>
      <c r="AC120" s="97">
        <v>0</v>
      </c>
      <c r="AD120" s="142">
        <v>0.22</v>
      </c>
      <c r="AE120" s="111">
        <v>0</v>
      </c>
      <c r="AF120" s="97">
        <v>0</v>
      </c>
      <c r="AG120" s="97">
        <v>0</v>
      </c>
      <c r="AH120" s="142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2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2">
        <v>1.2749999999999999</v>
      </c>
      <c r="BG120" s="111">
        <f t="shared" si="92"/>
        <v>2.3499999999999996</v>
      </c>
      <c r="BH120" s="97">
        <f t="shared" si="89"/>
        <v>5</v>
      </c>
      <c r="BI120" s="97">
        <f t="shared" si="89"/>
        <v>6</v>
      </c>
      <c r="BJ120" s="97">
        <f t="shared" si="89"/>
        <v>11.240000000000002</v>
      </c>
      <c r="BK120" s="111">
        <f t="shared" si="89"/>
        <v>3</v>
      </c>
      <c r="BL120" s="97">
        <f t="shared" si="89"/>
        <v>5</v>
      </c>
      <c r="BM120" s="97">
        <f t="shared" si="89"/>
        <v>6</v>
      </c>
      <c r="BN120" s="97">
        <f t="shared" si="89"/>
        <v>9.5500000000000007</v>
      </c>
      <c r="BO120" s="111">
        <f t="shared" si="93"/>
        <v>2.7399999999999998</v>
      </c>
      <c r="BP120" s="97">
        <f t="shared" si="94"/>
        <v>5</v>
      </c>
      <c r="BQ120" s="97">
        <f t="shared" si="95"/>
        <v>6</v>
      </c>
      <c r="BR120" s="97">
        <f t="shared" si="96"/>
        <v>10.226000000000003</v>
      </c>
      <c r="BS120" s="111">
        <f t="shared" si="97"/>
        <v>4.548</v>
      </c>
      <c r="BT120" s="142">
        <f t="shared" si="98"/>
        <v>6.8452000000000002</v>
      </c>
      <c r="BU120" s="142">
        <f t="shared" si="99"/>
        <v>5.6966000000000001</v>
      </c>
      <c r="BV120" s="142">
        <f>BU120</f>
        <v>5.6966000000000001</v>
      </c>
    </row>
    <row r="121" spans="1:74" x14ac:dyDescent="0.25">
      <c r="A121" s="226" t="s">
        <v>5</v>
      </c>
      <c r="B121" s="222" t="s">
        <v>15</v>
      </c>
      <c r="C121" s="227" t="s">
        <v>16</v>
      </c>
      <c r="D121" s="72" t="s">
        <v>42</v>
      </c>
      <c r="E121" s="73" t="s">
        <v>43</v>
      </c>
      <c r="F121" s="251" t="s">
        <v>42</v>
      </c>
      <c r="G121" s="296">
        <f t="shared" si="90"/>
        <v>1</v>
      </c>
      <c r="H121" s="290">
        <f t="shared" si="88"/>
        <v>0.66</v>
      </c>
      <c r="I121" s="290">
        <f t="shared" si="88"/>
        <v>1</v>
      </c>
      <c r="J121" s="104">
        <f t="shared" si="91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2">
        <v>0.86</v>
      </c>
      <c r="AA121" s="111">
        <v>0.77</v>
      </c>
      <c r="AB121" s="97">
        <v>1</v>
      </c>
      <c r="AC121" s="97">
        <v>1</v>
      </c>
      <c r="AD121" s="142">
        <v>1</v>
      </c>
      <c r="AE121" s="111">
        <v>0.8</v>
      </c>
      <c r="AF121" s="97">
        <v>1</v>
      </c>
      <c r="AG121" s="97">
        <v>1</v>
      </c>
      <c r="AH121" s="142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2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2">
        <v>8.5</v>
      </c>
      <c r="BG121" s="111">
        <f t="shared" si="92"/>
        <v>9.1000000000000014</v>
      </c>
      <c r="BH121" s="97">
        <f t="shared" si="89"/>
        <v>16.625</v>
      </c>
      <c r="BI121" s="97">
        <f t="shared" si="89"/>
        <v>21.045000000000002</v>
      </c>
      <c r="BJ121" s="97">
        <f t="shared" si="89"/>
        <v>23.564999999999998</v>
      </c>
      <c r="BK121" s="111">
        <f t="shared" si="89"/>
        <v>10.975000000000001</v>
      </c>
      <c r="BL121" s="97">
        <f t="shared" si="89"/>
        <v>16.625</v>
      </c>
      <c r="BM121" s="97">
        <f t="shared" si="89"/>
        <v>21.045000000000002</v>
      </c>
      <c r="BN121" s="97">
        <f t="shared" si="89"/>
        <v>22.810000000000002</v>
      </c>
      <c r="BO121" s="111">
        <f t="shared" si="93"/>
        <v>10.225000000000001</v>
      </c>
      <c r="BP121" s="97">
        <f t="shared" si="94"/>
        <v>16.625</v>
      </c>
      <c r="BQ121" s="97">
        <f t="shared" si="95"/>
        <v>21.045000000000002</v>
      </c>
      <c r="BR121" s="97">
        <f t="shared" si="96"/>
        <v>23.112000000000002</v>
      </c>
      <c r="BS121" s="111">
        <f t="shared" si="97"/>
        <v>15.345000000000001</v>
      </c>
      <c r="BT121" s="142">
        <f t="shared" si="98"/>
        <v>21.458400000000001</v>
      </c>
      <c r="BU121" s="142">
        <f t="shared" si="99"/>
        <v>18.401700000000002</v>
      </c>
      <c r="BV121" s="142">
        <f>BU118</f>
        <v>20.835999999999999</v>
      </c>
    </row>
    <row r="122" spans="1:74" ht="30" x14ac:dyDescent="0.25">
      <c r="A122" s="226" t="s">
        <v>6</v>
      </c>
      <c r="B122" s="222" t="s">
        <v>17</v>
      </c>
      <c r="C122" s="227" t="s">
        <v>29</v>
      </c>
      <c r="D122" s="72" t="s">
        <v>42</v>
      </c>
      <c r="E122" s="73" t="s">
        <v>44</v>
      </c>
      <c r="F122" s="251" t="s">
        <v>43</v>
      </c>
      <c r="G122" s="296">
        <f t="shared" si="90"/>
        <v>1</v>
      </c>
      <c r="H122" s="290">
        <f t="shared" si="88"/>
        <v>0.33</v>
      </c>
      <c r="I122" s="290">
        <f t="shared" si="88"/>
        <v>0.66</v>
      </c>
      <c r="J122" s="104">
        <f t="shared" si="91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2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0.44000000000000006</v>
      </c>
      <c r="AB122" s="97">
        <v>0.55000000000000004</v>
      </c>
      <c r="AC122" s="97">
        <v>0.77</v>
      </c>
      <c r="AD122" s="142">
        <v>0.89</v>
      </c>
      <c r="AE122" s="111">
        <v>0.47000000000000003</v>
      </c>
      <c r="AF122" s="97">
        <v>0.55000000000000004</v>
      </c>
      <c r="AG122" s="97">
        <v>0.77</v>
      </c>
      <c r="AH122" s="142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2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2">
        <v>7.3100000000000005</v>
      </c>
      <c r="BG122" s="111">
        <f t="shared" si="92"/>
        <v>4.8250000000000002</v>
      </c>
      <c r="BH122" s="97">
        <f t="shared" si="89"/>
        <v>10.775</v>
      </c>
      <c r="BI122" s="97">
        <f t="shared" si="89"/>
        <v>16.285</v>
      </c>
      <c r="BJ122" s="97">
        <f t="shared" si="89"/>
        <v>19.740000000000002</v>
      </c>
      <c r="BK122" s="111">
        <f t="shared" si="89"/>
        <v>6.2050000000000001</v>
      </c>
      <c r="BL122" s="97">
        <f t="shared" si="89"/>
        <v>10.775</v>
      </c>
      <c r="BM122" s="97">
        <f t="shared" si="89"/>
        <v>16.285</v>
      </c>
      <c r="BN122" s="97">
        <f t="shared" si="89"/>
        <v>18.73</v>
      </c>
      <c r="BO122" s="111">
        <f t="shared" si="93"/>
        <v>5.6530000000000005</v>
      </c>
      <c r="BP122" s="97">
        <f t="shared" si="94"/>
        <v>10.775</v>
      </c>
      <c r="BQ122" s="97">
        <f t="shared" si="95"/>
        <v>16.285</v>
      </c>
      <c r="BR122" s="97">
        <f t="shared" si="96"/>
        <v>19.134</v>
      </c>
      <c r="BS122" s="111">
        <f t="shared" si="97"/>
        <v>9.7506000000000004</v>
      </c>
      <c r="BT122" s="142">
        <f t="shared" si="98"/>
        <v>16.854800000000001</v>
      </c>
      <c r="BU122" s="142">
        <f t="shared" si="99"/>
        <v>13.302700000000002</v>
      </c>
      <c r="BV122" s="142">
        <f>BU122</f>
        <v>13.302700000000002</v>
      </c>
    </row>
    <row r="123" spans="1:74" x14ac:dyDescent="0.25">
      <c r="A123" s="226" t="s">
        <v>7</v>
      </c>
      <c r="B123" s="222" t="s">
        <v>18</v>
      </c>
      <c r="C123" s="227" t="s">
        <v>30</v>
      </c>
      <c r="D123" s="72" t="s">
        <v>43</v>
      </c>
      <c r="E123" s="73" t="s">
        <v>44</v>
      </c>
      <c r="F123" s="251" t="s">
        <v>44</v>
      </c>
      <c r="G123" s="296">
        <f t="shared" si="90"/>
        <v>0.66</v>
      </c>
      <c r="H123" s="290">
        <f t="shared" si="88"/>
        <v>0.33</v>
      </c>
      <c r="I123" s="290">
        <f t="shared" si="88"/>
        <v>0.33</v>
      </c>
      <c r="J123" s="104">
        <f t="shared" si="91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2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2">
        <v>0.52</v>
      </c>
      <c r="AA123" s="111">
        <v>0</v>
      </c>
      <c r="AB123" s="97">
        <v>0.22000000000000003</v>
      </c>
      <c r="AC123" s="97">
        <v>0.44</v>
      </c>
      <c r="AD123" s="142">
        <v>0.55000000000000004</v>
      </c>
      <c r="AE123" s="111">
        <v>0.06</v>
      </c>
      <c r="AF123" s="97">
        <v>0.22000000000000003</v>
      </c>
      <c r="AG123" s="97">
        <v>0.44</v>
      </c>
      <c r="AH123" s="142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2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2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2">
        <v>4.42</v>
      </c>
      <c r="BG123" s="111">
        <f t="shared" si="92"/>
        <v>1.375</v>
      </c>
      <c r="BH123" s="97">
        <f t="shared" si="89"/>
        <v>6.0500000000000007</v>
      </c>
      <c r="BI123" s="97">
        <f t="shared" si="89"/>
        <v>12.1</v>
      </c>
      <c r="BJ123" s="97">
        <f t="shared" si="89"/>
        <v>15.845000000000002</v>
      </c>
      <c r="BK123" s="111">
        <f t="shared" si="89"/>
        <v>2.2600000000000007</v>
      </c>
      <c r="BL123" s="97">
        <f t="shared" si="89"/>
        <v>6.0500000000000007</v>
      </c>
      <c r="BM123" s="97">
        <f t="shared" si="89"/>
        <v>12.1</v>
      </c>
      <c r="BN123" s="97">
        <f t="shared" si="89"/>
        <v>14.770000000000001</v>
      </c>
      <c r="BO123" s="111">
        <f t="shared" si="93"/>
        <v>1.9060000000000004</v>
      </c>
      <c r="BP123" s="97">
        <f t="shared" si="94"/>
        <v>6.0500000000000007</v>
      </c>
      <c r="BQ123" s="97">
        <f t="shared" si="95"/>
        <v>12.1</v>
      </c>
      <c r="BR123" s="97">
        <f t="shared" si="96"/>
        <v>15.200000000000001</v>
      </c>
      <c r="BS123" s="111">
        <f t="shared" si="97"/>
        <v>5.2212000000000005</v>
      </c>
      <c r="BT123" s="142">
        <f t="shared" si="98"/>
        <v>12.719999999999999</v>
      </c>
      <c r="BU123" s="142">
        <f t="shared" si="99"/>
        <v>8.9705999999999992</v>
      </c>
      <c r="BV123" s="142">
        <f>BU124</f>
        <v>10.832000000000001</v>
      </c>
    </row>
    <row r="124" spans="1:74" ht="30" x14ac:dyDescent="0.25">
      <c r="A124" s="226" t="s">
        <v>8</v>
      </c>
      <c r="B124" s="222" t="s">
        <v>19</v>
      </c>
      <c r="C124" s="227" t="s">
        <v>31</v>
      </c>
      <c r="D124" s="72" t="s">
        <v>42</v>
      </c>
      <c r="E124" s="73" t="s">
        <v>43</v>
      </c>
      <c r="F124" s="251" t="s">
        <v>45</v>
      </c>
      <c r="G124" s="296">
        <f t="shared" si="90"/>
        <v>1</v>
      </c>
      <c r="H124" s="290">
        <f t="shared" si="88"/>
        <v>0.66</v>
      </c>
      <c r="I124" s="290">
        <f t="shared" si="88"/>
        <v>0</v>
      </c>
      <c r="J124" s="104">
        <f t="shared" si="91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</v>
      </c>
      <c r="AB124" s="97">
        <v>0</v>
      </c>
      <c r="AC124" s="97">
        <v>0</v>
      </c>
      <c r="AD124" s="142">
        <v>0.22</v>
      </c>
      <c r="AE124" s="111">
        <v>0</v>
      </c>
      <c r="AF124" s="97">
        <v>0</v>
      </c>
      <c r="AG124" s="97">
        <v>0</v>
      </c>
      <c r="AH124" s="142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2">
        <v>1.2749999999999999</v>
      </c>
      <c r="BG124" s="111">
        <f t="shared" si="92"/>
        <v>4.8250000000000002</v>
      </c>
      <c r="BH124" s="97">
        <f t="shared" si="89"/>
        <v>9.125</v>
      </c>
      <c r="BI124" s="97">
        <f t="shared" si="89"/>
        <v>12.545</v>
      </c>
      <c r="BJ124" s="97">
        <f t="shared" si="89"/>
        <v>16.934999999999999</v>
      </c>
      <c r="BK124" s="111">
        <f t="shared" si="89"/>
        <v>5.9750000000000005</v>
      </c>
      <c r="BL124" s="97">
        <f t="shared" si="89"/>
        <v>9.125</v>
      </c>
      <c r="BM124" s="97">
        <f t="shared" si="89"/>
        <v>12.545</v>
      </c>
      <c r="BN124" s="97">
        <f t="shared" si="89"/>
        <v>15.585000000000001</v>
      </c>
      <c r="BO124" s="111">
        <f t="shared" si="93"/>
        <v>5.5150000000000006</v>
      </c>
      <c r="BP124" s="97">
        <f t="shared" si="94"/>
        <v>9.125</v>
      </c>
      <c r="BQ124" s="97">
        <f t="shared" si="95"/>
        <v>12.545</v>
      </c>
      <c r="BR124" s="97">
        <f t="shared" si="96"/>
        <v>16.125</v>
      </c>
      <c r="BS124" s="111">
        <f t="shared" si="97"/>
        <v>8.4030000000000005</v>
      </c>
      <c r="BT124" s="142">
        <f t="shared" si="98"/>
        <v>13.261000000000001</v>
      </c>
      <c r="BU124" s="142">
        <f t="shared" si="99"/>
        <v>10.832000000000001</v>
      </c>
      <c r="BV124" s="142">
        <f>BU124</f>
        <v>10.832000000000001</v>
      </c>
    </row>
    <row r="125" spans="1:74" ht="30" x14ac:dyDescent="0.25">
      <c r="A125" s="226" t="s">
        <v>9</v>
      </c>
      <c r="B125" s="222" t="s">
        <v>20</v>
      </c>
      <c r="C125" s="227" t="s">
        <v>21</v>
      </c>
      <c r="D125" s="72" t="s">
        <v>42</v>
      </c>
      <c r="E125" s="73" t="s">
        <v>43</v>
      </c>
      <c r="F125" s="251" t="s">
        <v>43</v>
      </c>
      <c r="G125" s="296">
        <f t="shared" si="90"/>
        <v>1</v>
      </c>
      <c r="H125" s="290">
        <f t="shared" si="88"/>
        <v>0.66</v>
      </c>
      <c r="I125" s="290">
        <f t="shared" si="88"/>
        <v>0.66</v>
      </c>
      <c r="J125" s="104">
        <f t="shared" si="91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2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2">
        <v>0.86</v>
      </c>
      <c r="AA125" s="111">
        <v>0.44000000000000006</v>
      </c>
      <c r="AB125" s="97">
        <v>0.55000000000000004</v>
      </c>
      <c r="AC125" s="97">
        <v>0.77</v>
      </c>
      <c r="AD125" s="142">
        <v>0.89</v>
      </c>
      <c r="AE125" s="111">
        <v>0.47000000000000003</v>
      </c>
      <c r="AF125" s="97">
        <v>0.55000000000000004</v>
      </c>
      <c r="AG125" s="97">
        <v>0.77</v>
      </c>
      <c r="AH125" s="142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2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2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2">
        <v>7.3100000000000005</v>
      </c>
      <c r="BG125" s="111">
        <f t="shared" si="92"/>
        <v>7.3000000000000007</v>
      </c>
      <c r="BH125" s="97">
        <f t="shared" si="89"/>
        <v>13.25</v>
      </c>
      <c r="BI125" s="97">
        <f t="shared" si="89"/>
        <v>19.09</v>
      </c>
      <c r="BJ125" s="97">
        <f t="shared" si="89"/>
        <v>22.63</v>
      </c>
      <c r="BK125" s="111">
        <f t="shared" si="89"/>
        <v>8.9500000000000011</v>
      </c>
      <c r="BL125" s="97">
        <f t="shared" si="89"/>
        <v>13.25</v>
      </c>
      <c r="BM125" s="97">
        <f t="shared" si="89"/>
        <v>19.09</v>
      </c>
      <c r="BN125" s="97">
        <f t="shared" si="89"/>
        <v>21.62</v>
      </c>
      <c r="BO125" s="111">
        <f t="shared" si="93"/>
        <v>8.2900000000000009</v>
      </c>
      <c r="BP125" s="97">
        <f t="shared" si="94"/>
        <v>13.25</v>
      </c>
      <c r="BQ125" s="97">
        <f t="shared" si="95"/>
        <v>19.09</v>
      </c>
      <c r="BR125" s="97">
        <f t="shared" si="96"/>
        <v>22.024000000000001</v>
      </c>
      <c r="BS125" s="111">
        <f t="shared" si="97"/>
        <v>12.258000000000001</v>
      </c>
      <c r="BT125" s="142">
        <f t="shared" si="98"/>
        <v>19.6768</v>
      </c>
      <c r="BU125" s="142">
        <f t="shared" si="99"/>
        <v>15.967400000000001</v>
      </c>
      <c r="BV125" s="142">
        <f>BU125</f>
        <v>15.967400000000001</v>
      </c>
    </row>
    <row r="126" spans="1:74" ht="36.75" customHeight="1" x14ac:dyDescent="0.25">
      <c r="A126" s="226" t="s">
        <v>10</v>
      </c>
      <c r="B126" s="222" t="s">
        <v>22</v>
      </c>
      <c r="C126" s="227" t="s">
        <v>32</v>
      </c>
      <c r="D126" s="72" t="s">
        <v>44</v>
      </c>
      <c r="E126" s="73" t="s">
        <v>45</v>
      </c>
      <c r="F126" s="251" t="s">
        <v>45</v>
      </c>
      <c r="G126" s="296">
        <f t="shared" si="90"/>
        <v>0.33</v>
      </c>
      <c r="H126" s="290">
        <f t="shared" si="88"/>
        <v>0</v>
      </c>
      <c r="I126" s="290">
        <f t="shared" si="88"/>
        <v>0</v>
      </c>
      <c r="J126" s="104">
        <f t="shared" si="91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2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2">
        <v>0.15</v>
      </c>
      <c r="AA126" s="111">
        <v>0</v>
      </c>
      <c r="AB126" s="97">
        <v>0</v>
      </c>
      <c r="AC126" s="97">
        <v>0</v>
      </c>
      <c r="AD126" s="142">
        <v>0.22</v>
      </c>
      <c r="AE126" s="111">
        <v>0</v>
      </c>
      <c r="AF126" s="97">
        <v>0</v>
      </c>
      <c r="AG126" s="97">
        <v>0</v>
      </c>
      <c r="AH126" s="142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2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2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2">
        <v>1.2749999999999999</v>
      </c>
      <c r="BG126" s="111">
        <f t="shared" si="92"/>
        <v>0</v>
      </c>
      <c r="BH126" s="97">
        <f t="shared" si="89"/>
        <v>1.1000000000000001</v>
      </c>
      <c r="BI126" s="97">
        <f t="shared" si="89"/>
        <v>2.64</v>
      </c>
      <c r="BJ126" s="97">
        <f t="shared" si="89"/>
        <v>7.7</v>
      </c>
      <c r="BK126" s="111">
        <f t="shared" si="89"/>
        <v>8.0000000000000071E-2</v>
      </c>
      <c r="BL126" s="97">
        <f t="shared" si="89"/>
        <v>1.1000000000000001</v>
      </c>
      <c r="BM126" s="97">
        <f t="shared" si="89"/>
        <v>2.64</v>
      </c>
      <c r="BN126" s="97">
        <f t="shared" si="89"/>
        <v>6.1099999999999994</v>
      </c>
      <c r="BO126" s="111">
        <f t="shared" si="93"/>
        <v>4.8000000000000043E-2</v>
      </c>
      <c r="BP126" s="97">
        <f t="shared" si="94"/>
        <v>1.1000000000000001</v>
      </c>
      <c r="BQ126" s="97">
        <f t="shared" si="95"/>
        <v>2.64</v>
      </c>
      <c r="BR126" s="97">
        <f t="shared" si="96"/>
        <v>6.7459999999999996</v>
      </c>
      <c r="BS126" s="111">
        <f t="shared" si="97"/>
        <v>0.88960000000000017</v>
      </c>
      <c r="BT126" s="142">
        <f t="shared" si="98"/>
        <v>3.4611999999999998</v>
      </c>
      <c r="BU126" s="142">
        <f t="shared" si="99"/>
        <v>2.1753999999999998</v>
      </c>
      <c r="BV126" s="142">
        <f>BU125</f>
        <v>15.967400000000001</v>
      </c>
    </row>
    <row r="127" spans="1:74" ht="30.75" thickBot="1" x14ac:dyDescent="0.3">
      <c r="A127" s="228" t="s">
        <v>11</v>
      </c>
      <c r="B127" s="229" t="s">
        <v>23</v>
      </c>
      <c r="C127" s="230" t="s">
        <v>33</v>
      </c>
      <c r="D127" s="74" t="s">
        <v>43</v>
      </c>
      <c r="E127" s="75" t="s">
        <v>44</v>
      </c>
      <c r="F127" s="252" t="s">
        <v>42</v>
      </c>
      <c r="G127" s="297">
        <f t="shared" si="90"/>
        <v>0.66</v>
      </c>
      <c r="H127" s="291">
        <f t="shared" si="88"/>
        <v>0.33</v>
      </c>
      <c r="I127" s="291">
        <f t="shared" si="88"/>
        <v>1</v>
      </c>
      <c r="J127" s="108">
        <f t="shared" si="91"/>
        <v>14.27</v>
      </c>
      <c r="K127" s="112">
        <v>0.44000000000000006</v>
      </c>
      <c r="L127" s="188">
        <v>0.55000000000000004</v>
      </c>
      <c r="M127" s="188">
        <v>0.77</v>
      </c>
      <c r="N127" s="188">
        <v>0.89</v>
      </c>
      <c r="O127" s="112">
        <v>0.47000000000000003</v>
      </c>
      <c r="P127" s="188">
        <v>0.55000000000000004</v>
      </c>
      <c r="Q127" s="188">
        <v>0.77</v>
      </c>
      <c r="R127" s="113">
        <v>0.86</v>
      </c>
      <c r="S127" s="112">
        <v>0</v>
      </c>
      <c r="T127" s="188">
        <v>0.22000000000000003</v>
      </c>
      <c r="U127" s="188">
        <v>0.44</v>
      </c>
      <c r="V127" s="188">
        <v>0.55000000000000004</v>
      </c>
      <c r="W127" s="112">
        <v>0.06</v>
      </c>
      <c r="X127" s="188">
        <v>0.22000000000000003</v>
      </c>
      <c r="Y127" s="188">
        <v>0.44</v>
      </c>
      <c r="Z127" s="113">
        <v>0.52</v>
      </c>
      <c r="AA127" s="112">
        <v>0.77</v>
      </c>
      <c r="AB127" s="188">
        <v>1</v>
      </c>
      <c r="AC127" s="188">
        <v>1</v>
      </c>
      <c r="AD127" s="113">
        <v>1</v>
      </c>
      <c r="AE127" s="112">
        <v>0.8</v>
      </c>
      <c r="AF127" s="188">
        <v>1</v>
      </c>
      <c r="AG127" s="188">
        <v>1</v>
      </c>
      <c r="AH127" s="113">
        <v>1</v>
      </c>
      <c r="AI127" s="112">
        <v>1.375</v>
      </c>
      <c r="AJ127" s="188">
        <v>2.75</v>
      </c>
      <c r="AK127" s="188">
        <v>4.62</v>
      </c>
      <c r="AL127" s="188">
        <v>6.4950000000000001</v>
      </c>
      <c r="AM127" s="112">
        <v>1.8000000000000007</v>
      </c>
      <c r="AN127" s="188">
        <v>2.75</v>
      </c>
      <c r="AO127" s="188">
        <v>4.62</v>
      </c>
      <c r="AP127" s="113">
        <v>5.9300000000000006</v>
      </c>
      <c r="AQ127" s="112">
        <v>0</v>
      </c>
      <c r="AR127" s="188">
        <v>1.6500000000000001</v>
      </c>
      <c r="AS127" s="188">
        <v>3.74</v>
      </c>
      <c r="AT127" s="188">
        <v>4.6750000000000007</v>
      </c>
      <c r="AU127" s="112">
        <v>0.22999999999999998</v>
      </c>
      <c r="AV127" s="188">
        <v>1.6500000000000001</v>
      </c>
      <c r="AW127" s="188">
        <v>3.74</v>
      </c>
      <c r="AX127" s="113">
        <v>4.42</v>
      </c>
      <c r="AY127" s="112">
        <v>4.2750000000000004</v>
      </c>
      <c r="AZ127" s="188">
        <v>7.5</v>
      </c>
      <c r="BA127" s="188">
        <v>8.5</v>
      </c>
      <c r="BB127" s="188">
        <v>8.5</v>
      </c>
      <c r="BC127" s="112">
        <v>5</v>
      </c>
      <c r="BD127" s="188">
        <v>7.5</v>
      </c>
      <c r="BE127" s="188">
        <v>8.5</v>
      </c>
      <c r="BF127" s="113">
        <v>8.5</v>
      </c>
      <c r="BG127" s="112">
        <f t="shared" si="92"/>
        <v>5.65</v>
      </c>
      <c r="BH127" s="188">
        <f t="shared" si="89"/>
        <v>11.9</v>
      </c>
      <c r="BI127" s="188">
        <f t="shared" si="89"/>
        <v>16.86</v>
      </c>
      <c r="BJ127" s="188">
        <f t="shared" si="89"/>
        <v>19.670000000000002</v>
      </c>
      <c r="BK127" s="112">
        <f t="shared" si="89"/>
        <v>7.0300000000000011</v>
      </c>
      <c r="BL127" s="188">
        <f t="shared" si="89"/>
        <v>11.9</v>
      </c>
      <c r="BM127" s="188">
        <f t="shared" si="89"/>
        <v>16.86</v>
      </c>
      <c r="BN127" s="188">
        <f t="shared" si="89"/>
        <v>18.850000000000001</v>
      </c>
      <c r="BO127" s="112">
        <f t="shared" si="93"/>
        <v>6.4780000000000015</v>
      </c>
      <c r="BP127" s="188">
        <f t="shared" si="94"/>
        <v>11.9</v>
      </c>
      <c r="BQ127" s="188">
        <f t="shared" si="95"/>
        <v>16.86</v>
      </c>
      <c r="BR127" s="188">
        <f t="shared" si="96"/>
        <v>19.178000000000001</v>
      </c>
      <c r="BS127" s="112">
        <f t="shared" si="97"/>
        <v>10.815600000000002</v>
      </c>
      <c r="BT127" s="113">
        <f t="shared" si="98"/>
        <v>17.323599999999999</v>
      </c>
      <c r="BU127" s="113">
        <f t="shared" si="99"/>
        <v>14.069600000000001</v>
      </c>
      <c r="BV127" s="113">
        <f>BU125</f>
        <v>15.967400000000001</v>
      </c>
    </row>
    <row r="128" spans="1:74" x14ac:dyDescent="0.25">
      <c r="BF128" s="138"/>
      <c r="BG128" s="139"/>
      <c r="BH128" s="139"/>
      <c r="BI128" s="139"/>
      <c r="BJ128" s="139"/>
      <c r="BK128" s="139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100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101">G132+0.11</f>
        <v>0.55000000000000004</v>
      </c>
      <c r="I132" s="25">
        <v>0.06</v>
      </c>
      <c r="J132">
        <f t="shared" ref="J132:J134" si="102">F132</f>
        <v>0.22000000000000003</v>
      </c>
      <c r="K132">
        <f t="shared" ref="K132:K134" si="103">G132</f>
        <v>0.44</v>
      </c>
      <c r="L132" s="26">
        <f t="shared" ref="L132" si="104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100"/>
        <v>0.66</v>
      </c>
      <c r="D133" s="16" t="s">
        <v>43</v>
      </c>
      <c r="E133" s="23">
        <f t="shared" ref="E133" si="105">F133-0.11</f>
        <v>0.44000000000000006</v>
      </c>
      <c r="F133" s="44">
        <f>C133-0.11</f>
        <v>0.55000000000000004</v>
      </c>
      <c r="G133">
        <f t="shared" ref="G133" si="106">C133+0.11</f>
        <v>0.77</v>
      </c>
      <c r="H133" s="24">
        <f>G133+0.12</f>
        <v>0.89</v>
      </c>
      <c r="I133" s="25">
        <f t="shared" ref="I133" si="107">J133-0.08</f>
        <v>0.47000000000000003</v>
      </c>
      <c r="J133">
        <f t="shared" si="102"/>
        <v>0.55000000000000004</v>
      </c>
      <c r="K133">
        <f t="shared" si="103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100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102"/>
        <v>1</v>
      </c>
      <c r="K134" s="29">
        <f t="shared" si="103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108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109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110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108"/>
        <v>5</v>
      </c>
      <c r="I139" s="25">
        <f t="shared" ref="I139:I141" si="111">J139-1</f>
        <v>1.5</v>
      </c>
      <c r="J139">
        <f t="shared" ref="J139:J141" si="112">F139</f>
        <v>2.5</v>
      </c>
      <c r="K139">
        <f t="shared" ref="K139:K141" si="113">G139</f>
        <v>3.5</v>
      </c>
      <c r="L139" s="26">
        <f t="shared" si="109"/>
        <v>4.5</v>
      </c>
    </row>
    <row r="140" spans="1:12" x14ac:dyDescent="0.25">
      <c r="A140" s="41" t="s">
        <v>43</v>
      </c>
      <c r="B140" s="2">
        <v>5.5</v>
      </c>
      <c r="C140" s="15">
        <f t="shared" si="110"/>
        <v>5.5</v>
      </c>
      <c r="D140" s="16" t="s">
        <v>43</v>
      </c>
      <c r="E140" s="23">
        <f t="shared" ref="E140:E141" si="114">F140-1.5</f>
        <v>3.5</v>
      </c>
      <c r="F140" s="44">
        <f>C140-0.5</f>
        <v>5</v>
      </c>
      <c r="G140">
        <f>C140+0.5</f>
        <v>6</v>
      </c>
      <c r="H140" s="24">
        <f t="shared" si="108"/>
        <v>7.5</v>
      </c>
      <c r="I140" s="25">
        <f t="shared" si="111"/>
        <v>4</v>
      </c>
      <c r="J140">
        <f t="shared" si="112"/>
        <v>5</v>
      </c>
      <c r="K140">
        <f t="shared" si="113"/>
        <v>6</v>
      </c>
      <c r="L140" s="26">
        <f t="shared" si="109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110"/>
        <v>8</v>
      </c>
      <c r="D141" s="16" t="s">
        <v>42</v>
      </c>
      <c r="E141" s="27">
        <f t="shared" si="114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111"/>
        <v>6.5</v>
      </c>
      <c r="J141" s="29">
        <f t="shared" si="112"/>
        <v>7.5</v>
      </c>
      <c r="K141" s="29">
        <f t="shared" si="113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58" t="s">
        <v>54</v>
      </c>
      <c r="F144" s="459"/>
      <c r="G144" s="459"/>
      <c r="H144" s="459"/>
      <c r="I144" s="459"/>
      <c r="J144" s="459"/>
      <c r="K144" s="459"/>
      <c r="L144" s="460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356" t="s">
        <v>60</v>
      </c>
      <c r="B150" s="357" t="s">
        <v>61</v>
      </c>
      <c r="E150" s="458" t="s">
        <v>62</v>
      </c>
      <c r="F150" s="459"/>
      <c r="G150" s="459"/>
      <c r="H150" s="459"/>
      <c r="I150" s="459"/>
      <c r="J150" s="459"/>
      <c r="K150" s="459"/>
      <c r="L150" s="460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4">
        <f>F131*F$145</f>
        <v>0</v>
      </c>
      <c r="G151" s="234">
        <f>G131*G$145</f>
        <v>0</v>
      </c>
      <c r="H151" s="140">
        <f>G131*H$145+G$145*H131-G131*G$145</f>
        <v>1.32</v>
      </c>
      <c r="I151" s="110">
        <f>I131*J$145+I$145*J131-J131*J$145</f>
        <v>0</v>
      </c>
      <c r="J151" s="234">
        <f>J131*J$145</f>
        <v>0</v>
      </c>
      <c r="K151" s="234">
        <f>K131*K$145</f>
        <v>0</v>
      </c>
      <c r="L151" s="140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15">F132*F$145</f>
        <v>1.1000000000000001</v>
      </c>
      <c r="G152" s="97">
        <f t="shared" si="115"/>
        <v>2.64</v>
      </c>
      <c r="H152" s="142">
        <f t="shared" ref="H152:H154" si="116">G132*H$145+G$145*H132-G132*G$145</f>
        <v>3.9599999999999995</v>
      </c>
      <c r="I152" s="111">
        <f t="shared" ref="I152:I154" si="117">I132*J$145+I$145*J132-J132*J$145</f>
        <v>8.0000000000000071E-2</v>
      </c>
      <c r="J152" s="97">
        <f t="shared" ref="J152:K154" si="118">J132*J$145</f>
        <v>1.1000000000000001</v>
      </c>
      <c r="K152" s="97">
        <f t="shared" si="118"/>
        <v>2.64</v>
      </c>
      <c r="L152" s="142">
        <f t="shared" ref="L152:L154" si="119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20">E133*F$145+E$145*F133-F133*F$145</f>
        <v>1.375</v>
      </c>
      <c r="F153" s="97">
        <f t="shared" si="115"/>
        <v>2.75</v>
      </c>
      <c r="G153" s="97">
        <f t="shared" si="115"/>
        <v>4.62</v>
      </c>
      <c r="H153" s="142">
        <f t="shared" si="116"/>
        <v>6.4950000000000001</v>
      </c>
      <c r="I153" s="111">
        <f t="shared" si="117"/>
        <v>1.8000000000000007</v>
      </c>
      <c r="J153" s="97">
        <f t="shared" si="118"/>
        <v>2.75</v>
      </c>
      <c r="K153" s="97">
        <f t="shared" si="118"/>
        <v>4.62</v>
      </c>
      <c r="L153" s="142">
        <f t="shared" si="119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20"/>
        <v>2.3499999999999996</v>
      </c>
      <c r="F154" s="188">
        <f t="shared" si="115"/>
        <v>5</v>
      </c>
      <c r="G154" s="188">
        <f t="shared" si="115"/>
        <v>6</v>
      </c>
      <c r="H154" s="113">
        <f t="shared" si="116"/>
        <v>7.5</v>
      </c>
      <c r="I154" s="112">
        <f t="shared" si="117"/>
        <v>3</v>
      </c>
      <c r="J154" s="188">
        <f t="shared" si="118"/>
        <v>5</v>
      </c>
      <c r="K154" s="188">
        <f t="shared" si="118"/>
        <v>6</v>
      </c>
      <c r="L154" s="113">
        <f t="shared" si="119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4">
        <f>F131*F$146</f>
        <v>0</v>
      </c>
      <c r="G155" s="234">
        <f>G131*G$146</f>
        <v>0</v>
      </c>
      <c r="H155" s="140">
        <f>G131*H$146+G$146*H131-G131*G$146</f>
        <v>1.87</v>
      </c>
      <c r="I155" s="110">
        <f>I131*J$146+I$146*J131-J131*J$146</f>
        <v>0</v>
      </c>
      <c r="J155" s="234">
        <f>J131*J$146</f>
        <v>0</v>
      </c>
      <c r="K155" s="234">
        <f>K131*K$146</f>
        <v>0</v>
      </c>
      <c r="L155" s="140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21">F132*F$146</f>
        <v>1.6500000000000001</v>
      </c>
      <c r="G156" s="97">
        <f t="shared" si="121"/>
        <v>3.74</v>
      </c>
      <c r="H156" s="142">
        <f t="shared" ref="H156:H158" si="122">G132*H$146+G$146*H132-G132*G$146</f>
        <v>4.6750000000000007</v>
      </c>
      <c r="I156" s="111">
        <f t="shared" ref="I156:I158" si="123">I132*J$146+I$146*J132-J132*J$146</f>
        <v>0.22999999999999998</v>
      </c>
      <c r="J156" s="97">
        <f t="shared" ref="J156:K158" si="124">J132*J$146</f>
        <v>1.6500000000000001</v>
      </c>
      <c r="K156" s="97">
        <f t="shared" si="124"/>
        <v>3.74</v>
      </c>
      <c r="L156" s="142">
        <f t="shared" ref="L156:L158" si="125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26">E133*F$146+E$146*F133-F133*F$146</f>
        <v>2.4750000000000005</v>
      </c>
      <c r="F157" s="97">
        <f t="shared" si="121"/>
        <v>4.125</v>
      </c>
      <c r="G157" s="97">
        <f t="shared" si="121"/>
        <v>6.5449999999999999</v>
      </c>
      <c r="H157" s="142">
        <f t="shared" si="122"/>
        <v>7.5649999999999995</v>
      </c>
      <c r="I157" s="111">
        <f t="shared" si="123"/>
        <v>2.9750000000000005</v>
      </c>
      <c r="J157" s="97">
        <f t="shared" si="124"/>
        <v>4.125</v>
      </c>
      <c r="K157" s="97">
        <f t="shared" si="124"/>
        <v>6.5449999999999999</v>
      </c>
      <c r="L157" s="142">
        <f t="shared" si="125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26"/>
        <v>4.2750000000000004</v>
      </c>
      <c r="F158" s="188">
        <f t="shared" si="121"/>
        <v>7.5</v>
      </c>
      <c r="G158" s="188">
        <f t="shared" si="121"/>
        <v>8.5</v>
      </c>
      <c r="H158" s="113">
        <f t="shared" si="122"/>
        <v>8.5</v>
      </c>
      <c r="I158" s="112">
        <f t="shared" si="123"/>
        <v>5</v>
      </c>
      <c r="J158" s="188">
        <f t="shared" si="124"/>
        <v>7.5</v>
      </c>
      <c r="K158" s="188">
        <f t="shared" si="124"/>
        <v>8.5</v>
      </c>
      <c r="L158" s="113">
        <f t="shared" si="125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4">
        <f>F131*F$147</f>
        <v>0</v>
      </c>
      <c r="G159" s="234">
        <f>G131*G$147</f>
        <v>0</v>
      </c>
      <c r="H159" s="140">
        <f>G131*H$147+G$147*H131-G131*G$147</f>
        <v>1.87</v>
      </c>
      <c r="I159" s="110">
        <f>I131*J$147+I$147*J131-J131*J$147</f>
        <v>0</v>
      </c>
      <c r="J159" s="234">
        <f>J131*J$147</f>
        <v>0</v>
      </c>
      <c r="K159" s="234">
        <f>K131*K$147</f>
        <v>0</v>
      </c>
      <c r="L159" s="140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27">F132*F$147</f>
        <v>1.6500000000000001</v>
      </c>
      <c r="G160" s="97">
        <f t="shared" si="127"/>
        <v>3.74</v>
      </c>
      <c r="H160" s="142">
        <f t="shared" ref="H160:H162" si="128">G132*H$147+G$147*H132-G132*G$147</f>
        <v>4.6750000000000007</v>
      </c>
      <c r="I160" s="111">
        <f t="shared" ref="I160:I162" si="129">I132*J$147+I$147*J132-J132*J$147</f>
        <v>0.22999999999999998</v>
      </c>
      <c r="J160" s="97">
        <f t="shared" ref="J160:K162" si="130">J132*J$147</f>
        <v>1.6500000000000001</v>
      </c>
      <c r="K160" s="97">
        <f t="shared" si="130"/>
        <v>3.74</v>
      </c>
      <c r="L160" s="142">
        <f t="shared" ref="L160:L162" si="131">K132*L$147+K$147*L132-K132*K$147</f>
        <v>4.42</v>
      </c>
    </row>
    <row r="161" spans="1:12" x14ac:dyDescent="0.25">
      <c r="A161" s="57" t="s">
        <v>59</v>
      </c>
      <c r="B161" s="60" t="s">
        <v>43</v>
      </c>
      <c r="D161" s="63" t="s">
        <v>70</v>
      </c>
      <c r="E161" s="111">
        <f t="shared" ref="E161:E162" si="132">E133*F$147+E$147*F133-F133*F$147</f>
        <v>2.4750000000000005</v>
      </c>
      <c r="F161" s="97">
        <f t="shared" si="127"/>
        <v>4.125</v>
      </c>
      <c r="G161" s="97">
        <f t="shared" si="127"/>
        <v>6.5449999999999999</v>
      </c>
      <c r="H161" s="142">
        <f t="shared" si="128"/>
        <v>7.5649999999999995</v>
      </c>
      <c r="I161" s="111">
        <f t="shared" si="129"/>
        <v>2.9750000000000005</v>
      </c>
      <c r="J161" s="97">
        <f t="shared" si="130"/>
        <v>4.125</v>
      </c>
      <c r="K161" s="97">
        <f t="shared" si="130"/>
        <v>6.5449999999999999</v>
      </c>
      <c r="L161" s="142">
        <f t="shared" si="131"/>
        <v>7.3100000000000005</v>
      </c>
    </row>
    <row r="162" spans="1:12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32"/>
        <v>4.2750000000000004</v>
      </c>
      <c r="F162" s="188">
        <f t="shared" si="127"/>
        <v>7.5</v>
      </c>
      <c r="G162" s="188">
        <f t="shared" si="127"/>
        <v>8.5</v>
      </c>
      <c r="H162" s="113">
        <f t="shared" si="128"/>
        <v>8.5</v>
      </c>
      <c r="I162" s="112">
        <f t="shared" si="129"/>
        <v>5</v>
      </c>
      <c r="J162" s="188">
        <f t="shared" si="130"/>
        <v>7.5</v>
      </c>
      <c r="K162" s="188">
        <f t="shared" si="130"/>
        <v>8.5</v>
      </c>
      <c r="L162" s="113">
        <f t="shared" si="131"/>
        <v>8.5</v>
      </c>
    </row>
    <row r="164" spans="1:12" ht="15.75" thickBot="1" x14ac:dyDescent="0.3">
      <c r="A164" s="1" t="s">
        <v>128</v>
      </c>
    </row>
    <row r="165" spans="1:12" ht="15" customHeight="1" thickBot="1" x14ac:dyDescent="0.3">
      <c r="A165" s="82" t="s">
        <v>99</v>
      </c>
      <c r="B165" s="47" t="s">
        <v>131</v>
      </c>
      <c r="C165" s="90" t="s">
        <v>132</v>
      </c>
    </row>
    <row r="166" spans="1:12" x14ac:dyDescent="0.25">
      <c r="A166" s="83" t="s">
        <v>100</v>
      </c>
      <c r="B166" s="9">
        <v>0.75</v>
      </c>
      <c r="C166" s="91">
        <f>B166/B$169</f>
        <v>0.3</v>
      </c>
    </row>
    <row r="167" spans="1:12" x14ac:dyDescent="0.25">
      <c r="A167" s="10" t="s">
        <v>101</v>
      </c>
      <c r="B167" s="10">
        <v>0.75</v>
      </c>
      <c r="C167" s="76">
        <f t="shared" ref="C167:C168" si="133">B167/B$169</f>
        <v>0.3</v>
      </c>
    </row>
    <row r="168" spans="1:12" ht="15.75" thickBot="1" x14ac:dyDescent="0.3">
      <c r="A168" s="87" t="s">
        <v>120</v>
      </c>
      <c r="B168" s="87">
        <v>1</v>
      </c>
      <c r="C168" s="77">
        <f t="shared" si="133"/>
        <v>0.4</v>
      </c>
    </row>
    <row r="169" spans="1:12" ht="15.75" thickBot="1" x14ac:dyDescent="0.3">
      <c r="A169" s="11" t="s">
        <v>130</v>
      </c>
      <c r="B169" s="88">
        <f>SUM(B166:B168)</f>
        <v>2.5</v>
      </c>
      <c r="C169" s="89">
        <f>SUM(C166:C168)</f>
        <v>1</v>
      </c>
    </row>
    <row r="171" spans="1:12" ht="15.75" thickBot="1" x14ac:dyDescent="0.3">
      <c r="A171" s="1" t="s">
        <v>327</v>
      </c>
    </row>
    <row r="172" spans="1:12" ht="15.75" thickBot="1" x14ac:dyDescent="0.3">
      <c r="A172" s="278" t="s">
        <v>273</v>
      </c>
      <c r="B172" s="279" t="s">
        <v>268</v>
      </c>
    </row>
    <row r="173" spans="1:12" x14ac:dyDescent="0.25">
      <c r="A173" s="275" t="s">
        <v>271</v>
      </c>
      <c r="B173" s="91">
        <v>0.8</v>
      </c>
    </row>
    <row r="174" spans="1:12" x14ac:dyDescent="0.25">
      <c r="A174" s="276" t="s">
        <v>272</v>
      </c>
      <c r="B174" s="76">
        <v>0.4</v>
      </c>
    </row>
    <row r="175" spans="1:12" ht="15.75" thickBot="1" x14ac:dyDescent="0.3">
      <c r="A175" s="277" t="s">
        <v>269</v>
      </c>
      <c r="B175" s="77">
        <v>0.6</v>
      </c>
    </row>
    <row r="176" spans="1:12" x14ac:dyDescent="0.25">
      <c r="A176" s="461" t="s">
        <v>134</v>
      </c>
      <c r="B176" s="462"/>
      <c r="C176" s="462"/>
      <c r="D176" s="462"/>
      <c r="E176" s="462"/>
      <c r="F176" s="462"/>
      <c r="G176" s="462"/>
      <c r="H176" s="462"/>
      <c r="I176" s="462"/>
    </row>
    <row r="177" spans="1:9" x14ac:dyDescent="0.25">
      <c r="A177" s="463" t="s">
        <v>135</v>
      </c>
      <c r="B177" s="462"/>
      <c r="C177" s="462"/>
      <c r="D177" s="462"/>
      <c r="F177" s="463" t="s">
        <v>136</v>
      </c>
      <c r="G177" s="462"/>
      <c r="H177" s="462"/>
      <c r="I177" s="462"/>
    </row>
    <row r="179" spans="1:9" x14ac:dyDescent="0.25">
      <c r="A179" s="92" t="s">
        <v>24</v>
      </c>
      <c r="B179" s="304">
        <v>1</v>
      </c>
      <c r="C179" s="304">
        <v>0.60577401692384281</v>
      </c>
      <c r="D179" s="304">
        <v>0.60517155643958231</v>
      </c>
      <c r="F179" s="92" t="s">
        <v>24</v>
      </c>
      <c r="G179" s="304">
        <v>1</v>
      </c>
      <c r="H179" s="304">
        <v>0.52777777777777779</v>
      </c>
      <c r="I179" s="304">
        <v>0.52777777777777779</v>
      </c>
    </row>
    <row r="180" spans="1:9" x14ac:dyDescent="0.25">
      <c r="B180" s="304">
        <v>0.60577401692384281</v>
      </c>
      <c r="C180" s="304">
        <v>1</v>
      </c>
      <c r="D180" s="304">
        <v>0.99879590608067415</v>
      </c>
      <c r="G180" s="304">
        <v>0.52777777777777779</v>
      </c>
      <c r="H180" s="304">
        <v>1</v>
      </c>
      <c r="I180" s="304">
        <v>1</v>
      </c>
    </row>
    <row r="181" spans="1:9" x14ac:dyDescent="0.25">
      <c r="B181" s="304">
        <v>0.60517155643958231</v>
      </c>
      <c r="C181" s="304">
        <v>0.99879590608067415</v>
      </c>
      <c r="D181" s="304">
        <v>1</v>
      </c>
      <c r="G181" s="304">
        <v>0.52777777777777779</v>
      </c>
      <c r="H181" s="304">
        <v>1</v>
      </c>
      <c r="I181" s="304">
        <v>1</v>
      </c>
    </row>
    <row r="182" spans="1:9" x14ac:dyDescent="0.25">
      <c r="B182" s="15"/>
      <c r="C182" s="15"/>
      <c r="D182" s="15"/>
      <c r="G182" s="15"/>
      <c r="H182" s="15"/>
      <c r="I182" s="15"/>
    </row>
    <row r="183" spans="1:9" x14ac:dyDescent="0.25">
      <c r="A183" s="92" t="s">
        <v>13</v>
      </c>
      <c r="B183" s="304">
        <v>1</v>
      </c>
      <c r="C183" s="304">
        <v>0.90502695887765217</v>
      </c>
      <c r="D183" s="304">
        <v>0.69803516028955515</v>
      </c>
      <c r="F183" s="92" t="s">
        <v>13</v>
      </c>
      <c r="G183" s="304">
        <v>1</v>
      </c>
      <c r="H183" s="304">
        <v>0.86022364217252401</v>
      </c>
      <c r="I183" s="304">
        <v>0.64948453608247403</v>
      </c>
    </row>
    <row r="184" spans="1:9" x14ac:dyDescent="0.25">
      <c r="B184" s="304">
        <v>0.90502695887765217</v>
      </c>
      <c r="C184" s="304">
        <v>1</v>
      </c>
      <c r="D184" s="304">
        <v>0.69301075268817203</v>
      </c>
      <c r="G184" s="304">
        <v>0.86022364217252401</v>
      </c>
      <c r="H184" s="304">
        <v>1</v>
      </c>
      <c r="I184" s="304">
        <v>0.63345410628019305</v>
      </c>
    </row>
    <row r="185" spans="1:9" x14ac:dyDescent="0.25">
      <c r="B185" s="304">
        <v>0.69803516028955515</v>
      </c>
      <c r="C185" s="304">
        <v>0.69301075268817203</v>
      </c>
      <c r="D185" s="304">
        <v>1</v>
      </c>
      <c r="G185" s="304">
        <v>0.64948453608247403</v>
      </c>
      <c r="H185" s="304">
        <v>0.63345410628019305</v>
      </c>
      <c r="I185" s="304">
        <v>1</v>
      </c>
    </row>
    <row r="186" spans="1:9" x14ac:dyDescent="0.25">
      <c r="B186" s="15"/>
      <c r="C186" s="15"/>
      <c r="D186" s="15"/>
      <c r="G186" s="15"/>
      <c r="H186" s="15"/>
      <c r="I186" s="15"/>
    </row>
    <row r="187" spans="1:9" x14ac:dyDescent="0.25">
      <c r="A187" s="92" t="s">
        <v>14</v>
      </c>
      <c r="B187" s="304">
        <v>1</v>
      </c>
      <c r="C187" s="304">
        <v>0.63516896120150179</v>
      </c>
      <c r="D187" s="304">
        <v>0.87632036838497629</v>
      </c>
      <c r="F187" s="92" t="s">
        <v>14</v>
      </c>
      <c r="G187" s="304">
        <v>1</v>
      </c>
      <c r="H187" s="304">
        <v>0.57102672292545686</v>
      </c>
      <c r="I187" s="304">
        <v>0.81182795698924737</v>
      </c>
    </row>
    <row r="188" spans="1:9" x14ac:dyDescent="0.25">
      <c r="B188" s="304">
        <v>0.63516896120150179</v>
      </c>
      <c r="C188" s="304">
        <v>1</v>
      </c>
      <c r="D188" s="304">
        <v>0.62639527248850946</v>
      </c>
      <c r="G188" s="304">
        <v>0.57102672292545686</v>
      </c>
      <c r="H188" s="304">
        <v>1</v>
      </c>
      <c r="I188" s="304">
        <v>0.54579579579579585</v>
      </c>
    </row>
    <row r="189" spans="1:9" x14ac:dyDescent="0.25">
      <c r="B189" s="304">
        <v>0.87632036838497629</v>
      </c>
      <c r="C189" s="304">
        <v>0.62639527248850946</v>
      </c>
      <c r="D189" s="304">
        <v>1</v>
      </c>
      <c r="G189" s="304">
        <v>0.81182795698924737</v>
      </c>
      <c r="H189" s="304">
        <v>0.54579579579579585</v>
      </c>
      <c r="I189" s="304">
        <v>1</v>
      </c>
    </row>
    <row r="190" spans="1:9" x14ac:dyDescent="0.25">
      <c r="B190" s="15"/>
      <c r="C190" s="15"/>
      <c r="D190" s="15"/>
      <c r="G190" s="15"/>
      <c r="H190" s="15"/>
      <c r="I190" s="15"/>
    </row>
    <row r="191" spans="1:9" x14ac:dyDescent="0.25">
      <c r="A191" s="92" t="s">
        <v>15</v>
      </c>
      <c r="B191" s="304">
        <v>1</v>
      </c>
      <c r="C191" s="304">
        <v>0.92244191685403165</v>
      </c>
      <c r="D191" s="304">
        <v>0.64566577301161754</v>
      </c>
      <c r="F191" s="92" t="s">
        <v>15</v>
      </c>
      <c r="G191" s="304">
        <v>1</v>
      </c>
      <c r="H191" s="304">
        <v>0.88832487309644681</v>
      </c>
      <c r="I191" s="304">
        <v>0.58045409674234938</v>
      </c>
    </row>
    <row r="192" spans="1:9" x14ac:dyDescent="0.25">
      <c r="B192" s="304">
        <v>0.92244191685403165</v>
      </c>
      <c r="C192" s="304">
        <v>1</v>
      </c>
      <c r="D192" s="304">
        <v>0.62930638493339452</v>
      </c>
      <c r="G192" s="304">
        <v>0.88832487309644681</v>
      </c>
      <c r="H192" s="304">
        <v>1</v>
      </c>
      <c r="I192" s="304">
        <v>0.55899021123132397</v>
      </c>
    </row>
    <row r="193" spans="1:9" x14ac:dyDescent="0.25">
      <c r="B193" s="304">
        <v>0.64566577301161754</v>
      </c>
      <c r="C193" s="304">
        <v>0.62930638493339452</v>
      </c>
      <c r="D193" s="304">
        <v>1</v>
      </c>
      <c r="G193" s="304">
        <v>0.58045409674234938</v>
      </c>
      <c r="H193" s="304">
        <v>0.55899021123132397</v>
      </c>
      <c r="I193" s="304">
        <v>1</v>
      </c>
    </row>
    <row r="194" spans="1:9" x14ac:dyDescent="0.25">
      <c r="B194" s="15"/>
      <c r="C194" s="15"/>
      <c r="D194" s="15"/>
      <c r="G194" s="15"/>
      <c r="H194" s="15"/>
      <c r="I194" s="15"/>
    </row>
    <row r="195" spans="1:9" x14ac:dyDescent="0.25">
      <c r="A195" s="92" t="s">
        <v>17</v>
      </c>
      <c r="B195" s="304">
        <v>1</v>
      </c>
      <c r="C195" s="304">
        <v>0.78848509595753391</v>
      </c>
      <c r="D195" s="304">
        <v>0.93611387106781108</v>
      </c>
      <c r="F195" s="92" t="s">
        <v>17</v>
      </c>
      <c r="G195" s="304">
        <v>1</v>
      </c>
      <c r="H195" s="304">
        <v>0.77131258457374852</v>
      </c>
      <c r="I195" s="304">
        <v>0.9115267947421638</v>
      </c>
    </row>
    <row r="196" spans="1:9" x14ac:dyDescent="0.25">
      <c r="B196" s="304">
        <v>0.78848509595753391</v>
      </c>
      <c r="C196" s="304">
        <v>1</v>
      </c>
      <c r="D196" s="304">
        <v>0.7884534344711337</v>
      </c>
      <c r="G196" s="304">
        <v>0.77131258457374852</v>
      </c>
      <c r="H196" s="304">
        <v>1</v>
      </c>
      <c r="I196" s="304">
        <v>0.76481655691439299</v>
      </c>
    </row>
    <row r="197" spans="1:9" x14ac:dyDescent="0.25">
      <c r="B197" s="304">
        <v>0.93611387106781108</v>
      </c>
      <c r="C197" s="304">
        <v>0.7884534344711337</v>
      </c>
      <c r="D197" s="304">
        <v>1</v>
      </c>
      <c r="G197" s="304">
        <v>0.9115267947421638</v>
      </c>
      <c r="H197" s="304">
        <v>0.76481655691439299</v>
      </c>
      <c r="I197" s="304">
        <v>1</v>
      </c>
    </row>
    <row r="198" spans="1:9" x14ac:dyDescent="0.25">
      <c r="B198" s="15"/>
      <c r="C198" s="15"/>
      <c r="D198" s="15"/>
      <c r="G198" s="15"/>
      <c r="H198" s="15"/>
      <c r="I198" s="15"/>
    </row>
    <row r="199" spans="1:9" x14ac:dyDescent="0.25">
      <c r="A199" s="92" t="s">
        <v>18</v>
      </c>
      <c r="B199" s="304">
        <v>1</v>
      </c>
      <c r="C199" s="304">
        <v>0.77488048674489329</v>
      </c>
      <c r="D199" s="304">
        <v>0.77488048674489329</v>
      </c>
      <c r="F199" s="92" t="s">
        <v>18</v>
      </c>
      <c r="G199" s="304">
        <v>1</v>
      </c>
      <c r="H199" s="304">
        <v>0.76165803108808283</v>
      </c>
      <c r="I199" s="304">
        <v>0.76165803108808283</v>
      </c>
    </row>
    <row r="200" spans="1:9" x14ac:dyDescent="0.25">
      <c r="B200" s="304">
        <v>0.77488048674489329</v>
      </c>
      <c r="C200" s="304">
        <v>1</v>
      </c>
      <c r="D200" s="304">
        <v>1</v>
      </c>
      <c r="G200" s="304">
        <v>0.76165803108808283</v>
      </c>
      <c r="H200" s="304">
        <v>1</v>
      </c>
      <c r="I200" s="304">
        <v>1</v>
      </c>
    </row>
    <row r="201" spans="1:9" x14ac:dyDescent="0.25">
      <c r="B201" s="304">
        <v>0.77488048674489329</v>
      </c>
      <c r="C201" s="304">
        <v>1</v>
      </c>
      <c r="D201" s="304">
        <v>1</v>
      </c>
      <c r="G201" s="304">
        <v>0.76165803108808283</v>
      </c>
      <c r="H201" s="304">
        <v>1</v>
      </c>
      <c r="I201" s="304">
        <v>1</v>
      </c>
    </row>
    <row r="202" spans="1:9" x14ac:dyDescent="0.25">
      <c r="B202" s="15"/>
      <c r="C202" s="15"/>
      <c r="D202" s="15"/>
      <c r="G202" s="15"/>
      <c r="H202" s="15"/>
      <c r="I202" s="15"/>
    </row>
    <row r="203" spans="1:9" x14ac:dyDescent="0.25">
      <c r="A203" s="92" t="s">
        <v>19</v>
      </c>
      <c r="B203" s="304">
        <v>1</v>
      </c>
      <c r="C203" s="304">
        <v>0.91756028603706186</v>
      </c>
      <c r="D203" s="304">
        <v>0.91756028603706186</v>
      </c>
      <c r="F203" s="92" t="s">
        <v>19</v>
      </c>
      <c r="G203" s="304">
        <v>1</v>
      </c>
      <c r="H203" s="304">
        <v>0.88219363574813825</v>
      </c>
      <c r="I203" s="304">
        <v>0.88287068381855105</v>
      </c>
    </row>
    <row r="204" spans="1:9" x14ac:dyDescent="0.25">
      <c r="B204" s="304">
        <v>0.91756028603706186</v>
      </c>
      <c r="C204" s="304">
        <v>1</v>
      </c>
      <c r="D204" s="304">
        <v>1</v>
      </c>
      <c r="G204" s="304">
        <v>0.88219363574813825</v>
      </c>
      <c r="H204" s="304">
        <v>1</v>
      </c>
      <c r="I204" s="304">
        <v>0.99923312883435567</v>
      </c>
    </row>
    <row r="205" spans="1:9" x14ac:dyDescent="0.25">
      <c r="B205" s="304">
        <v>0.91756028603706186</v>
      </c>
      <c r="C205" s="304">
        <v>1</v>
      </c>
      <c r="D205" s="304">
        <v>1</v>
      </c>
      <c r="G205" s="304">
        <v>0.88287068381855105</v>
      </c>
      <c r="H205" s="304">
        <v>0.99923312883435567</v>
      </c>
      <c r="I205" s="304">
        <v>1</v>
      </c>
    </row>
    <row r="206" spans="1:9" x14ac:dyDescent="0.25">
      <c r="B206" s="15"/>
      <c r="C206" s="15"/>
      <c r="D206" s="15"/>
      <c r="G206" s="15"/>
      <c r="H206" s="15"/>
      <c r="I206" s="15"/>
    </row>
    <row r="207" spans="1:9" x14ac:dyDescent="0.25">
      <c r="A207" s="92" t="s">
        <v>20</v>
      </c>
      <c r="B207" s="304">
        <v>1</v>
      </c>
      <c r="C207" s="304">
        <v>0.93925358036522388</v>
      </c>
      <c r="D207" s="304">
        <v>0.93925358036522388</v>
      </c>
      <c r="F207" s="92" t="s">
        <v>20</v>
      </c>
      <c r="G207" s="304">
        <v>1</v>
      </c>
      <c r="H207" s="304">
        <v>0.91452569169960451</v>
      </c>
      <c r="I207" s="304">
        <v>0.91501976284584952</v>
      </c>
    </row>
    <row r="208" spans="1:9" x14ac:dyDescent="0.25">
      <c r="B208" s="304">
        <v>0.93925358036522388</v>
      </c>
      <c r="C208" s="304">
        <v>1</v>
      </c>
      <c r="D208" s="304">
        <v>1</v>
      </c>
      <c r="G208" s="304">
        <v>0.91452569169960451</v>
      </c>
      <c r="H208" s="304">
        <v>1</v>
      </c>
      <c r="I208" s="304">
        <v>0.99946004319654402</v>
      </c>
    </row>
    <row r="209" spans="1:18" x14ac:dyDescent="0.25">
      <c r="B209" s="304">
        <v>0.93925358036522388</v>
      </c>
      <c r="C209" s="304">
        <v>1</v>
      </c>
      <c r="D209" s="304">
        <v>1</v>
      </c>
      <c r="G209" s="304">
        <v>0.91501976284584952</v>
      </c>
      <c r="H209" s="304">
        <v>0.99946004319654402</v>
      </c>
      <c r="I209" s="304">
        <v>1</v>
      </c>
    </row>
    <row r="210" spans="1:18" x14ac:dyDescent="0.25">
      <c r="B210" s="15"/>
      <c r="C210" s="15"/>
      <c r="D210" s="15"/>
      <c r="G210" s="15"/>
      <c r="H210" s="15"/>
      <c r="I210" s="15"/>
    </row>
    <row r="211" spans="1:18" x14ac:dyDescent="0.25">
      <c r="A211" s="92" t="s">
        <v>22</v>
      </c>
      <c r="B211" s="304">
        <v>1</v>
      </c>
      <c r="C211" s="304">
        <v>0.43617021276595741</v>
      </c>
      <c r="D211" s="304">
        <v>0.43617021276595741</v>
      </c>
      <c r="F211" s="92" t="s">
        <v>22</v>
      </c>
      <c r="G211" s="304">
        <v>1</v>
      </c>
      <c r="H211" s="304">
        <v>0.33890506059314301</v>
      </c>
      <c r="I211" s="304">
        <v>0.33890506059314301</v>
      </c>
    </row>
    <row r="212" spans="1:18" x14ac:dyDescent="0.25">
      <c r="B212" s="304">
        <v>0.43617021276595741</v>
      </c>
      <c r="C212" s="304">
        <v>1</v>
      </c>
      <c r="D212" s="304">
        <v>1</v>
      </c>
      <c r="G212" s="304">
        <v>0.33890506059314301</v>
      </c>
      <c r="H212" s="304">
        <v>1</v>
      </c>
      <c r="I212" s="304">
        <v>1</v>
      </c>
    </row>
    <row r="213" spans="1:18" x14ac:dyDescent="0.25">
      <c r="B213" s="304">
        <v>0.43617021276595741</v>
      </c>
      <c r="C213" s="304">
        <v>1</v>
      </c>
      <c r="D213" s="304">
        <v>1</v>
      </c>
      <c r="G213" s="304">
        <v>0.33890506059314301</v>
      </c>
      <c r="H213" s="304">
        <v>1</v>
      </c>
      <c r="I213" s="304">
        <v>1</v>
      </c>
    </row>
    <row r="214" spans="1:18" x14ac:dyDescent="0.25">
      <c r="B214" s="15"/>
      <c r="C214" s="15"/>
      <c r="D214" s="15"/>
      <c r="G214" s="15"/>
      <c r="H214" s="15"/>
      <c r="I214" s="15"/>
    </row>
    <row r="215" spans="1:18" x14ac:dyDescent="0.25">
      <c r="A215" s="92" t="s">
        <v>23</v>
      </c>
      <c r="B215" s="304">
        <v>1</v>
      </c>
      <c r="C215" s="304">
        <v>0.75862068965517271</v>
      </c>
      <c r="D215" s="304">
        <v>0.75862068965517271</v>
      </c>
      <c r="F215" s="92" t="s">
        <v>23</v>
      </c>
      <c r="G215" s="304">
        <v>1</v>
      </c>
      <c r="H215" s="304">
        <v>0.73984575835475574</v>
      </c>
      <c r="I215" s="304">
        <v>0.73984575835475574</v>
      </c>
    </row>
    <row r="216" spans="1:18" x14ac:dyDescent="0.25">
      <c r="B216" s="304">
        <v>0.75862068965517271</v>
      </c>
      <c r="C216" s="304">
        <v>1</v>
      </c>
      <c r="D216" s="304">
        <v>1</v>
      </c>
      <c r="G216" s="304">
        <v>0.73984575835475574</v>
      </c>
      <c r="H216" s="304">
        <v>1</v>
      </c>
      <c r="I216" s="304">
        <v>1</v>
      </c>
    </row>
    <row r="217" spans="1:18" x14ac:dyDescent="0.25">
      <c r="B217" s="304">
        <v>0.75862068965517271</v>
      </c>
      <c r="C217" s="304">
        <v>1</v>
      </c>
      <c r="D217" s="304">
        <v>1</v>
      </c>
      <c r="G217" s="304">
        <v>0.73984575835475574</v>
      </c>
      <c r="H217" s="304">
        <v>1</v>
      </c>
      <c r="I217" s="304">
        <v>1</v>
      </c>
    </row>
    <row r="219" spans="1:18" x14ac:dyDescent="0.25">
      <c r="A219" s="461" t="s">
        <v>137</v>
      </c>
      <c r="B219" s="462"/>
      <c r="C219" s="462"/>
      <c r="D219" s="462"/>
      <c r="E219" s="462"/>
      <c r="F219" s="462"/>
      <c r="G219" s="462"/>
      <c r="H219" s="462"/>
      <c r="I219" s="462"/>
    </row>
    <row r="220" spans="1:18" x14ac:dyDescent="0.25">
      <c r="A220" s="463" t="s">
        <v>143</v>
      </c>
      <c r="B220" s="462"/>
      <c r="C220" s="462"/>
      <c r="D220" s="462"/>
      <c r="F220" s="463" t="s">
        <v>144</v>
      </c>
      <c r="G220" s="462"/>
      <c r="H220" s="462"/>
      <c r="I220" s="462"/>
    </row>
    <row r="221" spans="1:18" s="101" customFormat="1" ht="30" x14ac:dyDescent="0.25">
      <c r="A221" s="285" t="s">
        <v>234</v>
      </c>
      <c r="B221" s="285" t="s">
        <v>100</v>
      </c>
      <c r="C221" s="285" t="s">
        <v>101</v>
      </c>
      <c r="D221" s="285" t="s">
        <v>120</v>
      </c>
      <c r="F221" s="285" t="s">
        <v>234</v>
      </c>
      <c r="G221" s="285" t="s">
        <v>100</v>
      </c>
      <c r="H221" s="285" t="s">
        <v>101</v>
      </c>
      <c r="I221" s="285" t="s">
        <v>120</v>
      </c>
    </row>
    <row r="222" spans="1:18" x14ac:dyDescent="0.25">
      <c r="A222" s="354" t="s">
        <v>24</v>
      </c>
      <c r="B222" s="98">
        <f>(C179+D179)/2</f>
        <v>0.60547278668171256</v>
      </c>
      <c r="C222" s="98">
        <f>(B180+D180)/2</f>
        <v>0.80228496150225848</v>
      </c>
      <c r="D222" s="98">
        <f>(B181+C181)/2</f>
        <v>0.80198373126012823</v>
      </c>
      <c r="F222" s="2" t="s">
        <v>24</v>
      </c>
      <c r="G222" s="98">
        <f>(H179+I179)/2</f>
        <v>0.52777777777777779</v>
      </c>
      <c r="H222" s="98">
        <f>(G180+I180)/2</f>
        <v>0.76388888888888884</v>
      </c>
      <c r="I222" s="98">
        <f>(G181+H181)/2</f>
        <v>0.76388888888888884</v>
      </c>
      <c r="J222" s="419"/>
      <c r="K222" s="419"/>
      <c r="L222" s="419"/>
      <c r="O222" s="419"/>
      <c r="P222" s="419"/>
      <c r="Q222" s="419"/>
      <c r="R222" s="419"/>
    </row>
    <row r="223" spans="1:18" x14ac:dyDescent="0.25">
      <c r="A223" s="354" t="s">
        <v>13</v>
      </c>
      <c r="B223" s="98">
        <f>(C183+D183)/2</f>
        <v>0.8015310595836036</v>
      </c>
      <c r="C223" s="98">
        <f>(B184+D184)/2</f>
        <v>0.7990188557829121</v>
      </c>
      <c r="D223" s="98">
        <f>(B185+C185)/2</f>
        <v>0.69552295648886364</v>
      </c>
      <c r="F223" s="2" t="s">
        <v>13</v>
      </c>
      <c r="G223" s="98">
        <f>(H183+I183)/2</f>
        <v>0.75485408912749907</v>
      </c>
      <c r="H223" s="98">
        <f>(G184+I184)/2</f>
        <v>0.74683887422635853</v>
      </c>
      <c r="I223" s="98">
        <f>(G185+H185)/2</f>
        <v>0.6414693211813336</v>
      </c>
      <c r="J223" s="419"/>
      <c r="K223" s="419"/>
      <c r="L223" s="419"/>
      <c r="O223" s="419"/>
      <c r="P223" s="419"/>
      <c r="Q223" s="419"/>
      <c r="R223" s="419"/>
    </row>
    <row r="224" spans="1:18" x14ac:dyDescent="0.25">
      <c r="A224" s="354" t="s">
        <v>14</v>
      </c>
      <c r="B224" s="98">
        <f>(C187+D187)/2</f>
        <v>0.7557446647932391</v>
      </c>
      <c r="C224" s="98">
        <f>(B188+D188)/2</f>
        <v>0.63078211684500562</v>
      </c>
      <c r="D224" s="98">
        <f>(B189+C189)/2</f>
        <v>0.75135782043674282</v>
      </c>
      <c r="F224" s="2" t="s">
        <v>14</v>
      </c>
      <c r="G224" s="98">
        <f>(H187+I187)/2</f>
        <v>0.69142733995735206</v>
      </c>
      <c r="H224" s="98">
        <f>(G188+I188)/2</f>
        <v>0.5584112593606263</v>
      </c>
      <c r="I224" s="98">
        <f>(G189+H189)/2</f>
        <v>0.67881187639252161</v>
      </c>
      <c r="J224" s="419"/>
      <c r="K224" s="419"/>
      <c r="L224" s="419"/>
      <c r="O224" s="419"/>
      <c r="P224" s="419"/>
      <c r="Q224" s="419"/>
      <c r="R224" s="419"/>
    </row>
    <row r="225" spans="1:18" x14ac:dyDescent="0.25">
      <c r="A225" s="354" t="s">
        <v>15</v>
      </c>
      <c r="B225" s="98">
        <f>(C191+D191)/2</f>
        <v>0.7840538449328246</v>
      </c>
      <c r="C225" s="98">
        <f>(B192+D192)/2</f>
        <v>0.77587415089371303</v>
      </c>
      <c r="D225" s="98">
        <f>(B193+C193)/2</f>
        <v>0.63748607897250609</v>
      </c>
      <c r="F225" s="2" t="s">
        <v>15</v>
      </c>
      <c r="G225" s="98">
        <f>(H191+I191)/2</f>
        <v>0.73438948491939815</v>
      </c>
      <c r="H225" s="98">
        <f>(G192+I192)/2</f>
        <v>0.72365754216388534</v>
      </c>
      <c r="I225" s="98">
        <f>(G193+H193)/2</f>
        <v>0.56972215398683668</v>
      </c>
      <c r="J225" s="419"/>
      <c r="K225" s="419"/>
      <c r="L225" s="419"/>
      <c r="O225" s="419"/>
      <c r="P225" s="419"/>
      <c r="Q225" s="419"/>
      <c r="R225" s="419"/>
    </row>
    <row r="226" spans="1:18" x14ac:dyDescent="0.25">
      <c r="A226" s="354" t="s">
        <v>17</v>
      </c>
      <c r="B226" s="98">
        <f>(C195+D195)/2</f>
        <v>0.86229948351267249</v>
      </c>
      <c r="C226" s="98">
        <f>(B196+D196)/2</f>
        <v>0.7884692652143338</v>
      </c>
      <c r="D226" s="98">
        <f>(B197+C197)/2</f>
        <v>0.86228365276947239</v>
      </c>
      <c r="F226" s="2" t="s">
        <v>17</v>
      </c>
      <c r="G226" s="98">
        <f>(H195+I195)/2</f>
        <v>0.84141968965795622</v>
      </c>
      <c r="H226" s="98">
        <f>(G196+I196)/2</f>
        <v>0.76806457074407075</v>
      </c>
      <c r="I226" s="98">
        <f>(G197+H197)/2</f>
        <v>0.83817167582827845</v>
      </c>
      <c r="J226" s="419"/>
      <c r="K226" s="419"/>
      <c r="L226" s="419"/>
      <c r="O226" s="419"/>
      <c r="P226" s="419"/>
      <c r="Q226" s="419"/>
      <c r="R226" s="419"/>
    </row>
    <row r="227" spans="1:18" x14ac:dyDescent="0.25">
      <c r="A227" s="354" t="s">
        <v>18</v>
      </c>
      <c r="B227" s="98">
        <f>(C199+D199)/2</f>
        <v>0.77488048674489329</v>
      </c>
      <c r="C227" s="98">
        <f>(B200+D200)/2</f>
        <v>0.88744024337244665</v>
      </c>
      <c r="D227" s="98">
        <f>(B201+C201)/2</f>
        <v>0.88744024337244665</v>
      </c>
      <c r="F227" s="2" t="s">
        <v>18</v>
      </c>
      <c r="G227" s="98">
        <f>(H199+I199)/2</f>
        <v>0.76165803108808283</v>
      </c>
      <c r="H227" s="98">
        <f>(G200+I200)/2</f>
        <v>0.88082901554404147</v>
      </c>
      <c r="I227" s="98">
        <f>(G201+H201)/2</f>
        <v>0.88082901554404147</v>
      </c>
      <c r="J227" s="419"/>
      <c r="K227" s="419"/>
      <c r="L227" s="419"/>
      <c r="O227" s="419"/>
      <c r="P227" s="419"/>
      <c r="Q227" s="419"/>
      <c r="R227" s="419"/>
    </row>
    <row r="228" spans="1:18" x14ac:dyDescent="0.25">
      <c r="A228" s="354" t="s">
        <v>19</v>
      </c>
      <c r="B228" s="98">
        <f>(C203+D203)/2</f>
        <v>0.91756028603706186</v>
      </c>
      <c r="C228" s="98">
        <f>(B204+D204)/2</f>
        <v>0.95878014301853098</v>
      </c>
      <c r="D228" s="98">
        <f>(B205+C205)/2</f>
        <v>0.95878014301853098</v>
      </c>
      <c r="F228" s="2" t="s">
        <v>19</v>
      </c>
      <c r="G228" s="98">
        <f>(H203+I203)/2</f>
        <v>0.88253215978334465</v>
      </c>
      <c r="H228" s="98">
        <f>(G204+I204)/2</f>
        <v>0.94071338229124701</v>
      </c>
      <c r="I228" s="98">
        <f>(G205+H205)/2</f>
        <v>0.9410519063264533</v>
      </c>
      <c r="J228" s="419"/>
      <c r="K228" s="419"/>
      <c r="L228" s="419"/>
      <c r="O228" s="419"/>
      <c r="P228" s="419"/>
      <c r="Q228" s="419"/>
      <c r="R228" s="419"/>
    </row>
    <row r="229" spans="1:18" x14ac:dyDescent="0.25">
      <c r="A229" s="354" t="s">
        <v>20</v>
      </c>
      <c r="B229" s="98">
        <f>(C207+D207)/2</f>
        <v>0.93925358036522388</v>
      </c>
      <c r="C229" s="98">
        <f>(B208+D208)/2</f>
        <v>0.96962679018261189</v>
      </c>
      <c r="D229" s="98">
        <f>(B209+C209)/2</f>
        <v>0.96962679018261189</v>
      </c>
      <c r="F229" s="2" t="s">
        <v>20</v>
      </c>
      <c r="G229" s="98">
        <f>(H207+I207)/2</f>
        <v>0.91477272727272707</v>
      </c>
      <c r="H229" s="98">
        <f>(G208+I208)/2</f>
        <v>0.95699286744807432</v>
      </c>
      <c r="I229" s="98">
        <f>(G209+H209)/2</f>
        <v>0.95723990302119677</v>
      </c>
      <c r="J229" s="419"/>
      <c r="K229" s="419"/>
      <c r="L229" s="419"/>
      <c r="O229" s="419"/>
      <c r="P229" s="419"/>
      <c r="Q229" s="419"/>
      <c r="R229" s="419"/>
    </row>
    <row r="230" spans="1:18" x14ac:dyDescent="0.25">
      <c r="A230" s="354" t="s">
        <v>22</v>
      </c>
      <c r="B230" s="98">
        <f>(C211+D211)/2</f>
        <v>0.43617021276595741</v>
      </c>
      <c r="C230" s="98">
        <f>(B212+D212)/2</f>
        <v>0.71808510638297873</v>
      </c>
      <c r="D230" s="98">
        <f>(B213+C213)/2</f>
        <v>0.71808510638297873</v>
      </c>
      <c r="F230" s="2" t="s">
        <v>22</v>
      </c>
      <c r="G230" s="98">
        <f>(H211+I211)/2</f>
        <v>0.33890506059314301</v>
      </c>
      <c r="H230" s="98">
        <f>(G212+I212)/2</f>
        <v>0.66945253029657148</v>
      </c>
      <c r="I230" s="98">
        <f>(G213+H213)/2</f>
        <v>0.66945253029657148</v>
      </c>
      <c r="J230" s="419"/>
      <c r="K230" s="419"/>
      <c r="L230" s="419"/>
      <c r="O230" s="419"/>
      <c r="P230" s="419"/>
      <c r="Q230" s="419"/>
      <c r="R230" s="419"/>
    </row>
    <row r="231" spans="1:18" x14ac:dyDescent="0.25">
      <c r="A231" s="354" t="s">
        <v>23</v>
      </c>
      <c r="B231" s="98">
        <f>(C215+D215)/2</f>
        <v>0.75862068965517271</v>
      </c>
      <c r="C231" s="98">
        <f>(B216+D216)/2</f>
        <v>0.8793103448275863</v>
      </c>
      <c r="D231" s="98">
        <f>(B217+C217)/2</f>
        <v>0.8793103448275863</v>
      </c>
      <c r="F231" s="2" t="s">
        <v>23</v>
      </c>
      <c r="G231" s="98">
        <f>(H215+I215)/2</f>
        <v>0.73984575835475574</v>
      </c>
      <c r="H231" s="98">
        <f>(G216+I216)/2</f>
        <v>0.86992287917737787</v>
      </c>
      <c r="I231" s="98">
        <f>(G217+H217)/2</f>
        <v>0.86992287917737787</v>
      </c>
      <c r="J231" s="419"/>
      <c r="K231" s="419"/>
      <c r="L231" s="419"/>
      <c r="O231" s="419"/>
      <c r="P231" s="419"/>
      <c r="Q231" s="419"/>
      <c r="R231" s="419"/>
    </row>
    <row r="233" spans="1:18" x14ac:dyDescent="0.25">
      <c r="A233" s="128" t="s">
        <v>176</v>
      </c>
    </row>
    <row r="234" spans="1:18" x14ac:dyDescent="0.25">
      <c r="A234" s="285" t="s">
        <v>234</v>
      </c>
      <c r="B234" s="285" t="s">
        <v>100</v>
      </c>
      <c r="C234" s="285" t="s">
        <v>101</v>
      </c>
      <c r="D234" s="285" t="s">
        <v>120</v>
      </c>
      <c r="E234" s="101"/>
    </row>
    <row r="235" spans="1:18" x14ac:dyDescent="0.25">
      <c r="A235" s="354" t="s">
        <v>24</v>
      </c>
      <c r="B235" s="98">
        <f>(B222+G222)/2</f>
        <v>0.56662528222974518</v>
      </c>
      <c r="C235" s="98">
        <f t="shared" ref="C235:D244" si="134">(C222+H222)/2</f>
        <v>0.78308692519557366</v>
      </c>
      <c r="D235" s="98">
        <f t="shared" si="134"/>
        <v>0.78293631007450859</v>
      </c>
    </row>
    <row r="236" spans="1:18" x14ac:dyDescent="0.25">
      <c r="A236" s="354" t="s">
        <v>13</v>
      </c>
      <c r="B236" s="98">
        <f t="shared" ref="B236:B244" si="135">(B223+G223)/2</f>
        <v>0.77819257435555134</v>
      </c>
      <c r="C236" s="98">
        <f t="shared" si="134"/>
        <v>0.77292886500463531</v>
      </c>
      <c r="D236" s="98">
        <f t="shared" si="134"/>
        <v>0.66849613883509862</v>
      </c>
    </row>
    <row r="237" spans="1:18" x14ac:dyDescent="0.25">
      <c r="A237" s="354" t="s">
        <v>14</v>
      </c>
      <c r="B237" s="98">
        <f t="shared" si="135"/>
        <v>0.72358600237529558</v>
      </c>
      <c r="C237" s="98">
        <f t="shared" si="134"/>
        <v>0.59459668810281596</v>
      </c>
      <c r="D237" s="98">
        <f t="shared" si="134"/>
        <v>0.71508484841463216</v>
      </c>
    </row>
    <row r="238" spans="1:18" x14ac:dyDescent="0.25">
      <c r="A238" s="354" t="s">
        <v>15</v>
      </c>
      <c r="B238" s="98">
        <f t="shared" si="135"/>
        <v>0.75922166492611143</v>
      </c>
      <c r="C238" s="98">
        <f t="shared" si="134"/>
        <v>0.74976584652879918</v>
      </c>
      <c r="D238" s="98">
        <f t="shared" si="134"/>
        <v>0.60360411647967138</v>
      </c>
    </row>
    <row r="239" spans="1:18" x14ac:dyDescent="0.25">
      <c r="A239" s="354" t="s">
        <v>17</v>
      </c>
      <c r="B239" s="98">
        <f t="shared" si="135"/>
        <v>0.85185958658531435</v>
      </c>
      <c r="C239" s="98">
        <f t="shared" si="134"/>
        <v>0.77826691797920233</v>
      </c>
      <c r="D239" s="98">
        <f t="shared" si="134"/>
        <v>0.85022766429887542</v>
      </c>
    </row>
    <row r="240" spans="1:18" x14ac:dyDescent="0.25">
      <c r="A240" s="354" t="s">
        <v>18</v>
      </c>
      <c r="B240" s="98">
        <f t="shared" si="135"/>
        <v>0.76826925891648812</v>
      </c>
      <c r="C240" s="98">
        <f t="shared" si="134"/>
        <v>0.88413462945824406</v>
      </c>
      <c r="D240" s="98">
        <f t="shared" si="134"/>
        <v>0.88413462945824406</v>
      </c>
    </row>
    <row r="241" spans="1:5" x14ac:dyDescent="0.25">
      <c r="A241" s="354" t="s">
        <v>19</v>
      </c>
      <c r="B241" s="98">
        <f t="shared" si="135"/>
        <v>0.90004622291020331</v>
      </c>
      <c r="C241" s="98">
        <f t="shared" si="134"/>
        <v>0.949746762654889</v>
      </c>
      <c r="D241" s="98">
        <f t="shared" si="134"/>
        <v>0.94991602467249214</v>
      </c>
    </row>
    <row r="242" spans="1:5" x14ac:dyDescent="0.25">
      <c r="A242" s="354" t="s">
        <v>20</v>
      </c>
      <c r="B242" s="98">
        <f t="shared" si="135"/>
        <v>0.92701315381897542</v>
      </c>
      <c r="C242" s="98">
        <f t="shared" si="134"/>
        <v>0.96330982881534311</v>
      </c>
      <c r="D242" s="98">
        <f t="shared" si="134"/>
        <v>0.96343334660190427</v>
      </c>
    </row>
    <row r="243" spans="1:5" x14ac:dyDescent="0.25">
      <c r="A243" s="354" t="s">
        <v>22</v>
      </c>
      <c r="B243" s="98">
        <f t="shared" si="135"/>
        <v>0.38753763667955021</v>
      </c>
      <c r="C243" s="98">
        <f t="shared" si="134"/>
        <v>0.69376881833977511</v>
      </c>
      <c r="D243" s="98">
        <f t="shared" si="134"/>
        <v>0.69376881833977511</v>
      </c>
    </row>
    <row r="244" spans="1:5" x14ac:dyDescent="0.25">
      <c r="A244" s="354" t="s">
        <v>23</v>
      </c>
      <c r="B244" s="98">
        <f t="shared" si="135"/>
        <v>0.74923322400496417</v>
      </c>
      <c r="C244" s="98">
        <f t="shared" si="134"/>
        <v>0.87461661200248209</v>
      </c>
      <c r="D244" s="98">
        <f t="shared" si="134"/>
        <v>0.87461661200248209</v>
      </c>
    </row>
    <row r="246" spans="1:5" ht="15" customHeight="1" x14ac:dyDescent="0.25">
      <c r="A246" s="128" t="s">
        <v>145</v>
      </c>
      <c r="B246" s="128"/>
      <c r="C246" s="128"/>
      <c r="D246" s="128"/>
      <c r="E246" s="128"/>
    </row>
    <row r="247" spans="1:5" x14ac:dyDescent="0.25">
      <c r="A247" s="285" t="s">
        <v>234</v>
      </c>
      <c r="B247" s="43" t="s">
        <v>100</v>
      </c>
      <c r="C247" s="43" t="s">
        <v>101</v>
      </c>
      <c r="D247" s="43" t="s">
        <v>120</v>
      </c>
      <c r="E247" s="95" t="s">
        <v>138</v>
      </c>
    </row>
    <row r="248" spans="1:5" x14ac:dyDescent="0.25">
      <c r="A248" s="273" t="s">
        <v>24</v>
      </c>
      <c r="B248" s="93">
        <f>B235/SUM($B235:$D235)</f>
        <v>0.26569088979276256</v>
      </c>
      <c r="C248" s="93">
        <f t="shared" ref="C248:D248" si="136">C235/SUM($B235:$D235)</f>
        <v>0.36718986685795352</v>
      </c>
      <c r="D248" s="93">
        <f t="shared" si="136"/>
        <v>0.36711924334928381</v>
      </c>
      <c r="E248" s="94">
        <f>SUM(B248:D248)</f>
        <v>0.99999999999999989</v>
      </c>
    </row>
    <row r="249" spans="1:5" x14ac:dyDescent="0.25">
      <c r="A249" s="273" t="s">
        <v>13</v>
      </c>
      <c r="B249" s="93">
        <f t="shared" ref="B249:D249" si="137">B236/SUM($B236:$D236)</f>
        <v>0.35059759032377097</v>
      </c>
      <c r="C249" s="93">
        <f t="shared" si="137"/>
        <v>0.34822614156492854</v>
      </c>
      <c r="D249" s="93">
        <f t="shared" si="137"/>
        <v>0.30117626811130044</v>
      </c>
      <c r="E249" s="94">
        <f t="shared" ref="E249:E257" si="138">SUM(B249:D249)</f>
        <v>1</v>
      </c>
    </row>
    <row r="250" spans="1:5" x14ac:dyDescent="0.25">
      <c r="A250" s="273" t="s">
        <v>14</v>
      </c>
      <c r="B250" s="93">
        <f t="shared" ref="B250:D250" si="139">B237/SUM($B237:$D237)</f>
        <v>0.35587348370757876</v>
      </c>
      <c r="C250" s="93">
        <f t="shared" si="139"/>
        <v>0.29243406326479565</v>
      </c>
      <c r="D250" s="93">
        <f t="shared" si="139"/>
        <v>0.35169245302762558</v>
      </c>
      <c r="E250" s="94">
        <f t="shared" si="138"/>
        <v>1</v>
      </c>
    </row>
    <row r="251" spans="1:5" x14ac:dyDescent="0.25">
      <c r="A251" s="273" t="s">
        <v>15</v>
      </c>
      <c r="B251" s="93">
        <f t="shared" ref="B251:D251" si="140">B238/SUM($B238:$D238)</f>
        <v>0.35937928319273887</v>
      </c>
      <c r="C251" s="93">
        <f t="shared" si="140"/>
        <v>0.35490335028063275</v>
      </c>
      <c r="D251" s="93">
        <f t="shared" si="140"/>
        <v>0.28571736652662827</v>
      </c>
      <c r="E251" s="94">
        <f t="shared" si="138"/>
        <v>0.99999999999999989</v>
      </c>
    </row>
    <row r="252" spans="1:5" x14ac:dyDescent="0.25">
      <c r="A252" s="273" t="s">
        <v>17</v>
      </c>
      <c r="B252" s="93">
        <f t="shared" ref="B252:D252" si="141">B239/SUM($B239:$D239)</f>
        <v>0.3434427217205332</v>
      </c>
      <c r="C252" s="93">
        <f t="shared" si="141"/>
        <v>0.31377249577863259</v>
      </c>
      <c r="D252" s="93">
        <f t="shared" si="141"/>
        <v>0.34278478250083427</v>
      </c>
      <c r="E252" s="94">
        <f t="shared" si="138"/>
        <v>1</v>
      </c>
    </row>
    <row r="253" spans="1:5" x14ac:dyDescent="0.25">
      <c r="A253" s="273" t="s">
        <v>18</v>
      </c>
      <c r="B253" s="93">
        <f t="shared" ref="B253:D253" si="142">B240/SUM($B240:$D240)</f>
        <v>0.30288097480689485</v>
      </c>
      <c r="C253" s="93">
        <f t="shared" si="142"/>
        <v>0.34855951259655255</v>
      </c>
      <c r="D253" s="93">
        <f t="shared" si="142"/>
        <v>0.34855951259655255</v>
      </c>
      <c r="E253" s="94">
        <f t="shared" si="138"/>
        <v>1</v>
      </c>
    </row>
    <row r="254" spans="1:5" x14ac:dyDescent="0.25">
      <c r="A254" s="273" t="s">
        <v>19</v>
      </c>
      <c r="B254" s="93">
        <f t="shared" ref="B254:D254" si="143">B241/SUM($B241:$D241)</f>
        <v>0.32147848923550271</v>
      </c>
      <c r="C254" s="93">
        <f t="shared" si="143"/>
        <v>0.33923052688046784</v>
      </c>
      <c r="D254" s="93">
        <f t="shared" si="143"/>
        <v>0.3392909838840294</v>
      </c>
      <c r="E254" s="94">
        <f t="shared" si="138"/>
        <v>1</v>
      </c>
    </row>
    <row r="255" spans="1:5" x14ac:dyDescent="0.25">
      <c r="A255" s="273" t="s">
        <v>20</v>
      </c>
      <c r="B255" s="93">
        <f t="shared" ref="B255:D255" si="144">B242/SUM($B242:$D242)</f>
        <v>0.32483963130344784</v>
      </c>
      <c r="C255" s="93">
        <f t="shared" si="144"/>
        <v>0.33755854308456762</v>
      </c>
      <c r="D255" s="93">
        <f t="shared" si="144"/>
        <v>0.33760182561198449</v>
      </c>
      <c r="E255" s="94">
        <f t="shared" si="138"/>
        <v>0.99999999999999989</v>
      </c>
    </row>
    <row r="256" spans="1:5" x14ac:dyDescent="0.25">
      <c r="A256" s="273" t="s">
        <v>22</v>
      </c>
      <c r="B256" s="93">
        <f t="shared" ref="B256:D256" si="145">B243/SUM($B243:$D243)</f>
        <v>0.2183218044304033</v>
      </c>
      <c r="C256" s="93">
        <f t="shared" si="145"/>
        <v>0.39083909778479836</v>
      </c>
      <c r="D256" s="93">
        <f t="shared" si="145"/>
        <v>0.39083909778479836</v>
      </c>
      <c r="E256" s="94">
        <f t="shared" si="138"/>
        <v>1</v>
      </c>
    </row>
    <row r="257" spans="1:5" x14ac:dyDescent="0.25">
      <c r="A257" s="273" t="s">
        <v>23</v>
      </c>
      <c r="B257" s="93">
        <f t="shared" ref="B257:D257" si="146">B244/SUM($B244:$D244)</f>
        <v>0.29987724053758713</v>
      </c>
      <c r="C257" s="93">
        <f t="shared" si="146"/>
        <v>0.35006137973120643</v>
      </c>
      <c r="D257" s="93">
        <f t="shared" si="146"/>
        <v>0.35006137973120643</v>
      </c>
      <c r="E257" s="94">
        <f t="shared" si="138"/>
        <v>1</v>
      </c>
    </row>
    <row r="258" spans="1:5" x14ac:dyDescent="0.25">
      <c r="A258" s="92"/>
    </row>
    <row r="259" spans="1:5" ht="15" customHeight="1" x14ac:dyDescent="0.25">
      <c r="A259" s="128" t="s">
        <v>139</v>
      </c>
      <c r="B259" s="128"/>
      <c r="C259" s="128"/>
      <c r="D259" s="128"/>
      <c r="E259" s="128"/>
    </row>
    <row r="260" spans="1:5" x14ac:dyDescent="0.25">
      <c r="A260" s="285" t="s">
        <v>234</v>
      </c>
      <c r="B260" s="43" t="s">
        <v>100</v>
      </c>
      <c r="C260" s="43" t="s">
        <v>101</v>
      </c>
      <c r="D260" s="43" t="s">
        <v>120</v>
      </c>
      <c r="E260" s="95" t="s">
        <v>138</v>
      </c>
    </row>
    <row r="261" spans="1:5" x14ac:dyDescent="0.25">
      <c r="A261" s="273" t="s">
        <v>24</v>
      </c>
      <c r="B261" s="93">
        <f>$B$174*$C$166+(1-$B$174)*B248</f>
        <v>0.27941453387565751</v>
      </c>
      <c r="C261" s="93">
        <f t="shared" ref="C261:C270" si="147">$B$174*$C$167+(1-$B$174)*C248</f>
        <v>0.34031392011477213</v>
      </c>
      <c r="D261" s="93">
        <f t="shared" ref="D261:D270" si="148">$B$174*$C$168+(1-$B$174)*D248</f>
        <v>0.3802715460095703</v>
      </c>
      <c r="E261" s="94">
        <f>SUM(B261:D261)</f>
        <v>1</v>
      </c>
    </row>
    <row r="262" spans="1:5" x14ac:dyDescent="0.25">
      <c r="A262" s="273" t="s">
        <v>13</v>
      </c>
      <c r="B262" s="93">
        <f t="shared" ref="B262:B270" si="149">$B$174*$C$166+(1-$B$174)*B249</f>
        <v>0.33035855419426258</v>
      </c>
      <c r="C262" s="93">
        <f t="shared" si="147"/>
        <v>0.32893568493895708</v>
      </c>
      <c r="D262" s="93">
        <f t="shared" si="148"/>
        <v>0.34070576086678028</v>
      </c>
      <c r="E262" s="94">
        <f t="shared" ref="E262:E270" si="150">SUM(B262:D262)</f>
        <v>1</v>
      </c>
    </row>
    <row r="263" spans="1:5" x14ac:dyDescent="0.25">
      <c r="A263" s="273" t="s">
        <v>14</v>
      </c>
      <c r="B263" s="93">
        <f t="shared" si="149"/>
        <v>0.33352409022454721</v>
      </c>
      <c r="C263" s="93">
        <f t="shared" si="147"/>
        <v>0.29546043795887739</v>
      </c>
      <c r="D263" s="93">
        <f t="shared" si="148"/>
        <v>0.37101547181657535</v>
      </c>
      <c r="E263" s="94">
        <f t="shared" si="150"/>
        <v>0.99999999999999989</v>
      </c>
    </row>
    <row r="264" spans="1:5" x14ac:dyDescent="0.25">
      <c r="A264" s="273" t="s">
        <v>15</v>
      </c>
      <c r="B264" s="93">
        <f t="shared" si="149"/>
        <v>0.33562756991564335</v>
      </c>
      <c r="C264" s="93">
        <f t="shared" si="147"/>
        <v>0.33294201016837965</v>
      </c>
      <c r="D264" s="93">
        <f t="shared" si="148"/>
        <v>0.33143041991597699</v>
      </c>
      <c r="E264" s="94">
        <f t="shared" si="150"/>
        <v>1</v>
      </c>
    </row>
    <row r="265" spans="1:5" x14ac:dyDescent="0.25">
      <c r="A265" s="273" t="s">
        <v>17</v>
      </c>
      <c r="B265" s="93">
        <f t="shared" si="149"/>
        <v>0.32606563303231995</v>
      </c>
      <c r="C265" s="93">
        <f t="shared" si="147"/>
        <v>0.30826349746717951</v>
      </c>
      <c r="D265" s="93">
        <f t="shared" si="148"/>
        <v>0.36567086950050059</v>
      </c>
      <c r="E265" s="94">
        <f t="shared" si="150"/>
        <v>1</v>
      </c>
    </row>
    <row r="266" spans="1:5" x14ac:dyDescent="0.25">
      <c r="A266" s="273" t="s">
        <v>18</v>
      </c>
      <c r="B266" s="93">
        <f t="shared" si="149"/>
        <v>0.3017285848841369</v>
      </c>
      <c r="C266" s="93">
        <f t="shared" si="147"/>
        <v>0.32913570755793153</v>
      </c>
      <c r="D266" s="93">
        <f t="shared" si="148"/>
        <v>0.36913570755793157</v>
      </c>
      <c r="E266" s="94">
        <f t="shared" si="150"/>
        <v>1</v>
      </c>
    </row>
    <row r="267" spans="1:5" x14ac:dyDescent="0.25">
      <c r="A267" s="273" t="s">
        <v>19</v>
      </c>
      <c r="B267" s="93">
        <f t="shared" si="149"/>
        <v>0.31288709354130162</v>
      </c>
      <c r="C267" s="93">
        <f t="shared" si="147"/>
        <v>0.32353831612828066</v>
      </c>
      <c r="D267" s="93">
        <f t="shared" si="148"/>
        <v>0.36357459033041767</v>
      </c>
      <c r="E267" s="94">
        <f t="shared" si="150"/>
        <v>1</v>
      </c>
    </row>
    <row r="268" spans="1:5" x14ac:dyDescent="0.25">
      <c r="A268" s="273" t="s">
        <v>20</v>
      </c>
      <c r="B268" s="93">
        <f t="shared" si="149"/>
        <v>0.31490377878206866</v>
      </c>
      <c r="C268" s="93">
        <f t="shared" si="147"/>
        <v>0.32253512585074057</v>
      </c>
      <c r="D268" s="93">
        <f t="shared" si="148"/>
        <v>0.36256109536719072</v>
      </c>
      <c r="E268" s="94">
        <f t="shared" si="150"/>
        <v>1</v>
      </c>
    </row>
    <row r="269" spans="1:5" x14ac:dyDescent="0.25">
      <c r="A269" s="273" t="s">
        <v>22</v>
      </c>
      <c r="B269" s="93">
        <f t="shared" si="149"/>
        <v>0.25099308265824194</v>
      </c>
      <c r="C269" s="93">
        <f t="shared" si="147"/>
        <v>0.35450345867087901</v>
      </c>
      <c r="D269" s="93">
        <f t="shared" si="148"/>
        <v>0.39450345867087905</v>
      </c>
      <c r="E269" s="94">
        <f t="shared" si="150"/>
        <v>1</v>
      </c>
    </row>
    <row r="270" spans="1:5" x14ac:dyDescent="0.25">
      <c r="A270" s="273" t="s">
        <v>23</v>
      </c>
      <c r="B270" s="93">
        <f t="shared" si="149"/>
        <v>0.29992634432255227</v>
      </c>
      <c r="C270" s="93">
        <f t="shared" si="147"/>
        <v>0.33003682783872385</v>
      </c>
      <c r="D270" s="93">
        <f t="shared" si="148"/>
        <v>0.37003682783872388</v>
      </c>
      <c r="E270" s="94">
        <f t="shared" si="150"/>
        <v>1</v>
      </c>
    </row>
    <row r="272" spans="1:5" ht="15.75" thickBot="1" x14ac:dyDescent="0.3">
      <c r="A272" s="1" t="s">
        <v>306</v>
      </c>
    </row>
    <row r="273" spans="1:41" ht="15.75" thickBot="1" x14ac:dyDescent="0.3">
      <c r="A273" s="456" t="s">
        <v>234</v>
      </c>
      <c r="B273" s="443" t="s">
        <v>157</v>
      </c>
      <c r="C273" s="441"/>
      <c r="D273" s="441"/>
      <c r="E273" s="441"/>
      <c r="F273" s="441"/>
      <c r="G273" s="441"/>
      <c r="H273" s="441"/>
      <c r="I273" s="442"/>
      <c r="J273" s="443" t="s">
        <v>158</v>
      </c>
      <c r="K273" s="441"/>
      <c r="L273" s="441"/>
      <c r="M273" s="441"/>
      <c r="N273" s="441"/>
      <c r="O273" s="441"/>
      <c r="P273" s="441"/>
      <c r="Q273" s="442"/>
      <c r="R273" s="443" t="s">
        <v>159</v>
      </c>
      <c r="S273" s="441"/>
      <c r="T273" s="441"/>
      <c r="U273" s="441"/>
      <c r="V273" s="441"/>
      <c r="W273" s="441"/>
      <c r="X273" s="441"/>
      <c r="Y273" s="442"/>
    </row>
    <row r="274" spans="1:41" ht="15.75" thickBot="1" x14ac:dyDescent="0.3">
      <c r="A274" s="467"/>
      <c r="B274" s="438" t="s">
        <v>3</v>
      </c>
      <c r="C274" s="452"/>
      <c r="D274" s="452"/>
      <c r="E274" s="453"/>
      <c r="F274" s="443" t="s">
        <v>4</v>
      </c>
      <c r="G274" s="452"/>
      <c r="H274" s="452"/>
      <c r="I274" s="453"/>
      <c r="J274" s="438" t="s">
        <v>3</v>
      </c>
      <c r="K274" s="452"/>
      <c r="L274" s="452"/>
      <c r="M274" s="453"/>
      <c r="N274" s="443" t="s">
        <v>4</v>
      </c>
      <c r="O274" s="452"/>
      <c r="P274" s="452"/>
      <c r="Q274" s="453"/>
      <c r="R274" s="438" t="s">
        <v>3</v>
      </c>
      <c r="S274" s="452"/>
      <c r="T274" s="452"/>
      <c r="U274" s="453"/>
      <c r="V274" s="443" t="s">
        <v>4</v>
      </c>
      <c r="W274" s="452"/>
      <c r="X274" s="452"/>
      <c r="Y274" s="453"/>
    </row>
    <row r="275" spans="1:41" x14ac:dyDescent="0.25">
      <c r="A275" s="309" t="s">
        <v>24</v>
      </c>
      <c r="B275" s="12">
        <f t="shared" ref="B275:B284" si="151">BG14</f>
        <v>12.825000000000001</v>
      </c>
      <c r="C275" s="13">
        <f t="shared" ref="C275:C284" si="152">BH14</f>
        <v>22.5</v>
      </c>
      <c r="D275" s="13">
        <f t="shared" ref="D275:D284" si="153">BI14</f>
        <v>25.5</v>
      </c>
      <c r="E275" s="14">
        <f t="shared" ref="E275:E284" si="154">BJ14</f>
        <v>25.5</v>
      </c>
      <c r="F275" s="12">
        <f t="shared" ref="F275:F284" si="155">BK14</f>
        <v>15</v>
      </c>
      <c r="G275" s="13">
        <f t="shared" ref="G275:G284" si="156">BL14</f>
        <v>22.5</v>
      </c>
      <c r="H275" s="13">
        <f t="shared" ref="H275:H284" si="157">BM14</f>
        <v>25.5</v>
      </c>
      <c r="I275" s="102">
        <f t="shared" ref="I275:I284" si="158">BN14</f>
        <v>25.5</v>
      </c>
      <c r="J275" s="12">
        <f t="shared" ref="J275:J284" si="159">BG66</f>
        <v>10.9</v>
      </c>
      <c r="K275" s="13">
        <f t="shared" ref="K275:K284" si="160">BH66</f>
        <v>20</v>
      </c>
      <c r="L275" s="13">
        <f t="shared" ref="L275:L284" si="161">BI66</f>
        <v>23</v>
      </c>
      <c r="M275" s="14">
        <f t="shared" ref="M275:M284" si="162">BJ66</f>
        <v>24.5</v>
      </c>
      <c r="N275" s="12">
        <f t="shared" ref="N275:N284" si="163">BK66</f>
        <v>13</v>
      </c>
      <c r="O275" s="13">
        <f t="shared" ref="O275:O284" si="164">BL66</f>
        <v>20</v>
      </c>
      <c r="P275" s="13">
        <f t="shared" ref="P275:P284" si="165">BM66</f>
        <v>23</v>
      </c>
      <c r="Q275" s="14">
        <f t="shared" ref="Q275:Q284" si="166">BN66</f>
        <v>24</v>
      </c>
      <c r="R275" s="12">
        <f t="shared" ref="R275:R284" si="167">BG118</f>
        <v>10.9</v>
      </c>
      <c r="S275" s="13">
        <f t="shared" ref="S275:S284" si="168">BH118</f>
        <v>20</v>
      </c>
      <c r="T275" s="13">
        <f t="shared" ref="T275:T284" si="169">BI118</f>
        <v>23</v>
      </c>
      <c r="U275" s="14">
        <f t="shared" ref="U275:U284" si="170">BJ118</f>
        <v>24.5</v>
      </c>
      <c r="V275" s="12">
        <f t="shared" ref="V275:V284" si="171">BK118</f>
        <v>13</v>
      </c>
      <c r="W275" s="13">
        <f t="shared" ref="W275:W284" si="172">BL118</f>
        <v>20</v>
      </c>
      <c r="X275" s="13">
        <f t="shared" ref="X275:X284" si="173">BM118</f>
        <v>23</v>
      </c>
      <c r="Y275" s="14">
        <f t="shared" ref="Y275:Y284" si="174">BN118</f>
        <v>24</v>
      </c>
    </row>
    <row r="276" spans="1:41" x14ac:dyDescent="0.25">
      <c r="A276" s="310" t="s">
        <v>13</v>
      </c>
      <c r="B276" s="103">
        <f t="shared" si="151"/>
        <v>6.7500000000000009</v>
      </c>
      <c r="C276" s="98">
        <f t="shared" si="152"/>
        <v>11.625</v>
      </c>
      <c r="D276" s="98">
        <f t="shared" si="153"/>
        <v>15.045</v>
      </c>
      <c r="E276" s="104">
        <f t="shared" si="154"/>
        <v>17.934999999999999</v>
      </c>
      <c r="F276" s="103">
        <f t="shared" si="155"/>
        <v>7.9750000000000005</v>
      </c>
      <c r="G276" s="98">
        <f t="shared" si="156"/>
        <v>11.625</v>
      </c>
      <c r="H276" s="98">
        <f t="shared" si="157"/>
        <v>15.045</v>
      </c>
      <c r="I276" s="105">
        <f t="shared" si="158"/>
        <v>17.085000000000001</v>
      </c>
      <c r="J276" s="103">
        <f t="shared" si="159"/>
        <v>6.625</v>
      </c>
      <c r="K276" s="98">
        <f t="shared" si="160"/>
        <v>12.5</v>
      </c>
      <c r="L276" s="98">
        <f t="shared" si="161"/>
        <v>14.5</v>
      </c>
      <c r="M276" s="104">
        <f t="shared" si="162"/>
        <v>17.87</v>
      </c>
      <c r="N276" s="103">
        <f t="shared" si="163"/>
        <v>8</v>
      </c>
      <c r="O276" s="98">
        <f t="shared" si="164"/>
        <v>12.5</v>
      </c>
      <c r="P276" s="98">
        <f t="shared" si="165"/>
        <v>14.5</v>
      </c>
      <c r="Q276" s="104">
        <f t="shared" si="166"/>
        <v>16.774999999999999</v>
      </c>
      <c r="R276" s="103">
        <f t="shared" si="167"/>
        <v>6.7500000000000009</v>
      </c>
      <c r="S276" s="98">
        <f t="shared" si="168"/>
        <v>12.725</v>
      </c>
      <c r="T276" s="98">
        <f t="shared" si="169"/>
        <v>17.685000000000002</v>
      </c>
      <c r="U276" s="104">
        <f t="shared" si="170"/>
        <v>20.024999999999999</v>
      </c>
      <c r="V276" s="103">
        <f t="shared" si="171"/>
        <v>8.0549999999999997</v>
      </c>
      <c r="W276" s="98">
        <f t="shared" si="172"/>
        <v>12.725</v>
      </c>
      <c r="X276" s="98">
        <f t="shared" si="173"/>
        <v>17.685000000000002</v>
      </c>
      <c r="Y276" s="104">
        <f t="shared" si="174"/>
        <v>19.37</v>
      </c>
    </row>
    <row r="277" spans="1:41" x14ac:dyDescent="0.25">
      <c r="A277" s="310" t="s">
        <v>14</v>
      </c>
      <c r="B277" s="103">
        <f t="shared" si="151"/>
        <v>2.4750000000000005</v>
      </c>
      <c r="C277" s="98">
        <f t="shared" si="152"/>
        <v>4.125</v>
      </c>
      <c r="D277" s="98">
        <f t="shared" si="153"/>
        <v>6.5449999999999999</v>
      </c>
      <c r="E277" s="104">
        <f t="shared" si="154"/>
        <v>11.305</v>
      </c>
      <c r="F277" s="103">
        <f t="shared" si="155"/>
        <v>2.9750000000000005</v>
      </c>
      <c r="G277" s="98">
        <f t="shared" si="156"/>
        <v>4.125</v>
      </c>
      <c r="H277" s="98">
        <f t="shared" si="157"/>
        <v>6.5449999999999999</v>
      </c>
      <c r="I277" s="105">
        <f t="shared" si="158"/>
        <v>9.8600000000000012</v>
      </c>
      <c r="J277" s="103">
        <f t="shared" si="159"/>
        <v>2.4750000000000005</v>
      </c>
      <c r="K277" s="98">
        <f t="shared" si="160"/>
        <v>5.2249999999999996</v>
      </c>
      <c r="L277" s="98">
        <f t="shared" si="161"/>
        <v>9.1850000000000005</v>
      </c>
      <c r="M277" s="104">
        <f t="shared" si="162"/>
        <v>13.395</v>
      </c>
      <c r="N277" s="103">
        <f t="shared" si="163"/>
        <v>3.0550000000000006</v>
      </c>
      <c r="O277" s="98">
        <f t="shared" si="164"/>
        <v>5.2249999999999996</v>
      </c>
      <c r="P277" s="98">
        <f t="shared" si="165"/>
        <v>9.1850000000000005</v>
      </c>
      <c r="Q277" s="104">
        <f t="shared" si="166"/>
        <v>12.145000000000001</v>
      </c>
      <c r="R277" s="103">
        <f t="shared" si="167"/>
        <v>2.3499999999999996</v>
      </c>
      <c r="S277" s="98">
        <f t="shared" si="168"/>
        <v>5</v>
      </c>
      <c r="T277" s="98">
        <f t="shared" si="169"/>
        <v>6</v>
      </c>
      <c r="U277" s="104">
        <f t="shared" si="170"/>
        <v>11.240000000000002</v>
      </c>
      <c r="V277" s="103">
        <f t="shared" si="171"/>
        <v>3</v>
      </c>
      <c r="W277" s="98">
        <f t="shared" si="172"/>
        <v>5</v>
      </c>
      <c r="X277" s="98">
        <f t="shared" si="173"/>
        <v>6</v>
      </c>
      <c r="Y277" s="104">
        <f t="shared" si="174"/>
        <v>9.5500000000000007</v>
      </c>
    </row>
    <row r="278" spans="1:41" x14ac:dyDescent="0.25">
      <c r="A278" s="310" t="s">
        <v>15</v>
      </c>
      <c r="B278" s="103">
        <f t="shared" si="151"/>
        <v>11.025000000000002</v>
      </c>
      <c r="C278" s="98">
        <f t="shared" si="152"/>
        <v>19.125</v>
      </c>
      <c r="D278" s="98">
        <f t="shared" si="153"/>
        <v>23.545000000000002</v>
      </c>
      <c r="E278" s="104">
        <f t="shared" si="154"/>
        <v>24.564999999999998</v>
      </c>
      <c r="F278" s="103">
        <f t="shared" si="155"/>
        <v>12.975000000000001</v>
      </c>
      <c r="G278" s="98">
        <f t="shared" si="156"/>
        <v>19.125</v>
      </c>
      <c r="H278" s="98">
        <f t="shared" si="157"/>
        <v>23.545000000000002</v>
      </c>
      <c r="I278" s="105">
        <f t="shared" si="158"/>
        <v>24.310000000000002</v>
      </c>
      <c r="J278" s="103">
        <f t="shared" si="159"/>
        <v>10.9</v>
      </c>
      <c r="K278" s="98">
        <f t="shared" si="160"/>
        <v>20</v>
      </c>
      <c r="L278" s="98">
        <f t="shared" si="161"/>
        <v>23</v>
      </c>
      <c r="M278" s="104">
        <f t="shared" si="162"/>
        <v>24.5</v>
      </c>
      <c r="N278" s="103">
        <f t="shared" si="163"/>
        <v>13</v>
      </c>
      <c r="O278" s="98">
        <f t="shared" si="164"/>
        <v>20</v>
      </c>
      <c r="P278" s="98">
        <f t="shared" si="165"/>
        <v>23</v>
      </c>
      <c r="Q278" s="104">
        <f t="shared" si="166"/>
        <v>24</v>
      </c>
      <c r="R278" s="103">
        <f t="shared" si="167"/>
        <v>9.1000000000000014</v>
      </c>
      <c r="S278" s="98">
        <f t="shared" si="168"/>
        <v>16.625</v>
      </c>
      <c r="T278" s="98">
        <f t="shared" si="169"/>
        <v>21.045000000000002</v>
      </c>
      <c r="U278" s="104">
        <f t="shared" si="170"/>
        <v>23.564999999999998</v>
      </c>
      <c r="V278" s="103">
        <f t="shared" si="171"/>
        <v>10.975000000000001</v>
      </c>
      <c r="W278" s="98">
        <f t="shared" si="172"/>
        <v>16.625</v>
      </c>
      <c r="X278" s="98">
        <f t="shared" si="173"/>
        <v>21.045000000000002</v>
      </c>
      <c r="Y278" s="104">
        <f t="shared" si="174"/>
        <v>22.810000000000002</v>
      </c>
    </row>
    <row r="279" spans="1:41" x14ac:dyDescent="0.25">
      <c r="A279" s="310" t="s">
        <v>17</v>
      </c>
      <c r="B279" s="103">
        <f t="shared" si="151"/>
        <v>4.9500000000000011</v>
      </c>
      <c r="C279" s="98">
        <f t="shared" si="152"/>
        <v>9.9</v>
      </c>
      <c r="D279" s="98">
        <f t="shared" si="153"/>
        <v>16.829999999999998</v>
      </c>
      <c r="E279" s="104">
        <f t="shared" si="154"/>
        <v>19.805</v>
      </c>
      <c r="F279" s="103">
        <f t="shared" si="155"/>
        <v>6.1800000000000015</v>
      </c>
      <c r="G279" s="98">
        <f t="shared" si="156"/>
        <v>9.9</v>
      </c>
      <c r="H279" s="98">
        <f t="shared" si="157"/>
        <v>16.829999999999998</v>
      </c>
      <c r="I279" s="105">
        <f t="shared" si="158"/>
        <v>19.04</v>
      </c>
      <c r="J279" s="103">
        <f t="shared" si="159"/>
        <v>6.3250000000000011</v>
      </c>
      <c r="K279" s="98">
        <f t="shared" si="160"/>
        <v>11</v>
      </c>
      <c r="L279" s="98">
        <f t="shared" si="161"/>
        <v>17.71</v>
      </c>
      <c r="M279" s="104">
        <f t="shared" si="162"/>
        <v>21.625</v>
      </c>
      <c r="N279" s="103">
        <f t="shared" si="163"/>
        <v>7.7500000000000018</v>
      </c>
      <c r="O279" s="98">
        <f t="shared" si="164"/>
        <v>11</v>
      </c>
      <c r="P279" s="98">
        <f t="shared" si="165"/>
        <v>17.71</v>
      </c>
      <c r="Q279" s="104">
        <f t="shared" si="166"/>
        <v>20.550000000000004</v>
      </c>
      <c r="R279" s="103">
        <f t="shared" si="167"/>
        <v>4.8250000000000002</v>
      </c>
      <c r="S279" s="98">
        <f t="shared" si="168"/>
        <v>10.775</v>
      </c>
      <c r="T279" s="98">
        <f t="shared" si="169"/>
        <v>16.285</v>
      </c>
      <c r="U279" s="104">
        <f t="shared" si="170"/>
        <v>19.740000000000002</v>
      </c>
      <c r="V279" s="103">
        <f t="shared" si="171"/>
        <v>6.2050000000000001</v>
      </c>
      <c r="W279" s="98">
        <f t="shared" si="172"/>
        <v>10.775</v>
      </c>
      <c r="X279" s="98">
        <f t="shared" si="173"/>
        <v>16.285</v>
      </c>
      <c r="Y279" s="104">
        <f t="shared" si="174"/>
        <v>18.73</v>
      </c>
    </row>
    <row r="280" spans="1:41" x14ac:dyDescent="0.25">
      <c r="A280" s="310" t="s">
        <v>18</v>
      </c>
      <c r="B280" s="103">
        <f t="shared" si="151"/>
        <v>0</v>
      </c>
      <c r="C280" s="98">
        <f t="shared" si="152"/>
        <v>4.95</v>
      </c>
      <c r="D280" s="98">
        <f t="shared" si="153"/>
        <v>11.22</v>
      </c>
      <c r="E280" s="104">
        <f t="shared" si="154"/>
        <v>14.025000000000002</v>
      </c>
      <c r="F280" s="103">
        <f t="shared" si="155"/>
        <v>0.69</v>
      </c>
      <c r="G280" s="98">
        <f t="shared" si="156"/>
        <v>4.95</v>
      </c>
      <c r="H280" s="98">
        <f t="shared" si="157"/>
        <v>11.22</v>
      </c>
      <c r="I280" s="105">
        <f t="shared" si="158"/>
        <v>13.26</v>
      </c>
      <c r="J280" s="103">
        <f t="shared" si="159"/>
        <v>1.375</v>
      </c>
      <c r="K280" s="98">
        <f t="shared" si="160"/>
        <v>6.0500000000000007</v>
      </c>
      <c r="L280" s="98">
        <f t="shared" si="161"/>
        <v>12.1</v>
      </c>
      <c r="M280" s="104">
        <f t="shared" si="162"/>
        <v>15.845000000000002</v>
      </c>
      <c r="N280" s="103">
        <f t="shared" si="163"/>
        <v>2.2600000000000007</v>
      </c>
      <c r="O280" s="98">
        <f t="shared" si="164"/>
        <v>6.0500000000000007</v>
      </c>
      <c r="P280" s="98">
        <f t="shared" si="165"/>
        <v>12.1</v>
      </c>
      <c r="Q280" s="104">
        <f t="shared" si="166"/>
        <v>14.770000000000001</v>
      </c>
      <c r="R280" s="103">
        <f t="shared" si="167"/>
        <v>1.375</v>
      </c>
      <c r="S280" s="98">
        <f t="shared" si="168"/>
        <v>6.0500000000000007</v>
      </c>
      <c r="T280" s="98">
        <f t="shared" si="169"/>
        <v>12.1</v>
      </c>
      <c r="U280" s="104">
        <f t="shared" si="170"/>
        <v>15.845000000000002</v>
      </c>
      <c r="V280" s="103">
        <f t="shared" si="171"/>
        <v>2.2600000000000007</v>
      </c>
      <c r="W280" s="98">
        <f t="shared" si="172"/>
        <v>6.0500000000000007</v>
      </c>
      <c r="X280" s="98">
        <f t="shared" si="173"/>
        <v>12.1</v>
      </c>
      <c r="Y280" s="104">
        <f t="shared" si="174"/>
        <v>14.770000000000001</v>
      </c>
    </row>
    <row r="281" spans="1:41" x14ac:dyDescent="0.25">
      <c r="A281" s="310" t="s">
        <v>19</v>
      </c>
      <c r="B281" s="103">
        <f t="shared" si="151"/>
        <v>4.9500000000000011</v>
      </c>
      <c r="C281" s="98">
        <f t="shared" si="152"/>
        <v>8.25</v>
      </c>
      <c r="D281" s="98">
        <f t="shared" si="153"/>
        <v>13.09</v>
      </c>
      <c r="E281" s="104">
        <f t="shared" si="154"/>
        <v>17</v>
      </c>
      <c r="F281" s="103">
        <f t="shared" si="155"/>
        <v>5.9500000000000011</v>
      </c>
      <c r="G281" s="98">
        <f t="shared" si="156"/>
        <v>8.25</v>
      </c>
      <c r="H281" s="98">
        <f t="shared" si="157"/>
        <v>13.09</v>
      </c>
      <c r="I281" s="105">
        <f t="shared" si="158"/>
        <v>15.895000000000001</v>
      </c>
      <c r="J281" s="103">
        <f t="shared" si="159"/>
        <v>4.8250000000000002</v>
      </c>
      <c r="K281" s="98">
        <f t="shared" si="160"/>
        <v>9.125</v>
      </c>
      <c r="L281" s="98">
        <f t="shared" si="161"/>
        <v>12.545</v>
      </c>
      <c r="M281" s="104">
        <f t="shared" si="162"/>
        <v>16.934999999999999</v>
      </c>
      <c r="N281" s="103">
        <f t="shared" si="163"/>
        <v>5.9750000000000005</v>
      </c>
      <c r="O281" s="98">
        <f t="shared" si="164"/>
        <v>9.125</v>
      </c>
      <c r="P281" s="98">
        <f t="shared" si="165"/>
        <v>12.545</v>
      </c>
      <c r="Q281" s="104">
        <f t="shared" si="166"/>
        <v>15.585000000000001</v>
      </c>
      <c r="R281" s="103">
        <f t="shared" si="167"/>
        <v>4.8250000000000002</v>
      </c>
      <c r="S281" s="98">
        <f t="shared" si="168"/>
        <v>9.125</v>
      </c>
      <c r="T281" s="98">
        <f t="shared" si="169"/>
        <v>12.545</v>
      </c>
      <c r="U281" s="104">
        <f t="shared" si="170"/>
        <v>16.934999999999999</v>
      </c>
      <c r="V281" s="103">
        <f t="shared" si="171"/>
        <v>5.9750000000000005</v>
      </c>
      <c r="W281" s="98">
        <f t="shared" si="172"/>
        <v>9.125</v>
      </c>
      <c r="X281" s="98">
        <f t="shared" si="173"/>
        <v>12.545</v>
      </c>
      <c r="Y281" s="104">
        <f t="shared" si="174"/>
        <v>15.585000000000001</v>
      </c>
    </row>
    <row r="282" spans="1:41" x14ac:dyDescent="0.25">
      <c r="A282" s="310" t="s">
        <v>20</v>
      </c>
      <c r="B282" s="103">
        <f t="shared" si="151"/>
        <v>7.4250000000000016</v>
      </c>
      <c r="C282" s="98">
        <f t="shared" si="152"/>
        <v>12.375</v>
      </c>
      <c r="D282" s="98">
        <f t="shared" si="153"/>
        <v>19.634999999999998</v>
      </c>
      <c r="E282" s="104">
        <f t="shared" si="154"/>
        <v>22.695</v>
      </c>
      <c r="F282" s="103">
        <f t="shared" si="155"/>
        <v>8.9250000000000007</v>
      </c>
      <c r="G282" s="98">
        <f t="shared" si="156"/>
        <v>12.375</v>
      </c>
      <c r="H282" s="98">
        <f t="shared" si="157"/>
        <v>19.634999999999998</v>
      </c>
      <c r="I282" s="105">
        <f t="shared" si="158"/>
        <v>21.93</v>
      </c>
      <c r="J282" s="103">
        <f t="shared" si="159"/>
        <v>7.3000000000000007</v>
      </c>
      <c r="K282" s="98">
        <f t="shared" si="160"/>
        <v>13.25</v>
      </c>
      <c r="L282" s="98">
        <f t="shared" si="161"/>
        <v>19.09</v>
      </c>
      <c r="M282" s="104">
        <f t="shared" si="162"/>
        <v>22.63</v>
      </c>
      <c r="N282" s="103">
        <f t="shared" si="163"/>
        <v>8.9500000000000011</v>
      </c>
      <c r="O282" s="98">
        <f t="shared" si="164"/>
        <v>13.25</v>
      </c>
      <c r="P282" s="98">
        <f t="shared" si="165"/>
        <v>19.09</v>
      </c>
      <c r="Q282" s="104">
        <f t="shared" si="166"/>
        <v>21.62</v>
      </c>
      <c r="R282" s="103">
        <f t="shared" si="167"/>
        <v>7.3000000000000007</v>
      </c>
      <c r="S282" s="98">
        <f t="shared" si="168"/>
        <v>13.25</v>
      </c>
      <c r="T282" s="98">
        <f t="shared" si="169"/>
        <v>19.09</v>
      </c>
      <c r="U282" s="104">
        <f t="shared" si="170"/>
        <v>22.63</v>
      </c>
      <c r="V282" s="103">
        <f t="shared" si="171"/>
        <v>8.9500000000000011</v>
      </c>
      <c r="W282" s="98">
        <f t="shared" si="172"/>
        <v>13.25</v>
      </c>
      <c r="X282" s="98">
        <f t="shared" si="173"/>
        <v>19.09</v>
      </c>
      <c r="Y282" s="104">
        <f t="shared" si="174"/>
        <v>21.62</v>
      </c>
    </row>
    <row r="283" spans="1:41" x14ac:dyDescent="0.25">
      <c r="A283" s="310" t="s">
        <v>22</v>
      </c>
      <c r="B283" s="103">
        <f t="shared" si="151"/>
        <v>0</v>
      </c>
      <c r="C283" s="98">
        <f t="shared" si="152"/>
        <v>0</v>
      </c>
      <c r="D283" s="98">
        <f t="shared" si="153"/>
        <v>0</v>
      </c>
      <c r="E283" s="104">
        <f t="shared" si="154"/>
        <v>5.61</v>
      </c>
      <c r="F283" s="103">
        <f t="shared" si="155"/>
        <v>0</v>
      </c>
      <c r="G283" s="98">
        <f t="shared" si="156"/>
        <v>0</v>
      </c>
      <c r="H283" s="98">
        <f t="shared" si="157"/>
        <v>0</v>
      </c>
      <c r="I283" s="105">
        <f t="shared" si="158"/>
        <v>3.8249999999999997</v>
      </c>
      <c r="J283" s="103">
        <f t="shared" si="159"/>
        <v>0</v>
      </c>
      <c r="K283" s="98">
        <f t="shared" si="160"/>
        <v>1.1000000000000001</v>
      </c>
      <c r="L283" s="98">
        <f t="shared" si="161"/>
        <v>2.64</v>
      </c>
      <c r="M283" s="104">
        <f t="shared" si="162"/>
        <v>7.7</v>
      </c>
      <c r="N283" s="103">
        <f t="shared" si="163"/>
        <v>8.0000000000000071E-2</v>
      </c>
      <c r="O283" s="98">
        <f t="shared" si="164"/>
        <v>1.1000000000000001</v>
      </c>
      <c r="P283" s="98">
        <f t="shared" si="165"/>
        <v>2.64</v>
      </c>
      <c r="Q283" s="104">
        <f t="shared" si="166"/>
        <v>6.1099999999999994</v>
      </c>
      <c r="R283" s="103">
        <f t="shared" si="167"/>
        <v>0</v>
      </c>
      <c r="S283" s="98">
        <f t="shared" si="168"/>
        <v>1.1000000000000001</v>
      </c>
      <c r="T283" s="98">
        <f t="shared" si="169"/>
        <v>2.64</v>
      </c>
      <c r="U283" s="104">
        <f t="shared" si="170"/>
        <v>7.7</v>
      </c>
      <c r="V283" s="103">
        <f t="shared" si="171"/>
        <v>8.0000000000000071E-2</v>
      </c>
      <c r="W283" s="98">
        <f t="shared" si="172"/>
        <v>1.1000000000000001</v>
      </c>
      <c r="X283" s="98">
        <f t="shared" si="173"/>
        <v>2.64</v>
      </c>
      <c r="Y283" s="104">
        <f t="shared" si="174"/>
        <v>6.1099999999999994</v>
      </c>
    </row>
    <row r="284" spans="1:41" ht="15.75" thickBot="1" x14ac:dyDescent="0.3">
      <c r="A284" s="311" t="s">
        <v>23</v>
      </c>
      <c r="B284" s="106">
        <f t="shared" si="151"/>
        <v>4.2750000000000004</v>
      </c>
      <c r="C284" s="107">
        <f t="shared" si="152"/>
        <v>10.8</v>
      </c>
      <c r="D284" s="107">
        <f t="shared" si="153"/>
        <v>15.98</v>
      </c>
      <c r="E284" s="108">
        <f t="shared" si="154"/>
        <v>17.850000000000001</v>
      </c>
      <c r="F284" s="106">
        <f t="shared" si="155"/>
        <v>5.46</v>
      </c>
      <c r="G284" s="107">
        <f t="shared" si="156"/>
        <v>10.8</v>
      </c>
      <c r="H284" s="107">
        <f t="shared" si="157"/>
        <v>15.98</v>
      </c>
      <c r="I284" s="109">
        <f t="shared" si="158"/>
        <v>17.34</v>
      </c>
      <c r="J284" s="106">
        <f t="shared" si="159"/>
        <v>5.65</v>
      </c>
      <c r="K284" s="107">
        <f t="shared" si="160"/>
        <v>11.9</v>
      </c>
      <c r="L284" s="107">
        <f t="shared" si="161"/>
        <v>16.86</v>
      </c>
      <c r="M284" s="108">
        <f t="shared" si="162"/>
        <v>19.670000000000002</v>
      </c>
      <c r="N284" s="106">
        <f t="shared" si="163"/>
        <v>7.0300000000000011</v>
      </c>
      <c r="O284" s="107">
        <f t="shared" si="164"/>
        <v>11.9</v>
      </c>
      <c r="P284" s="107">
        <f t="shared" si="165"/>
        <v>16.86</v>
      </c>
      <c r="Q284" s="108">
        <f t="shared" si="166"/>
        <v>18.850000000000001</v>
      </c>
      <c r="R284" s="106">
        <f t="shared" si="167"/>
        <v>5.65</v>
      </c>
      <c r="S284" s="107">
        <f t="shared" si="168"/>
        <v>11.9</v>
      </c>
      <c r="T284" s="107">
        <f t="shared" si="169"/>
        <v>16.86</v>
      </c>
      <c r="U284" s="108">
        <f t="shared" si="170"/>
        <v>19.670000000000002</v>
      </c>
      <c r="V284" s="106">
        <f t="shared" si="171"/>
        <v>7.0300000000000011</v>
      </c>
      <c r="W284" s="107">
        <f t="shared" si="172"/>
        <v>11.9</v>
      </c>
      <c r="X284" s="107">
        <f t="shared" si="173"/>
        <v>16.86</v>
      </c>
      <c r="Y284" s="108">
        <f t="shared" si="174"/>
        <v>18.850000000000001</v>
      </c>
    </row>
    <row r="286" spans="1:41" ht="15.75" thickBot="1" x14ac:dyDescent="0.3">
      <c r="A286" s="1" t="s">
        <v>303</v>
      </c>
      <c r="AH286">
        <v>0.6</v>
      </c>
      <c r="AL286">
        <v>0.8</v>
      </c>
    </row>
    <row r="287" spans="1:41" ht="33" customHeight="1" thickBot="1" x14ac:dyDescent="0.3">
      <c r="A287" s="456" t="s">
        <v>234</v>
      </c>
      <c r="B287" s="443" t="s">
        <v>124</v>
      </c>
      <c r="C287" s="441"/>
      <c r="D287" s="441"/>
      <c r="E287" s="441"/>
      <c r="F287" s="441"/>
      <c r="G287" s="441"/>
      <c r="H287" s="441"/>
      <c r="I287" s="442"/>
      <c r="J287" s="443" t="s">
        <v>125</v>
      </c>
      <c r="K287" s="441"/>
      <c r="L287" s="441"/>
      <c r="M287" s="441"/>
      <c r="N287" s="441"/>
      <c r="O287" s="441"/>
      <c r="P287" s="441"/>
      <c r="Q287" s="442"/>
      <c r="R287" s="443" t="s">
        <v>127</v>
      </c>
      <c r="S287" s="441"/>
      <c r="T287" s="441"/>
      <c r="U287" s="441"/>
      <c r="V287" s="441"/>
      <c r="W287" s="441"/>
      <c r="X287" s="441"/>
      <c r="Y287" s="442"/>
      <c r="Z287" s="438" t="s">
        <v>281</v>
      </c>
      <c r="AA287" s="439"/>
      <c r="AB287" s="439"/>
      <c r="AC287" s="439"/>
      <c r="AD287" s="439"/>
      <c r="AE287" s="439"/>
      <c r="AF287" s="439"/>
      <c r="AG287" s="440"/>
      <c r="AH287" s="427" t="s">
        <v>264</v>
      </c>
      <c r="AI287" s="428"/>
      <c r="AJ287" s="428"/>
      <c r="AK287" s="429"/>
      <c r="AL287" s="433" t="s">
        <v>79</v>
      </c>
      <c r="AM287" s="434"/>
      <c r="AN287" s="425" t="s">
        <v>80</v>
      </c>
      <c r="AO287" s="425" t="s">
        <v>265</v>
      </c>
    </row>
    <row r="288" spans="1:41" ht="15.75" thickBot="1" x14ac:dyDescent="0.3">
      <c r="A288" s="467"/>
      <c r="B288" s="438" t="s">
        <v>3</v>
      </c>
      <c r="C288" s="441"/>
      <c r="D288" s="441"/>
      <c r="E288" s="442"/>
      <c r="F288" s="443" t="s">
        <v>4</v>
      </c>
      <c r="G288" s="441"/>
      <c r="H288" s="441"/>
      <c r="I288" s="442"/>
      <c r="J288" s="438" t="s">
        <v>3</v>
      </c>
      <c r="K288" s="441"/>
      <c r="L288" s="441"/>
      <c r="M288" s="442"/>
      <c r="N288" s="443" t="s">
        <v>4</v>
      </c>
      <c r="O288" s="441"/>
      <c r="P288" s="441"/>
      <c r="Q288" s="442"/>
      <c r="R288" s="438" t="s">
        <v>3</v>
      </c>
      <c r="S288" s="441"/>
      <c r="T288" s="441"/>
      <c r="U288" s="442"/>
      <c r="V288" s="443" t="s">
        <v>4</v>
      </c>
      <c r="W288" s="441"/>
      <c r="X288" s="441"/>
      <c r="Y288" s="442"/>
      <c r="Z288" s="427" t="s">
        <v>3</v>
      </c>
      <c r="AA288" s="428"/>
      <c r="AB288" s="428"/>
      <c r="AC288" s="429"/>
      <c r="AD288" s="438" t="s">
        <v>4</v>
      </c>
      <c r="AE288" s="439"/>
      <c r="AF288" s="439"/>
      <c r="AG288" s="440"/>
      <c r="AH288" s="449"/>
      <c r="AI288" s="450"/>
      <c r="AJ288" s="450"/>
      <c r="AK288" s="451"/>
      <c r="AL288" s="430"/>
      <c r="AM288" s="432"/>
      <c r="AN288" s="426"/>
      <c r="AO288" s="426"/>
    </row>
    <row r="289" spans="1:41" x14ac:dyDescent="0.25">
      <c r="A289" s="309" t="s">
        <v>24</v>
      </c>
      <c r="B289" s="12">
        <f>B275*$B261</f>
        <v>3.5834913969553077</v>
      </c>
      <c r="C289" s="13">
        <f t="shared" ref="C289:I289" si="175">C275*$B261</f>
        <v>6.286827012202294</v>
      </c>
      <c r="D289" s="13">
        <f t="shared" si="175"/>
        <v>7.1250706138292665</v>
      </c>
      <c r="E289" s="14">
        <f t="shared" si="175"/>
        <v>7.1250706138292665</v>
      </c>
      <c r="F289" s="12">
        <f t="shared" si="175"/>
        <v>4.1912180081348627</v>
      </c>
      <c r="G289" s="13">
        <f t="shared" si="175"/>
        <v>6.286827012202294</v>
      </c>
      <c r="H289" s="13">
        <f t="shared" si="175"/>
        <v>7.1250706138292665</v>
      </c>
      <c r="I289" s="102">
        <f t="shared" si="175"/>
        <v>7.1250706138292665</v>
      </c>
      <c r="J289" s="12">
        <f>J275*$C261</f>
        <v>3.7094217292510163</v>
      </c>
      <c r="K289" s="13">
        <f t="shared" ref="K289:Q289" si="176">K275*$C261</f>
        <v>6.8062784022954421</v>
      </c>
      <c r="L289" s="13">
        <f t="shared" si="176"/>
        <v>7.8272201626397591</v>
      </c>
      <c r="M289" s="14">
        <f t="shared" si="176"/>
        <v>8.3376910428119171</v>
      </c>
      <c r="N289" s="12">
        <f t="shared" si="176"/>
        <v>4.424080961492038</v>
      </c>
      <c r="O289" s="13">
        <f t="shared" si="176"/>
        <v>6.8062784022954421</v>
      </c>
      <c r="P289" s="13">
        <f t="shared" si="176"/>
        <v>7.8272201626397591</v>
      </c>
      <c r="Q289" s="102">
        <f t="shared" si="176"/>
        <v>8.167534082754532</v>
      </c>
      <c r="R289" s="12">
        <f>R275*$D261</f>
        <v>4.1449598515043169</v>
      </c>
      <c r="S289" s="13">
        <f t="shared" ref="S289:Y289" si="177">S275*$D261</f>
        <v>7.6054309201914059</v>
      </c>
      <c r="T289" s="13">
        <f t="shared" si="177"/>
        <v>8.7462455582201173</v>
      </c>
      <c r="U289" s="14">
        <f t="shared" si="177"/>
        <v>9.316652877234473</v>
      </c>
      <c r="V289" s="12">
        <f>V275*$D261</f>
        <v>4.9435300981244144</v>
      </c>
      <c r="W289" s="13">
        <f t="shared" si="177"/>
        <v>7.6054309201914059</v>
      </c>
      <c r="X289" s="13">
        <f t="shared" si="177"/>
        <v>8.7462455582201173</v>
      </c>
      <c r="Y289" s="102">
        <f t="shared" si="177"/>
        <v>9.1265171042296878</v>
      </c>
      <c r="Z289" s="110">
        <f>B289+J289+R289</f>
        <v>11.43787297771064</v>
      </c>
      <c r="AA289" s="234">
        <f t="shared" ref="AA289:AG298" si="178">C289+K289+S289</f>
        <v>20.698536334689141</v>
      </c>
      <c r="AB289" s="234">
        <f t="shared" si="178"/>
        <v>23.698536334689145</v>
      </c>
      <c r="AC289" s="140">
        <f t="shared" si="178"/>
        <v>24.779414533875659</v>
      </c>
      <c r="AD289" s="110">
        <f t="shared" si="178"/>
        <v>13.558829067751315</v>
      </c>
      <c r="AE289" s="234">
        <f t="shared" si="178"/>
        <v>20.698536334689141</v>
      </c>
      <c r="AF289" s="234">
        <f t="shared" si="178"/>
        <v>23.698536334689145</v>
      </c>
      <c r="AG289" s="140">
        <f t="shared" si="178"/>
        <v>24.419121800813485</v>
      </c>
      <c r="AH289" s="110">
        <f>(1-$AH$286)*Z289+$AH$286*AD289</f>
        <v>12.710446631735046</v>
      </c>
      <c r="AI289" s="234">
        <f t="shared" ref="AI289:AJ289" si="179">(1-$AH$286)*AA289+$AH$286*AE289</f>
        <v>20.698536334689141</v>
      </c>
      <c r="AJ289" s="234">
        <f t="shared" si="179"/>
        <v>23.698536334689145</v>
      </c>
      <c r="AK289" s="140">
        <f>(1-$AH$286)*AC289+$AH$286*AG289</f>
        <v>24.563238894038356</v>
      </c>
      <c r="AL289" s="234">
        <f>$AL$286*AI289+(1-$AL$286)*AH289</f>
        <v>19.100918394098322</v>
      </c>
      <c r="AM289" s="140">
        <f>$AL$286*AJ289+(1-$AL$286)*AK289</f>
        <v>23.871476846558988</v>
      </c>
      <c r="AN289" s="140">
        <f>(AL289+AM289)/2</f>
        <v>21.486197620328653</v>
      </c>
      <c r="AO289" s="140">
        <f>AN289</f>
        <v>21.486197620328653</v>
      </c>
    </row>
    <row r="290" spans="1:41" x14ac:dyDescent="0.25">
      <c r="A290" s="310" t="s">
        <v>13</v>
      </c>
      <c r="B290" s="103">
        <f t="shared" ref="B290:B298" si="180">B276*$B262</f>
        <v>2.2299202408112726</v>
      </c>
      <c r="C290" s="98">
        <f t="shared" ref="C290:I290" si="181">C276*$B262</f>
        <v>3.8404181925083023</v>
      </c>
      <c r="D290" s="98">
        <f t="shared" si="181"/>
        <v>4.9702444478526804</v>
      </c>
      <c r="E290" s="104">
        <f t="shared" si="181"/>
        <v>5.924980669474099</v>
      </c>
      <c r="F290" s="103">
        <f t="shared" si="181"/>
        <v>2.6346094696992441</v>
      </c>
      <c r="G290" s="98">
        <f t="shared" si="181"/>
        <v>3.8404181925083023</v>
      </c>
      <c r="H290" s="98">
        <f t="shared" si="181"/>
        <v>4.9702444478526804</v>
      </c>
      <c r="I290" s="105">
        <f t="shared" si="181"/>
        <v>5.6441758984089763</v>
      </c>
      <c r="J290" s="103">
        <f t="shared" ref="J290:J298" si="182">J276*$C262</f>
        <v>2.1791989127205906</v>
      </c>
      <c r="K290" s="98">
        <f t="shared" ref="K290:Q290" si="183">K276*$C262</f>
        <v>4.1116960617369633</v>
      </c>
      <c r="L290" s="98">
        <f t="shared" si="183"/>
        <v>4.7695674316148775</v>
      </c>
      <c r="M290" s="104">
        <f t="shared" si="183"/>
        <v>5.8780806898591633</v>
      </c>
      <c r="N290" s="103">
        <f t="shared" si="183"/>
        <v>2.6314854795116567</v>
      </c>
      <c r="O290" s="98">
        <f t="shared" si="183"/>
        <v>4.1116960617369633</v>
      </c>
      <c r="P290" s="98">
        <f t="shared" si="183"/>
        <v>4.7695674316148775</v>
      </c>
      <c r="Q290" s="105">
        <f t="shared" si="183"/>
        <v>5.5178961148510046</v>
      </c>
      <c r="R290" s="103">
        <f t="shared" ref="R290:R298" si="184">R276*$D262</f>
        <v>2.2997638858507674</v>
      </c>
      <c r="S290" s="98">
        <f t="shared" ref="S290:Y290" si="185">S276*$D262</f>
        <v>4.3354808070297786</v>
      </c>
      <c r="T290" s="98">
        <f t="shared" si="185"/>
        <v>6.0253813809290104</v>
      </c>
      <c r="U290" s="104">
        <f t="shared" si="185"/>
        <v>6.8226328613572749</v>
      </c>
      <c r="V290" s="103">
        <f t="shared" si="185"/>
        <v>2.7443849037819152</v>
      </c>
      <c r="W290" s="98">
        <f t="shared" si="185"/>
        <v>4.3354808070297786</v>
      </c>
      <c r="X290" s="98">
        <f t="shared" si="185"/>
        <v>6.0253813809290104</v>
      </c>
      <c r="Y290" s="105">
        <f t="shared" si="185"/>
        <v>6.5994705879895346</v>
      </c>
      <c r="Z290" s="111">
        <f t="shared" ref="Z290:Z298" si="186">B290+J290+R290</f>
        <v>6.7088830393826306</v>
      </c>
      <c r="AA290" s="97">
        <f t="shared" si="178"/>
        <v>12.287595061275045</v>
      </c>
      <c r="AB290" s="97">
        <f t="shared" si="178"/>
        <v>15.765193260396568</v>
      </c>
      <c r="AC290" s="142">
        <f t="shared" si="178"/>
        <v>18.625694220690537</v>
      </c>
      <c r="AD290" s="111">
        <f t="shared" si="178"/>
        <v>8.0104798529928161</v>
      </c>
      <c r="AE290" s="97">
        <f t="shared" si="178"/>
        <v>12.287595061275045</v>
      </c>
      <c r="AF290" s="97">
        <f t="shared" si="178"/>
        <v>15.765193260396568</v>
      </c>
      <c r="AG290" s="142">
        <f t="shared" si="178"/>
        <v>17.761542601249516</v>
      </c>
      <c r="AH290" s="111">
        <f t="shared" ref="AH290:AH298" si="187">(1-$AH$286)*Z290+$AH$286*AD290</f>
        <v>7.4898411275487424</v>
      </c>
      <c r="AI290" s="97">
        <f t="shared" ref="AI290:AI298" si="188">(1-$AH$286)*AA290+$AH$286*AE290</f>
        <v>12.287595061275045</v>
      </c>
      <c r="AJ290" s="97">
        <f t="shared" ref="AJ290:AJ298" si="189">(1-$AH$286)*AB290+$AH$286*AF290</f>
        <v>15.765193260396568</v>
      </c>
      <c r="AK290" s="142">
        <f t="shared" ref="AK290:AK298" si="190">(1-$AH$286)*AC290+$AH$286*AG290</f>
        <v>18.107203249025925</v>
      </c>
      <c r="AL290" s="97">
        <f t="shared" ref="AL290:AL298" si="191">$AL$286*AI290+(1-$AL$286)*AH290</f>
        <v>11.328044274529784</v>
      </c>
      <c r="AM290" s="142">
        <f t="shared" ref="AM290:AM298" si="192">$AL$286*AJ290+(1-$AL$286)*AK290</f>
        <v>16.233595258122438</v>
      </c>
      <c r="AN290" s="142">
        <f t="shared" ref="AN290:AN298" si="193">(AL290+AM290)/2</f>
        <v>13.780819766326111</v>
      </c>
      <c r="AO290" s="142">
        <f>AN290</f>
        <v>13.780819766326111</v>
      </c>
    </row>
    <row r="291" spans="1:41" x14ac:dyDescent="0.25">
      <c r="A291" s="310" t="s">
        <v>14</v>
      </c>
      <c r="B291" s="103">
        <f t="shared" si="180"/>
        <v>0.82547212330575448</v>
      </c>
      <c r="C291" s="98">
        <f t="shared" ref="C291:I291" si="194">C277*$B263</f>
        <v>1.3757868721762572</v>
      </c>
      <c r="D291" s="98">
        <f t="shared" si="194"/>
        <v>2.1829151705196614</v>
      </c>
      <c r="E291" s="104">
        <f t="shared" si="194"/>
        <v>3.7704898399885063</v>
      </c>
      <c r="F291" s="103">
        <f t="shared" si="194"/>
        <v>0.99223416841802814</v>
      </c>
      <c r="G291" s="98">
        <f t="shared" si="194"/>
        <v>1.3757868721762572</v>
      </c>
      <c r="H291" s="98">
        <f t="shared" si="194"/>
        <v>2.1829151705196614</v>
      </c>
      <c r="I291" s="105">
        <f t="shared" si="194"/>
        <v>3.2885475296140361</v>
      </c>
      <c r="J291" s="103">
        <f t="shared" si="182"/>
        <v>0.73126458394822169</v>
      </c>
      <c r="K291" s="98">
        <f t="shared" ref="K291:Q291" si="195">K277*$C263</f>
        <v>1.5437807883351342</v>
      </c>
      <c r="L291" s="98">
        <f t="shared" si="195"/>
        <v>2.7138041226522889</v>
      </c>
      <c r="M291" s="104">
        <f t="shared" si="195"/>
        <v>3.9576925664591625</v>
      </c>
      <c r="N291" s="103">
        <f t="shared" si="195"/>
        <v>0.90263163796437063</v>
      </c>
      <c r="O291" s="98">
        <f t="shared" si="195"/>
        <v>1.5437807883351342</v>
      </c>
      <c r="P291" s="98">
        <f t="shared" si="195"/>
        <v>2.7138041226522889</v>
      </c>
      <c r="Q291" s="105">
        <f t="shared" si="195"/>
        <v>3.5883670190105663</v>
      </c>
      <c r="R291" s="103">
        <f t="shared" si="184"/>
        <v>0.87188635876895193</v>
      </c>
      <c r="S291" s="98">
        <f t="shared" ref="S291:Y291" si="196">S277*$D263</f>
        <v>1.8550773590828769</v>
      </c>
      <c r="T291" s="98">
        <f t="shared" si="196"/>
        <v>2.2260928308994519</v>
      </c>
      <c r="U291" s="104">
        <f t="shared" si="196"/>
        <v>4.1702139032183076</v>
      </c>
      <c r="V291" s="103">
        <f t="shared" si="196"/>
        <v>1.1130464154497259</v>
      </c>
      <c r="W291" s="98">
        <f t="shared" si="196"/>
        <v>1.8550773590828769</v>
      </c>
      <c r="X291" s="98">
        <f t="shared" si="196"/>
        <v>2.2260928308994519</v>
      </c>
      <c r="Y291" s="105">
        <f t="shared" si="196"/>
        <v>3.5431977558482948</v>
      </c>
      <c r="Z291" s="111">
        <f t="shared" si="186"/>
        <v>2.428623066022928</v>
      </c>
      <c r="AA291" s="97">
        <f t="shared" si="178"/>
        <v>4.774645019594268</v>
      </c>
      <c r="AB291" s="97">
        <f t="shared" si="178"/>
        <v>7.1228121240714017</v>
      </c>
      <c r="AC291" s="142">
        <f t="shared" si="178"/>
        <v>11.898396309665976</v>
      </c>
      <c r="AD291" s="111">
        <f t="shared" si="178"/>
        <v>3.0079122218321248</v>
      </c>
      <c r="AE291" s="97">
        <f t="shared" si="178"/>
        <v>4.774645019594268</v>
      </c>
      <c r="AF291" s="97">
        <f t="shared" si="178"/>
        <v>7.1228121240714017</v>
      </c>
      <c r="AG291" s="142">
        <f t="shared" si="178"/>
        <v>10.420112304472898</v>
      </c>
      <c r="AH291" s="111">
        <f t="shared" si="187"/>
        <v>2.7761965595084459</v>
      </c>
      <c r="AI291" s="97">
        <f t="shared" si="188"/>
        <v>4.774645019594268</v>
      </c>
      <c r="AJ291" s="97">
        <f t="shared" si="189"/>
        <v>7.1228121240714017</v>
      </c>
      <c r="AK291" s="142">
        <f t="shared" si="190"/>
        <v>11.01142590655013</v>
      </c>
      <c r="AL291" s="97">
        <f t="shared" si="191"/>
        <v>4.3749553275771031</v>
      </c>
      <c r="AM291" s="142">
        <f t="shared" si="192"/>
        <v>7.9005348805671476</v>
      </c>
      <c r="AN291" s="142">
        <f t="shared" si="193"/>
        <v>6.1377451040721258</v>
      </c>
      <c r="AO291" s="142">
        <f>AN291</f>
        <v>6.1377451040721258</v>
      </c>
    </row>
    <row r="292" spans="1:41" x14ac:dyDescent="0.25">
      <c r="A292" s="310" t="s">
        <v>15</v>
      </c>
      <c r="B292" s="103">
        <f t="shared" si="180"/>
        <v>3.7002939583199685</v>
      </c>
      <c r="C292" s="98">
        <f t="shared" ref="C292:I292" si="197">C278*$B264</f>
        <v>6.4188772746366789</v>
      </c>
      <c r="D292" s="98">
        <f t="shared" si="197"/>
        <v>7.9023511336638235</v>
      </c>
      <c r="E292" s="104">
        <f t="shared" si="197"/>
        <v>8.2446912549777789</v>
      </c>
      <c r="F292" s="103">
        <f t="shared" si="197"/>
        <v>4.3547677196554728</v>
      </c>
      <c r="G292" s="98">
        <f t="shared" si="197"/>
        <v>6.4188772746366789</v>
      </c>
      <c r="H292" s="98">
        <f t="shared" si="197"/>
        <v>7.9023511336638235</v>
      </c>
      <c r="I292" s="105">
        <f t="shared" si="197"/>
        <v>8.1591062246492907</v>
      </c>
      <c r="J292" s="103">
        <f t="shared" si="182"/>
        <v>3.6290679108353383</v>
      </c>
      <c r="K292" s="98">
        <f t="shared" ref="K292:Q292" si="198">K278*$C264</f>
        <v>6.6588402033675926</v>
      </c>
      <c r="L292" s="98">
        <f t="shared" si="198"/>
        <v>7.6576662338727317</v>
      </c>
      <c r="M292" s="104">
        <f t="shared" si="198"/>
        <v>8.1570792491253012</v>
      </c>
      <c r="N292" s="103">
        <f t="shared" si="198"/>
        <v>4.3282461321889354</v>
      </c>
      <c r="O292" s="98">
        <f t="shared" si="198"/>
        <v>6.6588402033675926</v>
      </c>
      <c r="P292" s="98">
        <f t="shared" si="198"/>
        <v>7.6576662338727317</v>
      </c>
      <c r="Q292" s="105">
        <f t="shared" si="198"/>
        <v>7.9906082440411117</v>
      </c>
      <c r="R292" s="103">
        <f t="shared" si="184"/>
        <v>3.0160168212353913</v>
      </c>
      <c r="S292" s="98">
        <f t="shared" ref="S292:Y292" si="199">S278*$D264</f>
        <v>5.5100307311031171</v>
      </c>
      <c r="T292" s="98">
        <f t="shared" si="199"/>
        <v>6.9749531871317361</v>
      </c>
      <c r="U292" s="104">
        <f t="shared" si="199"/>
        <v>7.8101578453199973</v>
      </c>
      <c r="V292" s="103">
        <f t="shared" si="199"/>
        <v>3.6374488585778479</v>
      </c>
      <c r="W292" s="98">
        <f t="shared" si="199"/>
        <v>5.5100307311031171</v>
      </c>
      <c r="X292" s="98">
        <f t="shared" si="199"/>
        <v>6.9749531871317361</v>
      </c>
      <c r="Y292" s="105">
        <f t="shared" si="199"/>
        <v>7.5599278782834363</v>
      </c>
      <c r="Z292" s="111">
        <f t="shared" si="186"/>
        <v>10.345378690390698</v>
      </c>
      <c r="AA292" s="97">
        <f t="shared" si="178"/>
        <v>18.587748209107389</v>
      </c>
      <c r="AB292" s="97">
        <f t="shared" si="178"/>
        <v>22.534970554668291</v>
      </c>
      <c r="AC292" s="142">
        <f t="shared" si="178"/>
        <v>24.211928349423076</v>
      </c>
      <c r="AD292" s="111">
        <f t="shared" si="178"/>
        <v>12.320462710422255</v>
      </c>
      <c r="AE292" s="97">
        <f t="shared" si="178"/>
        <v>18.587748209107389</v>
      </c>
      <c r="AF292" s="97">
        <f t="shared" si="178"/>
        <v>22.534970554668291</v>
      </c>
      <c r="AG292" s="142">
        <f t="shared" si="178"/>
        <v>23.709642346973837</v>
      </c>
      <c r="AH292" s="111">
        <f t="shared" si="187"/>
        <v>11.530429102409633</v>
      </c>
      <c r="AI292" s="97">
        <f t="shared" si="188"/>
        <v>18.587748209107389</v>
      </c>
      <c r="AJ292" s="97">
        <f t="shared" si="189"/>
        <v>22.534970554668291</v>
      </c>
      <c r="AK292" s="142">
        <f t="shared" si="190"/>
        <v>23.910556747953535</v>
      </c>
      <c r="AL292" s="97">
        <f t="shared" si="191"/>
        <v>17.176284387767836</v>
      </c>
      <c r="AM292" s="142">
        <f t="shared" si="192"/>
        <v>22.810087793325341</v>
      </c>
      <c r="AN292" s="142">
        <f t="shared" si="193"/>
        <v>19.993186090546587</v>
      </c>
      <c r="AO292" s="142">
        <f>AN289</f>
        <v>21.486197620328653</v>
      </c>
    </row>
    <row r="293" spans="1:41" x14ac:dyDescent="0.25">
      <c r="A293" s="310" t="s">
        <v>17</v>
      </c>
      <c r="B293" s="103">
        <f t="shared" si="180"/>
        <v>1.6140248835099842</v>
      </c>
      <c r="C293" s="98">
        <f t="shared" ref="C293:I293" si="200">C279*$B265</f>
        <v>3.2280497670199675</v>
      </c>
      <c r="D293" s="98">
        <f t="shared" si="200"/>
        <v>5.4876846039339444</v>
      </c>
      <c r="E293" s="104">
        <f t="shared" si="200"/>
        <v>6.4577298622050963</v>
      </c>
      <c r="F293" s="103">
        <f t="shared" si="200"/>
        <v>2.0150856121397376</v>
      </c>
      <c r="G293" s="98">
        <f t="shared" si="200"/>
        <v>3.2280497670199675</v>
      </c>
      <c r="H293" s="98">
        <f t="shared" si="200"/>
        <v>5.4876846039339444</v>
      </c>
      <c r="I293" s="105">
        <f t="shared" si="200"/>
        <v>6.2082896529353713</v>
      </c>
      <c r="J293" s="103">
        <f t="shared" si="182"/>
        <v>1.9497666214799108</v>
      </c>
      <c r="K293" s="98">
        <f t="shared" ref="K293:Q293" si="201">K279*$C265</f>
        <v>3.3908984721389746</v>
      </c>
      <c r="L293" s="98">
        <f t="shared" si="201"/>
        <v>5.4593465401437493</v>
      </c>
      <c r="M293" s="104">
        <f t="shared" si="201"/>
        <v>6.6661981327277573</v>
      </c>
      <c r="N293" s="103">
        <f t="shared" si="201"/>
        <v>2.3890421053706419</v>
      </c>
      <c r="O293" s="98">
        <f t="shared" si="201"/>
        <v>3.3908984721389746</v>
      </c>
      <c r="P293" s="98">
        <f t="shared" si="201"/>
        <v>5.4593465401437493</v>
      </c>
      <c r="Q293" s="105">
        <f t="shared" si="201"/>
        <v>6.33481487295054</v>
      </c>
      <c r="R293" s="103">
        <f t="shared" si="184"/>
        <v>1.7643619453399155</v>
      </c>
      <c r="S293" s="98">
        <f t="shared" ref="S293:Y293" si="202">S279*$D265</f>
        <v>3.940103618867894</v>
      </c>
      <c r="T293" s="98">
        <f t="shared" si="202"/>
        <v>5.9549501098156519</v>
      </c>
      <c r="U293" s="104">
        <f t="shared" si="202"/>
        <v>7.2183429639398824</v>
      </c>
      <c r="V293" s="103">
        <f t="shared" si="202"/>
        <v>2.2689877452506062</v>
      </c>
      <c r="W293" s="98">
        <f t="shared" si="202"/>
        <v>3.940103618867894</v>
      </c>
      <c r="X293" s="98">
        <f t="shared" si="202"/>
        <v>5.9549501098156519</v>
      </c>
      <c r="Y293" s="105">
        <f t="shared" si="202"/>
        <v>6.8490153857443765</v>
      </c>
      <c r="Z293" s="111">
        <f t="shared" si="186"/>
        <v>5.3281534503298102</v>
      </c>
      <c r="AA293" s="97">
        <f t="shared" si="178"/>
        <v>10.559051858026836</v>
      </c>
      <c r="AB293" s="97">
        <f t="shared" si="178"/>
        <v>16.901981253893346</v>
      </c>
      <c r="AC293" s="142">
        <f t="shared" si="178"/>
        <v>20.342270958872735</v>
      </c>
      <c r="AD293" s="111">
        <f t="shared" si="178"/>
        <v>6.6731154627609852</v>
      </c>
      <c r="AE293" s="97">
        <f t="shared" si="178"/>
        <v>10.559051858026836</v>
      </c>
      <c r="AF293" s="97">
        <f t="shared" si="178"/>
        <v>16.901981253893346</v>
      </c>
      <c r="AG293" s="142">
        <f t="shared" si="178"/>
        <v>19.392119911630289</v>
      </c>
      <c r="AH293" s="111">
        <f t="shared" si="187"/>
        <v>6.1351306577885154</v>
      </c>
      <c r="AI293" s="97">
        <f t="shared" si="188"/>
        <v>10.559051858026836</v>
      </c>
      <c r="AJ293" s="97">
        <f t="shared" si="189"/>
        <v>16.901981253893346</v>
      </c>
      <c r="AK293" s="142">
        <f t="shared" si="190"/>
        <v>19.77218033052727</v>
      </c>
      <c r="AL293" s="97">
        <f t="shared" si="191"/>
        <v>9.6742676179791722</v>
      </c>
      <c r="AM293" s="142">
        <f t="shared" si="192"/>
        <v>17.476021069220131</v>
      </c>
      <c r="AN293" s="142">
        <f t="shared" si="193"/>
        <v>13.575144343599652</v>
      </c>
      <c r="AO293" s="142">
        <f>AN293</f>
        <v>13.575144343599652</v>
      </c>
    </row>
    <row r="294" spans="1:41" x14ac:dyDescent="0.25">
      <c r="A294" s="310" t="s">
        <v>18</v>
      </c>
      <c r="B294" s="103">
        <f t="shared" si="180"/>
        <v>0</v>
      </c>
      <c r="C294" s="98">
        <f t="shared" ref="C294:I294" si="203">C280*$B266</f>
        <v>1.4935564951764777</v>
      </c>
      <c r="D294" s="98">
        <f t="shared" si="203"/>
        <v>3.385394722400016</v>
      </c>
      <c r="E294" s="104">
        <f t="shared" si="203"/>
        <v>4.2317434030000207</v>
      </c>
      <c r="F294" s="103">
        <f t="shared" si="203"/>
        <v>0.20819272357005444</v>
      </c>
      <c r="G294" s="98">
        <f t="shared" si="203"/>
        <v>1.4935564951764777</v>
      </c>
      <c r="H294" s="98">
        <f t="shared" si="203"/>
        <v>3.385394722400016</v>
      </c>
      <c r="I294" s="105">
        <f t="shared" si="203"/>
        <v>4.0009210355636551</v>
      </c>
      <c r="J294" s="103">
        <f t="shared" si="182"/>
        <v>0.45256159789215589</v>
      </c>
      <c r="K294" s="98">
        <f t="shared" ref="K294:Q294" si="204">K280*$C266</f>
        <v>1.9912710307254859</v>
      </c>
      <c r="L294" s="98">
        <f t="shared" si="204"/>
        <v>3.9825420614509714</v>
      </c>
      <c r="M294" s="104">
        <f t="shared" si="204"/>
        <v>5.2151552862554258</v>
      </c>
      <c r="N294" s="103">
        <f t="shared" si="204"/>
        <v>0.74384669908092549</v>
      </c>
      <c r="O294" s="98">
        <f t="shared" si="204"/>
        <v>1.9912710307254859</v>
      </c>
      <c r="P294" s="98">
        <f t="shared" si="204"/>
        <v>3.9825420614509714</v>
      </c>
      <c r="Q294" s="105">
        <f t="shared" si="204"/>
        <v>4.8613344006306489</v>
      </c>
      <c r="R294" s="103">
        <f t="shared" si="184"/>
        <v>0.50756159789215594</v>
      </c>
      <c r="S294" s="98">
        <f t="shared" ref="S294:Y294" si="205">S280*$D266</f>
        <v>2.2332710307254864</v>
      </c>
      <c r="T294" s="98">
        <f t="shared" si="205"/>
        <v>4.4665420614509719</v>
      </c>
      <c r="U294" s="104">
        <f t="shared" si="205"/>
        <v>5.8489552862554266</v>
      </c>
      <c r="V294" s="103">
        <f t="shared" si="205"/>
        <v>0.83424669908092564</v>
      </c>
      <c r="W294" s="98">
        <f t="shared" si="205"/>
        <v>2.2332710307254864</v>
      </c>
      <c r="X294" s="98">
        <f t="shared" si="205"/>
        <v>4.4665420614509719</v>
      </c>
      <c r="Y294" s="105">
        <f t="shared" si="205"/>
        <v>5.4521344006306496</v>
      </c>
      <c r="Z294" s="111">
        <f t="shared" si="186"/>
        <v>0.96012319578431182</v>
      </c>
      <c r="AA294" s="97">
        <f t="shared" si="178"/>
        <v>5.7180985566274503</v>
      </c>
      <c r="AB294" s="97">
        <f t="shared" si="178"/>
        <v>11.834478845301959</v>
      </c>
      <c r="AC294" s="142">
        <f t="shared" si="178"/>
        <v>15.295853975510873</v>
      </c>
      <c r="AD294" s="111">
        <f t="shared" si="178"/>
        <v>1.7862861217319055</v>
      </c>
      <c r="AE294" s="97">
        <f t="shared" si="178"/>
        <v>5.7180985566274503</v>
      </c>
      <c r="AF294" s="97">
        <f t="shared" si="178"/>
        <v>11.834478845301959</v>
      </c>
      <c r="AG294" s="142">
        <f t="shared" si="178"/>
        <v>14.314389836824953</v>
      </c>
      <c r="AH294" s="111">
        <f t="shared" si="187"/>
        <v>1.4558209513528682</v>
      </c>
      <c r="AI294" s="97">
        <f t="shared" si="188"/>
        <v>5.7180985566274503</v>
      </c>
      <c r="AJ294" s="97">
        <f t="shared" si="189"/>
        <v>11.834478845301959</v>
      </c>
      <c r="AK294" s="142">
        <f t="shared" si="190"/>
        <v>14.706975492299321</v>
      </c>
      <c r="AL294" s="97">
        <f t="shared" si="191"/>
        <v>4.8656430355725337</v>
      </c>
      <c r="AM294" s="142">
        <f t="shared" si="192"/>
        <v>12.408978174701431</v>
      </c>
      <c r="AN294" s="142">
        <f t="shared" si="193"/>
        <v>8.6373106051369817</v>
      </c>
      <c r="AO294" s="142">
        <f>AN295</f>
        <v>10.798427214863018</v>
      </c>
    </row>
    <row r="295" spans="1:41" x14ac:dyDescent="0.25">
      <c r="A295" s="310" t="s">
        <v>19</v>
      </c>
      <c r="B295" s="103">
        <f t="shared" si="180"/>
        <v>1.5487911130294434</v>
      </c>
      <c r="C295" s="98">
        <f t="shared" ref="C295:I295" si="206">C281*$B267</f>
        <v>2.5813185217157382</v>
      </c>
      <c r="D295" s="98">
        <f t="shared" si="206"/>
        <v>4.0956920544556379</v>
      </c>
      <c r="E295" s="104">
        <f t="shared" si="206"/>
        <v>5.3190805902021276</v>
      </c>
      <c r="F295" s="103">
        <f t="shared" si="206"/>
        <v>1.8616782065707449</v>
      </c>
      <c r="G295" s="98">
        <f t="shared" si="206"/>
        <v>2.5813185217157382</v>
      </c>
      <c r="H295" s="98">
        <f t="shared" si="206"/>
        <v>4.0956920544556379</v>
      </c>
      <c r="I295" s="105">
        <f t="shared" si="206"/>
        <v>4.9733403518389894</v>
      </c>
      <c r="J295" s="103">
        <f t="shared" si="182"/>
        <v>1.5610723753189542</v>
      </c>
      <c r="K295" s="98">
        <f t="shared" ref="K295:Q295" si="207">K281*$C267</f>
        <v>2.952287134670561</v>
      </c>
      <c r="L295" s="98">
        <f t="shared" si="207"/>
        <v>4.0587881758292808</v>
      </c>
      <c r="M295" s="104">
        <f t="shared" si="207"/>
        <v>5.4791213836324326</v>
      </c>
      <c r="N295" s="103">
        <f t="shared" si="207"/>
        <v>1.9331414388664772</v>
      </c>
      <c r="O295" s="98">
        <f t="shared" si="207"/>
        <v>2.952287134670561</v>
      </c>
      <c r="P295" s="98">
        <f t="shared" si="207"/>
        <v>4.0587881758292808</v>
      </c>
      <c r="Q295" s="105">
        <f t="shared" si="207"/>
        <v>5.042344656859254</v>
      </c>
      <c r="R295" s="103">
        <f t="shared" si="184"/>
        <v>1.7542473983442652</v>
      </c>
      <c r="S295" s="98">
        <f t="shared" ref="S295:Y295" si="208">S281*$D267</f>
        <v>3.317618136765061</v>
      </c>
      <c r="T295" s="98">
        <f t="shared" si="208"/>
        <v>4.5610432356950898</v>
      </c>
      <c r="U295" s="104">
        <f t="shared" si="208"/>
        <v>6.1571356872456224</v>
      </c>
      <c r="V295" s="103">
        <f t="shared" si="208"/>
        <v>2.172358177224246</v>
      </c>
      <c r="W295" s="98">
        <f t="shared" si="208"/>
        <v>3.317618136765061</v>
      </c>
      <c r="X295" s="98">
        <f t="shared" si="208"/>
        <v>4.5610432356950898</v>
      </c>
      <c r="Y295" s="105">
        <f t="shared" si="208"/>
        <v>5.6663099902995597</v>
      </c>
      <c r="Z295" s="111">
        <f t="shared" si="186"/>
        <v>4.8641108866926626</v>
      </c>
      <c r="AA295" s="97">
        <f t="shared" si="178"/>
        <v>8.8512237931513607</v>
      </c>
      <c r="AB295" s="97">
        <f t="shared" si="178"/>
        <v>12.715523465980008</v>
      </c>
      <c r="AC295" s="142">
        <f t="shared" si="178"/>
        <v>16.955337661080183</v>
      </c>
      <c r="AD295" s="111">
        <f t="shared" si="178"/>
        <v>5.9671778226614682</v>
      </c>
      <c r="AE295" s="97">
        <f t="shared" si="178"/>
        <v>8.8512237931513607</v>
      </c>
      <c r="AF295" s="97">
        <f t="shared" si="178"/>
        <v>12.715523465980008</v>
      </c>
      <c r="AG295" s="142">
        <f t="shared" si="178"/>
        <v>15.681994998997803</v>
      </c>
      <c r="AH295" s="111">
        <f t="shared" si="187"/>
        <v>5.5259510482739458</v>
      </c>
      <c r="AI295" s="97">
        <f t="shared" si="188"/>
        <v>8.8512237931513607</v>
      </c>
      <c r="AJ295" s="97">
        <f t="shared" si="189"/>
        <v>12.715523465980008</v>
      </c>
      <c r="AK295" s="142">
        <f t="shared" si="190"/>
        <v>16.191332063830753</v>
      </c>
      <c r="AL295" s="97">
        <f t="shared" si="191"/>
        <v>8.1861692441758791</v>
      </c>
      <c r="AM295" s="142">
        <f t="shared" si="192"/>
        <v>13.410685185550156</v>
      </c>
      <c r="AN295" s="142">
        <f t="shared" si="193"/>
        <v>10.798427214863018</v>
      </c>
      <c r="AO295" s="142">
        <f>AN295</f>
        <v>10.798427214863018</v>
      </c>
    </row>
    <row r="296" spans="1:41" x14ac:dyDescent="0.25">
      <c r="A296" s="310" t="s">
        <v>20</v>
      </c>
      <c r="B296" s="103">
        <f t="shared" si="180"/>
        <v>2.3381605574568605</v>
      </c>
      <c r="C296" s="98">
        <f t="shared" ref="C296:I296" si="209">C282*$B268</f>
        <v>3.8969342624280996</v>
      </c>
      <c r="D296" s="98">
        <f t="shared" si="209"/>
        <v>6.183135696385917</v>
      </c>
      <c r="E296" s="104">
        <f t="shared" si="209"/>
        <v>7.1467412594590485</v>
      </c>
      <c r="F296" s="103">
        <f t="shared" si="209"/>
        <v>2.8105162256299629</v>
      </c>
      <c r="G296" s="98">
        <f t="shared" si="209"/>
        <v>3.8969342624280996</v>
      </c>
      <c r="H296" s="98">
        <f t="shared" si="209"/>
        <v>6.183135696385917</v>
      </c>
      <c r="I296" s="105">
        <f t="shared" si="209"/>
        <v>6.9058398686907658</v>
      </c>
      <c r="J296" s="103">
        <f t="shared" si="182"/>
        <v>2.3545064187104066</v>
      </c>
      <c r="K296" s="98">
        <f t="shared" ref="K296:Q296" si="210">K282*$C268</f>
        <v>4.2735904175223123</v>
      </c>
      <c r="L296" s="98">
        <f t="shared" si="210"/>
        <v>6.157195552490637</v>
      </c>
      <c r="M296" s="104">
        <f t="shared" si="210"/>
        <v>7.2989698980022588</v>
      </c>
      <c r="N296" s="103">
        <f t="shared" si="210"/>
        <v>2.8866893763641284</v>
      </c>
      <c r="O296" s="98">
        <f t="shared" si="210"/>
        <v>4.2735904175223123</v>
      </c>
      <c r="P296" s="98">
        <f t="shared" si="210"/>
        <v>6.157195552490637</v>
      </c>
      <c r="Q296" s="105">
        <f t="shared" si="210"/>
        <v>6.9732094208930118</v>
      </c>
      <c r="R296" s="103">
        <f t="shared" si="184"/>
        <v>2.6466959961804926</v>
      </c>
      <c r="S296" s="98">
        <f t="shared" ref="S296:Y296" si="211">S282*$D268</f>
        <v>4.8039345136152773</v>
      </c>
      <c r="T296" s="98">
        <f t="shared" si="211"/>
        <v>6.9212913105596705</v>
      </c>
      <c r="U296" s="104">
        <f t="shared" si="211"/>
        <v>8.2047575881595254</v>
      </c>
      <c r="V296" s="103">
        <f t="shared" si="211"/>
        <v>3.2449218035363572</v>
      </c>
      <c r="W296" s="98">
        <f t="shared" si="211"/>
        <v>4.8039345136152773</v>
      </c>
      <c r="X296" s="98">
        <f t="shared" si="211"/>
        <v>6.9212913105596705</v>
      </c>
      <c r="Y296" s="105">
        <f t="shared" si="211"/>
        <v>7.8385708818386641</v>
      </c>
      <c r="Z296" s="111">
        <f t="shared" si="186"/>
        <v>7.3393629723477591</v>
      </c>
      <c r="AA296" s="97">
        <f t="shared" si="178"/>
        <v>12.974459193565689</v>
      </c>
      <c r="AB296" s="97">
        <f t="shared" si="178"/>
        <v>19.261622559436226</v>
      </c>
      <c r="AC296" s="142">
        <f t="shared" si="178"/>
        <v>22.650468745620834</v>
      </c>
      <c r="AD296" s="111">
        <f t="shared" si="178"/>
        <v>8.9421274055304494</v>
      </c>
      <c r="AE296" s="97">
        <f t="shared" si="178"/>
        <v>12.974459193565689</v>
      </c>
      <c r="AF296" s="97">
        <f t="shared" si="178"/>
        <v>19.261622559436226</v>
      </c>
      <c r="AG296" s="142">
        <f t="shared" si="178"/>
        <v>21.717620171422443</v>
      </c>
      <c r="AH296" s="111">
        <f t="shared" si="187"/>
        <v>8.301021632257374</v>
      </c>
      <c r="AI296" s="97">
        <f t="shared" si="188"/>
        <v>12.974459193565689</v>
      </c>
      <c r="AJ296" s="97">
        <f t="shared" si="189"/>
        <v>19.261622559436226</v>
      </c>
      <c r="AK296" s="142">
        <f t="shared" si="190"/>
        <v>22.090759601101801</v>
      </c>
      <c r="AL296" s="97">
        <f t="shared" si="191"/>
        <v>12.039771681304027</v>
      </c>
      <c r="AM296" s="142">
        <f t="shared" si="192"/>
        <v>19.82744996776934</v>
      </c>
      <c r="AN296" s="142">
        <f t="shared" si="193"/>
        <v>15.933610824536682</v>
      </c>
      <c r="AO296" s="142">
        <f>AN296</f>
        <v>15.933610824536682</v>
      </c>
    </row>
    <row r="297" spans="1:41" x14ac:dyDescent="0.25">
      <c r="A297" s="310" t="s">
        <v>22</v>
      </c>
      <c r="B297" s="103">
        <f t="shared" si="180"/>
        <v>0</v>
      </c>
      <c r="C297" s="98">
        <f t="shared" ref="C297:I297" si="212">C283*$B269</f>
        <v>0</v>
      </c>
      <c r="D297" s="98">
        <f t="shared" si="212"/>
        <v>0</v>
      </c>
      <c r="E297" s="104">
        <f t="shared" si="212"/>
        <v>1.4080711937127373</v>
      </c>
      <c r="F297" s="103">
        <f t="shared" si="212"/>
        <v>0</v>
      </c>
      <c r="G297" s="98">
        <f t="shared" si="212"/>
        <v>0</v>
      </c>
      <c r="H297" s="98">
        <f t="shared" si="212"/>
        <v>0</v>
      </c>
      <c r="I297" s="105">
        <f t="shared" si="212"/>
        <v>0.96004854116777538</v>
      </c>
      <c r="J297" s="103">
        <f t="shared" si="182"/>
        <v>0</v>
      </c>
      <c r="K297" s="98">
        <f t="shared" ref="K297:Q297" si="213">K283*$C269</f>
        <v>0.38995380453796696</v>
      </c>
      <c r="L297" s="98">
        <f t="shared" si="213"/>
        <v>0.93588913089112069</v>
      </c>
      <c r="M297" s="104">
        <f t="shared" si="213"/>
        <v>2.7296766317657686</v>
      </c>
      <c r="N297" s="103">
        <f t="shared" si="213"/>
        <v>2.8360276693670347E-2</v>
      </c>
      <c r="O297" s="98">
        <f t="shared" si="213"/>
        <v>0.38995380453796696</v>
      </c>
      <c r="P297" s="98">
        <f t="shared" si="213"/>
        <v>0.93588913089112069</v>
      </c>
      <c r="Q297" s="105">
        <f t="shared" si="213"/>
        <v>2.1660161324790708</v>
      </c>
      <c r="R297" s="103">
        <f t="shared" si="184"/>
        <v>0</v>
      </c>
      <c r="S297" s="98">
        <f t="shared" ref="S297:Y297" si="214">S283*$D269</f>
        <v>0.433953804537967</v>
      </c>
      <c r="T297" s="98">
        <f t="shared" si="214"/>
        <v>1.0414891308911207</v>
      </c>
      <c r="U297" s="104">
        <f t="shared" si="214"/>
        <v>3.0376766317657689</v>
      </c>
      <c r="V297" s="103">
        <f t="shared" si="214"/>
        <v>3.1560276693670349E-2</v>
      </c>
      <c r="W297" s="98">
        <f t="shared" si="214"/>
        <v>0.433953804537967</v>
      </c>
      <c r="X297" s="98">
        <f t="shared" si="214"/>
        <v>1.0414891308911207</v>
      </c>
      <c r="Y297" s="105">
        <f t="shared" si="214"/>
        <v>2.4104161324790709</v>
      </c>
      <c r="Z297" s="111">
        <f t="shared" si="186"/>
        <v>0</v>
      </c>
      <c r="AA297" s="97">
        <f t="shared" si="178"/>
        <v>0.82390760907593397</v>
      </c>
      <c r="AB297" s="97">
        <f t="shared" si="178"/>
        <v>1.9773782617822415</v>
      </c>
      <c r="AC297" s="142">
        <f t="shared" si="178"/>
        <v>7.1754244572442749</v>
      </c>
      <c r="AD297" s="111">
        <f t="shared" si="178"/>
        <v>5.9920553387340696E-2</v>
      </c>
      <c r="AE297" s="97">
        <f t="shared" si="178"/>
        <v>0.82390760907593397</v>
      </c>
      <c r="AF297" s="97">
        <f t="shared" si="178"/>
        <v>1.9773782617822415</v>
      </c>
      <c r="AG297" s="142">
        <f t="shared" si="178"/>
        <v>5.5364808061259172</v>
      </c>
      <c r="AH297" s="111">
        <f t="shared" si="187"/>
        <v>3.5952332032404416E-2</v>
      </c>
      <c r="AI297" s="97">
        <f t="shared" si="188"/>
        <v>0.82390760907593397</v>
      </c>
      <c r="AJ297" s="97">
        <f t="shared" si="189"/>
        <v>1.9773782617822415</v>
      </c>
      <c r="AK297" s="142">
        <f t="shared" si="190"/>
        <v>6.1920582665732606</v>
      </c>
      <c r="AL297" s="97">
        <f t="shared" si="191"/>
        <v>0.66631655366722808</v>
      </c>
      <c r="AM297" s="142">
        <f t="shared" si="192"/>
        <v>2.8203142627404452</v>
      </c>
      <c r="AN297" s="142">
        <f t="shared" si="193"/>
        <v>1.7433154082038367</v>
      </c>
      <c r="AO297" s="142">
        <f>AN296</f>
        <v>15.933610824536682</v>
      </c>
    </row>
    <row r="298" spans="1:41" ht="15.75" thickBot="1" x14ac:dyDescent="0.3">
      <c r="A298" s="311" t="s">
        <v>23</v>
      </c>
      <c r="B298" s="106">
        <f t="shared" si="180"/>
        <v>1.2821851219789111</v>
      </c>
      <c r="C298" s="107">
        <f t="shared" ref="C298:I298" si="215">C284*$B270</f>
        <v>3.239204518683565</v>
      </c>
      <c r="D298" s="107">
        <f t="shared" si="215"/>
        <v>4.7928229822743855</v>
      </c>
      <c r="E298" s="108">
        <f t="shared" si="215"/>
        <v>5.3536852461575588</v>
      </c>
      <c r="F298" s="106">
        <f t="shared" si="215"/>
        <v>1.6375978400011355</v>
      </c>
      <c r="G298" s="107">
        <f t="shared" si="215"/>
        <v>3.239204518683565</v>
      </c>
      <c r="H298" s="107">
        <f t="shared" si="215"/>
        <v>4.7928229822743855</v>
      </c>
      <c r="I298" s="109">
        <f t="shared" si="215"/>
        <v>5.2007228105530565</v>
      </c>
      <c r="J298" s="106">
        <f t="shared" si="182"/>
        <v>1.8647080772887898</v>
      </c>
      <c r="K298" s="107">
        <f t="shared" ref="K298:Q298" si="216">K284*$C270</f>
        <v>3.9274382512808139</v>
      </c>
      <c r="L298" s="107">
        <f t="shared" si="216"/>
        <v>5.5644209173608834</v>
      </c>
      <c r="M298" s="108">
        <f t="shared" si="216"/>
        <v>6.4918244035876986</v>
      </c>
      <c r="N298" s="106">
        <f t="shared" si="216"/>
        <v>2.3201588997062288</v>
      </c>
      <c r="O298" s="107">
        <f t="shared" si="216"/>
        <v>3.9274382512808139</v>
      </c>
      <c r="P298" s="107">
        <f t="shared" si="216"/>
        <v>5.5644209173608834</v>
      </c>
      <c r="Q298" s="109">
        <f t="shared" si="216"/>
        <v>6.2211942047599447</v>
      </c>
      <c r="R298" s="106">
        <f t="shared" si="184"/>
        <v>2.0907080772887903</v>
      </c>
      <c r="S298" s="107">
        <f t="shared" ref="S298:Y298" si="217">S284*$D270</f>
        <v>4.4034382512808143</v>
      </c>
      <c r="T298" s="107">
        <f t="shared" si="217"/>
        <v>6.2388209173608846</v>
      </c>
      <c r="U298" s="108">
        <f t="shared" si="217"/>
        <v>7.278624403587699</v>
      </c>
      <c r="V298" s="106">
        <f t="shared" si="217"/>
        <v>2.6013588997062294</v>
      </c>
      <c r="W298" s="107">
        <f t="shared" si="217"/>
        <v>4.4034382512808143</v>
      </c>
      <c r="X298" s="107">
        <f t="shared" si="217"/>
        <v>6.2388209173608846</v>
      </c>
      <c r="Y298" s="109">
        <f t="shared" si="217"/>
        <v>6.975194204759946</v>
      </c>
      <c r="Z298" s="112">
        <f t="shared" si="186"/>
        <v>5.2376012765564912</v>
      </c>
      <c r="AA298" s="188">
        <f t="shared" si="178"/>
        <v>11.570081021245194</v>
      </c>
      <c r="AB298" s="188">
        <f t="shared" si="178"/>
        <v>16.596064816996154</v>
      </c>
      <c r="AC298" s="113">
        <f t="shared" si="178"/>
        <v>19.124134053332956</v>
      </c>
      <c r="AD298" s="112">
        <f t="shared" si="178"/>
        <v>6.5591156394135943</v>
      </c>
      <c r="AE298" s="188">
        <f t="shared" si="178"/>
        <v>11.570081021245194</v>
      </c>
      <c r="AF298" s="188">
        <f t="shared" si="178"/>
        <v>16.596064816996154</v>
      </c>
      <c r="AG298" s="113">
        <f t="shared" si="178"/>
        <v>18.397111220072947</v>
      </c>
      <c r="AH298" s="112">
        <f t="shared" si="187"/>
        <v>6.0305098942707529</v>
      </c>
      <c r="AI298" s="188">
        <f t="shared" si="188"/>
        <v>11.570081021245194</v>
      </c>
      <c r="AJ298" s="188">
        <f t="shared" si="189"/>
        <v>16.596064816996154</v>
      </c>
      <c r="AK298" s="113">
        <f t="shared" si="190"/>
        <v>18.687920353376953</v>
      </c>
      <c r="AL298" s="188">
        <f t="shared" si="191"/>
        <v>10.462166795850306</v>
      </c>
      <c r="AM298" s="113">
        <f t="shared" si="192"/>
        <v>17.014435924272313</v>
      </c>
      <c r="AN298" s="113">
        <f t="shared" si="193"/>
        <v>13.73830136006131</v>
      </c>
      <c r="AO298" s="113">
        <f>AN296</f>
        <v>15.933610824536682</v>
      </c>
    </row>
    <row r="300" spans="1:41" ht="15.75" thickBot="1" x14ac:dyDescent="0.3">
      <c r="A300" s="1" t="s">
        <v>304</v>
      </c>
    </row>
    <row r="301" spans="1:41" ht="15" customHeight="1" x14ac:dyDescent="0.25">
      <c r="A301" s="456" t="s">
        <v>234</v>
      </c>
      <c r="B301" s="425" t="s">
        <v>274</v>
      </c>
      <c r="C301" s="425" t="s">
        <v>265</v>
      </c>
    </row>
    <row r="302" spans="1:41" ht="15.75" thickBot="1" x14ac:dyDescent="0.3">
      <c r="A302" s="467"/>
      <c r="B302" s="426"/>
      <c r="C302" s="426"/>
    </row>
    <row r="303" spans="1:41" x14ac:dyDescent="0.25">
      <c r="A303" s="351" t="s">
        <v>24</v>
      </c>
      <c r="B303" s="286">
        <v>21.486197620328653</v>
      </c>
      <c r="C303" s="286">
        <v>21.486197620328653</v>
      </c>
    </row>
    <row r="304" spans="1:41" x14ac:dyDescent="0.25">
      <c r="A304" s="352" t="s">
        <v>15</v>
      </c>
      <c r="B304" s="287">
        <v>19.993186090546587</v>
      </c>
      <c r="C304" s="287">
        <v>21.486197620328653</v>
      </c>
    </row>
    <row r="305" spans="1:3" x14ac:dyDescent="0.25">
      <c r="A305" s="352" t="s">
        <v>20</v>
      </c>
      <c r="B305" s="287">
        <v>15.933610824536682</v>
      </c>
      <c r="C305" s="287">
        <v>15.933610824536682</v>
      </c>
    </row>
    <row r="306" spans="1:3" x14ac:dyDescent="0.25">
      <c r="A306" s="352" t="s">
        <v>23</v>
      </c>
      <c r="B306" s="287">
        <v>13.73830136006131</v>
      </c>
      <c r="C306" s="287">
        <v>15.933610824536682</v>
      </c>
    </row>
    <row r="307" spans="1:3" x14ac:dyDescent="0.25">
      <c r="A307" s="352" t="s">
        <v>22</v>
      </c>
      <c r="B307" s="287">
        <v>1.7433154082038367</v>
      </c>
      <c r="C307" s="287">
        <v>15.933610824536682</v>
      </c>
    </row>
    <row r="308" spans="1:3" x14ac:dyDescent="0.25">
      <c r="A308" s="352" t="s">
        <v>13</v>
      </c>
      <c r="B308" s="287">
        <v>13.780819766326111</v>
      </c>
      <c r="C308" s="287">
        <v>13.780819766326111</v>
      </c>
    </row>
    <row r="309" spans="1:3" x14ac:dyDescent="0.25">
      <c r="A309" s="352" t="s">
        <v>17</v>
      </c>
      <c r="B309" s="287">
        <v>13.575144343599652</v>
      </c>
      <c r="C309" s="287">
        <v>13.575144343599652</v>
      </c>
    </row>
    <row r="310" spans="1:3" x14ac:dyDescent="0.25">
      <c r="A310" s="352" t="s">
        <v>19</v>
      </c>
      <c r="B310" s="287">
        <v>10.798427214863018</v>
      </c>
      <c r="C310" s="287">
        <v>10.798427214863018</v>
      </c>
    </row>
    <row r="311" spans="1:3" x14ac:dyDescent="0.25">
      <c r="A311" s="352" t="s">
        <v>18</v>
      </c>
      <c r="B311" s="287">
        <v>8.6373106051369817</v>
      </c>
      <c r="C311" s="287">
        <v>10.798427214863018</v>
      </c>
    </row>
    <row r="312" spans="1:3" ht="15.75" thickBot="1" x14ac:dyDescent="0.3">
      <c r="A312" s="353" t="s">
        <v>14</v>
      </c>
      <c r="B312" s="288">
        <v>6.1377451040721258</v>
      </c>
      <c r="C312" s="288">
        <v>6.1377451040721258</v>
      </c>
    </row>
    <row r="313" spans="1:3" x14ac:dyDescent="0.25">
      <c r="B313" s="97"/>
      <c r="C313" s="97"/>
    </row>
    <row r="314" spans="1:3" ht="15.75" thickBot="1" x14ac:dyDescent="0.3">
      <c r="B314" s="97"/>
      <c r="C314" s="97"/>
    </row>
    <row r="315" spans="1:3" ht="15" customHeight="1" x14ac:dyDescent="0.25">
      <c r="A315" s="456" t="s">
        <v>155</v>
      </c>
      <c r="B315" s="456" t="s">
        <v>177</v>
      </c>
      <c r="C315" s="97"/>
    </row>
    <row r="316" spans="1:3" ht="15" customHeight="1" thickBot="1" x14ac:dyDescent="0.3">
      <c r="A316" s="457"/>
      <c r="B316" s="457"/>
      <c r="C316" s="97"/>
    </row>
    <row r="317" spans="1:3" x14ac:dyDescent="0.25">
      <c r="A317" s="351" t="s">
        <v>24</v>
      </c>
      <c r="B317" s="286">
        <f>((AB289-AA289)+(AC289-Z289))/2</f>
        <v>8.1707707780825114</v>
      </c>
      <c r="C317" s="97"/>
    </row>
    <row r="318" spans="1:3" x14ac:dyDescent="0.25">
      <c r="A318" s="352" t="s">
        <v>13</v>
      </c>
      <c r="B318" s="287">
        <f t="shared" ref="B318:B326" si="218">((AB290-AA290)+(AC290-Z290))/2</f>
        <v>7.6972046902147149</v>
      </c>
      <c r="C318" s="97"/>
    </row>
    <row r="319" spans="1:3" x14ac:dyDescent="0.25">
      <c r="A319" s="352" t="s">
        <v>14</v>
      </c>
      <c r="B319" s="287">
        <f t="shared" si="218"/>
        <v>5.9089701740600908</v>
      </c>
      <c r="C319" s="97"/>
    </row>
    <row r="320" spans="1:3" x14ac:dyDescent="0.25">
      <c r="A320" s="352" t="s">
        <v>15</v>
      </c>
      <c r="B320" s="287">
        <f t="shared" si="218"/>
        <v>8.9068860022966412</v>
      </c>
      <c r="C320" s="97"/>
    </row>
    <row r="321" spans="1:3" x14ac:dyDescent="0.25">
      <c r="A321" s="352" t="s">
        <v>17</v>
      </c>
      <c r="B321" s="287">
        <f t="shared" si="218"/>
        <v>10.678523452204718</v>
      </c>
      <c r="C321" s="97"/>
    </row>
    <row r="322" spans="1:3" x14ac:dyDescent="0.25">
      <c r="A322" s="352" t="s">
        <v>18</v>
      </c>
      <c r="B322" s="287">
        <f t="shared" si="218"/>
        <v>10.226055534200535</v>
      </c>
      <c r="C322" s="97"/>
    </row>
    <row r="323" spans="1:3" x14ac:dyDescent="0.25">
      <c r="A323" s="352" t="s">
        <v>19</v>
      </c>
      <c r="B323" s="287">
        <f t="shared" si="218"/>
        <v>7.9777632236080835</v>
      </c>
      <c r="C323" s="97"/>
    </row>
    <row r="324" spans="1:3" x14ac:dyDescent="0.25">
      <c r="A324" s="352" t="s">
        <v>20</v>
      </c>
      <c r="B324" s="287">
        <f t="shared" si="218"/>
        <v>10.799134569571805</v>
      </c>
      <c r="C324" s="97"/>
    </row>
    <row r="325" spans="1:3" x14ac:dyDescent="0.25">
      <c r="A325" s="352" t="s">
        <v>22</v>
      </c>
      <c r="B325" s="287">
        <f t="shared" si="218"/>
        <v>4.1644475549752915</v>
      </c>
      <c r="C325" s="97"/>
    </row>
    <row r="326" spans="1:3" ht="15.75" thickBot="1" x14ac:dyDescent="0.3">
      <c r="A326" s="353" t="s">
        <v>23</v>
      </c>
      <c r="B326" s="288">
        <f t="shared" si="218"/>
        <v>9.4562582862637115</v>
      </c>
      <c r="C326" s="97"/>
    </row>
    <row r="327" spans="1:3" ht="15.75" thickBot="1" x14ac:dyDescent="0.3">
      <c r="C327" s="97"/>
    </row>
    <row r="328" spans="1:3" x14ac:dyDescent="0.25">
      <c r="A328" s="456" t="s">
        <v>156</v>
      </c>
      <c r="B328" s="456" t="s">
        <v>177</v>
      </c>
      <c r="C328" s="97"/>
    </row>
    <row r="329" spans="1:3" ht="15.75" thickBot="1" x14ac:dyDescent="0.3">
      <c r="A329" s="457"/>
      <c r="B329" s="457"/>
      <c r="C329" s="97"/>
    </row>
    <row r="330" spans="1:3" x14ac:dyDescent="0.25">
      <c r="A330" s="351" t="s">
        <v>24</v>
      </c>
      <c r="B330" s="286">
        <f>AC289-Z289</f>
        <v>13.341541556165019</v>
      </c>
      <c r="C330" s="97"/>
    </row>
    <row r="331" spans="1:3" x14ac:dyDescent="0.25">
      <c r="A331" s="352" t="s">
        <v>13</v>
      </c>
      <c r="B331" s="287">
        <f t="shared" ref="B331:B339" si="219">AC290-Z290</f>
        <v>11.916811181307907</v>
      </c>
      <c r="C331" s="97"/>
    </row>
    <row r="332" spans="1:3" x14ac:dyDescent="0.25">
      <c r="A332" s="352" t="s">
        <v>14</v>
      </c>
      <c r="B332" s="287">
        <f t="shared" si="219"/>
        <v>9.4697732436430488</v>
      </c>
      <c r="C332" s="97"/>
    </row>
    <row r="333" spans="1:3" x14ac:dyDescent="0.25">
      <c r="A333" s="352" t="s">
        <v>15</v>
      </c>
      <c r="B333" s="287">
        <f t="shared" si="219"/>
        <v>13.866549659032378</v>
      </c>
      <c r="C333" s="97"/>
    </row>
    <row r="334" spans="1:3" x14ac:dyDescent="0.25">
      <c r="A334" s="352" t="s">
        <v>17</v>
      </c>
      <c r="B334" s="287">
        <f t="shared" si="219"/>
        <v>15.014117508542924</v>
      </c>
      <c r="C334" s="97"/>
    </row>
    <row r="335" spans="1:3" x14ac:dyDescent="0.25">
      <c r="A335" s="352" t="s">
        <v>18</v>
      </c>
      <c r="B335" s="287">
        <f t="shared" si="219"/>
        <v>14.335730779726561</v>
      </c>
      <c r="C335" s="97"/>
    </row>
    <row r="336" spans="1:3" x14ac:dyDescent="0.25">
      <c r="A336" s="352" t="s">
        <v>19</v>
      </c>
      <c r="B336" s="287">
        <f t="shared" si="219"/>
        <v>12.09122677438752</v>
      </c>
      <c r="C336" s="97"/>
    </row>
    <row r="337" spans="1:3" x14ac:dyDescent="0.25">
      <c r="A337" s="352" t="s">
        <v>20</v>
      </c>
      <c r="B337" s="287">
        <f t="shared" si="219"/>
        <v>15.311105773273075</v>
      </c>
      <c r="C337" s="97"/>
    </row>
    <row r="338" spans="1:3" x14ac:dyDescent="0.25">
      <c r="A338" s="352" t="s">
        <v>22</v>
      </c>
      <c r="B338" s="287">
        <f t="shared" si="219"/>
        <v>7.1754244572442749</v>
      </c>
      <c r="C338" s="97"/>
    </row>
    <row r="339" spans="1:3" ht="15.75" thickBot="1" x14ac:dyDescent="0.3">
      <c r="A339" s="353" t="s">
        <v>23</v>
      </c>
      <c r="B339" s="288">
        <f t="shared" si="219"/>
        <v>13.886532776776464</v>
      </c>
      <c r="C339" s="97"/>
    </row>
    <row r="340" spans="1:3" x14ac:dyDescent="0.25">
      <c r="C340" s="97"/>
    </row>
  </sheetData>
  <sortState xmlns:xlrd2="http://schemas.microsoft.com/office/spreadsheetml/2017/richdata2" ref="A303:BV312">
    <sortCondition descending="1" ref="C303:C312"/>
  </sortState>
  <mergeCells count="141"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E40:L40"/>
    <mergeCell ref="K65:N65"/>
    <mergeCell ref="A315:A316"/>
    <mergeCell ref="B315:B316"/>
    <mergeCell ref="A328:A329"/>
    <mergeCell ref="B328:B329"/>
    <mergeCell ref="E92:L92"/>
    <mergeCell ref="E98:L98"/>
    <mergeCell ref="A176:I176"/>
    <mergeCell ref="A177:D177"/>
    <mergeCell ref="F177:I177"/>
    <mergeCell ref="A219:I219"/>
    <mergeCell ref="A220:D220"/>
    <mergeCell ref="F220:I220"/>
    <mergeCell ref="A116:A117"/>
    <mergeCell ref="B116:B117"/>
    <mergeCell ref="C116:C117"/>
    <mergeCell ref="D116:F116"/>
    <mergeCell ref="G116:I116"/>
    <mergeCell ref="E144:L144"/>
    <mergeCell ref="E150:L150"/>
    <mergeCell ref="A301:A302"/>
    <mergeCell ref="B301:B302"/>
    <mergeCell ref="A287:A288"/>
    <mergeCell ref="C301:C302"/>
    <mergeCell ref="A273:A274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W13:Z13"/>
    <mergeCell ref="AI65:AL65"/>
    <mergeCell ref="AM65:AP65"/>
    <mergeCell ref="AQ65:AT65"/>
    <mergeCell ref="AU65:AX65"/>
    <mergeCell ref="BU12:BU13"/>
    <mergeCell ref="AY13:BB13"/>
    <mergeCell ref="BC13:BF13"/>
    <mergeCell ref="BG13:BJ13"/>
    <mergeCell ref="BK13:BN13"/>
    <mergeCell ref="BG12:BN12"/>
    <mergeCell ref="BO12:BR13"/>
    <mergeCell ref="BS12:BT13"/>
    <mergeCell ref="AI64:AP64"/>
    <mergeCell ref="O65:R65"/>
    <mergeCell ref="S65:V65"/>
    <mergeCell ref="W65:Z65"/>
    <mergeCell ref="AA65:AD65"/>
    <mergeCell ref="AE65:AH65"/>
    <mergeCell ref="K64:R64"/>
    <mergeCell ref="S64:Z64"/>
    <mergeCell ref="AA64:AH64"/>
    <mergeCell ref="AA117:AD117"/>
    <mergeCell ref="AE117:AH117"/>
    <mergeCell ref="K116:R116"/>
    <mergeCell ref="S116:Z116"/>
    <mergeCell ref="AA116:AH116"/>
    <mergeCell ref="B273:I273"/>
    <mergeCell ref="J273:Q273"/>
    <mergeCell ref="R273:Y273"/>
    <mergeCell ref="B274:E274"/>
    <mergeCell ref="F274:I274"/>
    <mergeCell ref="J274:M274"/>
    <mergeCell ref="N274:Q274"/>
    <mergeCell ref="R274:U274"/>
    <mergeCell ref="V274:Y274"/>
    <mergeCell ref="AL287:AM288"/>
    <mergeCell ref="AI116:AP116"/>
    <mergeCell ref="AQ116:AX116"/>
    <mergeCell ref="AY116:BF116"/>
    <mergeCell ref="BG117:BJ117"/>
    <mergeCell ref="AI117:AL117"/>
    <mergeCell ref="AM117:AP117"/>
    <mergeCell ref="AQ117:AT117"/>
    <mergeCell ref="J116:J117"/>
    <mergeCell ref="K117:N117"/>
    <mergeCell ref="O117:R117"/>
    <mergeCell ref="S117:V117"/>
    <mergeCell ref="W117:Z117"/>
    <mergeCell ref="AO287:AO288"/>
    <mergeCell ref="AN287:AN288"/>
    <mergeCell ref="AH287:AK288"/>
    <mergeCell ref="B288:E288"/>
    <mergeCell ref="F288:I288"/>
    <mergeCell ref="J288:M288"/>
    <mergeCell ref="N288:Q288"/>
    <mergeCell ref="R288:U288"/>
    <mergeCell ref="V288:Y288"/>
    <mergeCell ref="Z288:AC288"/>
    <mergeCell ref="AD288:AG288"/>
    <mergeCell ref="B287:I287"/>
    <mergeCell ref="J287:Q287"/>
    <mergeCell ref="R287:Y287"/>
    <mergeCell ref="Z287:AG287"/>
    <mergeCell ref="BV12:BV13"/>
    <mergeCell ref="BO64:BR65"/>
    <mergeCell ref="BS64:BT65"/>
    <mergeCell ref="BV64:BV65"/>
    <mergeCell ref="BO116:BR117"/>
    <mergeCell ref="BS116:BT117"/>
    <mergeCell ref="BV116:BV117"/>
    <mergeCell ref="AU117:AX117"/>
    <mergeCell ref="AY117:BB117"/>
    <mergeCell ref="BC117:BF117"/>
    <mergeCell ref="AY65:BB65"/>
    <mergeCell ref="BC65:BF65"/>
    <mergeCell ref="BG116:BN116"/>
    <mergeCell ref="BU116:BU117"/>
    <mergeCell ref="BK117:BN117"/>
    <mergeCell ref="BG64:BN64"/>
    <mergeCell ref="BU64:BU65"/>
    <mergeCell ref="AQ64:AX64"/>
    <mergeCell ref="AY64:BF64"/>
    <mergeCell ref="BG65:BJ65"/>
    <mergeCell ref="BK65:BN65"/>
  </mergeCells>
  <hyperlinks>
    <hyperlink ref="B4" r:id="rId1" xr:uid="{1B632268-E00B-4ED1-9893-24DA965286E4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D5A9-D6B4-428A-83F6-D18CECF22607}">
  <dimension ref="A1:BV370"/>
  <sheetViews>
    <sheetView topLeftCell="A331" zoomScaleNormal="100" workbookViewId="0">
      <selection activeCell="B335" sqref="B335:B344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23" customWidth="1"/>
    <col min="5" max="5" width="12.140625" customWidth="1"/>
    <col min="6" max="6" width="14.7109375" customWidth="1"/>
    <col min="7" max="7" width="13.5703125" customWidth="1"/>
    <col min="8" max="8" width="13.7109375" customWidth="1"/>
    <col min="9" max="9" width="13.28515625" customWidth="1"/>
    <col min="10" max="10" width="18" customWidth="1"/>
    <col min="11" max="13" width="9.140625" customWidth="1"/>
    <col min="14" max="14" width="18.5703125" customWidth="1"/>
    <col min="15" max="15" width="18.140625" customWidth="1"/>
    <col min="16" max="16" width="16.42578125" customWidth="1"/>
    <col min="17" max="31" width="9.140625" customWidth="1"/>
    <col min="32" max="32" width="15.7109375" customWidth="1"/>
    <col min="33" max="39" width="9.140625" customWidth="1"/>
    <col min="40" max="40" width="15.7109375" customWidth="1"/>
    <col min="41" max="41" width="23.2851562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0.7109375" customWidth="1"/>
  </cols>
  <sheetData>
    <row r="1" spans="1:74" ht="18.75" x14ac:dyDescent="0.3">
      <c r="A1" s="148" t="s">
        <v>194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68" t="s">
        <v>173</v>
      </c>
      <c r="B5" s="469"/>
      <c r="C5" s="469"/>
      <c r="D5" s="462"/>
      <c r="E5" s="462"/>
    </row>
    <row r="6" spans="1:74" ht="31.5" x14ac:dyDescent="0.25">
      <c r="A6" s="114" t="s">
        <v>146</v>
      </c>
      <c r="B6" s="115" t="s">
        <v>149</v>
      </c>
      <c r="C6" s="35"/>
    </row>
    <row r="7" spans="1:74" x14ac:dyDescent="0.25">
      <c r="A7" s="468" t="s">
        <v>174</v>
      </c>
      <c r="B7" s="469"/>
      <c r="C7" s="469"/>
      <c r="D7" s="462"/>
      <c r="E7" s="462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64" t="s">
        <v>25</v>
      </c>
      <c r="B12" s="455" t="s">
        <v>285</v>
      </c>
      <c r="C12" s="444" t="s">
        <v>26</v>
      </c>
      <c r="D12" s="464" t="s">
        <v>55</v>
      </c>
      <c r="E12" s="455"/>
      <c r="F12" s="488"/>
      <c r="G12" s="464" t="s">
        <v>56</v>
      </c>
      <c r="H12" s="455"/>
      <c r="I12" s="455"/>
      <c r="J12" s="444" t="s">
        <v>81</v>
      </c>
      <c r="K12" s="435" t="s">
        <v>78</v>
      </c>
      <c r="L12" s="436"/>
      <c r="M12" s="436"/>
      <c r="N12" s="436"/>
      <c r="O12" s="436"/>
      <c r="P12" s="436"/>
      <c r="Q12" s="436"/>
      <c r="R12" s="437"/>
      <c r="S12" s="435" t="s">
        <v>76</v>
      </c>
      <c r="T12" s="436"/>
      <c r="U12" s="436"/>
      <c r="V12" s="436"/>
      <c r="W12" s="436"/>
      <c r="X12" s="436"/>
      <c r="Y12" s="436"/>
      <c r="Z12" s="437"/>
      <c r="AA12" s="435" t="s">
        <v>77</v>
      </c>
      <c r="AB12" s="436"/>
      <c r="AC12" s="436"/>
      <c r="AD12" s="436"/>
      <c r="AE12" s="436"/>
      <c r="AF12" s="436"/>
      <c r="AG12" s="436"/>
      <c r="AH12" s="437"/>
      <c r="AI12" s="435" t="s">
        <v>75</v>
      </c>
      <c r="AJ12" s="436"/>
      <c r="AK12" s="436"/>
      <c r="AL12" s="436"/>
      <c r="AM12" s="436"/>
      <c r="AN12" s="436"/>
      <c r="AO12" s="436"/>
      <c r="AP12" s="437"/>
      <c r="AQ12" s="435" t="s">
        <v>82</v>
      </c>
      <c r="AR12" s="436"/>
      <c r="AS12" s="436"/>
      <c r="AT12" s="436"/>
      <c r="AU12" s="436"/>
      <c r="AV12" s="436"/>
      <c r="AW12" s="436"/>
      <c r="AX12" s="437"/>
      <c r="AY12" s="435" t="s">
        <v>83</v>
      </c>
      <c r="AZ12" s="436"/>
      <c r="BA12" s="436"/>
      <c r="BB12" s="436"/>
      <c r="BC12" s="436"/>
      <c r="BD12" s="436"/>
      <c r="BE12" s="436"/>
      <c r="BF12" s="437"/>
      <c r="BG12" s="438" t="s">
        <v>119</v>
      </c>
      <c r="BH12" s="439"/>
      <c r="BI12" s="439"/>
      <c r="BJ12" s="439"/>
      <c r="BK12" s="439"/>
      <c r="BL12" s="439"/>
      <c r="BM12" s="439"/>
      <c r="BN12" s="440"/>
      <c r="BO12" s="427" t="s">
        <v>264</v>
      </c>
      <c r="BP12" s="428"/>
      <c r="BQ12" s="428"/>
      <c r="BR12" s="429"/>
      <c r="BS12" s="433" t="s">
        <v>79</v>
      </c>
      <c r="BT12" s="434"/>
      <c r="BU12" s="425" t="s">
        <v>80</v>
      </c>
      <c r="BV12" s="425" t="s">
        <v>265</v>
      </c>
    </row>
    <row r="13" spans="1:74" s="33" customFormat="1" ht="23.25" customHeight="1" thickBot="1" x14ac:dyDescent="0.3">
      <c r="A13" s="465"/>
      <c r="B13" s="466"/>
      <c r="C13" s="445"/>
      <c r="D13" s="240" t="s">
        <v>48</v>
      </c>
      <c r="E13" s="218" t="s">
        <v>49</v>
      </c>
      <c r="F13" s="247" t="s">
        <v>50</v>
      </c>
      <c r="G13" s="240" t="s">
        <v>48</v>
      </c>
      <c r="H13" s="218" t="s">
        <v>49</v>
      </c>
      <c r="I13" s="218" t="s">
        <v>50</v>
      </c>
      <c r="J13" s="445"/>
      <c r="K13" s="446" t="s">
        <v>3</v>
      </c>
      <c r="L13" s="447"/>
      <c r="M13" s="447"/>
      <c r="N13" s="448"/>
      <c r="O13" s="446" t="s">
        <v>4</v>
      </c>
      <c r="P13" s="447"/>
      <c r="Q13" s="447"/>
      <c r="R13" s="448"/>
      <c r="S13" s="446" t="s">
        <v>3</v>
      </c>
      <c r="T13" s="447"/>
      <c r="U13" s="447"/>
      <c r="V13" s="448"/>
      <c r="W13" s="446" t="s">
        <v>4</v>
      </c>
      <c r="X13" s="447"/>
      <c r="Y13" s="447"/>
      <c r="Z13" s="448"/>
      <c r="AA13" s="446" t="s">
        <v>3</v>
      </c>
      <c r="AB13" s="447"/>
      <c r="AC13" s="447"/>
      <c r="AD13" s="448"/>
      <c r="AE13" s="446" t="s">
        <v>4</v>
      </c>
      <c r="AF13" s="447"/>
      <c r="AG13" s="447"/>
      <c r="AH13" s="448"/>
      <c r="AI13" s="435" t="s">
        <v>3</v>
      </c>
      <c r="AJ13" s="436"/>
      <c r="AK13" s="436"/>
      <c r="AL13" s="437"/>
      <c r="AM13" s="435" t="s">
        <v>4</v>
      </c>
      <c r="AN13" s="436"/>
      <c r="AO13" s="436"/>
      <c r="AP13" s="437"/>
      <c r="AQ13" s="435" t="s">
        <v>3</v>
      </c>
      <c r="AR13" s="436"/>
      <c r="AS13" s="436"/>
      <c r="AT13" s="437"/>
      <c r="AU13" s="435" t="s">
        <v>4</v>
      </c>
      <c r="AV13" s="436"/>
      <c r="AW13" s="436"/>
      <c r="AX13" s="437"/>
      <c r="AY13" s="435" t="s">
        <v>3</v>
      </c>
      <c r="AZ13" s="436"/>
      <c r="BA13" s="436"/>
      <c r="BB13" s="437"/>
      <c r="BC13" s="435" t="s">
        <v>4</v>
      </c>
      <c r="BD13" s="436"/>
      <c r="BE13" s="436"/>
      <c r="BF13" s="437"/>
      <c r="BG13" s="435" t="s">
        <v>3</v>
      </c>
      <c r="BH13" s="436"/>
      <c r="BI13" s="436"/>
      <c r="BJ13" s="437"/>
      <c r="BK13" s="435" t="s">
        <v>4</v>
      </c>
      <c r="BL13" s="436"/>
      <c r="BM13" s="436"/>
      <c r="BN13" s="437"/>
      <c r="BO13" s="430"/>
      <c r="BP13" s="431"/>
      <c r="BQ13" s="431"/>
      <c r="BR13" s="432"/>
      <c r="BS13" s="430"/>
      <c r="BT13" s="432"/>
      <c r="BU13" s="426"/>
      <c r="BV13" s="426"/>
    </row>
    <row r="14" spans="1:74" ht="30" x14ac:dyDescent="0.25">
      <c r="A14" s="235" t="s">
        <v>0</v>
      </c>
      <c r="B14" s="236" t="s">
        <v>24</v>
      </c>
      <c r="C14" s="237" t="s">
        <v>12</v>
      </c>
      <c r="D14" s="238" t="s">
        <v>42</v>
      </c>
      <c r="E14" s="239" t="s">
        <v>42</v>
      </c>
      <c r="F14" s="269" t="s">
        <v>42</v>
      </c>
      <c r="G14" s="298">
        <f>IF(D14=$A$27,$B$27,(IF(D14=$A$28,$B$28,IF(D14=$A$29,$B$29,$B$30))))</f>
        <v>1</v>
      </c>
      <c r="H14" s="299">
        <f t="shared" ref="G14:I23" si="0">IF(E14=$A$27,$B$27,(IF(E14=$A$28,$B$28,IF(E14=$A$29,$B$29,$B$30))))</f>
        <v>1</v>
      </c>
      <c r="I14" s="299">
        <f t="shared" si="0"/>
        <v>1</v>
      </c>
      <c r="J14" s="14">
        <f>G14*$D$41+H14*$D$42+I14*$D$43</f>
        <v>24</v>
      </c>
      <c r="K14" s="110">
        <v>0.77</v>
      </c>
      <c r="L14" s="234">
        <v>1</v>
      </c>
      <c r="M14" s="234">
        <v>1</v>
      </c>
      <c r="N14" s="140">
        <v>1</v>
      </c>
      <c r="O14" s="234">
        <v>0.8</v>
      </c>
      <c r="P14" s="234">
        <v>1</v>
      </c>
      <c r="Q14" s="234">
        <v>1</v>
      </c>
      <c r="R14" s="234">
        <v>1</v>
      </c>
      <c r="S14" s="110">
        <v>0.77</v>
      </c>
      <c r="T14" s="234">
        <v>1</v>
      </c>
      <c r="U14" s="234">
        <v>1</v>
      </c>
      <c r="V14" s="234">
        <v>1</v>
      </c>
      <c r="W14" s="110">
        <v>0.8</v>
      </c>
      <c r="X14" s="234">
        <v>1</v>
      </c>
      <c r="Y14" s="234">
        <v>1</v>
      </c>
      <c r="Z14" s="140">
        <v>1</v>
      </c>
      <c r="AA14" s="110">
        <v>0.77</v>
      </c>
      <c r="AB14" s="234">
        <v>1</v>
      </c>
      <c r="AC14" s="234">
        <v>1</v>
      </c>
      <c r="AD14" s="140">
        <v>1</v>
      </c>
      <c r="AE14" s="110">
        <v>0.8</v>
      </c>
      <c r="AF14" s="234">
        <v>1</v>
      </c>
      <c r="AG14" s="234">
        <v>1</v>
      </c>
      <c r="AH14" s="140">
        <v>1</v>
      </c>
      <c r="AI14" s="110">
        <v>4.2750000000000004</v>
      </c>
      <c r="AJ14" s="234">
        <v>7.5</v>
      </c>
      <c r="AK14" s="234">
        <v>8.5</v>
      </c>
      <c r="AL14" s="234">
        <v>8.5</v>
      </c>
      <c r="AM14" s="110">
        <v>5</v>
      </c>
      <c r="AN14" s="234">
        <v>7.5</v>
      </c>
      <c r="AO14" s="234">
        <v>8.5</v>
      </c>
      <c r="AP14" s="140">
        <v>8.5</v>
      </c>
      <c r="AQ14" s="110">
        <v>4.2750000000000004</v>
      </c>
      <c r="AR14" s="234">
        <v>7.5</v>
      </c>
      <c r="AS14" s="234">
        <v>8.5</v>
      </c>
      <c r="AT14" s="234">
        <v>8.5</v>
      </c>
      <c r="AU14" s="110">
        <v>5</v>
      </c>
      <c r="AV14" s="234">
        <v>7.5</v>
      </c>
      <c r="AW14" s="234">
        <v>8.5</v>
      </c>
      <c r="AX14" s="140">
        <v>8.5</v>
      </c>
      <c r="AY14" s="110">
        <v>4.2750000000000004</v>
      </c>
      <c r="AZ14" s="234">
        <v>7.5</v>
      </c>
      <c r="BA14" s="234">
        <v>8.5</v>
      </c>
      <c r="BB14" s="234">
        <v>8.5</v>
      </c>
      <c r="BC14" s="110">
        <v>5</v>
      </c>
      <c r="BD14" s="234">
        <v>7.5</v>
      </c>
      <c r="BE14" s="234">
        <v>8.5</v>
      </c>
      <c r="BF14" s="140">
        <v>8.5</v>
      </c>
      <c r="BG14" s="110">
        <f>AI14+AQ14+AY14</f>
        <v>12.825000000000001</v>
      </c>
      <c r="BH14" s="234">
        <f t="shared" ref="BH14:BN23" si="1">AJ14+AR14+AZ14</f>
        <v>22.5</v>
      </c>
      <c r="BI14" s="234">
        <f t="shared" si="1"/>
        <v>25.5</v>
      </c>
      <c r="BJ14" s="234">
        <f t="shared" si="1"/>
        <v>25.5</v>
      </c>
      <c r="BK14" s="110">
        <f t="shared" si="1"/>
        <v>15</v>
      </c>
      <c r="BL14" s="234">
        <f t="shared" si="1"/>
        <v>22.5</v>
      </c>
      <c r="BM14" s="234">
        <f t="shared" si="1"/>
        <v>25.5</v>
      </c>
      <c r="BN14" s="234">
        <f t="shared" si="1"/>
        <v>25.5</v>
      </c>
      <c r="BO14" s="110">
        <f>(1-$BO$11)*BG14+$BO$11*BK14</f>
        <v>14.13</v>
      </c>
      <c r="BP14" s="234">
        <f>(1-$BO$11)*BH14+$BO$11*BL14</f>
        <v>22.5</v>
      </c>
      <c r="BQ14" s="234">
        <f>(1-$BO$11)*BI14+$BO$11*BM14</f>
        <v>25.5</v>
      </c>
      <c r="BR14" s="234">
        <f>(1-$BO$11)*BJ14+$BO$11*BN14</f>
        <v>25.5</v>
      </c>
      <c r="BS14" s="110">
        <f>$BS$11*BP14+(1-$BS$11)*BO14</f>
        <v>20.826000000000001</v>
      </c>
      <c r="BT14" s="234">
        <f>$BS$11*BQ14+(1-$BS$11)*BR14</f>
        <v>25.5</v>
      </c>
      <c r="BU14" s="141">
        <f>(BS14+BT14)/2</f>
        <v>23.163</v>
      </c>
      <c r="BV14" s="140">
        <f>BU14</f>
        <v>23.163</v>
      </c>
    </row>
    <row r="15" spans="1:74" x14ac:dyDescent="0.25">
      <c r="A15" s="226" t="s">
        <v>1</v>
      </c>
      <c r="B15" s="222" t="s">
        <v>13</v>
      </c>
      <c r="C15" s="227" t="s">
        <v>27</v>
      </c>
      <c r="D15" s="72" t="s">
        <v>45</v>
      </c>
      <c r="E15" s="73" t="s">
        <v>43</v>
      </c>
      <c r="F15" s="270" t="s">
        <v>42</v>
      </c>
      <c r="G15" s="300">
        <f t="shared" si="0"/>
        <v>0</v>
      </c>
      <c r="H15" s="301">
        <f t="shared" si="0"/>
        <v>0.66</v>
      </c>
      <c r="I15" s="301">
        <f t="shared" si="0"/>
        <v>1</v>
      </c>
      <c r="J15" s="104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2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2">
        <v>0.86</v>
      </c>
      <c r="AA15" s="111">
        <v>0.77</v>
      </c>
      <c r="AB15" s="97">
        <v>1</v>
      </c>
      <c r="AC15" s="97">
        <v>1</v>
      </c>
      <c r="AD15" s="142">
        <v>1</v>
      </c>
      <c r="AE15" s="111">
        <v>0.8</v>
      </c>
      <c r="AF15" s="97">
        <v>1</v>
      </c>
      <c r="AG15" s="97">
        <v>1</v>
      </c>
      <c r="AH15" s="142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2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2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2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R23" si="4">(1-$BO$11)*BG15+$BO$11*BK15</f>
        <v>7.4850000000000012</v>
      </c>
      <c r="BP15" s="97">
        <f t="shared" si="4"/>
        <v>11.625</v>
      </c>
      <c r="BQ15" s="97">
        <f t="shared" si="4"/>
        <v>15.045</v>
      </c>
      <c r="BR15" s="97">
        <f t="shared" si="4"/>
        <v>17.424999999999997</v>
      </c>
      <c r="BS15" s="111">
        <f t="shared" ref="BS15:BS23" si="5">$BS$11*BP15+(1-$BS$11)*BO15</f>
        <v>10.797000000000001</v>
      </c>
      <c r="BT15" s="97">
        <f t="shared" ref="BT15:BT23" si="6">$BS$11*BQ15+(1-$BS$11)*BR15</f>
        <v>15.521000000000001</v>
      </c>
      <c r="BU15" s="143">
        <f t="shared" ref="BU15:BU23" si="7">(BS15+BT15)/2</f>
        <v>13.159000000000001</v>
      </c>
      <c r="BV15" s="142">
        <f>BU15</f>
        <v>13.159000000000001</v>
      </c>
    </row>
    <row r="16" spans="1:74" x14ac:dyDescent="0.25">
      <c r="A16" s="226" t="s">
        <v>2</v>
      </c>
      <c r="B16" s="222" t="s">
        <v>14</v>
      </c>
      <c r="C16" s="227" t="s">
        <v>28</v>
      </c>
      <c r="D16" s="72" t="s">
        <v>43</v>
      </c>
      <c r="E16" s="73" t="s">
        <v>45</v>
      </c>
      <c r="F16" s="270" t="s">
        <v>45</v>
      </c>
      <c r="G16" s="300">
        <f t="shared" si="0"/>
        <v>0.66</v>
      </c>
      <c r="H16" s="301">
        <f t="shared" si="0"/>
        <v>0</v>
      </c>
      <c r="I16" s="301">
        <f t="shared" si="0"/>
        <v>0</v>
      </c>
      <c r="J16" s="104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2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2">
        <v>0.15</v>
      </c>
      <c r="AA16" s="111">
        <v>0</v>
      </c>
      <c r="AB16" s="97">
        <v>0</v>
      </c>
      <c r="AC16" s="97">
        <v>0</v>
      </c>
      <c r="AD16" s="142">
        <v>0.22</v>
      </c>
      <c r="AE16" s="111">
        <v>0</v>
      </c>
      <c r="AF16" s="97">
        <v>0</v>
      </c>
      <c r="AG16" s="97">
        <v>0</v>
      </c>
      <c r="AH16" s="142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2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2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2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4"/>
        <v>4.125</v>
      </c>
      <c r="BQ16" s="97">
        <f t="shared" si="4"/>
        <v>6.5449999999999999</v>
      </c>
      <c r="BR16" s="97">
        <f t="shared" si="4"/>
        <v>10.438000000000001</v>
      </c>
      <c r="BS16" s="111">
        <f t="shared" si="5"/>
        <v>3.8550000000000004</v>
      </c>
      <c r="BT16" s="97">
        <f t="shared" si="6"/>
        <v>7.3236000000000008</v>
      </c>
      <c r="BU16" s="143">
        <f t="shared" si="7"/>
        <v>5.5893000000000006</v>
      </c>
      <c r="BV16" s="142">
        <f>BU16</f>
        <v>5.5893000000000006</v>
      </c>
    </row>
    <row r="17" spans="1:74" x14ac:dyDescent="0.25">
      <c r="A17" s="226" t="s">
        <v>5</v>
      </c>
      <c r="B17" s="222" t="s">
        <v>15</v>
      </c>
      <c r="C17" s="227" t="s">
        <v>16</v>
      </c>
      <c r="D17" s="72" t="s">
        <v>42</v>
      </c>
      <c r="E17" s="73" t="s">
        <v>43</v>
      </c>
      <c r="F17" s="270" t="s">
        <v>42</v>
      </c>
      <c r="G17" s="300">
        <f t="shared" si="0"/>
        <v>1</v>
      </c>
      <c r="H17" s="301">
        <f t="shared" si="0"/>
        <v>0.66</v>
      </c>
      <c r="I17" s="301">
        <f t="shared" si="0"/>
        <v>1</v>
      </c>
      <c r="J17" s="104">
        <f t="shared" si="2"/>
        <v>21.28</v>
      </c>
      <c r="K17" s="111">
        <v>0.77</v>
      </c>
      <c r="L17" s="97">
        <v>1</v>
      </c>
      <c r="M17" s="97">
        <v>1</v>
      </c>
      <c r="N17" s="142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2">
        <v>0.86</v>
      </c>
      <c r="AA17" s="111">
        <v>0.77</v>
      </c>
      <c r="AB17" s="97">
        <v>1</v>
      </c>
      <c r="AC17" s="97">
        <v>1</v>
      </c>
      <c r="AD17" s="142">
        <v>1</v>
      </c>
      <c r="AE17" s="111">
        <v>0.8</v>
      </c>
      <c r="AF17" s="97">
        <v>1</v>
      </c>
      <c r="AG17" s="97">
        <v>1</v>
      </c>
      <c r="AH17" s="142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2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2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2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4"/>
        <v>19.125</v>
      </c>
      <c r="BQ17" s="97">
        <f t="shared" si="4"/>
        <v>23.545000000000002</v>
      </c>
      <c r="BR17" s="97">
        <f t="shared" si="4"/>
        <v>24.411999999999999</v>
      </c>
      <c r="BS17" s="111">
        <f t="shared" si="5"/>
        <v>17.739000000000001</v>
      </c>
      <c r="BT17" s="97">
        <f t="shared" si="6"/>
        <v>23.718400000000003</v>
      </c>
      <c r="BU17" s="143">
        <f t="shared" si="7"/>
        <v>20.728700000000003</v>
      </c>
      <c r="BV17" s="142">
        <f>BU14</f>
        <v>23.163</v>
      </c>
    </row>
    <row r="18" spans="1:74" ht="30" x14ac:dyDescent="0.25">
      <c r="A18" s="226" t="s">
        <v>6</v>
      </c>
      <c r="B18" s="222" t="s">
        <v>17</v>
      </c>
      <c r="C18" s="227" t="s">
        <v>29</v>
      </c>
      <c r="D18" s="72" t="s">
        <v>43</v>
      </c>
      <c r="E18" s="73" t="s">
        <v>44</v>
      </c>
      <c r="F18" s="270" t="s">
        <v>43</v>
      </c>
      <c r="G18" s="300">
        <f t="shared" si="0"/>
        <v>0.66</v>
      </c>
      <c r="H18" s="301">
        <f t="shared" si="0"/>
        <v>0.33</v>
      </c>
      <c r="I18" s="301">
        <f t="shared" si="0"/>
        <v>0.66</v>
      </c>
      <c r="J18" s="104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2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0.44000000000000006</v>
      </c>
      <c r="AB18" s="97">
        <v>0.55000000000000004</v>
      </c>
      <c r="AC18" s="97">
        <v>0.77</v>
      </c>
      <c r="AD18" s="142">
        <v>0.89</v>
      </c>
      <c r="AE18" s="111">
        <v>0.47000000000000003</v>
      </c>
      <c r="AF18" s="97">
        <v>0.55000000000000004</v>
      </c>
      <c r="AG18" s="97">
        <v>0.77</v>
      </c>
      <c r="AH18" s="142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2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2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4"/>
        <v>9.9</v>
      </c>
      <c r="BQ18" s="97">
        <f t="shared" si="4"/>
        <v>16.829999999999998</v>
      </c>
      <c r="BR18" s="97">
        <f t="shared" si="4"/>
        <v>19.346</v>
      </c>
      <c r="BS18" s="111">
        <f t="shared" si="5"/>
        <v>9.0576000000000008</v>
      </c>
      <c r="BT18" s="97">
        <f t="shared" si="6"/>
        <v>17.333199999999998</v>
      </c>
      <c r="BU18" s="143">
        <f t="shared" si="7"/>
        <v>13.195399999999999</v>
      </c>
      <c r="BV18" s="142">
        <f>BU18</f>
        <v>13.195399999999999</v>
      </c>
    </row>
    <row r="19" spans="1:74" x14ac:dyDescent="0.25">
      <c r="A19" s="226" t="s">
        <v>7</v>
      </c>
      <c r="B19" s="222" t="s">
        <v>18</v>
      </c>
      <c r="C19" s="227" t="s">
        <v>30</v>
      </c>
      <c r="D19" s="72" t="s">
        <v>44</v>
      </c>
      <c r="E19" s="73" t="s">
        <v>44</v>
      </c>
      <c r="F19" s="270" t="s">
        <v>44</v>
      </c>
      <c r="G19" s="300">
        <f t="shared" si="0"/>
        <v>0.33</v>
      </c>
      <c r="H19" s="301">
        <f t="shared" si="0"/>
        <v>0.33</v>
      </c>
      <c r="I19" s="301">
        <f t="shared" si="0"/>
        <v>0.33</v>
      </c>
      <c r="J19" s="104">
        <f t="shared" si="2"/>
        <v>7.92</v>
      </c>
      <c r="K19" s="111">
        <v>0</v>
      </c>
      <c r="L19" s="97">
        <v>0.22000000000000003</v>
      </c>
      <c r="M19" s="97">
        <v>0.44</v>
      </c>
      <c r="N19" s="142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2">
        <v>0.52</v>
      </c>
      <c r="AA19" s="111">
        <v>0</v>
      </c>
      <c r="AB19" s="97">
        <v>0.22000000000000003</v>
      </c>
      <c r="AC19" s="97">
        <v>0.44</v>
      </c>
      <c r="AD19" s="142">
        <v>0.55000000000000004</v>
      </c>
      <c r="AE19" s="111">
        <v>0.06</v>
      </c>
      <c r="AF19" s="97">
        <v>0.22000000000000003</v>
      </c>
      <c r="AG19" s="97">
        <v>0.44</v>
      </c>
      <c r="AH19" s="142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2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2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2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4"/>
        <v>4.95</v>
      </c>
      <c r="BQ19" s="97">
        <f t="shared" si="4"/>
        <v>11.22</v>
      </c>
      <c r="BR19" s="97">
        <f t="shared" si="4"/>
        <v>13.566000000000001</v>
      </c>
      <c r="BS19" s="111">
        <f t="shared" si="5"/>
        <v>4.0428000000000006</v>
      </c>
      <c r="BT19" s="97">
        <f t="shared" si="6"/>
        <v>11.6892</v>
      </c>
      <c r="BU19" s="143">
        <f t="shared" si="7"/>
        <v>7.8659999999999997</v>
      </c>
      <c r="BV19" s="142">
        <f>BU20</f>
        <v>10.724700000000002</v>
      </c>
    </row>
    <row r="20" spans="1:74" ht="30" x14ac:dyDescent="0.25">
      <c r="A20" s="226" t="s">
        <v>8</v>
      </c>
      <c r="B20" s="222" t="s">
        <v>19</v>
      </c>
      <c r="C20" s="227" t="s">
        <v>31</v>
      </c>
      <c r="D20" s="72" t="s">
        <v>43</v>
      </c>
      <c r="E20" s="73" t="s">
        <v>43</v>
      </c>
      <c r="F20" s="270" t="s">
        <v>45</v>
      </c>
      <c r="G20" s="300">
        <f t="shared" si="0"/>
        <v>0.66</v>
      </c>
      <c r="H20" s="301">
        <f t="shared" si="0"/>
        <v>0.66</v>
      </c>
      <c r="I20" s="301">
        <f t="shared" si="0"/>
        <v>0</v>
      </c>
      <c r="J20" s="104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</v>
      </c>
      <c r="AB20" s="97">
        <v>0</v>
      </c>
      <c r="AC20" s="97">
        <v>0</v>
      </c>
      <c r="AD20" s="142">
        <v>0.22</v>
      </c>
      <c r="AE20" s="111">
        <v>0</v>
      </c>
      <c r="AF20" s="97">
        <v>0</v>
      </c>
      <c r="AG20" s="97">
        <v>0</v>
      </c>
      <c r="AH20" s="142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2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4"/>
        <v>8.25</v>
      </c>
      <c r="BQ20" s="97">
        <f t="shared" si="4"/>
        <v>13.09</v>
      </c>
      <c r="BR20" s="97">
        <f t="shared" si="4"/>
        <v>16.337000000000003</v>
      </c>
      <c r="BS20" s="111">
        <f t="shared" si="5"/>
        <v>7.7100000000000009</v>
      </c>
      <c r="BT20" s="97">
        <f t="shared" si="6"/>
        <v>13.739400000000002</v>
      </c>
      <c r="BU20" s="143">
        <f t="shared" si="7"/>
        <v>10.724700000000002</v>
      </c>
      <c r="BV20" s="142">
        <f>BU20</f>
        <v>10.724700000000002</v>
      </c>
    </row>
    <row r="21" spans="1:74" ht="30" x14ac:dyDescent="0.25">
      <c r="A21" s="226" t="s">
        <v>9</v>
      </c>
      <c r="B21" s="222" t="s">
        <v>20</v>
      </c>
      <c r="C21" s="227" t="s">
        <v>21</v>
      </c>
      <c r="D21" s="72" t="s">
        <v>43</v>
      </c>
      <c r="E21" s="73" t="s">
        <v>43</v>
      </c>
      <c r="F21" s="270" t="s">
        <v>43</v>
      </c>
      <c r="G21" s="300">
        <f t="shared" si="0"/>
        <v>0.66</v>
      </c>
      <c r="H21" s="301">
        <f t="shared" si="0"/>
        <v>0.66</v>
      </c>
      <c r="I21" s="301">
        <f t="shared" si="0"/>
        <v>0.66</v>
      </c>
      <c r="J21" s="104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2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2">
        <v>0.86</v>
      </c>
      <c r="AA21" s="111">
        <v>0.44000000000000006</v>
      </c>
      <c r="AB21" s="97">
        <v>0.55000000000000004</v>
      </c>
      <c r="AC21" s="97">
        <v>0.77</v>
      </c>
      <c r="AD21" s="142">
        <v>0.89</v>
      </c>
      <c r="AE21" s="111">
        <v>0.47000000000000003</v>
      </c>
      <c r="AF21" s="97">
        <v>0.55000000000000004</v>
      </c>
      <c r="AG21" s="97">
        <v>0.77</v>
      </c>
      <c r="AH21" s="142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2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2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2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4"/>
        <v>12.375</v>
      </c>
      <c r="BQ21" s="97">
        <f t="shared" si="4"/>
        <v>19.634999999999998</v>
      </c>
      <c r="BR21" s="97">
        <f t="shared" si="4"/>
        <v>22.236000000000001</v>
      </c>
      <c r="BS21" s="111">
        <f t="shared" si="5"/>
        <v>11.565</v>
      </c>
      <c r="BT21" s="97">
        <f t="shared" si="6"/>
        <v>20.155199999999997</v>
      </c>
      <c r="BU21" s="143">
        <f t="shared" si="7"/>
        <v>15.860099999999999</v>
      </c>
      <c r="BV21" s="142">
        <f>BU21</f>
        <v>15.860099999999999</v>
      </c>
    </row>
    <row r="22" spans="1:74" ht="36.75" customHeight="1" x14ac:dyDescent="0.25">
      <c r="A22" s="226" t="s">
        <v>10</v>
      </c>
      <c r="B22" s="222" t="s">
        <v>22</v>
      </c>
      <c r="C22" s="227" t="s">
        <v>32</v>
      </c>
      <c r="D22" s="72" t="s">
        <v>45</v>
      </c>
      <c r="E22" s="73" t="s">
        <v>45</v>
      </c>
      <c r="F22" s="270" t="s">
        <v>45</v>
      </c>
      <c r="G22" s="300">
        <f t="shared" si="0"/>
        <v>0</v>
      </c>
      <c r="H22" s="301">
        <f t="shared" si="0"/>
        <v>0</v>
      </c>
      <c r="I22" s="301">
        <f t="shared" si="0"/>
        <v>0</v>
      </c>
      <c r="J22" s="104">
        <f t="shared" si="2"/>
        <v>0</v>
      </c>
      <c r="K22" s="111">
        <v>0</v>
      </c>
      <c r="L22" s="97">
        <v>0</v>
      </c>
      <c r="M22" s="97">
        <v>0</v>
      </c>
      <c r="N22" s="142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2">
        <v>0.15</v>
      </c>
      <c r="AA22" s="111">
        <v>0</v>
      </c>
      <c r="AB22" s="97">
        <v>0</v>
      </c>
      <c r="AC22" s="97">
        <v>0</v>
      </c>
      <c r="AD22" s="142">
        <v>0.22</v>
      </c>
      <c r="AE22" s="111">
        <v>0</v>
      </c>
      <c r="AF22" s="97">
        <v>0</v>
      </c>
      <c r="AG22" s="97">
        <v>0</v>
      </c>
      <c r="AH22" s="142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2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2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2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4"/>
        <v>0</v>
      </c>
      <c r="BQ22" s="97">
        <f t="shared" si="4"/>
        <v>0</v>
      </c>
      <c r="BR22" s="97">
        <f t="shared" si="4"/>
        <v>4.5389999999999997</v>
      </c>
      <c r="BS22" s="111">
        <f t="shared" si="5"/>
        <v>0</v>
      </c>
      <c r="BT22" s="97">
        <f t="shared" si="6"/>
        <v>0.90779999999999972</v>
      </c>
      <c r="BU22" s="143">
        <f t="shared" si="7"/>
        <v>0.45389999999999986</v>
      </c>
      <c r="BV22" s="142">
        <f>BU21</f>
        <v>15.860099999999999</v>
      </c>
    </row>
    <row r="23" spans="1:74" ht="30.75" thickBot="1" x14ac:dyDescent="0.3">
      <c r="A23" s="228" t="s">
        <v>11</v>
      </c>
      <c r="B23" s="229" t="s">
        <v>23</v>
      </c>
      <c r="C23" s="230" t="s">
        <v>33</v>
      </c>
      <c r="D23" s="74" t="s">
        <v>44</v>
      </c>
      <c r="E23" s="75" t="s">
        <v>44</v>
      </c>
      <c r="F23" s="271" t="s">
        <v>42</v>
      </c>
      <c r="G23" s="302">
        <f t="shared" si="0"/>
        <v>0.33</v>
      </c>
      <c r="H23" s="303">
        <f t="shared" si="0"/>
        <v>0.33</v>
      </c>
      <c r="I23" s="303">
        <f t="shared" si="0"/>
        <v>1</v>
      </c>
      <c r="J23" s="108">
        <f t="shared" si="2"/>
        <v>13.280000000000001</v>
      </c>
      <c r="K23" s="112">
        <v>0</v>
      </c>
      <c r="L23" s="188">
        <v>0.22000000000000003</v>
      </c>
      <c r="M23" s="188">
        <v>0.44</v>
      </c>
      <c r="N23" s="113">
        <v>0.55000000000000004</v>
      </c>
      <c r="O23" s="188">
        <v>0.06</v>
      </c>
      <c r="P23" s="188">
        <v>0.22000000000000003</v>
      </c>
      <c r="Q23" s="188">
        <v>0.44</v>
      </c>
      <c r="R23" s="188">
        <v>0.52</v>
      </c>
      <c r="S23" s="112">
        <v>0</v>
      </c>
      <c r="T23" s="188">
        <v>0.22000000000000003</v>
      </c>
      <c r="U23" s="188">
        <v>0.44</v>
      </c>
      <c r="V23" s="188">
        <v>0.55000000000000004</v>
      </c>
      <c r="W23" s="112">
        <v>0.06</v>
      </c>
      <c r="X23" s="188">
        <v>0.22000000000000003</v>
      </c>
      <c r="Y23" s="188">
        <v>0.44</v>
      </c>
      <c r="Z23" s="113">
        <v>0.52</v>
      </c>
      <c r="AA23" s="112">
        <v>0.77</v>
      </c>
      <c r="AB23" s="188">
        <v>1</v>
      </c>
      <c r="AC23" s="188">
        <v>1</v>
      </c>
      <c r="AD23" s="113">
        <v>1</v>
      </c>
      <c r="AE23" s="112">
        <v>0.8</v>
      </c>
      <c r="AF23" s="188">
        <v>1</v>
      </c>
      <c r="AG23" s="188">
        <v>1</v>
      </c>
      <c r="AH23" s="113">
        <v>1</v>
      </c>
      <c r="AI23" s="112">
        <v>0</v>
      </c>
      <c r="AJ23" s="188">
        <v>1.6500000000000001</v>
      </c>
      <c r="AK23" s="188">
        <v>3.74</v>
      </c>
      <c r="AL23" s="188">
        <v>4.6750000000000007</v>
      </c>
      <c r="AM23" s="112">
        <v>0.22999999999999998</v>
      </c>
      <c r="AN23" s="188">
        <v>1.6500000000000001</v>
      </c>
      <c r="AO23" s="188">
        <v>3.74</v>
      </c>
      <c r="AP23" s="113">
        <v>4.42</v>
      </c>
      <c r="AQ23" s="112">
        <v>0</v>
      </c>
      <c r="AR23" s="188">
        <v>1.6500000000000001</v>
      </c>
      <c r="AS23" s="188">
        <v>3.74</v>
      </c>
      <c r="AT23" s="188">
        <v>4.6750000000000007</v>
      </c>
      <c r="AU23" s="112">
        <v>0.22999999999999998</v>
      </c>
      <c r="AV23" s="188">
        <v>1.6500000000000001</v>
      </c>
      <c r="AW23" s="188">
        <v>3.74</v>
      </c>
      <c r="AX23" s="113">
        <v>4.42</v>
      </c>
      <c r="AY23" s="112">
        <v>4.2750000000000004</v>
      </c>
      <c r="AZ23" s="188">
        <v>7.5</v>
      </c>
      <c r="BA23" s="188">
        <v>8.5</v>
      </c>
      <c r="BB23" s="188">
        <v>8.5</v>
      </c>
      <c r="BC23" s="112">
        <v>5</v>
      </c>
      <c r="BD23" s="188">
        <v>7.5</v>
      </c>
      <c r="BE23" s="188">
        <v>8.5</v>
      </c>
      <c r="BF23" s="113">
        <v>8.5</v>
      </c>
      <c r="BG23" s="112">
        <f t="shared" si="3"/>
        <v>4.2750000000000004</v>
      </c>
      <c r="BH23" s="188">
        <f t="shared" si="1"/>
        <v>10.8</v>
      </c>
      <c r="BI23" s="188">
        <f t="shared" si="1"/>
        <v>15.98</v>
      </c>
      <c r="BJ23" s="188">
        <f t="shared" si="1"/>
        <v>17.850000000000001</v>
      </c>
      <c r="BK23" s="112">
        <f t="shared" si="1"/>
        <v>5.46</v>
      </c>
      <c r="BL23" s="188">
        <f t="shared" si="1"/>
        <v>10.8</v>
      </c>
      <c r="BM23" s="188">
        <f t="shared" si="1"/>
        <v>15.98</v>
      </c>
      <c r="BN23" s="188">
        <f t="shared" si="1"/>
        <v>17.34</v>
      </c>
      <c r="BO23" s="112">
        <f t="shared" si="4"/>
        <v>4.9859999999999998</v>
      </c>
      <c r="BP23" s="188">
        <f t="shared" si="4"/>
        <v>10.8</v>
      </c>
      <c r="BQ23" s="188">
        <f t="shared" si="4"/>
        <v>15.98</v>
      </c>
      <c r="BR23" s="188">
        <f t="shared" si="4"/>
        <v>17.544</v>
      </c>
      <c r="BS23" s="112">
        <f t="shared" si="5"/>
        <v>9.6372</v>
      </c>
      <c r="BT23" s="188">
        <f t="shared" si="6"/>
        <v>16.2928</v>
      </c>
      <c r="BU23" s="144">
        <f t="shared" si="7"/>
        <v>12.965</v>
      </c>
      <c r="BV23" s="113">
        <f>BU21</f>
        <v>15.860099999999999</v>
      </c>
    </row>
    <row r="24" spans="1:74" x14ac:dyDescent="0.25">
      <c r="BF24" s="138"/>
      <c r="BG24" s="139"/>
      <c r="BH24" s="139"/>
      <c r="BI24" s="139"/>
      <c r="BJ24" s="139"/>
      <c r="BK24" s="139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8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9">G28+0.11</f>
        <v>0.55000000000000004</v>
      </c>
      <c r="I28" s="25">
        <v>0.06</v>
      </c>
      <c r="J28">
        <f t="shared" ref="J28:K30" si="10">F28</f>
        <v>0.22000000000000003</v>
      </c>
      <c r="K28">
        <f t="shared" si="10"/>
        <v>0.44</v>
      </c>
      <c r="L28" s="26">
        <f t="shared" ref="L28" si="11">K28+0.08</f>
        <v>0.52</v>
      </c>
    </row>
    <row r="29" spans="1:74" x14ac:dyDescent="0.25">
      <c r="A29" s="41" t="s">
        <v>43</v>
      </c>
      <c r="B29" s="2">
        <v>0.66</v>
      </c>
      <c r="C29" s="15">
        <f t="shared" si="8"/>
        <v>0.66</v>
      </c>
      <c r="D29" s="16" t="s">
        <v>43</v>
      </c>
      <c r="E29" s="23">
        <f t="shared" ref="E29" si="12">F29-0.11</f>
        <v>0.44000000000000006</v>
      </c>
      <c r="F29" s="44">
        <f>C29-0.11</f>
        <v>0.55000000000000004</v>
      </c>
      <c r="G29">
        <f t="shared" ref="G29" si="13">C29+0.11</f>
        <v>0.77</v>
      </c>
      <c r="H29" s="24">
        <f>G29+0.12</f>
        <v>0.89</v>
      </c>
      <c r="I29" s="25">
        <f t="shared" ref="I29" si="14">J29-0.08</f>
        <v>0.47000000000000003</v>
      </c>
      <c r="J29">
        <f t="shared" si="10"/>
        <v>0.55000000000000004</v>
      </c>
      <c r="K29">
        <f t="shared" si="10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8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0"/>
        <v>1</v>
      </c>
      <c r="K30" s="29">
        <f t="shared" si="10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5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6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17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5"/>
        <v>5</v>
      </c>
      <c r="I35" s="25">
        <f t="shared" ref="I35:I37" si="18">J35-1</f>
        <v>1.5</v>
      </c>
      <c r="J35">
        <f t="shared" ref="J35:K37" si="19">F35</f>
        <v>2.5</v>
      </c>
      <c r="K35">
        <f t="shared" si="19"/>
        <v>3.5</v>
      </c>
      <c r="L35" s="26">
        <f t="shared" si="16"/>
        <v>4.5</v>
      </c>
    </row>
    <row r="36" spans="1:12" x14ac:dyDescent="0.25">
      <c r="A36" s="41" t="s">
        <v>43</v>
      </c>
      <c r="B36" s="2">
        <v>5.5</v>
      </c>
      <c r="C36" s="15">
        <f t="shared" si="17"/>
        <v>5.5</v>
      </c>
      <c r="D36" s="16" t="s">
        <v>43</v>
      </c>
      <c r="E36" s="23">
        <f t="shared" ref="E36:E37" si="20">F36-1.5</f>
        <v>3.5</v>
      </c>
      <c r="F36" s="44">
        <f>C36-0.5</f>
        <v>5</v>
      </c>
      <c r="G36">
        <f>C36+0.5</f>
        <v>6</v>
      </c>
      <c r="H36" s="24">
        <f t="shared" si="15"/>
        <v>7.5</v>
      </c>
      <c r="I36" s="25">
        <f t="shared" si="18"/>
        <v>4</v>
      </c>
      <c r="J36">
        <f t="shared" si="19"/>
        <v>5</v>
      </c>
      <c r="K36">
        <f t="shared" si="19"/>
        <v>6</v>
      </c>
      <c r="L36" s="26">
        <f t="shared" si="16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17"/>
        <v>8</v>
      </c>
      <c r="D37" s="16" t="s">
        <v>42</v>
      </c>
      <c r="E37" s="27">
        <f t="shared" si="20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18"/>
        <v>6.5</v>
      </c>
      <c r="J37" s="29">
        <f t="shared" si="19"/>
        <v>7.5</v>
      </c>
      <c r="K37" s="29">
        <f t="shared" si="19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286</v>
      </c>
      <c r="B40" s="46" t="s">
        <v>37</v>
      </c>
      <c r="C40" s="48" t="s">
        <v>46</v>
      </c>
      <c r="D40" s="49" t="s">
        <v>108</v>
      </c>
      <c r="E40" s="485" t="s">
        <v>54</v>
      </c>
      <c r="F40" s="486"/>
      <c r="G40" s="486"/>
      <c r="H40" s="486"/>
      <c r="I40" s="486"/>
      <c r="J40" s="486"/>
      <c r="K40" s="486"/>
      <c r="L40" s="487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6" t="s">
        <v>61</v>
      </c>
      <c r="E46" s="458" t="s">
        <v>62</v>
      </c>
      <c r="F46" s="459"/>
      <c r="G46" s="459"/>
      <c r="H46" s="459"/>
      <c r="I46" s="459"/>
      <c r="J46" s="459"/>
      <c r="K46" s="459"/>
      <c r="L46" s="460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4">
        <f>F27*F$41</f>
        <v>0</v>
      </c>
      <c r="G47" s="234">
        <f>G27*G$41</f>
        <v>0</v>
      </c>
      <c r="H47" s="140">
        <f>G27*H$41+G$41*H27-G27*G$41</f>
        <v>1.87</v>
      </c>
      <c r="I47" s="110">
        <f>I27*J$41+I$41*J27-J27*J$41</f>
        <v>0</v>
      </c>
      <c r="J47" s="234">
        <f>J27*J$41</f>
        <v>0</v>
      </c>
      <c r="K47" s="234">
        <f>K27*K$41</f>
        <v>0</v>
      </c>
      <c r="L47" s="140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1">F28*F$41</f>
        <v>1.6500000000000001</v>
      </c>
      <c r="G48" s="97">
        <f t="shared" si="21"/>
        <v>3.74</v>
      </c>
      <c r="H48" s="142">
        <f t="shared" ref="H48:H50" si="22">G28*H$41+G$41*H28-G28*G$41</f>
        <v>4.6750000000000007</v>
      </c>
      <c r="I48" s="111">
        <f t="shared" ref="I48:I50" si="23">I28*J$41+I$41*J28-J28*J$41</f>
        <v>0.22999999999999998</v>
      </c>
      <c r="J48" s="97">
        <f t="shared" ref="J48:K50" si="24">J28*J$41</f>
        <v>1.6500000000000001</v>
      </c>
      <c r="K48" s="97">
        <f t="shared" si="24"/>
        <v>3.74</v>
      </c>
      <c r="L48" s="142">
        <f t="shared" ref="L48:L50" si="25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6">E29*F$41+E$41*F29-F29*F$41</f>
        <v>2.4750000000000005</v>
      </c>
      <c r="F49" s="97">
        <f t="shared" si="21"/>
        <v>4.125</v>
      </c>
      <c r="G49" s="97">
        <f t="shared" si="21"/>
        <v>6.5449999999999999</v>
      </c>
      <c r="H49" s="142">
        <f t="shared" si="22"/>
        <v>7.5649999999999995</v>
      </c>
      <c r="I49" s="111">
        <f t="shared" si="23"/>
        <v>2.9750000000000005</v>
      </c>
      <c r="J49" s="97">
        <f t="shared" si="24"/>
        <v>4.125</v>
      </c>
      <c r="K49" s="97">
        <f t="shared" si="24"/>
        <v>6.5449999999999999</v>
      </c>
      <c r="L49" s="142">
        <f t="shared" si="25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6"/>
        <v>4.2750000000000004</v>
      </c>
      <c r="F50" s="188">
        <f t="shared" si="21"/>
        <v>7.5</v>
      </c>
      <c r="G50" s="188">
        <f t="shared" si="21"/>
        <v>8.5</v>
      </c>
      <c r="H50" s="113">
        <f t="shared" si="22"/>
        <v>8.5</v>
      </c>
      <c r="I50" s="112">
        <f t="shared" si="23"/>
        <v>5</v>
      </c>
      <c r="J50" s="188">
        <f t="shared" si="24"/>
        <v>7.5</v>
      </c>
      <c r="K50" s="188">
        <f t="shared" si="24"/>
        <v>8.5</v>
      </c>
      <c r="L50" s="113">
        <f t="shared" si="25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4">
        <f>F27*F$42</f>
        <v>0</v>
      </c>
      <c r="G51" s="234">
        <f>G27*G$42</f>
        <v>0</v>
      </c>
      <c r="H51" s="140">
        <f>G27*H$42+G$42*H27-G27*G$42</f>
        <v>1.87</v>
      </c>
      <c r="I51" s="110">
        <f>I27*J$42+I$42*J27-J27*J$42</f>
        <v>0</v>
      </c>
      <c r="J51" s="234">
        <f>J27*J$42</f>
        <v>0</v>
      </c>
      <c r="K51" s="234">
        <f>K27*K$42</f>
        <v>0</v>
      </c>
      <c r="L51" s="140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27">F28*F$42</f>
        <v>1.6500000000000001</v>
      </c>
      <c r="G52" s="97">
        <f t="shared" si="27"/>
        <v>3.74</v>
      </c>
      <c r="H52" s="142">
        <f t="shared" ref="H52:H54" si="28">G28*H$42+G$42*H28-G28*G$42</f>
        <v>4.6750000000000007</v>
      </c>
      <c r="I52" s="111">
        <f t="shared" ref="I52:I54" si="29">I28*J$42+I$42*J28-J28*J$42</f>
        <v>0.22999999999999998</v>
      </c>
      <c r="J52" s="97">
        <f t="shared" ref="J52:K54" si="30">J28*J$42</f>
        <v>1.6500000000000001</v>
      </c>
      <c r="K52" s="97">
        <f t="shared" si="30"/>
        <v>3.74</v>
      </c>
      <c r="L52" s="142">
        <f t="shared" ref="L52:L54" si="31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2">E29*F$42+E$42*F29-F29*F$42</f>
        <v>2.4750000000000005</v>
      </c>
      <c r="F53" s="97">
        <f t="shared" si="27"/>
        <v>4.125</v>
      </c>
      <c r="G53" s="97">
        <f t="shared" si="27"/>
        <v>6.5449999999999999</v>
      </c>
      <c r="H53" s="142">
        <f t="shared" si="28"/>
        <v>7.5649999999999995</v>
      </c>
      <c r="I53" s="111">
        <f t="shared" si="29"/>
        <v>2.9750000000000005</v>
      </c>
      <c r="J53" s="97">
        <f t="shared" si="30"/>
        <v>4.125</v>
      </c>
      <c r="K53" s="97">
        <f t="shared" si="30"/>
        <v>6.5449999999999999</v>
      </c>
      <c r="L53" s="142">
        <f t="shared" si="31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2"/>
        <v>4.2750000000000004</v>
      </c>
      <c r="F54" s="188">
        <f t="shared" si="27"/>
        <v>7.5</v>
      </c>
      <c r="G54" s="188">
        <f t="shared" si="27"/>
        <v>8.5</v>
      </c>
      <c r="H54" s="113">
        <f t="shared" si="28"/>
        <v>8.5</v>
      </c>
      <c r="I54" s="112">
        <f t="shared" si="29"/>
        <v>5</v>
      </c>
      <c r="J54" s="188">
        <f t="shared" si="30"/>
        <v>7.5</v>
      </c>
      <c r="K54" s="188">
        <f t="shared" si="30"/>
        <v>8.5</v>
      </c>
      <c r="L54" s="113">
        <f t="shared" si="31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2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2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3">F28*F$43</f>
        <v>1.6500000000000001</v>
      </c>
      <c r="G56" s="97">
        <f t="shared" si="33"/>
        <v>3.74</v>
      </c>
      <c r="H56" s="142">
        <f t="shared" ref="H56:H58" si="34">G28*H$43+G$43*H28-G28*G$43</f>
        <v>4.6750000000000007</v>
      </c>
      <c r="I56" s="111">
        <f t="shared" ref="I56:I58" si="35">I28*J$43+I$43*J28-J28*J$43</f>
        <v>0.22999999999999998</v>
      </c>
      <c r="J56" s="97">
        <f t="shared" ref="J56:K58" si="36">J28*J$43</f>
        <v>1.6500000000000001</v>
      </c>
      <c r="K56" s="97">
        <f t="shared" si="36"/>
        <v>3.74</v>
      </c>
      <c r="L56" s="142">
        <f t="shared" ref="L56:L58" si="37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38">E29*F$43+E$43*F29-F29*F$43</f>
        <v>2.4750000000000005</v>
      </c>
      <c r="F57" s="97">
        <f t="shared" si="33"/>
        <v>4.125</v>
      </c>
      <c r="G57" s="97">
        <f t="shared" si="33"/>
        <v>6.5449999999999999</v>
      </c>
      <c r="H57" s="142">
        <f t="shared" si="34"/>
        <v>7.5649999999999995</v>
      </c>
      <c r="I57" s="111">
        <f t="shared" si="35"/>
        <v>2.9750000000000005</v>
      </c>
      <c r="J57" s="97">
        <f t="shared" si="36"/>
        <v>4.125</v>
      </c>
      <c r="K57" s="97">
        <f t="shared" si="36"/>
        <v>6.5449999999999999</v>
      </c>
      <c r="L57" s="142">
        <f t="shared" si="37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38"/>
        <v>4.2750000000000004</v>
      </c>
      <c r="F58" s="188">
        <f t="shared" si="33"/>
        <v>7.5</v>
      </c>
      <c r="G58" s="188">
        <f t="shared" si="33"/>
        <v>8.5</v>
      </c>
      <c r="H58" s="113">
        <f t="shared" si="34"/>
        <v>8.5</v>
      </c>
      <c r="I58" s="112">
        <f t="shared" si="35"/>
        <v>5</v>
      </c>
      <c r="J58" s="188">
        <f t="shared" si="36"/>
        <v>7.5</v>
      </c>
      <c r="K58" s="188">
        <f t="shared" si="36"/>
        <v>8.5</v>
      </c>
      <c r="L58" s="113">
        <f t="shared" si="37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64" t="s">
        <v>25</v>
      </c>
      <c r="B64" s="455" t="s">
        <v>234</v>
      </c>
      <c r="C64" s="444" t="s">
        <v>26</v>
      </c>
      <c r="D64" s="464" t="s">
        <v>55</v>
      </c>
      <c r="E64" s="455"/>
      <c r="F64" s="444"/>
      <c r="G64" s="454" t="s">
        <v>56</v>
      </c>
      <c r="H64" s="455"/>
      <c r="I64" s="455"/>
      <c r="J64" s="444" t="s">
        <v>81</v>
      </c>
      <c r="K64" s="435" t="s">
        <v>78</v>
      </c>
      <c r="L64" s="436"/>
      <c r="M64" s="436"/>
      <c r="N64" s="436"/>
      <c r="O64" s="436"/>
      <c r="P64" s="436"/>
      <c r="Q64" s="436"/>
      <c r="R64" s="437"/>
      <c r="S64" s="435" t="s">
        <v>76</v>
      </c>
      <c r="T64" s="436"/>
      <c r="U64" s="436"/>
      <c r="V64" s="436"/>
      <c r="W64" s="436"/>
      <c r="X64" s="436"/>
      <c r="Y64" s="436"/>
      <c r="Z64" s="437"/>
      <c r="AA64" s="435" t="s">
        <v>77</v>
      </c>
      <c r="AB64" s="436"/>
      <c r="AC64" s="436"/>
      <c r="AD64" s="436"/>
      <c r="AE64" s="436"/>
      <c r="AF64" s="436"/>
      <c r="AG64" s="436"/>
      <c r="AH64" s="437"/>
      <c r="AI64" s="435" t="s">
        <v>75</v>
      </c>
      <c r="AJ64" s="436"/>
      <c r="AK64" s="436"/>
      <c r="AL64" s="436"/>
      <c r="AM64" s="436"/>
      <c r="AN64" s="436"/>
      <c r="AO64" s="436"/>
      <c r="AP64" s="437"/>
      <c r="AQ64" s="435" t="s">
        <v>82</v>
      </c>
      <c r="AR64" s="436"/>
      <c r="AS64" s="436"/>
      <c r="AT64" s="436"/>
      <c r="AU64" s="436"/>
      <c r="AV64" s="436"/>
      <c r="AW64" s="436"/>
      <c r="AX64" s="437"/>
      <c r="AY64" s="435" t="s">
        <v>83</v>
      </c>
      <c r="AZ64" s="436"/>
      <c r="BA64" s="436"/>
      <c r="BB64" s="436"/>
      <c r="BC64" s="436"/>
      <c r="BD64" s="436"/>
      <c r="BE64" s="436"/>
      <c r="BF64" s="437"/>
      <c r="BG64" s="438" t="s">
        <v>119</v>
      </c>
      <c r="BH64" s="439"/>
      <c r="BI64" s="439"/>
      <c r="BJ64" s="439"/>
      <c r="BK64" s="439"/>
      <c r="BL64" s="439"/>
      <c r="BM64" s="439"/>
      <c r="BN64" s="440"/>
      <c r="BO64" s="427" t="s">
        <v>264</v>
      </c>
      <c r="BP64" s="428"/>
      <c r="BQ64" s="428"/>
      <c r="BR64" s="429"/>
      <c r="BS64" s="433" t="s">
        <v>79</v>
      </c>
      <c r="BT64" s="434"/>
      <c r="BU64" s="425" t="s">
        <v>80</v>
      </c>
      <c r="BV64" s="425" t="s">
        <v>265</v>
      </c>
    </row>
    <row r="65" spans="1:74" s="33" customFormat="1" ht="23.25" customHeight="1" thickBot="1" x14ac:dyDescent="0.3">
      <c r="A65" s="465"/>
      <c r="B65" s="466"/>
      <c r="C65" s="445"/>
      <c r="D65" s="240" t="s">
        <v>48</v>
      </c>
      <c r="E65" s="218" t="s">
        <v>49</v>
      </c>
      <c r="F65" s="241" t="s">
        <v>50</v>
      </c>
      <c r="G65" s="257" t="s">
        <v>48</v>
      </c>
      <c r="H65" s="218" t="s">
        <v>49</v>
      </c>
      <c r="I65" s="218" t="s">
        <v>50</v>
      </c>
      <c r="J65" s="445"/>
      <c r="K65" s="446" t="s">
        <v>3</v>
      </c>
      <c r="L65" s="447"/>
      <c r="M65" s="447"/>
      <c r="N65" s="448"/>
      <c r="O65" s="446" t="s">
        <v>4</v>
      </c>
      <c r="P65" s="447"/>
      <c r="Q65" s="447"/>
      <c r="R65" s="448"/>
      <c r="S65" s="446" t="s">
        <v>3</v>
      </c>
      <c r="T65" s="447"/>
      <c r="U65" s="447"/>
      <c r="V65" s="448"/>
      <c r="W65" s="446" t="s">
        <v>4</v>
      </c>
      <c r="X65" s="447"/>
      <c r="Y65" s="447"/>
      <c r="Z65" s="448"/>
      <c r="AA65" s="446" t="s">
        <v>3</v>
      </c>
      <c r="AB65" s="447"/>
      <c r="AC65" s="447"/>
      <c r="AD65" s="448"/>
      <c r="AE65" s="446" t="s">
        <v>4</v>
      </c>
      <c r="AF65" s="447"/>
      <c r="AG65" s="447"/>
      <c r="AH65" s="448"/>
      <c r="AI65" s="435" t="s">
        <v>3</v>
      </c>
      <c r="AJ65" s="436"/>
      <c r="AK65" s="436"/>
      <c r="AL65" s="437"/>
      <c r="AM65" s="435" t="s">
        <v>4</v>
      </c>
      <c r="AN65" s="436"/>
      <c r="AO65" s="436"/>
      <c r="AP65" s="437"/>
      <c r="AQ65" s="435" t="s">
        <v>3</v>
      </c>
      <c r="AR65" s="436"/>
      <c r="AS65" s="436"/>
      <c r="AT65" s="437"/>
      <c r="AU65" s="435" t="s">
        <v>4</v>
      </c>
      <c r="AV65" s="436"/>
      <c r="AW65" s="436"/>
      <c r="AX65" s="437"/>
      <c r="AY65" s="435" t="s">
        <v>3</v>
      </c>
      <c r="AZ65" s="436"/>
      <c r="BA65" s="436"/>
      <c r="BB65" s="437"/>
      <c r="BC65" s="435" t="s">
        <v>4</v>
      </c>
      <c r="BD65" s="436"/>
      <c r="BE65" s="436"/>
      <c r="BF65" s="437"/>
      <c r="BG65" s="435" t="s">
        <v>3</v>
      </c>
      <c r="BH65" s="436"/>
      <c r="BI65" s="436"/>
      <c r="BJ65" s="437"/>
      <c r="BK65" s="435" t="s">
        <v>4</v>
      </c>
      <c r="BL65" s="436"/>
      <c r="BM65" s="436"/>
      <c r="BN65" s="437"/>
      <c r="BO65" s="430"/>
      <c r="BP65" s="431"/>
      <c r="BQ65" s="431"/>
      <c r="BR65" s="432"/>
      <c r="BS65" s="430"/>
      <c r="BT65" s="432"/>
      <c r="BU65" s="426"/>
      <c r="BV65" s="426"/>
    </row>
    <row r="66" spans="1:74" ht="30" x14ac:dyDescent="0.25">
      <c r="A66" s="366" t="s">
        <v>0</v>
      </c>
      <c r="B66" s="367" t="s">
        <v>24</v>
      </c>
      <c r="C66" s="364" t="s">
        <v>12</v>
      </c>
      <c r="D66" s="368" t="s">
        <v>42</v>
      </c>
      <c r="E66" s="365" t="s">
        <v>42</v>
      </c>
      <c r="F66" s="369" t="s">
        <v>42</v>
      </c>
      <c r="G66" s="370">
        <f>IF(D66=$A$79,$B$79,(IF(D66=$A$80,$B$80,IF(D66=$A$81,$B$81,$B$82))))</f>
        <v>1</v>
      </c>
      <c r="H66" s="325">
        <f t="shared" ref="H66:I75" si="39">IF(E66=$A$79,$B$79,(IF(E66=$A$80,$B$80,IF(E66=$A$81,$B$81,$B$82))))</f>
        <v>1</v>
      </c>
      <c r="I66" s="325">
        <f t="shared" si="39"/>
        <v>1</v>
      </c>
      <c r="J66" s="132">
        <f>G66*$D$93+H66*$D$94+I66*$D$95</f>
        <v>21.5</v>
      </c>
      <c r="K66" s="110">
        <v>0.77</v>
      </c>
      <c r="L66" s="234">
        <v>1</v>
      </c>
      <c r="M66" s="234">
        <v>1</v>
      </c>
      <c r="N66" s="140">
        <v>1</v>
      </c>
      <c r="O66" s="234">
        <v>0.8</v>
      </c>
      <c r="P66" s="234">
        <v>1</v>
      </c>
      <c r="Q66" s="234">
        <v>1</v>
      </c>
      <c r="R66" s="234">
        <v>1</v>
      </c>
      <c r="S66" s="110">
        <v>0.77</v>
      </c>
      <c r="T66" s="234">
        <v>1</v>
      </c>
      <c r="U66" s="234">
        <v>1</v>
      </c>
      <c r="V66" s="140">
        <v>1</v>
      </c>
      <c r="W66" s="110">
        <v>0.8</v>
      </c>
      <c r="X66" s="234">
        <v>1</v>
      </c>
      <c r="Y66" s="234">
        <v>1</v>
      </c>
      <c r="Z66" s="140">
        <v>1</v>
      </c>
      <c r="AA66" s="110">
        <v>0.77</v>
      </c>
      <c r="AB66" s="234">
        <v>1</v>
      </c>
      <c r="AC66" s="234">
        <v>1</v>
      </c>
      <c r="AD66" s="140">
        <v>1</v>
      </c>
      <c r="AE66" s="110">
        <v>0.8</v>
      </c>
      <c r="AF66" s="234">
        <v>1</v>
      </c>
      <c r="AG66" s="234">
        <v>1</v>
      </c>
      <c r="AH66" s="234">
        <v>1</v>
      </c>
      <c r="AI66" s="110">
        <v>4.2750000000000004</v>
      </c>
      <c r="AJ66" s="234">
        <v>7.5</v>
      </c>
      <c r="AK66" s="234">
        <v>8.5</v>
      </c>
      <c r="AL66" s="234">
        <v>8.5</v>
      </c>
      <c r="AM66" s="110">
        <v>5</v>
      </c>
      <c r="AN66" s="234">
        <v>7.5</v>
      </c>
      <c r="AO66" s="234">
        <v>8.5</v>
      </c>
      <c r="AP66" s="234">
        <v>8.5</v>
      </c>
      <c r="AQ66" s="110">
        <v>2.3499999999999996</v>
      </c>
      <c r="AR66" s="234">
        <v>5</v>
      </c>
      <c r="AS66" s="234">
        <v>6</v>
      </c>
      <c r="AT66" s="234">
        <v>7.5</v>
      </c>
      <c r="AU66" s="110">
        <v>3</v>
      </c>
      <c r="AV66" s="234">
        <v>5</v>
      </c>
      <c r="AW66" s="234">
        <v>6</v>
      </c>
      <c r="AX66" s="140">
        <v>7</v>
      </c>
      <c r="AY66" s="110">
        <v>4.2750000000000004</v>
      </c>
      <c r="AZ66" s="234">
        <v>7.5</v>
      </c>
      <c r="BA66" s="234">
        <v>8.5</v>
      </c>
      <c r="BB66" s="234">
        <v>8.5</v>
      </c>
      <c r="BC66" s="110">
        <v>5</v>
      </c>
      <c r="BD66" s="234">
        <v>7.5</v>
      </c>
      <c r="BE66" s="234">
        <v>8.5</v>
      </c>
      <c r="BF66" s="234">
        <v>8.5</v>
      </c>
      <c r="BG66" s="110">
        <f>AI66+AQ66+AY66</f>
        <v>10.9</v>
      </c>
      <c r="BH66" s="234">
        <f t="shared" ref="BH66:BN75" si="40">AJ66+AR66+AZ66</f>
        <v>20</v>
      </c>
      <c r="BI66" s="234">
        <f t="shared" si="40"/>
        <v>23</v>
      </c>
      <c r="BJ66" s="234">
        <f t="shared" si="40"/>
        <v>24.5</v>
      </c>
      <c r="BK66" s="110">
        <f t="shared" si="40"/>
        <v>13</v>
      </c>
      <c r="BL66" s="234">
        <f t="shared" si="40"/>
        <v>20</v>
      </c>
      <c r="BM66" s="234">
        <f t="shared" si="40"/>
        <v>23</v>
      </c>
      <c r="BN66" s="234">
        <f t="shared" si="40"/>
        <v>24</v>
      </c>
      <c r="BO66" s="110">
        <f>(1-$BO$63)*BG66+$BO$63*BK66</f>
        <v>12.16</v>
      </c>
      <c r="BP66" s="234">
        <f t="shared" ref="BP66:BR75" si="41">(1-$BO$63)*BH66+$BO$63*BL66</f>
        <v>20</v>
      </c>
      <c r="BQ66" s="234">
        <f t="shared" si="41"/>
        <v>23</v>
      </c>
      <c r="BR66" s="234">
        <f t="shared" si="41"/>
        <v>24.2</v>
      </c>
      <c r="BS66" s="110">
        <f>$BS$63*BP66+(1-$BS$63)*BO66</f>
        <v>18.431999999999999</v>
      </c>
      <c r="BT66" s="140">
        <f>$BS$63*BQ66+(1-$BS$63)*BR66</f>
        <v>23.240000000000002</v>
      </c>
      <c r="BU66" s="140">
        <f>(BS66+BT66)/2</f>
        <v>20.835999999999999</v>
      </c>
      <c r="BV66" s="140">
        <f>BU66</f>
        <v>20.835999999999999</v>
      </c>
    </row>
    <row r="67" spans="1:74" x14ac:dyDescent="0.25">
      <c r="A67" s="226" t="s">
        <v>1</v>
      </c>
      <c r="B67" s="222" t="s">
        <v>13</v>
      </c>
      <c r="C67" s="54" t="s">
        <v>27</v>
      </c>
      <c r="D67" s="72" t="s">
        <v>45</v>
      </c>
      <c r="E67" s="73" t="s">
        <v>42</v>
      </c>
      <c r="F67" s="251" t="s">
        <v>42</v>
      </c>
      <c r="G67" s="362">
        <f t="shared" ref="G67:G75" si="42">IF(D67=$A$79,$B$79,(IF(D67=$A$80,$B$80,IF(D67=$A$81,$B$81,$B$82))))</f>
        <v>0</v>
      </c>
      <c r="H67" s="301">
        <f t="shared" si="39"/>
        <v>1</v>
      </c>
      <c r="I67" s="301">
        <f t="shared" si="39"/>
        <v>1</v>
      </c>
      <c r="J67" s="104">
        <f t="shared" ref="J67:J75" si="43">G67*$D$93+H67*$D$94+I67*$D$95</f>
        <v>13.5</v>
      </c>
      <c r="K67" s="111">
        <v>0</v>
      </c>
      <c r="L67" s="97">
        <v>0</v>
      </c>
      <c r="M67" s="97">
        <v>0</v>
      </c>
      <c r="N67" s="142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2">
        <v>1</v>
      </c>
      <c r="W67" s="111">
        <v>0.8</v>
      </c>
      <c r="X67" s="97">
        <v>1</v>
      </c>
      <c r="Y67" s="97">
        <v>1</v>
      </c>
      <c r="Z67" s="142">
        <v>1</v>
      </c>
      <c r="AA67" s="111">
        <v>0.77</v>
      </c>
      <c r="AB67" s="97">
        <v>1</v>
      </c>
      <c r="AC67" s="97">
        <v>1</v>
      </c>
      <c r="AD67" s="142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2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4">AI67+AQ67+AY67</f>
        <v>6.625</v>
      </c>
      <c r="BH67" s="97">
        <f t="shared" si="40"/>
        <v>12.5</v>
      </c>
      <c r="BI67" s="97">
        <f t="shared" si="40"/>
        <v>14.5</v>
      </c>
      <c r="BJ67" s="97">
        <f t="shared" si="40"/>
        <v>17.87</v>
      </c>
      <c r="BK67" s="111">
        <f t="shared" si="40"/>
        <v>8</v>
      </c>
      <c r="BL67" s="97">
        <f t="shared" si="40"/>
        <v>12.5</v>
      </c>
      <c r="BM67" s="97">
        <f t="shared" si="40"/>
        <v>14.5</v>
      </c>
      <c r="BN67" s="97">
        <f t="shared" si="40"/>
        <v>16.774999999999999</v>
      </c>
      <c r="BO67" s="111">
        <f t="shared" ref="BO67:BO75" si="45">(1-$BO$63)*BG67+$BO$63*BK67</f>
        <v>7.45</v>
      </c>
      <c r="BP67" s="97">
        <f t="shared" si="41"/>
        <v>12.5</v>
      </c>
      <c r="BQ67" s="97">
        <f t="shared" si="41"/>
        <v>14.5</v>
      </c>
      <c r="BR67" s="97">
        <f t="shared" si="41"/>
        <v>17.213000000000001</v>
      </c>
      <c r="BS67" s="111">
        <f t="shared" ref="BS67:BS75" si="46">$BS$63*BP67+(1-$BS$63)*BO67</f>
        <v>11.49</v>
      </c>
      <c r="BT67" s="142">
        <f t="shared" ref="BT67:BT75" si="47">$BS$63*BQ67+(1-$BS$63)*BR67</f>
        <v>15.0426</v>
      </c>
      <c r="BU67" s="142">
        <f t="shared" ref="BU67:BU75" si="48">(BS67+BT67)/2</f>
        <v>13.266300000000001</v>
      </c>
      <c r="BV67" s="142">
        <f>BU67</f>
        <v>13.266300000000001</v>
      </c>
    </row>
    <row r="68" spans="1:74" x14ac:dyDescent="0.25">
      <c r="A68" s="226" t="s">
        <v>2</v>
      </c>
      <c r="B68" s="222" t="s">
        <v>14</v>
      </c>
      <c r="C68" s="54" t="s">
        <v>28</v>
      </c>
      <c r="D68" s="72" t="s">
        <v>43</v>
      </c>
      <c r="E68" s="73" t="s">
        <v>44</v>
      </c>
      <c r="F68" s="251" t="s">
        <v>45</v>
      </c>
      <c r="G68" s="362">
        <f t="shared" si="42"/>
        <v>0.66</v>
      </c>
      <c r="H68" s="301">
        <f t="shared" si="39"/>
        <v>0.33</v>
      </c>
      <c r="I68" s="301">
        <f t="shared" si="39"/>
        <v>0</v>
      </c>
      <c r="J68" s="104">
        <f t="shared" si="43"/>
        <v>7.0950000000000006</v>
      </c>
      <c r="K68" s="111">
        <v>0.44000000000000006</v>
      </c>
      <c r="L68" s="97">
        <v>0.55000000000000004</v>
      </c>
      <c r="M68" s="97">
        <v>0.77</v>
      </c>
      <c r="N68" s="142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2">
        <v>0.55000000000000004</v>
      </c>
      <c r="W68" s="111">
        <v>0.06</v>
      </c>
      <c r="X68" s="97">
        <v>0.22000000000000003</v>
      </c>
      <c r="Y68" s="97">
        <v>0.44</v>
      </c>
      <c r="Z68" s="142">
        <v>0.52</v>
      </c>
      <c r="AA68" s="111">
        <v>0</v>
      </c>
      <c r="AB68" s="97">
        <v>0</v>
      </c>
      <c r="AC68" s="97">
        <v>0</v>
      </c>
      <c r="AD68" s="142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2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4"/>
        <v>2.4750000000000005</v>
      </c>
      <c r="BH68" s="97">
        <f t="shared" si="40"/>
        <v>5.2249999999999996</v>
      </c>
      <c r="BI68" s="97">
        <f t="shared" si="40"/>
        <v>9.1850000000000005</v>
      </c>
      <c r="BJ68" s="97">
        <f t="shared" si="40"/>
        <v>13.395</v>
      </c>
      <c r="BK68" s="111">
        <f t="shared" si="40"/>
        <v>3.0550000000000006</v>
      </c>
      <c r="BL68" s="97">
        <f t="shared" si="40"/>
        <v>5.2249999999999996</v>
      </c>
      <c r="BM68" s="97">
        <f t="shared" si="40"/>
        <v>9.1850000000000005</v>
      </c>
      <c r="BN68" s="97">
        <f t="shared" si="40"/>
        <v>12.145000000000001</v>
      </c>
      <c r="BO68" s="111">
        <f t="shared" si="45"/>
        <v>2.8230000000000004</v>
      </c>
      <c r="BP68" s="97">
        <f t="shared" si="41"/>
        <v>5.2249999999999996</v>
      </c>
      <c r="BQ68" s="97">
        <f t="shared" si="41"/>
        <v>9.1850000000000005</v>
      </c>
      <c r="BR68" s="97">
        <f t="shared" si="41"/>
        <v>12.645000000000001</v>
      </c>
      <c r="BS68" s="111">
        <f t="shared" si="46"/>
        <v>4.7446000000000002</v>
      </c>
      <c r="BT68" s="142">
        <f t="shared" si="47"/>
        <v>9.8770000000000007</v>
      </c>
      <c r="BU68" s="142">
        <f t="shared" si="48"/>
        <v>7.3108000000000004</v>
      </c>
      <c r="BV68" s="142">
        <f>BU68</f>
        <v>7.3108000000000004</v>
      </c>
    </row>
    <row r="69" spans="1:74" x14ac:dyDescent="0.25">
      <c r="A69" s="226" t="s">
        <v>5</v>
      </c>
      <c r="B69" s="222" t="s">
        <v>15</v>
      </c>
      <c r="C69" s="54" t="s">
        <v>16</v>
      </c>
      <c r="D69" s="72" t="s">
        <v>42</v>
      </c>
      <c r="E69" s="73" t="s">
        <v>42</v>
      </c>
      <c r="F69" s="251" t="s">
        <v>42</v>
      </c>
      <c r="G69" s="362">
        <f t="shared" si="42"/>
        <v>1</v>
      </c>
      <c r="H69" s="301">
        <f t="shared" si="39"/>
        <v>1</v>
      </c>
      <c r="I69" s="301">
        <f t="shared" si="39"/>
        <v>1</v>
      </c>
      <c r="J69" s="104">
        <f t="shared" si="43"/>
        <v>21.5</v>
      </c>
      <c r="K69" s="111">
        <v>0.77</v>
      </c>
      <c r="L69" s="97">
        <v>1</v>
      </c>
      <c r="M69" s="97">
        <v>1</v>
      </c>
      <c r="N69" s="142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2">
        <v>1</v>
      </c>
      <c r="W69" s="111">
        <v>0.8</v>
      </c>
      <c r="X69" s="97">
        <v>1</v>
      </c>
      <c r="Y69" s="97">
        <v>1</v>
      </c>
      <c r="Z69" s="142">
        <v>1</v>
      </c>
      <c r="AA69" s="111">
        <v>0.77</v>
      </c>
      <c r="AB69" s="97">
        <v>1</v>
      </c>
      <c r="AC69" s="97">
        <v>1</v>
      </c>
      <c r="AD69" s="142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2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4"/>
        <v>10.9</v>
      </c>
      <c r="BH69" s="97">
        <f t="shared" si="40"/>
        <v>20</v>
      </c>
      <c r="BI69" s="97">
        <f t="shared" si="40"/>
        <v>23</v>
      </c>
      <c r="BJ69" s="97">
        <f t="shared" si="40"/>
        <v>24.5</v>
      </c>
      <c r="BK69" s="111">
        <f t="shared" si="40"/>
        <v>13</v>
      </c>
      <c r="BL69" s="97">
        <f t="shared" si="40"/>
        <v>20</v>
      </c>
      <c r="BM69" s="97">
        <f t="shared" si="40"/>
        <v>23</v>
      </c>
      <c r="BN69" s="97">
        <f t="shared" si="40"/>
        <v>24</v>
      </c>
      <c r="BO69" s="111">
        <f t="shared" si="45"/>
        <v>12.16</v>
      </c>
      <c r="BP69" s="97">
        <f t="shared" si="41"/>
        <v>20</v>
      </c>
      <c r="BQ69" s="97">
        <f t="shared" si="41"/>
        <v>23</v>
      </c>
      <c r="BR69" s="97">
        <f t="shared" si="41"/>
        <v>24.2</v>
      </c>
      <c r="BS69" s="111">
        <f t="shared" si="46"/>
        <v>18.431999999999999</v>
      </c>
      <c r="BT69" s="142">
        <f t="shared" si="47"/>
        <v>23.240000000000002</v>
      </c>
      <c r="BU69" s="142">
        <f t="shared" si="48"/>
        <v>20.835999999999999</v>
      </c>
      <c r="BV69" s="142">
        <f>BU66</f>
        <v>20.835999999999999</v>
      </c>
    </row>
    <row r="70" spans="1:74" ht="30" x14ac:dyDescent="0.25">
      <c r="A70" s="226" t="s">
        <v>6</v>
      </c>
      <c r="B70" s="222" t="s">
        <v>17</v>
      </c>
      <c r="C70" s="54" t="s">
        <v>29</v>
      </c>
      <c r="D70" s="72" t="s">
        <v>43</v>
      </c>
      <c r="E70" s="73" t="s">
        <v>43</v>
      </c>
      <c r="F70" s="251" t="s">
        <v>43</v>
      </c>
      <c r="G70" s="362">
        <f t="shared" si="42"/>
        <v>0.66</v>
      </c>
      <c r="H70" s="301">
        <f t="shared" si="39"/>
        <v>0.66</v>
      </c>
      <c r="I70" s="301">
        <f t="shared" si="39"/>
        <v>0.66</v>
      </c>
      <c r="J70" s="104">
        <f t="shared" si="43"/>
        <v>14.190000000000001</v>
      </c>
      <c r="K70" s="111">
        <v>0.44000000000000006</v>
      </c>
      <c r="L70" s="97">
        <v>0.55000000000000004</v>
      </c>
      <c r="M70" s="97">
        <v>0.77</v>
      </c>
      <c r="N70" s="142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0.44000000000000006</v>
      </c>
      <c r="AB70" s="97">
        <v>0.55000000000000004</v>
      </c>
      <c r="AC70" s="97">
        <v>0.77</v>
      </c>
      <c r="AD70" s="142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4"/>
        <v>6.3250000000000011</v>
      </c>
      <c r="BH70" s="97">
        <f t="shared" si="40"/>
        <v>11</v>
      </c>
      <c r="BI70" s="97">
        <f t="shared" si="40"/>
        <v>17.71</v>
      </c>
      <c r="BJ70" s="97">
        <f t="shared" si="40"/>
        <v>21.625</v>
      </c>
      <c r="BK70" s="111">
        <f t="shared" si="40"/>
        <v>7.7500000000000018</v>
      </c>
      <c r="BL70" s="97">
        <f t="shared" si="40"/>
        <v>11</v>
      </c>
      <c r="BM70" s="97">
        <f t="shared" si="40"/>
        <v>17.71</v>
      </c>
      <c r="BN70" s="97">
        <f t="shared" si="40"/>
        <v>20.550000000000004</v>
      </c>
      <c r="BO70" s="111">
        <f t="shared" si="45"/>
        <v>7.1800000000000015</v>
      </c>
      <c r="BP70" s="97">
        <f t="shared" si="41"/>
        <v>11</v>
      </c>
      <c r="BQ70" s="97">
        <f t="shared" si="41"/>
        <v>17.71</v>
      </c>
      <c r="BR70" s="97">
        <f t="shared" si="41"/>
        <v>20.980000000000004</v>
      </c>
      <c r="BS70" s="111">
        <f t="shared" si="46"/>
        <v>10.236000000000001</v>
      </c>
      <c r="BT70" s="142">
        <f t="shared" si="47"/>
        <v>18.364000000000001</v>
      </c>
      <c r="BU70" s="142">
        <f t="shared" si="48"/>
        <v>14.3</v>
      </c>
      <c r="BV70" s="142">
        <f>BU70</f>
        <v>14.3</v>
      </c>
    </row>
    <row r="71" spans="1:74" x14ac:dyDescent="0.25">
      <c r="A71" s="226" t="s">
        <v>7</v>
      </c>
      <c r="B71" s="222" t="s">
        <v>18</v>
      </c>
      <c r="C71" s="54" t="s">
        <v>30</v>
      </c>
      <c r="D71" s="72" t="s">
        <v>44</v>
      </c>
      <c r="E71" s="73" t="s">
        <v>43</v>
      </c>
      <c r="F71" s="251" t="s">
        <v>44</v>
      </c>
      <c r="G71" s="362">
        <f t="shared" si="42"/>
        <v>0.33</v>
      </c>
      <c r="H71" s="301">
        <f t="shared" si="39"/>
        <v>0.66</v>
      </c>
      <c r="I71" s="301">
        <f t="shared" si="39"/>
        <v>0.33</v>
      </c>
      <c r="J71" s="104">
        <f t="shared" si="43"/>
        <v>8.91</v>
      </c>
      <c r="K71" s="111">
        <v>0</v>
      </c>
      <c r="L71" s="97">
        <v>0.22000000000000003</v>
      </c>
      <c r="M71" s="97">
        <v>0.44</v>
      </c>
      <c r="N71" s="142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2">
        <v>0.89</v>
      </c>
      <c r="W71" s="111">
        <v>0.47000000000000003</v>
      </c>
      <c r="X71" s="97">
        <v>0.55000000000000004</v>
      </c>
      <c r="Y71" s="97">
        <v>0.77</v>
      </c>
      <c r="Z71" s="142">
        <v>0.86</v>
      </c>
      <c r="AA71" s="111">
        <v>0</v>
      </c>
      <c r="AB71" s="97">
        <v>0.22000000000000003</v>
      </c>
      <c r="AC71" s="97">
        <v>0.44</v>
      </c>
      <c r="AD71" s="142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2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4"/>
        <v>1.375</v>
      </c>
      <c r="BH71" s="97">
        <f t="shared" si="40"/>
        <v>6.0500000000000007</v>
      </c>
      <c r="BI71" s="97">
        <f t="shared" si="40"/>
        <v>12.1</v>
      </c>
      <c r="BJ71" s="97">
        <f t="shared" si="40"/>
        <v>15.845000000000002</v>
      </c>
      <c r="BK71" s="111">
        <f t="shared" si="40"/>
        <v>2.2600000000000007</v>
      </c>
      <c r="BL71" s="97">
        <f t="shared" si="40"/>
        <v>6.0500000000000007</v>
      </c>
      <c r="BM71" s="97">
        <f t="shared" si="40"/>
        <v>12.1</v>
      </c>
      <c r="BN71" s="97">
        <f t="shared" si="40"/>
        <v>14.770000000000001</v>
      </c>
      <c r="BO71" s="111">
        <f t="shared" si="45"/>
        <v>1.9060000000000004</v>
      </c>
      <c r="BP71" s="97">
        <f t="shared" si="41"/>
        <v>6.0500000000000007</v>
      </c>
      <c r="BQ71" s="97">
        <f t="shared" si="41"/>
        <v>12.1</v>
      </c>
      <c r="BR71" s="97">
        <f t="shared" si="41"/>
        <v>15.200000000000001</v>
      </c>
      <c r="BS71" s="111">
        <f t="shared" si="46"/>
        <v>5.2212000000000005</v>
      </c>
      <c r="BT71" s="142">
        <f t="shared" si="47"/>
        <v>12.719999999999999</v>
      </c>
      <c r="BU71" s="142">
        <f t="shared" si="48"/>
        <v>8.9705999999999992</v>
      </c>
      <c r="BV71" s="142">
        <f>BU72</f>
        <v>10.832000000000001</v>
      </c>
    </row>
    <row r="72" spans="1:74" ht="30" x14ac:dyDescent="0.25">
      <c r="A72" s="226" t="s">
        <v>8</v>
      </c>
      <c r="B72" s="222" t="s">
        <v>19</v>
      </c>
      <c r="C72" s="54" t="s">
        <v>31</v>
      </c>
      <c r="D72" s="72" t="s">
        <v>43</v>
      </c>
      <c r="E72" s="73" t="s">
        <v>42</v>
      </c>
      <c r="F72" s="251" t="s">
        <v>45</v>
      </c>
      <c r="G72" s="362">
        <f t="shared" si="42"/>
        <v>0.66</v>
      </c>
      <c r="H72" s="301">
        <f t="shared" si="39"/>
        <v>1</v>
      </c>
      <c r="I72" s="301">
        <f t="shared" si="39"/>
        <v>0</v>
      </c>
      <c r="J72" s="104">
        <f t="shared" si="43"/>
        <v>10.780000000000001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</v>
      </c>
      <c r="AB72" s="97">
        <v>0</v>
      </c>
      <c r="AC72" s="97">
        <v>0</v>
      </c>
      <c r="AD72" s="142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4"/>
        <v>4.8250000000000002</v>
      </c>
      <c r="BH72" s="97">
        <f t="shared" si="40"/>
        <v>9.125</v>
      </c>
      <c r="BI72" s="97">
        <f t="shared" si="40"/>
        <v>12.545</v>
      </c>
      <c r="BJ72" s="97">
        <f t="shared" si="40"/>
        <v>16.934999999999999</v>
      </c>
      <c r="BK72" s="111">
        <f t="shared" si="40"/>
        <v>5.9750000000000005</v>
      </c>
      <c r="BL72" s="97">
        <f t="shared" si="40"/>
        <v>9.125</v>
      </c>
      <c r="BM72" s="97">
        <f t="shared" si="40"/>
        <v>12.545</v>
      </c>
      <c r="BN72" s="97">
        <f t="shared" si="40"/>
        <v>15.585000000000001</v>
      </c>
      <c r="BO72" s="111">
        <f t="shared" si="45"/>
        <v>5.5150000000000006</v>
      </c>
      <c r="BP72" s="97">
        <f t="shared" si="41"/>
        <v>9.125</v>
      </c>
      <c r="BQ72" s="97">
        <f t="shared" si="41"/>
        <v>12.545</v>
      </c>
      <c r="BR72" s="97">
        <f t="shared" si="41"/>
        <v>16.125</v>
      </c>
      <c r="BS72" s="111">
        <f t="shared" si="46"/>
        <v>8.4030000000000005</v>
      </c>
      <c r="BT72" s="142">
        <f t="shared" si="47"/>
        <v>13.261000000000001</v>
      </c>
      <c r="BU72" s="142">
        <f t="shared" si="48"/>
        <v>10.832000000000001</v>
      </c>
      <c r="BV72" s="142">
        <f>BU72</f>
        <v>10.832000000000001</v>
      </c>
    </row>
    <row r="73" spans="1:74" ht="30" x14ac:dyDescent="0.25">
      <c r="A73" s="226" t="s">
        <v>9</v>
      </c>
      <c r="B73" s="222" t="s">
        <v>20</v>
      </c>
      <c r="C73" s="54" t="s">
        <v>21</v>
      </c>
      <c r="D73" s="72" t="s">
        <v>43</v>
      </c>
      <c r="E73" s="73" t="s">
        <v>42</v>
      </c>
      <c r="F73" s="251" t="s">
        <v>43</v>
      </c>
      <c r="G73" s="362">
        <f t="shared" si="42"/>
        <v>0.66</v>
      </c>
      <c r="H73" s="301">
        <f t="shared" si="39"/>
        <v>1</v>
      </c>
      <c r="I73" s="301">
        <f t="shared" si="39"/>
        <v>0.66</v>
      </c>
      <c r="J73" s="104">
        <f t="shared" si="43"/>
        <v>16.060000000000002</v>
      </c>
      <c r="K73" s="111">
        <v>0.44000000000000006</v>
      </c>
      <c r="L73" s="97">
        <v>0.55000000000000004</v>
      </c>
      <c r="M73" s="97">
        <v>0.77</v>
      </c>
      <c r="N73" s="142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2">
        <v>1</v>
      </c>
      <c r="W73" s="111">
        <v>0.8</v>
      </c>
      <c r="X73" s="97">
        <v>1</v>
      </c>
      <c r="Y73" s="97">
        <v>1</v>
      </c>
      <c r="Z73" s="142">
        <v>1</v>
      </c>
      <c r="AA73" s="111">
        <v>0.44000000000000006</v>
      </c>
      <c r="AB73" s="97">
        <v>0.55000000000000004</v>
      </c>
      <c r="AC73" s="97">
        <v>0.77</v>
      </c>
      <c r="AD73" s="142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2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4"/>
        <v>7.3000000000000007</v>
      </c>
      <c r="BH73" s="97">
        <f t="shared" si="40"/>
        <v>13.25</v>
      </c>
      <c r="BI73" s="97">
        <f t="shared" si="40"/>
        <v>19.09</v>
      </c>
      <c r="BJ73" s="97">
        <f t="shared" si="40"/>
        <v>22.63</v>
      </c>
      <c r="BK73" s="111">
        <f t="shared" si="40"/>
        <v>8.9500000000000011</v>
      </c>
      <c r="BL73" s="97">
        <f t="shared" si="40"/>
        <v>13.25</v>
      </c>
      <c r="BM73" s="97">
        <f t="shared" si="40"/>
        <v>19.09</v>
      </c>
      <c r="BN73" s="97">
        <f t="shared" si="40"/>
        <v>21.62</v>
      </c>
      <c r="BO73" s="111">
        <f t="shared" si="45"/>
        <v>8.2900000000000009</v>
      </c>
      <c r="BP73" s="97">
        <f t="shared" si="41"/>
        <v>13.25</v>
      </c>
      <c r="BQ73" s="97">
        <f t="shared" si="41"/>
        <v>19.09</v>
      </c>
      <c r="BR73" s="97">
        <f t="shared" si="41"/>
        <v>22.024000000000001</v>
      </c>
      <c r="BS73" s="111">
        <f t="shared" si="46"/>
        <v>12.258000000000001</v>
      </c>
      <c r="BT73" s="142">
        <f t="shared" si="47"/>
        <v>19.6768</v>
      </c>
      <c r="BU73" s="142">
        <f t="shared" si="48"/>
        <v>15.967400000000001</v>
      </c>
      <c r="BV73" s="142">
        <f>BU73</f>
        <v>15.967400000000001</v>
      </c>
    </row>
    <row r="74" spans="1:74" ht="36.75" customHeight="1" x14ac:dyDescent="0.25">
      <c r="A74" s="226" t="s">
        <v>10</v>
      </c>
      <c r="B74" s="222" t="s">
        <v>22</v>
      </c>
      <c r="C74" s="54" t="s">
        <v>32</v>
      </c>
      <c r="D74" s="72" t="s">
        <v>45</v>
      </c>
      <c r="E74" s="73" t="s">
        <v>44</v>
      </c>
      <c r="F74" s="251" t="s">
        <v>45</v>
      </c>
      <c r="G74" s="362">
        <f t="shared" si="42"/>
        <v>0</v>
      </c>
      <c r="H74" s="301">
        <f t="shared" si="39"/>
        <v>0.33</v>
      </c>
      <c r="I74" s="301">
        <f t="shared" si="39"/>
        <v>0</v>
      </c>
      <c r="J74" s="104">
        <f t="shared" si="43"/>
        <v>1.8150000000000002</v>
      </c>
      <c r="K74" s="111">
        <v>0</v>
      </c>
      <c r="L74" s="97">
        <v>0</v>
      </c>
      <c r="M74" s="97">
        <v>0</v>
      </c>
      <c r="N74" s="142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2">
        <v>0.55000000000000004</v>
      </c>
      <c r="W74" s="111">
        <v>0.06</v>
      </c>
      <c r="X74" s="97">
        <v>0.22000000000000003</v>
      </c>
      <c r="Y74" s="97">
        <v>0.44</v>
      </c>
      <c r="Z74" s="142">
        <v>0.52</v>
      </c>
      <c r="AA74" s="111">
        <v>0</v>
      </c>
      <c r="AB74" s="97">
        <v>0</v>
      </c>
      <c r="AC74" s="97">
        <v>0</v>
      </c>
      <c r="AD74" s="142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2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4"/>
        <v>0</v>
      </c>
      <c r="BH74" s="97">
        <f t="shared" si="40"/>
        <v>1.1000000000000001</v>
      </c>
      <c r="BI74" s="97">
        <f t="shared" si="40"/>
        <v>2.64</v>
      </c>
      <c r="BJ74" s="97">
        <f t="shared" si="40"/>
        <v>7.7</v>
      </c>
      <c r="BK74" s="111">
        <f t="shared" si="40"/>
        <v>8.0000000000000071E-2</v>
      </c>
      <c r="BL74" s="97">
        <f t="shared" si="40"/>
        <v>1.1000000000000001</v>
      </c>
      <c r="BM74" s="97">
        <f t="shared" si="40"/>
        <v>2.64</v>
      </c>
      <c r="BN74" s="97">
        <f t="shared" si="40"/>
        <v>6.1099999999999994</v>
      </c>
      <c r="BO74" s="111">
        <f t="shared" si="45"/>
        <v>4.8000000000000043E-2</v>
      </c>
      <c r="BP74" s="97">
        <f t="shared" si="41"/>
        <v>1.1000000000000001</v>
      </c>
      <c r="BQ74" s="97">
        <f t="shared" si="41"/>
        <v>2.64</v>
      </c>
      <c r="BR74" s="97">
        <f t="shared" si="41"/>
        <v>6.7459999999999996</v>
      </c>
      <c r="BS74" s="111">
        <f t="shared" si="46"/>
        <v>0.88960000000000017</v>
      </c>
      <c r="BT74" s="142">
        <f t="shared" si="47"/>
        <v>3.4611999999999998</v>
      </c>
      <c r="BU74" s="142">
        <f t="shared" si="48"/>
        <v>2.1753999999999998</v>
      </c>
      <c r="BV74" s="142">
        <f>BU73</f>
        <v>15.967400000000001</v>
      </c>
    </row>
    <row r="75" spans="1:74" ht="30.75" thickBot="1" x14ac:dyDescent="0.3">
      <c r="A75" s="228" t="s">
        <v>11</v>
      </c>
      <c r="B75" s="229" t="s">
        <v>23</v>
      </c>
      <c r="C75" s="249" t="s">
        <v>33</v>
      </c>
      <c r="D75" s="74" t="s">
        <v>44</v>
      </c>
      <c r="E75" s="75" t="s">
        <v>43</v>
      </c>
      <c r="F75" s="252" t="s">
        <v>42</v>
      </c>
      <c r="G75" s="363">
        <f t="shared" si="42"/>
        <v>0.33</v>
      </c>
      <c r="H75" s="303">
        <f t="shared" si="39"/>
        <v>0.66</v>
      </c>
      <c r="I75" s="303">
        <f t="shared" si="39"/>
        <v>1</v>
      </c>
      <c r="J75" s="108">
        <f t="shared" si="43"/>
        <v>14.27</v>
      </c>
      <c r="K75" s="112">
        <v>0</v>
      </c>
      <c r="L75" s="188">
        <v>0.22000000000000003</v>
      </c>
      <c r="M75" s="188">
        <v>0.44</v>
      </c>
      <c r="N75" s="113">
        <v>0.55000000000000004</v>
      </c>
      <c r="O75" s="188">
        <v>0.06</v>
      </c>
      <c r="P75" s="188">
        <v>0.22000000000000003</v>
      </c>
      <c r="Q75" s="188">
        <v>0.44</v>
      </c>
      <c r="R75" s="188">
        <v>0.52</v>
      </c>
      <c r="S75" s="112">
        <v>0.44000000000000006</v>
      </c>
      <c r="T75" s="188">
        <v>0.55000000000000004</v>
      </c>
      <c r="U75" s="188">
        <v>0.77</v>
      </c>
      <c r="V75" s="113">
        <v>0.89</v>
      </c>
      <c r="W75" s="112">
        <v>0.47000000000000003</v>
      </c>
      <c r="X75" s="188">
        <v>0.55000000000000004</v>
      </c>
      <c r="Y75" s="188">
        <v>0.77</v>
      </c>
      <c r="Z75" s="113">
        <v>0.86</v>
      </c>
      <c r="AA75" s="112">
        <v>0.77</v>
      </c>
      <c r="AB75" s="188">
        <v>1</v>
      </c>
      <c r="AC75" s="188">
        <v>1</v>
      </c>
      <c r="AD75" s="113">
        <v>1</v>
      </c>
      <c r="AE75" s="112">
        <v>0.8</v>
      </c>
      <c r="AF75" s="188">
        <v>1</v>
      </c>
      <c r="AG75" s="188">
        <v>1</v>
      </c>
      <c r="AH75" s="188">
        <v>1</v>
      </c>
      <c r="AI75" s="112">
        <v>0</v>
      </c>
      <c r="AJ75" s="188">
        <v>1.6500000000000001</v>
      </c>
      <c r="AK75" s="188">
        <v>3.74</v>
      </c>
      <c r="AL75" s="188">
        <v>4.6750000000000007</v>
      </c>
      <c r="AM75" s="112">
        <v>0.22999999999999998</v>
      </c>
      <c r="AN75" s="188">
        <v>1.6500000000000001</v>
      </c>
      <c r="AO75" s="188">
        <v>3.74</v>
      </c>
      <c r="AP75" s="188">
        <v>4.42</v>
      </c>
      <c r="AQ75" s="112">
        <v>1.375</v>
      </c>
      <c r="AR75" s="188">
        <v>2.75</v>
      </c>
      <c r="AS75" s="188">
        <v>4.62</v>
      </c>
      <c r="AT75" s="188">
        <v>6.4950000000000001</v>
      </c>
      <c r="AU75" s="112">
        <v>1.8000000000000007</v>
      </c>
      <c r="AV75" s="188">
        <v>2.75</v>
      </c>
      <c r="AW75" s="188">
        <v>4.62</v>
      </c>
      <c r="AX75" s="113">
        <v>5.9300000000000006</v>
      </c>
      <c r="AY75" s="112">
        <v>4.2750000000000004</v>
      </c>
      <c r="AZ75" s="188">
        <v>7.5</v>
      </c>
      <c r="BA75" s="188">
        <v>8.5</v>
      </c>
      <c r="BB75" s="188">
        <v>8.5</v>
      </c>
      <c r="BC75" s="112">
        <v>5</v>
      </c>
      <c r="BD75" s="188">
        <v>7.5</v>
      </c>
      <c r="BE75" s="188">
        <v>8.5</v>
      </c>
      <c r="BF75" s="188">
        <v>8.5</v>
      </c>
      <c r="BG75" s="112">
        <f t="shared" si="44"/>
        <v>5.65</v>
      </c>
      <c r="BH75" s="188">
        <f t="shared" si="40"/>
        <v>11.9</v>
      </c>
      <c r="BI75" s="188">
        <f t="shared" si="40"/>
        <v>16.86</v>
      </c>
      <c r="BJ75" s="188">
        <f t="shared" si="40"/>
        <v>19.670000000000002</v>
      </c>
      <c r="BK75" s="112">
        <f t="shared" si="40"/>
        <v>7.0300000000000011</v>
      </c>
      <c r="BL75" s="188">
        <f t="shared" si="40"/>
        <v>11.9</v>
      </c>
      <c r="BM75" s="188">
        <f t="shared" si="40"/>
        <v>16.86</v>
      </c>
      <c r="BN75" s="188">
        <f t="shared" si="40"/>
        <v>18.850000000000001</v>
      </c>
      <c r="BO75" s="112">
        <f t="shared" si="45"/>
        <v>6.4780000000000015</v>
      </c>
      <c r="BP75" s="188">
        <f t="shared" si="41"/>
        <v>11.9</v>
      </c>
      <c r="BQ75" s="188">
        <f t="shared" si="41"/>
        <v>16.86</v>
      </c>
      <c r="BR75" s="188">
        <f t="shared" si="41"/>
        <v>19.178000000000001</v>
      </c>
      <c r="BS75" s="112">
        <f t="shared" si="46"/>
        <v>10.815600000000002</v>
      </c>
      <c r="BT75" s="113">
        <f t="shared" si="47"/>
        <v>17.323599999999999</v>
      </c>
      <c r="BU75" s="113">
        <f t="shared" si="48"/>
        <v>14.069600000000001</v>
      </c>
      <c r="BV75" s="113">
        <f>BU73</f>
        <v>15.967400000000001</v>
      </c>
    </row>
    <row r="76" spans="1:74" x14ac:dyDescent="0.25">
      <c r="BF76" s="138"/>
      <c r="BG76" s="139"/>
      <c r="BH76" s="139"/>
      <c r="BI76" s="139"/>
      <c r="BJ76" s="139"/>
      <c r="BK76" s="139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49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0">G80+0.11</f>
        <v>0.55000000000000004</v>
      </c>
      <c r="I80" s="25">
        <v>0.06</v>
      </c>
      <c r="J80">
        <f t="shared" ref="J80:K82" si="51">F80</f>
        <v>0.22000000000000003</v>
      </c>
      <c r="K80">
        <f t="shared" si="51"/>
        <v>0.44</v>
      </c>
      <c r="L80" s="26">
        <f t="shared" ref="L80" si="52">K80+0.08</f>
        <v>0.52</v>
      </c>
    </row>
    <row r="81" spans="1:12" x14ac:dyDescent="0.25">
      <c r="A81" s="41" t="s">
        <v>43</v>
      </c>
      <c r="B81" s="2">
        <v>0.66</v>
      </c>
      <c r="C81" s="15">
        <f t="shared" si="49"/>
        <v>0.66</v>
      </c>
      <c r="D81" s="16" t="s">
        <v>43</v>
      </c>
      <c r="E81" s="23">
        <f t="shared" ref="E81" si="53">F81-0.11</f>
        <v>0.44000000000000006</v>
      </c>
      <c r="F81" s="44">
        <f>C81-0.11</f>
        <v>0.55000000000000004</v>
      </c>
      <c r="G81">
        <f t="shared" ref="G81" si="54">C81+0.11</f>
        <v>0.77</v>
      </c>
      <c r="H81" s="24">
        <f>G81+0.12</f>
        <v>0.89</v>
      </c>
      <c r="I81" s="25">
        <f t="shared" ref="I81" si="55">J81-0.08</f>
        <v>0.47000000000000003</v>
      </c>
      <c r="J81">
        <f t="shared" si="51"/>
        <v>0.55000000000000004</v>
      </c>
      <c r="K81">
        <f t="shared" si="51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49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1"/>
        <v>1</v>
      </c>
      <c r="K82" s="29">
        <f t="shared" si="51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56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57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58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56"/>
        <v>5</v>
      </c>
      <c r="I87" s="25">
        <f t="shared" ref="I87:I89" si="59">J87-1</f>
        <v>1.5</v>
      </c>
      <c r="J87">
        <f t="shared" ref="J87:K89" si="60">F87</f>
        <v>2.5</v>
      </c>
      <c r="K87">
        <f t="shared" si="60"/>
        <v>3.5</v>
      </c>
      <c r="L87" s="26">
        <f t="shared" si="57"/>
        <v>4.5</v>
      </c>
    </row>
    <row r="88" spans="1:12" x14ac:dyDescent="0.25">
      <c r="A88" s="41" t="s">
        <v>43</v>
      </c>
      <c r="B88" s="2">
        <v>5.5</v>
      </c>
      <c r="C88" s="15">
        <f t="shared" si="58"/>
        <v>5.5</v>
      </c>
      <c r="D88" s="16" t="s">
        <v>43</v>
      </c>
      <c r="E88" s="23">
        <f t="shared" ref="E88:E89" si="61">F88-1.5</f>
        <v>3.5</v>
      </c>
      <c r="F88" s="44">
        <f>C88-0.5</f>
        <v>5</v>
      </c>
      <c r="G88">
        <f>C88+0.5</f>
        <v>6</v>
      </c>
      <c r="H88" s="24">
        <f t="shared" si="56"/>
        <v>7.5</v>
      </c>
      <c r="I88" s="25">
        <f t="shared" si="59"/>
        <v>4</v>
      </c>
      <c r="J88">
        <f t="shared" si="60"/>
        <v>5</v>
      </c>
      <c r="K88">
        <f t="shared" si="60"/>
        <v>6</v>
      </c>
      <c r="L88" s="26">
        <f t="shared" si="57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58"/>
        <v>8</v>
      </c>
      <c r="D89" s="16" t="s">
        <v>42</v>
      </c>
      <c r="E89" s="27">
        <f t="shared" si="61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59"/>
        <v>6.5</v>
      </c>
      <c r="J89" s="29">
        <f t="shared" si="60"/>
        <v>7.5</v>
      </c>
      <c r="K89" s="29">
        <f t="shared" si="60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58" t="s">
        <v>54</v>
      </c>
      <c r="F92" s="459"/>
      <c r="G92" s="459"/>
      <c r="H92" s="459"/>
      <c r="I92" s="459"/>
      <c r="J92" s="459"/>
      <c r="K92" s="459"/>
      <c r="L92" s="460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47" t="s">
        <v>60</v>
      </c>
      <c r="B98" s="266" t="s">
        <v>61</v>
      </c>
      <c r="E98" s="458" t="s">
        <v>62</v>
      </c>
      <c r="F98" s="459"/>
      <c r="G98" s="459"/>
      <c r="H98" s="459"/>
      <c r="I98" s="459"/>
      <c r="J98" s="459"/>
      <c r="K98" s="459"/>
      <c r="L98" s="460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4">
        <f>F79*F$93</f>
        <v>0</v>
      </c>
      <c r="G99" s="234">
        <f>G79*G$93</f>
        <v>0</v>
      </c>
      <c r="H99" s="140">
        <f>G79*H$93+G$93*H79-G79*G$93</f>
        <v>1.87</v>
      </c>
      <c r="I99" s="110">
        <f>I79*J$93+I$93*J79-J79*J$93</f>
        <v>0</v>
      </c>
      <c r="J99" s="234">
        <f>J79*J$93</f>
        <v>0</v>
      </c>
      <c r="K99" s="234">
        <f>K79*K$93</f>
        <v>0</v>
      </c>
      <c r="L99" s="140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62">F80*F$93</f>
        <v>1.6500000000000001</v>
      </c>
      <c r="G100" s="97">
        <f t="shared" si="62"/>
        <v>3.74</v>
      </c>
      <c r="H100" s="142">
        <f t="shared" ref="H100:H102" si="63">G80*H$93+G$93*H80-G80*G$93</f>
        <v>4.6750000000000007</v>
      </c>
      <c r="I100" s="111">
        <f t="shared" ref="I100:I102" si="64">I80*J$93+I$93*J80-J80*J$93</f>
        <v>0.22999999999999998</v>
      </c>
      <c r="J100" s="97">
        <f t="shared" ref="J100:K102" si="65">J80*J$93</f>
        <v>1.6500000000000001</v>
      </c>
      <c r="K100" s="97">
        <f t="shared" si="65"/>
        <v>3.74</v>
      </c>
      <c r="L100" s="142">
        <f t="shared" ref="L100:L102" si="66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67">E81*F$93+E$93*F81-F81*F$93</f>
        <v>2.4750000000000005</v>
      </c>
      <c r="F101" s="97">
        <f t="shared" si="62"/>
        <v>4.125</v>
      </c>
      <c r="G101" s="97">
        <f t="shared" si="62"/>
        <v>6.5449999999999999</v>
      </c>
      <c r="H101" s="142">
        <f t="shared" si="63"/>
        <v>7.5649999999999995</v>
      </c>
      <c r="I101" s="111">
        <f t="shared" si="64"/>
        <v>2.9750000000000005</v>
      </c>
      <c r="J101" s="97">
        <f t="shared" si="65"/>
        <v>4.125</v>
      </c>
      <c r="K101" s="97">
        <f t="shared" si="65"/>
        <v>6.5449999999999999</v>
      </c>
      <c r="L101" s="142">
        <f t="shared" si="66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67"/>
        <v>4.2750000000000004</v>
      </c>
      <c r="F102" s="188">
        <f t="shared" si="62"/>
        <v>7.5</v>
      </c>
      <c r="G102" s="188">
        <f t="shared" si="62"/>
        <v>8.5</v>
      </c>
      <c r="H102" s="113">
        <f t="shared" si="63"/>
        <v>8.5</v>
      </c>
      <c r="I102" s="112">
        <f t="shared" si="64"/>
        <v>5</v>
      </c>
      <c r="J102" s="188">
        <f t="shared" si="65"/>
        <v>7.5</v>
      </c>
      <c r="K102" s="188">
        <f t="shared" si="65"/>
        <v>8.5</v>
      </c>
      <c r="L102" s="113">
        <f t="shared" si="66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4">
        <f>F79*F$94</f>
        <v>0</v>
      </c>
      <c r="G103" s="234">
        <f>G79*G$94</f>
        <v>0</v>
      </c>
      <c r="H103" s="140">
        <f>G79*H$94+G$94*H79-G79*G$94</f>
        <v>1.32</v>
      </c>
      <c r="I103" s="110">
        <f>I79*J$94+I$94*J79-J79*J$94</f>
        <v>0</v>
      </c>
      <c r="J103" s="234">
        <f>J79*J$94</f>
        <v>0</v>
      </c>
      <c r="K103" s="234">
        <f>K79*K$94</f>
        <v>0</v>
      </c>
      <c r="L103" s="140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68">F80*F$94</f>
        <v>1.1000000000000001</v>
      </c>
      <c r="G104" s="97">
        <f t="shared" si="68"/>
        <v>2.64</v>
      </c>
      <c r="H104" s="142">
        <f t="shared" ref="H104:H106" si="69">G80*H$94+G$94*H80-G80*G$94</f>
        <v>3.9599999999999995</v>
      </c>
      <c r="I104" s="111">
        <f t="shared" ref="I104:I106" si="70">I80*J$94+I$94*J80-J80*J$94</f>
        <v>8.0000000000000071E-2</v>
      </c>
      <c r="J104" s="97">
        <f t="shared" ref="J104:K106" si="71">J80*J$94</f>
        <v>1.1000000000000001</v>
      </c>
      <c r="K104" s="97">
        <f t="shared" si="71"/>
        <v>2.64</v>
      </c>
      <c r="L104" s="142">
        <f t="shared" ref="L104:L106" si="72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73">E81*F$94+E$94*F81-F81*F$94</f>
        <v>1.375</v>
      </c>
      <c r="F105" s="97">
        <f t="shared" si="68"/>
        <v>2.75</v>
      </c>
      <c r="G105" s="97">
        <f t="shared" si="68"/>
        <v>4.62</v>
      </c>
      <c r="H105" s="142">
        <f t="shared" si="69"/>
        <v>6.4950000000000001</v>
      </c>
      <c r="I105" s="111">
        <f t="shared" si="70"/>
        <v>1.8000000000000007</v>
      </c>
      <c r="J105" s="97">
        <f t="shared" si="71"/>
        <v>2.75</v>
      </c>
      <c r="K105" s="97">
        <f t="shared" si="71"/>
        <v>4.62</v>
      </c>
      <c r="L105" s="142">
        <f t="shared" si="72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73"/>
        <v>2.3499999999999996</v>
      </c>
      <c r="F106" s="188">
        <f t="shared" si="68"/>
        <v>5</v>
      </c>
      <c r="G106" s="188">
        <f t="shared" si="68"/>
        <v>6</v>
      </c>
      <c r="H106" s="113">
        <f t="shared" si="69"/>
        <v>7.5</v>
      </c>
      <c r="I106" s="112">
        <f t="shared" si="70"/>
        <v>3</v>
      </c>
      <c r="J106" s="188">
        <f t="shared" si="71"/>
        <v>5</v>
      </c>
      <c r="K106" s="188">
        <f t="shared" si="71"/>
        <v>6</v>
      </c>
      <c r="L106" s="113">
        <f t="shared" si="72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4">
        <f>F79*F$95</f>
        <v>0</v>
      </c>
      <c r="G107" s="234">
        <f>G79*G$95</f>
        <v>0</v>
      </c>
      <c r="H107" s="140">
        <f>G79*H$95+G$95*H79-G79*G$95</f>
        <v>1.87</v>
      </c>
      <c r="I107" s="110">
        <f>I79*J$95+I$95*J79-J79*J$95</f>
        <v>0</v>
      </c>
      <c r="J107" s="234">
        <f>J79*J$95</f>
        <v>0</v>
      </c>
      <c r="K107" s="234">
        <f>K79*K$95</f>
        <v>0</v>
      </c>
      <c r="L107" s="140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74">F80*F$95</f>
        <v>1.6500000000000001</v>
      </c>
      <c r="G108" s="97">
        <f t="shared" si="74"/>
        <v>3.74</v>
      </c>
      <c r="H108" s="142">
        <f t="shared" ref="H108:H110" si="75">G80*H$95+G$95*H80-G80*G$95</f>
        <v>4.6750000000000007</v>
      </c>
      <c r="I108" s="111">
        <f t="shared" ref="I108:I110" si="76">I80*J$95+I$95*J80-J80*J$95</f>
        <v>0.22999999999999998</v>
      </c>
      <c r="J108" s="97">
        <f t="shared" ref="J108:K110" si="77">J80*J$95</f>
        <v>1.6500000000000001</v>
      </c>
      <c r="K108" s="97">
        <f t="shared" si="77"/>
        <v>3.74</v>
      </c>
      <c r="L108" s="142">
        <f t="shared" ref="L108:L110" si="78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79">E81*F$95+E$95*F81-F81*F$95</f>
        <v>2.4750000000000005</v>
      </c>
      <c r="F109" s="97">
        <f t="shared" si="74"/>
        <v>4.125</v>
      </c>
      <c r="G109" s="97">
        <f t="shared" si="74"/>
        <v>6.5449999999999999</v>
      </c>
      <c r="H109" s="142">
        <f t="shared" si="75"/>
        <v>7.5649999999999995</v>
      </c>
      <c r="I109" s="111">
        <f t="shared" si="76"/>
        <v>2.9750000000000005</v>
      </c>
      <c r="J109" s="97">
        <f t="shared" si="77"/>
        <v>4.125</v>
      </c>
      <c r="K109" s="97">
        <f t="shared" si="77"/>
        <v>6.5449999999999999</v>
      </c>
      <c r="L109" s="142">
        <f t="shared" si="78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79"/>
        <v>4.2750000000000004</v>
      </c>
      <c r="F110" s="188">
        <f t="shared" si="74"/>
        <v>7.5</v>
      </c>
      <c r="G110" s="188">
        <f t="shared" si="74"/>
        <v>8.5</v>
      </c>
      <c r="H110" s="113">
        <f t="shared" si="75"/>
        <v>8.5</v>
      </c>
      <c r="I110" s="112">
        <f t="shared" si="76"/>
        <v>5</v>
      </c>
      <c r="J110" s="188">
        <f t="shared" si="77"/>
        <v>7.5</v>
      </c>
      <c r="K110" s="188">
        <f t="shared" si="77"/>
        <v>8.5</v>
      </c>
      <c r="L110" s="113">
        <f t="shared" si="78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64" t="s">
        <v>25</v>
      </c>
      <c r="B116" s="455" t="s">
        <v>234</v>
      </c>
      <c r="C116" s="444" t="s">
        <v>26</v>
      </c>
      <c r="D116" s="464" t="s">
        <v>55</v>
      </c>
      <c r="E116" s="455"/>
      <c r="F116" s="444"/>
      <c r="G116" s="454" t="s">
        <v>56</v>
      </c>
      <c r="H116" s="455"/>
      <c r="I116" s="455"/>
      <c r="J116" s="444" t="s">
        <v>81</v>
      </c>
      <c r="K116" s="435" t="s">
        <v>78</v>
      </c>
      <c r="L116" s="436"/>
      <c r="M116" s="436"/>
      <c r="N116" s="436"/>
      <c r="O116" s="436"/>
      <c r="P116" s="436"/>
      <c r="Q116" s="436"/>
      <c r="R116" s="437"/>
      <c r="S116" s="435" t="s">
        <v>76</v>
      </c>
      <c r="T116" s="436"/>
      <c r="U116" s="436"/>
      <c r="V116" s="436"/>
      <c r="W116" s="436"/>
      <c r="X116" s="436"/>
      <c r="Y116" s="436"/>
      <c r="Z116" s="437"/>
      <c r="AA116" s="435" t="s">
        <v>77</v>
      </c>
      <c r="AB116" s="436"/>
      <c r="AC116" s="436"/>
      <c r="AD116" s="436"/>
      <c r="AE116" s="436"/>
      <c r="AF116" s="436"/>
      <c r="AG116" s="436"/>
      <c r="AH116" s="437"/>
      <c r="AI116" s="435" t="s">
        <v>75</v>
      </c>
      <c r="AJ116" s="436"/>
      <c r="AK116" s="436"/>
      <c r="AL116" s="436"/>
      <c r="AM116" s="436"/>
      <c r="AN116" s="436"/>
      <c r="AO116" s="436"/>
      <c r="AP116" s="437"/>
      <c r="AQ116" s="435" t="s">
        <v>82</v>
      </c>
      <c r="AR116" s="436"/>
      <c r="AS116" s="436"/>
      <c r="AT116" s="436"/>
      <c r="AU116" s="436"/>
      <c r="AV116" s="436"/>
      <c r="AW116" s="436"/>
      <c r="AX116" s="437"/>
      <c r="AY116" s="435" t="s">
        <v>83</v>
      </c>
      <c r="AZ116" s="436"/>
      <c r="BA116" s="436"/>
      <c r="BB116" s="436"/>
      <c r="BC116" s="436"/>
      <c r="BD116" s="436"/>
      <c r="BE116" s="436"/>
      <c r="BF116" s="437"/>
      <c r="BG116" s="438" t="s">
        <v>119</v>
      </c>
      <c r="BH116" s="439"/>
      <c r="BI116" s="439"/>
      <c r="BJ116" s="439"/>
      <c r="BK116" s="439"/>
      <c r="BL116" s="439"/>
      <c r="BM116" s="439"/>
      <c r="BN116" s="440"/>
      <c r="BO116" s="427" t="s">
        <v>264</v>
      </c>
      <c r="BP116" s="428"/>
      <c r="BQ116" s="428"/>
      <c r="BR116" s="429"/>
      <c r="BS116" s="433" t="s">
        <v>79</v>
      </c>
      <c r="BT116" s="434"/>
      <c r="BU116" s="425" t="s">
        <v>80</v>
      </c>
      <c r="BV116" s="425" t="s">
        <v>265</v>
      </c>
    </row>
    <row r="117" spans="1:74" s="33" customFormat="1" ht="23.25" customHeight="1" thickBot="1" x14ac:dyDescent="0.3">
      <c r="A117" s="465"/>
      <c r="B117" s="466"/>
      <c r="C117" s="445"/>
      <c r="D117" s="240" t="s">
        <v>48</v>
      </c>
      <c r="E117" s="218" t="s">
        <v>49</v>
      </c>
      <c r="F117" s="241" t="s">
        <v>50</v>
      </c>
      <c r="G117" s="257" t="s">
        <v>48</v>
      </c>
      <c r="H117" s="218" t="s">
        <v>49</v>
      </c>
      <c r="I117" s="218" t="s">
        <v>50</v>
      </c>
      <c r="J117" s="445"/>
      <c r="K117" s="446" t="s">
        <v>3</v>
      </c>
      <c r="L117" s="447"/>
      <c r="M117" s="447"/>
      <c r="N117" s="448"/>
      <c r="O117" s="446" t="s">
        <v>4</v>
      </c>
      <c r="P117" s="447"/>
      <c r="Q117" s="447"/>
      <c r="R117" s="448"/>
      <c r="S117" s="446" t="s">
        <v>3</v>
      </c>
      <c r="T117" s="447"/>
      <c r="U117" s="447"/>
      <c r="V117" s="448"/>
      <c r="W117" s="446" t="s">
        <v>4</v>
      </c>
      <c r="X117" s="447"/>
      <c r="Y117" s="447"/>
      <c r="Z117" s="448"/>
      <c r="AA117" s="446" t="s">
        <v>3</v>
      </c>
      <c r="AB117" s="447"/>
      <c r="AC117" s="447"/>
      <c r="AD117" s="448"/>
      <c r="AE117" s="446" t="s">
        <v>4</v>
      </c>
      <c r="AF117" s="447"/>
      <c r="AG117" s="447"/>
      <c r="AH117" s="448"/>
      <c r="AI117" s="435" t="s">
        <v>3</v>
      </c>
      <c r="AJ117" s="436"/>
      <c r="AK117" s="436"/>
      <c r="AL117" s="437"/>
      <c r="AM117" s="435" t="s">
        <v>4</v>
      </c>
      <c r="AN117" s="436"/>
      <c r="AO117" s="436"/>
      <c r="AP117" s="437"/>
      <c r="AQ117" s="435" t="s">
        <v>3</v>
      </c>
      <c r="AR117" s="436"/>
      <c r="AS117" s="436"/>
      <c r="AT117" s="437"/>
      <c r="AU117" s="435" t="s">
        <v>4</v>
      </c>
      <c r="AV117" s="436"/>
      <c r="AW117" s="436"/>
      <c r="AX117" s="437"/>
      <c r="AY117" s="435" t="s">
        <v>3</v>
      </c>
      <c r="AZ117" s="436"/>
      <c r="BA117" s="436"/>
      <c r="BB117" s="437"/>
      <c r="BC117" s="435" t="s">
        <v>4</v>
      </c>
      <c r="BD117" s="436"/>
      <c r="BE117" s="436"/>
      <c r="BF117" s="437"/>
      <c r="BG117" s="435" t="s">
        <v>3</v>
      </c>
      <c r="BH117" s="436"/>
      <c r="BI117" s="436"/>
      <c r="BJ117" s="437"/>
      <c r="BK117" s="435" t="s">
        <v>4</v>
      </c>
      <c r="BL117" s="436"/>
      <c r="BM117" s="436"/>
      <c r="BN117" s="437"/>
      <c r="BO117" s="430"/>
      <c r="BP117" s="431"/>
      <c r="BQ117" s="431"/>
      <c r="BR117" s="432"/>
      <c r="BS117" s="430"/>
      <c r="BT117" s="432"/>
      <c r="BU117" s="426"/>
      <c r="BV117" s="426"/>
    </row>
    <row r="118" spans="1:74" ht="30" x14ac:dyDescent="0.25">
      <c r="A118" s="366" t="s">
        <v>0</v>
      </c>
      <c r="B118" s="367" t="s">
        <v>24</v>
      </c>
      <c r="C118" s="364" t="s">
        <v>12</v>
      </c>
      <c r="D118" s="238" t="s">
        <v>42</v>
      </c>
      <c r="E118" s="239" t="s">
        <v>42</v>
      </c>
      <c r="F118" s="250" t="s">
        <v>42</v>
      </c>
      <c r="G118" s="370">
        <f>IF(D118=$A$131,$B$131,(IF(D118=$A$132,$B$132,IF(D118=$A$133,$B$133,$B$134))))</f>
        <v>1</v>
      </c>
      <c r="H118" s="325">
        <f t="shared" ref="H118:I127" si="80">IF(E118=$A$131,$B$131,(IF(E118=$A$132,$B$132,IF(E118=$A$133,$B$133,$B$134))))</f>
        <v>1</v>
      </c>
      <c r="I118" s="325">
        <f t="shared" si="80"/>
        <v>1</v>
      </c>
      <c r="J118" s="132">
        <f>G118*$D$145+H118*$D$146+I118*$D$147</f>
        <v>21.5</v>
      </c>
      <c r="K118" s="110">
        <v>0.77</v>
      </c>
      <c r="L118" s="234">
        <v>1</v>
      </c>
      <c r="M118" s="234">
        <v>1</v>
      </c>
      <c r="N118" s="234">
        <v>1</v>
      </c>
      <c r="O118" s="110">
        <v>0.8</v>
      </c>
      <c r="P118" s="234">
        <v>1</v>
      </c>
      <c r="Q118" s="234">
        <v>1</v>
      </c>
      <c r="R118" s="140">
        <v>1</v>
      </c>
      <c r="S118" s="110">
        <v>0.77</v>
      </c>
      <c r="T118" s="234">
        <v>1</v>
      </c>
      <c r="U118" s="234">
        <v>1</v>
      </c>
      <c r="V118" s="234">
        <v>1</v>
      </c>
      <c r="W118" s="110">
        <v>0.8</v>
      </c>
      <c r="X118" s="234">
        <v>1</v>
      </c>
      <c r="Y118" s="234">
        <v>1</v>
      </c>
      <c r="Z118" s="140">
        <v>1</v>
      </c>
      <c r="AA118" s="110">
        <v>0.77</v>
      </c>
      <c r="AB118" s="234">
        <v>1</v>
      </c>
      <c r="AC118" s="234">
        <v>1</v>
      </c>
      <c r="AD118" s="140">
        <v>1</v>
      </c>
      <c r="AE118" s="110">
        <v>0.8</v>
      </c>
      <c r="AF118" s="234">
        <v>1</v>
      </c>
      <c r="AG118" s="234">
        <v>1</v>
      </c>
      <c r="AH118" s="140">
        <v>1</v>
      </c>
      <c r="AI118" s="110">
        <v>2.3499999999999996</v>
      </c>
      <c r="AJ118" s="234">
        <v>5</v>
      </c>
      <c r="AK118" s="234">
        <v>6</v>
      </c>
      <c r="AL118" s="234">
        <v>7.5</v>
      </c>
      <c r="AM118" s="110">
        <v>3</v>
      </c>
      <c r="AN118" s="234">
        <v>5</v>
      </c>
      <c r="AO118" s="234">
        <v>6</v>
      </c>
      <c r="AP118" s="140">
        <v>7</v>
      </c>
      <c r="AQ118" s="110">
        <v>4.2750000000000004</v>
      </c>
      <c r="AR118" s="234">
        <v>7.5</v>
      </c>
      <c r="AS118" s="234">
        <v>8.5</v>
      </c>
      <c r="AT118" s="234">
        <v>8.5</v>
      </c>
      <c r="AU118" s="110">
        <v>5</v>
      </c>
      <c r="AV118" s="234">
        <v>7.5</v>
      </c>
      <c r="AW118" s="234">
        <v>8.5</v>
      </c>
      <c r="AX118" s="140">
        <v>8.5</v>
      </c>
      <c r="AY118" s="110">
        <v>4.2750000000000004</v>
      </c>
      <c r="AZ118" s="234">
        <v>7.5</v>
      </c>
      <c r="BA118" s="234">
        <v>8.5</v>
      </c>
      <c r="BB118" s="234">
        <v>8.5</v>
      </c>
      <c r="BC118" s="110">
        <v>5</v>
      </c>
      <c r="BD118" s="234">
        <v>7.5</v>
      </c>
      <c r="BE118" s="234">
        <v>8.5</v>
      </c>
      <c r="BF118" s="140">
        <v>8.5</v>
      </c>
      <c r="BG118" s="110">
        <f>AI118+AQ118+AY118</f>
        <v>10.9</v>
      </c>
      <c r="BH118" s="234">
        <f t="shared" ref="BH118:BN127" si="81">AJ118+AR118+AZ118</f>
        <v>20</v>
      </c>
      <c r="BI118" s="234">
        <f t="shared" si="81"/>
        <v>23</v>
      </c>
      <c r="BJ118" s="234">
        <f t="shared" si="81"/>
        <v>24.5</v>
      </c>
      <c r="BK118" s="110">
        <f t="shared" si="81"/>
        <v>13</v>
      </c>
      <c r="BL118" s="234">
        <f t="shared" si="81"/>
        <v>20</v>
      </c>
      <c r="BM118" s="234">
        <f t="shared" si="81"/>
        <v>23</v>
      </c>
      <c r="BN118" s="234">
        <f t="shared" si="81"/>
        <v>24</v>
      </c>
      <c r="BO118" s="110">
        <f>(1-$BO$115)*BG118+$BO$115*BK118</f>
        <v>12.16</v>
      </c>
      <c r="BP118" s="234">
        <f>(1-$BO$115)*BH118+$BO$115*BL118</f>
        <v>20</v>
      </c>
      <c r="BQ118" s="234">
        <f>(1-$BO$115)*BI118+$BO$115*BM118</f>
        <v>23</v>
      </c>
      <c r="BR118" s="234">
        <f>(1-$BO$115)*BJ118+$BO$115*BN118</f>
        <v>24.2</v>
      </c>
      <c r="BS118" s="110">
        <f>$BS$115*BP118+(1-$BS$115)*BO118</f>
        <v>18.431999999999999</v>
      </c>
      <c r="BT118" s="140">
        <f>$BS$115*BQ118+(1-$BS$115)*BR118</f>
        <v>23.240000000000002</v>
      </c>
      <c r="BU118" s="140">
        <f>(BS118+BT118)/2</f>
        <v>20.835999999999999</v>
      </c>
      <c r="BV118" s="140">
        <f>BU118</f>
        <v>20.835999999999999</v>
      </c>
    </row>
    <row r="119" spans="1:74" x14ac:dyDescent="0.25">
      <c r="A119" s="226" t="s">
        <v>1</v>
      </c>
      <c r="B119" s="222" t="s">
        <v>13</v>
      </c>
      <c r="C119" s="54" t="s">
        <v>27</v>
      </c>
      <c r="D119" s="72" t="s">
        <v>44</v>
      </c>
      <c r="E119" s="73" t="s">
        <v>43</v>
      </c>
      <c r="F119" s="251" t="s">
        <v>42</v>
      </c>
      <c r="G119" s="362">
        <f t="shared" ref="G119:G127" si="82">IF(D119=$A$131,$B$131,(IF(D119=$A$132,$B$132,IF(D119=$A$133,$B$133,$B$134))))</f>
        <v>0.33</v>
      </c>
      <c r="H119" s="301">
        <f t="shared" si="80"/>
        <v>0.66</v>
      </c>
      <c r="I119" s="301">
        <f t="shared" si="80"/>
        <v>1</v>
      </c>
      <c r="J119" s="104">
        <f t="shared" ref="J119:J127" si="83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2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2">
        <v>0.86</v>
      </c>
      <c r="AA119" s="111">
        <v>0.77</v>
      </c>
      <c r="AB119" s="97">
        <v>1</v>
      </c>
      <c r="AC119" s="97">
        <v>1</v>
      </c>
      <c r="AD119" s="142">
        <v>1</v>
      </c>
      <c r="AE119" s="111">
        <v>0.8</v>
      </c>
      <c r="AF119" s="97">
        <v>1</v>
      </c>
      <c r="AG119" s="97">
        <v>1</v>
      </c>
      <c r="AH119" s="142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2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2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2">
        <v>8.5</v>
      </c>
      <c r="BG119" s="111">
        <f t="shared" ref="BG119:BG127" si="84">AI119+AQ119+AY119</f>
        <v>6.7500000000000009</v>
      </c>
      <c r="BH119" s="97">
        <f t="shared" si="81"/>
        <v>12.725</v>
      </c>
      <c r="BI119" s="97">
        <f t="shared" si="81"/>
        <v>17.685000000000002</v>
      </c>
      <c r="BJ119" s="97">
        <f t="shared" si="81"/>
        <v>20.024999999999999</v>
      </c>
      <c r="BK119" s="111">
        <f t="shared" si="81"/>
        <v>8.0549999999999997</v>
      </c>
      <c r="BL119" s="97">
        <f t="shared" si="81"/>
        <v>12.725</v>
      </c>
      <c r="BM119" s="97">
        <f t="shared" si="81"/>
        <v>17.685000000000002</v>
      </c>
      <c r="BN119" s="97">
        <f t="shared" si="81"/>
        <v>19.37</v>
      </c>
      <c r="BO119" s="111">
        <f t="shared" ref="BO119:BR127" si="85">(1-$BO$115)*BG119+$BO$115*BK119</f>
        <v>7.5329999999999995</v>
      </c>
      <c r="BP119" s="97">
        <f t="shared" si="85"/>
        <v>12.725</v>
      </c>
      <c r="BQ119" s="97">
        <f t="shared" si="85"/>
        <v>17.685000000000002</v>
      </c>
      <c r="BR119" s="97">
        <f t="shared" si="85"/>
        <v>19.631999999999998</v>
      </c>
      <c r="BS119" s="111">
        <f t="shared" ref="BS119:BS127" si="86">$BS$115*BP119+(1-$BS$115)*BO119</f>
        <v>11.686599999999999</v>
      </c>
      <c r="BT119" s="142">
        <f t="shared" ref="BT119:BT127" si="87">$BS$115*BQ119+(1-$BS$115)*BR119</f>
        <v>18.074400000000001</v>
      </c>
      <c r="BU119" s="142">
        <f t="shared" ref="BU119:BU127" si="88">(BS119+BT119)/2</f>
        <v>14.8805</v>
      </c>
      <c r="BV119" s="142">
        <f>BU119</f>
        <v>14.8805</v>
      </c>
    </row>
    <row r="120" spans="1:74" x14ac:dyDescent="0.25">
      <c r="A120" s="226" t="s">
        <v>2</v>
      </c>
      <c r="B120" s="222" t="s">
        <v>14</v>
      </c>
      <c r="C120" s="54" t="s">
        <v>28</v>
      </c>
      <c r="D120" s="72" t="s">
        <v>42</v>
      </c>
      <c r="E120" s="73" t="s">
        <v>45</v>
      </c>
      <c r="F120" s="251" t="s">
        <v>45</v>
      </c>
      <c r="G120" s="362">
        <f t="shared" si="82"/>
        <v>1</v>
      </c>
      <c r="H120" s="301">
        <f t="shared" si="80"/>
        <v>0</v>
      </c>
      <c r="I120" s="301">
        <f t="shared" si="80"/>
        <v>0</v>
      </c>
      <c r="J120" s="104">
        <f t="shared" si="83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2">
        <v>0.15</v>
      </c>
      <c r="AA120" s="111">
        <v>0</v>
      </c>
      <c r="AB120" s="97">
        <v>0</v>
      </c>
      <c r="AC120" s="97">
        <v>0</v>
      </c>
      <c r="AD120" s="142">
        <v>0.22</v>
      </c>
      <c r="AE120" s="111">
        <v>0</v>
      </c>
      <c r="AF120" s="97">
        <v>0</v>
      </c>
      <c r="AG120" s="97">
        <v>0</v>
      </c>
      <c r="AH120" s="142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2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2">
        <v>1.2749999999999999</v>
      </c>
      <c r="BG120" s="111">
        <f t="shared" si="84"/>
        <v>2.3499999999999996</v>
      </c>
      <c r="BH120" s="97">
        <f t="shared" si="81"/>
        <v>5</v>
      </c>
      <c r="BI120" s="97">
        <f t="shared" si="81"/>
        <v>6</v>
      </c>
      <c r="BJ120" s="97">
        <f t="shared" si="81"/>
        <v>11.240000000000002</v>
      </c>
      <c r="BK120" s="111">
        <f t="shared" si="81"/>
        <v>3</v>
      </c>
      <c r="BL120" s="97">
        <f t="shared" si="81"/>
        <v>5</v>
      </c>
      <c r="BM120" s="97">
        <f t="shared" si="81"/>
        <v>6</v>
      </c>
      <c r="BN120" s="97">
        <f t="shared" si="81"/>
        <v>9.5500000000000007</v>
      </c>
      <c r="BO120" s="111">
        <f t="shared" si="85"/>
        <v>2.7399999999999998</v>
      </c>
      <c r="BP120" s="97">
        <f t="shared" si="85"/>
        <v>5</v>
      </c>
      <c r="BQ120" s="97">
        <f t="shared" si="85"/>
        <v>6</v>
      </c>
      <c r="BR120" s="97">
        <f t="shared" si="85"/>
        <v>10.226000000000003</v>
      </c>
      <c r="BS120" s="111">
        <f t="shared" si="86"/>
        <v>4.548</v>
      </c>
      <c r="BT120" s="142">
        <f t="shared" si="87"/>
        <v>6.8452000000000002</v>
      </c>
      <c r="BU120" s="142">
        <f t="shared" si="88"/>
        <v>5.6966000000000001</v>
      </c>
      <c r="BV120" s="142">
        <f>BU120</f>
        <v>5.6966000000000001</v>
      </c>
    </row>
    <row r="121" spans="1:74" x14ac:dyDescent="0.25">
      <c r="A121" s="226" t="s">
        <v>5</v>
      </c>
      <c r="B121" s="222" t="s">
        <v>15</v>
      </c>
      <c r="C121" s="54" t="s">
        <v>16</v>
      </c>
      <c r="D121" s="72" t="s">
        <v>42</v>
      </c>
      <c r="E121" s="73" t="s">
        <v>43</v>
      </c>
      <c r="F121" s="251" t="s">
        <v>42</v>
      </c>
      <c r="G121" s="362">
        <f t="shared" si="82"/>
        <v>1</v>
      </c>
      <c r="H121" s="301">
        <f t="shared" si="80"/>
        <v>0.66</v>
      </c>
      <c r="I121" s="301">
        <f t="shared" si="80"/>
        <v>1</v>
      </c>
      <c r="J121" s="104">
        <f t="shared" si="83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2">
        <v>0.86</v>
      </c>
      <c r="AA121" s="111">
        <v>0.77</v>
      </c>
      <c r="AB121" s="97">
        <v>1</v>
      </c>
      <c r="AC121" s="97">
        <v>1</v>
      </c>
      <c r="AD121" s="142">
        <v>1</v>
      </c>
      <c r="AE121" s="111">
        <v>0.8</v>
      </c>
      <c r="AF121" s="97">
        <v>1</v>
      </c>
      <c r="AG121" s="97">
        <v>1</v>
      </c>
      <c r="AH121" s="142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2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2">
        <v>8.5</v>
      </c>
      <c r="BG121" s="111">
        <f t="shared" si="84"/>
        <v>9.1000000000000014</v>
      </c>
      <c r="BH121" s="97">
        <f t="shared" si="81"/>
        <v>16.625</v>
      </c>
      <c r="BI121" s="97">
        <f t="shared" si="81"/>
        <v>21.045000000000002</v>
      </c>
      <c r="BJ121" s="97">
        <f t="shared" si="81"/>
        <v>23.564999999999998</v>
      </c>
      <c r="BK121" s="111">
        <f t="shared" si="81"/>
        <v>10.975000000000001</v>
      </c>
      <c r="BL121" s="97">
        <f t="shared" si="81"/>
        <v>16.625</v>
      </c>
      <c r="BM121" s="97">
        <f t="shared" si="81"/>
        <v>21.045000000000002</v>
      </c>
      <c r="BN121" s="97">
        <f t="shared" si="81"/>
        <v>22.810000000000002</v>
      </c>
      <c r="BO121" s="111">
        <f t="shared" si="85"/>
        <v>10.225000000000001</v>
      </c>
      <c r="BP121" s="97">
        <f t="shared" si="85"/>
        <v>16.625</v>
      </c>
      <c r="BQ121" s="97">
        <f t="shared" si="85"/>
        <v>21.045000000000002</v>
      </c>
      <c r="BR121" s="97">
        <f t="shared" si="85"/>
        <v>23.112000000000002</v>
      </c>
      <c r="BS121" s="111">
        <f t="shared" si="86"/>
        <v>15.345000000000001</v>
      </c>
      <c r="BT121" s="142">
        <f t="shared" si="87"/>
        <v>21.458400000000001</v>
      </c>
      <c r="BU121" s="142">
        <f t="shared" si="88"/>
        <v>18.401700000000002</v>
      </c>
      <c r="BV121" s="142">
        <f>BU118</f>
        <v>20.835999999999999</v>
      </c>
    </row>
    <row r="122" spans="1:74" ht="30" x14ac:dyDescent="0.25">
      <c r="A122" s="226" t="s">
        <v>6</v>
      </c>
      <c r="B122" s="222" t="s">
        <v>17</v>
      </c>
      <c r="C122" s="54" t="s">
        <v>29</v>
      </c>
      <c r="D122" s="72" t="s">
        <v>42</v>
      </c>
      <c r="E122" s="73" t="s">
        <v>44</v>
      </c>
      <c r="F122" s="251" t="s">
        <v>43</v>
      </c>
      <c r="G122" s="362">
        <f t="shared" si="82"/>
        <v>1</v>
      </c>
      <c r="H122" s="301">
        <f t="shared" si="80"/>
        <v>0.33</v>
      </c>
      <c r="I122" s="301">
        <f t="shared" si="80"/>
        <v>0.66</v>
      </c>
      <c r="J122" s="104">
        <f t="shared" si="83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2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0.44000000000000006</v>
      </c>
      <c r="AB122" s="97">
        <v>0.55000000000000004</v>
      </c>
      <c r="AC122" s="97">
        <v>0.77</v>
      </c>
      <c r="AD122" s="142">
        <v>0.89</v>
      </c>
      <c r="AE122" s="111">
        <v>0.47000000000000003</v>
      </c>
      <c r="AF122" s="97">
        <v>0.55000000000000004</v>
      </c>
      <c r="AG122" s="97">
        <v>0.77</v>
      </c>
      <c r="AH122" s="142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2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2">
        <v>7.3100000000000005</v>
      </c>
      <c r="BG122" s="111">
        <f t="shared" si="84"/>
        <v>4.8250000000000002</v>
      </c>
      <c r="BH122" s="97">
        <f t="shared" si="81"/>
        <v>10.775</v>
      </c>
      <c r="BI122" s="97">
        <f t="shared" si="81"/>
        <v>16.285</v>
      </c>
      <c r="BJ122" s="97">
        <f t="shared" si="81"/>
        <v>19.740000000000002</v>
      </c>
      <c r="BK122" s="111">
        <f t="shared" si="81"/>
        <v>6.2050000000000001</v>
      </c>
      <c r="BL122" s="97">
        <f t="shared" si="81"/>
        <v>10.775</v>
      </c>
      <c r="BM122" s="97">
        <f t="shared" si="81"/>
        <v>16.285</v>
      </c>
      <c r="BN122" s="97">
        <f t="shared" si="81"/>
        <v>18.73</v>
      </c>
      <c r="BO122" s="111">
        <f t="shared" si="85"/>
        <v>5.6530000000000005</v>
      </c>
      <c r="BP122" s="97">
        <f t="shared" si="85"/>
        <v>10.775</v>
      </c>
      <c r="BQ122" s="97">
        <f t="shared" si="85"/>
        <v>16.285</v>
      </c>
      <c r="BR122" s="97">
        <f t="shared" si="85"/>
        <v>19.134</v>
      </c>
      <c r="BS122" s="111">
        <f t="shared" si="86"/>
        <v>9.7506000000000004</v>
      </c>
      <c r="BT122" s="142">
        <f t="shared" si="87"/>
        <v>16.854800000000001</v>
      </c>
      <c r="BU122" s="142">
        <f t="shared" si="88"/>
        <v>13.302700000000002</v>
      </c>
      <c r="BV122" s="142">
        <f>BU122</f>
        <v>13.302700000000002</v>
      </c>
    </row>
    <row r="123" spans="1:74" x14ac:dyDescent="0.25">
      <c r="A123" s="226" t="s">
        <v>7</v>
      </c>
      <c r="B123" s="222" t="s">
        <v>18</v>
      </c>
      <c r="C123" s="54" t="s">
        <v>30</v>
      </c>
      <c r="D123" s="72" t="s">
        <v>43</v>
      </c>
      <c r="E123" s="73" t="s">
        <v>44</v>
      </c>
      <c r="F123" s="251" t="s">
        <v>44</v>
      </c>
      <c r="G123" s="362">
        <f t="shared" si="82"/>
        <v>0.66</v>
      </c>
      <c r="H123" s="301">
        <f t="shared" si="80"/>
        <v>0.33</v>
      </c>
      <c r="I123" s="301">
        <f t="shared" si="80"/>
        <v>0.33</v>
      </c>
      <c r="J123" s="104">
        <f t="shared" si="83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2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2">
        <v>0.52</v>
      </c>
      <c r="AA123" s="111">
        <v>0</v>
      </c>
      <c r="AB123" s="97">
        <v>0.22000000000000003</v>
      </c>
      <c r="AC123" s="97">
        <v>0.44</v>
      </c>
      <c r="AD123" s="142">
        <v>0.55000000000000004</v>
      </c>
      <c r="AE123" s="111">
        <v>0.06</v>
      </c>
      <c r="AF123" s="97">
        <v>0.22000000000000003</v>
      </c>
      <c r="AG123" s="97">
        <v>0.44</v>
      </c>
      <c r="AH123" s="142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2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2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2">
        <v>4.42</v>
      </c>
      <c r="BG123" s="111">
        <f t="shared" si="84"/>
        <v>1.375</v>
      </c>
      <c r="BH123" s="97">
        <f t="shared" si="81"/>
        <v>6.0500000000000007</v>
      </c>
      <c r="BI123" s="97">
        <f t="shared" si="81"/>
        <v>12.1</v>
      </c>
      <c r="BJ123" s="97">
        <f t="shared" si="81"/>
        <v>15.845000000000002</v>
      </c>
      <c r="BK123" s="111">
        <f t="shared" si="81"/>
        <v>2.2600000000000007</v>
      </c>
      <c r="BL123" s="97">
        <f t="shared" si="81"/>
        <v>6.0500000000000007</v>
      </c>
      <c r="BM123" s="97">
        <f t="shared" si="81"/>
        <v>12.1</v>
      </c>
      <c r="BN123" s="97">
        <f t="shared" si="81"/>
        <v>14.770000000000001</v>
      </c>
      <c r="BO123" s="111">
        <f t="shared" si="85"/>
        <v>1.9060000000000004</v>
      </c>
      <c r="BP123" s="97">
        <f t="shared" si="85"/>
        <v>6.0500000000000007</v>
      </c>
      <c r="BQ123" s="97">
        <f t="shared" si="85"/>
        <v>12.1</v>
      </c>
      <c r="BR123" s="97">
        <f t="shared" si="85"/>
        <v>15.200000000000001</v>
      </c>
      <c r="BS123" s="111">
        <f t="shared" si="86"/>
        <v>5.2212000000000005</v>
      </c>
      <c r="BT123" s="142">
        <f t="shared" si="87"/>
        <v>12.719999999999999</v>
      </c>
      <c r="BU123" s="142">
        <f t="shared" si="88"/>
        <v>8.9705999999999992</v>
      </c>
      <c r="BV123" s="142">
        <f>BU124</f>
        <v>10.832000000000001</v>
      </c>
    </row>
    <row r="124" spans="1:74" ht="30" x14ac:dyDescent="0.25">
      <c r="A124" s="226" t="s">
        <v>8</v>
      </c>
      <c r="B124" s="222" t="s">
        <v>19</v>
      </c>
      <c r="C124" s="54" t="s">
        <v>31</v>
      </c>
      <c r="D124" s="72" t="s">
        <v>42</v>
      </c>
      <c r="E124" s="73" t="s">
        <v>43</v>
      </c>
      <c r="F124" s="251" t="s">
        <v>45</v>
      </c>
      <c r="G124" s="362">
        <f t="shared" si="82"/>
        <v>1</v>
      </c>
      <c r="H124" s="301">
        <f t="shared" si="80"/>
        <v>0.66</v>
      </c>
      <c r="I124" s="301">
        <f t="shared" si="80"/>
        <v>0</v>
      </c>
      <c r="J124" s="104">
        <f t="shared" si="83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</v>
      </c>
      <c r="AB124" s="97">
        <v>0</v>
      </c>
      <c r="AC124" s="97">
        <v>0</v>
      </c>
      <c r="AD124" s="142">
        <v>0.22</v>
      </c>
      <c r="AE124" s="111">
        <v>0</v>
      </c>
      <c r="AF124" s="97">
        <v>0</v>
      </c>
      <c r="AG124" s="97">
        <v>0</v>
      </c>
      <c r="AH124" s="142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2">
        <v>1.2749999999999999</v>
      </c>
      <c r="BG124" s="111">
        <f t="shared" si="84"/>
        <v>4.8250000000000002</v>
      </c>
      <c r="BH124" s="97">
        <f t="shared" si="81"/>
        <v>9.125</v>
      </c>
      <c r="BI124" s="97">
        <f t="shared" si="81"/>
        <v>12.545</v>
      </c>
      <c r="BJ124" s="97">
        <f t="shared" si="81"/>
        <v>16.934999999999999</v>
      </c>
      <c r="BK124" s="111">
        <f t="shared" si="81"/>
        <v>5.9750000000000005</v>
      </c>
      <c r="BL124" s="97">
        <f t="shared" si="81"/>
        <v>9.125</v>
      </c>
      <c r="BM124" s="97">
        <f t="shared" si="81"/>
        <v>12.545</v>
      </c>
      <c r="BN124" s="97">
        <f t="shared" si="81"/>
        <v>15.585000000000001</v>
      </c>
      <c r="BO124" s="111">
        <f t="shared" si="85"/>
        <v>5.5150000000000006</v>
      </c>
      <c r="BP124" s="97">
        <f t="shared" si="85"/>
        <v>9.125</v>
      </c>
      <c r="BQ124" s="97">
        <f t="shared" si="85"/>
        <v>12.545</v>
      </c>
      <c r="BR124" s="97">
        <f t="shared" si="85"/>
        <v>16.125</v>
      </c>
      <c r="BS124" s="111">
        <f t="shared" si="86"/>
        <v>8.4030000000000005</v>
      </c>
      <c r="BT124" s="142">
        <f t="shared" si="87"/>
        <v>13.261000000000001</v>
      </c>
      <c r="BU124" s="142">
        <f t="shared" si="88"/>
        <v>10.832000000000001</v>
      </c>
      <c r="BV124" s="142">
        <f>BU124</f>
        <v>10.832000000000001</v>
      </c>
    </row>
    <row r="125" spans="1:74" ht="30" x14ac:dyDescent="0.25">
      <c r="A125" s="226" t="s">
        <v>9</v>
      </c>
      <c r="B125" s="222" t="s">
        <v>20</v>
      </c>
      <c r="C125" s="54" t="s">
        <v>21</v>
      </c>
      <c r="D125" s="72" t="s">
        <v>42</v>
      </c>
      <c r="E125" s="73" t="s">
        <v>43</v>
      </c>
      <c r="F125" s="251" t="s">
        <v>43</v>
      </c>
      <c r="G125" s="362">
        <f t="shared" si="82"/>
        <v>1</v>
      </c>
      <c r="H125" s="301">
        <f t="shared" si="80"/>
        <v>0.66</v>
      </c>
      <c r="I125" s="301">
        <f t="shared" si="80"/>
        <v>0.66</v>
      </c>
      <c r="J125" s="104">
        <f t="shared" si="83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2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2">
        <v>0.86</v>
      </c>
      <c r="AA125" s="111">
        <v>0.44000000000000006</v>
      </c>
      <c r="AB125" s="97">
        <v>0.55000000000000004</v>
      </c>
      <c r="AC125" s="97">
        <v>0.77</v>
      </c>
      <c r="AD125" s="142">
        <v>0.89</v>
      </c>
      <c r="AE125" s="111">
        <v>0.47000000000000003</v>
      </c>
      <c r="AF125" s="97">
        <v>0.55000000000000004</v>
      </c>
      <c r="AG125" s="97">
        <v>0.77</v>
      </c>
      <c r="AH125" s="142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2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2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2">
        <v>7.3100000000000005</v>
      </c>
      <c r="BG125" s="111">
        <f t="shared" si="84"/>
        <v>7.3000000000000007</v>
      </c>
      <c r="BH125" s="97">
        <f t="shared" si="81"/>
        <v>13.25</v>
      </c>
      <c r="BI125" s="97">
        <f t="shared" si="81"/>
        <v>19.09</v>
      </c>
      <c r="BJ125" s="97">
        <f t="shared" si="81"/>
        <v>22.63</v>
      </c>
      <c r="BK125" s="111">
        <f t="shared" si="81"/>
        <v>8.9500000000000011</v>
      </c>
      <c r="BL125" s="97">
        <f t="shared" si="81"/>
        <v>13.25</v>
      </c>
      <c r="BM125" s="97">
        <f t="shared" si="81"/>
        <v>19.09</v>
      </c>
      <c r="BN125" s="97">
        <f t="shared" si="81"/>
        <v>21.62</v>
      </c>
      <c r="BO125" s="111">
        <f t="shared" si="85"/>
        <v>8.2900000000000009</v>
      </c>
      <c r="BP125" s="97">
        <f t="shared" si="85"/>
        <v>13.25</v>
      </c>
      <c r="BQ125" s="97">
        <f t="shared" si="85"/>
        <v>19.09</v>
      </c>
      <c r="BR125" s="97">
        <f t="shared" si="85"/>
        <v>22.024000000000001</v>
      </c>
      <c r="BS125" s="111">
        <f t="shared" si="86"/>
        <v>12.258000000000001</v>
      </c>
      <c r="BT125" s="142">
        <f t="shared" si="87"/>
        <v>19.6768</v>
      </c>
      <c r="BU125" s="142">
        <f t="shared" si="88"/>
        <v>15.967400000000001</v>
      </c>
      <c r="BV125" s="142">
        <f>BU125</f>
        <v>15.967400000000001</v>
      </c>
    </row>
    <row r="126" spans="1:74" ht="36.75" customHeight="1" x14ac:dyDescent="0.25">
      <c r="A126" s="226" t="s">
        <v>10</v>
      </c>
      <c r="B126" s="222" t="s">
        <v>22</v>
      </c>
      <c r="C126" s="54" t="s">
        <v>32</v>
      </c>
      <c r="D126" s="72" t="s">
        <v>44</v>
      </c>
      <c r="E126" s="73" t="s">
        <v>45</v>
      </c>
      <c r="F126" s="251" t="s">
        <v>45</v>
      </c>
      <c r="G126" s="362">
        <f t="shared" si="82"/>
        <v>0.33</v>
      </c>
      <c r="H126" s="301">
        <f t="shared" si="80"/>
        <v>0</v>
      </c>
      <c r="I126" s="301">
        <f t="shared" si="80"/>
        <v>0</v>
      </c>
      <c r="J126" s="104">
        <f t="shared" si="83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2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2">
        <v>0.15</v>
      </c>
      <c r="AA126" s="111">
        <v>0</v>
      </c>
      <c r="AB126" s="97">
        <v>0</v>
      </c>
      <c r="AC126" s="97">
        <v>0</v>
      </c>
      <c r="AD126" s="142">
        <v>0.22</v>
      </c>
      <c r="AE126" s="111">
        <v>0</v>
      </c>
      <c r="AF126" s="97">
        <v>0</v>
      </c>
      <c r="AG126" s="97">
        <v>0</v>
      </c>
      <c r="AH126" s="142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2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2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2">
        <v>1.2749999999999999</v>
      </c>
      <c r="BG126" s="111">
        <f t="shared" si="84"/>
        <v>0</v>
      </c>
      <c r="BH126" s="97">
        <f t="shared" si="81"/>
        <v>1.1000000000000001</v>
      </c>
      <c r="BI126" s="97">
        <f t="shared" si="81"/>
        <v>2.64</v>
      </c>
      <c r="BJ126" s="97">
        <f t="shared" si="81"/>
        <v>7.7</v>
      </c>
      <c r="BK126" s="111">
        <f t="shared" si="81"/>
        <v>8.0000000000000071E-2</v>
      </c>
      <c r="BL126" s="97">
        <f t="shared" si="81"/>
        <v>1.1000000000000001</v>
      </c>
      <c r="BM126" s="97">
        <f t="shared" si="81"/>
        <v>2.64</v>
      </c>
      <c r="BN126" s="97">
        <f t="shared" si="81"/>
        <v>6.1099999999999994</v>
      </c>
      <c r="BO126" s="111">
        <f t="shared" si="85"/>
        <v>4.8000000000000043E-2</v>
      </c>
      <c r="BP126" s="97">
        <f t="shared" si="85"/>
        <v>1.1000000000000001</v>
      </c>
      <c r="BQ126" s="97">
        <f t="shared" si="85"/>
        <v>2.64</v>
      </c>
      <c r="BR126" s="97">
        <f t="shared" si="85"/>
        <v>6.7459999999999996</v>
      </c>
      <c r="BS126" s="111">
        <f t="shared" si="86"/>
        <v>0.88960000000000017</v>
      </c>
      <c r="BT126" s="142">
        <f t="shared" si="87"/>
        <v>3.4611999999999998</v>
      </c>
      <c r="BU126" s="142">
        <f t="shared" si="88"/>
        <v>2.1753999999999998</v>
      </c>
      <c r="BV126" s="142">
        <f>BU125</f>
        <v>15.967400000000001</v>
      </c>
    </row>
    <row r="127" spans="1:74" ht="30.75" thickBot="1" x14ac:dyDescent="0.3">
      <c r="A127" s="228" t="s">
        <v>11</v>
      </c>
      <c r="B127" s="229" t="s">
        <v>23</v>
      </c>
      <c r="C127" s="249" t="s">
        <v>33</v>
      </c>
      <c r="D127" s="74" t="s">
        <v>43</v>
      </c>
      <c r="E127" s="75" t="s">
        <v>44</v>
      </c>
      <c r="F127" s="252" t="s">
        <v>42</v>
      </c>
      <c r="G127" s="363">
        <f t="shared" si="82"/>
        <v>0.66</v>
      </c>
      <c r="H127" s="303">
        <f t="shared" si="80"/>
        <v>0.33</v>
      </c>
      <c r="I127" s="303">
        <f t="shared" si="80"/>
        <v>1</v>
      </c>
      <c r="J127" s="108">
        <f t="shared" si="83"/>
        <v>14.27</v>
      </c>
      <c r="K127" s="112">
        <v>0.44000000000000006</v>
      </c>
      <c r="L127" s="188">
        <v>0.55000000000000004</v>
      </c>
      <c r="M127" s="188">
        <v>0.77</v>
      </c>
      <c r="N127" s="188">
        <v>0.89</v>
      </c>
      <c r="O127" s="112">
        <v>0.47000000000000003</v>
      </c>
      <c r="P127" s="188">
        <v>0.55000000000000004</v>
      </c>
      <c r="Q127" s="188">
        <v>0.77</v>
      </c>
      <c r="R127" s="113">
        <v>0.86</v>
      </c>
      <c r="S127" s="112">
        <v>0</v>
      </c>
      <c r="T127" s="188">
        <v>0.22000000000000003</v>
      </c>
      <c r="U127" s="188">
        <v>0.44</v>
      </c>
      <c r="V127" s="188">
        <v>0.55000000000000004</v>
      </c>
      <c r="W127" s="112">
        <v>0.06</v>
      </c>
      <c r="X127" s="188">
        <v>0.22000000000000003</v>
      </c>
      <c r="Y127" s="188">
        <v>0.44</v>
      </c>
      <c r="Z127" s="113">
        <v>0.52</v>
      </c>
      <c r="AA127" s="112">
        <v>0.77</v>
      </c>
      <c r="AB127" s="188">
        <v>1</v>
      </c>
      <c r="AC127" s="188">
        <v>1</v>
      </c>
      <c r="AD127" s="113">
        <v>1</v>
      </c>
      <c r="AE127" s="112">
        <v>0.8</v>
      </c>
      <c r="AF127" s="188">
        <v>1</v>
      </c>
      <c r="AG127" s="188">
        <v>1</v>
      </c>
      <c r="AH127" s="113">
        <v>1</v>
      </c>
      <c r="AI127" s="112">
        <v>1.375</v>
      </c>
      <c r="AJ127" s="188">
        <v>2.75</v>
      </c>
      <c r="AK127" s="188">
        <v>4.62</v>
      </c>
      <c r="AL127" s="188">
        <v>6.4950000000000001</v>
      </c>
      <c r="AM127" s="112">
        <v>1.8000000000000007</v>
      </c>
      <c r="AN127" s="188">
        <v>2.75</v>
      </c>
      <c r="AO127" s="188">
        <v>4.62</v>
      </c>
      <c r="AP127" s="113">
        <v>5.9300000000000006</v>
      </c>
      <c r="AQ127" s="112">
        <v>0</v>
      </c>
      <c r="AR127" s="188">
        <v>1.6500000000000001</v>
      </c>
      <c r="AS127" s="188">
        <v>3.74</v>
      </c>
      <c r="AT127" s="188">
        <v>4.6750000000000007</v>
      </c>
      <c r="AU127" s="112">
        <v>0.22999999999999998</v>
      </c>
      <c r="AV127" s="188">
        <v>1.6500000000000001</v>
      </c>
      <c r="AW127" s="188">
        <v>3.74</v>
      </c>
      <c r="AX127" s="113">
        <v>4.42</v>
      </c>
      <c r="AY127" s="112">
        <v>4.2750000000000004</v>
      </c>
      <c r="AZ127" s="188">
        <v>7.5</v>
      </c>
      <c r="BA127" s="188">
        <v>8.5</v>
      </c>
      <c r="BB127" s="188">
        <v>8.5</v>
      </c>
      <c r="BC127" s="112">
        <v>5</v>
      </c>
      <c r="BD127" s="188">
        <v>7.5</v>
      </c>
      <c r="BE127" s="188">
        <v>8.5</v>
      </c>
      <c r="BF127" s="113">
        <v>8.5</v>
      </c>
      <c r="BG127" s="112">
        <f t="shared" si="84"/>
        <v>5.65</v>
      </c>
      <c r="BH127" s="188">
        <f t="shared" si="81"/>
        <v>11.9</v>
      </c>
      <c r="BI127" s="188">
        <f t="shared" si="81"/>
        <v>16.86</v>
      </c>
      <c r="BJ127" s="188">
        <f t="shared" si="81"/>
        <v>19.670000000000002</v>
      </c>
      <c r="BK127" s="112">
        <f t="shared" si="81"/>
        <v>7.0300000000000011</v>
      </c>
      <c r="BL127" s="188">
        <f t="shared" si="81"/>
        <v>11.9</v>
      </c>
      <c r="BM127" s="188">
        <f t="shared" si="81"/>
        <v>16.86</v>
      </c>
      <c r="BN127" s="188">
        <f t="shared" si="81"/>
        <v>18.850000000000001</v>
      </c>
      <c r="BO127" s="112">
        <f t="shared" si="85"/>
        <v>6.4780000000000015</v>
      </c>
      <c r="BP127" s="188">
        <f t="shared" si="85"/>
        <v>11.9</v>
      </c>
      <c r="BQ127" s="188">
        <f t="shared" si="85"/>
        <v>16.86</v>
      </c>
      <c r="BR127" s="188">
        <f t="shared" si="85"/>
        <v>19.178000000000001</v>
      </c>
      <c r="BS127" s="112">
        <f t="shared" si="86"/>
        <v>10.815600000000002</v>
      </c>
      <c r="BT127" s="113">
        <f t="shared" si="87"/>
        <v>17.323599999999999</v>
      </c>
      <c r="BU127" s="113">
        <f t="shared" si="88"/>
        <v>14.069600000000001</v>
      </c>
      <c r="BV127" s="113">
        <f>BU125</f>
        <v>15.967400000000001</v>
      </c>
    </row>
    <row r="128" spans="1:74" x14ac:dyDescent="0.25">
      <c r="BF128" s="138"/>
      <c r="BG128" s="139"/>
      <c r="BH128" s="139"/>
      <c r="BI128" s="139"/>
      <c r="BJ128" s="139"/>
      <c r="BK128" s="139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89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90">G132+0.11</f>
        <v>0.55000000000000004</v>
      </c>
      <c r="I132" s="25">
        <v>0.06</v>
      </c>
      <c r="J132">
        <f t="shared" ref="J132:K134" si="91">F132</f>
        <v>0.22000000000000003</v>
      </c>
      <c r="K132">
        <f t="shared" si="91"/>
        <v>0.44</v>
      </c>
      <c r="L132" s="26">
        <f t="shared" ref="L132" si="92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89"/>
        <v>0.66</v>
      </c>
      <c r="D133" s="16" t="s">
        <v>43</v>
      </c>
      <c r="E133" s="23">
        <f t="shared" ref="E133" si="93">F133-0.11</f>
        <v>0.44000000000000006</v>
      </c>
      <c r="F133" s="44">
        <f>C133-0.11</f>
        <v>0.55000000000000004</v>
      </c>
      <c r="G133">
        <f t="shared" ref="G133" si="94">C133+0.11</f>
        <v>0.77</v>
      </c>
      <c r="H133" s="24">
        <f>G133+0.12</f>
        <v>0.89</v>
      </c>
      <c r="I133" s="25">
        <f t="shared" ref="I133" si="95">J133-0.08</f>
        <v>0.47000000000000003</v>
      </c>
      <c r="J133">
        <f t="shared" si="91"/>
        <v>0.55000000000000004</v>
      </c>
      <c r="K133">
        <f t="shared" si="91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89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91"/>
        <v>1</v>
      </c>
      <c r="K134" s="29">
        <f t="shared" si="91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96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97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98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96"/>
        <v>5</v>
      </c>
      <c r="I139" s="25">
        <f t="shared" ref="I139:I141" si="99">J139-1</f>
        <v>1.5</v>
      </c>
      <c r="J139">
        <f t="shared" ref="J139:K141" si="100">F139</f>
        <v>2.5</v>
      </c>
      <c r="K139">
        <f t="shared" si="100"/>
        <v>3.5</v>
      </c>
      <c r="L139" s="26">
        <f t="shared" si="97"/>
        <v>4.5</v>
      </c>
    </row>
    <row r="140" spans="1:12" x14ac:dyDescent="0.25">
      <c r="A140" s="41" t="s">
        <v>43</v>
      </c>
      <c r="B140" s="2">
        <v>5.5</v>
      </c>
      <c r="C140" s="15">
        <f t="shared" si="98"/>
        <v>5.5</v>
      </c>
      <c r="D140" s="16" t="s">
        <v>43</v>
      </c>
      <c r="E140" s="23">
        <f t="shared" ref="E140:E141" si="101">F140-1.5</f>
        <v>3.5</v>
      </c>
      <c r="F140" s="44">
        <f>C140-0.5</f>
        <v>5</v>
      </c>
      <c r="G140">
        <f>C140+0.5</f>
        <v>6</v>
      </c>
      <c r="H140" s="24">
        <f t="shared" si="96"/>
        <v>7.5</v>
      </c>
      <c r="I140" s="25">
        <f t="shared" si="99"/>
        <v>4</v>
      </c>
      <c r="J140">
        <f t="shared" si="100"/>
        <v>5</v>
      </c>
      <c r="K140">
        <f t="shared" si="100"/>
        <v>6</v>
      </c>
      <c r="L140" s="26">
        <f t="shared" si="97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98"/>
        <v>8</v>
      </c>
      <c r="D141" s="16" t="s">
        <v>42</v>
      </c>
      <c r="E141" s="27">
        <f t="shared" si="101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99"/>
        <v>6.5</v>
      </c>
      <c r="J141" s="29">
        <f t="shared" si="100"/>
        <v>7.5</v>
      </c>
      <c r="K141" s="29">
        <f t="shared" si="100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58" t="s">
        <v>54</v>
      </c>
      <c r="F144" s="459"/>
      <c r="G144" s="459"/>
      <c r="H144" s="459"/>
      <c r="I144" s="459"/>
      <c r="J144" s="459"/>
      <c r="K144" s="459"/>
      <c r="L144" s="460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372" t="s">
        <v>60</v>
      </c>
      <c r="B150" s="373" t="s">
        <v>61</v>
      </c>
      <c r="E150" s="458" t="s">
        <v>62</v>
      </c>
      <c r="F150" s="459"/>
      <c r="G150" s="459"/>
      <c r="H150" s="459"/>
      <c r="I150" s="459"/>
      <c r="J150" s="459"/>
      <c r="K150" s="459"/>
      <c r="L150" s="460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4">
        <f>F131*F$145</f>
        <v>0</v>
      </c>
      <c r="G151" s="234">
        <f>G131*G$145</f>
        <v>0</v>
      </c>
      <c r="H151" s="140">
        <f>G131*H$145+G$145*H131-G131*G$145</f>
        <v>1.32</v>
      </c>
      <c r="I151" s="110">
        <f>I131*J$145+I$145*J131-J131*J$145</f>
        <v>0</v>
      </c>
      <c r="J151" s="234">
        <f>J131*J$145</f>
        <v>0</v>
      </c>
      <c r="K151" s="234">
        <f>K131*K$145</f>
        <v>0</v>
      </c>
      <c r="L151" s="140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02">F132*F$145</f>
        <v>1.1000000000000001</v>
      </c>
      <c r="G152" s="97">
        <f t="shared" si="102"/>
        <v>2.64</v>
      </c>
      <c r="H152" s="142">
        <f t="shared" ref="H152:H154" si="103">G132*H$145+G$145*H132-G132*G$145</f>
        <v>3.9599999999999995</v>
      </c>
      <c r="I152" s="111">
        <f t="shared" ref="I152:I154" si="104">I132*J$145+I$145*J132-J132*J$145</f>
        <v>8.0000000000000071E-2</v>
      </c>
      <c r="J152" s="97">
        <f t="shared" ref="J152:K154" si="105">J132*J$145</f>
        <v>1.1000000000000001</v>
      </c>
      <c r="K152" s="97">
        <f t="shared" si="105"/>
        <v>2.64</v>
      </c>
      <c r="L152" s="142">
        <f t="shared" ref="L152:L154" si="106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07">E133*F$145+E$145*F133-F133*F$145</f>
        <v>1.375</v>
      </c>
      <c r="F153" s="97">
        <f t="shared" si="102"/>
        <v>2.75</v>
      </c>
      <c r="G153" s="97">
        <f t="shared" si="102"/>
        <v>4.62</v>
      </c>
      <c r="H153" s="142">
        <f t="shared" si="103"/>
        <v>6.4950000000000001</v>
      </c>
      <c r="I153" s="111">
        <f t="shared" si="104"/>
        <v>1.8000000000000007</v>
      </c>
      <c r="J153" s="97">
        <f t="shared" si="105"/>
        <v>2.75</v>
      </c>
      <c r="K153" s="97">
        <f t="shared" si="105"/>
        <v>4.62</v>
      </c>
      <c r="L153" s="142">
        <f t="shared" si="106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07"/>
        <v>2.3499999999999996</v>
      </c>
      <c r="F154" s="188">
        <f t="shared" si="102"/>
        <v>5</v>
      </c>
      <c r="G154" s="188">
        <f t="shared" si="102"/>
        <v>6</v>
      </c>
      <c r="H154" s="113">
        <f t="shared" si="103"/>
        <v>7.5</v>
      </c>
      <c r="I154" s="112">
        <f t="shared" si="104"/>
        <v>3</v>
      </c>
      <c r="J154" s="188">
        <f t="shared" si="105"/>
        <v>5</v>
      </c>
      <c r="K154" s="188">
        <f t="shared" si="105"/>
        <v>6</v>
      </c>
      <c r="L154" s="113">
        <f t="shared" si="106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4">
        <f>F131*F$146</f>
        <v>0</v>
      </c>
      <c r="G155" s="234">
        <f>G131*G$146</f>
        <v>0</v>
      </c>
      <c r="H155" s="140">
        <f>G131*H$146+G$146*H131-G131*G$146</f>
        <v>1.87</v>
      </c>
      <c r="I155" s="110">
        <f>I131*J$146+I$146*J131-J131*J$146</f>
        <v>0</v>
      </c>
      <c r="J155" s="234">
        <f>J131*J$146</f>
        <v>0</v>
      </c>
      <c r="K155" s="234">
        <f>K131*K$146</f>
        <v>0</v>
      </c>
      <c r="L155" s="140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08">F132*F$146</f>
        <v>1.6500000000000001</v>
      </c>
      <c r="G156" s="97">
        <f t="shared" si="108"/>
        <v>3.74</v>
      </c>
      <c r="H156" s="142">
        <f t="shared" ref="H156:H158" si="109">G132*H$146+G$146*H132-G132*G$146</f>
        <v>4.6750000000000007</v>
      </c>
      <c r="I156" s="111">
        <f t="shared" ref="I156:I158" si="110">I132*J$146+I$146*J132-J132*J$146</f>
        <v>0.22999999999999998</v>
      </c>
      <c r="J156" s="97">
        <f t="shared" ref="J156:K158" si="111">J132*J$146</f>
        <v>1.6500000000000001</v>
      </c>
      <c r="K156" s="97">
        <f t="shared" si="111"/>
        <v>3.74</v>
      </c>
      <c r="L156" s="142">
        <f t="shared" ref="L156:L158" si="112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13">E133*F$146+E$146*F133-F133*F$146</f>
        <v>2.4750000000000005</v>
      </c>
      <c r="F157" s="97">
        <f t="shared" si="108"/>
        <v>4.125</v>
      </c>
      <c r="G157" s="97">
        <f t="shared" si="108"/>
        <v>6.5449999999999999</v>
      </c>
      <c r="H157" s="142">
        <f t="shared" si="109"/>
        <v>7.5649999999999995</v>
      </c>
      <c r="I157" s="111">
        <f t="shared" si="110"/>
        <v>2.9750000000000005</v>
      </c>
      <c r="J157" s="97">
        <f t="shared" si="111"/>
        <v>4.125</v>
      </c>
      <c r="K157" s="97">
        <f t="shared" si="111"/>
        <v>6.5449999999999999</v>
      </c>
      <c r="L157" s="142">
        <f t="shared" si="112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13"/>
        <v>4.2750000000000004</v>
      </c>
      <c r="F158" s="188">
        <f t="shared" si="108"/>
        <v>7.5</v>
      </c>
      <c r="G158" s="188">
        <f t="shared" si="108"/>
        <v>8.5</v>
      </c>
      <c r="H158" s="113">
        <f t="shared" si="109"/>
        <v>8.5</v>
      </c>
      <c r="I158" s="112">
        <f t="shared" si="110"/>
        <v>5</v>
      </c>
      <c r="J158" s="188">
        <f t="shared" si="111"/>
        <v>7.5</v>
      </c>
      <c r="K158" s="188">
        <f t="shared" si="111"/>
        <v>8.5</v>
      </c>
      <c r="L158" s="113">
        <f t="shared" si="112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4">
        <f>F131*F$147</f>
        <v>0</v>
      </c>
      <c r="G159" s="234">
        <f>G131*G$147</f>
        <v>0</v>
      </c>
      <c r="H159" s="140">
        <f>G131*H$147+G$147*H131-G131*G$147</f>
        <v>1.87</v>
      </c>
      <c r="I159" s="110">
        <f>I131*J$147+I$147*J131-J131*J$147</f>
        <v>0</v>
      </c>
      <c r="J159" s="234">
        <f>J131*J$147</f>
        <v>0</v>
      </c>
      <c r="K159" s="234">
        <f>K131*K$147</f>
        <v>0</v>
      </c>
      <c r="L159" s="140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14">F132*F$147</f>
        <v>1.6500000000000001</v>
      </c>
      <c r="G160" s="97">
        <f t="shared" si="114"/>
        <v>3.74</v>
      </c>
      <c r="H160" s="142">
        <f t="shared" ref="H160:H162" si="115">G132*H$147+G$147*H132-G132*G$147</f>
        <v>4.6750000000000007</v>
      </c>
      <c r="I160" s="111">
        <f t="shared" ref="I160:I162" si="116">I132*J$147+I$147*J132-J132*J$147</f>
        <v>0.22999999999999998</v>
      </c>
      <c r="J160" s="97">
        <f t="shared" ref="J160:K162" si="117">J132*J$147</f>
        <v>1.6500000000000001</v>
      </c>
      <c r="K160" s="97">
        <f t="shared" si="117"/>
        <v>3.74</v>
      </c>
      <c r="L160" s="142">
        <f t="shared" ref="L160:L162" si="118">K132*L$147+K$147*L132-K132*K$147</f>
        <v>4.42</v>
      </c>
    </row>
    <row r="161" spans="1:25" x14ac:dyDescent="0.25">
      <c r="A161" s="57" t="s">
        <v>59</v>
      </c>
      <c r="B161" s="60" t="s">
        <v>43</v>
      </c>
      <c r="D161" s="63" t="s">
        <v>70</v>
      </c>
      <c r="E161" s="111">
        <f t="shared" ref="E161:E162" si="119">E133*F$147+E$147*F133-F133*F$147</f>
        <v>2.4750000000000005</v>
      </c>
      <c r="F161" s="97">
        <f t="shared" si="114"/>
        <v>4.125</v>
      </c>
      <c r="G161" s="97">
        <f t="shared" si="114"/>
        <v>6.5449999999999999</v>
      </c>
      <c r="H161" s="142">
        <f t="shared" si="115"/>
        <v>7.5649999999999995</v>
      </c>
      <c r="I161" s="111">
        <f t="shared" si="116"/>
        <v>2.9750000000000005</v>
      </c>
      <c r="J161" s="97">
        <f t="shared" si="117"/>
        <v>4.125</v>
      </c>
      <c r="K161" s="97">
        <f t="shared" si="117"/>
        <v>6.5449999999999999</v>
      </c>
      <c r="L161" s="142">
        <f t="shared" si="118"/>
        <v>7.3100000000000005</v>
      </c>
    </row>
    <row r="162" spans="1:25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19"/>
        <v>4.2750000000000004</v>
      </c>
      <c r="F162" s="188">
        <f t="shared" si="114"/>
        <v>7.5</v>
      </c>
      <c r="G162" s="188">
        <f t="shared" si="114"/>
        <v>8.5</v>
      </c>
      <c r="H162" s="113">
        <f t="shared" si="115"/>
        <v>8.5</v>
      </c>
      <c r="I162" s="112">
        <f t="shared" si="116"/>
        <v>5</v>
      </c>
      <c r="J162" s="188">
        <f t="shared" si="117"/>
        <v>7.5</v>
      </c>
      <c r="K162" s="188">
        <f t="shared" si="117"/>
        <v>8.5</v>
      </c>
      <c r="L162" s="113">
        <f t="shared" si="118"/>
        <v>8.5</v>
      </c>
    </row>
    <row r="164" spans="1:25" ht="15.75" thickBot="1" x14ac:dyDescent="0.3">
      <c r="A164" s="1" t="s">
        <v>163</v>
      </c>
    </row>
    <row r="165" spans="1:25" ht="15.75" thickBot="1" x14ac:dyDescent="0.3">
      <c r="A165" s="456" t="s">
        <v>234</v>
      </c>
      <c r="B165" s="443" t="s">
        <v>121</v>
      </c>
      <c r="C165" s="441"/>
      <c r="D165" s="441"/>
      <c r="E165" s="441"/>
      <c r="F165" s="441"/>
      <c r="G165" s="441"/>
      <c r="H165" s="441"/>
      <c r="I165" s="442"/>
      <c r="J165" s="443" t="s">
        <v>122</v>
      </c>
      <c r="K165" s="441"/>
      <c r="L165" s="441"/>
      <c r="M165" s="441"/>
      <c r="N165" s="441"/>
      <c r="O165" s="441"/>
      <c r="P165" s="441"/>
      <c r="Q165" s="442"/>
      <c r="R165" s="443" t="s">
        <v>123</v>
      </c>
      <c r="S165" s="441"/>
      <c r="T165" s="441"/>
      <c r="U165" s="441"/>
      <c r="V165" s="441"/>
      <c r="W165" s="441"/>
      <c r="X165" s="441"/>
      <c r="Y165" s="442"/>
    </row>
    <row r="166" spans="1:25" ht="33.75" customHeight="1" thickBot="1" x14ac:dyDescent="0.3">
      <c r="A166" s="467"/>
      <c r="B166" s="438" t="s">
        <v>3</v>
      </c>
      <c r="C166" s="452"/>
      <c r="D166" s="452"/>
      <c r="E166" s="453"/>
      <c r="F166" s="443" t="s">
        <v>4</v>
      </c>
      <c r="G166" s="452"/>
      <c r="H166" s="452"/>
      <c r="I166" s="453"/>
      <c r="J166" s="438" t="s">
        <v>3</v>
      </c>
      <c r="K166" s="452"/>
      <c r="L166" s="452"/>
      <c r="M166" s="453"/>
      <c r="N166" s="443" t="s">
        <v>4</v>
      </c>
      <c r="O166" s="452"/>
      <c r="P166" s="452"/>
      <c r="Q166" s="453"/>
      <c r="R166" s="438" t="s">
        <v>3</v>
      </c>
      <c r="S166" s="452"/>
      <c r="T166" s="452"/>
      <c r="U166" s="453"/>
      <c r="V166" s="443" t="s">
        <v>4</v>
      </c>
      <c r="W166" s="452"/>
      <c r="X166" s="452"/>
      <c r="Y166" s="453"/>
    </row>
    <row r="167" spans="1:25" x14ac:dyDescent="0.25">
      <c r="A167" s="281" t="s">
        <v>24</v>
      </c>
      <c r="B167" s="12">
        <f>BG14</f>
        <v>12.825000000000001</v>
      </c>
      <c r="C167" s="13">
        <f t="shared" ref="C167:I176" si="120">BH14</f>
        <v>22.5</v>
      </c>
      <c r="D167" s="13">
        <f t="shared" si="120"/>
        <v>25.5</v>
      </c>
      <c r="E167" s="14">
        <f t="shared" si="120"/>
        <v>25.5</v>
      </c>
      <c r="F167" s="12">
        <f t="shared" si="120"/>
        <v>15</v>
      </c>
      <c r="G167" s="13">
        <f t="shared" si="120"/>
        <v>22.5</v>
      </c>
      <c r="H167" s="13">
        <f t="shared" si="120"/>
        <v>25.5</v>
      </c>
      <c r="I167" s="14">
        <f t="shared" si="120"/>
        <v>25.5</v>
      </c>
      <c r="J167" s="12">
        <f>BG66</f>
        <v>10.9</v>
      </c>
      <c r="K167" s="13">
        <f t="shared" ref="K167:Q176" si="121">BH66</f>
        <v>20</v>
      </c>
      <c r="L167" s="13">
        <f t="shared" si="121"/>
        <v>23</v>
      </c>
      <c r="M167" s="14">
        <f t="shared" si="121"/>
        <v>24.5</v>
      </c>
      <c r="N167" s="12">
        <f t="shared" si="121"/>
        <v>13</v>
      </c>
      <c r="O167" s="13">
        <f t="shared" si="121"/>
        <v>20</v>
      </c>
      <c r="P167" s="13">
        <f t="shared" si="121"/>
        <v>23</v>
      </c>
      <c r="Q167" s="14">
        <f t="shared" si="121"/>
        <v>24</v>
      </c>
      <c r="R167" s="12">
        <f>BG118</f>
        <v>10.9</v>
      </c>
      <c r="S167" s="13">
        <f t="shared" ref="S167:Y176" si="122">BH118</f>
        <v>20</v>
      </c>
      <c r="T167" s="13">
        <f t="shared" si="122"/>
        <v>23</v>
      </c>
      <c r="U167" s="14">
        <f t="shared" si="122"/>
        <v>24.5</v>
      </c>
      <c r="V167" s="12">
        <f t="shared" si="122"/>
        <v>13</v>
      </c>
      <c r="W167" s="13">
        <f t="shared" si="122"/>
        <v>20</v>
      </c>
      <c r="X167" s="13">
        <f t="shared" si="122"/>
        <v>23</v>
      </c>
      <c r="Y167" s="14">
        <f t="shared" si="122"/>
        <v>24</v>
      </c>
    </row>
    <row r="168" spans="1:25" x14ac:dyDescent="0.25">
      <c r="A168" s="282" t="s">
        <v>13</v>
      </c>
      <c r="B168" s="103">
        <f t="shared" ref="B168:B176" si="123">BG15</f>
        <v>6.7500000000000009</v>
      </c>
      <c r="C168" s="98">
        <f t="shared" si="120"/>
        <v>11.625</v>
      </c>
      <c r="D168" s="98">
        <f t="shared" si="120"/>
        <v>15.045</v>
      </c>
      <c r="E168" s="104">
        <f t="shared" si="120"/>
        <v>17.934999999999999</v>
      </c>
      <c r="F168" s="103">
        <f t="shared" si="120"/>
        <v>7.9750000000000005</v>
      </c>
      <c r="G168" s="98">
        <f t="shared" si="120"/>
        <v>11.625</v>
      </c>
      <c r="H168" s="98">
        <f t="shared" si="120"/>
        <v>15.045</v>
      </c>
      <c r="I168" s="104">
        <f t="shared" si="120"/>
        <v>17.085000000000001</v>
      </c>
      <c r="J168" s="103">
        <f t="shared" ref="J168:J176" si="124">BG67</f>
        <v>6.625</v>
      </c>
      <c r="K168" s="98">
        <f t="shared" si="121"/>
        <v>12.5</v>
      </c>
      <c r="L168" s="98">
        <f t="shared" si="121"/>
        <v>14.5</v>
      </c>
      <c r="M168" s="104">
        <f t="shared" si="121"/>
        <v>17.87</v>
      </c>
      <c r="N168" s="103">
        <f t="shared" si="121"/>
        <v>8</v>
      </c>
      <c r="O168" s="98">
        <f t="shared" si="121"/>
        <v>12.5</v>
      </c>
      <c r="P168" s="98">
        <f t="shared" si="121"/>
        <v>14.5</v>
      </c>
      <c r="Q168" s="104">
        <f t="shared" si="121"/>
        <v>16.774999999999999</v>
      </c>
      <c r="R168" s="103">
        <f t="shared" ref="R168:R176" si="125">BG119</f>
        <v>6.7500000000000009</v>
      </c>
      <c r="S168" s="98">
        <f t="shared" si="122"/>
        <v>12.725</v>
      </c>
      <c r="T168" s="98">
        <f t="shared" si="122"/>
        <v>17.685000000000002</v>
      </c>
      <c r="U168" s="104">
        <f t="shared" si="122"/>
        <v>20.024999999999999</v>
      </c>
      <c r="V168" s="103">
        <f t="shared" si="122"/>
        <v>8.0549999999999997</v>
      </c>
      <c r="W168" s="98">
        <f t="shared" si="122"/>
        <v>12.725</v>
      </c>
      <c r="X168" s="98">
        <f t="shared" si="122"/>
        <v>17.685000000000002</v>
      </c>
      <c r="Y168" s="104">
        <f t="shared" si="122"/>
        <v>19.37</v>
      </c>
    </row>
    <row r="169" spans="1:25" x14ac:dyDescent="0.25">
      <c r="A169" s="282" t="s">
        <v>14</v>
      </c>
      <c r="B169" s="103">
        <f t="shared" si="123"/>
        <v>2.4750000000000005</v>
      </c>
      <c r="C169" s="98">
        <f t="shared" si="120"/>
        <v>4.125</v>
      </c>
      <c r="D169" s="98">
        <f t="shared" si="120"/>
        <v>6.5449999999999999</v>
      </c>
      <c r="E169" s="104">
        <f t="shared" si="120"/>
        <v>11.305</v>
      </c>
      <c r="F169" s="103">
        <f t="shared" si="120"/>
        <v>2.9750000000000005</v>
      </c>
      <c r="G169" s="98">
        <f t="shared" si="120"/>
        <v>4.125</v>
      </c>
      <c r="H169" s="98">
        <f t="shared" si="120"/>
        <v>6.5449999999999999</v>
      </c>
      <c r="I169" s="104">
        <f t="shared" si="120"/>
        <v>9.8600000000000012</v>
      </c>
      <c r="J169" s="103">
        <f t="shared" si="124"/>
        <v>2.4750000000000005</v>
      </c>
      <c r="K169" s="98">
        <f t="shared" si="121"/>
        <v>5.2249999999999996</v>
      </c>
      <c r="L169" s="98">
        <f t="shared" si="121"/>
        <v>9.1850000000000005</v>
      </c>
      <c r="M169" s="104">
        <f t="shared" si="121"/>
        <v>13.395</v>
      </c>
      <c r="N169" s="103">
        <f t="shared" si="121"/>
        <v>3.0550000000000006</v>
      </c>
      <c r="O169" s="98">
        <f t="shared" si="121"/>
        <v>5.2249999999999996</v>
      </c>
      <c r="P169" s="98">
        <f t="shared" si="121"/>
        <v>9.1850000000000005</v>
      </c>
      <c r="Q169" s="104">
        <f t="shared" si="121"/>
        <v>12.145000000000001</v>
      </c>
      <c r="R169" s="103">
        <f t="shared" si="125"/>
        <v>2.3499999999999996</v>
      </c>
      <c r="S169" s="98">
        <f t="shared" si="122"/>
        <v>5</v>
      </c>
      <c r="T169" s="98">
        <f t="shared" si="122"/>
        <v>6</v>
      </c>
      <c r="U169" s="104">
        <f t="shared" si="122"/>
        <v>11.240000000000002</v>
      </c>
      <c r="V169" s="103">
        <f t="shared" si="122"/>
        <v>3</v>
      </c>
      <c r="W169" s="98">
        <f t="shared" si="122"/>
        <v>5</v>
      </c>
      <c r="X169" s="98">
        <f t="shared" si="122"/>
        <v>6</v>
      </c>
      <c r="Y169" s="104">
        <f t="shared" si="122"/>
        <v>9.5500000000000007</v>
      </c>
    </row>
    <row r="170" spans="1:25" x14ac:dyDescent="0.25">
      <c r="A170" s="282" t="s">
        <v>15</v>
      </c>
      <c r="B170" s="103">
        <f t="shared" si="123"/>
        <v>11.025000000000002</v>
      </c>
      <c r="C170" s="98">
        <f t="shared" si="120"/>
        <v>19.125</v>
      </c>
      <c r="D170" s="98">
        <f t="shared" si="120"/>
        <v>23.545000000000002</v>
      </c>
      <c r="E170" s="104">
        <f t="shared" si="120"/>
        <v>24.564999999999998</v>
      </c>
      <c r="F170" s="103">
        <f t="shared" si="120"/>
        <v>12.975000000000001</v>
      </c>
      <c r="G170" s="98">
        <f t="shared" si="120"/>
        <v>19.125</v>
      </c>
      <c r="H170" s="98">
        <f t="shared" si="120"/>
        <v>23.545000000000002</v>
      </c>
      <c r="I170" s="104">
        <f t="shared" si="120"/>
        <v>24.310000000000002</v>
      </c>
      <c r="J170" s="103">
        <f t="shared" si="124"/>
        <v>10.9</v>
      </c>
      <c r="K170" s="98">
        <f t="shared" si="121"/>
        <v>20</v>
      </c>
      <c r="L170" s="98">
        <f t="shared" si="121"/>
        <v>23</v>
      </c>
      <c r="M170" s="104">
        <f t="shared" si="121"/>
        <v>24.5</v>
      </c>
      <c r="N170" s="103">
        <f t="shared" si="121"/>
        <v>13</v>
      </c>
      <c r="O170" s="98">
        <f t="shared" si="121"/>
        <v>20</v>
      </c>
      <c r="P170" s="98">
        <f t="shared" si="121"/>
        <v>23</v>
      </c>
      <c r="Q170" s="104">
        <f t="shared" si="121"/>
        <v>24</v>
      </c>
      <c r="R170" s="103">
        <f t="shared" si="125"/>
        <v>9.1000000000000014</v>
      </c>
      <c r="S170" s="98">
        <f t="shared" si="122"/>
        <v>16.625</v>
      </c>
      <c r="T170" s="98">
        <f t="shared" si="122"/>
        <v>21.045000000000002</v>
      </c>
      <c r="U170" s="104">
        <f t="shared" si="122"/>
        <v>23.564999999999998</v>
      </c>
      <c r="V170" s="103">
        <f t="shared" si="122"/>
        <v>10.975000000000001</v>
      </c>
      <c r="W170" s="98">
        <f t="shared" si="122"/>
        <v>16.625</v>
      </c>
      <c r="X170" s="98">
        <f t="shared" si="122"/>
        <v>21.045000000000002</v>
      </c>
      <c r="Y170" s="104">
        <f t="shared" si="122"/>
        <v>22.810000000000002</v>
      </c>
    </row>
    <row r="171" spans="1:25" x14ac:dyDescent="0.25">
      <c r="A171" s="282" t="s">
        <v>17</v>
      </c>
      <c r="B171" s="103">
        <f t="shared" si="123"/>
        <v>4.9500000000000011</v>
      </c>
      <c r="C171" s="98">
        <f t="shared" si="120"/>
        <v>9.9</v>
      </c>
      <c r="D171" s="98">
        <f t="shared" si="120"/>
        <v>16.829999999999998</v>
      </c>
      <c r="E171" s="104">
        <f t="shared" si="120"/>
        <v>19.805</v>
      </c>
      <c r="F171" s="103">
        <f t="shared" si="120"/>
        <v>6.1800000000000015</v>
      </c>
      <c r="G171" s="98">
        <f t="shared" si="120"/>
        <v>9.9</v>
      </c>
      <c r="H171" s="98">
        <f t="shared" si="120"/>
        <v>16.829999999999998</v>
      </c>
      <c r="I171" s="104">
        <f t="shared" si="120"/>
        <v>19.04</v>
      </c>
      <c r="J171" s="103">
        <f t="shared" si="124"/>
        <v>6.3250000000000011</v>
      </c>
      <c r="K171" s="98">
        <f t="shared" si="121"/>
        <v>11</v>
      </c>
      <c r="L171" s="98">
        <f t="shared" si="121"/>
        <v>17.71</v>
      </c>
      <c r="M171" s="104">
        <f t="shared" si="121"/>
        <v>21.625</v>
      </c>
      <c r="N171" s="103">
        <f t="shared" si="121"/>
        <v>7.7500000000000018</v>
      </c>
      <c r="O171" s="98">
        <f t="shared" si="121"/>
        <v>11</v>
      </c>
      <c r="P171" s="98">
        <f t="shared" si="121"/>
        <v>17.71</v>
      </c>
      <c r="Q171" s="104">
        <f t="shared" si="121"/>
        <v>20.550000000000004</v>
      </c>
      <c r="R171" s="103">
        <f t="shared" si="125"/>
        <v>4.8250000000000002</v>
      </c>
      <c r="S171" s="98">
        <f t="shared" si="122"/>
        <v>10.775</v>
      </c>
      <c r="T171" s="98">
        <f t="shared" si="122"/>
        <v>16.285</v>
      </c>
      <c r="U171" s="104">
        <f t="shared" si="122"/>
        <v>19.740000000000002</v>
      </c>
      <c r="V171" s="103">
        <f t="shared" si="122"/>
        <v>6.2050000000000001</v>
      </c>
      <c r="W171" s="98">
        <f t="shared" si="122"/>
        <v>10.775</v>
      </c>
      <c r="X171" s="98">
        <f t="shared" si="122"/>
        <v>16.285</v>
      </c>
      <c r="Y171" s="104">
        <f t="shared" si="122"/>
        <v>18.73</v>
      </c>
    </row>
    <row r="172" spans="1:25" x14ac:dyDescent="0.25">
      <c r="A172" s="282" t="s">
        <v>18</v>
      </c>
      <c r="B172" s="103">
        <f t="shared" si="123"/>
        <v>0</v>
      </c>
      <c r="C172" s="98">
        <f t="shared" si="120"/>
        <v>4.95</v>
      </c>
      <c r="D172" s="98">
        <f t="shared" si="120"/>
        <v>11.22</v>
      </c>
      <c r="E172" s="104">
        <f t="shared" si="120"/>
        <v>14.025000000000002</v>
      </c>
      <c r="F172" s="103">
        <f t="shared" si="120"/>
        <v>0.69</v>
      </c>
      <c r="G172" s="98">
        <f t="shared" si="120"/>
        <v>4.95</v>
      </c>
      <c r="H172" s="98">
        <f t="shared" si="120"/>
        <v>11.22</v>
      </c>
      <c r="I172" s="104">
        <f t="shared" si="120"/>
        <v>13.26</v>
      </c>
      <c r="J172" s="103">
        <f t="shared" si="124"/>
        <v>1.375</v>
      </c>
      <c r="K172" s="98">
        <f t="shared" si="121"/>
        <v>6.0500000000000007</v>
      </c>
      <c r="L172" s="98">
        <f t="shared" si="121"/>
        <v>12.1</v>
      </c>
      <c r="M172" s="104">
        <f t="shared" si="121"/>
        <v>15.845000000000002</v>
      </c>
      <c r="N172" s="103">
        <f t="shared" si="121"/>
        <v>2.2600000000000007</v>
      </c>
      <c r="O172" s="98">
        <f t="shared" si="121"/>
        <v>6.0500000000000007</v>
      </c>
      <c r="P172" s="98">
        <f t="shared" si="121"/>
        <v>12.1</v>
      </c>
      <c r="Q172" s="104">
        <f t="shared" si="121"/>
        <v>14.770000000000001</v>
      </c>
      <c r="R172" s="103">
        <f t="shared" si="125"/>
        <v>1.375</v>
      </c>
      <c r="S172" s="98">
        <f t="shared" si="122"/>
        <v>6.0500000000000007</v>
      </c>
      <c r="T172" s="98">
        <f t="shared" si="122"/>
        <v>12.1</v>
      </c>
      <c r="U172" s="104">
        <f t="shared" si="122"/>
        <v>15.845000000000002</v>
      </c>
      <c r="V172" s="103">
        <f t="shared" si="122"/>
        <v>2.2600000000000007</v>
      </c>
      <c r="W172" s="98">
        <f t="shared" si="122"/>
        <v>6.0500000000000007</v>
      </c>
      <c r="X172" s="98">
        <f t="shared" si="122"/>
        <v>12.1</v>
      </c>
      <c r="Y172" s="104">
        <f t="shared" si="122"/>
        <v>14.770000000000001</v>
      </c>
    </row>
    <row r="173" spans="1:25" x14ac:dyDescent="0.25">
      <c r="A173" s="282" t="s">
        <v>19</v>
      </c>
      <c r="B173" s="103">
        <f t="shared" si="123"/>
        <v>4.9500000000000011</v>
      </c>
      <c r="C173" s="98">
        <f t="shared" si="120"/>
        <v>8.25</v>
      </c>
      <c r="D173" s="98">
        <f t="shared" si="120"/>
        <v>13.09</v>
      </c>
      <c r="E173" s="104">
        <f t="shared" si="120"/>
        <v>17</v>
      </c>
      <c r="F173" s="103">
        <f t="shared" si="120"/>
        <v>5.9500000000000011</v>
      </c>
      <c r="G173" s="98">
        <f t="shared" si="120"/>
        <v>8.25</v>
      </c>
      <c r="H173" s="98">
        <f t="shared" si="120"/>
        <v>13.09</v>
      </c>
      <c r="I173" s="104">
        <f t="shared" si="120"/>
        <v>15.895000000000001</v>
      </c>
      <c r="J173" s="103">
        <f t="shared" si="124"/>
        <v>4.8250000000000002</v>
      </c>
      <c r="K173" s="98">
        <f t="shared" si="121"/>
        <v>9.125</v>
      </c>
      <c r="L173" s="98">
        <f t="shared" si="121"/>
        <v>12.545</v>
      </c>
      <c r="M173" s="104">
        <f t="shared" si="121"/>
        <v>16.934999999999999</v>
      </c>
      <c r="N173" s="103">
        <f t="shared" si="121"/>
        <v>5.9750000000000005</v>
      </c>
      <c r="O173" s="98">
        <f t="shared" si="121"/>
        <v>9.125</v>
      </c>
      <c r="P173" s="98">
        <f t="shared" si="121"/>
        <v>12.545</v>
      </c>
      <c r="Q173" s="104">
        <f t="shared" si="121"/>
        <v>15.585000000000001</v>
      </c>
      <c r="R173" s="103">
        <f t="shared" si="125"/>
        <v>4.8250000000000002</v>
      </c>
      <c r="S173" s="98">
        <f t="shared" si="122"/>
        <v>9.125</v>
      </c>
      <c r="T173" s="98">
        <f t="shared" si="122"/>
        <v>12.545</v>
      </c>
      <c r="U173" s="104">
        <f t="shared" si="122"/>
        <v>16.934999999999999</v>
      </c>
      <c r="V173" s="103">
        <f t="shared" si="122"/>
        <v>5.9750000000000005</v>
      </c>
      <c r="W173" s="98">
        <f t="shared" si="122"/>
        <v>9.125</v>
      </c>
      <c r="X173" s="98">
        <f t="shared" si="122"/>
        <v>12.545</v>
      </c>
      <c r="Y173" s="104">
        <f t="shared" si="122"/>
        <v>15.585000000000001</v>
      </c>
    </row>
    <row r="174" spans="1:25" x14ac:dyDescent="0.25">
      <c r="A174" s="282" t="s">
        <v>20</v>
      </c>
      <c r="B174" s="103">
        <f t="shared" si="123"/>
        <v>7.4250000000000016</v>
      </c>
      <c r="C174" s="98">
        <f t="shared" si="120"/>
        <v>12.375</v>
      </c>
      <c r="D174" s="98">
        <f t="shared" si="120"/>
        <v>19.634999999999998</v>
      </c>
      <c r="E174" s="104">
        <f t="shared" si="120"/>
        <v>22.695</v>
      </c>
      <c r="F174" s="103">
        <f t="shared" si="120"/>
        <v>8.9250000000000007</v>
      </c>
      <c r="G174" s="98">
        <f t="shared" si="120"/>
        <v>12.375</v>
      </c>
      <c r="H174" s="98">
        <f t="shared" si="120"/>
        <v>19.634999999999998</v>
      </c>
      <c r="I174" s="104">
        <f t="shared" si="120"/>
        <v>21.93</v>
      </c>
      <c r="J174" s="103">
        <f t="shared" si="124"/>
        <v>7.3000000000000007</v>
      </c>
      <c r="K174" s="98">
        <f t="shared" si="121"/>
        <v>13.25</v>
      </c>
      <c r="L174" s="98">
        <f t="shared" si="121"/>
        <v>19.09</v>
      </c>
      <c r="M174" s="104">
        <f t="shared" si="121"/>
        <v>22.63</v>
      </c>
      <c r="N174" s="103">
        <f t="shared" si="121"/>
        <v>8.9500000000000011</v>
      </c>
      <c r="O174" s="98">
        <f t="shared" si="121"/>
        <v>13.25</v>
      </c>
      <c r="P174" s="98">
        <f t="shared" si="121"/>
        <v>19.09</v>
      </c>
      <c r="Q174" s="104">
        <f t="shared" si="121"/>
        <v>21.62</v>
      </c>
      <c r="R174" s="103">
        <f t="shared" si="125"/>
        <v>7.3000000000000007</v>
      </c>
      <c r="S174" s="98">
        <f t="shared" si="122"/>
        <v>13.25</v>
      </c>
      <c r="T174" s="98">
        <f t="shared" si="122"/>
        <v>19.09</v>
      </c>
      <c r="U174" s="104">
        <f t="shared" si="122"/>
        <v>22.63</v>
      </c>
      <c r="V174" s="103">
        <f t="shared" si="122"/>
        <v>8.9500000000000011</v>
      </c>
      <c r="W174" s="98">
        <f t="shared" si="122"/>
        <v>13.25</v>
      </c>
      <c r="X174" s="98">
        <f t="shared" si="122"/>
        <v>19.09</v>
      </c>
      <c r="Y174" s="104">
        <f t="shared" si="122"/>
        <v>21.62</v>
      </c>
    </row>
    <row r="175" spans="1:25" x14ac:dyDescent="0.25">
      <c r="A175" s="282" t="s">
        <v>22</v>
      </c>
      <c r="B175" s="103">
        <f t="shared" si="123"/>
        <v>0</v>
      </c>
      <c r="C175" s="98">
        <f t="shared" si="120"/>
        <v>0</v>
      </c>
      <c r="D175" s="98">
        <f t="shared" si="120"/>
        <v>0</v>
      </c>
      <c r="E175" s="104">
        <f t="shared" si="120"/>
        <v>5.61</v>
      </c>
      <c r="F175" s="103">
        <f t="shared" si="120"/>
        <v>0</v>
      </c>
      <c r="G175" s="98">
        <f t="shared" si="120"/>
        <v>0</v>
      </c>
      <c r="H175" s="98">
        <f t="shared" si="120"/>
        <v>0</v>
      </c>
      <c r="I175" s="104">
        <f t="shared" si="120"/>
        <v>3.8249999999999997</v>
      </c>
      <c r="J175" s="103">
        <f t="shared" si="124"/>
        <v>0</v>
      </c>
      <c r="K175" s="98">
        <f t="shared" si="121"/>
        <v>1.1000000000000001</v>
      </c>
      <c r="L175" s="98">
        <f t="shared" si="121"/>
        <v>2.64</v>
      </c>
      <c r="M175" s="104">
        <f t="shared" si="121"/>
        <v>7.7</v>
      </c>
      <c r="N175" s="103">
        <f t="shared" si="121"/>
        <v>8.0000000000000071E-2</v>
      </c>
      <c r="O175" s="98">
        <f t="shared" si="121"/>
        <v>1.1000000000000001</v>
      </c>
      <c r="P175" s="98">
        <f t="shared" si="121"/>
        <v>2.64</v>
      </c>
      <c r="Q175" s="104">
        <f t="shared" si="121"/>
        <v>6.1099999999999994</v>
      </c>
      <c r="R175" s="103">
        <f t="shared" si="125"/>
        <v>0</v>
      </c>
      <c r="S175" s="98">
        <f t="shared" si="122"/>
        <v>1.1000000000000001</v>
      </c>
      <c r="T175" s="98">
        <f t="shared" si="122"/>
        <v>2.64</v>
      </c>
      <c r="U175" s="104">
        <f t="shared" si="122"/>
        <v>7.7</v>
      </c>
      <c r="V175" s="103">
        <f t="shared" si="122"/>
        <v>8.0000000000000071E-2</v>
      </c>
      <c r="W175" s="98">
        <f t="shared" si="122"/>
        <v>1.1000000000000001</v>
      </c>
      <c r="X175" s="98">
        <f t="shared" si="122"/>
        <v>2.64</v>
      </c>
      <c r="Y175" s="104">
        <f t="shared" si="122"/>
        <v>6.1099999999999994</v>
      </c>
    </row>
    <row r="176" spans="1:25" ht="15.75" thickBot="1" x14ac:dyDescent="0.3">
      <c r="A176" s="283" t="s">
        <v>23</v>
      </c>
      <c r="B176" s="106">
        <f t="shared" si="123"/>
        <v>4.2750000000000004</v>
      </c>
      <c r="C176" s="107">
        <f t="shared" si="120"/>
        <v>10.8</v>
      </c>
      <c r="D176" s="107">
        <f t="shared" si="120"/>
        <v>15.98</v>
      </c>
      <c r="E176" s="108">
        <f t="shared" si="120"/>
        <v>17.850000000000001</v>
      </c>
      <c r="F176" s="106">
        <f t="shared" si="120"/>
        <v>5.46</v>
      </c>
      <c r="G176" s="107">
        <f t="shared" si="120"/>
        <v>10.8</v>
      </c>
      <c r="H176" s="107">
        <f t="shared" si="120"/>
        <v>15.98</v>
      </c>
      <c r="I176" s="108">
        <f t="shared" si="120"/>
        <v>17.34</v>
      </c>
      <c r="J176" s="106">
        <f t="shared" si="124"/>
        <v>5.65</v>
      </c>
      <c r="K176" s="107">
        <f t="shared" si="121"/>
        <v>11.9</v>
      </c>
      <c r="L176" s="107">
        <f t="shared" si="121"/>
        <v>16.86</v>
      </c>
      <c r="M176" s="108">
        <f t="shared" si="121"/>
        <v>19.670000000000002</v>
      </c>
      <c r="N176" s="106">
        <f t="shared" si="121"/>
        <v>7.0300000000000011</v>
      </c>
      <c r="O176" s="107">
        <f t="shared" si="121"/>
        <v>11.9</v>
      </c>
      <c r="P176" s="107">
        <f t="shared" si="121"/>
        <v>16.86</v>
      </c>
      <c r="Q176" s="108">
        <f t="shared" si="121"/>
        <v>18.850000000000001</v>
      </c>
      <c r="R176" s="106">
        <f t="shared" si="125"/>
        <v>5.65</v>
      </c>
      <c r="S176" s="107">
        <f t="shared" si="122"/>
        <v>11.9</v>
      </c>
      <c r="T176" s="107">
        <f t="shared" si="122"/>
        <v>16.86</v>
      </c>
      <c r="U176" s="108">
        <f t="shared" si="122"/>
        <v>19.670000000000002</v>
      </c>
      <c r="V176" s="106">
        <f t="shared" si="122"/>
        <v>7.0300000000000011</v>
      </c>
      <c r="W176" s="107">
        <f t="shared" si="122"/>
        <v>11.9</v>
      </c>
      <c r="X176" s="107">
        <f t="shared" si="122"/>
        <v>16.86</v>
      </c>
      <c r="Y176" s="108">
        <f t="shared" si="122"/>
        <v>18.850000000000001</v>
      </c>
    </row>
    <row r="178" spans="1:3" ht="15.75" thickBot="1" x14ac:dyDescent="0.3">
      <c r="A178" s="1" t="s">
        <v>129</v>
      </c>
    </row>
    <row r="179" spans="1:3" ht="15" customHeight="1" thickBot="1" x14ac:dyDescent="0.3">
      <c r="A179" s="82" t="s">
        <v>99</v>
      </c>
      <c r="B179" s="78" t="s">
        <v>131</v>
      </c>
      <c r="C179" s="280" t="s">
        <v>132</v>
      </c>
    </row>
    <row r="180" spans="1:3" x14ac:dyDescent="0.25">
      <c r="A180" s="83" t="s">
        <v>100</v>
      </c>
      <c r="B180" s="91">
        <v>0.75</v>
      </c>
      <c r="C180" s="388">
        <f>B180/B$183</f>
        <v>0.3</v>
      </c>
    </row>
    <row r="181" spans="1:3" x14ac:dyDescent="0.25">
      <c r="A181" s="10" t="s">
        <v>101</v>
      </c>
      <c r="B181" s="76">
        <v>0.75</v>
      </c>
      <c r="C181" s="389">
        <f t="shared" ref="C181:C182" si="126">B181/B$183</f>
        <v>0.3</v>
      </c>
    </row>
    <row r="182" spans="1:3" ht="15.75" thickBot="1" x14ac:dyDescent="0.3">
      <c r="A182" s="87" t="s">
        <v>120</v>
      </c>
      <c r="B182" s="77">
        <v>1</v>
      </c>
      <c r="C182" s="390">
        <f t="shared" si="126"/>
        <v>0.4</v>
      </c>
    </row>
    <row r="183" spans="1:3" ht="15.75" thickBot="1" x14ac:dyDescent="0.3">
      <c r="A183" s="11" t="s">
        <v>130</v>
      </c>
      <c r="B183" s="156">
        <f>SUM(B180:B182)</f>
        <v>2.5</v>
      </c>
      <c r="C183" s="391">
        <f>SUM(C180:C182)</f>
        <v>1</v>
      </c>
    </row>
    <row r="185" spans="1:3" ht="15.75" thickBot="1" x14ac:dyDescent="0.3">
      <c r="A185" s="1" t="s">
        <v>328</v>
      </c>
    </row>
    <row r="186" spans="1:3" ht="15.75" thickBot="1" x14ac:dyDescent="0.3">
      <c r="A186" s="278" t="s">
        <v>273</v>
      </c>
      <c r="B186" s="279" t="s">
        <v>278</v>
      </c>
      <c r="C186" s="393" t="s">
        <v>279</v>
      </c>
    </row>
    <row r="187" spans="1:3" ht="30" x14ac:dyDescent="0.25">
      <c r="A187" s="392" t="s">
        <v>151</v>
      </c>
      <c r="B187" s="91">
        <v>0.6</v>
      </c>
      <c r="C187" s="394">
        <f>B187/(B187+B188)</f>
        <v>0.39999999999999997</v>
      </c>
    </row>
    <row r="188" spans="1:3" ht="30" x14ac:dyDescent="0.25">
      <c r="A188" s="414" t="s">
        <v>152</v>
      </c>
      <c r="B188" s="76">
        <v>0.9</v>
      </c>
      <c r="C188" s="415">
        <f>B188/(B187+B188)</f>
        <v>0.6</v>
      </c>
    </row>
    <row r="189" spans="1:3" ht="30" x14ac:dyDescent="0.25">
      <c r="A189" s="414" t="s">
        <v>277</v>
      </c>
      <c r="B189" s="416">
        <f>MAX(B167:Y176)</f>
        <v>25.5</v>
      </c>
      <c r="C189" s="389"/>
    </row>
    <row r="190" spans="1:3" x14ac:dyDescent="0.25">
      <c r="A190" s="276" t="s">
        <v>271</v>
      </c>
      <c r="B190" s="76">
        <v>0.8</v>
      </c>
      <c r="C190" s="389"/>
    </row>
    <row r="191" spans="1:3" ht="15.75" thickBot="1" x14ac:dyDescent="0.3">
      <c r="A191" s="277" t="s">
        <v>269</v>
      </c>
      <c r="B191" s="77">
        <v>0.6</v>
      </c>
      <c r="C191" s="390"/>
    </row>
    <row r="192" spans="1:3" x14ac:dyDescent="0.25">
      <c r="A192" s="1"/>
    </row>
    <row r="193" spans="1:25" ht="15.75" thickBot="1" x14ac:dyDescent="0.3">
      <c r="A193" s="1" t="s">
        <v>306</v>
      </c>
    </row>
    <row r="194" spans="1:25" ht="15.75" thickBot="1" x14ac:dyDescent="0.3">
      <c r="A194" s="456" t="s">
        <v>234</v>
      </c>
      <c r="B194" s="443" t="s">
        <v>121</v>
      </c>
      <c r="C194" s="441"/>
      <c r="D194" s="441"/>
      <c r="E194" s="441"/>
      <c r="F194" s="441"/>
      <c r="G194" s="441"/>
      <c r="H194" s="441"/>
      <c r="I194" s="442"/>
      <c r="J194" s="443" t="s">
        <v>122</v>
      </c>
      <c r="K194" s="441"/>
      <c r="L194" s="441"/>
      <c r="M194" s="441"/>
      <c r="N194" s="441"/>
      <c r="O194" s="441"/>
      <c r="P194" s="441"/>
      <c r="Q194" s="442"/>
      <c r="R194" s="443" t="s">
        <v>123</v>
      </c>
      <c r="S194" s="441"/>
      <c r="T194" s="441"/>
      <c r="U194" s="441"/>
      <c r="V194" s="441"/>
      <c r="W194" s="441"/>
      <c r="X194" s="441"/>
      <c r="Y194" s="442"/>
    </row>
    <row r="195" spans="1:25" ht="33.75" customHeight="1" thickBot="1" x14ac:dyDescent="0.3">
      <c r="A195" s="467"/>
      <c r="B195" s="438" t="s">
        <v>3</v>
      </c>
      <c r="C195" s="452"/>
      <c r="D195" s="452"/>
      <c r="E195" s="453"/>
      <c r="F195" s="443" t="s">
        <v>4</v>
      </c>
      <c r="G195" s="452"/>
      <c r="H195" s="452"/>
      <c r="I195" s="453"/>
      <c r="J195" s="438" t="s">
        <v>3</v>
      </c>
      <c r="K195" s="452"/>
      <c r="L195" s="452"/>
      <c r="M195" s="453"/>
      <c r="N195" s="443" t="s">
        <v>4</v>
      </c>
      <c r="O195" s="452"/>
      <c r="P195" s="452"/>
      <c r="Q195" s="453"/>
      <c r="R195" s="438" t="s">
        <v>3</v>
      </c>
      <c r="S195" s="452"/>
      <c r="T195" s="452"/>
      <c r="U195" s="453"/>
      <c r="V195" s="443" t="s">
        <v>4</v>
      </c>
      <c r="W195" s="452"/>
      <c r="X195" s="452"/>
      <c r="Y195" s="453"/>
    </row>
    <row r="196" spans="1:25" x14ac:dyDescent="0.25">
      <c r="A196" s="281" t="s">
        <v>24</v>
      </c>
      <c r="B196" s="12">
        <f t="shared" ref="B196:Y196" si="127">B167/$B$189</f>
        <v>0.50294117647058822</v>
      </c>
      <c r="C196" s="13">
        <f t="shared" si="127"/>
        <v>0.88235294117647056</v>
      </c>
      <c r="D196" s="13">
        <f t="shared" si="127"/>
        <v>1</v>
      </c>
      <c r="E196" s="14">
        <f t="shared" si="127"/>
        <v>1</v>
      </c>
      <c r="F196" s="12">
        <f t="shared" si="127"/>
        <v>0.58823529411764708</v>
      </c>
      <c r="G196" s="13">
        <f t="shared" si="127"/>
        <v>0.88235294117647056</v>
      </c>
      <c r="H196" s="13">
        <f t="shared" si="127"/>
        <v>1</v>
      </c>
      <c r="I196" s="14">
        <f t="shared" si="127"/>
        <v>1</v>
      </c>
      <c r="J196" s="12">
        <f t="shared" si="127"/>
        <v>0.4274509803921569</v>
      </c>
      <c r="K196" s="13">
        <f t="shared" si="127"/>
        <v>0.78431372549019607</v>
      </c>
      <c r="L196" s="13">
        <f t="shared" si="127"/>
        <v>0.90196078431372551</v>
      </c>
      <c r="M196" s="14">
        <f t="shared" si="127"/>
        <v>0.96078431372549022</v>
      </c>
      <c r="N196" s="12">
        <f t="shared" si="127"/>
        <v>0.50980392156862742</v>
      </c>
      <c r="O196" s="13">
        <f t="shared" si="127"/>
        <v>0.78431372549019607</v>
      </c>
      <c r="P196" s="13">
        <f t="shared" si="127"/>
        <v>0.90196078431372551</v>
      </c>
      <c r="Q196" s="14">
        <f t="shared" si="127"/>
        <v>0.94117647058823528</v>
      </c>
      <c r="R196" s="12">
        <f t="shared" si="127"/>
        <v>0.4274509803921569</v>
      </c>
      <c r="S196" s="13">
        <f t="shared" si="127"/>
        <v>0.78431372549019607</v>
      </c>
      <c r="T196" s="13">
        <f t="shared" si="127"/>
        <v>0.90196078431372551</v>
      </c>
      <c r="U196" s="14">
        <f t="shared" si="127"/>
        <v>0.96078431372549022</v>
      </c>
      <c r="V196" s="12">
        <f t="shared" si="127"/>
        <v>0.50980392156862742</v>
      </c>
      <c r="W196" s="13">
        <f t="shared" si="127"/>
        <v>0.78431372549019607</v>
      </c>
      <c r="X196" s="13">
        <f t="shared" si="127"/>
        <v>0.90196078431372551</v>
      </c>
      <c r="Y196" s="14">
        <f t="shared" si="127"/>
        <v>0.94117647058823528</v>
      </c>
    </row>
    <row r="197" spans="1:25" x14ac:dyDescent="0.25">
      <c r="A197" s="282" t="s">
        <v>13</v>
      </c>
      <c r="B197" s="103">
        <f t="shared" ref="B197:Y197" si="128">B168/$B$189</f>
        <v>0.26470588235294124</v>
      </c>
      <c r="C197" s="98">
        <f t="shared" si="128"/>
        <v>0.45588235294117646</v>
      </c>
      <c r="D197" s="98">
        <f t="shared" si="128"/>
        <v>0.59</v>
      </c>
      <c r="E197" s="104">
        <f t="shared" si="128"/>
        <v>0.70333333333333325</v>
      </c>
      <c r="F197" s="103">
        <f t="shared" si="128"/>
        <v>0.31274509803921569</v>
      </c>
      <c r="G197" s="98">
        <f t="shared" si="128"/>
        <v>0.45588235294117646</v>
      </c>
      <c r="H197" s="98">
        <f t="shared" si="128"/>
        <v>0.59</v>
      </c>
      <c r="I197" s="104">
        <f t="shared" si="128"/>
        <v>0.67</v>
      </c>
      <c r="J197" s="103">
        <f t="shared" si="128"/>
        <v>0.25980392156862747</v>
      </c>
      <c r="K197" s="98">
        <f t="shared" si="128"/>
        <v>0.49019607843137253</v>
      </c>
      <c r="L197" s="98">
        <f t="shared" si="128"/>
        <v>0.56862745098039214</v>
      </c>
      <c r="M197" s="104">
        <f t="shared" si="128"/>
        <v>0.70078431372549022</v>
      </c>
      <c r="N197" s="103">
        <f t="shared" si="128"/>
        <v>0.31372549019607843</v>
      </c>
      <c r="O197" s="98">
        <f t="shared" si="128"/>
        <v>0.49019607843137253</v>
      </c>
      <c r="P197" s="98">
        <f t="shared" si="128"/>
        <v>0.56862745098039214</v>
      </c>
      <c r="Q197" s="104">
        <f t="shared" si="128"/>
        <v>0.65784313725490196</v>
      </c>
      <c r="R197" s="103">
        <f t="shared" si="128"/>
        <v>0.26470588235294124</v>
      </c>
      <c r="S197" s="98">
        <f t="shared" si="128"/>
        <v>0.49901960784313726</v>
      </c>
      <c r="T197" s="98">
        <f t="shared" si="128"/>
        <v>0.69352941176470595</v>
      </c>
      <c r="U197" s="104">
        <f t="shared" si="128"/>
        <v>0.78529411764705881</v>
      </c>
      <c r="V197" s="103">
        <f t="shared" si="128"/>
        <v>0.31588235294117645</v>
      </c>
      <c r="W197" s="98">
        <f t="shared" si="128"/>
        <v>0.49901960784313726</v>
      </c>
      <c r="X197" s="98">
        <f t="shared" si="128"/>
        <v>0.69352941176470595</v>
      </c>
      <c r="Y197" s="104">
        <f t="shared" si="128"/>
        <v>0.75960784313725493</v>
      </c>
    </row>
    <row r="198" spans="1:25" x14ac:dyDescent="0.25">
      <c r="A198" s="282" t="s">
        <v>14</v>
      </c>
      <c r="B198" s="103">
        <f t="shared" ref="B198:Y198" si="129">B169/$B$189</f>
        <v>9.7058823529411781E-2</v>
      </c>
      <c r="C198" s="98">
        <f t="shared" si="129"/>
        <v>0.16176470588235295</v>
      </c>
      <c r="D198" s="98">
        <f t="shared" si="129"/>
        <v>0.25666666666666665</v>
      </c>
      <c r="E198" s="104">
        <f t="shared" si="129"/>
        <v>0.4433333333333333</v>
      </c>
      <c r="F198" s="103">
        <f t="shared" si="129"/>
        <v>0.11666666666666668</v>
      </c>
      <c r="G198" s="98">
        <f t="shared" si="129"/>
        <v>0.16176470588235295</v>
      </c>
      <c r="H198" s="98">
        <f t="shared" si="129"/>
        <v>0.25666666666666665</v>
      </c>
      <c r="I198" s="104">
        <f t="shared" si="129"/>
        <v>0.38666666666666671</v>
      </c>
      <c r="J198" s="103">
        <f t="shared" si="129"/>
        <v>9.7058823529411781E-2</v>
      </c>
      <c r="K198" s="98">
        <f t="shared" si="129"/>
        <v>0.20490196078431372</v>
      </c>
      <c r="L198" s="98">
        <f t="shared" si="129"/>
        <v>0.36019607843137258</v>
      </c>
      <c r="M198" s="104">
        <f t="shared" si="129"/>
        <v>0.5252941176470588</v>
      </c>
      <c r="N198" s="103">
        <f t="shared" si="129"/>
        <v>0.11980392156862747</v>
      </c>
      <c r="O198" s="98">
        <f t="shared" si="129"/>
        <v>0.20490196078431372</v>
      </c>
      <c r="P198" s="98">
        <f t="shared" si="129"/>
        <v>0.36019607843137258</v>
      </c>
      <c r="Q198" s="104">
        <f t="shared" si="129"/>
        <v>0.47627450980392161</v>
      </c>
      <c r="R198" s="103">
        <f t="shared" si="129"/>
        <v>9.2156862745098031E-2</v>
      </c>
      <c r="S198" s="98">
        <f t="shared" si="129"/>
        <v>0.19607843137254902</v>
      </c>
      <c r="T198" s="98">
        <f t="shared" si="129"/>
        <v>0.23529411764705882</v>
      </c>
      <c r="U198" s="104">
        <f t="shared" si="129"/>
        <v>0.44078431372549026</v>
      </c>
      <c r="V198" s="103">
        <f t="shared" si="129"/>
        <v>0.11764705882352941</v>
      </c>
      <c r="W198" s="98">
        <f t="shared" si="129"/>
        <v>0.19607843137254902</v>
      </c>
      <c r="X198" s="98">
        <f t="shared" si="129"/>
        <v>0.23529411764705882</v>
      </c>
      <c r="Y198" s="104">
        <f t="shared" si="129"/>
        <v>0.37450980392156863</v>
      </c>
    </row>
    <row r="199" spans="1:25" x14ac:dyDescent="0.25">
      <c r="A199" s="282" t="s">
        <v>15</v>
      </c>
      <c r="B199" s="103">
        <f t="shared" ref="B199:Y199" si="130">B170/$B$189</f>
        <v>0.43235294117647066</v>
      </c>
      <c r="C199" s="98">
        <f t="shared" si="130"/>
        <v>0.75</v>
      </c>
      <c r="D199" s="98">
        <f t="shared" si="130"/>
        <v>0.92333333333333345</v>
      </c>
      <c r="E199" s="104">
        <f t="shared" si="130"/>
        <v>0.96333333333333326</v>
      </c>
      <c r="F199" s="103">
        <f t="shared" si="130"/>
        <v>0.50882352941176479</v>
      </c>
      <c r="G199" s="98">
        <f t="shared" si="130"/>
        <v>0.75</v>
      </c>
      <c r="H199" s="98">
        <f t="shared" si="130"/>
        <v>0.92333333333333345</v>
      </c>
      <c r="I199" s="104">
        <f t="shared" si="130"/>
        <v>0.95333333333333348</v>
      </c>
      <c r="J199" s="103">
        <f t="shared" si="130"/>
        <v>0.4274509803921569</v>
      </c>
      <c r="K199" s="98">
        <f t="shared" si="130"/>
        <v>0.78431372549019607</v>
      </c>
      <c r="L199" s="98">
        <f t="shared" si="130"/>
        <v>0.90196078431372551</v>
      </c>
      <c r="M199" s="104">
        <f t="shared" si="130"/>
        <v>0.96078431372549022</v>
      </c>
      <c r="N199" s="103">
        <f t="shared" si="130"/>
        <v>0.50980392156862742</v>
      </c>
      <c r="O199" s="98">
        <f t="shared" si="130"/>
        <v>0.78431372549019607</v>
      </c>
      <c r="P199" s="98">
        <f t="shared" si="130"/>
        <v>0.90196078431372551</v>
      </c>
      <c r="Q199" s="104">
        <f t="shared" si="130"/>
        <v>0.94117647058823528</v>
      </c>
      <c r="R199" s="103">
        <f t="shared" si="130"/>
        <v>0.35686274509803928</v>
      </c>
      <c r="S199" s="98">
        <f t="shared" si="130"/>
        <v>0.65196078431372551</v>
      </c>
      <c r="T199" s="98">
        <f t="shared" si="130"/>
        <v>0.82529411764705884</v>
      </c>
      <c r="U199" s="104">
        <f t="shared" si="130"/>
        <v>0.92411764705882349</v>
      </c>
      <c r="V199" s="103">
        <f t="shared" si="130"/>
        <v>0.43039215686274518</v>
      </c>
      <c r="W199" s="98">
        <f t="shared" si="130"/>
        <v>0.65196078431372551</v>
      </c>
      <c r="X199" s="98">
        <f t="shared" si="130"/>
        <v>0.82529411764705884</v>
      </c>
      <c r="Y199" s="104">
        <f t="shared" si="130"/>
        <v>0.89450980392156876</v>
      </c>
    </row>
    <row r="200" spans="1:25" x14ac:dyDescent="0.25">
      <c r="A200" s="282" t="s">
        <v>17</v>
      </c>
      <c r="B200" s="103">
        <f t="shared" ref="B200:Y200" si="131">B171/$B$189</f>
        <v>0.19411764705882356</v>
      </c>
      <c r="C200" s="98">
        <f t="shared" si="131"/>
        <v>0.38823529411764707</v>
      </c>
      <c r="D200" s="98">
        <f t="shared" si="131"/>
        <v>0.65999999999999992</v>
      </c>
      <c r="E200" s="104">
        <f t="shared" si="131"/>
        <v>0.77666666666666662</v>
      </c>
      <c r="F200" s="103">
        <f t="shared" si="131"/>
        <v>0.24235294117647066</v>
      </c>
      <c r="G200" s="98">
        <f t="shared" si="131"/>
        <v>0.38823529411764707</v>
      </c>
      <c r="H200" s="98">
        <f t="shared" si="131"/>
        <v>0.65999999999999992</v>
      </c>
      <c r="I200" s="104">
        <f t="shared" si="131"/>
        <v>0.74666666666666659</v>
      </c>
      <c r="J200" s="103">
        <f t="shared" si="131"/>
        <v>0.24803921568627454</v>
      </c>
      <c r="K200" s="98">
        <f t="shared" si="131"/>
        <v>0.43137254901960786</v>
      </c>
      <c r="L200" s="98">
        <f t="shared" si="131"/>
        <v>0.69450980392156869</v>
      </c>
      <c r="M200" s="104">
        <f t="shared" si="131"/>
        <v>0.84803921568627449</v>
      </c>
      <c r="N200" s="103">
        <f t="shared" si="131"/>
        <v>0.30392156862745107</v>
      </c>
      <c r="O200" s="98">
        <f t="shared" si="131"/>
        <v>0.43137254901960786</v>
      </c>
      <c r="P200" s="98">
        <f t="shared" si="131"/>
        <v>0.69450980392156869</v>
      </c>
      <c r="Q200" s="104">
        <f t="shared" si="131"/>
        <v>0.80588235294117661</v>
      </c>
      <c r="R200" s="103">
        <f t="shared" si="131"/>
        <v>0.1892156862745098</v>
      </c>
      <c r="S200" s="98">
        <f t="shared" si="131"/>
        <v>0.42254901960784313</v>
      </c>
      <c r="T200" s="98">
        <f t="shared" si="131"/>
        <v>0.6386274509803922</v>
      </c>
      <c r="U200" s="104">
        <f t="shared" si="131"/>
        <v>0.77411764705882358</v>
      </c>
      <c r="V200" s="103">
        <f t="shared" si="131"/>
        <v>0.24333333333333335</v>
      </c>
      <c r="W200" s="98">
        <f t="shared" si="131"/>
        <v>0.42254901960784313</v>
      </c>
      <c r="X200" s="98">
        <f t="shared" si="131"/>
        <v>0.6386274509803922</v>
      </c>
      <c r="Y200" s="104">
        <f t="shared" si="131"/>
        <v>0.73450980392156862</v>
      </c>
    </row>
    <row r="201" spans="1:25" x14ac:dyDescent="0.25">
      <c r="A201" s="282" t="s">
        <v>18</v>
      </c>
      <c r="B201" s="103">
        <f t="shared" ref="B201:Y201" si="132">B172/$B$189</f>
        <v>0</v>
      </c>
      <c r="C201" s="98">
        <f t="shared" si="132"/>
        <v>0.19411764705882353</v>
      </c>
      <c r="D201" s="98">
        <f t="shared" si="132"/>
        <v>0.44</v>
      </c>
      <c r="E201" s="104">
        <f t="shared" si="132"/>
        <v>0.55000000000000004</v>
      </c>
      <c r="F201" s="103">
        <f t="shared" si="132"/>
        <v>2.7058823529411764E-2</v>
      </c>
      <c r="G201" s="98">
        <f t="shared" si="132"/>
        <v>0.19411764705882353</v>
      </c>
      <c r="H201" s="98">
        <f t="shared" si="132"/>
        <v>0.44</v>
      </c>
      <c r="I201" s="104">
        <f t="shared" si="132"/>
        <v>0.52</v>
      </c>
      <c r="J201" s="103">
        <f t="shared" si="132"/>
        <v>5.3921568627450983E-2</v>
      </c>
      <c r="K201" s="98">
        <f t="shared" si="132"/>
        <v>0.23725490196078433</v>
      </c>
      <c r="L201" s="98">
        <f t="shared" si="132"/>
        <v>0.47450980392156861</v>
      </c>
      <c r="M201" s="104">
        <f t="shared" si="132"/>
        <v>0.62137254901960792</v>
      </c>
      <c r="N201" s="103">
        <f t="shared" si="132"/>
        <v>8.8627450980392181E-2</v>
      </c>
      <c r="O201" s="98">
        <f t="shared" si="132"/>
        <v>0.23725490196078433</v>
      </c>
      <c r="P201" s="98">
        <f t="shared" si="132"/>
        <v>0.47450980392156861</v>
      </c>
      <c r="Q201" s="104">
        <f t="shared" si="132"/>
        <v>0.57921568627450981</v>
      </c>
      <c r="R201" s="103">
        <f t="shared" si="132"/>
        <v>5.3921568627450983E-2</v>
      </c>
      <c r="S201" s="98">
        <f t="shared" si="132"/>
        <v>0.23725490196078433</v>
      </c>
      <c r="T201" s="98">
        <f t="shared" si="132"/>
        <v>0.47450980392156861</v>
      </c>
      <c r="U201" s="104">
        <f t="shared" si="132"/>
        <v>0.62137254901960792</v>
      </c>
      <c r="V201" s="103">
        <f t="shared" si="132"/>
        <v>8.8627450980392181E-2</v>
      </c>
      <c r="W201" s="98">
        <f t="shared" si="132"/>
        <v>0.23725490196078433</v>
      </c>
      <c r="X201" s="98">
        <f t="shared" si="132"/>
        <v>0.47450980392156861</v>
      </c>
      <c r="Y201" s="104">
        <f t="shared" si="132"/>
        <v>0.57921568627450981</v>
      </c>
    </row>
    <row r="202" spans="1:25" x14ac:dyDescent="0.25">
      <c r="A202" s="282" t="s">
        <v>19</v>
      </c>
      <c r="B202" s="103">
        <f t="shared" ref="B202:Y202" si="133">B173/$B$189</f>
        <v>0.19411764705882356</v>
      </c>
      <c r="C202" s="98">
        <f t="shared" si="133"/>
        <v>0.3235294117647059</v>
      </c>
      <c r="D202" s="98">
        <f t="shared" si="133"/>
        <v>0.51333333333333331</v>
      </c>
      <c r="E202" s="104">
        <f t="shared" si="133"/>
        <v>0.66666666666666663</v>
      </c>
      <c r="F202" s="103">
        <f t="shared" si="133"/>
        <v>0.23333333333333336</v>
      </c>
      <c r="G202" s="98">
        <f t="shared" si="133"/>
        <v>0.3235294117647059</v>
      </c>
      <c r="H202" s="98">
        <f t="shared" si="133"/>
        <v>0.51333333333333331</v>
      </c>
      <c r="I202" s="104">
        <f t="shared" si="133"/>
        <v>0.62333333333333341</v>
      </c>
      <c r="J202" s="103">
        <f t="shared" si="133"/>
        <v>0.1892156862745098</v>
      </c>
      <c r="K202" s="98">
        <f t="shared" si="133"/>
        <v>0.35784313725490197</v>
      </c>
      <c r="L202" s="98">
        <f t="shared" si="133"/>
        <v>0.49196078431372547</v>
      </c>
      <c r="M202" s="104">
        <f t="shared" si="133"/>
        <v>0.66411764705882348</v>
      </c>
      <c r="N202" s="103">
        <f t="shared" si="133"/>
        <v>0.23431372549019611</v>
      </c>
      <c r="O202" s="98">
        <f t="shared" si="133"/>
        <v>0.35784313725490197</v>
      </c>
      <c r="P202" s="98">
        <f t="shared" si="133"/>
        <v>0.49196078431372547</v>
      </c>
      <c r="Q202" s="104">
        <f t="shared" si="133"/>
        <v>0.61117647058823532</v>
      </c>
      <c r="R202" s="103">
        <f t="shared" si="133"/>
        <v>0.1892156862745098</v>
      </c>
      <c r="S202" s="98">
        <f t="shared" si="133"/>
        <v>0.35784313725490197</v>
      </c>
      <c r="T202" s="98">
        <f t="shared" si="133"/>
        <v>0.49196078431372547</v>
      </c>
      <c r="U202" s="104">
        <f t="shared" si="133"/>
        <v>0.66411764705882348</v>
      </c>
      <c r="V202" s="103">
        <f t="shared" si="133"/>
        <v>0.23431372549019611</v>
      </c>
      <c r="W202" s="98">
        <f t="shared" si="133"/>
        <v>0.35784313725490197</v>
      </c>
      <c r="X202" s="98">
        <f t="shared" si="133"/>
        <v>0.49196078431372547</v>
      </c>
      <c r="Y202" s="104">
        <f t="shared" si="133"/>
        <v>0.61117647058823532</v>
      </c>
    </row>
    <row r="203" spans="1:25" x14ac:dyDescent="0.25">
      <c r="A203" s="282" t="s">
        <v>20</v>
      </c>
      <c r="B203" s="103">
        <f t="shared" ref="B203:Y203" si="134">B174/$B$189</f>
        <v>0.29117647058823537</v>
      </c>
      <c r="C203" s="98">
        <f t="shared" si="134"/>
        <v>0.48529411764705882</v>
      </c>
      <c r="D203" s="98">
        <f t="shared" si="134"/>
        <v>0.76999999999999991</v>
      </c>
      <c r="E203" s="104">
        <f t="shared" si="134"/>
        <v>0.89</v>
      </c>
      <c r="F203" s="103">
        <f t="shared" si="134"/>
        <v>0.35000000000000003</v>
      </c>
      <c r="G203" s="98">
        <f t="shared" si="134"/>
        <v>0.48529411764705882</v>
      </c>
      <c r="H203" s="98">
        <f t="shared" si="134"/>
        <v>0.76999999999999991</v>
      </c>
      <c r="I203" s="104">
        <f t="shared" si="134"/>
        <v>0.86</v>
      </c>
      <c r="J203" s="103">
        <f t="shared" si="134"/>
        <v>0.28627450980392161</v>
      </c>
      <c r="K203" s="98">
        <f t="shared" si="134"/>
        <v>0.51960784313725494</v>
      </c>
      <c r="L203" s="98">
        <f t="shared" si="134"/>
        <v>0.74862745098039218</v>
      </c>
      <c r="M203" s="104">
        <f t="shared" si="134"/>
        <v>0.88745098039215686</v>
      </c>
      <c r="N203" s="103">
        <f t="shared" si="134"/>
        <v>0.35098039215686277</v>
      </c>
      <c r="O203" s="98">
        <f t="shared" si="134"/>
        <v>0.51960784313725494</v>
      </c>
      <c r="P203" s="98">
        <f t="shared" si="134"/>
        <v>0.74862745098039218</v>
      </c>
      <c r="Q203" s="104">
        <f t="shared" si="134"/>
        <v>0.84784313725490201</v>
      </c>
      <c r="R203" s="103">
        <f t="shared" si="134"/>
        <v>0.28627450980392161</v>
      </c>
      <c r="S203" s="98">
        <f t="shared" si="134"/>
        <v>0.51960784313725494</v>
      </c>
      <c r="T203" s="98">
        <f t="shared" si="134"/>
        <v>0.74862745098039218</v>
      </c>
      <c r="U203" s="104">
        <f t="shared" si="134"/>
        <v>0.88745098039215686</v>
      </c>
      <c r="V203" s="103">
        <f t="shared" si="134"/>
        <v>0.35098039215686277</v>
      </c>
      <c r="W203" s="98">
        <f t="shared" si="134"/>
        <v>0.51960784313725494</v>
      </c>
      <c r="X203" s="98">
        <f t="shared" si="134"/>
        <v>0.74862745098039218</v>
      </c>
      <c r="Y203" s="104">
        <f t="shared" si="134"/>
        <v>0.84784313725490201</v>
      </c>
    </row>
    <row r="204" spans="1:25" x14ac:dyDescent="0.25">
      <c r="A204" s="282" t="s">
        <v>22</v>
      </c>
      <c r="B204" s="103">
        <f t="shared" ref="B204:Y204" si="135">B175/$B$189</f>
        <v>0</v>
      </c>
      <c r="C204" s="98">
        <f t="shared" si="135"/>
        <v>0</v>
      </c>
      <c r="D204" s="98">
        <f t="shared" si="135"/>
        <v>0</v>
      </c>
      <c r="E204" s="104">
        <f t="shared" si="135"/>
        <v>0.22</v>
      </c>
      <c r="F204" s="103">
        <f t="shared" si="135"/>
        <v>0</v>
      </c>
      <c r="G204" s="98">
        <f t="shared" si="135"/>
        <v>0</v>
      </c>
      <c r="H204" s="98">
        <f t="shared" si="135"/>
        <v>0</v>
      </c>
      <c r="I204" s="104">
        <f t="shared" si="135"/>
        <v>0.15</v>
      </c>
      <c r="J204" s="103">
        <f t="shared" si="135"/>
        <v>0</v>
      </c>
      <c r="K204" s="98">
        <f t="shared" si="135"/>
        <v>4.3137254901960791E-2</v>
      </c>
      <c r="L204" s="98">
        <f t="shared" si="135"/>
        <v>0.10352941176470588</v>
      </c>
      <c r="M204" s="104">
        <f t="shared" si="135"/>
        <v>0.30196078431372547</v>
      </c>
      <c r="N204" s="103">
        <f t="shared" si="135"/>
        <v>3.1372549019607872E-3</v>
      </c>
      <c r="O204" s="98">
        <f t="shared" si="135"/>
        <v>4.3137254901960791E-2</v>
      </c>
      <c r="P204" s="98">
        <f t="shared" si="135"/>
        <v>0.10352941176470588</v>
      </c>
      <c r="Q204" s="104">
        <f t="shared" si="135"/>
        <v>0.23960784313725489</v>
      </c>
      <c r="R204" s="103">
        <f t="shared" si="135"/>
        <v>0</v>
      </c>
      <c r="S204" s="98">
        <f t="shared" si="135"/>
        <v>4.3137254901960791E-2</v>
      </c>
      <c r="T204" s="98">
        <f t="shared" si="135"/>
        <v>0.10352941176470588</v>
      </c>
      <c r="U204" s="104">
        <f t="shared" si="135"/>
        <v>0.30196078431372547</v>
      </c>
      <c r="V204" s="103">
        <f t="shared" si="135"/>
        <v>3.1372549019607872E-3</v>
      </c>
      <c r="W204" s="98">
        <f t="shared" si="135"/>
        <v>4.3137254901960791E-2</v>
      </c>
      <c r="X204" s="98">
        <f t="shared" si="135"/>
        <v>0.10352941176470588</v>
      </c>
      <c r="Y204" s="104">
        <f t="shared" si="135"/>
        <v>0.23960784313725489</v>
      </c>
    </row>
    <row r="205" spans="1:25" ht="15.75" thickBot="1" x14ac:dyDescent="0.3">
      <c r="A205" s="283" t="s">
        <v>23</v>
      </c>
      <c r="B205" s="106">
        <f t="shared" ref="B205:Y205" si="136">B176/$B$189</f>
        <v>0.16764705882352943</v>
      </c>
      <c r="C205" s="107">
        <f t="shared" si="136"/>
        <v>0.42352941176470593</v>
      </c>
      <c r="D205" s="107">
        <f t="shared" si="136"/>
        <v>0.62666666666666671</v>
      </c>
      <c r="E205" s="108">
        <f t="shared" si="136"/>
        <v>0.70000000000000007</v>
      </c>
      <c r="F205" s="106">
        <f t="shared" si="136"/>
        <v>0.21411764705882352</v>
      </c>
      <c r="G205" s="107">
        <f t="shared" si="136"/>
        <v>0.42352941176470593</v>
      </c>
      <c r="H205" s="107">
        <f t="shared" si="136"/>
        <v>0.62666666666666671</v>
      </c>
      <c r="I205" s="108">
        <f t="shared" si="136"/>
        <v>0.68</v>
      </c>
      <c r="J205" s="106">
        <f t="shared" si="136"/>
        <v>0.22156862745098041</v>
      </c>
      <c r="K205" s="107">
        <f t="shared" si="136"/>
        <v>0.46666666666666667</v>
      </c>
      <c r="L205" s="107">
        <f t="shared" si="136"/>
        <v>0.66117647058823525</v>
      </c>
      <c r="M205" s="108">
        <f t="shared" si="136"/>
        <v>0.77137254901960794</v>
      </c>
      <c r="N205" s="106">
        <f t="shared" si="136"/>
        <v>0.27568627450980399</v>
      </c>
      <c r="O205" s="107">
        <f t="shared" si="136"/>
        <v>0.46666666666666667</v>
      </c>
      <c r="P205" s="107">
        <f t="shared" si="136"/>
        <v>0.66117647058823525</v>
      </c>
      <c r="Q205" s="108">
        <f t="shared" si="136"/>
        <v>0.73921568627450984</v>
      </c>
      <c r="R205" s="106">
        <f t="shared" si="136"/>
        <v>0.22156862745098041</v>
      </c>
      <c r="S205" s="107">
        <f t="shared" si="136"/>
        <v>0.46666666666666667</v>
      </c>
      <c r="T205" s="107">
        <f t="shared" si="136"/>
        <v>0.66117647058823525</v>
      </c>
      <c r="U205" s="108">
        <f t="shared" si="136"/>
        <v>0.77137254901960794</v>
      </c>
      <c r="V205" s="106">
        <f t="shared" si="136"/>
        <v>0.27568627450980399</v>
      </c>
      <c r="W205" s="107">
        <f t="shared" si="136"/>
        <v>0.46666666666666667</v>
      </c>
      <c r="X205" s="107">
        <f t="shared" si="136"/>
        <v>0.66117647058823525</v>
      </c>
      <c r="Y205" s="108">
        <f t="shared" si="136"/>
        <v>0.73921568627450984</v>
      </c>
    </row>
    <row r="206" spans="1:25" x14ac:dyDescent="0.25">
      <c r="A206" s="1"/>
    </row>
    <row r="208" spans="1:25" x14ac:dyDescent="0.25">
      <c r="A208" s="461" t="s">
        <v>134</v>
      </c>
      <c r="B208" s="462"/>
      <c r="C208" s="462"/>
      <c r="D208" s="462"/>
      <c r="E208" s="462"/>
      <c r="F208" s="462"/>
      <c r="G208" s="462"/>
      <c r="H208" s="462"/>
      <c r="I208" s="462"/>
    </row>
    <row r="209" spans="1:10" x14ac:dyDescent="0.25">
      <c r="A209" s="463" t="s">
        <v>135</v>
      </c>
      <c r="B209" s="462"/>
      <c r="C209" s="462"/>
      <c r="D209" s="462"/>
      <c r="F209" s="463" t="s">
        <v>136</v>
      </c>
      <c r="G209" s="463"/>
      <c r="H209" s="463"/>
      <c r="I209" s="463"/>
      <c r="J209" s="462"/>
    </row>
    <row r="211" spans="1:10" x14ac:dyDescent="0.25">
      <c r="A211" s="92" t="s">
        <v>24</v>
      </c>
      <c r="B211" s="97">
        <f>1-(ABS(B196-B196)+ABS(C196-C196)+ABS(D196-D196)+ABS(E196-E196))/4</f>
        <v>1</v>
      </c>
      <c r="C211" s="97">
        <f>1-(ABS(B196-J196)+ABS(C196-K196)+ABS(D196-L196)+ABS(E196-M196))/4</f>
        <v>0.9223039215686275</v>
      </c>
      <c r="D211" s="97">
        <f>1-(ABS(B196-R196)+ABS(C196-S196)+ABS(D196-T196)+ABS(E196-U196))/4</f>
        <v>0.9223039215686275</v>
      </c>
      <c r="F211" s="92" t="s">
        <v>24</v>
      </c>
      <c r="G211" s="97">
        <f>1-(ABS(F196-F196)+ABS(G196-G196)+ABS(H196-H196)+ABS(I196-I196))/4</f>
        <v>1</v>
      </c>
      <c r="H211" s="97">
        <f>1-(ABS(F196-N196)+ABS(G196-O196)+ABS(H196-P196)+ABS(I196-Q196))/4</f>
        <v>0.91666666666666663</v>
      </c>
      <c r="I211" s="97">
        <f>1-(ABS(F196-V196)+ABS(G196-W196)+ABS(H196-X196)+ABS(I196-Y196))/4</f>
        <v>0.91666666666666663</v>
      </c>
    </row>
    <row r="212" spans="1:10" x14ac:dyDescent="0.25">
      <c r="B212" s="97">
        <f>1-(ABS(J196-B196)+ABS(K196-C196)+ABS(L196-D196)+ABS(M196-E196))/4</f>
        <v>0.9223039215686275</v>
      </c>
      <c r="C212" s="97">
        <f>1-(ABS(J196-J196)+ABS(K196-K196)+ABS(L196-L196)+ABS(M196-M196))/4</f>
        <v>1</v>
      </c>
      <c r="D212" s="97">
        <f>1-(ABS(J196-R196)+ABS(K196-S196)+ABS(L196-T196)+ABS(M196-U196))/4</f>
        <v>1</v>
      </c>
      <c r="G212" s="97">
        <f>1-(ABS(N196-F196)+ABS(O196-G196)+ABS(P196-H196)+ABS(Q196-I196))/4</f>
        <v>0.91666666666666663</v>
      </c>
      <c r="H212" s="97">
        <f>1-(ABS(N196-N196)+ABS(O196-O196)+ABS(P196-P196)+ABS(Q196-Q196))/4</f>
        <v>1</v>
      </c>
      <c r="I212" s="97">
        <f>1-(ABS(N196-V196)+ABS(O196-W196)+ABS(P196-X196)+ABS(Q196-Y196))/4</f>
        <v>1</v>
      </c>
    </row>
    <row r="213" spans="1:10" x14ac:dyDescent="0.25">
      <c r="B213" s="97">
        <f>1-(ABS(R196-B196)+ABS(S196-C196)+ABS(T196-D196)+ABS(U196-E196))/4</f>
        <v>0.9223039215686275</v>
      </c>
      <c r="C213" s="97">
        <f>1-(ABS(R196-J196)+ABS(S196-K196)+ABS(T196-L196)+ABS(U196-M196))/4</f>
        <v>1</v>
      </c>
      <c r="D213" s="97">
        <f>1-(ABS(R196-R196)+ABS(S196-S196)+ABS(T196-T196)+ABS(U196-U196))/4</f>
        <v>1</v>
      </c>
      <c r="G213" s="97">
        <f>1-(ABS(V196-F196)+ABS(W196-G196)+ABS(X196-H196)+ABS(Y196-I196))/4</f>
        <v>0.91666666666666663</v>
      </c>
      <c r="H213" s="97">
        <f>1-(ABS(V196-N196)+ABS(W196-O196)+ABS(X196-P196)+ABS(Y196-Q196))/4</f>
        <v>1</v>
      </c>
      <c r="I213" s="97">
        <f>1-(ABS(V196-V196)+ABS(W196-W196)+ABS(X196-X196)+ABS(Y196-Y196))/4</f>
        <v>1</v>
      </c>
    </row>
    <row r="214" spans="1:10" x14ac:dyDescent="0.25">
      <c r="B214" s="97"/>
      <c r="C214" s="97"/>
      <c r="D214" s="97"/>
      <c r="G214" s="97"/>
      <c r="H214" s="97"/>
      <c r="I214" s="97"/>
    </row>
    <row r="215" spans="1:10" x14ac:dyDescent="0.25">
      <c r="A215" s="92" t="s">
        <v>13</v>
      </c>
      <c r="B215" s="97">
        <f>1-(ABS(B197-B197)+ABS(C197-C197)+ABS(D197-D197)+ABS(E197-E197))/4</f>
        <v>1</v>
      </c>
      <c r="C215" s="97">
        <f>1-(ABS(B197-J197)+ABS(C197-K197)+ABS(D197-L197)+ABS(E197-M197))/4</f>
        <v>0.98421568627450984</v>
      </c>
      <c r="D215" s="97">
        <f>1-(ABS(B197-R197)+ABS(C197-S197)+ABS(D197-T197)+ABS(E197-U197))/4</f>
        <v>0.94284313725490188</v>
      </c>
      <c r="F215" s="92" t="s">
        <v>13</v>
      </c>
      <c r="G215" s="97">
        <f>1-(ABS(F197-F197)+ABS(G197-G197)+ABS(H197-H197)+ABS(I197-I197))/4</f>
        <v>1</v>
      </c>
      <c r="H215" s="97">
        <f>1-(ABS(F197-N197)+ABS(G197-O197)+ABS(H197-P197)+ABS(I197-Q197))/4</f>
        <v>0.98279411764705882</v>
      </c>
      <c r="I215" s="97">
        <f>1-(ABS(F197-V197)+ABS(G197-W197)+ABS(H197-X197)+ABS(I197-Y197))/4</f>
        <v>0.94014705882352945</v>
      </c>
    </row>
    <row r="216" spans="1:10" x14ac:dyDescent="0.25">
      <c r="B216" s="97">
        <f>1-(ABS(J197-B197)+ABS(K197-C197)+ABS(L197-D197)+ABS(M197-E197))/4</f>
        <v>0.98421568627450984</v>
      </c>
      <c r="C216" s="97">
        <f>1-(ABS(J197-J197)+ABS(K197-K197)+ABS(L197-L197)+ABS(M197-M197))/4</f>
        <v>1</v>
      </c>
      <c r="D216" s="97">
        <f>1-(ABS(J197-R197)+ABS(K197-S197)+ABS(L197-T197)+ABS(M197-U197))/4</f>
        <v>0.9442156862745098</v>
      </c>
      <c r="G216" s="97">
        <f>1-(ABS(N197-F197)+ABS(O197-G197)+ABS(P197-H197)+ABS(Q197-I197))/4</f>
        <v>0.98279411764705882</v>
      </c>
      <c r="H216" s="97">
        <f>1-(ABS(N197-N197)+ABS(O197-O197)+ABS(P197-P197)+ABS(Q197-Q197))/4</f>
        <v>1</v>
      </c>
      <c r="I216" s="97">
        <f>1-(ABS(N197-V197)+ABS(O197-W197)+ABS(P197-X197)+ABS(Q197-Y197))/4</f>
        <v>0.94058823529411761</v>
      </c>
    </row>
    <row r="217" spans="1:10" x14ac:dyDescent="0.25">
      <c r="B217" s="97">
        <f>1-(ABS(R197-B197)+ABS(S197-C197)+ABS(T197-D197)+ABS(U197-E197))/4</f>
        <v>0.94284313725490188</v>
      </c>
      <c r="C217" s="97">
        <f>1-(ABS(R197-J197)+ABS(S197-K197)+ABS(T197-L197)+ABS(U197-M197))/4</f>
        <v>0.9442156862745098</v>
      </c>
      <c r="D217" s="97">
        <f>1-(ABS(R197-R197)+ABS(S197-S197)+ABS(T197-T197)+ABS(U197-U197))/4</f>
        <v>1</v>
      </c>
      <c r="G217" s="97">
        <f>1-(ABS(V197-F197)+ABS(W197-G197)+ABS(X197-H197)+ABS(Y197-I197))/4</f>
        <v>0.94014705882352945</v>
      </c>
      <c r="H217" s="97">
        <f>1-(ABS(V197-N197)+ABS(W197-O197)+ABS(X197-P197)+ABS(Y197-Q197))/4</f>
        <v>0.94058823529411761</v>
      </c>
      <c r="I217" s="97">
        <f>1-(ABS(V197-V197)+ABS(W197-W197)+ABS(X197-X197)+ABS(Y197-Y197))/4</f>
        <v>1</v>
      </c>
    </row>
    <row r="218" spans="1:10" x14ac:dyDescent="0.25">
      <c r="B218" s="97"/>
      <c r="C218" s="97"/>
      <c r="D218" s="97"/>
      <c r="G218" s="97"/>
      <c r="H218" s="97"/>
      <c r="I218" s="97"/>
    </row>
    <row r="219" spans="1:10" x14ac:dyDescent="0.25">
      <c r="A219" s="92" t="s">
        <v>14</v>
      </c>
      <c r="B219" s="97">
        <f>1-(ABS(B198-B198)+ABS(C198-C198)+ABS(D198-D198)+ABS(E198-E198))/4</f>
        <v>1</v>
      </c>
      <c r="C219" s="97">
        <f>1-(ABS(B198-J198)+ABS(C198-K198)+ABS(D198-L198)+ABS(E198-M198))/4</f>
        <v>0.94284313725490199</v>
      </c>
      <c r="D219" s="97">
        <f>1-(ABS(B198-R198)+ABS(C198-S198)+ABS(D198-T198)+ABS(E198-U198))/4</f>
        <v>0.98421568627450984</v>
      </c>
      <c r="F219" s="92" t="s">
        <v>14</v>
      </c>
      <c r="G219" s="97">
        <f>1-(ABS(F198-F198)+ABS(G198-G198)+ABS(H198-H198)+ABS(I198-I198))/4</f>
        <v>1</v>
      </c>
      <c r="H219" s="97">
        <f>1-(ABS(F198-N198)+ABS(G198-O198)+ABS(H198-P198)+ABS(I198-Q198))/4</f>
        <v>0.94014705882352945</v>
      </c>
      <c r="I219" s="97">
        <f>1-(ABS(F198-V198)+ABS(G198-W198)+ABS(H198-X198)+ABS(I198-Y198))/4</f>
        <v>0.98279411764705882</v>
      </c>
    </row>
    <row r="220" spans="1:10" x14ac:dyDescent="0.25">
      <c r="B220" s="97">
        <f>1-(ABS(J198-B198)+ABS(K198-C198)+ABS(L198-D198)+ABS(M198-E198))/4</f>
        <v>0.94284313725490199</v>
      </c>
      <c r="C220" s="97">
        <f>1-(ABS(J198-J198)+ABS(K198-K198)+ABS(L198-L198)+ABS(M198-M198))/4</f>
        <v>1</v>
      </c>
      <c r="D220" s="97">
        <f>1-(ABS(J198-R198)+ABS(K198-S198)+ABS(L198-T198)+ABS(M198-U198))/4</f>
        <v>0.9442156862745098</v>
      </c>
      <c r="G220" s="97">
        <f>1-(ABS(N198-F198)+ABS(O198-G198)+ABS(P198-H198)+ABS(Q198-I198))/4</f>
        <v>0.94014705882352945</v>
      </c>
      <c r="H220" s="97">
        <f>1-(ABS(N198-N198)+ABS(O198-O198)+ABS(P198-P198)+ABS(Q198-Q198))/4</f>
        <v>1</v>
      </c>
      <c r="I220" s="97">
        <f>1-(ABS(N198-V198)+ABS(O198-W198)+ABS(P198-X198)+ABS(Q198-Y198))/4</f>
        <v>0.94058823529411761</v>
      </c>
    </row>
    <row r="221" spans="1:10" x14ac:dyDescent="0.25">
      <c r="B221" s="97">
        <f>1-(ABS(R198-B198)+ABS(S198-C198)+ABS(T198-D198)+ABS(U198-E198))/4</f>
        <v>0.98421568627450984</v>
      </c>
      <c r="C221" s="97">
        <f>1-(ABS(R198-J198)+ABS(S198-K198)+ABS(T198-L198)+ABS(U198-M198))/4</f>
        <v>0.9442156862745098</v>
      </c>
      <c r="D221" s="97">
        <f>1-(ABS(R198-R198)+ABS(S198-S198)+ABS(T198-T198)+ABS(U198-U198))/4</f>
        <v>1</v>
      </c>
      <c r="G221" s="97">
        <f>1-(ABS(V198-F198)+ABS(W198-G198)+ABS(X198-H198)+ABS(Y198-I198))/4</f>
        <v>0.98279411764705882</v>
      </c>
      <c r="H221" s="97">
        <f>1-(ABS(V198-N198)+ABS(W198-O198)+ABS(X198-P198)+ABS(Y198-Q198))/4</f>
        <v>0.94058823529411761</v>
      </c>
      <c r="I221" s="97">
        <f>1-(ABS(V198-V198)+ABS(W198-W198)+ABS(X198-X198)+ABS(Y198-Y198))/4</f>
        <v>1</v>
      </c>
    </row>
    <row r="222" spans="1:10" x14ac:dyDescent="0.25">
      <c r="B222" s="97"/>
      <c r="C222" s="97"/>
      <c r="D222" s="97"/>
      <c r="G222" s="97"/>
      <c r="H222" s="97"/>
      <c r="I222" s="97"/>
    </row>
    <row r="223" spans="1:10" x14ac:dyDescent="0.25">
      <c r="A223" s="92" t="s">
        <v>15</v>
      </c>
      <c r="B223" s="97">
        <f>1-(ABS(B199-B199)+ABS(C199-C199)+ABS(D199-D199)+ABS(E199-E199))/4</f>
        <v>1</v>
      </c>
      <c r="C223" s="97">
        <f>1-(ABS(B199-J199)+ABS(C199-K199)+ABS(D199-L199)+ABS(E199-M199))/4</f>
        <v>0.98421568627450984</v>
      </c>
      <c r="D223" s="97">
        <f>1-(ABS(B199-R199)+ABS(C199-S199)+ABS(D199-T199)+ABS(E199-U199))/4</f>
        <v>0.92230392156862739</v>
      </c>
      <c r="F223" s="92" t="s">
        <v>15</v>
      </c>
      <c r="G223" s="97">
        <f>1-(ABS(F199-F199)+ABS(G199-G199)+ABS(H199-H199)+ABS(I199-I199))/4</f>
        <v>1</v>
      </c>
      <c r="H223" s="97">
        <f>1-(ABS(F199-N199)+ABS(G199-O199)+ABS(H199-P199)+ABS(I199-Q199))/4</f>
        <v>0.98279411764705882</v>
      </c>
      <c r="I223" s="97">
        <f>1-(ABS(F199-V199)+ABS(G199-W199)+ABS(H199-X199)+ABS(I199-Y199))/4</f>
        <v>0.91666666666666663</v>
      </c>
    </row>
    <row r="224" spans="1:10" x14ac:dyDescent="0.25">
      <c r="B224" s="97">
        <f>1-(ABS(J199-B199)+ABS(K199-C199)+ABS(L199-D199)+ABS(M199-E199))/4</f>
        <v>0.98421568627450984</v>
      </c>
      <c r="C224" s="97">
        <f>1-(ABS(J199-J199)+ABS(K199-K199)+ABS(L199-L199)+ABS(M199-M199))/4</f>
        <v>1</v>
      </c>
      <c r="D224" s="97">
        <f>1-(ABS(J199-R199)+ABS(K199-S199)+ABS(L199-T199)+ABS(M199-U199))/4</f>
        <v>0.92093137254901958</v>
      </c>
      <c r="G224" s="97">
        <f>1-(ABS(N199-F199)+ABS(O199-G199)+ABS(P199-H199)+ABS(Q199-I199))/4</f>
        <v>0.98279411764705882</v>
      </c>
      <c r="H224" s="97">
        <f>1-(ABS(N199-N199)+ABS(O199-O199)+ABS(P199-P199)+ABS(Q199-Q199))/4</f>
        <v>1</v>
      </c>
      <c r="I224" s="97">
        <f>1-(ABS(N199-V199)+ABS(O199-W199)+ABS(P199-X199)+ABS(Q199-Y199))/4</f>
        <v>0.91622549019607846</v>
      </c>
    </row>
    <row r="225" spans="1:9" x14ac:dyDescent="0.25">
      <c r="B225" s="97">
        <f>1-(ABS(R199-B199)+ABS(S199-C199)+ABS(T199-D199)+ABS(U199-E199))/4</f>
        <v>0.92230392156862739</v>
      </c>
      <c r="C225" s="97">
        <f>1-(ABS(R199-J199)+ABS(S199-K199)+ABS(T199-L199)+ABS(U199-M199))/4</f>
        <v>0.92093137254901958</v>
      </c>
      <c r="D225" s="97">
        <f>1-(ABS(R199-R199)+ABS(S199-S199)+ABS(T199-T199)+ABS(U199-U199))/4</f>
        <v>1</v>
      </c>
      <c r="G225" s="97">
        <f>1-(ABS(V199-F199)+ABS(W199-G199)+ABS(X199-H199)+ABS(Y199-I199))/4</f>
        <v>0.91666666666666663</v>
      </c>
      <c r="H225" s="97">
        <f>1-(ABS(V199-N199)+ABS(W199-O199)+ABS(X199-P199)+ABS(Y199-Q199))/4</f>
        <v>0.91622549019607846</v>
      </c>
      <c r="I225" s="97">
        <f>1-(ABS(V199-V199)+ABS(W199-W199)+ABS(X199-X199)+ABS(Y199-Y199))/4</f>
        <v>1</v>
      </c>
    </row>
    <row r="226" spans="1:9" x14ac:dyDescent="0.25">
      <c r="B226" s="97"/>
      <c r="C226" s="97"/>
      <c r="D226" s="97"/>
      <c r="G226" s="97"/>
      <c r="H226" s="97"/>
      <c r="I226" s="97"/>
    </row>
    <row r="227" spans="1:9" x14ac:dyDescent="0.25">
      <c r="A227" s="92" t="s">
        <v>17</v>
      </c>
      <c r="B227" s="97">
        <f>1-(ABS(B200-B200)+ABS(C200-C200)+ABS(D200-D200)+ABS(E200-E200))/4</f>
        <v>1</v>
      </c>
      <c r="C227" s="97">
        <f>1-(ABS(B200-J200)+ABS(C200-K200)+ABS(D200-L200)+ABS(E200-M200))/4</f>
        <v>0.9492647058823529</v>
      </c>
      <c r="D227" s="97">
        <f>1-(ABS(B200-R200)+ABS(C200-S200)+ABS(D200-T200)+ABS(E200-U200))/4</f>
        <v>0.98421568627450984</v>
      </c>
      <c r="F227" s="92" t="s">
        <v>17</v>
      </c>
      <c r="G227" s="97">
        <f>1-(ABS(F200-F200)+ABS(G200-G200)+ABS(H200-H200)+ABS(I200-I200))/4</f>
        <v>1</v>
      </c>
      <c r="H227" s="97">
        <f>1-(ABS(F200-N200)+ABS(G200-O200)+ABS(H200-P200)+ABS(I200-Q200))/4</f>
        <v>0.95039215686274503</v>
      </c>
      <c r="I227" s="97">
        <f>1-(ABS(F200-V200)+ABS(G200-W200)+ABS(H200-X200)+ABS(I200-Y200))/4</f>
        <v>0.98279411764705893</v>
      </c>
    </row>
    <row r="228" spans="1:9" x14ac:dyDescent="0.25">
      <c r="B228" s="97">
        <f>1-(ABS(J200-B200)+ABS(K200-C200)+ABS(L200-D200)+ABS(M200-E200))/4</f>
        <v>0.9492647058823529</v>
      </c>
      <c r="C228" s="97">
        <f>1-(ABS(J200-J200)+ABS(K200-K200)+ABS(L200-L200)+ABS(M200-M200))/4</f>
        <v>1</v>
      </c>
      <c r="D228" s="97">
        <f>1-(ABS(J200-R200)+ABS(K200-S200)+ABS(L200-T200)+ABS(M200-U200))/4</f>
        <v>0.95063725490196083</v>
      </c>
      <c r="G228" s="97">
        <f>1-(ABS(N200-F200)+ABS(O200-G200)+ABS(P200-H200)+ABS(Q200-I200))/4</f>
        <v>0.95039215686274503</v>
      </c>
      <c r="H228" s="97">
        <f>1-(ABS(N200-N200)+ABS(O200-O200)+ABS(P200-P200)+ABS(Q200-Q200))/4</f>
        <v>1</v>
      </c>
      <c r="I228" s="97">
        <f>1-(ABS(N200-V200)+ABS(O200-W200)+ABS(P200-X200)+ABS(Q200-Y200))/4</f>
        <v>0.95083333333333331</v>
      </c>
    </row>
    <row r="229" spans="1:9" x14ac:dyDescent="0.25">
      <c r="B229" s="97">
        <f>1-(ABS(R200-B200)+ABS(S200-C200)+ABS(T200-D200)+ABS(U200-E200))/4</f>
        <v>0.98421568627450984</v>
      </c>
      <c r="C229" s="97">
        <f>1-(ABS(R200-J200)+ABS(S200-K200)+ABS(T200-L200)+ABS(U200-M200))/4</f>
        <v>0.95063725490196083</v>
      </c>
      <c r="D229" s="97">
        <f>1-(ABS(R200-R200)+ABS(S200-S200)+ABS(T200-T200)+ABS(U200-U200))/4</f>
        <v>1</v>
      </c>
      <c r="G229" s="97">
        <f>1-(ABS(V200-F200)+ABS(W200-G200)+ABS(X200-H200)+ABS(Y200-I200))/4</f>
        <v>0.98279411764705893</v>
      </c>
      <c r="H229" s="97">
        <f>1-(ABS(V200-N200)+ABS(W200-O200)+ABS(X200-P200)+ABS(Y200-Q200))/4</f>
        <v>0.95083333333333331</v>
      </c>
      <c r="I229" s="97">
        <f>1-(ABS(V200-V200)+ABS(W200-W200)+ABS(X200-X200)+ABS(Y200-Y200))/4</f>
        <v>1</v>
      </c>
    </row>
    <row r="230" spans="1:9" x14ac:dyDescent="0.25">
      <c r="B230" s="97"/>
      <c r="C230" s="97"/>
      <c r="D230" s="97"/>
      <c r="G230" s="97"/>
      <c r="H230" s="97"/>
      <c r="I230" s="97"/>
    </row>
    <row r="231" spans="1:9" x14ac:dyDescent="0.25">
      <c r="A231" s="92" t="s">
        <v>18</v>
      </c>
      <c r="B231" s="97">
        <f>1-(ABS(B201-B201)+ABS(C201-C201)+ABS(D201-D201)+ABS(E201-E201))/4</f>
        <v>1</v>
      </c>
      <c r="C231" s="97">
        <f>1-(ABS(B201-J201)+ABS(C201-K201)+ABS(D201-L201)+ABS(E201-M201))/4</f>
        <v>0.9492647058823529</v>
      </c>
      <c r="D231" s="97">
        <f>1-(ABS(B201-R201)+ABS(C201-S201)+ABS(D201-T201)+ABS(E201-U201))/4</f>
        <v>0.9492647058823529</v>
      </c>
      <c r="F231" s="92" t="s">
        <v>18</v>
      </c>
      <c r="G231" s="97">
        <f>1-(ABS(F201-F201)+ABS(G201-G201)+ABS(H201-H201)+ABS(I201-I201))/4</f>
        <v>1</v>
      </c>
      <c r="H231" s="97">
        <f>1-(ABS(F201-N201)+ABS(G201-O201)+ABS(H201-P201)+ABS(I201-Q201))/4</f>
        <v>0.95039215686274514</v>
      </c>
      <c r="I231" s="97">
        <f>1-(ABS(F201-V201)+ABS(G201-W201)+ABS(H201-X201)+ABS(I201-Y201))/4</f>
        <v>0.95039215686274514</v>
      </c>
    </row>
    <row r="232" spans="1:9" x14ac:dyDescent="0.25">
      <c r="B232" s="97">
        <f>1-(ABS(J201-B201)+ABS(K201-C201)+ABS(L201-D201)+ABS(M201-E201))/4</f>
        <v>0.9492647058823529</v>
      </c>
      <c r="C232" s="97">
        <f>1-(ABS(J201-J201)+ABS(K201-K201)+ABS(L201-L201)+ABS(M201-M201))/4</f>
        <v>1</v>
      </c>
      <c r="D232" s="97">
        <f>1-(ABS(J201-R201)+ABS(K201-S201)+ABS(L201-T201)+ABS(M201-U201))/4</f>
        <v>1</v>
      </c>
      <c r="G232" s="97">
        <f>1-(ABS(N201-F201)+ABS(O201-G201)+ABS(P201-H201)+ABS(Q201-I201))/4</f>
        <v>0.95039215686274514</v>
      </c>
      <c r="H232" s="97">
        <f>1-(ABS(N201-N201)+ABS(O201-O201)+ABS(P201-P201)+ABS(Q201-Q201))/4</f>
        <v>1</v>
      </c>
      <c r="I232" s="97">
        <f>1-(ABS(N201-V201)+ABS(O201-W201)+ABS(P201-X201)+ABS(Q201-Y201))/4</f>
        <v>1</v>
      </c>
    </row>
    <row r="233" spans="1:9" x14ac:dyDescent="0.25">
      <c r="B233" s="97">
        <f>1-(ABS(R201-B201)+ABS(S201-C201)+ABS(T201-D201)+ABS(U201-E201))/4</f>
        <v>0.9492647058823529</v>
      </c>
      <c r="C233" s="97">
        <f>1-(ABS(R201-J201)+ABS(S201-K201)+ABS(T201-L201)+ABS(U201-M201))/4</f>
        <v>1</v>
      </c>
      <c r="D233" s="97">
        <f>1-(ABS(R201-R201)+ABS(S201-S201)+ABS(T201-T201)+ABS(U201-U201))/4</f>
        <v>1</v>
      </c>
      <c r="G233" s="97">
        <f>1-(ABS(V201-F201)+ABS(W201-G201)+ABS(X201-H201)+ABS(Y201-I201))/4</f>
        <v>0.95039215686274514</v>
      </c>
      <c r="H233" s="97">
        <f>1-(ABS(V201-N201)+ABS(W201-O201)+ABS(X201-P201)+ABS(Y201-Q201))/4</f>
        <v>1</v>
      </c>
      <c r="I233" s="97">
        <f>1-(ABS(V201-V201)+ABS(W201-W201)+ABS(X201-X201)+ABS(Y201-Y201))/4</f>
        <v>1</v>
      </c>
    </row>
    <row r="234" spans="1:9" x14ac:dyDescent="0.25">
      <c r="B234" s="97"/>
      <c r="C234" s="97"/>
      <c r="D234" s="97"/>
      <c r="G234" s="97"/>
      <c r="H234" s="97"/>
      <c r="I234" s="97"/>
    </row>
    <row r="235" spans="1:9" x14ac:dyDescent="0.25">
      <c r="A235" s="92" t="s">
        <v>19</v>
      </c>
      <c r="B235" s="97">
        <f>1-(ABS(B202-B202)+ABS(C202-C202)+ABS(D202-D202)+ABS(E202-E202))/4</f>
        <v>1</v>
      </c>
      <c r="C235" s="97">
        <f>1-(ABS(B202-J202)+ABS(C202-K202)+ABS(D202-L202)+ABS(E202-M202))/4</f>
        <v>0.98421568627450984</v>
      </c>
      <c r="D235" s="97">
        <f>1-(ABS(B202-R202)+ABS(C202-S202)+ABS(D202-T202)+ABS(E202-U202))/4</f>
        <v>0.98421568627450984</v>
      </c>
      <c r="F235" s="92" t="s">
        <v>19</v>
      </c>
      <c r="G235" s="97">
        <f>1-(ABS(F202-F202)+ABS(G202-G202)+ABS(H202-H202)+ABS(I202-I202))/4</f>
        <v>1</v>
      </c>
      <c r="H235" s="97">
        <f>1-(ABS(F202-N202)+ABS(G202-O202)+ABS(H202-P202)+ABS(I202-Q202))/4</f>
        <v>0.98279411764705882</v>
      </c>
      <c r="I235" s="97">
        <f>1-(ABS(F202-V202)+ABS(G202-W202)+ABS(H202-X202)+ABS(I202-Y202))/4</f>
        <v>0.98279411764705882</v>
      </c>
    </row>
    <row r="236" spans="1:9" x14ac:dyDescent="0.25">
      <c r="B236" s="97">
        <f>1-(ABS(J202-B202)+ABS(K202-C202)+ABS(L202-D202)+ABS(M202-E202))/4</f>
        <v>0.98421568627450984</v>
      </c>
      <c r="C236" s="97">
        <f>1-(ABS(J202-J202)+ABS(K202-K202)+ABS(L202-L202)+ABS(M202-M202))/4</f>
        <v>1</v>
      </c>
      <c r="D236" s="97">
        <f>1-(ABS(J202-R202)+ABS(K202-S202)+ABS(L202-T202)+ABS(M202-U202))/4</f>
        <v>1</v>
      </c>
      <c r="G236" s="97">
        <f>1-(ABS(N202-F202)+ABS(O202-G202)+ABS(P202-H202)+ABS(Q202-I202))/4</f>
        <v>0.98279411764705882</v>
      </c>
      <c r="H236" s="97">
        <f>1-(ABS(N202-N202)+ABS(O202-O202)+ABS(P202-P202)+ABS(Q202-Q202))/4</f>
        <v>1</v>
      </c>
      <c r="I236" s="97">
        <f>1-(ABS(N202-V202)+ABS(O202-W202)+ABS(P202-X202)+ABS(Q202-Y202))/4</f>
        <v>1</v>
      </c>
    </row>
    <row r="237" spans="1:9" x14ac:dyDescent="0.25">
      <c r="B237" s="97">
        <f>1-(ABS(R202-B202)+ABS(S202-C202)+ABS(T202-D202)+ABS(U202-E202))/4</f>
        <v>0.98421568627450984</v>
      </c>
      <c r="C237" s="97">
        <f>1-(ABS(R202-J202)+ABS(S202-K202)+ABS(T202-L202)+ABS(U202-M202))/4</f>
        <v>1</v>
      </c>
      <c r="D237" s="97">
        <f>1-(ABS(R202-R202)+ABS(S202-S202)+ABS(T202-T202)+ABS(U202-U202))/4</f>
        <v>1</v>
      </c>
      <c r="G237" s="97">
        <f>1-(ABS(V202-F202)+ABS(W202-G202)+ABS(X202-H202)+ABS(Y202-I202))/4</f>
        <v>0.98279411764705882</v>
      </c>
      <c r="H237" s="97">
        <f>1-(ABS(V202-N202)+ABS(W202-O202)+ABS(X202-P202)+ABS(Y202-Q202))/4</f>
        <v>1</v>
      </c>
      <c r="I237" s="97">
        <f>1-(ABS(V202-V202)+ABS(W202-W202)+ABS(X202-X202)+ABS(Y202-Y202))/4</f>
        <v>1</v>
      </c>
    </row>
    <row r="238" spans="1:9" x14ac:dyDescent="0.25">
      <c r="B238" s="97"/>
      <c r="C238" s="97"/>
      <c r="D238" s="97"/>
      <c r="G238" s="97"/>
      <c r="H238" s="97"/>
      <c r="I238" s="97"/>
    </row>
    <row r="239" spans="1:9" x14ac:dyDescent="0.25">
      <c r="A239" s="92" t="s">
        <v>20</v>
      </c>
      <c r="B239" s="97">
        <f>1-(ABS(B203-B203)+ABS(C203-C203)+ABS(D203-D203)+ABS(E203-E203))/4</f>
        <v>1</v>
      </c>
      <c r="C239" s="97">
        <f>1-(ABS(B203-J203)+ABS(C203-K203)+ABS(D203-L203)+ABS(E203-M203))/4</f>
        <v>0.98421568627450984</v>
      </c>
      <c r="D239" s="97">
        <f>1-(ABS(B203-R203)+ABS(C203-S203)+ABS(D203-T203)+ABS(E203-U203))/4</f>
        <v>0.98421568627450984</v>
      </c>
      <c r="F239" s="92" t="s">
        <v>20</v>
      </c>
      <c r="G239" s="97">
        <f>1-(ABS(F203-F203)+ABS(G203-G203)+ABS(H203-H203)+ABS(I203-I203))/4</f>
        <v>1</v>
      </c>
      <c r="H239" s="97">
        <f>1-(ABS(F203-N203)+ABS(G203-O203)+ABS(H203-P203)+ABS(I203-Q203))/4</f>
        <v>0.98279411764705882</v>
      </c>
      <c r="I239" s="97">
        <f>1-(ABS(F203-V203)+ABS(G203-W203)+ABS(H203-X203)+ABS(I203-Y203))/4</f>
        <v>0.98279411764705882</v>
      </c>
    </row>
    <row r="240" spans="1:9" x14ac:dyDescent="0.25">
      <c r="B240" s="97">
        <f>1-(ABS(J203-B203)+ABS(K203-C203)+ABS(L203-D203)+ABS(M203-E203))/4</f>
        <v>0.98421568627450984</v>
      </c>
      <c r="C240" s="97">
        <f>1-(ABS(J203-J203)+ABS(K203-K203)+ABS(L203-L203)+ABS(M203-M203))/4</f>
        <v>1</v>
      </c>
      <c r="D240" s="97">
        <f>1-(ABS(J203-R203)+ABS(K203-S203)+ABS(L203-T203)+ABS(M203-U203))/4</f>
        <v>1</v>
      </c>
      <c r="G240" s="97">
        <f>1-(ABS(N203-F203)+ABS(O203-G203)+ABS(P203-H203)+ABS(Q203-I203))/4</f>
        <v>0.98279411764705882</v>
      </c>
      <c r="H240" s="97">
        <f>1-(ABS(N203-N203)+ABS(O203-O203)+ABS(P203-P203)+ABS(Q203-Q203))/4</f>
        <v>1</v>
      </c>
      <c r="I240" s="97">
        <f>1-(ABS(N203-V203)+ABS(O203-W203)+ABS(P203-X203)+ABS(Q203-Y203))/4</f>
        <v>1</v>
      </c>
    </row>
    <row r="241" spans="1:16" x14ac:dyDescent="0.25">
      <c r="B241" s="97">
        <f>1-(ABS(R203-B203)+ABS(S203-C203)+ABS(T203-D203)+ABS(U203-E203))/4</f>
        <v>0.98421568627450984</v>
      </c>
      <c r="C241" s="97">
        <f>1-(ABS(R203-J203)+ABS(S203-K203)+ABS(T203-L203)+ABS(U203-M203))/4</f>
        <v>1</v>
      </c>
      <c r="D241" s="97">
        <f>1-(ABS(R203-R203)+ABS(S203-S203)+ABS(T203-T203)+ABS(U203-U203))/4</f>
        <v>1</v>
      </c>
      <c r="G241" s="97">
        <f>1-(ABS(V203-F203)+ABS(W203-G203)+ABS(X203-H203)+ABS(Y203-I203))/4</f>
        <v>0.98279411764705882</v>
      </c>
      <c r="H241" s="97">
        <f>1-(ABS(V203-N203)+ABS(W203-O203)+ABS(X203-P203)+ABS(Y203-Q203))/4</f>
        <v>1</v>
      </c>
      <c r="I241" s="97">
        <f>1-(ABS(V203-V203)+ABS(W203-W203)+ABS(X203-X203)+ABS(Y203-Y203))/4</f>
        <v>1</v>
      </c>
    </row>
    <row r="242" spans="1:16" x14ac:dyDescent="0.25">
      <c r="B242" s="97"/>
      <c r="C242" s="97"/>
      <c r="D242" s="97"/>
      <c r="G242" s="97"/>
      <c r="H242" s="97"/>
      <c r="I242" s="97"/>
    </row>
    <row r="243" spans="1:16" x14ac:dyDescent="0.25">
      <c r="A243" s="92" t="s">
        <v>22</v>
      </c>
      <c r="B243" s="97">
        <f>1-(ABS(B204-B204)+ABS(C204-C204)+ABS(D204-D204)+ABS(E204-E204))/4</f>
        <v>1</v>
      </c>
      <c r="C243" s="97">
        <f>1-(ABS(B204-J204)+ABS(C204-K204)+ABS(D204-L204)+ABS(E204-M204))/4</f>
        <v>0.94284313725490199</v>
      </c>
      <c r="D243" s="97">
        <f>1-(ABS(B204-R204)+ABS(C204-S204)+ABS(D204-T204)+ABS(E204-U204))/4</f>
        <v>0.94284313725490199</v>
      </c>
      <c r="F243" s="92" t="s">
        <v>22</v>
      </c>
      <c r="G243" s="97">
        <f>1-(ABS(F204-F204)+ABS(G204-G204)+ABS(H204-H204)+ABS(I204-I204))/4</f>
        <v>1</v>
      </c>
      <c r="H243" s="97">
        <f>1-(ABS(F204-N204)+ABS(G204-O204)+ABS(H204-P204)+ABS(I204-Q204))/4</f>
        <v>0.94014705882352945</v>
      </c>
      <c r="I243" s="97">
        <f>1-(ABS(F204-V204)+ABS(G204-W204)+ABS(H204-X204)+ABS(I204-Y204))/4</f>
        <v>0.94014705882352945</v>
      </c>
    </row>
    <row r="244" spans="1:16" x14ac:dyDescent="0.25">
      <c r="B244" s="97">
        <f>1-(ABS(J204-B204)+ABS(K204-C204)+ABS(L204-D204)+ABS(M204-E204))/4</f>
        <v>0.94284313725490199</v>
      </c>
      <c r="C244" s="97">
        <f>1-(ABS(J204-J204)+ABS(K204-K204)+ABS(L204-L204)+ABS(M204-M204))/4</f>
        <v>1</v>
      </c>
      <c r="D244" s="97">
        <f>1-(ABS(J204-R204)+ABS(K204-S204)+ABS(L204-T204)+ABS(M204-U204))/4</f>
        <v>1</v>
      </c>
      <c r="G244" s="97">
        <f>1-(ABS(N204-F204)+ABS(O204-G204)+ABS(P204-H204)+ABS(Q204-I204))/4</f>
        <v>0.94014705882352945</v>
      </c>
      <c r="H244" s="97">
        <f>1-(ABS(N204-N204)+ABS(O204-O204)+ABS(P204-P204)+ABS(Q204-Q204))/4</f>
        <v>1</v>
      </c>
      <c r="I244" s="97">
        <f>1-(ABS(N204-V204)+ABS(O204-W204)+ABS(P204-X204)+ABS(Q204-Y204))/4</f>
        <v>1</v>
      </c>
    </row>
    <row r="245" spans="1:16" x14ac:dyDescent="0.25">
      <c r="B245" s="97">
        <f>1-(ABS(R204-B204)+ABS(S204-C204)+ABS(T204-D204)+ABS(U204-E204))/4</f>
        <v>0.94284313725490199</v>
      </c>
      <c r="C245" s="97">
        <f>1-(ABS(R204-J204)+ABS(S204-K204)+ABS(T204-L204)+ABS(U204-M204))/4</f>
        <v>1</v>
      </c>
      <c r="D245" s="97">
        <f>1-(ABS(R207-R207)+ABS(S207-S207)+ABS(T207-T207)+ABS(U207-U207))/4</f>
        <v>1</v>
      </c>
      <c r="G245" s="97">
        <f>1-(ABS(V204-F204)+ABS(W204-G204)+ABS(X204-H204)+ABS(Y204-I204))/4</f>
        <v>0.94014705882352945</v>
      </c>
      <c r="H245" s="97">
        <f>1-(ABS(V204-N204)+ABS(W204-O204)+ABS(X204-P204)+ABS(Y204-Q204))/4</f>
        <v>1</v>
      </c>
      <c r="I245" s="97">
        <f>1-(ABS(V207-V207)+ABS(W207-W207)+ABS(X207-X207)+ABS(Y207-Y207))/4</f>
        <v>1</v>
      </c>
    </row>
    <row r="246" spans="1:16" x14ac:dyDescent="0.25">
      <c r="B246" s="97"/>
      <c r="C246" s="97"/>
      <c r="D246" s="97"/>
      <c r="G246" s="97"/>
      <c r="H246" s="97"/>
      <c r="I246" s="97"/>
    </row>
    <row r="247" spans="1:16" x14ac:dyDescent="0.25">
      <c r="A247" s="92" t="s">
        <v>23</v>
      </c>
      <c r="B247" s="97">
        <f>1-(ABS(B205-B205)+ABS(C205-C205)+ABS(D205-D205)+ABS(E205-E205))/4</f>
        <v>1</v>
      </c>
      <c r="C247" s="97">
        <f>1-(ABS(B205-J205)+ABS(C205-K205)+ABS(D205-L205)+ABS(E205-M205))/4</f>
        <v>0.94926470588235301</v>
      </c>
      <c r="D247" s="97">
        <f>1-(ABS(B205-R205)+ABS(C205-S205)+ABS(D205-T205)+ABS(E205-U205))/4</f>
        <v>0.94926470588235301</v>
      </c>
      <c r="F247" s="92" t="s">
        <v>23</v>
      </c>
      <c r="G247" s="97">
        <f>1-(ABS(F205-F205)+ABS(G205-G205)+ABS(H205-H205)+ABS(I205-I205))/4</f>
        <v>1</v>
      </c>
      <c r="H247" s="97">
        <f>1-(ABS(F205-N205)+ABS(G205-O205)+ABS(H205-P205)+ABS(I205-Q205))/4</f>
        <v>0.95039215686274514</v>
      </c>
      <c r="I247" s="97">
        <f>1-(ABS(F205-V205)+ABS(G205-W205)+ABS(H205-X205)+ABS(I205-Y205))/4</f>
        <v>0.95039215686274514</v>
      </c>
    </row>
    <row r="248" spans="1:16" x14ac:dyDescent="0.25">
      <c r="B248" s="97">
        <f>1-(ABS(J205-B205)+ABS(K205-C205)+ABS(L205-D205)+ABS(M205-E205))/4</f>
        <v>0.94926470588235301</v>
      </c>
      <c r="C248" s="97">
        <f>1-(ABS(J205-J205)+ABS(K205-K205)+ABS(L205-L205)+ABS(M205-M205))/4</f>
        <v>1</v>
      </c>
      <c r="D248" s="97">
        <f>1-(ABS(J205-R205)+ABS(K205-S205)+ABS(L205-T205)+ABS(M205-U205))/4</f>
        <v>1</v>
      </c>
      <c r="G248" s="97">
        <f>1-(ABS(N205-F205)+ABS(O205-G205)+ABS(P205-H205)+ABS(Q205-I205))/4</f>
        <v>0.95039215686274514</v>
      </c>
      <c r="H248" s="97">
        <f>1-(ABS(N205-N205)+ABS(O205-O205)+ABS(P205-P205)+ABS(Q205-Q205))/4</f>
        <v>1</v>
      </c>
      <c r="I248" s="97">
        <f>1-(ABS(N205-V205)+ABS(O205-W205)+ABS(P205-X205)+ABS(Q205-Y205))/4</f>
        <v>1</v>
      </c>
    </row>
    <row r="249" spans="1:16" x14ac:dyDescent="0.25">
      <c r="B249" s="97">
        <f>1-(ABS(R205-B205)+ABS(S205-C205)+ABS(T205-D205)+ABS(U205-E205))/4</f>
        <v>0.94926470588235301</v>
      </c>
      <c r="C249" s="97">
        <f>1-(ABS(R205-J205)+ABS(S205-K205)+ABS(T205-L205)+ABS(U205-M205))/4</f>
        <v>1</v>
      </c>
      <c r="D249" s="97">
        <f>1-(ABS(R205-R205)+ABS(S205-S205)+ABS(T205-T205)+ABS(U205-U205))/4</f>
        <v>1</v>
      </c>
      <c r="G249" s="97">
        <f>1-(ABS(V205-F205)+ABS(W205-G205)+ABS(X205-H205)+ABS(Y205-I205))/4</f>
        <v>0.95039215686274514</v>
      </c>
      <c r="H249" s="97">
        <f>1-(ABS(V205-N205)+ABS(W205-O205)+ABS(X205-P205)+ABS(Y205-Q205))/4</f>
        <v>1</v>
      </c>
      <c r="I249" s="97">
        <f>1-(ABS(V205-V205)+ABS(W205-W205)+ABS(X205-X205)+ABS(Y205-Y205))/4</f>
        <v>1</v>
      </c>
    </row>
    <row r="251" spans="1:16" x14ac:dyDescent="0.25">
      <c r="A251" s="461" t="s">
        <v>137</v>
      </c>
      <c r="B251" s="462"/>
      <c r="C251" s="462"/>
      <c r="D251" s="462"/>
      <c r="E251" s="462"/>
      <c r="F251" s="462"/>
      <c r="G251" s="462"/>
      <c r="H251" s="462"/>
      <c r="I251" s="462"/>
    </row>
    <row r="252" spans="1:16" x14ac:dyDescent="0.25">
      <c r="A252" s="463" t="s">
        <v>143</v>
      </c>
      <c r="B252" s="462"/>
      <c r="C252" s="462"/>
      <c r="D252" s="462"/>
      <c r="F252" s="463" t="s">
        <v>144</v>
      </c>
      <c r="G252" s="462"/>
      <c r="H252" s="462"/>
      <c r="I252" s="462"/>
    </row>
    <row r="253" spans="1:16" s="101" customFormat="1" ht="30" x14ac:dyDescent="0.25">
      <c r="A253" s="285" t="s">
        <v>234</v>
      </c>
      <c r="B253" s="285" t="s">
        <v>100</v>
      </c>
      <c r="C253" s="285" t="s">
        <v>101</v>
      </c>
      <c r="D253" s="285" t="s">
        <v>120</v>
      </c>
      <c r="E253" s="371"/>
      <c r="F253" s="285" t="s">
        <v>234</v>
      </c>
      <c r="G253" s="285" t="s">
        <v>100</v>
      </c>
      <c r="H253" s="285" t="s">
        <v>101</v>
      </c>
      <c r="I253" s="285" t="s">
        <v>120</v>
      </c>
    </row>
    <row r="254" spans="1:16" x14ac:dyDescent="0.25">
      <c r="A254" s="272" t="s">
        <v>24</v>
      </c>
      <c r="B254" s="98">
        <f>(C211+D211)/2</f>
        <v>0.9223039215686275</v>
      </c>
      <c r="C254" s="98">
        <f>(B212+D212)/2</f>
        <v>0.96115196078431375</v>
      </c>
      <c r="D254" s="98">
        <f>(B213+C213)/2</f>
        <v>0.96115196078431375</v>
      </c>
      <c r="E254" s="97"/>
      <c r="F254" s="98" t="s">
        <v>24</v>
      </c>
      <c r="G254" s="98">
        <f>(H211+I211)/2</f>
        <v>0.91666666666666663</v>
      </c>
      <c r="H254" s="98">
        <f>(G212+I212)/2</f>
        <v>0.95833333333333326</v>
      </c>
      <c r="I254" s="98">
        <f>(G213+H213)/2</f>
        <v>0.95833333333333326</v>
      </c>
      <c r="J254" s="101"/>
      <c r="K254" s="101"/>
      <c r="L254" s="101"/>
      <c r="M254" s="101"/>
      <c r="N254" s="101"/>
      <c r="O254" s="101"/>
      <c r="P254" s="101"/>
    </row>
    <row r="255" spans="1:16" x14ac:dyDescent="0.25">
      <c r="A255" s="272" t="s">
        <v>13</v>
      </c>
      <c r="B255" s="98">
        <f>(C215+D215)/2</f>
        <v>0.96352941176470586</v>
      </c>
      <c r="C255" s="98">
        <f>(B216+D216)/2</f>
        <v>0.96421568627450982</v>
      </c>
      <c r="D255" s="98">
        <f>(B217+C217)/2</f>
        <v>0.94352941176470584</v>
      </c>
      <c r="E255" s="97"/>
      <c r="F255" s="98" t="s">
        <v>13</v>
      </c>
      <c r="G255" s="98">
        <f>(H215+I215)/2</f>
        <v>0.96147058823529408</v>
      </c>
      <c r="H255" s="98">
        <f>(G216+I216)/2</f>
        <v>0.96169117647058822</v>
      </c>
      <c r="I255" s="98">
        <f>(G217+H217)/2</f>
        <v>0.94036764705882359</v>
      </c>
      <c r="J255" s="101"/>
      <c r="K255" s="101"/>
      <c r="L255" s="101"/>
      <c r="M255" s="101"/>
      <c r="N255" s="101"/>
      <c r="O255" s="101"/>
      <c r="P255" s="101"/>
    </row>
    <row r="256" spans="1:16" x14ac:dyDescent="0.25">
      <c r="A256" s="272" t="s">
        <v>14</v>
      </c>
      <c r="B256" s="98">
        <f>(C219+D219)/2</f>
        <v>0.96352941176470597</v>
      </c>
      <c r="C256" s="98">
        <f>(B220+D220)/2</f>
        <v>0.94352941176470595</v>
      </c>
      <c r="D256" s="98">
        <f>(B221+C221)/2</f>
        <v>0.96421568627450982</v>
      </c>
      <c r="E256" s="97"/>
      <c r="F256" s="98" t="s">
        <v>14</v>
      </c>
      <c r="G256" s="98">
        <f>(H219+I219)/2</f>
        <v>0.96147058823529408</v>
      </c>
      <c r="H256" s="98">
        <f>(G220+I220)/2</f>
        <v>0.94036764705882359</v>
      </c>
      <c r="I256" s="98">
        <f>(G221+H221)/2</f>
        <v>0.96169117647058822</v>
      </c>
      <c r="J256" s="101"/>
      <c r="K256" s="101"/>
      <c r="L256" s="101"/>
      <c r="M256" s="101"/>
      <c r="N256" s="101"/>
      <c r="O256" s="101"/>
      <c r="P256" s="101"/>
    </row>
    <row r="257" spans="1:16" x14ac:dyDescent="0.25">
      <c r="A257" s="272" t="s">
        <v>15</v>
      </c>
      <c r="B257" s="98">
        <f>(C223+D223)/2</f>
        <v>0.95325980392156862</v>
      </c>
      <c r="C257" s="98">
        <f>(B224+D224)/2</f>
        <v>0.95257352941176476</v>
      </c>
      <c r="D257" s="98">
        <f>(B225+C225)/2</f>
        <v>0.92161764705882354</v>
      </c>
      <c r="E257" s="97"/>
      <c r="F257" s="98" t="s">
        <v>15</v>
      </c>
      <c r="G257" s="98">
        <f>(H223+I223)/2</f>
        <v>0.94973039215686272</v>
      </c>
      <c r="H257" s="98">
        <f>(G224+I224)/2</f>
        <v>0.94950980392156858</v>
      </c>
      <c r="I257" s="98">
        <f>(G225+H225)/2</f>
        <v>0.9164460784313726</v>
      </c>
      <c r="J257" s="101"/>
      <c r="K257" s="101"/>
      <c r="L257" s="101"/>
      <c r="M257" s="101"/>
      <c r="N257" s="101"/>
      <c r="O257" s="101"/>
      <c r="P257" s="101"/>
    </row>
    <row r="258" spans="1:16" x14ac:dyDescent="0.25">
      <c r="A258" s="272" t="s">
        <v>17</v>
      </c>
      <c r="B258" s="98">
        <f>(C227+D227)/2</f>
        <v>0.96674019607843142</v>
      </c>
      <c r="C258" s="98">
        <f>(B228+D228)/2</f>
        <v>0.94995098039215686</v>
      </c>
      <c r="D258" s="98">
        <f>(B229+C229)/2</f>
        <v>0.96742647058823539</v>
      </c>
      <c r="E258" s="97"/>
      <c r="F258" s="98" t="s">
        <v>17</v>
      </c>
      <c r="G258" s="98">
        <f>(H227+I227)/2</f>
        <v>0.96659313725490192</v>
      </c>
      <c r="H258" s="98">
        <f>(G228+I228)/2</f>
        <v>0.95061274509803917</v>
      </c>
      <c r="I258" s="98">
        <f>(G229+H229)/2</f>
        <v>0.96681372549019606</v>
      </c>
      <c r="J258" s="101"/>
      <c r="K258" s="101"/>
      <c r="L258" s="101"/>
      <c r="M258" s="101"/>
      <c r="N258" s="101"/>
      <c r="O258" s="101"/>
      <c r="P258" s="101"/>
    </row>
    <row r="259" spans="1:16" x14ac:dyDescent="0.25">
      <c r="A259" s="272" t="s">
        <v>18</v>
      </c>
      <c r="B259" s="98">
        <f>(C231+D231)/2</f>
        <v>0.9492647058823529</v>
      </c>
      <c r="C259" s="98">
        <f>(B232+D232)/2</f>
        <v>0.97463235294117645</v>
      </c>
      <c r="D259" s="98">
        <f>(B233+C233)/2</f>
        <v>0.97463235294117645</v>
      </c>
      <c r="E259" s="97"/>
      <c r="F259" s="98" t="s">
        <v>18</v>
      </c>
      <c r="G259" s="98">
        <f>(H231+I231)/2</f>
        <v>0.95039215686274514</v>
      </c>
      <c r="H259" s="98">
        <f>(G232+I232)/2</f>
        <v>0.97519607843137257</v>
      </c>
      <c r="I259" s="98">
        <f>(G233+H233)/2</f>
        <v>0.97519607843137257</v>
      </c>
      <c r="J259" s="101"/>
      <c r="K259" s="101"/>
      <c r="L259" s="101"/>
      <c r="M259" s="101"/>
      <c r="N259" s="101"/>
      <c r="O259" s="101"/>
      <c r="P259" s="101"/>
    </row>
    <row r="260" spans="1:16" x14ac:dyDescent="0.25">
      <c r="A260" s="272" t="s">
        <v>19</v>
      </c>
      <c r="B260" s="98">
        <f>(C235+D235)/2</f>
        <v>0.98421568627450984</v>
      </c>
      <c r="C260" s="98">
        <f>(B236+D236)/2</f>
        <v>0.99210784313725497</v>
      </c>
      <c r="D260" s="98">
        <f>(B237+C237)/2</f>
        <v>0.99210784313725497</v>
      </c>
      <c r="E260" s="97"/>
      <c r="F260" s="98" t="s">
        <v>19</v>
      </c>
      <c r="G260" s="98">
        <f>(H235+I235)/2</f>
        <v>0.98279411764705882</v>
      </c>
      <c r="H260" s="98">
        <f>(G236+I236)/2</f>
        <v>0.99139705882352946</v>
      </c>
      <c r="I260" s="98">
        <f>(G237+H237)/2</f>
        <v>0.99139705882352946</v>
      </c>
      <c r="J260" s="101"/>
      <c r="K260" s="101"/>
      <c r="L260" s="101"/>
      <c r="M260" s="101"/>
      <c r="N260" s="101"/>
      <c r="O260" s="101"/>
      <c r="P260" s="101"/>
    </row>
    <row r="261" spans="1:16" x14ac:dyDescent="0.25">
      <c r="A261" s="272" t="s">
        <v>20</v>
      </c>
      <c r="B261" s="98">
        <f>(C239+D239)/2</f>
        <v>0.98421568627450984</v>
      </c>
      <c r="C261" s="98">
        <f>(B240+D240)/2</f>
        <v>0.99210784313725497</v>
      </c>
      <c r="D261" s="98">
        <f>(B241+C241)/2</f>
        <v>0.99210784313725497</v>
      </c>
      <c r="E261" s="97"/>
      <c r="F261" s="98" t="s">
        <v>20</v>
      </c>
      <c r="G261" s="98">
        <f>(H239+I239)/2</f>
        <v>0.98279411764705882</v>
      </c>
      <c r="H261" s="98">
        <f>(G240+I240)/2</f>
        <v>0.99139705882352946</v>
      </c>
      <c r="I261" s="98">
        <f>(G241+H241)/2</f>
        <v>0.99139705882352946</v>
      </c>
      <c r="J261" s="101"/>
      <c r="K261" s="101"/>
      <c r="L261" s="101"/>
      <c r="M261" s="101"/>
      <c r="N261" s="101"/>
      <c r="O261" s="101"/>
      <c r="P261" s="101"/>
    </row>
    <row r="262" spans="1:16" x14ac:dyDescent="0.25">
      <c r="A262" s="272" t="s">
        <v>22</v>
      </c>
      <c r="B262" s="98">
        <f>(C243+D243)/2</f>
        <v>0.94284313725490199</v>
      </c>
      <c r="C262" s="98">
        <f>(B244+D244)/2</f>
        <v>0.97142156862745099</v>
      </c>
      <c r="D262" s="98">
        <f>(B245+C245)/2</f>
        <v>0.97142156862745099</v>
      </c>
      <c r="E262" s="97"/>
      <c r="F262" s="98" t="s">
        <v>22</v>
      </c>
      <c r="G262" s="98">
        <f>(H243+I243)/2</f>
        <v>0.94014705882352945</v>
      </c>
      <c r="H262" s="98">
        <f>(G244+I244)/2</f>
        <v>0.97007352941176472</v>
      </c>
      <c r="I262" s="98">
        <f>(G245+H245)/2</f>
        <v>0.97007352941176472</v>
      </c>
      <c r="J262" s="101"/>
      <c r="K262" s="101"/>
      <c r="L262" s="101"/>
      <c r="M262" s="101"/>
      <c r="N262" s="101"/>
      <c r="O262" s="101"/>
      <c r="P262" s="101"/>
    </row>
    <row r="263" spans="1:16" x14ac:dyDescent="0.25">
      <c r="A263" s="272" t="s">
        <v>23</v>
      </c>
      <c r="B263" s="98">
        <f>(C247+D247)/2</f>
        <v>0.94926470588235301</v>
      </c>
      <c r="C263" s="98">
        <f>(B248+D248)/2</f>
        <v>0.97463235294117645</v>
      </c>
      <c r="D263" s="98">
        <f>(B249+C249)/2</f>
        <v>0.97463235294117645</v>
      </c>
      <c r="E263" s="97"/>
      <c r="F263" s="98" t="s">
        <v>23</v>
      </c>
      <c r="G263" s="98">
        <f>(H247+I247)/2</f>
        <v>0.95039215686274514</v>
      </c>
      <c r="H263" s="98">
        <f>(G248+I248)/2</f>
        <v>0.97519607843137257</v>
      </c>
      <c r="I263" s="98">
        <f>(G249+H249)/2</f>
        <v>0.97519607843137257</v>
      </c>
      <c r="J263" s="101"/>
      <c r="K263" s="101"/>
      <c r="L263" s="101"/>
      <c r="M263" s="101"/>
      <c r="N263" s="101"/>
      <c r="O263" s="101"/>
      <c r="P263" s="101"/>
    </row>
    <row r="264" spans="1:16" x14ac:dyDescent="0.25">
      <c r="J264" s="101"/>
      <c r="K264" s="101"/>
      <c r="L264" s="101"/>
      <c r="M264" s="101"/>
      <c r="N264" s="101"/>
      <c r="O264" s="101"/>
      <c r="P264" s="101"/>
    </row>
    <row r="265" spans="1:16" x14ac:dyDescent="0.25">
      <c r="A265" s="1" t="s">
        <v>176</v>
      </c>
      <c r="J265" s="101"/>
      <c r="K265" s="101"/>
      <c r="L265" s="101"/>
      <c r="M265" s="101"/>
      <c r="N265" s="101"/>
      <c r="O265" s="101"/>
      <c r="P265" s="101"/>
    </row>
    <row r="266" spans="1:16" x14ac:dyDescent="0.25">
      <c r="A266" s="285" t="s">
        <v>234</v>
      </c>
      <c r="B266" s="150" t="s">
        <v>100</v>
      </c>
      <c r="C266" s="150" t="s">
        <v>101</v>
      </c>
      <c r="D266" s="150" t="s">
        <v>120</v>
      </c>
      <c r="J266" s="101"/>
      <c r="K266" s="101"/>
      <c r="L266" s="101"/>
      <c r="M266" s="101"/>
      <c r="N266" s="101"/>
      <c r="O266" s="101"/>
      <c r="P266" s="101"/>
    </row>
    <row r="267" spans="1:16" x14ac:dyDescent="0.25">
      <c r="A267" s="272" t="s">
        <v>24</v>
      </c>
      <c r="B267" s="98">
        <f>(B254+G254)/2</f>
        <v>0.91948529411764701</v>
      </c>
      <c r="C267" s="98">
        <f t="shared" ref="C267:D276" si="137">(C254+H254)/2</f>
        <v>0.95974264705882351</v>
      </c>
      <c r="D267" s="98">
        <f t="shared" si="137"/>
        <v>0.95974264705882351</v>
      </c>
      <c r="J267" s="101"/>
      <c r="K267" s="101"/>
      <c r="L267" s="101"/>
      <c r="M267" s="101"/>
      <c r="N267" s="101"/>
      <c r="O267" s="101"/>
      <c r="P267" s="101"/>
    </row>
    <row r="268" spans="1:16" x14ac:dyDescent="0.25">
      <c r="A268" s="272" t="s">
        <v>13</v>
      </c>
      <c r="B268" s="98">
        <f t="shared" ref="B268:B276" si="138">(B255+G255)/2</f>
        <v>0.96249999999999991</v>
      </c>
      <c r="C268" s="98">
        <f t="shared" si="137"/>
        <v>0.96295343137254896</v>
      </c>
      <c r="D268" s="98">
        <f t="shared" si="137"/>
        <v>0.94194852941176466</v>
      </c>
      <c r="J268" s="101"/>
      <c r="K268" s="101"/>
      <c r="L268" s="101"/>
      <c r="M268" s="101"/>
      <c r="N268" s="101"/>
      <c r="O268" s="101"/>
      <c r="P268" s="101"/>
    </row>
    <row r="269" spans="1:16" x14ac:dyDescent="0.25">
      <c r="A269" s="272" t="s">
        <v>14</v>
      </c>
      <c r="B269" s="98">
        <f t="shared" si="138"/>
        <v>0.96250000000000002</v>
      </c>
      <c r="C269" s="98">
        <f t="shared" si="137"/>
        <v>0.94194852941176477</v>
      </c>
      <c r="D269" s="98">
        <f t="shared" si="137"/>
        <v>0.96295343137254896</v>
      </c>
      <c r="J269" s="101"/>
      <c r="K269" s="101"/>
      <c r="L269" s="101"/>
      <c r="M269" s="101"/>
      <c r="N269" s="101"/>
      <c r="O269" s="101"/>
      <c r="P269" s="101"/>
    </row>
    <row r="270" spans="1:16" x14ac:dyDescent="0.25">
      <c r="A270" s="272" t="s">
        <v>15</v>
      </c>
      <c r="B270" s="98">
        <f t="shared" si="138"/>
        <v>0.95149509803921561</v>
      </c>
      <c r="C270" s="98">
        <f t="shared" si="137"/>
        <v>0.95104166666666667</v>
      </c>
      <c r="D270" s="98">
        <f t="shared" si="137"/>
        <v>0.91903186274509807</v>
      </c>
      <c r="J270" s="101"/>
      <c r="K270" s="101"/>
      <c r="L270" s="101"/>
      <c r="M270" s="101"/>
      <c r="N270" s="101"/>
      <c r="O270" s="101"/>
      <c r="P270" s="101"/>
    </row>
    <row r="271" spans="1:16" x14ac:dyDescent="0.25">
      <c r="A271" s="272" t="s">
        <v>17</v>
      </c>
      <c r="B271" s="98">
        <f t="shared" si="138"/>
        <v>0.96666666666666667</v>
      </c>
      <c r="C271" s="98">
        <f t="shared" si="137"/>
        <v>0.95028186274509796</v>
      </c>
      <c r="D271" s="98">
        <f t="shared" si="137"/>
        <v>0.96712009803921573</v>
      </c>
      <c r="J271" s="101"/>
      <c r="K271" s="101"/>
      <c r="L271" s="101"/>
      <c r="M271" s="101"/>
      <c r="N271" s="101"/>
      <c r="O271" s="101"/>
      <c r="P271" s="101"/>
    </row>
    <row r="272" spans="1:16" x14ac:dyDescent="0.25">
      <c r="A272" s="272" t="s">
        <v>18</v>
      </c>
      <c r="B272" s="98">
        <f t="shared" si="138"/>
        <v>0.94982843137254902</v>
      </c>
      <c r="C272" s="98">
        <f t="shared" si="137"/>
        <v>0.97491421568627445</v>
      </c>
      <c r="D272" s="98">
        <f t="shared" si="137"/>
        <v>0.97491421568627445</v>
      </c>
      <c r="J272" s="101"/>
      <c r="K272" s="101"/>
      <c r="L272" s="101"/>
      <c r="M272" s="101"/>
      <c r="N272" s="101"/>
      <c r="O272" s="101"/>
      <c r="P272" s="101"/>
    </row>
    <row r="273" spans="1:16" x14ac:dyDescent="0.25">
      <c r="A273" s="272" t="s">
        <v>19</v>
      </c>
      <c r="B273" s="98">
        <f t="shared" si="138"/>
        <v>0.98350490196078433</v>
      </c>
      <c r="C273" s="98">
        <f t="shared" si="137"/>
        <v>0.99175245098039222</v>
      </c>
      <c r="D273" s="98">
        <f t="shared" si="137"/>
        <v>0.99175245098039222</v>
      </c>
      <c r="J273" s="101"/>
      <c r="K273" s="101"/>
      <c r="L273" s="101"/>
      <c r="M273" s="101"/>
      <c r="N273" s="101"/>
      <c r="O273" s="101"/>
      <c r="P273" s="101"/>
    </row>
    <row r="274" spans="1:16" x14ac:dyDescent="0.25">
      <c r="A274" s="272" t="s">
        <v>20</v>
      </c>
      <c r="B274" s="98">
        <f t="shared" si="138"/>
        <v>0.98350490196078433</v>
      </c>
      <c r="C274" s="98">
        <f t="shared" si="137"/>
        <v>0.99175245098039222</v>
      </c>
      <c r="D274" s="98">
        <f t="shared" si="137"/>
        <v>0.99175245098039222</v>
      </c>
      <c r="J274" s="101"/>
      <c r="K274" s="101"/>
      <c r="L274" s="101"/>
      <c r="M274" s="101"/>
      <c r="N274" s="101"/>
      <c r="O274" s="101"/>
      <c r="P274" s="101"/>
    </row>
    <row r="275" spans="1:16" x14ac:dyDescent="0.25">
      <c r="A275" s="272" t="s">
        <v>22</v>
      </c>
      <c r="B275" s="98">
        <f t="shared" si="138"/>
        <v>0.94149509803921572</v>
      </c>
      <c r="C275" s="98">
        <f t="shared" si="137"/>
        <v>0.9707475490196078</v>
      </c>
      <c r="D275" s="98">
        <f t="shared" si="137"/>
        <v>0.9707475490196078</v>
      </c>
      <c r="J275" s="101"/>
      <c r="K275" s="101"/>
      <c r="L275" s="101"/>
      <c r="M275" s="101"/>
      <c r="N275" s="101"/>
      <c r="O275" s="101"/>
      <c r="P275" s="101"/>
    </row>
    <row r="276" spans="1:16" x14ac:dyDescent="0.25">
      <c r="A276" s="272" t="s">
        <v>23</v>
      </c>
      <c r="B276" s="98">
        <f t="shared" si="138"/>
        <v>0.94982843137254913</v>
      </c>
      <c r="C276" s="98">
        <f t="shared" si="137"/>
        <v>0.97491421568627445</v>
      </c>
      <c r="D276" s="98">
        <f t="shared" si="137"/>
        <v>0.97491421568627445</v>
      </c>
      <c r="J276" s="101"/>
      <c r="K276" s="101"/>
      <c r="L276" s="101"/>
      <c r="M276" s="101"/>
      <c r="N276" s="101"/>
      <c r="O276" s="101"/>
      <c r="P276" s="101"/>
    </row>
    <row r="277" spans="1:16" x14ac:dyDescent="0.25">
      <c r="J277" s="101"/>
      <c r="K277" s="101"/>
      <c r="L277" s="101"/>
      <c r="M277" s="101"/>
      <c r="N277" s="101"/>
      <c r="O277" s="101"/>
      <c r="P277" s="101"/>
    </row>
    <row r="278" spans="1:16" x14ac:dyDescent="0.25">
      <c r="A278" s="128" t="s">
        <v>145</v>
      </c>
      <c r="B278" s="418"/>
      <c r="C278" s="418"/>
      <c r="D278" s="418"/>
      <c r="E278" s="418"/>
      <c r="J278" s="101"/>
      <c r="K278" s="101"/>
      <c r="L278" s="101"/>
      <c r="M278" s="101"/>
      <c r="N278" s="101"/>
      <c r="O278" s="101"/>
      <c r="P278" s="101"/>
    </row>
    <row r="279" spans="1:16" x14ac:dyDescent="0.25">
      <c r="A279" s="285" t="s">
        <v>234</v>
      </c>
      <c r="B279" s="157" t="s">
        <v>100</v>
      </c>
      <c r="C279" s="157" t="s">
        <v>101</v>
      </c>
      <c r="D279" s="157" t="s">
        <v>120</v>
      </c>
      <c r="E279" s="95" t="s">
        <v>138</v>
      </c>
      <c r="J279" s="101"/>
      <c r="K279" s="101"/>
      <c r="L279" s="101"/>
      <c r="M279" s="101"/>
      <c r="N279" s="101"/>
      <c r="O279" s="101"/>
      <c r="P279" s="101"/>
    </row>
    <row r="280" spans="1:16" x14ac:dyDescent="0.25">
      <c r="A280" s="222" t="s">
        <v>24</v>
      </c>
      <c r="B280" s="98">
        <f>B267/SUM($B267:$D267)</f>
        <v>0.32387982387982389</v>
      </c>
      <c r="C280" s="98">
        <f t="shared" ref="C280:D280" si="139">C267/SUM($B267:$D267)</f>
        <v>0.33806008806008808</v>
      </c>
      <c r="D280" s="98">
        <f t="shared" si="139"/>
        <v>0.33806008806008808</v>
      </c>
      <c r="E280">
        <f>SUM(B280:D280)</f>
        <v>1</v>
      </c>
      <c r="J280" s="101"/>
      <c r="K280" s="101"/>
      <c r="L280" s="101"/>
      <c r="M280" s="101"/>
      <c r="N280" s="101"/>
      <c r="O280" s="101"/>
      <c r="P280" s="101"/>
    </row>
    <row r="281" spans="1:16" x14ac:dyDescent="0.25">
      <c r="A281" s="222" t="s">
        <v>13</v>
      </c>
      <c r="B281" s="98">
        <f t="shared" ref="B281:D281" si="140">B268/SUM($B268:$D268)</f>
        <v>0.33566971536028717</v>
      </c>
      <c r="C281" s="98">
        <f t="shared" si="140"/>
        <v>0.33582784853406272</v>
      </c>
      <c r="D281" s="98">
        <f t="shared" si="140"/>
        <v>0.32850243610565005</v>
      </c>
      <c r="E281">
        <f t="shared" ref="E281:E289" si="141">SUM(B281:D281)</f>
        <v>1</v>
      </c>
      <c r="J281" s="101"/>
      <c r="K281" s="101"/>
      <c r="L281" s="101"/>
      <c r="M281" s="101"/>
      <c r="N281" s="101"/>
      <c r="O281" s="101"/>
      <c r="P281" s="101"/>
    </row>
    <row r="282" spans="1:16" x14ac:dyDescent="0.25">
      <c r="A282" s="222" t="s">
        <v>14</v>
      </c>
      <c r="B282" s="98">
        <f t="shared" ref="B282:D282" si="142">B269/SUM($B269:$D269)</f>
        <v>0.33566971536028722</v>
      </c>
      <c r="C282" s="98">
        <f t="shared" si="142"/>
        <v>0.32850243610565011</v>
      </c>
      <c r="D282" s="98">
        <f t="shared" si="142"/>
        <v>0.33582784853406272</v>
      </c>
      <c r="E282">
        <f t="shared" si="141"/>
        <v>1</v>
      </c>
      <c r="J282" s="101"/>
      <c r="K282" s="101"/>
    </row>
    <row r="283" spans="1:16" x14ac:dyDescent="0.25">
      <c r="A283" s="222" t="s">
        <v>15</v>
      </c>
      <c r="B283" s="98">
        <f t="shared" ref="B283:D283" si="143">B270/SUM($B270:$D270)</f>
        <v>0.33722202918693539</v>
      </c>
      <c r="C283" s="98">
        <f t="shared" si="143"/>
        <v>0.33706132731063243</v>
      </c>
      <c r="D283" s="98">
        <f t="shared" si="143"/>
        <v>0.32571664350243229</v>
      </c>
      <c r="E283">
        <f t="shared" si="141"/>
        <v>1.0000000000000002</v>
      </c>
      <c r="J283" s="101"/>
      <c r="K283" s="101"/>
    </row>
    <row r="284" spans="1:16" x14ac:dyDescent="0.25">
      <c r="A284" s="222" t="s">
        <v>17</v>
      </c>
      <c r="B284" s="98">
        <f t="shared" ref="B284:D284" si="144">B271/SUM($B271:$D271)</f>
        <v>0.3351746409450157</v>
      </c>
      <c r="C284" s="98">
        <f t="shared" si="144"/>
        <v>0.32949349876774026</v>
      </c>
      <c r="D284" s="98">
        <f t="shared" si="144"/>
        <v>0.33533186028724399</v>
      </c>
      <c r="E284">
        <f t="shared" si="141"/>
        <v>1</v>
      </c>
      <c r="J284" s="101"/>
      <c r="K284" s="101"/>
    </row>
    <row r="285" spans="1:16" x14ac:dyDescent="0.25">
      <c r="A285" s="222" t="s">
        <v>18</v>
      </c>
      <c r="B285" s="98">
        <f t="shared" ref="B285:D285" si="145">B272/SUM($B272:$D272)</f>
        <v>0.32756580393217588</v>
      </c>
      <c r="C285" s="98">
        <f t="shared" si="145"/>
        <v>0.33621709803391209</v>
      </c>
      <c r="D285" s="98">
        <f t="shared" si="145"/>
        <v>0.33621709803391209</v>
      </c>
      <c r="E285">
        <f t="shared" si="141"/>
        <v>1</v>
      </c>
      <c r="J285" s="101"/>
      <c r="K285" s="101"/>
    </row>
    <row r="286" spans="1:16" x14ac:dyDescent="0.25">
      <c r="A286" s="222" t="s">
        <v>19</v>
      </c>
      <c r="B286" s="98">
        <f t="shared" ref="B286:D286" si="146">B273/SUM($B273:$D273)</f>
        <v>0.33148016587638574</v>
      </c>
      <c r="C286" s="98">
        <f t="shared" si="146"/>
        <v>0.33425991706180713</v>
      </c>
      <c r="D286" s="98">
        <f t="shared" si="146"/>
        <v>0.33425991706180713</v>
      </c>
      <c r="E286">
        <f t="shared" si="141"/>
        <v>1</v>
      </c>
      <c r="J286" s="101"/>
      <c r="K286" s="101"/>
    </row>
    <row r="287" spans="1:16" x14ac:dyDescent="0.25">
      <c r="A287" s="222" t="s">
        <v>20</v>
      </c>
      <c r="B287" s="98">
        <f t="shared" ref="B287:D287" si="147">B274/SUM($B274:$D274)</f>
        <v>0.33148016587638574</v>
      </c>
      <c r="C287" s="98">
        <f t="shared" si="147"/>
        <v>0.33425991706180713</v>
      </c>
      <c r="D287" s="98">
        <f t="shared" si="147"/>
        <v>0.33425991706180713</v>
      </c>
      <c r="E287">
        <f t="shared" si="141"/>
        <v>1</v>
      </c>
      <c r="J287" s="101"/>
      <c r="K287" s="101"/>
    </row>
    <row r="288" spans="1:16" x14ac:dyDescent="0.25">
      <c r="A288" s="222" t="s">
        <v>22</v>
      </c>
      <c r="B288" s="98">
        <f t="shared" ref="B288:D288" si="148">B275/SUM($B275:$D275)</f>
        <v>0.32656895584309592</v>
      </c>
      <c r="C288" s="98">
        <f t="shared" si="148"/>
        <v>0.33671552207845207</v>
      </c>
      <c r="D288" s="98">
        <f t="shared" si="148"/>
        <v>0.33671552207845207</v>
      </c>
      <c r="E288">
        <f t="shared" si="141"/>
        <v>1</v>
      </c>
      <c r="J288" s="101"/>
      <c r="K288" s="101"/>
    </row>
    <row r="289" spans="1:11" x14ac:dyDescent="0.25">
      <c r="A289" s="222" t="s">
        <v>23</v>
      </c>
      <c r="B289" s="98">
        <f t="shared" ref="B289:D289" si="149">B276/SUM($B276:$D276)</f>
        <v>0.32756580393217594</v>
      </c>
      <c r="C289" s="98">
        <f t="shared" si="149"/>
        <v>0.33621709803391209</v>
      </c>
      <c r="D289" s="98">
        <f t="shared" si="149"/>
        <v>0.33621709803391209</v>
      </c>
      <c r="E289">
        <f t="shared" si="141"/>
        <v>1</v>
      </c>
      <c r="J289" s="101"/>
      <c r="K289" s="101"/>
    </row>
    <row r="290" spans="1:11" x14ac:dyDescent="0.25">
      <c r="A290" s="92"/>
      <c r="J290" s="101"/>
      <c r="K290" s="101"/>
    </row>
    <row r="291" spans="1:11" x14ac:dyDescent="0.25">
      <c r="A291" s="128" t="s">
        <v>154</v>
      </c>
      <c r="B291" s="418"/>
      <c r="C291" s="418"/>
      <c r="D291" s="418"/>
      <c r="E291" s="418"/>
      <c r="J291" s="101"/>
      <c r="K291" s="101"/>
    </row>
    <row r="292" spans="1:11" x14ac:dyDescent="0.25">
      <c r="A292" s="285" t="s">
        <v>234</v>
      </c>
      <c r="B292" s="157" t="s">
        <v>100</v>
      </c>
      <c r="C292" s="157" t="s">
        <v>101</v>
      </c>
      <c r="D292" s="157" t="s">
        <v>120</v>
      </c>
      <c r="E292" s="95" t="s">
        <v>138</v>
      </c>
    </row>
    <row r="293" spans="1:11" x14ac:dyDescent="0.25">
      <c r="A293" s="222" t="s">
        <v>24</v>
      </c>
      <c r="B293" s="98">
        <f t="shared" ref="B293:B302" si="150">$C$187*$C$180+$C$188*B280</f>
        <v>0.31432789432789432</v>
      </c>
      <c r="C293" s="98">
        <f t="shared" ref="C293:C302" si="151">$C$187*$C$181+$C$188*C280</f>
        <v>0.32283605283605282</v>
      </c>
      <c r="D293" s="98">
        <f t="shared" ref="D293:D302" si="152">$C$187*$C$182+$C$188*D280</f>
        <v>0.36283605283605286</v>
      </c>
      <c r="E293">
        <f>SUM(B293:D293)</f>
        <v>1</v>
      </c>
    </row>
    <row r="294" spans="1:11" x14ac:dyDescent="0.25">
      <c r="A294" s="222" t="s">
        <v>13</v>
      </c>
      <c r="B294" s="98">
        <f t="shared" si="150"/>
        <v>0.32140182921617227</v>
      </c>
      <c r="C294" s="98">
        <f t="shared" si="151"/>
        <v>0.3214967091204376</v>
      </c>
      <c r="D294" s="98">
        <f t="shared" si="152"/>
        <v>0.35710146166339002</v>
      </c>
      <c r="E294">
        <f t="shared" ref="E294:E302" si="153">SUM(B294:D294)</f>
        <v>1</v>
      </c>
    </row>
    <row r="295" spans="1:11" x14ac:dyDescent="0.25">
      <c r="A295" s="222" t="s">
        <v>14</v>
      </c>
      <c r="B295" s="98">
        <f t="shared" si="150"/>
        <v>0.32140182921617233</v>
      </c>
      <c r="C295" s="98">
        <f t="shared" si="151"/>
        <v>0.31710146166339004</v>
      </c>
      <c r="D295" s="98">
        <f t="shared" si="152"/>
        <v>0.36149670912043763</v>
      </c>
      <c r="E295">
        <f t="shared" si="153"/>
        <v>1</v>
      </c>
    </row>
    <row r="296" spans="1:11" x14ac:dyDescent="0.25">
      <c r="A296" s="222" t="s">
        <v>15</v>
      </c>
      <c r="B296" s="98">
        <f t="shared" si="150"/>
        <v>0.32233321751216121</v>
      </c>
      <c r="C296" s="98">
        <f t="shared" si="151"/>
        <v>0.32223679638637942</v>
      </c>
      <c r="D296" s="98">
        <f t="shared" si="152"/>
        <v>0.35542998610145937</v>
      </c>
      <c r="E296">
        <f t="shared" si="153"/>
        <v>1</v>
      </c>
    </row>
    <row r="297" spans="1:11" x14ac:dyDescent="0.25">
      <c r="A297" s="222" t="s">
        <v>17</v>
      </c>
      <c r="B297" s="98">
        <f t="shared" si="150"/>
        <v>0.32110478456700942</v>
      </c>
      <c r="C297" s="98">
        <f t="shared" si="151"/>
        <v>0.31769609926064413</v>
      </c>
      <c r="D297" s="98">
        <f t="shared" si="152"/>
        <v>0.3611991161723464</v>
      </c>
      <c r="E297">
        <f t="shared" si="153"/>
        <v>1</v>
      </c>
    </row>
    <row r="298" spans="1:11" x14ac:dyDescent="0.25">
      <c r="A298" s="222" t="s">
        <v>18</v>
      </c>
      <c r="B298" s="98">
        <f t="shared" si="150"/>
        <v>0.31653948235930551</v>
      </c>
      <c r="C298" s="98">
        <f t="shared" si="151"/>
        <v>0.32173025882034723</v>
      </c>
      <c r="D298" s="98">
        <f t="shared" si="152"/>
        <v>0.36173025882034726</v>
      </c>
      <c r="E298">
        <f t="shared" si="153"/>
        <v>1</v>
      </c>
    </row>
    <row r="299" spans="1:11" x14ac:dyDescent="0.25">
      <c r="A299" s="222" t="s">
        <v>19</v>
      </c>
      <c r="B299" s="98">
        <f t="shared" si="150"/>
        <v>0.31888809952583141</v>
      </c>
      <c r="C299" s="98">
        <f t="shared" si="151"/>
        <v>0.32055595023708428</v>
      </c>
      <c r="D299" s="98">
        <f t="shared" si="152"/>
        <v>0.36055595023708431</v>
      </c>
      <c r="E299">
        <f t="shared" si="153"/>
        <v>1</v>
      </c>
    </row>
    <row r="300" spans="1:11" x14ac:dyDescent="0.25">
      <c r="A300" s="222" t="s">
        <v>20</v>
      </c>
      <c r="B300" s="98">
        <f t="shared" si="150"/>
        <v>0.31888809952583141</v>
      </c>
      <c r="C300" s="98">
        <f t="shared" si="151"/>
        <v>0.32055595023708428</v>
      </c>
      <c r="D300" s="98">
        <f t="shared" si="152"/>
        <v>0.36055595023708431</v>
      </c>
      <c r="E300">
        <f t="shared" si="153"/>
        <v>1</v>
      </c>
    </row>
    <row r="301" spans="1:11" x14ac:dyDescent="0.25">
      <c r="A301" s="222" t="s">
        <v>22</v>
      </c>
      <c r="B301" s="98">
        <f t="shared" si="150"/>
        <v>0.31594137350585755</v>
      </c>
      <c r="C301" s="98">
        <f t="shared" si="151"/>
        <v>0.32202931324707124</v>
      </c>
      <c r="D301" s="98">
        <f t="shared" si="152"/>
        <v>0.36202931324707122</v>
      </c>
      <c r="E301">
        <f t="shared" si="153"/>
        <v>1</v>
      </c>
    </row>
    <row r="302" spans="1:11" x14ac:dyDescent="0.25">
      <c r="A302" s="222" t="s">
        <v>23</v>
      </c>
      <c r="B302" s="98">
        <f t="shared" si="150"/>
        <v>0.31653948235930551</v>
      </c>
      <c r="C302" s="98">
        <f t="shared" si="151"/>
        <v>0.32173025882034723</v>
      </c>
      <c r="D302" s="98">
        <f t="shared" si="152"/>
        <v>0.36173025882034726</v>
      </c>
      <c r="E302">
        <f t="shared" si="153"/>
        <v>1</v>
      </c>
    </row>
    <row r="304" spans="1:11" ht="15.75" thickBot="1" x14ac:dyDescent="0.3">
      <c r="A304" s="1" t="s">
        <v>306</v>
      </c>
    </row>
    <row r="305" spans="1:41" ht="15.75" thickBot="1" x14ac:dyDescent="0.3">
      <c r="A305" s="456" t="s">
        <v>284</v>
      </c>
      <c r="B305" s="443" t="s">
        <v>121</v>
      </c>
      <c r="C305" s="441"/>
      <c r="D305" s="441"/>
      <c r="E305" s="441"/>
      <c r="F305" s="441"/>
      <c r="G305" s="441"/>
      <c r="H305" s="441"/>
      <c r="I305" s="442"/>
      <c r="J305" s="443" t="s">
        <v>122</v>
      </c>
      <c r="K305" s="441"/>
      <c r="L305" s="441"/>
      <c r="M305" s="441"/>
      <c r="N305" s="441"/>
      <c r="O305" s="441"/>
      <c r="P305" s="441"/>
      <c r="Q305" s="442"/>
      <c r="R305" s="443" t="s">
        <v>123</v>
      </c>
      <c r="S305" s="441"/>
      <c r="T305" s="441"/>
      <c r="U305" s="441"/>
      <c r="V305" s="441"/>
      <c r="W305" s="441"/>
      <c r="X305" s="441"/>
      <c r="Y305" s="442"/>
    </row>
    <row r="306" spans="1:41" ht="15.75" thickBot="1" x14ac:dyDescent="0.3">
      <c r="A306" s="467"/>
      <c r="B306" s="438" t="s">
        <v>3</v>
      </c>
      <c r="C306" s="452"/>
      <c r="D306" s="452"/>
      <c r="E306" s="453"/>
      <c r="F306" s="443" t="s">
        <v>4</v>
      </c>
      <c r="G306" s="452"/>
      <c r="H306" s="452"/>
      <c r="I306" s="453"/>
      <c r="J306" s="438" t="s">
        <v>3</v>
      </c>
      <c r="K306" s="452"/>
      <c r="L306" s="452"/>
      <c r="M306" s="453"/>
      <c r="N306" s="443" t="s">
        <v>4</v>
      </c>
      <c r="O306" s="452"/>
      <c r="P306" s="452"/>
      <c r="Q306" s="453"/>
      <c r="R306" s="438" t="s">
        <v>3</v>
      </c>
      <c r="S306" s="452"/>
      <c r="T306" s="452"/>
      <c r="U306" s="453"/>
      <c r="V306" s="443" t="s">
        <v>4</v>
      </c>
      <c r="W306" s="452"/>
      <c r="X306" s="452"/>
      <c r="Y306" s="453"/>
    </row>
    <row r="307" spans="1:41" x14ac:dyDescent="0.25">
      <c r="A307" s="281" t="s">
        <v>24</v>
      </c>
      <c r="B307" s="12">
        <f t="shared" ref="B307:B316" si="154">BG14</f>
        <v>12.825000000000001</v>
      </c>
      <c r="C307" s="13">
        <f t="shared" ref="C307:C316" si="155">BH14</f>
        <v>22.5</v>
      </c>
      <c r="D307" s="13">
        <f t="shared" ref="D307:D316" si="156">BI14</f>
        <v>25.5</v>
      </c>
      <c r="E307" s="14">
        <f t="shared" ref="E307:E316" si="157">BJ14</f>
        <v>25.5</v>
      </c>
      <c r="F307" s="12">
        <f t="shared" ref="F307:F316" si="158">BK14</f>
        <v>15</v>
      </c>
      <c r="G307" s="13">
        <f t="shared" ref="G307:G316" si="159">BL14</f>
        <v>22.5</v>
      </c>
      <c r="H307" s="13">
        <f t="shared" ref="H307:H316" si="160">BM14</f>
        <v>25.5</v>
      </c>
      <c r="I307" s="102">
        <f t="shared" ref="I307:I316" si="161">BN14</f>
        <v>25.5</v>
      </c>
      <c r="J307" s="12">
        <f t="shared" ref="J307:J316" si="162">BG66</f>
        <v>10.9</v>
      </c>
      <c r="K307" s="13">
        <f t="shared" ref="K307:K316" si="163">BH66</f>
        <v>20</v>
      </c>
      <c r="L307" s="13">
        <f t="shared" ref="L307:L316" si="164">BI66</f>
        <v>23</v>
      </c>
      <c r="M307" s="14">
        <f t="shared" ref="M307:M316" si="165">BJ66</f>
        <v>24.5</v>
      </c>
      <c r="N307" s="12">
        <f t="shared" ref="N307:N316" si="166">BK66</f>
        <v>13</v>
      </c>
      <c r="O307" s="13">
        <f t="shared" ref="O307:O316" si="167">BL66</f>
        <v>20</v>
      </c>
      <c r="P307" s="13">
        <f t="shared" ref="P307:P316" si="168">BM66</f>
        <v>23</v>
      </c>
      <c r="Q307" s="14">
        <f t="shared" ref="Q307:Q316" si="169">BN66</f>
        <v>24</v>
      </c>
      <c r="R307" s="12">
        <f t="shared" ref="R307:R316" si="170">BG118</f>
        <v>10.9</v>
      </c>
      <c r="S307" s="13">
        <f t="shared" ref="S307:S316" si="171">BH118</f>
        <v>20</v>
      </c>
      <c r="T307" s="13">
        <f t="shared" ref="T307:T316" si="172">BI118</f>
        <v>23</v>
      </c>
      <c r="U307" s="14">
        <f t="shared" ref="U307:U316" si="173">BJ118</f>
        <v>24.5</v>
      </c>
      <c r="V307" s="12">
        <f t="shared" ref="V307:V316" si="174">BK118</f>
        <v>13</v>
      </c>
      <c r="W307" s="13">
        <f t="shared" ref="W307:W316" si="175">BL118</f>
        <v>20</v>
      </c>
      <c r="X307" s="13">
        <f t="shared" ref="X307:X316" si="176">BM118</f>
        <v>23</v>
      </c>
      <c r="Y307" s="14">
        <f t="shared" ref="Y307:Y316" si="177">BN118</f>
        <v>24</v>
      </c>
    </row>
    <row r="308" spans="1:41" x14ac:dyDescent="0.25">
      <c r="A308" s="282" t="s">
        <v>13</v>
      </c>
      <c r="B308" s="103">
        <f t="shared" si="154"/>
        <v>6.7500000000000009</v>
      </c>
      <c r="C308" s="98">
        <f t="shared" si="155"/>
        <v>11.625</v>
      </c>
      <c r="D308" s="98">
        <f t="shared" si="156"/>
        <v>15.045</v>
      </c>
      <c r="E308" s="104">
        <f t="shared" si="157"/>
        <v>17.934999999999999</v>
      </c>
      <c r="F308" s="103">
        <f t="shared" si="158"/>
        <v>7.9750000000000005</v>
      </c>
      <c r="G308" s="98">
        <f t="shared" si="159"/>
        <v>11.625</v>
      </c>
      <c r="H308" s="98">
        <f t="shared" si="160"/>
        <v>15.045</v>
      </c>
      <c r="I308" s="105">
        <f t="shared" si="161"/>
        <v>17.085000000000001</v>
      </c>
      <c r="J308" s="103">
        <f t="shared" si="162"/>
        <v>6.625</v>
      </c>
      <c r="K308" s="98">
        <f t="shared" si="163"/>
        <v>12.5</v>
      </c>
      <c r="L308" s="98">
        <f t="shared" si="164"/>
        <v>14.5</v>
      </c>
      <c r="M308" s="104">
        <f t="shared" si="165"/>
        <v>17.87</v>
      </c>
      <c r="N308" s="103">
        <f t="shared" si="166"/>
        <v>8</v>
      </c>
      <c r="O308" s="98">
        <f t="shared" si="167"/>
        <v>12.5</v>
      </c>
      <c r="P308" s="98">
        <f t="shared" si="168"/>
        <v>14.5</v>
      </c>
      <c r="Q308" s="104">
        <f t="shared" si="169"/>
        <v>16.774999999999999</v>
      </c>
      <c r="R308" s="103">
        <f t="shared" si="170"/>
        <v>6.7500000000000009</v>
      </c>
      <c r="S308" s="98">
        <f t="shared" si="171"/>
        <v>12.725</v>
      </c>
      <c r="T308" s="98">
        <f t="shared" si="172"/>
        <v>17.685000000000002</v>
      </c>
      <c r="U308" s="104">
        <f t="shared" si="173"/>
        <v>20.024999999999999</v>
      </c>
      <c r="V308" s="103">
        <f t="shared" si="174"/>
        <v>8.0549999999999997</v>
      </c>
      <c r="W308" s="98">
        <f t="shared" si="175"/>
        <v>12.725</v>
      </c>
      <c r="X308" s="98">
        <f t="shared" si="176"/>
        <v>17.685000000000002</v>
      </c>
      <c r="Y308" s="104">
        <f t="shared" si="177"/>
        <v>19.37</v>
      </c>
    </row>
    <row r="309" spans="1:41" x14ac:dyDescent="0.25">
      <c r="A309" s="282" t="s">
        <v>14</v>
      </c>
      <c r="B309" s="103">
        <f t="shared" si="154"/>
        <v>2.4750000000000005</v>
      </c>
      <c r="C309" s="98">
        <f t="shared" si="155"/>
        <v>4.125</v>
      </c>
      <c r="D309" s="98">
        <f t="shared" si="156"/>
        <v>6.5449999999999999</v>
      </c>
      <c r="E309" s="104">
        <f t="shared" si="157"/>
        <v>11.305</v>
      </c>
      <c r="F309" s="103">
        <f t="shared" si="158"/>
        <v>2.9750000000000005</v>
      </c>
      <c r="G309" s="98">
        <f t="shared" si="159"/>
        <v>4.125</v>
      </c>
      <c r="H309" s="98">
        <f t="shared" si="160"/>
        <v>6.5449999999999999</v>
      </c>
      <c r="I309" s="105">
        <f t="shared" si="161"/>
        <v>9.8600000000000012</v>
      </c>
      <c r="J309" s="103">
        <f t="shared" si="162"/>
        <v>2.4750000000000005</v>
      </c>
      <c r="K309" s="98">
        <f t="shared" si="163"/>
        <v>5.2249999999999996</v>
      </c>
      <c r="L309" s="98">
        <f t="shared" si="164"/>
        <v>9.1850000000000005</v>
      </c>
      <c r="M309" s="104">
        <f t="shared" si="165"/>
        <v>13.395</v>
      </c>
      <c r="N309" s="103">
        <f t="shared" si="166"/>
        <v>3.0550000000000006</v>
      </c>
      <c r="O309" s="98">
        <f t="shared" si="167"/>
        <v>5.2249999999999996</v>
      </c>
      <c r="P309" s="98">
        <f t="shared" si="168"/>
        <v>9.1850000000000005</v>
      </c>
      <c r="Q309" s="104">
        <f t="shared" si="169"/>
        <v>12.145000000000001</v>
      </c>
      <c r="R309" s="103">
        <f t="shared" si="170"/>
        <v>2.3499999999999996</v>
      </c>
      <c r="S309" s="98">
        <f t="shared" si="171"/>
        <v>5</v>
      </c>
      <c r="T309" s="98">
        <f t="shared" si="172"/>
        <v>6</v>
      </c>
      <c r="U309" s="104">
        <f t="shared" si="173"/>
        <v>11.240000000000002</v>
      </c>
      <c r="V309" s="103">
        <f t="shared" si="174"/>
        <v>3</v>
      </c>
      <c r="W309" s="98">
        <f t="shared" si="175"/>
        <v>5</v>
      </c>
      <c r="X309" s="98">
        <f t="shared" si="176"/>
        <v>6</v>
      </c>
      <c r="Y309" s="104">
        <f t="shared" si="177"/>
        <v>9.5500000000000007</v>
      </c>
    </row>
    <row r="310" spans="1:41" x14ac:dyDescent="0.25">
      <c r="A310" s="282" t="s">
        <v>15</v>
      </c>
      <c r="B310" s="103">
        <f t="shared" si="154"/>
        <v>11.025000000000002</v>
      </c>
      <c r="C310" s="98">
        <f t="shared" si="155"/>
        <v>19.125</v>
      </c>
      <c r="D310" s="98">
        <f t="shared" si="156"/>
        <v>23.545000000000002</v>
      </c>
      <c r="E310" s="104">
        <f t="shared" si="157"/>
        <v>24.564999999999998</v>
      </c>
      <c r="F310" s="103">
        <f t="shared" si="158"/>
        <v>12.975000000000001</v>
      </c>
      <c r="G310" s="98">
        <f t="shared" si="159"/>
        <v>19.125</v>
      </c>
      <c r="H310" s="98">
        <f t="shared" si="160"/>
        <v>23.545000000000002</v>
      </c>
      <c r="I310" s="105">
        <f t="shared" si="161"/>
        <v>24.310000000000002</v>
      </c>
      <c r="J310" s="103">
        <f t="shared" si="162"/>
        <v>10.9</v>
      </c>
      <c r="K310" s="98">
        <f t="shared" si="163"/>
        <v>20</v>
      </c>
      <c r="L310" s="98">
        <f t="shared" si="164"/>
        <v>23</v>
      </c>
      <c r="M310" s="104">
        <f t="shared" si="165"/>
        <v>24.5</v>
      </c>
      <c r="N310" s="103">
        <f t="shared" si="166"/>
        <v>13</v>
      </c>
      <c r="O310" s="98">
        <f t="shared" si="167"/>
        <v>20</v>
      </c>
      <c r="P310" s="98">
        <f t="shared" si="168"/>
        <v>23</v>
      </c>
      <c r="Q310" s="104">
        <f t="shared" si="169"/>
        <v>24</v>
      </c>
      <c r="R310" s="103">
        <f t="shared" si="170"/>
        <v>9.1000000000000014</v>
      </c>
      <c r="S310" s="98">
        <f t="shared" si="171"/>
        <v>16.625</v>
      </c>
      <c r="T310" s="98">
        <f t="shared" si="172"/>
        <v>21.045000000000002</v>
      </c>
      <c r="U310" s="104">
        <f t="shared" si="173"/>
        <v>23.564999999999998</v>
      </c>
      <c r="V310" s="103">
        <f t="shared" si="174"/>
        <v>10.975000000000001</v>
      </c>
      <c r="W310" s="98">
        <f t="shared" si="175"/>
        <v>16.625</v>
      </c>
      <c r="X310" s="98">
        <f t="shared" si="176"/>
        <v>21.045000000000002</v>
      </c>
      <c r="Y310" s="104">
        <f t="shared" si="177"/>
        <v>22.810000000000002</v>
      </c>
    </row>
    <row r="311" spans="1:41" x14ac:dyDescent="0.25">
      <c r="A311" s="282" t="s">
        <v>17</v>
      </c>
      <c r="B311" s="103">
        <f t="shared" si="154"/>
        <v>4.9500000000000011</v>
      </c>
      <c r="C311" s="98">
        <f t="shared" si="155"/>
        <v>9.9</v>
      </c>
      <c r="D311" s="98">
        <f t="shared" si="156"/>
        <v>16.829999999999998</v>
      </c>
      <c r="E311" s="104">
        <f t="shared" si="157"/>
        <v>19.805</v>
      </c>
      <c r="F311" s="103">
        <f t="shared" si="158"/>
        <v>6.1800000000000015</v>
      </c>
      <c r="G311" s="98">
        <f t="shared" si="159"/>
        <v>9.9</v>
      </c>
      <c r="H311" s="98">
        <f t="shared" si="160"/>
        <v>16.829999999999998</v>
      </c>
      <c r="I311" s="105">
        <f t="shared" si="161"/>
        <v>19.04</v>
      </c>
      <c r="J311" s="103">
        <f t="shared" si="162"/>
        <v>6.3250000000000011</v>
      </c>
      <c r="K311" s="98">
        <f t="shared" si="163"/>
        <v>11</v>
      </c>
      <c r="L311" s="98">
        <f t="shared" si="164"/>
        <v>17.71</v>
      </c>
      <c r="M311" s="104">
        <f t="shared" si="165"/>
        <v>21.625</v>
      </c>
      <c r="N311" s="103">
        <f t="shared" si="166"/>
        <v>7.7500000000000018</v>
      </c>
      <c r="O311" s="98">
        <f t="shared" si="167"/>
        <v>11</v>
      </c>
      <c r="P311" s="98">
        <f t="shared" si="168"/>
        <v>17.71</v>
      </c>
      <c r="Q311" s="104">
        <f t="shared" si="169"/>
        <v>20.550000000000004</v>
      </c>
      <c r="R311" s="103">
        <f t="shared" si="170"/>
        <v>4.8250000000000002</v>
      </c>
      <c r="S311" s="98">
        <f t="shared" si="171"/>
        <v>10.775</v>
      </c>
      <c r="T311" s="98">
        <f t="shared" si="172"/>
        <v>16.285</v>
      </c>
      <c r="U311" s="104">
        <f t="shared" si="173"/>
        <v>19.740000000000002</v>
      </c>
      <c r="V311" s="103">
        <f t="shared" si="174"/>
        <v>6.2050000000000001</v>
      </c>
      <c r="W311" s="98">
        <f t="shared" si="175"/>
        <v>10.775</v>
      </c>
      <c r="X311" s="98">
        <f t="shared" si="176"/>
        <v>16.285</v>
      </c>
      <c r="Y311" s="104">
        <f t="shared" si="177"/>
        <v>18.73</v>
      </c>
    </row>
    <row r="312" spans="1:41" x14ac:dyDescent="0.25">
      <c r="A312" s="282" t="s">
        <v>18</v>
      </c>
      <c r="B312" s="103">
        <f t="shared" si="154"/>
        <v>0</v>
      </c>
      <c r="C312" s="98">
        <f t="shared" si="155"/>
        <v>4.95</v>
      </c>
      <c r="D312" s="98">
        <f t="shared" si="156"/>
        <v>11.22</v>
      </c>
      <c r="E312" s="104">
        <f t="shared" si="157"/>
        <v>14.025000000000002</v>
      </c>
      <c r="F312" s="103">
        <f t="shared" si="158"/>
        <v>0.69</v>
      </c>
      <c r="G312" s="98">
        <f t="shared" si="159"/>
        <v>4.95</v>
      </c>
      <c r="H312" s="98">
        <f t="shared" si="160"/>
        <v>11.22</v>
      </c>
      <c r="I312" s="105">
        <f t="shared" si="161"/>
        <v>13.26</v>
      </c>
      <c r="J312" s="103">
        <f t="shared" si="162"/>
        <v>1.375</v>
      </c>
      <c r="K312" s="98">
        <f t="shared" si="163"/>
        <v>6.0500000000000007</v>
      </c>
      <c r="L312" s="98">
        <f t="shared" si="164"/>
        <v>12.1</v>
      </c>
      <c r="M312" s="104">
        <f t="shared" si="165"/>
        <v>15.845000000000002</v>
      </c>
      <c r="N312" s="103">
        <f t="shared" si="166"/>
        <v>2.2600000000000007</v>
      </c>
      <c r="O312" s="98">
        <f t="shared" si="167"/>
        <v>6.0500000000000007</v>
      </c>
      <c r="P312" s="98">
        <f t="shared" si="168"/>
        <v>12.1</v>
      </c>
      <c r="Q312" s="104">
        <f t="shared" si="169"/>
        <v>14.770000000000001</v>
      </c>
      <c r="R312" s="103">
        <f t="shared" si="170"/>
        <v>1.375</v>
      </c>
      <c r="S312" s="98">
        <f t="shared" si="171"/>
        <v>6.0500000000000007</v>
      </c>
      <c r="T312" s="98">
        <f t="shared" si="172"/>
        <v>12.1</v>
      </c>
      <c r="U312" s="104">
        <f t="shared" si="173"/>
        <v>15.845000000000002</v>
      </c>
      <c r="V312" s="103">
        <f t="shared" si="174"/>
        <v>2.2600000000000007</v>
      </c>
      <c r="W312" s="98">
        <f t="shared" si="175"/>
        <v>6.0500000000000007</v>
      </c>
      <c r="X312" s="98">
        <f t="shared" si="176"/>
        <v>12.1</v>
      </c>
      <c r="Y312" s="104">
        <f t="shared" si="177"/>
        <v>14.770000000000001</v>
      </c>
    </row>
    <row r="313" spans="1:41" x14ac:dyDescent="0.25">
      <c r="A313" s="282" t="s">
        <v>19</v>
      </c>
      <c r="B313" s="103">
        <f t="shared" si="154"/>
        <v>4.9500000000000011</v>
      </c>
      <c r="C313" s="98">
        <f t="shared" si="155"/>
        <v>8.25</v>
      </c>
      <c r="D313" s="98">
        <f t="shared" si="156"/>
        <v>13.09</v>
      </c>
      <c r="E313" s="104">
        <f t="shared" si="157"/>
        <v>17</v>
      </c>
      <c r="F313" s="103">
        <f t="shared" si="158"/>
        <v>5.9500000000000011</v>
      </c>
      <c r="G313" s="98">
        <f t="shared" si="159"/>
        <v>8.25</v>
      </c>
      <c r="H313" s="98">
        <f t="shared" si="160"/>
        <v>13.09</v>
      </c>
      <c r="I313" s="105">
        <f t="shared" si="161"/>
        <v>15.895000000000001</v>
      </c>
      <c r="J313" s="103">
        <f t="shared" si="162"/>
        <v>4.8250000000000002</v>
      </c>
      <c r="K313" s="98">
        <f t="shared" si="163"/>
        <v>9.125</v>
      </c>
      <c r="L313" s="98">
        <f t="shared" si="164"/>
        <v>12.545</v>
      </c>
      <c r="M313" s="104">
        <f t="shared" si="165"/>
        <v>16.934999999999999</v>
      </c>
      <c r="N313" s="103">
        <f t="shared" si="166"/>
        <v>5.9750000000000005</v>
      </c>
      <c r="O313" s="98">
        <f t="shared" si="167"/>
        <v>9.125</v>
      </c>
      <c r="P313" s="98">
        <f t="shared" si="168"/>
        <v>12.545</v>
      </c>
      <c r="Q313" s="104">
        <f t="shared" si="169"/>
        <v>15.585000000000001</v>
      </c>
      <c r="R313" s="103">
        <f t="shared" si="170"/>
        <v>4.8250000000000002</v>
      </c>
      <c r="S313" s="98">
        <f t="shared" si="171"/>
        <v>9.125</v>
      </c>
      <c r="T313" s="98">
        <f t="shared" si="172"/>
        <v>12.545</v>
      </c>
      <c r="U313" s="104">
        <f t="shared" si="173"/>
        <v>16.934999999999999</v>
      </c>
      <c r="V313" s="103">
        <f t="shared" si="174"/>
        <v>5.9750000000000005</v>
      </c>
      <c r="W313" s="98">
        <f t="shared" si="175"/>
        <v>9.125</v>
      </c>
      <c r="X313" s="98">
        <f t="shared" si="176"/>
        <v>12.545</v>
      </c>
      <c r="Y313" s="104">
        <f t="shared" si="177"/>
        <v>15.585000000000001</v>
      </c>
    </row>
    <row r="314" spans="1:41" x14ac:dyDescent="0.25">
      <c r="A314" s="282" t="s">
        <v>20</v>
      </c>
      <c r="B314" s="103">
        <f t="shared" si="154"/>
        <v>7.4250000000000016</v>
      </c>
      <c r="C314" s="98">
        <f t="shared" si="155"/>
        <v>12.375</v>
      </c>
      <c r="D314" s="98">
        <f t="shared" si="156"/>
        <v>19.634999999999998</v>
      </c>
      <c r="E314" s="104">
        <f t="shared" si="157"/>
        <v>22.695</v>
      </c>
      <c r="F314" s="103">
        <f t="shared" si="158"/>
        <v>8.9250000000000007</v>
      </c>
      <c r="G314" s="98">
        <f t="shared" si="159"/>
        <v>12.375</v>
      </c>
      <c r="H314" s="98">
        <f t="shared" si="160"/>
        <v>19.634999999999998</v>
      </c>
      <c r="I314" s="105">
        <f t="shared" si="161"/>
        <v>21.93</v>
      </c>
      <c r="J314" s="103">
        <f t="shared" si="162"/>
        <v>7.3000000000000007</v>
      </c>
      <c r="K314" s="98">
        <f t="shared" si="163"/>
        <v>13.25</v>
      </c>
      <c r="L314" s="98">
        <f t="shared" si="164"/>
        <v>19.09</v>
      </c>
      <c r="M314" s="104">
        <f t="shared" si="165"/>
        <v>22.63</v>
      </c>
      <c r="N314" s="103">
        <f t="shared" si="166"/>
        <v>8.9500000000000011</v>
      </c>
      <c r="O314" s="98">
        <f t="shared" si="167"/>
        <v>13.25</v>
      </c>
      <c r="P314" s="98">
        <f t="shared" si="168"/>
        <v>19.09</v>
      </c>
      <c r="Q314" s="104">
        <f t="shared" si="169"/>
        <v>21.62</v>
      </c>
      <c r="R314" s="103">
        <f t="shared" si="170"/>
        <v>7.3000000000000007</v>
      </c>
      <c r="S314" s="98">
        <f t="shared" si="171"/>
        <v>13.25</v>
      </c>
      <c r="T314" s="98">
        <f t="shared" si="172"/>
        <v>19.09</v>
      </c>
      <c r="U314" s="104">
        <f t="shared" si="173"/>
        <v>22.63</v>
      </c>
      <c r="V314" s="103">
        <f t="shared" si="174"/>
        <v>8.9500000000000011</v>
      </c>
      <c r="W314" s="98">
        <f t="shared" si="175"/>
        <v>13.25</v>
      </c>
      <c r="X314" s="98">
        <f t="shared" si="176"/>
        <v>19.09</v>
      </c>
      <c r="Y314" s="104">
        <f t="shared" si="177"/>
        <v>21.62</v>
      </c>
    </row>
    <row r="315" spans="1:41" x14ac:dyDescent="0.25">
      <c r="A315" s="282" t="s">
        <v>22</v>
      </c>
      <c r="B315" s="103">
        <f t="shared" si="154"/>
        <v>0</v>
      </c>
      <c r="C315" s="98">
        <f t="shared" si="155"/>
        <v>0</v>
      </c>
      <c r="D315" s="98">
        <f t="shared" si="156"/>
        <v>0</v>
      </c>
      <c r="E315" s="104">
        <f t="shared" si="157"/>
        <v>5.61</v>
      </c>
      <c r="F315" s="103">
        <f t="shared" si="158"/>
        <v>0</v>
      </c>
      <c r="G315" s="98">
        <f t="shared" si="159"/>
        <v>0</v>
      </c>
      <c r="H315" s="98">
        <f t="shared" si="160"/>
        <v>0</v>
      </c>
      <c r="I315" s="105">
        <f t="shared" si="161"/>
        <v>3.8249999999999997</v>
      </c>
      <c r="J315" s="103">
        <f t="shared" si="162"/>
        <v>0</v>
      </c>
      <c r="K315" s="98">
        <f t="shared" si="163"/>
        <v>1.1000000000000001</v>
      </c>
      <c r="L315" s="98">
        <f t="shared" si="164"/>
        <v>2.64</v>
      </c>
      <c r="M315" s="104">
        <f t="shared" si="165"/>
        <v>7.7</v>
      </c>
      <c r="N315" s="103">
        <f t="shared" si="166"/>
        <v>8.0000000000000071E-2</v>
      </c>
      <c r="O315" s="98">
        <f t="shared" si="167"/>
        <v>1.1000000000000001</v>
      </c>
      <c r="P315" s="98">
        <f t="shared" si="168"/>
        <v>2.64</v>
      </c>
      <c r="Q315" s="104">
        <f t="shared" si="169"/>
        <v>6.1099999999999994</v>
      </c>
      <c r="R315" s="103">
        <f t="shared" si="170"/>
        <v>0</v>
      </c>
      <c r="S315" s="98">
        <f t="shared" si="171"/>
        <v>1.1000000000000001</v>
      </c>
      <c r="T315" s="98">
        <f t="shared" si="172"/>
        <v>2.64</v>
      </c>
      <c r="U315" s="104">
        <f t="shared" si="173"/>
        <v>7.7</v>
      </c>
      <c r="V315" s="103">
        <f t="shared" si="174"/>
        <v>8.0000000000000071E-2</v>
      </c>
      <c r="W315" s="98">
        <f t="shared" si="175"/>
        <v>1.1000000000000001</v>
      </c>
      <c r="X315" s="98">
        <f t="shared" si="176"/>
        <v>2.64</v>
      </c>
      <c r="Y315" s="104">
        <f t="shared" si="177"/>
        <v>6.1099999999999994</v>
      </c>
    </row>
    <row r="316" spans="1:41" ht="15.75" thickBot="1" x14ac:dyDescent="0.3">
      <c r="A316" s="283" t="s">
        <v>23</v>
      </c>
      <c r="B316" s="106">
        <f t="shared" si="154"/>
        <v>4.2750000000000004</v>
      </c>
      <c r="C316" s="107">
        <f t="shared" si="155"/>
        <v>10.8</v>
      </c>
      <c r="D316" s="107">
        <f t="shared" si="156"/>
        <v>15.98</v>
      </c>
      <c r="E316" s="108">
        <f t="shared" si="157"/>
        <v>17.850000000000001</v>
      </c>
      <c r="F316" s="106">
        <f t="shared" si="158"/>
        <v>5.46</v>
      </c>
      <c r="G316" s="107">
        <f t="shared" si="159"/>
        <v>10.8</v>
      </c>
      <c r="H316" s="107">
        <f t="shared" si="160"/>
        <v>15.98</v>
      </c>
      <c r="I316" s="109">
        <f t="shared" si="161"/>
        <v>17.34</v>
      </c>
      <c r="J316" s="106">
        <f t="shared" si="162"/>
        <v>5.65</v>
      </c>
      <c r="K316" s="107">
        <f t="shared" si="163"/>
        <v>11.9</v>
      </c>
      <c r="L316" s="107">
        <f t="shared" si="164"/>
        <v>16.86</v>
      </c>
      <c r="M316" s="108">
        <f t="shared" si="165"/>
        <v>19.670000000000002</v>
      </c>
      <c r="N316" s="106">
        <f t="shared" si="166"/>
        <v>7.0300000000000011</v>
      </c>
      <c r="O316" s="107">
        <f t="shared" si="167"/>
        <v>11.9</v>
      </c>
      <c r="P316" s="107">
        <f t="shared" si="168"/>
        <v>16.86</v>
      </c>
      <c r="Q316" s="108">
        <f t="shared" si="169"/>
        <v>18.850000000000001</v>
      </c>
      <c r="R316" s="106">
        <f t="shared" si="170"/>
        <v>5.65</v>
      </c>
      <c r="S316" s="107">
        <f t="shared" si="171"/>
        <v>11.9</v>
      </c>
      <c r="T316" s="107">
        <f t="shared" si="172"/>
        <v>16.86</v>
      </c>
      <c r="U316" s="108">
        <f t="shared" si="173"/>
        <v>19.670000000000002</v>
      </c>
      <c r="V316" s="106">
        <f t="shared" si="174"/>
        <v>7.0300000000000011</v>
      </c>
      <c r="W316" s="107">
        <f t="shared" si="175"/>
        <v>11.9</v>
      </c>
      <c r="X316" s="107">
        <f t="shared" si="176"/>
        <v>16.86</v>
      </c>
      <c r="Y316" s="108">
        <f t="shared" si="177"/>
        <v>18.850000000000001</v>
      </c>
    </row>
    <row r="318" spans="1:41" ht="15.75" thickBot="1" x14ac:dyDescent="0.3">
      <c r="A318" s="1" t="s">
        <v>307</v>
      </c>
      <c r="AH318">
        <v>0.6</v>
      </c>
      <c r="AL318">
        <v>0.8</v>
      </c>
    </row>
    <row r="319" spans="1:41" ht="36.75" customHeight="1" thickBot="1" x14ac:dyDescent="0.3">
      <c r="A319" s="456" t="s">
        <v>284</v>
      </c>
      <c r="B319" s="443" t="s">
        <v>124</v>
      </c>
      <c r="C319" s="441"/>
      <c r="D319" s="441"/>
      <c r="E319" s="441"/>
      <c r="F319" s="441"/>
      <c r="G319" s="441"/>
      <c r="H319" s="441"/>
      <c r="I319" s="442"/>
      <c r="J319" s="443" t="s">
        <v>125</v>
      </c>
      <c r="K319" s="441"/>
      <c r="L319" s="441"/>
      <c r="M319" s="441"/>
      <c r="N319" s="441"/>
      <c r="O319" s="441"/>
      <c r="P319" s="441"/>
      <c r="Q319" s="442"/>
      <c r="R319" s="443" t="s">
        <v>127</v>
      </c>
      <c r="S319" s="441"/>
      <c r="T319" s="441"/>
      <c r="U319" s="441"/>
      <c r="V319" s="441"/>
      <c r="W319" s="441"/>
      <c r="X319" s="441"/>
      <c r="Y319" s="442"/>
      <c r="Z319" s="438" t="s">
        <v>280</v>
      </c>
      <c r="AA319" s="439"/>
      <c r="AB319" s="439"/>
      <c r="AC319" s="439"/>
      <c r="AD319" s="439"/>
      <c r="AE319" s="439"/>
      <c r="AF319" s="439"/>
      <c r="AG319" s="440"/>
      <c r="AH319" s="427" t="s">
        <v>264</v>
      </c>
      <c r="AI319" s="428"/>
      <c r="AJ319" s="428"/>
      <c r="AK319" s="429"/>
      <c r="AL319" s="433" t="s">
        <v>79</v>
      </c>
      <c r="AM319" s="434"/>
      <c r="AN319" s="425" t="s">
        <v>80</v>
      </c>
      <c r="AO319" s="425" t="s">
        <v>265</v>
      </c>
    </row>
    <row r="320" spans="1:41" ht="15.75" thickBot="1" x14ac:dyDescent="0.3">
      <c r="A320" s="467"/>
      <c r="B320" s="438" t="s">
        <v>3</v>
      </c>
      <c r="C320" s="452"/>
      <c r="D320" s="452"/>
      <c r="E320" s="453"/>
      <c r="F320" s="443" t="s">
        <v>4</v>
      </c>
      <c r="G320" s="452"/>
      <c r="H320" s="452"/>
      <c r="I320" s="453"/>
      <c r="J320" s="438" t="s">
        <v>3</v>
      </c>
      <c r="K320" s="439"/>
      <c r="L320" s="439"/>
      <c r="M320" s="440"/>
      <c r="N320" s="443" t="s">
        <v>4</v>
      </c>
      <c r="O320" s="452"/>
      <c r="P320" s="452"/>
      <c r="Q320" s="453"/>
      <c r="R320" s="438" t="s">
        <v>3</v>
      </c>
      <c r="S320" s="452"/>
      <c r="T320" s="452"/>
      <c r="U320" s="453"/>
      <c r="V320" s="443" t="s">
        <v>4</v>
      </c>
      <c r="W320" s="452"/>
      <c r="X320" s="452"/>
      <c r="Y320" s="453"/>
      <c r="Z320" s="438" t="s">
        <v>3</v>
      </c>
      <c r="AA320" s="439"/>
      <c r="AB320" s="439"/>
      <c r="AC320" s="440"/>
      <c r="AD320" s="438" t="s">
        <v>4</v>
      </c>
      <c r="AE320" s="439"/>
      <c r="AF320" s="439"/>
      <c r="AG320" s="440"/>
      <c r="AH320" s="449"/>
      <c r="AI320" s="450"/>
      <c r="AJ320" s="450"/>
      <c r="AK320" s="451"/>
      <c r="AL320" s="430"/>
      <c r="AM320" s="432"/>
      <c r="AN320" s="426"/>
      <c r="AO320" s="426"/>
    </row>
    <row r="321" spans="1:41" x14ac:dyDescent="0.25">
      <c r="A321" s="281" t="s">
        <v>24</v>
      </c>
      <c r="B321" s="12">
        <f>B307*$B293</f>
        <v>4.0312552447552452</v>
      </c>
      <c r="C321" s="13">
        <f t="shared" ref="C321:I321" si="178">C307*$B293</f>
        <v>7.0723776223776218</v>
      </c>
      <c r="D321" s="13">
        <f t="shared" si="178"/>
        <v>8.0153613053613046</v>
      </c>
      <c r="E321" s="14">
        <f t="shared" si="178"/>
        <v>8.0153613053613046</v>
      </c>
      <c r="F321" s="12">
        <f t="shared" si="178"/>
        <v>4.7149184149184151</v>
      </c>
      <c r="G321" s="13">
        <f t="shared" si="178"/>
        <v>7.0723776223776218</v>
      </c>
      <c r="H321" s="13">
        <f t="shared" si="178"/>
        <v>8.0153613053613046</v>
      </c>
      <c r="I321" s="14">
        <f t="shared" si="178"/>
        <v>8.0153613053613046</v>
      </c>
      <c r="J321" s="12">
        <f>J307*$C293</f>
        <v>3.518912975912976</v>
      </c>
      <c r="K321" s="13">
        <f t="shared" ref="K321:Q321" si="179">K307*$C293</f>
        <v>6.4567210567210562</v>
      </c>
      <c r="L321" s="13">
        <f t="shared" si="179"/>
        <v>7.4252292152292148</v>
      </c>
      <c r="M321" s="14">
        <f t="shared" si="179"/>
        <v>7.9094832944832945</v>
      </c>
      <c r="N321" s="12">
        <f t="shared" si="179"/>
        <v>4.1968686868686866</v>
      </c>
      <c r="O321" s="13">
        <f t="shared" si="179"/>
        <v>6.4567210567210562</v>
      </c>
      <c r="P321" s="13">
        <f t="shared" si="179"/>
        <v>7.4252292152292148</v>
      </c>
      <c r="Q321" s="14">
        <f t="shared" si="179"/>
        <v>7.7480652680652682</v>
      </c>
      <c r="R321" s="12">
        <f>R307*$D293</f>
        <v>3.9549129759129764</v>
      </c>
      <c r="S321" s="13">
        <f t="shared" ref="S321:Y321" si="180">S307*$D293</f>
        <v>7.2567210567210569</v>
      </c>
      <c r="T321" s="13">
        <f t="shared" si="180"/>
        <v>8.3452292152292156</v>
      </c>
      <c r="U321" s="14">
        <f t="shared" si="180"/>
        <v>8.8894832944832949</v>
      </c>
      <c r="V321" s="12">
        <f t="shared" si="180"/>
        <v>4.7168686868686871</v>
      </c>
      <c r="W321" s="13">
        <f t="shared" si="180"/>
        <v>7.2567210567210569</v>
      </c>
      <c r="X321" s="13">
        <f t="shared" si="180"/>
        <v>8.3452292152292156</v>
      </c>
      <c r="Y321" s="14">
        <f t="shared" si="180"/>
        <v>8.708065268065269</v>
      </c>
      <c r="Z321" s="110">
        <f>B321+J321+R321</f>
        <v>11.505081196581198</v>
      </c>
      <c r="AA321" s="234">
        <f t="shared" ref="AA321:AG330" si="181">C321+K321+S321</f>
        <v>20.785819735819736</v>
      </c>
      <c r="AB321" s="234">
        <f t="shared" si="181"/>
        <v>23.785819735819736</v>
      </c>
      <c r="AC321" s="140">
        <f t="shared" si="181"/>
        <v>24.814327894327896</v>
      </c>
      <c r="AD321" s="110">
        <f t="shared" si="181"/>
        <v>13.628655788655788</v>
      </c>
      <c r="AE321" s="234">
        <f t="shared" si="181"/>
        <v>20.785819735819736</v>
      </c>
      <c r="AF321" s="234">
        <f t="shared" si="181"/>
        <v>23.785819735819736</v>
      </c>
      <c r="AG321" s="140">
        <f t="shared" si="181"/>
        <v>24.47149184149184</v>
      </c>
      <c r="AH321" s="110">
        <f>(1-$AH$318)*Z321+$AH$318*AD321</f>
        <v>12.779225951825953</v>
      </c>
      <c r="AI321" s="234">
        <f>(1-$AH$318)*AA321+$AH$318*AE321</f>
        <v>20.785819735819736</v>
      </c>
      <c r="AJ321" s="234">
        <f>(1-$AH$318)*AB321+$AH$318*AF321</f>
        <v>23.785819735819736</v>
      </c>
      <c r="AK321" s="140">
        <f>(1-$AH$318)*AC321+$AH$318*AG321</f>
        <v>24.60862626262626</v>
      </c>
      <c r="AL321" s="234">
        <f>$AL$318*AI321+(1-$AL$318)*AH321</f>
        <v>19.184500979020978</v>
      </c>
      <c r="AM321" s="140">
        <f>$AL$318*AJ321+(1-$AL$318)*AK321</f>
        <v>23.950381041181039</v>
      </c>
      <c r="AN321" s="140">
        <f>(AL321+AM321)/2</f>
        <v>21.567441010101007</v>
      </c>
      <c r="AO321" s="140">
        <f>AN321</f>
        <v>21.567441010101007</v>
      </c>
    </row>
    <row r="322" spans="1:41" x14ac:dyDescent="0.25">
      <c r="A322" s="282" t="s">
        <v>13</v>
      </c>
      <c r="B322" s="103">
        <f t="shared" ref="B322:B330" si="182">B308*$B294</f>
        <v>2.169462347209163</v>
      </c>
      <c r="C322" s="98">
        <f t="shared" ref="C322:I322" si="183">C308*$B294</f>
        <v>3.7362962646380029</v>
      </c>
      <c r="D322" s="98">
        <f t="shared" si="183"/>
        <v>4.835490520557312</v>
      </c>
      <c r="E322" s="104">
        <f t="shared" si="183"/>
        <v>5.7643418069920491</v>
      </c>
      <c r="F322" s="103">
        <f t="shared" si="183"/>
        <v>2.5631795879989743</v>
      </c>
      <c r="G322" s="98">
        <f t="shared" si="183"/>
        <v>3.7362962646380029</v>
      </c>
      <c r="H322" s="98">
        <f t="shared" si="183"/>
        <v>4.835490520557312</v>
      </c>
      <c r="I322" s="104">
        <f t="shared" si="183"/>
        <v>5.4911502521583033</v>
      </c>
      <c r="J322" s="103">
        <f t="shared" ref="J322:J330" si="184">J308*$C294</f>
        <v>2.129915697922899</v>
      </c>
      <c r="K322" s="98">
        <f t="shared" ref="K322:Q322" si="185">K308*$C294</f>
        <v>4.01870886400547</v>
      </c>
      <c r="L322" s="98">
        <f t="shared" si="185"/>
        <v>4.6617022822463454</v>
      </c>
      <c r="M322" s="104">
        <f t="shared" si="185"/>
        <v>5.7451461919822204</v>
      </c>
      <c r="N322" s="103">
        <f t="shared" si="185"/>
        <v>2.5719736729635008</v>
      </c>
      <c r="O322" s="98">
        <f t="shared" si="185"/>
        <v>4.01870886400547</v>
      </c>
      <c r="P322" s="98">
        <f t="shared" si="185"/>
        <v>4.6617022822463454</v>
      </c>
      <c r="Q322" s="104">
        <f t="shared" si="185"/>
        <v>5.3931072954953398</v>
      </c>
      <c r="R322" s="103">
        <f t="shared" ref="R322:R330" si="186">R308*$D294</f>
        <v>2.4104348662278827</v>
      </c>
      <c r="S322" s="98">
        <f t="shared" ref="S322:Y322" si="187">S308*$D294</f>
        <v>4.5441160996666374</v>
      </c>
      <c r="T322" s="98">
        <f t="shared" si="187"/>
        <v>6.3153393495170533</v>
      </c>
      <c r="U322" s="104">
        <f t="shared" si="187"/>
        <v>7.150956769809385</v>
      </c>
      <c r="V322" s="103">
        <f t="shared" si="187"/>
        <v>2.8764522736986065</v>
      </c>
      <c r="W322" s="98">
        <f t="shared" si="187"/>
        <v>4.5441160996666374</v>
      </c>
      <c r="X322" s="98">
        <f t="shared" si="187"/>
        <v>6.3153393495170533</v>
      </c>
      <c r="Y322" s="104">
        <f t="shared" si="187"/>
        <v>6.9170553124198646</v>
      </c>
      <c r="Z322" s="111">
        <f t="shared" ref="Z322:Z330" si="188">B322+J322+R322</f>
        <v>6.7098129113599452</v>
      </c>
      <c r="AA322" s="97">
        <f t="shared" si="181"/>
        <v>12.29912122831011</v>
      </c>
      <c r="AB322" s="97">
        <f t="shared" si="181"/>
        <v>15.81253215232071</v>
      </c>
      <c r="AC322" s="142">
        <f t="shared" si="181"/>
        <v>18.660444768783655</v>
      </c>
      <c r="AD322" s="111">
        <f t="shared" si="181"/>
        <v>8.0116055346610828</v>
      </c>
      <c r="AE322" s="97">
        <f t="shared" si="181"/>
        <v>12.29912122831011</v>
      </c>
      <c r="AF322" s="97">
        <f t="shared" si="181"/>
        <v>15.81253215232071</v>
      </c>
      <c r="AG322" s="142">
        <f t="shared" si="181"/>
        <v>17.801312860073509</v>
      </c>
      <c r="AH322" s="111">
        <f t="shared" ref="AH322:AH330" si="189">(1-$AH$318)*Z322+$AH$318*AD322</f>
        <v>7.4908884853406281</v>
      </c>
      <c r="AI322" s="97">
        <f t="shared" ref="AI322:AI330" si="190">(1-$AH$318)*AA322+$AH$318*AE322</f>
        <v>12.29912122831011</v>
      </c>
      <c r="AJ322" s="97">
        <f t="shared" ref="AJ322:AJ330" si="191">(1-$AH$318)*AB322+$AH$318*AF322</f>
        <v>15.81253215232071</v>
      </c>
      <c r="AK322" s="142">
        <f t="shared" ref="AK322:AK330" si="192">(1-$AH$318)*AC322+$AH$318*AG322</f>
        <v>18.144965623557567</v>
      </c>
      <c r="AL322" s="97">
        <f t="shared" ref="AL322:AL330" si="193">$AL$318*AI322+(1-$AL$318)*AH322</f>
        <v>11.337474679716214</v>
      </c>
      <c r="AM322" s="142">
        <f t="shared" ref="AM322:AM330" si="194">$AL$318*AJ322+(1-$AL$318)*AK322</f>
        <v>16.279018846568082</v>
      </c>
      <c r="AN322" s="142">
        <f t="shared" ref="AN322:AN330" si="195">(AL322+AM322)/2</f>
        <v>13.808246763142147</v>
      </c>
      <c r="AO322" s="142">
        <f>AN322</f>
        <v>13.808246763142147</v>
      </c>
    </row>
    <row r="323" spans="1:41" x14ac:dyDescent="0.25">
      <c r="A323" s="282" t="s">
        <v>14</v>
      </c>
      <c r="B323" s="103">
        <f t="shared" si="182"/>
        <v>0.79546952731002674</v>
      </c>
      <c r="C323" s="98">
        <f t="shared" ref="C323:I323" si="196">C309*$B295</f>
        <v>1.3257825455167109</v>
      </c>
      <c r="D323" s="98">
        <f t="shared" si="196"/>
        <v>2.1035749722198478</v>
      </c>
      <c r="E323" s="104">
        <f t="shared" si="196"/>
        <v>3.6334476792888282</v>
      </c>
      <c r="F323" s="103">
        <f t="shared" si="196"/>
        <v>0.95617044191811285</v>
      </c>
      <c r="G323" s="98">
        <f t="shared" si="196"/>
        <v>1.3257825455167109</v>
      </c>
      <c r="H323" s="98">
        <f t="shared" si="196"/>
        <v>2.1035749722198478</v>
      </c>
      <c r="I323" s="104">
        <f t="shared" si="196"/>
        <v>3.1690220360714596</v>
      </c>
      <c r="J323" s="103">
        <f t="shared" si="184"/>
        <v>0.78482611761689047</v>
      </c>
      <c r="K323" s="98">
        <f t="shared" ref="K323:Q323" si="197">K309*$C295</f>
        <v>1.6568551371912128</v>
      </c>
      <c r="L323" s="98">
        <f t="shared" si="197"/>
        <v>2.9125769253782376</v>
      </c>
      <c r="M323" s="104">
        <f t="shared" si="197"/>
        <v>4.2475740789811098</v>
      </c>
      <c r="N323" s="103">
        <f t="shared" si="197"/>
        <v>0.96874496538165678</v>
      </c>
      <c r="O323" s="98">
        <f t="shared" si="197"/>
        <v>1.6568551371912128</v>
      </c>
      <c r="P323" s="98">
        <f t="shared" si="197"/>
        <v>2.9125769253782376</v>
      </c>
      <c r="Q323" s="104">
        <f t="shared" si="197"/>
        <v>3.8511972519018722</v>
      </c>
      <c r="R323" s="103">
        <f t="shared" si="186"/>
        <v>0.84951726643302827</v>
      </c>
      <c r="S323" s="98">
        <f t="shared" ref="S323:Y323" si="198">S309*$D295</f>
        <v>1.8074835456021883</v>
      </c>
      <c r="T323" s="98">
        <f t="shared" si="198"/>
        <v>2.1689802547226256</v>
      </c>
      <c r="U323" s="104">
        <f t="shared" si="198"/>
        <v>4.0632230105137195</v>
      </c>
      <c r="V323" s="103">
        <f t="shared" si="198"/>
        <v>1.0844901273613128</v>
      </c>
      <c r="W323" s="98">
        <f t="shared" si="198"/>
        <v>1.8074835456021883</v>
      </c>
      <c r="X323" s="98">
        <f t="shared" si="198"/>
        <v>2.1689802547226256</v>
      </c>
      <c r="Y323" s="104">
        <f t="shared" si="198"/>
        <v>3.4522935721001797</v>
      </c>
      <c r="Z323" s="111">
        <f t="shared" si="188"/>
        <v>2.4298129113599454</v>
      </c>
      <c r="AA323" s="97">
        <f t="shared" si="181"/>
        <v>4.7901212283101113</v>
      </c>
      <c r="AB323" s="97">
        <f t="shared" si="181"/>
        <v>7.185132152320711</v>
      </c>
      <c r="AC323" s="142">
        <f t="shared" si="181"/>
        <v>11.944244768783658</v>
      </c>
      <c r="AD323" s="111">
        <f t="shared" si="181"/>
        <v>3.0094055346610826</v>
      </c>
      <c r="AE323" s="97">
        <f t="shared" si="181"/>
        <v>4.7901212283101113</v>
      </c>
      <c r="AF323" s="97">
        <f t="shared" si="181"/>
        <v>7.185132152320711</v>
      </c>
      <c r="AG323" s="142">
        <f t="shared" si="181"/>
        <v>10.472512860073511</v>
      </c>
      <c r="AH323" s="111">
        <f t="shared" si="189"/>
        <v>2.7775684853406277</v>
      </c>
      <c r="AI323" s="97">
        <f t="shared" si="190"/>
        <v>4.7901212283101113</v>
      </c>
      <c r="AJ323" s="97">
        <f t="shared" si="191"/>
        <v>7.1851321523207101</v>
      </c>
      <c r="AK323" s="142">
        <f t="shared" si="192"/>
        <v>11.061205623557569</v>
      </c>
      <c r="AL323" s="97">
        <f t="shared" si="193"/>
        <v>4.3876106797162144</v>
      </c>
      <c r="AM323" s="142">
        <f t="shared" si="194"/>
        <v>7.9603468465680809</v>
      </c>
      <c r="AN323" s="142">
        <f t="shared" si="195"/>
        <v>6.1739787631421477</v>
      </c>
      <c r="AO323" s="142">
        <f>AN323</f>
        <v>6.1739787631421477</v>
      </c>
    </row>
    <row r="324" spans="1:41" x14ac:dyDescent="0.25">
      <c r="A324" s="282" t="s">
        <v>15</v>
      </c>
      <c r="B324" s="103">
        <f t="shared" si="182"/>
        <v>3.5537237230715779</v>
      </c>
      <c r="C324" s="98">
        <f t="shared" ref="C324:I324" si="199">C310*$B296</f>
        <v>6.1646227849200832</v>
      </c>
      <c r="D324" s="98">
        <f t="shared" si="199"/>
        <v>7.5893356063238357</v>
      </c>
      <c r="E324" s="104">
        <f t="shared" si="199"/>
        <v>7.9181154881862392</v>
      </c>
      <c r="F324" s="103">
        <f t="shared" si="199"/>
        <v>4.182273497220292</v>
      </c>
      <c r="G324" s="98">
        <f t="shared" si="199"/>
        <v>6.1646227849200832</v>
      </c>
      <c r="H324" s="98">
        <f t="shared" si="199"/>
        <v>7.5893356063238357</v>
      </c>
      <c r="I324" s="104">
        <f t="shared" si="199"/>
        <v>7.8359205177206395</v>
      </c>
      <c r="J324" s="103">
        <f t="shared" si="184"/>
        <v>3.5123810806115356</v>
      </c>
      <c r="K324" s="98">
        <f t="shared" ref="K324:Q324" si="200">K310*$C296</f>
        <v>6.4447359277275886</v>
      </c>
      <c r="L324" s="98">
        <f t="shared" si="200"/>
        <v>7.4114463168867264</v>
      </c>
      <c r="M324" s="104">
        <f t="shared" si="200"/>
        <v>7.8948015114662962</v>
      </c>
      <c r="N324" s="103">
        <f t="shared" si="200"/>
        <v>4.1890783530229321</v>
      </c>
      <c r="O324" s="98">
        <f t="shared" si="200"/>
        <v>6.4447359277275886</v>
      </c>
      <c r="P324" s="98">
        <f t="shared" si="200"/>
        <v>7.4114463168867264</v>
      </c>
      <c r="Q324" s="104">
        <f t="shared" si="200"/>
        <v>7.7336831132731056</v>
      </c>
      <c r="R324" s="103">
        <f t="shared" si="186"/>
        <v>3.2344128735232807</v>
      </c>
      <c r="S324" s="98">
        <f t="shared" ref="S324:Y324" si="201">S310*$D296</f>
        <v>5.9090235189367624</v>
      </c>
      <c r="T324" s="98">
        <f t="shared" si="201"/>
        <v>7.4800240575052133</v>
      </c>
      <c r="U324" s="104">
        <f t="shared" si="201"/>
        <v>8.3757076224808902</v>
      </c>
      <c r="V324" s="103">
        <f t="shared" si="201"/>
        <v>3.900844097463517</v>
      </c>
      <c r="W324" s="98">
        <f t="shared" si="201"/>
        <v>5.9090235189367624</v>
      </c>
      <c r="X324" s="98">
        <f t="shared" si="201"/>
        <v>7.4800240575052133</v>
      </c>
      <c r="Y324" s="104">
        <f t="shared" si="201"/>
        <v>8.107357982974289</v>
      </c>
      <c r="Z324" s="111">
        <f t="shared" si="188"/>
        <v>10.300517677206395</v>
      </c>
      <c r="AA324" s="97">
        <f t="shared" si="181"/>
        <v>18.518382231584436</v>
      </c>
      <c r="AB324" s="97">
        <f t="shared" si="181"/>
        <v>22.480805980715775</v>
      </c>
      <c r="AC324" s="142">
        <f t="shared" si="181"/>
        <v>24.188624622133425</v>
      </c>
      <c r="AD324" s="111">
        <f t="shared" si="181"/>
        <v>12.272195947706741</v>
      </c>
      <c r="AE324" s="97">
        <f t="shared" si="181"/>
        <v>18.518382231584436</v>
      </c>
      <c r="AF324" s="97">
        <f t="shared" si="181"/>
        <v>22.480805980715775</v>
      </c>
      <c r="AG324" s="142">
        <f t="shared" si="181"/>
        <v>23.676961613968032</v>
      </c>
      <c r="AH324" s="111">
        <f t="shared" si="189"/>
        <v>11.483524639506602</v>
      </c>
      <c r="AI324" s="97">
        <f t="shared" si="190"/>
        <v>18.518382231584436</v>
      </c>
      <c r="AJ324" s="97">
        <f t="shared" si="191"/>
        <v>22.480805980715775</v>
      </c>
      <c r="AK324" s="142">
        <f t="shared" si="192"/>
        <v>23.881626817234189</v>
      </c>
      <c r="AL324" s="97">
        <f t="shared" si="193"/>
        <v>17.111410713168869</v>
      </c>
      <c r="AM324" s="142">
        <f t="shared" si="194"/>
        <v>22.760970148019457</v>
      </c>
      <c r="AN324" s="142">
        <f t="shared" si="195"/>
        <v>19.936190430594163</v>
      </c>
      <c r="AO324" s="142">
        <f>AN321</f>
        <v>21.567441010101007</v>
      </c>
    </row>
    <row r="325" spans="1:41" x14ac:dyDescent="0.25">
      <c r="A325" s="282" t="s">
        <v>17</v>
      </c>
      <c r="B325" s="103">
        <f t="shared" si="182"/>
        <v>1.5894686836066969</v>
      </c>
      <c r="C325" s="98">
        <f t="shared" ref="C325:I325" si="202">C311*$B297</f>
        <v>3.1789373672133934</v>
      </c>
      <c r="D325" s="98">
        <f t="shared" si="202"/>
        <v>5.4041935242627677</v>
      </c>
      <c r="E325" s="104">
        <f t="shared" si="202"/>
        <v>6.3594802583496213</v>
      </c>
      <c r="F325" s="103">
        <f t="shared" si="202"/>
        <v>1.9844275686241186</v>
      </c>
      <c r="G325" s="98">
        <f t="shared" si="202"/>
        <v>3.1789373672133934</v>
      </c>
      <c r="H325" s="98">
        <f t="shared" si="202"/>
        <v>5.4041935242627677</v>
      </c>
      <c r="I325" s="104">
        <f t="shared" si="202"/>
        <v>6.1138350981558593</v>
      </c>
      <c r="J325" s="103">
        <f t="shared" si="184"/>
        <v>2.0094278278235747</v>
      </c>
      <c r="K325" s="98">
        <f t="shared" ref="K325:Q325" si="203">K311*$C297</f>
        <v>3.4946570918670856</v>
      </c>
      <c r="L325" s="98">
        <f t="shared" si="203"/>
        <v>5.626397917906008</v>
      </c>
      <c r="M325" s="104">
        <f t="shared" si="203"/>
        <v>6.8701781465114289</v>
      </c>
      <c r="N325" s="103">
        <f t="shared" si="203"/>
        <v>2.4621447692699925</v>
      </c>
      <c r="O325" s="98">
        <f t="shared" si="203"/>
        <v>3.4946570918670856</v>
      </c>
      <c r="P325" s="98">
        <f t="shared" si="203"/>
        <v>5.626397917906008</v>
      </c>
      <c r="Q325" s="104">
        <f t="shared" si="203"/>
        <v>6.5286548398062383</v>
      </c>
      <c r="R325" s="103">
        <f t="shared" si="186"/>
        <v>1.7427857355315715</v>
      </c>
      <c r="S325" s="98">
        <f t="shared" ref="S325:Y325" si="204">S311*$D297</f>
        <v>3.8919204767570328</v>
      </c>
      <c r="T325" s="98">
        <f t="shared" si="204"/>
        <v>5.8821276068666615</v>
      </c>
      <c r="U325" s="104">
        <f t="shared" si="204"/>
        <v>7.1300705532421187</v>
      </c>
      <c r="V325" s="103">
        <f t="shared" si="204"/>
        <v>2.2412405158494093</v>
      </c>
      <c r="W325" s="98">
        <f t="shared" si="204"/>
        <v>3.8919204767570328</v>
      </c>
      <c r="X325" s="98">
        <f t="shared" si="204"/>
        <v>5.8821276068666615</v>
      </c>
      <c r="Y325" s="104">
        <f t="shared" si="204"/>
        <v>6.7652594459080486</v>
      </c>
      <c r="Z325" s="111">
        <f t="shared" si="188"/>
        <v>5.3416822469618426</v>
      </c>
      <c r="AA325" s="97">
        <f t="shared" si="181"/>
        <v>10.565514935837513</v>
      </c>
      <c r="AB325" s="97">
        <f t="shared" si="181"/>
        <v>16.912719049035438</v>
      </c>
      <c r="AC325" s="142">
        <f t="shared" si="181"/>
        <v>20.359728958103169</v>
      </c>
      <c r="AD325" s="111">
        <f t="shared" si="181"/>
        <v>6.6878128537435195</v>
      </c>
      <c r="AE325" s="97">
        <f t="shared" si="181"/>
        <v>10.565514935837513</v>
      </c>
      <c r="AF325" s="97">
        <f t="shared" si="181"/>
        <v>16.912719049035438</v>
      </c>
      <c r="AG325" s="142">
        <f t="shared" si="181"/>
        <v>19.407749383870147</v>
      </c>
      <c r="AH325" s="111">
        <f t="shared" si="189"/>
        <v>6.1493606110308487</v>
      </c>
      <c r="AI325" s="97">
        <f t="shared" si="190"/>
        <v>10.565514935837513</v>
      </c>
      <c r="AJ325" s="97">
        <f t="shared" si="191"/>
        <v>16.912719049035438</v>
      </c>
      <c r="AK325" s="142">
        <f t="shared" si="192"/>
        <v>19.788541213563356</v>
      </c>
      <c r="AL325" s="97">
        <f t="shared" si="193"/>
        <v>9.6822840708761788</v>
      </c>
      <c r="AM325" s="142">
        <f t="shared" si="194"/>
        <v>17.487883481941022</v>
      </c>
      <c r="AN325" s="142">
        <f t="shared" si="195"/>
        <v>13.585083776408601</v>
      </c>
      <c r="AO325" s="142">
        <f>AN325</f>
        <v>13.585083776408601</v>
      </c>
    </row>
    <row r="326" spans="1:41" x14ac:dyDescent="0.25">
      <c r="A326" s="282" t="s">
        <v>18</v>
      </c>
      <c r="B326" s="103">
        <f t="shared" si="182"/>
        <v>0</v>
      </c>
      <c r="C326" s="98">
        <f t="shared" ref="C326:I326" si="205">C312*$B298</f>
        <v>1.5668704376785623</v>
      </c>
      <c r="D326" s="98">
        <f t="shared" si="205"/>
        <v>3.5515729920714079</v>
      </c>
      <c r="E326" s="104">
        <f t="shared" si="205"/>
        <v>4.4394662400892608</v>
      </c>
      <c r="F326" s="103">
        <f t="shared" si="205"/>
        <v>0.21841224282792079</v>
      </c>
      <c r="G326" s="98">
        <f t="shared" si="205"/>
        <v>1.5668704376785623</v>
      </c>
      <c r="H326" s="98">
        <f t="shared" si="205"/>
        <v>3.5515729920714079</v>
      </c>
      <c r="I326" s="104">
        <f t="shared" si="205"/>
        <v>4.1973135360843914</v>
      </c>
      <c r="J326" s="103">
        <f t="shared" si="184"/>
        <v>0.44237910587797746</v>
      </c>
      <c r="K326" s="98">
        <f t="shared" ref="K326:Q326" si="206">K312*$C298</f>
        <v>1.9464680658631008</v>
      </c>
      <c r="L326" s="98">
        <f t="shared" si="206"/>
        <v>3.8929361317262012</v>
      </c>
      <c r="M326" s="104">
        <f t="shared" si="206"/>
        <v>5.0978159510084025</v>
      </c>
      <c r="N326" s="103">
        <f t="shared" si="206"/>
        <v>0.72711038493398494</v>
      </c>
      <c r="O326" s="98">
        <f t="shared" si="206"/>
        <v>1.9464680658631008</v>
      </c>
      <c r="P326" s="98">
        <f t="shared" si="206"/>
        <v>3.8929361317262012</v>
      </c>
      <c r="Q326" s="104">
        <f t="shared" si="206"/>
        <v>4.7519559227765287</v>
      </c>
      <c r="R326" s="103">
        <f t="shared" si="186"/>
        <v>0.49737910587797751</v>
      </c>
      <c r="S326" s="98">
        <f t="shared" ref="S326:Y326" si="207">S312*$D298</f>
        <v>2.1884680658631011</v>
      </c>
      <c r="T326" s="98">
        <f t="shared" si="207"/>
        <v>4.3769361317262021</v>
      </c>
      <c r="U326" s="104">
        <f t="shared" si="207"/>
        <v>5.7316159510084033</v>
      </c>
      <c r="V326" s="103">
        <f t="shared" si="207"/>
        <v>0.81751038493398509</v>
      </c>
      <c r="W326" s="98">
        <f t="shared" si="207"/>
        <v>2.1884680658631011</v>
      </c>
      <c r="X326" s="98">
        <f t="shared" si="207"/>
        <v>4.3769361317262021</v>
      </c>
      <c r="Y326" s="104">
        <f t="shared" si="207"/>
        <v>5.3427559227765293</v>
      </c>
      <c r="Z326" s="111">
        <f t="shared" si="188"/>
        <v>0.93975821175595498</v>
      </c>
      <c r="AA326" s="97">
        <f t="shared" si="181"/>
        <v>5.7018065694047646</v>
      </c>
      <c r="AB326" s="97">
        <f t="shared" si="181"/>
        <v>11.821445255523811</v>
      </c>
      <c r="AC326" s="142">
        <f t="shared" si="181"/>
        <v>15.268898142106067</v>
      </c>
      <c r="AD326" s="111">
        <f t="shared" si="181"/>
        <v>1.7630330126958909</v>
      </c>
      <c r="AE326" s="97">
        <f t="shared" si="181"/>
        <v>5.7018065694047646</v>
      </c>
      <c r="AF326" s="97">
        <f t="shared" si="181"/>
        <v>11.821445255523811</v>
      </c>
      <c r="AG326" s="142">
        <f t="shared" si="181"/>
        <v>14.292025381637449</v>
      </c>
      <c r="AH326" s="111">
        <f t="shared" si="189"/>
        <v>1.4337230923199165</v>
      </c>
      <c r="AI326" s="97">
        <f t="shared" si="190"/>
        <v>5.7018065694047646</v>
      </c>
      <c r="AJ326" s="97">
        <f t="shared" si="191"/>
        <v>11.821445255523811</v>
      </c>
      <c r="AK326" s="142">
        <f t="shared" si="192"/>
        <v>14.682774485824897</v>
      </c>
      <c r="AL326" s="97">
        <f t="shared" si="193"/>
        <v>4.8481898739877956</v>
      </c>
      <c r="AM326" s="142">
        <f t="shared" si="194"/>
        <v>12.393711101584028</v>
      </c>
      <c r="AN326" s="142">
        <f t="shared" si="195"/>
        <v>8.6209504877859118</v>
      </c>
      <c r="AO326" s="142">
        <f>AN327</f>
        <v>10.797783306920879</v>
      </c>
    </row>
    <row r="327" spans="1:41" x14ac:dyDescent="0.25">
      <c r="A327" s="282" t="s">
        <v>19</v>
      </c>
      <c r="B327" s="103">
        <f t="shared" si="182"/>
        <v>1.5784960926528659</v>
      </c>
      <c r="C327" s="98">
        <f t="shared" ref="C327:I327" si="208">C313*$B299</f>
        <v>2.6308268210881094</v>
      </c>
      <c r="D327" s="98">
        <f t="shared" si="208"/>
        <v>4.1742452227931333</v>
      </c>
      <c r="E327" s="104">
        <f t="shared" si="208"/>
        <v>5.421097691939134</v>
      </c>
      <c r="F327" s="103">
        <f t="shared" si="208"/>
        <v>1.8973841921786974</v>
      </c>
      <c r="G327" s="98">
        <f t="shared" si="208"/>
        <v>2.6308268210881094</v>
      </c>
      <c r="H327" s="98">
        <f t="shared" si="208"/>
        <v>4.1742452227931333</v>
      </c>
      <c r="I327" s="104">
        <f t="shared" si="208"/>
        <v>5.0687263419630906</v>
      </c>
      <c r="J327" s="103">
        <f t="shared" si="184"/>
        <v>1.5466824598939317</v>
      </c>
      <c r="K327" s="98">
        <f t="shared" ref="K327:Q327" si="209">K313*$C299</f>
        <v>2.9250730459133942</v>
      </c>
      <c r="L327" s="98">
        <f t="shared" si="209"/>
        <v>4.0213743957242221</v>
      </c>
      <c r="M327" s="104">
        <f t="shared" si="209"/>
        <v>5.428615017265022</v>
      </c>
      <c r="N327" s="103">
        <f t="shared" si="209"/>
        <v>1.9153218026665788</v>
      </c>
      <c r="O327" s="98">
        <f t="shared" si="209"/>
        <v>2.9250730459133942</v>
      </c>
      <c r="P327" s="98">
        <f t="shared" si="209"/>
        <v>4.0213743957242221</v>
      </c>
      <c r="Q327" s="104">
        <f t="shared" si="209"/>
        <v>4.9958644844449589</v>
      </c>
      <c r="R327" s="103">
        <f t="shared" si="186"/>
        <v>1.7396824598939318</v>
      </c>
      <c r="S327" s="98">
        <f t="shared" ref="S327:Y327" si="210">S313*$D299</f>
        <v>3.2900730459133944</v>
      </c>
      <c r="T327" s="98">
        <f t="shared" si="210"/>
        <v>4.5231743957242223</v>
      </c>
      <c r="U327" s="104">
        <f t="shared" si="210"/>
        <v>6.1060150172650225</v>
      </c>
      <c r="V327" s="103">
        <f t="shared" si="210"/>
        <v>2.1543218026665789</v>
      </c>
      <c r="W327" s="98">
        <f t="shared" si="210"/>
        <v>3.2900730459133944</v>
      </c>
      <c r="X327" s="98">
        <f t="shared" si="210"/>
        <v>4.5231743957242223</v>
      </c>
      <c r="Y327" s="104">
        <f t="shared" si="210"/>
        <v>5.6192644844449591</v>
      </c>
      <c r="Z327" s="111">
        <f t="shared" si="188"/>
        <v>4.8648610124407297</v>
      </c>
      <c r="AA327" s="97">
        <f t="shared" si="181"/>
        <v>8.845972912914899</v>
      </c>
      <c r="AB327" s="97">
        <f t="shared" si="181"/>
        <v>12.718794014241578</v>
      </c>
      <c r="AC327" s="142">
        <f t="shared" si="181"/>
        <v>16.955727726469178</v>
      </c>
      <c r="AD327" s="111">
        <f t="shared" si="181"/>
        <v>5.9670277975118555</v>
      </c>
      <c r="AE327" s="97">
        <f t="shared" si="181"/>
        <v>8.845972912914899</v>
      </c>
      <c r="AF327" s="97">
        <f t="shared" si="181"/>
        <v>12.718794014241578</v>
      </c>
      <c r="AG327" s="142">
        <f t="shared" si="181"/>
        <v>15.683855310853009</v>
      </c>
      <c r="AH327" s="111">
        <f t="shared" si="189"/>
        <v>5.5261610834834052</v>
      </c>
      <c r="AI327" s="97">
        <f t="shared" si="190"/>
        <v>8.845972912914899</v>
      </c>
      <c r="AJ327" s="97">
        <f t="shared" si="191"/>
        <v>12.718794014241578</v>
      </c>
      <c r="AK327" s="142">
        <f t="shared" si="192"/>
        <v>16.192604277099477</v>
      </c>
      <c r="AL327" s="97">
        <f t="shared" si="193"/>
        <v>8.1820105470286002</v>
      </c>
      <c r="AM327" s="142">
        <f t="shared" si="194"/>
        <v>13.413556066813157</v>
      </c>
      <c r="AN327" s="142">
        <f t="shared" si="195"/>
        <v>10.797783306920879</v>
      </c>
      <c r="AO327" s="142">
        <f>AN327</f>
        <v>10.797783306920879</v>
      </c>
    </row>
    <row r="328" spans="1:41" x14ac:dyDescent="0.25">
      <c r="A328" s="282" t="s">
        <v>20</v>
      </c>
      <c r="B328" s="103">
        <f t="shared" si="182"/>
        <v>2.3677441389792988</v>
      </c>
      <c r="C328" s="98">
        <f t="shared" ref="C328:I328" si="211">C314*$B300</f>
        <v>3.9462402316321636</v>
      </c>
      <c r="D328" s="98">
        <f t="shared" si="211"/>
        <v>6.2613678341896994</v>
      </c>
      <c r="E328" s="104">
        <f t="shared" si="211"/>
        <v>7.2371654187387442</v>
      </c>
      <c r="F328" s="103">
        <f t="shared" si="211"/>
        <v>2.8460762882680455</v>
      </c>
      <c r="G328" s="98">
        <f t="shared" si="211"/>
        <v>3.9462402316321636</v>
      </c>
      <c r="H328" s="98">
        <f t="shared" si="211"/>
        <v>6.2613678341896994</v>
      </c>
      <c r="I328" s="104">
        <f t="shared" si="211"/>
        <v>6.9932160226014828</v>
      </c>
      <c r="J328" s="103">
        <f t="shared" si="184"/>
        <v>2.3400584367307156</v>
      </c>
      <c r="K328" s="98">
        <f t="shared" ref="K328:Q328" si="212">K314*$C300</f>
        <v>4.2473663406413671</v>
      </c>
      <c r="L328" s="98">
        <f t="shared" si="212"/>
        <v>6.1194130900259385</v>
      </c>
      <c r="M328" s="104">
        <f t="shared" si="212"/>
        <v>7.2541811538652166</v>
      </c>
      <c r="N328" s="103">
        <f t="shared" si="212"/>
        <v>2.8689757546219048</v>
      </c>
      <c r="O328" s="98">
        <f t="shared" si="212"/>
        <v>4.2473663406413671</v>
      </c>
      <c r="P328" s="98">
        <f t="shared" si="212"/>
        <v>6.1194130900259385</v>
      </c>
      <c r="Q328" s="104">
        <f t="shared" si="212"/>
        <v>6.9304196441257622</v>
      </c>
      <c r="R328" s="103">
        <f t="shared" si="186"/>
        <v>2.6320584367307158</v>
      </c>
      <c r="S328" s="98">
        <f t="shared" ref="S328:Y328" si="213">S314*$D300</f>
        <v>4.7773663406413673</v>
      </c>
      <c r="T328" s="98">
        <f t="shared" si="213"/>
        <v>6.8830130900259396</v>
      </c>
      <c r="U328" s="104">
        <f t="shared" si="213"/>
        <v>8.1593811538652172</v>
      </c>
      <c r="V328" s="103">
        <f t="shared" si="213"/>
        <v>3.2269757546219049</v>
      </c>
      <c r="W328" s="98">
        <f t="shared" si="213"/>
        <v>4.7773663406413673</v>
      </c>
      <c r="X328" s="98">
        <f t="shared" si="213"/>
        <v>6.8830130900259396</v>
      </c>
      <c r="Y328" s="104">
        <f t="shared" si="213"/>
        <v>7.7952196441257628</v>
      </c>
      <c r="Z328" s="111">
        <f t="shared" si="188"/>
        <v>7.3398610124407302</v>
      </c>
      <c r="AA328" s="97">
        <f t="shared" si="181"/>
        <v>12.970972912914899</v>
      </c>
      <c r="AB328" s="97">
        <f t="shared" si="181"/>
        <v>19.263794014241579</v>
      </c>
      <c r="AC328" s="142">
        <f t="shared" si="181"/>
        <v>22.650727726469178</v>
      </c>
      <c r="AD328" s="111">
        <f t="shared" si="181"/>
        <v>8.9420277975118552</v>
      </c>
      <c r="AE328" s="97">
        <f t="shared" si="181"/>
        <v>12.970972912914899</v>
      </c>
      <c r="AF328" s="97">
        <f t="shared" si="181"/>
        <v>19.263794014241579</v>
      </c>
      <c r="AG328" s="142">
        <f t="shared" si="181"/>
        <v>21.718855310853009</v>
      </c>
      <c r="AH328" s="111">
        <f t="shared" si="189"/>
        <v>8.3011610834834055</v>
      </c>
      <c r="AI328" s="97">
        <f t="shared" si="190"/>
        <v>12.970972912914899</v>
      </c>
      <c r="AJ328" s="97">
        <f t="shared" si="191"/>
        <v>19.263794014241579</v>
      </c>
      <c r="AK328" s="142">
        <f t="shared" si="192"/>
        <v>22.091604277099478</v>
      </c>
      <c r="AL328" s="97">
        <f t="shared" si="193"/>
        <v>12.037010547028601</v>
      </c>
      <c r="AM328" s="142">
        <f t="shared" si="194"/>
        <v>19.829356066813158</v>
      </c>
      <c r="AN328" s="142">
        <f t="shared" si="195"/>
        <v>15.933183306920879</v>
      </c>
      <c r="AO328" s="142">
        <f>AN328</f>
        <v>15.933183306920879</v>
      </c>
    </row>
    <row r="329" spans="1:41" x14ac:dyDescent="0.25">
      <c r="A329" s="282" t="s">
        <v>22</v>
      </c>
      <c r="B329" s="103">
        <f t="shared" si="182"/>
        <v>0</v>
      </c>
      <c r="C329" s="98">
        <f t="shared" ref="C329:I329" si="214">C315*$B301</f>
        <v>0</v>
      </c>
      <c r="D329" s="98">
        <f t="shared" si="214"/>
        <v>0</v>
      </c>
      <c r="E329" s="104">
        <f t="shared" si="214"/>
        <v>1.772431105367861</v>
      </c>
      <c r="F329" s="103">
        <f t="shared" si="214"/>
        <v>0</v>
      </c>
      <c r="G329" s="98">
        <f t="shared" si="214"/>
        <v>0</v>
      </c>
      <c r="H329" s="98">
        <f t="shared" si="214"/>
        <v>0</v>
      </c>
      <c r="I329" s="104">
        <f t="shared" si="214"/>
        <v>1.2084757536599051</v>
      </c>
      <c r="J329" s="103">
        <f t="shared" si="184"/>
        <v>0</v>
      </c>
      <c r="K329" s="98">
        <f t="shared" ref="K329:Q329" si="215">K315*$C301</f>
        <v>0.35423224457177838</v>
      </c>
      <c r="L329" s="98">
        <f t="shared" si="215"/>
        <v>0.85015738697226806</v>
      </c>
      <c r="M329" s="104">
        <f t="shared" si="215"/>
        <v>2.4796257120024485</v>
      </c>
      <c r="N329" s="103">
        <f t="shared" si="215"/>
        <v>2.5762345059765723E-2</v>
      </c>
      <c r="O329" s="98">
        <f t="shared" si="215"/>
        <v>0.35423224457177838</v>
      </c>
      <c r="P329" s="98">
        <f t="shared" si="215"/>
        <v>0.85015738697226806</v>
      </c>
      <c r="Q329" s="104">
        <f t="shared" si="215"/>
        <v>1.967599103939605</v>
      </c>
      <c r="R329" s="103">
        <f t="shared" si="186"/>
        <v>0</v>
      </c>
      <c r="S329" s="98">
        <f t="shared" ref="S329:Y329" si="216">S315*$D301</f>
        <v>0.39823224457177836</v>
      </c>
      <c r="T329" s="98">
        <f t="shared" si="216"/>
        <v>0.95575738697226809</v>
      </c>
      <c r="U329" s="104">
        <f t="shared" si="216"/>
        <v>2.7876257120024484</v>
      </c>
      <c r="V329" s="103">
        <f t="shared" si="216"/>
        <v>2.8962345059765724E-2</v>
      </c>
      <c r="W329" s="98">
        <f t="shared" si="216"/>
        <v>0.39823224457177836</v>
      </c>
      <c r="X329" s="98">
        <f t="shared" si="216"/>
        <v>0.95575738697226809</v>
      </c>
      <c r="Y329" s="104">
        <f t="shared" si="216"/>
        <v>2.211999103939605</v>
      </c>
      <c r="Z329" s="111">
        <f t="shared" si="188"/>
        <v>0</v>
      </c>
      <c r="AA329" s="97">
        <f t="shared" si="181"/>
        <v>0.75246448914355679</v>
      </c>
      <c r="AB329" s="97">
        <f t="shared" si="181"/>
        <v>1.805914773944536</v>
      </c>
      <c r="AC329" s="142">
        <f t="shared" si="181"/>
        <v>7.0396825293727581</v>
      </c>
      <c r="AD329" s="111">
        <f t="shared" si="181"/>
        <v>5.4724690119531447E-2</v>
      </c>
      <c r="AE329" s="97">
        <f t="shared" si="181"/>
        <v>0.75246448914355679</v>
      </c>
      <c r="AF329" s="97">
        <f t="shared" si="181"/>
        <v>1.805914773944536</v>
      </c>
      <c r="AG329" s="142">
        <f t="shared" si="181"/>
        <v>5.3880739615391153</v>
      </c>
      <c r="AH329" s="111">
        <f t="shared" si="189"/>
        <v>3.2834814071718864E-2</v>
      </c>
      <c r="AI329" s="97">
        <f t="shared" si="190"/>
        <v>0.75246448914355679</v>
      </c>
      <c r="AJ329" s="97">
        <f t="shared" si="191"/>
        <v>1.805914773944536</v>
      </c>
      <c r="AK329" s="142">
        <f t="shared" si="192"/>
        <v>6.0487173886725722</v>
      </c>
      <c r="AL329" s="97">
        <f t="shared" si="193"/>
        <v>0.60853855412918922</v>
      </c>
      <c r="AM329" s="142">
        <f t="shared" si="194"/>
        <v>2.6544752968901433</v>
      </c>
      <c r="AN329" s="142">
        <f t="shared" si="195"/>
        <v>1.6315069255096661</v>
      </c>
      <c r="AO329" s="142">
        <f>AN328</f>
        <v>15.933183306920879</v>
      </c>
    </row>
    <row r="330" spans="1:41" ht="15.75" thickBot="1" x14ac:dyDescent="0.3">
      <c r="A330" s="283" t="s">
        <v>23</v>
      </c>
      <c r="B330" s="106">
        <f t="shared" si="182"/>
        <v>1.3532062870860311</v>
      </c>
      <c r="C330" s="107">
        <f t="shared" ref="C330:I330" si="217">C316*$B302</f>
        <v>3.4186264094804999</v>
      </c>
      <c r="D330" s="107">
        <f t="shared" si="217"/>
        <v>5.0583009281017022</v>
      </c>
      <c r="E330" s="108">
        <f t="shared" si="217"/>
        <v>5.6502297601136036</v>
      </c>
      <c r="F330" s="106">
        <f t="shared" si="217"/>
        <v>1.728305573681808</v>
      </c>
      <c r="G330" s="107">
        <f t="shared" si="217"/>
        <v>3.4186264094804999</v>
      </c>
      <c r="H330" s="107">
        <f t="shared" si="217"/>
        <v>5.0583009281017022</v>
      </c>
      <c r="I330" s="108">
        <f t="shared" si="217"/>
        <v>5.4887946241103576</v>
      </c>
      <c r="J330" s="106">
        <f t="shared" si="184"/>
        <v>1.8177759623349619</v>
      </c>
      <c r="K330" s="107">
        <f t="shared" ref="K330:Q330" si="218">K316*$C302</f>
        <v>3.8285900799621322</v>
      </c>
      <c r="L330" s="107">
        <f t="shared" si="218"/>
        <v>5.4243721637110545</v>
      </c>
      <c r="M330" s="108">
        <f t="shared" si="218"/>
        <v>6.3284341909962301</v>
      </c>
      <c r="N330" s="106">
        <f t="shared" si="218"/>
        <v>2.2617637195070412</v>
      </c>
      <c r="O330" s="107">
        <f t="shared" si="218"/>
        <v>3.8285900799621322</v>
      </c>
      <c r="P330" s="107">
        <f t="shared" si="218"/>
        <v>5.4243721637110545</v>
      </c>
      <c r="Q330" s="108">
        <f t="shared" si="218"/>
        <v>6.0646153787635457</v>
      </c>
      <c r="R330" s="106">
        <f t="shared" si="186"/>
        <v>2.0437759623349621</v>
      </c>
      <c r="S330" s="107">
        <f t="shared" ref="S330:Y330" si="219">S316*$D302</f>
        <v>4.3045900799621322</v>
      </c>
      <c r="T330" s="107">
        <f t="shared" si="219"/>
        <v>6.0987721637110548</v>
      </c>
      <c r="U330" s="108">
        <f t="shared" si="219"/>
        <v>7.1152341909962313</v>
      </c>
      <c r="V330" s="106">
        <f t="shared" si="219"/>
        <v>2.5429637195070418</v>
      </c>
      <c r="W330" s="107">
        <f t="shared" si="219"/>
        <v>4.3045900799621322</v>
      </c>
      <c r="X330" s="107">
        <f t="shared" si="219"/>
        <v>6.0987721637110548</v>
      </c>
      <c r="Y330" s="108">
        <f t="shared" si="219"/>
        <v>6.8186153787635462</v>
      </c>
      <c r="Z330" s="112">
        <f t="shared" si="188"/>
        <v>5.2147582117559548</v>
      </c>
      <c r="AA330" s="188">
        <f t="shared" si="181"/>
        <v>11.551806569404764</v>
      </c>
      <c r="AB330" s="188">
        <f t="shared" si="181"/>
        <v>16.581445255523811</v>
      </c>
      <c r="AC330" s="113">
        <f t="shared" si="181"/>
        <v>19.093898142106063</v>
      </c>
      <c r="AD330" s="112">
        <f t="shared" si="181"/>
        <v>6.5330330126958911</v>
      </c>
      <c r="AE330" s="188">
        <f t="shared" si="181"/>
        <v>11.551806569404764</v>
      </c>
      <c r="AF330" s="188">
        <f t="shared" si="181"/>
        <v>16.581445255523811</v>
      </c>
      <c r="AG330" s="113">
        <f t="shared" si="181"/>
        <v>18.372025381637449</v>
      </c>
      <c r="AH330" s="112">
        <f t="shared" si="189"/>
        <v>6.0057230923199167</v>
      </c>
      <c r="AI330" s="188">
        <f t="shared" si="190"/>
        <v>11.551806569404764</v>
      </c>
      <c r="AJ330" s="188">
        <f t="shared" si="191"/>
        <v>16.581445255523811</v>
      </c>
      <c r="AK330" s="113">
        <f t="shared" si="192"/>
        <v>18.660774485824895</v>
      </c>
      <c r="AL330" s="188">
        <f t="shared" si="193"/>
        <v>10.442589873987796</v>
      </c>
      <c r="AM330" s="113">
        <f t="shared" si="194"/>
        <v>16.997311101584028</v>
      </c>
      <c r="AN330" s="113">
        <f t="shared" si="195"/>
        <v>13.719950487785912</v>
      </c>
      <c r="AO330" s="113">
        <f>AN328</f>
        <v>15.933183306920879</v>
      </c>
    </row>
    <row r="332" spans="1:41" ht="15.75" thickBot="1" x14ac:dyDescent="0.3">
      <c r="A332" s="1" t="s">
        <v>304</v>
      </c>
    </row>
    <row r="333" spans="1:41" ht="15" customHeight="1" x14ac:dyDescent="0.25">
      <c r="A333" s="456" t="s">
        <v>234</v>
      </c>
      <c r="B333" s="425" t="s">
        <v>274</v>
      </c>
      <c r="C333" s="425" t="s">
        <v>265</v>
      </c>
    </row>
    <row r="334" spans="1:41" ht="15.75" thickBot="1" x14ac:dyDescent="0.3">
      <c r="A334" s="457"/>
      <c r="B334" s="426"/>
      <c r="C334" s="426"/>
    </row>
    <row r="335" spans="1:41" x14ac:dyDescent="0.25">
      <c r="A335" s="374" t="s">
        <v>24</v>
      </c>
      <c r="B335" s="524">
        <v>21.567441010101</v>
      </c>
      <c r="C335" s="524">
        <v>21.567441010101</v>
      </c>
    </row>
    <row r="336" spans="1:41" x14ac:dyDescent="0.25">
      <c r="A336" s="375" t="s">
        <v>15</v>
      </c>
      <c r="B336" s="525">
        <v>19.936190430594198</v>
      </c>
      <c r="C336" s="525">
        <v>21.567441010101</v>
      </c>
    </row>
    <row r="337" spans="1:3" x14ac:dyDescent="0.25">
      <c r="A337" s="375" t="s">
        <v>20</v>
      </c>
      <c r="B337" s="525">
        <v>15.933183306920901</v>
      </c>
      <c r="C337" s="525">
        <v>15.933183306920901</v>
      </c>
    </row>
    <row r="338" spans="1:3" x14ac:dyDescent="0.25">
      <c r="A338" s="375" t="s">
        <v>23</v>
      </c>
      <c r="B338" s="525">
        <v>13.7199504877859</v>
      </c>
      <c r="C338" s="525">
        <v>15.933183306920901</v>
      </c>
    </row>
    <row r="339" spans="1:3" x14ac:dyDescent="0.25">
      <c r="A339" s="375" t="s">
        <v>22</v>
      </c>
      <c r="B339" s="525">
        <v>1.6315069255096699</v>
      </c>
      <c r="C339" s="525">
        <v>15.933183306920901</v>
      </c>
    </row>
    <row r="340" spans="1:3" x14ac:dyDescent="0.25">
      <c r="A340" s="375" t="s">
        <v>13</v>
      </c>
      <c r="B340" s="525">
        <v>13.808246763142099</v>
      </c>
      <c r="C340" s="525">
        <v>13.808246763142099</v>
      </c>
    </row>
    <row r="341" spans="1:3" x14ac:dyDescent="0.25">
      <c r="A341" s="375" t="s">
        <v>17</v>
      </c>
      <c r="B341" s="525">
        <v>13.585083776408601</v>
      </c>
      <c r="C341" s="525">
        <v>13.585083776408601</v>
      </c>
    </row>
    <row r="342" spans="1:3" x14ac:dyDescent="0.25">
      <c r="A342" s="375" t="s">
        <v>19</v>
      </c>
      <c r="B342" s="525">
        <v>10.7977833069209</v>
      </c>
      <c r="C342" s="525">
        <v>10.7977833069209</v>
      </c>
    </row>
    <row r="343" spans="1:3" x14ac:dyDescent="0.25">
      <c r="A343" s="375" t="s">
        <v>18</v>
      </c>
      <c r="B343" s="525">
        <v>8.62095048778591</v>
      </c>
      <c r="C343" s="525">
        <v>10.7977833069209</v>
      </c>
    </row>
    <row r="344" spans="1:3" ht="14.25" customHeight="1" thickBot="1" x14ac:dyDescent="0.3">
      <c r="A344" s="376" t="s">
        <v>14</v>
      </c>
      <c r="B344" s="526">
        <v>6.1739787631421503</v>
      </c>
      <c r="C344" s="526">
        <v>6.1739787631421503</v>
      </c>
    </row>
    <row r="345" spans="1:3" ht="15.75" thickBot="1" x14ac:dyDescent="0.3"/>
    <row r="346" spans="1:3" ht="15" customHeight="1" x14ac:dyDescent="0.25">
      <c r="A346" s="456" t="s">
        <v>155</v>
      </c>
      <c r="B346" s="456" t="s">
        <v>177</v>
      </c>
    </row>
    <row r="347" spans="1:3" ht="15" customHeight="1" thickBot="1" x14ac:dyDescent="0.3">
      <c r="A347" s="457"/>
      <c r="B347" s="457"/>
    </row>
    <row r="348" spans="1:3" x14ac:dyDescent="0.25">
      <c r="A348" s="351" t="s">
        <v>24</v>
      </c>
      <c r="B348" s="286">
        <f>((AB321-AA321)+(AC321-Z321))/2</f>
        <v>8.1546233488733488</v>
      </c>
    </row>
    <row r="349" spans="1:3" x14ac:dyDescent="0.25">
      <c r="A349" s="352" t="s">
        <v>13</v>
      </c>
      <c r="B349" s="287">
        <f t="shared" ref="B349:B357" si="220">((AB322-AA322)+(AC322-Z322))/2</f>
        <v>7.7320213907171551</v>
      </c>
    </row>
    <row r="350" spans="1:3" x14ac:dyDescent="0.25">
      <c r="A350" s="352" t="s">
        <v>14</v>
      </c>
      <c r="B350" s="287">
        <f t="shared" si="220"/>
        <v>5.9547213907171557</v>
      </c>
    </row>
    <row r="351" spans="1:3" x14ac:dyDescent="0.25">
      <c r="A351" s="352" t="s">
        <v>15</v>
      </c>
      <c r="B351" s="287">
        <f t="shared" si="220"/>
        <v>8.9252653470291854</v>
      </c>
    </row>
    <row r="352" spans="1:3" x14ac:dyDescent="0.25">
      <c r="A352" s="352" t="s">
        <v>17</v>
      </c>
      <c r="B352" s="287">
        <f t="shared" si="220"/>
        <v>10.682625412169626</v>
      </c>
    </row>
    <row r="353" spans="1:2" x14ac:dyDescent="0.25">
      <c r="A353" s="352" t="s">
        <v>18</v>
      </c>
      <c r="B353" s="287">
        <f t="shared" si="220"/>
        <v>10.22438930823458</v>
      </c>
    </row>
    <row r="354" spans="1:2" x14ac:dyDescent="0.25">
      <c r="A354" s="352" t="s">
        <v>19</v>
      </c>
      <c r="B354" s="287">
        <f t="shared" si="220"/>
        <v>7.9818439076775629</v>
      </c>
    </row>
    <row r="355" spans="1:2" x14ac:dyDescent="0.25">
      <c r="A355" s="352" t="s">
        <v>20</v>
      </c>
      <c r="B355" s="287">
        <f>((AB328-AA328)+(AC328-Z328))/2</f>
        <v>10.801843907677565</v>
      </c>
    </row>
    <row r="356" spans="1:2" x14ac:dyDescent="0.25">
      <c r="A356" s="352" t="s">
        <v>22</v>
      </c>
      <c r="B356" s="287">
        <f t="shared" si="220"/>
        <v>4.0465664070868685</v>
      </c>
    </row>
    <row r="357" spans="1:2" ht="15.75" thickBot="1" x14ac:dyDescent="0.3">
      <c r="A357" s="353" t="s">
        <v>23</v>
      </c>
      <c r="B357" s="288">
        <f t="shared" si="220"/>
        <v>9.4543893082345782</v>
      </c>
    </row>
    <row r="358" spans="1:2" ht="15.75" thickBot="1" x14ac:dyDescent="0.3"/>
    <row r="359" spans="1:2" x14ac:dyDescent="0.25">
      <c r="A359" s="456" t="s">
        <v>156</v>
      </c>
      <c r="B359" s="456" t="s">
        <v>177</v>
      </c>
    </row>
    <row r="360" spans="1:2" ht="15.75" thickBot="1" x14ac:dyDescent="0.3">
      <c r="A360" s="457"/>
      <c r="B360" s="457"/>
    </row>
    <row r="361" spans="1:2" x14ac:dyDescent="0.25">
      <c r="A361" s="351" t="s">
        <v>24</v>
      </c>
      <c r="B361" s="286">
        <f>AC321-Z321</f>
        <v>13.309246697746698</v>
      </c>
    </row>
    <row r="362" spans="1:2" x14ac:dyDescent="0.25">
      <c r="A362" s="352" t="s">
        <v>13</v>
      </c>
      <c r="B362" s="287">
        <f t="shared" ref="B362:B370" si="221">AC322-Z322</f>
        <v>11.95063185742371</v>
      </c>
    </row>
    <row r="363" spans="1:2" x14ac:dyDescent="0.25">
      <c r="A363" s="352" t="s">
        <v>14</v>
      </c>
      <c r="B363" s="287">
        <f t="shared" si="221"/>
        <v>9.5144318574237126</v>
      </c>
    </row>
    <row r="364" spans="1:2" x14ac:dyDescent="0.25">
      <c r="A364" s="352" t="s">
        <v>15</v>
      </c>
      <c r="B364" s="287">
        <f t="shared" si="221"/>
        <v>13.88810694492703</v>
      </c>
    </row>
    <row r="365" spans="1:2" x14ac:dyDescent="0.25">
      <c r="A365" s="352" t="s">
        <v>17</v>
      </c>
      <c r="B365" s="287">
        <f t="shared" si="221"/>
        <v>15.018046711141327</v>
      </c>
    </row>
    <row r="366" spans="1:2" x14ac:dyDescent="0.25">
      <c r="A366" s="352" t="s">
        <v>18</v>
      </c>
      <c r="B366" s="287">
        <f t="shared" si="221"/>
        <v>14.329139930350113</v>
      </c>
    </row>
    <row r="367" spans="1:2" x14ac:dyDescent="0.25">
      <c r="A367" s="352" t="s">
        <v>19</v>
      </c>
      <c r="B367" s="287">
        <f t="shared" si="221"/>
        <v>12.090866714028447</v>
      </c>
    </row>
    <row r="368" spans="1:2" x14ac:dyDescent="0.25">
      <c r="A368" s="352" t="s">
        <v>20</v>
      </c>
      <c r="B368" s="287">
        <f t="shared" si="221"/>
        <v>15.310866714028448</v>
      </c>
    </row>
    <row r="369" spans="1:2" x14ac:dyDescent="0.25">
      <c r="A369" s="352" t="s">
        <v>22</v>
      </c>
      <c r="B369" s="287">
        <f t="shared" si="221"/>
        <v>7.0396825293727581</v>
      </c>
    </row>
    <row r="370" spans="1:2" ht="15.75" thickBot="1" x14ac:dyDescent="0.3">
      <c r="A370" s="353" t="s">
        <v>23</v>
      </c>
      <c r="B370" s="288">
        <f t="shared" si="221"/>
        <v>13.879139930350108</v>
      </c>
    </row>
  </sheetData>
  <sortState xmlns:xlrd2="http://schemas.microsoft.com/office/spreadsheetml/2017/richdata2" ref="A335:BV344">
    <sortCondition descending="1" ref="C335:C344"/>
  </sortState>
  <mergeCells count="161">
    <mergeCell ref="A5:E5"/>
    <mergeCell ref="A7:E7"/>
    <mergeCell ref="A12:A13"/>
    <mergeCell ref="B12:B13"/>
    <mergeCell ref="C12:C13"/>
    <mergeCell ref="D12:F12"/>
    <mergeCell ref="E46:L46"/>
    <mergeCell ref="A64:A65"/>
    <mergeCell ref="B64:B65"/>
    <mergeCell ref="C64:C65"/>
    <mergeCell ref="D64:F64"/>
    <mergeCell ref="G64:I64"/>
    <mergeCell ref="J64:J65"/>
    <mergeCell ref="K65:N65"/>
    <mergeCell ref="W13:Z13"/>
    <mergeCell ref="A346:A347"/>
    <mergeCell ref="B346:B347"/>
    <mergeCell ref="A359:A360"/>
    <mergeCell ref="B359:B360"/>
    <mergeCell ref="E92:L92"/>
    <mergeCell ref="E98:L98"/>
    <mergeCell ref="E144:L144"/>
    <mergeCell ref="E150:L150"/>
    <mergeCell ref="A208:I208"/>
    <mergeCell ref="A209:D209"/>
    <mergeCell ref="F209:J209"/>
    <mergeCell ref="R194:Y194"/>
    <mergeCell ref="R195:U195"/>
    <mergeCell ref="V195:Y195"/>
    <mergeCell ref="A165:A166"/>
    <mergeCell ref="B165:I165"/>
    <mergeCell ref="J165:Q165"/>
    <mergeCell ref="R165:Y165"/>
    <mergeCell ref="B166:E166"/>
    <mergeCell ref="A116:A117"/>
    <mergeCell ref="B116:B117"/>
    <mergeCell ref="C116:C117"/>
    <mergeCell ref="D116:F116"/>
    <mergeCell ref="BU12:BU13"/>
    <mergeCell ref="AY13:BB13"/>
    <mergeCell ref="BC13:BF13"/>
    <mergeCell ref="BG13:BJ13"/>
    <mergeCell ref="BK13:BN13"/>
    <mergeCell ref="E40:L40"/>
    <mergeCell ref="AA13:AD13"/>
    <mergeCell ref="AQ12:AX12"/>
    <mergeCell ref="AY12:BF12"/>
    <mergeCell ref="AE13:AH13"/>
    <mergeCell ref="AI13:AL13"/>
    <mergeCell ref="AM13:AP13"/>
    <mergeCell ref="AQ13:AT13"/>
    <mergeCell ref="AU13:AX13"/>
    <mergeCell ref="BG12:BN12"/>
    <mergeCell ref="G12:I12"/>
    <mergeCell ref="J12:J13"/>
    <mergeCell ref="K12:R12"/>
    <mergeCell ref="S12:Z12"/>
    <mergeCell ref="AA12:AH12"/>
    <mergeCell ref="AI12:AP12"/>
    <mergeCell ref="K13:N13"/>
    <mergeCell ref="O13:R13"/>
    <mergeCell ref="S13:V13"/>
    <mergeCell ref="AI64:AP64"/>
    <mergeCell ref="AQ64:AX64"/>
    <mergeCell ref="AY64:BF64"/>
    <mergeCell ref="BG65:BJ65"/>
    <mergeCell ref="BK65:BN65"/>
    <mergeCell ref="AI65:AL65"/>
    <mergeCell ref="AM65:AP65"/>
    <mergeCell ref="AQ65:AT65"/>
    <mergeCell ref="AU65:AX65"/>
    <mergeCell ref="BC65:BF65"/>
    <mergeCell ref="O65:R65"/>
    <mergeCell ref="S65:V65"/>
    <mergeCell ref="W65:Z65"/>
    <mergeCell ref="AA65:AD65"/>
    <mergeCell ref="AE65:AH65"/>
    <mergeCell ref="K64:R64"/>
    <mergeCell ref="S64:Z64"/>
    <mergeCell ref="AA64:AH64"/>
    <mergeCell ref="G116:I116"/>
    <mergeCell ref="J116:J117"/>
    <mergeCell ref="BG116:BN116"/>
    <mergeCell ref="BC117:BF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F166:I166"/>
    <mergeCell ref="J166:M166"/>
    <mergeCell ref="N166:Q166"/>
    <mergeCell ref="R166:U166"/>
    <mergeCell ref="V166:Y166"/>
    <mergeCell ref="A251:I251"/>
    <mergeCell ref="A252:D252"/>
    <mergeCell ref="F252:I252"/>
    <mergeCell ref="A194:A195"/>
    <mergeCell ref="B194:I194"/>
    <mergeCell ref="J194:Q194"/>
    <mergeCell ref="B195:E195"/>
    <mergeCell ref="F195:I195"/>
    <mergeCell ref="J195:M195"/>
    <mergeCell ref="N195:Q195"/>
    <mergeCell ref="A305:A306"/>
    <mergeCell ref="B305:I305"/>
    <mergeCell ref="J305:Q305"/>
    <mergeCell ref="R305:Y305"/>
    <mergeCell ref="B306:E306"/>
    <mergeCell ref="F306:I306"/>
    <mergeCell ref="J306:M306"/>
    <mergeCell ref="N306:Q306"/>
    <mergeCell ref="R306:U306"/>
    <mergeCell ref="V306:Y306"/>
    <mergeCell ref="A333:A334"/>
    <mergeCell ref="B333:B334"/>
    <mergeCell ref="AN319:AN320"/>
    <mergeCell ref="B320:E320"/>
    <mergeCell ref="F320:I320"/>
    <mergeCell ref="J320:M320"/>
    <mergeCell ref="N320:Q320"/>
    <mergeCell ref="R320:U320"/>
    <mergeCell ref="V320:Y320"/>
    <mergeCell ref="Z320:AC320"/>
    <mergeCell ref="AD320:AG320"/>
    <mergeCell ref="A319:A320"/>
    <mergeCell ref="B319:I319"/>
    <mergeCell ref="J319:Q319"/>
    <mergeCell ref="R319:Y319"/>
    <mergeCell ref="Z319:AG319"/>
    <mergeCell ref="C333:C334"/>
    <mergeCell ref="AH319:AK320"/>
    <mergeCell ref="AL319:AM320"/>
    <mergeCell ref="AO319:AO320"/>
    <mergeCell ref="BO12:BR13"/>
    <mergeCell ref="BS12:BT13"/>
    <mergeCell ref="BV12:BV13"/>
    <mergeCell ref="BO64:BR65"/>
    <mergeCell ref="BS64:BT65"/>
    <mergeCell ref="BV64:BV65"/>
    <mergeCell ref="BO116:BR117"/>
    <mergeCell ref="BS116:BT117"/>
    <mergeCell ref="BV116:BV117"/>
    <mergeCell ref="BU116:BU117"/>
    <mergeCell ref="AI116:AP116"/>
    <mergeCell ref="AQ116:AX116"/>
    <mergeCell ref="AY116:BF116"/>
    <mergeCell ref="BG117:BJ117"/>
    <mergeCell ref="BK117:BN117"/>
    <mergeCell ref="AI117:AL117"/>
    <mergeCell ref="AM117:AP117"/>
    <mergeCell ref="AQ117:AT117"/>
    <mergeCell ref="AU117:AX117"/>
    <mergeCell ref="AY117:BB117"/>
    <mergeCell ref="AY65:BB65"/>
    <mergeCell ref="BG64:BN64"/>
    <mergeCell ref="BU64:BU65"/>
  </mergeCells>
  <phoneticPr fontId="8" type="noConversion"/>
  <hyperlinks>
    <hyperlink ref="B4" r:id="rId1" xr:uid="{8B6B1A7C-E40E-4344-8E49-BC9E18E1DA2F}"/>
    <hyperlink ref="B6" r:id="rId2" xr:uid="{C66D20B0-AC79-41F8-B78D-BF7795A6D44C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4B81-1171-4EF6-9E78-08B8EBE7458E}">
  <dimension ref="A1:BV416"/>
  <sheetViews>
    <sheetView topLeftCell="A404" zoomScaleNormal="100" workbookViewId="0">
      <selection activeCell="B407" sqref="B407:B416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2.7109375" customWidth="1"/>
    <col min="8" max="8" width="12.28515625" customWidth="1"/>
    <col min="9" max="9" width="13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41" width="24.85546875" customWidth="1"/>
    <col min="42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  <col min="74" max="74" width="22.7109375" customWidth="1"/>
  </cols>
  <sheetData>
    <row r="1" spans="1:74" ht="18.75" x14ac:dyDescent="0.3">
      <c r="A1" s="148" t="s">
        <v>195</v>
      </c>
    </row>
    <row r="3" spans="1:74" x14ac:dyDescent="0.25">
      <c r="A3" s="1" t="s">
        <v>34</v>
      </c>
      <c r="B3" s="34"/>
      <c r="C3" s="34"/>
    </row>
    <row r="4" spans="1:74" x14ac:dyDescent="0.25">
      <c r="A4" s="1" t="s">
        <v>148</v>
      </c>
      <c r="B4" s="37" t="s">
        <v>36</v>
      </c>
      <c r="C4" s="34"/>
    </row>
    <row r="5" spans="1:74" ht="30" customHeight="1" x14ac:dyDescent="0.25">
      <c r="A5" s="468" t="s">
        <v>173</v>
      </c>
      <c r="B5" s="469"/>
      <c r="C5" s="469"/>
      <c r="D5" s="462"/>
      <c r="E5" s="462"/>
    </row>
    <row r="6" spans="1:74" ht="31.5" x14ac:dyDescent="0.25">
      <c r="A6" s="114" t="s">
        <v>146</v>
      </c>
      <c r="B6" s="115" t="s">
        <v>150</v>
      </c>
      <c r="C6" s="35"/>
    </row>
    <row r="7" spans="1:74" ht="35.25" customHeight="1" x14ac:dyDescent="0.25">
      <c r="A7" s="468" t="s">
        <v>172</v>
      </c>
      <c r="B7" s="469"/>
      <c r="C7" s="469"/>
      <c r="D7" s="462"/>
      <c r="E7" s="462"/>
    </row>
    <row r="8" spans="1:74" ht="15.75" x14ac:dyDescent="0.25">
      <c r="A8" s="65"/>
      <c r="B8" s="35"/>
      <c r="C8" s="35"/>
    </row>
    <row r="9" spans="1:74" ht="18.75" x14ac:dyDescent="0.3">
      <c r="A9" s="68" t="s">
        <v>84</v>
      </c>
      <c r="B9" s="35"/>
      <c r="C9" s="35"/>
    </row>
    <row r="10" spans="1:74" x14ac:dyDescent="0.25">
      <c r="A10" s="1" t="s">
        <v>47</v>
      </c>
      <c r="B10" s="35"/>
      <c r="C10" s="35"/>
    </row>
    <row r="11" spans="1:74" ht="15.75" thickBot="1" x14ac:dyDescent="0.3">
      <c r="A11" s="36" t="s">
        <v>87</v>
      </c>
      <c r="B11" s="35"/>
      <c r="C11" s="35"/>
      <c r="BO11">
        <v>0.6</v>
      </c>
      <c r="BS11">
        <v>0.8</v>
      </c>
    </row>
    <row r="12" spans="1:74" ht="86.25" customHeight="1" thickBot="1" x14ac:dyDescent="0.3">
      <c r="A12" s="464" t="s">
        <v>25</v>
      </c>
      <c r="B12" s="455" t="s">
        <v>234</v>
      </c>
      <c r="C12" s="444" t="s">
        <v>26</v>
      </c>
      <c r="D12" s="464" t="s">
        <v>55</v>
      </c>
      <c r="E12" s="455"/>
      <c r="F12" s="488"/>
      <c r="G12" s="464" t="s">
        <v>56</v>
      </c>
      <c r="H12" s="455"/>
      <c r="I12" s="455"/>
      <c r="J12" s="444" t="s">
        <v>81</v>
      </c>
      <c r="K12" s="435" t="s">
        <v>78</v>
      </c>
      <c r="L12" s="436"/>
      <c r="M12" s="436"/>
      <c r="N12" s="436"/>
      <c r="O12" s="436"/>
      <c r="P12" s="436"/>
      <c r="Q12" s="436"/>
      <c r="R12" s="437"/>
      <c r="S12" s="435" t="s">
        <v>76</v>
      </c>
      <c r="T12" s="436"/>
      <c r="U12" s="436"/>
      <c r="V12" s="436"/>
      <c r="W12" s="436"/>
      <c r="X12" s="436"/>
      <c r="Y12" s="436"/>
      <c r="Z12" s="437"/>
      <c r="AA12" s="435" t="s">
        <v>77</v>
      </c>
      <c r="AB12" s="436"/>
      <c r="AC12" s="436"/>
      <c r="AD12" s="436"/>
      <c r="AE12" s="436"/>
      <c r="AF12" s="436"/>
      <c r="AG12" s="436"/>
      <c r="AH12" s="437"/>
      <c r="AI12" s="435" t="s">
        <v>75</v>
      </c>
      <c r="AJ12" s="436"/>
      <c r="AK12" s="436"/>
      <c r="AL12" s="436"/>
      <c r="AM12" s="436"/>
      <c r="AN12" s="436"/>
      <c r="AO12" s="436"/>
      <c r="AP12" s="437"/>
      <c r="AQ12" s="435" t="s">
        <v>82</v>
      </c>
      <c r="AR12" s="436"/>
      <c r="AS12" s="436"/>
      <c r="AT12" s="436"/>
      <c r="AU12" s="436"/>
      <c r="AV12" s="436"/>
      <c r="AW12" s="436"/>
      <c r="AX12" s="437"/>
      <c r="AY12" s="435" t="s">
        <v>83</v>
      </c>
      <c r="AZ12" s="436"/>
      <c r="BA12" s="436"/>
      <c r="BB12" s="436"/>
      <c r="BC12" s="436"/>
      <c r="BD12" s="436"/>
      <c r="BE12" s="436"/>
      <c r="BF12" s="437"/>
      <c r="BG12" s="438" t="s">
        <v>119</v>
      </c>
      <c r="BH12" s="439"/>
      <c r="BI12" s="439"/>
      <c r="BJ12" s="439"/>
      <c r="BK12" s="439"/>
      <c r="BL12" s="439"/>
      <c r="BM12" s="439"/>
      <c r="BN12" s="440"/>
      <c r="BO12" s="427" t="s">
        <v>264</v>
      </c>
      <c r="BP12" s="428"/>
      <c r="BQ12" s="428"/>
      <c r="BR12" s="429"/>
      <c r="BS12" s="433" t="s">
        <v>79</v>
      </c>
      <c r="BT12" s="434"/>
      <c r="BU12" s="425" t="s">
        <v>80</v>
      </c>
      <c r="BV12" s="425" t="s">
        <v>265</v>
      </c>
    </row>
    <row r="13" spans="1:74" s="33" customFormat="1" ht="23.25" customHeight="1" thickBot="1" x14ac:dyDescent="0.3">
      <c r="A13" s="465"/>
      <c r="B13" s="466"/>
      <c r="C13" s="445"/>
      <c r="D13" s="240" t="s">
        <v>48</v>
      </c>
      <c r="E13" s="218" t="s">
        <v>49</v>
      </c>
      <c r="F13" s="247" t="s">
        <v>50</v>
      </c>
      <c r="G13" s="240" t="s">
        <v>48</v>
      </c>
      <c r="H13" s="218" t="s">
        <v>49</v>
      </c>
      <c r="I13" s="218" t="s">
        <v>50</v>
      </c>
      <c r="J13" s="445"/>
      <c r="K13" s="435" t="s">
        <v>3</v>
      </c>
      <c r="L13" s="436"/>
      <c r="M13" s="436"/>
      <c r="N13" s="437"/>
      <c r="O13" s="435" t="s">
        <v>4</v>
      </c>
      <c r="P13" s="436"/>
      <c r="Q13" s="436"/>
      <c r="R13" s="437"/>
      <c r="S13" s="435" t="s">
        <v>3</v>
      </c>
      <c r="T13" s="436"/>
      <c r="U13" s="436"/>
      <c r="V13" s="437"/>
      <c r="W13" s="435" t="s">
        <v>4</v>
      </c>
      <c r="X13" s="436"/>
      <c r="Y13" s="436"/>
      <c r="Z13" s="437"/>
      <c r="AA13" s="435" t="s">
        <v>3</v>
      </c>
      <c r="AB13" s="436"/>
      <c r="AC13" s="436"/>
      <c r="AD13" s="437"/>
      <c r="AE13" s="435" t="s">
        <v>4</v>
      </c>
      <c r="AF13" s="436"/>
      <c r="AG13" s="436"/>
      <c r="AH13" s="437"/>
      <c r="AI13" s="435" t="s">
        <v>3</v>
      </c>
      <c r="AJ13" s="436"/>
      <c r="AK13" s="436"/>
      <c r="AL13" s="437"/>
      <c r="AM13" s="435" t="s">
        <v>4</v>
      </c>
      <c r="AN13" s="436"/>
      <c r="AO13" s="436"/>
      <c r="AP13" s="437"/>
      <c r="AQ13" s="435" t="s">
        <v>3</v>
      </c>
      <c r="AR13" s="436"/>
      <c r="AS13" s="436"/>
      <c r="AT13" s="437"/>
      <c r="AU13" s="435" t="s">
        <v>4</v>
      </c>
      <c r="AV13" s="436"/>
      <c r="AW13" s="436"/>
      <c r="AX13" s="437"/>
      <c r="AY13" s="435" t="s">
        <v>3</v>
      </c>
      <c r="AZ13" s="436"/>
      <c r="BA13" s="436"/>
      <c r="BB13" s="437"/>
      <c r="BC13" s="435" t="s">
        <v>4</v>
      </c>
      <c r="BD13" s="436"/>
      <c r="BE13" s="436"/>
      <c r="BF13" s="437"/>
      <c r="BG13" s="435" t="s">
        <v>3</v>
      </c>
      <c r="BH13" s="436"/>
      <c r="BI13" s="436"/>
      <c r="BJ13" s="437"/>
      <c r="BK13" s="435" t="s">
        <v>4</v>
      </c>
      <c r="BL13" s="436"/>
      <c r="BM13" s="436"/>
      <c r="BN13" s="437"/>
      <c r="BO13" s="430"/>
      <c r="BP13" s="431"/>
      <c r="BQ13" s="431"/>
      <c r="BR13" s="432"/>
      <c r="BS13" s="430"/>
      <c r="BT13" s="432"/>
      <c r="BU13" s="426"/>
      <c r="BV13" s="426"/>
    </row>
    <row r="14" spans="1:74" ht="30" x14ac:dyDescent="0.25">
      <c r="A14" s="235" t="s">
        <v>0</v>
      </c>
      <c r="B14" s="236" t="s">
        <v>24</v>
      </c>
      <c r="C14" s="237" t="s">
        <v>12</v>
      </c>
      <c r="D14" s="368" t="s">
        <v>42</v>
      </c>
      <c r="E14" s="365" t="s">
        <v>42</v>
      </c>
      <c r="F14" s="369" t="s">
        <v>42</v>
      </c>
      <c r="G14" s="292">
        <f>IF(D14=$A$27,$B$27,(IF(D14=$A$28,$B$28,IF(D14=$A$29,$B$29,$B$30))))</f>
        <v>1</v>
      </c>
      <c r="H14" s="289">
        <f t="shared" ref="G14:I23" si="0">IF(E14=$A$27,$B$27,(IF(E14=$A$28,$B$28,IF(E14=$A$29,$B$29,$B$30))))</f>
        <v>1</v>
      </c>
      <c r="I14" s="289">
        <f t="shared" si="0"/>
        <v>1</v>
      </c>
      <c r="J14" s="405">
        <f>G14*$D$41+H14*$D$42+I14*$D$43</f>
        <v>24</v>
      </c>
      <c r="K14" s="110">
        <v>0.77</v>
      </c>
      <c r="L14" s="234">
        <v>1</v>
      </c>
      <c r="M14" s="234">
        <v>1</v>
      </c>
      <c r="N14" s="140">
        <v>1</v>
      </c>
      <c r="O14" s="234">
        <v>0.8</v>
      </c>
      <c r="P14" s="234">
        <v>1</v>
      </c>
      <c r="Q14" s="234">
        <v>1</v>
      </c>
      <c r="R14" s="234">
        <v>1</v>
      </c>
      <c r="S14" s="110">
        <v>0.77</v>
      </c>
      <c r="T14" s="234">
        <v>1</v>
      </c>
      <c r="U14" s="234">
        <v>1</v>
      </c>
      <c r="V14" s="234">
        <v>1</v>
      </c>
      <c r="W14" s="110">
        <v>0.8</v>
      </c>
      <c r="X14" s="234">
        <v>1</v>
      </c>
      <c r="Y14" s="234">
        <v>1</v>
      </c>
      <c r="Z14" s="140">
        <v>1</v>
      </c>
      <c r="AA14" s="110">
        <v>0.77</v>
      </c>
      <c r="AB14" s="234">
        <v>1</v>
      </c>
      <c r="AC14" s="234">
        <v>1</v>
      </c>
      <c r="AD14" s="140">
        <v>1</v>
      </c>
      <c r="AE14" s="110">
        <v>0.8</v>
      </c>
      <c r="AF14" s="234">
        <v>1</v>
      </c>
      <c r="AG14" s="234">
        <v>1</v>
      </c>
      <c r="AH14" s="140">
        <v>1</v>
      </c>
      <c r="AI14" s="110">
        <v>4.2750000000000004</v>
      </c>
      <c r="AJ14" s="234">
        <v>7.5</v>
      </c>
      <c r="AK14" s="234">
        <v>8.5</v>
      </c>
      <c r="AL14" s="234">
        <v>8.5</v>
      </c>
      <c r="AM14" s="110">
        <v>5</v>
      </c>
      <c r="AN14" s="234">
        <v>7.5</v>
      </c>
      <c r="AO14" s="234">
        <v>8.5</v>
      </c>
      <c r="AP14" s="140">
        <v>8.5</v>
      </c>
      <c r="AQ14" s="110">
        <v>4.2750000000000004</v>
      </c>
      <c r="AR14" s="234">
        <v>7.5</v>
      </c>
      <c r="AS14" s="234">
        <v>8.5</v>
      </c>
      <c r="AT14" s="234">
        <v>8.5</v>
      </c>
      <c r="AU14" s="110">
        <v>5</v>
      </c>
      <c r="AV14" s="234">
        <v>7.5</v>
      </c>
      <c r="AW14" s="234">
        <v>8.5</v>
      </c>
      <c r="AX14" s="140">
        <v>8.5</v>
      </c>
      <c r="AY14" s="110">
        <v>4.2750000000000004</v>
      </c>
      <c r="AZ14" s="234">
        <v>7.5</v>
      </c>
      <c r="BA14" s="234">
        <v>8.5</v>
      </c>
      <c r="BB14" s="234">
        <v>8.5</v>
      </c>
      <c r="BC14" s="110">
        <v>5</v>
      </c>
      <c r="BD14" s="234">
        <v>7.5</v>
      </c>
      <c r="BE14" s="234">
        <v>8.5</v>
      </c>
      <c r="BF14" s="140">
        <v>8.5</v>
      </c>
      <c r="BG14" s="110">
        <f>AI14+AQ14+AY14</f>
        <v>12.825000000000001</v>
      </c>
      <c r="BH14" s="234">
        <f t="shared" ref="BH14:BN23" si="1">AJ14+AR14+AZ14</f>
        <v>22.5</v>
      </c>
      <c r="BI14" s="234">
        <f t="shared" si="1"/>
        <v>25.5</v>
      </c>
      <c r="BJ14" s="234">
        <f t="shared" si="1"/>
        <v>25.5</v>
      </c>
      <c r="BK14" s="110">
        <f t="shared" si="1"/>
        <v>15</v>
      </c>
      <c r="BL14" s="234">
        <f t="shared" si="1"/>
        <v>22.5</v>
      </c>
      <c r="BM14" s="234">
        <f t="shared" si="1"/>
        <v>25.5</v>
      </c>
      <c r="BN14" s="234">
        <f t="shared" si="1"/>
        <v>25.5</v>
      </c>
      <c r="BO14" s="110">
        <f>(1-$BO$11)*BG14+$BO$11*BK14</f>
        <v>14.13</v>
      </c>
      <c r="BP14" s="234">
        <f>(1-$BO$11)*BH14+$BO$11*BL14</f>
        <v>22.5</v>
      </c>
      <c r="BQ14" s="234">
        <f>(1-$BO$11)*BI14+$BO$11*BM14</f>
        <v>25.5</v>
      </c>
      <c r="BR14" s="234">
        <f>(1-$BO$11)*BJ14+$BO$11*BN14</f>
        <v>25.5</v>
      </c>
      <c r="BS14" s="110">
        <f>$BS$11*BP14+(1-$BS$11)*BO14</f>
        <v>20.826000000000001</v>
      </c>
      <c r="BT14" s="234">
        <f>$BS$11*BQ14+(1-$BS$11)*BR14</f>
        <v>25.5</v>
      </c>
      <c r="BU14" s="141">
        <f>(BS14+BT14)/2</f>
        <v>23.163</v>
      </c>
      <c r="BV14" s="140">
        <f>BU14</f>
        <v>23.163</v>
      </c>
    </row>
    <row r="15" spans="1:74" x14ac:dyDescent="0.25">
      <c r="A15" s="226" t="s">
        <v>1</v>
      </c>
      <c r="B15" s="222" t="s">
        <v>13</v>
      </c>
      <c r="C15" s="227" t="s">
        <v>27</v>
      </c>
      <c r="D15" s="72" t="s">
        <v>45</v>
      </c>
      <c r="E15" s="73" t="s">
        <v>43</v>
      </c>
      <c r="F15" s="251" t="s">
        <v>42</v>
      </c>
      <c r="G15" s="293">
        <f t="shared" si="0"/>
        <v>0</v>
      </c>
      <c r="H15" s="290">
        <f t="shared" si="0"/>
        <v>0.66</v>
      </c>
      <c r="I15" s="290">
        <f t="shared" si="0"/>
        <v>1</v>
      </c>
      <c r="J15" s="406">
        <f t="shared" ref="J15:J23" si="2">G15*$D$41+H15*$D$42+I15*$D$43</f>
        <v>13.280000000000001</v>
      </c>
      <c r="K15" s="111">
        <v>0</v>
      </c>
      <c r="L15" s="97">
        <v>0</v>
      </c>
      <c r="M15" s="97">
        <v>0</v>
      </c>
      <c r="N15" s="142">
        <v>0.22</v>
      </c>
      <c r="O15" s="97">
        <v>0</v>
      </c>
      <c r="P15" s="97">
        <v>0</v>
      </c>
      <c r="Q15" s="97">
        <v>0</v>
      </c>
      <c r="R15" s="97">
        <v>0.15</v>
      </c>
      <c r="S15" s="111">
        <v>0.44000000000000006</v>
      </c>
      <c r="T15" s="97">
        <v>0.55000000000000004</v>
      </c>
      <c r="U15" s="97">
        <v>0.77</v>
      </c>
      <c r="V15" s="97">
        <v>0.89</v>
      </c>
      <c r="W15" s="111">
        <v>0.47000000000000003</v>
      </c>
      <c r="X15" s="97">
        <v>0.55000000000000004</v>
      </c>
      <c r="Y15" s="97">
        <v>0.77</v>
      </c>
      <c r="Z15" s="142">
        <v>0.86</v>
      </c>
      <c r="AA15" s="111">
        <v>0.77</v>
      </c>
      <c r="AB15" s="97">
        <v>1</v>
      </c>
      <c r="AC15" s="97">
        <v>1</v>
      </c>
      <c r="AD15" s="142">
        <v>1</v>
      </c>
      <c r="AE15" s="111">
        <v>0.8</v>
      </c>
      <c r="AF15" s="97">
        <v>1</v>
      </c>
      <c r="AG15" s="97">
        <v>1</v>
      </c>
      <c r="AH15" s="142">
        <v>1</v>
      </c>
      <c r="AI15" s="111">
        <v>0</v>
      </c>
      <c r="AJ15" s="97">
        <v>0</v>
      </c>
      <c r="AK15" s="97">
        <v>0</v>
      </c>
      <c r="AL15" s="97">
        <v>1.87</v>
      </c>
      <c r="AM15" s="111">
        <v>0</v>
      </c>
      <c r="AN15" s="97">
        <v>0</v>
      </c>
      <c r="AO15" s="97">
        <v>0</v>
      </c>
      <c r="AP15" s="142">
        <v>1.2749999999999999</v>
      </c>
      <c r="AQ15" s="111">
        <v>2.4750000000000005</v>
      </c>
      <c r="AR15" s="97">
        <v>4.125</v>
      </c>
      <c r="AS15" s="97">
        <v>6.5449999999999999</v>
      </c>
      <c r="AT15" s="97">
        <v>7.5649999999999995</v>
      </c>
      <c r="AU15" s="111">
        <v>2.9750000000000005</v>
      </c>
      <c r="AV15" s="97">
        <v>4.125</v>
      </c>
      <c r="AW15" s="97">
        <v>6.5449999999999999</v>
      </c>
      <c r="AX15" s="142">
        <v>7.3100000000000005</v>
      </c>
      <c r="AY15" s="111">
        <v>4.2750000000000004</v>
      </c>
      <c r="AZ15" s="97">
        <v>7.5</v>
      </c>
      <c r="BA15" s="97">
        <v>8.5</v>
      </c>
      <c r="BB15" s="97">
        <v>8.5</v>
      </c>
      <c r="BC15" s="111">
        <v>5</v>
      </c>
      <c r="BD15" s="97">
        <v>7.5</v>
      </c>
      <c r="BE15" s="97">
        <v>8.5</v>
      </c>
      <c r="BF15" s="142">
        <v>8.5</v>
      </c>
      <c r="BG15" s="111">
        <f t="shared" ref="BG15:BG23" si="3">AI15+AQ15+AY15</f>
        <v>6.7500000000000009</v>
      </c>
      <c r="BH15" s="97">
        <f t="shared" si="1"/>
        <v>11.625</v>
      </c>
      <c r="BI15" s="97">
        <f t="shared" si="1"/>
        <v>15.045</v>
      </c>
      <c r="BJ15" s="97">
        <f t="shared" si="1"/>
        <v>17.934999999999999</v>
      </c>
      <c r="BK15" s="111">
        <f t="shared" si="1"/>
        <v>7.9750000000000005</v>
      </c>
      <c r="BL15" s="97">
        <f t="shared" si="1"/>
        <v>11.625</v>
      </c>
      <c r="BM15" s="97">
        <f t="shared" si="1"/>
        <v>15.045</v>
      </c>
      <c r="BN15" s="97">
        <f t="shared" si="1"/>
        <v>17.085000000000001</v>
      </c>
      <c r="BO15" s="111">
        <f t="shared" ref="BO15:BR23" si="4">(1-$BO$11)*BG15+$BO$11*BK15</f>
        <v>7.4850000000000012</v>
      </c>
      <c r="BP15" s="97">
        <f t="shared" si="4"/>
        <v>11.625</v>
      </c>
      <c r="BQ15" s="97">
        <f t="shared" si="4"/>
        <v>15.045</v>
      </c>
      <c r="BR15" s="97">
        <f t="shared" si="4"/>
        <v>17.424999999999997</v>
      </c>
      <c r="BS15" s="111">
        <f t="shared" ref="BS15:BS23" si="5">$BS$11*BP15+(1-$BS$11)*BO15</f>
        <v>10.797000000000001</v>
      </c>
      <c r="BT15" s="97">
        <f t="shared" ref="BT15:BT23" si="6">$BS$11*BQ15+(1-$BS$11)*BR15</f>
        <v>15.521000000000001</v>
      </c>
      <c r="BU15" s="143">
        <f t="shared" ref="BU15:BU23" si="7">(BS15+BT15)/2</f>
        <v>13.159000000000001</v>
      </c>
      <c r="BV15" s="142">
        <f>BU15</f>
        <v>13.159000000000001</v>
      </c>
    </row>
    <row r="16" spans="1:74" x14ac:dyDescent="0.25">
      <c r="A16" s="226" t="s">
        <v>2</v>
      </c>
      <c r="B16" s="222" t="s">
        <v>14</v>
      </c>
      <c r="C16" s="227" t="s">
        <v>28</v>
      </c>
      <c r="D16" s="72" t="s">
        <v>43</v>
      </c>
      <c r="E16" s="73" t="s">
        <v>45</v>
      </c>
      <c r="F16" s="251" t="s">
        <v>45</v>
      </c>
      <c r="G16" s="293">
        <f t="shared" si="0"/>
        <v>0.66</v>
      </c>
      <c r="H16" s="290">
        <f t="shared" si="0"/>
        <v>0</v>
      </c>
      <c r="I16" s="290">
        <f t="shared" si="0"/>
        <v>0</v>
      </c>
      <c r="J16" s="406">
        <f t="shared" si="2"/>
        <v>5.28</v>
      </c>
      <c r="K16" s="111">
        <v>0.44000000000000006</v>
      </c>
      <c r="L16" s="97">
        <v>0.55000000000000004</v>
      </c>
      <c r="M16" s="97">
        <v>0.77</v>
      </c>
      <c r="N16" s="142">
        <v>0.89</v>
      </c>
      <c r="O16" s="97">
        <v>0.47000000000000003</v>
      </c>
      <c r="P16" s="97">
        <v>0.55000000000000004</v>
      </c>
      <c r="Q16" s="97">
        <v>0.77</v>
      </c>
      <c r="R16" s="97">
        <v>0.86</v>
      </c>
      <c r="S16" s="111">
        <v>0</v>
      </c>
      <c r="T16" s="97">
        <v>0</v>
      </c>
      <c r="U16" s="97">
        <v>0</v>
      </c>
      <c r="V16" s="97">
        <v>0.22</v>
      </c>
      <c r="W16" s="111">
        <v>0</v>
      </c>
      <c r="X16" s="97">
        <v>0</v>
      </c>
      <c r="Y16" s="97">
        <v>0</v>
      </c>
      <c r="Z16" s="142">
        <v>0.15</v>
      </c>
      <c r="AA16" s="111">
        <v>0</v>
      </c>
      <c r="AB16" s="97">
        <v>0</v>
      </c>
      <c r="AC16" s="97">
        <v>0</v>
      </c>
      <c r="AD16" s="142">
        <v>0.22</v>
      </c>
      <c r="AE16" s="111">
        <v>0</v>
      </c>
      <c r="AF16" s="97">
        <v>0</v>
      </c>
      <c r="AG16" s="97">
        <v>0</v>
      </c>
      <c r="AH16" s="142">
        <v>0.15</v>
      </c>
      <c r="AI16" s="111">
        <v>2.4750000000000005</v>
      </c>
      <c r="AJ16" s="97">
        <v>4.125</v>
      </c>
      <c r="AK16" s="97">
        <v>6.5449999999999999</v>
      </c>
      <c r="AL16" s="97">
        <v>7.5649999999999995</v>
      </c>
      <c r="AM16" s="111">
        <v>2.9750000000000005</v>
      </c>
      <c r="AN16" s="97">
        <v>4.125</v>
      </c>
      <c r="AO16" s="97">
        <v>6.5449999999999999</v>
      </c>
      <c r="AP16" s="142">
        <v>7.3100000000000005</v>
      </c>
      <c r="AQ16" s="111">
        <v>0</v>
      </c>
      <c r="AR16" s="97">
        <v>0</v>
      </c>
      <c r="AS16" s="97">
        <v>0</v>
      </c>
      <c r="AT16" s="97">
        <v>1.87</v>
      </c>
      <c r="AU16" s="111">
        <v>0</v>
      </c>
      <c r="AV16" s="97">
        <v>0</v>
      </c>
      <c r="AW16" s="97">
        <v>0</v>
      </c>
      <c r="AX16" s="142">
        <v>1.2749999999999999</v>
      </c>
      <c r="AY16" s="111">
        <v>0</v>
      </c>
      <c r="AZ16" s="97">
        <v>0</v>
      </c>
      <c r="BA16" s="97">
        <v>0</v>
      </c>
      <c r="BB16" s="97">
        <v>1.87</v>
      </c>
      <c r="BC16" s="111">
        <v>0</v>
      </c>
      <c r="BD16" s="97">
        <v>0</v>
      </c>
      <c r="BE16" s="97">
        <v>0</v>
      </c>
      <c r="BF16" s="142">
        <v>1.2749999999999999</v>
      </c>
      <c r="BG16" s="111">
        <f t="shared" si="3"/>
        <v>2.4750000000000005</v>
      </c>
      <c r="BH16" s="97">
        <f t="shared" si="1"/>
        <v>4.125</v>
      </c>
      <c r="BI16" s="97">
        <f t="shared" si="1"/>
        <v>6.5449999999999999</v>
      </c>
      <c r="BJ16" s="97">
        <f t="shared" si="1"/>
        <v>11.305</v>
      </c>
      <c r="BK16" s="111">
        <f t="shared" si="1"/>
        <v>2.9750000000000005</v>
      </c>
      <c r="BL16" s="97">
        <f t="shared" si="1"/>
        <v>4.125</v>
      </c>
      <c r="BM16" s="97">
        <f t="shared" si="1"/>
        <v>6.5449999999999999</v>
      </c>
      <c r="BN16" s="97">
        <f t="shared" si="1"/>
        <v>9.8600000000000012</v>
      </c>
      <c r="BO16" s="111">
        <f t="shared" si="4"/>
        <v>2.7750000000000004</v>
      </c>
      <c r="BP16" s="97">
        <f t="shared" si="4"/>
        <v>4.125</v>
      </c>
      <c r="BQ16" s="97">
        <f t="shared" si="4"/>
        <v>6.5449999999999999</v>
      </c>
      <c r="BR16" s="97">
        <f t="shared" si="4"/>
        <v>10.438000000000001</v>
      </c>
      <c r="BS16" s="111">
        <f t="shared" si="5"/>
        <v>3.8550000000000004</v>
      </c>
      <c r="BT16" s="97">
        <f t="shared" si="6"/>
        <v>7.3236000000000008</v>
      </c>
      <c r="BU16" s="143">
        <f t="shared" si="7"/>
        <v>5.5893000000000006</v>
      </c>
      <c r="BV16" s="142">
        <f>BU16</f>
        <v>5.5893000000000006</v>
      </c>
    </row>
    <row r="17" spans="1:74" x14ac:dyDescent="0.25">
      <c r="A17" s="226" t="s">
        <v>5</v>
      </c>
      <c r="B17" s="222" t="s">
        <v>15</v>
      </c>
      <c r="C17" s="227" t="s">
        <v>16</v>
      </c>
      <c r="D17" s="72" t="s">
        <v>42</v>
      </c>
      <c r="E17" s="73" t="s">
        <v>43</v>
      </c>
      <c r="F17" s="251" t="s">
        <v>42</v>
      </c>
      <c r="G17" s="293">
        <f t="shared" si="0"/>
        <v>1</v>
      </c>
      <c r="H17" s="290">
        <f t="shared" si="0"/>
        <v>0.66</v>
      </c>
      <c r="I17" s="290">
        <f t="shared" si="0"/>
        <v>1</v>
      </c>
      <c r="J17" s="406">
        <f t="shared" si="2"/>
        <v>21.28</v>
      </c>
      <c r="K17" s="111">
        <v>0.77</v>
      </c>
      <c r="L17" s="97">
        <v>1</v>
      </c>
      <c r="M17" s="97">
        <v>1</v>
      </c>
      <c r="N17" s="142">
        <v>1</v>
      </c>
      <c r="O17" s="97">
        <v>0.8</v>
      </c>
      <c r="P17" s="97">
        <v>1</v>
      </c>
      <c r="Q17" s="97">
        <v>1</v>
      </c>
      <c r="R17" s="97">
        <v>1</v>
      </c>
      <c r="S17" s="111">
        <v>0.44000000000000006</v>
      </c>
      <c r="T17" s="97">
        <v>0.55000000000000004</v>
      </c>
      <c r="U17" s="97">
        <v>0.77</v>
      </c>
      <c r="V17" s="97">
        <v>0.89</v>
      </c>
      <c r="W17" s="111">
        <v>0.47000000000000003</v>
      </c>
      <c r="X17" s="97">
        <v>0.55000000000000004</v>
      </c>
      <c r="Y17" s="97">
        <v>0.77</v>
      </c>
      <c r="Z17" s="142">
        <v>0.86</v>
      </c>
      <c r="AA17" s="111">
        <v>0.77</v>
      </c>
      <c r="AB17" s="97">
        <v>1</v>
      </c>
      <c r="AC17" s="97">
        <v>1</v>
      </c>
      <c r="AD17" s="142">
        <v>1</v>
      </c>
      <c r="AE17" s="111">
        <v>0.8</v>
      </c>
      <c r="AF17" s="97">
        <v>1</v>
      </c>
      <c r="AG17" s="97">
        <v>1</v>
      </c>
      <c r="AH17" s="142">
        <v>1</v>
      </c>
      <c r="AI17" s="111">
        <v>4.2750000000000004</v>
      </c>
      <c r="AJ17" s="97">
        <v>7.5</v>
      </c>
      <c r="AK17" s="97">
        <v>8.5</v>
      </c>
      <c r="AL17" s="97">
        <v>8.5</v>
      </c>
      <c r="AM17" s="111">
        <v>5</v>
      </c>
      <c r="AN17" s="97">
        <v>7.5</v>
      </c>
      <c r="AO17" s="97">
        <v>8.5</v>
      </c>
      <c r="AP17" s="142">
        <v>8.5</v>
      </c>
      <c r="AQ17" s="111">
        <v>2.4750000000000005</v>
      </c>
      <c r="AR17" s="97">
        <v>4.125</v>
      </c>
      <c r="AS17" s="97">
        <v>6.5449999999999999</v>
      </c>
      <c r="AT17" s="97">
        <v>7.5649999999999995</v>
      </c>
      <c r="AU17" s="111">
        <v>2.9750000000000005</v>
      </c>
      <c r="AV17" s="97">
        <v>4.125</v>
      </c>
      <c r="AW17" s="97">
        <v>6.5449999999999999</v>
      </c>
      <c r="AX17" s="142">
        <v>7.3100000000000005</v>
      </c>
      <c r="AY17" s="111">
        <v>4.2750000000000004</v>
      </c>
      <c r="AZ17" s="97">
        <v>7.5</v>
      </c>
      <c r="BA17" s="97">
        <v>8.5</v>
      </c>
      <c r="BB17" s="97">
        <v>8.5</v>
      </c>
      <c r="BC17" s="111">
        <v>5</v>
      </c>
      <c r="BD17" s="97">
        <v>7.5</v>
      </c>
      <c r="BE17" s="97">
        <v>8.5</v>
      </c>
      <c r="BF17" s="142">
        <v>8.5</v>
      </c>
      <c r="BG17" s="111">
        <f t="shared" si="3"/>
        <v>11.025000000000002</v>
      </c>
      <c r="BH17" s="97">
        <f t="shared" si="1"/>
        <v>19.125</v>
      </c>
      <c r="BI17" s="97">
        <f t="shared" si="1"/>
        <v>23.545000000000002</v>
      </c>
      <c r="BJ17" s="97">
        <f t="shared" si="1"/>
        <v>24.564999999999998</v>
      </c>
      <c r="BK17" s="111">
        <f t="shared" si="1"/>
        <v>12.975000000000001</v>
      </c>
      <c r="BL17" s="97">
        <f t="shared" si="1"/>
        <v>19.125</v>
      </c>
      <c r="BM17" s="97">
        <f t="shared" si="1"/>
        <v>23.545000000000002</v>
      </c>
      <c r="BN17" s="97">
        <f t="shared" si="1"/>
        <v>24.310000000000002</v>
      </c>
      <c r="BO17" s="111">
        <f t="shared" si="4"/>
        <v>12.195</v>
      </c>
      <c r="BP17" s="97">
        <f t="shared" si="4"/>
        <v>19.125</v>
      </c>
      <c r="BQ17" s="97">
        <f t="shared" si="4"/>
        <v>23.545000000000002</v>
      </c>
      <c r="BR17" s="97">
        <f t="shared" si="4"/>
        <v>24.411999999999999</v>
      </c>
      <c r="BS17" s="111">
        <f t="shared" si="5"/>
        <v>17.739000000000001</v>
      </c>
      <c r="BT17" s="97">
        <f t="shared" si="6"/>
        <v>23.718400000000003</v>
      </c>
      <c r="BU17" s="143">
        <f t="shared" si="7"/>
        <v>20.728700000000003</v>
      </c>
      <c r="BV17" s="142">
        <f>BU14</f>
        <v>23.163</v>
      </c>
    </row>
    <row r="18" spans="1:74" ht="30" x14ac:dyDescent="0.25">
      <c r="A18" s="226" t="s">
        <v>6</v>
      </c>
      <c r="B18" s="222" t="s">
        <v>17</v>
      </c>
      <c r="C18" s="227" t="s">
        <v>29</v>
      </c>
      <c r="D18" s="72" t="s">
        <v>43</v>
      </c>
      <c r="E18" s="73" t="s">
        <v>44</v>
      </c>
      <c r="F18" s="251" t="s">
        <v>43</v>
      </c>
      <c r="G18" s="293">
        <f t="shared" si="0"/>
        <v>0.66</v>
      </c>
      <c r="H18" s="290">
        <f t="shared" si="0"/>
        <v>0.33</v>
      </c>
      <c r="I18" s="290">
        <f t="shared" si="0"/>
        <v>0.66</v>
      </c>
      <c r="J18" s="406">
        <f t="shared" si="2"/>
        <v>13.2</v>
      </c>
      <c r="K18" s="111">
        <v>0.44000000000000006</v>
      </c>
      <c r="L18" s="97">
        <v>0.55000000000000004</v>
      </c>
      <c r="M18" s="97">
        <v>0.77</v>
      </c>
      <c r="N18" s="142">
        <v>0.89</v>
      </c>
      <c r="O18" s="97">
        <v>0.47000000000000003</v>
      </c>
      <c r="P18" s="97">
        <v>0.55000000000000004</v>
      </c>
      <c r="Q18" s="97">
        <v>0.77</v>
      </c>
      <c r="R18" s="97">
        <v>0.86</v>
      </c>
      <c r="S18" s="111">
        <v>0</v>
      </c>
      <c r="T18" s="97">
        <v>0.22000000000000003</v>
      </c>
      <c r="U18" s="97">
        <v>0.44</v>
      </c>
      <c r="V18" s="97">
        <v>0.55000000000000004</v>
      </c>
      <c r="W18" s="111">
        <v>0.06</v>
      </c>
      <c r="X18" s="97">
        <v>0.22000000000000003</v>
      </c>
      <c r="Y18" s="97">
        <v>0.44</v>
      </c>
      <c r="Z18" s="142">
        <v>0.52</v>
      </c>
      <c r="AA18" s="111">
        <v>0.44000000000000006</v>
      </c>
      <c r="AB18" s="97">
        <v>0.55000000000000004</v>
      </c>
      <c r="AC18" s="97">
        <v>0.77</v>
      </c>
      <c r="AD18" s="142">
        <v>0.89</v>
      </c>
      <c r="AE18" s="111">
        <v>0.47000000000000003</v>
      </c>
      <c r="AF18" s="97">
        <v>0.55000000000000004</v>
      </c>
      <c r="AG18" s="97">
        <v>0.77</v>
      </c>
      <c r="AH18" s="142">
        <v>0.86</v>
      </c>
      <c r="AI18" s="111">
        <v>2.4750000000000005</v>
      </c>
      <c r="AJ18" s="97">
        <v>4.125</v>
      </c>
      <c r="AK18" s="97">
        <v>6.5449999999999999</v>
      </c>
      <c r="AL18" s="97">
        <v>7.5649999999999995</v>
      </c>
      <c r="AM18" s="111">
        <v>2.9750000000000005</v>
      </c>
      <c r="AN18" s="97">
        <v>4.125</v>
      </c>
      <c r="AO18" s="97">
        <v>6.5449999999999999</v>
      </c>
      <c r="AP18" s="142">
        <v>7.3100000000000005</v>
      </c>
      <c r="AQ18" s="111">
        <v>0</v>
      </c>
      <c r="AR18" s="97">
        <v>1.6500000000000001</v>
      </c>
      <c r="AS18" s="97">
        <v>3.74</v>
      </c>
      <c r="AT18" s="97">
        <v>4.6750000000000007</v>
      </c>
      <c r="AU18" s="111">
        <v>0.22999999999999998</v>
      </c>
      <c r="AV18" s="97">
        <v>1.6500000000000001</v>
      </c>
      <c r="AW18" s="97">
        <v>3.74</v>
      </c>
      <c r="AX18" s="142">
        <v>4.42</v>
      </c>
      <c r="AY18" s="111">
        <v>2.4750000000000005</v>
      </c>
      <c r="AZ18" s="97">
        <v>4.125</v>
      </c>
      <c r="BA18" s="97">
        <v>6.5449999999999999</v>
      </c>
      <c r="BB18" s="97">
        <v>7.5649999999999995</v>
      </c>
      <c r="BC18" s="111">
        <v>2.9750000000000005</v>
      </c>
      <c r="BD18" s="97">
        <v>4.125</v>
      </c>
      <c r="BE18" s="97">
        <v>6.5449999999999999</v>
      </c>
      <c r="BF18" s="142">
        <v>7.3100000000000005</v>
      </c>
      <c r="BG18" s="111">
        <f t="shared" si="3"/>
        <v>4.9500000000000011</v>
      </c>
      <c r="BH18" s="97">
        <f t="shared" si="1"/>
        <v>9.9</v>
      </c>
      <c r="BI18" s="97">
        <f t="shared" si="1"/>
        <v>16.829999999999998</v>
      </c>
      <c r="BJ18" s="97">
        <f t="shared" si="1"/>
        <v>19.805</v>
      </c>
      <c r="BK18" s="111">
        <f t="shared" si="1"/>
        <v>6.1800000000000015</v>
      </c>
      <c r="BL18" s="97">
        <f t="shared" si="1"/>
        <v>9.9</v>
      </c>
      <c r="BM18" s="97">
        <f t="shared" si="1"/>
        <v>16.829999999999998</v>
      </c>
      <c r="BN18" s="97">
        <f t="shared" si="1"/>
        <v>19.04</v>
      </c>
      <c r="BO18" s="111">
        <f t="shared" si="4"/>
        <v>5.6880000000000006</v>
      </c>
      <c r="BP18" s="97">
        <f t="shared" si="4"/>
        <v>9.9</v>
      </c>
      <c r="BQ18" s="97">
        <f t="shared" si="4"/>
        <v>16.829999999999998</v>
      </c>
      <c r="BR18" s="97">
        <f t="shared" si="4"/>
        <v>19.346</v>
      </c>
      <c r="BS18" s="111">
        <f t="shared" si="5"/>
        <v>9.0576000000000008</v>
      </c>
      <c r="BT18" s="97">
        <f t="shared" si="6"/>
        <v>17.333199999999998</v>
      </c>
      <c r="BU18" s="143">
        <f t="shared" si="7"/>
        <v>13.195399999999999</v>
      </c>
      <c r="BV18" s="142">
        <f>BU18</f>
        <v>13.195399999999999</v>
      </c>
    </row>
    <row r="19" spans="1:74" x14ac:dyDescent="0.25">
      <c r="A19" s="226" t="s">
        <v>7</v>
      </c>
      <c r="B19" s="222" t="s">
        <v>18</v>
      </c>
      <c r="C19" s="227" t="s">
        <v>30</v>
      </c>
      <c r="D19" s="72" t="s">
        <v>44</v>
      </c>
      <c r="E19" s="73" t="s">
        <v>44</v>
      </c>
      <c r="F19" s="251" t="s">
        <v>44</v>
      </c>
      <c r="G19" s="293">
        <f t="shared" si="0"/>
        <v>0.33</v>
      </c>
      <c r="H19" s="290">
        <f t="shared" si="0"/>
        <v>0.33</v>
      </c>
      <c r="I19" s="290">
        <f t="shared" si="0"/>
        <v>0.33</v>
      </c>
      <c r="J19" s="406">
        <f t="shared" si="2"/>
        <v>7.92</v>
      </c>
      <c r="K19" s="111">
        <v>0</v>
      </c>
      <c r="L19" s="97">
        <v>0.22000000000000003</v>
      </c>
      <c r="M19" s="97">
        <v>0.44</v>
      </c>
      <c r="N19" s="142">
        <v>0.55000000000000004</v>
      </c>
      <c r="O19" s="97">
        <v>0.06</v>
      </c>
      <c r="P19" s="97">
        <v>0.22000000000000003</v>
      </c>
      <c r="Q19" s="97">
        <v>0.44</v>
      </c>
      <c r="R19" s="97">
        <v>0.52</v>
      </c>
      <c r="S19" s="111">
        <v>0</v>
      </c>
      <c r="T19" s="97">
        <v>0.22000000000000003</v>
      </c>
      <c r="U19" s="97">
        <v>0.44</v>
      </c>
      <c r="V19" s="97">
        <v>0.55000000000000004</v>
      </c>
      <c r="W19" s="111">
        <v>0.06</v>
      </c>
      <c r="X19" s="97">
        <v>0.22000000000000003</v>
      </c>
      <c r="Y19" s="97">
        <v>0.44</v>
      </c>
      <c r="Z19" s="142">
        <v>0.52</v>
      </c>
      <c r="AA19" s="111">
        <v>0</v>
      </c>
      <c r="AB19" s="97">
        <v>0.22000000000000003</v>
      </c>
      <c r="AC19" s="97">
        <v>0.44</v>
      </c>
      <c r="AD19" s="142">
        <v>0.55000000000000004</v>
      </c>
      <c r="AE19" s="111">
        <v>0.06</v>
      </c>
      <c r="AF19" s="97">
        <v>0.22000000000000003</v>
      </c>
      <c r="AG19" s="97">
        <v>0.44</v>
      </c>
      <c r="AH19" s="142">
        <v>0.52</v>
      </c>
      <c r="AI19" s="111">
        <v>0</v>
      </c>
      <c r="AJ19" s="97">
        <v>1.6500000000000001</v>
      </c>
      <c r="AK19" s="97">
        <v>3.74</v>
      </c>
      <c r="AL19" s="97">
        <v>4.6750000000000007</v>
      </c>
      <c r="AM19" s="111">
        <v>0.22999999999999998</v>
      </c>
      <c r="AN19" s="97">
        <v>1.6500000000000001</v>
      </c>
      <c r="AO19" s="97">
        <v>3.74</v>
      </c>
      <c r="AP19" s="142">
        <v>4.42</v>
      </c>
      <c r="AQ19" s="111">
        <v>0</v>
      </c>
      <c r="AR19" s="97">
        <v>1.6500000000000001</v>
      </c>
      <c r="AS19" s="97">
        <v>3.74</v>
      </c>
      <c r="AT19" s="97">
        <v>4.6750000000000007</v>
      </c>
      <c r="AU19" s="111">
        <v>0.22999999999999998</v>
      </c>
      <c r="AV19" s="97">
        <v>1.6500000000000001</v>
      </c>
      <c r="AW19" s="97">
        <v>3.74</v>
      </c>
      <c r="AX19" s="142">
        <v>4.42</v>
      </c>
      <c r="AY19" s="111">
        <v>0</v>
      </c>
      <c r="AZ19" s="97">
        <v>1.6500000000000001</v>
      </c>
      <c r="BA19" s="97">
        <v>3.74</v>
      </c>
      <c r="BB19" s="97">
        <v>4.6750000000000007</v>
      </c>
      <c r="BC19" s="111">
        <v>0.22999999999999998</v>
      </c>
      <c r="BD19" s="97">
        <v>1.6500000000000001</v>
      </c>
      <c r="BE19" s="97">
        <v>3.74</v>
      </c>
      <c r="BF19" s="142">
        <v>4.42</v>
      </c>
      <c r="BG19" s="111">
        <f t="shared" si="3"/>
        <v>0</v>
      </c>
      <c r="BH19" s="97">
        <f t="shared" si="1"/>
        <v>4.95</v>
      </c>
      <c r="BI19" s="97">
        <f t="shared" si="1"/>
        <v>11.22</v>
      </c>
      <c r="BJ19" s="97">
        <f t="shared" si="1"/>
        <v>14.025000000000002</v>
      </c>
      <c r="BK19" s="111">
        <f t="shared" si="1"/>
        <v>0.69</v>
      </c>
      <c r="BL19" s="97">
        <f t="shared" si="1"/>
        <v>4.95</v>
      </c>
      <c r="BM19" s="97">
        <f t="shared" si="1"/>
        <v>11.22</v>
      </c>
      <c r="BN19" s="97">
        <f t="shared" si="1"/>
        <v>13.26</v>
      </c>
      <c r="BO19" s="111">
        <f t="shared" si="4"/>
        <v>0.41399999999999998</v>
      </c>
      <c r="BP19" s="97">
        <f t="shared" si="4"/>
        <v>4.95</v>
      </c>
      <c r="BQ19" s="97">
        <f t="shared" si="4"/>
        <v>11.22</v>
      </c>
      <c r="BR19" s="97">
        <f t="shared" si="4"/>
        <v>13.566000000000001</v>
      </c>
      <c r="BS19" s="111">
        <f t="shared" si="5"/>
        <v>4.0428000000000006</v>
      </c>
      <c r="BT19" s="97">
        <f t="shared" si="6"/>
        <v>11.6892</v>
      </c>
      <c r="BU19" s="143">
        <f t="shared" si="7"/>
        <v>7.8659999999999997</v>
      </c>
      <c r="BV19" s="142">
        <f>BU20</f>
        <v>10.724700000000002</v>
      </c>
    </row>
    <row r="20" spans="1:74" ht="30" x14ac:dyDescent="0.25">
      <c r="A20" s="226" t="s">
        <v>8</v>
      </c>
      <c r="B20" s="222" t="s">
        <v>19</v>
      </c>
      <c r="C20" s="227" t="s">
        <v>31</v>
      </c>
      <c r="D20" s="72" t="s">
        <v>43</v>
      </c>
      <c r="E20" s="73" t="s">
        <v>43</v>
      </c>
      <c r="F20" s="251" t="s">
        <v>45</v>
      </c>
      <c r="G20" s="293">
        <f t="shared" si="0"/>
        <v>0.66</v>
      </c>
      <c r="H20" s="290">
        <f t="shared" si="0"/>
        <v>0.66</v>
      </c>
      <c r="I20" s="290">
        <f t="shared" si="0"/>
        <v>0</v>
      </c>
      <c r="J20" s="406">
        <f t="shared" si="2"/>
        <v>10.56</v>
      </c>
      <c r="K20" s="111">
        <v>0.44000000000000006</v>
      </c>
      <c r="L20" s="97">
        <v>0.55000000000000004</v>
      </c>
      <c r="M20" s="97">
        <v>0.77</v>
      </c>
      <c r="N20" s="142">
        <v>0.89</v>
      </c>
      <c r="O20" s="97">
        <v>0.47000000000000003</v>
      </c>
      <c r="P20" s="97">
        <v>0.55000000000000004</v>
      </c>
      <c r="Q20" s="97">
        <v>0.77</v>
      </c>
      <c r="R20" s="97">
        <v>0.86</v>
      </c>
      <c r="S20" s="111">
        <v>0.44000000000000006</v>
      </c>
      <c r="T20" s="97">
        <v>0.55000000000000004</v>
      </c>
      <c r="U20" s="97">
        <v>0.77</v>
      </c>
      <c r="V20" s="97">
        <v>0.89</v>
      </c>
      <c r="W20" s="111">
        <v>0.47000000000000003</v>
      </c>
      <c r="X20" s="97">
        <v>0.55000000000000004</v>
      </c>
      <c r="Y20" s="97">
        <v>0.77</v>
      </c>
      <c r="Z20" s="142">
        <v>0.86</v>
      </c>
      <c r="AA20" s="111">
        <v>0</v>
      </c>
      <c r="AB20" s="97">
        <v>0</v>
      </c>
      <c r="AC20" s="97">
        <v>0</v>
      </c>
      <c r="AD20" s="142">
        <v>0.22</v>
      </c>
      <c r="AE20" s="111">
        <v>0</v>
      </c>
      <c r="AF20" s="97">
        <v>0</v>
      </c>
      <c r="AG20" s="97">
        <v>0</v>
      </c>
      <c r="AH20" s="142">
        <v>0.15</v>
      </c>
      <c r="AI20" s="111">
        <v>2.4750000000000005</v>
      </c>
      <c r="AJ20" s="97">
        <v>4.125</v>
      </c>
      <c r="AK20" s="97">
        <v>6.5449999999999999</v>
      </c>
      <c r="AL20" s="97">
        <v>7.5649999999999995</v>
      </c>
      <c r="AM20" s="111">
        <v>2.9750000000000005</v>
      </c>
      <c r="AN20" s="97">
        <v>4.125</v>
      </c>
      <c r="AO20" s="97">
        <v>6.5449999999999999</v>
      </c>
      <c r="AP20" s="142">
        <v>7.3100000000000005</v>
      </c>
      <c r="AQ20" s="111">
        <v>2.4750000000000005</v>
      </c>
      <c r="AR20" s="97">
        <v>4.125</v>
      </c>
      <c r="AS20" s="97">
        <v>6.5449999999999999</v>
      </c>
      <c r="AT20" s="97">
        <v>7.5649999999999995</v>
      </c>
      <c r="AU20" s="111">
        <v>2.9750000000000005</v>
      </c>
      <c r="AV20" s="97">
        <v>4.125</v>
      </c>
      <c r="AW20" s="97">
        <v>6.5449999999999999</v>
      </c>
      <c r="AX20" s="142">
        <v>7.3100000000000005</v>
      </c>
      <c r="AY20" s="111">
        <v>0</v>
      </c>
      <c r="AZ20" s="97">
        <v>0</v>
      </c>
      <c r="BA20" s="97">
        <v>0</v>
      </c>
      <c r="BB20" s="97">
        <v>1.87</v>
      </c>
      <c r="BC20" s="111">
        <v>0</v>
      </c>
      <c r="BD20" s="97">
        <v>0</v>
      </c>
      <c r="BE20" s="97">
        <v>0</v>
      </c>
      <c r="BF20" s="142">
        <v>1.2749999999999999</v>
      </c>
      <c r="BG20" s="111">
        <f t="shared" si="3"/>
        <v>4.9500000000000011</v>
      </c>
      <c r="BH20" s="97">
        <f t="shared" si="1"/>
        <v>8.25</v>
      </c>
      <c r="BI20" s="97">
        <f t="shared" si="1"/>
        <v>13.09</v>
      </c>
      <c r="BJ20" s="97">
        <f t="shared" si="1"/>
        <v>17</v>
      </c>
      <c r="BK20" s="111">
        <f t="shared" si="1"/>
        <v>5.9500000000000011</v>
      </c>
      <c r="BL20" s="97">
        <f t="shared" si="1"/>
        <v>8.25</v>
      </c>
      <c r="BM20" s="97">
        <f t="shared" si="1"/>
        <v>13.09</v>
      </c>
      <c r="BN20" s="97">
        <f t="shared" si="1"/>
        <v>15.895000000000001</v>
      </c>
      <c r="BO20" s="111">
        <f t="shared" si="4"/>
        <v>5.5500000000000007</v>
      </c>
      <c r="BP20" s="97">
        <f t="shared" si="4"/>
        <v>8.25</v>
      </c>
      <c r="BQ20" s="97">
        <f t="shared" si="4"/>
        <v>13.09</v>
      </c>
      <c r="BR20" s="97">
        <f t="shared" si="4"/>
        <v>16.337000000000003</v>
      </c>
      <c r="BS20" s="111">
        <f t="shared" si="5"/>
        <v>7.7100000000000009</v>
      </c>
      <c r="BT20" s="97">
        <f t="shared" si="6"/>
        <v>13.739400000000002</v>
      </c>
      <c r="BU20" s="143">
        <f t="shared" si="7"/>
        <v>10.724700000000002</v>
      </c>
      <c r="BV20" s="142">
        <f>BU20</f>
        <v>10.724700000000002</v>
      </c>
    </row>
    <row r="21" spans="1:74" ht="30" x14ac:dyDescent="0.25">
      <c r="A21" s="226" t="s">
        <v>9</v>
      </c>
      <c r="B21" s="222" t="s">
        <v>20</v>
      </c>
      <c r="C21" s="227" t="s">
        <v>21</v>
      </c>
      <c r="D21" s="72" t="s">
        <v>43</v>
      </c>
      <c r="E21" s="73" t="s">
        <v>43</v>
      </c>
      <c r="F21" s="251" t="s">
        <v>43</v>
      </c>
      <c r="G21" s="293">
        <f t="shared" si="0"/>
        <v>0.66</v>
      </c>
      <c r="H21" s="290">
        <f t="shared" si="0"/>
        <v>0.66</v>
      </c>
      <c r="I21" s="290">
        <f t="shared" si="0"/>
        <v>0.66</v>
      </c>
      <c r="J21" s="406">
        <f t="shared" si="2"/>
        <v>15.84</v>
      </c>
      <c r="K21" s="111">
        <v>0.44000000000000006</v>
      </c>
      <c r="L21" s="97">
        <v>0.55000000000000004</v>
      </c>
      <c r="M21" s="97">
        <v>0.77</v>
      </c>
      <c r="N21" s="142">
        <v>0.89</v>
      </c>
      <c r="O21" s="97">
        <v>0.47000000000000003</v>
      </c>
      <c r="P21" s="97">
        <v>0.55000000000000004</v>
      </c>
      <c r="Q21" s="97">
        <v>0.77</v>
      </c>
      <c r="R21" s="97">
        <v>0.86</v>
      </c>
      <c r="S21" s="111">
        <v>0.44000000000000006</v>
      </c>
      <c r="T21" s="97">
        <v>0.55000000000000004</v>
      </c>
      <c r="U21" s="97">
        <v>0.77</v>
      </c>
      <c r="V21" s="97">
        <v>0.89</v>
      </c>
      <c r="W21" s="111">
        <v>0.47000000000000003</v>
      </c>
      <c r="X21" s="97">
        <v>0.55000000000000004</v>
      </c>
      <c r="Y21" s="97">
        <v>0.77</v>
      </c>
      <c r="Z21" s="142">
        <v>0.86</v>
      </c>
      <c r="AA21" s="111">
        <v>0.44000000000000006</v>
      </c>
      <c r="AB21" s="97">
        <v>0.55000000000000004</v>
      </c>
      <c r="AC21" s="97">
        <v>0.77</v>
      </c>
      <c r="AD21" s="142">
        <v>0.89</v>
      </c>
      <c r="AE21" s="111">
        <v>0.47000000000000003</v>
      </c>
      <c r="AF21" s="97">
        <v>0.55000000000000004</v>
      </c>
      <c r="AG21" s="97">
        <v>0.77</v>
      </c>
      <c r="AH21" s="142">
        <v>0.86</v>
      </c>
      <c r="AI21" s="111">
        <v>2.4750000000000005</v>
      </c>
      <c r="AJ21" s="97">
        <v>4.125</v>
      </c>
      <c r="AK21" s="97">
        <v>6.5449999999999999</v>
      </c>
      <c r="AL21" s="97">
        <v>7.5649999999999995</v>
      </c>
      <c r="AM21" s="111">
        <v>2.9750000000000005</v>
      </c>
      <c r="AN21" s="97">
        <v>4.125</v>
      </c>
      <c r="AO21" s="97">
        <v>6.5449999999999999</v>
      </c>
      <c r="AP21" s="142">
        <v>7.3100000000000005</v>
      </c>
      <c r="AQ21" s="111">
        <v>2.4750000000000005</v>
      </c>
      <c r="AR21" s="97">
        <v>4.125</v>
      </c>
      <c r="AS21" s="97">
        <v>6.5449999999999999</v>
      </c>
      <c r="AT21" s="97">
        <v>7.5649999999999995</v>
      </c>
      <c r="AU21" s="111">
        <v>2.9750000000000005</v>
      </c>
      <c r="AV21" s="97">
        <v>4.125</v>
      </c>
      <c r="AW21" s="97">
        <v>6.5449999999999999</v>
      </c>
      <c r="AX21" s="142">
        <v>7.3100000000000005</v>
      </c>
      <c r="AY21" s="111">
        <v>2.4750000000000005</v>
      </c>
      <c r="AZ21" s="97">
        <v>4.125</v>
      </c>
      <c r="BA21" s="97">
        <v>6.5449999999999999</v>
      </c>
      <c r="BB21" s="97">
        <v>7.5649999999999995</v>
      </c>
      <c r="BC21" s="111">
        <v>2.9750000000000005</v>
      </c>
      <c r="BD21" s="97">
        <v>4.125</v>
      </c>
      <c r="BE21" s="97">
        <v>6.5449999999999999</v>
      </c>
      <c r="BF21" s="142">
        <v>7.3100000000000005</v>
      </c>
      <c r="BG21" s="111">
        <f t="shared" si="3"/>
        <v>7.4250000000000016</v>
      </c>
      <c r="BH21" s="97">
        <f t="shared" si="1"/>
        <v>12.375</v>
      </c>
      <c r="BI21" s="97">
        <f t="shared" si="1"/>
        <v>19.634999999999998</v>
      </c>
      <c r="BJ21" s="97">
        <f t="shared" si="1"/>
        <v>22.695</v>
      </c>
      <c r="BK21" s="111">
        <f t="shared" si="1"/>
        <v>8.9250000000000007</v>
      </c>
      <c r="BL21" s="97">
        <f t="shared" si="1"/>
        <v>12.375</v>
      </c>
      <c r="BM21" s="97">
        <f t="shared" si="1"/>
        <v>19.634999999999998</v>
      </c>
      <c r="BN21" s="97">
        <f t="shared" si="1"/>
        <v>21.93</v>
      </c>
      <c r="BO21" s="111">
        <f t="shared" si="4"/>
        <v>8.3250000000000011</v>
      </c>
      <c r="BP21" s="97">
        <f t="shared" si="4"/>
        <v>12.375</v>
      </c>
      <c r="BQ21" s="97">
        <f t="shared" si="4"/>
        <v>19.634999999999998</v>
      </c>
      <c r="BR21" s="97">
        <f t="shared" si="4"/>
        <v>22.236000000000001</v>
      </c>
      <c r="BS21" s="111">
        <f t="shared" si="5"/>
        <v>11.565</v>
      </c>
      <c r="BT21" s="97">
        <f t="shared" si="6"/>
        <v>20.155199999999997</v>
      </c>
      <c r="BU21" s="143">
        <f t="shared" si="7"/>
        <v>15.860099999999999</v>
      </c>
      <c r="BV21" s="142">
        <f>BU21</f>
        <v>15.860099999999999</v>
      </c>
    </row>
    <row r="22" spans="1:74" ht="36.75" customHeight="1" x14ac:dyDescent="0.25">
      <c r="A22" s="226" t="s">
        <v>10</v>
      </c>
      <c r="B22" s="222" t="s">
        <v>22</v>
      </c>
      <c r="C22" s="227" t="s">
        <v>32</v>
      </c>
      <c r="D22" s="72" t="s">
        <v>45</v>
      </c>
      <c r="E22" s="73" t="s">
        <v>45</v>
      </c>
      <c r="F22" s="251" t="s">
        <v>45</v>
      </c>
      <c r="G22" s="293">
        <f t="shared" si="0"/>
        <v>0</v>
      </c>
      <c r="H22" s="290">
        <f t="shared" si="0"/>
        <v>0</v>
      </c>
      <c r="I22" s="290">
        <f t="shared" si="0"/>
        <v>0</v>
      </c>
      <c r="J22" s="406">
        <f t="shared" si="2"/>
        <v>0</v>
      </c>
      <c r="K22" s="111">
        <v>0</v>
      </c>
      <c r="L22" s="97">
        <v>0</v>
      </c>
      <c r="M22" s="97">
        <v>0</v>
      </c>
      <c r="N22" s="142">
        <v>0.22</v>
      </c>
      <c r="O22" s="97">
        <v>0</v>
      </c>
      <c r="P22" s="97">
        <v>0</v>
      </c>
      <c r="Q22" s="97">
        <v>0</v>
      </c>
      <c r="R22" s="97">
        <v>0.15</v>
      </c>
      <c r="S22" s="111">
        <v>0</v>
      </c>
      <c r="T22" s="97">
        <v>0</v>
      </c>
      <c r="U22" s="97">
        <v>0</v>
      </c>
      <c r="V22" s="97">
        <v>0.22</v>
      </c>
      <c r="W22" s="111">
        <v>0</v>
      </c>
      <c r="X22" s="97">
        <v>0</v>
      </c>
      <c r="Y22" s="97">
        <v>0</v>
      </c>
      <c r="Z22" s="142">
        <v>0.15</v>
      </c>
      <c r="AA22" s="111">
        <v>0</v>
      </c>
      <c r="AB22" s="97">
        <v>0</v>
      </c>
      <c r="AC22" s="97">
        <v>0</v>
      </c>
      <c r="AD22" s="142">
        <v>0.22</v>
      </c>
      <c r="AE22" s="111">
        <v>0</v>
      </c>
      <c r="AF22" s="97">
        <v>0</v>
      </c>
      <c r="AG22" s="97">
        <v>0</v>
      </c>
      <c r="AH22" s="142">
        <v>0.15</v>
      </c>
      <c r="AI22" s="111">
        <v>0</v>
      </c>
      <c r="AJ22" s="97">
        <v>0</v>
      </c>
      <c r="AK22" s="97">
        <v>0</v>
      </c>
      <c r="AL22" s="97">
        <v>1.87</v>
      </c>
      <c r="AM22" s="111">
        <v>0</v>
      </c>
      <c r="AN22" s="97">
        <v>0</v>
      </c>
      <c r="AO22" s="97">
        <v>0</v>
      </c>
      <c r="AP22" s="142">
        <v>1.2749999999999999</v>
      </c>
      <c r="AQ22" s="111">
        <v>0</v>
      </c>
      <c r="AR22" s="97">
        <v>0</v>
      </c>
      <c r="AS22" s="97">
        <v>0</v>
      </c>
      <c r="AT22" s="97">
        <v>1.87</v>
      </c>
      <c r="AU22" s="111">
        <v>0</v>
      </c>
      <c r="AV22" s="97">
        <v>0</v>
      </c>
      <c r="AW22" s="97">
        <v>0</v>
      </c>
      <c r="AX22" s="142">
        <v>1.2749999999999999</v>
      </c>
      <c r="AY22" s="111">
        <v>0</v>
      </c>
      <c r="AZ22" s="97">
        <v>0</v>
      </c>
      <c r="BA22" s="97">
        <v>0</v>
      </c>
      <c r="BB22" s="97">
        <v>1.87</v>
      </c>
      <c r="BC22" s="111">
        <v>0</v>
      </c>
      <c r="BD22" s="97">
        <v>0</v>
      </c>
      <c r="BE22" s="97">
        <v>0</v>
      </c>
      <c r="BF22" s="142">
        <v>1.2749999999999999</v>
      </c>
      <c r="BG22" s="111">
        <f t="shared" si="3"/>
        <v>0</v>
      </c>
      <c r="BH22" s="97">
        <f t="shared" si="1"/>
        <v>0</v>
      </c>
      <c r="BI22" s="97">
        <f t="shared" si="1"/>
        <v>0</v>
      </c>
      <c r="BJ22" s="97">
        <f t="shared" si="1"/>
        <v>5.61</v>
      </c>
      <c r="BK22" s="111">
        <f t="shared" si="1"/>
        <v>0</v>
      </c>
      <c r="BL22" s="97">
        <f t="shared" si="1"/>
        <v>0</v>
      </c>
      <c r="BM22" s="97">
        <f t="shared" si="1"/>
        <v>0</v>
      </c>
      <c r="BN22" s="97">
        <f t="shared" si="1"/>
        <v>3.8249999999999997</v>
      </c>
      <c r="BO22" s="111">
        <f t="shared" si="4"/>
        <v>0</v>
      </c>
      <c r="BP22" s="97">
        <f t="shared" si="4"/>
        <v>0</v>
      </c>
      <c r="BQ22" s="97">
        <f t="shared" si="4"/>
        <v>0</v>
      </c>
      <c r="BR22" s="97">
        <f t="shared" si="4"/>
        <v>4.5389999999999997</v>
      </c>
      <c r="BS22" s="111">
        <f t="shared" si="5"/>
        <v>0</v>
      </c>
      <c r="BT22" s="97">
        <f t="shared" si="6"/>
        <v>0.90779999999999972</v>
      </c>
      <c r="BU22" s="143">
        <f t="shared" si="7"/>
        <v>0.45389999999999986</v>
      </c>
      <c r="BV22" s="142">
        <f>BU21</f>
        <v>15.860099999999999</v>
      </c>
    </row>
    <row r="23" spans="1:74" ht="30.75" thickBot="1" x14ac:dyDescent="0.3">
      <c r="A23" s="228" t="s">
        <v>11</v>
      </c>
      <c r="B23" s="229" t="s">
        <v>23</v>
      </c>
      <c r="C23" s="230" t="s">
        <v>33</v>
      </c>
      <c r="D23" s="74" t="s">
        <v>44</v>
      </c>
      <c r="E23" s="75" t="s">
        <v>44</v>
      </c>
      <c r="F23" s="252" t="s">
        <v>42</v>
      </c>
      <c r="G23" s="294">
        <f t="shared" si="0"/>
        <v>0.33</v>
      </c>
      <c r="H23" s="291">
        <f t="shared" si="0"/>
        <v>0.33</v>
      </c>
      <c r="I23" s="291">
        <f t="shared" si="0"/>
        <v>1</v>
      </c>
      <c r="J23" s="407">
        <f t="shared" si="2"/>
        <v>13.280000000000001</v>
      </c>
      <c r="K23" s="112">
        <v>0</v>
      </c>
      <c r="L23" s="188">
        <v>0.22000000000000003</v>
      </c>
      <c r="M23" s="188">
        <v>0.44</v>
      </c>
      <c r="N23" s="113">
        <v>0.55000000000000004</v>
      </c>
      <c r="O23" s="188">
        <v>0.06</v>
      </c>
      <c r="P23" s="188">
        <v>0.22000000000000003</v>
      </c>
      <c r="Q23" s="188">
        <v>0.44</v>
      </c>
      <c r="R23" s="188">
        <v>0.52</v>
      </c>
      <c r="S23" s="112">
        <v>0</v>
      </c>
      <c r="T23" s="188">
        <v>0.22000000000000003</v>
      </c>
      <c r="U23" s="188">
        <v>0.44</v>
      </c>
      <c r="V23" s="188">
        <v>0.55000000000000004</v>
      </c>
      <c r="W23" s="112">
        <v>0.06</v>
      </c>
      <c r="X23" s="188">
        <v>0.22000000000000003</v>
      </c>
      <c r="Y23" s="188">
        <v>0.44</v>
      </c>
      <c r="Z23" s="113">
        <v>0.52</v>
      </c>
      <c r="AA23" s="112">
        <v>0.77</v>
      </c>
      <c r="AB23" s="188">
        <v>1</v>
      </c>
      <c r="AC23" s="188">
        <v>1</v>
      </c>
      <c r="AD23" s="113">
        <v>1</v>
      </c>
      <c r="AE23" s="112">
        <v>0.8</v>
      </c>
      <c r="AF23" s="188">
        <v>1</v>
      </c>
      <c r="AG23" s="188">
        <v>1</v>
      </c>
      <c r="AH23" s="113">
        <v>1</v>
      </c>
      <c r="AI23" s="112">
        <v>0</v>
      </c>
      <c r="AJ23" s="188">
        <v>1.6500000000000001</v>
      </c>
      <c r="AK23" s="188">
        <v>3.74</v>
      </c>
      <c r="AL23" s="188">
        <v>4.6750000000000007</v>
      </c>
      <c r="AM23" s="112">
        <v>0.22999999999999998</v>
      </c>
      <c r="AN23" s="188">
        <v>1.6500000000000001</v>
      </c>
      <c r="AO23" s="188">
        <v>3.74</v>
      </c>
      <c r="AP23" s="113">
        <v>4.42</v>
      </c>
      <c r="AQ23" s="112">
        <v>0</v>
      </c>
      <c r="AR23" s="188">
        <v>1.6500000000000001</v>
      </c>
      <c r="AS23" s="188">
        <v>3.74</v>
      </c>
      <c r="AT23" s="188">
        <v>4.6750000000000007</v>
      </c>
      <c r="AU23" s="112">
        <v>0.22999999999999998</v>
      </c>
      <c r="AV23" s="188">
        <v>1.6500000000000001</v>
      </c>
      <c r="AW23" s="188">
        <v>3.74</v>
      </c>
      <c r="AX23" s="113">
        <v>4.42</v>
      </c>
      <c r="AY23" s="112">
        <v>4.2750000000000004</v>
      </c>
      <c r="AZ23" s="188">
        <v>7.5</v>
      </c>
      <c r="BA23" s="188">
        <v>8.5</v>
      </c>
      <c r="BB23" s="188">
        <v>8.5</v>
      </c>
      <c r="BC23" s="112">
        <v>5</v>
      </c>
      <c r="BD23" s="188">
        <v>7.5</v>
      </c>
      <c r="BE23" s="188">
        <v>8.5</v>
      </c>
      <c r="BF23" s="113">
        <v>8.5</v>
      </c>
      <c r="BG23" s="112">
        <f t="shared" si="3"/>
        <v>4.2750000000000004</v>
      </c>
      <c r="BH23" s="188">
        <f t="shared" si="1"/>
        <v>10.8</v>
      </c>
      <c r="BI23" s="188">
        <f t="shared" si="1"/>
        <v>15.98</v>
      </c>
      <c r="BJ23" s="188">
        <f t="shared" si="1"/>
        <v>17.850000000000001</v>
      </c>
      <c r="BK23" s="112">
        <f t="shared" si="1"/>
        <v>5.46</v>
      </c>
      <c r="BL23" s="188">
        <f t="shared" si="1"/>
        <v>10.8</v>
      </c>
      <c r="BM23" s="188">
        <f t="shared" si="1"/>
        <v>15.98</v>
      </c>
      <c r="BN23" s="188">
        <f t="shared" si="1"/>
        <v>17.34</v>
      </c>
      <c r="BO23" s="112">
        <f t="shared" si="4"/>
        <v>4.9859999999999998</v>
      </c>
      <c r="BP23" s="188">
        <f t="shared" si="4"/>
        <v>10.8</v>
      </c>
      <c r="BQ23" s="188">
        <f t="shared" si="4"/>
        <v>15.98</v>
      </c>
      <c r="BR23" s="188">
        <f t="shared" si="4"/>
        <v>17.544</v>
      </c>
      <c r="BS23" s="112">
        <f t="shared" si="5"/>
        <v>9.6372</v>
      </c>
      <c r="BT23" s="188">
        <f t="shared" si="6"/>
        <v>16.2928</v>
      </c>
      <c r="BU23" s="144">
        <f t="shared" si="7"/>
        <v>12.965</v>
      </c>
      <c r="BV23" s="113">
        <f>BU21</f>
        <v>15.860099999999999</v>
      </c>
    </row>
    <row r="24" spans="1:74" x14ac:dyDescent="0.25">
      <c r="BF24" s="138"/>
      <c r="BG24" s="139"/>
      <c r="BH24" s="139"/>
      <c r="BI24" s="139"/>
      <c r="BJ24" s="139"/>
      <c r="BK24" s="139"/>
    </row>
    <row r="25" spans="1:74" x14ac:dyDescent="0.25">
      <c r="A25" s="1" t="s">
        <v>107</v>
      </c>
      <c r="B25" s="1"/>
    </row>
    <row r="26" spans="1:74" ht="15.75" thickBot="1" x14ac:dyDescent="0.3">
      <c r="A26" s="42" t="s">
        <v>41</v>
      </c>
      <c r="B26" s="43" t="s">
        <v>52</v>
      </c>
      <c r="E26" s="45" t="s">
        <v>3</v>
      </c>
      <c r="I26" t="s">
        <v>4</v>
      </c>
    </row>
    <row r="27" spans="1:74" x14ac:dyDescent="0.25">
      <c r="A27" s="41" t="s">
        <v>45</v>
      </c>
      <c r="B27" s="2">
        <v>0</v>
      </c>
      <c r="C27" s="15">
        <f>B27</f>
        <v>0</v>
      </c>
      <c r="D27" s="16" t="s">
        <v>45</v>
      </c>
      <c r="E27" s="17">
        <v>0</v>
      </c>
      <c r="F27" s="18">
        <f>C27</f>
        <v>0</v>
      </c>
      <c r="G27" s="19">
        <v>0</v>
      </c>
      <c r="H27" s="20">
        <v>0.22</v>
      </c>
      <c r="I27" s="21">
        <v>0</v>
      </c>
      <c r="J27" s="19">
        <f>F27</f>
        <v>0</v>
      </c>
      <c r="K27" s="19">
        <f>G27</f>
        <v>0</v>
      </c>
      <c r="L27" s="22">
        <v>0.15</v>
      </c>
    </row>
    <row r="28" spans="1:74" x14ac:dyDescent="0.25">
      <c r="A28" s="41" t="s">
        <v>44</v>
      </c>
      <c r="B28" s="2">
        <v>0.33</v>
      </c>
      <c r="C28" s="15">
        <f t="shared" ref="C28:C30" si="8">B28</f>
        <v>0.33</v>
      </c>
      <c r="D28" s="16" t="s">
        <v>44</v>
      </c>
      <c r="E28" s="23">
        <v>0</v>
      </c>
      <c r="F28" s="44">
        <f>C28-0.11</f>
        <v>0.22000000000000003</v>
      </c>
      <c r="G28">
        <f>C28+0.11</f>
        <v>0.44</v>
      </c>
      <c r="H28" s="24">
        <f t="shared" ref="H28" si="9">G28+0.11</f>
        <v>0.55000000000000004</v>
      </c>
      <c r="I28" s="25">
        <v>0.06</v>
      </c>
      <c r="J28">
        <f t="shared" ref="J28:K30" si="10">F28</f>
        <v>0.22000000000000003</v>
      </c>
      <c r="K28">
        <f t="shared" si="10"/>
        <v>0.44</v>
      </c>
      <c r="L28" s="26">
        <f t="shared" ref="L28" si="11">K28+0.08</f>
        <v>0.52</v>
      </c>
    </row>
    <row r="29" spans="1:74" x14ac:dyDescent="0.25">
      <c r="A29" s="41" t="s">
        <v>43</v>
      </c>
      <c r="B29" s="2">
        <v>0.66</v>
      </c>
      <c r="C29" s="15">
        <f t="shared" si="8"/>
        <v>0.66</v>
      </c>
      <c r="D29" s="16" t="s">
        <v>43</v>
      </c>
      <c r="E29" s="23">
        <f t="shared" ref="E29" si="12">F29-0.11</f>
        <v>0.44000000000000006</v>
      </c>
      <c r="F29" s="44">
        <f>C29-0.11</f>
        <v>0.55000000000000004</v>
      </c>
      <c r="G29">
        <f t="shared" ref="G29" si="13">C29+0.11</f>
        <v>0.77</v>
      </c>
      <c r="H29" s="24">
        <f>G29+0.12</f>
        <v>0.89</v>
      </c>
      <c r="I29" s="25">
        <f t="shared" ref="I29" si="14">J29-0.08</f>
        <v>0.47000000000000003</v>
      </c>
      <c r="J29">
        <f t="shared" si="10"/>
        <v>0.55000000000000004</v>
      </c>
      <c r="K29">
        <f t="shared" si="10"/>
        <v>0.77</v>
      </c>
      <c r="L29" s="26">
        <f>K29+0.09</f>
        <v>0.86</v>
      </c>
    </row>
    <row r="30" spans="1:74" ht="15.75" thickBot="1" x14ac:dyDescent="0.3">
      <c r="A30" s="41" t="s">
        <v>42</v>
      </c>
      <c r="B30" s="2">
        <v>1</v>
      </c>
      <c r="C30" s="15">
        <f t="shared" si="8"/>
        <v>1</v>
      </c>
      <c r="D30" s="16" t="s">
        <v>42</v>
      </c>
      <c r="E30" s="27">
        <v>0.77</v>
      </c>
      <c r="F30" s="28">
        <v>1</v>
      </c>
      <c r="G30" s="29">
        <v>1</v>
      </c>
      <c r="H30" s="30">
        <v>1</v>
      </c>
      <c r="I30" s="31">
        <v>0.8</v>
      </c>
      <c r="J30" s="29">
        <f t="shared" si="10"/>
        <v>1</v>
      </c>
      <c r="K30" s="29">
        <f t="shared" si="10"/>
        <v>1</v>
      </c>
      <c r="L30" s="32">
        <v>1</v>
      </c>
    </row>
    <row r="31" spans="1:74" x14ac:dyDescent="0.25">
      <c r="A31" s="35"/>
    </row>
    <row r="32" spans="1:74" x14ac:dyDescent="0.25">
      <c r="A32" s="1" t="s">
        <v>109</v>
      </c>
    </row>
    <row r="33" spans="1:12" ht="15.75" thickBot="1" x14ac:dyDescent="0.3">
      <c r="A33" s="42" t="s">
        <v>41</v>
      </c>
      <c r="B33" s="43" t="s">
        <v>53</v>
      </c>
      <c r="E33" s="45" t="s">
        <v>3</v>
      </c>
      <c r="I33" t="s">
        <v>4</v>
      </c>
    </row>
    <row r="34" spans="1:12" x14ac:dyDescent="0.25">
      <c r="A34" s="41" t="s">
        <v>45</v>
      </c>
      <c r="B34" s="2">
        <v>0.5</v>
      </c>
      <c r="C34" s="15">
        <f>B34</f>
        <v>0.5</v>
      </c>
      <c r="D34" s="16" t="s">
        <v>45</v>
      </c>
      <c r="E34" s="17">
        <v>0</v>
      </c>
      <c r="F34" s="18">
        <f>C34-0.5</f>
        <v>0</v>
      </c>
      <c r="G34" s="19">
        <f>C34+0.5</f>
        <v>1</v>
      </c>
      <c r="H34" s="20">
        <f t="shared" ref="H34:H36" si="15">G34+1.5</f>
        <v>2.5</v>
      </c>
      <c r="I34" s="21">
        <v>0</v>
      </c>
      <c r="J34" s="19">
        <f>F34</f>
        <v>0</v>
      </c>
      <c r="K34" s="19">
        <f>G34</f>
        <v>1</v>
      </c>
      <c r="L34" s="22">
        <f t="shared" ref="L34:L36" si="16">K34+1</f>
        <v>2</v>
      </c>
    </row>
    <row r="35" spans="1:12" x14ac:dyDescent="0.25">
      <c r="A35" s="41" t="s">
        <v>44</v>
      </c>
      <c r="B35" s="2">
        <v>3</v>
      </c>
      <c r="C35" s="15">
        <f t="shared" ref="C35:C37" si="17">B35</f>
        <v>3</v>
      </c>
      <c r="D35" s="16" t="s">
        <v>44</v>
      </c>
      <c r="E35" s="23">
        <v>1.5</v>
      </c>
      <c r="F35" s="44">
        <f>C35-0.5</f>
        <v>2.5</v>
      </c>
      <c r="G35">
        <f>C35+0.5</f>
        <v>3.5</v>
      </c>
      <c r="H35" s="24">
        <f t="shared" si="15"/>
        <v>5</v>
      </c>
      <c r="I35" s="25">
        <f t="shared" ref="I35:I37" si="18">J35-1</f>
        <v>1.5</v>
      </c>
      <c r="J35">
        <f t="shared" ref="J35:K37" si="19">F35</f>
        <v>2.5</v>
      </c>
      <c r="K35">
        <f t="shared" si="19"/>
        <v>3.5</v>
      </c>
      <c r="L35" s="26">
        <f t="shared" si="16"/>
        <v>4.5</v>
      </c>
    </row>
    <row r="36" spans="1:12" x14ac:dyDescent="0.25">
      <c r="A36" s="41" t="s">
        <v>43</v>
      </c>
      <c r="B36" s="2">
        <v>5.5</v>
      </c>
      <c r="C36" s="15">
        <f t="shared" si="17"/>
        <v>5.5</v>
      </c>
      <c r="D36" s="16" t="s">
        <v>43</v>
      </c>
      <c r="E36" s="23">
        <f t="shared" ref="E36:E37" si="20">F36-1.5</f>
        <v>3.5</v>
      </c>
      <c r="F36" s="44">
        <f>C36-0.5</f>
        <v>5</v>
      </c>
      <c r="G36">
        <f>C36+0.5</f>
        <v>6</v>
      </c>
      <c r="H36" s="24">
        <f t="shared" si="15"/>
        <v>7.5</v>
      </c>
      <c r="I36" s="25">
        <f t="shared" si="18"/>
        <v>4</v>
      </c>
      <c r="J36">
        <f t="shared" si="19"/>
        <v>5</v>
      </c>
      <c r="K36">
        <f t="shared" si="19"/>
        <v>6</v>
      </c>
      <c r="L36" s="26">
        <f t="shared" si="16"/>
        <v>7</v>
      </c>
    </row>
    <row r="37" spans="1:12" ht="15.75" thickBot="1" x14ac:dyDescent="0.3">
      <c r="A37" s="41" t="s">
        <v>42</v>
      </c>
      <c r="B37" s="2">
        <v>8</v>
      </c>
      <c r="C37" s="15">
        <f t="shared" si="17"/>
        <v>8</v>
      </c>
      <c r="D37" s="16" t="s">
        <v>42</v>
      </c>
      <c r="E37" s="27">
        <f t="shared" si="20"/>
        <v>6</v>
      </c>
      <c r="F37" s="28">
        <f>C37-0.5</f>
        <v>7.5</v>
      </c>
      <c r="G37" s="29">
        <f>C37+0.5</f>
        <v>8.5</v>
      </c>
      <c r="H37" s="30">
        <f>G37</f>
        <v>8.5</v>
      </c>
      <c r="I37" s="31">
        <f t="shared" si="18"/>
        <v>6.5</v>
      </c>
      <c r="J37" s="29">
        <f t="shared" si="19"/>
        <v>7.5</v>
      </c>
      <c r="K37" s="29">
        <f t="shared" si="19"/>
        <v>8.5</v>
      </c>
      <c r="L37" s="32">
        <f>K37</f>
        <v>8.5</v>
      </c>
    </row>
    <row r="39" spans="1:12" ht="15.75" thickBot="1" x14ac:dyDescent="0.3">
      <c r="A39" s="1" t="s">
        <v>110</v>
      </c>
    </row>
    <row r="40" spans="1:12" ht="67.5" customHeight="1" thickBot="1" x14ac:dyDescent="0.3">
      <c r="A40" s="47" t="s">
        <v>289</v>
      </c>
      <c r="B40" s="46" t="s">
        <v>37</v>
      </c>
      <c r="C40" s="48" t="s">
        <v>46</v>
      </c>
      <c r="D40" s="49" t="s">
        <v>108</v>
      </c>
      <c r="E40" s="458" t="s">
        <v>54</v>
      </c>
      <c r="F40" s="459"/>
      <c r="G40" s="459"/>
      <c r="H40" s="459"/>
      <c r="I40" s="459"/>
      <c r="J40" s="459"/>
      <c r="K40" s="459"/>
      <c r="L40" s="460"/>
    </row>
    <row r="41" spans="1:12" x14ac:dyDescent="0.25">
      <c r="A41" s="56" t="s">
        <v>48</v>
      </c>
      <c r="B41" s="50" t="s">
        <v>38</v>
      </c>
      <c r="C41" s="51" t="s">
        <v>42</v>
      </c>
      <c r="D41" s="69">
        <f>B37</f>
        <v>8</v>
      </c>
      <c r="E41" s="23">
        <v>6</v>
      </c>
      <c r="F41" s="44">
        <v>7.5</v>
      </c>
      <c r="G41">
        <v>8.5</v>
      </c>
      <c r="H41" s="24">
        <v>8.5</v>
      </c>
      <c r="I41" s="25">
        <v>6.5</v>
      </c>
      <c r="J41">
        <v>7.5</v>
      </c>
      <c r="K41">
        <v>8.5</v>
      </c>
      <c r="L41" s="26">
        <v>8.5</v>
      </c>
    </row>
    <row r="42" spans="1:12" x14ac:dyDescent="0.25">
      <c r="A42" s="57" t="s">
        <v>49</v>
      </c>
      <c r="B42" s="40" t="s">
        <v>39</v>
      </c>
      <c r="C42" s="2" t="s">
        <v>42</v>
      </c>
      <c r="D42" s="70">
        <f>B37</f>
        <v>8</v>
      </c>
      <c r="E42" s="23">
        <v>6</v>
      </c>
      <c r="F42" s="44">
        <v>7.5</v>
      </c>
      <c r="G42">
        <v>8.5</v>
      </c>
      <c r="H42" s="24">
        <v>8.5</v>
      </c>
      <c r="I42" s="25">
        <v>6.5</v>
      </c>
      <c r="J42">
        <v>7.5</v>
      </c>
      <c r="K42">
        <v>8.5</v>
      </c>
      <c r="L42" s="26">
        <v>8.5</v>
      </c>
    </row>
    <row r="43" spans="1:12" ht="15.75" thickBot="1" x14ac:dyDescent="0.3">
      <c r="A43" s="58" t="s">
        <v>50</v>
      </c>
      <c r="B43" s="52" t="s">
        <v>40</v>
      </c>
      <c r="C43" s="53" t="s">
        <v>42</v>
      </c>
      <c r="D43" s="71">
        <f>B37</f>
        <v>8</v>
      </c>
      <c r="E43" s="27">
        <v>6</v>
      </c>
      <c r="F43" s="28">
        <v>7.5</v>
      </c>
      <c r="G43" s="29">
        <v>8.5</v>
      </c>
      <c r="H43" s="30">
        <v>8.5</v>
      </c>
      <c r="I43" s="31">
        <v>6.5</v>
      </c>
      <c r="J43" s="29">
        <v>7.5</v>
      </c>
      <c r="K43" s="29">
        <v>8.5</v>
      </c>
      <c r="L43" s="32">
        <v>8.5</v>
      </c>
    </row>
    <row r="45" spans="1:12" ht="15.75" thickBot="1" x14ac:dyDescent="0.3">
      <c r="A45" s="1" t="s">
        <v>305</v>
      </c>
    </row>
    <row r="46" spans="1:12" ht="30.75" thickBot="1" x14ac:dyDescent="0.3">
      <c r="A46" s="47" t="s">
        <v>60</v>
      </c>
      <c r="B46" s="266" t="s">
        <v>61</v>
      </c>
      <c r="E46" s="458" t="s">
        <v>62</v>
      </c>
      <c r="F46" s="459"/>
      <c r="G46" s="459"/>
      <c r="H46" s="459"/>
      <c r="I46" s="459"/>
      <c r="J46" s="459"/>
      <c r="K46" s="459"/>
      <c r="L46" s="460"/>
    </row>
    <row r="47" spans="1:12" x14ac:dyDescent="0.25">
      <c r="A47" s="56" t="s">
        <v>57</v>
      </c>
      <c r="B47" s="59" t="s">
        <v>45</v>
      </c>
      <c r="D47" s="62" t="s">
        <v>66</v>
      </c>
      <c r="E47" s="110">
        <f>E27*F$41+E$41*F27-F27*F$41</f>
        <v>0</v>
      </c>
      <c r="F47" s="234">
        <f>F27*F$41</f>
        <v>0</v>
      </c>
      <c r="G47" s="234">
        <f>G27*G$41</f>
        <v>0</v>
      </c>
      <c r="H47" s="140">
        <f>G27*H$41+G$41*H27-G27*G$41</f>
        <v>1.87</v>
      </c>
      <c r="I47" s="110">
        <f>I27*J$41+I$41*J27-J27*J$41</f>
        <v>0</v>
      </c>
      <c r="J47" s="234">
        <f>J27*J$41</f>
        <v>0</v>
      </c>
      <c r="K47" s="234">
        <f>K27*K$41</f>
        <v>0</v>
      </c>
      <c r="L47" s="140">
        <f>K27*L$41+K$41*L27-K27*K$41</f>
        <v>1.2749999999999999</v>
      </c>
    </row>
    <row r="48" spans="1:12" x14ac:dyDescent="0.25">
      <c r="A48" s="57" t="s">
        <v>57</v>
      </c>
      <c r="B48" s="60" t="s">
        <v>44</v>
      </c>
      <c r="D48" s="63" t="s">
        <v>65</v>
      </c>
      <c r="E48" s="111">
        <f>IF(E28*F$41+E$41*F28-F28*F$41&lt;0,0,E28*F$41+E$41*F28-F28*F$41)</f>
        <v>0</v>
      </c>
      <c r="F48" s="97">
        <f t="shared" ref="F48:G50" si="21">F28*F$41</f>
        <v>1.6500000000000001</v>
      </c>
      <c r="G48" s="97">
        <f t="shared" si="21"/>
        <v>3.74</v>
      </c>
      <c r="H48" s="142">
        <f t="shared" ref="H48:H50" si="22">G28*H$41+G$41*H28-G28*G$41</f>
        <v>4.6750000000000007</v>
      </c>
      <c r="I48" s="111">
        <f t="shared" ref="I48:I50" si="23">I28*J$41+I$41*J28-J28*J$41</f>
        <v>0.22999999999999998</v>
      </c>
      <c r="J48" s="97">
        <f t="shared" ref="J48:K50" si="24">J28*J$41</f>
        <v>1.6500000000000001</v>
      </c>
      <c r="K48" s="97">
        <f t="shared" si="24"/>
        <v>3.74</v>
      </c>
      <c r="L48" s="142">
        <f t="shared" ref="L48:L50" si="25">K28*L$41+K$41*L28-K28*K$41</f>
        <v>4.42</v>
      </c>
    </row>
    <row r="49" spans="1:74" x14ac:dyDescent="0.25">
      <c r="A49" s="57" t="s">
        <v>57</v>
      </c>
      <c r="B49" s="60" t="s">
        <v>43</v>
      </c>
      <c r="D49" s="63" t="s">
        <v>64</v>
      </c>
      <c r="E49" s="111">
        <f t="shared" ref="E49:E50" si="26">E29*F$41+E$41*F29-F29*F$41</f>
        <v>2.4750000000000005</v>
      </c>
      <c r="F49" s="97">
        <f t="shared" si="21"/>
        <v>4.125</v>
      </c>
      <c r="G49" s="97">
        <f t="shared" si="21"/>
        <v>6.5449999999999999</v>
      </c>
      <c r="H49" s="142">
        <f t="shared" si="22"/>
        <v>7.5649999999999995</v>
      </c>
      <c r="I49" s="111">
        <f t="shared" si="23"/>
        <v>2.9750000000000005</v>
      </c>
      <c r="J49" s="97">
        <f t="shared" si="24"/>
        <v>4.125</v>
      </c>
      <c r="K49" s="97">
        <f t="shared" si="24"/>
        <v>6.5449999999999999</v>
      </c>
      <c r="L49" s="142">
        <f t="shared" si="25"/>
        <v>7.3100000000000005</v>
      </c>
    </row>
    <row r="50" spans="1:74" ht="15.75" thickBot="1" x14ac:dyDescent="0.3">
      <c r="A50" s="58" t="s">
        <v>57</v>
      </c>
      <c r="B50" s="61" t="s">
        <v>42</v>
      </c>
      <c r="D50" s="64" t="s">
        <v>63</v>
      </c>
      <c r="E50" s="112">
        <f t="shared" si="26"/>
        <v>4.2750000000000004</v>
      </c>
      <c r="F50" s="188">
        <f t="shared" si="21"/>
        <v>7.5</v>
      </c>
      <c r="G50" s="188">
        <f t="shared" si="21"/>
        <v>8.5</v>
      </c>
      <c r="H50" s="113">
        <f t="shared" si="22"/>
        <v>8.5</v>
      </c>
      <c r="I50" s="112">
        <f t="shared" si="23"/>
        <v>5</v>
      </c>
      <c r="J50" s="188">
        <f t="shared" si="24"/>
        <v>7.5</v>
      </c>
      <c r="K50" s="188">
        <f t="shared" si="24"/>
        <v>8.5</v>
      </c>
      <c r="L50" s="113">
        <f t="shared" si="25"/>
        <v>8.5</v>
      </c>
    </row>
    <row r="51" spans="1:74" x14ac:dyDescent="0.25">
      <c r="A51" s="56" t="s">
        <v>58</v>
      </c>
      <c r="B51" s="59" t="s">
        <v>45</v>
      </c>
      <c r="D51" s="62" t="s">
        <v>67</v>
      </c>
      <c r="E51" s="110">
        <f>E27*F$42+E$42*F27-F27*F$42</f>
        <v>0</v>
      </c>
      <c r="F51" s="234">
        <f>F27*F$42</f>
        <v>0</v>
      </c>
      <c r="G51" s="234">
        <f>G27*G$42</f>
        <v>0</v>
      </c>
      <c r="H51" s="140">
        <f>G27*H$42+G$42*H27-G27*G$42</f>
        <v>1.87</v>
      </c>
      <c r="I51" s="110">
        <f>I27*J$42+I$42*J27-J27*J$42</f>
        <v>0</v>
      </c>
      <c r="J51" s="234">
        <f>J27*J$42</f>
        <v>0</v>
      </c>
      <c r="K51" s="234">
        <f>K27*K$42</f>
        <v>0</v>
      </c>
      <c r="L51" s="140">
        <f>K27*L$42+K$42*L27-K27*K$42</f>
        <v>1.2749999999999999</v>
      </c>
    </row>
    <row r="52" spans="1:74" x14ac:dyDescent="0.25">
      <c r="A52" s="57" t="s">
        <v>58</v>
      </c>
      <c r="B52" s="60" t="s">
        <v>44</v>
      </c>
      <c r="D52" s="63" t="s">
        <v>72</v>
      </c>
      <c r="E52" s="111">
        <f>IF(E28*F$42+E$42*F28-F28*F$42&lt;0,0,E28*F$42+E$42*F28-F28*F$42)</f>
        <v>0</v>
      </c>
      <c r="F52" s="97">
        <f t="shared" ref="F52:G54" si="27">F28*F$42</f>
        <v>1.6500000000000001</v>
      </c>
      <c r="G52" s="97">
        <f t="shared" si="27"/>
        <v>3.74</v>
      </c>
      <c r="H52" s="142">
        <f t="shared" ref="H52:H54" si="28">G28*H$42+G$42*H28-G28*G$42</f>
        <v>4.6750000000000007</v>
      </c>
      <c r="I52" s="111">
        <f t="shared" ref="I52:I54" si="29">I28*J$42+I$42*J28-J28*J$42</f>
        <v>0.22999999999999998</v>
      </c>
      <c r="J52" s="97">
        <f t="shared" ref="J52:K54" si="30">J28*J$42</f>
        <v>1.6500000000000001</v>
      </c>
      <c r="K52" s="97">
        <f t="shared" si="30"/>
        <v>3.74</v>
      </c>
      <c r="L52" s="142">
        <f t="shared" ref="L52:L54" si="31">K28*L$42+K$42*L28-K28*K$42</f>
        <v>4.42</v>
      </c>
    </row>
    <row r="53" spans="1:74" x14ac:dyDescent="0.25">
      <c r="A53" s="57" t="s">
        <v>58</v>
      </c>
      <c r="B53" s="60" t="s">
        <v>43</v>
      </c>
      <c r="D53" s="63" t="s">
        <v>73</v>
      </c>
      <c r="E53" s="111">
        <f t="shared" ref="E53:E54" si="32">E29*F$42+E$42*F29-F29*F$42</f>
        <v>2.4750000000000005</v>
      </c>
      <c r="F53" s="97">
        <f t="shared" si="27"/>
        <v>4.125</v>
      </c>
      <c r="G53" s="97">
        <f t="shared" si="27"/>
        <v>6.5449999999999999</v>
      </c>
      <c r="H53" s="142">
        <f t="shared" si="28"/>
        <v>7.5649999999999995</v>
      </c>
      <c r="I53" s="111">
        <f t="shared" si="29"/>
        <v>2.9750000000000005</v>
      </c>
      <c r="J53" s="97">
        <f t="shared" si="30"/>
        <v>4.125</v>
      </c>
      <c r="K53" s="97">
        <f t="shared" si="30"/>
        <v>6.5449999999999999</v>
      </c>
      <c r="L53" s="142">
        <f t="shared" si="31"/>
        <v>7.3100000000000005</v>
      </c>
    </row>
    <row r="54" spans="1:74" ht="15.75" thickBot="1" x14ac:dyDescent="0.3">
      <c r="A54" s="58" t="s">
        <v>58</v>
      </c>
      <c r="B54" s="61" t="s">
        <v>42</v>
      </c>
      <c r="D54" s="64" t="s">
        <v>74</v>
      </c>
      <c r="E54" s="112">
        <f t="shared" si="32"/>
        <v>4.2750000000000004</v>
      </c>
      <c r="F54" s="188">
        <f t="shared" si="27"/>
        <v>7.5</v>
      </c>
      <c r="G54" s="188">
        <f t="shared" si="27"/>
        <v>8.5</v>
      </c>
      <c r="H54" s="113">
        <f t="shared" si="28"/>
        <v>8.5</v>
      </c>
      <c r="I54" s="112">
        <f t="shared" si="29"/>
        <v>5</v>
      </c>
      <c r="J54" s="188">
        <f t="shared" si="30"/>
        <v>7.5</v>
      </c>
      <c r="K54" s="188">
        <f t="shared" si="30"/>
        <v>8.5</v>
      </c>
      <c r="L54" s="113">
        <f t="shared" si="31"/>
        <v>8.5</v>
      </c>
    </row>
    <row r="55" spans="1:74" x14ac:dyDescent="0.25">
      <c r="A55" s="56" t="s">
        <v>59</v>
      </c>
      <c r="B55" s="59" t="s">
        <v>45</v>
      </c>
      <c r="D55" s="62" t="s">
        <v>69</v>
      </c>
      <c r="E55" s="111">
        <f>E27*F$43+E$43*F27-F27*F$43</f>
        <v>0</v>
      </c>
      <c r="F55" s="97">
        <f>F27*F$43</f>
        <v>0</v>
      </c>
      <c r="G55" s="97">
        <f>G27*G$43</f>
        <v>0</v>
      </c>
      <c r="H55" s="142">
        <f>G27*H$43+G$43*H27-G27*G$43</f>
        <v>1.87</v>
      </c>
      <c r="I55" s="111">
        <f>I27*J$43+I$43*J27-J27*J$43</f>
        <v>0</v>
      </c>
      <c r="J55" s="97">
        <f>J27*J$43</f>
        <v>0</v>
      </c>
      <c r="K55" s="97">
        <f>K27*K$43</f>
        <v>0</v>
      </c>
      <c r="L55" s="142">
        <f>K27*L$43+K$43*L27-K27*K$43</f>
        <v>1.2749999999999999</v>
      </c>
    </row>
    <row r="56" spans="1:74" x14ac:dyDescent="0.25">
      <c r="A56" s="57" t="s">
        <v>59</v>
      </c>
      <c r="B56" s="60" t="s">
        <v>44</v>
      </c>
      <c r="D56" s="63" t="s">
        <v>68</v>
      </c>
      <c r="E56" s="111">
        <f>IF(E28*F$43+E$43*F28-F28*F$43&lt;0,0,E28*F$43+E$43*F28-F28*F$43)</f>
        <v>0</v>
      </c>
      <c r="F56" s="97">
        <f t="shared" ref="F56:G58" si="33">F28*F$43</f>
        <v>1.6500000000000001</v>
      </c>
      <c r="G56" s="97">
        <f t="shared" si="33"/>
        <v>3.74</v>
      </c>
      <c r="H56" s="142">
        <f t="shared" ref="H56:H58" si="34">G28*H$43+G$43*H28-G28*G$43</f>
        <v>4.6750000000000007</v>
      </c>
      <c r="I56" s="111">
        <f t="shared" ref="I56:I58" si="35">I28*J$43+I$43*J28-J28*J$43</f>
        <v>0.22999999999999998</v>
      </c>
      <c r="J56" s="97">
        <f t="shared" ref="J56:K58" si="36">J28*J$43</f>
        <v>1.6500000000000001</v>
      </c>
      <c r="K56" s="97">
        <f t="shared" si="36"/>
        <v>3.74</v>
      </c>
      <c r="L56" s="142">
        <f t="shared" ref="L56:L58" si="37">K28*L$43+K$43*L28-K28*K$43</f>
        <v>4.42</v>
      </c>
    </row>
    <row r="57" spans="1:74" x14ac:dyDescent="0.25">
      <c r="A57" s="57" t="s">
        <v>59</v>
      </c>
      <c r="B57" s="60" t="s">
        <v>43</v>
      </c>
      <c r="D57" s="63" t="s">
        <v>70</v>
      </c>
      <c r="E57" s="111">
        <f t="shared" ref="E57:E58" si="38">E29*F$43+E$43*F29-F29*F$43</f>
        <v>2.4750000000000005</v>
      </c>
      <c r="F57" s="97">
        <f t="shared" si="33"/>
        <v>4.125</v>
      </c>
      <c r="G57" s="97">
        <f t="shared" si="33"/>
        <v>6.5449999999999999</v>
      </c>
      <c r="H57" s="142">
        <f t="shared" si="34"/>
        <v>7.5649999999999995</v>
      </c>
      <c r="I57" s="111">
        <f t="shared" si="35"/>
        <v>2.9750000000000005</v>
      </c>
      <c r="J57" s="97">
        <f t="shared" si="36"/>
        <v>4.125</v>
      </c>
      <c r="K57" s="97">
        <f t="shared" si="36"/>
        <v>6.5449999999999999</v>
      </c>
      <c r="L57" s="142">
        <f t="shared" si="37"/>
        <v>7.3100000000000005</v>
      </c>
    </row>
    <row r="58" spans="1:74" ht="15.75" thickBot="1" x14ac:dyDescent="0.3">
      <c r="A58" s="58" t="s">
        <v>59</v>
      </c>
      <c r="B58" s="61" t="s">
        <v>42</v>
      </c>
      <c r="D58" s="64" t="s">
        <v>71</v>
      </c>
      <c r="E58" s="112">
        <f t="shared" si="38"/>
        <v>4.2750000000000004</v>
      </c>
      <c r="F58" s="188">
        <f t="shared" si="33"/>
        <v>7.5</v>
      </c>
      <c r="G58" s="188">
        <f t="shared" si="33"/>
        <v>8.5</v>
      </c>
      <c r="H58" s="113">
        <f t="shared" si="34"/>
        <v>8.5</v>
      </c>
      <c r="I58" s="112">
        <f t="shared" si="35"/>
        <v>5</v>
      </c>
      <c r="J58" s="188">
        <f t="shared" si="36"/>
        <v>7.5</v>
      </c>
      <c r="K58" s="188">
        <f t="shared" si="36"/>
        <v>8.5</v>
      </c>
      <c r="L58" s="113">
        <f t="shared" si="37"/>
        <v>8.5</v>
      </c>
    </row>
    <row r="61" spans="1:74" ht="18.75" x14ac:dyDescent="0.3">
      <c r="A61" s="68" t="s">
        <v>85</v>
      </c>
      <c r="B61" s="35"/>
      <c r="C61" s="35"/>
    </row>
    <row r="62" spans="1:74" x14ac:dyDescent="0.25">
      <c r="A62" s="1" t="s">
        <v>47</v>
      </c>
      <c r="B62" s="35"/>
      <c r="C62" s="35"/>
    </row>
    <row r="63" spans="1:74" ht="15.75" thickBot="1" x14ac:dyDescent="0.3">
      <c r="A63" s="36" t="s">
        <v>90</v>
      </c>
      <c r="B63" s="35"/>
      <c r="C63" s="35"/>
      <c r="BO63">
        <v>0.6</v>
      </c>
      <c r="BS63">
        <v>0.8</v>
      </c>
    </row>
    <row r="64" spans="1:74" ht="86.25" customHeight="1" thickBot="1" x14ac:dyDescent="0.3">
      <c r="A64" s="464" t="s">
        <v>25</v>
      </c>
      <c r="B64" s="455" t="s">
        <v>234</v>
      </c>
      <c r="C64" s="444" t="s">
        <v>26</v>
      </c>
      <c r="D64" s="464" t="s">
        <v>55</v>
      </c>
      <c r="E64" s="455"/>
      <c r="F64" s="488"/>
      <c r="G64" s="464" t="s">
        <v>56</v>
      </c>
      <c r="H64" s="455"/>
      <c r="I64" s="455"/>
      <c r="J64" s="444" t="s">
        <v>81</v>
      </c>
      <c r="K64" s="435" t="s">
        <v>78</v>
      </c>
      <c r="L64" s="436"/>
      <c r="M64" s="436"/>
      <c r="N64" s="436"/>
      <c r="O64" s="436"/>
      <c r="P64" s="436"/>
      <c r="Q64" s="436"/>
      <c r="R64" s="437"/>
      <c r="S64" s="435" t="s">
        <v>76</v>
      </c>
      <c r="T64" s="436"/>
      <c r="U64" s="436"/>
      <c r="V64" s="436"/>
      <c r="W64" s="436"/>
      <c r="X64" s="436"/>
      <c r="Y64" s="436"/>
      <c r="Z64" s="437"/>
      <c r="AA64" s="435" t="s">
        <v>77</v>
      </c>
      <c r="AB64" s="436"/>
      <c r="AC64" s="436"/>
      <c r="AD64" s="436"/>
      <c r="AE64" s="436"/>
      <c r="AF64" s="436"/>
      <c r="AG64" s="436"/>
      <c r="AH64" s="437"/>
      <c r="AI64" s="435" t="s">
        <v>75</v>
      </c>
      <c r="AJ64" s="436"/>
      <c r="AK64" s="436"/>
      <c r="AL64" s="436"/>
      <c r="AM64" s="436"/>
      <c r="AN64" s="436"/>
      <c r="AO64" s="436"/>
      <c r="AP64" s="437"/>
      <c r="AQ64" s="435" t="s">
        <v>82</v>
      </c>
      <c r="AR64" s="436"/>
      <c r="AS64" s="436"/>
      <c r="AT64" s="436"/>
      <c r="AU64" s="436"/>
      <c r="AV64" s="436"/>
      <c r="AW64" s="436"/>
      <c r="AX64" s="437"/>
      <c r="AY64" s="435" t="s">
        <v>83</v>
      </c>
      <c r="AZ64" s="436"/>
      <c r="BA64" s="436"/>
      <c r="BB64" s="436"/>
      <c r="BC64" s="436"/>
      <c r="BD64" s="436"/>
      <c r="BE64" s="436"/>
      <c r="BF64" s="437"/>
      <c r="BG64" s="438" t="s">
        <v>119</v>
      </c>
      <c r="BH64" s="439"/>
      <c r="BI64" s="439"/>
      <c r="BJ64" s="439"/>
      <c r="BK64" s="439"/>
      <c r="BL64" s="439"/>
      <c r="BM64" s="439"/>
      <c r="BN64" s="440"/>
      <c r="BO64" s="427" t="s">
        <v>264</v>
      </c>
      <c r="BP64" s="428"/>
      <c r="BQ64" s="428"/>
      <c r="BR64" s="429"/>
      <c r="BS64" s="433" t="s">
        <v>79</v>
      </c>
      <c r="BT64" s="434"/>
      <c r="BU64" s="425" t="s">
        <v>80</v>
      </c>
      <c r="BV64" s="425" t="s">
        <v>265</v>
      </c>
    </row>
    <row r="65" spans="1:74" s="33" customFormat="1" ht="23.25" customHeight="1" thickBot="1" x14ac:dyDescent="0.3">
      <c r="A65" s="465"/>
      <c r="B65" s="466"/>
      <c r="C65" s="445"/>
      <c r="D65" s="240" t="s">
        <v>48</v>
      </c>
      <c r="E65" s="218" t="s">
        <v>49</v>
      </c>
      <c r="F65" s="247" t="s">
        <v>50</v>
      </c>
      <c r="G65" s="240" t="s">
        <v>48</v>
      </c>
      <c r="H65" s="218" t="s">
        <v>49</v>
      </c>
      <c r="I65" s="218" t="s">
        <v>50</v>
      </c>
      <c r="J65" s="445"/>
      <c r="K65" s="435" t="s">
        <v>3</v>
      </c>
      <c r="L65" s="436"/>
      <c r="M65" s="436"/>
      <c r="N65" s="437"/>
      <c r="O65" s="435" t="s">
        <v>4</v>
      </c>
      <c r="P65" s="436"/>
      <c r="Q65" s="436"/>
      <c r="R65" s="437"/>
      <c r="S65" s="435" t="s">
        <v>3</v>
      </c>
      <c r="T65" s="436"/>
      <c r="U65" s="436"/>
      <c r="V65" s="437"/>
      <c r="W65" s="435" t="s">
        <v>4</v>
      </c>
      <c r="X65" s="436"/>
      <c r="Y65" s="436"/>
      <c r="Z65" s="437"/>
      <c r="AA65" s="435" t="s">
        <v>3</v>
      </c>
      <c r="AB65" s="436"/>
      <c r="AC65" s="436"/>
      <c r="AD65" s="437"/>
      <c r="AE65" s="435" t="s">
        <v>4</v>
      </c>
      <c r="AF65" s="436"/>
      <c r="AG65" s="436"/>
      <c r="AH65" s="437"/>
      <c r="AI65" s="435" t="s">
        <v>3</v>
      </c>
      <c r="AJ65" s="436"/>
      <c r="AK65" s="436"/>
      <c r="AL65" s="437"/>
      <c r="AM65" s="435" t="s">
        <v>4</v>
      </c>
      <c r="AN65" s="436"/>
      <c r="AO65" s="436"/>
      <c r="AP65" s="437"/>
      <c r="AQ65" s="435" t="s">
        <v>3</v>
      </c>
      <c r="AR65" s="436"/>
      <c r="AS65" s="436"/>
      <c r="AT65" s="437"/>
      <c r="AU65" s="435" t="s">
        <v>4</v>
      </c>
      <c r="AV65" s="436"/>
      <c r="AW65" s="436"/>
      <c r="AX65" s="437"/>
      <c r="AY65" s="435" t="s">
        <v>3</v>
      </c>
      <c r="AZ65" s="436"/>
      <c r="BA65" s="436"/>
      <c r="BB65" s="437"/>
      <c r="BC65" s="435" t="s">
        <v>4</v>
      </c>
      <c r="BD65" s="436"/>
      <c r="BE65" s="436"/>
      <c r="BF65" s="437"/>
      <c r="BG65" s="435" t="s">
        <v>3</v>
      </c>
      <c r="BH65" s="436"/>
      <c r="BI65" s="436"/>
      <c r="BJ65" s="437"/>
      <c r="BK65" s="435" t="s">
        <v>4</v>
      </c>
      <c r="BL65" s="436"/>
      <c r="BM65" s="436"/>
      <c r="BN65" s="437"/>
      <c r="BO65" s="430"/>
      <c r="BP65" s="431"/>
      <c r="BQ65" s="431"/>
      <c r="BR65" s="432"/>
      <c r="BS65" s="430"/>
      <c r="BT65" s="432"/>
      <c r="BU65" s="426"/>
      <c r="BV65" s="426"/>
    </row>
    <row r="66" spans="1:74" ht="30" x14ac:dyDescent="0.25">
      <c r="A66" s="235" t="s">
        <v>0</v>
      </c>
      <c r="B66" s="236" t="s">
        <v>24</v>
      </c>
      <c r="C66" s="248" t="s">
        <v>12</v>
      </c>
      <c r="D66" s="238" t="s">
        <v>42</v>
      </c>
      <c r="E66" s="239" t="s">
        <v>42</v>
      </c>
      <c r="F66" s="250" t="s">
        <v>42</v>
      </c>
      <c r="G66" s="292">
        <f>IF(D66=$A$79,$B$79,(IF(D66=$A$80,$B$80,IF(D66=$A$81,$B$81,$B$82))))</f>
        <v>1</v>
      </c>
      <c r="H66" s="289">
        <f t="shared" ref="H66:I75" si="39">IF(E66=$A$79,$B$79,(IF(E66=$A$80,$B$80,IF(E66=$A$81,$B$81,$B$82))))</f>
        <v>1</v>
      </c>
      <c r="I66" s="289">
        <f t="shared" si="39"/>
        <v>1</v>
      </c>
      <c r="J66" s="14">
        <f>G66*$D$93+H66*$D$94+I66*$D$95</f>
        <v>21.5</v>
      </c>
      <c r="K66" s="110">
        <v>0.77</v>
      </c>
      <c r="L66" s="234">
        <v>1</v>
      </c>
      <c r="M66" s="234">
        <v>1</v>
      </c>
      <c r="N66" s="140">
        <v>1</v>
      </c>
      <c r="O66" s="234">
        <v>0.8</v>
      </c>
      <c r="P66" s="234">
        <v>1</v>
      </c>
      <c r="Q66" s="234">
        <v>1</v>
      </c>
      <c r="R66" s="234">
        <v>1</v>
      </c>
      <c r="S66" s="110">
        <v>0.77</v>
      </c>
      <c r="T66" s="234">
        <v>1</v>
      </c>
      <c r="U66" s="234">
        <v>1</v>
      </c>
      <c r="V66" s="140">
        <v>1</v>
      </c>
      <c r="W66" s="110">
        <v>0.8</v>
      </c>
      <c r="X66" s="234">
        <v>1</v>
      </c>
      <c r="Y66" s="234">
        <v>1</v>
      </c>
      <c r="Z66" s="140">
        <v>1</v>
      </c>
      <c r="AA66" s="110">
        <v>0.77</v>
      </c>
      <c r="AB66" s="234">
        <v>1</v>
      </c>
      <c r="AC66" s="234">
        <v>1</v>
      </c>
      <c r="AD66" s="140">
        <v>1</v>
      </c>
      <c r="AE66" s="110">
        <v>0.8</v>
      </c>
      <c r="AF66" s="234">
        <v>1</v>
      </c>
      <c r="AG66" s="234">
        <v>1</v>
      </c>
      <c r="AH66" s="234">
        <v>1</v>
      </c>
      <c r="AI66" s="110">
        <v>4.2750000000000004</v>
      </c>
      <c r="AJ66" s="234">
        <v>7.5</v>
      </c>
      <c r="AK66" s="234">
        <v>8.5</v>
      </c>
      <c r="AL66" s="234">
        <v>8.5</v>
      </c>
      <c r="AM66" s="110">
        <v>5</v>
      </c>
      <c r="AN66" s="234">
        <v>7.5</v>
      </c>
      <c r="AO66" s="234">
        <v>8.5</v>
      </c>
      <c r="AP66" s="234">
        <v>8.5</v>
      </c>
      <c r="AQ66" s="110">
        <v>2.3499999999999996</v>
      </c>
      <c r="AR66" s="234">
        <v>5</v>
      </c>
      <c r="AS66" s="234">
        <v>6</v>
      </c>
      <c r="AT66" s="234">
        <v>7.5</v>
      </c>
      <c r="AU66" s="110">
        <v>3</v>
      </c>
      <c r="AV66" s="234">
        <v>5</v>
      </c>
      <c r="AW66" s="234">
        <v>6</v>
      </c>
      <c r="AX66" s="140">
        <v>7</v>
      </c>
      <c r="AY66" s="110">
        <v>4.2750000000000004</v>
      </c>
      <c r="AZ66" s="234">
        <v>7.5</v>
      </c>
      <c r="BA66" s="234">
        <v>8.5</v>
      </c>
      <c r="BB66" s="234">
        <v>8.5</v>
      </c>
      <c r="BC66" s="110">
        <v>5</v>
      </c>
      <c r="BD66" s="234">
        <v>7.5</v>
      </c>
      <c r="BE66" s="234">
        <v>8.5</v>
      </c>
      <c r="BF66" s="234">
        <v>8.5</v>
      </c>
      <c r="BG66" s="110">
        <f>AI66+AQ66+AY66</f>
        <v>10.9</v>
      </c>
      <c r="BH66" s="234">
        <f t="shared" ref="BH66:BN75" si="40">AJ66+AR66+AZ66</f>
        <v>20</v>
      </c>
      <c r="BI66" s="234">
        <f t="shared" si="40"/>
        <v>23</v>
      </c>
      <c r="BJ66" s="234">
        <f t="shared" si="40"/>
        <v>24.5</v>
      </c>
      <c r="BK66" s="110">
        <f t="shared" si="40"/>
        <v>13</v>
      </c>
      <c r="BL66" s="234">
        <f t="shared" si="40"/>
        <v>20</v>
      </c>
      <c r="BM66" s="234">
        <f t="shared" si="40"/>
        <v>23</v>
      </c>
      <c r="BN66" s="234">
        <f t="shared" si="40"/>
        <v>24</v>
      </c>
      <c r="BO66" s="110">
        <f>(1-$BO$63)*BG66+$BO$63*BK66</f>
        <v>12.16</v>
      </c>
      <c r="BP66" s="234">
        <f t="shared" ref="BP66:BR75" si="41">(1-$BO$63)*BH66+$BO$63*BL66</f>
        <v>20</v>
      </c>
      <c r="BQ66" s="234">
        <f t="shared" si="41"/>
        <v>23</v>
      </c>
      <c r="BR66" s="234">
        <f t="shared" si="41"/>
        <v>24.2</v>
      </c>
      <c r="BS66" s="110">
        <f>$BS$63*BP66+(1-$BS$63)*BO66</f>
        <v>18.431999999999999</v>
      </c>
      <c r="BT66" s="140">
        <f>$BS$63*BQ66+(1-$BS$63)*BR66</f>
        <v>23.240000000000002</v>
      </c>
      <c r="BU66" s="140">
        <f>(BS66+BT66)/2</f>
        <v>20.835999999999999</v>
      </c>
      <c r="BV66" s="140">
        <f>BU66</f>
        <v>20.835999999999999</v>
      </c>
    </row>
    <row r="67" spans="1:74" x14ac:dyDescent="0.25">
      <c r="A67" s="226" t="s">
        <v>1</v>
      </c>
      <c r="B67" s="222" t="s">
        <v>13</v>
      </c>
      <c r="C67" s="54" t="s">
        <v>27</v>
      </c>
      <c r="D67" s="72" t="s">
        <v>45</v>
      </c>
      <c r="E67" s="73" t="s">
        <v>42</v>
      </c>
      <c r="F67" s="251" t="s">
        <v>42</v>
      </c>
      <c r="G67" s="293">
        <f t="shared" ref="G67:G75" si="42">IF(D67=$A$79,$B$79,(IF(D67=$A$80,$B$80,IF(D67=$A$81,$B$81,$B$82))))</f>
        <v>0</v>
      </c>
      <c r="H67" s="290">
        <f t="shared" si="39"/>
        <v>1</v>
      </c>
      <c r="I67" s="290">
        <f t="shared" si="39"/>
        <v>1</v>
      </c>
      <c r="J67" s="104">
        <f t="shared" ref="J67:J75" si="43">G67*$D$93+H67*$D$94+I67*$D$95</f>
        <v>13.5</v>
      </c>
      <c r="K67" s="111">
        <v>0</v>
      </c>
      <c r="L67" s="97">
        <v>0</v>
      </c>
      <c r="M67" s="97">
        <v>0</v>
      </c>
      <c r="N67" s="142">
        <v>0.22</v>
      </c>
      <c r="O67" s="97">
        <v>0</v>
      </c>
      <c r="P67" s="97">
        <v>0</v>
      </c>
      <c r="Q67" s="97">
        <v>0</v>
      </c>
      <c r="R67" s="97">
        <v>0.15</v>
      </c>
      <c r="S67" s="111">
        <v>0.77</v>
      </c>
      <c r="T67" s="97">
        <v>1</v>
      </c>
      <c r="U67" s="97">
        <v>1</v>
      </c>
      <c r="V67" s="142">
        <v>1</v>
      </c>
      <c r="W67" s="111">
        <v>0.8</v>
      </c>
      <c r="X67" s="97">
        <v>1</v>
      </c>
      <c r="Y67" s="97">
        <v>1</v>
      </c>
      <c r="Z67" s="142">
        <v>1</v>
      </c>
      <c r="AA67" s="111">
        <v>0.77</v>
      </c>
      <c r="AB67" s="97">
        <v>1</v>
      </c>
      <c r="AC67" s="97">
        <v>1</v>
      </c>
      <c r="AD67" s="142">
        <v>1</v>
      </c>
      <c r="AE67" s="111">
        <v>0.8</v>
      </c>
      <c r="AF67" s="97">
        <v>1</v>
      </c>
      <c r="AG67" s="97">
        <v>1</v>
      </c>
      <c r="AH67" s="97">
        <v>1</v>
      </c>
      <c r="AI67" s="111">
        <v>0</v>
      </c>
      <c r="AJ67" s="97">
        <v>0</v>
      </c>
      <c r="AK67" s="97">
        <v>0</v>
      </c>
      <c r="AL67" s="97">
        <v>1.87</v>
      </c>
      <c r="AM67" s="111">
        <v>0</v>
      </c>
      <c r="AN67" s="97">
        <v>0</v>
      </c>
      <c r="AO67" s="97">
        <v>0</v>
      </c>
      <c r="AP67" s="97">
        <v>1.2749999999999999</v>
      </c>
      <c r="AQ67" s="111">
        <v>2.3499999999999996</v>
      </c>
      <c r="AR67" s="97">
        <v>5</v>
      </c>
      <c r="AS67" s="97">
        <v>6</v>
      </c>
      <c r="AT67" s="97">
        <v>7.5</v>
      </c>
      <c r="AU67" s="111">
        <v>3</v>
      </c>
      <c r="AV67" s="97">
        <v>5</v>
      </c>
      <c r="AW67" s="97">
        <v>6</v>
      </c>
      <c r="AX67" s="142">
        <v>7</v>
      </c>
      <c r="AY67" s="111">
        <v>4.2750000000000004</v>
      </c>
      <c r="AZ67" s="97">
        <v>7.5</v>
      </c>
      <c r="BA67" s="97">
        <v>8.5</v>
      </c>
      <c r="BB67" s="97">
        <v>8.5</v>
      </c>
      <c r="BC67" s="111">
        <v>5</v>
      </c>
      <c r="BD67" s="97">
        <v>7.5</v>
      </c>
      <c r="BE67" s="97">
        <v>8.5</v>
      </c>
      <c r="BF67" s="97">
        <v>8.5</v>
      </c>
      <c r="BG67" s="111">
        <f t="shared" ref="BG67:BG75" si="44">AI67+AQ67+AY67</f>
        <v>6.625</v>
      </c>
      <c r="BH67" s="97">
        <f t="shared" si="40"/>
        <v>12.5</v>
      </c>
      <c r="BI67" s="97">
        <f t="shared" si="40"/>
        <v>14.5</v>
      </c>
      <c r="BJ67" s="97">
        <f t="shared" si="40"/>
        <v>17.87</v>
      </c>
      <c r="BK67" s="111">
        <f t="shared" si="40"/>
        <v>8</v>
      </c>
      <c r="BL67" s="97">
        <f t="shared" si="40"/>
        <v>12.5</v>
      </c>
      <c r="BM67" s="97">
        <f t="shared" si="40"/>
        <v>14.5</v>
      </c>
      <c r="BN67" s="97">
        <f t="shared" si="40"/>
        <v>16.774999999999999</v>
      </c>
      <c r="BO67" s="111">
        <f t="shared" ref="BO67:BO75" si="45">(1-$BO$63)*BG67+$BO$63*BK67</f>
        <v>7.45</v>
      </c>
      <c r="BP67" s="97">
        <f t="shared" si="41"/>
        <v>12.5</v>
      </c>
      <c r="BQ67" s="97">
        <f t="shared" si="41"/>
        <v>14.5</v>
      </c>
      <c r="BR67" s="97">
        <f t="shared" si="41"/>
        <v>17.213000000000001</v>
      </c>
      <c r="BS67" s="111">
        <f t="shared" ref="BS67:BS75" si="46">$BS$63*BP67+(1-$BS$63)*BO67</f>
        <v>11.49</v>
      </c>
      <c r="BT67" s="142">
        <f t="shared" ref="BT67:BT75" si="47">$BS$63*BQ67+(1-$BS$63)*BR67</f>
        <v>15.0426</v>
      </c>
      <c r="BU67" s="142">
        <f t="shared" ref="BU67:BU75" si="48">(BS67+BT67)/2</f>
        <v>13.266300000000001</v>
      </c>
      <c r="BV67" s="142">
        <f>BU67</f>
        <v>13.266300000000001</v>
      </c>
    </row>
    <row r="68" spans="1:74" x14ac:dyDescent="0.25">
      <c r="A68" s="226" t="s">
        <v>2</v>
      </c>
      <c r="B68" s="222" t="s">
        <v>14</v>
      </c>
      <c r="C68" s="54" t="s">
        <v>28</v>
      </c>
      <c r="D68" s="72" t="s">
        <v>43</v>
      </c>
      <c r="E68" s="73" t="s">
        <v>44</v>
      </c>
      <c r="F68" s="251" t="s">
        <v>45</v>
      </c>
      <c r="G68" s="293">
        <f t="shared" si="42"/>
        <v>0.66</v>
      </c>
      <c r="H68" s="290">
        <f t="shared" si="39"/>
        <v>0.33</v>
      </c>
      <c r="I68" s="290">
        <f t="shared" si="39"/>
        <v>0</v>
      </c>
      <c r="J68" s="104">
        <f t="shared" si="43"/>
        <v>7.0950000000000006</v>
      </c>
      <c r="K68" s="111">
        <v>0.44000000000000006</v>
      </c>
      <c r="L68" s="97">
        <v>0.55000000000000004</v>
      </c>
      <c r="M68" s="97">
        <v>0.77</v>
      </c>
      <c r="N68" s="142">
        <v>0.89</v>
      </c>
      <c r="O68" s="97">
        <v>0.47000000000000003</v>
      </c>
      <c r="P68" s="97">
        <v>0.55000000000000004</v>
      </c>
      <c r="Q68" s="97">
        <v>0.77</v>
      </c>
      <c r="R68" s="97">
        <v>0.86</v>
      </c>
      <c r="S68" s="111">
        <v>0</v>
      </c>
      <c r="T68" s="97">
        <v>0.22000000000000003</v>
      </c>
      <c r="U68" s="97">
        <v>0.44</v>
      </c>
      <c r="V68" s="142">
        <v>0.55000000000000004</v>
      </c>
      <c r="W68" s="111">
        <v>0.06</v>
      </c>
      <c r="X68" s="97">
        <v>0.22000000000000003</v>
      </c>
      <c r="Y68" s="97">
        <v>0.44</v>
      </c>
      <c r="Z68" s="142">
        <v>0.52</v>
      </c>
      <c r="AA68" s="111">
        <v>0</v>
      </c>
      <c r="AB68" s="97">
        <v>0</v>
      </c>
      <c r="AC68" s="97">
        <v>0</v>
      </c>
      <c r="AD68" s="142">
        <v>0.22</v>
      </c>
      <c r="AE68" s="111">
        <v>0</v>
      </c>
      <c r="AF68" s="97">
        <v>0</v>
      </c>
      <c r="AG68" s="97">
        <v>0</v>
      </c>
      <c r="AH68" s="97">
        <v>0.15</v>
      </c>
      <c r="AI68" s="111">
        <v>2.4750000000000005</v>
      </c>
      <c r="AJ68" s="97">
        <v>4.125</v>
      </c>
      <c r="AK68" s="97">
        <v>6.5449999999999999</v>
      </c>
      <c r="AL68" s="97">
        <v>7.5649999999999995</v>
      </c>
      <c r="AM68" s="111">
        <v>2.9750000000000005</v>
      </c>
      <c r="AN68" s="97">
        <v>4.125</v>
      </c>
      <c r="AO68" s="97">
        <v>6.5449999999999999</v>
      </c>
      <c r="AP68" s="97">
        <v>7.3100000000000005</v>
      </c>
      <c r="AQ68" s="111">
        <v>0</v>
      </c>
      <c r="AR68" s="97">
        <v>1.1000000000000001</v>
      </c>
      <c r="AS68" s="97">
        <v>2.64</v>
      </c>
      <c r="AT68" s="97">
        <v>3.9599999999999995</v>
      </c>
      <c r="AU68" s="111">
        <v>8.0000000000000071E-2</v>
      </c>
      <c r="AV68" s="97">
        <v>1.1000000000000001</v>
      </c>
      <c r="AW68" s="97">
        <v>2.64</v>
      </c>
      <c r="AX68" s="142">
        <v>3.56</v>
      </c>
      <c r="AY68" s="111">
        <v>0</v>
      </c>
      <c r="AZ68" s="97">
        <v>0</v>
      </c>
      <c r="BA68" s="97">
        <v>0</v>
      </c>
      <c r="BB68" s="97">
        <v>1.87</v>
      </c>
      <c r="BC68" s="111">
        <v>0</v>
      </c>
      <c r="BD68" s="97">
        <v>0</v>
      </c>
      <c r="BE68" s="97">
        <v>0</v>
      </c>
      <c r="BF68" s="97">
        <v>1.2749999999999999</v>
      </c>
      <c r="BG68" s="111">
        <f t="shared" si="44"/>
        <v>2.4750000000000005</v>
      </c>
      <c r="BH68" s="97">
        <f t="shared" si="40"/>
        <v>5.2249999999999996</v>
      </c>
      <c r="BI68" s="97">
        <f t="shared" si="40"/>
        <v>9.1850000000000005</v>
      </c>
      <c r="BJ68" s="97">
        <f t="shared" si="40"/>
        <v>13.395</v>
      </c>
      <c r="BK68" s="111">
        <f t="shared" si="40"/>
        <v>3.0550000000000006</v>
      </c>
      <c r="BL68" s="97">
        <f t="shared" si="40"/>
        <v>5.2249999999999996</v>
      </c>
      <c r="BM68" s="97">
        <f t="shared" si="40"/>
        <v>9.1850000000000005</v>
      </c>
      <c r="BN68" s="97">
        <f t="shared" si="40"/>
        <v>12.145000000000001</v>
      </c>
      <c r="BO68" s="111">
        <f t="shared" si="45"/>
        <v>2.8230000000000004</v>
      </c>
      <c r="BP68" s="97">
        <f t="shared" si="41"/>
        <v>5.2249999999999996</v>
      </c>
      <c r="BQ68" s="97">
        <f t="shared" si="41"/>
        <v>9.1850000000000005</v>
      </c>
      <c r="BR68" s="97">
        <f t="shared" si="41"/>
        <v>12.645000000000001</v>
      </c>
      <c r="BS68" s="111">
        <f t="shared" si="46"/>
        <v>4.7446000000000002</v>
      </c>
      <c r="BT68" s="142">
        <f t="shared" si="47"/>
        <v>9.8770000000000007</v>
      </c>
      <c r="BU68" s="142">
        <f t="shared" si="48"/>
        <v>7.3108000000000004</v>
      </c>
      <c r="BV68" s="142">
        <f>BU68</f>
        <v>7.3108000000000004</v>
      </c>
    </row>
    <row r="69" spans="1:74" x14ac:dyDescent="0.25">
      <c r="A69" s="226" t="s">
        <v>5</v>
      </c>
      <c r="B69" s="222" t="s">
        <v>15</v>
      </c>
      <c r="C69" s="54" t="s">
        <v>16</v>
      </c>
      <c r="D69" s="72" t="s">
        <v>42</v>
      </c>
      <c r="E69" s="73" t="s">
        <v>42</v>
      </c>
      <c r="F69" s="251" t="s">
        <v>42</v>
      </c>
      <c r="G69" s="293">
        <f t="shared" si="42"/>
        <v>1</v>
      </c>
      <c r="H69" s="290">
        <f t="shared" si="39"/>
        <v>1</v>
      </c>
      <c r="I69" s="290">
        <f t="shared" si="39"/>
        <v>1</v>
      </c>
      <c r="J69" s="104">
        <f t="shared" si="43"/>
        <v>21.5</v>
      </c>
      <c r="K69" s="111">
        <v>0.77</v>
      </c>
      <c r="L69" s="97">
        <v>1</v>
      </c>
      <c r="M69" s="97">
        <v>1</v>
      </c>
      <c r="N69" s="142">
        <v>1</v>
      </c>
      <c r="O69" s="97">
        <v>0.8</v>
      </c>
      <c r="P69" s="97">
        <v>1</v>
      </c>
      <c r="Q69" s="97">
        <v>1</v>
      </c>
      <c r="R69" s="97">
        <v>1</v>
      </c>
      <c r="S69" s="111">
        <v>0.77</v>
      </c>
      <c r="T69" s="97">
        <v>1</v>
      </c>
      <c r="U69" s="97">
        <v>1</v>
      </c>
      <c r="V69" s="142">
        <v>1</v>
      </c>
      <c r="W69" s="111">
        <v>0.8</v>
      </c>
      <c r="X69" s="97">
        <v>1</v>
      </c>
      <c r="Y69" s="97">
        <v>1</v>
      </c>
      <c r="Z69" s="142">
        <v>1</v>
      </c>
      <c r="AA69" s="111">
        <v>0.77</v>
      </c>
      <c r="AB69" s="97">
        <v>1</v>
      </c>
      <c r="AC69" s="97">
        <v>1</v>
      </c>
      <c r="AD69" s="142">
        <v>1</v>
      </c>
      <c r="AE69" s="111">
        <v>0.8</v>
      </c>
      <c r="AF69" s="97">
        <v>1</v>
      </c>
      <c r="AG69" s="97">
        <v>1</v>
      </c>
      <c r="AH69" s="97">
        <v>1</v>
      </c>
      <c r="AI69" s="111">
        <v>4.2750000000000004</v>
      </c>
      <c r="AJ69" s="97">
        <v>7.5</v>
      </c>
      <c r="AK69" s="97">
        <v>8.5</v>
      </c>
      <c r="AL69" s="97">
        <v>8.5</v>
      </c>
      <c r="AM69" s="111">
        <v>5</v>
      </c>
      <c r="AN69" s="97">
        <v>7.5</v>
      </c>
      <c r="AO69" s="97">
        <v>8.5</v>
      </c>
      <c r="AP69" s="97">
        <v>8.5</v>
      </c>
      <c r="AQ69" s="111">
        <v>2.3499999999999996</v>
      </c>
      <c r="AR69" s="97">
        <v>5</v>
      </c>
      <c r="AS69" s="97">
        <v>6</v>
      </c>
      <c r="AT69" s="97">
        <v>7.5</v>
      </c>
      <c r="AU69" s="111">
        <v>3</v>
      </c>
      <c r="AV69" s="97">
        <v>5</v>
      </c>
      <c r="AW69" s="97">
        <v>6</v>
      </c>
      <c r="AX69" s="142">
        <v>7</v>
      </c>
      <c r="AY69" s="111">
        <v>4.2750000000000004</v>
      </c>
      <c r="AZ69" s="97">
        <v>7.5</v>
      </c>
      <c r="BA69" s="97">
        <v>8.5</v>
      </c>
      <c r="BB69" s="97">
        <v>8.5</v>
      </c>
      <c r="BC69" s="111">
        <v>5</v>
      </c>
      <c r="BD69" s="97">
        <v>7.5</v>
      </c>
      <c r="BE69" s="97">
        <v>8.5</v>
      </c>
      <c r="BF69" s="97">
        <v>8.5</v>
      </c>
      <c r="BG69" s="111">
        <f t="shared" si="44"/>
        <v>10.9</v>
      </c>
      <c r="BH69" s="97">
        <f t="shared" si="40"/>
        <v>20</v>
      </c>
      <c r="BI69" s="97">
        <f t="shared" si="40"/>
        <v>23</v>
      </c>
      <c r="BJ69" s="97">
        <f t="shared" si="40"/>
        <v>24.5</v>
      </c>
      <c r="BK69" s="111">
        <f t="shared" si="40"/>
        <v>13</v>
      </c>
      <c r="BL69" s="97">
        <f t="shared" si="40"/>
        <v>20</v>
      </c>
      <c r="BM69" s="97">
        <f t="shared" si="40"/>
        <v>23</v>
      </c>
      <c r="BN69" s="97">
        <f t="shared" si="40"/>
        <v>24</v>
      </c>
      <c r="BO69" s="111">
        <f t="shared" si="45"/>
        <v>12.16</v>
      </c>
      <c r="BP69" s="97">
        <f t="shared" si="41"/>
        <v>20</v>
      </c>
      <c r="BQ69" s="97">
        <f t="shared" si="41"/>
        <v>23</v>
      </c>
      <c r="BR69" s="97">
        <f t="shared" si="41"/>
        <v>24.2</v>
      </c>
      <c r="BS69" s="111">
        <f t="shared" si="46"/>
        <v>18.431999999999999</v>
      </c>
      <c r="BT69" s="142">
        <f t="shared" si="47"/>
        <v>23.240000000000002</v>
      </c>
      <c r="BU69" s="142">
        <f t="shared" si="48"/>
        <v>20.835999999999999</v>
      </c>
      <c r="BV69" s="142">
        <f>BU66</f>
        <v>20.835999999999999</v>
      </c>
    </row>
    <row r="70" spans="1:74" ht="30" x14ac:dyDescent="0.25">
      <c r="A70" s="226" t="s">
        <v>6</v>
      </c>
      <c r="B70" s="222" t="s">
        <v>17</v>
      </c>
      <c r="C70" s="54" t="s">
        <v>29</v>
      </c>
      <c r="D70" s="72" t="s">
        <v>43</v>
      </c>
      <c r="E70" s="73" t="s">
        <v>43</v>
      </c>
      <c r="F70" s="251" t="s">
        <v>43</v>
      </c>
      <c r="G70" s="293">
        <f t="shared" si="42"/>
        <v>0.66</v>
      </c>
      <c r="H70" s="290">
        <f t="shared" si="39"/>
        <v>0.66</v>
      </c>
      <c r="I70" s="290">
        <f t="shared" si="39"/>
        <v>0.66</v>
      </c>
      <c r="J70" s="104">
        <f t="shared" si="43"/>
        <v>14.190000000000001</v>
      </c>
      <c r="K70" s="111">
        <v>0.44000000000000006</v>
      </c>
      <c r="L70" s="97">
        <v>0.55000000000000004</v>
      </c>
      <c r="M70" s="97">
        <v>0.77</v>
      </c>
      <c r="N70" s="142">
        <v>0.89</v>
      </c>
      <c r="O70" s="97">
        <v>0.47000000000000003</v>
      </c>
      <c r="P70" s="97">
        <v>0.55000000000000004</v>
      </c>
      <c r="Q70" s="97">
        <v>0.77</v>
      </c>
      <c r="R70" s="97">
        <v>0.86</v>
      </c>
      <c r="S70" s="111">
        <v>0.44000000000000006</v>
      </c>
      <c r="T70" s="97">
        <v>0.55000000000000004</v>
      </c>
      <c r="U70" s="97">
        <v>0.77</v>
      </c>
      <c r="V70" s="142">
        <v>0.89</v>
      </c>
      <c r="W70" s="111">
        <v>0.47000000000000003</v>
      </c>
      <c r="X70" s="97">
        <v>0.55000000000000004</v>
      </c>
      <c r="Y70" s="97">
        <v>0.77</v>
      </c>
      <c r="Z70" s="142">
        <v>0.86</v>
      </c>
      <c r="AA70" s="111">
        <v>0.44000000000000006</v>
      </c>
      <c r="AB70" s="97">
        <v>0.55000000000000004</v>
      </c>
      <c r="AC70" s="97">
        <v>0.77</v>
      </c>
      <c r="AD70" s="142">
        <v>0.89</v>
      </c>
      <c r="AE70" s="111">
        <v>0.47000000000000003</v>
      </c>
      <c r="AF70" s="97">
        <v>0.55000000000000004</v>
      </c>
      <c r="AG70" s="97">
        <v>0.77</v>
      </c>
      <c r="AH70" s="97">
        <v>0.86</v>
      </c>
      <c r="AI70" s="111">
        <v>2.4750000000000005</v>
      </c>
      <c r="AJ70" s="97">
        <v>4.125</v>
      </c>
      <c r="AK70" s="97">
        <v>6.5449999999999999</v>
      </c>
      <c r="AL70" s="97">
        <v>7.5649999999999995</v>
      </c>
      <c r="AM70" s="111">
        <v>2.9750000000000005</v>
      </c>
      <c r="AN70" s="97">
        <v>4.125</v>
      </c>
      <c r="AO70" s="97">
        <v>6.5449999999999999</v>
      </c>
      <c r="AP70" s="97">
        <v>7.3100000000000005</v>
      </c>
      <c r="AQ70" s="111">
        <v>1.375</v>
      </c>
      <c r="AR70" s="97">
        <v>2.75</v>
      </c>
      <c r="AS70" s="97">
        <v>4.62</v>
      </c>
      <c r="AT70" s="97">
        <v>6.4950000000000001</v>
      </c>
      <c r="AU70" s="111">
        <v>1.8000000000000007</v>
      </c>
      <c r="AV70" s="97">
        <v>2.75</v>
      </c>
      <c r="AW70" s="97">
        <v>4.62</v>
      </c>
      <c r="AX70" s="142">
        <v>5.9300000000000006</v>
      </c>
      <c r="AY70" s="111">
        <v>2.4750000000000005</v>
      </c>
      <c r="AZ70" s="97">
        <v>4.125</v>
      </c>
      <c r="BA70" s="97">
        <v>6.5449999999999999</v>
      </c>
      <c r="BB70" s="97">
        <v>7.5649999999999995</v>
      </c>
      <c r="BC70" s="111">
        <v>2.9750000000000005</v>
      </c>
      <c r="BD70" s="97">
        <v>4.125</v>
      </c>
      <c r="BE70" s="97">
        <v>6.5449999999999999</v>
      </c>
      <c r="BF70" s="97">
        <v>7.3100000000000005</v>
      </c>
      <c r="BG70" s="111">
        <f t="shared" si="44"/>
        <v>6.3250000000000011</v>
      </c>
      <c r="BH70" s="97">
        <f t="shared" si="40"/>
        <v>11</v>
      </c>
      <c r="BI70" s="97">
        <f t="shared" si="40"/>
        <v>17.71</v>
      </c>
      <c r="BJ70" s="97">
        <f t="shared" si="40"/>
        <v>21.625</v>
      </c>
      <c r="BK70" s="111">
        <f t="shared" si="40"/>
        <v>7.7500000000000018</v>
      </c>
      <c r="BL70" s="97">
        <f t="shared" si="40"/>
        <v>11</v>
      </c>
      <c r="BM70" s="97">
        <f t="shared" si="40"/>
        <v>17.71</v>
      </c>
      <c r="BN70" s="97">
        <f t="shared" si="40"/>
        <v>20.550000000000004</v>
      </c>
      <c r="BO70" s="111">
        <f t="shared" si="45"/>
        <v>7.1800000000000015</v>
      </c>
      <c r="BP70" s="97">
        <f t="shared" si="41"/>
        <v>11</v>
      </c>
      <c r="BQ70" s="97">
        <f t="shared" si="41"/>
        <v>17.71</v>
      </c>
      <c r="BR70" s="97">
        <f t="shared" si="41"/>
        <v>20.980000000000004</v>
      </c>
      <c r="BS70" s="111">
        <f t="shared" si="46"/>
        <v>10.236000000000001</v>
      </c>
      <c r="BT70" s="142">
        <f t="shared" si="47"/>
        <v>18.364000000000001</v>
      </c>
      <c r="BU70" s="142">
        <f t="shared" si="48"/>
        <v>14.3</v>
      </c>
      <c r="BV70" s="142">
        <f>BU70</f>
        <v>14.3</v>
      </c>
    </row>
    <row r="71" spans="1:74" x14ac:dyDescent="0.25">
      <c r="A71" s="226" t="s">
        <v>7</v>
      </c>
      <c r="B71" s="222" t="s">
        <v>18</v>
      </c>
      <c r="C71" s="54" t="s">
        <v>30</v>
      </c>
      <c r="D71" s="72" t="s">
        <v>44</v>
      </c>
      <c r="E71" s="73" t="s">
        <v>43</v>
      </c>
      <c r="F71" s="251" t="s">
        <v>44</v>
      </c>
      <c r="G71" s="293">
        <f t="shared" si="42"/>
        <v>0.33</v>
      </c>
      <c r="H71" s="290">
        <f t="shared" si="39"/>
        <v>0.66</v>
      </c>
      <c r="I71" s="290">
        <f t="shared" si="39"/>
        <v>0.33</v>
      </c>
      <c r="J71" s="104">
        <f t="shared" si="43"/>
        <v>8.91</v>
      </c>
      <c r="K71" s="111">
        <v>0</v>
      </c>
      <c r="L71" s="97">
        <v>0.22000000000000003</v>
      </c>
      <c r="M71" s="97">
        <v>0.44</v>
      </c>
      <c r="N71" s="142">
        <v>0.55000000000000004</v>
      </c>
      <c r="O71" s="97">
        <v>0.06</v>
      </c>
      <c r="P71" s="97">
        <v>0.22000000000000003</v>
      </c>
      <c r="Q71" s="97">
        <v>0.44</v>
      </c>
      <c r="R71" s="97">
        <v>0.52</v>
      </c>
      <c r="S71" s="111">
        <v>0.44000000000000006</v>
      </c>
      <c r="T71" s="97">
        <v>0.55000000000000004</v>
      </c>
      <c r="U71" s="97">
        <v>0.77</v>
      </c>
      <c r="V71" s="142">
        <v>0.89</v>
      </c>
      <c r="W71" s="111">
        <v>0.47000000000000003</v>
      </c>
      <c r="X71" s="97">
        <v>0.55000000000000004</v>
      </c>
      <c r="Y71" s="97">
        <v>0.77</v>
      </c>
      <c r="Z71" s="142">
        <v>0.86</v>
      </c>
      <c r="AA71" s="111">
        <v>0</v>
      </c>
      <c r="AB71" s="97">
        <v>0.22000000000000003</v>
      </c>
      <c r="AC71" s="97">
        <v>0.44</v>
      </c>
      <c r="AD71" s="142">
        <v>0.55000000000000004</v>
      </c>
      <c r="AE71" s="111">
        <v>0.06</v>
      </c>
      <c r="AF71" s="97">
        <v>0.22000000000000003</v>
      </c>
      <c r="AG71" s="97">
        <v>0.44</v>
      </c>
      <c r="AH71" s="97">
        <v>0.52</v>
      </c>
      <c r="AI71" s="111">
        <v>0</v>
      </c>
      <c r="AJ71" s="97">
        <v>1.6500000000000001</v>
      </c>
      <c r="AK71" s="97">
        <v>3.74</v>
      </c>
      <c r="AL71" s="97">
        <v>4.6750000000000007</v>
      </c>
      <c r="AM71" s="111">
        <v>0.22999999999999998</v>
      </c>
      <c r="AN71" s="97">
        <v>1.6500000000000001</v>
      </c>
      <c r="AO71" s="97">
        <v>3.74</v>
      </c>
      <c r="AP71" s="97">
        <v>4.42</v>
      </c>
      <c r="AQ71" s="111">
        <v>1.375</v>
      </c>
      <c r="AR71" s="97">
        <v>2.75</v>
      </c>
      <c r="AS71" s="97">
        <v>4.62</v>
      </c>
      <c r="AT71" s="97">
        <v>6.4950000000000001</v>
      </c>
      <c r="AU71" s="111">
        <v>1.8000000000000007</v>
      </c>
      <c r="AV71" s="97">
        <v>2.75</v>
      </c>
      <c r="AW71" s="97">
        <v>4.62</v>
      </c>
      <c r="AX71" s="142">
        <v>5.9300000000000006</v>
      </c>
      <c r="AY71" s="111">
        <v>0</v>
      </c>
      <c r="AZ71" s="97">
        <v>1.6500000000000001</v>
      </c>
      <c r="BA71" s="97">
        <v>3.74</v>
      </c>
      <c r="BB71" s="97">
        <v>4.6750000000000007</v>
      </c>
      <c r="BC71" s="111">
        <v>0.22999999999999998</v>
      </c>
      <c r="BD71" s="97">
        <v>1.6500000000000001</v>
      </c>
      <c r="BE71" s="97">
        <v>3.74</v>
      </c>
      <c r="BF71" s="97">
        <v>4.42</v>
      </c>
      <c r="BG71" s="111">
        <f t="shared" si="44"/>
        <v>1.375</v>
      </c>
      <c r="BH71" s="97">
        <f t="shared" si="40"/>
        <v>6.0500000000000007</v>
      </c>
      <c r="BI71" s="97">
        <f t="shared" si="40"/>
        <v>12.1</v>
      </c>
      <c r="BJ71" s="97">
        <f t="shared" si="40"/>
        <v>15.845000000000002</v>
      </c>
      <c r="BK71" s="111">
        <f t="shared" si="40"/>
        <v>2.2600000000000007</v>
      </c>
      <c r="BL71" s="97">
        <f t="shared" si="40"/>
        <v>6.0500000000000007</v>
      </c>
      <c r="BM71" s="97">
        <f t="shared" si="40"/>
        <v>12.1</v>
      </c>
      <c r="BN71" s="97">
        <f t="shared" si="40"/>
        <v>14.770000000000001</v>
      </c>
      <c r="BO71" s="111">
        <f t="shared" si="45"/>
        <v>1.9060000000000004</v>
      </c>
      <c r="BP71" s="97">
        <f t="shared" si="41"/>
        <v>6.0500000000000007</v>
      </c>
      <c r="BQ71" s="97">
        <f t="shared" si="41"/>
        <v>12.1</v>
      </c>
      <c r="BR71" s="97">
        <f t="shared" si="41"/>
        <v>15.200000000000001</v>
      </c>
      <c r="BS71" s="111">
        <f t="shared" si="46"/>
        <v>5.2212000000000005</v>
      </c>
      <c r="BT71" s="142">
        <f t="shared" si="47"/>
        <v>12.719999999999999</v>
      </c>
      <c r="BU71" s="142">
        <f t="shared" si="48"/>
        <v>8.9705999999999992</v>
      </c>
      <c r="BV71" s="142">
        <f>BU72</f>
        <v>10.832000000000001</v>
      </c>
    </row>
    <row r="72" spans="1:74" ht="30" x14ac:dyDescent="0.25">
      <c r="A72" s="226" t="s">
        <v>8</v>
      </c>
      <c r="B72" s="222" t="s">
        <v>19</v>
      </c>
      <c r="C72" s="54" t="s">
        <v>31</v>
      </c>
      <c r="D72" s="72" t="s">
        <v>43</v>
      </c>
      <c r="E72" s="73" t="s">
        <v>42</v>
      </c>
      <c r="F72" s="251" t="s">
        <v>45</v>
      </c>
      <c r="G72" s="293">
        <f t="shared" si="42"/>
        <v>0.66</v>
      </c>
      <c r="H72" s="290">
        <f t="shared" si="39"/>
        <v>1</v>
      </c>
      <c r="I72" s="290">
        <f t="shared" si="39"/>
        <v>0</v>
      </c>
      <c r="J72" s="104">
        <f t="shared" si="43"/>
        <v>10.780000000000001</v>
      </c>
      <c r="K72" s="111">
        <v>0.44000000000000006</v>
      </c>
      <c r="L72" s="97">
        <v>0.55000000000000004</v>
      </c>
      <c r="M72" s="97">
        <v>0.77</v>
      </c>
      <c r="N72" s="142">
        <v>0.89</v>
      </c>
      <c r="O72" s="97">
        <v>0.47000000000000003</v>
      </c>
      <c r="P72" s="97">
        <v>0.55000000000000004</v>
      </c>
      <c r="Q72" s="97">
        <v>0.77</v>
      </c>
      <c r="R72" s="97">
        <v>0.86</v>
      </c>
      <c r="S72" s="111">
        <v>0.77</v>
      </c>
      <c r="T72" s="97">
        <v>1</v>
      </c>
      <c r="U72" s="97">
        <v>1</v>
      </c>
      <c r="V72" s="142">
        <v>1</v>
      </c>
      <c r="W72" s="111">
        <v>0.8</v>
      </c>
      <c r="X72" s="97">
        <v>1</v>
      </c>
      <c r="Y72" s="97">
        <v>1</v>
      </c>
      <c r="Z72" s="142">
        <v>1</v>
      </c>
      <c r="AA72" s="111">
        <v>0</v>
      </c>
      <c r="AB72" s="97">
        <v>0</v>
      </c>
      <c r="AC72" s="97">
        <v>0</v>
      </c>
      <c r="AD72" s="142">
        <v>0.22</v>
      </c>
      <c r="AE72" s="111">
        <v>0</v>
      </c>
      <c r="AF72" s="97">
        <v>0</v>
      </c>
      <c r="AG72" s="97">
        <v>0</v>
      </c>
      <c r="AH72" s="97">
        <v>0.15</v>
      </c>
      <c r="AI72" s="111">
        <v>2.4750000000000005</v>
      </c>
      <c r="AJ72" s="97">
        <v>4.125</v>
      </c>
      <c r="AK72" s="97">
        <v>6.5449999999999999</v>
      </c>
      <c r="AL72" s="97">
        <v>7.5649999999999995</v>
      </c>
      <c r="AM72" s="111">
        <v>2.9750000000000005</v>
      </c>
      <c r="AN72" s="97">
        <v>4.125</v>
      </c>
      <c r="AO72" s="97">
        <v>6.5449999999999999</v>
      </c>
      <c r="AP72" s="97">
        <v>7.3100000000000005</v>
      </c>
      <c r="AQ72" s="111">
        <v>2.3499999999999996</v>
      </c>
      <c r="AR72" s="97">
        <v>5</v>
      </c>
      <c r="AS72" s="97">
        <v>6</v>
      </c>
      <c r="AT72" s="97">
        <v>7.5</v>
      </c>
      <c r="AU72" s="111">
        <v>3</v>
      </c>
      <c r="AV72" s="97">
        <v>5</v>
      </c>
      <c r="AW72" s="97">
        <v>6</v>
      </c>
      <c r="AX72" s="142">
        <v>7</v>
      </c>
      <c r="AY72" s="111">
        <v>0</v>
      </c>
      <c r="AZ72" s="97">
        <v>0</v>
      </c>
      <c r="BA72" s="97">
        <v>0</v>
      </c>
      <c r="BB72" s="97">
        <v>1.87</v>
      </c>
      <c r="BC72" s="111">
        <v>0</v>
      </c>
      <c r="BD72" s="97">
        <v>0</v>
      </c>
      <c r="BE72" s="97">
        <v>0</v>
      </c>
      <c r="BF72" s="97">
        <v>1.2749999999999999</v>
      </c>
      <c r="BG72" s="111">
        <f t="shared" si="44"/>
        <v>4.8250000000000002</v>
      </c>
      <c r="BH72" s="97">
        <f t="shared" si="40"/>
        <v>9.125</v>
      </c>
      <c r="BI72" s="97">
        <f t="shared" si="40"/>
        <v>12.545</v>
      </c>
      <c r="BJ72" s="97">
        <f t="shared" si="40"/>
        <v>16.934999999999999</v>
      </c>
      <c r="BK72" s="111">
        <f t="shared" si="40"/>
        <v>5.9750000000000005</v>
      </c>
      <c r="BL72" s="97">
        <f t="shared" si="40"/>
        <v>9.125</v>
      </c>
      <c r="BM72" s="97">
        <f t="shared" si="40"/>
        <v>12.545</v>
      </c>
      <c r="BN72" s="97">
        <f t="shared" si="40"/>
        <v>15.585000000000001</v>
      </c>
      <c r="BO72" s="111">
        <f t="shared" si="45"/>
        <v>5.5150000000000006</v>
      </c>
      <c r="BP72" s="97">
        <f t="shared" si="41"/>
        <v>9.125</v>
      </c>
      <c r="BQ72" s="97">
        <f t="shared" si="41"/>
        <v>12.545</v>
      </c>
      <c r="BR72" s="97">
        <f t="shared" si="41"/>
        <v>16.125</v>
      </c>
      <c r="BS72" s="111">
        <f t="shared" si="46"/>
        <v>8.4030000000000005</v>
      </c>
      <c r="BT72" s="142">
        <f t="shared" si="47"/>
        <v>13.261000000000001</v>
      </c>
      <c r="BU72" s="142">
        <f t="shared" si="48"/>
        <v>10.832000000000001</v>
      </c>
      <c r="BV72" s="142">
        <f>BU72</f>
        <v>10.832000000000001</v>
      </c>
    </row>
    <row r="73" spans="1:74" ht="30" x14ac:dyDescent="0.25">
      <c r="A73" s="226" t="s">
        <v>9</v>
      </c>
      <c r="B73" s="222" t="s">
        <v>20</v>
      </c>
      <c r="C73" s="54" t="s">
        <v>21</v>
      </c>
      <c r="D73" s="72" t="s">
        <v>43</v>
      </c>
      <c r="E73" s="73" t="s">
        <v>42</v>
      </c>
      <c r="F73" s="251" t="s">
        <v>43</v>
      </c>
      <c r="G73" s="293">
        <f t="shared" si="42"/>
        <v>0.66</v>
      </c>
      <c r="H73" s="290">
        <f t="shared" si="39"/>
        <v>1</v>
      </c>
      <c r="I73" s="290">
        <f t="shared" si="39"/>
        <v>0.66</v>
      </c>
      <c r="J73" s="104">
        <f t="shared" si="43"/>
        <v>16.060000000000002</v>
      </c>
      <c r="K73" s="111">
        <v>0.44000000000000006</v>
      </c>
      <c r="L73" s="97">
        <v>0.55000000000000004</v>
      </c>
      <c r="M73" s="97">
        <v>0.77</v>
      </c>
      <c r="N73" s="142">
        <v>0.89</v>
      </c>
      <c r="O73" s="97">
        <v>0.47000000000000003</v>
      </c>
      <c r="P73" s="97">
        <v>0.55000000000000004</v>
      </c>
      <c r="Q73" s="97">
        <v>0.77</v>
      </c>
      <c r="R73" s="97">
        <v>0.86</v>
      </c>
      <c r="S73" s="111">
        <v>0.77</v>
      </c>
      <c r="T73" s="97">
        <v>1</v>
      </c>
      <c r="U73" s="97">
        <v>1</v>
      </c>
      <c r="V73" s="142">
        <v>1</v>
      </c>
      <c r="W73" s="111">
        <v>0.8</v>
      </c>
      <c r="X73" s="97">
        <v>1</v>
      </c>
      <c r="Y73" s="97">
        <v>1</v>
      </c>
      <c r="Z73" s="142">
        <v>1</v>
      </c>
      <c r="AA73" s="111">
        <v>0.44000000000000006</v>
      </c>
      <c r="AB73" s="97">
        <v>0.55000000000000004</v>
      </c>
      <c r="AC73" s="97">
        <v>0.77</v>
      </c>
      <c r="AD73" s="142">
        <v>0.89</v>
      </c>
      <c r="AE73" s="111">
        <v>0.47000000000000003</v>
      </c>
      <c r="AF73" s="97">
        <v>0.55000000000000004</v>
      </c>
      <c r="AG73" s="97">
        <v>0.77</v>
      </c>
      <c r="AH73" s="97">
        <v>0.86</v>
      </c>
      <c r="AI73" s="111">
        <v>2.4750000000000005</v>
      </c>
      <c r="AJ73" s="97">
        <v>4.125</v>
      </c>
      <c r="AK73" s="97">
        <v>6.5449999999999999</v>
      </c>
      <c r="AL73" s="97">
        <v>7.5649999999999995</v>
      </c>
      <c r="AM73" s="111">
        <v>2.9750000000000005</v>
      </c>
      <c r="AN73" s="97">
        <v>4.125</v>
      </c>
      <c r="AO73" s="97">
        <v>6.5449999999999999</v>
      </c>
      <c r="AP73" s="97">
        <v>7.3100000000000005</v>
      </c>
      <c r="AQ73" s="111">
        <v>2.3499999999999996</v>
      </c>
      <c r="AR73" s="97">
        <v>5</v>
      </c>
      <c r="AS73" s="97">
        <v>6</v>
      </c>
      <c r="AT73" s="97">
        <v>7.5</v>
      </c>
      <c r="AU73" s="111">
        <v>3</v>
      </c>
      <c r="AV73" s="97">
        <v>5</v>
      </c>
      <c r="AW73" s="97">
        <v>6</v>
      </c>
      <c r="AX73" s="142">
        <v>7</v>
      </c>
      <c r="AY73" s="111">
        <v>2.4750000000000005</v>
      </c>
      <c r="AZ73" s="97">
        <v>4.125</v>
      </c>
      <c r="BA73" s="97">
        <v>6.5449999999999999</v>
      </c>
      <c r="BB73" s="97">
        <v>7.5649999999999995</v>
      </c>
      <c r="BC73" s="111">
        <v>2.9750000000000005</v>
      </c>
      <c r="BD73" s="97">
        <v>4.125</v>
      </c>
      <c r="BE73" s="97">
        <v>6.5449999999999999</v>
      </c>
      <c r="BF73" s="97">
        <v>7.3100000000000005</v>
      </c>
      <c r="BG73" s="111">
        <f t="shared" si="44"/>
        <v>7.3000000000000007</v>
      </c>
      <c r="BH73" s="97">
        <f t="shared" si="40"/>
        <v>13.25</v>
      </c>
      <c r="BI73" s="97">
        <f t="shared" si="40"/>
        <v>19.09</v>
      </c>
      <c r="BJ73" s="97">
        <f t="shared" si="40"/>
        <v>22.63</v>
      </c>
      <c r="BK73" s="111">
        <f t="shared" si="40"/>
        <v>8.9500000000000011</v>
      </c>
      <c r="BL73" s="97">
        <f t="shared" si="40"/>
        <v>13.25</v>
      </c>
      <c r="BM73" s="97">
        <f t="shared" si="40"/>
        <v>19.09</v>
      </c>
      <c r="BN73" s="97">
        <f t="shared" si="40"/>
        <v>21.62</v>
      </c>
      <c r="BO73" s="111">
        <f t="shared" si="45"/>
        <v>8.2900000000000009</v>
      </c>
      <c r="BP73" s="97">
        <f t="shared" si="41"/>
        <v>13.25</v>
      </c>
      <c r="BQ73" s="97">
        <f t="shared" si="41"/>
        <v>19.09</v>
      </c>
      <c r="BR73" s="97">
        <f t="shared" si="41"/>
        <v>22.024000000000001</v>
      </c>
      <c r="BS73" s="111">
        <f t="shared" si="46"/>
        <v>12.258000000000001</v>
      </c>
      <c r="BT73" s="142">
        <f t="shared" si="47"/>
        <v>19.6768</v>
      </c>
      <c r="BU73" s="142">
        <f t="shared" si="48"/>
        <v>15.967400000000001</v>
      </c>
      <c r="BV73" s="142">
        <f>BU73</f>
        <v>15.967400000000001</v>
      </c>
    </row>
    <row r="74" spans="1:74" ht="36.75" customHeight="1" x14ac:dyDescent="0.25">
      <c r="A74" s="226" t="s">
        <v>10</v>
      </c>
      <c r="B74" s="222" t="s">
        <v>22</v>
      </c>
      <c r="C74" s="54" t="s">
        <v>32</v>
      </c>
      <c r="D74" s="72" t="s">
        <v>45</v>
      </c>
      <c r="E74" s="73" t="s">
        <v>44</v>
      </c>
      <c r="F74" s="251" t="s">
        <v>45</v>
      </c>
      <c r="G74" s="293">
        <f t="shared" si="42"/>
        <v>0</v>
      </c>
      <c r="H74" s="290">
        <f t="shared" si="39"/>
        <v>0.33</v>
      </c>
      <c r="I74" s="290">
        <f t="shared" si="39"/>
        <v>0</v>
      </c>
      <c r="J74" s="104">
        <f t="shared" si="43"/>
        <v>1.8150000000000002</v>
      </c>
      <c r="K74" s="111">
        <v>0</v>
      </c>
      <c r="L74" s="97">
        <v>0</v>
      </c>
      <c r="M74" s="97">
        <v>0</v>
      </c>
      <c r="N74" s="142">
        <v>0.22</v>
      </c>
      <c r="O74" s="97">
        <v>0</v>
      </c>
      <c r="P74" s="97">
        <v>0</v>
      </c>
      <c r="Q74" s="97">
        <v>0</v>
      </c>
      <c r="R74" s="97">
        <v>0.15</v>
      </c>
      <c r="S74" s="111">
        <v>0</v>
      </c>
      <c r="T74" s="97">
        <v>0.22000000000000003</v>
      </c>
      <c r="U74" s="97">
        <v>0.44</v>
      </c>
      <c r="V74" s="142">
        <v>0.55000000000000004</v>
      </c>
      <c r="W74" s="111">
        <v>0.06</v>
      </c>
      <c r="X74" s="97">
        <v>0.22000000000000003</v>
      </c>
      <c r="Y74" s="97">
        <v>0.44</v>
      </c>
      <c r="Z74" s="142">
        <v>0.52</v>
      </c>
      <c r="AA74" s="111">
        <v>0</v>
      </c>
      <c r="AB74" s="97">
        <v>0</v>
      </c>
      <c r="AC74" s="97">
        <v>0</v>
      </c>
      <c r="AD74" s="142">
        <v>0.22</v>
      </c>
      <c r="AE74" s="111">
        <v>0</v>
      </c>
      <c r="AF74" s="97">
        <v>0</v>
      </c>
      <c r="AG74" s="97">
        <v>0</v>
      </c>
      <c r="AH74" s="97">
        <v>0.15</v>
      </c>
      <c r="AI74" s="111">
        <v>0</v>
      </c>
      <c r="AJ74" s="97">
        <v>0</v>
      </c>
      <c r="AK74" s="97">
        <v>0</v>
      </c>
      <c r="AL74" s="97">
        <v>1.87</v>
      </c>
      <c r="AM74" s="111">
        <v>0</v>
      </c>
      <c r="AN74" s="97">
        <v>0</v>
      </c>
      <c r="AO74" s="97">
        <v>0</v>
      </c>
      <c r="AP74" s="97">
        <v>1.2749999999999999</v>
      </c>
      <c r="AQ74" s="111">
        <v>0</v>
      </c>
      <c r="AR74" s="97">
        <v>1.1000000000000001</v>
      </c>
      <c r="AS74" s="97">
        <v>2.64</v>
      </c>
      <c r="AT74" s="97">
        <v>3.9599999999999995</v>
      </c>
      <c r="AU74" s="111">
        <v>8.0000000000000071E-2</v>
      </c>
      <c r="AV74" s="97">
        <v>1.1000000000000001</v>
      </c>
      <c r="AW74" s="97">
        <v>2.64</v>
      </c>
      <c r="AX74" s="142">
        <v>3.56</v>
      </c>
      <c r="AY74" s="111">
        <v>0</v>
      </c>
      <c r="AZ74" s="97">
        <v>0</v>
      </c>
      <c r="BA74" s="97">
        <v>0</v>
      </c>
      <c r="BB74" s="97">
        <v>1.87</v>
      </c>
      <c r="BC74" s="111">
        <v>0</v>
      </c>
      <c r="BD74" s="97">
        <v>0</v>
      </c>
      <c r="BE74" s="97">
        <v>0</v>
      </c>
      <c r="BF74" s="97">
        <v>1.2749999999999999</v>
      </c>
      <c r="BG74" s="111">
        <f t="shared" si="44"/>
        <v>0</v>
      </c>
      <c r="BH74" s="97">
        <f t="shared" si="40"/>
        <v>1.1000000000000001</v>
      </c>
      <c r="BI74" s="97">
        <f t="shared" si="40"/>
        <v>2.64</v>
      </c>
      <c r="BJ74" s="97">
        <f t="shared" si="40"/>
        <v>7.7</v>
      </c>
      <c r="BK74" s="111">
        <f t="shared" si="40"/>
        <v>8.0000000000000071E-2</v>
      </c>
      <c r="BL74" s="97">
        <f t="shared" si="40"/>
        <v>1.1000000000000001</v>
      </c>
      <c r="BM74" s="97">
        <f t="shared" si="40"/>
        <v>2.64</v>
      </c>
      <c r="BN74" s="97">
        <f t="shared" si="40"/>
        <v>6.1099999999999994</v>
      </c>
      <c r="BO74" s="111">
        <f t="shared" si="45"/>
        <v>4.8000000000000043E-2</v>
      </c>
      <c r="BP74" s="97">
        <f t="shared" si="41"/>
        <v>1.1000000000000001</v>
      </c>
      <c r="BQ74" s="97">
        <f t="shared" si="41"/>
        <v>2.64</v>
      </c>
      <c r="BR74" s="97">
        <f t="shared" si="41"/>
        <v>6.7459999999999996</v>
      </c>
      <c r="BS74" s="111">
        <f t="shared" si="46"/>
        <v>0.88960000000000017</v>
      </c>
      <c r="BT74" s="142">
        <f t="shared" si="47"/>
        <v>3.4611999999999998</v>
      </c>
      <c r="BU74" s="142">
        <f t="shared" si="48"/>
        <v>2.1753999999999998</v>
      </c>
      <c r="BV74" s="142">
        <f>BU73</f>
        <v>15.967400000000001</v>
      </c>
    </row>
    <row r="75" spans="1:74" ht="30.75" thickBot="1" x14ac:dyDescent="0.3">
      <c r="A75" s="228" t="s">
        <v>11</v>
      </c>
      <c r="B75" s="229" t="s">
        <v>23</v>
      </c>
      <c r="C75" s="249" t="s">
        <v>33</v>
      </c>
      <c r="D75" s="74" t="s">
        <v>44</v>
      </c>
      <c r="E75" s="75" t="s">
        <v>43</v>
      </c>
      <c r="F75" s="252" t="s">
        <v>42</v>
      </c>
      <c r="G75" s="294">
        <f t="shared" si="42"/>
        <v>0.33</v>
      </c>
      <c r="H75" s="291">
        <f t="shared" si="39"/>
        <v>0.66</v>
      </c>
      <c r="I75" s="291">
        <f t="shared" si="39"/>
        <v>1</v>
      </c>
      <c r="J75" s="108">
        <f t="shared" si="43"/>
        <v>14.27</v>
      </c>
      <c r="K75" s="112">
        <v>0</v>
      </c>
      <c r="L75" s="188">
        <v>0.22000000000000003</v>
      </c>
      <c r="M75" s="188">
        <v>0.44</v>
      </c>
      <c r="N75" s="113">
        <v>0.55000000000000004</v>
      </c>
      <c r="O75" s="188">
        <v>0.06</v>
      </c>
      <c r="P75" s="188">
        <v>0.22000000000000003</v>
      </c>
      <c r="Q75" s="188">
        <v>0.44</v>
      </c>
      <c r="R75" s="188">
        <v>0.52</v>
      </c>
      <c r="S75" s="112">
        <v>0.44000000000000006</v>
      </c>
      <c r="T75" s="188">
        <v>0.55000000000000004</v>
      </c>
      <c r="U75" s="188">
        <v>0.77</v>
      </c>
      <c r="V75" s="113">
        <v>0.89</v>
      </c>
      <c r="W75" s="112">
        <v>0.47000000000000003</v>
      </c>
      <c r="X75" s="188">
        <v>0.55000000000000004</v>
      </c>
      <c r="Y75" s="188">
        <v>0.77</v>
      </c>
      <c r="Z75" s="113">
        <v>0.86</v>
      </c>
      <c r="AA75" s="112">
        <v>0.77</v>
      </c>
      <c r="AB75" s="188">
        <v>1</v>
      </c>
      <c r="AC75" s="188">
        <v>1</v>
      </c>
      <c r="AD75" s="113">
        <v>1</v>
      </c>
      <c r="AE75" s="112">
        <v>0.8</v>
      </c>
      <c r="AF75" s="188">
        <v>1</v>
      </c>
      <c r="AG75" s="188">
        <v>1</v>
      </c>
      <c r="AH75" s="188">
        <v>1</v>
      </c>
      <c r="AI75" s="112">
        <v>0</v>
      </c>
      <c r="AJ75" s="188">
        <v>1.6500000000000001</v>
      </c>
      <c r="AK75" s="188">
        <v>3.74</v>
      </c>
      <c r="AL75" s="188">
        <v>4.6750000000000007</v>
      </c>
      <c r="AM75" s="112">
        <v>0.22999999999999998</v>
      </c>
      <c r="AN75" s="188">
        <v>1.6500000000000001</v>
      </c>
      <c r="AO75" s="188">
        <v>3.74</v>
      </c>
      <c r="AP75" s="188">
        <v>4.42</v>
      </c>
      <c r="AQ75" s="112">
        <v>1.375</v>
      </c>
      <c r="AR75" s="188">
        <v>2.75</v>
      </c>
      <c r="AS75" s="188">
        <v>4.62</v>
      </c>
      <c r="AT75" s="188">
        <v>6.4950000000000001</v>
      </c>
      <c r="AU75" s="112">
        <v>1.8000000000000007</v>
      </c>
      <c r="AV75" s="188">
        <v>2.75</v>
      </c>
      <c r="AW75" s="188">
        <v>4.62</v>
      </c>
      <c r="AX75" s="113">
        <v>5.9300000000000006</v>
      </c>
      <c r="AY75" s="112">
        <v>4.2750000000000004</v>
      </c>
      <c r="AZ75" s="188">
        <v>7.5</v>
      </c>
      <c r="BA75" s="188">
        <v>8.5</v>
      </c>
      <c r="BB75" s="188">
        <v>8.5</v>
      </c>
      <c r="BC75" s="112">
        <v>5</v>
      </c>
      <c r="BD75" s="188">
        <v>7.5</v>
      </c>
      <c r="BE75" s="188">
        <v>8.5</v>
      </c>
      <c r="BF75" s="188">
        <v>8.5</v>
      </c>
      <c r="BG75" s="112">
        <f t="shared" si="44"/>
        <v>5.65</v>
      </c>
      <c r="BH75" s="188">
        <f t="shared" si="40"/>
        <v>11.9</v>
      </c>
      <c r="BI75" s="188">
        <f t="shared" si="40"/>
        <v>16.86</v>
      </c>
      <c r="BJ75" s="188">
        <f t="shared" si="40"/>
        <v>19.670000000000002</v>
      </c>
      <c r="BK75" s="112">
        <f t="shared" si="40"/>
        <v>7.0300000000000011</v>
      </c>
      <c r="BL75" s="188">
        <f t="shared" si="40"/>
        <v>11.9</v>
      </c>
      <c r="BM75" s="188">
        <f t="shared" si="40"/>
        <v>16.86</v>
      </c>
      <c r="BN75" s="188">
        <f t="shared" si="40"/>
        <v>18.850000000000001</v>
      </c>
      <c r="BO75" s="112">
        <f t="shared" si="45"/>
        <v>6.4780000000000015</v>
      </c>
      <c r="BP75" s="188">
        <f t="shared" si="41"/>
        <v>11.9</v>
      </c>
      <c r="BQ75" s="188">
        <f t="shared" si="41"/>
        <v>16.86</v>
      </c>
      <c r="BR75" s="188">
        <f t="shared" si="41"/>
        <v>19.178000000000001</v>
      </c>
      <c r="BS75" s="112">
        <f t="shared" si="46"/>
        <v>10.815600000000002</v>
      </c>
      <c r="BT75" s="113">
        <f t="shared" si="47"/>
        <v>17.323599999999999</v>
      </c>
      <c r="BU75" s="113">
        <f t="shared" si="48"/>
        <v>14.069600000000001</v>
      </c>
      <c r="BV75" s="113">
        <f>BU73</f>
        <v>15.967400000000001</v>
      </c>
    </row>
    <row r="76" spans="1:74" x14ac:dyDescent="0.25">
      <c r="BF76" s="138"/>
      <c r="BG76" s="139"/>
      <c r="BH76" s="139"/>
      <c r="BI76" s="139"/>
      <c r="BJ76" s="139"/>
      <c r="BK76" s="139"/>
    </row>
    <row r="77" spans="1:74" x14ac:dyDescent="0.25">
      <c r="A77" s="1" t="s">
        <v>111</v>
      </c>
      <c r="B77" s="1"/>
    </row>
    <row r="78" spans="1:74" ht="15.75" thickBot="1" x14ac:dyDescent="0.3">
      <c r="A78" s="42" t="s">
        <v>41</v>
      </c>
      <c r="B78" s="43" t="s">
        <v>52</v>
      </c>
      <c r="E78" s="45" t="s">
        <v>3</v>
      </c>
      <c r="I78" t="s">
        <v>4</v>
      </c>
    </row>
    <row r="79" spans="1:74" x14ac:dyDescent="0.25">
      <c r="A79" s="41" t="s">
        <v>45</v>
      </c>
      <c r="B79" s="2">
        <v>0</v>
      </c>
      <c r="C79" s="15">
        <f>B79</f>
        <v>0</v>
      </c>
      <c r="D79" s="16" t="s">
        <v>45</v>
      </c>
      <c r="E79" s="17">
        <v>0</v>
      </c>
      <c r="F79" s="18">
        <f>C79</f>
        <v>0</v>
      </c>
      <c r="G79" s="19">
        <v>0</v>
      </c>
      <c r="H79" s="20">
        <v>0.22</v>
      </c>
      <c r="I79" s="21">
        <v>0</v>
      </c>
      <c r="J79" s="19">
        <f>F79</f>
        <v>0</v>
      </c>
      <c r="K79" s="19">
        <f>G79</f>
        <v>0</v>
      </c>
      <c r="L79" s="22">
        <v>0.15</v>
      </c>
    </row>
    <row r="80" spans="1:74" x14ac:dyDescent="0.25">
      <c r="A80" s="41" t="s">
        <v>44</v>
      </c>
      <c r="B80" s="2">
        <v>0.33</v>
      </c>
      <c r="C80" s="15">
        <f t="shared" ref="C80:C82" si="49">B80</f>
        <v>0.33</v>
      </c>
      <c r="D80" s="16" t="s">
        <v>44</v>
      </c>
      <c r="E80" s="23">
        <v>0</v>
      </c>
      <c r="F80" s="44">
        <f>C80-0.11</f>
        <v>0.22000000000000003</v>
      </c>
      <c r="G80">
        <f>C80+0.11</f>
        <v>0.44</v>
      </c>
      <c r="H80" s="24">
        <f t="shared" ref="H80" si="50">G80+0.11</f>
        <v>0.55000000000000004</v>
      </c>
      <c r="I80" s="25">
        <v>0.06</v>
      </c>
      <c r="J80">
        <f t="shared" ref="J80:K82" si="51">F80</f>
        <v>0.22000000000000003</v>
      </c>
      <c r="K80">
        <f t="shared" si="51"/>
        <v>0.44</v>
      </c>
      <c r="L80" s="26">
        <f t="shared" ref="L80" si="52">K80+0.08</f>
        <v>0.52</v>
      </c>
    </row>
    <row r="81" spans="1:12" x14ac:dyDescent="0.25">
      <c r="A81" s="41" t="s">
        <v>43</v>
      </c>
      <c r="B81" s="2">
        <v>0.66</v>
      </c>
      <c r="C81" s="15">
        <f t="shared" si="49"/>
        <v>0.66</v>
      </c>
      <c r="D81" s="16" t="s">
        <v>43</v>
      </c>
      <c r="E81" s="23">
        <f t="shared" ref="E81" si="53">F81-0.11</f>
        <v>0.44000000000000006</v>
      </c>
      <c r="F81" s="44">
        <f>C81-0.11</f>
        <v>0.55000000000000004</v>
      </c>
      <c r="G81">
        <f t="shared" ref="G81" si="54">C81+0.11</f>
        <v>0.77</v>
      </c>
      <c r="H81" s="24">
        <f>G81+0.12</f>
        <v>0.89</v>
      </c>
      <c r="I81" s="25">
        <f t="shared" ref="I81" si="55">J81-0.08</f>
        <v>0.47000000000000003</v>
      </c>
      <c r="J81">
        <f t="shared" si="51"/>
        <v>0.55000000000000004</v>
      </c>
      <c r="K81">
        <f t="shared" si="51"/>
        <v>0.77</v>
      </c>
      <c r="L81" s="26">
        <f>K81+0.09</f>
        <v>0.86</v>
      </c>
    </row>
    <row r="82" spans="1:12" ht="15.75" thickBot="1" x14ac:dyDescent="0.3">
      <c r="A82" s="41" t="s">
        <v>42</v>
      </c>
      <c r="B82" s="2">
        <v>1</v>
      </c>
      <c r="C82" s="15">
        <f t="shared" si="49"/>
        <v>1</v>
      </c>
      <c r="D82" s="16" t="s">
        <v>42</v>
      </c>
      <c r="E82" s="27">
        <v>0.77</v>
      </c>
      <c r="F82" s="28">
        <v>1</v>
      </c>
      <c r="G82" s="29">
        <v>1</v>
      </c>
      <c r="H82" s="30">
        <v>1</v>
      </c>
      <c r="I82" s="31">
        <v>0.8</v>
      </c>
      <c r="J82" s="29">
        <f t="shared" si="51"/>
        <v>1</v>
      </c>
      <c r="K82" s="29">
        <f t="shared" si="51"/>
        <v>1</v>
      </c>
      <c r="L82" s="32">
        <v>1</v>
      </c>
    </row>
    <row r="83" spans="1:12" x14ac:dyDescent="0.25">
      <c r="A83" s="35"/>
    </row>
    <row r="84" spans="1:12" x14ac:dyDescent="0.25">
      <c r="A84" s="1" t="s">
        <v>112</v>
      </c>
    </row>
    <row r="85" spans="1:12" ht="15.75" thickBot="1" x14ac:dyDescent="0.3">
      <c r="A85" s="42" t="s">
        <v>41</v>
      </c>
      <c r="B85" s="43" t="s">
        <v>53</v>
      </c>
      <c r="E85" s="45" t="s">
        <v>3</v>
      </c>
      <c r="I85" t="s">
        <v>4</v>
      </c>
    </row>
    <row r="86" spans="1:12" x14ac:dyDescent="0.25">
      <c r="A86" s="41" t="s">
        <v>45</v>
      </c>
      <c r="B86" s="2">
        <v>0.5</v>
      </c>
      <c r="C86" s="15">
        <f>B86</f>
        <v>0.5</v>
      </c>
      <c r="D86" s="16" t="s">
        <v>45</v>
      </c>
      <c r="E86" s="17">
        <v>0</v>
      </c>
      <c r="F86" s="18">
        <f>C86-0.5</f>
        <v>0</v>
      </c>
      <c r="G86" s="19">
        <f>C86+0.5</f>
        <v>1</v>
      </c>
      <c r="H86" s="20">
        <f t="shared" ref="H86:H88" si="56">G86+1.5</f>
        <v>2.5</v>
      </c>
      <c r="I86" s="21">
        <v>0</v>
      </c>
      <c r="J86" s="19">
        <f>F86</f>
        <v>0</v>
      </c>
      <c r="K86" s="19">
        <f>G86</f>
        <v>1</v>
      </c>
      <c r="L86" s="22">
        <f t="shared" ref="L86:L88" si="57">K86+1</f>
        <v>2</v>
      </c>
    </row>
    <row r="87" spans="1:12" x14ac:dyDescent="0.25">
      <c r="A87" s="41" t="s">
        <v>44</v>
      </c>
      <c r="B87" s="2">
        <v>3</v>
      </c>
      <c r="C87" s="15">
        <f t="shared" ref="C87:C89" si="58">B87</f>
        <v>3</v>
      </c>
      <c r="D87" s="16" t="s">
        <v>44</v>
      </c>
      <c r="E87" s="23">
        <v>1.5</v>
      </c>
      <c r="F87" s="44">
        <f>C87-0.5</f>
        <v>2.5</v>
      </c>
      <c r="G87">
        <f>C87+0.5</f>
        <v>3.5</v>
      </c>
      <c r="H87" s="24">
        <f t="shared" si="56"/>
        <v>5</v>
      </c>
      <c r="I87" s="25">
        <f t="shared" ref="I87:I89" si="59">J87-1</f>
        <v>1.5</v>
      </c>
      <c r="J87">
        <f t="shared" ref="J87:K89" si="60">F87</f>
        <v>2.5</v>
      </c>
      <c r="K87">
        <f t="shared" si="60"/>
        <v>3.5</v>
      </c>
      <c r="L87" s="26">
        <f t="shared" si="57"/>
        <v>4.5</v>
      </c>
    </row>
    <row r="88" spans="1:12" x14ac:dyDescent="0.25">
      <c r="A88" s="41" t="s">
        <v>43</v>
      </c>
      <c r="B88" s="2">
        <v>5.5</v>
      </c>
      <c r="C88" s="15">
        <f t="shared" si="58"/>
        <v>5.5</v>
      </c>
      <c r="D88" s="16" t="s">
        <v>43</v>
      </c>
      <c r="E88" s="23">
        <f t="shared" ref="E88:E89" si="61">F88-1.5</f>
        <v>3.5</v>
      </c>
      <c r="F88" s="44">
        <f>C88-0.5</f>
        <v>5</v>
      </c>
      <c r="G88">
        <f>C88+0.5</f>
        <v>6</v>
      </c>
      <c r="H88" s="24">
        <f t="shared" si="56"/>
        <v>7.5</v>
      </c>
      <c r="I88" s="25">
        <f t="shared" si="59"/>
        <v>4</v>
      </c>
      <c r="J88">
        <f t="shared" si="60"/>
        <v>5</v>
      </c>
      <c r="K88">
        <f t="shared" si="60"/>
        <v>6</v>
      </c>
      <c r="L88" s="26">
        <f t="shared" si="57"/>
        <v>7</v>
      </c>
    </row>
    <row r="89" spans="1:12" ht="15.75" thickBot="1" x14ac:dyDescent="0.3">
      <c r="A89" s="41" t="s">
        <v>42</v>
      </c>
      <c r="B89" s="2">
        <v>8</v>
      </c>
      <c r="C89" s="15">
        <f t="shared" si="58"/>
        <v>8</v>
      </c>
      <c r="D89" s="16" t="s">
        <v>42</v>
      </c>
      <c r="E89" s="27">
        <f t="shared" si="61"/>
        <v>6</v>
      </c>
      <c r="F89" s="28">
        <f>C89-0.5</f>
        <v>7.5</v>
      </c>
      <c r="G89" s="29">
        <f>C89+0.5</f>
        <v>8.5</v>
      </c>
      <c r="H89" s="30">
        <f>G89</f>
        <v>8.5</v>
      </c>
      <c r="I89" s="31">
        <f t="shared" si="59"/>
        <v>6.5</v>
      </c>
      <c r="J89" s="29">
        <f t="shared" si="60"/>
        <v>7.5</v>
      </c>
      <c r="K89" s="29">
        <f t="shared" si="60"/>
        <v>8.5</v>
      </c>
      <c r="L89" s="32">
        <f>K89</f>
        <v>8.5</v>
      </c>
    </row>
    <row r="91" spans="1:12" ht="15.75" thickBot="1" x14ac:dyDescent="0.3">
      <c r="A91" s="1" t="s">
        <v>113</v>
      </c>
    </row>
    <row r="92" spans="1:12" ht="67.5" customHeight="1" thickBot="1" x14ac:dyDescent="0.3">
      <c r="A92" s="47" t="s">
        <v>282</v>
      </c>
      <c r="B92" s="46" t="s">
        <v>37</v>
      </c>
      <c r="C92" s="48" t="s">
        <v>46</v>
      </c>
      <c r="D92" s="49" t="s">
        <v>114</v>
      </c>
      <c r="E92" s="458" t="s">
        <v>54</v>
      </c>
      <c r="F92" s="459"/>
      <c r="G92" s="459"/>
      <c r="H92" s="459"/>
      <c r="I92" s="459"/>
      <c r="J92" s="459"/>
      <c r="K92" s="459"/>
      <c r="L92" s="460"/>
    </row>
    <row r="93" spans="1:12" x14ac:dyDescent="0.25">
      <c r="A93" s="56" t="s">
        <v>48</v>
      </c>
      <c r="B93" s="50" t="s">
        <v>38</v>
      </c>
      <c r="C93" s="51" t="s">
        <v>42</v>
      </c>
      <c r="D93" s="70">
        <f>B89</f>
        <v>8</v>
      </c>
      <c r="E93" s="17">
        <v>6</v>
      </c>
      <c r="F93" s="18">
        <v>7.5</v>
      </c>
      <c r="G93" s="19">
        <v>8.5</v>
      </c>
      <c r="H93" s="19">
        <v>8.5</v>
      </c>
      <c r="I93" s="21">
        <v>6.5</v>
      </c>
      <c r="J93" s="19">
        <v>7.5</v>
      </c>
      <c r="K93" s="19">
        <v>8.5</v>
      </c>
      <c r="L93" s="22">
        <v>8.5</v>
      </c>
    </row>
    <row r="94" spans="1:12" x14ac:dyDescent="0.25">
      <c r="A94" s="57" t="s">
        <v>49</v>
      </c>
      <c r="B94" s="40" t="s">
        <v>39</v>
      </c>
      <c r="C94" s="2" t="s">
        <v>43</v>
      </c>
      <c r="D94" s="70">
        <f>B88</f>
        <v>5.5</v>
      </c>
      <c r="E94" s="23">
        <v>3.5</v>
      </c>
      <c r="F94" s="44">
        <v>5</v>
      </c>
      <c r="G94">
        <v>6</v>
      </c>
      <c r="H94">
        <v>7.5</v>
      </c>
      <c r="I94" s="25">
        <v>4</v>
      </c>
      <c r="J94">
        <v>5</v>
      </c>
      <c r="K94">
        <v>6</v>
      </c>
      <c r="L94" s="26">
        <v>7</v>
      </c>
    </row>
    <row r="95" spans="1:12" ht="15.75" thickBot="1" x14ac:dyDescent="0.3">
      <c r="A95" s="58" t="s">
        <v>50</v>
      </c>
      <c r="B95" s="52" t="s">
        <v>40</v>
      </c>
      <c r="C95" s="53" t="s">
        <v>42</v>
      </c>
      <c r="D95" s="71">
        <f>B89</f>
        <v>8</v>
      </c>
      <c r="E95" s="27">
        <v>6</v>
      </c>
      <c r="F95" s="28">
        <v>7.5</v>
      </c>
      <c r="G95" s="29">
        <v>8.5</v>
      </c>
      <c r="H95" s="29">
        <v>8.5</v>
      </c>
      <c r="I95" s="31">
        <v>6.5</v>
      </c>
      <c r="J95" s="29">
        <v>7.5</v>
      </c>
      <c r="K95" s="29">
        <v>8.5</v>
      </c>
      <c r="L95" s="32">
        <v>8.5</v>
      </c>
    </row>
    <row r="97" spans="1:12" ht="15.75" thickBot="1" x14ac:dyDescent="0.3">
      <c r="A97" s="1" t="s">
        <v>308</v>
      </c>
    </row>
    <row r="98" spans="1:12" ht="30.75" thickBot="1" x14ac:dyDescent="0.3">
      <c r="A98" s="47" t="s">
        <v>60</v>
      </c>
      <c r="B98" s="266" t="s">
        <v>61</v>
      </c>
      <c r="E98" s="458" t="s">
        <v>62</v>
      </c>
      <c r="F98" s="459"/>
      <c r="G98" s="459"/>
      <c r="H98" s="459"/>
      <c r="I98" s="459"/>
      <c r="J98" s="459"/>
      <c r="K98" s="459"/>
      <c r="L98" s="460"/>
    </row>
    <row r="99" spans="1:12" x14ac:dyDescent="0.25">
      <c r="A99" s="56" t="s">
        <v>57</v>
      </c>
      <c r="B99" s="59" t="s">
        <v>45</v>
      </c>
      <c r="D99" s="62" t="s">
        <v>66</v>
      </c>
      <c r="E99" s="110">
        <f>E79*F$93+E$93*F79-F79*F$93</f>
        <v>0</v>
      </c>
      <c r="F99" s="234">
        <f>F79*F$93</f>
        <v>0</v>
      </c>
      <c r="G99" s="234">
        <f>G79*G$93</f>
        <v>0</v>
      </c>
      <c r="H99" s="140">
        <f>G79*H$93+G$93*H79-G79*G$93</f>
        <v>1.87</v>
      </c>
      <c r="I99" s="110">
        <f>I79*J$93+I$93*J79-J79*J$93</f>
        <v>0</v>
      </c>
      <c r="J99" s="234">
        <f>J79*J$93</f>
        <v>0</v>
      </c>
      <c r="K99" s="234">
        <f>K79*K$93</f>
        <v>0</v>
      </c>
      <c r="L99" s="140">
        <f>K79*L$93+K$93*L79-K79*K$93</f>
        <v>1.2749999999999999</v>
      </c>
    </row>
    <row r="100" spans="1:12" x14ac:dyDescent="0.25">
      <c r="A100" s="57" t="s">
        <v>57</v>
      </c>
      <c r="B100" s="60" t="s">
        <v>44</v>
      </c>
      <c r="D100" s="63" t="s">
        <v>65</v>
      </c>
      <c r="E100" s="111">
        <f>IF(E80*F$93+E$93*F80-F80*F$93&lt;0,0,E80*F$93+E$93*F80-F80*F$93)</f>
        <v>0</v>
      </c>
      <c r="F100" s="97">
        <f t="shared" ref="F100:G102" si="62">F80*F$93</f>
        <v>1.6500000000000001</v>
      </c>
      <c r="G100" s="97">
        <f t="shared" si="62"/>
        <v>3.74</v>
      </c>
      <c r="H100" s="142">
        <f t="shared" ref="H100:H102" si="63">G80*H$93+G$93*H80-G80*G$93</f>
        <v>4.6750000000000007</v>
      </c>
      <c r="I100" s="111">
        <f t="shared" ref="I100:I102" si="64">I80*J$93+I$93*J80-J80*J$93</f>
        <v>0.22999999999999998</v>
      </c>
      <c r="J100" s="97">
        <f t="shared" ref="J100:K102" si="65">J80*J$93</f>
        <v>1.6500000000000001</v>
      </c>
      <c r="K100" s="97">
        <f t="shared" si="65"/>
        <v>3.74</v>
      </c>
      <c r="L100" s="142">
        <f t="shared" ref="L100:L102" si="66">K80*L$93+K$93*L80-K80*K$93</f>
        <v>4.42</v>
      </c>
    </row>
    <row r="101" spans="1:12" x14ac:dyDescent="0.25">
      <c r="A101" s="57" t="s">
        <v>57</v>
      </c>
      <c r="B101" s="60" t="s">
        <v>43</v>
      </c>
      <c r="D101" s="63" t="s">
        <v>64</v>
      </c>
      <c r="E101" s="111">
        <f t="shared" ref="E101:E102" si="67">E81*F$93+E$93*F81-F81*F$93</f>
        <v>2.4750000000000005</v>
      </c>
      <c r="F101" s="97">
        <f t="shared" si="62"/>
        <v>4.125</v>
      </c>
      <c r="G101" s="97">
        <f t="shared" si="62"/>
        <v>6.5449999999999999</v>
      </c>
      <c r="H101" s="142">
        <f t="shared" si="63"/>
        <v>7.5649999999999995</v>
      </c>
      <c r="I101" s="111">
        <f t="shared" si="64"/>
        <v>2.9750000000000005</v>
      </c>
      <c r="J101" s="97">
        <f t="shared" si="65"/>
        <v>4.125</v>
      </c>
      <c r="K101" s="97">
        <f t="shared" si="65"/>
        <v>6.5449999999999999</v>
      </c>
      <c r="L101" s="142">
        <f t="shared" si="66"/>
        <v>7.3100000000000005</v>
      </c>
    </row>
    <row r="102" spans="1:12" ht="15.75" thickBot="1" x14ac:dyDescent="0.3">
      <c r="A102" s="58" t="s">
        <v>57</v>
      </c>
      <c r="B102" s="61" t="s">
        <v>42</v>
      </c>
      <c r="D102" s="64" t="s">
        <v>63</v>
      </c>
      <c r="E102" s="112">
        <f t="shared" si="67"/>
        <v>4.2750000000000004</v>
      </c>
      <c r="F102" s="188">
        <f t="shared" si="62"/>
        <v>7.5</v>
      </c>
      <c r="G102" s="188">
        <f t="shared" si="62"/>
        <v>8.5</v>
      </c>
      <c r="H102" s="113">
        <f t="shared" si="63"/>
        <v>8.5</v>
      </c>
      <c r="I102" s="112">
        <f t="shared" si="64"/>
        <v>5</v>
      </c>
      <c r="J102" s="188">
        <f t="shared" si="65"/>
        <v>7.5</v>
      </c>
      <c r="K102" s="188">
        <f t="shared" si="65"/>
        <v>8.5</v>
      </c>
      <c r="L102" s="113">
        <f t="shared" si="66"/>
        <v>8.5</v>
      </c>
    </row>
    <row r="103" spans="1:12" x14ac:dyDescent="0.25">
      <c r="A103" s="56" t="s">
        <v>58</v>
      </c>
      <c r="B103" s="59" t="s">
        <v>45</v>
      </c>
      <c r="D103" s="62" t="s">
        <v>67</v>
      </c>
      <c r="E103" s="110">
        <f>E79*F$94+E$94*F79-F79*F$94</f>
        <v>0</v>
      </c>
      <c r="F103" s="234">
        <f>F79*F$94</f>
        <v>0</v>
      </c>
      <c r="G103" s="234">
        <f>G79*G$94</f>
        <v>0</v>
      </c>
      <c r="H103" s="140">
        <f>G79*H$94+G$94*H79-G79*G$94</f>
        <v>1.32</v>
      </c>
      <c r="I103" s="110">
        <f>I79*J$94+I$94*J79-J79*J$94</f>
        <v>0</v>
      </c>
      <c r="J103" s="234">
        <f>J79*J$94</f>
        <v>0</v>
      </c>
      <c r="K103" s="234">
        <f>K79*K$94</f>
        <v>0</v>
      </c>
      <c r="L103" s="140">
        <f>K79*L$94+K$94*L79-K79*K$94</f>
        <v>0.89999999999999991</v>
      </c>
    </row>
    <row r="104" spans="1:12" x14ac:dyDescent="0.25">
      <c r="A104" s="57" t="s">
        <v>58</v>
      </c>
      <c r="B104" s="60" t="s">
        <v>44</v>
      </c>
      <c r="D104" s="63" t="s">
        <v>72</v>
      </c>
      <c r="E104" s="111">
        <f>IF(E80*F$94+E$94*F80-F80*F$94&lt;0,0,E80*F$94+E$94*F80-F80*F$94)</f>
        <v>0</v>
      </c>
      <c r="F104" s="97">
        <f t="shared" ref="F104:G106" si="68">F80*F$94</f>
        <v>1.1000000000000001</v>
      </c>
      <c r="G104" s="97">
        <f t="shared" si="68"/>
        <v>2.64</v>
      </c>
      <c r="H104" s="142">
        <f t="shared" ref="H104:H106" si="69">G80*H$94+G$94*H80-G80*G$94</f>
        <v>3.9599999999999995</v>
      </c>
      <c r="I104" s="111">
        <f t="shared" ref="I104:I106" si="70">I80*J$94+I$94*J80-J80*J$94</f>
        <v>8.0000000000000071E-2</v>
      </c>
      <c r="J104" s="97">
        <f t="shared" ref="J104:K106" si="71">J80*J$94</f>
        <v>1.1000000000000001</v>
      </c>
      <c r="K104" s="97">
        <f t="shared" si="71"/>
        <v>2.64</v>
      </c>
      <c r="L104" s="142">
        <f t="shared" ref="L104:L106" si="72">K80*L$94+K$94*L80-K80*K$94</f>
        <v>3.56</v>
      </c>
    </row>
    <row r="105" spans="1:12" x14ac:dyDescent="0.25">
      <c r="A105" s="57" t="s">
        <v>58</v>
      </c>
      <c r="B105" s="60" t="s">
        <v>43</v>
      </c>
      <c r="D105" s="63" t="s">
        <v>73</v>
      </c>
      <c r="E105" s="111">
        <f t="shared" ref="E105:E106" si="73">E81*F$94+E$94*F81-F81*F$94</f>
        <v>1.375</v>
      </c>
      <c r="F105" s="97">
        <f t="shared" si="68"/>
        <v>2.75</v>
      </c>
      <c r="G105" s="97">
        <f t="shared" si="68"/>
        <v>4.62</v>
      </c>
      <c r="H105" s="142">
        <f t="shared" si="69"/>
        <v>6.4950000000000001</v>
      </c>
      <c r="I105" s="111">
        <f t="shared" si="70"/>
        <v>1.8000000000000007</v>
      </c>
      <c r="J105" s="97">
        <f t="shared" si="71"/>
        <v>2.75</v>
      </c>
      <c r="K105" s="97">
        <f t="shared" si="71"/>
        <v>4.62</v>
      </c>
      <c r="L105" s="142">
        <f t="shared" si="72"/>
        <v>5.9300000000000006</v>
      </c>
    </row>
    <row r="106" spans="1:12" ht="15.75" thickBot="1" x14ac:dyDescent="0.3">
      <c r="A106" s="58" t="s">
        <v>58</v>
      </c>
      <c r="B106" s="61" t="s">
        <v>42</v>
      </c>
      <c r="D106" s="64" t="s">
        <v>74</v>
      </c>
      <c r="E106" s="112">
        <f t="shared" si="73"/>
        <v>2.3499999999999996</v>
      </c>
      <c r="F106" s="188">
        <f t="shared" si="68"/>
        <v>5</v>
      </c>
      <c r="G106" s="188">
        <f t="shared" si="68"/>
        <v>6</v>
      </c>
      <c r="H106" s="113">
        <f t="shared" si="69"/>
        <v>7.5</v>
      </c>
      <c r="I106" s="112">
        <f t="shared" si="70"/>
        <v>3</v>
      </c>
      <c r="J106" s="188">
        <f t="shared" si="71"/>
        <v>5</v>
      </c>
      <c r="K106" s="188">
        <f t="shared" si="71"/>
        <v>6</v>
      </c>
      <c r="L106" s="113">
        <f t="shared" si="72"/>
        <v>7</v>
      </c>
    </row>
    <row r="107" spans="1:12" x14ac:dyDescent="0.25">
      <c r="A107" s="56" t="s">
        <v>59</v>
      </c>
      <c r="B107" s="59" t="s">
        <v>45</v>
      </c>
      <c r="D107" s="62" t="s">
        <v>69</v>
      </c>
      <c r="E107" s="110">
        <f>E79*F$95+E$95*F79-F79*F$95</f>
        <v>0</v>
      </c>
      <c r="F107" s="234">
        <f>F79*F$95</f>
        <v>0</v>
      </c>
      <c r="G107" s="234">
        <f>G79*G$95</f>
        <v>0</v>
      </c>
      <c r="H107" s="140">
        <f>G79*H$95+G$95*H79-G79*G$95</f>
        <v>1.87</v>
      </c>
      <c r="I107" s="110">
        <f>I79*J$95+I$95*J79-J79*J$95</f>
        <v>0</v>
      </c>
      <c r="J107" s="234">
        <f>J79*J$95</f>
        <v>0</v>
      </c>
      <c r="K107" s="234">
        <f>K79*K$95</f>
        <v>0</v>
      </c>
      <c r="L107" s="140">
        <f>K79*L$95+K$95*L79-K79*K$95</f>
        <v>1.2749999999999999</v>
      </c>
    </row>
    <row r="108" spans="1:12" x14ac:dyDescent="0.25">
      <c r="A108" s="57" t="s">
        <v>59</v>
      </c>
      <c r="B108" s="60" t="s">
        <v>44</v>
      </c>
      <c r="D108" s="63" t="s">
        <v>68</v>
      </c>
      <c r="E108" s="111">
        <f>IF(E80*F$95+E$95*F80-F80*F$95&lt;0,0,E80*F$95+E$95*F80-F80*F$95)</f>
        <v>0</v>
      </c>
      <c r="F108" s="97">
        <f t="shared" ref="F108:G110" si="74">F80*F$95</f>
        <v>1.6500000000000001</v>
      </c>
      <c r="G108" s="97">
        <f t="shared" si="74"/>
        <v>3.74</v>
      </c>
      <c r="H108" s="142">
        <f t="shared" ref="H108:H110" si="75">G80*H$95+G$95*H80-G80*G$95</f>
        <v>4.6750000000000007</v>
      </c>
      <c r="I108" s="111">
        <f t="shared" ref="I108:I110" si="76">I80*J$95+I$95*J80-J80*J$95</f>
        <v>0.22999999999999998</v>
      </c>
      <c r="J108" s="97">
        <f t="shared" ref="J108:K110" si="77">J80*J$95</f>
        <v>1.6500000000000001</v>
      </c>
      <c r="K108" s="97">
        <f t="shared" si="77"/>
        <v>3.74</v>
      </c>
      <c r="L108" s="142">
        <f t="shared" ref="L108:L110" si="78">K80*L$95+K$95*L80-K80*K$95</f>
        <v>4.42</v>
      </c>
    </row>
    <row r="109" spans="1:12" x14ac:dyDescent="0.25">
      <c r="A109" s="57" t="s">
        <v>59</v>
      </c>
      <c r="B109" s="60" t="s">
        <v>43</v>
      </c>
      <c r="D109" s="63" t="s">
        <v>70</v>
      </c>
      <c r="E109" s="111">
        <f t="shared" ref="E109:E110" si="79">E81*F$95+E$95*F81-F81*F$95</f>
        <v>2.4750000000000005</v>
      </c>
      <c r="F109" s="97">
        <f t="shared" si="74"/>
        <v>4.125</v>
      </c>
      <c r="G109" s="97">
        <f t="shared" si="74"/>
        <v>6.5449999999999999</v>
      </c>
      <c r="H109" s="142">
        <f t="shared" si="75"/>
        <v>7.5649999999999995</v>
      </c>
      <c r="I109" s="111">
        <f t="shared" si="76"/>
        <v>2.9750000000000005</v>
      </c>
      <c r="J109" s="97">
        <f t="shared" si="77"/>
        <v>4.125</v>
      </c>
      <c r="K109" s="97">
        <f t="shared" si="77"/>
        <v>6.5449999999999999</v>
      </c>
      <c r="L109" s="142">
        <f t="shared" si="78"/>
        <v>7.3100000000000005</v>
      </c>
    </row>
    <row r="110" spans="1:12" ht="15.75" thickBot="1" x14ac:dyDescent="0.3">
      <c r="A110" s="58" t="s">
        <v>59</v>
      </c>
      <c r="B110" s="61" t="s">
        <v>42</v>
      </c>
      <c r="D110" s="64" t="s">
        <v>71</v>
      </c>
      <c r="E110" s="112">
        <f t="shared" si="79"/>
        <v>4.2750000000000004</v>
      </c>
      <c r="F110" s="188">
        <f t="shared" si="74"/>
        <v>7.5</v>
      </c>
      <c r="G110" s="188">
        <f t="shared" si="74"/>
        <v>8.5</v>
      </c>
      <c r="H110" s="113">
        <f t="shared" si="75"/>
        <v>8.5</v>
      </c>
      <c r="I110" s="112">
        <f t="shared" si="76"/>
        <v>5</v>
      </c>
      <c r="J110" s="188">
        <f t="shared" si="77"/>
        <v>7.5</v>
      </c>
      <c r="K110" s="188">
        <f t="shared" si="77"/>
        <v>8.5</v>
      </c>
      <c r="L110" s="113">
        <f t="shared" si="78"/>
        <v>8.5</v>
      </c>
    </row>
    <row r="113" spans="1:74" ht="18.75" x14ac:dyDescent="0.3">
      <c r="A113" s="68" t="s">
        <v>86</v>
      </c>
      <c r="B113" s="35"/>
      <c r="C113" s="35"/>
    </row>
    <row r="114" spans="1:74" x14ac:dyDescent="0.25">
      <c r="A114" s="1" t="s">
        <v>47</v>
      </c>
      <c r="B114" s="35"/>
      <c r="C114" s="35"/>
    </row>
    <row r="115" spans="1:74" ht="15.75" thickBot="1" x14ac:dyDescent="0.3">
      <c r="A115" s="36" t="s">
        <v>93</v>
      </c>
      <c r="B115" s="35"/>
      <c r="C115" s="35"/>
      <c r="BO115">
        <v>0.6</v>
      </c>
      <c r="BS115">
        <v>0.8</v>
      </c>
    </row>
    <row r="116" spans="1:74" ht="86.25" customHeight="1" thickBot="1" x14ac:dyDescent="0.3">
      <c r="A116" s="464" t="s">
        <v>25</v>
      </c>
      <c r="B116" s="455" t="s">
        <v>234</v>
      </c>
      <c r="C116" s="444" t="s">
        <v>26</v>
      </c>
      <c r="D116" s="464" t="s">
        <v>55</v>
      </c>
      <c r="E116" s="455"/>
      <c r="F116" s="488"/>
      <c r="G116" s="464" t="s">
        <v>56</v>
      </c>
      <c r="H116" s="455"/>
      <c r="I116" s="455"/>
      <c r="J116" s="444" t="s">
        <v>81</v>
      </c>
      <c r="K116" s="435" t="s">
        <v>78</v>
      </c>
      <c r="L116" s="436"/>
      <c r="M116" s="436"/>
      <c r="N116" s="436"/>
      <c r="O116" s="436"/>
      <c r="P116" s="436"/>
      <c r="Q116" s="436"/>
      <c r="R116" s="437"/>
      <c r="S116" s="435" t="s">
        <v>76</v>
      </c>
      <c r="T116" s="436"/>
      <c r="U116" s="436"/>
      <c r="V116" s="436"/>
      <c r="W116" s="436"/>
      <c r="X116" s="436"/>
      <c r="Y116" s="436"/>
      <c r="Z116" s="437"/>
      <c r="AA116" s="435" t="s">
        <v>77</v>
      </c>
      <c r="AB116" s="436"/>
      <c r="AC116" s="436"/>
      <c r="AD116" s="436"/>
      <c r="AE116" s="436"/>
      <c r="AF116" s="436"/>
      <c r="AG116" s="436"/>
      <c r="AH116" s="437"/>
      <c r="AI116" s="435" t="s">
        <v>75</v>
      </c>
      <c r="AJ116" s="436"/>
      <c r="AK116" s="436"/>
      <c r="AL116" s="436"/>
      <c r="AM116" s="436"/>
      <c r="AN116" s="436"/>
      <c r="AO116" s="436"/>
      <c r="AP116" s="437"/>
      <c r="AQ116" s="435" t="s">
        <v>82</v>
      </c>
      <c r="AR116" s="436"/>
      <c r="AS116" s="436"/>
      <c r="AT116" s="436"/>
      <c r="AU116" s="436"/>
      <c r="AV116" s="436"/>
      <c r="AW116" s="436"/>
      <c r="AX116" s="437"/>
      <c r="AY116" s="435" t="s">
        <v>83</v>
      </c>
      <c r="AZ116" s="436"/>
      <c r="BA116" s="436"/>
      <c r="BB116" s="436"/>
      <c r="BC116" s="436"/>
      <c r="BD116" s="436"/>
      <c r="BE116" s="436"/>
      <c r="BF116" s="437"/>
      <c r="BG116" s="438" t="s">
        <v>119</v>
      </c>
      <c r="BH116" s="439"/>
      <c r="BI116" s="439"/>
      <c r="BJ116" s="439"/>
      <c r="BK116" s="439"/>
      <c r="BL116" s="439"/>
      <c r="BM116" s="439"/>
      <c r="BN116" s="440"/>
      <c r="BO116" s="427" t="s">
        <v>264</v>
      </c>
      <c r="BP116" s="428"/>
      <c r="BQ116" s="428"/>
      <c r="BR116" s="429"/>
      <c r="BS116" s="433" t="s">
        <v>79</v>
      </c>
      <c r="BT116" s="434"/>
      <c r="BU116" s="425" t="s">
        <v>80</v>
      </c>
      <c r="BV116" s="425" t="s">
        <v>265</v>
      </c>
    </row>
    <row r="117" spans="1:74" s="33" customFormat="1" ht="23.25" customHeight="1" thickBot="1" x14ac:dyDescent="0.3">
      <c r="A117" s="465"/>
      <c r="B117" s="466"/>
      <c r="C117" s="445"/>
      <c r="D117" s="240" t="s">
        <v>48</v>
      </c>
      <c r="E117" s="218" t="s">
        <v>49</v>
      </c>
      <c r="F117" s="247" t="s">
        <v>50</v>
      </c>
      <c r="G117" s="240" t="s">
        <v>48</v>
      </c>
      <c r="H117" s="218" t="s">
        <v>49</v>
      </c>
      <c r="I117" s="218" t="s">
        <v>50</v>
      </c>
      <c r="J117" s="445"/>
      <c r="K117" s="435" t="s">
        <v>3</v>
      </c>
      <c r="L117" s="436"/>
      <c r="M117" s="436"/>
      <c r="N117" s="437"/>
      <c r="O117" s="435" t="s">
        <v>4</v>
      </c>
      <c r="P117" s="436"/>
      <c r="Q117" s="436"/>
      <c r="R117" s="437"/>
      <c r="S117" s="435" t="s">
        <v>3</v>
      </c>
      <c r="T117" s="436"/>
      <c r="U117" s="436"/>
      <c r="V117" s="437"/>
      <c r="W117" s="435" t="s">
        <v>4</v>
      </c>
      <c r="X117" s="436"/>
      <c r="Y117" s="436"/>
      <c r="Z117" s="437"/>
      <c r="AA117" s="435" t="s">
        <v>3</v>
      </c>
      <c r="AB117" s="436"/>
      <c r="AC117" s="436"/>
      <c r="AD117" s="437"/>
      <c r="AE117" s="435" t="s">
        <v>4</v>
      </c>
      <c r="AF117" s="436"/>
      <c r="AG117" s="436"/>
      <c r="AH117" s="437"/>
      <c r="AI117" s="435" t="s">
        <v>3</v>
      </c>
      <c r="AJ117" s="436"/>
      <c r="AK117" s="436"/>
      <c r="AL117" s="437"/>
      <c r="AM117" s="435" t="s">
        <v>4</v>
      </c>
      <c r="AN117" s="436"/>
      <c r="AO117" s="436"/>
      <c r="AP117" s="437"/>
      <c r="AQ117" s="435" t="s">
        <v>3</v>
      </c>
      <c r="AR117" s="436"/>
      <c r="AS117" s="436"/>
      <c r="AT117" s="437"/>
      <c r="AU117" s="435" t="s">
        <v>4</v>
      </c>
      <c r="AV117" s="436"/>
      <c r="AW117" s="436"/>
      <c r="AX117" s="437"/>
      <c r="AY117" s="435" t="s">
        <v>3</v>
      </c>
      <c r="AZ117" s="436"/>
      <c r="BA117" s="436"/>
      <c r="BB117" s="437"/>
      <c r="BC117" s="435" t="s">
        <v>4</v>
      </c>
      <c r="BD117" s="436"/>
      <c r="BE117" s="436"/>
      <c r="BF117" s="437"/>
      <c r="BG117" s="435" t="s">
        <v>3</v>
      </c>
      <c r="BH117" s="436"/>
      <c r="BI117" s="436"/>
      <c r="BJ117" s="437"/>
      <c r="BK117" s="435" t="s">
        <v>4</v>
      </c>
      <c r="BL117" s="436"/>
      <c r="BM117" s="436"/>
      <c r="BN117" s="437"/>
      <c r="BO117" s="430"/>
      <c r="BP117" s="431"/>
      <c r="BQ117" s="431"/>
      <c r="BR117" s="432"/>
      <c r="BS117" s="430"/>
      <c r="BT117" s="432"/>
      <c r="BU117" s="426"/>
      <c r="BV117" s="426"/>
    </row>
    <row r="118" spans="1:74" ht="30" x14ac:dyDescent="0.25">
      <c r="A118" s="235" t="s">
        <v>0</v>
      </c>
      <c r="B118" s="236" t="s">
        <v>24</v>
      </c>
      <c r="C118" s="237" t="s">
        <v>12</v>
      </c>
      <c r="D118" s="238" t="s">
        <v>42</v>
      </c>
      <c r="E118" s="239" t="s">
        <v>42</v>
      </c>
      <c r="F118" s="250" t="s">
        <v>42</v>
      </c>
      <c r="G118" s="295">
        <f>IF(D118=$A$131,$B$131,(IF(D118=$A$132,$B$132,IF(D118=$A$133,$B$133,$B$134))))</f>
        <v>1</v>
      </c>
      <c r="H118" s="289">
        <f t="shared" ref="H118:I127" si="80">IF(E118=$A$131,$B$131,(IF(E118=$A$132,$B$132,IF(E118=$A$133,$B$133,$B$134))))</f>
        <v>1</v>
      </c>
      <c r="I118" s="289">
        <f t="shared" si="80"/>
        <v>1</v>
      </c>
      <c r="J118" s="405">
        <f>G118*$D$145+H118*$D$146+I118*$D$147</f>
        <v>21.5</v>
      </c>
      <c r="K118" s="110">
        <v>0.77</v>
      </c>
      <c r="L118" s="234">
        <v>1</v>
      </c>
      <c r="M118" s="234">
        <v>1</v>
      </c>
      <c r="N118" s="234">
        <v>1</v>
      </c>
      <c r="O118" s="110">
        <v>0.8</v>
      </c>
      <c r="P118" s="234">
        <v>1</v>
      </c>
      <c r="Q118" s="234">
        <v>1</v>
      </c>
      <c r="R118" s="140">
        <v>1</v>
      </c>
      <c r="S118" s="110">
        <v>0.77</v>
      </c>
      <c r="T118" s="234">
        <v>1</v>
      </c>
      <c r="U118" s="234">
        <v>1</v>
      </c>
      <c r="V118" s="234">
        <v>1</v>
      </c>
      <c r="W118" s="110">
        <v>0.8</v>
      </c>
      <c r="X118" s="234">
        <v>1</v>
      </c>
      <c r="Y118" s="234">
        <v>1</v>
      </c>
      <c r="Z118" s="140">
        <v>1</v>
      </c>
      <c r="AA118" s="110">
        <v>0.77</v>
      </c>
      <c r="AB118" s="234">
        <v>1</v>
      </c>
      <c r="AC118" s="234">
        <v>1</v>
      </c>
      <c r="AD118" s="140">
        <v>1</v>
      </c>
      <c r="AE118" s="110">
        <v>0.8</v>
      </c>
      <c r="AF118" s="234">
        <v>1</v>
      </c>
      <c r="AG118" s="234">
        <v>1</v>
      </c>
      <c r="AH118" s="140">
        <v>1</v>
      </c>
      <c r="AI118" s="110">
        <v>2.3499999999999996</v>
      </c>
      <c r="AJ118" s="234">
        <v>5</v>
      </c>
      <c r="AK118" s="234">
        <v>6</v>
      </c>
      <c r="AL118" s="234">
        <v>7.5</v>
      </c>
      <c r="AM118" s="110">
        <v>3</v>
      </c>
      <c r="AN118" s="234">
        <v>5</v>
      </c>
      <c r="AO118" s="234">
        <v>6</v>
      </c>
      <c r="AP118" s="140">
        <v>7</v>
      </c>
      <c r="AQ118" s="110">
        <v>4.2750000000000004</v>
      </c>
      <c r="AR118" s="234">
        <v>7.5</v>
      </c>
      <c r="AS118" s="234">
        <v>8.5</v>
      </c>
      <c r="AT118" s="234">
        <v>8.5</v>
      </c>
      <c r="AU118" s="110">
        <v>5</v>
      </c>
      <c r="AV118" s="234">
        <v>7.5</v>
      </c>
      <c r="AW118" s="234">
        <v>8.5</v>
      </c>
      <c r="AX118" s="140">
        <v>8.5</v>
      </c>
      <c r="AY118" s="110">
        <v>4.2750000000000004</v>
      </c>
      <c r="AZ118" s="234">
        <v>7.5</v>
      </c>
      <c r="BA118" s="234">
        <v>8.5</v>
      </c>
      <c r="BB118" s="234">
        <v>8.5</v>
      </c>
      <c r="BC118" s="110">
        <v>5</v>
      </c>
      <c r="BD118" s="234">
        <v>7.5</v>
      </c>
      <c r="BE118" s="234">
        <v>8.5</v>
      </c>
      <c r="BF118" s="140">
        <v>8.5</v>
      </c>
      <c r="BG118" s="110">
        <f>AI118+AQ118+AY118</f>
        <v>10.9</v>
      </c>
      <c r="BH118" s="234">
        <f t="shared" ref="BH118:BN127" si="81">AJ118+AR118+AZ118</f>
        <v>20</v>
      </c>
      <c r="BI118" s="234">
        <f t="shared" si="81"/>
        <v>23</v>
      </c>
      <c r="BJ118" s="234">
        <f t="shared" si="81"/>
        <v>24.5</v>
      </c>
      <c r="BK118" s="110">
        <f t="shared" si="81"/>
        <v>13</v>
      </c>
      <c r="BL118" s="234">
        <f t="shared" si="81"/>
        <v>20</v>
      </c>
      <c r="BM118" s="234">
        <f t="shared" si="81"/>
        <v>23</v>
      </c>
      <c r="BN118" s="234">
        <f t="shared" si="81"/>
        <v>24</v>
      </c>
      <c r="BO118" s="110">
        <f>(1-$BO$115)*BG118+$BO$115*BK118</f>
        <v>12.16</v>
      </c>
      <c r="BP118" s="234">
        <f>(1-$BO$115)*BH118+$BO$115*BL118</f>
        <v>20</v>
      </c>
      <c r="BQ118" s="234">
        <f>(1-$BO$115)*BI118+$BO$115*BM118</f>
        <v>23</v>
      </c>
      <c r="BR118" s="234">
        <f>(1-$BO$115)*BJ118+$BO$115*BN118</f>
        <v>24.2</v>
      </c>
      <c r="BS118" s="110">
        <f>$BS$115*BP118+(1-$BS$115)*BO118</f>
        <v>18.431999999999999</v>
      </c>
      <c r="BT118" s="140">
        <f>$BS$115*BQ118+(1-$BS$115)*BR118</f>
        <v>23.240000000000002</v>
      </c>
      <c r="BU118" s="140">
        <f>(BS118+BT118)/2</f>
        <v>20.835999999999999</v>
      </c>
      <c r="BV118" s="140">
        <f>BU118</f>
        <v>20.835999999999999</v>
      </c>
    </row>
    <row r="119" spans="1:74" x14ac:dyDescent="0.25">
      <c r="A119" s="226" t="s">
        <v>1</v>
      </c>
      <c r="B119" s="222" t="s">
        <v>13</v>
      </c>
      <c r="C119" s="227" t="s">
        <v>27</v>
      </c>
      <c r="D119" s="72" t="s">
        <v>44</v>
      </c>
      <c r="E119" s="73" t="s">
        <v>43</v>
      </c>
      <c r="F119" s="251" t="s">
        <v>42</v>
      </c>
      <c r="G119" s="296">
        <f t="shared" ref="G119:G127" si="82">IF(D119=$A$131,$B$131,(IF(D119=$A$132,$B$132,IF(D119=$A$133,$B$133,$B$134))))</f>
        <v>0.33</v>
      </c>
      <c r="H119" s="290">
        <f t="shared" si="80"/>
        <v>0.66</v>
      </c>
      <c r="I119" s="290">
        <f t="shared" si="80"/>
        <v>1</v>
      </c>
      <c r="J119" s="406">
        <f t="shared" ref="J119:J127" si="83">G119*$D$145+H119*$D$146+I119*$D$147</f>
        <v>15.095000000000001</v>
      </c>
      <c r="K119" s="111">
        <v>0</v>
      </c>
      <c r="L119" s="97">
        <v>0.22000000000000003</v>
      </c>
      <c r="M119" s="97">
        <v>0.44</v>
      </c>
      <c r="N119" s="97">
        <v>0.55000000000000004</v>
      </c>
      <c r="O119" s="111">
        <v>0.06</v>
      </c>
      <c r="P119" s="97">
        <v>0.22000000000000003</v>
      </c>
      <c r="Q119" s="97">
        <v>0.44</v>
      </c>
      <c r="R119" s="142">
        <v>0.52</v>
      </c>
      <c r="S119" s="111">
        <v>0.44000000000000006</v>
      </c>
      <c r="T119" s="97">
        <v>0.55000000000000004</v>
      </c>
      <c r="U119" s="97">
        <v>0.77</v>
      </c>
      <c r="V119" s="97">
        <v>0.89</v>
      </c>
      <c r="W119" s="111">
        <v>0.47000000000000003</v>
      </c>
      <c r="X119" s="97">
        <v>0.55000000000000004</v>
      </c>
      <c r="Y119" s="97">
        <v>0.77</v>
      </c>
      <c r="Z119" s="142">
        <v>0.86</v>
      </c>
      <c r="AA119" s="111">
        <v>0.77</v>
      </c>
      <c r="AB119" s="97">
        <v>1</v>
      </c>
      <c r="AC119" s="97">
        <v>1</v>
      </c>
      <c r="AD119" s="142">
        <v>1</v>
      </c>
      <c r="AE119" s="111">
        <v>0.8</v>
      </c>
      <c r="AF119" s="97">
        <v>1</v>
      </c>
      <c r="AG119" s="97">
        <v>1</v>
      </c>
      <c r="AH119" s="142">
        <v>1</v>
      </c>
      <c r="AI119" s="111">
        <v>0</v>
      </c>
      <c r="AJ119" s="97">
        <v>1.1000000000000001</v>
      </c>
      <c r="AK119" s="97">
        <v>2.64</v>
      </c>
      <c r="AL119" s="97">
        <v>3.9599999999999995</v>
      </c>
      <c r="AM119" s="111">
        <v>8.0000000000000071E-2</v>
      </c>
      <c r="AN119" s="97">
        <v>1.1000000000000001</v>
      </c>
      <c r="AO119" s="97">
        <v>2.64</v>
      </c>
      <c r="AP119" s="142">
        <v>3.56</v>
      </c>
      <c r="AQ119" s="111">
        <v>2.4750000000000005</v>
      </c>
      <c r="AR119" s="97">
        <v>4.125</v>
      </c>
      <c r="AS119" s="97">
        <v>6.5449999999999999</v>
      </c>
      <c r="AT119" s="97">
        <v>7.5649999999999995</v>
      </c>
      <c r="AU119" s="111">
        <v>2.9750000000000005</v>
      </c>
      <c r="AV119" s="97">
        <v>4.125</v>
      </c>
      <c r="AW119" s="97">
        <v>6.5449999999999999</v>
      </c>
      <c r="AX119" s="142">
        <v>7.3100000000000005</v>
      </c>
      <c r="AY119" s="111">
        <v>4.2750000000000004</v>
      </c>
      <c r="AZ119" s="97">
        <v>7.5</v>
      </c>
      <c r="BA119" s="97">
        <v>8.5</v>
      </c>
      <c r="BB119" s="97">
        <v>8.5</v>
      </c>
      <c r="BC119" s="111">
        <v>5</v>
      </c>
      <c r="BD119" s="97">
        <v>7.5</v>
      </c>
      <c r="BE119" s="97">
        <v>8.5</v>
      </c>
      <c r="BF119" s="142">
        <v>8.5</v>
      </c>
      <c r="BG119" s="111">
        <f t="shared" ref="BG119:BG127" si="84">AI119+AQ119+AY119</f>
        <v>6.7500000000000009</v>
      </c>
      <c r="BH119" s="97">
        <f t="shared" si="81"/>
        <v>12.725</v>
      </c>
      <c r="BI119" s="97">
        <f t="shared" si="81"/>
        <v>17.685000000000002</v>
      </c>
      <c r="BJ119" s="97">
        <f t="shared" si="81"/>
        <v>20.024999999999999</v>
      </c>
      <c r="BK119" s="111">
        <f t="shared" si="81"/>
        <v>8.0549999999999997</v>
      </c>
      <c r="BL119" s="97">
        <f t="shared" si="81"/>
        <v>12.725</v>
      </c>
      <c r="BM119" s="97">
        <f t="shared" si="81"/>
        <v>17.685000000000002</v>
      </c>
      <c r="BN119" s="97">
        <f t="shared" si="81"/>
        <v>19.37</v>
      </c>
      <c r="BO119" s="111">
        <f t="shared" ref="BO119:BR127" si="85">(1-$BO$115)*BG119+$BO$115*BK119</f>
        <v>7.5329999999999995</v>
      </c>
      <c r="BP119" s="97">
        <f t="shared" si="85"/>
        <v>12.725</v>
      </c>
      <c r="BQ119" s="97">
        <f t="shared" si="85"/>
        <v>17.685000000000002</v>
      </c>
      <c r="BR119" s="97">
        <f t="shared" si="85"/>
        <v>19.631999999999998</v>
      </c>
      <c r="BS119" s="111">
        <f t="shared" ref="BS119:BS127" si="86">$BS$115*BP119+(1-$BS$115)*BO119</f>
        <v>11.686599999999999</v>
      </c>
      <c r="BT119" s="142">
        <f t="shared" ref="BT119:BT127" si="87">$BS$115*BQ119+(1-$BS$115)*BR119</f>
        <v>18.074400000000001</v>
      </c>
      <c r="BU119" s="142">
        <f t="shared" ref="BU119:BU127" si="88">(BS119+BT119)/2</f>
        <v>14.8805</v>
      </c>
      <c r="BV119" s="142">
        <f>BU119</f>
        <v>14.8805</v>
      </c>
    </row>
    <row r="120" spans="1:74" x14ac:dyDescent="0.25">
      <c r="A120" s="226" t="s">
        <v>2</v>
      </c>
      <c r="B120" s="222" t="s">
        <v>14</v>
      </c>
      <c r="C120" s="227" t="s">
        <v>28</v>
      </c>
      <c r="D120" s="72" t="s">
        <v>42</v>
      </c>
      <c r="E120" s="73" t="s">
        <v>45</v>
      </c>
      <c r="F120" s="251" t="s">
        <v>45</v>
      </c>
      <c r="G120" s="296">
        <f t="shared" si="82"/>
        <v>1</v>
      </c>
      <c r="H120" s="290">
        <f t="shared" si="80"/>
        <v>0</v>
      </c>
      <c r="I120" s="290">
        <f t="shared" si="80"/>
        <v>0</v>
      </c>
      <c r="J120" s="406">
        <f t="shared" si="83"/>
        <v>5.5</v>
      </c>
      <c r="K120" s="111">
        <v>0.77</v>
      </c>
      <c r="L120" s="97">
        <v>1</v>
      </c>
      <c r="M120" s="97">
        <v>1</v>
      </c>
      <c r="N120" s="97">
        <v>1</v>
      </c>
      <c r="O120" s="111">
        <v>0.8</v>
      </c>
      <c r="P120" s="97">
        <v>1</v>
      </c>
      <c r="Q120" s="97">
        <v>1</v>
      </c>
      <c r="R120" s="142">
        <v>1</v>
      </c>
      <c r="S120" s="111">
        <v>0</v>
      </c>
      <c r="T120" s="97">
        <v>0</v>
      </c>
      <c r="U120" s="97">
        <v>0</v>
      </c>
      <c r="V120" s="97">
        <v>0.22</v>
      </c>
      <c r="W120" s="111">
        <v>0</v>
      </c>
      <c r="X120" s="97">
        <v>0</v>
      </c>
      <c r="Y120" s="97">
        <v>0</v>
      </c>
      <c r="Z120" s="142">
        <v>0.15</v>
      </c>
      <c r="AA120" s="111">
        <v>0</v>
      </c>
      <c r="AB120" s="97">
        <v>0</v>
      </c>
      <c r="AC120" s="97">
        <v>0</v>
      </c>
      <c r="AD120" s="142">
        <v>0.22</v>
      </c>
      <c r="AE120" s="111">
        <v>0</v>
      </c>
      <c r="AF120" s="97">
        <v>0</v>
      </c>
      <c r="AG120" s="97">
        <v>0</v>
      </c>
      <c r="AH120" s="142">
        <v>0.15</v>
      </c>
      <c r="AI120" s="111">
        <v>2.3499999999999996</v>
      </c>
      <c r="AJ120" s="97">
        <v>5</v>
      </c>
      <c r="AK120" s="97">
        <v>6</v>
      </c>
      <c r="AL120" s="97">
        <v>7.5</v>
      </c>
      <c r="AM120" s="111">
        <v>3</v>
      </c>
      <c r="AN120" s="97">
        <v>5</v>
      </c>
      <c r="AO120" s="97">
        <v>6</v>
      </c>
      <c r="AP120" s="142">
        <v>7</v>
      </c>
      <c r="AQ120" s="111">
        <v>0</v>
      </c>
      <c r="AR120" s="97">
        <v>0</v>
      </c>
      <c r="AS120" s="97">
        <v>0</v>
      </c>
      <c r="AT120" s="97">
        <v>1.87</v>
      </c>
      <c r="AU120" s="111">
        <v>0</v>
      </c>
      <c r="AV120" s="97">
        <v>0</v>
      </c>
      <c r="AW120" s="97">
        <v>0</v>
      </c>
      <c r="AX120" s="142">
        <v>1.2749999999999999</v>
      </c>
      <c r="AY120" s="111">
        <v>0</v>
      </c>
      <c r="AZ120" s="97">
        <v>0</v>
      </c>
      <c r="BA120" s="97">
        <v>0</v>
      </c>
      <c r="BB120" s="97">
        <v>1.87</v>
      </c>
      <c r="BC120" s="111">
        <v>0</v>
      </c>
      <c r="BD120" s="97">
        <v>0</v>
      </c>
      <c r="BE120" s="97">
        <v>0</v>
      </c>
      <c r="BF120" s="142">
        <v>1.2749999999999999</v>
      </c>
      <c r="BG120" s="111">
        <f t="shared" si="84"/>
        <v>2.3499999999999996</v>
      </c>
      <c r="BH120" s="97">
        <f t="shared" si="81"/>
        <v>5</v>
      </c>
      <c r="BI120" s="97">
        <f t="shared" si="81"/>
        <v>6</v>
      </c>
      <c r="BJ120" s="97">
        <f t="shared" si="81"/>
        <v>11.240000000000002</v>
      </c>
      <c r="BK120" s="111">
        <f t="shared" si="81"/>
        <v>3</v>
      </c>
      <c r="BL120" s="97">
        <f t="shared" si="81"/>
        <v>5</v>
      </c>
      <c r="BM120" s="97">
        <f t="shared" si="81"/>
        <v>6</v>
      </c>
      <c r="BN120" s="97">
        <f t="shared" si="81"/>
        <v>9.5500000000000007</v>
      </c>
      <c r="BO120" s="111">
        <f t="shared" si="85"/>
        <v>2.7399999999999998</v>
      </c>
      <c r="BP120" s="97">
        <f t="shared" si="85"/>
        <v>5</v>
      </c>
      <c r="BQ120" s="97">
        <f t="shared" si="85"/>
        <v>6</v>
      </c>
      <c r="BR120" s="97">
        <f t="shared" si="85"/>
        <v>10.226000000000003</v>
      </c>
      <c r="BS120" s="111">
        <f t="shared" si="86"/>
        <v>4.548</v>
      </c>
      <c r="BT120" s="142">
        <f t="shared" si="87"/>
        <v>6.8452000000000002</v>
      </c>
      <c r="BU120" s="142">
        <f t="shared" si="88"/>
        <v>5.6966000000000001</v>
      </c>
      <c r="BV120" s="142">
        <f>BU120</f>
        <v>5.6966000000000001</v>
      </c>
    </row>
    <row r="121" spans="1:74" x14ac:dyDescent="0.25">
      <c r="A121" s="226" t="s">
        <v>5</v>
      </c>
      <c r="B121" s="222" t="s">
        <v>15</v>
      </c>
      <c r="C121" s="227" t="s">
        <v>16</v>
      </c>
      <c r="D121" s="72" t="s">
        <v>42</v>
      </c>
      <c r="E121" s="73" t="s">
        <v>43</v>
      </c>
      <c r="F121" s="251" t="s">
        <v>42</v>
      </c>
      <c r="G121" s="296">
        <f t="shared" si="82"/>
        <v>1</v>
      </c>
      <c r="H121" s="290">
        <f t="shared" si="80"/>
        <v>0.66</v>
      </c>
      <c r="I121" s="290">
        <f t="shared" si="80"/>
        <v>1</v>
      </c>
      <c r="J121" s="406">
        <f t="shared" si="83"/>
        <v>18.78</v>
      </c>
      <c r="K121" s="111">
        <v>0.77</v>
      </c>
      <c r="L121" s="97">
        <v>1</v>
      </c>
      <c r="M121" s="97">
        <v>1</v>
      </c>
      <c r="N121" s="97">
        <v>1</v>
      </c>
      <c r="O121" s="111">
        <v>0.8</v>
      </c>
      <c r="P121" s="97">
        <v>1</v>
      </c>
      <c r="Q121" s="97">
        <v>1</v>
      </c>
      <c r="R121" s="142">
        <v>1</v>
      </c>
      <c r="S121" s="111">
        <v>0.44000000000000006</v>
      </c>
      <c r="T121" s="97">
        <v>0.55000000000000004</v>
      </c>
      <c r="U121" s="97">
        <v>0.77</v>
      </c>
      <c r="V121" s="97">
        <v>0.89</v>
      </c>
      <c r="W121" s="111">
        <v>0.47000000000000003</v>
      </c>
      <c r="X121" s="97">
        <v>0.55000000000000004</v>
      </c>
      <c r="Y121" s="97">
        <v>0.77</v>
      </c>
      <c r="Z121" s="142">
        <v>0.86</v>
      </c>
      <c r="AA121" s="111">
        <v>0.77</v>
      </c>
      <c r="AB121" s="97">
        <v>1</v>
      </c>
      <c r="AC121" s="97">
        <v>1</v>
      </c>
      <c r="AD121" s="142">
        <v>1</v>
      </c>
      <c r="AE121" s="111">
        <v>0.8</v>
      </c>
      <c r="AF121" s="97">
        <v>1</v>
      </c>
      <c r="AG121" s="97">
        <v>1</v>
      </c>
      <c r="AH121" s="142">
        <v>1</v>
      </c>
      <c r="AI121" s="111">
        <v>2.3499999999999996</v>
      </c>
      <c r="AJ121" s="97">
        <v>5</v>
      </c>
      <c r="AK121" s="97">
        <v>6</v>
      </c>
      <c r="AL121" s="97">
        <v>7.5</v>
      </c>
      <c r="AM121" s="111">
        <v>3</v>
      </c>
      <c r="AN121" s="97">
        <v>5</v>
      </c>
      <c r="AO121" s="97">
        <v>6</v>
      </c>
      <c r="AP121" s="142">
        <v>7</v>
      </c>
      <c r="AQ121" s="111">
        <v>2.4750000000000005</v>
      </c>
      <c r="AR121" s="97">
        <v>4.125</v>
      </c>
      <c r="AS121" s="97">
        <v>6.5449999999999999</v>
      </c>
      <c r="AT121" s="97">
        <v>7.5649999999999995</v>
      </c>
      <c r="AU121" s="111">
        <v>2.9750000000000005</v>
      </c>
      <c r="AV121" s="97">
        <v>4.125</v>
      </c>
      <c r="AW121" s="97">
        <v>6.5449999999999999</v>
      </c>
      <c r="AX121" s="142">
        <v>7.3100000000000005</v>
      </c>
      <c r="AY121" s="111">
        <v>4.2750000000000004</v>
      </c>
      <c r="AZ121" s="97">
        <v>7.5</v>
      </c>
      <c r="BA121" s="97">
        <v>8.5</v>
      </c>
      <c r="BB121" s="97">
        <v>8.5</v>
      </c>
      <c r="BC121" s="111">
        <v>5</v>
      </c>
      <c r="BD121" s="97">
        <v>7.5</v>
      </c>
      <c r="BE121" s="97">
        <v>8.5</v>
      </c>
      <c r="BF121" s="142">
        <v>8.5</v>
      </c>
      <c r="BG121" s="111">
        <f t="shared" si="84"/>
        <v>9.1000000000000014</v>
      </c>
      <c r="BH121" s="97">
        <f t="shared" si="81"/>
        <v>16.625</v>
      </c>
      <c r="BI121" s="97">
        <f t="shared" si="81"/>
        <v>21.045000000000002</v>
      </c>
      <c r="BJ121" s="97">
        <f t="shared" si="81"/>
        <v>23.564999999999998</v>
      </c>
      <c r="BK121" s="111">
        <f t="shared" si="81"/>
        <v>10.975000000000001</v>
      </c>
      <c r="BL121" s="97">
        <f t="shared" si="81"/>
        <v>16.625</v>
      </c>
      <c r="BM121" s="97">
        <f t="shared" si="81"/>
        <v>21.045000000000002</v>
      </c>
      <c r="BN121" s="97">
        <f t="shared" si="81"/>
        <v>22.810000000000002</v>
      </c>
      <c r="BO121" s="111">
        <f t="shared" si="85"/>
        <v>10.225000000000001</v>
      </c>
      <c r="BP121" s="97">
        <f t="shared" si="85"/>
        <v>16.625</v>
      </c>
      <c r="BQ121" s="97">
        <f t="shared" si="85"/>
        <v>21.045000000000002</v>
      </c>
      <c r="BR121" s="97">
        <f t="shared" si="85"/>
        <v>23.112000000000002</v>
      </c>
      <c r="BS121" s="111">
        <f t="shared" si="86"/>
        <v>15.345000000000001</v>
      </c>
      <c r="BT121" s="142">
        <f t="shared" si="87"/>
        <v>21.458400000000001</v>
      </c>
      <c r="BU121" s="142">
        <f t="shared" si="88"/>
        <v>18.401700000000002</v>
      </c>
      <c r="BV121" s="142">
        <f>BU118</f>
        <v>20.835999999999999</v>
      </c>
    </row>
    <row r="122" spans="1:74" ht="30" x14ac:dyDescent="0.25">
      <c r="A122" s="226" t="s">
        <v>6</v>
      </c>
      <c r="B122" s="222" t="s">
        <v>17</v>
      </c>
      <c r="C122" s="227" t="s">
        <v>29</v>
      </c>
      <c r="D122" s="72" t="s">
        <v>42</v>
      </c>
      <c r="E122" s="73" t="s">
        <v>44</v>
      </c>
      <c r="F122" s="251" t="s">
        <v>43</v>
      </c>
      <c r="G122" s="296">
        <f t="shared" si="82"/>
        <v>1</v>
      </c>
      <c r="H122" s="290">
        <f t="shared" si="80"/>
        <v>0.33</v>
      </c>
      <c r="I122" s="290">
        <f t="shared" si="80"/>
        <v>0.66</v>
      </c>
      <c r="J122" s="406">
        <f t="shared" si="83"/>
        <v>13.420000000000002</v>
      </c>
      <c r="K122" s="111">
        <v>0.77</v>
      </c>
      <c r="L122" s="97">
        <v>1</v>
      </c>
      <c r="M122" s="97">
        <v>1</v>
      </c>
      <c r="N122" s="97">
        <v>1</v>
      </c>
      <c r="O122" s="111">
        <v>0.8</v>
      </c>
      <c r="P122" s="97">
        <v>1</v>
      </c>
      <c r="Q122" s="97">
        <v>1</v>
      </c>
      <c r="R122" s="142">
        <v>1</v>
      </c>
      <c r="S122" s="111">
        <v>0</v>
      </c>
      <c r="T122" s="97">
        <v>0.22000000000000003</v>
      </c>
      <c r="U122" s="97">
        <v>0.44</v>
      </c>
      <c r="V122" s="97">
        <v>0.55000000000000004</v>
      </c>
      <c r="W122" s="111">
        <v>0.06</v>
      </c>
      <c r="X122" s="97">
        <v>0.22000000000000003</v>
      </c>
      <c r="Y122" s="97">
        <v>0.44</v>
      </c>
      <c r="Z122" s="142">
        <v>0.52</v>
      </c>
      <c r="AA122" s="111">
        <v>0.44000000000000006</v>
      </c>
      <c r="AB122" s="97">
        <v>0.55000000000000004</v>
      </c>
      <c r="AC122" s="97">
        <v>0.77</v>
      </c>
      <c r="AD122" s="142">
        <v>0.89</v>
      </c>
      <c r="AE122" s="111">
        <v>0.47000000000000003</v>
      </c>
      <c r="AF122" s="97">
        <v>0.55000000000000004</v>
      </c>
      <c r="AG122" s="97">
        <v>0.77</v>
      </c>
      <c r="AH122" s="142">
        <v>0.86</v>
      </c>
      <c r="AI122" s="111">
        <v>2.3499999999999996</v>
      </c>
      <c r="AJ122" s="97">
        <v>5</v>
      </c>
      <c r="AK122" s="97">
        <v>6</v>
      </c>
      <c r="AL122" s="97">
        <v>7.5</v>
      </c>
      <c r="AM122" s="111">
        <v>3</v>
      </c>
      <c r="AN122" s="97">
        <v>5</v>
      </c>
      <c r="AO122" s="97">
        <v>6</v>
      </c>
      <c r="AP122" s="142">
        <v>7</v>
      </c>
      <c r="AQ122" s="111">
        <v>0</v>
      </c>
      <c r="AR122" s="97">
        <v>1.6500000000000001</v>
      </c>
      <c r="AS122" s="97">
        <v>3.74</v>
      </c>
      <c r="AT122" s="97">
        <v>4.6750000000000007</v>
      </c>
      <c r="AU122" s="111">
        <v>0.22999999999999998</v>
      </c>
      <c r="AV122" s="97">
        <v>1.6500000000000001</v>
      </c>
      <c r="AW122" s="97">
        <v>3.74</v>
      </c>
      <c r="AX122" s="142">
        <v>4.42</v>
      </c>
      <c r="AY122" s="111">
        <v>2.4750000000000005</v>
      </c>
      <c r="AZ122" s="97">
        <v>4.125</v>
      </c>
      <c r="BA122" s="97">
        <v>6.5449999999999999</v>
      </c>
      <c r="BB122" s="97">
        <v>7.5649999999999995</v>
      </c>
      <c r="BC122" s="111">
        <v>2.9750000000000005</v>
      </c>
      <c r="BD122" s="97">
        <v>4.125</v>
      </c>
      <c r="BE122" s="97">
        <v>6.5449999999999999</v>
      </c>
      <c r="BF122" s="142">
        <v>7.3100000000000005</v>
      </c>
      <c r="BG122" s="111">
        <f t="shared" si="84"/>
        <v>4.8250000000000002</v>
      </c>
      <c r="BH122" s="97">
        <f t="shared" si="81"/>
        <v>10.775</v>
      </c>
      <c r="BI122" s="97">
        <f t="shared" si="81"/>
        <v>16.285</v>
      </c>
      <c r="BJ122" s="97">
        <f t="shared" si="81"/>
        <v>19.740000000000002</v>
      </c>
      <c r="BK122" s="111">
        <f t="shared" si="81"/>
        <v>6.2050000000000001</v>
      </c>
      <c r="BL122" s="97">
        <f t="shared" si="81"/>
        <v>10.775</v>
      </c>
      <c r="BM122" s="97">
        <f t="shared" si="81"/>
        <v>16.285</v>
      </c>
      <c r="BN122" s="97">
        <f t="shared" si="81"/>
        <v>18.73</v>
      </c>
      <c r="BO122" s="111">
        <f t="shared" si="85"/>
        <v>5.6530000000000005</v>
      </c>
      <c r="BP122" s="97">
        <f t="shared" si="85"/>
        <v>10.775</v>
      </c>
      <c r="BQ122" s="97">
        <f t="shared" si="85"/>
        <v>16.285</v>
      </c>
      <c r="BR122" s="97">
        <f t="shared" si="85"/>
        <v>19.134</v>
      </c>
      <c r="BS122" s="111">
        <f t="shared" si="86"/>
        <v>9.7506000000000004</v>
      </c>
      <c r="BT122" s="142">
        <f t="shared" si="87"/>
        <v>16.854800000000001</v>
      </c>
      <c r="BU122" s="142">
        <f t="shared" si="88"/>
        <v>13.302700000000002</v>
      </c>
      <c r="BV122" s="142">
        <f>BU122</f>
        <v>13.302700000000002</v>
      </c>
    </row>
    <row r="123" spans="1:74" x14ac:dyDescent="0.25">
      <c r="A123" s="226" t="s">
        <v>7</v>
      </c>
      <c r="B123" s="222" t="s">
        <v>18</v>
      </c>
      <c r="C123" s="227" t="s">
        <v>30</v>
      </c>
      <c r="D123" s="72" t="s">
        <v>43</v>
      </c>
      <c r="E123" s="73" t="s">
        <v>44</v>
      </c>
      <c r="F123" s="251" t="s">
        <v>44</v>
      </c>
      <c r="G123" s="296">
        <f t="shared" si="82"/>
        <v>0.66</v>
      </c>
      <c r="H123" s="290">
        <f t="shared" si="80"/>
        <v>0.33</v>
      </c>
      <c r="I123" s="290">
        <f t="shared" si="80"/>
        <v>0.33</v>
      </c>
      <c r="J123" s="406">
        <f t="shared" si="83"/>
        <v>8.91</v>
      </c>
      <c r="K123" s="111">
        <v>0.44000000000000006</v>
      </c>
      <c r="L123" s="97">
        <v>0.55000000000000004</v>
      </c>
      <c r="M123" s="97">
        <v>0.77</v>
      </c>
      <c r="N123" s="97">
        <v>0.89</v>
      </c>
      <c r="O123" s="111">
        <v>0.47000000000000003</v>
      </c>
      <c r="P123" s="97">
        <v>0.55000000000000004</v>
      </c>
      <c r="Q123" s="97">
        <v>0.77</v>
      </c>
      <c r="R123" s="142">
        <v>0.86</v>
      </c>
      <c r="S123" s="111">
        <v>0</v>
      </c>
      <c r="T123" s="97">
        <v>0.22000000000000003</v>
      </c>
      <c r="U123" s="97">
        <v>0.44</v>
      </c>
      <c r="V123" s="97">
        <v>0.55000000000000004</v>
      </c>
      <c r="W123" s="111">
        <v>0.06</v>
      </c>
      <c r="X123" s="97">
        <v>0.22000000000000003</v>
      </c>
      <c r="Y123" s="97">
        <v>0.44</v>
      </c>
      <c r="Z123" s="142">
        <v>0.52</v>
      </c>
      <c r="AA123" s="111">
        <v>0</v>
      </c>
      <c r="AB123" s="97">
        <v>0.22000000000000003</v>
      </c>
      <c r="AC123" s="97">
        <v>0.44</v>
      </c>
      <c r="AD123" s="142">
        <v>0.55000000000000004</v>
      </c>
      <c r="AE123" s="111">
        <v>0.06</v>
      </c>
      <c r="AF123" s="97">
        <v>0.22000000000000003</v>
      </c>
      <c r="AG123" s="97">
        <v>0.44</v>
      </c>
      <c r="AH123" s="142">
        <v>0.52</v>
      </c>
      <c r="AI123" s="111">
        <v>1.375</v>
      </c>
      <c r="AJ123" s="97">
        <v>2.75</v>
      </c>
      <c r="AK123" s="97">
        <v>4.62</v>
      </c>
      <c r="AL123" s="97">
        <v>6.4950000000000001</v>
      </c>
      <c r="AM123" s="111">
        <v>1.8000000000000007</v>
      </c>
      <c r="AN123" s="97">
        <v>2.75</v>
      </c>
      <c r="AO123" s="97">
        <v>4.62</v>
      </c>
      <c r="AP123" s="142">
        <v>5.9300000000000006</v>
      </c>
      <c r="AQ123" s="111">
        <v>0</v>
      </c>
      <c r="AR123" s="97">
        <v>1.6500000000000001</v>
      </c>
      <c r="AS123" s="97">
        <v>3.74</v>
      </c>
      <c r="AT123" s="97">
        <v>4.6750000000000007</v>
      </c>
      <c r="AU123" s="111">
        <v>0.22999999999999998</v>
      </c>
      <c r="AV123" s="97">
        <v>1.6500000000000001</v>
      </c>
      <c r="AW123" s="97">
        <v>3.74</v>
      </c>
      <c r="AX123" s="142">
        <v>4.42</v>
      </c>
      <c r="AY123" s="111">
        <v>0</v>
      </c>
      <c r="AZ123" s="97">
        <v>1.6500000000000001</v>
      </c>
      <c r="BA123" s="97">
        <v>3.74</v>
      </c>
      <c r="BB123" s="97">
        <v>4.6750000000000007</v>
      </c>
      <c r="BC123" s="111">
        <v>0.22999999999999998</v>
      </c>
      <c r="BD123" s="97">
        <v>1.6500000000000001</v>
      </c>
      <c r="BE123" s="97">
        <v>3.74</v>
      </c>
      <c r="BF123" s="142">
        <v>4.42</v>
      </c>
      <c r="BG123" s="111">
        <f t="shared" si="84"/>
        <v>1.375</v>
      </c>
      <c r="BH123" s="97">
        <f t="shared" si="81"/>
        <v>6.0500000000000007</v>
      </c>
      <c r="BI123" s="97">
        <f t="shared" si="81"/>
        <v>12.1</v>
      </c>
      <c r="BJ123" s="97">
        <f t="shared" si="81"/>
        <v>15.845000000000002</v>
      </c>
      <c r="BK123" s="111">
        <f t="shared" si="81"/>
        <v>2.2600000000000007</v>
      </c>
      <c r="BL123" s="97">
        <f t="shared" si="81"/>
        <v>6.0500000000000007</v>
      </c>
      <c r="BM123" s="97">
        <f t="shared" si="81"/>
        <v>12.1</v>
      </c>
      <c r="BN123" s="97">
        <f t="shared" si="81"/>
        <v>14.770000000000001</v>
      </c>
      <c r="BO123" s="111">
        <f t="shared" si="85"/>
        <v>1.9060000000000004</v>
      </c>
      <c r="BP123" s="97">
        <f t="shared" si="85"/>
        <v>6.0500000000000007</v>
      </c>
      <c r="BQ123" s="97">
        <f t="shared" si="85"/>
        <v>12.1</v>
      </c>
      <c r="BR123" s="97">
        <f t="shared" si="85"/>
        <v>15.200000000000001</v>
      </c>
      <c r="BS123" s="111">
        <f t="shared" si="86"/>
        <v>5.2212000000000005</v>
      </c>
      <c r="BT123" s="142">
        <f t="shared" si="87"/>
        <v>12.719999999999999</v>
      </c>
      <c r="BU123" s="142">
        <f t="shared" si="88"/>
        <v>8.9705999999999992</v>
      </c>
      <c r="BV123" s="142">
        <f>BU124</f>
        <v>10.832000000000001</v>
      </c>
    </row>
    <row r="124" spans="1:74" ht="30" x14ac:dyDescent="0.25">
      <c r="A124" s="226" t="s">
        <v>8</v>
      </c>
      <c r="B124" s="222" t="s">
        <v>19</v>
      </c>
      <c r="C124" s="227" t="s">
        <v>31</v>
      </c>
      <c r="D124" s="72" t="s">
        <v>42</v>
      </c>
      <c r="E124" s="73" t="s">
        <v>43</v>
      </c>
      <c r="F124" s="251" t="s">
        <v>45</v>
      </c>
      <c r="G124" s="296">
        <f t="shared" si="82"/>
        <v>1</v>
      </c>
      <c r="H124" s="290">
        <f t="shared" si="80"/>
        <v>0.66</v>
      </c>
      <c r="I124" s="290">
        <f t="shared" si="80"/>
        <v>0</v>
      </c>
      <c r="J124" s="406">
        <f t="shared" si="83"/>
        <v>10.780000000000001</v>
      </c>
      <c r="K124" s="111">
        <v>0.77</v>
      </c>
      <c r="L124" s="97">
        <v>1</v>
      </c>
      <c r="M124" s="97">
        <v>1</v>
      </c>
      <c r="N124" s="97">
        <v>1</v>
      </c>
      <c r="O124" s="111">
        <v>0.8</v>
      </c>
      <c r="P124" s="97">
        <v>1</v>
      </c>
      <c r="Q124" s="97">
        <v>1</v>
      </c>
      <c r="R124" s="142">
        <v>1</v>
      </c>
      <c r="S124" s="111">
        <v>0.44000000000000006</v>
      </c>
      <c r="T124" s="97">
        <v>0.55000000000000004</v>
      </c>
      <c r="U124" s="97">
        <v>0.77</v>
      </c>
      <c r="V124" s="97">
        <v>0.89</v>
      </c>
      <c r="W124" s="111">
        <v>0.47000000000000003</v>
      </c>
      <c r="X124" s="97">
        <v>0.55000000000000004</v>
      </c>
      <c r="Y124" s="97">
        <v>0.77</v>
      </c>
      <c r="Z124" s="142">
        <v>0.86</v>
      </c>
      <c r="AA124" s="111">
        <v>0</v>
      </c>
      <c r="AB124" s="97">
        <v>0</v>
      </c>
      <c r="AC124" s="97">
        <v>0</v>
      </c>
      <c r="AD124" s="142">
        <v>0.22</v>
      </c>
      <c r="AE124" s="111">
        <v>0</v>
      </c>
      <c r="AF124" s="97">
        <v>0</v>
      </c>
      <c r="AG124" s="97">
        <v>0</v>
      </c>
      <c r="AH124" s="142">
        <v>0.15</v>
      </c>
      <c r="AI124" s="111">
        <v>2.3499999999999996</v>
      </c>
      <c r="AJ124" s="97">
        <v>5</v>
      </c>
      <c r="AK124" s="97">
        <v>6</v>
      </c>
      <c r="AL124" s="97">
        <v>7.5</v>
      </c>
      <c r="AM124" s="111">
        <v>3</v>
      </c>
      <c r="AN124" s="97">
        <v>5</v>
      </c>
      <c r="AO124" s="97">
        <v>6</v>
      </c>
      <c r="AP124" s="142">
        <v>7</v>
      </c>
      <c r="AQ124" s="111">
        <v>2.4750000000000005</v>
      </c>
      <c r="AR124" s="97">
        <v>4.125</v>
      </c>
      <c r="AS124" s="97">
        <v>6.5449999999999999</v>
      </c>
      <c r="AT124" s="97">
        <v>7.5649999999999995</v>
      </c>
      <c r="AU124" s="111">
        <v>2.9750000000000005</v>
      </c>
      <c r="AV124" s="97">
        <v>4.125</v>
      </c>
      <c r="AW124" s="97">
        <v>6.5449999999999999</v>
      </c>
      <c r="AX124" s="142">
        <v>7.3100000000000005</v>
      </c>
      <c r="AY124" s="111">
        <v>0</v>
      </c>
      <c r="AZ124" s="97">
        <v>0</v>
      </c>
      <c r="BA124" s="97">
        <v>0</v>
      </c>
      <c r="BB124" s="97">
        <v>1.87</v>
      </c>
      <c r="BC124" s="111">
        <v>0</v>
      </c>
      <c r="BD124" s="97">
        <v>0</v>
      </c>
      <c r="BE124" s="97">
        <v>0</v>
      </c>
      <c r="BF124" s="142">
        <v>1.2749999999999999</v>
      </c>
      <c r="BG124" s="111">
        <f t="shared" si="84"/>
        <v>4.8250000000000002</v>
      </c>
      <c r="BH124" s="97">
        <f t="shared" si="81"/>
        <v>9.125</v>
      </c>
      <c r="BI124" s="97">
        <f t="shared" si="81"/>
        <v>12.545</v>
      </c>
      <c r="BJ124" s="97">
        <f t="shared" si="81"/>
        <v>16.934999999999999</v>
      </c>
      <c r="BK124" s="111">
        <f t="shared" si="81"/>
        <v>5.9750000000000005</v>
      </c>
      <c r="BL124" s="97">
        <f t="shared" si="81"/>
        <v>9.125</v>
      </c>
      <c r="BM124" s="97">
        <f t="shared" si="81"/>
        <v>12.545</v>
      </c>
      <c r="BN124" s="97">
        <f t="shared" si="81"/>
        <v>15.585000000000001</v>
      </c>
      <c r="BO124" s="111">
        <f t="shared" si="85"/>
        <v>5.5150000000000006</v>
      </c>
      <c r="BP124" s="97">
        <f t="shared" si="85"/>
        <v>9.125</v>
      </c>
      <c r="BQ124" s="97">
        <f t="shared" si="85"/>
        <v>12.545</v>
      </c>
      <c r="BR124" s="97">
        <f t="shared" si="85"/>
        <v>16.125</v>
      </c>
      <c r="BS124" s="111">
        <f t="shared" si="86"/>
        <v>8.4030000000000005</v>
      </c>
      <c r="BT124" s="142">
        <f t="shared" si="87"/>
        <v>13.261000000000001</v>
      </c>
      <c r="BU124" s="142">
        <f t="shared" si="88"/>
        <v>10.832000000000001</v>
      </c>
      <c r="BV124" s="142">
        <f>BU124</f>
        <v>10.832000000000001</v>
      </c>
    </row>
    <row r="125" spans="1:74" ht="30" x14ac:dyDescent="0.25">
      <c r="A125" s="226" t="s">
        <v>9</v>
      </c>
      <c r="B125" s="222" t="s">
        <v>20</v>
      </c>
      <c r="C125" s="227" t="s">
        <v>21</v>
      </c>
      <c r="D125" s="72" t="s">
        <v>42</v>
      </c>
      <c r="E125" s="73" t="s">
        <v>43</v>
      </c>
      <c r="F125" s="251" t="s">
        <v>43</v>
      </c>
      <c r="G125" s="296">
        <f t="shared" si="82"/>
        <v>1</v>
      </c>
      <c r="H125" s="290">
        <f t="shared" si="80"/>
        <v>0.66</v>
      </c>
      <c r="I125" s="290">
        <f t="shared" si="80"/>
        <v>0.66</v>
      </c>
      <c r="J125" s="406">
        <f t="shared" si="83"/>
        <v>16.060000000000002</v>
      </c>
      <c r="K125" s="111">
        <v>0.77</v>
      </c>
      <c r="L125" s="97">
        <v>1</v>
      </c>
      <c r="M125" s="97">
        <v>1</v>
      </c>
      <c r="N125" s="97">
        <v>1</v>
      </c>
      <c r="O125" s="111">
        <v>0.8</v>
      </c>
      <c r="P125" s="97">
        <v>1</v>
      </c>
      <c r="Q125" s="97">
        <v>1</v>
      </c>
      <c r="R125" s="142">
        <v>1</v>
      </c>
      <c r="S125" s="111">
        <v>0.44000000000000006</v>
      </c>
      <c r="T125" s="97">
        <v>0.55000000000000004</v>
      </c>
      <c r="U125" s="97">
        <v>0.77</v>
      </c>
      <c r="V125" s="97">
        <v>0.89</v>
      </c>
      <c r="W125" s="111">
        <v>0.47000000000000003</v>
      </c>
      <c r="X125" s="97">
        <v>0.55000000000000004</v>
      </c>
      <c r="Y125" s="97">
        <v>0.77</v>
      </c>
      <c r="Z125" s="142">
        <v>0.86</v>
      </c>
      <c r="AA125" s="111">
        <v>0.44000000000000006</v>
      </c>
      <c r="AB125" s="97">
        <v>0.55000000000000004</v>
      </c>
      <c r="AC125" s="97">
        <v>0.77</v>
      </c>
      <c r="AD125" s="142">
        <v>0.89</v>
      </c>
      <c r="AE125" s="111">
        <v>0.47000000000000003</v>
      </c>
      <c r="AF125" s="97">
        <v>0.55000000000000004</v>
      </c>
      <c r="AG125" s="97">
        <v>0.77</v>
      </c>
      <c r="AH125" s="142">
        <v>0.86</v>
      </c>
      <c r="AI125" s="111">
        <v>2.3499999999999996</v>
      </c>
      <c r="AJ125" s="97">
        <v>5</v>
      </c>
      <c r="AK125" s="97">
        <v>6</v>
      </c>
      <c r="AL125" s="97">
        <v>7.5</v>
      </c>
      <c r="AM125" s="111">
        <v>3</v>
      </c>
      <c r="AN125" s="97">
        <v>5</v>
      </c>
      <c r="AO125" s="97">
        <v>6</v>
      </c>
      <c r="AP125" s="142">
        <v>7</v>
      </c>
      <c r="AQ125" s="111">
        <v>2.4750000000000005</v>
      </c>
      <c r="AR125" s="97">
        <v>4.125</v>
      </c>
      <c r="AS125" s="97">
        <v>6.5449999999999999</v>
      </c>
      <c r="AT125" s="97">
        <v>7.5649999999999995</v>
      </c>
      <c r="AU125" s="111">
        <v>2.9750000000000005</v>
      </c>
      <c r="AV125" s="97">
        <v>4.125</v>
      </c>
      <c r="AW125" s="97">
        <v>6.5449999999999999</v>
      </c>
      <c r="AX125" s="142">
        <v>7.3100000000000005</v>
      </c>
      <c r="AY125" s="111">
        <v>2.4750000000000005</v>
      </c>
      <c r="AZ125" s="97">
        <v>4.125</v>
      </c>
      <c r="BA125" s="97">
        <v>6.5449999999999999</v>
      </c>
      <c r="BB125" s="97">
        <v>7.5649999999999995</v>
      </c>
      <c r="BC125" s="111">
        <v>2.9750000000000005</v>
      </c>
      <c r="BD125" s="97">
        <v>4.125</v>
      </c>
      <c r="BE125" s="97">
        <v>6.5449999999999999</v>
      </c>
      <c r="BF125" s="142">
        <v>7.3100000000000005</v>
      </c>
      <c r="BG125" s="111">
        <f t="shared" si="84"/>
        <v>7.3000000000000007</v>
      </c>
      <c r="BH125" s="97">
        <f t="shared" si="81"/>
        <v>13.25</v>
      </c>
      <c r="BI125" s="97">
        <f t="shared" si="81"/>
        <v>19.09</v>
      </c>
      <c r="BJ125" s="97">
        <f t="shared" si="81"/>
        <v>22.63</v>
      </c>
      <c r="BK125" s="111">
        <f t="shared" si="81"/>
        <v>8.9500000000000011</v>
      </c>
      <c r="BL125" s="97">
        <f t="shared" si="81"/>
        <v>13.25</v>
      </c>
      <c r="BM125" s="97">
        <f t="shared" si="81"/>
        <v>19.09</v>
      </c>
      <c r="BN125" s="97">
        <f t="shared" si="81"/>
        <v>21.62</v>
      </c>
      <c r="BO125" s="111">
        <f t="shared" si="85"/>
        <v>8.2900000000000009</v>
      </c>
      <c r="BP125" s="97">
        <f t="shared" si="85"/>
        <v>13.25</v>
      </c>
      <c r="BQ125" s="97">
        <f t="shared" si="85"/>
        <v>19.09</v>
      </c>
      <c r="BR125" s="97">
        <f t="shared" si="85"/>
        <v>22.024000000000001</v>
      </c>
      <c r="BS125" s="111">
        <f t="shared" si="86"/>
        <v>12.258000000000001</v>
      </c>
      <c r="BT125" s="142">
        <f t="shared" si="87"/>
        <v>19.6768</v>
      </c>
      <c r="BU125" s="142">
        <f t="shared" si="88"/>
        <v>15.967400000000001</v>
      </c>
      <c r="BV125" s="142">
        <f>BU125</f>
        <v>15.967400000000001</v>
      </c>
    </row>
    <row r="126" spans="1:74" ht="36.75" customHeight="1" x14ac:dyDescent="0.25">
      <c r="A126" s="226" t="s">
        <v>10</v>
      </c>
      <c r="B126" s="222" t="s">
        <v>22</v>
      </c>
      <c r="C126" s="227" t="s">
        <v>32</v>
      </c>
      <c r="D126" s="72" t="s">
        <v>44</v>
      </c>
      <c r="E126" s="73" t="s">
        <v>45</v>
      </c>
      <c r="F126" s="251" t="s">
        <v>45</v>
      </c>
      <c r="G126" s="296">
        <f t="shared" si="82"/>
        <v>0.33</v>
      </c>
      <c r="H126" s="290">
        <f t="shared" si="80"/>
        <v>0</v>
      </c>
      <c r="I126" s="290">
        <f t="shared" si="80"/>
        <v>0</v>
      </c>
      <c r="J126" s="406">
        <f t="shared" si="83"/>
        <v>1.8150000000000002</v>
      </c>
      <c r="K126" s="111">
        <v>0</v>
      </c>
      <c r="L126" s="97">
        <v>0.22000000000000003</v>
      </c>
      <c r="M126" s="97">
        <v>0.44</v>
      </c>
      <c r="N126" s="97">
        <v>0.55000000000000004</v>
      </c>
      <c r="O126" s="111">
        <v>0.06</v>
      </c>
      <c r="P126" s="97">
        <v>0.22000000000000003</v>
      </c>
      <c r="Q126" s="97">
        <v>0.44</v>
      </c>
      <c r="R126" s="142">
        <v>0.52</v>
      </c>
      <c r="S126" s="111">
        <v>0</v>
      </c>
      <c r="T126" s="97">
        <v>0</v>
      </c>
      <c r="U126" s="97">
        <v>0</v>
      </c>
      <c r="V126" s="97">
        <v>0.22</v>
      </c>
      <c r="W126" s="111">
        <v>0</v>
      </c>
      <c r="X126" s="97">
        <v>0</v>
      </c>
      <c r="Y126" s="97">
        <v>0</v>
      </c>
      <c r="Z126" s="142">
        <v>0.15</v>
      </c>
      <c r="AA126" s="111">
        <v>0</v>
      </c>
      <c r="AB126" s="97">
        <v>0</v>
      </c>
      <c r="AC126" s="97">
        <v>0</v>
      </c>
      <c r="AD126" s="142">
        <v>0.22</v>
      </c>
      <c r="AE126" s="111">
        <v>0</v>
      </c>
      <c r="AF126" s="97">
        <v>0</v>
      </c>
      <c r="AG126" s="97">
        <v>0</v>
      </c>
      <c r="AH126" s="142">
        <v>0.15</v>
      </c>
      <c r="AI126" s="111">
        <v>0</v>
      </c>
      <c r="AJ126" s="97">
        <v>1.1000000000000001</v>
      </c>
      <c r="AK126" s="97">
        <v>2.64</v>
      </c>
      <c r="AL126" s="97">
        <v>3.9599999999999995</v>
      </c>
      <c r="AM126" s="111">
        <v>8.0000000000000071E-2</v>
      </c>
      <c r="AN126" s="97">
        <v>1.1000000000000001</v>
      </c>
      <c r="AO126" s="97">
        <v>2.64</v>
      </c>
      <c r="AP126" s="142">
        <v>3.56</v>
      </c>
      <c r="AQ126" s="111">
        <v>0</v>
      </c>
      <c r="AR126" s="97">
        <v>0</v>
      </c>
      <c r="AS126" s="97">
        <v>0</v>
      </c>
      <c r="AT126" s="97">
        <v>1.87</v>
      </c>
      <c r="AU126" s="111">
        <v>0</v>
      </c>
      <c r="AV126" s="97">
        <v>0</v>
      </c>
      <c r="AW126" s="97">
        <v>0</v>
      </c>
      <c r="AX126" s="142">
        <v>1.2749999999999999</v>
      </c>
      <c r="AY126" s="111">
        <v>0</v>
      </c>
      <c r="AZ126" s="97">
        <v>0</v>
      </c>
      <c r="BA126" s="97">
        <v>0</v>
      </c>
      <c r="BB126" s="97">
        <v>1.87</v>
      </c>
      <c r="BC126" s="111">
        <v>0</v>
      </c>
      <c r="BD126" s="97">
        <v>0</v>
      </c>
      <c r="BE126" s="97">
        <v>0</v>
      </c>
      <c r="BF126" s="142">
        <v>1.2749999999999999</v>
      </c>
      <c r="BG126" s="111">
        <f t="shared" si="84"/>
        <v>0</v>
      </c>
      <c r="BH126" s="97">
        <f t="shared" si="81"/>
        <v>1.1000000000000001</v>
      </c>
      <c r="BI126" s="97">
        <f t="shared" si="81"/>
        <v>2.64</v>
      </c>
      <c r="BJ126" s="97">
        <f t="shared" si="81"/>
        <v>7.7</v>
      </c>
      <c r="BK126" s="111">
        <f t="shared" si="81"/>
        <v>8.0000000000000071E-2</v>
      </c>
      <c r="BL126" s="97">
        <f t="shared" si="81"/>
        <v>1.1000000000000001</v>
      </c>
      <c r="BM126" s="97">
        <f t="shared" si="81"/>
        <v>2.64</v>
      </c>
      <c r="BN126" s="97">
        <f t="shared" si="81"/>
        <v>6.1099999999999994</v>
      </c>
      <c r="BO126" s="111">
        <f t="shared" si="85"/>
        <v>4.8000000000000043E-2</v>
      </c>
      <c r="BP126" s="97">
        <f t="shared" si="85"/>
        <v>1.1000000000000001</v>
      </c>
      <c r="BQ126" s="97">
        <f t="shared" si="85"/>
        <v>2.64</v>
      </c>
      <c r="BR126" s="97">
        <f t="shared" si="85"/>
        <v>6.7459999999999996</v>
      </c>
      <c r="BS126" s="111">
        <f t="shared" si="86"/>
        <v>0.88960000000000017</v>
      </c>
      <c r="BT126" s="142">
        <f t="shared" si="87"/>
        <v>3.4611999999999998</v>
      </c>
      <c r="BU126" s="142">
        <f t="shared" si="88"/>
        <v>2.1753999999999998</v>
      </c>
      <c r="BV126" s="142">
        <f>BU125</f>
        <v>15.967400000000001</v>
      </c>
    </row>
    <row r="127" spans="1:74" ht="30.75" thickBot="1" x14ac:dyDescent="0.3">
      <c r="A127" s="228" t="s">
        <v>11</v>
      </c>
      <c r="B127" s="229" t="s">
        <v>23</v>
      </c>
      <c r="C127" s="230" t="s">
        <v>33</v>
      </c>
      <c r="D127" s="74" t="s">
        <v>43</v>
      </c>
      <c r="E127" s="75" t="s">
        <v>44</v>
      </c>
      <c r="F127" s="252" t="s">
        <v>42</v>
      </c>
      <c r="G127" s="297">
        <f t="shared" si="82"/>
        <v>0.66</v>
      </c>
      <c r="H127" s="291">
        <f t="shared" si="80"/>
        <v>0.33</v>
      </c>
      <c r="I127" s="291">
        <f t="shared" si="80"/>
        <v>1</v>
      </c>
      <c r="J127" s="407">
        <f t="shared" si="83"/>
        <v>14.27</v>
      </c>
      <c r="K127" s="112">
        <v>0.44000000000000006</v>
      </c>
      <c r="L127" s="188">
        <v>0.55000000000000004</v>
      </c>
      <c r="M127" s="188">
        <v>0.77</v>
      </c>
      <c r="N127" s="188">
        <v>0.89</v>
      </c>
      <c r="O127" s="112">
        <v>0.47000000000000003</v>
      </c>
      <c r="P127" s="188">
        <v>0.55000000000000004</v>
      </c>
      <c r="Q127" s="188">
        <v>0.77</v>
      </c>
      <c r="R127" s="113">
        <v>0.86</v>
      </c>
      <c r="S127" s="112">
        <v>0</v>
      </c>
      <c r="T127" s="188">
        <v>0.22000000000000003</v>
      </c>
      <c r="U127" s="188">
        <v>0.44</v>
      </c>
      <c r="V127" s="188">
        <v>0.55000000000000004</v>
      </c>
      <c r="W127" s="112">
        <v>0.06</v>
      </c>
      <c r="X127" s="188">
        <v>0.22000000000000003</v>
      </c>
      <c r="Y127" s="188">
        <v>0.44</v>
      </c>
      <c r="Z127" s="113">
        <v>0.52</v>
      </c>
      <c r="AA127" s="112">
        <v>0.77</v>
      </c>
      <c r="AB127" s="188">
        <v>1</v>
      </c>
      <c r="AC127" s="188">
        <v>1</v>
      </c>
      <c r="AD127" s="113">
        <v>1</v>
      </c>
      <c r="AE127" s="112">
        <v>0.8</v>
      </c>
      <c r="AF127" s="188">
        <v>1</v>
      </c>
      <c r="AG127" s="188">
        <v>1</v>
      </c>
      <c r="AH127" s="113">
        <v>1</v>
      </c>
      <c r="AI127" s="112">
        <v>1.375</v>
      </c>
      <c r="AJ127" s="188">
        <v>2.75</v>
      </c>
      <c r="AK127" s="188">
        <v>4.62</v>
      </c>
      <c r="AL127" s="188">
        <v>6.4950000000000001</v>
      </c>
      <c r="AM127" s="112">
        <v>1.8000000000000007</v>
      </c>
      <c r="AN127" s="188">
        <v>2.75</v>
      </c>
      <c r="AO127" s="188">
        <v>4.62</v>
      </c>
      <c r="AP127" s="113">
        <v>5.9300000000000006</v>
      </c>
      <c r="AQ127" s="112">
        <v>0</v>
      </c>
      <c r="AR127" s="188">
        <v>1.6500000000000001</v>
      </c>
      <c r="AS127" s="188">
        <v>3.74</v>
      </c>
      <c r="AT127" s="188">
        <v>4.6750000000000007</v>
      </c>
      <c r="AU127" s="112">
        <v>0.22999999999999998</v>
      </c>
      <c r="AV127" s="188">
        <v>1.6500000000000001</v>
      </c>
      <c r="AW127" s="188">
        <v>3.74</v>
      </c>
      <c r="AX127" s="113">
        <v>4.42</v>
      </c>
      <c r="AY127" s="112">
        <v>4.2750000000000004</v>
      </c>
      <c r="AZ127" s="188">
        <v>7.5</v>
      </c>
      <c r="BA127" s="188">
        <v>8.5</v>
      </c>
      <c r="BB127" s="188">
        <v>8.5</v>
      </c>
      <c r="BC127" s="112">
        <v>5</v>
      </c>
      <c r="BD127" s="188">
        <v>7.5</v>
      </c>
      <c r="BE127" s="188">
        <v>8.5</v>
      </c>
      <c r="BF127" s="113">
        <v>8.5</v>
      </c>
      <c r="BG127" s="112">
        <f t="shared" si="84"/>
        <v>5.65</v>
      </c>
      <c r="BH127" s="188">
        <f t="shared" si="81"/>
        <v>11.9</v>
      </c>
      <c r="BI127" s="188">
        <f t="shared" si="81"/>
        <v>16.86</v>
      </c>
      <c r="BJ127" s="188">
        <f t="shared" si="81"/>
        <v>19.670000000000002</v>
      </c>
      <c r="BK127" s="112">
        <f t="shared" si="81"/>
        <v>7.0300000000000011</v>
      </c>
      <c r="BL127" s="188">
        <f t="shared" si="81"/>
        <v>11.9</v>
      </c>
      <c r="BM127" s="188">
        <f t="shared" si="81"/>
        <v>16.86</v>
      </c>
      <c r="BN127" s="188">
        <f t="shared" si="81"/>
        <v>18.850000000000001</v>
      </c>
      <c r="BO127" s="112">
        <f t="shared" si="85"/>
        <v>6.4780000000000015</v>
      </c>
      <c r="BP127" s="188">
        <f t="shared" si="85"/>
        <v>11.9</v>
      </c>
      <c r="BQ127" s="188">
        <f t="shared" si="85"/>
        <v>16.86</v>
      </c>
      <c r="BR127" s="188">
        <f t="shared" si="85"/>
        <v>19.178000000000001</v>
      </c>
      <c r="BS127" s="112">
        <f t="shared" si="86"/>
        <v>10.815600000000002</v>
      </c>
      <c r="BT127" s="113">
        <f t="shared" si="87"/>
        <v>17.323599999999999</v>
      </c>
      <c r="BU127" s="113">
        <f t="shared" si="88"/>
        <v>14.069600000000001</v>
      </c>
      <c r="BV127" s="113">
        <f>BU125</f>
        <v>15.967400000000001</v>
      </c>
    </row>
    <row r="128" spans="1:74" x14ac:dyDescent="0.25">
      <c r="BF128" s="138"/>
      <c r="BG128" s="139"/>
      <c r="BH128" s="139"/>
      <c r="BI128" s="139"/>
      <c r="BJ128" s="139"/>
      <c r="BK128" s="139"/>
    </row>
    <row r="129" spans="1:12" x14ac:dyDescent="0.25">
      <c r="A129" s="1" t="s">
        <v>115</v>
      </c>
      <c r="B129" s="1"/>
    </row>
    <row r="130" spans="1:12" ht="15.75" thickBot="1" x14ac:dyDescent="0.3">
      <c r="A130" s="42" t="s">
        <v>41</v>
      </c>
      <c r="B130" s="43" t="s">
        <v>52</v>
      </c>
      <c r="E130" s="45" t="s">
        <v>3</v>
      </c>
      <c r="I130" t="s">
        <v>4</v>
      </c>
    </row>
    <row r="131" spans="1:12" x14ac:dyDescent="0.25">
      <c r="A131" s="41" t="s">
        <v>45</v>
      </c>
      <c r="B131" s="2">
        <v>0</v>
      </c>
      <c r="C131" s="15">
        <f>B131</f>
        <v>0</v>
      </c>
      <c r="D131" s="16" t="s">
        <v>45</v>
      </c>
      <c r="E131" s="17">
        <v>0</v>
      </c>
      <c r="F131" s="18">
        <f>C131</f>
        <v>0</v>
      </c>
      <c r="G131" s="19">
        <v>0</v>
      </c>
      <c r="H131" s="20">
        <v>0.22</v>
      </c>
      <c r="I131" s="21">
        <v>0</v>
      </c>
      <c r="J131" s="19">
        <f>F131</f>
        <v>0</v>
      </c>
      <c r="K131" s="19">
        <f>G131</f>
        <v>0</v>
      </c>
      <c r="L131" s="22">
        <v>0.15</v>
      </c>
    </row>
    <row r="132" spans="1:12" x14ac:dyDescent="0.25">
      <c r="A132" s="41" t="s">
        <v>44</v>
      </c>
      <c r="B132" s="2">
        <v>0.33</v>
      </c>
      <c r="C132" s="15">
        <f t="shared" ref="C132:C134" si="89">B132</f>
        <v>0.33</v>
      </c>
      <c r="D132" s="16" t="s">
        <v>44</v>
      </c>
      <c r="E132" s="23">
        <v>0</v>
      </c>
      <c r="F132" s="44">
        <f>C132-0.11</f>
        <v>0.22000000000000003</v>
      </c>
      <c r="G132">
        <f>C132+0.11</f>
        <v>0.44</v>
      </c>
      <c r="H132" s="24">
        <f t="shared" ref="H132" si="90">G132+0.11</f>
        <v>0.55000000000000004</v>
      </c>
      <c r="I132" s="25">
        <v>0.06</v>
      </c>
      <c r="J132">
        <f t="shared" ref="J132:K134" si="91">F132</f>
        <v>0.22000000000000003</v>
      </c>
      <c r="K132">
        <f t="shared" si="91"/>
        <v>0.44</v>
      </c>
      <c r="L132" s="26">
        <f t="shared" ref="L132" si="92">K132+0.08</f>
        <v>0.52</v>
      </c>
    </row>
    <row r="133" spans="1:12" x14ac:dyDescent="0.25">
      <c r="A133" s="41" t="s">
        <v>43</v>
      </c>
      <c r="B133" s="2">
        <v>0.66</v>
      </c>
      <c r="C133" s="15">
        <f t="shared" si="89"/>
        <v>0.66</v>
      </c>
      <c r="D133" s="16" t="s">
        <v>43</v>
      </c>
      <c r="E133" s="23">
        <f t="shared" ref="E133" si="93">F133-0.11</f>
        <v>0.44000000000000006</v>
      </c>
      <c r="F133" s="44">
        <f>C133-0.11</f>
        <v>0.55000000000000004</v>
      </c>
      <c r="G133">
        <f t="shared" ref="G133" si="94">C133+0.11</f>
        <v>0.77</v>
      </c>
      <c r="H133" s="24">
        <f>G133+0.12</f>
        <v>0.89</v>
      </c>
      <c r="I133" s="25">
        <f t="shared" ref="I133" si="95">J133-0.08</f>
        <v>0.47000000000000003</v>
      </c>
      <c r="J133">
        <f t="shared" si="91"/>
        <v>0.55000000000000004</v>
      </c>
      <c r="K133">
        <f t="shared" si="91"/>
        <v>0.77</v>
      </c>
      <c r="L133" s="26">
        <f>K133+0.09</f>
        <v>0.86</v>
      </c>
    </row>
    <row r="134" spans="1:12" ht="15.75" thickBot="1" x14ac:dyDescent="0.3">
      <c r="A134" s="41" t="s">
        <v>42</v>
      </c>
      <c r="B134" s="2">
        <v>1</v>
      </c>
      <c r="C134" s="15">
        <f t="shared" si="89"/>
        <v>1</v>
      </c>
      <c r="D134" s="16" t="s">
        <v>42</v>
      </c>
      <c r="E134" s="27">
        <v>0.77</v>
      </c>
      <c r="F134" s="28">
        <v>1</v>
      </c>
      <c r="G134" s="29">
        <v>1</v>
      </c>
      <c r="H134" s="30">
        <v>1</v>
      </c>
      <c r="I134" s="31">
        <v>0.8</v>
      </c>
      <c r="J134" s="29">
        <f t="shared" si="91"/>
        <v>1</v>
      </c>
      <c r="K134" s="29">
        <f t="shared" si="91"/>
        <v>1</v>
      </c>
      <c r="L134" s="32">
        <v>1</v>
      </c>
    </row>
    <row r="135" spans="1:12" x14ac:dyDescent="0.25">
      <c r="A135" s="35"/>
    </row>
    <row r="136" spans="1:12" x14ac:dyDescent="0.25">
      <c r="A136" s="1" t="s">
        <v>116</v>
      </c>
    </row>
    <row r="137" spans="1:12" ht="15.75" thickBot="1" x14ac:dyDescent="0.3">
      <c r="A137" s="42" t="s">
        <v>41</v>
      </c>
      <c r="B137" s="43" t="s">
        <v>53</v>
      </c>
      <c r="E137" s="45" t="s">
        <v>3</v>
      </c>
      <c r="I137" t="s">
        <v>4</v>
      </c>
    </row>
    <row r="138" spans="1:12" x14ac:dyDescent="0.25">
      <c r="A138" s="41" t="s">
        <v>45</v>
      </c>
      <c r="B138" s="2">
        <v>0.5</v>
      </c>
      <c r="C138" s="15">
        <f>B138</f>
        <v>0.5</v>
      </c>
      <c r="D138" s="16" t="s">
        <v>45</v>
      </c>
      <c r="E138" s="17">
        <v>0</v>
      </c>
      <c r="F138" s="18">
        <f>C138-0.5</f>
        <v>0</v>
      </c>
      <c r="G138" s="19">
        <f>C138+0.5</f>
        <v>1</v>
      </c>
      <c r="H138" s="20">
        <f t="shared" ref="H138:H140" si="96">G138+1.5</f>
        <v>2.5</v>
      </c>
      <c r="I138" s="21">
        <v>0</v>
      </c>
      <c r="J138" s="19">
        <f>F138</f>
        <v>0</v>
      </c>
      <c r="K138" s="19">
        <f>G138</f>
        <v>1</v>
      </c>
      <c r="L138" s="22">
        <f t="shared" ref="L138:L140" si="97">K138+1</f>
        <v>2</v>
      </c>
    </row>
    <row r="139" spans="1:12" x14ac:dyDescent="0.25">
      <c r="A139" s="41" t="s">
        <v>44</v>
      </c>
      <c r="B139" s="2">
        <v>3</v>
      </c>
      <c r="C139" s="15">
        <f t="shared" ref="C139:C141" si="98">B139</f>
        <v>3</v>
      </c>
      <c r="D139" s="16" t="s">
        <v>44</v>
      </c>
      <c r="E139" s="23">
        <v>1.5</v>
      </c>
      <c r="F139" s="44">
        <f>C139-0.5</f>
        <v>2.5</v>
      </c>
      <c r="G139">
        <f>C139+0.5</f>
        <v>3.5</v>
      </c>
      <c r="H139" s="24">
        <f t="shared" si="96"/>
        <v>5</v>
      </c>
      <c r="I139" s="25">
        <f t="shared" ref="I139:I141" si="99">J139-1</f>
        <v>1.5</v>
      </c>
      <c r="J139">
        <f t="shared" ref="J139:K141" si="100">F139</f>
        <v>2.5</v>
      </c>
      <c r="K139">
        <f t="shared" si="100"/>
        <v>3.5</v>
      </c>
      <c r="L139" s="26">
        <f t="shared" si="97"/>
        <v>4.5</v>
      </c>
    </row>
    <row r="140" spans="1:12" x14ac:dyDescent="0.25">
      <c r="A140" s="41" t="s">
        <v>43</v>
      </c>
      <c r="B140" s="2">
        <v>5.5</v>
      </c>
      <c r="C140" s="15">
        <f t="shared" si="98"/>
        <v>5.5</v>
      </c>
      <c r="D140" s="16" t="s">
        <v>43</v>
      </c>
      <c r="E140" s="23">
        <f t="shared" ref="E140:E141" si="101">F140-1.5</f>
        <v>3.5</v>
      </c>
      <c r="F140" s="44">
        <f>C140-0.5</f>
        <v>5</v>
      </c>
      <c r="G140">
        <f>C140+0.5</f>
        <v>6</v>
      </c>
      <c r="H140" s="24">
        <f t="shared" si="96"/>
        <v>7.5</v>
      </c>
      <c r="I140" s="25">
        <f t="shared" si="99"/>
        <v>4</v>
      </c>
      <c r="J140">
        <f t="shared" si="100"/>
        <v>5</v>
      </c>
      <c r="K140">
        <f t="shared" si="100"/>
        <v>6</v>
      </c>
      <c r="L140" s="26">
        <f t="shared" si="97"/>
        <v>7</v>
      </c>
    </row>
    <row r="141" spans="1:12" ht="15.75" thickBot="1" x14ac:dyDescent="0.3">
      <c r="A141" s="41" t="s">
        <v>42</v>
      </c>
      <c r="B141" s="2">
        <v>8</v>
      </c>
      <c r="C141" s="15">
        <f t="shared" si="98"/>
        <v>8</v>
      </c>
      <c r="D141" s="16" t="s">
        <v>42</v>
      </c>
      <c r="E141" s="27">
        <f t="shared" si="101"/>
        <v>6</v>
      </c>
      <c r="F141" s="28">
        <f>C141-0.5</f>
        <v>7.5</v>
      </c>
      <c r="G141" s="29">
        <f>C141+0.5</f>
        <v>8.5</v>
      </c>
      <c r="H141" s="30">
        <f>G141</f>
        <v>8.5</v>
      </c>
      <c r="I141" s="31">
        <f t="shared" si="99"/>
        <v>6.5</v>
      </c>
      <c r="J141" s="29">
        <f t="shared" si="100"/>
        <v>7.5</v>
      </c>
      <c r="K141" s="29">
        <f t="shared" si="100"/>
        <v>8.5</v>
      </c>
      <c r="L141" s="32">
        <f>K141</f>
        <v>8.5</v>
      </c>
    </row>
    <row r="143" spans="1:12" ht="15.75" thickBot="1" x14ac:dyDescent="0.3">
      <c r="A143" s="1" t="s">
        <v>117</v>
      </c>
    </row>
    <row r="144" spans="1:12" ht="67.5" customHeight="1" thickBot="1" x14ac:dyDescent="0.3">
      <c r="A144" s="47" t="s">
        <v>282</v>
      </c>
      <c r="B144" s="46" t="s">
        <v>37</v>
      </c>
      <c r="C144" s="48" t="s">
        <v>46</v>
      </c>
      <c r="D144" s="49" t="s">
        <v>118</v>
      </c>
      <c r="E144" s="458" t="s">
        <v>54</v>
      </c>
      <c r="F144" s="459"/>
      <c r="G144" s="459"/>
      <c r="H144" s="459"/>
      <c r="I144" s="459"/>
      <c r="J144" s="459"/>
      <c r="K144" s="459"/>
      <c r="L144" s="460"/>
    </row>
    <row r="145" spans="1:12" x14ac:dyDescent="0.25">
      <c r="A145" s="56" t="s">
        <v>48</v>
      </c>
      <c r="B145" s="50" t="s">
        <v>38</v>
      </c>
      <c r="C145" s="51" t="s">
        <v>43</v>
      </c>
      <c r="D145" s="70">
        <f>B140</f>
        <v>5.5</v>
      </c>
      <c r="E145" s="23">
        <v>3.5</v>
      </c>
      <c r="F145" s="44">
        <v>5</v>
      </c>
      <c r="G145">
        <v>6</v>
      </c>
      <c r="H145" s="24">
        <v>7.5</v>
      </c>
      <c r="I145" s="25">
        <v>4</v>
      </c>
      <c r="J145">
        <v>5</v>
      </c>
      <c r="K145">
        <v>6</v>
      </c>
      <c r="L145" s="26">
        <v>7</v>
      </c>
    </row>
    <row r="146" spans="1:12" x14ac:dyDescent="0.25">
      <c r="A146" s="57" t="s">
        <v>49</v>
      </c>
      <c r="B146" s="40" t="s">
        <v>39</v>
      </c>
      <c r="C146" s="2" t="s">
        <v>42</v>
      </c>
      <c r="D146" s="70">
        <f>B141</f>
        <v>8</v>
      </c>
      <c r="E146" s="23">
        <v>6</v>
      </c>
      <c r="F146" s="44">
        <v>7.5</v>
      </c>
      <c r="G146">
        <v>8.5</v>
      </c>
      <c r="H146" s="24">
        <v>8.5</v>
      </c>
      <c r="I146" s="25">
        <v>6.5</v>
      </c>
      <c r="J146">
        <v>7.5</v>
      </c>
      <c r="K146">
        <v>8.5</v>
      </c>
      <c r="L146" s="26">
        <v>8.5</v>
      </c>
    </row>
    <row r="147" spans="1:12" ht="15.75" thickBot="1" x14ac:dyDescent="0.3">
      <c r="A147" s="58" t="s">
        <v>50</v>
      </c>
      <c r="B147" s="52" t="s">
        <v>40</v>
      </c>
      <c r="C147" s="53" t="s">
        <v>42</v>
      </c>
      <c r="D147" s="71">
        <f>B141</f>
        <v>8</v>
      </c>
      <c r="E147" s="27">
        <v>6</v>
      </c>
      <c r="F147" s="28">
        <v>7.5</v>
      </c>
      <c r="G147" s="29">
        <v>8.5</v>
      </c>
      <c r="H147" s="30">
        <v>8.5</v>
      </c>
      <c r="I147" s="31">
        <v>6.5</v>
      </c>
      <c r="J147" s="29">
        <v>7.5</v>
      </c>
      <c r="K147" s="29">
        <v>8.5</v>
      </c>
      <c r="L147" s="32">
        <v>8.5</v>
      </c>
    </row>
    <row r="149" spans="1:12" ht="15.75" thickBot="1" x14ac:dyDescent="0.3">
      <c r="A149" s="1" t="s">
        <v>302</v>
      </c>
    </row>
    <row r="150" spans="1:12" ht="30.75" thickBot="1" x14ac:dyDescent="0.3">
      <c r="A150" s="79" t="s">
        <v>60</v>
      </c>
      <c r="B150" s="80" t="s">
        <v>61</v>
      </c>
      <c r="E150" s="458" t="s">
        <v>62</v>
      </c>
      <c r="F150" s="459"/>
      <c r="G150" s="459"/>
      <c r="H150" s="459"/>
      <c r="I150" s="459"/>
      <c r="J150" s="459"/>
      <c r="K150" s="459"/>
      <c r="L150" s="460"/>
    </row>
    <row r="151" spans="1:12" x14ac:dyDescent="0.25">
      <c r="A151" s="56" t="s">
        <v>57</v>
      </c>
      <c r="B151" s="59" t="s">
        <v>45</v>
      </c>
      <c r="D151" s="62" t="s">
        <v>66</v>
      </c>
      <c r="E151" s="110">
        <f>E131*F$145+E$145*F131-F131*F$145</f>
        <v>0</v>
      </c>
      <c r="F151" s="234">
        <f>F131*F$145</f>
        <v>0</v>
      </c>
      <c r="G151" s="234">
        <f>G131*G$145</f>
        <v>0</v>
      </c>
      <c r="H151" s="140">
        <f>G131*H$145+G$145*H131-G131*G$145</f>
        <v>1.32</v>
      </c>
      <c r="I151" s="110">
        <f>I131*J$145+I$145*J131-J131*J$145</f>
        <v>0</v>
      </c>
      <c r="J151" s="234">
        <f>J131*J$145</f>
        <v>0</v>
      </c>
      <c r="K151" s="234">
        <f>K131*K$145</f>
        <v>0</v>
      </c>
      <c r="L151" s="140">
        <f>K131*L$145+K$145*L131-K131*K$145</f>
        <v>0.89999999999999991</v>
      </c>
    </row>
    <row r="152" spans="1:12" x14ac:dyDescent="0.25">
      <c r="A152" s="57" t="s">
        <v>57</v>
      </c>
      <c r="B152" s="60" t="s">
        <v>44</v>
      </c>
      <c r="D152" s="63" t="s">
        <v>65</v>
      </c>
      <c r="E152" s="111">
        <f>IF(E132*F$145+E$145*F132-F132*F$145&lt;0,0,E132*F$145+E$145*F132-F132*F$145)</f>
        <v>0</v>
      </c>
      <c r="F152" s="97">
        <f t="shared" ref="F152:G154" si="102">F132*F$145</f>
        <v>1.1000000000000001</v>
      </c>
      <c r="G152" s="97">
        <f t="shared" si="102"/>
        <v>2.64</v>
      </c>
      <c r="H152" s="142">
        <f t="shared" ref="H152:H154" si="103">G132*H$145+G$145*H132-G132*G$145</f>
        <v>3.9599999999999995</v>
      </c>
      <c r="I152" s="111">
        <f t="shared" ref="I152:I154" si="104">I132*J$145+I$145*J132-J132*J$145</f>
        <v>8.0000000000000071E-2</v>
      </c>
      <c r="J152" s="97">
        <f t="shared" ref="J152:K154" si="105">J132*J$145</f>
        <v>1.1000000000000001</v>
      </c>
      <c r="K152" s="97">
        <f t="shared" si="105"/>
        <v>2.64</v>
      </c>
      <c r="L152" s="142">
        <f t="shared" ref="L152:L154" si="106">K132*L$145+K$145*L132-K132*K$145</f>
        <v>3.56</v>
      </c>
    </row>
    <row r="153" spans="1:12" x14ac:dyDescent="0.25">
      <c r="A153" s="57" t="s">
        <v>57</v>
      </c>
      <c r="B153" s="60" t="s">
        <v>43</v>
      </c>
      <c r="D153" s="63" t="s">
        <v>64</v>
      </c>
      <c r="E153" s="111">
        <f t="shared" ref="E153:E154" si="107">E133*F$145+E$145*F133-F133*F$145</f>
        <v>1.375</v>
      </c>
      <c r="F153" s="97">
        <f t="shared" si="102"/>
        <v>2.75</v>
      </c>
      <c r="G153" s="97">
        <f t="shared" si="102"/>
        <v>4.62</v>
      </c>
      <c r="H153" s="142">
        <f t="shared" si="103"/>
        <v>6.4950000000000001</v>
      </c>
      <c r="I153" s="111">
        <f t="shared" si="104"/>
        <v>1.8000000000000007</v>
      </c>
      <c r="J153" s="97">
        <f t="shared" si="105"/>
        <v>2.75</v>
      </c>
      <c r="K153" s="97">
        <f t="shared" si="105"/>
        <v>4.62</v>
      </c>
      <c r="L153" s="142">
        <f t="shared" si="106"/>
        <v>5.9300000000000006</v>
      </c>
    </row>
    <row r="154" spans="1:12" ht="15.75" thickBot="1" x14ac:dyDescent="0.3">
      <c r="A154" s="58" t="s">
        <v>57</v>
      </c>
      <c r="B154" s="61" t="s">
        <v>42</v>
      </c>
      <c r="D154" s="64" t="s">
        <v>63</v>
      </c>
      <c r="E154" s="112">
        <f t="shared" si="107"/>
        <v>2.3499999999999996</v>
      </c>
      <c r="F154" s="188">
        <f t="shared" si="102"/>
        <v>5</v>
      </c>
      <c r="G154" s="188">
        <f t="shared" si="102"/>
        <v>6</v>
      </c>
      <c r="H154" s="113">
        <f t="shared" si="103"/>
        <v>7.5</v>
      </c>
      <c r="I154" s="112">
        <f t="shared" si="104"/>
        <v>3</v>
      </c>
      <c r="J154" s="188">
        <f t="shared" si="105"/>
        <v>5</v>
      </c>
      <c r="K154" s="188">
        <f t="shared" si="105"/>
        <v>6</v>
      </c>
      <c r="L154" s="113">
        <f t="shared" si="106"/>
        <v>7</v>
      </c>
    </row>
    <row r="155" spans="1:12" x14ac:dyDescent="0.25">
      <c r="A155" s="56" t="s">
        <v>58</v>
      </c>
      <c r="B155" s="59" t="s">
        <v>45</v>
      </c>
      <c r="D155" s="62" t="s">
        <v>67</v>
      </c>
      <c r="E155" s="110">
        <f>E131*F$146+E$146*F131-F131*F$146</f>
        <v>0</v>
      </c>
      <c r="F155" s="234">
        <f>F131*F$146</f>
        <v>0</v>
      </c>
      <c r="G155" s="234">
        <f>G131*G$146</f>
        <v>0</v>
      </c>
      <c r="H155" s="140">
        <f>G131*H$146+G$146*H131-G131*G$146</f>
        <v>1.87</v>
      </c>
      <c r="I155" s="110">
        <f>I131*J$146+I$146*J131-J131*J$146</f>
        <v>0</v>
      </c>
      <c r="J155" s="234">
        <f>J131*J$146</f>
        <v>0</v>
      </c>
      <c r="K155" s="234">
        <f>K131*K$146</f>
        <v>0</v>
      </c>
      <c r="L155" s="140">
        <f>K131*L$146+K$146*L131-K131*K$146</f>
        <v>1.2749999999999999</v>
      </c>
    </row>
    <row r="156" spans="1:12" x14ac:dyDescent="0.25">
      <c r="A156" s="57" t="s">
        <v>58</v>
      </c>
      <c r="B156" s="60" t="s">
        <v>44</v>
      </c>
      <c r="D156" s="63" t="s">
        <v>72</v>
      </c>
      <c r="E156" s="111">
        <f>IF(E132*F$146+E$146*F132-F132*F$146&lt;0,0,E132*F$146+E$146*F132-F132*F$146)</f>
        <v>0</v>
      </c>
      <c r="F156" s="97">
        <f t="shared" ref="F156:G158" si="108">F132*F$146</f>
        <v>1.6500000000000001</v>
      </c>
      <c r="G156" s="97">
        <f t="shared" si="108"/>
        <v>3.74</v>
      </c>
      <c r="H156" s="142">
        <f t="shared" ref="H156:H158" si="109">G132*H$146+G$146*H132-G132*G$146</f>
        <v>4.6750000000000007</v>
      </c>
      <c r="I156" s="111">
        <f t="shared" ref="I156:I158" si="110">I132*J$146+I$146*J132-J132*J$146</f>
        <v>0.22999999999999998</v>
      </c>
      <c r="J156" s="97">
        <f t="shared" ref="J156:K158" si="111">J132*J$146</f>
        <v>1.6500000000000001</v>
      </c>
      <c r="K156" s="97">
        <f t="shared" si="111"/>
        <v>3.74</v>
      </c>
      <c r="L156" s="142">
        <f t="shared" ref="L156:L158" si="112">K132*L$146+K$146*L132-K132*K$146</f>
        <v>4.42</v>
      </c>
    </row>
    <row r="157" spans="1:12" x14ac:dyDescent="0.25">
      <c r="A157" s="57" t="s">
        <v>58</v>
      </c>
      <c r="B157" s="60" t="s">
        <v>43</v>
      </c>
      <c r="D157" s="63" t="s">
        <v>73</v>
      </c>
      <c r="E157" s="111">
        <f t="shared" ref="E157:E158" si="113">E133*F$146+E$146*F133-F133*F$146</f>
        <v>2.4750000000000005</v>
      </c>
      <c r="F157" s="97">
        <f t="shared" si="108"/>
        <v>4.125</v>
      </c>
      <c r="G157" s="97">
        <f t="shared" si="108"/>
        <v>6.5449999999999999</v>
      </c>
      <c r="H157" s="142">
        <f t="shared" si="109"/>
        <v>7.5649999999999995</v>
      </c>
      <c r="I157" s="111">
        <f t="shared" si="110"/>
        <v>2.9750000000000005</v>
      </c>
      <c r="J157" s="97">
        <f t="shared" si="111"/>
        <v>4.125</v>
      </c>
      <c r="K157" s="97">
        <f t="shared" si="111"/>
        <v>6.5449999999999999</v>
      </c>
      <c r="L157" s="142">
        <f t="shared" si="112"/>
        <v>7.3100000000000005</v>
      </c>
    </row>
    <row r="158" spans="1:12" ht="15.75" thickBot="1" x14ac:dyDescent="0.3">
      <c r="A158" s="58" t="s">
        <v>58</v>
      </c>
      <c r="B158" s="61" t="s">
        <v>42</v>
      </c>
      <c r="D158" s="64" t="s">
        <v>74</v>
      </c>
      <c r="E158" s="112">
        <f t="shared" si="113"/>
        <v>4.2750000000000004</v>
      </c>
      <c r="F158" s="188">
        <f t="shared" si="108"/>
        <v>7.5</v>
      </c>
      <c r="G158" s="188">
        <f t="shared" si="108"/>
        <v>8.5</v>
      </c>
      <c r="H158" s="113">
        <f t="shared" si="109"/>
        <v>8.5</v>
      </c>
      <c r="I158" s="112">
        <f t="shared" si="110"/>
        <v>5</v>
      </c>
      <c r="J158" s="188">
        <f t="shared" si="111"/>
        <v>7.5</v>
      </c>
      <c r="K158" s="188">
        <f t="shared" si="111"/>
        <v>8.5</v>
      </c>
      <c r="L158" s="113">
        <f t="shared" si="112"/>
        <v>8.5</v>
      </c>
    </row>
    <row r="159" spans="1:12" x14ac:dyDescent="0.25">
      <c r="A159" s="56" t="s">
        <v>59</v>
      </c>
      <c r="B159" s="59" t="s">
        <v>45</v>
      </c>
      <c r="D159" s="62" t="s">
        <v>69</v>
      </c>
      <c r="E159" s="110">
        <f>E131*F$147+E$147*F131-F131*F$147</f>
        <v>0</v>
      </c>
      <c r="F159" s="234">
        <f>F131*F$147</f>
        <v>0</v>
      </c>
      <c r="G159" s="234">
        <f>G131*G$147</f>
        <v>0</v>
      </c>
      <c r="H159" s="140">
        <f>G131*H$147+G$147*H131-G131*G$147</f>
        <v>1.87</v>
      </c>
      <c r="I159" s="110">
        <f>I131*J$147+I$147*J131-J131*J$147</f>
        <v>0</v>
      </c>
      <c r="J159" s="234">
        <f>J131*J$147</f>
        <v>0</v>
      </c>
      <c r="K159" s="234">
        <f>K131*K$147</f>
        <v>0</v>
      </c>
      <c r="L159" s="140">
        <f>K131*L$147+K$147*L131-K131*K$147</f>
        <v>1.2749999999999999</v>
      </c>
    </row>
    <row r="160" spans="1:12" x14ac:dyDescent="0.25">
      <c r="A160" s="57" t="s">
        <v>59</v>
      </c>
      <c r="B160" s="60" t="s">
        <v>44</v>
      </c>
      <c r="D160" s="63" t="s">
        <v>68</v>
      </c>
      <c r="E160" s="111">
        <f>IF(E132*F$147+E$147*F132-F132*F$147&lt;0,0,E132*F$147+E$147*F132-F132*F$147)</f>
        <v>0</v>
      </c>
      <c r="F160" s="97">
        <f t="shared" ref="F160:G162" si="114">F132*F$147</f>
        <v>1.6500000000000001</v>
      </c>
      <c r="G160" s="97">
        <f t="shared" si="114"/>
        <v>3.74</v>
      </c>
      <c r="H160" s="142">
        <f t="shared" ref="H160:H162" si="115">G132*H$147+G$147*H132-G132*G$147</f>
        <v>4.6750000000000007</v>
      </c>
      <c r="I160" s="111">
        <f t="shared" ref="I160:I162" si="116">I132*J$147+I$147*J132-J132*J$147</f>
        <v>0.22999999999999998</v>
      </c>
      <c r="J160" s="97">
        <f t="shared" ref="J160:K162" si="117">J132*J$147</f>
        <v>1.6500000000000001</v>
      </c>
      <c r="K160" s="97">
        <f t="shared" si="117"/>
        <v>3.74</v>
      </c>
      <c r="L160" s="142">
        <f t="shared" ref="L160:L162" si="118">K132*L$147+K$147*L132-K132*K$147</f>
        <v>4.42</v>
      </c>
    </row>
    <row r="161" spans="1:12" x14ac:dyDescent="0.25">
      <c r="A161" s="57" t="s">
        <v>59</v>
      </c>
      <c r="B161" s="60" t="s">
        <v>43</v>
      </c>
      <c r="D161" s="63" t="s">
        <v>70</v>
      </c>
      <c r="E161" s="111">
        <f t="shared" ref="E161:E162" si="119">E133*F$147+E$147*F133-F133*F$147</f>
        <v>2.4750000000000005</v>
      </c>
      <c r="F161" s="97">
        <f t="shared" si="114"/>
        <v>4.125</v>
      </c>
      <c r="G161" s="97">
        <f t="shared" si="114"/>
        <v>6.5449999999999999</v>
      </c>
      <c r="H161" s="142">
        <f t="shared" si="115"/>
        <v>7.5649999999999995</v>
      </c>
      <c r="I161" s="111">
        <f t="shared" si="116"/>
        <v>2.9750000000000005</v>
      </c>
      <c r="J161" s="97">
        <f t="shared" si="117"/>
        <v>4.125</v>
      </c>
      <c r="K161" s="97">
        <f t="shared" si="117"/>
        <v>6.5449999999999999</v>
      </c>
      <c r="L161" s="142">
        <f t="shared" si="118"/>
        <v>7.3100000000000005</v>
      </c>
    </row>
    <row r="162" spans="1:12" ht="15.75" thickBot="1" x14ac:dyDescent="0.3">
      <c r="A162" s="58" t="s">
        <v>59</v>
      </c>
      <c r="B162" s="61" t="s">
        <v>42</v>
      </c>
      <c r="D162" s="64" t="s">
        <v>71</v>
      </c>
      <c r="E162" s="112">
        <f t="shared" si="119"/>
        <v>4.2750000000000004</v>
      </c>
      <c r="F162" s="188">
        <f t="shared" si="114"/>
        <v>7.5</v>
      </c>
      <c r="G162" s="188">
        <f t="shared" si="114"/>
        <v>8.5</v>
      </c>
      <c r="H162" s="113">
        <f t="shared" si="115"/>
        <v>8.5</v>
      </c>
      <c r="I162" s="112">
        <f t="shared" si="116"/>
        <v>5</v>
      </c>
      <c r="J162" s="188">
        <f t="shared" si="117"/>
        <v>7.5</v>
      </c>
      <c r="K162" s="188">
        <f t="shared" si="117"/>
        <v>8.5</v>
      </c>
      <c r="L162" s="113">
        <f t="shared" si="118"/>
        <v>8.5</v>
      </c>
    </row>
    <row r="164" spans="1:12" ht="15.75" thickBot="1" x14ac:dyDescent="0.3">
      <c r="A164" s="1" t="s">
        <v>171</v>
      </c>
    </row>
    <row r="165" spans="1:12" ht="15" customHeight="1" thickBot="1" x14ac:dyDescent="0.3">
      <c r="A165" s="82" t="s">
        <v>99</v>
      </c>
      <c r="B165" s="47" t="s">
        <v>131</v>
      </c>
      <c r="C165" s="90" t="s">
        <v>132</v>
      </c>
    </row>
    <row r="166" spans="1:12" x14ac:dyDescent="0.25">
      <c r="A166" s="83" t="s">
        <v>100</v>
      </c>
      <c r="B166" s="9">
        <v>0.75</v>
      </c>
      <c r="C166" s="91">
        <f>B166/B$169</f>
        <v>0.3</v>
      </c>
    </row>
    <row r="167" spans="1:12" x14ac:dyDescent="0.25">
      <c r="A167" s="10" t="s">
        <v>101</v>
      </c>
      <c r="B167" s="10">
        <v>0.75</v>
      </c>
      <c r="C167" s="76">
        <f t="shared" ref="C167:C168" si="120">B167/B$169</f>
        <v>0.3</v>
      </c>
    </row>
    <row r="168" spans="1:12" ht="15.75" thickBot="1" x14ac:dyDescent="0.3">
      <c r="A168" s="87" t="s">
        <v>120</v>
      </c>
      <c r="B168" s="87">
        <v>1</v>
      </c>
      <c r="C168" s="77">
        <f t="shared" si="120"/>
        <v>0.4</v>
      </c>
    </row>
    <row r="169" spans="1:12" ht="15.75" thickBot="1" x14ac:dyDescent="0.3">
      <c r="A169" s="11" t="s">
        <v>130</v>
      </c>
      <c r="B169" s="88">
        <f>SUM(B166:B168)</f>
        <v>2.5</v>
      </c>
      <c r="C169" s="89">
        <f>SUM(C166:C168)</f>
        <v>1</v>
      </c>
    </row>
    <row r="171" spans="1:12" ht="15.75" thickBot="1" x14ac:dyDescent="0.3">
      <c r="A171" s="1" t="s">
        <v>328</v>
      </c>
    </row>
    <row r="172" spans="1:12" ht="15.75" thickBot="1" x14ac:dyDescent="0.3">
      <c r="A172" s="378" t="s">
        <v>273</v>
      </c>
      <c r="B172" s="379" t="s">
        <v>268</v>
      </c>
    </row>
    <row r="173" spans="1:12" x14ac:dyDescent="0.25">
      <c r="A173" s="99" t="s">
        <v>271</v>
      </c>
      <c r="B173" s="81">
        <v>0.8</v>
      </c>
    </row>
    <row r="174" spans="1:12" x14ac:dyDescent="0.25">
      <c r="A174" s="274" t="s">
        <v>290</v>
      </c>
      <c r="B174" s="5">
        <v>0.5</v>
      </c>
    </row>
    <row r="175" spans="1:12" ht="15.75" thickBot="1" x14ac:dyDescent="0.3">
      <c r="A175" s="100" t="s">
        <v>269</v>
      </c>
      <c r="B175" s="55">
        <v>0.6</v>
      </c>
    </row>
    <row r="177" spans="1:9" x14ac:dyDescent="0.25">
      <c r="A177" s="489" t="s">
        <v>169</v>
      </c>
      <c r="B177" s="490"/>
      <c r="C177" s="490"/>
      <c r="D177" s="490"/>
      <c r="E177" s="490"/>
      <c r="F177" s="490"/>
      <c r="G177" s="490"/>
      <c r="H177" s="490"/>
      <c r="I177" s="490"/>
    </row>
    <row r="178" spans="1:9" x14ac:dyDescent="0.25">
      <c r="A178" s="463" t="s">
        <v>309</v>
      </c>
      <c r="B178" s="462"/>
      <c r="C178" s="462"/>
      <c r="D178" s="462"/>
      <c r="F178" s="92" t="s">
        <v>310</v>
      </c>
    </row>
    <row r="180" spans="1:9" x14ac:dyDescent="0.25">
      <c r="A180" s="92" t="s">
        <v>24</v>
      </c>
      <c r="B180" s="408">
        <v>1</v>
      </c>
      <c r="C180" s="408">
        <v>0.49511527940601152</v>
      </c>
      <c r="D180" s="408">
        <v>0.49472862163216891</v>
      </c>
      <c r="F180" s="92" t="s">
        <v>24</v>
      </c>
      <c r="G180" s="408">
        <v>1</v>
      </c>
      <c r="H180" s="408">
        <v>0.42553191489360748</v>
      </c>
      <c r="I180" s="408">
        <v>0.42553191489360748</v>
      </c>
    </row>
    <row r="181" spans="1:9" x14ac:dyDescent="0.25">
      <c r="B181" s="408">
        <v>0.49511527940601152</v>
      </c>
      <c r="C181" s="408">
        <v>1</v>
      </c>
      <c r="D181" s="408">
        <v>0.9989801121876597</v>
      </c>
      <c r="G181" s="408">
        <v>0.42553191489360748</v>
      </c>
      <c r="H181" s="408">
        <v>1</v>
      </c>
      <c r="I181" s="408">
        <v>1</v>
      </c>
    </row>
    <row r="182" spans="1:9" x14ac:dyDescent="0.25">
      <c r="B182" s="408">
        <v>0.49472862163216891</v>
      </c>
      <c r="C182" s="408">
        <v>0.9989801121876597</v>
      </c>
      <c r="D182" s="408">
        <v>1</v>
      </c>
      <c r="G182" s="408">
        <v>0.42553191489360748</v>
      </c>
      <c r="H182" s="408">
        <v>1</v>
      </c>
      <c r="I182" s="408">
        <v>1</v>
      </c>
    </row>
    <row r="184" spans="1:9" x14ac:dyDescent="0.25">
      <c r="A184" s="92" t="s">
        <v>13</v>
      </c>
      <c r="B184" s="408">
        <v>1</v>
      </c>
      <c r="C184" s="408">
        <v>0.84601172262317348</v>
      </c>
      <c r="D184" s="408">
        <v>0.6225895316804424</v>
      </c>
      <c r="F184" s="92" t="s">
        <v>13</v>
      </c>
      <c r="G184" s="408">
        <v>1</v>
      </c>
      <c r="H184" s="408">
        <v>0.80112923462987407</v>
      </c>
      <c r="I184" s="408">
        <v>0.58053548661281773</v>
      </c>
    </row>
    <row r="185" spans="1:9" x14ac:dyDescent="0.25">
      <c r="B185" s="408">
        <v>0.84601172262317348</v>
      </c>
      <c r="C185" s="408">
        <v>1</v>
      </c>
      <c r="D185" s="408">
        <v>0.61664564943253586</v>
      </c>
      <c r="G185" s="408">
        <v>0.80112923462987407</v>
      </c>
      <c r="H185" s="408">
        <v>1</v>
      </c>
      <c r="I185" s="408">
        <v>0.56413793103447707</v>
      </c>
    </row>
    <row r="186" spans="1:9" x14ac:dyDescent="0.25">
      <c r="B186" s="408">
        <v>0.6225895316804424</v>
      </c>
      <c r="C186" s="408">
        <v>0.61664564943253586</v>
      </c>
      <c r="D186" s="408">
        <v>1</v>
      </c>
      <c r="G186" s="408">
        <v>0.58053548661281773</v>
      </c>
      <c r="H186" s="408">
        <v>0.56413793103447707</v>
      </c>
      <c r="I186" s="408">
        <v>1</v>
      </c>
    </row>
    <row r="188" spans="1:9" x14ac:dyDescent="0.25">
      <c r="A188" s="92" t="s">
        <v>14</v>
      </c>
      <c r="B188" s="408">
        <v>1</v>
      </c>
      <c r="C188" s="408">
        <v>0.5451520912547535</v>
      </c>
      <c r="D188" s="408">
        <v>0.79635195157885197</v>
      </c>
      <c r="F188" s="92" t="s">
        <v>14</v>
      </c>
      <c r="G188" s="408">
        <v>1</v>
      </c>
      <c r="H188" s="408">
        <v>0.48962655601659699</v>
      </c>
      <c r="I188" s="408">
        <v>0.72952218430034166</v>
      </c>
    </row>
    <row r="189" spans="1:9" x14ac:dyDescent="0.25">
      <c r="B189" s="408">
        <v>0.5451520912547535</v>
      </c>
      <c r="C189" s="408">
        <v>1</v>
      </c>
      <c r="D189" s="408">
        <v>0.53168469860896539</v>
      </c>
      <c r="G189" s="408">
        <v>0.48962655601659699</v>
      </c>
      <c r="H189" s="408">
        <v>1</v>
      </c>
      <c r="I189" s="408">
        <v>0.46000000000000218</v>
      </c>
    </row>
    <row r="190" spans="1:9" x14ac:dyDescent="0.25">
      <c r="B190" s="408">
        <v>0.79635195157885197</v>
      </c>
      <c r="C190" s="408">
        <v>0.53168469860896539</v>
      </c>
      <c r="D190" s="408">
        <v>1</v>
      </c>
      <c r="G190" s="408">
        <v>0.72952218430034166</v>
      </c>
      <c r="H190" s="408">
        <v>0.46000000000000218</v>
      </c>
      <c r="I190" s="408">
        <v>1</v>
      </c>
    </row>
    <row r="192" spans="1:9" x14ac:dyDescent="0.25">
      <c r="A192" s="92" t="s">
        <v>15</v>
      </c>
      <c r="B192" s="408">
        <v>1</v>
      </c>
      <c r="C192" s="408">
        <v>0.87554584789285872</v>
      </c>
      <c r="D192" s="408">
        <v>0.55870307167236199</v>
      </c>
      <c r="F192" s="92" t="s">
        <v>15</v>
      </c>
      <c r="G192" s="408">
        <v>1</v>
      </c>
      <c r="H192" s="408">
        <v>0.84241823587743681</v>
      </c>
      <c r="I192" s="408">
        <v>0.50331125827831436</v>
      </c>
    </row>
    <row r="193" spans="1:9" x14ac:dyDescent="0.25">
      <c r="B193" s="408">
        <v>0.87554584789285872</v>
      </c>
      <c r="C193" s="408">
        <v>1</v>
      </c>
      <c r="D193" s="408">
        <v>0.52362344582594167</v>
      </c>
      <c r="G193" s="408">
        <v>0.84241823587743681</v>
      </c>
      <c r="H193" s="408">
        <v>1</v>
      </c>
      <c r="I193" s="408">
        <v>0.46103140752230998</v>
      </c>
    </row>
    <row r="194" spans="1:9" x14ac:dyDescent="0.25">
      <c r="B194" s="408">
        <v>0.55870307167236199</v>
      </c>
      <c r="C194" s="408">
        <v>0.52362344582594167</v>
      </c>
      <c r="D194" s="408">
        <v>1</v>
      </c>
      <c r="G194" s="408">
        <v>0.50331125827831436</v>
      </c>
      <c r="H194" s="408">
        <v>0.46103140752230998</v>
      </c>
      <c r="I194" s="408">
        <v>1</v>
      </c>
    </row>
    <row r="196" spans="1:9" x14ac:dyDescent="0.25">
      <c r="A196" s="92" t="s">
        <v>17</v>
      </c>
      <c r="B196" s="408">
        <v>1</v>
      </c>
      <c r="C196" s="408">
        <v>0.77801857585139422</v>
      </c>
      <c r="D196" s="408">
        <v>0.90306341657997835</v>
      </c>
      <c r="F196" s="92" t="s">
        <v>17</v>
      </c>
      <c r="G196" s="408">
        <v>1</v>
      </c>
      <c r="H196" s="408">
        <v>0.76450967311540086</v>
      </c>
      <c r="I196" s="408">
        <v>0.88131785847997102</v>
      </c>
    </row>
    <row r="197" spans="1:9" x14ac:dyDescent="0.25">
      <c r="B197" s="408">
        <v>0.77801857585139422</v>
      </c>
      <c r="C197" s="408">
        <v>1</v>
      </c>
      <c r="D197" s="408">
        <v>0.78303425774877577</v>
      </c>
      <c r="G197" s="408">
        <v>0.76450967311540086</v>
      </c>
      <c r="H197" s="408">
        <v>1</v>
      </c>
      <c r="I197" s="408">
        <v>0.76472675656493128</v>
      </c>
    </row>
    <row r="198" spans="1:9" x14ac:dyDescent="0.25">
      <c r="B198" s="408">
        <v>0.90306341657997835</v>
      </c>
      <c r="C198" s="408">
        <v>0.78303425774877577</v>
      </c>
      <c r="D198" s="408">
        <v>1</v>
      </c>
      <c r="G198" s="408">
        <v>0.88131785847997102</v>
      </c>
      <c r="H198" s="408">
        <v>0.76472675656493128</v>
      </c>
      <c r="I198" s="408">
        <v>1</v>
      </c>
    </row>
    <row r="200" spans="1:9" x14ac:dyDescent="0.25">
      <c r="A200" s="92" t="s">
        <v>18</v>
      </c>
      <c r="B200" s="408">
        <v>1</v>
      </c>
      <c r="C200" s="408">
        <v>0.76259946949602475</v>
      </c>
      <c r="D200" s="408">
        <v>0.76259946949602475</v>
      </c>
      <c r="F200" s="92" t="s">
        <v>18</v>
      </c>
      <c r="G200" s="408">
        <v>1</v>
      </c>
      <c r="H200" s="408">
        <v>0.75193798449612681</v>
      </c>
      <c r="I200" s="408">
        <v>0.75193798449612681</v>
      </c>
    </row>
    <row r="201" spans="1:9" x14ac:dyDescent="0.25">
      <c r="B201" s="408">
        <v>0.76259946949602475</v>
      </c>
      <c r="C201" s="408">
        <v>1</v>
      </c>
      <c r="D201" s="408">
        <v>1</v>
      </c>
      <c r="G201" s="408">
        <v>0.75193798449612681</v>
      </c>
      <c r="H201" s="408">
        <v>1</v>
      </c>
      <c r="I201" s="408">
        <v>1</v>
      </c>
    </row>
    <row r="202" spans="1:9" x14ac:dyDescent="0.25">
      <c r="B202" s="408">
        <v>0.76259946949602475</v>
      </c>
      <c r="C202" s="408">
        <v>1</v>
      </c>
      <c r="D202" s="408">
        <v>1</v>
      </c>
      <c r="G202" s="408">
        <v>0.75193798449612681</v>
      </c>
      <c r="H202" s="408">
        <v>1</v>
      </c>
      <c r="I202" s="408">
        <v>1</v>
      </c>
    </row>
    <row r="204" spans="1:9" x14ac:dyDescent="0.25">
      <c r="A204" s="92" t="s">
        <v>19</v>
      </c>
      <c r="B204" s="408">
        <v>1</v>
      </c>
      <c r="C204" s="408">
        <v>0.87187701271068341</v>
      </c>
      <c r="D204" s="408">
        <v>0.87187701271068341</v>
      </c>
      <c r="F204" s="92" t="s">
        <v>19</v>
      </c>
      <c r="G204" s="408">
        <v>1</v>
      </c>
      <c r="H204" s="408">
        <v>0.83885772565017636</v>
      </c>
      <c r="I204" s="408">
        <v>0.83936766955634523</v>
      </c>
    </row>
    <row r="205" spans="1:9" x14ac:dyDescent="0.25">
      <c r="B205" s="408">
        <v>0.87187701271068341</v>
      </c>
      <c r="C205" s="408">
        <v>1</v>
      </c>
      <c r="D205" s="408">
        <v>1</v>
      </c>
      <c r="G205" s="408">
        <v>0.83885772565017636</v>
      </c>
      <c r="H205" s="408">
        <v>1</v>
      </c>
      <c r="I205" s="408">
        <v>0.99939246658566327</v>
      </c>
    </row>
    <row r="206" spans="1:9" x14ac:dyDescent="0.25">
      <c r="B206" s="408">
        <v>0.87187701271068341</v>
      </c>
      <c r="C206" s="408">
        <v>1</v>
      </c>
      <c r="D206" s="408">
        <v>1</v>
      </c>
      <c r="G206" s="408">
        <v>0.83936766955634523</v>
      </c>
      <c r="H206" s="408">
        <v>0.99939246658566327</v>
      </c>
      <c r="I206" s="408">
        <v>1</v>
      </c>
    </row>
    <row r="208" spans="1:9" x14ac:dyDescent="0.25">
      <c r="A208" s="92" t="s">
        <v>20</v>
      </c>
      <c r="B208" s="408">
        <v>1</v>
      </c>
      <c r="C208" s="408">
        <v>0.9081210653609999</v>
      </c>
      <c r="D208" s="408">
        <v>0.9081210653609999</v>
      </c>
      <c r="F208" s="92" t="s">
        <v>20</v>
      </c>
      <c r="G208" s="408">
        <v>1</v>
      </c>
      <c r="H208" s="408">
        <v>0.88614041469622673</v>
      </c>
      <c r="I208" s="408">
        <v>0.88650418333936998</v>
      </c>
    </row>
    <row r="209" spans="1:9" x14ac:dyDescent="0.25">
      <c r="B209" s="408">
        <v>0.9081210653609999</v>
      </c>
      <c r="C209" s="408">
        <v>1</v>
      </c>
      <c r="D209" s="408">
        <v>1</v>
      </c>
      <c r="G209" s="408">
        <v>0.88614041469622673</v>
      </c>
      <c r="H209" s="408">
        <v>1</v>
      </c>
      <c r="I209" s="408">
        <v>0.99958965941731603</v>
      </c>
    </row>
    <row r="210" spans="1:9" x14ac:dyDescent="0.25">
      <c r="B210" s="408">
        <v>0.9081210653609999</v>
      </c>
      <c r="C210" s="408">
        <v>1</v>
      </c>
      <c r="D210" s="408">
        <v>1</v>
      </c>
      <c r="G210" s="408">
        <v>0.88650418333936998</v>
      </c>
      <c r="H210" s="408">
        <v>0.99958965941731603</v>
      </c>
      <c r="I210" s="408">
        <v>1</v>
      </c>
    </row>
    <row r="212" spans="1:9" x14ac:dyDescent="0.25">
      <c r="A212" s="92" t="s">
        <v>22</v>
      </c>
      <c r="B212" s="408">
        <v>1</v>
      </c>
      <c r="C212" s="408">
        <v>0.31450431269530421</v>
      </c>
      <c r="D212" s="408">
        <v>0.31450431269530421</v>
      </c>
      <c r="F212" s="92" t="s">
        <v>22</v>
      </c>
      <c r="G212" s="408">
        <v>1</v>
      </c>
      <c r="H212" s="408">
        <v>0.20798456453819419</v>
      </c>
      <c r="I212" s="408">
        <v>0.20798456453819419</v>
      </c>
    </row>
    <row r="213" spans="1:9" x14ac:dyDescent="0.25">
      <c r="B213" s="408">
        <v>0.31450431269530421</v>
      </c>
      <c r="C213" s="408">
        <v>1</v>
      </c>
      <c r="D213" s="408">
        <v>1</v>
      </c>
      <c r="G213" s="408">
        <v>0.20798456453819419</v>
      </c>
      <c r="H213" s="408">
        <v>1</v>
      </c>
      <c r="I213" s="408">
        <v>1</v>
      </c>
    </row>
    <row r="214" spans="1:9" x14ac:dyDescent="0.25">
      <c r="B214" s="408">
        <v>0.31450431269530421</v>
      </c>
      <c r="C214" s="408">
        <v>1</v>
      </c>
      <c r="D214" s="408">
        <v>1</v>
      </c>
      <c r="G214" s="408">
        <v>0.20798456453819419</v>
      </c>
      <c r="H214" s="408">
        <v>1</v>
      </c>
      <c r="I214" s="408">
        <v>1</v>
      </c>
    </row>
    <row r="216" spans="1:9" x14ac:dyDescent="0.25">
      <c r="A216" s="92" t="s">
        <v>23</v>
      </c>
      <c r="B216" s="408">
        <v>1</v>
      </c>
      <c r="C216" s="408">
        <v>0.73982558139534127</v>
      </c>
      <c r="D216" s="408">
        <v>0.73982558139534127</v>
      </c>
      <c r="F216" s="92" t="s">
        <v>23</v>
      </c>
      <c r="G216" s="408">
        <v>1</v>
      </c>
      <c r="H216" s="408">
        <v>0.72402979223837327</v>
      </c>
      <c r="I216" s="408">
        <v>0.72402979223837327</v>
      </c>
    </row>
    <row r="217" spans="1:9" x14ac:dyDescent="0.25">
      <c r="B217" s="408">
        <v>0.73982558139534127</v>
      </c>
      <c r="C217" s="408">
        <v>1</v>
      </c>
      <c r="D217" s="408">
        <v>1</v>
      </c>
      <c r="G217" s="408">
        <v>0.72402979223837327</v>
      </c>
      <c r="H217" s="408">
        <v>1</v>
      </c>
      <c r="I217" s="408">
        <v>1</v>
      </c>
    </row>
    <row r="218" spans="1:9" x14ac:dyDescent="0.25">
      <c r="B218" s="408">
        <v>0.73982558139534127</v>
      </c>
      <c r="C218" s="408">
        <v>1</v>
      </c>
      <c r="D218" s="408">
        <v>1</v>
      </c>
      <c r="G218" s="408">
        <v>0.72402979223837327</v>
      </c>
      <c r="H218" s="408">
        <v>1</v>
      </c>
      <c r="I218" s="408">
        <v>1</v>
      </c>
    </row>
    <row r="220" spans="1:9" x14ac:dyDescent="0.25">
      <c r="A220" s="489" t="s">
        <v>168</v>
      </c>
      <c r="B220" s="490"/>
      <c r="C220" s="490"/>
      <c r="D220" s="490"/>
      <c r="E220" s="490"/>
      <c r="F220" s="490"/>
      <c r="G220" s="490"/>
      <c r="H220" s="490"/>
      <c r="I220" s="490"/>
    </row>
    <row r="221" spans="1:9" x14ac:dyDescent="0.25">
      <c r="A221" s="463" t="s">
        <v>311</v>
      </c>
      <c r="B221" s="462"/>
      <c r="C221" s="462"/>
      <c r="D221" s="462"/>
      <c r="F221" s="92" t="s">
        <v>312</v>
      </c>
    </row>
    <row r="223" spans="1:9" x14ac:dyDescent="0.25">
      <c r="A223" s="92" t="s">
        <v>24</v>
      </c>
      <c r="B223" s="408">
        <v>0</v>
      </c>
      <c r="C223" s="408">
        <v>0.99748110831234271</v>
      </c>
      <c r="D223" s="408">
        <v>1</v>
      </c>
      <c r="F223" s="92" t="s">
        <v>24</v>
      </c>
      <c r="G223" s="408">
        <v>0</v>
      </c>
      <c r="H223" s="408">
        <v>1</v>
      </c>
      <c r="I223" s="408">
        <v>1</v>
      </c>
    </row>
    <row r="224" spans="1:9" x14ac:dyDescent="0.25">
      <c r="B224" s="408">
        <v>0.99748110831234271</v>
      </c>
      <c r="C224" s="408">
        <v>0</v>
      </c>
      <c r="D224" s="408">
        <v>2.5188916876572312E-3</v>
      </c>
      <c r="G224" s="408">
        <v>1</v>
      </c>
      <c r="H224" s="408">
        <v>0</v>
      </c>
      <c r="I224" s="408">
        <v>0</v>
      </c>
    </row>
    <row r="225" spans="1:9" x14ac:dyDescent="0.25">
      <c r="B225" s="408">
        <v>1</v>
      </c>
      <c r="C225" s="408">
        <v>2.5188916876572312E-3</v>
      </c>
      <c r="D225" s="408">
        <v>0</v>
      </c>
      <c r="G225" s="408">
        <v>1</v>
      </c>
      <c r="H225" s="408">
        <v>0</v>
      </c>
      <c r="I225" s="408">
        <v>0</v>
      </c>
    </row>
    <row r="227" spans="1:9" x14ac:dyDescent="0.25">
      <c r="A227" s="92" t="s">
        <v>13</v>
      </c>
      <c r="B227" s="408">
        <v>0</v>
      </c>
      <c r="C227" s="408">
        <v>0.23774509803921609</v>
      </c>
      <c r="D227" s="408">
        <v>1</v>
      </c>
      <c r="F227" s="92" t="s">
        <v>13</v>
      </c>
      <c r="G227" s="408">
        <v>0</v>
      </c>
      <c r="H227" s="408">
        <v>0.28594771241829797</v>
      </c>
      <c r="I227" s="408">
        <v>1</v>
      </c>
    </row>
    <row r="228" spans="1:9" x14ac:dyDescent="0.25">
      <c r="B228" s="408">
        <v>0.23774509803921609</v>
      </c>
      <c r="C228" s="408">
        <v>0</v>
      </c>
      <c r="D228" s="408">
        <v>0.97773972602739578</v>
      </c>
      <c r="G228" s="408">
        <v>0.28594771241829797</v>
      </c>
      <c r="H228" s="408">
        <v>0</v>
      </c>
      <c r="I228" s="408">
        <v>0.9918300653594756</v>
      </c>
    </row>
    <row r="229" spans="1:9" x14ac:dyDescent="0.25">
      <c r="B229" s="408">
        <v>1</v>
      </c>
      <c r="C229" s="408">
        <v>0.97773972602739578</v>
      </c>
      <c r="D229" s="408">
        <v>0</v>
      </c>
      <c r="G229" s="408">
        <v>1</v>
      </c>
      <c r="H229" s="408">
        <v>0.9918300653594756</v>
      </c>
      <c r="I229" s="408">
        <v>0</v>
      </c>
    </row>
    <row r="231" spans="1:9" x14ac:dyDescent="0.25">
      <c r="A231" s="92" t="s">
        <v>14</v>
      </c>
      <c r="B231" s="408">
        <v>0</v>
      </c>
      <c r="C231" s="408">
        <v>1</v>
      </c>
      <c r="D231" s="408">
        <v>0.23901635446563471</v>
      </c>
      <c r="F231" s="92" t="s">
        <v>14</v>
      </c>
      <c r="G231" s="408">
        <v>0</v>
      </c>
      <c r="H231" s="408">
        <v>1</v>
      </c>
      <c r="I231" s="408">
        <v>0.28688524590163927</v>
      </c>
    </row>
    <row r="232" spans="1:9" x14ac:dyDescent="0.25">
      <c r="B232" s="408">
        <v>1</v>
      </c>
      <c r="C232" s="408">
        <v>0</v>
      </c>
      <c r="D232" s="408">
        <v>0.9759862778730708</v>
      </c>
      <c r="G232" s="408">
        <v>1</v>
      </c>
      <c r="H232" s="408">
        <v>0</v>
      </c>
      <c r="I232" s="408">
        <v>0.99180327868852458</v>
      </c>
    </row>
    <row r="233" spans="1:9" x14ac:dyDescent="0.25">
      <c r="B233" s="408">
        <v>0.23901635446563471</v>
      </c>
      <c r="C233" s="408">
        <v>0.9759862778730708</v>
      </c>
      <c r="D233" s="408">
        <v>0</v>
      </c>
      <c r="G233" s="408">
        <v>0.28688524590163927</v>
      </c>
      <c r="H233" s="408">
        <v>0.99180327868852458</v>
      </c>
      <c r="I233" s="408">
        <v>0</v>
      </c>
    </row>
    <row r="235" spans="1:9" x14ac:dyDescent="0.25">
      <c r="A235" s="92" t="s">
        <v>15</v>
      </c>
      <c r="B235" s="408">
        <v>0</v>
      </c>
      <c r="C235" s="408">
        <v>0.1726722858159441</v>
      </c>
      <c r="D235" s="408">
        <v>0.98265179677819414</v>
      </c>
      <c r="F235" s="92" t="s">
        <v>15</v>
      </c>
      <c r="G235" s="408">
        <v>0</v>
      </c>
      <c r="H235" s="408">
        <v>0.2056074766355046</v>
      </c>
      <c r="I235" s="408">
        <v>0.99299065420559873</v>
      </c>
    </row>
    <row r="236" spans="1:9" x14ac:dyDescent="0.25">
      <c r="B236" s="408">
        <v>0.1726722858159441</v>
      </c>
      <c r="C236" s="408">
        <v>0</v>
      </c>
      <c r="D236" s="408">
        <v>1</v>
      </c>
      <c r="G236" s="408">
        <v>0.2056074766355046</v>
      </c>
      <c r="H236" s="408">
        <v>0</v>
      </c>
      <c r="I236" s="408">
        <v>1</v>
      </c>
    </row>
    <row r="237" spans="1:9" x14ac:dyDescent="0.25">
      <c r="B237" s="408">
        <v>0.98265179677819414</v>
      </c>
      <c r="C237" s="408">
        <v>1</v>
      </c>
      <c r="D237" s="408">
        <v>0</v>
      </c>
      <c r="G237" s="408">
        <v>0.99299065420559873</v>
      </c>
      <c r="H237" s="408">
        <v>1</v>
      </c>
      <c r="I237" s="408">
        <v>0</v>
      </c>
    </row>
    <row r="239" spans="1:9" x14ac:dyDescent="0.25">
      <c r="A239" s="92" t="s">
        <v>17</v>
      </c>
      <c r="B239" s="408">
        <v>0</v>
      </c>
      <c r="C239" s="408">
        <v>1</v>
      </c>
      <c r="D239" s="408">
        <v>0.2689454160042406</v>
      </c>
      <c r="F239" s="92" t="s">
        <v>17</v>
      </c>
      <c r="G239" s="408">
        <v>0</v>
      </c>
      <c r="H239" s="408">
        <v>1</v>
      </c>
      <c r="I239" s="408">
        <v>0.3451676528599581</v>
      </c>
    </row>
    <row r="240" spans="1:9" x14ac:dyDescent="0.25">
      <c r="B240" s="408">
        <v>1</v>
      </c>
      <c r="C240" s="408">
        <v>0</v>
      </c>
      <c r="D240" s="408">
        <v>0.96911196911196917</v>
      </c>
      <c r="G240" s="408">
        <v>1</v>
      </c>
      <c r="H240" s="408">
        <v>0</v>
      </c>
      <c r="I240" s="408">
        <v>0.98619329388560084</v>
      </c>
    </row>
    <row r="241" spans="1:9" x14ac:dyDescent="0.25">
      <c r="B241" s="408">
        <v>0.2689454160042406</v>
      </c>
      <c r="C241" s="408">
        <v>0.96911196911196917</v>
      </c>
      <c r="D241" s="408">
        <v>0</v>
      </c>
      <c r="G241" s="408">
        <v>0.3451676528599581</v>
      </c>
      <c r="H241" s="408">
        <v>0.98619329388560084</v>
      </c>
      <c r="I241" s="408">
        <v>0</v>
      </c>
    </row>
    <row r="243" spans="1:9" x14ac:dyDescent="0.25">
      <c r="A243" s="92" t="s">
        <v>18</v>
      </c>
      <c r="B243" s="408">
        <v>0</v>
      </c>
      <c r="C243" s="408">
        <v>1</v>
      </c>
      <c r="D243" s="408">
        <v>1</v>
      </c>
      <c r="F243" s="92" t="s">
        <v>18</v>
      </c>
      <c r="G243" s="408">
        <v>0</v>
      </c>
      <c r="H243" s="408">
        <v>1</v>
      </c>
      <c r="I243" s="408">
        <v>1</v>
      </c>
    </row>
    <row r="244" spans="1:9" x14ac:dyDescent="0.25">
      <c r="B244" s="408">
        <v>1</v>
      </c>
      <c r="C244" s="408">
        <v>0</v>
      </c>
      <c r="D244" s="408">
        <v>0</v>
      </c>
      <c r="G244" s="408">
        <v>1</v>
      </c>
      <c r="H244" s="408">
        <v>0</v>
      </c>
      <c r="I244" s="408">
        <v>0</v>
      </c>
    </row>
    <row r="245" spans="1:9" x14ac:dyDescent="0.25">
      <c r="B245" s="408">
        <v>1</v>
      </c>
      <c r="C245" s="408">
        <v>0</v>
      </c>
      <c r="D245" s="408">
        <v>0</v>
      </c>
      <c r="G245" s="408">
        <v>1</v>
      </c>
      <c r="H245" s="408">
        <v>0</v>
      </c>
      <c r="I245" s="408">
        <v>0</v>
      </c>
    </row>
    <row r="247" spans="1:9" x14ac:dyDescent="0.25">
      <c r="A247" s="92" t="s">
        <v>19</v>
      </c>
      <c r="B247" s="408">
        <v>0</v>
      </c>
      <c r="C247" s="408">
        <v>1</v>
      </c>
      <c r="D247" s="408">
        <v>1</v>
      </c>
      <c r="F247" s="92" t="s">
        <v>19</v>
      </c>
      <c r="G247" s="408">
        <v>0</v>
      </c>
      <c r="H247" s="408">
        <v>1</v>
      </c>
      <c r="I247" s="408">
        <v>0.99425287356321701</v>
      </c>
    </row>
    <row r="248" spans="1:9" x14ac:dyDescent="0.25">
      <c r="B248" s="408">
        <v>1</v>
      </c>
      <c r="C248" s="408">
        <v>0</v>
      </c>
      <c r="D248" s="408">
        <v>0</v>
      </c>
      <c r="G248" s="408">
        <v>1</v>
      </c>
      <c r="H248" s="408">
        <v>0</v>
      </c>
      <c r="I248" s="408">
        <v>5.7471264367829691E-3</v>
      </c>
    </row>
    <row r="249" spans="1:9" x14ac:dyDescent="0.25">
      <c r="B249" s="408">
        <v>1</v>
      </c>
      <c r="C249" s="408">
        <v>0</v>
      </c>
      <c r="D249" s="408">
        <v>0</v>
      </c>
      <c r="G249" s="408">
        <v>0.99425287356321701</v>
      </c>
      <c r="H249" s="408">
        <v>5.7471264367829691E-3</v>
      </c>
      <c r="I249" s="408">
        <v>0</v>
      </c>
    </row>
    <row r="251" spans="1:9" x14ac:dyDescent="0.25">
      <c r="A251" s="92" t="s">
        <v>20</v>
      </c>
      <c r="B251" s="408">
        <v>0</v>
      </c>
      <c r="C251" s="408">
        <v>1</v>
      </c>
      <c r="D251" s="408">
        <v>1</v>
      </c>
      <c r="F251" s="92" t="s">
        <v>20</v>
      </c>
      <c r="G251" s="410">
        <v>0</v>
      </c>
      <c r="H251" s="410">
        <v>1</v>
      </c>
      <c r="I251" s="410">
        <v>0.99421965317918937</v>
      </c>
    </row>
    <row r="252" spans="1:9" x14ac:dyDescent="0.25">
      <c r="B252" s="408">
        <v>1</v>
      </c>
      <c r="C252" s="408">
        <v>0</v>
      </c>
      <c r="D252" s="408">
        <v>0</v>
      </c>
      <c r="G252" s="410">
        <v>1</v>
      </c>
      <c r="H252" s="410">
        <v>0</v>
      </c>
      <c r="I252" s="410">
        <v>5.7803468208107844E-3</v>
      </c>
    </row>
    <row r="253" spans="1:9" x14ac:dyDescent="0.25">
      <c r="B253" s="408">
        <v>1</v>
      </c>
      <c r="C253" s="408">
        <v>0</v>
      </c>
      <c r="D253" s="408">
        <v>0</v>
      </c>
      <c r="G253" s="410">
        <v>0.99421965317918937</v>
      </c>
      <c r="H253" s="410">
        <v>5.7803468208107844E-3</v>
      </c>
      <c r="I253" s="410">
        <v>0</v>
      </c>
    </row>
    <row r="255" spans="1:9" x14ac:dyDescent="0.25">
      <c r="A255" s="92" t="s">
        <v>22</v>
      </c>
      <c r="B255" s="408">
        <v>0</v>
      </c>
      <c r="C255" s="408">
        <v>1</v>
      </c>
      <c r="D255" s="408">
        <v>1</v>
      </c>
      <c r="F255" s="92" t="s">
        <v>22</v>
      </c>
      <c r="G255" s="408">
        <v>0</v>
      </c>
      <c r="H255" s="408">
        <v>1</v>
      </c>
      <c r="I255" s="408">
        <v>1</v>
      </c>
    </row>
    <row r="256" spans="1:9" x14ac:dyDescent="0.25">
      <c r="B256" s="408">
        <v>1</v>
      </c>
      <c r="C256" s="408">
        <v>0</v>
      </c>
      <c r="D256" s="408">
        <v>0</v>
      </c>
      <c r="G256" s="408">
        <v>1</v>
      </c>
      <c r="H256" s="408">
        <v>0</v>
      </c>
      <c r="I256" s="408">
        <v>0</v>
      </c>
    </row>
    <row r="257" spans="1:9" x14ac:dyDescent="0.25">
      <c r="B257" s="408">
        <v>1</v>
      </c>
      <c r="C257" s="408">
        <v>0</v>
      </c>
      <c r="D257" s="408">
        <v>0</v>
      </c>
      <c r="G257" s="408">
        <v>1</v>
      </c>
      <c r="H257" s="408">
        <v>0</v>
      </c>
      <c r="I257" s="408">
        <v>0</v>
      </c>
    </row>
    <row r="259" spans="1:9" x14ac:dyDescent="0.25">
      <c r="A259" s="92" t="s">
        <v>23</v>
      </c>
      <c r="B259" s="408">
        <v>0</v>
      </c>
      <c r="C259" s="408">
        <v>1</v>
      </c>
      <c r="D259" s="408">
        <v>1</v>
      </c>
      <c r="F259" s="92" t="s">
        <v>23</v>
      </c>
      <c r="G259" s="408">
        <v>0</v>
      </c>
      <c r="H259" s="408">
        <v>1</v>
      </c>
      <c r="I259" s="408">
        <v>1</v>
      </c>
    </row>
    <row r="260" spans="1:9" x14ac:dyDescent="0.25">
      <c r="B260" s="408">
        <v>1</v>
      </c>
      <c r="C260" s="408">
        <v>0</v>
      </c>
      <c r="D260" s="408">
        <v>0</v>
      </c>
      <c r="G260" s="408">
        <v>1</v>
      </c>
      <c r="H260" s="408">
        <v>0</v>
      </c>
      <c r="I260" s="408">
        <v>0</v>
      </c>
    </row>
    <row r="261" spans="1:9" x14ac:dyDescent="0.25">
      <c r="B261" s="408">
        <v>1</v>
      </c>
      <c r="C261" s="408">
        <v>0</v>
      </c>
      <c r="D261" s="408">
        <v>0</v>
      </c>
      <c r="G261" s="408">
        <v>1</v>
      </c>
      <c r="H261" s="408">
        <v>0</v>
      </c>
      <c r="I261" s="408">
        <v>0</v>
      </c>
    </row>
    <row r="263" spans="1:9" x14ac:dyDescent="0.25">
      <c r="A263" s="489" t="s">
        <v>185</v>
      </c>
      <c r="B263" s="490"/>
      <c r="C263" s="490"/>
      <c r="D263" s="490"/>
      <c r="E263" s="490"/>
      <c r="F263" s="490"/>
      <c r="G263" s="490"/>
      <c r="H263" s="490"/>
      <c r="I263" s="490"/>
    </row>
    <row r="264" spans="1:9" x14ac:dyDescent="0.25">
      <c r="A264" s="463" t="s">
        <v>313</v>
      </c>
      <c r="B264" s="462"/>
      <c r="C264" s="462"/>
      <c r="D264" s="462"/>
      <c r="F264" s="92" t="s">
        <v>314</v>
      </c>
    </row>
    <row r="265" spans="1:9" x14ac:dyDescent="0.25">
      <c r="A265" s="128"/>
    </row>
    <row r="266" spans="1:9" x14ac:dyDescent="0.25">
      <c r="A266" s="92" t="s">
        <v>24</v>
      </c>
      <c r="B266" s="97">
        <f>$B$174*B180+(1-$B$174)*(1-B223)</f>
        <v>1</v>
      </c>
      <c r="C266" s="97">
        <f t="shared" ref="C266:D266" si="121">$B$174*C180+(1-$B$174)*(1-C223)</f>
        <v>0.2488170855468344</v>
      </c>
      <c r="D266" s="97">
        <f t="shared" si="121"/>
        <v>0.24736431081608445</v>
      </c>
      <c r="F266" s="92" t="s">
        <v>24</v>
      </c>
      <c r="G266" s="97">
        <f>$B$174*G180+(1-$B$174)*(1-G223)</f>
        <v>1</v>
      </c>
      <c r="H266" s="97">
        <f t="shared" ref="H266:I266" si="122">$B$174*H180+(1-$B$174)*(1-H223)</f>
        <v>0.21276595744680374</v>
      </c>
      <c r="I266" s="97">
        <f t="shared" si="122"/>
        <v>0.21276595744680374</v>
      </c>
    </row>
    <row r="267" spans="1:9" x14ac:dyDescent="0.25">
      <c r="B267" s="97">
        <f t="shared" ref="B267:D268" si="123">$B$174*B181+(1-$B$174)*(1-B224)</f>
        <v>0.2488170855468344</v>
      </c>
      <c r="C267" s="97">
        <f t="shared" si="123"/>
        <v>1</v>
      </c>
      <c r="D267" s="97">
        <f t="shared" si="123"/>
        <v>0.99823061025000126</v>
      </c>
      <c r="G267" s="97">
        <f t="shared" ref="G267:I267" si="124">$B$174*G181+(1-$B$174)*(1-G224)</f>
        <v>0.21276595744680374</v>
      </c>
      <c r="H267" s="97">
        <f t="shared" si="124"/>
        <v>1</v>
      </c>
      <c r="I267" s="97">
        <f t="shared" si="124"/>
        <v>1</v>
      </c>
    </row>
    <row r="268" spans="1:9" x14ac:dyDescent="0.25">
      <c r="B268" s="97">
        <f t="shared" si="123"/>
        <v>0.24736431081608445</v>
      </c>
      <c r="C268" s="97">
        <f t="shared" si="123"/>
        <v>0.99823061025000126</v>
      </c>
      <c r="D268" s="97">
        <f>$B$174*D182+(1-$B$174)*(1-D225)</f>
        <v>1</v>
      </c>
      <c r="G268" s="97">
        <f t="shared" ref="G268:H268" si="125">$B$174*G182+(1-$B$174)*(1-G225)</f>
        <v>0.21276595744680374</v>
      </c>
      <c r="H268" s="97">
        <f t="shared" si="125"/>
        <v>1</v>
      </c>
      <c r="I268" s="97">
        <f>$B$174*I182+(1-$B$174)*(1-I225)</f>
        <v>1</v>
      </c>
    </row>
    <row r="269" spans="1:9" x14ac:dyDescent="0.25">
      <c r="B269" s="97"/>
      <c r="C269" s="97"/>
      <c r="D269" s="97"/>
      <c r="G269" s="97"/>
      <c r="H269" s="97"/>
      <c r="I269" s="97"/>
    </row>
    <row r="270" spans="1:9" x14ac:dyDescent="0.25">
      <c r="A270" s="92" t="s">
        <v>13</v>
      </c>
      <c r="B270" s="97">
        <f>$B$174*B184+(1-$B$174)*(1-B227)</f>
        <v>1</v>
      </c>
      <c r="C270" s="97">
        <f t="shared" ref="C270:D270" si="126">$B$174*C184+(1-$B$174)*(1-C227)</f>
        <v>0.80413331229197871</v>
      </c>
      <c r="D270" s="97">
        <f t="shared" si="126"/>
        <v>0.3112947658402212</v>
      </c>
      <c r="F270" s="92" t="s">
        <v>13</v>
      </c>
      <c r="G270" s="97">
        <f>$B$174*G184+(1-$B$174)*(1-G227)</f>
        <v>1</v>
      </c>
      <c r="H270" s="97">
        <f t="shared" ref="H270:I270" si="127">$B$174*H184+(1-$B$174)*(1-H227)</f>
        <v>0.75759076110578805</v>
      </c>
      <c r="I270" s="97">
        <f t="shared" si="127"/>
        <v>0.29026774330640887</v>
      </c>
    </row>
    <row r="271" spans="1:9" x14ac:dyDescent="0.25">
      <c r="B271" s="97">
        <f t="shared" ref="B271:D271" si="128">$B$174*B185+(1-$B$174)*(1-B228)</f>
        <v>0.80413331229197871</v>
      </c>
      <c r="C271" s="97">
        <f t="shared" si="128"/>
        <v>1</v>
      </c>
      <c r="D271" s="97">
        <f t="shared" si="128"/>
        <v>0.31945296170257004</v>
      </c>
      <c r="G271" s="97">
        <f t="shared" ref="G271:I271" si="129">$B$174*G185+(1-$B$174)*(1-G228)</f>
        <v>0.75759076110578805</v>
      </c>
      <c r="H271" s="97">
        <f t="shared" si="129"/>
        <v>1</v>
      </c>
      <c r="I271" s="97">
        <f t="shared" si="129"/>
        <v>0.28615393283750074</v>
      </c>
    </row>
    <row r="272" spans="1:9" x14ac:dyDescent="0.25">
      <c r="B272" s="97">
        <f t="shared" ref="B272:C272" si="130">$B$174*B186+(1-$B$174)*(1-B229)</f>
        <v>0.3112947658402212</v>
      </c>
      <c r="C272" s="97">
        <f t="shared" si="130"/>
        <v>0.31945296170257004</v>
      </c>
      <c r="D272" s="97">
        <f>$B$174*D186+(1-$B$174)*(1-D229)</f>
        <v>1</v>
      </c>
      <c r="G272" s="97">
        <f t="shared" ref="G272:H272" si="131">$B$174*G186+(1-$B$174)*(1-G229)</f>
        <v>0.29026774330640887</v>
      </c>
      <c r="H272" s="97">
        <f t="shared" si="131"/>
        <v>0.28615393283750074</v>
      </c>
      <c r="I272" s="97">
        <f>$B$174*I186+(1-$B$174)*(1-I229)</f>
        <v>1</v>
      </c>
    </row>
    <row r="273" spans="1:9" x14ac:dyDescent="0.25">
      <c r="B273" s="97"/>
      <c r="C273" s="97"/>
      <c r="D273" s="97"/>
      <c r="G273" s="97"/>
      <c r="H273" s="97"/>
      <c r="I273" s="97"/>
    </row>
    <row r="274" spans="1:9" x14ac:dyDescent="0.25">
      <c r="A274" s="92" t="s">
        <v>14</v>
      </c>
      <c r="B274" s="97">
        <f>$B$174*B188+(1-$B$174)*(1-B231)</f>
        <v>1</v>
      </c>
      <c r="C274" s="97">
        <f t="shared" ref="C274:D274" si="132">$B$174*C188+(1-$B$174)*(1-C231)</f>
        <v>0.27257604562737675</v>
      </c>
      <c r="D274" s="97">
        <f t="shared" si="132"/>
        <v>0.77866779855660861</v>
      </c>
      <c r="F274" s="92" t="s">
        <v>14</v>
      </c>
      <c r="G274" s="97">
        <f>$B$174*G188+(1-$B$174)*(1-G231)</f>
        <v>1</v>
      </c>
      <c r="H274" s="97">
        <f t="shared" ref="H274:I274" si="133">$B$174*H188+(1-$B$174)*(1-H231)</f>
        <v>0.2448132780082985</v>
      </c>
      <c r="I274" s="97">
        <f t="shared" si="133"/>
        <v>0.72131846919935116</v>
      </c>
    </row>
    <row r="275" spans="1:9" x14ac:dyDescent="0.25">
      <c r="B275" s="97">
        <f t="shared" ref="B275:D275" si="134">$B$174*B189+(1-$B$174)*(1-B232)</f>
        <v>0.27257604562737675</v>
      </c>
      <c r="C275" s="97">
        <f t="shared" si="134"/>
        <v>1</v>
      </c>
      <c r="D275" s="97">
        <f t="shared" si="134"/>
        <v>0.2778492103679473</v>
      </c>
      <c r="G275" s="97">
        <f t="shared" ref="G275:I275" si="135">$B$174*G189+(1-$B$174)*(1-G232)</f>
        <v>0.2448132780082985</v>
      </c>
      <c r="H275" s="97">
        <f t="shared" si="135"/>
        <v>1</v>
      </c>
      <c r="I275" s="97">
        <f t="shared" si="135"/>
        <v>0.2340983606557388</v>
      </c>
    </row>
    <row r="276" spans="1:9" x14ac:dyDescent="0.25">
      <c r="B276" s="97">
        <f t="shared" ref="B276:C276" si="136">$B$174*B190+(1-$B$174)*(1-B233)</f>
        <v>0.77866779855660861</v>
      </c>
      <c r="C276" s="97">
        <f t="shared" si="136"/>
        <v>0.2778492103679473</v>
      </c>
      <c r="D276" s="97">
        <f>$B$174*D190+(1-$B$174)*(1-D233)</f>
        <v>1</v>
      </c>
      <c r="G276" s="97">
        <f t="shared" ref="G276:H276" si="137">$B$174*G190+(1-$B$174)*(1-G233)</f>
        <v>0.72131846919935116</v>
      </c>
      <c r="H276" s="97">
        <f t="shared" si="137"/>
        <v>0.2340983606557388</v>
      </c>
      <c r="I276" s="97">
        <f>$B$174*I190+(1-$B$174)*(1-I233)</f>
        <v>1</v>
      </c>
    </row>
    <row r="277" spans="1:9" x14ac:dyDescent="0.25">
      <c r="B277" s="97"/>
      <c r="C277" s="97"/>
      <c r="D277" s="97"/>
      <c r="G277" s="97"/>
      <c r="H277" s="97"/>
      <c r="I277" s="97"/>
    </row>
    <row r="278" spans="1:9" x14ac:dyDescent="0.25">
      <c r="A278" s="92" t="s">
        <v>15</v>
      </c>
      <c r="B278" s="97">
        <f>$B$174*B192+(1-$B$174)*(1-B235)</f>
        <v>1</v>
      </c>
      <c r="C278" s="97">
        <f t="shared" ref="C278:D278" si="138">$B$174*C192+(1-$B$174)*(1-C235)</f>
        <v>0.85143678103845732</v>
      </c>
      <c r="D278" s="97">
        <f t="shared" si="138"/>
        <v>0.28802563744708393</v>
      </c>
      <c r="F278" s="92" t="s">
        <v>15</v>
      </c>
      <c r="G278" s="97">
        <f>$B$174*G192+(1-$B$174)*(1-G235)</f>
        <v>1</v>
      </c>
      <c r="H278" s="97">
        <f t="shared" ref="H278:I278" si="139">$B$174*H192+(1-$B$174)*(1-H235)</f>
        <v>0.81840537962096604</v>
      </c>
      <c r="I278" s="97">
        <f t="shared" si="139"/>
        <v>0.25516030203635781</v>
      </c>
    </row>
    <row r="279" spans="1:9" x14ac:dyDescent="0.25">
      <c r="B279" s="97">
        <f t="shared" ref="B279:D279" si="140">$B$174*B193+(1-$B$174)*(1-B236)</f>
        <v>0.85143678103845732</v>
      </c>
      <c r="C279" s="97">
        <f t="shared" si="140"/>
        <v>1</v>
      </c>
      <c r="D279" s="97">
        <f t="shared" si="140"/>
        <v>0.26181172291297083</v>
      </c>
      <c r="G279" s="97">
        <f t="shared" ref="G279:I279" si="141">$B$174*G193+(1-$B$174)*(1-G236)</f>
        <v>0.81840537962096604</v>
      </c>
      <c r="H279" s="97">
        <f t="shared" si="141"/>
        <v>1</v>
      </c>
      <c r="I279" s="97">
        <f t="shared" si="141"/>
        <v>0.23051570376115499</v>
      </c>
    </row>
    <row r="280" spans="1:9" x14ac:dyDescent="0.25">
      <c r="B280" s="97">
        <f t="shared" ref="B280:C280" si="142">$B$174*B194+(1-$B$174)*(1-B237)</f>
        <v>0.28802563744708393</v>
      </c>
      <c r="C280" s="97">
        <f t="shared" si="142"/>
        <v>0.26181172291297083</v>
      </c>
      <c r="D280" s="97">
        <f>$B$174*D194+(1-$B$174)*(1-D237)</f>
        <v>1</v>
      </c>
      <c r="G280" s="97">
        <f t="shared" ref="G280:H280" si="143">$B$174*G194+(1-$B$174)*(1-G237)</f>
        <v>0.25516030203635781</v>
      </c>
      <c r="H280" s="97">
        <f t="shared" si="143"/>
        <v>0.23051570376115499</v>
      </c>
      <c r="I280" s="97">
        <f>$B$174*I194+(1-$B$174)*(1-I237)</f>
        <v>1</v>
      </c>
    </row>
    <row r="281" spans="1:9" x14ac:dyDescent="0.25">
      <c r="B281" s="97"/>
      <c r="C281" s="97"/>
      <c r="D281" s="97"/>
      <c r="G281" s="97"/>
      <c r="H281" s="97"/>
      <c r="I281" s="97"/>
    </row>
    <row r="282" spans="1:9" x14ac:dyDescent="0.25">
      <c r="A282" s="92" t="s">
        <v>17</v>
      </c>
      <c r="B282" s="97">
        <f>$B$174*B196+(1-$B$174)*(1-B239)</f>
        <v>1</v>
      </c>
      <c r="C282" s="97">
        <f t="shared" ref="C282:D282" si="144">$B$174*C196+(1-$B$174)*(1-C239)</f>
        <v>0.38900928792569711</v>
      </c>
      <c r="D282" s="97">
        <f t="shared" si="144"/>
        <v>0.81705900028786882</v>
      </c>
      <c r="F282" s="92" t="s">
        <v>17</v>
      </c>
      <c r="G282" s="97">
        <f>$B$174*G196+(1-$B$174)*(1-G239)</f>
        <v>1</v>
      </c>
      <c r="H282" s="97">
        <f t="shared" ref="H282:I282" si="145">$B$174*H196+(1-$B$174)*(1-H239)</f>
        <v>0.38225483655770043</v>
      </c>
      <c r="I282" s="97">
        <f t="shared" si="145"/>
        <v>0.76807510281000646</v>
      </c>
    </row>
    <row r="283" spans="1:9" x14ac:dyDescent="0.25">
      <c r="B283" s="97">
        <f t="shared" ref="B283:D283" si="146">$B$174*B197+(1-$B$174)*(1-B240)</f>
        <v>0.38900928792569711</v>
      </c>
      <c r="C283" s="97">
        <f t="shared" si="146"/>
        <v>1</v>
      </c>
      <c r="D283" s="97">
        <f t="shared" si="146"/>
        <v>0.4069611443184033</v>
      </c>
      <c r="G283" s="97">
        <f t="shared" ref="G283:I283" si="147">$B$174*G197+(1-$B$174)*(1-G240)</f>
        <v>0.38225483655770043</v>
      </c>
      <c r="H283" s="97">
        <f t="shared" si="147"/>
        <v>1</v>
      </c>
      <c r="I283" s="97">
        <f t="shared" si="147"/>
        <v>0.38926673133966522</v>
      </c>
    </row>
    <row r="284" spans="1:9" x14ac:dyDescent="0.25">
      <c r="B284" s="97">
        <f t="shared" ref="B284:C284" si="148">$B$174*B198+(1-$B$174)*(1-B241)</f>
        <v>0.81705900028786882</v>
      </c>
      <c r="C284" s="97">
        <f t="shared" si="148"/>
        <v>0.4069611443184033</v>
      </c>
      <c r="D284" s="97">
        <f>$B$174*D198+(1-$B$174)*(1-D241)</f>
        <v>1</v>
      </c>
      <c r="G284" s="97">
        <f t="shared" ref="G284:H284" si="149">$B$174*G198+(1-$B$174)*(1-G241)</f>
        <v>0.76807510281000646</v>
      </c>
      <c r="H284" s="97">
        <f t="shared" si="149"/>
        <v>0.38926673133966522</v>
      </c>
      <c r="I284" s="97">
        <f>$B$174*I198+(1-$B$174)*(1-I241)</f>
        <v>1</v>
      </c>
    </row>
    <row r="285" spans="1:9" x14ac:dyDescent="0.25">
      <c r="B285" s="97"/>
      <c r="C285" s="97"/>
      <c r="D285" s="97"/>
      <c r="G285" s="97"/>
      <c r="H285" s="97"/>
      <c r="I285" s="97"/>
    </row>
    <row r="286" spans="1:9" x14ac:dyDescent="0.25">
      <c r="A286" s="92" t="s">
        <v>18</v>
      </c>
      <c r="B286" s="97">
        <f>$B$174*B200+(1-$B$174)*(1-B243)</f>
        <v>1</v>
      </c>
      <c r="C286" s="97">
        <f t="shared" ref="C286:D286" si="150">$B$174*C200+(1-$B$174)*(1-C243)</f>
        <v>0.38129973474801238</v>
      </c>
      <c r="D286" s="97">
        <f t="shared" si="150"/>
        <v>0.38129973474801238</v>
      </c>
      <c r="F286" s="92" t="s">
        <v>18</v>
      </c>
      <c r="G286" s="97">
        <f>$B$174*G200+(1-$B$174)*(1-G243)</f>
        <v>1</v>
      </c>
      <c r="H286" s="97">
        <f t="shared" ref="H286:I286" si="151">$B$174*H200+(1-$B$174)*(1-H243)</f>
        <v>0.37596899224806341</v>
      </c>
      <c r="I286" s="97">
        <f t="shared" si="151"/>
        <v>0.37596899224806341</v>
      </c>
    </row>
    <row r="287" spans="1:9" x14ac:dyDescent="0.25">
      <c r="B287" s="97">
        <f t="shared" ref="B287:D287" si="152">$B$174*B201+(1-$B$174)*(1-B244)</f>
        <v>0.38129973474801238</v>
      </c>
      <c r="C287" s="97">
        <f t="shared" si="152"/>
        <v>1</v>
      </c>
      <c r="D287" s="97">
        <f t="shared" si="152"/>
        <v>1</v>
      </c>
      <c r="G287" s="97">
        <f t="shared" ref="G287:I287" si="153">$B$174*G201+(1-$B$174)*(1-G244)</f>
        <v>0.37596899224806341</v>
      </c>
      <c r="H287" s="97">
        <f t="shared" si="153"/>
        <v>1</v>
      </c>
      <c r="I287" s="97">
        <f t="shared" si="153"/>
        <v>1</v>
      </c>
    </row>
    <row r="288" spans="1:9" x14ac:dyDescent="0.25">
      <c r="B288" s="97">
        <f t="shared" ref="B288:C288" si="154">$B$174*B202+(1-$B$174)*(1-B245)</f>
        <v>0.38129973474801238</v>
      </c>
      <c r="C288" s="97">
        <f t="shared" si="154"/>
        <v>1</v>
      </c>
      <c r="D288" s="97">
        <f>$B$174*D202+(1-$B$174)*(1-D245)</f>
        <v>1</v>
      </c>
      <c r="G288" s="97">
        <f t="shared" ref="G288:H288" si="155">$B$174*G202+(1-$B$174)*(1-G245)</f>
        <v>0.37596899224806341</v>
      </c>
      <c r="H288" s="97">
        <f t="shared" si="155"/>
        <v>1</v>
      </c>
      <c r="I288" s="97">
        <f>$B$174*I202+(1-$B$174)*(1-I245)</f>
        <v>1</v>
      </c>
    </row>
    <row r="289" spans="1:9" x14ac:dyDescent="0.25">
      <c r="B289" s="97"/>
      <c r="C289" s="97"/>
      <c r="D289" s="97"/>
      <c r="G289" s="97"/>
      <c r="H289" s="97"/>
      <c r="I289" s="97"/>
    </row>
    <row r="290" spans="1:9" x14ac:dyDescent="0.25">
      <c r="A290" s="92" t="s">
        <v>19</v>
      </c>
      <c r="B290" s="97">
        <f>$B$174*B204+(1-$B$174)*(1-B247)</f>
        <v>1</v>
      </c>
      <c r="C290" s="97">
        <f t="shared" ref="C290:D290" si="156">$B$174*C204+(1-$B$174)*(1-C247)</f>
        <v>0.4359385063553417</v>
      </c>
      <c r="D290" s="97">
        <f t="shared" si="156"/>
        <v>0.4359385063553417</v>
      </c>
      <c r="F290" s="92" t="s">
        <v>19</v>
      </c>
      <c r="G290" s="97">
        <f>$B$174*G204+(1-$B$174)*(1-G247)</f>
        <v>1</v>
      </c>
      <c r="H290" s="97">
        <f t="shared" ref="H290:I290" si="157">$B$174*H204+(1-$B$174)*(1-H247)</f>
        <v>0.41942886282508818</v>
      </c>
      <c r="I290" s="97">
        <f t="shared" si="157"/>
        <v>0.42255739799656411</v>
      </c>
    </row>
    <row r="291" spans="1:9" x14ac:dyDescent="0.25">
      <c r="B291" s="97">
        <f t="shared" ref="B291:D291" si="158">$B$174*B205+(1-$B$174)*(1-B248)</f>
        <v>0.4359385063553417</v>
      </c>
      <c r="C291" s="97">
        <f t="shared" si="158"/>
        <v>1</v>
      </c>
      <c r="D291" s="97">
        <f t="shared" si="158"/>
        <v>1</v>
      </c>
      <c r="G291" s="97">
        <f t="shared" ref="G291:I291" si="159">$B$174*G205+(1-$B$174)*(1-G248)</f>
        <v>0.41942886282508818</v>
      </c>
      <c r="H291" s="97">
        <f t="shared" si="159"/>
        <v>1</v>
      </c>
      <c r="I291" s="97">
        <f t="shared" si="159"/>
        <v>0.99682267007444014</v>
      </c>
    </row>
    <row r="292" spans="1:9" x14ac:dyDescent="0.25">
      <c r="B292" s="97">
        <f t="shared" ref="B292:C292" si="160">$B$174*B206+(1-$B$174)*(1-B249)</f>
        <v>0.4359385063553417</v>
      </c>
      <c r="C292" s="97">
        <f t="shared" si="160"/>
        <v>1</v>
      </c>
      <c r="D292" s="97">
        <f>$B$174*D206+(1-$B$174)*(1-D249)</f>
        <v>1</v>
      </c>
      <c r="G292" s="97">
        <f t="shared" ref="G292:H292" si="161">$B$174*G206+(1-$B$174)*(1-G249)</f>
        <v>0.42255739799656411</v>
      </c>
      <c r="H292" s="97">
        <f t="shared" si="161"/>
        <v>0.99682267007444014</v>
      </c>
      <c r="I292" s="97">
        <f>$B$174*I206+(1-$B$174)*(1-I249)</f>
        <v>1</v>
      </c>
    </row>
    <row r="293" spans="1:9" x14ac:dyDescent="0.25">
      <c r="B293" s="97"/>
      <c r="C293" s="97"/>
      <c r="D293" s="97"/>
      <c r="G293" s="97"/>
      <c r="H293" s="97"/>
      <c r="I293" s="97"/>
    </row>
    <row r="294" spans="1:9" x14ac:dyDescent="0.25">
      <c r="A294" s="92" t="s">
        <v>20</v>
      </c>
      <c r="B294" s="97">
        <f>$B$174*B208+(1-$B$174)*(1-B251)</f>
        <v>1</v>
      </c>
      <c r="C294" s="97">
        <f t="shared" ref="C294:D294" si="162">$B$174*C208+(1-$B$174)*(1-C251)</f>
        <v>0.45406053268049995</v>
      </c>
      <c r="D294" s="97">
        <f t="shared" si="162"/>
        <v>0.45406053268049995</v>
      </c>
      <c r="F294" s="92" t="s">
        <v>20</v>
      </c>
      <c r="G294" s="97">
        <f>$B$174*G208+(1-$B$174)*(1-G251)</f>
        <v>1</v>
      </c>
      <c r="H294" s="97">
        <f t="shared" ref="H294:I294" si="163">$B$174*H208+(1-$B$174)*(1-H251)</f>
        <v>0.44307020734811337</v>
      </c>
      <c r="I294" s="97">
        <f t="shared" si="163"/>
        <v>0.44614226508009031</v>
      </c>
    </row>
    <row r="295" spans="1:9" x14ac:dyDescent="0.25">
      <c r="B295" s="97">
        <f t="shared" ref="B295:D295" si="164">$B$174*B209+(1-$B$174)*(1-B252)</f>
        <v>0.45406053268049995</v>
      </c>
      <c r="C295" s="97">
        <f t="shared" si="164"/>
        <v>1</v>
      </c>
      <c r="D295" s="97">
        <f t="shared" si="164"/>
        <v>1</v>
      </c>
      <c r="G295" s="97">
        <f t="shared" ref="G295:I295" si="165">$B$174*G209+(1-$B$174)*(1-G252)</f>
        <v>0.44307020734811337</v>
      </c>
      <c r="H295" s="97">
        <f t="shared" si="165"/>
        <v>1</v>
      </c>
      <c r="I295" s="97">
        <f t="shared" si="165"/>
        <v>0.99690465629825264</v>
      </c>
    </row>
    <row r="296" spans="1:9" x14ac:dyDescent="0.25">
      <c r="B296" s="97">
        <f t="shared" ref="B296:C296" si="166">$B$174*B210+(1-$B$174)*(1-B253)</f>
        <v>0.45406053268049995</v>
      </c>
      <c r="C296" s="97">
        <f t="shared" si="166"/>
        <v>1</v>
      </c>
      <c r="D296" s="97">
        <f>$B$174*D210+(1-$B$174)*(1-D253)</f>
        <v>1</v>
      </c>
      <c r="G296" s="97">
        <f t="shared" ref="G296:H296" si="167">$B$174*G210+(1-$B$174)*(1-G253)</f>
        <v>0.44614226508009031</v>
      </c>
      <c r="H296" s="97">
        <f t="shared" si="167"/>
        <v>0.99690465629825264</v>
      </c>
      <c r="I296" s="97">
        <f>$B$174*I210+(1-$B$174)*(1-I253)</f>
        <v>1</v>
      </c>
    </row>
    <row r="297" spans="1:9" x14ac:dyDescent="0.25">
      <c r="B297" s="97"/>
      <c r="C297" s="97"/>
      <c r="D297" s="97"/>
      <c r="G297" s="97"/>
      <c r="H297" s="97"/>
      <c r="I297" s="97"/>
    </row>
    <row r="298" spans="1:9" x14ac:dyDescent="0.25">
      <c r="A298" s="92" t="s">
        <v>22</v>
      </c>
      <c r="B298" s="97">
        <f>$B$174*B212+(1-$B$174)*(1-B255)</f>
        <v>1</v>
      </c>
      <c r="C298" s="97">
        <f t="shared" ref="C298:D298" si="168">$B$174*C212+(1-$B$174)*(1-C255)</f>
        <v>0.15725215634765211</v>
      </c>
      <c r="D298" s="97">
        <f t="shared" si="168"/>
        <v>0.15725215634765211</v>
      </c>
      <c r="F298" s="92" t="s">
        <v>22</v>
      </c>
      <c r="G298" s="97">
        <f>$B$174*G212+(1-$B$174)*(1-G255)</f>
        <v>1</v>
      </c>
      <c r="H298" s="97">
        <f t="shared" ref="H298:I298" si="169">$B$174*H212+(1-$B$174)*(1-H255)</f>
        <v>0.1039922822690971</v>
      </c>
      <c r="I298" s="97">
        <f t="shared" si="169"/>
        <v>0.1039922822690971</v>
      </c>
    </row>
    <row r="299" spans="1:9" x14ac:dyDescent="0.25">
      <c r="B299" s="97">
        <f t="shared" ref="B299:D299" si="170">$B$174*B213+(1-$B$174)*(1-B256)</f>
        <v>0.15725215634765211</v>
      </c>
      <c r="C299" s="97">
        <f t="shared" si="170"/>
        <v>1</v>
      </c>
      <c r="D299" s="97">
        <f t="shared" si="170"/>
        <v>1</v>
      </c>
      <c r="G299" s="97">
        <f t="shared" ref="G299:I299" si="171">$B$174*G213+(1-$B$174)*(1-G256)</f>
        <v>0.1039922822690971</v>
      </c>
      <c r="H299" s="97">
        <f t="shared" si="171"/>
        <v>1</v>
      </c>
      <c r="I299" s="97">
        <f t="shared" si="171"/>
        <v>1</v>
      </c>
    </row>
    <row r="300" spans="1:9" x14ac:dyDescent="0.25">
      <c r="B300" s="97">
        <f t="shared" ref="B300:C300" si="172">$B$174*B214+(1-$B$174)*(1-B257)</f>
        <v>0.15725215634765211</v>
      </c>
      <c r="C300" s="97">
        <f t="shared" si="172"/>
        <v>1</v>
      </c>
      <c r="D300" s="97">
        <f>$B$174*D214+(1-$B$174)*(1-D257)</f>
        <v>1</v>
      </c>
      <c r="G300" s="97">
        <f t="shared" ref="G300:H300" si="173">$B$174*G214+(1-$B$174)*(1-G257)</f>
        <v>0.1039922822690971</v>
      </c>
      <c r="H300" s="97">
        <f t="shared" si="173"/>
        <v>1</v>
      </c>
      <c r="I300" s="97">
        <f>$B$174*I214+(1-$B$174)*(1-I257)</f>
        <v>1</v>
      </c>
    </row>
    <row r="301" spans="1:9" x14ac:dyDescent="0.25">
      <c r="B301" s="97"/>
      <c r="C301" s="97"/>
      <c r="D301" s="97"/>
      <c r="G301" s="97"/>
      <c r="H301" s="97"/>
      <c r="I301" s="97"/>
    </row>
    <row r="302" spans="1:9" x14ac:dyDescent="0.25">
      <c r="A302" s="92" t="s">
        <v>23</v>
      </c>
      <c r="B302" s="97">
        <f>$B$174*B216+(1-$B$174)*(1-B259)</f>
        <v>1</v>
      </c>
      <c r="C302" s="97">
        <f t="shared" ref="C302:D302" si="174">$B$174*C216+(1-$B$174)*(1-C259)</f>
        <v>0.36991279069767063</v>
      </c>
      <c r="D302" s="97">
        <f t="shared" si="174"/>
        <v>0.36991279069767063</v>
      </c>
      <c r="F302" s="92" t="s">
        <v>23</v>
      </c>
      <c r="G302" s="97">
        <f>$B$174*G216+(1-$B$174)*(1-G259)</f>
        <v>1</v>
      </c>
      <c r="H302" s="97">
        <f t="shared" ref="H302:I302" si="175">$B$174*H216+(1-$B$174)*(1-H259)</f>
        <v>0.36201489611918664</v>
      </c>
      <c r="I302" s="97">
        <f t="shared" si="175"/>
        <v>0.36201489611918664</v>
      </c>
    </row>
    <row r="303" spans="1:9" x14ac:dyDescent="0.25">
      <c r="B303" s="97">
        <f t="shared" ref="B303:D303" si="176">$B$174*B217+(1-$B$174)*(1-B260)</f>
        <v>0.36991279069767063</v>
      </c>
      <c r="C303" s="97">
        <f t="shared" si="176"/>
        <v>1</v>
      </c>
      <c r="D303" s="97">
        <f t="shared" si="176"/>
        <v>1</v>
      </c>
      <c r="G303" s="97">
        <f t="shared" ref="G303:I303" si="177">$B$174*G217+(1-$B$174)*(1-G260)</f>
        <v>0.36201489611918664</v>
      </c>
      <c r="H303" s="97">
        <f t="shared" si="177"/>
        <v>1</v>
      </c>
      <c r="I303" s="97">
        <f t="shared" si="177"/>
        <v>1</v>
      </c>
    </row>
    <row r="304" spans="1:9" x14ac:dyDescent="0.25">
      <c r="B304" s="97">
        <f t="shared" ref="B304:C304" si="178">$B$174*B218+(1-$B$174)*(1-B261)</f>
        <v>0.36991279069767063</v>
      </c>
      <c r="C304" s="97">
        <f t="shared" si="178"/>
        <v>1</v>
      </c>
      <c r="D304" s="97">
        <f>$B$174*D218+(1-$B$174)*(1-D261)</f>
        <v>1</v>
      </c>
      <c r="G304" s="97">
        <f t="shared" ref="G304:H304" si="179">$B$174*G218+(1-$B$174)*(1-G261)</f>
        <v>0.36201489611918664</v>
      </c>
      <c r="H304" s="97">
        <f t="shared" si="179"/>
        <v>1</v>
      </c>
      <c r="I304" s="97">
        <f>$B$174*I218+(1-$B$174)*(1-I261)</f>
        <v>1</v>
      </c>
    </row>
    <row r="306" spans="1:8" x14ac:dyDescent="0.25">
      <c r="E306" s="128"/>
    </row>
    <row r="307" spans="1:8" x14ac:dyDescent="0.25">
      <c r="A307" s="128" t="s">
        <v>186</v>
      </c>
      <c r="E307" s="92"/>
      <c r="F307" s="420"/>
      <c r="G307" s="420"/>
      <c r="H307" s="420"/>
    </row>
    <row r="308" spans="1:8" x14ac:dyDescent="0.25">
      <c r="A308" s="128"/>
      <c r="E308" s="421"/>
      <c r="F308" s="422"/>
      <c r="G308" s="422"/>
      <c r="H308" s="422"/>
    </row>
    <row r="309" spans="1:8" x14ac:dyDescent="0.25">
      <c r="A309" s="92" t="s">
        <v>24</v>
      </c>
      <c r="B309" s="97">
        <f t="shared" ref="B309:D311" si="180">(B266+G266)/2</f>
        <v>1</v>
      </c>
      <c r="C309" s="97">
        <f t="shared" si="180"/>
        <v>0.23079152149681909</v>
      </c>
      <c r="D309" s="97">
        <f t="shared" si="180"/>
        <v>0.23006513413144408</v>
      </c>
      <c r="E309" s="421"/>
      <c r="F309" s="422"/>
      <c r="G309" s="422"/>
      <c r="H309" s="422"/>
    </row>
    <row r="310" spans="1:8" x14ac:dyDescent="0.25">
      <c r="B310" s="97">
        <f t="shared" si="180"/>
        <v>0.23079152149681909</v>
      </c>
      <c r="C310" s="97">
        <f t="shared" si="180"/>
        <v>1</v>
      </c>
      <c r="D310" s="97">
        <f t="shared" si="180"/>
        <v>0.99911530512500057</v>
      </c>
      <c r="E310" s="421"/>
      <c r="F310" s="422"/>
      <c r="G310" s="422"/>
      <c r="H310" s="422"/>
    </row>
    <row r="311" spans="1:8" x14ac:dyDescent="0.25">
      <c r="B311" s="97">
        <f t="shared" si="180"/>
        <v>0.23006513413144408</v>
      </c>
      <c r="C311" s="97">
        <f t="shared" si="180"/>
        <v>0.99911530512500057</v>
      </c>
      <c r="D311" s="97">
        <f t="shared" si="180"/>
        <v>1</v>
      </c>
    </row>
    <row r="312" spans="1:8" x14ac:dyDescent="0.25">
      <c r="B312" s="97"/>
      <c r="C312" s="97"/>
      <c r="D312" s="97"/>
    </row>
    <row r="313" spans="1:8" x14ac:dyDescent="0.25">
      <c r="A313" s="92" t="s">
        <v>13</v>
      </c>
      <c r="B313" s="97">
        <f t="shared" ref="B313:D315" si="181">(B270+G270)/2</f>
        <v>1</v>
      </c>
      <c r="C313" s="97">
        <f t="shared" si="181"/>
        <v>0.78086203669888343</v>
      </c>
      <c r="D313" s="97">
        <f t="shared" si="181"/>
        <v>0.30078125457331506</v>
      </c>
      <c r="E313" s="128"/>
    </row>
    <row r="314" spans="1:8" x14ac:dyDescent="0.25">
      <c r="B314" s="97">
        <f t="shared" si="181"/>
        <v>0.78086203669888343</v>
      </c>
      <c r="C314" s="97">
        <f t="shared" si="181"/>
        <v>1</v>
      </c>
      <c r="D314" s="97">
        <f t="shared" si="181"/>
        <v>0.30280344727003539</v>
      </c>
      <c r="E314" s="92"/>
      <c r="F314" s="420"/>
      <c r="G314" s="420"/>
      <c r="H314" s="420"/>
    </row>
    <row r="315" spans="1:8" x14ac:dyDescent="0.25">
      <c r="B315" s="97">
        <f t="shared" si="181"/>
        <v>0.30078125457331506</v>
      </c>
      <c r="C315" s="97">
        <f t="shared" si="181"/>
        <v>0.30280344727003539</v>
      </c>
      <c r="D315" s="97">
        <f t="shared" si="181"/>
        <v>1</v>
      </c>
      <c r="E315" s="421"/>
      <c r="F315" s="422"/>
      <c r="G315" s="422"/>
      <c r="H315" s="422"/>
    </row>
    <row r="316" spans="1:8" x14ac:dyDescent="0.25">
      <c r="B316" s="97"/>
      <c r="C316" s="97"/>
      <c r="D316" s="97"/>
      <c r="E316" s="421"/>
      <c r="F316" s="422"/>
      <c r="G316" s="422"/>
      <c r="H316" s="422"/>
    </row>
    <row r="317" spans="1:8" x14ac:dyDescent="0.25">
      <c r="A317" s="92" t="s">
        <v>14</v>
      </c>
      <c r="B317" s="97">
        <f t="shared" ref="B317:D319" si="182">(B274+G274)/2</f>
        <v>1</v>
      </c>
      <c r="C317" s="97">
        <f t="shared" si="182"/>
        <v>0.25869466181783762</v>
      </c>
      <c r="D317" s="97">
        <f t="shared" si="182"/>
        <v>0.74999313387797995</v>
      </c>
      <c r="E317" s="421"/>
      <c r="F317" s="422"/>
      <c r="G317" s="422"/>
      <c r="H317" s="422"/>
    </row>
    <row r="318" spans="1:8" x14ac:dyDescent="0.25">
      <c r="B318" s="97">
        <f t="shared" si="182"/>
        <v>0.25869466181783762</v>
      </c>
      <c r="C318" s="97">
        <f t="shared" si="182"/>
        <v>1</v>
      </c>
      <c r="D318" s="97">
        <f t="shared" si="182"/>
        <v>0.25597378551184302</v>
      </c>
      <c r="E318" s="128"/>
    </row>
    <row r="319" spans="1:8" x14ac:dyDescent="0.25">
      <c r="B319" s="97">
        <f t="shared" si="182"/>
        <v>0.74999313387797995</v>
      </c>
      <c r="C319" s="97">
        <f t="shared" si="182"/>
        <v>0.25597378551184302</v>
      </c>
      <c r="D319" s="97">
        <f t="shared" si="182"/>
        <v>1</v>
      </c>
      <c r="E319" s="92"/>
      <c r="F319" s="420"/>
      <c r="G319" s="420"/>
      <c r="H319" s="420"/>
    </row>
    <row r="320" spans="1:8" x14ac:dyDescent="0.25">
      <c r="B320" s="97"/>
      <c r="C320" s="97"/>
      <c r="D320" s="97"/>
      <c r="E320" s="421"/>
      <c r="F320" s="422"/>
      <c r="G320" s="422"/>
      <c r="H320" s="422"/>
    </row>
    <row r="321" spans="1:8" x14ac:dyDescent="0.25">
      <c r="A321" s="92" t="s">
        <v>15</v>
      </c>
      <c r="B321" s="97">
        <f t="shared" ref="B321:D323" si="183">(B278+G278)/2</f>
        <v>1</v>
      </c>
      <c r="C321" s="97">
        <f t="shared" si="183"/>
        <v>0.83492108032971168</v>
      </c>
      <c r="D321" s="97">
        <f t="shared" si="183"/>
        <v>0.27159296974172087</v>
      </c>
      <c r="E321" s="421"/>
      <c r="F321" s="422"/>
      <c r="G321" s="422"/>
      <c r="H321" s="422"/>
    </row>
    <row r="322" spans="1:8" x14ac:dyDescent="0.25">
      <c r="B322" s="97">
        <f t="shared" si="183"/>
        <v>0.83492108032971168</v>
      </c>
      <c r="C322" s="97">
        <f t="shared" si="183"/>
        <v>1</v>
      </c>
      <c r="D322" s="97">
        <f t="shared" si="183"/>
        <v>0.24616371333706291</v>
      </c>
      <c r="E322" s="421"/>
      <c r="F322" s="422"/>
      <c r="G322" s="422"/>
      <c r="H322" s="422"/>
    </row>
    <row r="323" spans="1:8" x14ac:dyDescent="0.25">
      <c r="B323" s="97">
        <f t="shared" si="183"/>
        <v>0.27159296974172087</v>
      </c>
      <c r="C323" s="97">
        <f t="shared" si="183"/>
        <v>0.24616371333706291</v>
      </c>
      <c r="D323" s="97">
        <f t="shared" si="183"/>
        <v>1</v>
      </c>
    </row>
    <row r="324" spans="1:8" x14ac:dyDescent="0.25">
      <c r="B324" s="97"/>
      <c r="C324" s="97"/>
      <c r="D324" s="97"/>
    </row>
    <row r="325" spans="1:8" x14ac:dyDescent="0.25">
      <c r="A325" s="92" t="s">
        <v>17</v>
      </c>
      <c r="B325" s="97">
        <f t="shared" ref="B325:D327" si="184">(B282+G282)/2</f>
        <v>1</v>
      </c>
      <c r="C325" s="97">
        <f t="shared" si="184"/>
        <v>0.38563206224169877</v>
      </c>
      <c r="D325" s="97">
        <f t="shared" si="184"/>
        <v>0.79256705154893758</v>
      </c>
      <c r="E325" s="128"/>
    </row>
    <row r="326" spans="1:8" x14ac:dyDescent="0.25">
      <c r="B326" s="97">
        <f t="shared" si="184"/>
        <v>0.38563206224169877</v>
      </c>
      <c r="C326" s="97">
        <f t="shared" si="184"/>
        <v>1</v>
      </c>
      <c r="D326" s="97">
        <f t="shared" si="184"/>
        <v>0.39811393782903426</v>
      </c>
      <c r="E326" s="92"/>
      <c r="F326" s="420"/>
      <c r="G326" s="420"/>
      <c r="H326" s="420"/>
    </row>
    <row r="327" spans="1:8" x14ac:dyDescent="0.25">
      <c r="B327" s="97">
        <f t="shared" si="184"/>
        <v>0.79256705154893758</v>
      </c>
      <c r="C327" s="97">
        <f t="shared" si="184"/>
        <v>0.39811393782903426</v>
      </c>
      <c r="D327" s="97">
        <f t="shared" si="184"/>
        <v>1</v>
      </c>
      <c r="E327" s="421"/>
      <c r="F327" s="422"/>
      <c r="G327" s="422"/>
      <c r="H327" s="422"/>
    </row>
    <row r="328" spans="1:8" x14ac:dyDescent="0.25">
      <c r="B328" s="97"/>
      <c r="C328" s="97"/>
      <c r="D328" s="97"/>
      <c r="E328" s="421"/>
      <c r="F328" s="422"/>
      <c r="G328" s="422"/>
      <c r="H328" s="422"/>
    </row>
    <row r="329" spans="1:8" x14ac:dyDescent="0.25">
      <c r="A329" s="92" t="s">
        <v>18</v>
      </c>
      <c r="B329" s="97">
        <f t="shared" ref="B329:D331" si="185">(B286+G286)/2</f>
        <v>1</v>
      </c>
      <c r="C329" s="97">
        <f t="shared" si="185"/>
        <v>0.37863436349803792</v>
      </c>
      <c r="D329" s="97">
        <f t="shared" si="185"/>
        <v>0.37863436349803792</v>
      </c>
      <c r="E329" s="421"/>
      <c r="F329" s="422"/>
      <c r="G329" s="422"/>
      <c r="H329" s="422"/>
    </row>
    <row r="330" spans="1:8" x14ac:dyDescent="0.25">
      <c r="B330" s="97">
        <f t="shared" si="185"/>
        <v>0.37863436349803792</v>
      </c>
      <c r="C330" s="97">
        <f t="shared" si="185"/>
        <v>1</v>
      </c>
      <c r="D330" s="97">
        <f t="shared" si="185"/>
        <v>1</v>
      </c>
    </row>
    <row r="331" spans="1:8" x14ac:dyDescent="0.25">
      <c r="B331" s="97">
        <f t="shared" si="185"/>
        <v>0.37863436349803792</v>
      </c>
      <c r="C331" s="97">
        <f t="shared" si="185"/>
        <v>1</v>
      </c>
      <c r="D331" s="97">
        <f t="shared" si="185"/>
        <v>1</v>
      </c>
    </row>
    <row r="332" spans="1:8" x14ac:dyDescent="0.25">
      <c r="B332" s="97"/>
      <c r="C332" s="97"/>
      <c r="D332" s="97"/>
      <c r="E332" s="128"/>
    </row>
    <row r="333" spans="1:8" x14ac:dyDescent="0.25">
      <c r="A333" s="92" t="s">
        <v>19</v>
      </c>
      <c r="B333" s="97">
        <f t="shared" ref="B333:D335" si="186">(B290+G290)/2</f>
        <v>1</v>
      </c>
      <c r="C333" s="97">
        <f t="shared" si="186"/>
        <v>0.42768368459021494</v>
      </c>
      <c r="D333" s="97">
        <f t="shared" si="186"/>
        <v>0.42924795217595291</v>
      </c>
      <c r="E333" s="92"/>
      <c r="F333" s="420"/>
      <c r="G333" s="420"/>
      <c r="H333" s="420"/>
    </row>
    <row r="334" spans="1:8" x14ac:dyDescent="0.25">
      <c r="B334" s="97">
        <f t="shared" si="186"/>
        <v>0.42768368459021494</v>
      </c>
      <c r="C334" s="97">
        <f t="shared" si="186"/>
        <v>1</v>
      </c>
      <c r="D334" s="97">
        <f t="shared" si="186"/>
        <v>0.99841133503722013</v>
      </c>
      <c r="E334" s="421"/>
      <c r="F334" s="422"/>
      <c r="G334" s="422"/>
      <c r="H334" s="422"/>
    </row>
    <row r="335" spans="1:8" x14ac:dyDescent="0.25">
      <c r="B335" s="97">
        <f t="shared" si="186"/>
        <v>0.42924795217595291</v>
      </c>
      <c r="C335" s="97">
        <f t="shared" si="186"/>
        <v>0.99841133503722013</v>
      </c>
      <c r="D335" s="97">
        <f t="shared" si="186"/>
        <v>1</v>
      </c>
      <c r="E335" s="128"/>
    </row>
    <row r="336" spans="1:8" x14ac:dyDescent="0.25">
      <c r="B336" s="97"/>
      <c r="C336" s="97"/>
      <c r="D336" s="97"/>
      <c r="E336" s="92"/>
      <c r="F336" s="420"/>
      <c r="G336" s="420"/>
      <c r="H336" s="420"/>
    </row>
    <row r="337" spans="1:10" x14ac:dyDescent="0.25">
      <c r="A337" s="92" t="s">
        <v>20</v>
      </c>
      <c r="B337" s="97">
        <f t="shared" ref="B337:D339" si="187">(B294+G294)/2</f>
        <v>1</v>
      </c>
      <c r="C337" s="97">
        <f t="shared" si="187"/>
        <v>0.44856537001430663</v>
      </c>
      <c r="D337" s="97">
        <f t="shared" si="187"/>
        <v>0.4501013988802951</v>
      </c>
      <c r="E337" s="421"/>
      <c r="F337" s="422"/>
      <c r="G337" s="422"/>
      <c r="H337" s="422"/>
    </row>
    <row r="338" spans="1:10" x14ac:dyDescent="0.25">
      <c r="B338" s="97">
        <f t="shared" si="187"/>
        <v>0.44856537001430663</v>
      </c>
      <c r="C338" s="97">
        <f t="shared" si="187"/>
        <v>1</v>
      </c>
      <c r="D338" s="97">
        <f t="shared" si="187"/>
        <v>0.99845232814912632</v>
      </c>
      <c r="E338" s="421"/>
      <c r="F338" s="422"/>
      <c r="G338" s="422"/>
      <c r="H338" s="422"/>
    </row>
    <row r="339" spans="1:10" x14ac:dyDescent="0.25">
      <c r="B339" s="97">
        <f t="shared" si="187"/>
        <v>0.4501013988802951</v>
      </c>
      <c r="C339" s="97">
        <f t="shared" si="187"/>
        <v>0.99845232814912632</v>
      </c>
      <c r="D339" s="97">
        <f t="shared" si="187"/>
        <v>1</v>
      </c>
      <c r="E339" s="421"/>
      <c r="F339" s="422"/>
      <c r="G339" s="422"/>
      <c r="H339" s="422"/>
    </row>
    <row r="340" spans="1:10" x14ac:dyDescent="0.25">
      <c r="B340" s="97"/>
      <c r="C340" s="97"/>
      <c r="D340" s="97"/>
    </row>
    <row r="341" spans="1:10" x14ac:dyDescent="0.25">
      <c r="A341" s="92" t="s">
        <v>22</v>
      </c>
      <c r="B341" s="97">
        <f t="shared" ref="B341:D343" si="188">(B298+G298)/2</f>
        <v>1</v>
      </c>
      <c r="C341" s="97">
        <f t="shared" si="188"/>
        <v>0.13062221930837459</v>
      </c>
      <c r="D341" s="97">
        <f t="shared" si="188"/>
        <v>0.13062221930837459</v>
      </c>
    </row>
    <row r="342" spans="1:10" x14ac:dyDescent="0.25">
      <c r="B342" s="97">
        <f t="shared" si="188"/>
        <v>0.13062221930837459</v>
      </c>
      <c r="C342" s="97">
        <f t="shared" si="188"/>
        <v>1</v>
      </c>
      <c r="D342" s="97">
        <f t="shared" si="188"/>
        <v>1</v>
      </c>
      <c r="E342" s="128"/>
    </row>
    <row r="343" spans="1:10" x14ac:dyDescent="0.25">
      <c r="B343" s="97">
        <f t="shared" si="188"/>
        <v>0.13062221930837459</v>
      </c>
      <c r="C343" s="97">
        <f t="shared" si="188"/>
        <v>1</v>
      </c>
      <c r="D343" s="97">
        <f t="shared" si="188"/>
        <v>1</v>
      </c>
      <c r="E343" s="92"/>
      <c r="F343" s="420"/>
      <c r="G343" s="420"/>
      <c r="H343" s="420"/>
    </row>
    <row r="344" spans="1:10" x14ac:dyDescent="0.25">
      <c r="B344" s="97"/>
      <c r="C344" s="97"/>
      <c r="D344" s="97"/>
      <c r="E344" s="421"/>
      <c r="F344" s="422"/>
      <c r="G344" s="422"/>
      <c r="H344" s="422"/>
    </row>
    <row r="345" spans="1:10" x14ac:dyDescent="0.25">
      <c r="A345" s="92" t="s">
        <v>23</v>
      </c>
      <c r="B345" s="97">
        <f t="shared" ref="B345:D347" si="189">(B302+G302)/2</f>
        <v>1</v>
      </c>
      <c r="C345" s="97">
        <f t="shared" si="189"/>
        <v>0.36596384340842864</v>
      </c>
      <c r="D345" s="97">
        <f t="shared" si="189"/>
        <v>0.36596384340842864</v>
      </c>
      <c r="E345" s="421"/>
      <c r="F345" s="422"/>
      <c r="G345" s="422"/>
      <c r="H345" s="422"/>
    </row>
    <row r="346" spans="1:10" x14ac:dyDescent="0.25">
      <c r="B346" s="97">
        <f t="shared" si="189"/>
        <v>0.36596384340842864</v>
      </c>
      <c r="C346" s="97">
        <f t="shared" si="189"/>
        <v>1</v>
      </c>
      <c r="D346" s="97">
        <f t="shared" si="189"/>
        <v>1</v>
      </c>
      <c r="E346" s="421"/>
      <c r="F346" s="422"/>
      <c r="G346" s="422"/>
      <c r="H346" s="422"/>
    </row>
    <row r="347" spans="1:10" x14ac:dyDescent="0.25">
      <c r="B347" s="97">
        <f t="shared" si="189"/>
        <v>0.36596384340842864</v>
      </c>
      <c r="C347" s="97">
        <f t="shared" si="189"/>
        <v>1</v>
      </c>
      <c r="D347" s="97">
        <f t="shared" si="189"/>
        <v>1</v>
      </c>
    </row>
    <row r="349" spans="1:10" x14ac:dyDescent="0.25">
      <c r="A349" s="128" t="s">
        <v>165</v>
      </c>
      <c r="B349" s="418"/>
      <c r="C349" s="418"/>
      <c r="D349" s="418"/>
      <c r="E349" s="128"/>
    </row>
    <row r="350" spans="1:10" s="101" customFormat="1" x14ac:dyDescent="0.25">
      <c r="A350" s="284" t="s">
        <v>234</v>
      </c>
      <c r="B350" s="150" t="s">
        <v>100</v>
      </c>
      <c r="C350" s="150" t="s">
        <v>101</v>
      </c>
      <c r="D350" s="150" t="s">
        <v>120</v>
      </c>
      <c r="E350" s="92"/>
      <c r="F350" s="420"/>
      <c r="G350" s="420"/>
      <c r="H350" s="420"/>
      <c r="I350"/>
      <c r="J350"/>
    </row>
    <row r="351" spans="1:10" x14ac:dyDescent="0.25">
      <c r="A351" s="2" t="s">
        <v>24</v>
      </c>
      <c r="B351" s="98">
        <f>B309*$C$166+B310*$C$167+B311*$C$168</f>
        <v>0.46126351010162336</v>
      </c>
      <c r="C351" s="98">
        <f>C309*$C$166+C310*$C$167+C311*$C$168</f>
        <v>0.76888357849904598</v>
      </c>
      <c r="D351" s="98">
        <f>D309*$C$166+D310*$C$167+D311*$C$168</f>
        <v>0.76875413177693341</v>
      </c>
      <c r="E351" s="422"/>
      <c r="F351" s="422"/>
      <c r="G351" s="422"/>
      <c r="H351" s="420"/>
    </row>
    <row r="352" spans="1:10" x14ac:dyDescent="0.25">
      <c r="A352" s="2" t="s">
        <v>13</v>
      </c>
      <c r="B352" s="98">
        <f>B313*$C$166+B314*$C$167+B315*$C$168</f>
        <v>0.65457111283899105</v>
      </c>
      <c r="C352" s="98">
        <f t="shared" ref="C352:D352" si="190">C313*$C$166+C314*$C$167+C315*$C$168</f>
        <v>0.6553799899176791</v>
      </c>
      <c r="D352" s="98">
        <f t="shared" si="190"/>
        <v>0.58107541055300516</v>
      </c>
      <c r="E352" s="422"/>
      <c r="F352" s="422"/>
      <c r="G352" s="422"/>
      <c r="H352" s="420"/>
    </row>
    <row r="353" spans="1:8" x14ac:dyDescent="0.25">
      <c r="A353" s="2" t="s">
        <v>14</v>
      </c>
      <c r="B353" s="98">
        <f>B317*$C$166+B318*$C$167+B319*$C$168</f>
        <v>0.67760565209654322</v>
      </c>
      <c r="C353" s="98">
        <f>C317*$C$166+C318*$C$167+C319*$C$168</f>
        <v>0.47999791275008852</v>
      </c>
      <c r="D353" s="98">
        <f>D317*$C$166+D318*$C$167+D319*$C$168</f>
        <v>0.70179007581694686</v>
      </c>
      <c r="E353" s="422"/>
      <c r="F353" s="422"/>
      <c r="G353" s="422"/>
      <c r="H353" s="420"/>
    </row>
    <row r="354" spans="1:8" x14ac:dyDescent="0.25">
      <c r="A354" s="2" t="s">
        <v>15</v>
      </c>
      <c r="B354" s="98">
        <f>B321*$C$166+B322*$C$167+B323*$C$168</f>
        <v>0.65911351199560175</v>
      </c>
      <c r="C354" s="98">
        <f>C321*$C$166+C322*$C$167+C323*$C$168</f>
        <v>0.64894180943373858</v>
      </c>
      <c r="D354" s="98">
        <f>D321*$C$166+D322*$C$167+D323*$C$168</f>
        <v>0.55532700492363518</v>
      </c>
      <c r="E354" s="422"/>
      <c r="F354" s="422"/>
      <c r="G354" s="422"/>
      <c r="H354" s="420"/>
    </row>
    <row r="355" spans="1:8" x14ac:dyDescent="0.25">
      <c r="A355" s="2" t="s">
        <v>17</v>
      </c>
      <c r="B355" s="98">
        <f>B325*$C$166+B326*$C$167+B327*$C$168</f>
        <v>0.73271643929208463</v>
      </c>
      <c r="C355" s="98">
        <f>C325*$C$166+C326*$C$167+C327*$C$168</f>
        <v>0.57493519380412339</v>
      </c>
      <c r="D355" s="98">
        <f>D325*$C$166+D326*$C$167+D327*$C$168</f>
        <v>0.75720429681339163</v>
      </c>
      <c r="E355" s="422"/>
      <c r="F355" s="422"/>
      <c r="G355" s="422"/>
      <c r="H355" s="420"/>
    </row>
    <row r="356" spans="1:8" x14ac:dyDescent="0.25">
      <c r="A356" s="2" t="s">
        <v>18</v>
      </c>
      <c r="B356" s="98">
        <f>B329*$C$166+B330*$C$167+B331*$C$168</f>
        <v>0.5650440544486266</v>
      </c>
      <c r="C356" s="98">
        <f>C329*$C$166+C330*$C$167+C331*$C$168</f>
        <v>0.81359030904941143</v>
      </c>
      <c r="D356" s="98">
        <f>D329*$C$166+D330*$C$167+D331*$C$168</f>
        <v>0.81359030904941143</v>
      </c>
      <c r="E356" s="422"/>
      <c r="F356" s="422"/>
      <c r="G356" s="422"/>
      <c r="H356" s="420"/>
    </row>
    <row r="357" spans="1:8" x14ac:dyDescent="0.25">
      <c r="A357" s="2" t="s">
        <v>19</v>
      </c>
      <c r="B357" s="98">
        <f>B333*$C$166+B334*$C$167+B335*$C$168</f>
        <v>0.60000428624744562</v>
      </c>
      <c r="C357" s="98">
        <f>C333*$C$166+C334*$C$167+C335*$C$168</f>
        <v>0.82766963939195248</v>
      </c>
      <c r="D357" s="98">
        <f>D333*$C$166+D334*$C$167+D335*$C$168</f>
        <v>0.828297786163952</v>
      </c>
      <c r="E357" s="422"/>
      <c r="F357" s="422"/>
      <c r="G357" s="422"/>
      <c r="H357" s="420"/>
    </row>
    <row r="358" spans="1:8" x14ac:dyDescent="0.25">
      <c r="A358" s="2" t="s">
        <v>20</v>
      </c>
      <c r="B358" s="98">
        <f>B337*$C$166+B338*$C$167+B339*$C$168</f>
        <v>0.61461017055640998</v>
      </c>
      <c r="C358" s="98">
        <f>C337*$C$166+C338*$C$167+C339*$C$168</f>
        <v>0.83395054226394261</v>
      </c>
      <c r="D358" s="98">
        <f>D337*$C$166+D338*$C$167+D339*$C$168</f>
        <v>0.83456611810882642</v>
      </c>
      <c r="E358" s="422"/>
      <c r="F358" s="422"/>
      <c r="G358" s="422"/>
      <c r="H358" s="420"/>
    </row>
    <row r="359" spans="1:8" x14ac:dyDescent="0.25">
      <c r="A359" s="2" t="s">
        <v>22</v>
      </c>
      <c r="B359" s="98">
        <f>B341*$C$166+B342*$C$167+B343*$C$168</f>
        <v>0.39143555351586223</v>
      </c>
      <c r="C359" s="98">
        <f>C341*$C$166+C342*$C$167+C343*$C$168</f>
        <v>0.73918666579251235</v>
      </c>
      <c r="D359" s="98">
        <f>D341*$C$166+D342*$C$167+D343*$C$168</f>
        <v>0.73918666579251235</v>
      </c>
      <c r="E359" s="422"/>
      <c r="F359" s="422"/>
      <c r="G359" s="422"/>
      <c r="H359" s="420"/>
    </row>
    <row r="360" spans="1:8" x14ac:dyDescent="0.25">
      <c r="A360" s="2" t="s">
        <v>23</v>
      </c>
      <c r="B360" s="98">
        <f>B345*$C$166+B346*$C$167+B347*$C$168</f>
        <v>0.55617469038590006</v>
      </c>
      <c r="C360" s="98">
        <f>C345*$C$166+C346*$C$167+C347*$C$168</f>
        <v>0.80978915302252863</v>
      </c>
      <c r="D360" s="98">
        <f>D345*$C$166+D346*$C$167+D347*$C$168</f>
        <v>0.80978915302252863</v>
      </c>
      <c r="E360" s="422"/>
      <c r="F360" s="422"/>
      <c r="G360" s="422"/>
      <c r="H360" s="420"/>
    </row>
    <row r="361" spans="1:8" x14ac:dyDescent="0.25">
      <c r="H361" s="420"/>
    </row>
    <row r="362" spans="1:8" x14ac:dyDescent="0.25">
      <c r="A362" s="128" t="s">
        <v>166</v>
      </c>
      <c r="H362" s="420"/>
    </row>
    <row r="363" spans="1:8" x14ac:dyDescent="0.25">
      <c r="A363" s="284" t="s">
        <v>234</v>
      </c>
      <c r="B363" s="157" t="s">
        <v>100</v>
      </c>
      <c r="C363" s="157" t="s">
        <v>101</v>
      </c>
      <c r="D363" s="157" t="s">
        <v>120</v>
      </c>
      <c r="H363" s="420"/>
    </row>
    <row r="364" spans="1:8" x14ac:dyDescent="0.25">
      <c r="A364" s="38" t="s">
        <v>24</v>
      </c>
      <c r="B364" s="98">
        <f t="shared" ref="B364:D373" si="191">B351/SUM($B351:$D351)</f>
        <v>0.23075853143683023</v>
      </c>
      <c r="C364" s="98">
        <f t="shared" si="191"/>
        <v>0.38465311375106365</v>
      </c>
      <c r="D364" s="98">
        <f t="shared" si="191"/>
        <v>0.38458835481210607</v>
      </c>
      <c r="E364" s="422"/>
      <c r="F364" s="422"/>
      <c r="G364" s="422"/>
      <c r="H364" s="420"/>
    </row>
    <row r="365" spans="1:8" x14ac:dyDescent="0.25">
      <c r="A365" s="38" t="s">
        <v>13</v>
      </c>
      <c r="B365" s="98">
        <f t="shared" si="191"/>
        <v>0.34614592034109581</v>
      </c>
      <c r="C365" s="98">
        <f t="shared" si="191"/>
        <v>0.34657366531082251</v>
      </c>
      <c r="D365" s="98">
        <f t="shared" si="191"/>
        <v>0.30728041434808162</v>
      </c>
      <c r="E365" s="422"/>
      <c r="F365" s="422"/>
      <c r="G365" s="422"/>
      <c r="H365" s="420"/>
    </row>
    <row r="366" spans="1:8" x14ac:dyDescent="0.25">
      <c r="A366" s="38" t="s">
        <v>14</v>
      </c>
      <c r="B366" s="98">
        <f t="shared" si="191"/>
        <v>0.36442291577092845</v>
      </c>
      <c r="C366" s="98">
        <f t="shared" si="191"/>
        <v>0.25814754996085032</v>
      </c>
      <c r="D366" s="98">
        <f t="shared" si="191"/>
        <v>0.37742953426822129</v>
      </c>
      <c r="E366" s="422"/>
      <c r="F366" s="422"/>
      <c r="G366" s="422"/>
      <c r="H366" s="420"/>
    </row>
    <row r="367" spans="1:8" x14ac:dyDescent="0.25">
      <c r="A367" s="38" t="s">
        <v>15</v>
      </c>
      <c r="B367" s="98">
        <f t="shared" si="191"/>
        <v>0.35371888134499113</v>
      </c>
      <c r="C367" s="98">
        <f t="shared" si="191"/>
        <v>0.34826015051020248</v>
      </c>
      <c r="D367" s="98">
        <f t="shared" si="191"/>
        <v>0.29802096814480628</v>
      </c>
      <c r="E367" s="422"/>
      <c r="F367" s="422"/>
      <c r="G367" s="422"/>
      <c r="H367" s="420"/>
    </row>
    <row r="368" spans="1:8" x14ac:dyDescent="0.25">
      <c r="A368" s="38" t="s">
        <v>17</v>
      </c>
      <c r="B368" s="98">
        <f t="shared" si="191"/>
        <v>0.35485111996368834</v>
      </c>
      <c r="C368" s="98">
        <f t="shared" si="191"/>
        <v>0.27843840602927405</v>
      </c>
      <c r="D368" s="98">
        <f t="shared" si="191"/>
        <v>0.36671047400703755</v>
      </c>
      <c r="E368" s="422"/>
      <c r="F368" s="422"/>
      <c r="G368" s="422"/>
      <c r="H368" s="420"/>
    </row>
    <row r="369" spans="1:25" x14ac:dyDescent="0.25">
      <c r="A369" s="38" t="s">
        <v>18</v>
      </c>
      <c r="B369" s="98">
        <f t="shared" si="191"/>
        <v>0.25774915387300323</v>
      </c>
      <c r="C369" s="98">
        <f t="shared" si="191"/>
        <v>0.37112542306349844</v>
      </c>
      <c r="D369" s="98">
        <f t="shared" si="191"/>
        <v>0.37112542306349844</v>
      </c>
      <c r="E369" s="422"/>
      <c r="F369" s="422"/>
      <c r="G369" s="422"/>
      <c r="H369" s="420"/>
    </row>
    <row r="370" spans="1:25" x14ac:dyDescent="0.25">
      <c r="A370" s="38" t="s">
        <v>19</v>
      </c>
      <c r="B370" s="98">
        <f t="shared" si="191"/>
        <v>0.26596268167202403</v>
      </c>
      <c r="C370" s="98">
        <f t="shared" si="191"/>
        <v>0.36687944049189358</v>
      </c>
      <c r="D370" s="98">
        <f t="shared" si="191"/>
        <v>0.36715787783608234</v>
      </c>
      <c r="E370" s="422"/>
      <c r="F370" s="422"/>
      <c r="G370" s="422"/>
      <c r="H370" s="420"/>
    </row>
    <row r="371" spans="1:25" x14ac:dyDescent="0.25">
      <c r="A371" s="38" t="s">
        <v>20</v>
      </c>
      <c r="B371" s="98">
        <f t="shared" si="191"/>
        <v>0.2691966833512609</v>
      </c>
      <c r="C371" s="98">
        <f t="shared" si="191"/>
        <v>0.36526684850203628</v>
      </c>
      <c r="D371" s="98">
        <f t="shared" si="191"/>
        <v>0.36553646814670282</v>
      </c>
      <c r="E371" s="422"/>
      <c r="F371" s="422"/>
      <c r="G371" s="422"/>
      <c r="H371" s="420"/>
    </row>
    <row r="372" spans="1:25" x14ac:dyDescent="0.25">
      <c r="A372" s="38" t="s">
        <v>22</v>
      </c>
      <c r="B372" s="98">
        <f t="shared" si="191"/>
        <v>0.20934522059175156</v>
      </c>
      <c r="C372" s="98">
        <f t="shared" si="191"/>
        <v>0.39532738970412423</v>
      </c>
      <c r="D372" s="98">
        <f t="shared" si="191"/>
        <v>0.39532738970412423</v>
      </c>
      <c r="E372" s="422"/>
      <c r="F372" s="422"/>
      <c r="G372" s="422"/>
      <c r="H372" s="420"/>
    </row>
    <row r="373" spans="1:25" x14ac:dyDescent="0.25">
      <c r="A373" s="38" t="s">
        <v>23</v>
      </c>
      <c r="B373" s="98">
        <f t="shared" si="191"/>
        <v>0.25562400295356735</v>
      </c>
      <c r="C373" s="98">
        <f t="shared" si="191"/>
        <v>0.37218799852321632</v>
      </c>
      <c r="D373" s="98">
        <f t="shared" si="191"/>
        <v>0.37218799852321632</v>
      </c>
      <c r="E373" s="422"/>
      <c r="F373" s="422"/>
      <c r="G373" s="422"/>
      <c r="H373" s="420"/>
    </row>
    <row r="374" spans="1:25" x14ac:dyDescent="0.25">
      <c r="A374" s="92"/>
      <c r="H374" s="420"/>
    </row>
    <row r="376" spans="1:25" ht="15.75" thickBot="1" x14ac:dyDescent="0.3">
      <c r="A376" s="1" t="s">
        <v>306</v>
      </c>
    </row>
    <row r="377" spans="1:25" ht="15.75" thickBot="1" x14ac:dyDescent="0.3">
      <c r="A377" s="456" t="s">
        <v>234</v>
      </c>
      <c r="B377" s="443" t="s">
        <v>121</v>
      </c>
      <c r="C377" s="441"/>
      <c r="D377" s="441"/>
      <c r="E377" s="441"/>
      <c r="F377" s="441"/>
      <c r="G377" s="441"/>
      <c r="H377" s="441"/>
      <c r="I377" s="442"/>
      <c r="J377" s="443" t="s">
        <v>122</v>
      </c>
      <c r="K377" s="441"/>
      <c r="L377" s="441"/>
      <c r="M377" s="441"/>
      <c r="N377" s="441"/>
      <c r="O377" s="441"/>
      <c r="P377" s="441"/>
      <c r="Q377" s="442"/>
      <c r="R377" s="443" t="s">
        <v>123</v>
      </c>
      <c r="S377" s="441"/>
      <c r="T377" s="441"/>
      <c r="U377" s="441"/>
      <c r="V377" s="441"/>
      <c r="W377" s="441"/>
      <c r="X377" s="441"/>
      <c r="Y377" s="442"/>
    </row>
    <row r="378" spans="1:25" ht="33.75" customHeight="1" thickBot="1" x14ac:dyDescent="0.3">
      <c r="A378" s="467"/>
      <c r="B378" s="438" t="s">
        <v>3</v>
      </c>
      <c r="C378" s="452"/>
      <c r="D378" s="452"/>
      <c r="E378" s="453"/>
      <c r="F378" s="443" t="s">
        <v>4</v>
      </c>
      <c r="G378" s="452"/>
      <c r="H378" s="452"/>
      <c r="I378" s="453"/>
      <c r="J378" s="438" t="s">
        <v>3</v>
      </c>
      <c r="K378" s="452"/>
      <c r="L378" s="452"/>
      <c r="M378" s="453"/>
      <c r="N378" s="443" t="s">
        <v>4</v>
      </c>
      <c r="O378" s="452"/>
      <c r="P378" s="452"/>
      <c r="Q378" s="453"/>
      <c r="R378" s="438" t="s">
        <v>3</v>
      </c>
      <c r="S378" s="452"/>
      <c r="T378" s="452"/>
      <c r="U378" s="453"/>
      <c r="V378" s="443" t="s">
        <v>4</v>
      </c>
      <c r="W378" s="452"/>
      <c r="X378" s="452"/>
      <c r="Y378" s="453"/>
    </row>
    <row r="379" spans="1:25" x14ac:dyDescent="0.25">
      <c r="A379" s="281" t="s">
        <v>24</v>
      </c>
      <c r="B379" s="12">
        <f t="shared" ref="B379:B388" si="192">BG14</f>
        <v>12.825000000000001</v>
      </c>
      <c r="C379" s="13">
        <f t="shared" ref="C379:C388" si="193">BH14</f>
        <v>22.5</v>
      </c>
      <c r="D379" s="13">
        <f t="shared" ref="D379:D388" si="194">BI14</f>
        <v>25.5</v>
      </c>
      <c r="E379" s="14">
        <f t="shared" ref="E379:E388" si="195">BJ14</f>
        <v>25.5</v>
      </c>
      <c r="F379" s="12">
        <f t="shared" ref="F379:F388" si="196">BK14</f>
        <v>15</v>
      </c>
      <c r="G379" s="13">
        <f t="shared" ref="G379:G388" si="197">BL14</f>
        <v>22.5</v>
      </c>
      <c r="H379" s="13">
        <f t="shared" ref="H379:H388" si="198">BM14</f>
        <v>25.5</v>
      </c>
      <c r="I379" s="102">
        <f t="shared" ref="I379:I388" si="199">BN14</f>
        <v>25.5</v>
      </c>
      <c r="J379" s="12">
        <f t="shared" ref="J379:J388" si="200">BG66</f>
        <v>10.9</v>
      </c>
      <c r="K379" s="13">
        <f t="shared" ref="K379:K388" si="201">BH66</f>
        <v>20</v>
      </c>
      <c r="L379" s="13">
        <f t="shared" ref="L379:L388" si="202">BI66</f>
        <v>23</v>
      </c>
      <c r="M379" s="14">
        <f t="shared" ref="M379:M388" si="203">BJ66</f>
        <v>24.5</v>
      </c>
      <c r="N379" s="12">
        <f t="shared" ref="N379:N388" si="204">BK66</f>
        <v>13</v>
      </c>
      <c r="O379" s="13">
        <f t="shared" ref="O379:O388" si="205">BL66</f>
        <v>20</v>
      </c>
      <c r="P379" s="13">
        <f t="shared" ref="P379:P388" si="206">BM66</f>
        <v>23</v>
      </c>
      <c r="Q379" s="14">
        <f t="shared" ref="Q379:Q388" si="207">BN66</f>
        <v>24</v>
      </c>
      <c r="R379" s="12">
        <f t="shared" ref="R379:R388" si="208">BG118</f>
        <v>10.9</v>
      </c>
      <c r="S379" s="13">
        <f t="shared" ref="S379:S388" si="209">BH118</f>
        <v>20</v>
      </c>
      <c r="T379" s="13">
        <f t="shared" ref="T379:T388" si="210">BI118</f>
        <v>23</v>
      </c>
      <c r="U379" s="14">
        <f t="shared" ref="U379:U388" si="211">BJ118</f>
        <v>24.5</v>
      </c>
      <c r="V379" s="12">
        <f t="shared" ref="V379:V388" si="212">BK118</f>
        <v>13</v>
      </c>
      <c r="W379" s="13">
        <f t="shared" ref="W379:W388" si="213">BL118</f>
        <v>20</v>
      </c>
      <c r="X379" s="13">
        <f t="shared" ref="X379:X388" si="214">BM118</f>
        <v>23</v>
      </c>
      <c r="Y379" s="14">
        <f t="shared" ref="Y379:Y388" si="215">BN118</f>
        <v>24</v>
      </c>
    </row>
    <row r="380" spans="1:25" x14ac:dyDescent="0.25">
      <c r="A380" s="282" t="s">
        <v>13</v>
      </c>
      <c r="B380" s="103">
        <f t="shared" si="192"/>
        <v>6.7500000000000009</v>
      </c>
      <c r="C380" s="98">
        <f t="shared" si="193"/>
        <v>11.625</v>
      </c>
      <c r="D380" s="98">
        <f t="shared" si="194"/>
        <v>15.045</v>
      </c>
      <c r="E380" s="104">
        <f t="shared" si="195"/>
        <v>17.934999999999999</v>
      </c>
      <c r="F380" s="103">
        <f t="shared" si="196"/>
        <v>7.9750000000000005</v>
      </c>
      <c r="G380" s="98">
        <f t="shared" si="197"/>
        <v>11.625</v>
      </c>
      <c r="H380" s="98">
        <f t="shared" si="198"/>
        <v>15.045</v>
      </c>
      <c r="I380" s="105">
        <f t="shared" si="199"/>
        <v>17.085000000000001</v>
      </c>
      <c r="J380" s="103">
        <f t="shared" si="200"/>
        <v>6.625</v>
      </c>
      <c r="K380" s="98">
        <f t="shared" si="201"/>
        <v>12.5</v>
      </c>
      <c r="L380" s="98">
        <f t="shared" si="202"/>
        <v>14.5</v>
      </c>
      <c r="M380" s="104">
        <f t="shared" si="203"/>
        <v>17.87</v>
      </c>
      <c r="N380" s="103">
        <f t="shared" si="204"/>
        <v>8</v>
      </c>
      <c r="O380" s="98">
        <f t="shared" si="205"/>
        <v>12.5</v>
      </c>
      <c r="P380" s="98">
        <f t="shared" si="206"/>
        <v>14.5</v>
      </c>
      <c r="Q380" s="104">
        <f t="shared" si="207"/>
        <v>16.774999999999999</v>
      </c>
      <c r="R380" s="103">
        <f t="shared" si="208"/>
        <v>6.7500000000000009</v>
      </c>
      <c r="S380" s="98">
        <f t="shared" si="209"/>
        <v>12.725</v>
      </c>
      <c r="T380" s="98">
        <f t="shared" si="210"/>
        <v>17.685000000000002</v>
      </c>
      <c r="U380" s="104">
        <f t="shared" si="211"/>
        <v>20.024999999999999</v>
      </c>
      <c r="V380" s="103">
        <f t="shared" si="212"/>
        <v>8.0549999999999997</v>
      </c>
      <c r="W380" s="98">
        <f t="shared" si="213"/>
        <v>12.725</v>
      </c>
      <c r="X380" s="98">
        <f t="shared" si="214"/>
        <v>17.685000000000002</v>
      </c>
      <c r="Y380" s="104">
        <f t="shared" si="215"/>
        <v>19.37</v>
      </c>
    </row>
    <row r="381" spans="1:25" x14ac:dyDescent="0.25">
      <c r="A381" s="282" t="s">
        <v>14</v>
      </c>
      <c r="B381" s="103">
        <f t="shared" si="192"/>
        <v>2.4750000000000005</v>
      </c>
      <c r="C381" s="98">
        <f t="shared" si="193"/>
        <v>4.125</v>
      </c>
      <c r="D381" s="98">
        <f t="shared" si="194"/>
        <v>6.5449999999999999</v>
      </c>
      <c r="E381" s="104">
        <f t="shared" si="195"/>
        <v>11.305</v>
      </c>
      <c r="F381" s="103">
        <f t="shared" si="196"/>
        <v>2.9750000000000005</v>
      </c>
      <c r="G381" s="98">
        <f t="shared" si="197"/>
        <v>4.125</v>
      </c>
      <c r="H381" s="98">
        <f t="shared" si="198"/>
        <v>6.5449999999999999</v>
      </c>
      <c r="I381" s="105">
        <f t="shared" si="199"/>
        <v>9.8600000000000012</v>
      </c>
      <c r="J381" s="103">
        <f t="shared" si="200"/>
        <v>2.4750000000000005</v>
      </c>
      <c r="K381" s="98">
        <f t="shared" si="201"/>
        <v>5.2249999999999996</v>
      </c>
      <c r="L381" s="98">
        <f t="shared" si="202"/>
        <v>9.1850000000000005</v>
      </c>
      <c r="M381" s="104">
        <f t="shared" si="203"/>
        <v>13.395</v>
      </c>
      <c r="N381" s="103">
        <f t="shared" si="204"/>
        <v>3.0550000000000006</v>
      </c>
      <c r="O381" s="98">
        <f t="shared" si="205"/>
        <v>5.2249999999999996</v>
      </c>
      <c r="P381" s="98">
        <f t="shared" si="206"/>
        <v>9.1850000000000005</v>
      </c>
      <c r="Q381" s="104">
        <f t="shared" si="207"/>
        <v>12.145000000000001</v>
      </c>
      <c r="R381" s="103">
        <f t="shared" si="208"/>
        <v>2.3499999999999996</v>
      </c>
      <c r="S381" s="98">
        <f t="shared" si="209"/>
        <v>5</v>
      </c>
      <c r="T381" s="98">
        <f t="shared" si="210"/>
        <v>6</v>
      </c>
      <c r="U381" s="104">
        <f t="shared" si="211"/>
        <v>11.240000000000002</v>
      </c>
      <c r="V381" s="103">
        <f t="shared" si="212"/>
        <v>3</v>
      </c>
      <c r="W381" s="98">
        <f t="shared" si="213"/>
        <v>5</v>
      </c>
      <c r="X381" s="98">
        <f t="shared" si="214"/>
        <v>6</v>
      </c>
      <c r="Y381" s="104">
        <f t="shared" si="215"/>
        <v>9.5500000000000007</v>
      </c>
    </row>
    <row r="382" spans="1:25" x14ac:dyDescent="0.25">
      <c r="A382" s="282" t="s">
        <v>15</v>
      </c>
      <c r="B382" s="103">
        <f t="shared" si="192"/>
        <v>11.025000000000002</v>
      </c>
      <c r="C382" s="98">
        <f t="shared" si="193"/>
        <v>19.125</v>
      </c>
      <c r="D382" s="98">
        <f t="shared" si="194"/>
        <v>23.545000000000002</v>
      </c>
      <c r="E382" s="104">
        <f t="shared" si="195"/>
        <v>24.564999999999998</v>
      </c>
      <c r="F382" s="103">
        <f t="shared" si="196"/>
        <v>12.975000000000001</v>
      </c>
      <c r="G382" s="98">
        <f t="shared" si="197"/>
        <v>19.125</v>
      </c>
      <c r="H382" s="98">
        <f t="shared" si="198"/>
        <v>23.545000000000002</v>
      </c>
      <c r="I382" s="105">
        <f t="shared" si="199"/>
        <v>24.310000000000002</v>
      </c>
      <c r="J382" s="103">
        <f t="shared" si="200"/>
        <v>10.9</v>
      </c>
      <c r="K382" s="98">
        <f t="shared" si="201"/>
        <v>20</v>
      </c>
      <c r="L382" s="98">
        <f t="shared" si="202"/>
        <v>23</v>
      </c>
      <c r="M382" s="104">
        <f t="shared" si="203"/>
        <v>24.5</v>
      </c>
      <c r="N382" s="103">
        <f t="shared" si="204"/>
        <v>13</v>
      </c>
      <c r="O382" s="98">
        <f t="shared" si="205"/>
        <v>20</v>
      </c>
      <c r="P382" s="98">
        <f t="shared" si="206"/>
        <v>23</v>
      </c>
      <c r="Q382" s="104">
        <f t="shared" si="207"/>
        <v>24</v>
      </c>
      <c r="R382" s="103">
        <f t="shared" si="208"/>
        <v>9.1000000000000014</v>
      </c>
      <c r="S382" s="98">
        <f t="shared" si="209"/>
        <v>16.625</v>
      </c>
      <c r="T382" s="98">
        <f t="shared" si="210"/>
        <v>21.045000000000002</v>
      </c>
      <c r="U382" s="104">
        <f t="shared" si="211"/>
        <v>23.564999999999998</v>
      </c>
      <c r="V382" s="103">
        <f t="shared" si="212"/>
        <v>10.975000000000001</v>
      </c>
      <c r="W382" s="98">
        <f t="shared" si="213"/>
        <v>16.625</v>
      </c>
      <c r="X382" s="98">
        <f t="shared" si="214"/>
        <v>21.045000000000002</v>
      </c>
      <c r="Y382" s="104">
        <f t="shared" si="215"/>
        <v>22.810000000000002</v>
      </c>
    </row>
    <row r="383" spans="1:25" x14ac:dyDescent="0.25">
      <c r="A383" s="282" t="s">
        <v>17</v>
      </c>
      <c r="B383" s="103">
        <f t="shared" si="192"/>
        <v>4.9500000000000011</v>
      </c>
      <c r="C383" s="98">
        <f t="shared" si="193"/>
        <v>9.9</v>
      </c>
      <c r="D383" s="98">
        <f t="shared" si="194"/>
        <v>16.829999999999998</v>
      </c>
      <c r="E383" s="104">
        <f t="shared" si="195"/>
        <v>19.805</v>
      </c>
      <c r="F383" s="103">
        <f t="shared" si="196"/>
        <v>6.1800000000000015</v>
      </c>
      <c r="G383" s="98">
        <f t="shared" si="197"/>
        <v>9.9</v>
      </c>
      <c r="H383" s="98">
        <f t="shared" si="198"/>
        <v>16.829999999999998</v>
      </c>
      <c r="I383" s="105">
        <f t="shared" si="199"/>
        <v>19.04</v>
      </c>
      <c r="J383" s="103">
        <f t="shared" si="200"/>
        <v>6.3250000000000011</v>
      </c>
      <c r="K383" s="98">
        <f t="shared" si="201"/>
        <v>11</v>
      </c>
      <c r="L383" s="98">
        <f t="shared" si="202"/>
        <v>17.71</v>
      </c>
      <c r="M383" s="104">
        <f t="shared" si="203"/>
        <v>21.625</v>
      </c>
      <c r="N383" s="103">
        <f t="shared" si="204"/>
        <v>7.7500000000000018</v>
      </c>
      <c r="O383" s="98">
        <f t="shared" si="205"/>
        <v>11</v>
      </c>
      <c r="P383" s="98">
        <f t="shared" si="206"/>
        <v>17.71</v>
      </c>
      <c r="Q383" s="104">
        <f t="shared" si="207"/>
        <v>20.550000000000004</v>
      </c>
      <c r="R383" s="103">
        <f t="shared" si="208"/>
        <v>4.8250000000000002</v>
      </c>
      <c r="S383" s="98">
        <f t="shared" si="209"/>
        <v>10.775</v>
      </c>
      <c r="T383" s="98">
        <f t="shared" si="210"/>
        <v>16.285</v>
      </c>
      <c r="U383" s="104">
        <f t="shared" si="211"/>
        <v>19.740000000000002</v>
      </c>
      <c r="V383" s="103">
        <f t="shared" si="212"/>
        <v>6.2050000000000001</v>
      </c>
      <c r="W383" s="98">
        <f t="shared" si="213"/>
        <v>10.775</v>
      </c>
      <c r="X383" s="98">
        <f t="shared" si="214"/>
        <v>16.285</v>
      </c>
      <c r="Y383" s="104">
        <f t="shared" si="215"/>
        <v>18.73</v>
      </c>
    </row>
    <row r="384" spans="1:25" x14ac:dyDescent="0.25">
      <c r="A384" s="282" t="s">
        <v>18</v>
      </c>
      <c r="B384" s="103">
        <f t="shared" si="192"/>
        <v>0</v>
      </c>
      <c r="C384" s="98">
        <f t="shared" si="193"/>
        <v>4.95</v>
      </c>
      <c r="D384" s="98">
        <f t="shared" si="194"/>
        <v>11.22</v>
      </c>
      <c r="E384" s="104">
        <f t="shared" si="195"/>
        <v>14.025000000000002</v>
      </c>
      <c r="F384" s="103">
        <f t="shared" si="196"/>
        <v>0.69</v>
      </c>
      <c r="G384" s="98">
        <f t="shared" si="197"/>
        <v>4.95</v>
      </c>
      <c r="H384" s="98">
        <f t="shared" si="198"/>
        <v>11.22</v>
      </c>
      <c r="I384" s="105">
        <f t="shared" si="199"/>
        <v>13.26</v>
      </c>
      <c r="J384" s="103">
        <f t="shared" si="200"/>
        <v>1.375</v>
      </c>
      <c r="K384" s="98">
        <f t="shared" si="201"/>
        <v>6.0500000000000007</v>
      </c>
      <c r="L384" s="98">
        <f t="shared" si="202"/>
        <v>12.1</v>
      </c>
      <c r="M384" s="104">
        <f t="shared" si="203"/>
        <v>15.845000000000002</v>
      </c>
      <c r="N384" s="103">
        <f t="shared" si="204"/>
        <v>2.2600000000000007</v>
      </c>
      <c r="O384" s="98">
        <f t="shared" si="205"/>
        <v>6.0500000000000007</v>
      </c>
      <c r="P384" s="98">
        <f t="shared" si="206"/>
        <v>12.1</v>
      </c>
      <c r="Q384" s="104">
        <f t="shared" si="207"/>
        <v>14.770000000000001</v>
      </c>
      <c r="R384" s="103">
        <f t="shared" si="208"/>
        <v>1.375</v>
      </c>
      <c r="S384" s="98">
        <f t="shared" si="209"/>
        <v>6.0500000000000007</v>
      </c>
      <c r="T384" s="98">
        <f t="shared" si="210"/>
        <v>12.1</v>
      </c>
      <c r="U384" s="104">
        <f t="shared" si="211"/>
        <v>15.845000000000002</v>
      </c>
      <c r="V384" s="103">
        <f t="shared" si="212"/>
        <v>2.2600000000000007</v>
      </c>
      <c r="W384" s="98">
        <f t="shared" si="213"/>
        <v>6.0500000000000007</v>
      </c>
      <c r="X384" s="98">
        <f t="shared" si="214"/>
        <v>12.1</v>
      </c>
      <c r="Y384" s="104">
        <f t="shared" si="215"/>
        <v>14.770000000000001</v>
      </c>
    </row>
    <row r="385" spans="1:41" x14ac:dyDescent="0.25">
      <c r="A385" s="282" t="s">
        <v>19</v>
      </c>
      <c r="B385" s="103">
        <f t="shared" si="192"/>
        <v>4.9500000000000011</v>
      </c>
      <c r="C385" s="98">
        <f t="shared" si="193"/>
        <v>8.25</v>
      </c>
      <c r="D385" s="98">
        <f t="shared" si="194"/>
        <v>13.09</v>
      </c>
      <c r="E385" s="104">
        <f t="shared" si="195"/>
        <v>17</v>
      </c>
      <c r="F385" s="103">
        <f t="shared" si="196"/>
        <v>5.9500000000000011</v>
      </c>
      <c r="G385" s="98">
        <f t="shared" si="197"/>
        <v>8.25</v>
      </c>
      <c r="H385" s="98">
        <f t="shared" si="198"/>
        <v>13.09</v>
      </c>
      <c r="I385" s="105">
        <f t="shared" si="199"/>
        <v>15.895000000000001</v>
      </c>
      <c r="J385" s="103">
        <f t="shared" si="200"/>
        <v>4.8250000000000002</v>
      </c>
      <c r="K385" s="98">
        <f t="shared" si="201"/>
        <v>9.125</v>
      </c>
      <c r="L385" s="98">
        <f t="shared" si="202"/>
        <v>12.545</v>
      </c>
      <c r="M385" s="104">
        <f t="shared" si="203"/>
        <v>16.934999999999999</v>
      </c>
      <c r="N385" s="103">
        <f t="shared" si="204"/>
        <v>5.9750000000000005</v>
      </c>
      <c r="O385" s="98">
        <f t="shared" si="205"/>
        <v>9.125</v>
      </c>
      <c r="P385" s="98">
        <f t="shared" si="206"/>
        <v>12.545</v>
      </c>
      <c r="Q385" s="104">
        <f t="shared" si="207"/>
        <v>15.585000000000001</v>
      </c>
      <c r="R385" s="103">
        <f t="shared" si="208"/>
        <v>4.8250000000000002</v>
      </c>
      <c r="S385" s="98">
        <f t="shared" si="209"/>
        <v>9.125</v>
      </c>
      <c r="T385" s="98">
        <f t="shared" si="210"/>
        <v>12.545</v>
      </c>
      <c r="U385" s="104">
        <f t="shared" si="211"/>
        <v>16.934999999999999</v>
      </c>
      <c r="V385" s="103">
        <f t="shared" si="212"/>
        <v>5.9750000000000005</v>
      </c>
      <c r="W385" s="98">
        <f t="shared" si="213"/>
        <v>9.125</v>
      </c>
      <c r="X385" s="98">
        <f t="shared" si="214"/>
        <v>12.545</v>
      </c>
      <c r="Y385" s="104">
        <f t="shared" si="215"/>
        <v>15.585000000000001</v>
      </c>
    </row>
    <row r="386" spans="1:41" x14ac:dyDescent="0.25">
      <c r="A386" s="282" t="s">
        <v>20</v>
      </c>
      <c r="B386" s="103">
        <f t="shared" si="192"/>
        <v>7.4250000000000016</v>
      </c>
      <c r="C386" s="98">
        <f t="shared" si="193"/>
        <v>12.375</v>
      </c>
      <c r="D386" s="98">
        <f t="shared" si="194"/>
        <v>19.634999999999998</v>
      </c>
      <c r="E386" s="104">
        <f t="shared" si="195"/>
        <v>22.695</v>
      </c>
      <c r="F386" s="103">
        <f t="shared" si="196"/>
        <v>8.9250000000000007</v>
      </c>
      <c r="G386" s="98">
        <f t="shared" si="197"/>
        <v>12.375</v>
      </c>
      <c r="H386" s="98">
        <f t="shared" si="198"/>
        <v>19.634999999999998</v>
      </c>
      <c r="I386" s="105">
        <f t="shared" si="199"/>
        <v>21.93</v>
      </c>
      <c r="J386" s="103">
        <f t="shared" si="200"/>
        <v>7.3000000000000007</v>
      </c>
      <c r="K386" s="98">
        <f t="shared" si="201"/>
        <v>13.25</v>
      </c>
      <c r="L386" s="98">
        <f t="shared" si="202"/>
        <v>19.09</v>
      </c>
      <c r="M386" s="104">
        <f t="shared" si="203"/>
        <v>22.63</v>
      </c>
      <c r="N386" s="103">
        <f t="shared" si="204"/>
        <v>8.9500000000000011</v>
      </c>
      <c r="O386" s="98">
        <f t="shared" si="205"/>
        <v>13.25</v>
      </c>
      <c r="P386" s="98">
        <f t="shared" si="206"/>
        <v>19.09</v>
      </c>
      <c r="Q386" s="104">
        <f t="shared" si="207"/>
        <v>21.62</v>
      </c>
      <c r="R386" s="103">
        <f t="shared" si="208"/>
        <v>7.3000000000000007</v>
      </c>
      <c r="S386" s="98">
        <f t="shared" si="209"/>
        <v>13.25</v>
      </c>
      <c r="T386" s="98">
        <f t="shared" si="210"/>
        <v>19.09</v>
      </c>
      <c r="U386" s="104">
        <f t="shared" si="211"/>
        <v>22.63</v>
      </c>
      <c r="V386" s="103">
        <f t="shared" si="212"/>
        <v>8.9500000000000011</v>
      </c>
      <c r="W386" s="98">
        <f t="shared" si="213"/>
        <v>13.25</v>
      </c>
      <c r="X386" s="98">
        <f t="shared" si="214"/>
        <v>19.09</v>
      </c>
      <c r="Y386" s="104">
        <f t="shared" si="215"/>
        <v>21.62</v>
      </c>
    </row>
    <row r="387" spans="1:41" x14ac:dyDescent="0.25">
      <c r="A387" s="282" t="s">
        <v>22</v>
      </c>
      <c r="B387" s="103">
        <f t="shared" si="192"/>
        <v>0</v>
      </c>
      <c r="C387" s="98">
        <f t="shared" si="193"/>
        <v>0</v>
      </c>
      <c r="D387" s="98">
        <f t="shared" si="194"/>
        <v>0</v>
      </c>
      <c r="E387" s="104">
        <f t="shared" si="195"/>
        <v>5.61</v>
      </c>
      <c r="F387" s="103">
        <f t="shared" si="196"/>
        <v>0</v>
      </c>
      <c r="G387" s="98">
        <f t="shared" si="197"/>
        <v>0</v>
      </c>
      <c r="H387" s="98">
        <f t="shared" si="198"/>
        <v>0</v>
      </c>
      <c r="I387" s="105">
        <f t="shared" si="199"/>
        <v>3.8249999999999997</v>
      </c>
      <c r="J387" s="103">
        <f t="shared" si="200"/>
        <v>0</v>
      </c>
      <c r="K387" s="98">
        <f t="shared" si="201"/>
        <v>1.1000000000000001</v>
      </c>
      <c r="L387" s="98">
        <f t="shared" si="202"/>
        <v>2.64</v>
      </c>
      <c r="M387" s="104">
        <f t="shared" si="203"/>
        <v>7.7</v>
      </c>
      <c r="N387" s="103">
        <f t="shared" si="204"/>
        <v>8.0000000000000071E-2</v>
      </c>
      <c r="O387" s="98">
        <f t="shared" si="205"/>
        <v>1.1000000000000001</v>
      </c>
      <c r="P387" s="98">
        <f t="shared" si="206"/>
        <v>2.64</v>
      </c>
      <c r="Q387" s="104">
        <f t="shared" si="207"/>
        <v>6.1099999999999994</v>
      </c>
      <c r="R387" s="103">
        <f t="shared" si="208"/>
        <v>0</v>
      </c>
      <c r="S387" s="98">
        <f t="shared" si="209"/>
        <v>1.1000000000000001</v>
      </c>
      <c r="T387" s="98">
        <f t="shared" si="210"/>
        <v>2.64</v>
      </c>
      <c r="U387" s="104">
        <f t="shared" si="211"/>
        <v>7.7</v>
      </c>
      <c r="V387" s="103">
        <f t="shared" si="212"/>
        <v>8.0000000000000071E-2</v>
      </c>
      <c r="W387" s="98">
        <f t="shared" si="213"/>
        <v>1.1000000000000001</v>
      </c>
      <c r="X387" s="98">
        <f t="shared" si="214"/>
        <v>2.64</v>
      </c>
      <c r="Y387" s="104">
        <f t="shared" si="215"/>
        <v>6.1099999999999994</v>
      </c>
    </row>
    <row r="388" spans="1:41" ht="15.75" thickBot="1" x14ac:dyDescent="0.3">
      <c r="A388" s="283" t="s">
        <v>23</v>
      </c>
      <c r="B388" s="106">
        <f t="shared" si="192"/>
        <v>4.2750000000000004</v>
      </c>
      <c r="C388" s="107">
        <f t="shared" si="193"/>
        <v>10.8</v>
      </c>
      <c r="D388" s="107">
        <f t="shared" si="194"/>
        <v>15.98</v>
      </c>
      <c r="E388" s="108">
        <f t="shared" si="195"/>
        <v>17.850000000000001</v>
      </c>
      <c r="F388" s="106">
        <f t="shared" si="196"/>
        <v>5.46</v>
      </c>
      <c r="G388" s="107">
        <f t="shared" si="197"/>
        <v>10.8</v>
      </c>
      <c r="H388" s="107">
        <f t="shared" si="198"/>
        <v>15.98</v>
      </c>
      <c r="I388" s="109">
        <f t="shared" si="199"/>
        <v>17.34</v>
      </c>
      <c r="J388" s="106">
        <f t="shared" si="200"/>
        <v>5.65</v>
      </c>
      <c r="K388" s="107">
        <f t="shared" si="201"/>
        <v>11.9</v>
      </c>
      <c r="L388" s="107">
        <f t="shared" si="202"/>
        <v>16.86</v>
      </c>
      <c r="M388" s="108">
        <f t="shared" si="203"/>
        <v>19.670000000000002</v>
      </c>
      <c r="N388" s="106">
        <f t="shared" si="204"/>
        <v>7.0300000000000011</v>
      </c>
      <c r="O388" s="107">
        <f t="shared" si="205"/>
        <v>11.9</v>
      </c>
      <c r="P388" s="107">
        <f t="shared" si="206"/>
        <v>16.86</v>
      </c>
      <c r="Q388" s="108">
        <f t="shared" si="207"/>
        <v>18.850000000000001</v>
      </c>
      <c r="R388" s="106">
        <f t="shared" si="208"/>
        <v>5.65</v>
      </c>
      <c r="S388" s="107">
        <f t="shared" si="209"/>
        <v>11.9</v>
      </c>
      <c r="T388" s="107">
        <f t="shared" si="210"/>
        <v>16.86</v>
      </c>
      <c r="U388" s="108">
        <f t="shared" si="211"/>
        <v>19.670000000000002</v>
      </c>
      <c r="V388" s="106">
        <f t="shared" si="212"/>
        <v>7.0300000000000011</v>
      </c>
      <c r="W388" s="107">
        <f t="shared" si="213"/>
        <v>11.9</v>
      </c>
      <c r="X388" s="107">
        <f t="shared" si="214"/>
        <v>16.86</v>
      </c>
      <c r="Y388" s="108">
        <f t="shared" si="215"/>
        <v>18.850000000000001</v>
      </c>
    </row>
    <row r="390" spans="1:41" ht="15.75" thickBot="1" x14ac:dyDescent="0.3">
      <c r="A390" s="1" t="s">
        <v>315</v>
      </c>
      <c r="AH390">
        <v>0.6</v>
      </c>
      <c r="AL390">
        <v>0.8</v>
      </c>
    </row>
    <row r="391" spans="1:41" ht="15.75" thickBot="1" x14ac:dyDescent="0.3">
      <c r="A391" s="456" t="s">
        <v>234</v>
      </c>
      <c r="B391" s="443" t="s">
        <v>124</v>
      </c>
      <c r="C391" s="441"/>
      <c r="D391" s="441"/>
      <c r="E391" s="441"/>
      <c r="F391" s="441"/>
      <c r="G391" s="441"/>
      <c r="H391" s="441"/>
      <c r="I391" s="442"/>
      <c r="J391" s="443" t="s">
        <v>125</v>
      </c>
      <c r="K391" s="441"/>
      <c r="L391" s="441"/>
      <c r="M391" s="441"/>
      <c r="N391" s="441"/>
      <c r="O391" s="441"/>
      <c r="P391" s="441"/>
      <c r="Q391" s="442"/>
      <c r="R391" s="443" t="s">
        <v>127</v>
      </c>
      <c r="S391" s="441"/>
      <c r="T391" s="441"/>
      <c r="U391" s="441"/>
      <c r="V391" s="441"/>
      <c r="W391" s="441"/>
      <c r="X391" s="441"/>
      <c r="Y391" s="442"/>
      <c r="Z391" s="493" t="s">
        <v>126</v>
      </c>
      <c r="AA391" s="494"/>
      <c r="AB391" s="494"/>
      <c r="AC391" s="494"/>
      <c r="AD391" s="494"/>
      <c r="AE391" s="494"/>
      <c r="AF391" s="494"/>
      <c r="AG391" s="495"/>
      <c r="AH391" s="427" t="s">
        <v>264</v>
      </c>
      <c r="AI391" s="428"/>
      <c r="AJ391" s="428"/>
      <c r="AK391" s="429"/>
      <c r="AL391" s="433" t="s">
        <v>79</v>
      </c>
      <c r="AM391" s="434"/>
      <c r="AN391" s="425" t="s">
        <v>80</v>
      </c>
      <c r="AO391" s="425" t="s">
        <v>265</v>
      </c>
    </row>
    <row r="392" spans="1:41" ht="50.25" customHeight="1" thickBot="1" x14ac:dyDescent="0.3">
      <c r="A392" s="467"/>
      <c r="B392" s="427" t="s">
        <v>3</v>
      </c>
      <c r="C392" s="491"/>
      <c r="D392" s="491"/>
      <c r="E392" s="492"/>
      <c r="F392" s="443" t="s">
        <v>4</v>
      </c>
      <c r="G392" s="452"/>
      <c r="H392" s="452"/>
      <c r="I392" s="453"/>
      <c r="J392" s="438" t="s">
        <v>3</v>
      </c>
      <c r="K392" s="452"/>
      <c r="L392" s="452"/>
      <c r="M392" s="453"/>
      <c r="N392" s="443" t="s">
        <v>4</v>
      </c>
      <c r="O392" s="452"/>
      <c r="P392" s="452"/>
      <c r="Q392" s="453"/>
      <c r="R392" s="438" t="s">
        <v>3</v>
      </c>
      <c r="S392" s="452"/>
      <c r="T392" s="452"/>
      <c r="U392" s="453"/>
      <c r="V392" s="443" t="s">
        <v>4</v>
      </c>
      <c r="W392" s="452"/>
      <c r="X392" s="452"/>
      <c r="Y392" s="453"/>
      <c r="Z392" s="493" t="s">
        <v>3</v>
      </c>
      <c r="AA392" s="494"/>
      <c r="AB392" s="494"/>
      <c r="AC392" s="495"/>
      <c r="AD392" s="493" t="s">
        <v>4</v>
      </c>
      <c r="AE392" s="494"/>
      <c r="AF392" s="494"/>
      <c r="AG392" s="495"/>
      <c r="AH392" s="449"/>
      <c r="AI392" s="450"/>
      <c r="AJ392" s="450"/>
      <c r="AK392" s="451"/>
      <c r="AL392" s="430"/>
      <c r="AM392" s="432"/>
      <c r="AN392" s="426"/>
      <c r="AO392" s="426"/>
    </row>
    <row r="393" spans="1:41" x14ac:dyDescent="0.25">
      <c r="A393" s="409" t="s">
        <v>24</v>
      </c>
      <c r="B393" s="130">
        <f>B379*$B364</f>
        <v>2.9594781656773481</v>
      </c>
      <c r="C393" s="131">
        <f t="shared" ref="C393:E393" si="216">C379*$B364</f>
        <v>5.19206695732868</v>
      </c>
      <c r="D393" s="131">
        <f t="shared" si="216"/>
        <v>5.884342551639171</v>
      </c>
      <c r="E393" s="132">
        <f t="shared" si="216"/>
        <v>5.884342551639171</v>
      </c>
      <c r="F393" s="130">
        <f>F379*$B364</f>
        <v>3.4613779715524533</v>
      </c>
      <c r="G393" s="131">
        <f t="shared" ref="G393:I393" si="217">G379*$B364</f>
        <v>5.19206695732868</v>
      </c>
      <c r="H393" s="131">
        <f t="shared" si="217"/>
        <v>5.884342551639171</v>
      </c>
      <c r="I393" s="132">
        <f t="shared" si="217"/>
        <v>5.884342551639171</v>
      </c>
      <c r="J393" s="130">
        <f>J379*$C364</f>
        <v>4.1927189398865936</v>
      </c>
      <c r="K393" s="133">
        <f t="shared" ref="K393:M393" si="218">K379*$C364</f>
        <v>7.6930622750212727</v>
      </c>
      <c r="L393" s="133">
        <f t="shared" si="218"/>
        <v>8.8470216162744642</v>
      </c>
      <c r="M393" s="134">
        <f t="shared" si="218"/>
        <v>9.4240012869010599</v>
      </c>
      <c r="N393" s="130">
        <f>N379*$C364</f>
        <v>5.0004904787638278</v>
      </c>
      <c r="O393" s="133">
        <f t="shared" ref="O393:Q393" si="219">O379*$C364</f>
        <v>7.6930622750212727</v>
      </c>
      <c r="P393" s="133">
        <f t="shared" si="219"/>
        <v>8.8470216162744642</v>
      </c>
      <c r="Q393" s="134">
        <f t="shared" si="219"/>
        <v>9.231674730025528</v>
      </c>
      <c r="R393" s="130">
        <f>R379*$D364</f>
        <v>4.1920130674519562</v>
      </c>
      <c r="S393" s="133">
        <f t="shared" ref="S393:U393" si="220">S379*$D364</f>
        <v>7.6917670962421214</v>
      </c>
      <c r="T393" s="133">
        <f t="shared" si="220"/>
        <v>8.8455321606784398</v>
      </c>
      <c r="U393" s="134">
        <f t="shared" si="220"/>
        <v>9.4224146928965986</v>
      </c>
      <c r="V393" s="130">
        <f>V379*$D364</f>
        <v>4.9996486125573787</v>
      </c>
      <c r="W393" s="133">
        <f t="shared" ref="W393:Y393" si="221">W379*$D364</f>
        <v>7.6917670962421214</v>
      </c>
      <c r="X393" s="133">
        <f t="shared" si="221"/>
        <v>8.8455321606784398</v>
      </c>
      <c r="Y393" s="134">
        <f t="shared" si="221"/>
        <v>9.2301205154905457</v>
      </c>
      <c r="Z393" s="110">
        <f>B393+J393+R393</f>
        <v>11.344210173015899</v>
      </c>
      <c r="AA393" s="234">
        <f t="shared" ref="AA393:AG402" si="222">C393+K393+S393</f>
        <v>20.576896328592074</v>
      </c>
      <c r="AB393" s="234">
        <f t="shared" si="222"/>
        <v>23.576896328592078</v>
      </c>
      <c r="AC393" s="140">
        <f t="shared" si="222"/>
        <v>24.73075853143683</v>
      </c>
      <c r="AD393" s="110">
        <f t="shared" si="222"/>
        <v>13.461517062873661</v>
      </c>
      <c r="AE393" s="234">
        <f t="shared" si="222"/>
        <v>20.576896328592074</v>
      </c>
      <c r="AF393" s="234">
        <f t="shared" si="222"/>
        <v>23.576896328592078</v>
      </c>
      <c r="AG393" s="140">
        <f t="shared" si="222"/>
        <v>24.346137797155244</v>
      </c>
      <c r="AH393" s="110">
        <f>(1-$AH$390)*Z393+$AH$390*AD393</f>
        <v>12.614594306930556</v>
      </c>
      <c r="AI393" s="234">
        <f t="shared" ref="AI393:AK393" si="223">(1-$AH$390)*AA393+$AH$390*AE393</f>
        <v>20.576896328592074</v>
      </c>
      <c r="AJ393" s="234">
        <f t="shared" si="223"/>
        <v>23.576896328592078</v>
      </c>
      <c r="AK393" s="140">
        <f t="shared" si="223"/>
        <v>24.499986090867878</v>
      </c>
      <c r="AL393" s="234">
        <f>$AL$390*AI393+(1-$AL$390)*AH393</f>
        <v>18.98443592425977</v>
      </c>
      <c r="AM393" s="140">
        <f>$AL$390*AJ393+(1-$AL$390)*AK393</f>
        <v>23.761514281047237</v>
      </c>
      <c r="AN393" s="140">
        <f>(AL393+AM393)/2</f>
        <v>21.372975102653506</v>
      </c>
      <c r="AO393" s="140">
        <f>AN393</f>
        <v>21.372975102653506</v>
      </c>
    </row>
    <row r="394" spans="1:41" x14ac:dyDescent="0.25">
      <c r="A394" s="411" t="s">
        <v>13</v>
      </c>
      <c r="B394" s="103">
        <f t="shared" ref="B394:F402" si="224">B380*$B365</f>
        <v>2.3364849623023969</v>
      </c>
      <c r="C394" s="98">
        <f t="shared" si="224"/>
        <v>4.0239463239652391</v>
      </c>
      <c r="D394" s="98">
        <f t="shared" si="224"/>
        <v>5.2077653715317869</v>
      </c>
      <c r="E394" s="104">
        <f t="shared" si="224"/>
        <v>6.2081270813175529</v>
      </c>
      <c r="F394" s="103">
        <f t="shared" si="224"/>
        <v>2.7605137147202394</v>
      </c>
      <c r="G394" s="98">
        <f t="shared" ref="G394:I394" si="225">G380*$B365</f>
        <v>4.0239463239652391</v>
      </c>
      <c r="H394" s="98">
        <f t="shared" si="225"/>
        <v>5.2077653715317869</v>
      </c>
      <c r="I394" s="104">
        <f t="shared" si="225"/>
        <v>5.9139030490276223</v>
      </c>
      <c r="J394" s="12">
        <f t="shared" ref="J394:N402" si="226">J380*$C365</f>
        <v>2.2960505326841991</v>
      </c>
      <c r="K394" s="129">
        <f t="shared" si="226"/>
        <v>4.3321708163852817</v>
      </c>
      <c r="L394" s="129">
        <f t="shared" si="226"/>
        <v>5.0253181470069261</v>
      </c>
      <c r="M394" s="135">
        <f t="shared" si="226"/>
        <v>6.1932713991043986</v>
      </c>
      <c r="N394" s="12">
        <f t="shared" si="226"/>
        <v>2.7725893224865801</v>
      </c>
      <c r="O394" s="129">
        <f t="shared" ref="O394:Q394" si="227">O380*$C365</f>
        <v>4.3321708163852817</v>
      </c>
      <c r="P394" s="129">
        <f t="shared" si="227"/>
        <v>5.0253181470069261</v>
      </c>
      <c r="Q394" s="135">
        <f t="shared" si="227"/>
        <v>5.8137732355890472</v>
      </c>
      <c r="R394" s="12">
        <f t="shared" ref="R394:V402" si="228">R380*$D365</f>
        <v>2.0741427968495514</v>
      </c>
      <c r="S394" s="129">
        <f t="shared" si="228"/>
        <v>3.9101432725793384</v>
      </c>
      <c r="T394" s="129">
        <f t="shared" si="228"/>
        <v>5.4342541277458238</v>
      </c>
      <c r="U394" s="135">
        <f t="shared" si="228"/>
        <v>6.1532902973203338</v>
      </c>
      <c r="V394" s="12">
        <f t="shared" si="228"/>
        <v>2.4751437375737972</v>
      </c>
      <c r="W394" s="129">
        <f t="shared" ref="W394:Y394" si="229">W380*$D365</f>
        <v>3.9101432725793384</v>
      </c>
      <c r="X394" s="129">
        <f t="shared" si="229"/>
        <v>5.4342541277458238</v>
      </c>
      <c r="Y394" s="135">
        <f t="shared" si="229"/>
        <v>5.9520216259223417</v>
      </c>
      <c r="Z394" s="111">
        <f t="shared" ref="Z394:Z402" si="230">B394+J394+R394</f>
        <v>6.7066782918361483</v>
      </c>
      <c r="AA394" s="97">
        <f t="shared" si="222"/>
        <v>12.266260412929858</v>
      </c>
      <c r="AB394" s="97">
        <f t="shared" si="222"/>
        <v>15.667337646284537</v>
      </c>
      <c r="AC394" s="142">
        <f t="shared" si="222"/>
        <v>18.554688777742285</v>
      </c>
      <c r="AD394" s="111">
        <f t="shared" si="222"/>
        <v>8.0082467747806163</v>
      </c>
      <c r="AE394" s="97">
        <f t="shared" si="222"/>
        <v>12.266260412929858</v>
      </c>
      <c r="AF394" s="97">
        <f t="shared" si="222"/>
        <v>15.667337646284537</v>
      </c>
      <c r="AG394" s="142">
        <f t="shared" si="222"/>
        <v>17.679697910539012</v>
      </c>
      <c r="AH394" s="111">
        <f t="shared" ref="AH394:AH402" si="231">(1-$AH$390)*Z394+$AH$390*AD394</f>
        <v>7.4876193816028298</v>
      </c>
      <c r="AI394" s="97">
        <f t="shared" ref="AI394:AI402" si="232">(1-$AH$390)*AA394+$AH$390*AE394</f>
        <v>12.266260412929858</v>
      </c>
      <c r="AJ394" s="97">
        <f t="shared" ref="AJ394:AJ402" si="233">(1-$AH$390)*AB394+$AH$390*AF394</f>
        <v>15.667337646284537</v>
      </c>
      <c r="AK394" s="142">
        <f t="shared" ref="AK394:AK402" si="234">(1-$AH$390)*AC394+$AH$390*AG394</f>
        <v>18.029694257420321</v>
      </c>
      <c r="AL394" s="97">
        <f t="shared" ref="AL394:AL402" si="235">$AL$390*AI394+(1-$AL$390)*AH394</f>
        <v>11.310532206664453</v>
      </c>
      <c r="AM394" s="142">
        <f t="shared" ref="AM394:AM402" si="236">$AL$390*AJ394+(1-$AL$390)*AK394</f>
        <v>16.139808968511694</v>
      </c>
      <c r="AN394" s="142">
        <f t="shared" ref="AN394:AN402" si="237">(AL394+AM394)/2</f>
        <v>13.725170587588075</v>
      </c>
      <c r="AO394" s="142">
        <f>AN394</f>
        <v>13.725170587588075</v>
      </c>
    </row>
    <row r="395" spans="1:41" x14ac:dyDescent="0.25">
      <c r="A395" s="411" t="s">
        <v>14</v>
      </c>
      <c r="B395" s="103">
        <f t="shared" si="224"/>
        <v>0.90194671653304814</v>
      </c>
      <c r="C395" s="98">
        <f t="shared" si="224"/>
        <v>1.5032445275550799</v>
      </c>
      <c r="D395" s="98">
        <f t="shared" si="224"/>
        <v>2.3851479837207266</v>
      </c>
      <c r="E395" s="104">
        <f t="shared" si="224"/>
        <v>4.1198010627903461</v>
      </c>
      <c r="F395" s="103">
        <f t="shared" si="224"/>
        <v>1.0841581744185123</v>
      </c>
      <c r="G395" s="98">
        <f t="shared" ref="G395:I395" si="238">G381*$B366</f>
        <v>1.5032445275550799</v>
      </c>
      <c r="H395" s="98">
        <f t="shared" si="238"/>
        <v>2.3851479837207266</v>
      </c>
      <c r="I395" s="104">
        <f t="shared" si="238"/>
        <v>3.5932099495013547</v>
      </c>
      <c r="J395" s="12">
        <f t="shared" si="226"/>
        <v>0.63891518615310472</v>
      </c>
      <c r="K395" s="129">
        <f t="shared" si="226"/>
        <v>1.3488209485454428</v>
      </c>
      <c r="L395" s="129">
        <f t="shared" si="226"/>
        <v>2.3710852463904102</v>
      </c>
      <c r="M395" s="135">
        <f t="shared" si="226"/>
        <v>3.4578864317255897</v>
      </c>
      <c r="N395" s="12">
        <f t="shared" si="226"/>
        <v>0.78864076513039794</v>
      </c>
      <c r="O395" s="129">
        <f t="shared" ref="O395:Q395" si="239">O381*$C366</f>
        <v>1.3488209485454428</v>
      </c>
      <c r="P395" s="129">
        <f t="shared" si="239"/>
        <v>2.3710852463904102</v>
      </c>
      <c r="Q395" s="135">
        <f t="shared" si="239"/>
        <v>3.1352019942745275</v>
      </c>
      <c r="R395" s="12">
        <f t="shared" si="228"/>
        <v>0.88695940553031993</v>
      </c>
      <c r="S395" s="129">
        <f t="shared" si="228"/>
        <v>1.8871476713411064</v>
      </c>
      <c r="T395" s="129">
        <f t="shared" si="228"/>
        <v>2.2645772056093278</v>
      </c>
      <c r="U395" s="135">
        <f t="shared" si="228"/>
        <v>4.2423079651748079</v>
      </c>
      <c r="V395" s="12">
        <f t="shared" si="228"/>
        <v>1.1322886028046639</v>
      </c>
      <c r="W395" s="129">
        <f t="shared" ref="W395:Y395" si="240">W381*$D366</f>
        <v>1.8871476713411064</v>
      </c>
      <c r="X395" s="129">
        <f t="shared" si="240"/>
        <v>2.2645772056093278</v>
      </c>
      <c r="Y395" s="135">
        <f t="shared" si="240"/>
        <v>3.6044520522615136</v>
      </c>
      <c r="Z395" s="111">
        <f t="shared" si="230"/>
        <v>2.427821308216473</v>
      </c>
      <c r="AA395" s="97">
        <f t="shared" si="222"/>
        <v>4.739213147441629</v>
      </c>
      <c r="AB395" s="97">
        <f t="shared" si="222"/>
        <v>7.020810435720465</v>
      </c>
      <c r="AC395" s="142">
        <f t="shared" si="222"/>
        <v>11.819995459690745</v>
      </c>
      <c r="AD395" s="111">
        <f t="shared" si="222"/>
        <v>3.0050875423535741</v>
      </c>
      <c r="AE395" s="97">
        <f t="shared" si="222"/>
        <v>4.739213147441629</v>
      </c>
      <c r="AF395" s="97">
        <f t="shared" si="222"/>
        <v>7.020810435720465</v>
      </c>
      <c r="AG395" s="142">
        <f t="shared" si="222"/>
        <v>10.332863996037396</v>
      </c>
      <c r="AH395" s="111">
        <f t="shared" si="231"/>
        <v>2.7741810486987335</v>
      </c>
      <c r="AI395" s="97">
        <f t="shared" si="232"/>
        <v>4.739213147441629</v>
      </c>
      <c r="AJ395" s="97">
        <f t="shared" si="233"/>
        <v>7.020810435720465</v>
      </c>
      <c r="AK395" s="142">
        <f t="shared" si="234"/>
        <v>10.927716581498736</v>
      </c>
      <c r="AL395" s="97">
        <f t="shared" si="235"/>
        <v>4.3462067276930503</v>
      </c>
      <c r="AM395" s="142">
        <f t="shared" si="236"/>
        <v>7.8021916648761191</v>
      </c>
      <c r="AN395" s="142">
        <f t="shared" si="237"/>
        <v>6.0741991962845852</v>
      </c>
      <c r="AO395" s="142">
        <f>AN395</f>
        <v>6.0741991962845852</v>
      </c>
    </row>
    <row r="396" spans="1:41" x14ac:dyDescent="0.25">
      <c r="A396" s="411" t="s">
        <v>15</v>
      </c>
      <c r="B396" s="103">
        <f t="shared" si="224"/>
        <v>3.899750666828528</v>
      </c>
      <c r="C396" s="98">
        <f t="shared" si="224"/>
        <v>6.764873605722955</v>
      </c>
      <c r="D396" s="98">
        <f t="shared" si="224"/>
        <v>8.3283110612678168</v>
      </c>
      <c r="E396" s="104">
        <f t="shared" si="224"/>
        <v>8.6891043202397071</v>
      </c>
      <c r="F396" s="103">
        <f t="shared" si="224"/>
        <v>4.58950248545126</v>
      </c>
      <c r="G396" s="98">
        <f t="shared" ref="G396:I396" si="241">G382*$B367</f>
        <v>6.764873605722955</v>
      </c>
      <c r="H396" s="98">
        <f t="shared" si="241"/>
        <v>8.3283110612678168</v>
      </c>
      <c r="I396" s="104">
        <f t="shared" si="241"/>
        <v>8.598906005496735</v>
      </c>
      <c r="J396" s="12">
        <f t="shared" si="226"/>
        <v>3.796035640561207</v>
      </c>
      <c r="K396" s="129">
        <f t="shared" si="226"/>
        <v>6.9652030102040499</v>
      </c>
      <c r="L396" s="129">
        <f t="shared" si="226"/>
        <v>8.0099834617346577</v>
      </c>
      <c r="M396" s="135">
        <f t="shared" si="226"/>
        <v>8.5323736874999607</v>
      </c>
      <c r="N396" s="12">
        <f t="shared" si="226"/>
        <v>4.5273819566326319</v>
      </c>
      <c r="O396" s="129">
        <f t="shared" ref="O396:Q396" si="242">O382*$C367</f>
        <v>6.9652030102040499</v>
      </c>
      <c r="P396" s="129">
        <f t="shared" si="242"/>
        <v>8.0099834617346577</v>
      </c>
      <c r="Q396" s="135">
        <f t="shared" si="242"/>
        <v>8.3582436122448591</v>
      </c>
      <c r="R396" s="12">
        <f t="shared" si="228"/>
        <v>2.7119908101177375</v>
      </c>
      <c r="S396" s="129">
        <f t="shared" si="228"/>
        <v>4.9545985954074041</v>
      </c>
      <c r="T396" s="129">
        <f t="shared" si="228"/>
        <v>6.2718512746074486</v>
      </c>
      <c r="U396" s="135">
        <f t="shared" si="228"/>
        <v>7.0228641143323589</v>
      </c>
      <c r="V396" s="12">
        <f t="shared" si="228"/>
        <v>3.2707801253892494</v>
      </c>
      <c r="W396" s="129">
        <f t="shared" ref="W396:Y396" si="243">W382*$D367</f>
        <v>4.9545985954074041</v>
      </c>
      <c r="X396" s="129">
        <f t="shared" si="243"/>
        <v>6.2718512746074486</v>
      </c>
      <c r="Y396" s="135">
        <f t="shared" si="243"/>
        <v>6.7978582833830314</v>
      </c>
      <c r="Z396" s="111">
        <f t="shared" si="230"/>
        <v>10.407777117507472</v>
      </c>
      <c r="AA396" s="97">
        <f t="shared" si="222"/>
        <v>18.684675211334408</v>
      </c>
      <c r="AB396" s="97">
        <f t="shared" si="222"/>
        <v>22.610145797609924</v>
      </c>
      <c r="AC396" s="142">
        <f t="shared" si="222"/>
        <v>24.244342122072027</v>
      </c>
      <c r="AD396" s="111">
        <f t="shared" si="222"/>
        <v>12.387664567473141</v>
      </c>
      <c r="AE396" s="97">
        <f t="shared" si="222"/>
        <v>18.684675211334408</v>
      </c>
      <c r="AF396" s="97">
        <f t="shared" si="222"/>
        <v>22.610145797609924</v>
      </c>
      <c r="AG396" s="142">
        <f t="shared" si="222"/>
        <v>23.755007901124625</v>
      </c>
      <c r="AH396" s="111">
        <f t="shared" si="231"/>
        <v>11.595709587486873</v>
      </c>
      <c r="AI396" s="97">
        <f t="shared" si="232"/>
        <v>18.684675211334408</v>
      </c>
      <c r="AJ396" s="97">
        <f t="shared" si="233"/>
        <v>22.610145797609924</v>
      </c>
      <c r="AK396" s="142">
        <f t="shared" si="234"/>
        <v>23.950741589503586</v>
      </c>
      <c r="AL396" s="97">
        <f t="shared" si="235"/>
        <v>17.266882086564902</v>
      </c>
      <c r="AM396" s="142">
        <f t="shared" si="236"/>
        <v>22.878264955988655</v>
      </c>
      <c r="AN396" s="142">
        <f t="shared" si="237"/>
        <v>20.07257352127678</v>
      </c>
      <c r="AO396" s="142">
        <f>AN393</f>
        <v>21.372975102653506</v>
      </c>
    </row>
    <row r="397" spans="1:41" x14ac:dyDescent="0.25">
      <c r="A397" s="411" t="s">
        <v>17</v>
      </c>
      <c r="B397" s="103">
        <f t="shared" si="224"/>
        <v>1.7565130438202576</v>
      </c>
      <c r="C397" s="98">
        <f t="shared" si="224"/>
        <v>3.5130260876405148</v>
      </c>
      <c r="D397" s="98">
        <f t="shared" si="224"/>
        <v>5.9721443489888744</v>
      </c>
      <c r="E397" s="104">
        <f t="shared" si="224"/>
        <v>7.0278264308808476</v>
      </c>
      <c r="F397" s="103">
        <f t="shared" si="224"/>
        <v>2.1929799213755943</v>
      </c>
      <c r="G397" s="98">
        <f t="shared" ref="G397:I397" si="244">G383*$B368</f>
        <v>3.5130260876405148</v>
      </c>
      <c r="H397" s="98">
        <f t="shared" si="244"/>
        <v>5.9721443489888744</v>
      </c>
      <c r="I397" s="104">
        <f t="shared" si="244"/>
        <v>6.7563653241086259</v>
      </c>
      <c r="J397" s="12">
        <f t="shared" si="226"/>
        <v>1.7611229181351586</v>
      </c>
      <c r="K397" s="129">
        <f t="shared" si="226"/>
        <v>3.0628224663220145</v>
      </c>
      <c r="L397" s="129">
        <f t="shared" si="226"/>
        <v>4.9311441707784436</v>
      </c>
      <c r="M397" s="135">
        <f t="shared" si="226"/>
        <v>6.0212305303830513</v>
      </c>
      <c r="N397" s="12">
        <f t="shared" si="226"/>
        <v>2.1578976467268745</v>
      </c>
      <c r="O397" s="129">
        <f t="shared" ref="O397:Q397" si="245">O383*$C368</f>
        <v>3.0628224663220145</v>
      </c>
      <c r="P397" s="129">
        <f t="shared" si="245"/>
        <v>4.9311441707784436</v>
      </c>
      <c r="Q397" s="135">
        <f t="shared" si="245"/>
        <v>5.7219092439015826</v>
      </c>
      <c r="R397" s="12">
        <f t="shared" si="228"/>
        <v>1.7693780370839562</v>
      </c>
      <c r="S397" s="129">
        <f t="shared" si="228"/>
        <v>3.9513053574258299</v>
      </c>
      <c r="T397" s="129">
        <f t="shared" si="228"/>
        <v>5.9718800692046061</v>
      </c>
      <c r="U397" s="135">
        <f t="shared" si="228"/>
        <v>7.2388647568989217</v>
      </c>
      <c r="V397" s="12">
        <f t="shared" si="228"/>
        <v>2.2754384912136678</v>
      </c>
      <c r="W397" s="129">
        <f t="shared" ref="W397:Y397" si="246">W383*$D368</f>
        <v>3.9513053574258299</v>
      </c>
      <c r="X397" s="129">
        <f t="shared" si="246"/>
        <v>5.9718800692046061</v>
      </c>
      <c r="Y397" s="135">
        <f t="shared" si="246"/>
        <v>6.8684871781518133</v>
      </c>
      <c r="Z397" s="111">
        <f t="shared" si="230"/>
        <v>5.2870139990393721</v>
      </c>
      <c r="AA397" s="97">
        <f t="shared" si="222"/>
        <v>10.527153911388361</v>
      </c>
      <c r="AB397" s="97">
        <f t="shared" si="222"/>
        <v>16.875168588971924</v>
      </c>
      <c r="AC397" s="142">
        <f t="shared" si="222"/>
        <v>20.287921718162821</v>
      </c>
      <c r="AD397" s="111">
        <f t="shared" si="222"/>
        <v>6.626316059316137</v>
      </c>
      <c r="AE397" s="97">
        <f t="shared" si="222"/>
        <v>10.527153911388361</v>
      </c>
      <c r="AF397" s="97">
        <f t="shared" si="222"/>
        <v>16.875168588971924</v>
      </c>
      <c r="AG397" s="142">
        <f t="shared" si="222"/>
        <v>19.346761746162024</v>
      </c>
      <c r="AH397" s="111">
        <f t="shared" si="231"/>
        <v>6.0905952352054307</v>
      </c>
      <c r="AI397" s="97">
        <f t="shared" si="232"/>
        <v>10.527153911388361</v>
      </c>
      <c r="AJ397" s="97">
        <f t="shared" si="233"/>
        <v>16.875168588971924</v>
      </c>
      <c r="AK397" s="142">
        <f t="shared" si="234"/>
        <v>19.723225734962341</v>
      </c>
      <c r="AL397" s="97">
        <f t="shared" si="235"/>
        <v>9.6398421761517739</v>
      </c>
      <c r="AM397" s="142">
        <f t="shared" si="236"/>
        <v>17.444780018170007</v>
      </c>
      <c r="AN397" s="142">
        <f t="shared" si="237"/>
        <v>13.542311097160891</v>
      </c>
      <c r="AO397" s="142">
        <f>AN397</f>
        <v>13.542311097160891</v>
      </c>
    </row>
    <row r="398" spans="1:41" x14ac:dyDescent="0.25">
      <c r="A398" s="411" t="s">
        <v>18</v>
      </c>
      <c r="B398" s="103">
        <f t="shared" si="224"/>
        <v>0</v>
      </c>
      <c r="C398" s="98">
        <f t="shared" si="224"/>
        <v>1.275858311671366</v>
      </c>
      <c r="D398" s="98">
        <f t="shared" si="224"/>
        <v>2.8919455064550963</v>
      </c>
      <c r="E398" s="104">
        <f t="shared" si="224"/>
        <v>3.6149318830688708</v>
      </c>
      <c r="F398" s="103">
        <f t="shared" si="224"/>
        <v>0.17784691617237222</v>
      </c>
      <c r="G398" s="98">
        <f t="shared" ref="G398:I398" si="247">G384*$B369</f>
        <v>1.275858311671366</v>
      </c>
      <c r="H398" s="98">
        <f t="shared" si="247"/>
        <v>2.8919455064550963</v>
      </c>
      <c r="I398" s="104">
        <f t="shared" si="247"/>
        <v>3.4177537803560227</v>
      </c>
      <c r="J398" s="12">
        <f t="shared" si="226"/>
        <v>0.5102974567123103</v>
      </c>
      <c r="K398" s="129">
        <f t="shared" si="226"/>
        <v>2.245308809534166</v>
      </c>
      <c r="L398" s="129">
        <f t="shared" si="226"/>
        <v>4.4906176190683311</v>
      </c>
      <c r="M398" s="135">
        <f t="shared" si="226"/>
        <v>5.8804823284411336</v>
      </c>
      <c r="N398" s="12">
        <f t="shared" si="226"/>
        <v>0.83874345612350676</v>
      </c>
      <c r="O398" s="129">
        <f t="shared" ref="O398:Q398" si="248">O384*$C369</f>
        <v>2.245308809534166</v>
      </c>
      <c r="P398" s="129">
        <f t="shared" si="248"/>
        <v>4.4906176190683311</v>
      </c>
      <c r="Q398" s="135">
        <f t="shared" si="248"/>
        <v>5.4815224986478723</v>
      </c>
      <c r="R398" s="12">
        <f t="shared" si="228"/>
        <v>0.5102974567123103</v>
      </c>
      <c r="S398" s="129">
        <f t="shared" si="228"/>
        <v>2.245308809534166</v>
      </c>
      <c r="T398" s="129">
        <f t="shared" si="228"/>
        <v>4.4906176190683311</v>
      </c>
      <c r="U398" s="135">
        <f t="shared" si="228"/>
        <v>5.8804823284411336</v>
      </c>
      <c r="V398" s="12">
        <f t="shared" si="228"/>
        <v>0.83874345612350676</v>
      </c>
      <c r="W398" s="129">
        <f t="shared" ref="W398:Y398" si="249">W384*$D369</f>
        <v>2.245308809534166</v>
      </c>
      <c r="X398" s="129">
        <f t="shared" si="249"/>
        <v>4.4906176190683311</v>
      </c>
      <c r="Y398" s="135">
        <f t="shared" si="249"/>
        <v>5.4815224986478723</v>
      </c>
      <c r="Z398" s="111">
        <f t="shared" si="230"/>
        <v>1.0205949134246206</v>
      </c>
      <c r="AA398" s="97">
        <f t="shared" si="222"/>
        <v>5.7664759307396984</v>
      </c>
      <c r="AB398" s="97">
        <f t="shared" si="222"/>
        <v>11.873180744591759</v>
      </c>
      <c r="AC398" s="142">
        <f t="shared" si="222"/>
        <v>15.375896539951139</v>
      </c>
      <c r="AD398" s="111">
        <f t="shared" si="222"/>
        <v>1.8553338284193857</v>
      </c>
      <c r="AE398" s="97">
        <f t="shared" si="222"/>
        <v>5.7664759307396984</v>
      </c>
      <c r="AF398" s="97">
        <f t="shared" si="222"/>
        <v>11.873180744591759</v>
      </c>
      <c r="AG398" s="142">
        <f t="shared" si="222"/>
        <v>14.380798777651769</v>
      </c>
      <c r="AH398" s="111">
        <f t="shared" si="231"/>
        <v>1.5214382624214795</v>
      </c>
      <c r="AI398" s="97">
        <f t="shared" si="232"/>
        <v>5.7664759307396984</v>
      </c>
      <c r="AJ398" s="97">
        <f t="shared" si="233"/>
        <v>11.873180744591759</v>
      </c>
      <c r="AK398" s="142">
        <f t="shared" si="234"/>
        <v>14.778837882571516</v>
      </c>
      <c r="AL398" s="97">
        <f t="shared" si="235"/>
        <v>4.9174683970760542</v>
      </c>
      <c r="AM398" s="142">
        <f t="shared" si="236"/>
        <v>12.454312172187709</v>
      </c>
      <c r="AN398" s="142">
        <f t="shared" si="237"/>
        <v>8.6858902846318813</v>
      </c>
      <c r="AO398" s="142">
        <f>AN399</f>
        <v>10.80346220425659</v>
      </c>
    </row>
    <row r="399" spans="1:41" x14ac:dyDescent="0.25">
      <c r="A399" s="411" t="s">
        <v>19</v>
      </c>
      <c r="B399" s="103">
        <f t="shared" si="224"/>
        <v>1.3165152742765192</v>
      </c>
      <c r="C399" s="98">
        <f t="shared" si="224"/>
        <v>2.1941921237941981</v>
      </c>
      <c r="D399" s="98">
        <f t="shared" si="224"/>
        <v>3.4814515030867943</v>
      </c>
      <c r="E399" s="104">
        <f t="shared" si="224"/>
        <v>4.5213655884244082</v>
      </c>
      <c r="F399" s="103">
        <f t="shared" si="224"/>
        <v>1.5824779559485433</v>
      </c>
      <c r="G399" s="98">
        <f t="shared" ref="G399:I399" si="250">G385*$B370</f>
        <v>2.1941921237941981</v>
      </c>
      <c r="H399" s="98">
        <f t="shared" si="250"/>
        <v>3.4814515030867943</v>
      </c>
      <c r="I399" s="104">
        <f t="shared" si="250"/>
        <v>4.2274768251768222</v>
      </c>
      <c r="J399" s="12">
        <f t="shared" si="226"/>
        <v>1.7701933003733865</v>
      </c>
      <c r="K399" s="129">
        <f t="shared" si="226"/>
        <v>3.3477748944885288</v>
      </c>
      <c r="L399" s="129">
        <f t="shared" si="226"/>
        <v>4.6025025809708051</v>
      </c>
      <c r="M399" s="135">
        <f t="shared" si="226"/>
        <v>6.2131033247302172</v>
      </c>
      <c r="N399" s="12">
        <f t="shared" si="226"/>
        <v>2.1921046569390645</v>
      </c>
      <c r="O399" s="129">
        <f t="shared" ref="O399:Q399" si="251">O385*$C370</f>
        <v>3.3477748944885288</v>
      </c>
      <c r="P399" s="129">
        <f t="shared" si="251"/>
        <v>4.6025025809708051</v>
      </c>
      <c r="Q399" s="135">
        <f t="shared" si="251"/>
        <v>5.7178160800661617</v>
      </c>
      <c r="R399" s="12">
        <f t="shared" si="228"/>
        <v>1.7715367605590973</v>
      </c>
      <c r="S399" s="129">
        <f t="shared" si="228"/>
        <v>3.3503156352542511</v>
      </c>
      <c r="T399" s="129">
        <f t="shared" si="228"/>
        <v>4.605995577453653</v>
      </c>
      <c r="U399" s="135">
        <f t="shared" si="228"/>
        <v>6.2178186611540536</v>
      </c>
      <c r="V399" s="12">
        <f t="shared" si="228"/>
        <v>2.1937683200705922</v>
      </c>
      <c r="W399" s="129">
        <f t="shared" ref="W399:Y399" si="252">W385*$D370</f>
        <v>3.3503156352542511</v>
      </c>
      <c r="X399" s="129">
        <f t="shared" si="252"/>
        <v>4.605995577453653</v>
      </c>
      <c r="Y399" s="135">
        <f t="shared" si="252"/>
        <v>5.7221555260753432</v>
      </c>
      <c r="Z399" s="111">
        <f t="shared" si="230"/>
        <v>4.8582453352090029</v>
      </c>
      <c r="AA399" s="97">
        <f t="shared" si="222"/>
        <v>8.8922826535369772</v>
      </c>
      <c r="AB399" s="97">
        <f t="shared" si="222"/>
        <v>12.689949661511251</v>
      </c>
      <c r="AC399" s="142">
        <f t="shared" si="222"/>
        <v>16.952287574308677</v>
      </c>
      <c r="AD399" s="111">
        <f t="shared" si="222"/>
        <v>5.9683509329582005</v>
      </c>
      <c r="AE399" s="97">
        <f t="shared" si="222"/>
        <v>8.8922826535369772</v>
      </c>
      <c r="AF399" s="97">
        <f t="shared" si="222"/>
        <v>12.689949661511251</v>
      </c>
      <c r="AG399" s="142">
        <f t="shared" si="222"/>
        <v>15.667448431318327</v>
      </c>
      <c r="AH399" s="111">
        <f t="shared" si="231"/>
        <v>5.5243086938585213</v>
      </c>
      <c r="AI399" s="97">
        <f t="shared" si="232"/>
        <v>8.8922826535369772</v>
      </c>
      <c r="AJ399" s="97">
        <f t="shared" si="233"/>
        <v>12.689949661511251</v>
      </c>
      <c r="AK399" s="142">
        <f t="shared" si="234"/>
        <v>16.181384088514466</v>
      </c>
      <c r="AL399" s="97">
        <f t="shared" si="235"/>
        <v>8.2186878616012855</v>
      </c>
      <c r="AM399" s="142">
        <f t="shared" si="236"/>
        <v>13.388236546911894</v>
      </c>
      <c r="AN399" s="142">
        <f t="shared" si="237"/>
        <v>10.80346220425659</v>
      </c>
      <c r="AO399" s="142">
        <f>AN399</f>
        <v>10.80346220425659</v>
      </c>
    </row>
    <row r="400" spans="1:41" x14ac:dyDescent="0.25">
      <c r="A400" s="411" t="s">
        <v>20</v>
      </c>
      <c r="B400" s="103">
        <f t="shared" si="224"/>
        <v>1.9987853738831127</v>
      </c>
      <c r="C400" s="98">
        <f t="shared" si="224"/>
        <v>3.3313089564718537</v>
      </c>
      <c r="D400" s="98">
        <f t="shared" si="224"/>
        <v>5.2856768776020076</v>
      </c>
      <c r="E400" s="104">
        <f t="shared" si="224"/>
        <v>6.1094187286568662</v>
      </c>
      <c r="F400" s="103">
        <f t="shared" si="224"/>
        <v>2.4025803989100036</v>
      </c>
      <c r="G400" s="98">
        <f t="shared" ref="G400:I400" si="253">G386*$B371</f>
        <v>3.3313089564718537</v>
      </c>
      <c r="H400" s="98">
        <f t="shared" si="253"/>
        <v>5.2856768776020076</v>
      </c>
      <c r="I400" s="104">
        <f t="shared" si="253"/>
        <v>5.9034832658931515</v>
      </c>
      <c r="J400" s="12">
        <f t="shared" si="226"/>
        <v>2.6664479940648649</v>
      </c>
      <c r="K400" s="129">
        <f t="shared" si="226"/>
        <v>4.8397857426519808</v>
      </c>
      <c r="L400" s="129">
        <f t="shared" si="226"/>
        <v>6.9729441379038724</v>
      </c>
      <c r="M400" s="135">
        <f t="shared" si="226"/>
        <v>8.2659887816010809</v>
      </c>
      <c r="N400" s="12">
        <f t="shared" si="226"/>
        <v>3.2691382940932252</v>
      </c>
      <c r="O400" s="129">
        <f t="shared" ref="O400:Q400" si="254">O386*$C371</f>
        <v>4.8397857426519808</v>
      </c>
      <c r="P400" s="129">
        <f t="shared" si="254"/>
        <v>6.9729441379038724</v>
      </c>
      <c r="Q400" s="135">
        <f t="shared" si="254"/>
        <v>7.897069264614025</v>
      </c>
      <c r="R400" s="12">
        <f t="shared" si="228"/>
        <v>2.6684162174709307</v>
      </c>
      <c r="S400" s="129">
        <f t="shared" si="228"/>
        <v>4.8433582029438123</v>
      </c>
      <c r="T400" s="129">
        <f t="shared" si="228"/>
        <v>6.9780911769205565</v>
      </c>
      <c r="U400" s="135">
        <f t="shared" si="228"/>
        <v>8.2720902741598845</v>
      </c>
      <c r="V400" s="12">
        <f t="shared" si="228"/>
        <v>3.2715513899129904</v>
      </c>
      <c r="W400" s="129">
        <f t="shared" ref="W400:Y400" si="255">W386*$D371</f>
        <v>4.8433582029438123</v>
      </c>
      <c r="X400" s="129">
        <f t="shared" si="255"/>
        <v>6.9780911769205565</v>
      </c>
      <c r="Y400" s="135">
        <f t="shared" si="255"/>
        <v>7.9028984413317156</v>
      </c>
      <c r="Z400" s="111">
        <f t="shared" si="230"/>
        <v>7.3336495854189083</v>
      </c>
      <c r="AA400" s="97">
        <f t="shared" si="222"/>
        <v>13.014452902067646</v>
      </c>
      <c r="AB400" s="97">
        <f t="shared" si="222"/>
        <v>19.236712192426438</v>
      </c>
      <c r="AC400" s="142">
        <f t="shared" si="222"/>
        <v>22.64749778441783</v>
      </c>
      <c r="AD400" s="111">
        <f t="shared" si="222"/>
        <v>8.9432700829162179</v>
      </c>
      <c r="AE400" s="97">
        <f t="shared" si="222"/>
        <v>13.014452902067646</v>
      </c>
      <c r="AF400" s="97">
        <f t="shared" si="222"/>
        <v>19.236712192426438</v>
      </c>
      <c r="AG400" s="142">
        <f t="shared" si="222"/>
        <v>21.70345097183889</v>
      </c>
      <c r="AH400" s="111">
        <f t="shared" si="231"/>
        <v>8.2994218839172937</v>
      </c>
      <c r="AI400" s="97">
        <f t="shared" si="232"/>
        <v>13.014452902067646</v>
      </c>
      <c r="AJ400" s="97">
        <f t="shared" si="233"/>
        <v>19.236712192426438</v>
      </c>
      <c r="AK400" s="142">
        <f t="shared" si="234"/>
        <v>22.081069696870465</v>
      </c>
      <c r="AL400" s="97">
        <f t="shared" si="235"/>
        <v>12.071446698437574</v>
      </c>
      <c r="AM400" s="142">
        <f t="shared" si="236"/>
        <v>19.805583693315242</v>
      </c>
      <c r="AN400" s="142">
        <f t="shared" si="237"/>
        <v>15.938515195876409</v>
      </c>
      <c r="AO400" s="142">
        <f>AN400</f>
        <v>15.938515195876409</v>
      </c>
    </row>
    <row r="401" spans="1:41" x14ac:dyDescent="0.25">
      <c r="A401" s="411" t="s">
        <v>22</v>
      </c>
      <c r="B401" s="103">
        <f t="shared" si="224"/>
        <v>0</v>
      </c>
      <c r="C401" s="98">
        <f t="shared" si="224"/>
        <v>0</v>
      </c>
      <c r="D401" s="98">
        <f t="shared" si="224"/>
        <v>0</v>
      </c>
      <c r="E401" s="104">
        <f t="shared" si="224"/>
        <v>1.1744266875197262</v>
      </c>
      <c r="F401" s="103">
        <f t="shared" si="224"/>
        <v>0</v>
      </c>
      <c r="G401" s="98">
        <f t="shared" ref="G401:I401" si="256">G387*$B372</f>
        <v>0</v>
      </c>
      <c r="H401" s="98">
        <f t="shared" si="256"/>
        <v>0</v>
      </c>
      <c r="I401" s="104">
        <f t="shared" si="256"/>
        <v>0.80074546876344965</v>
      </c>
      <c r="J401" s="12">
        <f t="shared" si="226"/>
        <v>0</v>
      </c>
      <c r="K401" s="129">
        <f t="shared" si="226"/>
        <v>0.43486012867453672</v>
      </c>
      <c r="L401" s="129">
        <f t="shared" si="226"/>
        <v>1.0436643088188879</v>
      </c>
      <c r="M401" s="135">
        <f t="shared" si="226"/>
        <v>3.0440209007217565</v>
      </c>
      <c r="N401" s="12">
        <f t="shared" si="226"/>
        <v>3.1626191176329969E-2</v>
      </c>
      <c r="O401" s="129">
        <f t="shared" ref="O401:Q401" si="257">O387*$C372</f>
        <v>0.43486012867453672</v>
      </c>
      <c r="P401" s="129">
        <f t="shared" si="257"/>
        <v>1.0436643088188879</v>
      </c>
      <c r="Q401" s="135">
        <f t="shared" si="257"/>
        <v>2.4154503510921987</v>
      </c>
      <c r="R401" s="12">
        <f t="shared" si="228"/>
        <v>0</v>
      </c>
      <c r="S401" s="129">
        <f t="shared" si="228"/>
        <v>0.43486012867453672</v>
      </c>
      <c r="T401" s="129">
        <f t="shared" si="228"/>
        <v>1.0436643088188879</v>
      </c>
      <c r="U401" s="135">
        <f t="shared" si="228"/>
        <v>3.0440209007217565</v>
      </c>
      <c r="V401" s="12">
        <f t="shared" si="228"/>
        <v>3.1626191176329969E-2</v>
      </c>
      <c r="W401" s="129">
        <f t="shared" ref="W401:Y401" si="258">W387*$D372</f>
        <v>0.43486012867453672</v>
      </c>
      <c r="X401" s="129">
        <f t="shared" si="258"/>
        <v>1.0436643088188879</v>
      </c>
      <c r="Y401" s="135">
        <f t="shared" si="258"/>
        <v>2.4154503510921987</v>
      </c>
      <c r="Z401" s="111">
        <f t="shared" si="230"/>
        <v>0</v>
      </c>
      <c r="AA401" s="97">
        <f t="shared" si="222"/>
        <v>0.86972025734907343</v>
      </c>
      <c r="AB401" s="97">
        <f t="shared" si="222"/>
        <v>2.0873286176377759</v>
      </c>
      <c r="AC401" s="142">
        <f t="shared" si="222"/>
        <v>7.2624684889632389</v>
      </c>
      <c r="AD401" s="111">
        <f t="shared" si="222"/>
        <v>6.3252382352659939E-2</v>
      </c>
      <c r="AE401" s="97">
        <f t="shared" si="222"/>
        <v>0.86972025734907343</v>
      </c>
      <c r="AF401" s="97">
        <f t="shared" si="222"/>
        <v>2.0873286176377759</v>
      </c>
      <c r="AG401" s="142">
        <f t="shared" si="222"/>
        <v>5.6316461709478469</v>
      </c>
      <c r="AH401" s="111">
        <f t="shared" si="231"/>
        <v>3.7951429411595961E-2</v>
      </c>
      <c r="AI401" s="97">
        <f t="shared" si="232"/>
        <v>0.86972025734907343</v>
      </c>
      <c r="AJ401" s="97">
        <f t="shared" si="233"/>
        <v>2.0873286176377759</v>
      </c>
      <c r="AK401" s="142">
        <f t="shared" si="234"/>
        <v>6.2839750981540039</v>
      </c>
      <c r="AL401" s="97">
        <f t="shared" si="235"/>
        <v>0.70336649176157795</v>
      </c>
      <c r="AM401" s="142">
        <f t="shared" si="236"/>
        <v>2.9266579137410211</v>
      </c>
      <c r="AN401" s="142">
        <f t="shared" si="237"/>
        <v>1.8150122027512996</v>
      </c>
      <c r="AO401" s="142">
        <f>AN400</f>
        <v>15.938515195876409</v>
      </c>
    </row>
    <row r="402" spans="1:41" ht="15.75" thickBot="1" x14ac:dyDescent="0.3">
      <c r="A402" s="412" t="s">
        <v>23</v>
      </c>
      <c r="B402" s="106">
        <f t="shared" si="224"/>
        <v>1.0927926126265006</v>
      </c>
      <c r="C402" s="107">
        <f t="shared" si="224"/>
        <v>2.7607392318985275</v>
      </c>
      <c r="D402" s="107">
        <f t="shared" si="224"/>
        <v>4.0848715671980065</v>
      </c>
      <c r="E402" s="108">
        <f>E388*$B373</f>
        <v>4.5628884527211779</v>
      </c>
      <c r="F402" s="106">
        <f t="shared" ref="F402:I402" si="259">F388*$B373</f>
        <v>1.3957070561264777</v>
      </c>
      <c r="G402" s="107">
        <f t="shared" si="259"/>
        <v>2.7607392318985275</v>
      </c>
      <c r="H402" s="107">
        <f t="shared" si="259"/>
        <v>4.0848715671980065</v>
      </c>
      <c r="I402" s="108">
        <f t="shared" si="259"/>
        <v>4.4325202112148583</v>
      </c>
      <c r="J402" s="136">
        <f t="shared" si="226"/>
        <v>2.1028621916561723</v>
      </c>
      <c r="K402" s="137">
        <f t="shared" si="226"/>
        <v>4.4290371824262742</v>
      </c>
      <c r="L402" s="137">
        <f t="shared" si="226"/>
        <v>6.2750896551014268</v>
      </c>
      <c r="M402" s="113">
        <f t="shared" si="226"/>
        <v>7.3209379309516658</v>
      </c>
      <c r="N402" s="136">
        <f t="shared" si="226"/>
        <v>2.6164816296182112</v>
      </c>
      <c r="O402" s="137">
        <f t="shared" ref="O402:Q402" si="260">O388*$C373</f>
        <v>4.4290371824262742</v>
      </c>
      <c r="P402" s="137">
        <f t="shared" si="260"/>
        <v>6.2750896551014268</v>
      </c>
      <c r="Q402" s="113">
        <f t="shared" si="260"/>
        <v>7.0157437721626286</v>
      </c>
      <c r="R402" s="136">
        <f t="shared" si="228"/>
        <v>2.1028621916561723</v>
      </c>
      <c r="S402" s="137">
        <f t="shared" si="228"/>
        <v>4.4290371824262742</v>
      </c>
      <c r="T402" s="137">
        <f t="shared" si="228"/>
        <v>6.2750896551014268</v>
      </c>
      <c r="U402" s="113">
        <f t="shared" si="228"/>
        <v>7.3209379309516658</v>
      </c>
      <c r="V402" s="136">
        <f t="shared" si="228"/>
        <v>2.6164816296182112</v>
      </c>
      <c r="W402" s="137">
        <f t="shared" ref="W402:Y402" si="261">W388*$D373</f>
        <v>4.4290371824262742</v>
      </c>
      <c r="X402" s="137">
        <f t="shared" si="261"/>
        <v>6.2750896551014268</v>
      </c>
      <c r="Y402" s="113">
        <f t="shared" si="261"/>
        <v>7.0157437721626286</v>
      </c>
      <c r="Z402" s="112">
        <f t="shared" si="230"/>
        <v>5.2985169959388454</v>
      </c>
      <c r="AA402" s="188">
        <f t="shared" si="222"/>
        <v>11.618813596751076</v>
      </c>
      <c r="AB402" s="188">
        <f t="shared" si="222"/>
        <v>16.635050877400857</v>
      </c>
      <c r="AC402" s="113">
        <f t="shared" si="222"/>
        <v>19.204764314624509</v>
      </c>
      <c r="AD402" s="112">
        <f t="shared" si="222"/>
        <v>6.6286703153628999</v>
      </c>
      <c r="AE402" s="188">
        <f t="shared" si="222"/>
        <v>11.618813596751076</v>
      </c>
      <c r="AF402" s="188">
        <f t="shared" si="222"/>
        <v>16.635050877400857</v>
      </c>
      <c r="AG402" s="113">
        <f t="shared" si="222"/>
        <v>18.464007755540116</v>
      </c>
      <c r="AH402" s="112">
        <f t="shared" si="231"/>
        <v>6.0966089875932781</v>
      </c>
      <c r="AI402" s="188">
        <f t="shared" si="232"/>
        <v>11.618813596751076</v>
      </c>
      <c r="AJ402" s="188">
        <f t="shared" si="233"/>
        <v>16.635050877400857</v>
      </c>
      <c r="AK402" s="113">
        <f t="shared" si="234"/>
        <v>18.760310379173873</v>
      </c>
      <c r="AL402" s="188">
        <f t="shared" si="235"/>
        <v>10.514372674919517</v>
      </c>
      <c r="AM402" s="113">
        <f t="shared" si="236"/>
        <v>17.060102777755461</v>
      </c>
      <c r="AN402" s="113">
        <f t="shared" si="237"/>
        <v>13.787237726337489</v>
      </c>
      <c r="AO402" s="113">
        <f>AN400</f>
        <v>15.938515195876409</v>
      </c>
    </row>
    <row r="404" spans="1:41" ht="15.75" thickBot="1" x14ac:dyDescent="0.3">
      <c r="A404" s="1" t="s">
        <v>304</v>
      </c>
    </row>
    <row r="405" spans="1:41" ht="15" customHeight="1" x14ac:dyDescent="0.25">
      <c r="A405" s="456" t="s">
        <v>234</v>
      </c>
      <c r="B405" s="425" t="s">
        <v>274</v>
      </c>
      <c r="C405" s="425" t="s">
        <v>265</v>
      </c>
    </row>
    <row r="406" spans="1:41" ht="15.75" thickBot="1" x14ac:dyDescent="0.3">
      <c r="A406" s="467"/>
      <c r="B406" s="426"/>
      <c r="C406" s="426"/>
    </row>
    <row r="407" spans="1:41" x14ac:dyDescent="0.25">
      <c r="A407" s="374" t="s">
        <v>24</v>
      </c>
      <c r="B407" s="524">
        <v>21.372975102653506</v>
      </c>
      <c r="C407" s="524">
        <v>21.372975102653506</v>
      </c>
    </row>
    <row r="408" spans="1:41" x14ac:dyDescent="0.25">
      <c r="A408" s="375" t="s">
        <v>15</v>
      </c>
      <c r="B408" s="525">
        <v>20.072573521276802</v>
      </c>
      <c r="C408" s="525">
        <v>21.372975102653498</v>
      </c>
    </row>
    <row r="409" spans="1:41" x14ac:dyDescent="0.25">
      <c r="A409" s="375" t="s">
        <v>20</v>
      </c>
      <c r="B409" s="525">
        <v>15.9385151958764</v>
      </c>
      <c r="C409" s="525">
        <v>15.9385151958764</v>
      </c>
    </row>
    <row r="410" spans="1:41" x14ac:dyDescent="0.25">
      <c r="A410" s="375" t="s">
        <v>23</v>
      </c>
      <c r="B410" s="525">
        <v>13.7872377263375</v>
      </c>
      <c r="C410" s="525">
        <v>15.9385151958764</v>
      </c>
    </row>
    <row r="411" spans="1:41" x14ac:dyDescent="0.25">
      <c r="A411" s="375" t="s">
        <v>22</v>
      </c>
      <c r="B411" s="525">
        <v>1.8150122027513</v>
      </c>
      <c r="C411" s="525">
        <v>15.9385151958764</v>
      </c>
    </row>
    <row r="412" spans="1:41" x14ac:dyDescent="0.25">
      <c r="A412" s="375" t="s">
        <v>13</v>
      </c>
      <c r="B412" s="525">
        <v>13.725170587588099</v>
      </c>
      <c r="C412" s="525">
        <v>13.725170587588099</v>
      </c>
    </row>
    <row r="413" spans="1:41" x14ac:dyDescent="0.25">
      <c r="A413" s="375" t="s">
        <v>17</v>
      </c>
      <c r="B413" s="525">
        <v>13.5423110971609</v>
      </c>
      <c r="C413" s="525">
        <v>13.5423110971609</v>
      </c>
    </row>
    <row r="414" spans="1:41" x14ac:dyDescent="0.25">
      <c r="A414" s="375" t="s">
        <v>19</v>
      </c>
      <c r="B414" s="525">
        <v>10.803462204256601</v>
      </c>
      <c r="C414" s="525">
        <v>10.803462204256601</v>
      </c>
    </row>
    <row r="415" spans="1:41" x14ac:dyDescent="0.25">
      <c r="A415" s="375" t="s">
        <v>18</v>
      </c>
      <c r="B415" s="525">
        <v>8.6858902846318795</v>
      </c>
      <c r="C415" s="525">
        <v>10.804972936294449</v>
      </c>
    </row>
    <row r="416" spans="1:41" ht="15.75" thickBot="1" x14ac:dyDescent="0.3">
      <c r="A416" s="376" t="s">
        <v>14</v>
      </c>
      <c r="B416" s="526">
        <v>6.0741991962845896</v>
      </c>
      <c r="C416" s="526">
        <v>6.0741991962845896</v>
      </c>
    </row>
  </sheetData>
  <mergeCells count="137">
    <mergeCell ref="C405:C406"/>
    <mergeCell ref="A405:A406"/>
    <mergeCell ref="B405:B406"/>
    <mergeCell ref="A263:I263"/>
    <mergeCell ref="A264:D264"/>
    <mergeCell ref="AN391:AN392"/>
    <mergeCell ref="B392:E392"/>
    <mergeCell ref="F392:I392"/>
    <mergeCell ref="J392:M392"/>
    <mergeCell ref="N392:Q392"/>
    <mergeCell ref="R392:U392"/>
    <mergeCell ref="V392:Y392"/>
    <mergeCell ref="Z392:AC392"/>
    <mergeCell ref="AD392:AG392"/>
    <mergeCell ref="A391:A392"/>
    <mergeCell ref="B391:I391"/>
    <mergeCell ref="J391:Q391"/>
    <mergeCell ref="R391:Y391"/>
    <mergeCell ref="Z391:AG391"/>
    <mergeCell ref="A377:A378"/>
    <mergeCell ref="B378:E378"/>
    <mergeCell ref="F378:I378"/>
    <mergeCell ref="J378:M378"/>
    <mergeCell ref="N378:Q378"/>
    <mergeCell ref="J377:Q377"/>
    <mergeCell ref="R377:Y377"/>
    <mergeCell ref="B377:I377"/>
    <mergeCell ref="BG116:BN116"/>
    <mergeCell ref="R378:U378"/>
    <mergeCell ref="V378:Y378"/>
    <mergeCell ref="A177:I177"/>
    <mergeCell ref="A178:D178"/>
    <mergeCell ref="A220:I220"/>
    <mergeCell ref="A221:D221"/>
    <mergeCell ref="E144:L144"/>
    <mergeCell ref="E150:L150"/>
    <mergeCell ref="AI117:AL117"/>
    <mergeCell ref="BU116:BU117"/>
    <mergeCell ref="K117:N117"/>
    <mergeCell ref="O117:R117"/>
    <mergeCell ref="S117:V117"/>
    <mergeCell ref="W117:Z117"/>
    <mergeCell ref="AA117:AD117"/>
    <mergeCell ref="AE117:AH117"/>
    <mergeCell ref="K116:R116"/>
    <mergeCell ref="S116:Z116"/>
    <mergeCell ref="AA116:AH116"/>
    <mergeCell ref="AI116:AP116"/>
    <mergeCell ref="AQ116:AX116"/>
    <mergeCell ref="AY116:BF116"/>
    <mergeCell ref="BG117:BJ117"/>
    <mergeCell ref="BK117:BN117"/>
    <mergeCell ref="AM117:AP117"/>
    <mergeCell ref="AQ117:AT117"/>
    <mergeCell ref="AU117:AX117"/>
    <mergeCell ref="AY117:BB117"/>
    <mergeCell ref="BC117:BF117"/>
    <mergeCell ref="E92:L92"/>
    <mergeCell ref="E98:L98"/>
    <mergeCell ref="AI65:AL65"/>
    <mergeCell ref="AM65:AP65"/>
    <mergeCell ref="AQ65:AT65"/>
    <mergeCell ref="AU65:AX65"/>
    <mergeCell ref="AY65:BB65"/>
    <mergeCell ref="BC65:BF65"/>
    <mergeCell ref="A116:A117"/>
    <mergeCell ref="B116:B117"/>
    <mergeCell ref="C116:C117"/>
    <mergeCell ref="D116:F116"/>
    <mergeCell ref="G116:I116"/>
    <mergeCell ref="J116:J117"/>
    <mergeCell ref="E40:L40"/>
    <mergeCell ref="E46:L46"/>
    <mergeCell ref="A64:A65"/>
    <mergeCell ref="B64:B65"/>
    <mergeCell ref="C64:C65"/>
    <mergeCell ref="D64:F64"/>
    <mergeCell ref="G64:I64"/>
    <mergeCell ref="J64:J65"/>
    <mergeCell ref="AA13:AD13"/>
    <mergeCell ref="K65:N65"/>
    <mergeCell ref="O65:R65"/>
    <mergeCell ref="S65:V65"/>
    <mergeCell ref="W65:Z65"/>
    <mergeCell ref="AA65:AD65"/>
    <mergeCell ref="K64:R64"/>
    <mergeCell ref="S64:Z64"/>
    <mergeCell ref="AA64:AH64"/>
    <mergeCell ref="S12:Z12"/>
    <mergeCell ref="AA12:AH12"/>
    <mergeCell ref="AI12:AP12"/>
    <mergeCell ref="K13:N13"/>
    <mergeCell ref="O13:R13"/>
    <mergeCell ref="S13:V13"/>
    <mergeCell ref="W13:Z13"/>
    <mergeCell ref="AQ12:AX12"/>
    <mergeCell ref="AY12:BF12"/>
    <mergeCell ref="AE13:AH13"/>
    <mergeCell ref="AI13:AL13"/>
    <mergeCell ref="AM13:AP13"/>
    <mergeCell ref="AQ13:AT13"/>
    <mergeCell ref="AU13:AX13"/>
    <mergeCell ref="AY13:BB13"/>
    <mergeCell ref="BC13:BF13"/>
    <mergeCell ref="A5:E5"/>
    <mergeCell ref="A7:E7"/>
    <mergeCell ref="A12:A13"/>
    <mergeCell ref="B12:B13"/>
    <mergeCell ref="C12:C13"/>
    <mergeCell ref="D12:F12"/>
    <mergeCell ref="G12:I12"/>
    <mergeCell ref="J12:J13"/>
    <mergeCell ref="K12:R12"/>
    <mergeCell ref="AH391:AK392"/>
    <mergeCell ref="AL391:AM392"/>
    <mergeCell ref="AO391:AO392"/>
    <mergeCell ref="BV12:BV13"/>
    <mergeCell ref="BO64:BR65"/>
    <mergeCell ref="BS64:BT65"/>
    <mergeCell ref="BV64:BV65"/>
    <mergeCell ref="BO116:BR117"/>
    <mergeCell ref="BS116:BT117"/>
    <mergeCell ref="BV116:BV117"/>
    <mergeCell ref="BG12:BN12"/>
    <mergeCell ref="BU12:BU13"/>
    <mergeCell ref="BG13:BJ13"/>
    <mergeCell ref="BK13:BN13"/>
    <mergeCell ref="BO12:BR13"/>
    <mergeCell ref="BS12:BT13"/>
    <mergeCell ref="BG64:BN64"/>
    <mergeCell ref="BU64:BU65"/>
    <mergeCell ref="AE65:AH65"/>
    <mergeCell ref="AI64:AP64"/>
    <mergeCell ref="AQ64:AX64"/>
    <mergeCell ref="AY64:BF64"/>
    <mergeCell ref="BG65:BJ65"/>
    <mergeCell ref="BK65:BN65"/>
  </mergeCells>
  <hyperlinks>
    <hyperlink ref="B4" r:id="rId1" xr:uid="{8170F1F6-6CF0-4C36-873C-59BD9FAD94B8}"/>
    <hyperlink ref="B6" r:id="rId2" xr:uid="{05EE53DE-C99A-4B8A-BA65-7C17F6AD540F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K129"/>
  <sheetViews>
    <sheetView topLeftCell="A115" zoomScaleNormal="100" workbookViewId="0">
      <selection activeCell="E123" sqref="E123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.42578125" customWidth="1"/>
    <col min="6" max="6" width="21.7109375" customWidth="1"/>
    <col min="10" max="10" width="17.85546875" customWidth="1"/>
    <col min="11" max="11" width="19.85546875" customWidth="1"/>
  </cols>
  <sheetData>
    <row r="1" spans="1:11" ht="18.75" x14ac:dyDescent="0.3">
      <c r="A1" s="148" t="s">
        <v>193</v>
      </c>
      <c r="C1" s="34"/>
    </row>
    <row r="2" spans="1:11" ht="18.75" x14ac:dyDescent="0.3">
      <c r="A2" s="148"/>
      <c r="C2" s="34"/>
    </row>
    <row r="3" spans="1:11" ht="18.75" x14ac:dyDescent="0.3">
      <c r="A3" s="1" t="s">
        <v>34</v>
      </c>
      <c r="B3" s="147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8" t="s">
        <v>173</v>
      </c>
      <c r="B5" s="469"/>
      <c r="C5" s="469"/>
      <c r="D5" s="462"/>
      <c r="E5" s="462"/>
    </row>
    <row r="6" spans="1:11" ht="15.75" x14ac:dyDescent="0.25">
      <c r="A6" s="65"/>
      <c r="B6" s="35"/>
      <c r="C6" s="35"/>
    </row>
    <row r="7" spans="1:11" ht="15.75" x14ac:dyDescent="0.25">
      <c r="A7" s="65"/>
      <c r="B7" s="35"/>
      <c r="C7" s="35"/>
    </row>
    <row r="8" spans="1:11" ht="18.75" x14ac:dyDescent="0.3">
      <c r="A8" s="68" t="s">
        <v>84</v>
      </c>
      <c r="B8" s="35"/>
      <c r="C8" s="35"/>
    </row>
    <row r="9" spans="1:11" x14ac:dyDescent="0.25">
      <c r="A9" s="1" t="s">
        <v>47</v>
      </c>
      <c r="B9" s="35"/>
      <c r="C9" s="35"/>
    </row>
    <row r="10" spans="1:11" ht="15.75" thickBot="1" x14ac:dyDescent="0.3">
      <c r="A10" s="36" t="s">
        <v>87</v>
      </c>
      <c r="B10" s="35"/>
      <c r="C10" s="35"/>
    </row>
    <row r="11" spans="1:11" ht="75.75" customHeight="1" x14ac:dyDescent="0.25">
      <c r="A11" s="464" t="s">
        <v>25</v>
      </c>
      <c r="B11" s="455" t="s">
        <v>285</v>
      </c>
      <c r="C11" s="444" t="s">
        <v>26</v>
      </c>
      <c r="D11" s="454" t="s">
        <v>55</v>
      </c>
      <c r="E11" s="455"/>
      <c r="F11" s="444"/>
      <c r="G11" s="464" t="s">
        <v>56</v>
      </c>
      <c r="H11" s="455"/>
      <c r="I11" s="444"/>
      <c r="J11" s="497" t="s">
        <v>51</v>
      </c>
      <c r="K11" s="425" t="s">
        <v>266</v>
      </c>
    </row>
    <row r="12" spans="1:11" s="33" customFormat="1" ht="18" customHeight="1" thickBot="1" x14ac:dyDescent="0.3">
      <c r="A12" s="465"/>
      <c r="B12" s="466"/>
      <c r="C12" s="445"/>
      <c r="D12" s="257" t="s">
        <v>48</v>
      </c>
      <c r="E12" s="218" t="s">
        <v>49</v>
      </c>
      <c r="F12" s="241" t="s">
        <v>50</v>
      </c>
      <c r="G12" s="240" t="s">
        <v>48</v>
      </c>
      <c r="H12" s="218" t="s">
        <v>49</v>
      </c>
      <c r="I12" s="241" t="s">
        <v>50</v>
      </c>
      <c r="J12" s="498"/>
      <c r="K12" s="426"/>
    </row>
    <row r="13" spans="1:11" ht="30" x14ac:dyDescent="0.25">
      <c r="A13" s="235" t="s">
        <v>0</v>
      </c>
      <c r="B13" s="236" t="s">
        <v>24</v>
      </c>
      <c r="C13" s="237" t="s">
        <v>12</v>
      </c>
      <c r="D13" s="258" t="s">
        <v>42</v>
      </c>
      <c r="E13" s="239" t="s">
        <v>42</v>
      </c>
      <c r="F13" s="250" t="s">
        <v>42</v>
      </c>
      <c r="G13" s="298">
        <f>IF(D13=$A$26,$B$26,(IF(D13=$A$27,$B$27,IF(D13=$A$28,$B$28,$B$29))))</f>
        <v>1</v>
      </c>
      <c r="H13" s="299">
        <f t="shared" ref="H13:I22" si="0">IF(E13=$A$26,$B$26,(IF(E13=$A$27,$B$27,IF(E13=$A$28,$B$28,$B$29))))</f>
        <v>1</v>
      </c>
      <c r="I13" s="358">
        <f t="shared" si="0"/>
        <v>1</v>
      </c>
      <c r="J13" s="135">
        <f>G13*$D$33+H13*$D$34+I13*$D$35</f>
        <v>24</v>
      </c>
      <c r="K13" s="135">
        <f>J13</f>
        <v>24</v>
      </c>
    </row>
    <row r="14" spans="1:11" x14ac:dyDescent="0.25">
      <c r="A14" s="226" t="s">
        <v>1</v>
      </c>
      <c r="B14" s="222" t="s">
        <v>13</v>
      </c>
      <c r="C14" s="227" t="s">
        <v>27</v>
      </c>
      <c r="D14" s="259" t="s">
        <v>45</v>
      </c>
      <c r="E14" s="73" t="s">
        <v>43</v>
      </c>
      <c r="F14" s="251" t="s">
        <v>42</v>
      </c>
      <c r="G14" s="300">
        <f>IF(D14=$A$26,$B$26,(IF(D14=$A$27,$B$27,IF(D14=$A$28,$B$28,$B$29))))</f>
        <v>0</v>
      </c>
      <c r="H14" s="301">
        <f t="shared" si="0"/>
        <v>0.66</v>
      </c>
      <c r="I14" s="359">
        <f t="shared" si="0"/>
        <v>1</v>
      </c>
      <c r="J14" s="267">
        <f t="shared" ref="J14:J22" si="1">G14*$D$33+H14*$D$34+I14*$D$35</f>
        <v>13.280000000000001</v>
      </c>
      <c r="K14" s="267">
        <f>J14</f>
        <v>13.280000000000001</v>
      </c>
    </row>
    <row r="15" spans="1:11" x14ac:dyDescent="0.25">
      <c r="A15" s="226" t="s">
        <v>2</v>
      </c>
      <c r="B15" s="222" t="s">
        <v>14</v>
      </c>
      <c r="C15" s="227" t="s">
        <v>28</v>
      </c>
      <c r="D15" s="259" t="s">
        <v>43</v>
      </c>
      <c r="E15" s="73" t="s">
        <v>45</v>
      </c>
      <c r="F15" s="251" t="s">
        <v>45</v>
      </c>
      <c r="G15" s="300">
        <f t="shared" ref="G15:G22" si="2">IF(D15=$A$26,$B$26,(IF(D15=$A$27,$B$27,IF(D15=$A$28,$B$28,$B$29))))</f>
        <v>0.66</v>
      </c>
      <c r="H15" s="301">
        <f t="shared" si="0"/>
        <v>0</v>
      </c>
      <c r="I15" s="359">
        <f t="shared" si="0"/>
        <v>0</v>
      </c>
      <c r="J15" s="267">
        <f t="shared" si="1"/>
        <v>5.28</v>
      </c>
      <c r="K15" s="267">
        <f>J15</f>
        <v>5.28</v>
      </c>
    </row>
    <row r="16" spans="1:11" x14ac:dyDescent="0.25">
      <c r="A16" s="226" t="s">
        <v>5</v>
      </c>
      <c r="B16" s="222" t="s">
        <v>15</v>
      </c>
      <c r="C16" s="227" t="s">
        <v>16</v>
      </c>
      <c r="D16" s="259" t="s">
        <v>42</v>
      </c>
      <c r="E16" s="73" t="s">
        <v>43</v>
      </c>
      <c r="F16" s="251" t="s">
        <v>42</v>
      </c>
      <c r="G16" s="300">
        <f t="shared" si="2"/>
        <v>1</v>
      </c>
      <c r="H16" s="301">
        <f t="shared" si="0"/>
        <v>0.66</v>
      </c>
      <c r="I16" s="359">
        <f t="shared" si="0"/>
        <v>1</v>
      </c>
      <c r="J16" s="267">
        <f t="shared" si="1"/>
        <v>21.28</v>
      </c>
      <c r="K16" s="267">
        <f>J13</f>
        <v>24</v>
      </c>
    </row>
    <row r="17" spans="1:11" ht="30" x14ac:dyDescent="0.25">
      <c r="A17" s="226" t="s">
        <v>6</v>
      </c>
      <c r="B17" s="222" t="s">
        <v>17</v>
      </c>
      <c r="C17" s="227" t="s">
        <v>29</v>
      </c>
      <c r="D17" s="259" t="s">
        <v>43</v>
      </c>
      <c r="E17" s="73" t="s">
        <v>44</v>
      </c>
      <c r="F17" s="251" t="s">
        <v>43</v>
      </c>
      <c r="G17" s="300">
        <f t="shared" si="2"/>
        <v>0.66</v>
      </c>
      <c r="H17" s="301">
        <f t="shared" si="0"/>
        <v>0.33</v>
      </c>
      <c r="I17" s="359">
        <f t="shared" si="0"/>
        <v>0.66</v>
      </c>
      <c r="J17" s="267">
        <f t="shared" si="1"/>
        <v>13.2</v>
      </c>
      <c r="K17" s="267">
        <f>J17</f>
        <v>13.2</v>
      </c>
    </row>
    <row r="18" spans="1:11" x14ac:dyDescent="0.25">
      <c r="A18" s="226" t="s">
        <v>7</v>
      </c>
      <c r="B18" s="222" t="s">
        <v>18</v>
      </c>
      <c r="C18" s="227" t="s">
        <v>30</v>
      </c>
      <c r="D18" s="259" t="s">
        <v>44</v>
      </c>
      <c r="E18" s="73" t="s">
        <v>44</v>
      </c>
      <c r="F18" s="251" t="s">
        <v>44</v>
      </c>
      <c r="G18" s="300">
        <f t="shared" si="2"/>
        <v>0.33</v>
      </c>
      <c r="H18" s="301">
        <f t="shared" si="0"/>
        <v>0.33</v>
      </c>
      <c r="I18" s="359">
        <f t="shared" si="0"/>
        <v>0.33</v>
      </c>
      <c r="J18" s="267">
        <f t="shared" si="1"/>
        <v>7.92</v>
      </c>
      <c r="K18" s="267">
        <f>J19</f>
        <v>10.56</v>
      </c>
    </row>
    <row r="19" spans="1:11" ht="30" x14ac:dyDescent="0.25">
      <c r="A19" s="226" t="s">
        <v>8</v>
      </c>
      <c r="B19" s="222" t="s">
        <v>19</v>
      </c>
      <c r="C19" s="227" t="s">
        <v>31</v>
      </c>
      <c r="D19" s="259" t="s">
        <v>43</v>
      </c>
      <c r="E19" s="73" t="s">
        <v>43</v>
      </c>
      <c r="F19" s="251" t="s">
        <v>45</v>
      </c>
      <c r="G19" s="300">
        <f t="shared" si="2"/>
        <v>0.66</v>
      </c>
      <c r="H19" s="301">
        <f t="shared" si="0"/>
        <v>0.66</v>
      </c>
      <c r="I19" s="359">
        <f t="shared" si="0"/>
        <v>0</v>
      </c>
      <c r="J19" s="267">
        <f t="shared" si="1"/>
        <v>10.56</v>
      </c>
      <c r="K19" s="267">
        <f>J19</f>
        <v>10.56</v>
      </c>
    </row>
    <row r="20" spans="1:11" ht="30" x14ac:dyDescent="0.25">
      <c r="A20" s="226" t="s">
        <v>9</v>
      </c>
      <c r="B20" s="222" t="s">
        <v>20</v>
      </c>
      <c r="C20" s="227" t="s">
        <v>21</v>
      </c>
      <c r="D20" s="259" t="s">
        <v>43</v>
      </c>
      <c r="E20" s="73" t="s">
        <v>43</v>
      </c>
      <c r="F20" s="251" t="s">
        <v>43</v>
      </c>
      <c r="G20" s="300">
        <f t="shared" si="2"/>
        <v>0.66</v>
      </c>
      <c r="H20" s="301">
        <f t="shared" si="0"/>
        <v>0.66</v>
      </c>
      <c r="I20" s="359">
        <f t="shared" si="0"/>
        <v>0.66</v>
      </c>
      <c r="J20" s="267">
        <f t="shared" si="1"/>
        <v>15.84</v>
      </c>
      <c r="K20" s="267">
        <f>J20</f>
        <v>15.84</v>
      </c>
    </row>
    <row r="21" spans="1:11" ht="35.25" customHeight="1" x14ac:dyDescent="0.25">
      <c r="A21" s="226" t="s">
        <v>10</v>
      </c>
      <c r="B21" s="222" t="s">
        <v>22</v>
      </c>
      <c r="C21" s="227" t="s">
        <v>32</v>
      </c>
      <c r="D21" s="259" t="s">
        <v>45</v>
      </c>
      <c r="E21" s="73" t="s">
        <v>45</v>
      </c>
      <c r="F21" s="251" t="s">
        <v>45</v>
      </c>
      <c r="G21" s="300">
        <f t="shared" si="2"/>
        <v>0</v>
      </c>
      <c r="H21" s="301">
        <f t="shared" si="0"/>
        <v>0</v>
      </c>
      <c r="I21" s="359">
        <f t="shared" si="0"/>
        <v>0</v>
      </c>
      <c r="J21" s="267">
        <f t="shared" si="1"/>
        <v>0</v>
      </c>
      <c r="K21" s="267">
        <f>J20</f>
        <v>15.84</v>
      </c>
    </row>
    <row r="22" spans="1:11" ht="30.75" thickBot="1" x14ac:dyDescent="0.3">
      <c r="A22" s="228" t="s">
        <v>11</v>
      </c>
      <c r="B22" s="229" t="s">
        <v>23</v>
      </c>
      <c r="C22" s="230" t="s">
        <v>33</v>
      </c>
      <c r="D22" s="260" t="s">
        <v>44</v>
      </c>
      <c r="E22" s="75" t="s">
        <v>44</v>
      </c>
      <c r="F22" s="252" t="s">
        <v>42</v>
      </c>
      <c r="G22" s="302">
        <f t="shared" si="2"/>
        <v>0.33</v>
      </c>
      <c r="H22" s="303">
        <f t="shared" si="0"/>
        <v>0.33</v>
      </c>
      <c r="I22" s="360">
        <f t="shared" si="0"/>
        <v>1</v>
      </c>
      <c r="J22" s="268">
        <f t="shared" si="1"/>
        <v>13.280000000000001</v>
      </c>
      <c r="K22" s="268">
        <f>J20</f>
        <v>15.84</v>
      </c>
    </row>
    <row r="24" spans="1:11" ht="15.75" thickBot="1" x14ac:dyDescent="0.3">
      <c r="A24" s="36" t="s">
        <v>88</v>
      </c>
    </row>
    <row r="25" spans="1:11" ht="15.75" thickBot="1" x14ac:dyDescent="0.3">
      <c r="A25" s="47" t="s">
        <v>41</v>
      </c>
      <c r="B25" s="46" t="s">
        <v>52</v>
      </c>
      <c r="C25" s="155" t="s">
        <v>53</v>
      </c>
    </row>
    <row r="26" spans="1:11" x14ac:dyDescent="0.25">
      <c r="A26" s="246" t="s">
        <v>42</v>
      </c>
      <c r="B26" s="13">
        <v>1</v>
      </c>
      <c r="C26" s="14">
        <v>8</v>
      </c>
    </row>
    <row r="27" spans="1:11" x14ac:dyDescent="0.25">
      <c r="A27" s="125" t="s">
        <v>43</v>
      </c>
      <c r="B27" s="98">
        <v>0.66</v>
      </c>
      <c r="C27" s="104">
        <v>5.5</v>
      </c>
    </row>
    <row r="28" spans="1:11" x14ac:dyDescent="0.25">
      <c r="A28" s="125" t="s">
        <v>44</v>
      </c>
      <c r="B28" s="98">
        <v>0.33</v>
      </c>
      <c r="C28" s="104">
        <v>3</v>
      </c>
    </row>
    <row r="29" spans="1:11" ht="15.75" thickBot="1" x14ac:dyDescent="0.3">
      <c r="A29" s="126" t="s">
        <v>45</v>
      </c>
      <c r="B29" s="107">
        <v>0</v>
      </c>
      <c r="C29" s="108">
        <v>0.5</v>
      </c>
    </row>
    <row r="31" spans="1:11" ht="15.75" thickBot="1" x14ac:dyDescent="0.3">
      <c r="A31" s="36" t="s">
        <v>89</v>
      </c>
    </row>
    <row r="32" spans="1:11" ht="60.75" thickBot="1" x14ac:dyDescent="0.3">
      <c r="A32" s="82" t="s">
        <v>286</v>
      </c>
      <c r="B32" s="256" t="s">
        <v>37</v>
      </c>
      <c r="C32" s="48" t="s">
        <v>46</v>
      </c>
      <c r="D32" s="49" t="s">
        <v>98</v>
      </c>
    </row>
    <row r="33" spans="1:11" x14ac:dyDescent="0.25">
      <c r="A33" s="253" t="s">
        <v>48</v>
      </c>
      <c r="B33" s="254" t="s">
        <v>38</v>
      </c>
      <c r="C33" s="7" t="s">
        <v>42</v>
      </c>
      <c r="D33" s="255">
        <f>C26</f>
        <v>8</v>
      </c>
    </row>
    <row r="34" spans="1:11" x14ac:dyDescent="0.25">
      <c r="A34" s="242" t="s">
        <v>49</v>
      </c>
      <c r="B34" s="244" t="s">
        <v>39</v>
      </c>
      <c r="C34" s="2" t="s">
        <v>42</v>
      </c>
      <c r="D34" s="70">
        <f>C26</f>
        <v>8</v>
      </c>
    </row>
    <row r="35" spans="1:11" ht="15.75" thickBot="1" x14ac:dyDescent="0.3">
      <c r="A35" s="243" t="s">
        <v>50</v>
      </c>
      <c r="B35" s="245" t="s">
        <v>40</v>
      </c>
      <c r="C35" s="53" t="s">
        <v>42</v>
      </c>
      <c r="D35" s="71">
        <f>C26</f>
        <v>8</v>
      </c>
    </row>
    <row r="38" spans="1:11" ht="18.75" x14ac:dyDescent="0.3">
      <c r="A38" s="68" t="s">
        <v>85</v>
      </c>
      <c r="B38" s="35"/>
      <c r="C38" s="35"/>
    </row>
    <row r="39" spans="1:11" x14ac:dyDescent="0.25">
      <c r="A39" s="1" t="s">
        <v>47</v>
      </c>
      <c r="B39" s="35"/>
      <c r="C39" s="35"/>
    </row>
    <row r="40" spans="1:11" ht="15.75" thickBot="1" x14ac:dyDescent="0.3">
      <c r="A40" s="36" t="s">
        <v>90</v>
      </c>
      <c r="B40" s="35"/>
      <c r="C40" s="35"/>
    </row>
    <row r="41" spans="1:11" ht="75.75" customHeight="1" x14ac:dyDescent="0.25">
      <c r="A41" s="464" t="s">
        <v>25</v>
      </c>
      <c r="B41" s="455" t="s">
        <v>234</v>
      </c>
      <c r="C41" s="444" t="s">
        <v>26</v>
      </c>
      <c r="D41" s="454" t="s">
        <v>55</v>
      </c>
      <c r="E41" s="455"/>
      <c r="F41" s="444"/>
      <c r="G41" s="464" t="s">
        <v>56</v>
      </c>
      <c r="H41" s="455"/>
      <c r="I41" s="444"/>
      <c r="J41" s="497" t="s">
        <v>51</v>
      </c>
      <c r="K41" s="425" t="s">
        <v>266</v>
      </c>
    </row>
    <row r="42" spans="1:11" s="33" customFormat="1" ht="18" customHeight="1" thickBot="1" x14ac:dyDescent="0.3">
      <c r="A42" s="465"/>
      <c r="B42" s="466"/>
      <c r="C42" s="445"/>
      <c r="D42" s="257" t="s">
        <v>48</v>
      </c>
      <c r="E42" s="218" t="s">
        <v>49</v>
      </c>
      <c r="F42" s="241" t="s">
        <v>50</v>
      </c>
      <c r="G42" s="240" t="s">
        <v>48</v>
      </c>
      <c r="H42" s="218" t="s">
        <v>49</v>
      </c>
      <c r="I42" s="241" t="s">
        <v>50</v>
      </c>
      <c r="J42" s="498"/>
      <c r="K42" s="426"/>
    </row>
    <row r="43" spans="1:11" ht="30" x14ac:dyDescent="0.25">
      <c r="A43" s="235" t="s">
        <v>0</v>
      </c>
      <c r="B43" s="236" t="s">
        <v>24</v>
      </c>
      <c r="C43" s="237" t="s">
        <v>12</v>
      </c>
      <c r="D43" s="238" t="s">
        <v>42</v>
      </c>
      <c r="E43" s="239" t="s">
        <v>42</v>
      </c>
      <c r="F43" s="239" t="s">
        <v>42</v>
      </c>
      <c r="G43" s="298">
        <f>IF(D43=$A$26,$B$26,(IF(D43=$A$27,$B$27,IF(D43=$A$28,$B$28,$B$29))))</f>
        <v>1</v>
      </c>
      <c r="H43" s="299">
        <f t="shared" ref="H43:H52" si="3">IF(E43=$A$26,$B$26,(IF(E43=$A$27,$B$27,IF(E43=$A$28,$B$28,$B$29))))</f>
        <v>1</v>
      </c>
      <c r="I43" s="358">
        <f t="shared" ref="I43:I52" si="4">IF(F43=$A$26,$B$26,(IF(F43=$A$27,$B$27,IF(F43=$A$28,$B$28,$B$29))))</f>
        <v>1</v>
      </c>
      <c r="J43" s="135">
        <f>G43*$D$63+H43*$D$64+I43*$D$65</f>
        <v>21.5</v>
      </c>
      <c r="K43" s="135">
        <f>J43</f>
        <v>21.5</v>
      </c>
    </row>
    <row r="44" spans="1:11" x14ac:dyDescent="0.25">
      <c r="A44" s="226" t="s">
        <v>1</v>
      </c>
      <c r="B44" s="222" t="s">
        <v>13</v>
      </c>
      <c r="C44" s="227" t="s">
        <v>27</v>
      </c>
      <c r="D44" s="72" t="s">
        <v>45</v>
      </c>
      <c r="E44" s="73" t="s">
        <v>42</v>
      </c>
      <c r="F44" s="73" t="s">
        <v>42</v>
      </c>
      <c r="G44" s="300">
        <f>IF(D44=$A$26,$B$26,(IF(D44=$A$27,$B$27,IF(D44=$A$28,$B$28,$B$29))))</f>
        <v>0</v>
      </c>
      <c r="H44" s="301">
        <f t="shared" si="3"/>
        <v>1</v>
      </c>
      <c r="I44" s="359">
        <f t="shared" si="4"/>
        <v>1</v>
      </c>
      <c r="J44" s="267">
        <f t="shared" ref="J44:J52" si="5">G44*$D$63+H44*$D$64+I44*$D$65</f>
        <v>13.5</v>
      </c>
      <c r="K44" s="267">
        <f>J44</f>
        <v>13.5</v>
      </c>
    </row>
    <row r="45" spans="1:11" x14ac:dyDescent="0.25">
      <c r="A45" s="226" t="s">
        <v>2</v>
      </c>
      <c r="B45" s="222" t="s">
        <v>14</v>
      </c>
      <c r="C45" s="227" t="s">
        <v>28</v>
      </c>
      <c r="D45" s="72" t="s">
        <v>43</v>
      </c>
      <c r="E45" s="73" t="s">
        <v>44</v>
      </c>
      <c r="F45" s="73" t="s">
        <v>45</v>
      </c>
      <c r="G45" s="300">
        <f t="shared" ref="G45:G52" si="6">IF(D45=$A$26,$B$26,(IF(D45=$A$27,$B$27,IF(D45=$A$28,$B$28,$B$29))))</f>
        <v>0.66</v>
      </c>
      <c r="H45" s="301">
        <f t="shared" si="3"/>
        <v>0.33</v>
      </c>
      <c r="I45" s="359">
        <f t="shared" si="4"/>
        <v>0</v>
      </c>
      <c r="J45" s="267">
        <f t="shared" si="5"/>
        <v>7.0950000000000006</v>
      </c>
      <c r="K45" s="267">
        <f>J45</f>
        <v>7.0950000000000006</v>
      </c>
    </row>
    <row r="46" spans="1:11" x14ac:dyDescent="0.25">
      <c r="A46" s="226" t="s">
        <v>5</v>
      </c>
      <c r="B46" s="222" t="s">
        <v>15</v>
      </c>
      <c r="C46" s="227" t="s">
        <v>16</v>
      </c>
      <c r="D46" s="72" t="s">
        <v>42</v>
      </c>
      <c r="E46" s="73" t="s">
        <v>42</v>
      </c>
      <c r="F46" s="73" t="s">
        <v>42</v>
      </c>
      <c r="G46" s="300">
        <f t="shared" si="6"/>
        <v>1</v>
      </c>
      <c r="H46" s="301">
        <f t="shared" si="3"/>
        <v>1</v>
      </c>
      <c r="I46" s="359">
        <f t="shared" si="4"/>
        <v>1</v>
      </c>
      <c r="J46" s="267">
        <f t="shared" si="5"/>
        <v>21.5</v>
      </c>
      <c r="K46" s="267">
        <f>J43</f>
        <v>21.5</v>
      </c>
    </row>
    <row r="47" spans="1:11" ht="30" x14ac:dyDescent="0.25">
      <c r="A47" s="226" t="s">
        <v>6</v>
      </c>
      <c r="B47" s="222" t="s">
        <v>17</v>
      </c>
      <c r="C47" s="227" t="s">
        <v>29</v>
      </c>
      <c r="D47" s="72" t="s">
        <v>43</v>
      </c>
      <c r="E47" s="73" t="s">
        <v>43</v>
      </c>
      <c r="F47" s="73" t="s">
        <v>43</v>
      </c>
      <c r="G47" s="300">
        <f t="shared" si="6"/>
        <v>0.66</v>
      </c>
      <c r="H47" s="301">
        <f t="shared" si="3"/>
        <v>0.66</v>
      </c>
      <c r="I47" s="359">
        <f t="shared" si="4"/>
        <v>0.66</v>
      </c>
      <c r="J47" s="267">
        <f t="shared" si="5"/>
        <v>14.190000000000001</v>
      </c>
      <c r="K47" s="267">
        <f>J47</f>
        <v>14.190000000000001</v>
      </c>
    </row>
    <row r="48" spans="1:11" x14ac:dyDescent="0.25">
      <c r="A48" s="226" t="s">
        <v>7</v>
      </c>
      <c r="B48" s="222" t="s">
        <v>18</v>
      </c>
      <c r="C48" s="227" t="s">
        <v>30</v>
      </c>
      <c r="D48" s="72" t="s">
        <v>44</v>
      </c>
      <c r="E48" s="73" t="s">
        <v>43</v>
      </c>
      <c r="F48" s="73" t="s">
        <v>44</v>
      </c>
      <c r="G48" s="300">
        <f t="shared" si="6"/>
        <v>0.33</v>
      </c>
      <c r="H48" s="301">
        <f t="shared" si="3"/>
        <v>0.66</v>
      </c>
      <c r="I48" s="359">
        <f t="shared" si="4"/>
        <v>0.33</v>
      </c>
      <c r="J48" s="267">
        <f t="shared" si="5"/>
        <v>8.91</v>
      </c>
      <c r="K48" s="267">
        <f>J49</f>
        <v>10.780000000000001</v>
      </c>
    </row>
    <row r="49" spans="1:11" ht="30" x14ac:dyDescent="0.25">
      <c r="A49" s="226" t="s">
        <v>8</v>
      </c>
      <c r="B49" s="222" t="s">
        <v>19</v>
      </c>
      <c r="C49" s="227" t="s">
        <v>31</v>
      </c>
      <c r="D49" s="72" t="s">
        <v>43</v>
      </c>
      <c r="E49" s="73" t="s">
        <v>42</v>
      </c>
      <c r="F49" s="73" t="s">
        <v>45</v>
      </c>
      <c r="G49" s="300">
        <f t="shared" si="6"/>
        <v>0.66</v>
      </c>
      <c r="H49" s="301">
        <f t="shared" si="3"/>
        <v>1</v>
      </c>
      <c r="I49" s="359">
        <f t="shared" si="4"/>
        <v>0</v>
      </c>
      <c r="J49" s="267">
        <f t="shared" si="5"/>
        <v>10.780000000000001</v>
      </c>
      <c r="K49" s="267">
        <f>J49</f>
        <v>10.780000000000001</v>
      </c>
    </row>
    <row r="50" spans="1:11" ht="30" x14ac:dyDescent="0.25">
      <c r="A50" s="226" t="s">
        <v>9</v>
      </c>
      <c r="B50" s="222" t="s">
        <v>20</v>
      </c>
      <c r="C50" s="227" t="s">
        <v>21</v>
      </c>
      <c r="D50" s="72" t="s">
        <v>43</v>
      </c>
      <c r="E50" s="73" t="s">
        <v>42</v>
      </c>
      <c r="F50" s="73" t="s">
        <v>43</v>
      </c>
      <c r="G50" s="300">
        <f>IF(D50=$A$26,$B$26,(IF(D50=$A$27,$B$27,IF(D50=$A$28,$B$28,$B$29))))</f>
        <v>0.66</v>
      </c>
      <c r="H50" s="301">
        <f t="shared" si="3"/>
        <v>1</v>
      </c>
      <c r="I50" s="359">
        <f t="shared" si="4"/>
        <v>0.66</v>
      </c>
      <c r="J50" s="267">
        <f t="shared" si="5"/>
        <v>16.060000000000002</v>
      </c>
      <c r="K50" s="267">
        <f>J50</f>
        <v>16.060000000000002</v>
      </c>
    </row>
    <row r="51" spans="1:11" ht="35.25" customHeight="1" x14ac:dyDescent="0.25">
      <c r="A51" s="226" t="s">
        <v>10</v>
      </c>
      <c r="B51" s="222" t="s">
        <v>22</v>
      </c>
      <c r="C51" s="227" t="s">
        <v>32</v>
      </c>
      <c r="D51" s="72" t="s">
        <v>45</v>
      </c>
      <c r="E51" s="73" t="s">
        <v>44</v>
      </c>
      <c r="F51" s="73" t="s">
        <v>45</v>
      </c>
      <c r="G51" s="300">
        <f t="shared" si="6"/>
        <v>0</v>
      </c>
      <c r="H51" s="301">
        <f t="shared" si="3"/>
        <v>0.33</v>
      </c>
      <c r="I51" s="359">
        <f t="shared" si="4"/>
        <v>0</v>
      </c>
      <c r="J51" s="267">
        <f t="shared" si="5"/>
        <v>1.8150000000000002</v>
      </c>
      <c r="K51" s="267">
        <f>J50</f>
        <v>16.060000000000002</v>
      </c>
    </row>
    <row r="52" spans="1:11" ht="30.75" thickBot="1" x14ac:dyDescent="0.3">
      <c r="A52" s="228" t="s">
        <v>11</v>
      </c>
      <c r="B52" s="229" t="s">
        <v>23</v>
      </c>
      <c r="C52" s="230" t="s">
        <v>33</v>
      </c>
      <c r="D52" s="74" t="s">
        <v>44</v>
      </c>
      <c r="E52" s="75" t="s">
        <v>43</v>
      </c>
      <c r="F52" s="75" t="s">
        <v>42</v>
      </c>
      <c r="G52" s="302">
        <f t="shared" si="6"/>
        <v>0.33</v>
      </c>
      <c r="H52" s="303">
        <f t="shared" si="3"/>
        <v>0.66</v>
      </c>
      <c r="I52" s="360">
        <f t="shared" si="4"/>
        <v>1</v>
      </c>
      <c r="J52" s="268">
        <f t="shared" si="5"/>
        <v>14.27</v>
      </c>
      <c r="K52" s="268">
        <f>J50</f>
        <v>16.060000000000002</v>
      </c>
    </row>
    <row r="54" spans="1:11" ht="15.75" thickBot="1" x14ac:dyDescent="0.3">
      <c r="A54" s="36" t="s">
        <v>91</v>
      </c>
    </row>
    <row r="55" spans="1:11" ht="15.75" thickBot="1" x14ac:dyDescent="0.3">
      <c r="A55" s="47" t="s">
        <v>41</v>
      </c>
      <c r="B55" s="46" t="s">
        <v>52</v>
      </c>
      <c r="C55" s="155" t="s">
        <v>53</v>
      </c>
    </row>
    <row r="56" spans="1:11" x14ac:dyDescent="0.25">
      <c r="A56" s="246" t="s">
        <v>42</v>
      </c>
      <c r="B56" s="13">
        <v>1</v>
      </c>
      <c r="C56" s="14">
        <v>8</v>
      </c>
    </row>
    <row r="57" spans="1:11" x14ac:dyDescent="0.25">
      <c r="A57" s="125" t="s">
        <v>43</v>
      </c>
      <c r="B57" s="98">
        <v>0.66</v>
      </c>
      <c r="C57" s="104">
        <v>5.5</v>
      </c>
    </row>
    <row r="58" spans="1:11" x14ac:dyDescent="0.25">
      <c r="A58" s="125" t="s">
        <v>44</v>
      </c>
      <c r="B58" s="98">
        <v>0.33</v>
      </c>
      <c r="C58" s="104">
        <v>3</v>
      </c>
    </row>
    <row r="59" spans="1:11" ht="15.75" thickBot="1" x14ac:dyDescent="0.3">
      <c r="A59" s="126" t="s">
        <v>45</v>
      </c>
      <c r="B59" s="107">
        <v>0</v>
      </c>
      <c r="C59" s="108">
        <v>0.5</v>
      </c>
    </row>
    <row r="61" spans="1:11" ht="15.75" thickBot="1" x14ac:dyDescent="0.3">
      <c r="A61" s="36" t="s">
        <v>92</v>
      </c>
    </row>
    <row r="62" spans="1:11" ht="45.75" thickBot="1" x14ac:dyDescent="0.3">
      <c r="A62" s="47" t="s">
        <v>282</v>
      </c>
      <c r="B62" s="46" t="s">
        <v>37</v>
      </c>
      <c r="C62" s="48" t="s">
        <v>46</v>
      </c>
      <c r="D62" s="49" t="s">
        <v>97</v>
      </c>
    </row>
    <row r="63" spans="1:11" x14ac:dyDescent="0.25">
      <c r="A63" s="261" t="s">
        <v>48</v>
      </c>
      <c r="B63" s="262" t="s">
        <v>38</v>
      </c>
      <c r="C63" s="7" t="s">
        <v>42</v>
      </c>
      <c r="D63" s="255">
        <f>C56</f>
        <v>8</v>
      </c>
    </row>
    <row r="64" spans="1:11" x14ac:dyDescent="0.25">
      <c r="A64" s="57" t="s">
        <v>49</v>
      </c>
      <c r="B64" s="40" t="s">
        <v>39</v>
      </c>
      <c r="C64" s="2" t="s">
        <v>43</v>
      </c>
      <c r="D64" s="70">
        <f>C57</f>
        <v>5.5</v>
      </c>
    </row>
    <row r="65" spans="1:11" ht="15.75" thickBot="1" x14ac:dyDescent="0.3">
      <c r="A65" s="58" t="s">
        <v>50</v>
      </c>
      <c r="B65" s="52" t="s">
        <v>40</v>
      </c>
      <c r="C65" s="53" t="s">
        <v>42</v>
      </c>
      <c r="D65" s="71">
        <f>C56</f>
        <v>8</v>
      </c>
    </row>
    <row r="68" spans="1:11" ht="18.75" x14ac:dyDescent="0.3">
      <c r="A68" s="68" t="s">
        <v>86</v>
      </c>
      <c r="B68" s="35"/>
      <c r="C68" s="35"/>
    </row>
    <row r="69" spans="1:11" x14ac:dyDescent="0.25">
      <c r="A69" s="1" t="s">
        <v>47</v>
      </c>
      <c r="B69" s="35"/>
      <c r="C69" s="35"/>
    </row>
    <row r="70" spans="1:11" ht="15.75" thickBot="1" x14ac:dyDescent="0.3">
      <c r="A70" s="36" t="s">
        <v>93</v>
      </c>
      <c r="B70" s="35"/>
      <c r="C70" s="35"/>
    </row>
    <row r="71" spans="1:11" ht="90.75" customHeight="1" x14ac:dyDescent="0.25">
      <c r="A71" s="464" t="s">
        <v>25</v>
      </c>
      <c r="B71" s="455" t="s">
        <v>234</v>
      </c>
      <c r="C71" s="488" t="s">
        <v>26</v>
      </c>
      <c r="D71" s="464" t="s">
        <v>55</v>
      </c>
      <c r="E71" s="455"/>
      <c r="F71" s="444"/>
      <c r="G71" s="454" t="s">
        <v>56</v>
      </c>
      <c r="H71" s="455"/>
      <c r="I71" s="455"/>
      <c r="J71" s="444" t="s">
        <v>51</v>
      </c>
      <c r="K71" s="425" t="s">
        <v>266</v>
      </c>
    </row>
    <row r="72" spans="1:11" ht="15.75" thickBot="1" x14ac:dyDescent="0.3">
      <c r="A72" s="465"/>
      <c r="B72" s="466"/>
      <c r="C72" s="496"/>
      <c r="D72" s="240" t="s">
        <v>48</v>
      </c>
      <c r="E72" s="218" t="s">
        <v>49</v>
      </c>
      <c r="F72" s="241" t="s">
        <v>50</v>
      </c>
      <c r="G72" s="257" t="s">
        <v>48</v>
      </c>
      <c r="H72" s="218" t="s">
        <v>49</v>
      </c>
      <c r="I72" s="218" t="s">
        <v>50</v>
      </c>
      <c r="J72" s="445"/>
      <c r="K72" s="426"/>
    </row>
    <row r="73" spans="1:11" ht="30" x14ac:dyDescent="0.25">
      <c r="A73" s="235" t="s">
        <v>0</v>
      </c>
      <c r="B73" s="236" t="s">
        <v>24</v>
      </c>
      <c r="C73" s="248" t="s">
        <v>12</v>
      </c>
      <c r="D73" s="238" t="s">
        <v>42</v>
      </c>
      <c r="E73" s="239" t="s">
        <v>42</v>
      </c>
      <c r="F73" s="250" t="s">
        <v>42</v>
      </c>
      <c r="G73" s="361">
        <f>IF(D73=$A$26,$B$26,(IF(D73=$A$27,$B$27,IF(D73=$A$28,$B$28,$B$29))))</f>
        <v>1</v>
      </c>
      <c r="H73" s="299">
        <f t="shared" ref="H73:H82" si="7">IF(E73=$A$26,$B$26,(IF(E73=$A$27,$B$27,IF(E73=$A$28,$B$28,$B$29))))</f>
        <v>1</v>
      </c>
      <c r="I73" s="299">
        <f t="shared" ref="I73:I82" si="8">IF(F73=$A$26,$B$26,(IF(F73=$A$27,$B$27,IF(F73=$A$28,$B$28,$B$29))))</f>
        <v>1</v>
      </c>
      <c r="J73" s="14">
        <f>G73*$D$93+H73*$D$94+I73*$D$95</f>
        <v>21.5</v>
      </c>
      <c r="K73" s="135">
        <f>J73</f>
        <v>21.5</v>
      </c>
    </row>
    <row r="74" spans="1:11" x14ac:dyDescent="0.25">
      <c r="A74" s="226" t="s">
        <v>1</v>
      </c>
      <c r="B74" s="222" t="s">
        <v>13</v>
      </c>
      <c r="C74" s="54" t="s">
        <v>27</v>
      </c>
      <c r="D74" s="72" t="s">
        <v>44</v>
      </c>
      <c r="E74" s="73" t="s">
        <v>43</v>
      </c>
      <c r="F74" s="251" t="s">
        <v>42</v>
      </c>
      <c r="G74" s="362">
        <f>IF(D74=$A$26,$B$26,(IF(D74=$A$27,$B$27,IF(D74=$A$28,$B$28,$B$29))))</f>
        <v>0.33</v>
      </c>
      <c r="H74" s="301">
        <f t="shared" si="7"/>
        <v>0.66</v>
      </c>
      <c r="I74" s="301">
        <f t="shared" si="8"/>
        <v>1</v>
      </c>
      <c r="J74" s="104">
        <f t="shared" ref="J74:J82" si="9">G74*$D$93+H74*$D$94+I74*$D$95</f>
        <v>15.095000000000001</v>
      </c>
      <c r="K74" s="267">
        <f>J74</f>
        <v>15.095000000000001</v>
      </c>
    </row>
    <row r="75" spans="1:11" x14ac:dyDescent="0.25">
      <c r="A75" s="226" t="s">
        <v>2</v>
      </c>
      <c r="B75" s="222" t="s">
        <v>14</v>
      </c>
      <c r="C75" s="54" t="s">
        <v>28</v>
      </c>
      <c r="D75" s="72" t="s">
        <v>42</v>
      </c>
      <c r="E75" s="73" t="s">
        <v>45</v>
      </c>
      <c r="F75" s="251" t="s">
        <v>45</v>
      </c>
      <c r="G75" s="362">
        <f t="shared" ref="G75:G79" si="10">IF(D75=$A$26,$B$26,(IF(D75=$A$27,$B$27,IF(D75=$A$28,$B$28,$B$29))))</f>
        <v>1</v>
      </c>
      <c r="H75" s="301">
        <f t="shared" si="7"/>
        <v>0</v>
      </c>
      <c r="I75" s="301">
        <f t="shared" si="8"/>
        <v>0</v>
      </c>
      <c r="J75" s="104">
        <f t="shared" si="9"/>
        <v>5.5</v>
      </c>
      <c r="K75" s="267">
        <f>J75</f>
        <v>5.5</v>
      </c>
    </row>
    <row r="76" spans="1:11" x14ac:dyDescent="0.25">
      <c r="A76" s="226" t="s">
        <v>5</v>
      </c>
      <c r="B76" s="222" t="s">
        <v>15</v>
      </c>
      <c r="C76" s="54" t="s">
        <v>16</v>
      </c>
      <c r="D76" s="72" t="s">
        <v>42</v>
      </c>
      <c r="E76" s="73" t="s">
        <v>43</v>
      </c>
      <c r="F76" s="251" t="s">
        <v>42</v>
      </c>
      <c r="G76" s="362">
        <f t="shared" si="10"/>
        <v>1</v>
      </c>
      <c r="H76" s="301">
        <f t="shared" si="7"/>
        <v>0.66</v>
      </c>
      <c r="I76" s="301">
        <f t="shared" si="8"/>
        <v>1</v>
      </c>
      <c r="J76" s="104">
        <f t="shared" si="9"/>
        <v>18.78</v>
      </c>
      <c r="K76" s="267">
        <f>J73</f>
        <v>21.5</v>
      </c>
    </row>
    <row r="77" spans="1:11" ht="30" x14ac:dyDescent="0.25">
      <c r="A77" s="226" t="s">
        <v>6</v>
      </c>
      <c r="B77" s="222" t="s">
        <v>17</v>
      </c>
      <c r="C77" s="54" t="s">
        <v>29</v>
      </c>
      <c r="D77" s="72" t="s">
        <v>42</v>
      </c>
      <c r="E77" s="73" t="s">
        <v>44</v>
      </c>
      <c r="F77" s="251" t="s">
        <v>43</v>
      </c>
      <c r="G77" s="362">
        <f t="shared" si="10"/>
        <v>1</v>
      </c>
      <c r="H77" s="301">
        <f t="shared" si="7"/>
        <v>0.33</v>
      </c>
      <c r="I77" s="301">
        <f t="shared" si="8"/>
        <v>0.66</v>
      </c>
      <c r="J77" s="104">
        <f t="shared" si="9"/>
        <v>13.420000000000002</v>
      </c>
      <c r="K77" s="267">
        <f>J77</f>
        <v>13.420000000000002</v>
      </c>
    </row>
    <row r="78" spans="1:11" x14ac:dyDescent="0.25">
      <c r="A78" s="226" t="s">
        <v>7</v>
      </c>
      <c r="B78" s="222" t="s">
        <v>18</v>
      </c>
      <c r="C78" s="54" t="s">
        <v>30</v>
      </c>
      <c r="D78" s="72" t="s">
        <v>43</v>
      </c>
      <c r="E78" s="73" t="s">
        <v>44</v>
      </c>
      <c r="F78" s="251" t="s">
        <v>44</v>
      </c>
      <c r="G78" s="362">
        <f t="shared" si="10"/>
        <v>0.66</v>
      </c>
      <c r="H78" s="301">
        <f t="shared" si="7"/>
        <v>0.33</v>
      </c>
      <c r="I78" s="301">
        <f t="shared" si="8"/>
        <v>0.33</v>
      </c>
      <c r="J78" s="104">
        <f t="shared" si="9"/>
        <v>8.91</v>
      </c>
      <c r="K78" s="267">
        <f>J79</f>
        <v>10.780000000000001</v>
      </c>
    </row>
    <row r="79" spans="1:11" ht="30" x14ac:dyDescent="0.25">
      <c r="A79" s="226" t="s">
        <v>8</v>
      </c>
      <c r="B79" s="222" t="s">
        <v>19</v>
      </c>
      <c r="C79" s="54" t="s">
        <v>31</v>
      </c>
      <c r="D79" s="72" t="s">
        <v>42</v>
      </c>
      <c r="E79" s="73" t="s">
        <v>43</v>
      </c>
      <c r="F79" s="251" t="s">
        <v>45</v>
      </c>
      <c r="G79" s="362">
        <f t="shared" si="10"/>
        <v>1</v>
      </c>
      <c r="H79" s="301">
        <f t="shared" si="7"/>
        <v>0.66</v>
      </c>
      <c r="I79" s="301">
        <f t="shared" si="8"/>
        <v>0</v>
      </c>
      <c r="J79" s="104">
        <f t="shared" si="9"/>
        <v>10.780000000000001</v>
      </c>
      <c r="K79" s="267">
        <f>J79</f>
        <v>10.780000000000001</v>
      </c>
    </row>
    <row r="80" spans="1:11" ht="30" x14ac:dyDescent="0.25">
      <c r="A80" s="226" t="s">
        <v>9</v>
      </c>
      <c r="B80" s="222" t="s">
        <v>20</v>
      </c>
      <c r="C80" s="54" t="s">
        <v>21</v>
      </c>
      <c r="D80" s="72" t="s">
        <v>42</v>
      </c>
      <c r="E80" s="73" t="s">
        <v>43</v>
      </c>
      <c r="F80" s="251" t="s">
        <v>43</v>
      </c>
      <c r="G80" s="362">
        <f>IF(D80=$A$26,$B$26,(IF(D80=$A$27,$B$27,IF(D80=$A$28,$B$28,$B$29))))</f>
        <v>1</v>
      </c>
      <c r="H80" s="301">
        <f t="shared" si="7"/>
        <v>0.66</v>
      </c>
      <c r="I80" s="301">
        <f t="shared" si="8"/>
        <v>0.66</v>
      </c>
      <c r="J80" s="104">
        <f t="shared" si="9"/>
        <v>16.060000000000002</v>
      </c>
      <c r="K80" s="267">
        <f>J80</f>
        <v>16.060000000000002</v>
      </c>
    </row>
    <row r="81" spans="1:11" ht="30" x14ac:dyDescent="0.25">
      <c r="A81" s="226" t="s">
        <v>10</v>
      </c>
      <c r="B81" s="222" t="s">
        <v>22</v>
      </c>
      <c r="C81" s="54" t="s">
        <v>32</v>
      </c>
      <c r="D81" s="72" t="s">
        <v>44</v>
      </c>
      <c r="E81" s="73" t="s">
        <v>45</v>
      </c>
      <c r="F81" s="251" t="s">
        <v>45</v>
      </c>
      <c r="G81" s="362">
        <f t="shared" ref="G81:G82" si="11">IF(D81=$A$26,$B$26,(IF(D81=$A$27,$B$27,IF(D81=$A$28,$B$28,$B$29))))</f>
        <v>0.33</v>
      </c>
      <c r="H81" s="301">
        <f t="shared" si="7"/>
        <v>0</v>
      </c>
      <c r="I81" s="301">
        <f t="shared" si="8"/>
        <v>0</v>
      </c>
      <c r="J81" s="104">
        <f t="shared" si="9"/>
        <v>1.8150000000000002</v>
      </c>
      <c r="K81" s="267">
        <f>J80</f>
        <v>16.060000000000002</v>
      </c>
    </row>
    <row r="82" spans="1:11" ht="30.75" thickBot="1" x14ac:dyDescent="0.3">
      <c r="A82" s="228" t="s">
        <v>11</v>
      </c>
      <c r="B82" s="229" t="s">
        <v>23</v>
      </c>
      <c r="C82" s="249" t="s">
        <v>33</v>
      </c>
      <c r="D82" s="74" t="s">
        <v>43</v>
      </c>
      <c r="E82" s="75" t="s">
        <v>44</v>
      </c>
      <c r="F82" s="252" t="s">
        <v>42</v>
      </c>
      <c r="G82" s="363">
        <f t="shared" si="11"/>
        <v>0.66</v>
      </c>
      <c r="H82" s="303">
        <f t="shared" si="7"/>
        <v>0.33</v>
      </c>
      <c r="I82" s="303">
        <f t="shared" si="8"/>
        <v>1</v>
      </c>
      <c r="J82" s="108">
        <f t="shared" si="9"/>
        <v>14.27</v>
      </c>
      <c r="K82" s="268">
        <f>J80</f>
        <v>16.060000000000002</v>
      </c>
    </row>
    <row r="84" spans="1:11" ht="15.75" thickBot="1" x14ac:dyDescent="0.3">
      <c r="A84" s="36" t="s">
        <v>94</v>
      </c>
    </row>
    <row r="85" spans="1:11" ht="15.75" thickBot="1" x14ac:dyDescent="0.3">
      <c r="A85" s="47" t="s">
        <v>41</v>
      </c>
      <c r="B85" s="46" t="s">
        <v>52</v>
      </c>
      <c r="C85" s="155" t="s">
        <v>53</v>
      </c>
    </row>
    <row r="86" spans="1:11" x14ac:dyDescent="0.25">
      <c r="A86" s="246" t="s">
        <v>42</v>
      </c>
      <c r="B86" s="13">
        <v>1</v>
      </c>
      <c r="C86" s="14">
        <v>8</v>
      </c>
    </row>
    <row r="87" spans="1:11" x14ac:dyDescent="0.25">
      <c r="A87" s="125" t="s">
        <v>43</v>
      </c>
      <c r="B87" s="98">
        <v>0.66</v>
      </c>
      <c r="C87" s="104">
        <v>5.5</v>
      </c>
    </row>
    <row r="88" spans="1:11" x14ac:dyDescent="0.25">
      <c r="A88" s="125" t="s">
        <v>44</v>
      </c>
      <c r="B88" s="98">
        <v>0.33</v>
      </c>
      <c r="C88" s="104">
        <v>3</v>
      </c>
    </row>
    <row r="89" spans="1:11" ht="15.75" thickBot="1" x14ac:dyDescent="0.3">
      <c r="A89" s="126" t="s">
        <v>45</v>
      </c>
      <c r="B89" s="107">
        <v>0</v>
      </c>
      <c r="C89" s="108">
        <v>0.5</v>
      </c>
    </row>
    <row r="91" spans="1:11" ht="15.75" thickBot="1" x14ac:dyDescent="0.3">
      <c r="A91" s="36" t="s">
        <v>95</v>
      </c>
    </row>
    <row r="92" spans="1:11" ht="45.75" thickBot="1" x14ac:dyDescent="0.3">
      <c r="A92" s="263" t="s">
        <v>282</v>
      </c>
      <c r="B92" s="233" t="s">
        <v>37</v>
      </c>
      <c r="C92" s="264" t="s">
        <v>46</v>
      </c>
      <c r="D92" s="265" t="s">
        <v>96</v>
      </c>
    </row>
    <row r="93" spans="1:11" x14ac:dyDescent="0.25">
      <c r="A93" s="56" t="s">
        <v>48</v>
      </c>
      <c r="B93" s="50" t="s">
        <v>38</v>
      </c>
      <c r="C93" s="51" t="s">
        <v>43</v>
      </c>
      <c r="D93" s="69">
        <f>C87</f>
        <v>5.5</v>
      </c>
    </row>
    <row r="94" spans="1:11" x14ac:dyDescent="0.25">
      <c r="A94" s="57" t="s">
        <v>49</v>
      </c>
      <c r="B94" s="40" t="s">
        <v>39</v>
      </c>
      <c r="C94" s="2" t="s">
        <v>42</v>
      </c>
      <c r="D94" s="70">
        <f>C86</f>
        <v>8</v>
      </c>
    </row>
    <row r="95" spans="1:11" ht="15.75" thickBot="1" x14ac:dyDescent="0.3">
      <c r="A95" s="58" t="s">
        <v>50</v>
      </c>
      <c r="B95" s="52" t="s">
        <v>40</v>
      </c>
      <c r="C95" s="53" t="s">
        <v>42</v>
      </c>
      <c r="D95" s="71">
        <f>C86</f>
        <v>8</v>
      </c>
    </row>
    <row r="98" spans="1:6" ht="15.75" thickBot="1" x14ac:dyDescent="0.3">
      <c r="A98" s="1" t="s">
        <v>102</v>
      </c>
    </row>
    <row r="99" spans="1:6" s="33" customFormat="1" ht="15.75" thickBot="1" x14ac:dyDescent="0.3">
      <c r="A99" s="82" t="s">
        <v>99</v>
      </c>
      <c r="B99" s="47" t="s">
        <v>131</v>
      </c>
      <c r="C99" s="266" t="s">
        <v>132</v>
      </c>
    </row>
    <row r="100" spans="1:6" x14ac:dyDescent="0.25">
      <c r="A100" s="6" t="s">
        <v>100</v>
      </c>
      <c r="B100" s="7">
        <v>0.75</v>
      </c>
      <c r="C100" s="8">
        <f>B100/B$103</f>
        <v>0.3</v>
      </c>
    </row>
    <row r="101" spans="1:6" x14ac:dyDescent="0.25">
      <c r="A101" s="4" t="s">
        <v>101</v>
      </c>
      <c r="B101" s="2">
        <v>0.75</v>
      </c>
      <c r="C101" s="8">
        <f t="shared" ref="C101:C102" si="12">B101/B$103</f>
        <v>0.3</v>
      </c>
    </row>
    <row r="102" spans="1:6" x14ac:dyDescent="0.25">
      <c r="A102" s="4" t="s">
        <v>120</v>
      </c>
      <c r="B102" s="2">
        <v>1</v>
      </c>
      <c r="C102" s="8">
        <f t="shared" si="12"/>
        <v>0.4</v>
      </c>
    </row>
    <row r="103" spans="1:6" ht="15.75" thickBot="1" x14ac:dyDescent="0.3">
      <c r="A103" s="100" t="s">
        <v>133</v>
      </c>
      <c r="B103" s="355">
        <f t="shared" ref="B103" si="13">SUM(B100:B102)</f>
        <v>2.5</v>
      </c>
      <c r="C103" s="123">
        <f>SUM(C100:C102)</f>
        <v>1</v>
      </c>
    </row>
    <row r="104" spans="1:6" x14ac:dyDescent="0.25">
      <c r="A104" s="1"/>
      <c r="B104" s="1"/>
      <c r="C104" s="1"/>
    </row>
    <row r="105" spans="1:6" ht="15.75" thickBot="1" x14ac:dyDescent="0.3">
      <c r="A105" s="1" t="s">
        <v>316</v>
      </c>
    </row>
    <row r="106" spans="1:6" s="33" customFormat="1" ht="75" customHeight="1" thickBot="1" x14ac:dyDescent="0.3">
      <c r="A106" s="47" t="s">
        <v>234</v>
      </c>
      <c r="B106" s="48" t="s">
        <v>104</v>
      </c>
      <c r="C106" s="48" t="s">
        <v>105</v>
      </c>
      <c r="D106" s="48" t="s">
        <v>106</v>
      </c>
      <c r="E106" s="48" t="s">
        <v>267</v>
      </c>
      <c r="F106" s="266" t="s">
        <v>266</v>
      </c>
    </row>
    <row r="107" spans="1:6" x14ac:dyDescent="0.25">
      <c r="A107" s="380" t="s">
        <v>24</v>
      </c>
      <c r="B107" s="131">
        <f t="shared" ref="B107:B116" si="14">J13</f>
        <v>24</v>
      </c>
      <c r="C107" s="131">
        <f t="shared" ref="C107:C116" si="15">J43</f>
        <v>21.5</v>
      </c>
      <c r="D107" s="131">
        <f t="shared" ref="D107:D116" si="16">J73</f>
        <v>21.5</v>
      </c>
      <c r="E107" s="131">
        <f>B107*C$100+C107*C$101+D107*C$102</f>
        <v>22.25</v>
      </c>
      <c r="F107" s="132">
        <f>E107</f>
        <v>22.25</v>
      </c>
    </row>
    <row r="108" spans="1:6" x14ac:dyDescent="0.25">
      <c r="A108" s="381" t="s">
        <v>13</v>
      </c>
      <c r="B108" s="98">
        <f t="shared" si="14"/>
        <v>13.280000000000001</v>
      </c>
      <c r="C108" s="98">
        <f t="shared" si="15"/>
        <v>13.5</v>
      </c>
      <c r="D108" s="98">
        <f t="shared" si="16"/>
        <v>15.095000000000001</v>
      </c>
      <c r="E108" s="13">
        <f t="shared" ref="E108:E116" si="17">B108*C$100+C108*C$101+D108*C$102</f>
        <v>14.071999999999999</v>
      </c>
      <c r="F108" s="104">
        <f>E108</f>
        <v>14.071999999999999</v>
      </c>
    </row>
    <row r="109" spans="1:6" x14ac:dyDescent="0.25">
      <c r="A109" s="381" t="s">
        <v>14</v>
      </c>
      <c r="B109" s="98">
        <f t="shared" si="14"/>
        <v>5.28</v>
      </c>
      <c r="C109" s="98">
        <f t="shared" si="15"/>
        <v>7.0950000000000006</v>
      </c>
      <c r="D109" s="98">
        <f t="shared" si="16"/>
        <v>5.5</v>
      </c>
      <c r="E109" s="13">
        <f t="shared" si="17"/>
        <v>5.9125000000000005</v>
      </c>
      <c r="F109" s="104">
        <f>E109</f>
        <v>5.9125000000000005</v>
      </c>
    </row>
    <row r="110" spans="1:6" x14ac:dyDescent="0.25">
      <c r="A110" s="381" t="s">
        <v>15</v>
      </c>
      <c r="B110" s="98">
        <f t="shared" si="14"/>
        <v>21.28</v>
      </c>
      <c r="C110" s="98">
        <f t="shared" si="15"/>
        <v>21.5</v>
      </c>
      <c r="D110" s="98">
        <f t="shared" si="16"/>
        <v>18.78</v>
      </c>
      <c r="E110" s="13">
        <f t="shared" si="17"/>
        <v>20.346</v>
      </c>
      <c r="F110" s="104">
        <f>E107</f>
        <v>22.25</v>
      </c>
    </row>
    <row r="111" spans="1:6" x14ac:dyDescent="0.25">
      <c r="A111" s="381" t="s">
        <v>17</v>
      </c>
      <c r="B111" s="98">
        <f t="shared" si="14"/>
        <v>13.2</v>
      </c>
      <c r="C111" s="98">
        <f t="shared" si="15"/>
        <v>14.190000000000001</v>
      </c>
      <c r="D111" s="98">
        <f t="shared" si="16"/>
        <v>13.420000000000002</v>
      </c>
      <c r="E111" s="13">
        <f t="shared" si="17"/>
        <v>13.585000000000001</v>
      </c>
      <c r="F111" s="104">
        <f>E111</f>
        <v>13.585000000000001</v>
      </c>
    </row>
    <row r="112" spans="1:6" x14ac:dyDescent="0.25">
      <c r="A112" s="381" t="s">
        <v>18</v>
      </c>
      <c r="B112" s="98">
        <f t="shared" si="14"/>
        <v>7.92</v>
      </c>
      <c r="C112" s="98">
        <f t="shared" si="15"/>
        <v>8.91</v>
      </c>
      <c r="D112" s="98">
        <f t="shared" si="16"/>
        <v>8.91</v>
      </c>
      <c r="E112" s="13">
        <f t="shared" si="17"/>
        <v>8.6129999999999995</v>
      </c>
      <c r="F112" s="104">
        <f>E113</f>
        <v>10.714000000000002</v>
      </c>
    </row>
    <row r="113" spans="1:6" x14ac:dyDescent="0.25">
      <c r="A113" s="381" t="s">
        <v>19</v>
      </c>
      <c r="B113" s="98">
        <f t="shared" si="14"/>
        <v>10.56</v>
      </c>
      <c r="C113" s="98">
        <f t="shared" si="15"/>
        <v>10.780000000000001</v>
      </c>
      <c r="D113" s="98">
        <f t="shared" si="16"/>
        <v>10.780000000000001</v>
      </c>
      <c r="E113" s="13">
        <f t="shared" si="17"/>
        <v>10.714000000000002</v>
      </c>
      <c r="F113" s="104">
        <f>E113</f>
        <v>10.714000000000002</v>
      </c>
    </row>
    <row r="114" spans="1:6" x14ac:dyDescent="0.25">
      <c r="A114" s="381" t="s">
        <v>20</v>
      </c>
      <c r="B114" s="98">
        <f t="shared" si="14"/>
        <v>15.84</v>
      </c>
      <c r="C114" s="98">
        <f t="shared" si="15"/>
        <v>16.060000000000002</v>
      </c>
      <c r="D114" s="98">
        <f t="shared" si="16"/>
        <v>16.060000000000002</v>
      </c>
      <c r="E114" s="13">
        <f t="shared" si="17"/>
        <v>15.994000000000002</v>
      </c>
      <c r="F114" s="104">
        <f>E114</f>
        <v>15.994000000000002</v>
      </c>
    </row>
    <row r="115" spans="1:6" x14ac:dyDescent="0.25">
      <c r="A115" s="381" t="s">
        <v>22</v>
      </c>
      <c r="B115" s="98">
        <f t="shared" si="14"/>
        <v>0</v>
      </c>
      <c r="C115" s="98">
        <f t="shared" si="15"/>
        <v>1.8150000000000002</v>
      </c>
      <c r="D115" s="98">
        <f t="shared" si="16"/>
        <v>1.8150000000000002</v>
      </c>
      <c r="E115" s="13">
        <f t="shared" si="17"/>
        <v>1.2705000000000002</v>
      </c>
      <c r="F115" s="104">
        <f>E114</f>
        <v>15.994000000000002</v>
      </c>
    </row>
    <row r="116" spans="1:6" ht="15.75" thickBot="1" x14ac:dyDescent="0.3">
      <c r="A116" s="382" t="s">
        <v>23</v>
      </c>
      <c r="B116" s="107">
        <f t="shared" si="14"/>
        <v>13.280000000000001</v>
      </c>
      <c r="C116" s="107">
        <f t="shared" si="15"/>
        <v>14.27</v>
      </c>
      <c r="D116" s="107">
        <f t="shared" si="16"/>
        <v>14.27</v>
      </c>
      <c r="E116" s="377">
        <f t="shared" si="17"/>
        <v>13.973000000000001</v>
      </c>
      <c r="F116" s="108">
        <f>E114</f>
        <v>15.994000000000002</v>
      </c>
    </row>
    <row r="118" spans="1:6" ht="15.75" thickBot="1" x14ac:dyDescent="0.3">
      <c r="A118" s="1" t="s">
        <v>317</v>
      </c>
    </row>
    <row r="119" spans="1:6" ht="30.75" thickBot="1" x14ac:dyDescent="0.3">
      <c r="A119" s="47" t="s">
        <v>234</v>
      </c>
      <c r="B119" s="84" t="s">
        <v>267</v>
      </c>
      <c r="C119" s="280" t="s">
        <v>266</v>
      </c>
    </row>
    <row r="120" spans="1:6" x14ac:dyDescent="0.25">
      <c r="A120" s="383" t="s">
        <v>24</v>
      </c>
      <c r="B120" s="141">
        <v>22.25</v>
      </c>
      <c r="C120" s="140">
        <v>22.25</v>
      </c>
    </row>
    <row r="121" spans="1:6" x14ac:dyDescent="0.25">
      <c r="A121" s="384" t="s">
        <v>15</v>
      </c>
      <c r="B121" s="143">
        <v>20.346</v>
      </c>
      <c r="C121" s="142">
        <v>22.25</v>
      </c>
    </row>
    <row r="122" spans="1:6" x14ac:dyDescent="0.25">
      <c r="A122" s="384" t="s">
        <v>20</v>
      </c>
      <c r="B122" s="143">
        <v>15.994000000000002</v>
      </c>
      <c r="C122" s="142">
        <v>15.994000000000002</v>
      </c>
    </row>
    <row r="123" spans="1:6" x14ac:dyDescent="0.25">
      <c r="A123" s="384" t="s">
        <v>23</v>
      </c>
      <c r="B123" s="143">
        <v>13.973000000000001</v>
      </c>
      <c r="C123" s="142">
        <v>15.994000000000002</v>
      </c>
    </row>
    <row r="124" spans="1:6" x14ac:dyDescent="0.25">
      <c r="A124" s="384" t="s">
        <v>22</v>
      </c>
      <c r="B124" s="143">
        <v>1.2705000000000002</v>
      </c>
      <c r="C124" s="142">
        <v>15.994000000000002</v>
      </c>
    </row>
    <row r="125" spans="1:6" x14ac:dyDescent="0.25">
      <c r="A125" s="384" t="s">
        <v>13</v>
      </c>
      <c r="B125" s="143">
        <v>14.071999999999999</v>
      </c>
      <c r="C125" s="142">
        <v>14.071999999999999</v>
      </c>
    </row>
    <row r="126" spans="1:6" x14ac:dyDescent="0.25">
      <c r="A126" s="384" t="s">
        <v>17</v>
      </c>
      <c r="B126" s="143">
        <v>13.585000000000001</v>
      </c>
      <c r="C126" s="142">
        <v>13.585000000000001</v>
      </c>
    </row>
    <row r="127" spans="1:6" x14ac:dyDescent="0.25">
      <c r="A127" s="384" t="s">
        <v>19</v>
      </c>
      <c r="B127" s="143">
        <v>10.714000000000002</v>
      </c>
      <c r="C127" s="142">
        <v>10.714000000000002</v>
      </c>
    </row>
    <row r="128" spans="1:6" x14ac:dyDescent="0.25">
      <c r="A128" s="384" t="s">
        <v>18</v>
      </c>
      <c r="B128" s="143">
        <v>8.6129999999999995</v>
      </c>
      <c r="C128" s="142">
        <v>10.714000000000002</v>
      </c>
    </row>
    <row r="129" spans="1:3" ht="15.75" thickBot="1" x14ac:dyDescent="0.3">
      <c r="A129" s="385" t="s">
        <v>14</v>
      </c>
      <c r="B129" s="144">
        <v>5.9125000000000005</v>
      </c>
      <c r="C129" s="113">
        <v>5.9125000000000005</v>
      </c>
    </row>
  </sheetData>
  <sortState xmlns:xlrd2="http://schemas.microsoft.com/office/spreadsheetml/2017/richdata2" ref="A120:K129">
    <sortCondition descending="1" ref="C120:C129"/>
  </sortState>
  <mergeCells count="22">
    <mergeCell ref="K11:K12"/>
    <mergeCell ref="K41:K42"/>
    <mergeCell ref="K71:K72"/>
    <mergeCell ref="J71:J72"/>
    <mergeCell ref="J11:J12"/>
    <mergeCell ref="J41:J42"/>
    <mergeCell ref="G11:I11"/>
    <mergeCell ref="A71:A72"/>
    <mergeCell ref="B71:B72"/>
    <mergeCell ref="C71:C72"/>
    <mergeCell ref="D71:F71"/>
    <mergeCell ref="G71:I71"/>
    <mergeCell ref="A41:A42"/>
    <mergeCell ref="B41:B42"/>
    <mergeCell ref="C41:C42"/>
    <mergeCell ref="D41:F41"/>
    <mergeCell ref="G41:I41"/>
    <mergeCell ref="A5:E5"/>
    <mergeCell ref="A11:A12"/>
    <mergeCell ref="B11:B12"/>
    <mergeCell ref="C11:C12"/>
    <mergeCell ref="D11:F11"/>
  </mergeCells>
  <phoneticPr fontId="8" type="noConversion"/>
  <hyperlinks>
    <hyperlink ref="B4" r:id="rId1" xr:uid="{D8BFB5FC-2D88-4545-BCAA-4D64975CF17F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K227"/>
  <sheetViews>
    <sheetView topLeftCell="A217" zoomScaleNormal="100" workbookViewId="0">
      <selection activeCell="A220" sqref="A220:C226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21.5703125" customWidth="1"/>
    <col min="10" max="10" width="17.85546875" customWidth="1"/>
    <col min="11" max="11" width="21.140625" customWidth="1"/>
  </cols>
  <sheetData>
    <row r="1" spans="1:11" ht="18.75" x14ac:dyDescent="0.3">
      <c r="A1" s="149" t="s">
        <v>196</v>
      </c>
      <c r="B1" s="148"/>
      <c r="C1" s="148"/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8" t="s">
        <v>173</v>
      </c>
      <c r="B5" s="469"/>
      <c r="C5" s="469"/>
      <c r="D5" s="462"/>
      <c r="E5" s="462"/>
    </row>
    <row r="6" spans="1:11" ht="31.5" x14ac:dyDescent="0.25">
      <c r="A6" s="114" t="s">
        <v>146</v>
      </c>
      <c r="B6" s="37" t="s">
        <v>147</v>
      </c>
      <c r="C6" s="35"/>
    </row>
    <row r="7" spans="1:11" x14ac:dyDescent="0.25">
      <c r="A7" s="468" t="s">
        <v>175</v>
      </c>
      <c r="B7" s="469"/>
      <c r="C7" s="469"/>
      <c r="D7" s="462"/>
      <c r="E7" s="462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64" t="s">
        <v>25</v>
      </c>
      <c r="B12" s="455" t="s">
        <v>285</v>
      </c>
      <c r="C12" s="488" t="s">
        <v>26</v>
      </c>
      <c r="D12" s="464" t="s">
        <v>55</v>
      </c>
      <c r="E12" s="455"/>
      <c r="F12" s="444"/>
      <c r="G12" s="454" t="s">
        <v>56</v>
      </c>
      <c r="H12" s="455"/>
      <c r="I12" s="455"/>
      <c r="J12" s="444" t="s">
        <v>51</v>
      </c>
      <c r="K12" s="425" t="s">
        <v>266</v>
      </c>
    </row>
    <row r="13" spans="1:11" s="33" customFormat="1" ht="18" customHeight="1" thickBot="1" x14ac:dyDescent="0.3">
      <c r="A13" s="465"/>
      <c r="B13" s="466"/>
      <c r="C13" s="496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45"/>
      <c r="K13" s="426"/>
    </row>
    <row r="14" spans="1:11" ht="30" x14ac:dyDescent="0.25">
      <c r="A14" s="235" t="s">
        <v>0</v>
      </c>
      <c r="B14" s="236" t="s">
        <v>24</v>
      </c>
      <c r="C14" s="248" t="s">
        <v>12</v>
      </c>
      <c r="D14" s="238" t="s">
        <v>42</v>
      </c>
      <c r="E14" s="239" t="s">
        <v>42</v>
      </c>
      <c r="F14" s="250" t="s">
        <v>42</v>
      </c>
      <c r="G14" s="361">
        <f>IF(D14=$A$27,$B$27,(IF(D14=$A$28,$B$28,IF(D14=$A$29,$B$29,$B$30))))</f>
        <v>1</v>
      </c>
      <c r="H14" s="299">
        <f t="shared" ref="H14:I23" si="0">IF(E14=$A$27,$B$27,(IF(E14=$A$28,$B$28,IF(E14=$A$29,$B$29,$B$30))))</f>
        <v>1</v>
      </c>
      <c r="I14" s="299">
        <f t="shared" si="0"/>
        <v>1</v>
      </c>
      <c r="J14" s="8">
        <f>G14*$D$34+H14*$D$35+I14*$D$36</f>
        <v>24</v>
      </c>
      <c r="K14" s="135">
        <f>J14</f>
        <v>24</v>
      </c>
    </row>
    <row r="15" spans="1:11" x14ac:dyDescent="0.25">
      <c r="A15" s="226" t="s">
        <v>1</v>
      </c>
      <c r="B15" s="222" t="s">
        <v>13</v>
      </c>
      <c r="C15" s="54" t="s">
        <v>27</v>
      </c>
      <c r="D15" s="72" t="s">
        <v>45</v>
      </c>
      <c r="E15" s="73" t="s">
        <v>43</v>
      </c>
      <c r="F15" s="251" t="s">
        <v>42</v>
      </c>
      <c r="G15" s="362">
        <f>IF(D15=$A$27,$B$27,(IF(D15=$A$28,$B$28,IF(D15=$A$29,$B$29,$B$30))))</f>
        <v>0</v>
      </c>
      <c r="H15" s="301">
        <f t="shared" si="0"/>
        <v>0.66</v>
      </c>
      <c r="I15" s="301">
        <f t="shared" si="0"/>
        <v>1</v>
      </c>
      <c r="J15" s="5">
        <f t="shared" ref="J15:J23" si="1">G15*$D$34+H15*$D$35+I15*$D$36</f>
        <v>13.280000000000001</v>
      </c>
      <c r="K15" s="267">
        <f>J15</f>
        <v>13.280000000000001</v>
      </c>
    </row>
    <row r="16" spans="1:11" x14ac:dyDescent="0.25">
      <c r="A16" s="226" t="s">
        <v>2</v>
      </c>
      <c r="B16" s="222" t="s">
        <v>14</v>
      </c>
      <c r="C16" s="54" t="s">
        <v>28</v>
      </c>
      <c r="D16" s="72" t="s">
        <v>43</v>
      </c>
      <c r="E16" s="73" t="s">
        <v>45</v>
      </c>
      <c r="F16" s="251" t="s">
        <v>45</v>
      </c>
      <c r="G16" s="362">
        <f t="shared" ref="G16:G23" si="2">IF(D16=$A$27,$B$27,(IF(D16=$A$28,$B$28,IF(D16=$A$29,$B$29,$B$30))))</f>
        <v>0.66</v>
      </c>
      <c r="H16" s="301">
        <f t="shared" si="0"/>
        <v>0</v>
      </c>
      <c r="I16" s="301">
        <f t="shared" si="0"/>
        <v>0</v>
      </c>
      <c r="J16" s="5">
        <f t="shared" si="1"/>
        <v>5.28</v>
      </c>
      <c r="K16" s="267">
        <f>J16</f>
        <v>5.28</v>
      </c>
    </row>
    <row r="17" spans="1:11" x14ac:dyDescent="0.25">
      <c r="A17" s="226" t="s">
        <v>5</v>
      </c>
      <c r="B17" s="222" t="s">
        <v>15</v>
      </c>
      <c r="C17" s="54" t="s">
        <v>16</v>
      </c>
      <c r="D17" s="72" t="s">
        <v>42</v>
      </c>
      <c r="E17" s="73" t="s">
        <v>43</v>
      </c>
      <c r="F17" s="251" t="s">
        <v>42</v>
      </c>
      <c r="G17" s="362">
        <f t="shared" si="2"/>
        <v>1</v>
      </c>
      <c r="H17" s="301">
        <f t="shared" si="0"/>
        <v>0.66</v>
      </c>
      <c r="I17" s="301">
        <f t="shared" si="0"/>
        <v>1</v>
      </c>
      <c r="J17" s="5">
        <f t="shared" si="1"/>
        <v>21.28</v>
      </c>
      <c r="K17" s="267">
        <f>J14</f>
        <v>24</v>
      </c>
    </row>
    <row r="18" spans="1:11" ht="30" x14ac:dyDescent="0.25">
      <c r="A18" s="226" t="s">
        <v>6</v>
      </c>
      <c r="B18" s="222" t="s">
        <v>17</v>
      </c>
      <c r="C18" s="54" t="s">
        <v>29</v>
      </c>
      <c r="D18" s="72" t="s">
        <v>43</v>
      </c>
      <c r="E18" s="73" t="s">
        <v>44</v>
      </c>
      <c r="F18" s="251" t="s">
        <v>43</v>
      </c>
      <c r="G18" s="362">
        <f t="shared" si="2"/>
        <v>0.66</v>
      </c>
      <c r="H18" s="301">
        <f t="shared" si="0"/>
        <v>0.33</v>
      </c>
      <c r="I18" s="301">
        <f t="shared" si="0"/>
        <v>0.66</v>
      </c>
      <c r="J18" s="5">
        <f t="shared" si="1"/>
        <v>13.2</v>
      </c>
      <c r="K18" s="267">
        <f>J18</f>
        <v>13.2</v>
      </c>
    </row>
    <row r="19" spans="1:11" x14ac:dyDescent="0.25">
      <c r="A19" s="226" t="s">
        <v>7</v>
      </c>
      <c r="B19" s="222" t="s">
        <v>18</v>
      </c>
      <c r="C19" s="54" t="s">
        <v>30</v>
      </c>
      <c r="D19" s="72" t="s">
        <v>44</v>
      </c>
      <c r="E19" s="73" t="s">
        <v>44</v>
      </c>
      <c r="F19" s="251" t="s">
        <v>44</v>
      </c>
      <c r="G19" s="362">
        <f t="shared" si="2"/>
        <v>0.33</v>
      </c>
      <c r="H19" s="301">
        <f t="shared" si="0"/>
        <v>0.33</v>
      </c>
      <c r="I19" s="301">
        <f t="shared" si="0"/>
        <v>0.33</v>
      </c>
      <c r="J19" s="5">
        <f t="shared" si="1"/>
        <v>7.92</v>
      </c>
      <c r="K19" s="267">
        <f>J20</f>
        <v>10.56</v>
      </c>
    </row>
    <row r="20" spans="1:11" ht="30" x14ac:dyDescent="0.25">
      <c r="A20" s="226" t="s">
        <v>8</v>
      </c>
      <c r="B20" s="222" t="s">
        <v>19</v>
      </c>
      <c r="C20" s="54" t="s">
        <v>31</v>
      </c>
      <c r="D20" s="72" t="s">
        <v>43</v>
      </c>
      <c r="E20" s="73" t="s">
        <v>43</v>
      </c>
      <c r="F20" s="251" t="s">
        <v>45</v>
      </c>
      <c r="G20" s="362">
        <f t="shared" si="2"/>
        <v>0.66</v>
      </c>
      <c r="H20" s="301">
        <f t="shared" si="0"/>
        <v>0.66</v>
      </c>
      <c r="I20" s="301">
        <f t="shared" si="0"/>
        <v>0</v>
      </c>
      <c r="J20" s="5">
        <f t="shared" si="1"/>
        <v>10.56</v>
      </c>
      <c r="K20" s="267">
        <f>J20</f>
        <v>10.56</v>
      </c>
    </row>
    <row r="21" spans="1:11" ht="30" x14ac:dyDescent="0.25">
      <c r="A21" s="226" t="s">
        <v>9</v>
      </c>
      <c r="B21" s="222" t="s">
        <v>20</v>
      </c>
      <c r="C21" s="54" t="s">
        <v>21</v>
      </c>
      <c r="D21" s="72" t="s">
        <v>43</v>
      </c>
      <c r="E21" s="73" t="s">
        <v>43</v>
      </c>
      <c r="F21" s="251" t="s">
        <v>43</v>
      </c>
      <c r="G21" s="362">
        <f t="shared" si="2"/>
        <v>0.66</v>
      </c>
      <c r="H21" s="301">
        <f t="shared" si="0"/>
        <v>0.66</v>
      </c>
      <c r="I21" s="301">
        <f t="shared" si="0"/>
        <v>0.66</v>
      </c>
      <c r="J21" s="5">
        <f t="shared" si="1"/>
        <v>15.84</v>
      </c>
      <c r="K21" s="267">
        <f>J21</f>
        <v>15.84</v>
      </c>
    </row>
    <row r="22" spans="1:11" ht="35.25" customHeight="1" x14ac:dyDescent="0.25">
      <c r="A22" s="226" t="s">
        <v>10</v>
      </c>
      <c r="B22" s="222" t="s">
        <v>22</v>
      </c>
      <c r="C22" s="54" t="s">
        <v>32</v>
      </c>
      <c r="D22" s="72" t="s">
        <v>45</v>
      </c>
      <c r="E22" s="73" t="s">
        <v>45</v>
      </c>
      <c r="F22" s="251" t="s">
        <v>45</v>
      </c>
      <c r="G22" s="362">
        <f t="shared" si="2"/>
        <v>0</v>
      </c>
      <c r="H22" s="301">
        <f t="shared" si="0"/>
        <v>0</v>
      </c>
      <c r="I22" s="301">
        <f t="shared" si="0"/>
        <v>0</v>
      </c>
      <c r="J22" s="5">
        <f t="shared" si="1"/>
        <v>0</v>
      </c>
      <c r="K22" s="267">
        <f>J21</f>
        <v>15.84</v>
      </c>
    </row>
    <row r="23" spans="1:11" ht="30.75" thickBot="1" x14ac:dyDescent="0.3">
      <c r="A23" s="228" t="s">
        <v>11</v>
      </c>
      <c r="B23" s="229" t="s">
        <v>23</v>
      </c>
      <c r="C23" s="249" t="s">
        <v>33</v>
      </c>
      <c r="D23" s="74" t="s">
        <v>44</v>
      </c>
      <c r="E23" s="75" t="s">
        <v>44</v>
      </c>
      <c r="F23" s="252" t="s">
        <v>42</v>
      </c>
      <c r="G23" s="363">
        <f t="shared" si="2"/>
        <v>0.33</v>
      </c>
      <c r="H23" s="303">
        <f t="shared" si="0"/>
        <v>0.33</v>
      </c>
      <c r="I23" s="303">
        <f t="shared" si="0"/>
        <v>1</v>
      </c>
      <c r="J23" s="55">
        <f t="shared" si="1"/>
        <v>13.280000000000001</v>
      </c>
      <c r="K23" s="268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5" t="s">
        <v>53</v>
      </c>
    </row>
    <row r="27" spans="1:11" x14ac:dyDescent="0.25">
      <c r="A27" s="246" t="s">
        <v>42</v>
      </c>
      <c r="B27" s="13">
        <v>1</v>
      </c>
      <c r="C27" s="14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60.75" thickBot="1" x14ac:dyDescent="0.3">
      <c r="A33" s="47" t="s">
        <v>286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261" t="s">
        <v>48</v>
      </c>
      <c r="B34" s="262" t="s">
        <v>38</v>
      </c>
      <c r="C34" s="7" t="s">
        <v>42</v>
      </c>
      <c r="D34" s="255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64" t="s">
        <v>25</v>
      </c>
      <c r="B42" s="455" t="s">
        <v>234</v>
      </c>
      <c r="C42" s="488" t="s">
        <v>26</v>
      </c>
      <c r="D42" s="464" t="s">
        <v>55</v>
      </c>
      <c r="E42" s="455"/>
      <c r="F42" s="444"/>
      <c r="G42" s="454" t="s">
        <v>56</v>
      </c>
      <c r="H42" s="455"/>
      <c r="I42" s="455"/>
      <c r="J42" s="444" t="s">
        <v>51</v>
      </c>
      <c r="K42" s="425" t="s">
        <v>266</v>
      </c>
    </row>
    <row r="43" spans="1:11" s="33" customFormat="1" ht="18" customHeight="1" thickBot="1" x14ac:dyDescent="0.3">
      <c r="A43" s="465"/>
      <c r="B43" s="466"/>
      <c r="C43" s="496"/>
      <c r="D43" s="240" t="s">
        <v>48</v>
      </c>
      <c r="E43" s="218" t="s">
        <v>49</v>
      </c>
      <c r="F43" s="241" t="s">
        <v>50</v>
      </c>
      <c r="G43" s="257" t="s">
        <v>48</v>
      </c>
      <c r="H43" s="218" t="s">
        <v>49</v>
      </c>
      <c r="I43" s="218" t="s">
        <v>50</v>
      </c>
      <c r="J43" s="445"/>
      <c r="K43" s="426"/>
    </row>
    <row r="44" spans="1:11" ht="30" x14ac:dyDescent="0.25">
      <c r="A44" s="235" t="s">
        <v>0</v>
      </c>
      <c r="B44" s="236" t="s">
        <v>24</v>
      </c>
      <c r="C44" s="248" t="s">
        <v>12</v>
      </c>
      <c r="D44" s="238" t="s">
        <v>42</v>
      </c>
      <c r="E44" s="239" t="s">
        <v>42</v>
      </c>
      <c r="F44" s="250" t="s">
        <v>42</v>
      </c>
      <c r="G44" s="361">
        <f>IF(D44=$A$27,$B$27,(IF(D44=$A$28,$B$28,IF(D44=$A$29,$B$29,$B$30))))</f>
        <v>1</v>
      </c>
      <c r="H44" s="299">
        <f t="shared" ref="H44:I53" si="3">IF(E44=$A$27,$B$27,(IF(E44=$A$28,$B$28,IF(E44=$A$29,$B$29,$B$30))))</f>
        <v>1</v>
      </c>
      <c r="I44" s="299">
        <f t="shared" si="3"/>
        <v>1</v>
      </c>
      <c r="J44" s="8">
        <f>G44*$D$64+H44*$D$65+I44*$D$66</f>
        <v>21.5</v>
      </c>
      <c r="K44" s="135">
        <f>J44</f>
        <v>21.5</v>
      </c>
    </row>
    <row r="45" spans="1:11" x14ac:dyDescent="0.25">
      <c r="A45" s="226" t="s">
        <v>1</v>
      </c>
      <c r="B45" s="222" t="s">
        <v>13</v>
      </c>
      <c r="C45" s="54" t="s">
        <v>27</v>
      </c>
      <c r="D45" s="72" t="s">
        <v>45</v>
      </c>
      <c r="E45" s="73" t="s">
        <v>42</v>
      </c>
      <c r="F45" s="251" t="s">
        <v>42</v>
      </c>
      <c r="G45" s="362">
        <f>IF(D45=$A$27,$B$27,(IF(D45=$A$28,$B$28,IF(D45=$A$29,$B$29,$B$30))))</f>
        <v>0</v>
      </c>
      <c r="H45" s="301">
        <f t="shared" si="3"/>
        <v>1</v>
      </c>
      <c r="I45" s="301">
        <f t="shared" si="3"/>
        <v>1</v>
      </c>
      <c r="J45" s="5">
        <f t="shared" ref="J45:J53" si="4">G45*$D$64+H45*$D$65+I45*$D$66</f>
        <v>13.5</v>
      </c>
      <c r="K45" s="267">
        <f>J45</f>
        <v>13.5</v>
      </c>
    </row>
    <row r="46" spans="1:11" x14ac:dyDescent="0.25">
      <c r="A46" s="226" t="s">
        <v>2</v>
      </c>
      <c r="B46" s="222" t="s">
        <v>14</v>
      </c>
      <c r="C46" s="54" t="s">
        <v>28</v>
      </c>
      <c r="D46" s="72" t="s">
        <v>43</v>
      </c>
      <c r="E46" s="73" t="s">
        <v>44</v>
      </c>
      <c r="F46" s="251" t="s">
        <v>45</v>
      </c>
      <c r="G46" s="362">
        <f t="shared" ref="G46:G53" si="5">IF(D46=$A$27,$B$27,(IF(D46=$A$28,$B$28,IF(D46=$A$29,$B$29,$B$30))))</f>
        <v>0.66</v>
      </c>
      <c r="H46" s="301">
        <f t="shared" si="3"/>
        <v>0.33</v>
      </c>
      <c r="I46" s="301">
        <f t="shared" si="3"/>
        <v>0</v>
      </c>
      <c r="J46" s="5">
        <f t="shared" si="4"/>
        <v>7.0950000000000006</v>
      </c>
      <c r="K46" s="267">
        <f>J46</f>
        <v>7.0950000000000006</v>
      </c>
    </row>
    <row r="47" spans="1:11" x14ac:dyDescent="0.25">
      <c r="A47" s="226" t="s">
        <v>5</v>
      </c>
      <c r="B47" s="222" t="s">
        <v>15</v>
      </c>
      <c r="C47" s="54" t="s">
        <v>16</v>
      </c>
      <c r="D47" s="72" t="s">
        <v>42</v>
      </c>
      <c r="E47" s="73" t="s">
        <v>42</v>
      </c>
      <c r="F47" s="251" t="s">
        <v>42</v>
      </c>
      <c r="G47" s="362">
        <f t="shared" si="5"/>
        <v>1</v>
      </c>
      <c r="H47" s="301">
        <f t="shared" si="3"/>
        <v>1</v>
      </c>
      <c r="I47" s="301">
        <f t="shared" si="3"/>
        <v>1</v>
      </c>
      <c r="J47" s="5">
        <f t="shared" si="4"/>
        <v>21.5</v>
      </c>
      <c r="K47" s="267">
        <f>J44</f>
        <v>21.5</v>
      </c>
    </row>
    <row r="48" spans="1:11" ht="30" x14ac:dyDescent="0.25">
      <c r="A48" s="226" t="s">
        <v>6</v>
      </c>
      <c r="B48" s="222" t="s">
        <v>17</v>
      </c>
      <c r="C48" s="54" t="s">
        <v>29</v>
      </c>
      <c r="D48" s="72" t="s">
        <v>43</v>
      </c>
      <c r="E48" s="73" t="s">
        <v>43</v>
      </c>
      <c r="F48" s="251" t="s">
        <v>43</v>
      </c>
      <c r="G48" s="362">
        <f t="shared" si="5"/>
        <v>0.66</v>
      </c>
      <c r="H48" s="301">
        <f t="shared" si="3"/>
        <v>0.66</v>
      </c>
      <c r="I48" s="301">
        <f t="shared" si="3"/>
        <v>0.66</v>
      </c>
      <c r="J48" s="5">
        <f t="shared" si="4"/>
        <v>14.190000000000001</v>
      </c>
      <c r="K48" s="267">
        <f>J48</f>
        <v>14.190000000000001</v>
      </c>
    </row>
    <row r="49" spans="1:11" x14ac:dyDescent="0.25">
      <c r="A49" s="226" t="s">
        <v>7</v>
      </c>
      <c r="B49" s="222" t="s">
        <v>18</v>
      </c>
      <c r="C49" s="54" t="s">
        <v>30</v>
      </c>
      <c r="D49" s="72" t="s">
        <v>44</v>
      </c>
      <c r="E49" s="73" t="s">
        <v>43</v>
      </c>
      <c r="F49" s="251" t="s">
        <v>44</v>
      </c>
      <c r="G49" s="362">
        <f t="shared" si="5"/>
        <v>0.33</v>
      </c>
      <c r="H49" s="301">
        <f t="shared" si="3"/>
        <v>0.66</v>
      </c>
      <c r="I49" s="301">
        <f t="shared" si="3"/>
        <v>0.33</v>
      </c>
      <c r="J49" s="5">
        <f t="shared" si="4"/>
        <v>8.91</v>
      </c>
      <c r="K49" s="267">
        <f>J50</f>
        <v>10.780000000000001</v>
      </c>
    </row>
    <row r="50" spans="1:11" ht="30" x14ac:dyDescent="0.25">
      <c r="A50" s="226" t="s">
        <v>8</v>
      </c>
      <c r="B50" s="222" t="s">
        <v>19</v>
      </c>
      <c r="C50" s="54" t="s">
        <v>31</v>
      </c>
      <c r="D50" s="72" t="s">
        <v>43</v>
      </c>
      <c r="E50" s="73" t="s">
        <v>42</v>
      </c>
      <c r="F50" s="251" t="s">
        <v>45</v>
      </c>
      <c r="G50" s="362">
        <f t="shared" si="5"/>
        <v>0.66</v>
      </c>
      <c r="H50" s="301">
        <f t="shared" si="3"/>
        <v>1</v>
      </c>
      <c r="I50" s="301">
        <f t="shared" si="3"/>
        <v>0</v>
      </c>
      <c r="J50" s="5">
        <f t="shared" si="4"/>
        <v>10.780000000000001</v>
      </c>
      <c r="K50" s="267">
        <f>J50</f>
        <v>10.780000000000001</v>
      </c>
    </row>
    <row r="51" spans="1:11" ht="30" x14ac:dyDescent="0.25">
      <c r="A51" s="226" t="s">
        <v>9</v>
      </c>
      <c r="B51" s="222" t="s">
        <v>20</v>
      </c>
      <c r="C51" s="54" t="s">
        <v>21</v>
      </c>
      <c r="D51" s="72" t="s">
        <v>43</v>
      </c>
      <c r="E51" s="73" t="s">
        <v>42</v>
      </c>
      <c r="F51" s="251" t="s">
        <v>43</v>
      </c>
      <c r="G51" s="362">
        <f>IF(D51=$A$27,$B$27,(IF(D51=$A$28,$B$28,IF(D51=$A$29,$B$29,$B$30))))</f>
        <v>0.66</v>
      </c>
      <c r="H51" s="301">
        <f t="shared" si="3"/>
        <v>1</v>
      </c>
      <c r="I51" s="301">
        <f t="shared" si="3"/>
        <v>0.66</v>
      </c>
      <c r="J51" s="5">
        <f t="shared" si="4"/>
        <v>16.060000000000002</v>
      </c>
      <c r="K51" s="267">
        <f>J51</f>
        <v>16.060000000000002</v>
      </c>
    </row>
    <row r="52" spans="1:11" ht="35.25" customHeight="1" x14ac:dyDescent="0.25">
      <c r="A52" s="226" t="s">
        <v>10</v>
      </c>
      <c r="B52" s="222" t="s">
        <v>22</v>
      </c>
      <c r="C52" s="54" t="s">
        <v>32</v>
      </c>
      <c r="D52" s="72" t="s">
        <v>45</v>
      </c>
      <c r="E52" s="73" t="s">
        <v>44</v>
      </c>
      <c r="F52" s="251" t="s">
        <v>45</v>
      </c>
      <c r="G52" s="362">
        <f t="shared" si="5"/>
        <v>0</v>
      </c>
      <c r="H52" s="301">
        <f t="shared" si="3"/>
        <v>0.33</v>
      </c>
      <c r="I52" s="301">
        <f t="shared" si="3"/>
        <v>0</v>
      </c>
      <c r="J52" s="5">
        <f t="shared" si="4"/>
        <v>1.8150000000000002</v>
      </c>
      <c r="K52" s="267">
        <f>J51</f>
        <v>16.060000000000002</v>
      </c>
    </row>
    <row r="53" spans="1:11" ht="30.75" thickBot="1" x14ac:dyDescent="0.3">
      <c r="A53" s="228" t="s">
        <v>11</v>
      </c>
      <c r="B53" s="229" t="s">
        <v>23</v>
      </c>
      <c r="C53" s="249" t="s">
        <v>33</v>
      </c>
      <c r="D53" s="74" t="s">
        <v>44</v>
      </c>
      <c r="E53" s="75" t="s">
        <v>43</v>
      </c>
      <c r="F53" s="252" t="s">
        <v>42</v>
      </c>
      <c r="G53" s="363">
        <f t="shared" si="5"/>
        <v>0.33</v>
      </c>
      <c r="H53" s="303">
        <f t="shared" si="3"/>
        <v>0.66</v>
      </c>
      <c r="I53" s="303">
        <f t="shared" si="3"/>
        <v>1</v>
      </c>
      <c r="J53" s="55">
        <f t="shared" si="4"/>
        <v>14.27</v>
      </c>
      <c r="K53" s="268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5" t="s">
        <v>53</v>
      </c>
    </row>
    <row r="57" spans="1:11" x14ac:dyDescent="0.25">
      <c r="A57" s="246" t="s">
        <v>42</v>
      </c>
      <c r="B57" s="13">
        <v>1</v>
      </c>
      <c r="C57" s="14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45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261" t="s">
        <v>48</v>
      </c>
      <c r="B64" s="262" t="s">
        <v>38</v>
      </c>
      <c r="C64" s="7" t="s">
        <v>42</v>
      </c>
      <c r="D64" s="255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64" t="s">
        <v>25</v>
      </c>
      <c r="B72" s="455" t="s">
        <v>234</v>
      </c>
      <c r="C72" s="488" t="s">
        <v>26</v>
      </c>
      <c r="D72" s="464" t="s">
        <v>55</v>
      </c>
      <c r="E72" s="455"/>
      <c r="F72" s="444"/>
      <c r="G72" s="454" t="s">
        <v>56</v>
      </c>
      <c r="H72" s="455"/>
      <c r="I72" s="455"/>
      <c r="J72" s="444" t="s">
        <v>51</v>
      </c>
      <c r="K72" s="425" t="s">
        <v>266</v>
      </c>
    </row>
    <row r="73" spans="1:11" ht="15.75" thickBot="1" x14ac:dyDescent="0.3">
      <c r="A73" s="465"/>
      <c r="B73" s="466"/>
      <c r="C73" s="496"/>
      <c r="D73" s="240" t="s">
        <v>48</v>
      </c>
      <c r="E73" s="218" t="s">
        <v>49</v>
      </c>
      <c r="F73" s="241" t="s">
        <v>50</v>
      </c>
      <c r="G73" s="257" t="s">
        <v>48</v>
      </c>
      <c r="H73" s="218" t="s">
        <v>49</v>
      </c>
      <c r="I73" s="218" t="s">
        <v>50</v>
      </c>
      <c r="J73" s="445"/>
      <c r="K73" s="426"/>
    </row>
    <row r="74" spans="1:11" ht="30" x14ac:dyDescent="0.25">
      <c r="A74" s="235" t="s">
        <v>0</v>
      </c>
      <c r="B74" s="236" t="s">
        <v>24</v>
      </c>
      <c r="C74" s="248" t="s">
        <v>12</v>
      </c>
      <c r="D74" s="238" t="s">
        <v>42</v>
      </c>
      <c r="E74" s="239" t="s">
        <v>42</v>
      </c>
      <c r="F74" s="250" t="s">
        <v>42</v>
      </c>
      <c r="G74" s="361">
        <f>IF(D74=$A$27,$B$27,(IF(D74=$A$28,$B$28,IF(D74=$A$29,$B$29,$B$30))))</f>
        <v>1</v>
      </c>
      <c r="H74" s="299">
        <f t="shared" ref="H74:I83" si="6">IF(E74=$A$27,$B$27,(IF(E74=$A$28,$B$28,IF(E74=$A$29,$B$29,$B$30))))</f>
        <v>1</v>
      </c>
      <c r="I74" s="299">
        <f t="shared" si="6"/>
        <v>1</v>
      </c>
      <c r="J74" s="8">
        <f>G74*$D$94+H74*$D$95+I74*$D$96</f>
        <v>21.5</v>
      </c>
      <c r="K74" s="135">
        <f>J74</f>
        <v>21.5</v>
      </c>
    </row>
    <row r="75" spans="1:11" x14ac:dyDescent="0.25">
      <c r="A75" s="226" t="s">
        <v>1</v>
      </c>
      <c r="B75" s="222" t="s">
        <v>13</v>
      </c>
      <c r="C75" s="54" t="s">
        <v>27</v>
      </c>
      <c r="D75" s="72" t="s">
        <v>44</v>
      </c>
      <c r="E75" s="73" t="s">
        <v>43</v>
      </c>
      <c r="F75" s="251" t="s">
        <v>42</v>
      </c>
      <c r="G75" s="362">
        <f>IF(D75=$A$27,$B$27,(IF(D75=$A$28,$B$28,IF(D75=$A$29,$B$29,$B$30))))</f>
        <v>0.33</v>
      </c>
      <c r="H75" s="301">
        <f t="shared" si="6"/>
        <v>0.66</v>
      </c>
      <c r="I75" s="301">
        <f t="shared" si="6"/>
        <v>1</v>
      </c>
      <c r="J75" s="5">
        <f t="shared" ref="J75:J83" si="7">G75*$D$94+H75*$D$95+I75*$D$96</f>
        <v>15.095000000000001</v>
      </c>
      <c r="K75" s="267">
        <f>J75</f>
        <v>15.095000000000001</v>
      </c>
    </row>
    <row r="76" spans="1:11" x14ac:dyDescent="0.25">
      <c r="A76" s="226" t="s">
        <v>2</v>
      </c>
      <c r="B76" s="222" t="s">
        <v>14</v>
      </c>
      <c r="C76" s="54" t="s">
        <v>28</v>
      </c>
      <c r="D76" s="72" t="s">
        <v>42</v>
      </c>
      <c r="E76" s="73" t="s">
        <v>45</v>
      </c>
      <c r="F76" s="251" t="s">
        <v>45</v>
      </c>
      <c r="G76" s="362">
        <f t="shared" ref="G76:G80" si="8">IF(D76=$A$27,$B$27,(IF(D76=$A$28,$B$28,IF(D76=$A$29,$B$29,$B$30))))</f>
        <v>1</v>
      </c>
      <c r="H76" s="301">
        <f t="shared" si="6"/>
        <v>0</v>
      </c>
      <c r="I76" s="301">
        <f t="shared" si="6"/>
        <v>0</v>
      </c>
      <c r="J76" s="5">
        <f t="shared" si="7"/>
        <v>5.5</v>
      </c>
      <c r="K76" s="267">
        <f>J76</f>
        <v>5.5</v>
      </c>
    </row>
    <row r="77" spans="1:11" x14ac:dyDescent="0.25">
      <c r="A77" s="226" t="s">
        <v>5</v>
      </c>
      <c r="B77" s="222" t="s">
        <v>15</v>
      </c>
      <c r="C77" s="54" t="s">
        <v>16</v>
      </c>
      <c r="D77" s="72" t="s">
        <v>42</v>
      </c>
      <c r="E77" s="73" t="s">
        <v>43</v>
      </c>
      <c r="F77" s="251" t="s">
        <v>42</v>
      </c>
      <c r="G77" s="362">
        <f t="shared" si="8"/>
        <v>1</v>
      </c>
      <c r="H77" s="301">
        <f t="shared" si="6"/>
        <v>0.66</v>
      </c>
      <c r="I77" s="301">
        <f t="shared" si="6"/>
        <v>1</v>
      </c>
      <c r="J77" s="5">
        <f t="shared" si="7"/>
        <v>18.78</v>
      </c>
      <c r="K77" s="267">
        <f>J74</f>
        <v>21.5</v>
      </c>
    </row>
    <row r="78" spans="1:11" ht="30" x14ac:dyDescent="0.25">
      <c r="A78" s="226" t="s">
        <v>6</v>
      </c>
      <c r="B78" s="222" t="s">
        <v>17</v>
      </c>
      <c r="C78" s="54" t="s">
        <v>29</v>
      </c>
      <c r="D78" s="72" t="s">
        <v>42</v>
      </c>
      <c r="E78" s="73" t="s">
        <v>44</v>
      </c>
      <c r="F78" s="251" t="s">
        <v>43</v>
      </c>
      <c r="G78" s="362">
        <f t="shared" si="8"/>
        <v>1</v>
      </c>
      <c r="H78" s="301">
        <f t="shared" si="6"/>
        <v>0.33</v>
      </c>
      <c r="I78" s="301">
        <f t="shared" si="6"/>
        <v>0.66</v>
      </c>
      <c r="J78" s="5">
        <f t="shared" si="7"/>
        <v>13.420000000000002</v>
      </c>
      <c r="K78" s="267">
        <f>J78</f>
        <v>13.420000000000002</v>
      </c>
    </row>
    <row r="79" spans="1:11" x14ac:dyDescent="0.25">
      <c r="A79" s="226" t="s">
        <v>7</v>
      </c>
      <c r="B79" s="222" t="s">
        <v>18</v>
      </c>
      <c r="C79" s="54" t="s">
        <v>30</v>
      </c>
      <c r="D79" s="72" t="s">
        <v>43</v>
      </c>
      <c r="E79" s="73" t="s">
        <v>44</v>
      </c>
      <c r="F79" s="251" t="s">
        <v>44</v>
      </c>
      <c r="G79" s="362">
        <f t="shared" si="8"/>
        <v>0.66</v>
      </c>
      <c r="H79" s="301">
        <f t="shared" si="6"/>
        <v>0.33</v>
      </c>
      <c r="I79" s="301">
        <f t="shared" si="6"/>
        <v>0.33</v>
      </c>
      <c r="J79" s="5">
        <f t="shared" si="7"/>
        <v>8.91</v>
      </c>
      <c r="K79" s="267">
        <f>J80</f>
        <v>10.780000000000001</v>
      </c>
    </row>
    <row r="80" spans="1:11" ht="30" x14ac:dyDescent="0.25">
      <c r="A80" s="226" t="s">
        <v>8</v>
      </c>
      <c r="B80" s="222" t="s">
        <v>19</v>
      </c>
      <c r="C80" s="54" t="s">
        <v>31</v>
      </c>
      <c r="D80" s="72" t="s">
        <v>42</v>
      </c>
      <c r="E80" s="73" t="s">
        <v>43</v>
      </c>
      <c r="F80" s="251" t="s">
        <v>45</v>
      </c>
      <c r="G80" s="362">
        <f t="shared" si="8"/>
        <v>1</v>
      </c>
      <c r="H80" s="301">
        <f t="shared" si="6"/>
        <v>0.66</v>
      </c>
      <c r="I80" s="301">
        <f t="shared" si="6"/>
        <v>0</v>
      </c>
      <c r="J80" s="5">
        <f t="shared" si="7"/>
        <v>10.780000000000001</v>
      </c>
      <c r="K80" s="267">
        <f>J80</f>
        <v>10.780000000000001</v>
      </c>
    </row>
    <row r="81" spans="1:11" ht="30" x14ac:dyDescent="0.25">
      <c r="A81" s="226" t="s">
        <v>9</v>
      </c>
      <c r="B81" s="222" t="s">
        <v>20</v>
      </c>
      <c r="C81" s="54" t="s">
        <v>21</v>
      </c>
      <c r="D81" s="72" t="s">
        <v>42</v>
      </c>
      <c r="E81" s="73" t="s">
        <v>43</v>
      </c>
      <c r="F81" s="251" t="s">
        <v>43</v>
      </c>
      <c r="G81" s="362">
        <f>IF(D81=$A$27,$B$27,(IF(D81=$A$28,$B$28,IF(D81=$A$29,$B$29,$B$30))))</f>
        <v>1</v>
      </c>
      <c r="H81" s="301">
        <f t="shared" si="6"/>
        <v>0.66</v>
      </c>
      <c r="I81" s="301">
        <f t="shared" si="6"/>
        <v>0.66</v>
      </c>
      <c r="J81" s="5">
        <f t="shared" si="7"/>
        <v>16.060000000000002</v>
      </c>
      <c r="K81" s="267">
        <f>J81</f>
        <v>16.060000000000002</v>
      </c>
    </row>
    <row r="82" spans="1:11" ht="30" x14ac:dyDescent="0.25">
      <c r="A82" s="226" t="s">
        <v>10</v>
      </c>
      <c r="B82" s="222" t="s">
        <v>22</v>
      </c>
      <c r="C82" s="54" t="s">
        <v>32</v>
      </c>
      <c r="D82" s="72" t="s">
        <v>44</v>
      </c>
      <c r="E82" s="73" t="s">
        <v>45</v>
      </c>
      <c r="F82" s="251" t="s">
        <v>45</v>
      </c>
      <c r="G82" s="362">
        <f t="shared" ref="G82:G83" si="9">IF(D82=$A$27,$B$27,(IF(D82=$A$28,$B$28,IF(D82=$A$29,$B$29,$B$30))))</f>
        <v>0.33</v>
      </c>
      <c r="H82" s="301">
        <f t="shared" si="6"/>
        <v>0</v>
      </c>
      <c r="I82" s="301">
        <f t="shared" si="6"/>
        <v>0</v>
      </c>
      <c r="J82" s="5">
        <f t="shared" si="7"/>
        <v>1.8150000000000002</v>
      </c>
      <c r="K82" s="267">
        <f>J81</f>
        <v>16.060000000000002</v>
      </c>
    </row>
    <row r="83" spans="1:11" ht="30.75" thickBot="1" x14ac:dyDescent="0.3">
      <c r="A83" s="228" t="s">
        <v>11</v>
      </c>
      <c r="B83" s="229" t="s">
        <v>23</v>
      </c>
      <c r="C83" s="249" t="s">
        <v>33</v>
      </c>
      <c r="D83" s="74" t="s">
        <v>43</v>
      </c>
      <c r="E83" s="75" t="s">
        <v>44</v>
      </c>
      <c r="F83" s="252" t="s">
        <v>42</v>
      </c>
      <c r="G83" s="363">
        <f t="shared" si="9"/>
        <v>0.66</v>
      </c>
      <c r="H83" s="303">
        <f t="shared" si="6"/>
        <v>0.33</v>
      </c>
      <c r="I83" s="303">
        <f t="shared" si="6"/>
        <v>1</v>
      </c>
      <c r="J83" s="55">
        <f t="shared" si="7"/>
        <v>14.27</v>
      </c>
      <c r="K83" s="268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5" t="s">
        <v>53</v>
      </c>
    </row>
    <row r="87" spans="1:11" x14ac:dyDescent="0.25">
      <c r="A87" s="246" t="s">
        <v>42</v>
      </c>
      <c r="B87" s="13">
        <v>1</v>
      </c>
      <c r="C87" s="14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45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1" t="s">
        <v>48</v>
      </c>
      <c r="B94" s="262" t="s">
        <v>38</v>
      </c>
      <c r="C94" s="7" t="s">
        <v>43</v>
      </c>
      <c r="D94" s="255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9" spans="1:6" ht="15.75" thickBot="1" x14ac:dyDescent="0.3">
      <c r="A99" s="1" t="s">
        <v>102</v>
      </c>
    </row>
    <row r="100" spans="1:6" s="33" customFormat="1" ht="15.75" thickBot="1" x14ac:dyDescent="0.3">
      <c r="A100" s="82" t="s">
        <v>99</v>
      </c>
      <c r="B100" s="47" t="s">
        <v>131</v>
      </c>
      <c r="C100" s="266" t="s">
        <v>132</v>
      </c>
    </row>
    <row r="101" spans="1:6" x14ac:dyDescent="0.25">
      <c r="A101" s="6" t="s">
        <v>100</v>
      </c>
      <c r="B101" s="7">
        <v>0.75</v>
      </c>
      <c r="C101" s="8">
        <f t="shared" ref="C101:C103" si="10">B101/B$104</f>
        <v>0.3</v>
      </c>
    </row>
    <row r="102" spans="1:6" x14ac:dyDescent="0.25">
      <c r="A102" s="4" t="s">
        <v>101</v>
      </c>
      <c r="B102" s="2">
        <v>0.75</v>
      </c>
      <c r="C102" s="5">
        <f t="shared" si="10"/>
        <v>0.3</v>
      </c>
    </row>
    <row r="103" spans="1:6" x14ac:dyDescent="0.25">
      <c r="A103" s="4" t="s">
        <v>120</v>
      </c>
      <c r="B103" s="2">
        <v>1</v>
      </c>
      <c r="C103" s="5">
        <f t="shared" si="10"/>
        <v>0.4</v>
      </c>
    </row>
    <row r="104" spans="1:6" ht="15.75" thickBot="1" x14ac:dyDescent="0.3">
      <c r="A104" s="100" t="s">
        <v>133</v>
      </c>
      <c r="B104" s="355">
        <f t="shared" ref="B104:C104" si="11">SUM(B101:B103)</f>
        <v>2.5</v>
      </c>
      <c r="C104" s="123">
        <f t="shared" si="11"/>
        <v>1</v>
      </c>
    </row>
    <row r="105" spans="1:6" x14ac:dyDescent="0.25">
      <c r="A105" s="1"/>
      <c r="B105" s="1"/>
      <c r="C105" s="1"/>
    </row>
    <row r="106" spans="1:6" ht="15.75" thickBot="1" x14ac:dyDescent="0.3">
      <c r="A106" s="1" t="s">
        <v>327</v>
      </c>
      <c r="C106" s="1"/>
    </row>
    <row r="107" spans="1:6" ht="15.75" thickBot="1" x14ac:dyDescent="0.3">
      <c r="A107" s="118" t="s">
        <v>273</v>
      </c>
      <c r="B107" s="119" t="s">
        <v>268</v>
      </c>
      <c r="C107" s="1"/>
      <c r="D107" s="1"/>
      <c r="E107" s="1"/>
    </row>
    <row r="108" spans="1:6" ht="15.75" thickBot="1" x14ac:dyDescent="0.3">
      <c r="A108" s="85" t="s">
        <v>291</v>
      </c>
      <c r="B108" s="86">
        <v>0.4</v>
      </c>
      <c r="C108" s="1"/>
      <c r="D108" s="1"/>
      <c r="E108" s="1"/>
    </row>
    <row r="110" spans="1:6" x14ac:dyDescent="0.25">
      <c r="A110" s="96" t="s">
        <v>134</v>
      </c>
    </row>
    <row r="111" spans="1:6" x14ac:dyDescent="0.25">
      <c r="A111" s="92" t="s">
        <v>24</v>
      </c>
      <c r="B111" s="304">
        <v>1</v>
      </c>
      <c r="C111" s="304">
        <v>0.89583333333333337</v>
      </c>
      <c r="D111" s="304">
        <v>0.89583333333333337</v>
      </c>
      <c r="F111" s="92"/>
    </row>
    <row r="112" spans="1:6" x14ac:dyDescent="0.25">
      <c r="B112" s="304">
        <v>0.89583333333333337</v>
      </c>
      <c r="C112" s="304">
        <v>1</v>
      </c>
      <c r="D112" s="304">
        <v>1</v>
      </c>
    </row>
    <row r="113" spans="1:6" x14ac:dyDescent="0.25">
      <c r="B113" s="304">
        <v>0.89583333333333337</v>
      </c>
      <c r="C113" s="304">
        <v>1</v>
      </c>
      <c r="D113" s="304">
        <v>1</v>
      </c>
    </row>
    <row r="114" spans="1:6" x14ac:dyDescent="0.25">
      <c r="B114" s="417"/>
      <c r="C114" s="417"/>
      <c r="D114" s="417"/>
    </row>
    <row r="115" spans="1:6" x14ac:dyDescent="0.25">
      <c r="A115" s="92" t="s">
        <v>13</v>
      </c>
      <c r="B115" s="304">
        <v>1</v>
      </c>
      <c r="C115" s="304">
        <v>0.98370370370370375</v>
      </c>
      <c r="D115" s="304">
        <v>0.87976151043391859</v>
      </c>
      <c r="F115" s="92"/>
    </row>
    <row r="116" spans="1:6" x14ac:dyDescent="0.25">
      <c r="B116" s="304">
        <v>0.98370370370370375</v>
      </c>
      <c r="C116" s="304">
        <v>1</v>
      </c>
      <c r="D116" s="304">
        <v>0.8943358728055647</v>
      </c>
    </row>
    <row r="117" spans="1:6" x14ac:dyDescent="0.25">
      <c r="B117" s="304">
        <v>0.87976151043391859</v>
      </c>
      <c r="C117" s="304">
        <v>0.8943358728055647</v>
      </c>
      <c r="D117" s="304">
        <v>1</v>
      </c>
    </row>
    <row r="118" spans="1:6" x14ac:dyDescent="0.25">
      <c r="B118" s="417"/>
      <c r="C118" s="417"/>
      <c r="D118" s="417"/>
    </row>
    <row r="119" spans="1:6" x14ac:dyDescent="0.25">
      <c r="A119" s="92" t="s">
        <v>14</v>
      </c>
      <c r="B119" s="304">
        <v>1</v>
      </c>
      <c r="C119" s="304">
        <v>0.7441860465116279</v>
      </c>
      <c r="D119" s="304">
        <v>0.96000000000000008</v>
      </c>
      <c r="F119" s="92"/>
    </row>
    <row r="120" spans="1:6" x14ac:dyDescent="0.25">
      <c r="B120" s="304">
        <v>0.7441860465116279</v>
      </c>
      <c r="C120" s="304">
        <v>1</v>
      </c>
      <c r="D120" s="304">
        <v>0.77519379844961234</v>
      </c>
    </row>
    <row r="121" spans="1:6" x14ac:dyDescent="0.25">
      <c r="B121" s="304">
        <v>0.96000000000000008</v>
      </c>
      <c r="C121" s="304">
        <v>0.77519379844961234</v>
      </c>
      <c r="D121" s="304">
        <v>1</v>
      </c>
    </row>
    <row r="122" spans="1:6" x14ac:dyDescent="0.25">
      <c r="B122" s="417"/>
      <c r="C122" s="417"/>
      <c r="D122" s="417"/>
    </row>
    <row r="123" spans="1:6" x14ac:dyDescent="0.25">
      <c r="A123" s="92" t="s">
        <v>15</v>
      </c>
      <c r="B123" s="304">
        <v>1</v>
      </c>
      <c r="C123" s="304">
        <v>0.98976744186046517</v>
      </c>
      <c r="D123" s="304">
        <v>0.88251879699248126</v>
      </c>
      <c r="F123" s="92"/>
    </row>
    <row r="124" spans="1:6" x14ac:dyDescent="0.25">
      <c r="B124" s="304">
        <v>0.98976744186046517</v>
      </c>
      <c r="C124" s="304">
        <v>1</v>
      </c>
      <c r="D124" s="304">
        <v>0.87348837209302332</v>
      </c>
    </row>
    <row r="125" spans="1:6" x14ac:dyDescent="0.25">
      <c r="B125" s="304">
        <v>0.88251879699248126</v>
      </c>
      <c r="C125" s="304">
        <v>0.87348837209302332</v>
      </c>
      <c r="D125" s="304">
        <v>1</v>
      </c>
    </row>
    <row r="126" spans="1:6" x14ac:dyDescent="0.25">
      <c r="B126" s="417"/>
      <c r="C126" s="417"/>
      <c r="D126" s="417"/>
    </row>
    <row r="127" spans="1:6" x14ac:dyDescent="0.25">
      <c r="A127" s="92" t="s">
        <v>17</v>
      </c>
      <c r="B127" s="304">
        <v>1</v>
      </c>
      <c r="C127" s="304">
        <v>0.93023255813953487</v>
      </c>
      <c r="D127" s="304">
        <v>0.98360655737704927</v>
      </c>
      <c r="F127" s="92"/>
    </row>
    <row r="128" spans="1:6" x14ac:dyDescent="0.25">
      <c r="B128" s="304">
        <v>0.93023255813953487</v>
      </c>
      <c r="C128" s="304">
        <v>1</v>
      </c>
      <c r="D128" s="304">
        <v>0.94573643410852704</v>
      </c>
    </row>
    <row r="129" spans="1:6" x14ac:dyDescent="0.25">
      <c r="B129" s="304">
        <v>0.98360655737704927</v>
      </c>
      <c r="C129" s="304">
        <v>0.94573643410852704</v>
      </c>
      <c r="D129" s="304">
        <v>1</v>
      </c>
    </row>
    <row r="130" spans="1:6" x14ac:dyDescent="0.25">
      <c r="B130" s="417"/>
      <c r="C130" s="417"/>
      <c r="D130" s="417"/>
    </row>
    <row r="131" spans="1:6" x14ac:dyDescent="0.25">
      <c r="A131" s="92" t="s">
        <v>18</v>
      </c>
      <c r="B131" s="304">
        <v>1</v>
      </c>
      <c r="C131" s="304">
        <v>0.88888888888888884</v>
      </c>
      <c r="D131" s="304">
        <v>0.88888888888888884</v>
      </c>
      <c r="F131" s="92"/>
    </row>
    <row r="132" spans="1:6" x14ac:dyDescent="0.25">
      <c r="B132" s="304">
        <v>0.88888888888888884</v>
      </c>
      <c r="C132" s="304">
        <v>1</v>
      </c>
      <c r="D132" s="304">
        <v>1</v>
      </c>
    </row>
    <row r="133" spans="1:6" x14ac:dyDescent="0.25">
      <c r="B133" s="304">
        <v>0.88888888888888884</v>
      </c>
      <c r="C133" s="304">
        <v>1</v>
      </c>
      <c r="D133" s="304">
        <v>1</v>
      </c>
    </row>
    <row r="134" spans="1:6" x14ac:dyDescent="0.25">
      <c r="B134" s="417"/>
      <c r="C134" s="417"/>
      <c r="D134" s="417"/>
    </row>
    <row r="135" spans="1:6" x14ac:dyDescent="0.25">
      <c r="A135" s="92" t="s">
        <v>19</v>
      </c>
      <c r="B135" s="304">
        <v>1</v>
      </c>
      <c r="C135" s="304">
        <v>0.97959183673469385</v>
      </c>
      <c r="D135" s="304">
        <v>0.97959183673469385</v>
      </c>
      <c r="F135" s="92"/>
    </row>
    <row r="136" spans="1:6" x14ac:dyDescent="0.25">
      <c r="B136" s="304">
        <v>0.97959183673469385</v>
      </c>
      <c r="C136" s="304">
        <v>1</v>
      </c>
      <c r="D136" s="304">
        <v>1</v>
      </c>
    </row>
    <row r="137" spans="1:6" x14ac:dyDescent="0.25">
      <c r="B137" s="304">
        <v>0.97959183673469385</v>
      </c>
      <c r="C137" s="304">
        <v>1</v>
      </c>
      <c r="D137" s="304">
        <v>1</v>
      </c>
    </row>
    <row r="138" spans="1:6" x14ac:dyDescent="0.25">
      <c r="B138" s="417"/>
      <c r="C138" s="417"/>
      <c r="D138" s="417"/>
    </row>
    <row r="139" spans="1:6" x14ac:dyDescent="0.25">
      <c r="A139" s="92" t="s">
        <v>20</v>
      </c>
      <c r="B139" s="304">
        <v>1</v>
      </c>
      <c r="C139" s="304">
        <v>0.98630136986301353</v>
      </c>
      <c r="D139" s="304">
        <v>0.98630136986301353</v>
      </c>
      <c r="F139" s="92"/>
    </row>
    <row r="140" spans="1:6" x14ac:dyDescent="0.25">
      <c r="B140" s="304">
        <v>0.98630136986301353</v>
      </c>
      <c r="C140" s="304">
        <v>1</v>
      </c>
      <c r="D140" s="304">
        <v>1</v>
      </c>
    </row>
    <row r="141" spans="1:6" x14ac:dyDescent="0.25">
      <c r="B141" s="304">
        <v>0.98630136986301353</v>
      </c>
      <c r="C141" s="304">
        <v>1</v>
      </c>
      <c r="D141" s="304">
        <v>1</v>
      </c>
    </row>
    <row r="142" spans="1:6" x14ac:dyDescent="0.25">
      <c r="B142" s="417"/>
      <c r="C142" s="417"/>
      <c r="D142" s="417"/>
    </row>
    <row r="143" spans="1:6" x14ac:dyDescent="0.25">
      <c r="A143" s="92" t="s">
        <v>22</v>
      </c>
      <c r="B143" s="304">
        <v>1</v>
      </c>
      <c r="C143" s="304">
        <v>0</v>
      </c>
      <c r="D143" s="304">
        <v>0</v>
      </c>
      <c r="F143" s="92"/>
    </row>
    <row r="144" spans="1:6" x14ac:dyDescent="0.25">
      <c r="B144" s="304">
        <v>0</v>
      </c>
      <c r="C144" s="304">
        <v>1</v>
      </c>
      <c r="D144" s="304">
        <v>1</v>
      </c>
    </row>
    <row r="145" spans="1:7" x14ac:dyDescent="0.25">
      <c r="B145" s="304">
        <v>0</v>
      </c>
      <c r="C145" s="304">
        <v>1</v>
      </c>
      <c r="D145" s="304">
        <v>1</v>
      </c>
    </row>
    <row r="146" spans="1:7" x14ac:dyDescent="0.25">
      <c r="B146" s="417"/>
      <c r="C146" s="417"/>
      <c r="D146" s="417"/>
    </row>
    <row r="147" spans="1:7" x14ac:dyDescent="0.25">
      <c r="A147" s="92" t="s">
        <v>23</v>
      </c>
      <c r="B147" s="304">
        <v>1</v>
      </c>
      <c r="C147" s="304">
        <v>0.93062368605466028</v>
      </c>
      <c r="D147" s="304">
        <v>0.93062368605466028</v>
      </c>
      <c r="F147" s="92"/>
    </row>
    <row r="148" spans="1:7" x14ac:dyDescent="0.25">
      <c r="B148" s="304">
        <v>0.93062368605466028</v>
      </c>
      <c r="C148" s="304">
        <v>1</v>
      </c>
      <c r="D148" s="304">
        <v>1</v>
      </c>
    </row>
    <row r="149" spans="1:7" x14ac:dyDescent="0.25">
      <c r="B149" s="304">
        <v>0.93062368605466028</v>
      </c>
      <c r="C149" s="304">
        <v>1</v>
      </c>
      <c r="D149" s="304">
        <v>1</v>
      </c>
    </row>
    <row r="151" spans="1:7" x14ac:dyDescent="0.25">
      <c r="A151" s="1" t="s">
        <v>295</v>
      </c>
    </row>
    <row r="152" spans="1:7" x14ac:dyDescent="0.25">
      <c r="A152" s="150" t="s">
        <v>234</v>
      </c>
      <c r="B152" s="157" t="s">
        <v>100</v>
      </c>
      <c r="C152" s="157" t="s">
        <v>101</v>
      </c>
      <c r="D152" s="157" t="s">
        <v>120</v>
      </c>
    </row>
    <row r="153" spans="1:7" x14ac:dyDescent="0.25">
      <c r="A153" s="222" t="s">
        <v>24</v>
      </c>
      <c r="B153" s="98">
        <f>(C111+D111)/2</f>
        <v>0.89583333333333337</v>
      </c>
      <c r="C153" s="98">
        <f>(B112+D112)/2</f>
        <v>0.94791666666666674</v>
      </c>
      <c r="D153" s="98">
        <f>(B113+C113)/2</f>
        <v>0.94791666666666674</v>
      </c>
      <c r="E153" s="419"/>
      <c r="F153" s="419"/>
      <c r="G153" s="419"/>
    </row>
    <row r="154" spans="1:7" x14ac:dyDescent="0.25">
      <c r="A154" s="222" t="s">
        <v>13</v>
      </c>
      <c r="B154" s="98">
        <f>(C115+D115)/2</f>
        <v>0.93173260706881122</v>
      </c>
      <c r="C154" s="98">
        <f>(B116+D116)/2</f>
        <v>0.93901978825463428</v>
      </c>
      <c r="D154" s="98">
        <f>(B117+C117)/2</f>
        <v>0.88704869161974165</v>
      </c>
      <c r="E154" s="419"/>
      <c r="F154" s="419"/>
      <c r="G154" s="419"/>
    </row>
    <row r="155" spans="1:7" x14ac:dyDescent="0.25">
      <c r="A155" s="222" t="s">
        <v>14</v>
      </c>
      <c r="B155" s="98">
        <f>(C119+D119)/2</f>
        <v>0.85209302325581393</v>
      </c>
      <c r="C155" s="98">
        <f>(B120+D120)/2</f>
        <v>0.75968992248062017</v>
      </c>
      <c r="D155" s="98">
        <f>(B121+C121)/2</f>
        <v>0.86759689922480621</v>
      </c>
      <c r="E155" s="419"/>
      <c r="F155" s="419"/>
      <c r="G155" s="419"/>
    </row>
    <row r="156" spans="1:7" x14ac:dyDescent="0.25">
      <c r="A156" s="222" t="s">
        <v>15</v>
      </c>
      <c r="B156" s="98">
        <f>(C123+D123)/2</f>
        <v>0.93614311942647321</v>
      </c>
      <c r="C156" s="98">
        <f>(B124+D124)/2</f>
        <v>0.93162790697674425</v>
      </c>
      <c r="D156" s="98">
        <f>(B125+C125)/2</f>
        <v>0.87800358454275229</v>
      </c>
      <c r="E156" s="419"/>
      <c r="F156" s="419"/>
      <c r="G156" s="419"/>
    </row>
    <row r="157" spans="1:7" x14ac:dyDescent="0.25">
      <c r="A157" s="222" t="s">
        <v>17</v>
      </c>
      <c r="B157" s="98">
        <f>(C127+D127)/2</f>
        <v>0.95691955775829207</v>
      </c>
      <c r="C157" s="98">
        <f>(B128+D128)/2</f>
        <v>0.9379844961240309</v>
      </c>
      <c r="D157" s="98">
        <f>(B129+C129)/2</f>
        <v>0.96467149574278821</v>
      </c>
      <c r="E157" s="419"/>
      <c r="F157" s="419"/>
      <c r="G157" s="419"/>
    </row>
    <row r="158" spans="1:7" x14ac:dyDescent="0.25">
      <c r="A158" s="222" t="s">
        <v>18</v>
      </c>
      <c r="B158" s="98">
        <f>(C131+D131)/2</f>
        <v>0.88888888888888884</v>
      </c>
      <c r="C158" s="98">
        <f>(B132+D132)/2</f>
        <v>0.94444444444444442</v>
      </c>
      <c r="D158" s="98">
        <f>(B133+C133)/2</f>
        <v>0.94444444444444442</v>
      </c>
      <c r="E158" s="419"/>
      <c r="F158" s="419"/>
      <c r="G158" s="419"/>
    </row>
    <row r="159" spans="1:7" x14ac:dyDescent="0.25">
      <c r="A159" s="222" t="s">
        <v>19</v>
      </c>
      <c r="B159" s="98">
        <f>(C135+D135)/2</f>
        <v>0.97959183673469385</v>
      </c>
      <c r="C159" s="98">
        <f>(B136+D136)/2</f>
        <v>0.98979591836734693</v>
      </c>
      <c r="D159" s="98">
        <f>(B137+C137)/2</f>
        <v>0.98979591836734693</v>
      </c>
      <c r="E159" s="419"/>
      <c r="F159" s="419"/>
      <c r="G159" s="419"/>
    </row>
    <row r="160" spans="1:7" x14ac:dyDescent="0.25">
      <c r="A160" s="222" t="s">
        <v>20</v>
      </c>
      <c r="B160" s="98">
        <f>(C139+D139)/2</f>
        <v>0.98630136986301353</v>
      </c>
      <c r="C160" s="98">
        <f>(B140+D140)/2</f>
        <v>0.99315068493150682</v>
      </c>
      <c r="D160" s="98">
        <f>(B141+C141)/2</f>
        <v>0.99315068493150682</v>
      </c>
      <c r="E160" s="419"/>
      <c r="F160" s="419"/>
      <c r="G160" s="419"/>
    </row>
    <row r="161" spans="1:7" x14ac:dyDescent="0.25">
      <c r="A161" s="222" t="s">
        <v>22</v>
      </c>
      <c r="B161" s="98">
        <f>(C143+D143)/2</f>
        <v>0</v>
      </c>
      <c r="C161" s="98">
        <f>(B144+D144)/2</f>
        <v>0.5</v>
      </c>
      <c r="D161" s="98">
        <f>(B145+C145)/2</f>
        <v>0.5</v>
      </c>
      <c r="E161" s="419"/>
      <c r="F161" s="419"/>
      <c r="G161" s="419"/>
    </row>
    <row r="162" spans="1:7" x14ac:dyDescent="0.25">
      <c r="A162" s="222" t="s">
        <v>23</v>
      </c>
      <c r="B162" s="98">
        <f>(C147+D147)/2</f>
        <v>0.93062368605466028</v>
      </c>
      <c r="C162" s="98">
        <f>(B148+D148)/2</f>
        <v>0.9653118430273302</v>
      </c>
      <c r="D162" s="98">
        <f>(B149+C149)/2</f>
        <v>0.9653118430273302</v>
      </c>
      <c r="E162" s="419"/>
      <c r="F162" s="419"/>
      <c r="G162" s="419"/>
    </row>
    <row r="164" spans="1:7" x14ac:dyDescent="0.25">
      <c r="A164" s="1" t="s">
        <v>296</v>
      </c>
    </row>
    <row r="165" spans="1:7" x14ac:dyDescent="0.25">
      <c r="A165" s="150" t="s">
        <v>234</v>
      </c>
      <c r="B165" s="157" t="s">
        <v>100</v>
      </c>
      <c r="C165" s="157" t="s">
        <v>101</v>
      </c>
      <c r="D165" s="157" t="s">
        <v>120</v>
      </c>
      <c r="E165" s="95" t="s">
        <v>138</v>
      </c>
    </row>
    <row r="166" spans="1:7" x14ac:dyDescent="0.25">
      <c r="A166" s="222" t="s">
        <v>24</v>
      </c>
      <c r="B166" s="93">
        <f>B153/SUM($B153:$D153)</f>
        <v>0.32089552238805968</v>
      </c>
      <c r="C166" s="93">
        <f t="shared" ref="C166:D166" si="12">C153/SUM($B153:$D153)</f>
        <v>0.33955223880597013</v>
      </c>
      <c r="D166" s="93">
        <f t="shared" si="12"/>
        <v>0.33955223880597013</v>
      </c>
      <c r="E166" s="94">
        <f>SUM(B166:D166)</f>
        <v>1</v>
      </c>
    </row>
    <row r="167" spans="1:7" x14ac:dyDescent="0.25">
      <c r="A167" s="222" t="s">
        <v>13</v>
      </c>
      <c r="B167" s="93">
        <f t="shared" ref="B167:D167" si="13">B154/SUM($B154:$D154)</f>
        <v>0.33785344834335607</v>
      </c>
      <c r="C167" s="93">
        <f t="shared" si="13"/>
        <v>0.34049583659257543</v>
      </c>
      <c r="D167" s="93">
        <f t="shared" si="13"/>
        <v>0.32165071506406856</v>
      </c>
      <c r="E167" s="94">
        <f t="shared" ref="E167:E175" si="14">SUM(B167:D167)</f>
        <v>1</v>
      </c>
    </row>
    <row r="168" spans="1:7" x14ac:dyDescent="0.25">
      <c r="A168" s="222" t="s">
        <v>14</v>
      </c>
      <c r="B168" s="93">
        <f t="shared" ref="B168:D168" si="15">B155/SUM($B155:$D155)</f>
        <v>0.34367183591795897</v>
      </c>
      <c r="C168" s="93">
        <f t="shared" si="15"/>
        <v>0.30640320160080042</v>
      </c>
      <c r="D168" s="93">
        <f t="shared" si="15"/>
        <v>0.34992496248124061</v>
      </c>
      <c r="E168" s="94">
        <f t="shared" si="14"/>
        <v>1</v>
      </c>
    </row>
    <row r="169" spans="1:7" x14ac:dyDescent="0.25">
      <c r="A169" s="222" t="s">
        <v>15</v>
      </c>
      <c r="B169" s="93">
        <f t="shared" ref="B169:D169" si="16">B156/SUM($B156:$D156)</f>
        <v>0.3409395351295621</v>
      </c>
      <c r="C169" s="93">
        <f t="shared" si="16"/>
        <v>0.33929511303033766</v>
      </c>
      <c r="D169" s="93">
        <f t="shared" si="16"/>
        <v>0.31976535184010019</v>
      </c>
      <c r="E169" s="94">
        <f t="shared" si="14"/>
        <v>1</v>
      </c>
    </row>
    <row r="170" spans="1:7" x14ac:dyDescent="0.25">
      <c r="A170" s="222" t="s">
        <v>17</v>
      </c>
      <c r="B170" s="93">
        <f t="shared" ref="B170:D170" si="17">B157/SUM($B157:$D157)</f>
        <v>0.33463692116256333</v>
      </c>
      <c r="C170" s="93">
        <f t="shared" si="17"/>
        <v>0.32801528752999731</v>
      </c>
      <c r="D170" s="93">
        <f t="shared" si="17"/>
        <v>0.33734779130743936</v>
      </c>
      <c r="E170" s="94">
        <f t="shared" si="14"/>
        <v>1</v>
      </c>
    </row>
    <row r="171" spans="1:7" x14ac:dyDescent="0.25">
      <c r="A171" s="222" t="s">
        <v>18</v>
      </c>
      <c r="B171" s="93">
        <f t="shared" ref="B171:D171" si="18">B158/SUM($B158:$D158)</f>
        <v>0.32</v>
      </c>
      <c r="C171" s="93">
        <f t="shared" si="18"/>
        <v>0.34</v>
      </c>
      <c r="D171" s="93">
        <f t="shared" si="18"/>
        <v>0.34</v>
      </c>
      <c r="E171" s="94">
        <f t="shared" si="14"/>
        <v>1</v>
      </c>
    </row>
    <row r="172" spans="1:7" x14ac:dyDescent="0.25">
      <c r="A172" s="222" t="s">
        <v>19</v>
      </c>
      <c r="B172" s="93">
        <f t="shared" ref="B172:D172" si="19">B159/SUM($B159:$D159)</f>
        <v>0.33103448275862069</v>
      </c>
      <c r="C172" s="93">
        <f t="shared" si="19"/>
        <v>0.33448275862068966</v>
      </c>
      <c r="D172" s="93">
        <f t="shared" si="19"/>
        <v>0.33448275862068966</v>
      </c>
      <c r="E172" s="94">
        <f t="shared" si="14"/>
        <v>1</v>
      </c>
    </row>
    <row r="173" spans="1:7" x14ac:dyDescent="0.25">
      <c r="A173" s="222" t="s">
        <v>20</v>
      </c>
      <c r="B173" s="93">
        <f t="shared" ref="B173:D173" si="20">B160/SUM($B160:$D160)</f>
        <v>0.33179723502304143</v>
      </c>
      <c r="C173" s="93">
        <f t="shared" si="20"/>
        <v>0.33410138248847926</v>
      </c>
      <c r="D173" s="93">
        <f t="shared" si="20"/>
        <v>0.33410138248847926</v>
      </c>
      <c r="E173" s="94">
        <f t="shared" si="14"/>
        <v>1</v>
      </c>
    </row>
    <row r="174" spans="1:7" x14ac:dyDescent="0.25">
      <c r="A174" s="222" t="s">
        <v>22</v>
      </c>
      <c r="B174" s="93">
        <f t="shared" ref="B174:D174" si="21">B161/SUM($B161:$D161)</f>
        <v>0</v>
      </c>
      <c r="C174" s="93">
        <f t="shared" si="21"/>
        <v>0.5</v>
      </c>
      <c r="D174" s="93">
        <f t="shared" si="21"/>
        <v>0.5</v>
      </c>
      <c r="E174" s="94">
        <f t="shared" si="14"/>
        <v>1</v>
      </c>
    </row>
    <row r="175" spans="1:7" x14ac:dyDescent="0.25">
      <c r="A175" s="222" t="s">
        <v>23</v>
      </c>
      <c r="B175" s="93">
        <f t="shared" ref="B175:D175" si="22">B162/SUM($B162:$D162)</f>
        <v>0.32525104090129808</v>
      </c>
      <c r="C175" s="93">
        <f t="shared" si="22"/>
        <v>0.33737447954935096</v>
      </c>
      <c r="D175" s="93">
        <f t="shared" si="22"/>
        <v>0.33737447954935096</v>
      </c>
      <c r="E175" s="94">
        <f t="shared" si="14"/>
        <v>1</v>
      </c>
    </row>
    <row r="177" spans="1:5" x14ac:dyDescent="0.25">
      <c r="A177" s="1" t="s">
        <v>297</v>
      </c>
    </row>
    <row r="178" spans="1:5" x14ac:dyDescent="0.25">
      <c r="A178" s="150" t="s">
        <v>234</v>
      </c>
      <c r="B178" s="157" t="s">
        <v>100</v>
      </c>
      <c r="C178" s="157" t="s">
        <v>101</v>
      </c>
      <c r="D178" s="157" t="s">
        <v>120</v>
      </c>
      <c r="E178" s="95" t="s">
        <v>138</v>
      </c>
    </row>
    <row r="179" spans="1:5" x14ac:dyDescent="0.25">
      <c r="A179" s="222" t="s">
        <v>24</v>
      </c>
      <c r="B179" s="93">
        <f t="shared" ref="B179:B187" si="23">$B$108*C$101+(1-$B$108)*B166</f>
        <v>0.31253731343283581</v>
      </c>
      <c r="C179" s="93">
        <f t="shared" ref="C179:C187" si="24">$B$108*$C$102+(1-$B$108)*C166</f>
        <v>0.32373134328358211</v>
      </c>
      <c r="D179" s="93">
        <f t="shared" ref="D179:D188" si="25">$B$108*$C$103+(1-$B$108)*D166</f>
        <v>0.36373134328358214</v>
      </c>
      <c r="E179" s="94">
        <f>SUM(B179:D179)</f>
        <v>1</v>
      </c>
    </row>
    <row r="180" spans="1:5" x14ac:dyDescent="0.25">
      <c r="A180" s="222" t="s">
        <v>13</v>
      </c>
      <c r="B180" s="93">
        <f t="shared" si="23"/>
        <v>0.32271206900601362</v>
      </c>
      <c r="C180" s="93">
        <f t="shared" si="24"/>
        <v>0.32429750195554524</v>
      </c>
      <c r="D180" s="93">
        <f t="shared" si="25"/>
        <v>0.35299042903844113</v>
      </c>
      <c r="E180" s="94">
        <f t="shared" ref="E180:E188" si="26">SUM(B180:D180)</f>
        <v>1</v>
      </c>
    </row>
    <row r="181" spans="1:5" x14ac:dyDescent="0.25">
      <c r="A181" s="222" t="s">
        <v>14</v>
      </c>
      <c r="B181" s="93">
        <f t="shared" si="23"/>
        <v>0.32620310155077537</v>
      </c>
      <c r="C181" s="93">
        <f t="shared" si="24"/>
        <v>0.30384192096048024</v>
      </c>
      <c r="D181" s="93">
        <f t="shared" si="25"/>
        <v>0.3699549774887444</v>
      </c>
      <c r="E181" s="94">
        <f t="shared" si="26"/>
        <v>1</v>
      </c>
    </row>
    <row r="182" spans="1:5" x14ac:dyDescent="0.25">
      <c r="A182" s="222" t="s">
        <v>15</v>
      </c>
      <c r="B182" s="93">
        <f t="shared" si="23"/>
        <v>0.32456372107773723</v>
      </c>
      <c r="C182" s="93">
        <f t="shared" si="24"/>
        <v>0.32357706781820261</v>
      </c>
      <c r="D182" s="93">
        <f t="shared" si="25"/>
        <v>0.35185921110406015</v>
      </c>
      <c r="E182" s="94">
        <f t="shared" si="26"/>
        <v>1</v>
      </c>
    </row>
    <row r="183" spans="1:5" x14ac:dyDescent="0.25">
      <c r="A183" s="222" t="s">
        <v>17</v>
      </c>
      <c r="B183" s="93">
        <f t="shared" si="23"/>
        <v>0.32078215269753796</v>
      </c>
      <c r="C183" s="93">
        <f t="shared" si="24"/>
        <v>0.31680917251799834</v>
      </c>
      <c r="D183" s="93">
        <f t="shared" si="25"/>
        <v>0.36240867478446365</v>
      </c>
      <c r="E183" s="94">
        <f t="shared" si="26"/>
        <v>1</v>
      </c>
    </row>
    <row r="184" spans="1:5" x14ac:dyDescent="0.25">
      <c r="A184" s="222" t="s">
        <v>18</v>
      </c>
      <c r="B184" s="93">
        <f t="shared" si="23"/>
        <v>0.312</v>
      </c>
      <c r="C184" s="93">
        <f t="shared" si="24"/>
        <v>0.32400000000000001</v>
      </c>
      <c r="D184" s="93">
        <f t="shared" si="25"/>
        <v>0.36400000000000005</v>
      </c>
      <c r="E184" s="94">
        <f t="shared" si="26"/>
        <v>1</v>
      </c>
    </row>
    <row r="185" spans="1:5" x14ac:dyDescent="0.25">
      <c r="A185" s="222" t="s">
        <v>19</v>
      </c>
      <c r="B185" s="93">
        <f t="shared" si="23"/>
        <v>0.31862068965517243</v>
      </c>
      <c r="C185" s="93">
        <f t="shared" si="24"/>
        <v>0.32068965517241377</v>
      </c>
      <c r="D185" s="93">
        <f t="shared" si="25"/>
        <v>0.3606896551724138</v>
      </c>
      <c r="E185" s="94">
        <f t="shared" si="26"/>
        <v>1</v>
      </c>
    </row>
    <row r="186" spans="1:5" x14ac:dyDescent="0.25">
      <c r="A186" s="222" t="s">
        <v>20</v>
      </c>
      <c r="B186" s="93">
        <f t="shared" si="23"/>
        <v>0.31907834101382482</v>
      </c>
      <c r="C186" s="93">
        <f t="shared" si="24"/>
        <v>0.32046082949308752</v>
      </c>
      <c r="D186" s="93">
        <f t="shared" si="25"/>
        <v>0.36046082949308755</v>
      </c>
      <c r="E186" s="94">
        <f t="shared" si="26"/>
        <v>0.99999999999999989</v>
      </c>
    </row>
    <row r="187" spans="1:5" x14ac:dyDescent="0.25">
      <c r="A187" s="222" t="s">
        <v>22</v>
      </c>
      <c r="B187" s="93">
        <f t="shared" si="23"/>
        <v>0.12</v>
      </c>
      <c r="C187" s="93">
        <f t="shared" si="24"/>
        <v>0.42</v>
      </c>
      <c r="D187" s="93">
        <f t="shared" si="25"/>
        <v>0.46</v>
      </c>
      <c r="E187" s="94">
        <f t="shared" si="26"/>
        <v>1</v>
      </c>
    </row>
    <row r="188" spans="1:5" x14ac:dyDescent="0.25">
      <c r="A188" s="222" t="s">
        <v>23</v>
      </c>
      <c r="B188" s="93">
        <f>$B$108*C$101+(1-$B$108)*B175</f>
        <v>0.3151506245407788</v>
      </c>
      <c r="C188" s="93">
        <f>$B$108*$C$102+(1-$B$108)*C175</f>
        <v>0.32242468772961053</v>
      </c>
      <c r="D188" s="93">
        <f t="shared" si="25"/>
        <v>0.36242468772961056</v>
      </c>
      <c r="E188" s="94">
        <f t="shared" si="26"/>
        <v>0.99999999999999989</v>
      </c>
    </row>
    <row r="190" spans="1:5" x14ac:dyDescent="0.25">
      <c r="A190" s="1" t="s">
        <v>298</v>
      </c>
    </row>
    <row r="191" spans="1:5" x14ac:dyDescent="0.25">
      <c r="A191" s="150" t="s">
        <v>234</v>
      </c>
      <c r="B191" s="150" t="s">
        <v>104</v>
      </c>
      <c r="C191" s="150" t="s">
        <v>105</v>
      </c>
      <c r="D191" s="150" t="s">
        <v>106</v>
      </c>
    </row>
    <row r="192" spans="1:5" x14ac:dyDescent="0.25">
      <c r="A192" s="222" t="s">
        <v>24</v>
      </c>
      <c r="B192" s="98">
        <f t="shared" ref="B192:B201" si="27">J14</f>
        <v>24</v>
      </c>
      <c r="C192" s="98">
        <f t="shared" ref="C192:C201" si="28">J44</f>
        <v>21.5</v>
      </c>
      <c r="D192" s="98">
        <f t="shared" ref="D192:D201" si="29">J74</f>
        <v>21.5</v>
      </c>
    </row>
    <row r="193" spans="1:6" x14ac:dyDescent="0.25">
      <c r="A193" s="222" t="s">
        <v>13</v>
      </c>
      <c r="B193" s="98">
        <f t="shared" si="27"/>
        <v>13.280000000000001</v>
      </c>
      <c r="C193" s="98">
        <f t="shared" si="28"/>
        <v>13.5</v>
      </c>
      <c r="D193" s="98">
        <f t="shared" si="29"/>
        <v>15.095000000000001</v>
      </c>
    </row>
    <row r="194" spans="1:6" x14ac:dyDescent="0.25">
      <c r="A194" s="222" t="s">
        <v>14</v>
      </c>
      <c r="B194" s="98">
        <f t="shared" si="27"/>
        <v>5.28</v>
      </c>
      <c r="C194" s="98">
        <f t="shared" si="28"/>
        <v>7.0950000000000006</v>
      </c>
      <c r="D194" s="98">
        <f t="shared" si="29"/>
        <v>5.5</v>
      </c>
    </row>
    <row r="195" spans="1:6" x14ac:dyDescent="0.25">
      <c r="A195" s="222" t="s">
        <v>15</v>
      </c>
      <c r="B195" s="98">
        <f t="shared" si="27"/>
        <v>21.28</v>
      </c>
      <c r="C195" s="98">
        <f t="shared" si="28"/>
        <v>21.5</v>
      </c>
      <c r="D195" s="98">
        <f t="shared" si="29"/>
        <v>18.78</v>
      </c>
    </row>
    <row r="196" spans="1:6" x14ac:dyDescent="0.25">
      <c r="A196" s="222" t="s">
        <v>17</v>
      </c>
      <c r="B196" s="98">
        <f t="shared" si="27"/>
        <v>13.2</v>
      </c>
      <c r="C196" s="98">
        <f t="shared" si="28"/>
        <v>14.190000000000001</v>
      </c>
      <c r="D196" s="98">
        <f t="shared" si="29"/>
        <v>13.420000000000002</v>
      </c>
    </row>
    <row r="197" spans="1:6" x14ac:dyDescent="0.25">
      <c r="A197" s="222" t="s">
        <v>18</v>
      </c>
      <c r="B197" s="98">
        <f t="shared" si="27"/>
        <v>7.92</v>
      </c>
      <c r="C197" s="98">
        <f t="shared" si="28"/>
        <v>8.91</v>
      </c>
      <c r="D197" s="98">
        <f t="shared" si="29"/>
        <v>8.91</v>
      </c>
    </row>
    <row r="198" spans="1:6" x14ac:dyDescent="0.25">
      <c r="A198" s="222" t="s">
        <v>19</v>
      </c>
      <c r="B198" s="98">
        <f t="shared" si="27"/>
        <v>10.56</v>
      </c>
      <c r="C198" s="98">
        <f t="shared" si="28"/>
        <v>10.780000000000001</v>
      </c>
      <c r="D198" s="98">
        <f t="shared" si="29"/>
        <v>10.780000000000001</v>
      </c>
    </row>
    <row r="199" spans="1:6" x14ac:dyDescent="0.25">
      <c r="A199" s="222" t="s">
        <v>20</v>
      </c>
      <c r="B199" s="98">
        <f t="shared" si="27"/>
        <v>15.84</v>
      </c>
      <c r="C199" s="98">
        <f t="shared" si="28"/>
        <v>16.060000000000002</v>
      </c>
      <c r="D199" s="98">
        <f t="shared" si="29"/>
        <v>16.060000000000002</v>
      </c>
    </row>
    <row r="200" spans="1:6" x14ac:dyDescent="0.25">
      <c r="A200" s="222" t="s">
        <v>22</v>
      </c>
      <c r="B200" s="98">
        <f t="shared" si="27"/>
        <v>0</v>
      </c>
      <c r="C200" s="98">
        <f t="shared" si="28"/>
        <v>1.8150000000000002</v>
      </c>
      <c r="D200" s="98">
        <f t="shared" si="29"/>
        <v>1.8150000000000002</v>
      </c>
    </row>
    <row r="201" spans="1:6" x14ac:dyDescent="0.25">
      <c r="A201" s="222" t="s">
        <v>23</v>
      </c>
      <c r="B201" s="98">
        <f t="shared" si="27"/>
        <v>13.280000000000001</v>
      </c>
      <c r="C201" s="98">
        <f t="shared" si="28"/>
        <v>14.27</v>
      </c>
      <c r="D201" s="98">
        <f t="shared" si="29"/>
        <v>14.27</v>
      </c>
    </row>
    <row r="203" spans="1:6" x14ac:dyDescent="0.25">
      <c r="A203" s="1" t="s">
        <v>318</v>
      </c>
    </row>
    <row r="204" spans="1:6" ht="75" x14ac:dyDescent="0.25">
      <c r="A204" s="42" t="s">
        <v>234</v>
      </c>
      <c r="B204" s="42" t="s">
        <v>200</v>
      </c>
      <c r="C204" s="42" t="s">
        <v>201</v>
      </c>
      <c r="D204" s="42" t="s">
        <v>199</v>
      </c>
      <c r="E204" s="42" t="s">
        <v>267</v>
      </c>
      <c r="F204" s="42" t="s">
        <v>266</v>
      </c>
    </row>
    <row r="205" spans="1:6" x14ac:dyDescent="0.25">
      <c r="A205" s="222" t="s">
        <v>24</v>
      </c>
      <c r="B205" s="98">
        <f>B179*B192</f>
        <v>7.5008955223880598</v>
      </c>
      <c r="C205" s="98">
        <f t="shared" ref="C205:D205" si="30">C179*C192</f>
        <v>6.9602238805970149</v>
      </c>
      <c r="D205" s="98">
        <f t="shared" si="30"/>
        <v>7.8202238805970161</v>
      </c>
      <c r="E205" s="98">
        <f>B205+C205+D205</f>
        <v>22.281343283582089</v>
      </c>
      <c r="F205" s="98">
        <f>E205</f>
        <v>22.281343283582089</v>
      </c>
    </row>
    <row r="206" spans="1:6" x14ac:dyDescent="0.25">
      <c r="A206" s="222" t="s">
        <v>13</v>
      </c>
      <c r="B206" s="98">
        <f t="shared" ref="B206:D214" si="31">B180*B193</f>
        <v>4.2856162763998613</v>
      </c>
      <c r="C206" s="98">
        <f t="shared" si="31"/>
        <v>4.3780162763998609</v>
      </c>
      <c r="D206" s="98">
        <f t="shared" si="31"/>
        <v>5.3283905263352693</v>
      </c>
      <c r="E206" s="98">
        <f t="shared" ref="E206:E214" si="32">B206+C206+D206</f>
        <v>13.992023079134992</v>
      </c>
      <c r="F206" s="98">
        <f>E206</f>
        <v>13.992023079134992</v>
      </c>
    </row>
    <row r="207" spans="1:6" x14ac:dyDescent="0.25">
      <c r="A207" s="222" t="s">
        <v>14</v>
      </c>
      <c r="B207" s="98">
        <f t="shared" si="31"/>
        <v>1.7223523761880941</v>
      </c>
      <c r="C207" s="98">
        <f t="shared" si="31"/>
        <v>2.1557584292146075</v>
      </c>
      <c r="D207" s="98">
        <f t="shared" si="31"/>
        <v>2.0347523761880941</v>
      </c>
      <c r="E207" s="98">
        <f t="shared" si="32"/>
        <v>5.9128631815907955</v>
      </c>
      <c r="F207" s="98">
        <f>E207</f>
        <v>5.9128631815907955</v>
      </c>
    </row>
    <row r="208" spans="1:6" x14ac:dyDescent="0.25">
      <c r="A208" s="222" t="s">
        <v>15</v>
      </c>
      <c r="B208" s="98">
        <f t="shared" si="31"/>
        <v>6.906715984534249</v>
      </c>
      <c r="C208" s="98">
        <f t="shared" si="31"/>
        <v>6.9569069580913565</v>
      </c>
      <c r="D208" s="98">
        <f t="shared" si="31"/>
        <v>6.6079159845342499</v>
      </c>
      <c r="E208" s="98">
        <f t="shared" si="32"/>
        <v>20.471538927159855</v>
      </c>
      <c r="F208" s="98">
        <f>E205</f>
        <v>22.281343283582089</v>
      </c>
    </row>
    <row r="209" spans="1:6" x14ac:dyDescent="0.25">
      <c r="A209" s="222" t="s">
        <v>17</v>
      </c>
      <c r="B209" s="98">
        <f t="shared" si="31"/>
        <v>4.2343244156075004</v>
      </c>
      <c r="C209" s="98">
        <f t="shared" si="31"/>
        <v>4.495522158030397</v>
      </c>
      <c r="D209" s="98">
        <f t="shared" si="31"/>
        <v>4.863524415607503</v>
      </c>
      <c r="E209" s="98">
        <f t="shared" si="32"/>
        <v>13.5933709892454</v>
      </c>
      <c r="F209" s="98">
        <f>E209</f>
        <v>13.5933709892454</v>
      </c>
    </row>
    <row r="210" spans="1:6" x14ac:dyDescent="0.25">
      <c r="A210" s="222" t="s">
        <v>18</v>
      </c>
      <c r="B210" s="98">
        <f t="shared" si="31"/>
        <v>2.4710399999999999</v>
      </c>
      <c r="C210" s="98">
        <f t="shared" si="31"/>
        <v>2.8868400000000003</v>
      </c>
      <c r="D210" s="98">
        <f t="shared" si="31"/>
        <v>3.2432400000000006</v>
      </c>
      <c r="E210" s="98">
        <f t="shared" si="32"/>
        <v>8.6011199999999999</v>
      </c>
      <c r="F210" s="98">
        <f>E211</f>
        <v>10.709903448275863</v>
      </c>
    </row>
    <row r="211" spans="1:6" x14ac:dyDescent="0.25">
      <c r="A211" s="222" t="s">
        <v>19</v>
      </c>
      <c r="B211" s="98">
        <f t="shared" si="31"/>
        <v>3.3646344827586212</v>
      </c>
      <c r="C211" s="98">
        <f t="shared" si="31"/>
        <v>3.4570344827586208</v>
      </c>
      <c r="D211" s="98">
        <f t="shared" si="31"/>
        <v>3.8882344827586213</v>
      </c>
      <c r="E211" s="98">
        <f t="shared" si="32"/>
        <v>10.709903448275863</v>
      </c>
      <c r="F211" s="98">
        <f>E211</f>
        <v>10.709903448275863</v>
      </c>
    </row>
    <row r="212" spans="1:6" x14ac:dyDescent="0.25">
      <c r="A212" s="222" t="s">
        <v>20</v>
      </c>
      <c r="B212" s="98">
        <f t="shared" si="31"/>
        <v>5.0542009216589854</v>
      </c>
      <c r="C212" s="98">
        <f t="shared" si="31"/>
        <v>5.1466009216589859</v>
      </c>
      <c r="D212" s="98">
        <f t="shared" si="31"/>
        <v>5.7890009216589871</v>
      </c>
      <c r="E212" s="98">
        <f t="shared" si="32"/>
        <v>15.989802764976959</v>
      </c>
      <c r="F212" s="98">
        <f>E212</f>
        <v>15.989802764976959</v>
      </c>
    </row>
    <row r="213" spans="1:6" x14ac:dyDescent="0.25">
      <c r="A213" s="222" t="s">
        <v>22</v>
      </c>
      <c r="B213" s="98">
        <f t="shared" si="31"/>
        <v>0</v>
      </c>
      <c r="C213" s="98">
        <f t="shared" si="31"/>
        <v>0.76230000000000009</v>
      </c>
      <c r="D213" s="98">
        <f t="shared" si="31"/>
        <v>0.83490000000000009</v>
      </c>
      <c r="E213" s="98">
        <f t="shared" si="32"/>
        <v>1.5972000000000002</v>
      </c>
      <c r="F213" s="98">
        <f>E212</f>
        <v>15.989802764976959</v>
      </c>
    </row>
    <row r="214" spans="1:6" x14ac:dyDescent="0.25">
      <c r="A214" s="222" t="s">
        <v>23</v>
      </c>
      <c r="B214" s="98">
        <f t="shared" si="31"/>
        <v>4.1852002939015431</v>
      </c>
      <c r="C214" s="98">
        <f t="shared" si="31"/>
        <v>4.6010002939015422</v>
      </c>
      <c r="D214" s="98">
        <f t="shared" si="31"/>
        <v>5.1718002939015424</v>
      </c>
      <c r="E214" s="98">
        <f t="shared" si="32"/>
        <v>13.958000881704628</v>
      </c>
      <c r="F214" s="98">
        <f>E212</f>
        <v>15.989802764976959</v>
      </c>
    </row>
    <row r="216" spans="1:6" ht="15.75" thickBot="1" x14ac:dyDescent="0.3">
      <c r="A216" s="1" t="s">
        <v>319</v>
      </c>
    </row>
    <row r="217" spans="1:6" ht="30.75" thickBot="1" x14ac:dyDescent="0.3">
      <c r="A217" s="158" t="s">
        <v>234</v>
      </c>
      <c r="B217" s="84" t="s">
        <v>267</v>
      </c>
      <c r="C217" s="280" t="s">
        <v>266</v>
      </c>
    </row>
    <row r="218" spans="1:6" x14ac:dyDescent="0.25">
      <c r="A218" s="374" t="s">
        <v>24</v>
      </c>
      <c r="B218" s="140">
        <v>22.281343283582089</v>
      </c>
      <c r="C218" s="140">
        <v>22.281343283582089</v>
      </c>
    </row>
    <row r="219" spans="1:6" x14ac:dyDescent="0.25">
      <c r="A219" s="375" t="s">
        <v>15</v>
      </c>
      <c r="B219" s="142">
        <v>20.471538927159855</v>
      </c>
      <c r="C219" s="142">
        <v>22.281343283582089</v>
      </c>
    </row>
    <row r="220" spans="1:6" x14ac:dyDescent="0.25">
      <c r="A220" s="375" t="s">
        <v>20</v>
      </c>
      <c r="B220" s="142">
        <v>15.989802764976959</v>
      </c>
      <c r="C220" s="142">
        <v>15.989802764976959</v>
      </c>
    </row>
    <row r="221" spans="1:6" x14ac:dyDescent="0.25">
      <c r="A221" s="375" t="s">
        <v>23</v>
      </c>
      <c r="B221" s="142">
        <v>13.958000881704628</v>
      </c>
      <c r="C221" s="142">
        <v>15.989802764976959</v>
      </c>
    </row>
    <row r="222" spans="1:6" x14ac:dyDescent="0.25">
      <c r="A222" s="375" t="s">
        <v>22</v>
      </c>
      <c r="B222" s="142">
        <v>1.5972000000000002</v>
      </c>
      <c r="C222" s="142">
        <v>15.989802764976959</v>
      </c>
    </row>
    <row r="223" spans="1:6" x14ac:dyDescent="0.25">
      <c r="A223" s="375" t="s">
        <v>13</v>
      </c>
      <c r="B223" s="142">
        <v>13.992023079134992</v>
      </c>
      <c r="C223" s="142">
        <v>13.992023079134992</v>
      </c>
    </row>
    <row r="224" spans="1:6" x14ac:dyDescent="0.25">
      <c r="A224" s="375" t="s">
        <v>17</v>
      </c>
      <c r="B224" s="142">
        <v>13.5933709892454</v>
      </c>
      <c r="C224" s="142">
        <v>13.5933709892454</v>
      </c>
    </row>
    <row r="225" spans="1:3" x14ac:dyDescent="0.25">
      <c r="A225" s="375" t="s">
        <v>19</v>
      </c>
      <c r="B225" s="142">
        <v>10.709903448275863</v>
      </c>
      <c r="C225" s="142">
        <v>10.709903448275863</v>
      </c>
    </row>
    <row r="226" spans="1:3" x14ac:dyDescent="0.25">
      <c r="A226" s="375" t="s">
        <v>18</v>
      </c>
      <c r="B226" s="142">
        <v>8.6011199999999999</v>
      </c>
      <c r="C226" s="142">
        <v>10.709903448275863</v>
      </c>
    </row>
    <row r="227" spans="1:3" ht="15.75" thickBot="1" x14ac:dyDescent="0.3">
      <c r="A227" s="376" t="s">
        <v>14</v>
      </c>
      <c r="B227" s="113">
        <v>5.9128631815907955</v>
      </c>
      <c r="C227" s="113">
        <v>5.9128631815907955</v>
      </c>
    </row>
  </sheetData>
  <sortState xmlns:xlrd2="http://schemas.microsoft.com/office/spreadsheetml/2017/richdata2" ref="B232:C241">
    <sortCondition descending="1" ref="C232:C241"/>
  </sortState>
  <mergeCells count="23">
    <mergeCell ref="J42:J43"/>
    <mergeCell ref="G12:I12"/>
    <mergeCell ref="A72:A73"/>
    <mergeCell ref="B72:B73"/>
    <mergeCell ref="C72:C73"/>
    <mergeCell ref="D72:F72"/>
    <mergeCell ref="G72:I72"/>
    <mergeCell ref="K12:K13"/>
    <mergeCell ref="K42:K43"/>
    <mergeCell ref="K72:K73"/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</mergeCells>
  <phoneticPr fontId="8" type="noConversion"/>
  <hyperlinks>
    <hyperlink ref="B4" r:id="rId1" xr:uid="{98ABECCE-416D-43AF-ABBE-876CC02B3236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K255"/>
  <sheetViews>
    <sheetView topLeftCell="A241" zoomScaleNormal="100" workbookViewId="0">
      <selection activeCell="B246" sqref="B246:B255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4.140625" customWidth="1"/>
    <col min="5" max="5" width="21.7109375" customWidth="1"/>
    <col min="6" max="6" width="21.5703125" customWidth="1"/>
    <col min="10" max="10" width="17.85546875" customWidth="1"/>
    <col min="11" max="11" width="20.85546875" customWidth="1"/>
  </cols>
  <sheetData>
    <row r="1" spans="1:11" ht="18.75" x14ac:dyDescent="0.3">
      <c r="A1" s="149" t="s">
        <v>197</v>
      </c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8" t="s">
        <v>173</v>
      </c>
      <c r="B5" s="469"/>
      <c r="C5" s="469"/>
      <c r="D5" s="462"/>
      <c r="E5" s="462"/>
    </row>
    <row r="6" spans="1:11" ht="15.75" x14ac:dyDescent="0.25">
      <c r="A6" s="114" t="s">
        <v>146</v>
      </c>
      <c r="B6" s="115" t="s">
        <v>149</v>
      </c>
      <c r="C6" s="35"/>
    </row>
    <row r="7" spans="1:11" x14ac:dyDescent="0.25">
      <c r="A7" s="468" t="s">
        <v>174</v>
      </c>
      <c r="B7" s="469"/>
      <c r="C7" s="469"/>
      <c r="D7" s="462"/>
      <c r="E7" s="462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64" t="s">
        <v>25</v>
      </c>
      <c r="B12" s="455" t="s">
        <v>285</v>
      </c>
      <c r="C12" s="488" t="s">
        <v>26</v>
      </c>
      <c r="D12" s="464" t="s">
        <v>55</v>
      </c>
      <c r="E12" s="455"/>
      <c r="F12" s="444"/>
      <c r="G12" s="454" t="s">
        <v>56</v>
      </c>
      <c r="H12" s="455"/>
      <c r="I12" s="455"/>
      <c r="J12" s="444" t="s">
        <v>51</v>
      </c>
      <c r="K12" s="425" t="s">
        <v>266</v>
      </c>
    </row>
    <row r="13" spans="1:11" s="33" customFormat="1" ht="18" customHeight="1" thickBot="1" x14ac:dyDescent="0.3">
      <c r="A13" s="465"/>
      <c r="B13" s="466"/>
      <c r="C13" s="496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45"/>
      <c r="K13" s="426"/>
    </row>
    <row r="14" spans="1:11" ht="30" x14ac:dyDescent="0.25">
      <c r="A14" s="235" t="s">
        <v>0</v>
      </c>
      <c r="B14" s="236" t="s">
        <v>24</v>
      </c>
      <c r="C14" s="248" t="s">
        <v>12</v>
      </c>
      <c r="D14" s="238" t="s">
        <v>42</v>
      </c>
      <c r="E14" s="239" t="s">
        <v>42</v>
      </c>
      <c r="F14" s="250" t="s">
        <v>42</v>
      </c>
      <c r="G14" s="361">
        <f>IF(D14=$A$27,$B$27,(IF(D14=$A$28,$B$28,IF(D14=$A$29,$B$29,$B$30))))</f>
        <v>1</v>
      </c>
      <c r="H14" s="299">
        <f t="shared" ref="H14:I23" si="0">IF(E14=$A$27,$B$27,(IF(E14=$A$28,$B$28,IF(E14=$A$29,$B$29,$B$30))))</f>
        <v>1</v>
      </c>
      <c r="I14" s="299">
        <f t="shared" si="0"/>
        <v>1</v>
      </c>
      <c r="J14" s="14">
        <f>G14*$D$34+H14*$D$35+I14*$D$36</f>
        <v>24</v>
      </c>
      <c r="K14" s="135">
        <f>J14</f>
        <v>24</v>
      </c>
    </row>
    <row r="15" spans="1:11" x14ac:dyDescent="0.25">
      <c r="A15" s="226" t="s">
        <v>1</v>
      </c>
      <c r="B15" s="222" t="s">
        <v>13</v>
      </c>
      <c r="C15" s="54" t="s">
        <v>27</v>
      </c>
      <c r="D15" s="72" t="s">
        <v>45</v>
      </c>
      <c r="E15" s="73" t="s">
        <v>43</v>
      </c>
      <c r="F15" s="251" t="s">
        <v>42</v>
      </c>
      <c r="G15" s="362">
        <f>IF(D15=$A$27,$B$27,(IF(D15=$A$28,$B$28,IF(D15=$A$29,$B$29,$B$30))))</f>
        <v>0</v>
      </c>
      <c r="H15" s="301">
        <f t="shared" si="0"/>
        <v>0.66</v>
      </c>
      <c r="I15" s="301">
        <f t="shared" si="0"/>
        <v>1</v>
      </c>
      <c r="J15" s="104">
        <f t="shared" ref="J15:J23" si="1">G15*$D$34+H15*$D$35+I15*$D$36</f>
        <v>13.280000000000001</v>
      </c>
      <c r="K15" s="267">
        <f>J15</f>
        <v>13.280000000000001</v>
      </c>
    </row>
    <row r="16" spans="1:11" x14ac:dyDescent="0.25">
      <c r="A16" s="226" t="s">
        <v>2</v>
      </c>
      <c r="B16" s="222" t="s">
        <v>14</v>
      </c>
      <c r="C16" s="54" t="s">
        <v>28</v>
      </c>
      <c r="D16" s="72" t="s">
        <v>43</v>
      </c>
      <c r="E16" s="73" t="s">
        <v>45</v>
      </c>
      <c r="F16" s="251" t="s">
        <v>45</v>
      </c>
      <c r="G16" s="362">
        <f t="shared" ref="G16:G23" si="2">IF(D16=$A$27,$B$27,(IF(D16=$A$28,$B$28,IF(D16=$A$29,$B$29,$B$30))))</f>
        <v>0.66</v>
      </c>
      <c r="H16" s="301">
        <f t="shared" si="0"/>
        <v>0</v>
      </c>
      <c r="I16" s="301">
        <f t="shared" si="0"/>
        <v>0</v>
      </c>
      <c r="J16" s="104">
        <f t="shared" si="1"/>
        <v>5.28</v>
      </c>
      <c r="K16" s="267">
        <f>J16</f>
        <v>5.28</v>
      </c>
    </row>
    <row r="17" spans="1:11" x14ac:dyDescent="0.25">
      <c r="A17" s="226" t="s">
        <v>5</v>
      </c>
      <c r="B17" s="222" t="s">
        <v>15</v>
      </c>
      <c r="C17" s="54" t="s">
        <v>16</v>
      </c>
      <c r="D17" s="72" t="s">
        <v>42</v>
      </c>
      <c r="E17" s="73" t="s">
        <v>43</v>
      </c>
      <c r="F17" s="251" t="s">
        <v>42</v>
      </c>
      <c r="G17" s="362">
        <f t="shared" si="2"/>
        <v>1</v>
      </c>
      <c r="H17" s="301">
        <f t="shared" si="0"/>
        <v>0.66</v>
      </c>
      <c r="I17" s="301">
        <f t="shared" si="0"/>
        <v>1</v>
      </c>
      <c r="J17" s="104">
        <f t="shared" si="1"/>
        <v>21.28</v>
      </c>
      <c r="K17" s="267">
        <f>J14</f>
        <v>24</v>
      </c>
    </row>
    <row r="18" spans="1:11" ht="30" x14ac:dyDescent="0.25">
      <c r="A18" s="226" t="s">
        <v>6</v>
      </c>
      <c r="B18" s="222" t="s">
        <v>17</v>
      </c>
      <c r="C18" s="54" t="s">
        <v>29</v>
      </c>
      <c r="D18" s="72" t="s">
        <v>43</v>
      </c>
      <c r="E18" s="73" t="s">
        <v>44</v>
      </c>
      <c r="F18" s="251" t="s">
        <v>43</v>
      </c>
      <c r="G18" s="362">
        <f t="shared" si="2"/>
        <v>0.66</v>
      </c>
      <c r="H18" s="301">
        <f t="shared" si="0"/>
        <v>0.33</v>
      </c>
      <c r="I18" s="301">
        <f t="shared" si="0"/>
        <v>0.66</v>
      </c>
      <c r="J18" s="104">
        <f t="shared" si="1"/>
        <v>13.2</v>
      </c>
      <c r="K18" s="267">
        <f>J18</f>
        <v>13.2</v>
      </c>
    </row>
    <row r="19" spans="1:11" x14ac:dyDescent="0.25">
      <c r="A19" s="226" t="s">
        <v>7</v>
      </c>
      <c r="B19" s="222" t="s">
        <v>18</v>
      </c>
      <c r="C19" s="54" t="s">
        <v>30</v>
      </c>
      <c r="D19" s="72" t="s">
        <v>44</v>
      </c>
      <c r="E19" s="73" t="s">
        <v>44</v>
      </c>
      <c r="F19" s="251" t="s">
        <v>44</v>
      </c>
      <c r="G19" s="362">
        <f t="shared" si="2"/>
        <v>0.33</v>
      </c>
      <c r="H19" s="301">
        <f t="shared" si="0"/>
        <v>0.33</v>
      </c>
      <c r="I19" s="301">
        <f t="shared" si="0"/>
        <v>0.33</v>
      </c>
      <c r="J19" s="104">
        <f t="shared" si="1"/>
        <v>7.92</v>
      </c>
      <c r="K19" s="267">
        <f>J20</f>
        <v>10.56</v>
      </c>
    </row>
    <row r="20" spans="1:11" ht="30" x14ac:dyDescent="0.25">
      <c r="A20" s="226" t="s">
        <v>8</v>
      </c>
      <c r="B20" s="222" t="s">
        <v>19</v>
      </c>
      <c r="C20" s="54" t="s">
        <v>31</v>
      </c>
      <c r="D20" s="72" t="s">
        <v>43</v>
      </c>
      <c r="E20" s="73" t="s">
        <v>43</v>
      </c>
      <c r="F20" s="251" t="s">
        <v>45</v>
      </c>
      <c r="G20" s="362">
        <f t="shared" si="2"/>
        <v>0.66</v>
      </c>
      <c r="H20" s="301">
        <f t="shared" si="0"/>
        <v>0.66</v>
      </c>
      <c r="I20" s="301">
        <f t="shared" si="0"/>
        <v>0</v>
      </c>
      <c r="J20" s="104">
        <f t="shared" si="1"/>
        <v>10.56</v>
      </c>
      <c r="K20" s="267">
        <f>J20</f>
        <v>10.56</v>
      </c>
    </row>
    <row r="21" spans="1:11" ht="30" x14ac:dyDescent="0.25">
      <c r="A21" s="226" t="s">
        <v>9</v>
      </c>
      <c r="B21" s="222" t="s">
        <v>20</v>
      </c>
      <c r="C21" s="54" t="s">
        <v>21</v>
      </c>
      <c r="D21" s="72" t="s">
        <v>43</v>
      </c>
      <c r="E21" s="73" t="s">
        <v>43</v>
      </c>
      <c r="F21" s="251" t="s">
        <v>43</v>
      </c>
      <c r="G21" s="362">
        <f t="shared" si="2"/>
        <v>0.66</v>
      </c>
      <c r="H21" s="301">
        <f t="shared" si="0"/>
        <v>0.66</v>
      </c>
      <c r="I21" s="301">
        <f t="shared" si="0"/>
        <v>0.66</v>
      </c>
      <c r="J21" s="104">
        <f t="shared" si="1"/>
        <v>15.84</v>
      </c>
      <c r="K21" s="267">
        <f>J21</f>
        <v>15.84</v>
      </c>
    </row>
    <row r="22" spans="1:11" ht="35.25" customHeight="1" x14ac:dyDescent="0.25">
      <c r="A22" s="226" t="s">
        <v>10</v>
      </c>
      <c r="B22" s="222" t="s">
        <v>22</v>
      </c>
      <c r="C22" s="54" t="s">
        <v>32</v>
      </c>
      <c r="D22" s="72" t="s">
        <v>45</v>
      </c>
      <c r="E22" s="73" t="s">
        <v>45</v>
      </c>
      <c r="F22" s="251" t="s">
        <v>45</v>
      </c>
      <c r="G22" s="362">
        <f t="shared" si="2"/>
        <v>0</v>
      </c>
      <c r="H22" s="301">
        <f t="shared" si="0"/>
        <v>0</v>
      </c>
      <c r="I22" s="301">
        <f t="shared" si="0"/>
        <v>0</v>
      </c>
      <c r="J22" s="104">
        <f t="shared" si="1"/>
        <v>0</v>
      </c>
      <c r="K22" s="267">
        <f>J21</f>
        <v>15.84</v>
      </c>
    </row>
    <row r="23" spans="1:11" ht="30.75" thickBot="1" x14ac:dyDescent="0.3">
      <c r="A23" s="228" t="s">
        <v>11</v>
      </c>
      <c r="B23" s="229" t="s">
        <v>23</v>
      </c>
      <c r="C23" s="249" t="s">
        <v>33</v>
      </c>
      <c r="D23" s="74" t="s">
        <v>44</v>
      </c>
      <c r="E23" s="75" t="s">
        <v>44</v>
      </c>
      <c r="F23" s="252" t="s">
        <v>42</v>
      </c>
      <c r="G23" s="363">
        <f t="shared" si="2"/>
        <v>0.33</v>
      </c>
      <c r="H23" s="303">
        <f t="shared" si="0"/>
        <v>0.33</v>
      </c>
      <c r="I23" s="303">
        <f t="shared" si="0"/>
        <v>1</v>
      </c>
      <c r="J23" s="108">
        <f t="shared" si="1"/>
        <v>13.280000000000001</v>
      </c>
      <c r="K23" s="268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5" t="s">
        <v>53</v>
      </c>
    </row>
    <row r="27" spans="1:11" x14ac:dyDescent="0.25">
      <c r="A27" s="124" t="s">
        <v>42</v>
      </c>
      <c r="B27" s="131">
        <v>1</v>
      </c>
      <c r="C27" s="132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45.75" thickBot="1" x14ac:dyDescent="0.3">
      <c r="A33" s="47" t="s">
        <v>286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56" t="s">
        <v>48</v>
      </c>
      <c r="B34" s="50" t="s">
        <v>38</v>
      </c>
      <c r="C34" s="51" t="s">
        <v>42</v>
      </c>
      <c r="D34" s="69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64" t="s">
        <v>25</v>
      </c>
      <c r="B42" s="455" t="s">
        <v>234</v>
      </c>
      <c r="C42" s="488" t="s">
        <v>26</v>
      </c>
      <c r="D42" s="464" t="s">
        <v>55</v>
      </c>
      <c r="E42" s="455"/>
      <c r="F42" s="444"/>
      <c r="G42" s="454" t="s">
        <v>56</v>
      </c>
      <c r="H42" s="455"/>
      <c r="I42" s="455"/>
      <c r="J42" s="444" t="s">
        <v>51</v>
      </c>
      <c r="K42" s="425" t="s">
        <v>266</v>
      </c>
    </row>
    <row r="43" spans="1:11" s="33" customFormat="1" ht="18" customHeight="1" thickBot="1" x14ac:dyDescent="0.3">
      <c r="A43" s="465"/>
      <c r="B43" s="466"/>
      <c r="C43" s="496"/>
      <c r="D43" s="240" t="s">
        <v>48</v>
      </c>
      <c r="E43" s="218" t="s">
        <v>49</v>
      </c>
      <c r="F43" s="241" t="s">
        <v>50</v>
      </c>
      <c r="G43" s="257" t="s">
        <v>48</v>
      </c>
      <c r="H43" s="218" t="s">
        <v>49</v>
      </c>
      <c r="I43" s="218" t="s">
        <v>50</v>
      </c>
      <c r="J43" s="445"/>
      <c r="K43" s="426"/>
    </row>
    <row r="44" spans="1:11" ht="30" x14ac:dyDescent="0.25">
      <c r="A44" s="235" t="s">
        <v>0</v>
      </c>
      <c r="B44" s="236" t="s">
        <v>24</v>
      </c>
      <c r="C44" s="248" t="s">
        <v>12</v>
      </c>
      <c r="D44" s="238" t="s">
        <v>42</v>
      </c>
      <c r="E44" s="239" t="s">
        <v>42</v>
      </c>
      <c r="F44" s="250" t="s">
        <v>42</v>
      </c>
      <c r="G44" s="361">
        <f>IF(D44=$A$27,$B$27,(IF(D44=$A$28,$B$28,IF(D44=$A$29,$B$29,$B$30))))</f>
        <v>1</v>
      </c>
      <c r="H44" s="299">
        <f t="shared" ref="H44:I53" si="3">IF(E44=$A$27,$B$27,(IF(E44=$A$28,$B$28,IF(E44=$A$29,$B$29,$B$30))))</f>
        <v>1</v>
      </c>
      <c r="I44" s="299">
        <f t="shared" si="3"/>
        <v>1</v>
      </c>
      <c r="J44" s="14">
        <f>G44*$D$64+H44*$D$65+I44*$D$66</f>
        <v>21.5</v>
      </c>
      <c r="K44" s="135">
        <f>J44</f>
        <v>21.5</v>
      </c>
    </row>
    <row r="45" spans="1:11" x14ac:dyDescent="0.25">
      <c r="A45" s="226" t="s">
        <v>1</v>
      </c>
      <c r="B45" s="222" t="s">
        <v>13</v>
      </c>
      <c r="C45" s="54" t="s">
        <v>27</v>
      </c>
      <c r="D45" s="72" t="s">
        <v>45</v>
      </c>
      <c r="E45" s="73" t="s">
        <v>42</v>
      </c>
      <c r="F45" s="251" t="s">
        <v>42</v>
      </c>
      <c r="G45" s="362">
        <f>IF(D45=$A$27,$B$27,(IF(D45=$A$28,$B$28,IF(D45=$A$29,$B$29,$B$30))))</f>
        <v>0</v>
      </c>
      <c r="H45" s="301">
        <f t="shared" si="3"/>
        <v>1</v>
      </c>
      <c r="I45" s="301">
        <f t="shared" si="3"/>
        <v>1</v>
      </c>
      <c r="J45" s="104">
        <f t="shared" ref="J45:J53" si="4">G45*$D$64+H45*$D$65+I45*$D$66</f>
        <v>13.5</v>
      </c>
      <c r="K45" s="267">
        <f>J45</f>
        <v>13.5</v>
      </c>
    </row>
    <row r="46" spans="1:11" x14ac:dyDescent="0.25">
      <c r="A46" s="226" t="s">
        <v>2</v>
      </c>
      <c r="B46" s="222" t="s">
        <v>14</v>
      </c>
      <c r="C46" s="54" t="s">
        <v>28</v>
      </c>
      <c r="D46" s="72" t="s">
        <v>43</v>
      </c>
      <c r="E46" s="73" t="s">
        <v>44</v>
      </c>
      <c r="F46" s="251" t="s">
        <v>45</v>
      </c>
      <c r="G46" s="362">
        <f t="shared" ref="G46:G53" si="5">IF(D46=$A$27,$B$27,(IF(D46=$A$28,$B$28,IF(D46=$A$29,$B$29,$B$30))))</f>
        <v>0.66</v>
      </c>
      <c r="H46" s="301">
        <f t="shared" si="3"/>
        <v>0.33</v>
      </c>
      <c r="I46" s="301">
        <f t="shared" si="3"/>
        <v>0</v>
      </c>
      <c r="J46" s="104">
        <f t="shared" si="4"/>
        <v>7.0950000000000006</v>
      </c>
      <c r="K46" s="267">
        <f>J46</f>
        <v>7.0950000000000006</v>
      </c>
    </row>
    <row r="47" spans="1:11" x14ac:dyDescent="0.25">
      <c r="A47" s="226" t="s">
        <v>5</v>
      </c>
      <c r="B47" s="222" t="s">
        <v>15</v>
      </c>
      <c r="C47" s="54" t="s">
        <v>16</v>
      </c>
      <c r="D47" s="72" t="s">
        <v>42</v>
      </c>
      <c r="E47" s="73" t="s">
        <v>42</v>
      </c>
      <c r="F47" s="251" t="s">
        <v>42</v>
      </c>
      <c r="G47" s="362">
        <f t="shared" si="5"/>
        <v>1</v>
      </c>
      <c r="H47" s="301">
        <f t="shared" si="3"/>
        <v>1</v>
      </c>
      <c r="I47" s="301">
        <f t="shared" si="3"/>
        <v>1</v>
      </c>
      <c r="J47" s="104">
        <f t="shared" si="4"/>
        <v>21.5</v>
      </c>
      <c r="K47" s="267">
        <f>J44</f>
        <v>21.5</v>
      </c>
    </row>
    <row r="48" spans="1:11" ht="30" x14ac:dyDescent="0.25">
      <c r="A48" s="226" t="s">
        <v>6</v>
      </c>
      <c r="B48" s="222" t="s">
        <v>17</v>
      </c>
      <c r="C48" s="54" t="s">
        <v>29</v>
      </c>
      <c r="D48" s="72" t="s">
        <v>43</v>
      </c>
      <c r="E48" s="73" t="s">
        <v>43</v>
      </c>
      <c r="F48" s="251" t="s">
        <v>43</v>
      </c>
      <c r="G48" s="362">
        <f t="shared" si="5"/>
        <v>0.66</v>
      </c>
      <c r="H48" s="301">
        <f t="shared" si="3"/>
        <v>0.66</v>
      </c>
      <c r="I48" s="301">
        <f t="shared" si="3"/>
        <v>0.66</v>
      </c>
      <c r="J48" s="104">
        <f t="shared" si="4"/>
        <v>14.190000000000001</v>
      </c>
      <c r="K48" s="267">
        <f>J48</f>
        <v>14.190000000000001</v>
      </c>
    </row>
    <row r="49" spans="1:11" x14ac:dyDescent="0.25">
      <c r="A49" s="226" t="s">
        <v>7</v>
      </c>
      <c r="B49" s="222" t="s">
        <v>18</v>
      </c>
      <c r="C49" s="54" t="s">
        <v>30</v>
      </c>
      <c r="D49" s="72" t="s">
        <v>44</v>
      </c>
      <c r="E49" s="73" t="s">
        <v>43</v>
      </c>
      <c r="F49" s="251" t="s">
        <v>44</v>
      </c>
      <c r="G49" s="362">
        <f t="shared" si="5"/>
        <v>0.33</v>
      </c>
      <c r="H49" s="301">
        <f t="shared" si="3"/>
        <v>0.66</v>
      </c>
      <c r="I49" s="301">
        <f t="shared" si="3"/>
        <v>0.33</v>
      </c>
      <c r="J49" s="104">
        <f t="shared" si="4"/>
        <v>8.91</v>
      </c>
      <c r="K49" s="267">
        <f>J50</f>
        <v>10.780000000000001</v>
      </c>
    </row>
    <row r="50" spans="1:11" ht="30" x14ac:dyDescent="0.25">
      <c r="A50" s="226" t="s">
        <v>8</v>
      </c>
      <c r="B50" s="222" t="s">
        <v>19</v>
      </c>
      <c r="C50" s="54" t="s">
        <v>31</v>
      </c>
      <c r="D50" s="72" t="s">
        <v>43</v>
      </c>
      <c r="E50" s="73" t="s">
        <v>42</v>
      </c>
      <c r="F50" s="251" t="s">
        <v>45</v>
      </c>
      <c r="G50" s="362">
        <f t="shared" si="5"/>
        <v>0.66</v>
      </c>
      <c r="H50" s="301">
        <f t="shared" si="3"/>
        <v>1</v>
      </c>
      <c r="I50" s="301">
        <f t="shared" si="3"/>
        <v>0</v>
      </c>
      <c r="J50" s="104">
        <f t="shared" si="4"/>
        <v>10.780000000000001</v>
      </c>
      <c r="K50" s="267">
        <f>J50</f>
        <v>10.780000000000001</v>
      </c>
    </row>
    <row r="51" spans="1:11" ht="30" x14ac:dyDescent="0.25">
      <c r="A51" s="226" t="s">
        <v>9</v>
      </c>
      <c r="B51" s="222" t="s">
        <v>20</v>
      </c>
      <c r="C51" s="54" t="s">
        <v>21</v>
      </c>
      <c r="D51" s="72" t="s">
        <v>43</v>
      </c>
      <c r="E51" s="73" t="s">
        <v>42</v>
      </c>
      <c r="F51" s="251" t="s">
        <v>43</v>
      </c>
      <c r="G51" s="362">
        <f>IF(D51=$A$27,$B$27,(IF(D51=$A$28,$B$28,IF(D51=$A$29,$B$29,$B$30))))</f>
        <v>0.66</v>
      </c>
      <c r="H51" s="301">
        <f t="shared" si="3"/>
        <v>1</v>
      </c>
      <c r="I51" s="301">
        <f t="shared" si="3"/>
        <v>0.66</v>
      </c>
      <c r="J51" s="104">
        <f t="shared" si="4"/>
        <v>16.060000000000002</v>
      </c>
      <c r="K51" s="267">
        <f>J51</f>
        <v>16.060000000000002</v>
      </c>
    </row>
    <row r="52" spans="1:11" ht="35.25" customHeight="1" x14ac:dyDescent="0.25">
      <c r="A52" s="226" t="s">
        <v>10</v>
      </c>
      <c r="B52" s="222" t="s">
        <v>22</v>
      </c>
      <c r="C52" s="54" t="s">
        <v>32</v>
      </c>
      <c r="D52" s="72" t="s">
        <v>45</v>
      </c>
      <c r="E52" s="73" t="s">
        <v>44</v>
      </c>
      <c r="F52" s="251" t="s">
        <v>45</v>
      </c>
      <c r="G52" s="362">
        <f t="shared" si="5"/>
        <v>0</v>
      </c>
      <c r="H52" s="301">
        <f t="shared" si="3"/>
        <v>0.33</v>
      </c>
      <c r="I52" s="301">
        <f t="shared" si="3"/>
        <v>0</v>
      </c>
      <c r="J52" s="104">
        <f t="shared" si="4"/>
        <v>1.8150000000000002</v>
      </c>
      <c r="K52" s="267">
        <f>J51</f>
        <v>16.060000000000002</v>
      </c>
    </row>
    <row r="53" spans="1:11" ht="30.75" thickBot="1" x14ac:dyDescent="0.3">
      <c r="A53" s="228" t="s">
        <v>11</v>
      </c>
      <c r="B53" s="229" t="s">
        <v>23</v>
      </c>
      <c r="C53" s="249" t="s">
        <v>33</v>
      </c>
      <c r="D53" s="74" t="s">
        <v>44</v>
      </c>
      <c r="E53" s="75" t="s">
        <v>43</v>
      </c>
      <c r="F53" s="252" t="s">
        <v>42</v>
      </c>
      <c r="G53" s="363">
        <f t="shared" si="5"/>
        <v>0.33</v>
      </c>
      <c r="H53" s="303">
        <f t="shared" si="3"/>
        <v>0.66</v>
      </c>
      <c r="I53" s="303">
        <f t="shared" si="3"/>
        <v>1</v>
      </c>
      <c r="J53" s="108">
        <f t="shared" si="4"/>
        <v>14.27</v>
      </c>
      <c r="K53" s="268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5" t="s">
        <v>53</v>
      </c>
    </row>
    <row r="57" spans="1:11" x14ac:dyDescent="0.25">
      <c r="A57" s="124" t="s">
        <v>42</v>
      </c>
      <c r="B57" s="131">
        <v>1</v>
      </c>
      <c r="C57" s="132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30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261" t="s">
        <v>48</v>
      </c>
      <c r="B64" s="262" t="s">
        <v>38</v>
      </c>
      <c r="C64" s="7" t="s">
        <v>42</v>
      </c>
      <c r="D64" s="255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64" t="s">
        <v>25</v>
      </c>
      <c r="B72" s="455" t="s">
        <v>234</v>
      </c>
      <c r="C72" s="488" t="s">
        <v>26</v>
      </c>
      <c r="D72" s="464" t="s">
        <v>55</v>
      </c>
      <c r="E72" s="455"/>
      <c r="F72" s="444"/>
      <c r="G72" s="454" t="s">
        <v>56</v>
      </c>
      <c r="H72" s="455"/>
      <c r="I72" s="455"/>
      <c r="J72" s="444" t="s">
        <v>51</v>
      </c>
      <c r="K72" s="425" t="s">
        <v>266</v>
      </c>
    </row>
    <row r="73" spans="1:11" ht="15.75" thickBot="1" x14ac:dyDescent="0.3">
      <c r="A73" s="465"/>
      <c r="B73" s="466"/>
      <c r="C73" s="496"/>
      <c r="D73" s="240" t="s">
        <v>48</v>
      </c>
      <c r="E73" s="218" t="s">
        <v>49</v>
      </c>
      <c r="F73" s="241" t="s">
        <v>50</v>
      </c>
      <c r="G73" s="257" t="s">
        <v>48</v>
      </c>
      <c r="H73" s="218" t="s">
        <v>49</v>
      </c>
      <c r="I73" s="218" t="s">
        <v>50</v>
      </c>
      <c r="J73" s="445"/>
      <c r="K73" s="426"/>
    </row>
    <row r="74" spans="1:11" ht="30" x14ac:dyDescent="0.25">
      <c r="A74" s="366" t="s">
        <v>0</v>
      </c>
      <c r="B74" s="367" t="s">
        <v>24</v>
      </c>
      <c r="C74" s="364" t="s">
        <v>12</v>
      </c>
      <c r="D74" s="238" t="s">
        <v>42</v>
      </c>
      <c r="E74" s="239" t="s">
        <v>42</v>
      </c>
      <c r="F74" s="250" t="s">
        <v>42</v>
      </c>
      <c r="G74" s="361">
        <f>IF(D74=$A$27,$B$27,(IF(D74=$A$28,$B$28,IF(D74=$A$29,$B$29,$B$30))))</f>
        <v>1</v>
      </c>
      <c r="H74" s="299">
        <f t="shared" ref="H74:I83" si="6">IF(E74=$A$27,$B$27,(IF(E74=$A$28,$B$28,IF(E74=$A$29,$B$29,$B$30))))</f>
        <v>1</v>
      </c>
      <c r="I74" s="299">
        <f t="shared" si="6"/>
        <v>1</v>
      </c>
      <c r="J74" s="14">
        <f>G74*$D$94+H74*$D$95+I74*$D$96</f>
        <v>21.5</v>
      </c>
      <c r="K74" s="135">
        <f>J74</f>
        <v>21.5</v>
      </c>
    </row>
    <row r="75" spans="1:11" x14ac:dyDescent="0.25">
      <c r="A75" s="226" t="s">
        <v>1</v>
      </c>
      <c r="B75" s="222" t="s">
        <v>13</v>
      </c>
      <c r="C75" s="54" t="s">
        <v>27</v>
      </c>
      <c r="D75" s="72" t="s">
        <v>44</v>
      </c>
      <c r="E75" s="73" t="s">
        <v>43</v>
      </c>
      <c r="F75" s="251" t="s">
        <v>42</v>
      </c>
      <c r="G75" s="362">
        <f>IF(D75=$A$27,$B$27,(IF(D75=$A$28,$B$28,IF(D75=$A$29,$B$29,$B$30))))</f>
        <v>0.33</v>
      </c>
      <c r="H75" s="301">
        <f t="shared" si="6"/>
        <v>0.66</v>
      </c>
      <c r="I75" s="301">
        <f t="shared" si="6"/>
        <v>1</v>
      </c>
      <c r="J75" s="104">
        <f t="shared" ref="J75:J83" si="7">G75*$D$94+H75*$D$95+I75*$D$96</f>
        <v>15.095000000000001</v>
      </c>
      <c r="K75" s="267">
        <f>J75</f>
        <v>15.095000000000001</v>
      </c>
    </row>
    <row r="76" spans="1:11" x14ac:dyDescent="0.25">
      <c r="A76" s="226" t="s">
        <v>2</v>
      </c>
      <c r="B76" s="222" t="s">
        <v>14</v>
      </c>
      <c r="C76" s="54" t="s">
        <v>28</v>
      </c>
      <c r="D76" s="72" t="s">
        <v>42</v>
      </c>
      <c r="E76" s="73" t="s">
        <v>45</v>
      </c>
      <c r="F76" s="251" t="s">
        <v>45</v>
      </c>
      <c r="G76" s="362">
        <f t="shared" ref="G76:G80" si="8">IF(D76=$A$27,$B$27,(IF(D76=$A$28,$B$28,IF(D76=$A$29,$B$29,$B$30))))</f>
        <v>1</v>
      </c>
      <c r="H76" s="301">
        <f t="shared" si="6"/>
        <v>0</v>
      </c>
      <c r="I76" s="301">
        <f t="shared" si="6"/>
        <v>0</v>
      </c>
      <c r="J76" s="104">
        <f t="shared" si="7"/>
        <v>5.5</v>
      </c>
      <c r="K76" s="267">
        <f>J76</f>
        <v>5.5</v>
      </c>
    </row>
    <row r="77" spans="1:11" x14ac:dyDescent="0.25">
      <c r="A77" s="226" t="s">
        <v>5</v>
      </c>
      <c r="B77" s="222" t="s">
        <v>15</v>
      </c>
      <c r="C77" s="54" t="s">
        <v>16</v>
      </c>
      <c r="D77" s="72" t="s">
        <v>42</v>
      </c>
      <c r="E77" s="73" t="s">
        <v>43</v>
      </c>
      <c r="F77" s="251" t="s">
        <v>42</v>
      </c>
      <c r="G77" s="362">
        <f t="shared" si="8"/>
        <v>1</v>
      </c>
      <c r="H77" s="301">
        <f t="shared" si="6"/>
        <v>0.66</v>
      </c>
      <c r="I77" s="301">
        <f t="shared" si="6"/>
        <v>1</v>
      </c>
      <c r="J77" s="104">
        <f t="shared" si="7"/>
        <v>18.78</v>
      </c>
      <c r="K77" s="267">
        <f>J74</f>
        <v>21.5</v>
      </c>
    </row>
    <row r="78" spans="1:11" ht="30" x14ac:dyDescent="0.25">
      <c r="A78" s="226" t="s">
        <v>6</v>
      </c>
      <c r="B78" s="222" t="s">
        <v>17</v>
      </c>
      <c r="C78" s="54" t="s">
        <v>29</v>
      </c>
      <c r="D78" s="72" t="s">
        <v>42</v>
      </c>
      <c r="E78" s="73" t="s">
        <v>44</v>
      </c>
      <c r="F78" s="251" t="s">
        <v>43</v>
      </c>
      <c r="G78" s="362">
        <f t="shared" si="8"/>
        <v>1</v>
      </c>
      <c r="H78" s="301">
        <f t="shared" si="6"/>
        <v>0.33</v>
      </c>
      <c r="I78" s="301">
        <f t="shared" si="6"/>
        <v>0.66</v>
      </c>
      <c r="J78" s="104">
        <f t="shared" si="7"/>
        <v>13.420000000000002</v>
      </c>
      <c r="K78" s="267">
        <f>J78</f>
        <v>13.420000000000002</v>
      </c>
    </row>
    <row r="79" spans="1:11" x14ac:dyDescent="0.25">
      <c r="A79" s="226" t="s">
        <v>7</v>
      </c>
      <c r="B79" s="222" t="s">
        <v>18</v>
      </c>
      <c r="C79" s="54" t="s">
        <v>30</v>
      </c>
      <c r="D79" s="72" t="s">
        <v>43</v>
      </c>
      <c r="E79" s="73" t="s">
        <v>44</v>
      </c>
      <c r="F79" s="251" t="s">
        <v>44</v>
      </c>
      <c r="G79" s="362">
        <f t="shared" si="8"/>
        <v>0.66</v>
      </c>
      <c r="H79" s="301">
        <f t="shared" si="6"/>
        <v>0.33</v>
      </c>
      <c r="I79" s="301">
        <f t="shared" si="6"/>
        <v>0.33</v>
      </c>
      <c r="J79" s="104">
        <f t="shared" si="7"/>
        <v>8.91</v>
      </c>
      <c r="K79" s="267">
        <f>J80</f>
        <v>10.780000000000001</v>
      </c>
    </row>
    <row r="80" spans="1:11" ht="30" x14ac:dyDescent="0.25">
      <c r="A80" s="226" t="s">
        <v>8</v>
      </c>
      <c r="B80" s="222" t="s">
        <v>19</v>
      </c>
      <c r="C80" s="54" t="s">
        <v>31</v>
      </c>
      <c r="D80" s="72" t="s">
        <v>42</v>
      </c>
      <c r="E80" s="73" t="s">
        <v>43</v>
      </c>
      <c r="F80" s="251" t="s">
        <v>45</v>
      </c>
      <c r="G80" s="362">
        <f t="shared" si="8"/>
        <v>1</v>
      </c>
      <c r="H80" s="301">
        <f t="shared" si="6"/>
        <v>0.66</v>
      </c>
      <c r="I80" s="301">
        <f t="shared" si="6"/>
        <v>0</v>
      </c>
      <c r="J80" s="104">
        <f t="shared" si="7"/>
        <v>10.780000000000001</v>
      </c>
      <c r="K80" s="267">
        <f>J80</f>
        <v>10.780000000000001</v>
      </c>
    </row>
    <row r="81" spans="1:11" ht="30" x14ac:dyDescent="0.25">
      <c r="A81" s="226" t="s">
        <v>9</v>
      </c>
      <c r="B81" s="222" t="s">
        <v>20</v>
      </c>
      <c r="C81" s="54" t="s">
        <v>21</v>
      </c>
      <c r="D81" s="72" t="s">
        <v>42</v>
      </c>
      <c r="E81" s="73" t="s">
        <v>43</v>
      </c>
      <c r="F81" s="251" t="s">
        <v>43</v>
      </c>
      <c r="G81" s="362">
        <f>IF(D81=$A$27,$B$27,(IF(D81=$A$28,$B$28,IF(D81=$A$29,$B$29,$B$30))))</f>
        <v>1</v>
      </c>
      <c r="H81" s="301">
        <f t="shared" si="6"/>
        <v>0.66</v>
      </c>
      <c r="I81" s="301">
        <f t="shared" si="6"/>
        <v>0.66</v>
      </c>
      <c r="J81" s="104">
        <f t="shared" si="7"/>
        <v>16.060000000000002</v>
      </c>
      <c r="K81" s="267">
        <f>J81</f>
        <v>16.060000000000002</v>
      </c>
    </row>
    <row r="82" spans="1:11" ht="30" x14ac:dyDescent="0.25">
      <c r="A82" s="226" t="s">
        <v>10</v>
      </c>
      <c r="B82" s="222" t="s">
        <v>22</v>
      </c>
      <c r="C82" s="54" t="s">
        <v>32</v>
      </c>
      <c r="D82" s="72" t="s">
        <v>44</v>
      </c>
      <c r="E82" s="73" t="s">
        <v>45</v>
      </c>
      <c r="F82" s="251" t="s">
        <v>45</v>
      </c>
      <c r="G82" s="362">
        <f t="shared" ref="G82:G83" si="9">IF(D82=$A$27,$B$27,(IF(D82=$A$28,$B$28,IF(D82=$A$29,$B$29,$B$30))))</f>
        <v>0.33</v>
      </c>
      <c r="H82" s="301">
        <f t="shared" si="6"/>
        <v>0</v>
      </c>
      <c r="I82" s="301">
        <f t="shared" si="6"/>
        <v>0</v>
      </c>
      <c r="J82" s="104">
        <f t="shared" si="7"/>
        <v>1.8150000000000002</v>
      </c>
      <c r="K82" s="267">
        <f>J81</f>
        <v>16.060000000000002</v>
      </c>
    </row>
    <row r="83" spans="1:11" ht="30.75" thickBot="1" x14ac:dyDescent="0.3">
      <c r="A83" s="228" t="s">
        <v>11</v>
      </c>
      <c r="B83" s="229" t="s">
        <v>23</v>
      </c>
      <c r="C83" s="249" t="s">
        <v>33</v>
      </c>
      <c r="D83" s="74" t="s">
        <v>43</v>
      </c>
      <c r="E83" s="75" t="s">
        <v>44</v>
      </c>
      <c r="F83" s="252" t="s">
        <v>42</v>
      </c>
      <c r="G83" s="363">
        <f t="shared" si="9"/>
        <v>0.66</v>
      </c>
      <c r="H83" s="303">
        <f t="shared" si="6"/>
        <v>0.33</v>
      </c>
      <c r="I83" s="303">
        <f t="shared" si="6"/>
        <v>1</v>
      </c>
      <c r="J83" s="108">
        <f t="shared" si="7"/>
        <v>14.27</v>
      </c>
      <c r="K83" s="268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5" t="s">
        <v>53</v>
      </c>
    </row>
    <row r="87" spans="1:11" x14ac:dyDescent="0.25">
      <c r="A87" s="124" t="s">
        <v>42</v>
      </c>
      <c r="B87" s="131">
        <v>1</v>
      </c>
      <c r="C87" s="132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30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1" t="s">
        <v>48</v>
      </c>
      <c r="B94" s="262" t="s">
        <v>38</v>
      </c>
      <c r="C94" s="7" t="s">
        <v>43</v>
      </c>
      <c r="D94" s="255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8" spans="1:4" x14ac:dyDescent="0.25">
      <c r="A98" s="1" t="s">
        <v>320</v>
      </c>
    </row>
    <row r="99" spans="1:4" x14ac:dyDescent="0.25">
      <c r="A99" s="150" t="s">
        <v>234</v>
      </c>
      <c r="B99" s="150" t="s">
        <v>104</v>
      </c>
      <c r="C99" s="150" t="s">
        <v>105</v>
      </c>
      <c r="D99" s="150" t="s">
        <v>106</v>
      </c>
    </row>
    <row r="100" spans="1:4" x14ac:dyDescent="0.25">
      <c r="A100" s="222" t="s">
        <v>24</v>
      </c>
      <c r="B100" s="98">
        <f>J14</f>
        <v>24</v>
      </c>
      <c r="C100" s="98">
        <f>J44</f>
        <v>21.5</v>
      </c>
      <c r="D100" s="98">
        <f>J74</f>
        <v>21.5</v>
      </c>
    </row>
    <row r="101" spans="1:4" x14ac:dyDescent="0.25">
      <c r="A101" s="222" t="s">
        <v>13</v>
      </c>
      <c r="B101" s="98">
        <f t="shared" ref="B101:B109" si="10">J15</f>
        <v>13.280000000000001</v>
      </c>
      <c r="C101" s="98">
        <f t="shared" ref="C101:C109" si="11">J45</f>
        <v>13.5</v>
      </c>
      <c r="D101" s="98">
        <f t="shared" ref="D101:D109" si="12">J75</f>
        <v>15.095000000000001</v>
      </c>
    </row>
    <row r="102" spans="1:4" x14ac:dyDescent="0.25">
      <c r="A102" s="222" t="s">
        <v>14</v>
      </c>
      <c r="B102" s="98">
        <f t="shared" si="10"/>
        <v>5.28</v>
      </c>
      <c r="C102" s="98">
        <f t="shared" si="11"/>
        <v>7.0950000000000006</v>
      </c>
      <c r="D102" s="98">
        <f t="shared" si="12"/>
        <v>5.5</v>
      </c>
    </row>
    <row r="103" spans="1:4" x14ac:dyDescent="0.25">
      <c r="A103" s="222" t="s">
        <v>15</v>
      </c>
      <c r="B103" s="98">
        <f t="shared" si="10"/>
        <v>21.28</v>
      </c>
      <c r="C103" s="98">
        <f t="shared" si="11"/>
        <v>21.5</v>
      </c>
      <c r="D103" s="98">
        <f t="shared" si="12"/>
        <v>18.78</v>
      </c>
    </row>
    <row r="104" spans="1:4" x14ac:dyDescent="0.25">
      <c r="A104" s="222" t="s">
        <v>17</v>
      </c>
      <c r="B104" s="98">
        <f t="shared" si="10"/>
        <v>13.2</v>
      </c>
      <c r="C104" s="98">
        <f t="shared" si="11"/>
        <v>14.190000000000001</v>
      </c>
      <c r="D104" s="98">
        <f t="shared" si="12"/>
        <v>13.420000000000002</v>
      </c>
    </row>
    <row r="105" spans="1:4" x14ac:dyDescent="0.25">
      <c r="A105" s="222" t="s">
        <v>18</v>
      </c>
      <c r="B105" s="98">
        <f t="shared" si="10"/>
        <v>7.92</v>
      </c>
      <c r="C105" s="98">
        <f t="shared" si="11"/>
        <v>8.91</v>
      </c>
      <c r="D105" s="98">
        <f t="shared" si="12"/>
        <v>8.91</v>
      </c>
    </row>
    <row r="106" spans="1:4" x14ac:dyDescent="0.25">
      <c r="A106" s="222" t="s">
        <v>19</v>
      </c>
      <c r="B106" s="98">
        <f t="shared" si="10"/>
        <v>10.56</v>
      </c>
      <c r="C106" s="98">
        <f t="shared" si="11"/>
        <v>10.780000000000001</v>
      </c>
      <c r="D106" s="98">
        <f t="shared" si="12"/>
        <v>10.780000000000001</v>
      </c>
    </row>
    <row r="107" spans="1:4" x14ac:dyDescent="0.25">
      <c r="A107" s="222" t="s">
        <v>20</v>
      </c>
      <c r="B107" s="98">
        <f t="shared" si="10"/>
        <v>15.84</v>
      </c>
      <c r="C107" s="98">
        <f t="shared" si="11"/>
        <v>16.060000000000002</v>
      </c>
      <c r="D107" s="98">
        <f t="shared" si="12"/>
        <v>16.060000000000002</v>
      </c>
    </row>
    <row r="108" spans="1:4" x14ac:dyDescent="0.25">
      <c r="A108" s="222" t="s">
        <v>22</v>
      </c>
      <c r="B108" s="98">
        <f t="shared" si="10"/>
        <v>0</v>
      </c>
      <c r="C108" s="98">
        <f t="shared" si="11"/>
        <v>1.8150000000000002</v>
      </c>
      <c r="D108" s="98">
        <f t="shared" si="12"/>
        <v>1.8150000000000002</v>
      </c>
    </row>
    <row r="109" spans="1:4" x14ac:dyDescent="0.25">
      <c r="A109" s="222" t="s">
        <v>23</v>
      </c>
      <c r="B109" s="98">
        <f t="shared" si="10"/>
        <v>13.280000000000001</v>
      </c>
      <c r="C109" s="98">
        <f t="shared" si="11"/>
        <v>14.27</v>
      </c>
      <c r="D109" s="98">
        <f t="shared" si="12"/>
        <v>14.27</v>
      </c>
    </row>
    <row r="111" spans="1:4" x14ac:dyDescent="0.25">
      <c r="A111" s="1" t="s">
        <v>321</v>
      </c>
    </row>
    <row r="112" spans="1:4" x14ac:dyDescent="0.25">
      <c r="A112" s="150" t="s">
        <v>234</v>
      </c>
      <c r="B112" s="150" t="s">
        <v>104</v>
      </c>
      <c r="C112" s="150" t="s">
        <v>105</v>
      </c>
      <c r="D112" s="150" t="s">
        <v>106</v>
      </c>
    </row>
    <row r="113" spans="1:7" x14ac:dyDescent="0.25">
      <c r="A113" s="222" t="s">
        <v>24</v>
      </c>
      <c r="B113" s="93">
        <f>B100/MAX($B$100:$D$109)</f>
        <v>1</v>
      </c>
      <c r="C113" s="93">
        <f t="shared" ref="C113:D113" si="13">C100/MAX($B$100:$D$109)</f>
        <v>0.89583333333333337</v>
      </c>
      <c r="D113" s="93">
        <f t="shared" si="13"/>
        <v>0.89583333333333337</v>
      </c>
      <c r="E113" s="97"/>
      <c r="F113" s="97"/>
      <c r="G113" s="97"/>
    </row>
    <row r="114" spans="1:7" x14ac:dyDescent="0.25">
      <c r="A114" s="222" t="s">
        <v>13</v>
      </c>
      <c r="B114" s="93">
        <f t="shared" ref="B114:D122" si="14">B101/MAX($B$100:$D$109)</f>
        <v>0.55333333333333334</v>
      </c>
      <c r="C114" s="93">
        <f t="shared" si="14"/>
        <v>0.5625</v>
      </c>
      <c r="D114" s="93">
        <f t="shared" si="14"/>
        <v>0.6289583333333334</v>
      </c>
      <c r="E114" s="97"/>
      <c r="F114" s="97"/>
      <c r="G114" s="97"/>
    </row>
    <row r="115" spans="1:7" x14ac:dyDescent="0.25">
      <c r="A115" s="222" t="s">
        <v>14</v>
      </c>
      <c r="B115" s="93">
        <f t="shared" si="14"/>
        <v>0.22</v>
      </c>
      <c r="C115" s="93">
        <f t="shared" si="14"/>
        <v>0.29562500000000003</v>
      </c>
      <c r="D115" s="93">
        <f t="shared" si="14"/>
        <v>0.22916666666666666</v>
      </c>
      <c r="E115" s="97"/>
      <c r="F115" s="97"/>
      <c r="G115" s="97"/>
    </row>
    <row r="116" spans="1:7" x14ac:dyDescent="0.25">
      <c r="A116" s="222" t="s">
        <v>15</v>
      </c>
      <c r="B116" s="93">
        <f t="shared" si="14"/>
        <v>0.88666666666666671</v>
      </c>
      <c r="C116" s="93">
        <f t="shared" si="14"/>
        <v>0.89583333333333337</v>
      </c>
      <c r="D116" s="93">
        <f t="shared" si="14"/>
        <v>0.78250000000000008</v>
      </c>
      <c r="E116" s="97"/>
      <c r="F116" s="97"/>
      <c r="G116" s="97"/>
    </row>
    <row r="117" spans="1:7" x14ac:dyDescent="0.25">
      <c r="A117" s="222" t="s">
        <v>17</v>
      </c>
      <c r="B117" s="93">
        <f t="shared" si="14"/>
        <v>0.54999999999999993</v>
      </c>
      <c r="C117" s="93">
        <f t="shared" si="14"/>
        <v>0.59125000000000005</v>
      </c>
      <c r="D117" s="93">
        <f t="shared" si="14"/>
        <v>0.5591666666666667</v>
      </c>
      <c r="E117" s="97"/>
      <c r="F117" s="97"/>
      <c r="G117" s="97"/>
    </row>
    <row r="118" spans="1:7" x14ac:dyDescent="0.25">
      <c r="A118" s="222" t="s">
        <v>18</v>
      </c>
      <c r="B118" s="93">
        <f t="shared" si="14"/>
        <v>0.33</v>
      </c>
      <c r="C118" s="93">
        <f t="shared" si="14"/>
        <v>0.37125000000000002</v>
      </c>
      <c r="D118" s="93">
        <f t="shared" si="14"/>
        <v>0.37125000000000002</v>
      </c>
      <c r="E118" s="97"/>
      <c r="F118" s="97"/>
      <c r="G118" s="97"/>
    </row>
    <row r="119" spans="1:7" x14ac:dyDescent="0.25">
      <c r="A119" s="222" t="s">
        <v>19</v>
      </c>
      <c r="B119" s="93">
        <f t="shared" si="14"/>
        <v>0.44</v>
      </c>
      <c r="C119" s="93">
        <f t="shared" si="14"/>
        <v>0.44916666666666671</v>
      </c>
      <c r="D119" s="93">
        <f t="shared" si="14"/>
        <v>0.44916666666666671</v>
      </c>
      <c r="E119" s="97"/>
      <c r="F119" s="97"/>
      <c r="G119" s="97"/>
    </row>
    <row r="120" spans="1:7" x14ac:dyDescent="0.25">
      <c r="A120" s="222" t="s">
        <v>20</v>
      </c>
      <c r="B120" s="93">
        <f t="shared" si="14"/>
        <v>0.66</v>
      </c>
      <c r="C120" s="93">
        <f t="shared" si="14"/>
        <v>0.6691666666666668</v>
      </c>
      <c r="D120" s="93">
        <f t="shared" si="14"/>
        <v>0.6691666666666668</v>
      </c>
      <c r="E120" s="97"/>
      <c r="F120" s="97"/>
      <c r="G120" s="97"/>
    </row>
    <row r="121" spans="1:7" x14ac:dyDescent="0.25">
      <c r="A121" s="222" t="s">
        <v>22</v>
      </c>
      <c r="B121" s="93">
        <f t="shared" si="14"/>
        <v>0</v>
      </c>
      <c r="C121" s="93">
        <f t="shared" si="14"/>
        <v>7.5625000000000012E-2</v>
      </c>
      <c r="D121" s="93">
        <f t="shared" si="14"/>
        <v>7.5625000000000012E-2</v>
      </c>
      <c r="E121" s="97"/>
      <c r="F121" s="97"/>
      <c r="G121" s="97"/>
    </row>
    <row r="122" spans="1:7" x14ac:dyDescent="0.25">
      <c r="A122" s="222" t="s">
        <v>23</v>
      </c>
      <c r="B122" s="93">
        <f t="shared" si="14"/>
        <v>0.55333333333333334</v>
      </c>
      <c r="C122" s="93">
        <f t="shared" si="14"/>
        <v>0.59458333333333335</v>
      </c>
      <c r="D122" s="93">
        <f t="shared" si="14"/>
        <v>0.59458333333333335</v>
      </c>
      <c r="E122" s="97"/>
      <c r="F122" s="97"/>
      <c r="G122" s="97"/>
    </row>
    <row r="125" spans="1:7" ht="15.75" thickBot="1" x14ac:dyDescent="0.3">
      <c r="A125" s="1" t="s">
        <v>287</v>
      </c>
    </row>
    <row r="126" spans="1:7" s="33" customFormat="1" x14ac:dyDescent="0.25">
      <c r="A126" s="9" t="s">
        <v>100</v>
      </c>
      <c r="B126" s="9">
        <v>0.75</v>
      </c>
      <c r="C126" s="91">
        <f>B126/B$129</f>
        <v>0.3</v>
      </c>
    </row>
    <row r="127" spans="1:7" x14ac:dyDescent="0.25">
      <c r="A127" s="10" t="s">
        <v>101</v>
      </c>
      <c r="B127" s="10">
        <v>0.75</v>
      </c>
      <c r="C127" s="76">
        <f t="shared" ref="C127:C128" si="15">B127/B$129</f>
        <v>0.3</v>
      </c>
    </row>
    <row r="128" spans="1:7" ht="15.75" thickBot="1" x14ac:dyDescent="0.3">
      <c r="A128" s="87" t="s">
        <v>120</v>
      </c>
      <c r="B128" s="87">
        <v>1</v>
      </c>
      <c r="C128" s="77">
        <f t="shared" si="15"/>
        <v>0.4</v>
      </c>
    </row>
    <row r="129" spans="1:7" ht="15.75" thickBot="1" x14ac:dyDescent="0.3">
      <c r="A129" s="11" t="s">
        <v>130</v>
      </c>
      <c r="B129" s="88">
        <f>SUM(B126:B128)</f>
        <v>2.5</v>
      </c>
      <c r="C129" s="89">
        <f>SUM(C126:C128)</f>
        <v>1</v>
      </c>
    </row>
    <row r="130" spans="1:7" x14ac:dyDescent="0.25">
      <c r="A130" s="1"/>
      <c r="B130" s="1"/>
      <c r="C130" s="1"/>
      <c r="D130" s="1"/>
      <c r="E130" s="1"/>
    </row>
    <row r="131" spans="1:7" ht="15.75" thickBot="1" x14ac:dyDescent="0.3">
      <c r="A131" s="1" t="s">
        <v>329</v>
      </c>
      <c r="C131" s="1"/>
      <c r="D131" s="1"/>
      <c r="E131" s="1"/>
    </row>
    <row r="132" spans="1:7" ht="15.75" thickBot="1" x14ac:dyDescent="0.3">
      <c r="A132" s="378" t="s">
        <v>142</v>
      </c>
      <c r="B132" s="379" t="s">
        <v>141</v>
      </c>
      <c r="C132" s="379" t="s">
        <v>162</v>
      </c>
      <c r="D132" s="1"/>
      <c r="E132" s="1"/>
    </row>
    <row r="133" spans="1:7" x14ac:dyDescent="0.25">
      <c r="A133" s="116" t="s">
        <v>151</v>
      </c>
      <c r="B133" s="81">
        <v>0.6</v>
      </c>
      <c r="C133" s="121">
        <f>B133/(B133+B134)</f>
        <v>0.39999999999999997</v>
      </c>
      <c r="D133" s="1"/>
      <c r="E133" s="1"/>
    </row>
    <row r="134" spans="1:7" ht="30" x14ac:dyDescent="0.25">
      <c r="A134" s="120" t="s">
        <v>152</v>
      </c>
      <c r="B134" s="5">
        <v>0.9</v>
      </c>
      <c r="C134" s="122">
        <f>B134/(B133+B134)</f>
        <v>0.6</v>
      </c>
      <c r="D134" s="1"/>
      <c r="E134" s="1"/>
    </row>
    <row r="135" spans="1:7" ht="30.75" thickBot="1" x14ac:dyDescent="0.3">
      <c r="A135" s="117" t="s">
        <v>153</v>
      </c>
      <c r="B135" s="55">
        <f xml:space="preserve"> MAX(B100:D109)</f>
        <v>24</v>
      </c>
      <c r="C135" s="55"/>
      <c r="D135" s="1"/>
      <c r="E135" s="1"/>
    </row>
    <row r="136" spans="1:7" x14ac:dyDescent="0.25">
      <c r="A136" s="1"/>
      <c r="B136" s="1"/>
      <c r="C136" s="1"/>
      <c r="D136" s="1"/>
      <c r="E136" s="1"/>
    </row>
    <row r="138" spans="1:7" x14ac:dyDescent="0.25">
      <c r="A138" s="96" t="s">
        <v>134</v>
      </c>
    </row>
    <row r="139" spans="1:7" x14ac:dyDescent="0.25">
      <c r="A139" s="92" t="s">
        <v>24</v>
      </c>
      <c r="B139" s="97">
        <f>1-ABS(B113-B113)</f>
        <v>1</v>
      </c>
      <c r="C139" s="97">
        <f>1-ABS(B113-C113)</f>
        <v>0.89583333333333337</v>
      </c>
      <c r="D139" s="97">
        <f>1-ABS(B113-D113)</f>
        <v>0.89583333333333337</v>
      </c>
      <c r="E139" s="127"/>
      <c r="F139" s="127"/>
      <c r="G139" s="127"/>
    </row>
    <row r="140" spans="1:7" x14ac:dyDescent="0.25">
      <c r="B140" s="97">
        <f>1-ABS(C113-B113)</f>
        <v>0.89583333333333337</v>
      </c>
      <c r="C140" s="97">
        <f>1-ABS(C113-C113)</f>
        <v>1</v>
      </c>
      <c r="D140" s="97">
        <f>1-ABS(D113-C113)</f>
        <v>1</v>
      </c>
      <c r="E140" s="127"/>
      <c r="F140" s="127"/>
      <c r="G140" s="127"/>
    </row>
    <row r="141" spans="1:7" x14ac:dyDescent="0.25">
      <c r="B141" s="97">
        <f>1-ABS(D113-B113)</f>
        <v>0.89583333333333337</v>
      </c>
      <c r="C141" s="97">
        <f>1-ABS(D113-C113)</f>
        <v>1</v>
      </c>
      <c r="D141" s="97">
        <f>1-ABS(D113-D113)</f>
        <v>1</v>
      </c>
      <c r="E141" s="127"/>
      <c r="F141" s="127"/>
      <c r="G141" s="127"/>
    </row>
    <row r="142" spans="1:7" x14ac:dyDescent="0.25">
      <c r="B142" s="97"/>
      <c r="C142" s="97"/>
      <c r="D142" s="97"/>
      <c r="E142" s="127"/>
      <c r="F142" s="127"/>
      <c r="G142" s="127"/>
    </row>
    <row r="143" spans="1:7" x14ac:dyDescent="0.25">
      <c r="A143" s="92" t="s">
        <v>13</v>
      </c>
      <c r="B143" s="97">
        <f>1-ABS(B114-B114)</f>
        <v>1</v>
      </c>
      <c r="C143" s="97">
        <f>1-ABS(B114-C114)</f>
        <v>0.99083333333333334</v>
      </c>
      <c r="D143" s="97">
        <f>1-ABS(B114-D114)</f>
        <v>0.92437499999999995</v>
      </c>
      <c r="E143" s="127"/>
      <c r="F143" s="127"/>
      <c r="G143" s="127"/>
    </row>
    <row r="144" spans="1:7" x14ac:dyDescent="0.25">
      <c r="B144" s="97">
        <f>1-ABS(C114-B114)</f>
        <v>0.99083333333333334</v>
      </c>
      <c r="C144" s="97">
        <f>1-ABS(C114-C114)</f>
        <v>1</v>
      </c>
      <c r="D144" s="97">
        <f>1-ABS(D114-C114)</f>
        <v>0.9335416666666666</v>
      </c>
      <c r="E144" s="127"/>
      <c r="F144" s="127"/>
      <c r="G144" s="127"/>
    </row>
    <row r="145" spans="1:7" x14ac:dyDescent="0.25">
      <c r="B145" s="97">
        <f>1-ABS(D114-B114)</f>
        <v>0.92437499999999995</v>
      </c>
      <c r="C145" s="97">
        <f>1-ABS(D114-C114)</f>
        <v>0.9335416666666666</v>
      </c>
      <c r="D145" s="97">
        <f>1-ABS(D114-D114)</f>
        <v>1</v>
      </c>
      <c r="E145" s="127"/>
      <c r="F145" s="127"/>
      <c r="G145" s="127"/>
    </row>
    <row r="146" spans="1:7" x14ac:dyDescent="0.25">
      <c r="B146" s="97"/>
      <c r="C146" s="97"/>
      <c r="D146" s="97"/>
      <c r="E146" s="127"/>
      <c r="F146" s="127"/>
      <c r="G146" s="127"/>
    </row>
    <row r="147" spans="1:7" x14ac:dyDescent="0.25">
      <c r="A147" s="92" t="s">
        <v>14</v>
      </c>
      <c r="B147" s="97">
        <f>1-ABS(B115-B115)</f>
        <v>1</v>
      </c>
      <c r="C147" s="97">
        <f>1-ABS(B115-C115)</f>
        <v>0.92437499999999995</v>
      </c>
      <c r="D147" s="97">
        <f>1-ABS(B115-D115)</f>
        <v>0.99083333333333334</v>
      </c>
      <c r="E147" s="127"/>
      <c r="F147" s="127"/>
      <c r="G147" s="127"/>
    </row>
    <row r="148" spans="1:7" x14ac:dyDescent="0.25">
      <c r="B148" s="97">
        <f>1-ABS(C115-B115)</f>
        <v>0.92437499999999995</v>
      </c>
      <c r="C148" s="97">
        <f>1-ABS(C115-C115)</f>
        <v>1</v>
      </c>
      <c r="D148" s="97">
        <f>1-ABS(D115-C115)</f>
        <v>0.9335416666666666</v>
      </c>
      <c r="E148" s="127"/>
      <c r="F148" s="127"/>
      <c r="G148" s="127"/>
    </row>
    <row r="149" spans="1:7" x14ac:dyDescent="0.25">
      <c r="B149" s="97">
        <f>1-ABS(D115-B115)</f>
        <v>0.99083333333333334</v>
      </c>
      <c r="C149" s="97">
        <f>1-ABS(D115-C115)</f>
        <v>0.9335416666666666</v>
      </c>
      <c r="D149" s="97">
        <f>1-ABS(D115-D115)</f>
        <v>1</v>
      </c>
      <c r="E149" s="127"/>
      <c r="F149" s="127"/>
      <c r="G149" s="127"/>
    </row>
    <row r="150" spans="1:7" x14ac:dyDescent="0.25">
      <c r="B150" s="97"/>
      <c r="C150" s="97"/>
      <c r="D150" s="97"/>
      <c r="E150" s="127"/>
      <c r="F150" s="127"/>
      <c r="G150" s="127"/>
    </row>
    <row r="151" spans="1:7" x14ac:dyDescent="0.25">
      <c r="A151" s="92" t="s">
        <v>15</v>
      </c>
      <c r="B151" s="97">
        <f>1-ABS(B116-B116)</f>
        <v>1</v>
      </c>
      <c r="C151" s="97">
        <f>1-ABS(B116-C116)</f>
        <v>0.99083333333333334</v>
      </c>
      <c r="D151" s="97">
        <f>1-ABS(B116-D116)</f>
        <v>0.89583333333333337</v>
      </c>
      <c r="E151" s="127"/>
      <c r="F151" s="127"/>
      <c r="G151" s="127"/>
    </row>
    <row r="152" spans="1:7" x14ac:dyDescent="0.25">
      <c r="B152" s="97">
        <f>1-ABS(C116-B116)</f>
        <v>0.99083333333333334</v>
      </c>
      <c r="C152" s="97">
        <f>1-ABS(C116-C116)</f>
        <v>1</v>
      </c>
      <c r="D152" s="97">
        <f>1-ABS(D116-C116)</f>
        <v>0.88666666666666671</v>
      </c>
      <c r="E152" s="127"/>
      <c r="F152" s="127"/>
      <c r="G152" s="127"/>
    </row>
    <row r="153" spans="1:7" x14ac:dyDescent="0.25">
      <c r="B153" s="97">
        <f>1-ABS(D116-B116)</f>
        <v>0.89583333333333337</v>
      </c>
      <c r="C153" s="97">
        <f>1-ABS(D116-C116)</f>
        <v>0.88666666666666671</v>
      </c>
      <c r="D153" s="97">
        <f>1-ABS(D116-D116)</f>
        <v>1</v>
      </c>
      <c r="E153" s="127"/>
      <c r="F153" s="127"/>
      <c r="G153" s="127"/>
    </row>
    <row r="154" spans="1:7" x14ac:dyDescent="0.25">
      <c r="B154" s="97"/>
      <c r="C154" s="97"/>
      <c r="D154" s="97"/>
      <c r="E154" s="127"/>
      <c r="F154" s="127"/>
      <c r="G154" s="127"/>
    </row>
    <row r="155" spans="1:7" x14ac:dyDescent="0.25">
      <c r="A155" s="92" t="s">
        <v>17</v>
      </c>
      <c r="B155" s="97">
        <f>1-ABS(B117-B117)</f>
        <v>1</v>
      </c>
      <c r="C155" s="97">
        <f>1-ABS(B117-C117)</f>
        <v>0.95874999999999988</v>
      </c>
      <c r="D155" s="97">
        <f>1-ABS(B117-D117)</f>
        <v>0.99083333333333323</v>
      </c>
      <c r="E155" s="127"/>
      <c r="F155" s="127"/>
      <c r="G155" s="127"/>
    </row>
    <row r="156" spans="1:7" x14ac:dyDescent="0.25">
      <c r="B156" s="97">
        <f>1-ABS(C117-B117)</f>
        <v>0.95874999999999988</v>
      </c>
      <c r="C156" s="97">
        <f>1-ABS(C117-C117)</f>
        <v>1</v>
      </c>
      <c r="D156" s="97">
        <f>1-ABS(D117-C117)</f>
        <v>0.96791666666666665</v>
      </c>
      <c r="E156" s="127"/>
      <c r="F156" s="127"/>
      <c r="G156" s="127"/>
    </row>
    <row r="157" spans="1:7" x14ac:dyDescent="0.25">
      <c r="B157" s="97">
        <f>1-ABS(D117-B117)</f>
        <v>0.99083333333333323</v>
      </c>
      <c r="C157" s="97">
        <f>1-ABS(D117-C117)</f>
        <v>0.96791666666666665</v>
      </c>
      <c r="D157" s="97">
        <f>1-ABS(D117-D117)</f>
        <v>1</v>
      </c>
      <c r="E157" s="127"/>
      <c r="F157" s="127"/>
      <c r="G157" s="127"/>
    </row>
    <row r="158" spans="1:7" x14ac:dyDescent="0.25">
      <c r="B158" s="97"/>
      <c r="C158" s="97"/>
      <c r="D158" s="97"/>
      <c r="E158" s="127"/>
      <c r="F158" s="127"/>
      <c r="G158" s="127"/>
    </row>
    <row r="159" spans="1:7" x14ac:dyDescent="0.25">
      <c r="A159" s="92" t="s">
        <v>18</v>
      </c>
      <c r="B159" s="97">
        <f>1-ABS(B118-B118)</f>
        <v>1</v>
      </c>
      <c r="C159" s="97">
        <f>1-ABS(B118-C118)</f>
        <v>0.95874999999999999</v>
      </c>
      <c r="D159" s="97">
        <f>1-ABS(B118-D118)</f>
        <v>0.95874999999999999</v>
      </c>
      <c r="E159" s="127"/>
      <c r="F159" s="127"/>
      <c r="G159" s="127"/>
    </row>
    <row r="160" spans="1:7" x14ac:dyDescent="0.25">
      <c r="B160" s="97">
        <f>1-ABS(C118-B118)</f>
        <v>0.95874999999999999</v>
      </c>
      <c r="C160" s="97">
        <f>1-ABS(C118-C118)</f>
        <v>1</v>
      </c>
      <c r="D160" s="97">
        <f>1-ABS(D118-C118)</f>
        <v>1</v>
      </c>
      <c r="E160" s="127"/>
      <c r="F160" s="127"/>
      <c r="G160" s="127"/>
    </row>
    <row r="161" spans="1:7" x14ac:dyDescent="0.25">
      <c r="B161" s="97">
        <f>1-ABS(D118-B118)</f>
        <v>0.95874999999999999</v>
      </c>
      <c r="C161" s="97">
        <f>1-ABS(D118-C118)</f>
        <v>1</v>
      </c>
      <c r="D161" s="97">
        <f>1-ABS(D118-D118)</f>
        <v>1</v>
      </c>
      <c r="E161" s="127"/>
      <c r="F161" s="127"/>
      <c r="G161" s="127"/>
    </row>
    <row r="162" spans="1:7" x14ac:dyDescent="0.25">
      <c r="B162" s="97"/>
      <c r="C162" s="97"/>
      <c r="D162" s="97"/>
      <c r="E162" s="127"/>
      <c r="F162" s="127"/>
      <c r="G162" s="127"/>
    </row>
    <row r="163" spans="1:7" x14ac:dyDescent="0.25">
      <c r="A163" s="92" t="s">
        <v>19</v>
      </c>
      <c r="B163" s="97">
        <f>1-ABS(B119-B119)</f>
        <v>1</v>
      </c>
      <c r="C163" s="97">
        <f>1-ABS(B119-C119)</f>
        <v>0.99083333333333323</v>
      </c>
      <c r="D163" s="97">
        <f>1-ABS(B119-D119)</f>
        <v>0.99083333333333323</v>
      </c>
      <c r="E163" s="127"/>
      <c r="F163" s="127"/>
      <c r="G163" s="127"/>
    </row>
    <row r="164" spans="1:7" x14ac:dyDescent="0.25">
      <c r="B164" s="97">
        <f>1-ABS(C119-B119)</f>
        <v>0.99083333333333323</v>
      </c>
      <c r="C164" s="97">
        <f>1-ABS(C119-C119)</f>
        <v>1</v>
      </c>
      <c r="D164" s="97">
        <f>1-ABS(D119-C119)</f>
        <v>1</v>
      </c>
      <c r="E164" s="127"/>
      <c r="F164" s="127"/>
      <c r="G164" s="127"/>
    </row>
    <row r="165" spans="1:7" x14ac:dyDescent="0.25">
      <c r="B165" s="97">
        <f>1-ABS(D119-B119)</f>
        <v>0.99083333333333323</v>
      </c>
      <c r="C165" s="97">
        <f>1-ABS(D119-C119)</f>
        <v>1</v>
      </c>
      <c r="D165" s="97">
        <f>1-ABS(D119-D119)</f>
        <v>1</v>
      </c>
      <c r="E165" s="127"/>
      <c r="F165" s="127"/>
      <c r="G165" s="127"/>
    </row>
    <row r="166" spans="1:7" x14ac:dyDescent="0.25">
      <c r="B166" s="97"/>
      <c r="C166" s="97"/>
      <c r="D166" s="97"/>
      <c r="E166" s="127"/>
      <c r="F166" s="127"/>
      <c r="G166" s="127"/>
    </row>
    <row r="167" spans="1:7" x14ac:dyDescent="0.25">
      <c r="A167" s="92" t="s">
        <v>20</v>
      </c>
      <c r="B167" s="97">
        <f>1-ABS(B120-B120)</f>
        <v>1</v>
      </c>
      <c r="C167" s="97">
        <f>1-ABS(B120-C120)</f>
        <v>0.99083333333333323</v>
      </c>
      <c r="D167" s="97">
        <f>1-ABS(B120-D120)</f>
        <v>0.99083333333333323</v>
      </c>
      <c r="E167" s="127"/>
      <c r="F167" s="127"/>
      <c r="G167" s="127"/>
    </row>
    <row r="168" spans="1:7" x14ac:dyDescent="0.25">
      <c r="B168" s="97">
        <f>1-ABS(C120-B120)</f>
        <v>0.99083333333333323</v>
      </c>
      <c r="C168" s="97">
        <f>1-ABS(C120-C120)</f>
        <v>1</v>
      </c>
      <c r="D168" s="97">
        <f>1-ABS(D120-C120)</f>
        <v>1</v>
      </c>
      <c r="E168" s="127"/>
      <c r="F168" s="127"/>
      <c r="G168" s="127"/>
    </row>
    <row r="169" spans="1:7" x14ac:dyDescent="0.25">
      <c r="B169" s="97">
        <f>1-ABS(D120-B120)</f>
        <v>0.99083333333333323</v>
      </c>
      <c r="C169" s="97">
        <f>1-ABS(D120-C120)</f>
        <v>1</v>
      </c>
      <c r="D169" s="97">
        <f>1-ABS(D120-D120)</f>
        <v>1</v>
      </c>
      <c r="E169" s="127"/>
      <c r="F169" s="127"/>
      <c r="G169" s="127"/>
    </row>
    <row r="170" spans="1:7" x14ac:dyDescent="0.25">
      <c r="B170" s="97"/>
      <c r="C170" s="97"/>
      <c r="D170" s="97"/>
      <c r="E170" s="127"/>
      <c r="F170" s="127"/>
      <c r="G170" s="127"/>
    </row>
    <row r="171" spans="1:7" x14ac:dyDescent="0.25">
      <c r="A171" s="92" t="s">
        <v>22</v>
      </c>
      <c r="B171" s="97">
        <f>1-ABS(B121-B121)</f>
        <v>1</v>
      </c>
      <c r="C171" s="97">
        <f>1-ABS(B121-C121)</f>
        <v>0.92437499999999995</v>
      </c>
      <c r="D171" s="97">
        <f>1-ABS(B121-D121)</f>
        <v>0.92437499999999995</v>
      </c>
      <c r="E171" s="127"/>
      <c r="F171" s="127"/>
      <c r="G171" s="127"/>
    </row>
    <row r="172" spans="1:7" x14ac:dyDescent="0.25">
      <c r="B172" s="97">
        <f>1-ABS(C121-B121)</f>
        <v>0.92437499999999995</v>
      </c>
      <c r="C172" s="97">
        <f>1-ABS(C121-C121)</f>
        <v>1</v>
      </c>
      <c r="D172" s="97">
        <f>1-ABS(D121-C121)</f>
        <v>1</v>
      </c>
      <c r="E172" s="127"/>
      <c r="F172" s="127"/>
      <c r="G172" s="127"/>
    </row>
    <row r="173" spans="1:7" x14ac:dyDescent="0.25">
      <c r="B173" s="97">
        <f>1-ABS(D121-B121)</f>
        <v>0.92437499999999995</v>
      </c>
      <c r="C173" s="97">
        <f>1-ABS(D121-C121)</f>
        <v>1</v>
      </c>
      <c r="D173" s="97">
        <f>1-ABS(D121-D121)</f>
        <v>1</v>
      </c>
      <c r="E173" s="127"/>
      <c r="F173" s="127"/>
      <c r="G173" s="127"/>
    </row>
    <row r="174" spans="1:7" x14ac:dyDescent="0.25">
      <c r="B174" s="97"/>
      <c r="C174" s="97"/>
      <c r="D174" s="97"/>
      <c r="E174" s="127"/>
      <c r="F174" s="127"/>
      <c r="G174" s="127"/>
    </row>
    <row r="175" spans="1:7" x14ac:dyDescent="0.25">
      <c r="A175" s="92" t="s">
        <v>23</v>
      </c>
      <c r="B175" s="97">
        <f>1-ABS(B122-B122)</f>
        <v>1</v>
      </c>
      <c r="C175" s="97">
        <f>1-ABS(B122-C122)</f>
        <v>0.95874999999999999</v>
      </c>
      <c r="D175" s="97">
        <f>1-ABS(B122-D122)</f>
        <v>0.95874999999999999</v>
      </c>
      <c r="E175" s="127"/>
      <c r="F175" s="127"/>
      <c r="G175" s="127"/>
    </row>
    <row r="176" spans="1:7" x14ac:dyDescent="0.25">
      <c r="B176" s="97">
        <f>1-ABS(C122-B122)</f>
        <v>0.95874999999999999</v>
      </c>
      <c r="C176" s="97">
        <f>1-ABS(C122-C122)</f>
        <v>1</v>
      </c>
      <c r="D176" s="97">
        <f>1-ABS(D122-C122)</f>
        <v>1</v>
      </c>
      <c r="E176" s="127"/>
      <c r="F176" s="127"/>
      <c r="G176" s="127"/>
    </row>
    <row r="177" spans="1:7" x14ac:dyDescent="0.25">
      <c r="B177" s="97">
        <f>1-ABS(D122-B122)</f>
        <v>0.95874999999999999</v>
      </c>
      <c r="C177" s="97">
        <f>1-ABS(D122-C122)</f>
        <v>1</v>
      </c>
      <c r="D177" s="97">
        <f>1-ABS(D122-D122)</f>
        <v>1</v>
      </c>
      <c r="E177" s="127"/>
      <c r="F177" s="127"/>
      <c r="G177" s="127"/>
    </row>
    <row r="179" spans="1:7" x14ac:dyDescent="0.25">
      <c r="A179" s="1" t="s">
        <v>140</v>
      </c>
    </row>
    <row r="180" spans="1:7" x14ac:dyDescent="0.25">
      <c r="A180" s="150" t="s">
        <v>234</v>
      </c>
      <c r="B180" s="157" t="s">
        <v>100</v>
      </c>
      <c r="C180" s="157" t="s">
        <v>101</v>
      </c>
      <c r="D180" s="157" t="s">
        <v>120</v>
      </c>
    </row>
    <row r="181" spans="1:7" x14ac:dyDescent="0.25">
      <c r="A181" s="222" t="s">
        <v>24</v>
      </c>
      <c r="B181" s="98">
        <f>(C139+D139)/2</f>
        <v>0.89583333333333337</v>
      </c>
      <c r="C181" s="98">
        <f>(B140+D140)/2</f>
        <v>0.94791666666666674</v>
      </c>
      <c r="D181" s="98">
        <f>(B141+C141)/2</f>
        <v>0.94791666666666674</v>
      </c>
      <c r="E181" s="419"/>
      <c r="F181" s="419"/>
      <c r="G181" s="419"/>
    </row>
    <row r="182" spans="1:7" x14ac:dyDescent="0.25">
      <c r="A182" s="222" t="s">
        <v>13</v>
      </c>
      <c r="B182" s="98">
        <f>(C143+D143)/2</f>
        <v>0.95760416666666659</v>
      </c>
      <c r="C182" s="98">
        <f>(B144+D144)/2</f>
        <v>0.96218749999999997</v>
      </c>
      <c r="D182" s="98">
        <f>(B145+C145)/2</f>
        <v>0.92895833333333333</v>
      </c>
      <c r="E182" s="419"/>
      <c r="F182" s="419"/>
      <c r="G182" s="419"/>
    </row>
    <row r="183" spans="1:7" x14ac:dyDescent="0.25">
      <c r="A183" s="222" t="s">
        <v>14</v>
      </c>
      <c r="B183" s="98">
        <f>(C147+D147)/2</f>
        <v>0.95760416666666659</v>
      </c>
      <c r="C183" s="98">
        <f>(B148+D148)/2</f>
        <v>0.92895833333333333</v>
      </c>
      <c r="D183" s="98">
        <f>(B149+C149)/2</f>
        <v>0.96218749999999997</v>
      </c>
      <c r="E183" s="419"/>
      <c r="F183" s="419"/>
      <c r="G183" s="419"/>
    </row>
    <row r="184" spans="1:7" x14ac:dyDescent="0.25">
      <c r="A184" s="222" t="s">
        <v>15</v>
      </c>
      <c r="B184" s="98">
        <f>(C151+D151)/2</f>
        <v>0.94333333333333336</v>
      </c>
      <c r="C184" s="98">
        <f>(B152+D152)/2</f>
        <v>0.93874999999999997</v>
      </c>
      <c r="D184" s="98">
        <f>(B153+C153)/2</f>
        <v>0.8912500000000001</v>
      </c>
      <c r="E184" s="419"/>
      <c r="F184" s="419"/>
      <c r="G184" s="419"/>
    </row>
    <row r="185" spans="1:7" x14ac:dyDescent="0.25">
      <c r="A185" s="222" t="s">
        <v>17</v>
      </c>
      <c r="B185" s="98">
        <f>(C155+D155)/2</f>
        <v>0.9747916666666665</v>
      </c>
      <c r="C185" s="98">
        <f>(B156+D156)/2</f>
        <v>0.96333333333333326</v>
      </c>
      <c r="D185" s="98">
        <f>(B157+C157)/2</f>
        <v>0.97937499999999988</v>
      </c>
      <c r="E185" s="419"/>
      <c r="F185" s="419"/>
      <c r="G185" s="419"/>
    </row>
    <row r="186" spans="1:7" x14ac:dyDescent="0.25">
      <c r="A186" s="222" t="s">
        <v>18</v>
      </c>
      <c r="B186" s="98">
        <f>(C159+D159)/2</f>
        <v>0.95874999999999999</v>
      </c>
      <c r="C186" s="98">
        <f>(B160+D160)/2</f>
        <v>0.979375</v>
      </c>
      <c r="D186" s="98">
        <f>(B161+C161)/2</f>
        <v>0.979375</v>
      </c>
      <c r="E186" s="419"/>
      <c r="F186" s="419"/>
      <c r="G186" s="419"/>
    </row>
    <row r="187" spans="1:7" x14ac:dyDescent="0.25">
      <c r="A187" s="222" t="s">
        <v>19</v>
      </c>
      <c r="B187" s="98">
        <f>(C163+D163)/2</f>
        <v>0.99083333333333323</v>
      </c>
      <c r="C187" s="98">
        <f>(B164+D164)/2</f>
        <v>0.99541666666666662</v>
      </c>
      <c r="D187" s="98">
        <f>(B165+C165)/2</f>
        <v>0.99541666666666662</v>
      </c>
      <c r="E187" s="419"/>
      <c r="F187" s="419"/>
      <c r="G187" s="419"/>
    </row>
    <row r="188" spans="1:7" x14ac:dyDescent="0.25">
      <c r="A188" s="222" t="s">
        <v>20</v>
      </c>
      <c r="B188" s="98">
        <f>(C167+D167)/2</f>
        <v>0.99083333333333323</v>
      </c>
      <c r="C188" s="98">
        <f>(B168+D168)/2</f>
        <v>0.99541666666666662</v>
      </c>
      <c r="D188" s="98">
        <f>(B169+C169)/2</f>
        <v>0.99541666666666662</v>
      </c>
      <c r="E188" s="419"/>
      <c r="F188" s="419"/>
      <c r="G188" s="419"/>
    </row>
    <row r="189" spans="1:7" x14ac:dyDescent="0.25">
      <c r="A189" s="222" t="s">
        <v>22</v>
      </c>
      <c r="B189" s="98">
        <f>(C171+D171)/2</f>
        <v>0.92437499999999995</v>
      </c>
      <c r="C189" s="98">
        <f>(B172+D172)/2</f>
        <v>0.96218749999999997</v>
      </c>
      <c r="D189" s="98">
        <f>(B173+C173)/2</f>
        <v>0.96218749999999997</v>
      </c>
      <c r="E189" s="419"/>
      <c r="F189" s="419"/>
      <c r="G189" s="419"/>
    </row>
    <row r="190" spans="1:7" x14ac:dyDescent="0.25">
      <c r="A190" s="222" t="s">
        <v>23</v>
      </c>
      <c r="B190" s="98">
        <f>(C175+D175)/2</f>
        <v>0.95874999999999999</v>
      </c>
      <c r="C190" s="98">
        <f>(B176+D176)/2</f>
        <v>0.979375</v>
      </c>
      <c r="D190" s="98">
        <f>(B177+C177)/2</f>
        <v>0.979375</v>
      </c>
      <c r="E190" s="419"/>
      <c r="F190" s="419"/>
      <c r="G190" s="419"/>
    </row>
    <row r="192" spans="1:7" x14ac:dyDescent="0.25">
      <c r="A192" s="1" t="s">
        <v>160</v>
      </c>
    </row>
    <row r="193" spans="1:8" x14ac:dyDescent="0.25">
      <c r="A193" s="150" t="s">
        <v>234</v>
      </c>
      <c r="B193" s="157" t="s">
        <v>100</v>
      </c>
      <c r="C193" s="157" t="s">
        <v>101</v>
      </c>
      <c r="D193" s="157" t="s">
        <v>120</v>
      </c>
      <c r="E193" s="95" t="s">
        <v>138</v>
      </c>
    </row>
    <row r="194" spans="1:8" x14ac:dyDescent="0.25">
      <c r="A194" s="222" t="s">
        <v>24</v>
      </c>
      <c r="B194" s="93">
        <f>B181/SUM($B181:$D181)</f>
        <v>0.32089552238805968</v>
      </c>
      <c r="C194" s="93">
        <f>C181/SUM($B181:$D181)</f>
        <v>0.33955223880597013</v>
      </c>
      <c r="D194" s="93">
        <f t="shared" ref="D194" si="16">D181/SUM($B181:$D181)</f>
        <v>0.33955223880597013</v>
      </c>
      <c r="E194" s="94">
        <f>SUM(B194:D194)</f>
        <v>1</v>
      </c>
      <c r="F194" s="97"/>
      <c r="G194" s="97"/>
      <c r="H194" s="97"/>
    </row>
    <row r="195" spans="1:8" x14ac:dyDescent="0.25">
      <c r="A195" s="222" t="s">
        <v>13</v>
      </c>
      <c r="B195" s="93">
        <f t="shared" ref="B195:D203" si="17">B182/SUM($B182:$D182)</f>
        <v>0.33614889571449463</v>
      </c>
      <c r="C195" s="93">
        <f t="shared" si="17"/>
        <v>0.33775778850372973</v>
      </c>
      <c r="D195" s="93">
        <f t="shared" si="17"/>
        <v>0.32609331578177564</v>
      </c>
      <c r="E195" s="94">
        <f t="shared" ref="E195:E203" si="18">SUM(B195:D195)</f>
        <v>1</v>
      </c>
      <c r="F195" s="97"/>
      <c r="G195" s="97"/>
      <c r="H195" s="97"/>
    </row>
    <row r="196" spans="1:8" x14ac:dyDescent="0.25">
      <c r="A196" s="222" t="s">
        <v>14</v>
      </c>
      <c r="B196" s="93">
        <f t="shared" si="17"/>
        <v>0.33614889571449463</v>
      </c>
      <c r="C196" s="93">
        <f t="shared" si="17"/>
        <v>0.32609331578177564</v>
      </c>
      <c r="D196" s="93">
        <f t="shared" si="17"/>
        <v>0.33775778850372973</v>
      </c>
      <c r="E196" s="94">
        <f t="shared" si="18"/>
        <v>1</v>
      </c>
      <c r="F196" s="97"/>
      <c r="G196" s="97"/>
      <c r="H196" s="97"/>
    </row>
    <row r="197" spans="1:8" x14ac:dyDescent="0.25">
      <c r="A197" s="222" t="s">
        <v>15</v>
      </c>
      <c r="B197" s="93">
        <f t="shared" si="17"/>
        <v>0.34014423076923078</v>
      </c>
      <c r="C197" s="93">
        <f t="shared" si="17"/>
        <v>0.33849158653846151</v>
      </c>
      <c r="D197" s="93">
        <f t="shared" si="17"/>
        <v>0.32136418269230771</v>
      </c>
      <c r="E197" s="94">
        <f t="shared" si="18"/>
        <v>1</v>
      </c>
      <c r="F197" s="97"/>
      <c r="G197" s="97"/>
      <c r="H197" s="97"/>
    </row>
    <row r="198" spans="1:8" x14ac:dyDescent="0.25">
      <c r="A198" s="222" t="s">
        <v>17</v>
      </c>
      <c r="B198" s="93">
        <f t="shared" si="17"/>
        <v>0.33411882319337333</v>
      </c>
      <c r="C198" s="93">
        <f t="shared" si="17"/>
        <v>0.33019137389317343</v>
      </c>
      <c r="D198" s="93">
        <f t="shared" si="17"/>
        <v>0.33568980291345329</v>
      </c>
      <c r="E198" s="94">
        <f t="shared" si="18"/>
        <v>1</v>
      </c>
      <c r="F198" s="97"/>
      <c r="G198" s="97"/>
      <c r="H198" s="97"/>
    </row>
    <row r="199" spans="1:8" x14ac:dyDescent="0.25">
      <c r="A199" s="222" t="s">
        <v>18</v>
      </c>
      <c r="B199" s="93">
        <f t="shared" si="17"/>
        <v>0.32862039417309341</v>
      </c>
      <c r="C199" s="93">
        <f t="shared" si="17"/>
        <v>0.33568980291345329</v>
      </c>
      <c r="D199" s="93">
        <f t="shared" si="17"/>
        <v>0.33568980291345329</v>
      </c>
      <c r="E199" s="94">
        <f t="shared" si="18"/>
        <v>1</v>
      </c>
      <c r="F199" s="97"/>
      <c r="G199" s="97"/>
      <c r="H199" s="97"/>
    </row>
    <row r="200" spans="1:8" x14ac:dyDescent="0.25">
      <c r="A200" s="222" t="s">
        <v>19</v>
      </c>
      <c r="B200" s="93">
        <f t="shared" si="17"/>
        <v>0.33230855226383454</v>
      </c>
      <c r="C200" s="93">
        <f t="shared" si="17"/>
        <v>0.33384572386808276</v>
      </c>
      <c r="D200" s="93">
        <f t="shared" si="17"/>
        <v>0.33384572386808276</v>
      </c>
      <c r="E200" s="94">
        <f t="shared" si="18"/>
        <v>1</v>
      </c>
      <c r="F200" s="97"/>
      <c r="G200" s="97"/>
      <c r="H200" s="97"/>
    </row>
    <row r="201" spans="1:8" x14ac:dyDescent="0.25">
      <c r="A201" s="222" t="s">
        <v>20</v>
      </c>
      <c r="B201" s="93">
        <f t="shared" si="17"/>
        <v>0.33230855226383454</v>
      </c>
      <c r="C201" s="93">
        <f t="shared" si="17"/>
        <v>0.33384572386808276</v>
      </c>
      <c r="D201" s="93">
        <f t="shared" si="17"/>
        <v>0.33384572386808276</v>
      </c>
      <c r="E201" s="94">
        <f t="shared" si="18"/>
        <v>1</v>
      </c>
      <c r="F201" s="97"/>
      <c r="G201" s="97"/>
      <c r="H201" s="97"/>
    </row>
    <row r="202" spans="1:8" x14ac:dyDescent="0.25">
      <c r="A202" s="222" t="s">
        <v>22</v>
      </c>
      <c r="B202" s="93">
        <f t="shared" si="17"/>
        <v>0.3244844229925406</v>
      </c>
      <c r="C202" s="93">
        <f t="shared" si="17"/>
        <v>0.33775778850372973</v>
      </c>
      <c r="D202" s="93">
        <f t="shared" si="17"/>
        <v>0.33775778850372973</v>
      </c>
      <c r="E202" s="94">
        <f t="shared" si="18"/>
        <v>1</v>
      </c>
      <c r="F202" s="97"/>
      <c r="G202" s="97"/>
      <c r="H202" s="97"/>
    </row>
    <row r="203" spans="1:8" x14ac:dyDescent="0.25">
      <c r="A203" s="222" t="s">
        <v>23</v>
      </c>
      <c r="B203" s="93">
        <f t="shared" si="17"/>
        <v>0.32862039417309341</v>
      </c>
      <c r="C203" s="93">
        <f t="shared" si="17"/>
        <v>0.33568980291345329</v>
      </c>
      <c r="D203" s="93">
        <f t="shared" si="17"/>
        <v>0.33568980291345329</v>
      </c>
      <c r="E203" s="94">
        <f t="shared" si="18"/>
        <v>1</v>
      </c>
      <c r="F203" s="97"/>
      <c r="G203" s="97"/>
      <c r="H203" s="97"/>
    </row>
    <row r="205" spans="1:8" x14ac:dyDescent="0.25">
      <c r="A205" s="1" t="s">
        <v>161</v>
      </c>
    </row>
    <row r="206" spans="1:8" x14ac:dyDescent="0.25">
      <c r="A206" s="150" t="s">
        <v>234</v>
      </c>
      <c r="B206" s="157" t="s">
        <v>100</v>
      </c>
      <c r="C206" s="157" t="s">
        <v>101</v>
      </c>
      <c r="D206" s="157" t="s">
        <v>120</v>
      </c>
      <c r="E206" s="95" t="s">
        <v>138</v>
      </c>
    </row>
    <row r="207" spans="1:8" x14ac:dyDescent="0.25">
      <c r="A207" s="222" t="s">
        <v>24</v>
      </c>
      <c r="B207" s="93">
        <f>$C$133*C$126+$C$134*B194</f>
        <v>0.31253731343283581</v>
      </c>
      <c r="C207" s="93">
        <f>$C$133*C$127+$C$134*C194</f>
        <v>0.32373134328358205</v>
      </c>
      <c r="D207" s="93">
        <f>$C$133*C$128+$C$134*D194</f>
        <v>0.36373134328358209</v>
      </c>
      <c r="E207" s="94">
        <f>SUM(B207:D207)</f>
        <v>1</v>
      </c>
      <c r="F207" s="97"/>
      <c r="G207" s="97"/>
      <c r="H207" s="97"/>
    </row>
    <row r="208" spans="1:8" x14ac:dyDescent="0.25">
      <c r="A208" s="222" t="s">
        <v>13</v>
      </c>
      <c r="B208" s="93">
        <f t="shared" ref="B208:B216" si="19">$C$133*C$126+$C$134*B195</f>
        <v>0.32168933742869676</v>
      </c>
      <c r="C208" s="93">
        <f t="shared" ref="C208:C216" si="20">$C$133*C$127+$C$134*C195</f>
        <v>0.32265467310223783</v>
      </c>
      <c r="D208" s="93">
        <f t="shared" ref="D208:D216" si="21">$C$133*C$128+$C$134*D195</f>
        <v>0.3556559894690654</v>
      </c>
      <c r="E208" s="94">
        <f t="shared" ref="E208:E216" si="22">SUM(B208:D208)</f>
        <v>1</v>
      </c>
      <c r="F208" s="97"/>
      <c r="G208" s="97"/>
      <c r="H208" s="97"/>
    </row>
    <row r="209" spans="1:8" x14ac:dyDescent="0.25">
      <c r="A209" s="222" t="s">
        <v>14</v>
      </c>
      <c r="B209" s="93">
        <f t="shared" si="19"/>
        <v>0.32168933742869676</v>
      </c>
      <c r="C209" s="93">
        <f t="shared" si="20"/>
        <v>0.31565598946906537</v>
      </c>
      <c r="D209" s="93">
        <f t="shared" si="21"/>
        <v>0.36265467310223787</v>
      </c>
      <c r="E209" s="94">
        <f t="shared" si="22"/>
        <v>1</v>
      </c>
      <c r="F209" s="97"/>
      <c r="G209" s="97"/>
      <c r="H209" s="97"/>
    </row>
    <row r="210" spans="1:8" x14ac:dyDescent="0.25">
      <c r="A210" s="222" t="s">
        <v>15</v>
      </c>
      <c r="B210" s="93">
        <f t="shared" si="19"/>
        <v>0.32408653846153845</v>
      </c>
      <c r="C210" s="93">
        <f t="shared" si="20"/>
        <v>0.32309495192307686</v>
      </c>
      <c r="D210" s="93">
        <f t="shared" si="21"/>
        <v>0.35281850961538463</v>
      </c>
      <c r="E210" s="94">
        <f t="shared" si="22"/>
        <v>1</v>
      </c>
      <c r="F210" s="97"/>
      <c r="G210" s="97"/>
      <c r="H210" s="97"/>
    </row>
    <row r="211" spans="1:8" x14ac:dyDescent="0.25">
      <c r="A211" s="222" t="s">
        <v>17</v>
      </c>
      <c r="B211" s="93">
        <f t="shared" si="19"/>
        <v>0.32047129391602397</v>
      </c>
      <c r="C211" s="93">
        <f t="shared" si="20"/>
        <v>0.31811482433590405</v>
      </c>
      <c r="D211" s="93">
        <f t="shared" si="21"/>
        <v>0.36141388174807199</v>
      </c>
      <c r="E211" s="94">
        <f t="shared" si="22"/>
        <v>1</v>
      </c>
      <c r="F211" s="97"/>
      <c r="G211" s="97"/>
      <c r="H211" s="97"/>
    </row>
    <row r="212" spans="1:8" x14ac:dyDescent="0.25">
      <c r="A212" s="222" t="s">
        <v>18</v>
      </c>
      <c r="B212" s="93">
        <f t="shared" si="19"/>
        <v>0.31717223650385601</v>
      </c>
      <c r="C212" s="93">
        <f t="shared" si="20"/>
        <v>0.32141388174807195</v>
      </c>
      <c r="D212" s="93">
        <f t="shared" si="21"/>
        <v>0.36141388174807199</v>
      </c>
      <c r="E212" s="94">
        <f t="shared" si="22"/>
        <v>0.99999999999999989</v>
      </c>
      <c r="F212" s="97"/>
      <c r="G212" s="97"/>
      <c r="H212" s="97"/>
    </row>
    <row r="213" spans="1:8" x14ac:dyDescent="0.25">
      <c r="A213" s="222" t="s">
        <v>19</v>
      </c>
      <c r="B213" s="93">
        <f t="shared" si="19"/>
        <v>0.31938513135830071</v>
      </c>
      <c r="C213" s="93">
        <f t="shared" si="20"/>
        <v>0.32030743432084963</v>
      </c>
      <c r="D213" s="93">
        <f t="shared" si="21"/>
        <v>0.36030743432084966</v>
      </c>
      <c r="E213" s="94">
        <f t="shared" si="22"/>
        <v>1</v>
      </c>
      <c r="F213" s="97"/>
      <c r="G213" s="97"/>
      <c r="H213" s="97"/>
    </row>
    <row r="214" spans="1:8" x14ac:dyDescent="0.25">
      <c r="A214" s="222" t="s">
        <v>20</v>
      </c>
      <c r="B214" s="93">
        <f t="shared" si="19"/>
        <v>0.31938513135830071</v>
      </c>
      <c r="C214" s="93">
        <f t="shared" si="20"/>
        <v>0.32030743432084963</v>
      </c>
      <c r="D214" s="93">
        <f t="shared" si="21"/>
        <v>0.36030743432084966</v>
      </c>
      <c r="E214" s="94">
        <f t="shared" si="22"/>
        <v>1</v>
      </c>
      <c r="F214" s="97"/>
      <c r="G214" s="97"/>
      <c r="H214" s="97"/>
    </row>
    <row r="215" spans="1:8" x14ac:dyDescent="0.25">
      <c r="A215" s="222" t="s">
        <v>22</v>
      </c>
      <c r="B215" s="93">
        <f t="shared" si="19"/>
        <v>0.31469065379552436</v>
      </c>
      <c r="C215" s="93">
        <f t="shared" si="20"/>
        <v>0.32265467310223783</v>
      </c>
      <c r="D215" s="93">
        <f t="shared" si="21"/>
        <v>0.36265467310223787</v>
      </c>
      <c r="E215" s="94">
        <f t="shared" si="22"/>
        <v>1</v>
      </c>
      <c r="F215" s="97"/>
      <c r="G215" s="97"/>
      <c r="H215" s="97"/>
    </row>
    <row r="216" spans="1:8" x14ac:dyDescent="0.25">
      <c r="A216" s="222" t="s">
        <v>23</v>
      </c>
      <c r="B216" s="93">
        <f t="shared" si="19"/>
        <v>0.31717223650385601</v>
      </c>
      <c r="C216" s="93">
        <f t="shared" si="20"/>
        <v>0.32141388174807195</v>
      </c>
      <c r="D216" s="93">
        <f t="shared" si="21"/>
        <v>0.36141388174807199</v>
      </c>
      <c r="E216" s="94">
        <f t="shared" si="22"/>
        <v>0.99999999999999989</v>
      </c>
      <c r="F216" s="97"/>
      <c r="G216" s="97"/>
      <c r="H216" s="97"/>
    </row>
    <row r="218" spans="1:8" x14ac:dyDescent="0.25">
      <c r="A218" s="1" t="s">
        <v>323</v>
      </c>
    </row>
    <row r="219" spans="1:8" x14ac:dyDescent="0.25">
      <c r="A219" s="150" t="s">
        <v>234</v>
      </c>
      <c r="B219" s="150" t="s">
        <v>104</v>
      </c>
      <c r="C219" s="150" t="s">
        <v>105</v>
      </c>
      <c r="D219" s="150" t="s">
        <v>106</v>
      </c>
    </row>
    <row r="220" spans="1:8" x14ac:dyDescent="0.25">
      <c r="A220" s="222" t="s">
        <v>24</v>
      </c>
      <c r="B220" s="98">
        <f t="shared" ref="B220:B229" si="23">J14</f>
        <v>24</v>
      </c>
      <c r="C220" s="98">
        <f t="shared" ref="C220:C229" si="24">J44</f>
        <v>21.5</v>
      </c>
      <c r="D220" s="98">
        <f t="shared" ref="D220:D229" si="25">J74</f>
        <v>21.5</v>
      </c>
    </row>
    <row r="221" spans="1:8" x14ac:dyDescent="0.25">
      <c r="A221" s="222" t="s">
        <v>13</v>
      </c>
      <c r="B221" s="98">
        <f t="shared" si="23"/>
        <v>13.280000000000001</v>
      </c>
      <c r="C221" s="98">
        <f t="shared" si="24"/>
        <v>13.5</v>
      </c>
      <c r="D221" s="98">
        <f t="shared" si="25"/>
        <v>15.095000000000001</v>
      </c>
    </row>
    <row r="222" spans="1:8" x14ac:dyDescent="0.25">
      <c r="A222" s="222" t="s">
        <v>14</v>
      </c>
      <c r="B222" s="98">
        <f t="shared" si="23"/>
        <v>5.28</v>
      </c>
      <c r="C222" s="98">
        <f t="shared" si="24"/>
        <v>7.0950000000000006</v>
      </c>
      <c r="D222" s="98">
        <f t="shared" si="25"/>
        <v>5.5</v>
      </c>
    </row>
    <row r="223" spans="1:8" x14ac:dyDescent="0.25">
      <c r="A223" s="222" t="s">
        <v>15</v>
      </c>
      <c r="B223" s="98">
        <f t="shared" si="23"/>
        <v>21.28</v>
      </c>
      <c r="C223" s="98">
        <f t="shared" si="24"/>
        <v>21.5</v>
      </c>
      <c r="D223" s="98">
        <f t="shared" si="25"/>
        <v>18.78</v>
      </c>
    </row>
    <row r="224" spans="1:8" x14ac:dyDescent="0.25">
      <c r="A224" s="222" t="s">
        <v>17</v>
      </c>
      <c r="B224" s="98">
        <f t="shared" si="23"/>
        <v>13.2</v>
      </c>
      <c r="C224" s="98">
        <f t="shared" si="24"/>
        <v>14.190000000000001</v>
      </c>
      <c r="D224" s="98">
        <f t="shared" si="25"/>
        <v>13.420000000000002</v>
      </c>
    </row>
    <row r="225" spans="1:6" x14ac:dyDescent="0.25">
      <c r="A225" s="222" t="s">
        <v>18</v>
      </c>
      <c r="B225" s="98">
        <f t="shared" si="23"/>
        <v>7.92</v>
      </c>
      <c r="C225" s="98">
        <f t="shared" si="24"/>
        <v>8.91</v>
      </c>
      <c r="D225" s="98">
        <f t="shared" si="25"/>
        <v>8.91</v>
      </c>
    </row>
    <row r="226" spans="1:6" x14ac:dyDescent="0.25">
      <c r="A226" s="222" t="s">
        <v>19</v>
      </c>
      <c r="B226" s="98">
        <f t="shared" si="23"/>
        <v>10.56</v>
      </c>
      <c r="C226" s="98">
        <f t="shared" si="24"/>
        <v>10.780000000000001</v>
      </c>
      <c r="D226" s="98">
        <f t="shared" si="25"/>
        <v>10.780000000000001</v>
      </c>
    </row>
    <row r="227" spans="1:6" x14ac:dyDescent="0.25">
      <c r="A227" s="222" t="s">
        <v>20</v>
      </c>
      <c r="B227" s="98">
        <f t="shared" si="23"/>
        <v>15.84</v>
      </c>
      <c r="C227" s="98">
        <f t="shared" si="24"/>
        <v>16.060000000000002</v>
      </c>
      <c r="D227" s="98">
        <f t="shared" si="25"/>
        <v>16.060000000000002</v>
      </c>
    </row>
    <row r="228" spans="1:6" x14ac:dyDescent="0.25">
      <c r="A228" s="222" t="s">
        <v>22</v>
      </c>
      <c r="B228" s="98">
        <f t="shared" si="23"/>
        <v>0</v>
      </c>
      <c r="C228" s="98">
        <f t="shared" si="24"/>
        <v>1.8150000000000002</v>
      </c>
      <c r="D228" s="98">
        <f t="shared" si="25"/>
        <v>1.8150000000000002</v>
      </c>
    </row>
    <row r="229" spans="1:6" x14ac:dyDescent="0.25">
      <c r="A229" s="222" t="s">
        <v>23</v>
      </c>
      <c r="B229" s="98">
        <f t="shared" si="23"/>
        <v>13.280000000000001</v>
      </c>
      <c r="C229" s="98">
        <f t="shared" si="24"/>
        <v>14.27</v>
      </c>
      <c r="D229" s="98">
        <f t="shared" si="25"/>
        <v>14.27</v>
      </c>
    </row>
    <row r="231" spans="1:6" x14ac:dyDescent="0.25">
      <c r="A231" s="1" t="s">
        <v>322</v>
      </c>
    </row>
    <row r="232" spans="1:6" ht="75" x14ac:dyDescent="0.25">
      <c r="A232" s="42" t="s">
        <v>234</v>
      </c>
      <c r="B232" s="42" t="s">
        <v>200</v>
      </c>
      <c r="C232" s="42" t="s">
        <v>201</v>
      </c>
      <c r="D232" s="42" t="s">
        <v>288</v>
      </c>
      <c r="E232" s="42" t="s">
        <v>267</v>
      </c>
      <c r="F232" s="42" t="s">
        <v>266</v>
      </c>
    </row>
    <row r="233" spans="1:6" x14ac:dyDescent="0.25">
      <c r="A233" s="222" t="s">
        <v>24</v>
      </c>
      <c r="B233" s="98">
        <f>B207*B220</f>
        <v>7.5008955223880598</v>
      </c>
      <c r="C233" s="98">
        <f t="shared" ref="C233" si="26">C207*C220</f>
        <v>6.960223880597014</v>
      </c>
      <c r="D233" s="98">
        <f>D207*D220</f>
        <v>7.8202238805970152</v>
      </c>
      <c r="E233" s="98">
        <f>B233+C233+D233</f>
        <v>22.281343283582089</v>
      </c>
      <c r="F233" s="98">
        <f>E233</f>
        <v>22.281343283582089</v>
      </c>
    </row>
    <row r="234" spans="1:6" x14ac:dyDescent="0.25">
      <c r="A234" s="222" t="s">
        <v>13</v>
      </c>
      <c r="B234" s="98">
        <f t="shared" ref="B234:D242" si="27">B208*B221</f>
        <v>4.2720344010530935</v>
      </c>
      <c r="C234" s="98">
        <f t="shared" si="27"/>
        <v>4.3558380868802109</v>
      </c>
      <c r="D234" s="98">
        <f t="shared" si="27"/>
        <v>5.3686271610355423</v>
      </c>
      <c r="E234" s="98">
        <f t="shared" ref="E234:E242" si="28">B234+C234+D234</f>
        <v>13.996499648968847</v>
      </c>
      <c r="F234" s="98">
        <f>E234</f>
        <v>13.996499648968847</v>
      </c>
    </row>
    <row r="235" spans="1:6" x14ac:dyDescent="0.25">
      <c r="A235" s="222" t="s">
        <v>14</v>
      </c>
      <c r="B235" s="98">
        <f t="shared" si="27"/>
        <v>1.698519701623519</v>
      </c>
      <c r="C235" s="98">
        <f t="shared" si="27"/>
        <v>2.2395792452830188</v>
      </c>
      <c r="D235" s="98">
        <f t="shared" si="27"/>
        <v>1.9946007020623082</v>
      </c>
      <c r="E235" s="98">
        <f t="shared" si="28"/>
        <v>5.9326996489688462</v>
      </c>
      <c r="F235" s="98">
        <f>E235</f>
        <v>5.9326996489688462</v>
      </c>
    </row>
    <row r="236" spans="1:6" x14ac:dyDescent="0.25">
      <c r="A236" s="222" t="s">
        <v>15</v>
      </c>
      <c r="B236" s="98">
        <f t="shared" si="27"/>
        <v>6.8965615384615386</v>
      </c>
      <c r="C236" s="98">
        <f t="shared" si="27"/>
        <v>6.9465414663461527</v>
      </c>
      <c r="D236" s="98">
        <f t="shared" si="27"/>
        <v>6.6259316105769237</v>
      </c>
      <c r="E236" s="98">
        <f t="shared" si="28"/>
        <v>20.469034615384615</v>
      </c>
      <c r="F236" s="98">
        <f>E233</f>
        <v>22.281343283582089</v>
      </c>
    </row>
    <row r="237" spans="1:6" x14ac:dyDescent="0.25">
      <c r="A237" s="222" t="s">
        <v>17</v>
      </c>
      <c r="B237" s="98">
        <f t="shared" si="27"/>
        <v>4.2302210796915158</v>
      </c>
      <c r="C237" s="98">
        <f t="shared" si="27"/>
        <v>4.5140493573264786</v>
      </c>
      <c r="D237" s="98">
        <f t="shared" si="27"/>
        <v>4.8501742930591263</v>
      </c>
      <c r="E237" s="98">
        <f t="shared" si="28"/>
        <v>13.594444730077122</v>
      </c>
      <c r="F237" s="98">
        <f>E237</f>
        <v>13.594444730077122</v>
      </c>
    </row>
    <row r="238" spans="1:6" x14ac:dyDescent="0.25">
      <c r="A238" s="222" t="s">
        <v>18</v>
      </c>
      <c r="B238" s="98">
        <f t="shared" si="27"/>
        <v>2.5120041131105397</v>
      </c>
      <c r="C238" s="98">
        <f t="shared" si="27"/>
        <v>2.8637976863753209</v>
      </c>
      <c r="D238" s="98">
        <f t="shared" si="27"/>
        <v>3.2201976863753212</v>
      </c>
      <c r="E238" s="98">
        <f t="shared" si="28"/>
        <v>8.5959994858611815</v>
      </c>
      <c r="F238" s="98">
        <f>E239</f>
        <v>10.709735271101174</v>
      </c>
    </row>
    <row r="239" spans="1:6" x14ac:dyDescent="0.25">
      <c r="A239" s="222" t="s">
        <v>19</v>
      </c>
      <c r="B239" s="98">
        <f t="shared" si="27"/>
        <v>3.3727069871436557</v>
      </c>
      <c r="C239" s="98">
        <f t="shared" si="27"/>
        <v>3.4529141419787592</v>
      </c>
      <c r="D239" s="98">
        <f t="shared" si="27"/>
        <v>3.8841141419787597</v>
      </c>
      <c r="E239" s="98">
        <f t="shared" si="28"/>
        <v>10.709735271101174</v>
      </c>
      <c r="F239" s="98">
        <f>E239</f>
        <v>10.709735271101174</v>
      </c>
    </row>
    <row r="240" spans="1:6" x14ac:dyDescent="0.25">
      <c r="A240" s="222" t="s">
        <v>20</v>
      </c>
      <c r="B240" s="98">
        <f t="shared" si="27"/>
        <v>5.0590604807154831</v>
      </c>
      <c r="C240" s="98">
        <f t="shared" si="27"/>
        <v>5.1441373951928453</v>
      </c>
      <c r="D240" s="98">
        <f t="shared" si="27"/>
        <v>5.7865373951928465</v>
      </c>
      <c r="E240" s="98">
        <f t="shared" si="28"/>
        <v>15.989735271101175</v>
      </c>
      <c r="F240" s="98">
        <f>E240</f>
        <v>15.989735271101175</v>
      </c>
    </row>
    <row r="241" spans="1:6" x14ac:dyDescent="0.25">
      <c r="A241" s="222" t="s">
        <v>22</v>
      </c>
      <c r="B241" s="98">
        <f t="shared" si="27"/>
        <v>0</v>
      </c>
      <c r="C241" s="98">
        <f t="shared" si="27"/>
        <v>0.58561823168056171</v>
      </c>
      <c r="D241" s="98">
        <f t="shared" si="27"/>
        <v>0.65821823168056182</v>
      </c>
      <c r="E241" s="98">
        <f t="shared" si="28"/>
        <v>1.2438364633611236</v>
      </c>
      <c r="F241" s="98">
        <f>E240</f>
        <v>15.989735271101175</v>
      </c>
    </row>
    <row r="242" spans="1:6" x14ac:dyDescent="0.25">
      <c r="A242" s="222" t="s">
        <v>23</v>
      </c>
      <c r="B242" s="98">
        <f t="shared" si="27"/>
        <v>4.212047300771208</v>
      </c>
      <c r="C242" s="98">
        <f t="shared" si="27"/>
        <v>4.5865760925449868</v>
      </c>
      <c r="D242" s="98">
        <f t="shared" si="27"/>
        <v>5.157376092544987</v>
      </c>
      <c r="E242" s="98">
        <f t="shared" si="28"/>
        <v>13.955999485861181</v>
      </c>
      <c r="F242" s="98">
        <f>E240</f>
        <v>15.989735271101175</v>
      </c>
    </row>
    <row r="244" spans="1:6" ht="15.75" thickBot="1" x14ac:dyDescent="0.3">
      <c r="A244" s="1" t="s">
        <v>326</v>
      </c>
    </row>
    <row r="245" spans="1:6" ht="30.75" thickBot="1" x14ac:dyDescent="0.3">
      <c r="A245" s="84" t="s">
        <v>234</v>
      </c>
      <c r="B245" s="84" t="s">
        <v>267</v>
      </c>
      <c r="C245" s="280" t="s">
        <v>266</v>
      </c>
    </row>
    <row r="246" spans="1:6" x14ac:dyDescent="0.25">
      <c r="A246" s="374" t="s">
        <v>24</v>
      </c>
      <c r="B246" s="140">
        <v>22.2813432835821</v>
      </c>
      <c r="C246" s="140">
        <v>22.2813432835821</v>
      </c>
    </row>
    <row r="247" spans="1:6" x14ac:dyDescent="0.25">
      <c r="A247" s="375" t="s">
        <v>15</v>
      </c>
      <c r="B247" s="142">
        <v>20.469034615384601</v>
      </c>
      <c r="C247" s="142">
        <v>22.2813432835821</v>
      </c>
    </row>
    <row r="248" spans="1:6" x14ac:dyDescent="0.25">
      <c r="A248" s="375" t="s">
        <v>20</v>
      </c>
      <c r="B248" s="142">
        <v>15.9897352711012</v>
      </c>
      <c r="C248" s="142">
        <v>15.9897352711012</v>
      </c>
    </row>
    <row r="249" spans="1:6" x14ac:dyDescent="0.25">
      <c r="A249" s="375" t="s">
        <v>23</v>
      </c>
      <c r="B249" s="142">
        <v>13.9559994858612</v>
      </c>
      <c r="C249" s="142">
        <v>15.9897352711012</v>
      </c>
    </row>
    <row r="250" spans="1:6" x14ac:dyDescent="0.25">
      <c r="A250" s="375" t="s">
        <v>22</v>
      </c>
      <c r="B250" s="142">
        <v>1.2438364633611201</v>
      </c>
      <c r="C250" s="142">
        <v>15.9897352711012</v>
      </c>
    </row>
    <row r="251" spans="1:6" x14ac:dyDescent="0.25">
      <c r="A251" s="375" t="s">
        <v>13</v>
      </c>
      <c r="B251" s="142">
        <v>13.9964996489688</v>
      </c>
      <c r="C251" s="142">
        <v>13.9964996489688</v>
      </c>
    </row>
    <row r="252" spans="1:6" x14ac:dyDescent="0.25">
      <c r="A252" s="375" t="s">
        <v>17</v>
      </c>
      <c r="B252" s="142">
        <v>13.5944447300771</v>
      </c>
      <c r="C252" s="142">
        <v>13.5944447300771</v>
      </c>
    </row>
    <row r="253" spans="1:6" x14ac:dyDescent="0.25">
      <c r="A253" s="375" t="s">
        <v>19</v>
      </c>
      <c r="B253" s="142">
        <v>10.7097352711012</v>
      </c>
      <c r="C253" s="142">
        <v>10.7097352711012</v>
      </c>
    </row>
    <row r="254" spans="1:6" x14ac:dyDescent="0.25">
      <c r="A254" s="375" t="s">
        <v>18</v>
      </c>
      <c r="B254" s="142">
        <v>8.5959994858611797</v>
      </c>
      <c r="C254" s="142">
        <v>10.7097352711012</v>
      </c>
    </row>
    <row r="255" spans="1:6" ht="15.75" thickBot="1" x14ac:dyDescent="0.3">
      <c r="A255" s="376" t="s">
        <v>14</v>
      </c>
      <c r="B255" s="113">
        <v>5.9326996489688497</v>
      </c>
      <c r="C255" s="113">
        <v>5.9326996489688497</v>
      </c>
    </row>
  </sheetData>
  <sortState xmlns:xlrd2="http://schemas.microsoft.com/office/spreadsheetml/2017/richdata2" ref="A246:J255">
    <sortCondition descending="1" ref="C246:C255"/>
  </sortState>
  <mergeCells count="23">
    <mergeCell ref="J42:J43"/>
    <mergeCell ref="G12:I12"/>
    <mergeCell ref="A72:A73"/>
    <mergeCell ref="B72:B73"/>
    <mergeCell ref="C72:C73"/>
    <mergeCell ref="D72:F72"/>
    <mergeCell ref="G72:I72"/>
    <mergeCell ref="K12:K13"/>
    <mergeCell ref="K42:K43"/>
    <mergeCell ref="K72:K73"/>
    <mergeCell ref="A5:E5"/>
    <mergeCell ref="A12:A13"/>
    <mergeCell ref="B12:B13"/>
    <mergeCell ref="C12:C13"/>
    <mergeCell ref="D12:F12"/>
    <mergeCell ref="A7:E7"/>
    <mergeCell ref="J72:J73"/>
    <mergeCell ref="J12:J13"/>
    <mergeCell ref="A42:A43"/>
    <mergeCell ref="B42:B43"/>
    <mergeCell ref="C42:C43"/>
    <mergeCell ref="D42:F42"/>
    <mergeCell ref="G42:I42"/>
  </mergeCells>
  <hyperlinks>
    <hyperlink ref="B4" r:id="rId1" xr:uid="{B6DE5B33-CCC0-4E23-8C99-4E373EBF2A4D}"/>
    <hyperlink ref="B6" r:id="rId2" xr:uid="{FEFE0259-DAAA-42AA-BFAB-2670F7F7F362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65E8-E925-40AF-9061-646FBE78B73E}">
  <dimension ref="A1:K308"/>
  <sheetViews>
    <sheetView topLeftCell="A296" zoomScaleNormal="100" workbookViewId="0">
      <selection activeCell="B311" sqref="B311"/>
    </sheetView>
  </sheetViews>
  <sheetFormatPr defaultRowHeight="15" x14ac:dyDescent="0.25"/>
  <cols>
    <col min="1" max="1" width="45.5703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20.7109375" customWidth="1"/>
    <col min="7" max="7" width="19.140625" customWidth="1"/>
    <col min="10" max="10" width="17.85546875" customWidth="1"/>
    <col min="11" max="11" width="22.140625" customWidth="1"/>
  </cols>
  <sheetData>
    <row r="1" spans="1:11" ht="18.75" x14ac:dyDescent="0.3">
      <c r="A1" s="149" t="s">
        <v>198</v>
      </c>
    </row>
    <row r="3" spans="1:11" x14ac:dyDescent="0.25">
      <c r="A3" s="1" t="s">
        <v>34</v>
      </c>
      <c r="B3" s="34"/>
      <c r="C3" s="34"/>
    </row>
    <row r="4" spans="1:11" x14ac:dyDescent="0.25">
      <c r="A4" s="1" t="s">
        <v>35</v>
      </c>
      <c r="B4" s="37" t="s">
        <v>36</v>
      </c>
      <c r="C4" s="34"/>
    </row>
    <row r="5" spans="1:11" ht="30" customHeight="1" x14ac:dyDescent="0.25">
      <c r="A5" s="468" t="s">
        <v>173</v>
      </c>
      <c r="B5" s="469"/>
      <c r="C5" s="469"/>
      <c r="D5" s="462"/>
      <c r="E5" s="462"/>
    </row>
    <row r="6" spans="1:11" ht="15.75" x14ac:dyDescent="0.25">
      <c r="A6" s="114" t="s">
        <v>146</v>
      </c>
      <c r="B6" s="115" t="s">
        <v>150</v>
      </c>
      <c r="C6" s="35"/>
    </row>
    <row r="7" spans="1:11" ht="15" customHeight="1" x14ac:dyDescent="0.25">
      <c r="A7" s="468" t="s">
        <v>172</v>
      </c>
      <c r="B7" s="469"/>
      <c r="C7" s="469"/>
      <c r="D7" s="462"/>
      <c r="E7" s="462"/>
    </row>
    <row r="8" spans="1:11" ht="15.75" x14ac:dyDescent="0.25">
      <c r="A8" s="65"/>
      <c r="B8" s="35"/>
      <c r="C8" s="35"/>
    </row>
    <row r="9" spans="1:11" ht="18.75" x14ac:dyDescent="0.3">
      <c r="A9" s="68" t="s">
        <v>84</v>
      </c>
      <c r="B9" s="35"/>
      <c r="C9" s="35"/>
    </row>
    <row r="10" spans="1:11" x14ac:dyDescent="0.25">
      <c r="A10" s="1" t="s">
        <v>47</v>
      </c>
      <c r="B10" s="35"/>
      <c r="C10" s="35"/>
    </row>
    <row r="11" spans="1:11" ht="15.75" thickBot="1" x14ac:dyDescent="0.3">
      <c r="A11" s="36" t="s">
        <v>87</v>
      </c>
      <c r="B11" s="35"/>
      <c r="C11" s="35"/>
    </row>
    <row r="12" spans="1:11" ht="75.75" customHeight="1" x14ac:dyDescent="0.25">
      <c r="A12" s="464" t="s">
        <v>25</v>
      </c>
      <c r="B12" s="455" t="s">
        <v>285</v>
      </c>
      <c r="C12" s="488" t="s">
        <v>26</v>
      </c>
      <c r="D12" s="464" t="s">
        <v>55</v>
      </c>
      <c r="E12" s="455"/>
      <c r="F12" s="444"/>
      <c r="G12" s="454" t="s">
        <v>56</v>
      </c>
      <c r="H12" s="455"/>
      <c r="I12" s="455"/>
      <c r="J12" s="444" t="s">
        <v>51</v>
      </c>
      <c r="K12" s="425" t="s">
        <v>266</v>
      </c>
    </row>
    <row r="13" spans="1:11" s="33" customFormat="1" ht="18" customHeight="1" thickBot="1" x14ac:dyDescent="0.3">
      <c r="A13" s="465"/>
      <c r="B13" s="466"/>
      <c r="C13" s="496"/>
      <c r="D13" s="240" t="s">
        <v>48</v>
      </c>
      <c r="E13" s="218" t="s">
        <v>49</v>
      </c>
      <c r="F13" s="241" t="s">
        <v>50</v>
      </c>
      <c r="G13" s="257" t="s">
        <v>48</v>
      </c>
      <c r="H13" s="218" t="s">
        <v>49</v>
      </c>
      <c r="I13" s="218" t="s">
        <v>50</v>
      </c>
      <c r="J13" s="445"/>
      <c r="K13" s="426"/>
    </row>
    <row r="14" spans="1:11" ht="30" x14ac:dyDescent="0.25">
      <c r="A14" s="366" t="s">
        <v>0</v>
      </c>
      <c r="B14" s="367" t="s">
        <v>24</v>
      </c>
      <c r="C14" s="364" t="s">
        <v>12</v>
      </c>
      <c r="D14" s="238" t="s">
        <v>42</v>
      </c>
      <c r="E14" s="239" t="s">
        <v>42</v>
      </c>
      <c r="F14" s="250" t="s">
        <v>42</v>
      </c>
      <c r="G14" s="370">
        <f>IF(D14=$A$27,$B$27,(IF(D14=$A$28,$B$28,IF(D14=$A$29,$B$29,$B$30))))</f>
        <v>1</v>
      </c>
      <c r="H14" s="325">
        <f t="shared" ref="H14:I23" si="0">IF(E14=$A$27,$B$27,(IF(E14=$A$28,$B$28,IF(E14=$A$29,$B$29,$B$30))))</f>
        <v>1</v>
      </c>
      <c r="I14" s="325">
        <f t="shared" si="0"/>
        <v>1</v>
      </c>
      <c r="J14" s="132">
        <f>G14*$D$34+H14*$D$35+I14*$D$36</f>
        <v>24</v>
      </c>
      <c r="K14" s="135">
        <f>J14</f>
        <v>24</v>
      </c>
    </row>
    <row r="15" spans="1:11" x14ac:dyDescent="0.25">
      <c r="A15" s="226" t="s">
        <v>1</v>
      </c>
      <c r="B15" s="222" t="s">
        <v>13</v>
      </c>
      <c r="C15" s="54" t="s">
        <v>27</v>
      </c>
      <c r="D15" s="72" t="s">
        <v>45</v>
      </c>
      <c r="E15" s="73" t="s">
        <v>43</v>
      </c>
      <c r="F15" s="251" t="s">
        <v>42</v>
      </c>
      <c r="G15" s="362">
        <f>IF(D15=$A$27,$B$27,(IF(D15=$A$28,$B$28,IF(D15=$A$29,$B$29,$B$30))))</f>
        <v>0</v>
      </c>
      <c r="H15" s="301">
        <f t="shared" si="0"/>
        <v>0.66</v>
      </c>
      <c r="I15" s="301">
        <f t="shared" si="0"/>
        <v>1</v>
      </c>
      <c r="J15" s="104">
        <f t="shared" ref="J15:J23" si="1">G15*$D$34+H15*$D$35+I15*$D$36</f>
        <v>13.280000000000001</v>
      </c>
      <c r="K15" s="267">
        <f>J15</f>
        <v>13.280000000000001</v>
      </c>
    </row>
    <row r="16" spans="1:11" x14ac:dyDescent="0.25">
      <c r="A16" s="226" t="s">
        <v>2</v>
      </c>
      <c r="B16" s="222" t="s">
        <v>14</v>
      </c>
      <c r="C16" s="54" t="s">
        <v>28</v>
      </c>
      <c r="D16" s="72" t="s">
        <v>43</v>
      </c>
      <c r="E16" s="73" t="s">
        <v>45</v>
      </c>
      <c r="F16" s="251" t="s">
        <v>45</v>
      </c>
      <c r="G16" s="362">
        <f t="shared" ref="G16:G23" si="2">IF(D16=$A$27,$B$27,(IF(D16=$A$28,$B$28,IF(D16=$A$29,$B$29,$B$30))))</f>
        <v>0.66</v>
      </c>
      <c r="H16" s="301">
        <f t="shared" si="0"/>
        <v>0</v>
      </c>
      <c r="I16" s="301">
        <f t="shared" si="0"/>
        <v>0</v>
      </c>
      <c r="J16" s="104">
        <f t="shared" si="1"/>
        <v>5.28</v>
      </c>
      <c r="K16" s="267">
        <f>J16</f>
        <v>5.28</v>
      </c>
    </row>
    <row r="17" spans="1:11" x14ac:dyDescent="0.25">
      <c r="A17" s="226" t="s">
        <v>5</v>
      </c>
      <c r="B17" s="222" t="s">
        <v>15</v>
      </c>
      <c r="C17" s="54" t="s">
        <v>16</v>
      </c>
      <c r="D17" s="72" t="s">
        <v>42</v>
      </c>
      <c r="E17" s="73" t="s">
        <v>43</v>
      </c>
      <c r="F17" s="251" t="s">
        <v>42</v>
      </c>
      <c r="G17" s="362">
        <f t="shared" si="2"/>
        <v>1</v>
      </c>
      <c r="H17" s="301">
        <f t="shared" si="0"/>
        <v>0.66</v>
      </c>
      <c r="I17" s="301">
        <f t="shared" si="0"/>
        <v>1</v>
      </c>
      <c r="J17" s="104">
        <f t="shared" si="1"/>
        <v>21.28</v>
      </c>
      <c r="K17" s="267">
        <f>J14</f>
        <v>24</v>
      </c>
    </row>
    <row r="18" spans="1:11" ht="30" x14ac:dyDescent="0.25">
      <c r="A18" s="226" t="s">
        <v>6</v>
      </c>
      <c r="B18" s="222" t="s">
        <v>17</v>
      </c>
      <c r="C18" s="54" t="s">
        <v>29</v>
      </c>
      <c r="D18" s="72" t="s">
        <v>43</v>
      </c>
      <c r="E18" s="73" t="s">
        <v>44</v>
      </c>
      <c r="F18" s="251" t="s">
        <v>43</v>
      </c>
      <c r="G18" s="362">
        <f t="shared" si="2"/>
        <v>0.66</v>
      </c>
      <c r="H18" s="301">
        <f t="shared" si="0"/>
        <v>0.33</v>
      </c>
      <c r="I18" s="301">
        <f t="shared" si="0"/>
        <v>0.66</v>
      </c>
      <c r="J18" s="104">
        <f t="shared" si="1"/>
        <v>13.2</v>
      </c>
      <c r="K18" s="267">
        <f>J18</f>
        <v>13.2</v>
      </c>
    </row>
    <row r="19" spans="1:11" x14ac:dyDescent="0.25">
      <c r="A19" s="226" t="s">
        <v>7</v>
      </c>
      <c r="B19" s="222" t="s">
        <v>18</v>
      </c>
      <c r="C19" s="54" t="s">
        <v>30</v>
      </c>
      <c r="D19" s="72" t="s">
        <v>44</v>
      </c>
      <c r="E19" s="73" t="s">
        <v>44</v>
      </c>
      <c r="F19" s="251" t="s">
        <v>44</v>
      </c>
      <c r="G19" s="362">
        <f t="shared" si="2"/>
        <v>0.33</v>
      </c>
      <c r="H19" s="301">
        <f t="shared" si="0"/>
        <v>0.33</v>
      </c>
      <c r="I19" s="301">
        <f t="shared" si="0"/>
        <v>0.33</v>
      </c>
      <c r="J19" s="104">
        <f t="shared" si="1"/>
        <v>7.92</v>
      </c>
      <c r="K19" s="267">
        <f>J20</f>
        <v>10.56</v>
      </c>
    </row>
    <row r="20" spans="1:11" ht="30" x14ac:dyDescent="0.25">
      <c r="A20" s="226" t="s">
        <v>8</v>
      </c>
      <c r="B20" s="222" t="s">
        <v>19</v>
      </c>
      <c r="C20" s="54" t="s">
        <v>31</v>
      </c>
      <c r="D20" s="72" t="s">
        <v>43</v>
      </c>
      <c r="E20" s="73" t="s">
        <v>43</v>
      </c>
      <c r="F20" s="251" t="s">
        <v>45</v>
      </c>
      <c r="G20" s="362">
        <f t="shared" si="2"/>
        <v>0.66</v>
      </c>
      <c r="H20" s="301">
        <f t="shared" si="0"/>
        <v>0.66</v>
      </c>
      <c r="I20" s="301">
        <f t="shared" si="0"/>
        <v>0</v>
      </c>
      <c r="J20" s="104">
        <f t="shared" si="1"/>
        <v>10.56</v>
      </c>
      <c r="K20" s="267">
        <f>J20</f>
        <v>10.56</v>
      </c>
    </row>
    <row r="21" spans="1:11" ht="30" x14ac:dyDescent="0.25">
      <c r="A21" s="226" t="s">
        <v>9</v>
      </c>
      <c r="B21" s="222" t="s">
        <v>20</v>
      </c>
      <c r="C21" s="54" t="s">
        <v>21</v>
      </c>
      <c r="D21" s="72" t="s">
        <v>43</v>
      </c>
      <c r="E21" s="73" t="s">
        <v>43</v>
      </c>
      <c r="F21" s="251" t="s">
        <v>43</v>
      </c>
      <c r="G21" s="362">
        <f t="shared" si="2"/>
        <v>0.66</v>
      </c>
      <c r="H21" s="301">
        <f t="shared" si="0"/>
        <v>0.66</v>
      </c>
      <c r="I21" s="301">
        <f t="shared" si="0"/>
        <v>0.66</v>
      </c>
      <c r="J21" s="104">
        <f t="shared" si="1"/>
        <v>15.84</v>
      </c>
      <c r="K21" s="267">
        <f>J21</f>
        <v>15.84</v>
      </c>
    </row>
    <row r="22" spans="1:11" ht="35.25" customHeight="1" x14ac:dyDescent="0.25">
      <c r="A22" s="226" t="s">
        <v>10</v>
      </c>
      <c r="B22" s="222" t="s">
        <v>22</v>
      </c>
      <c r="C22" s="54" t="s">
        <v>32</v>
      </c>
      <c r="D22" s="72" t="s">
        <v>45</v>
      </c>
      <c r="E22" s="73" t="s">
        <v>45</v>
      </c>
      <c r="F22" s="251" t="s">
        <v>45</v>
      </c>
      <c r="G22" s="362">
        <f t="shared" si="2"/>
        <v>0</v>
      </c>
      <c r="H22" s="301">
        <f t="shared" si="0"/>
        <v>0</v>
      </c>
      <c r="I22" s="301">
        <f t="shared" si="0"/>
        <v>0</v>
      </c>
      <c r="J22" s="104">
        <f t="shared" si="1"/>
        <v>0</v>
      </c>
      <c r="K22" s="267">
        <f>J21</f>
        <v>15.84</v>
      </c>
    </row>
    <row r="23" spans="1:11" ht="30.75" thickBot="1" x14ac:dyDescent="0.3">
      <c r="A23" s="228" t="s">
        <v>11</v>
      </c>
      <c r="B23" s="229" t="s">
        <v>23</v>
      </c>
      <c r="C23" s="249" t="s">
        <v>33</v>
      </c>
      <c r="D23" s="74" t="s">
        <v>44</v>
      </c>
      <c r="E23" s="75" t="s">
        <v>44</v>
      </c>
      <c r="F23" s="252" t="s">
        <v>42</v>
      </c>
      <c r="G23" s="363">
        <f t="shared" si="2"/>
        <v>0.33</v>
      </c>
      <c r="H23" s="303">
        <f t="shared" si="0"/>
        <v>0.33</v>
      </c>
      <c r="I23" s="303">
        <f t="shared" si="0"/>
        <v>1</v>
      </c>
      <c r="J23" s="108">
        <f t="shared" si="1"/>
        <v>13.280000000000001</v>
      </c>
      <c r="K23" s="268">
        <f>J21</f>
        <v>15.84</v>
      </c>
    </row>
    <row r="25" spans="1:11" ht="15.75" thickBot="1" x14ac:dyDescent="0.3">
      <c r="A25" s="36" t="s">
        <v>88</v>
      </c>
    </row>
    <row r="26" spans="1:11" ht="15.75" thickBot="1" x14ac:dyDescent="0.3">
      <c r="A26" s="47" t="s">
        <v>41</v>
      </c>
      <c r="B26" s="46" t="s">
        <v>52</v>
      </c>
      <c r="C26" s="155" t="s">
        <v>53</v>
      </c>
    </row>
    <row r="27" spans="1:11" x14ac:dyDescent="0.25">
      <c r="A27" s="246" t="s">
        <v>42</v>
      </c>
      <c r="B27" s="131">
        <v>1</v>
      </c>
      <c r="C27" s="132">
        <v>8</v>
      </c>
    </row>
    <row r="28" spans="1:11" x14ac:dyDescent="0.25">
      <c r="A28" s="125" t="s">
        <v>43</v>
      </c>
      <c r="B28" s="98">
        <v>0.66</v>
      </c>
      <c r="C28" s="104">
        <v>5.5</v>
      </c>
    </row>
    <row r="29" spans="1:11" x14ac:dyDescent="0.25">
      <c r="A29" s="125" t="s">
        <v>44</v>
      </c>
      <c r="B29" s="98">
        <v>0.33</v>
      </c>
      <c r="C29" s="104">
        <v>3</v>
      </c>
    </row>
    <row r="30" spans="1:11" ht="15.75" thickBot="1" x14ac:dyDescent="0.3">
      <c r="A30" s="126" t="s">
        <v>45</v>
      </c>
      <c r="B30" s="107">
        <v>0</v>
      </c>
      <c r="C30" s="108">
        <v>0.5</v>
      </c>
    </row>
    <row r="32" spans="1:11" ht="15.75" thickBot="1" x14ac:dyDescent="0.3">
      <c r="A32" s="36" t="s">
        <v>89</v>
      </c>
    </row>
    <row r="33" spans="1:11" ht="30.75" thickBot="1" x14ac:dyDescent="0.3">
      <c r="A33" s="47" t="s">
        <v>294</v>
      </c>
      <c r="B33" s="46" t="s">
        <v>37</v>
      </c>
      <c r="C33" s="48" t="s">
        <v>46</v>
      </c>
      <c r="D33" s="49" t="s">
        <v>98</v>
      </c>
    </row>
    <row r="34" spans="1:11" x14ac:dyDescent="0.25">
      <c r="A34" s="56" t="s">
        <v>48</v>
      </c>
      <c r="B34" s="50" t="s">
        <v>38</v>
      </c>
      <c r="C34" s="51" t="s">
        <v>42</v>
      </c>
      <c r="D34" s="69">
        <f>C27</f>
        <v>8</v>
      </c>
    </row>
    <row r="35" spans="1:11" x14ac:dyDescent="0.25">
      <c r="A35" s="57" t="s">
        <v>49</v>
      </c>
      <c r="B35" s="40" t="s">
        <v>39</v>
      </c>
      <c r="C35" s="2" t="s">
        <v>42</v>
      </c>
      <c r="D35" s="70">
        <f>C27</f>
        <v>8</v>
      </c>
    </row>
    <row r="36" spans="1:11" ht="15.75" thickBot="1" x14ac:dyDescent="0.3">
      <c r="A36" s="58" t="s">
        <v>50</v>
      </c>
      <c r="B36" s="52" t="s">
        <v>40</v>
      </c>
      <c r="C36" s="53" t="s">
        <v>42</v>
      </c>
      <c r="D36" s="71">
        <f>C27</f>
        <v>8</v>
      </c>
    </row>
    <row r="39" spans="1:11" ht="18.75" x14ac:dyDescent="0.3">
      <c r="A39" s="68" t="s">
        <v>85</v>
      </c>
      <c r="B39" s="35"/>
      <c r="C39" s="35"/>
    </row>
    <row r="40" spans="1:11" x14ac:dyDescent="0.25">
      <c r="A40" s="1" t="s">
        <v>47</v>
      </c>
      <c r="B40" s="35"/>
      <c r="C40" s="35"/>
    </row>
    <row r="41" spans="1:11" ht="15.75" thickBot="1" x14ac:dyDescent="0.3">
      <c r="A41" s="36" t="s">
        <v>90</v>
      </c>
      <c r="B41" s="35"/>
      <c r="C41" s="35"/>
    </row>
    <row r="42" spans="1:11" ht="75.75" customHeight="1" x14ac:dyDescent="0.25">
      <c r="A42" s="464" t="s">
        <v>25</v>
      </c>
      <c r="B42" s="455" t="s">
        <v>284</v>
      </c>
      <c r="C42" s="488" t="s">
        <v>26</v>
      </c>
      <c r="D42" s="464" t="s">
        <v>55</v>
      </c>
      <c r="E42" s="455"/>
      <c r="F42" s="444"/>
      <c r="G42" s="454" t="s">
        <v>56</v>
      </c>
      <c r="H42" s="455"/>
      <c r="I42" s="455"/>
      <c r="J42" s="444" t="s">
        <v>51</v>
      </c>
      <c r="K42" s="425" t="s">
        <v>266</v>
      </c>
    </row>
    <row r="43" spans="1:11" s="33" customFormat="1" ht="18" customHeight="1" thickBot="1" x14ac:dyDescent="0.3">
      <c r="A43" s="465"/>
      <c r="B43" s="466"/>
      <c r="C43" s="496"/>
      <c r="D43" s="240" t="s">
        <v>48</v>
      </c>
      <c r="E43" s="218" t="s">
        <v>49</v>
      </c>
      <c r="F43" s="241" t="s">
        <v>50</v>
      </c>
      <c r="G43" s="257" t="s">
        <v>48</v>
      </c>
      <c r="H43" s="218" t="s">
        <v>49</v>
      </c>
      <c r="I43" s="218" t="s">
        <v>50</v>
      </c>
      <c r="J43" s="445"/>
      <c r="K43" s="426"/>
    </row>
    <row r="44" spans="1:11" ht="30" x14ac:dyDescent="0.25">
      <c r="A44" s="235" t="s">
        <v>0</v>
      </c>
      <c r="B44" s="236" t="s">
        <v>24</v>
      </c>
      <c r="C44" s="248" t="s">
        <v>12</v>
      </c>
      <c r="D44" s="238" t="s">
        <v>42</v>
      </c>
      <c r="E44" s="239" t="s">
        <v>42</v>
      </c>
      <c r="F44" s="250" t="s">
        <v>42</v>
      </c>
      <c r="G44" s="361">
        <f>IF(D44=$A$27,$B$27,(IF(D44=$A$28,$B$28,IF(D44=$A$29,$B$29,$B$30))))</f>
        <v>1</v>
      </c>
      <c r="H44" s="299">
        <f t="shared" ref="H44:I53" si="3">IF(E44=$A$27,$B$27,(IF(E44=$A$28,$B$28,IF(E44=$A$29,$B$29,$B$30))))</f>
        <v>1</v>
      </c>
      <c r="I44" s="299">
        <f t="shared" si="3"/>
        <v>1</v>
      </c>
      <c r="J44" s="14">
        <f>G44*$D$64+H44*$D$65+I44*$D$66</f>
        <v>21.5</v>
      </c>
      <c r="K44" s="135">
        <f>J44</f>
        <v>21.5</v>
      </c>
    </row>
    <row r="45" spans="1:11" x14ac:dyDescent="0.25">
      <c r="A45" s="226" t="s">
        <v>1</v>
      </c>
      <c r="B45" s="222" t="s">
        <v>13</v>
      </c>
      <c r="C45" s="54" t="s">
        <v>27</v>
      </c>
      <c r="D45" s="72" t="s">
        <v>45</v>
      </c>
      <c r="E45" s="73" t="s">
        <v>42</v>
      </c>
      <c r="F45" s="251" t="s">
        <v>42</v>
      </c>
      <c r="G45" s="362">
        <f>IF(D45=$A$27,$B$27,(IF(D45=$A$28,$B$28,IF(D45=$A$29,$B$29,$B$30))))</f>
        <v>0</v>
      </c>
      <c r="H45" s="301">
        <f t="shared" si="3"/>
        <v>1</v>
      </c>
      <c r="I45" s="301">
        <f t="shared" si="3"/>
        <v>1</v>
      </c>
      <c r="J45" s="104">
        <f t="shared" ref="J45:J53" si="4">G45*$D$64+H45*$D$65+I45*$D$66</f>
        <v>13.5</v>
      </c>
      <c r="K45" s="267">
        <f>J45</f>
        <v>13.5</v>
      </c>
    </row>
    <row r="46" spans="1:11" x14ac:dyDescent="0.25">
      <c r="A46" s="226" t="s">
        <v>2</v>
      </c>
      <c r="B46" s="222" t="s">
        <v>14</v>
      </c>
      <c r="C46" s="54" t="s">
        <v>28</v>
      </c>
      <c r="D46" s="72" t="s">
        <v>43</v>
      </c>
      <c r="E46" s="73" t="s">
        <v>44</v>
      </c>
      <c r="F46" s="251" t="s">
        <v>45</v>
      </c>
      <c r="G46" s="362">
        <f t="shared" ref="G46:G53" si="5">IF(D46=$A$27,$B$27,(IF(D46=$A$28,$B$28,IF(D46=$A$29,$B$29,$B$30))))</f>
        <v>0.66</v>
      </c>
      <c r="H46" s="301">
        <f t="shared" si="3"/>
        <v>0.33</v>
      </c>
      <c r="I46" s="301">
        <f t="shared" si="3"/>
        <v>0</v>
      </c>
      <c r="J46" s="104">
        <f t="shared" si="4"/>
        <v>7.0950000000000006</v>
      </c>
      <c r="K46" s="267">
        <f>J46</f>
        <v>7.0950000000000006</v>
      </c>
    </row>
    <row r="47" spans="1:11" x14ac:dyDescent="0.25">
      <c r="A47" s="226" t="s">
        <v>5</v>
      </c>
      <c r="B47" s="222" t="s">
        <v>15</v>
      </c>
      <c r="C47" s="54" t="s">
        <v>16</v>
      </c>
      <c r="D47" s="72" t="s">
        <v>42</v>
      </c>
      <c r="E47" s="73" t="s">
        <v>42</v>
      </c>
      <c r="F47" s="251" t="s">
        <v>42</v>
      </c>
      <c r="G47" s="362">
        <f t="shared" si="5"/>
        <v>1</v>
      </c>
      <c r="H47" s="301">
        <f t="shared" si="3"/>
        <v>1</v>
      </c>
      <c r="I47" s="301">
        <f t="shared" si="3"/>
        <v>1</v>
      </c>
      <c r="J47" s="104">
        <f t="shared" si="4"/>
        <v>21.5</v>
      </c>
      <c r="K47" s="267">
        <f>J44</f>
        <v>21.5</v>
      </c>
    </row>
    <row r="48" spans="1:11" ht="30" x14ac:dyDescent="0.25">
      <c r="A48" s="226" t="s">
        <v>6</v>
      </c>
      <c r="B48" s="222" t="s">
        <v>17</v>
      </c>
      <c r="C48" s="54" t="s">
        <v>29</v>
      </c>
      <c r="D48" s="72" t="s">
        <v>43</v>
      </c>
      <c r="E48" s="73" t="s">
        <v>43</v>
      </c>
      <c r="F48" s="251" t="s">
        <v>43</v>
      </c>
      <c r="G48" s="362">
        <f t="shared" si="5"/>
        <v>0.66</v>
      </c>
      <c r="H48" s="301">
        <f t="shared" si="3"/>
        <v>0.66</v>
      </c>
      <c r="I48" s="301">
        <f t="shared" si="3"/>
        <v>0.66</v>
      </c>
      <c r="J48" s="104">
        <f t="shared" si="4"/>
        <v>14.190000000000001</v>
      </c>
      <c r="K48" s="267">
        <f>J48</f>
        <v>14.190000000000001</v>
      </c>
    </row>
    <row r="49" spans="1:11" x14ac:dyDescent="0.25">
      <c r="A49" s="226" t="s">
        <v>7</v>
      </c>
      <c r="B49" s="222" t="s">
        <v>18</v>
      </c>
      <c r="C49" s="54" t="s">
        <v>30</v>
      </c>
      <c r="D49" s="72" t="s">
        <v>44</v>
      </c>
      <c r="E49" s="73" t="s">
        <v>43</v>
      </c>
      <c r="F49" s="251" t="s">
        <v>44</v>
      </c>
      <c r="G49" s="362">
        <f t="shared" si="5"/>
        <v>0.33</v>
      </c>
      <c r="H49" s="301">
        <f t="shared" si="3"/>
        <v>0.66</v>
      </c>
      <c r="I49" s="301">
        <f t="shared" si="3"/>
        <v>0.33</v>
      </c>
      <c r="J49" s="104">
        <f t="shared" si="4"/>
        <v>8.91</v>
      </c>
      <c r="K49" s="267">
        <f>J50</f>
        <v>10.780000000000001</v>
      </c>
    </row>
    <row r="50" spans="1:11" ht="30" x14ac:dyDescent="0.25">
      <c r="A50" s="226" t="s">
        <v>8</v>
      </c>
      <c r="B50" s="222" t="s">
        <v>19</v>
      </c>
      <c r="C50" s="54" t="s">
        <v>31</v>
      </c>
      <c r="D50" s="72" t="s">
        <v>43</v>
      </c>
      <c r="E50" s="73" t="s">
        <v>42</v>
      </c>
      <c r="F50" s="251" t="s">
        <v>45</v>
      </c>
      <c r="G50" s="362">
        <f t="shared" si="5"/>
        <v>0.66</v>
      </c>
      <c r="H50" s="301">
        <f t="shared" si="3"/>
        <v>1</v>
      </c>
      <c r="I50" s="301">
        <f t="shared" si="3"/>
        <v>0</v>
      </c>
      <c r="J50" s="104">
        <f t="shared" si="4"/>
        <v>10.780000000000001</v>
      </c>
      <c r="K50" s="267">
        <f>J50</f>
        <v>10.780000000000001</v>
      </c>
    </row>
    <row r="51" spans="1:11" ht="30" x14ac:dyDescent="0.25">
      <c r="A51" s="226" t="s">
        <v>9</v>
      </c>
      <c r="B51" s="222" t="s">
        <v>20</v>
      </c>
      <c r="C51" s="54" t="s">
        <v>21</v>
      </c>
      <c r="D51" s="72" t="s">
        <v>43</v>
      </c>
      <c r="E51" s="73" t="s">
        <v>42</v>
      </c>
      <c r="F51" s="251" t="s">
        <v>43</v>
      </c>
      <c r="G51" s="362">
        <f>IF(D51=$A$27,$B$27,(IF(D51=$A$28,$B$28,IF(D51=$A$29,$B$29,$B$30))))</f>
        <v>0.66</v>
      </c>
      <c r="H51" s="301">
        <f t="shared" si="3"/>
        <v>1</v>
      </c>
      <c r="I51" s="301">
        <f t="shared" si="3"/>
        <v>0.66</v>
      </c>
      <c r="J51" s="104">
        <f t="shared" si="4"/>
        <v>16.060000000000002</v>
      </c>
      <c r="K51" s="267">
        <f>J51</f>
        <v>16.060000000000002</v>
      </c>
    </row>
    <row r="52" spans="1:11" ht="35.25" customHeight="1" x14ac:dyDescent="0.25">
      <c r="A52" s="226" t="s">
        <v>10</v>
      </c>
      <c r="B52" s="222" t="s">
        <v>22</v>
      </c>
      <c r="C52" s="54" t="s">
        <v>32</v>
      </c>
      <c r="D52" s="72" t="s">
        <v>45</v>
      </c>
      <c r="E52" s="73" t="s">
        <v>44</v>
      </c>
      <c r="F52" s="251" t="s">
        <v>45</v>
      </c>
      <c r="G52" s="362">
        <f t="shared" si="5"/>
        <v>0</v>
      </c>
      <c r="H52" s="301">
        <f t="shared" si="3"/>
        <v>0.33</v>
      </c>
      <c r="I52" s="301">
        <f t="shared" si="3"/>
        <v>0</v>
      </c>
      <c r="J52" s="104">
        <f t="shared" si="4"/>
        <v>1.8150000000000002</v>
      </c>
      <c r="K52" s="267">
        <f>J51</f>
        <v>16.060000000000002</v>
      </c>
    </row>
    <row r="53" spans="1:11" ht="30.75" thickBot="1" x14ac:dyDescent="0.3">
      <c r="A53" s="228" t="s">
        <v>11</v>
      </c>
      <c r="B53" s="229" t="s">
        <v>23</v>
      </c>
      <c r="C53" s="249" t="s">
        <v>33</v>
      </c>
      <c r="D53" s="74" t="s">
        <v>44</v>
      </c>
      <c r="E53" s="75" t="s">
        <v>43</v>
      </c>
      <c r="F53" s="252" t="s">
        <v>42</v>
      </c>
      <c r="G53" s="363">
        <f t="shared" si="5"/>
        <v>0.33</v>
      </c>
      <c r="H53" s="303">
        <f t="shared" si="3"/>
        <v>0.66</v>
      </c>
      <c r="I53" s="303">
        <f t="shared" si="3"/>
        <v>1</v>
      </c>
      <c r="J53" s="108">
        <f t="shared" si="4"/>
        <v>14.27</v>
      </c>
      <c r="K53" s="268">
        <f>J51</f>
        <v>16.060000000000002</v>
      </c>
    </row>
    <row r="55" spans="1:11" ht="15.75" thickBot="1" x14ac:dyDescent="0.3">
      <c r="A55" s="36" t="s">
        <v>91</v>
      </c>
    </row>
    <row r="56" spans="1:11" ht="15.75" thickBot="1" x14ac:dyDescent="0.3">
      <c r="A56" s="47" t="s">
        <v>41</v>
      </c>
      <c r="B56" s="46" t="s">
        <v>52</v>
      </c>
      <c r="C56" s="155" t="s">
        <v>53</v>
      </c>
    </row>
    <row r="57" spans="1:11" x14ac:dyDescent="0.25">
      <c r="A57" s="246" t="s">
        <v>42</v>
      </c>
      <c r="B57" s="131">
        <v>1</v>
      </c>
      <c r="C57" s="132">
        <v>8</v>
      </c>
    </row>
    <row r="58" spans="1:11" x14ac:dyDescent="0.25">
      <c r="A58" s="125" t="s">
        <v>43</v>
      </c>
      <c r="B58" s="98">
        <v>0.66</v>
      </c>
      <c r="C58" s="104">
        <v>5.5</v>
      </c>
    </row>
    <row r="59" spans="1:11" x14ac:dyDescent="0.25">
      <c r="A59" s="125" t="s">
        <v>44</v>
      </c>
      <c r="B59" s="98">
        <v>0.33</v>
      </c>
      <c r="C59" s="104">
        <v>3</v>
      </c>
    </row>
    <row r="60" spans="1:11" ht="15.75" thickBot="1" x14ac:dyDescent="0.3">
      <c r="A60" s="126" t="s">
        <v>45</v>
      </c>
      <c r="B60" s="107">
        <v>0</v>
      </c>
      <c r="C60" s="108">
        <v>0.5</v>
      </c>
    </row>
    <row r="62" spans="1:11" ht="15.75" thickBot="1" x14ac:dyDescent="0.3">
      <c r="A62" s="36" t="s">
        <v>92</v>
      </c>
    </row>
    <row r="63" spans="1:11" ht="30.75" thickBot="1" x14ac:dyDescent="0.3">
      <c r="A63" s="47" t="s">
        <v>282</v>
      </c>
      <c r="B63" s="46" t="s">
        <v>37</v>
      </c>
      <c r="C63" s="48" t="s">
        <v>46</v>
      </c>
      <c r="D63" s="49" t="s">
        <v>97</v>
      </c>
    </row>
    <row r="64" spans="1:11" x14ac:dyDescent="0.25">
      <c r="A64" s="56" t="s">
        <v>48</v>
      </c>
      <c r="B64" s="50" t="s">
        <v>38</v>
      </c>
      <c r="C64" s="7" t="s">
        <v>42</v>
      </c>
      <c r="D64" s="255">
        <f>C57</f>
        <v>8</v>
      </c>
    </row>
    <row r="65" spans="1:11" x14ac:dyDescent="0.25">
      <c r="A65" s="57" t="s">
        <v>49</v>
      </c>
      <c r="B65" s="40" t="s">
        <v>39</v>
      </c>
      <c r="C65" s="2" t="s">
        <v>43</v>
      </c>
      <c r="D65" s="70">
        <f>C58</f>
        <v>5.5</v>
      </c>
    </row>
    <row r="66" spans="1:11" ht="15.75" thickBot="1" x14ac:dyDescent="0.3">
      <c r="A66" s="58" t="s">
        <v>50</v>
      </c>
      <c r="B66" s="52" t="s">
        <v>40</v>
      </c>
      <c r="C66" s="53" t="s">
        <v>42</v>
      </c>
      <c r="D66" s="71">
        <f>C57</f>
        <v>8</v>
      </c>
    </row>
    <row r="69" spans="1:11" ht="18.75" x14ac:dyDescent="0.3">
      <c r="A69" s="68" t="s">
        <v>86</v>
      </c>
      <c r="B69" s="35"/>
      <c r="C69" s="35"/>
    </row>
    <row r="70" spans="1:11" x14ac:dyDescent="0.25">
      <c r="A70" s="1" t="s">
        <v>47</v>
      </c>
      <c r="B70" s="35"/>
      <c r="C70" s="35"/>
    </row>
    <row r="71" spans="1:11" ht="15.75" thickBot="1" x14ac:dyDescent="0.3">
      <c r="A71" s="36" t="s">
        <v>93</v>
      </c>
      <c r="B71" s="35"/>
      <c r="C71" s="35"/>
    </row>
    <row r="72" spans="1:11" ht="90.75" customHeight="1" x14ac:dyDescent="0.25">
      <c r="A72" s="464" t="s">
        <v>25</v>
      </c>
      <c r="B72" s="455" t="s">
        <v>234</v>
      </c>
      <c r="C72" s="455" t="s">
        <v>26</v>
      </c>
      <c r="D72" s="455" t="s">
        <v>55</v>
      </c>
      <c r="E72" s="455"/>
      <c r="F72" s="455"/>
      <c r="G72" s="455" t="s">
        <v>56</v>
      </c>
      <c r="H72" s="455"/>
      <c r="I72" s="455"/>
      <c r="J72" s="444" t="s">
        <v>51</v>
      </c>
      <c r="K72" s="425" t="s">
        <v>266</v>
      </c>
    </row>
    <row r="73" spans="1:11" ht="15.75" thickBot="1" x14ac:dyDescent="0.3">
      <c r="A73" s="465"/>
      <c r="B73" s="466"/>
      <c r="C73" s="466"/>
      <c r="D73" s="218" t="s">
        <v>48</v>
      </c>
      <c r="E73" s="218" t="s">
        <v>49</v>
      </c>
      <c r="F73" s="218" t="s">
        <v>50</v>
      </c>
      <c r="G73" s="218" t="s">
        <v>48</v>
      </c>
      <c r="H73" s="218" t="s">
        <v>49</v>
      </c>
      <c r="I73" s="218" t="s">
        <v>50</v>
      </c>
      <c r="J73" s="445"/>
      <c r="K73" s="426"/>
    </row>
    <row r="74" spans="1:11" ht="30" x14ac:dyDescent="0.25">
      <c r="A74" s="235" t="s">
        <v>0</v>
      </c>
      <c r="B74" s="236" t="s">
        <v>24</v>
      </c>
      <c r="C74" s="306" t="s">
        <v>12</v>
      </c>
      <c r="D74" s="238" t="s">
        <v>42</v>
      </c>
      <c r="E74" s="239" t="s">
        <v>42</v>
      </c>
      <c r="F74" s="250" t="s">
        <v>42</v>
      </c>
      <c r="G74" s="299">
        <f>IF(D74=$A$27,$B$27,(IF(D74=$A$28,$B$28,IF(D74=$A$29,$B$29,$B$30))))</f>
        <v>1</v>
      </c>
      <c r="H74" s="299">
        <f t="shared" ref="H74:I83" si="6">IF(E74=$A$27,$B$27,(IF(E74=$A$28,$B$28,IF(E74=$A$29,$B$29,$B$30))))</f>
        <v>1</v>
      </c>
      <c r="I74" s="299">
        <f t="shared" si="6"/>
        <v>1</v>
      </c>
      <c r="J74" s="14">
        <f>G74*$D$94+H74*$D$95+I74*$D$96</f>
        <v>21.5</v>
      </c>
      <c r="K74" s="135">
        <f>J74</f>
        <v>21.5</v>
      </c>
    </row>
    <row r="75" spans="1:11" x14ac:dyDescent="0.25">
      <c r="A75" s="226" t="s">
        <v>1</v>
      </c>
      <c r="B75" s="222" t="s">
        <v>13</v>
      </c>
      <c r="C75" s="39" t="s">
        <v>27</v>
      </c>
      <c r="D75" s="72" t="s">
        <v>44</v>
      </c>
      <c r="E75" s="73" t="s">
        <v>43</v>
      </c>
      <c r="F75" s="251" t="s">
        <v>42</v>
      </c>
      <c r="G75" s="301">
        <f>IF(D75=$A$27,$B$27,(IF(D75=$A$28,$B$28,IF(D75=$A$29,$B$29,$B$30))))</f>
        <v>0.33</v>
      </c>
      <c r="H75" s="301">
        <f t="shared" si="6"/>
        <v>0.66</v>
      </c>
      <c r="I75" s="301">
        <f t="shared" si="6"/>
        <v>1</v>
      </c>
      <c r="J75" s="104">
        <f t="shared" ref="J75:J83" si="7">G75*$D$94+H75*$D$95+I75*$D$96</f>
        <v>15.095000000000001</v>
      </c>
      <c r="K75" s="267">
        <f>J75</f>
        <v>15.095000000000001</v>
      </c>
    </row>
    <row r="76" spans="1:11" x14ac:dyDescent="0.25">
      <c r="A76" s="226" t="s">
        <v>2</v>
      </c>
      <c r="B76" s="222" t="s">
        <v>14</v>
      </c>
      <c r="C76" s="39" t="s">
        <v>28</v>
      </c>
      <c r="D76" s="72" t="s">
        <v>42</v>
      </c>
      <c r="E76" s="73" t="s">
        <v>45</v>
      </c>
      <c r="F76" s="251" t="s">
        <v>45</v>
      </c>
      <c r="G76" s="301">
        <f t="shared" ref="G76:G80" si="8">IF(D76=$A$27,$B$27,(IF(D76=$A$28,$B$28,IF(D76=$A$29,$B$29,$B$30))))</f>
        <v>1</v>
      </c>
      <c r="H76" s="301">
        <f t="shared" si="6"/>
        <v>0</v>
      </c>
      <c r="I76" s="301">
        <f t="shared" si="6"/>
        <v>0</v>
      </c>
      <c r="J76" s="104">
        <f t="shared" si="7"/>
        <v>5.5</v>
      </c>
      <c r="K76" s="267">
        <f>J76</f>
        <v>5.5</v>
      </c>
    </row>
    <row r="77" spans="1:11" x14ac:dyDescent="0.25">
      <c r="A77" s="226" t="s">
        <v>5</v>
      </c>
      <c r="B77" s="222" t="s">
        <v>15</v>
      </c>
      <c r="C77" s="39" t="s">
        <v>16</v>
      </c>
      <c r="D77" s="72" t="s">
        <v>42</v>
      </c>
      <c r="E77" s="73" t="s">
        <v>43</v>
      </c>
      <c r="F77" s="251" t="s">
        <v>42</v>
      </c>
      <c r="G77" s="301">
        <f t="shared" si="8"/>
        <v>1</v>
      </c>
      <c r="H77" s="301">
        <f t="shared" si="6"/>
        <v>0.66</v>
      </c>
      <c r="I77" s="301">
        <f t="shared" si="6"/>
        <v>1</v>
      </c>
      <c r="J77" s="104">
        <f t="shared" si="7"/>
        <v>18.78</v>
      </c>
      <c r="K77" s="267">
        <f>J74</f>
        <v>21.5</v>
      </c>
    </row>
    <row r="78" spans="1:11" ht="30" x14ac:dyDescent="0.25">
      <c r="A78" s="226" t="s">
        <v>6</v>
      </c>
      <c r="B78" s="222" t="s">
        <v>17</v>
      </c>
      <c r="C78" s="39" t="s">
        <v>29</v>
      </c>
      <c r="D78" s="72" t="s">
        <v>42</v>
      </c>
      <c r="E78" s="73" t="s">
        <v>44</v>
      </c>
      <c r="F78" s="251" t="s">
        <v>43</v>
      </c>
      <c r="G78" s="301">
        <f t="shared" si="8"/>
        <v>1</v>
      </c>
      <c r="H78" s="301">
        <f t="shared" si="6"/>
        <v>0.33</v>
      </c>
      <c r="I78" s="301">
        <f t="shared" si="6"/>
        <v>0.66</v>
      </c>
      <c r="J78" s="104">
        <f t="shared" si="7"/>
        <v>13.420000000000002</v>
      </c>
      <c r="K78" s="267">
        <f>J78</f>
        <v>13.420000000000002</v>
      </c>
    </row>
    <row r="79" spans="1:11" x14ac:dyDescent="0.25">
      <c r="A79" s="226" t="s">
        <v>7</v>
      </c>
      <c r="B79" s="222" t="s">
        <v>18</v>
      </c>
      <c r="C79" s="39" t="s">
        <v>30</v>
      </c>
      <c r="D79" s="72" t="s">
        <v>43</v>
      </c>
      <c r="E79" s="73" t="s">
        <v>44</v>
      </c>
      <c r="F79" s="251" t="s">
        <v>44</v>
      </c>
      <c r="G79" s="301">
        <f t="shared" si="8"/>
        <v>0.66</v>
      </c>
      <c r="H79" s="301">
        <f t="shared" si="6"/>
        <v>0.33</v>
      </c>
      <c r="I79" s="301">
        <f t="shared" si="6"/>
        <v>0.33</v>
      </c>
      <c r="J79" s="104">
        <f t="shared" si="7"/>
        <v>8.91</v>
      </c>
      <c r="K79" s="267">
        <f>J80</f>
        <v>10.780000000000001</v>
      </c>
    </row>
    <row r="80" spans="1:11" ht="30" x14ac:dyDescent="0.25">
      <c r="A80" s="226" t="s">
        <v>8</v>
      </c>
      <c r="B80" s="222" t="s">
        <v>19</v>
      </c>
      <c r="C80" s="39" t="s">
        <v>31</v>
      </c>
      <c r="D80" s="72" t="s">
        <v>42</v>
      </c>
      <c r="E80" s="73" t="s">
        <v>43</v>
      </c>
      <c r="F80" s="251" t="s">
        <v>45</v>
      </c>
      <c r="G80" s="301">
        <f t="shared" si="8"/>
        <v>1</v>
      </c>
      <c r="H80" s="301">
        <f t="shared" si="6"/>
        <v>0.66</v>
      </c>
      <c r="I80" s="301">
        <f t="shared" si="6"/>
        <v>0</v>
      </c>
      <c r="J80" s="104">
        <f t="shared" si="7"/>
        <v>10.780000000000001</v>
      </c>
      <c r="K80" s="267">
        <f>J80</f>
        <v>10.780000000000001</v>
      </c>
    </row>
    <row r="81" spans="1:11" ht="30" x14ac:dyDescent="0.25">
      <c r="A81" s="226" t="s">
        <v>9</v>
      </c>
      <c r="B81" s="222" t="s">
        <v>20</v>
      </c>
      <c r="C81" s="39" t="s">
        <v>21</v>
      </c>
      <c r="D81" s="72" t="s">
        <v>42</v>
      </c>
      <c r="E81" s="73" t="s">
        <v>43</v>
      </c>
      <c r="F81" s="251" t="s">
        <v>43</v>
      </c>
      <c r="G81" s="301">
        <f>IF(D81=$A$27,$B$27,(IF(D81=$A$28,$B$28,IF(D81=$A$29,$B$29,$B$30))))</f>
        <v>1</v>
      </c>
      <c r="H81" s="301">
        <f t="shared" si="6"/>
        <v>0.66</v>
      </c>
      <c r="I81" s="301">
        <f t="shared" si="6"/>
        <v>0.66</v>
      </c>
      <c r="J81" s="104">
        <f t="shared" si="7"/>
        <v>16.060000000000002</v>
      </c>
      <c r="K81" s="267">
        <f>J81</f>
        <v>16.060000000000002</v>
      </c>
    </row>
    <row r="82" spans="1:11" ht="30" x14ac:dyDescent="0.25">
      <c r="A82" s="226" t="s">
        <v>10</v>
      </c>
      <c r="B82" s="222" t="s">
        <v>22</v>
      </c>
      <c r="C82" s="39" t="s">
        <v>32</v>
      </c>
      <c r="D82" s="72" t="s">
        <v>44</v>
      </c>
      <c r="E82" s="73" t="s">
        <v>45</v>
      </c>
      <c r="F82" s="251" t="s">
        <v>45</v>
      </c>
      <c r="G82" s="301">
        <f t="shared" ref="G82:G83" si="9">IF(D82=$A$27,$B$27,(IF(D82=$A$28,$B$28,IF(D82=$A$29,$B$29,$B$30))))</f>
        <v>0.33</v>
      </c>
      <c r="H82" s="301">
        <f t="shared" si="6"/>
        <v>0</v>
      </c>
      <c r="I82" s="301">
        <f t="shared" si="6"/>
        <v>0</v>
      </c>
      <c r="J82" s="104">
        <f t="shared" si="7"/>
        <v>1.8150000000000002</v>
      </c>
      <c r="K82" s="267">
        <f>J81</f>
        <v>16.060000000000002</v>
      </c>
    </row>
    <row r="83" spans="1:11" ht="30.75" thickBot="1" x14ac:dyDescent="0.3">
      <c r="A83" s="228" t="s">
        <v>11</v>
      </c>
      <c r="B83" s="229" t="s">
        <v>23</v>
      </c>
      <c r="C83" s="305" t="s">
        <v>33</v>
      </c>
      <c r="D83" s="74" t="s">
        <v>43</v>
      </c>
      <c r="E83" s="75" t="s">
        <v>44</v>
      </c>
      <c r="F83" s="252" t="s">
        <v>42</v>
      </c>
      <c r="G83" s="303">
        <f t="shared" si="9"/>
        <v>0.66</v>
      </c>
      <c r="H83" s="303">
        <f t="shared" si="6"/>
        <v>0.33</v>
      </c>
      <c r="I83" s="303">
        <f t="shared" si="6"/>
        <v>1</v>
      </c>
      <c r="J83" s="108">
        <f t="shared" si="7"/>
        <v>14.27</v>
      </c>
      <c r="K83" s="268">
        <f>J81</f>
        <v>16.060000000000002</v>
      </c>
    </row>
    <row r="85" spans="1:11" ht="15.75" thickBot="1" x14ac:dyDescent="0.3">
      <c r="A85" s="36" t="s">
        <v>94</v>
      </c>
    </row>
    <row r="86" spans="1:11" ht="15.75" thickBot="1" x14ac:dyDescent="0.3">
      <c r="A86" s="47" t="s">
        <v>41</v>
      </c>
      <c r="B86" s="46" t="s">
        <v>52</v>
      </c>
      <c r="C86" s="155" t="s">
        <v>53</v>
      </c>
    </row>
    <row r="87" spans="1:11" x14ac:dyDescent="0.25">
      <c r="A87" s="246" t="s">
        <v>42</v>
      </c>
      <c r="B87" s="131">
        <v>1</v>
      </c>
      <c r="C87" s="132">
        <v>8</v>
      </c>
    </row>
    <row r="88" spans="1:11" x14ac:dyDescent="0.25">
      <c r="A88" s="125" t="s">
        <v>43</v>
      </c>
      <c r="B88" s="98">
        <v>0.66</v>
      </c>
      <c r="C88" s="104">
        <v>5.5</v>
      </c>
    </row>
    <row r="89" spans="1:11" x14ac:dyDescent="0.25">
      <c r="A89" s="125" t="s">
        <v>44</v>
      </c>
      <c r="B89" s="98">
        <v>0.33</v>
      </c>
      <c r="C89" s="104">
        <v>3</v>
      </c>
    </row>
    <row r="90" spans="1:11" ht="15.75" thickBot="1" x14ac:dyDescent="0.3">
      <c r="A90" s="126" t="s">
        <v>45</v>
      </c>
      <c r="B90" s="107">
        <v>0</v>
      </c>
      <c r="C90" s="108">
        <v>0.5</v>
      </c>
    </row>
    <row r="92" spans="1:11" ht="15.75" thickBot="1" x14ac:dyDescent="0.3">
      <c r="A92" s="36" t="s">
        <v>95</v>
      </c>
    </row>
    <row r="93" spans="1:11" ht="30.75" thickBot="1" x14ac:dyDescent="0.3">
      <c r="A93" s="47" t="s">
        <v>282</v>
      </c>
      <c r="B93" s="46" t="s">
        <v>37</v>
      </c>
      <c r="C93" s="48" t="s">
        <v>46</v>
      </c>
      <c r="D93" s="49" t="s">
        <v>96</v>
      </c>
    </row>
    <row r="94" spans="1:11" x14ac:dyDescent="0.25">
      <c r="A94" s="261" t="s">
        <v>48</v>
      </c>
      <c r="B94" s="262" t="s">
        <v>38</v>
      </c>
      <c r="C94" s="7" t="s">
        <v>43</v>
      </c>
      <c r="D94" s="255">
        <f>C88</f>
        <v>5.5</v>
      </c>
    </row>
    <row r="95" spans="1:11" x14ac:dyDescent="0.25">
      <c r="A95" s="57" t="s">
        <v>49</v>
      </c>
      <c r="B95" s="40" t="s">
        <v>39</v>
      </c>
      <c r="C95" s="2" t="s">
        <v>42</v>
      </c>
      <c r="D95" s="70">
        <f>C87</f>
        <v>8</v>
      </c>
    </row>
    <row r="96" spans="1:11" ht="15.75" thickBot="1" x14ac:dyDescent="0.3">
      <c r="A96" s="58" t="s">
        <v>50</v>
      </c>
      <c r="B96" s="52" t="s">
        <v>40</v>
      </c>
      <c r="C96" s="53" t="s">
        <v>42</v>
      </c>
      <c r="D96" s="71">
        <f>C87</f>
        <v>8</v>
      </c>
    </row>
    <row r="98" spans="1:4" x14ac:dyDescent="0.25">
      <c r="A98" s="1" t="s">
        <v>320</v>
      </c>
    </row>
    <row r="99" spans="1:4" x14ac:dyDescent="0.25">
      <c r="A99" s="150" t="s">
        <v>103</v>
      </c>
      <c r="B99" s="150" t="s">
        <v>104</v>
      </c>
      <c r="C99" s="150" t="s">
        <v>105</v>
      </c>
      <c r="D99" s="150" t="s">
        <v>106</v>
      </c>
    </row>
    <row r="100" spans="1:4" x14ac:dyDescent="0.25">
      <c r="A100" s="222" t="s">
        <v>24</v>
      </c>
      <c r="B100" s="98">
        <f>J14</f>
        <v>24</v>
      </c>
      <c r="C100" s="98">
        <f>J44</f>
        <v>21.5</v>
      </c>
      <c r="D100" s="98">
        <f>J74</f>
        <v>21.5</v>
      </c>
    </row>
    <row r="101" spans="1:4" x14ac:dyDescent="0.25">
      <c r="A101" s="222" t="s">
        <v>13</v>
      </c>
      <c r="B101" s="98">
        <f t="shared" ref="B101:B109" si="10">J15</f>
        <v>13.280000000000001</v>
      </c>
      <c r="C101" s="98">
        <f t="shared" ref="C101:C109" si="11">J45</f>
        <v>13.5</v>
      </c>
      <c r="D101" s="98">
        <f t="shared" ref="D101:D109" si="12">J75</f>
        <v>15.095000000000001</v>
      </c>
    </row>
    <row r="102" spans="1:4" x14ac:dyDescent="0.25">
      <c r="A102" s="222" t="s">
        <v>14</v>
      </c>
      <c r="B102" s="98">
        <f t="shared" si="10"/>
        <v>5.28</v>
      </c>
      <c r="C102" s="98">
        <f t="shared" si="11"/>
        <v>7.0950000000000006</v>
      </c>
      <c r="D102" s="98">
        <f t="shared" si="12"/>
        <v>5.5</v>
      </c>
    </row>
    <row r="103" spans="1:4" x14ac:dyDescent="0.25">
      <c r="A103" s="222" t="s">
        <v>15</v>
      </c>
      <c r="B103" s="98">
        <f t="shared" si="10"/>
        <v>21.28</v>
      </c>
      <c r="C103" s="98">
        <f t="shared" si="11"/>
        <v>21.5</v>
      </c>
      <c r="D103" s="98">
        <f t="shared" si="12"/>
        <v>18.78</v>
      </c>
    </row>
    <row r="104" spans="1:4" x14ac:dyDescent="0.25">
      <c r="A104" s="222" t="s">
        <v>17</v>
      </c>
      <c r="B104" s="98">
        <f t="shared" si="10"/>
        <v>13.2</v>
      </c>
      <c r="C104" s="98">
        <f t="shared" si="11"/>
        <v>14.190000000000001</v>
      </c>
      <c r="D104" s="98">
        <f t="shared" si="12"/>
        <v>13.420000000000002</v>
      </c>
    </row>
    <row r="105" spans="1:4" x14ac:dyDescent="0.25">
      <c r="A105" s="222" t="s">
        <v>18</v>
      </c>
      <c r="B105" s="98">
        <f t="shared" si="10"/>
        <v>7.92</v>
      </c>
      <c r="C105" s="98">
        <f t="shared" si="11"/>
        <v>8.91</v>
      </c>
      <c r="D105" s="98">
        <f t="shared" si="12"/>
        <v>8.91</v>
      </c>
    </row>
    <row r="106" spans="1:4" x14ac:dyDescent="0.25">
      <c r="A106" s="222" t="s">
        <v>19</v>
      </c>
      <c r="B106" s="98">
        <f t="shared" si="10"/>
        <v>10.56</v>
      </c>
      <c r="C106" s="98">
        <f t="shared" si="11"/>
        <v>10.780000000000001</v>
      </c>
      <c r="D106" s="98">
        <f t="shared" si="12"/>
        <v>10.780000000000001</v>
      </c>
    </row>
    <row r="107" spans="1:4" x14ac:dyDescent="0.25">
      <c r="A107" s="222" t="s">
        <v>20</v>
      </c>
      <c r="B107" s="98">
        <f t="shared" si="10"/>
        <v>15.84</v>
      </c>
      <c r="C107" s="98">
        <f t="shared" si="11"/>
        <v>16.060000000000002</v>
      </c>
      <c r="D107" s="98">
        <f t="shared" si="12"/>
        <v>16.060000000000002</v>
      </c>
    </row>
    <row r="108" spans="1:4" x14ac:dyDescent="0.25">
      <c r="A108" s="222" t="s">
        <v>22</v>
      </c>
      <c r="B108" s="98">
        <f t="shared" si="10"/>
        <v>0</v>
      </c>
      <c r="C108" s="98">
        <f t="shared" si="11"/>
        <v>1.8150000000000002</v>
      </c>
      <c r="D108" s="98">
        <f t="shared" si="12"/>
        <v>1.8150000000000002</v>
      </c>
    </row>
    <row r="109" spans="1:4" x14ac:dyDescent="0.25">
      <c r="A109" s="222" t="s">
        <v>23</v>
      </c>
      <c r="B109" s="98">
        <f t="shared" si="10"/>
        <v>13.280000000000001</v>
      </c>
      <c r="C109" s="98">
        <f t="shared" si="11"/>
        <v>14.27</v>
      </c>
      <c r="D109" s="98">
        <f t="shared" si="12"/>
        <v>14.27</v>
      </c>
    </row>
    <row r="111" spans="1:4" x14ac:dyDescent="0.25">
      <c r="A111" s="1" t="s">
        <v>167</v>
      </c>
    </row>
    <row r="112" spans="1:4" s="33" customFormat="1" ht="30" x14ac:dyDescent="0.25">
      <c r="A112" s="42" t="s">
        <v>99</v>
      </c>
      <c r="B112" s="42" t="s">
        <v>275</v>
      </c>
      <c r="C112" s="42" t="s">
        <v>276</v>
      </c>
    </row>
    <row r="113" spans="1:7" x14ac:dyDescent="0.25">
      <c r="A113" s="2" t="s">
        <v>100</v>
      </c>
      <c r="B113" s="2">
        <v>0.75</v>
      </c>
      <c r="C113" s="2">
        <f t="shared" ref="C113:C115" si="13">B113/B$116</f>
        <v>0.3</v>
      </c>
    </row>
    <row r="114" spans="1:7" x14ac:dyDescent="0.25">
      <c r="A114" s="2" t="s">
        <v>101</v>
      </c>
      <c r="B114" s="2">
        <v>0.75</v>
      </c>
      <c r="C114" s="2">
        <f t="shared" si="13"/>
        <v>0.3</v>
      </c>
    </row>
    <row r="115" spans="1:7" x14ac:dyDescent="0.25">
      <c r="A115" s="2" t="s">
        <v>120</v>
      </c>
      <c r="B115" s="2">
        <v>1</v>
      </c>
      <c r="C115" s="2">
        <f t="shared" si="13"/>
        <v>0.4</v>
      </c>
    </row>
    <row r="116" spans="1:7" x14ac:dyDescent="0.25">
      <c r="A116" s="3" t="s">
        <v>133</v>
      </c>
      <c r="B116" s="3">
        <f t="shared" ref="B116:C116" si="14">SUM(B113:B115)</f>
        <v>2.5</v>
      </c>
      <c r="C116" s="3">
        <f t="shared" si="14"/>
        <v>1</v>
      </c>
    </row>
    <row r="117" spans="1:7" x14ac:dyDescent="0.25">
      <c r="A117" s="1"/>
      <c r="B117" s="1"/>
      <c r="C117" s="1"/>
      <c r="D117" s="1"/>
      <c r="E117" s="1"/>
    </row>
    <row r="118" spans="1:7" ht="15.75" thickBot="1" x14ac:dyDescent="0.3">
      <c r="A118" s="1" t="s">
        <v>328</v>
      </c>
      <c r="C118" s="1"/>
      <c r="D118" s="1"/>
      <c r="E118" s="1"/>
    </row>
    <row r="119" spans="1:7" ht="15.75" thickBot="1" x14ac:dyDescent="0.3">
      <c r="A119" s="386" t="s">
        <v>273</v>
      </c>
      <c r="B119" s="387" t="s">
        <v>268</v>
      </c>
      <c r="C119" s="1"/>
      <c r="D119" s="1"/>
      <c r="E119" s="1"/>
    </row>
    <row r="120" spans="1:7" ht="15.75" thickBot="1" x14ac:dyDescent="0.3">
      <c r="A120" s="88" t="s">
        <v>164</v>
      </c>
      <c r="B120" s="413">
        <v>0.5</v>
      </c>
      <c r="C120" s="1"/>
      <c r="D120" s="1"/>
      <c r="E120" s="1"/>
    </row>
    <row r="122" spans="1:7" x14ac:dyDescent="0.25">
      <c r="A122" s="128" t="s">
        <v>168</v>
      </c>
    </row>
    <row r="123" spans="1:7" x14ac:dyDescent="0.25">
      <c r="A123" s="92" t="s">
        <v>24</v>
      </c>
      <c r="B123" s="97">
        <f>ABS(B100-B100)/ABS(MAX($B$100:$D$100)-MIN($B$100:$D$100))</f>
        <v>0</v>
      </c>
      <c r="C123" s="97">
        <f>ABS(B100-C100)/ABS(MAX($B$100:$D$100)-MIN($B$100:$D$100))</f>
        <v>1</v>
      </c>
      <c r="D123" s="97">
        <f>ABS(B100-D100)/ABS(MAX($B$100:$D$100)-MIN($B$100:$D$100))</f>
        <v>1</v>
      </c>
      <c r="E123" s="127"/>
      <c r="F123" s="127"/>
      <c r="G123" s="127"/>
    </row>
    <row r="124" spans="1:7" x14ac:dyDescent="0.25">
      <c r="B124" s="97">
        <f>ABS(C100-B100)/ABS(MAX($B$100:$D$100)-MIN($B$100:$D$100))</f>
        <v>1</v>
      </c>
      <c r="C124" s="97">
        <f>ABS(C100-C100)/ABS(MAX($B$100:$D$100)-MIN($B$100:$D$100))</f>
        <v>0</v>
      </c>
      <c r="D124" s="97">
        <f>ABS(C100-D100)/ABS(MAX($B$100:$D$100)-MIN($B$100:$D$100))</f>
        <v>0</v>
      </c>
      <c r="E124" s="127"/>
      <c r="F124" s="127"/>
      <c r="G124" s="127"/>
    </row>
    <row r="125" spans="1:7" x14ac:dyDescent="0.25">
      <c r="B125" s="97">
        <f>ABS(D100-B100)/ABS(MAX($B$100:$D$100)-MIN($B$100:$D$100))</f>
        <v>1</v>
      </c>
      <c r="C125" s="97">
        <f>ABS(D100-C100)/ABS(MAX($B$100:$D$100)-MIN($B$100:$D$100))</f>
        <v>0</v>
      </c>
      <c r="D125" s="97">
        <f>ABS(D100-D100)/ABS(MAX($B$100:$D$100)-MIN($B$100:$D$100))</f>
        <v>0</v>
      </c>
      <c r="E125" s="127"/>
      <c r="F125" s="127"/>
      <c r="G125" s="127"/>
    </row>
    <row r="126" spans="1:7" x14ac:dyDescent="0.25">
      <c r="B126" s="97"/>
      <c r="C126" s="97"/>
      <c r="D126" s="97"/>
      <c r="E126" s="127"/>
      <c r="F126" s="127"/>
      <c r="G126" s="127"/>
    </row>
    <row r="127" spans="1:7" x14ac:dyDescent="0.25">
      <c r="A127" s="92" t="s">
        <v>13</v>
      </c>
      <c r="B127" s="97">
        <f>ABS(B101-B101)/ABS(MAX($B$101:$D$101)-MIN($B$101:$D$101))</f>
        <v>0</v>
      </c>
      <c r="C127" s="97">
        <f>ABS(B101-C101)/ABS(MAX($B$101:$D$101)-MIN($B$101:$D$101))</f>
        <v>0.12121212121212062</v>
      </c>
      <c r="D127" s="97">
        <f>ABS(B101-D101)/ABS(MAX($B$101:$D$101)-MIN($B$101:$D$101))</f>
        <v>1</v>
      </c>
      <c r="E127" s="127"/>
      <c r="F127" s="127"/>
      <c r="G127" s="127"/>
    </row>
    <row r="128" spans="1:7" x14ac:dyDescent="0.25">
      <c r="B128" s="97">
        <f>ABS(C101-B101)/ABS(MAX($B$101:$D$101)-MIN($B$101:$D$101))</f>
        <v>0.12121212121212062</v>
      </c>
      <c r="C128" s="97">
        <f>ABS(C101-C101)/ABS(MAX($B$101:$D$101)-MIN($B$101:$D$101))</f>
        <v>0</v>
      </c>
      <c r="D128" s="97">
        <f>ABS(C101-D101)/ABS(MAX($B$101:$D$101)-MIN($B$101:$D$101))</f>
        <v>0.87878787878787934</v>
      </c>
      <c r="E128" s="127"/>
      <c r="F128" s="127"/>
      <c r="G128" s="127"/>
    </row>
    <row r="129" spans="1:7" x14ac:dyDescent="0.25">
      <c r="B129" s="97">
        <f>ABS(D101-B101)/ABS(MAX($B$101:$D$101)-MIN($B$101:$D$101))</f>
        <v>1</v>
      </c>
      <c r="C129" s="97">
        <f>ABS(D101-C101)/ABS(MAX($B$101:$D$101)-MIN($B$101:$D$101))</f>
        <v>0.87878787878787934</v>
      </c>
      <c r="D129" s="97">
        <f>ABS(D101-D101)/ABS(MAX($B$101:$D$101)-MIN($B$101:$D$101))</f>
        <v>0</v>
      </c>
      <c r="E129" s="127"/>
      <c r="F129" s="127"/>
      <c r="G129" s="127"/>
    </row>
    <row r="130" spans="1:7" x14ac:dyDescent="0.25">
      <c r="B130" s="97"/>
      <c r="C130" s="97"/>
      <c r="D130" s="97"/>
      <c r="E130" s="127"/>
      <c r="F130" s="127"/>
      <c r="G130" s="127"/>
    </row>
    <row r="131" spans="1:7" x14ac:dyDescent="0.25">
      <c r="A131" s="92" t="s">
        <v>14</v>
      </c>
      <c r="B131" s="97">
        <f>ABS(B102-B102)/ABS(MAX($B$102:$D$102)-MIN($B$102:$D$102))</f>
        <v>0</v>
      </c>
      <c r="C131" s="97">
        <f>ABS(B102-C102)/ABS(MAX($B$102:$D$102)-MIN($B$102:$D$102))</f>
        <v>1</v>
      </c>
      <c r="D131" s="97">
        <f>ABS(B102-D102)/ABS(MAX($B$102:$D$102)-MIN($B$102:$D$102))</f>
        <v>0.12121212121212105</v>
      </c>
      <c r="E131" s="127"/>
      <c r="F131" s="127"/>
      <c r="G131" s="127"/>
    </row>
    <row r="132" spans="1:7" x14ac:dyDescent="0.25">
      <c r="B132" s="97">
        <f>ABS(C102-B102)/ABS(MAX($B$102:$D$102)-MIN($B$102:$D$102))</f>
        <v>1</v>
      </c>
      <c r="C132" s="97">
        <f>ABS(C102-C102)/ABS(MAX($B$102:$D$102)-MIN($B$102:$D$102))</f>
        <v>0</v>
      </c>
      <c r="D132" s="97">
        <f>ABS(C102-D102)/ABS(MAX($B$102:$D$102)-MIN($B$102:$D$102))</f>
        <v>0.8787878787878789</v>
      </c>
      <c r="E132" s="127"/>
      <c r="F132" s="127"/>
      <c r="G132" s="127"/>
    </row>
    <row r="133" spans="1:7" x14ac:dyDescent="0.25">
      <c r="B133" s="97">
        <f>ABS(D102-B102)/ABS(MAX($B$102:$D$102)-MIN($B$102:$D$102))</f>
        <v>0.12121212121212105</v>
      </c>
      <c r="C133" s="97">
        <f>ABS(D102-C102)/ABS(MAX($B$102:$D$102)-MIN($B$102:$D$102))</f>
        <v>0.8787878787878789</v>
      </c>
      <c r="D133" s="97">
        <f>ABS(D102-D102)/ABS(MAX($B$102:$D$102)-MIN($B$102:$D$102))</f>
        <v>0</v>
      </c>
      <c r="E133" s="127"/>
      <c r="F133" s="127"/>
      <c r="G133" s="127"/>
    </row>
    <row r="134" spans="1:7" x14ac:dyDescent="0.25">
      <c r="B134" s="97"/>
      <c r="C134" s="97"/>
      <c r="D134" s="97"/>
      <c r="E134" s="127"/>
      <c r="F134" s="127"/>
      <c r="G134" s="127"/>
    </row>
    <row r="135" spans="1:7" x14ac:dyDescent="0.25">
      <c r="A135" s="92" t="s">
        <v>15</v>
      </c>
      <c r="B135" s="97">
        <f>ABS(B103-B103)/ABS(MAX($B$103:$D$103)-MIN($B$103:$D$103))</f>
        <v>0</v>
      </c>
      <c r="C135" s="97">
        <f>ABS(B103-C103)/ABS(MAX($B$103:$D$103)-MIN($B$103:$D$103))</f>
        <v>8.0882352941176086E-2</v>
      </c>
      <c r="D135" s="97">
        <f>ABS(B103-D103)/ABS(MAX($B$103:$D$103)-MIN($B$103:$D$103))</f>
        <v>0.91911764705882393</v>
      </c>
      <c r="E135" s="127"/>
      <c r="F135" s="127"/>
      <c r="G135" s="127"/>
    </row>
    <row r="136" spans="1:7" x14ac:dyDescent="0.25">
      <c r="B136" s="97">
        <f>ABS(C103-B103)/ABS(MAX($B$103:$D$103)-MIN($B$103:$D$103))</f>
        <v>8.0882352941176086E-2</v>
      </c>
      <c r="C136" s="97">
        <f>ABS(C103-C103)/ABS(MAX($B$103:$D$103)-MIN($B$103:$D$103))</f>
        <v>0</v>
      </c>
      <c r="D136" s="97">
        <f>ABS(C103-D103)/ABS(MAX($B$103:$D$103)-MIN($B$103:$D$103))</f>
        <v>1</v>
      </c>
      <c r="E136" s="127"/>
      <c r="F136" s="127"/>
      <c r="G136" s="127"/>
    </row>
    <row r="137" spans="1:7" x14ac:dyDescent="0.25">
      <c r="B137" s="97">
        <f>ABS(D103-B103)/ABS(MAX($B$103:$D$103)-MIN($B$103:$D$103))</f>
        <v>0.91911764705882393</v>
      </c>
      <c r="C137" s="97">
        <f>ABS(D103-C103)/ABS(MAX($B$103:$D$103)-MIN($B$103:$D$103))</f>
        <v>1</v>
      </c>
      <c r="D137" s="97">
        <f>ABS(D103-D103)/ABS(MAX($B$103:$D$103)-MIN($B$103:$D$103))</f>
        <v>0</v>
      </c>
      <c r="E137" s="127"/>
      <c r="F137" s="127"/>
      <c r="G137" s="127"/>
    </row>
    <row r="138" spans="1:7" x14ac:dyDescent="0.25">
      <c r="B138" s="97"/>
      <c r="C138" s="97"/>
      <c r="D138" s="97"/>
      <c r="E138" s="127"/>
      <c r="F138" s="127"/>
      <c r="G138" s="127"/>
    </row>
    <row r="139" spans="1:7" x14ac:dyDescent="0.25">
      <c r="A139" s="92" t="s">
        <v>17</v>
      </c>
      <c r="B139" s="97">
        <f>ABS(B104-B104)/ABS(MAX($B$104:$D$104)-MIN($B$104:$D$104))</f>
        <v>0</v>
      </c>
      <c r="C139" s="97">
        <f>ABS(B104-C104)/ABS(MAX($B$104:$D$104)-MIN($B$104:$D$104))</f>
        <v>1</v>
      </c>
      <c r="D139" s="97">
        <f>ABS(B104-D104)/ABS(MAX($B$104:$D$104)-MIN($B$104:$D$104))</f>
        <v>0.22222222222222421</v>
      </c>
      <c r="E139" s="127"/>
      <c r="F139" s="127"/>
      <c r="G139" s="127"/>
    </row>
    <row r="140" spans="1:7" x14ac:dyDescent="0.25">
      <c r="B140" s="97">
        <f>ABS(C104-B104)/ABS(MAX($B$104:$D$104)-MIN($B$104:$D$104))</f>
        <v>1</v>
      </c>
      <c r="C140" s="97">
        <f>ABS(C104-C104)/ABS(MAX($B$104:$D$104)-MIN($B$104:$D$104))</f>
        <v>0</v>
      </c>
      <c r="D140" s="97">
        <f>ABS(C104-D104)/ABS(MAX($B$104:$D$104)-MIN($B$104:$D$104))</f>
        <v>0.77777777777777579</v>
      </c>
      <c r="E140" s="127"/>
      <c r="F140" s="127"/>
      <c r="G140" s="127"/>
    </row>
    <row r="141" spans="1:7" x14ac:dyDescent="0.25">
      <c r="B141" s="97">
        <f>ABS(D104-B104)/ABS(MAX($B$104:$D$104)-MIN($B$104:$D$104))</f>
        <v>0.22222222222222421</v>
      </c>
      <c r="C141" s="97">
        <f>ABS(D104-C104)/ABS(MAX($B$104:$D$104)-MIN($B$104:$D$104))</f>
        <v>0.77777777777777579</v>
      </c>
      <c r="D141" s="97">
        <f>ABS(D104-D104)/ABS(MAX($B$104:$D$104)-MIN($B$104:$D$104))</f>
        <v>0</v>
      </c>
      <c r="E141" s="127"/>
      <c r="F141" s="127"/>
      <c r="G141" s="127"/>
    </row>
    <row r="142" spans="1:7" x14ac:dyDescent="0.25">
      <c r="B142" s="97"/>
      <c r="C142" s="97"/>
      <c r="D142" s="97"/>
      <c r="E142" s="127"/>
      <c r="F142" s="127"/>
      <c r="G142" s="127"/>
    </row>
    <row r="143" spans="1:7" x14ac:dyDescent="0.25">
      <c r="A143" s="92" t="s">
        <v>18</v>
      </c>
      <c r="B143" s="97">
        <f>ABS(B105-B105)/ABS(MAX($B$105:$D$105)-MIN($B$105:$D$105))</f>
        <v>0</v>
      </c>
      <c r="C143" s="97">
        <f>ABS(B105-C105)/ABS(MAX($B$105:$D$105)-MIN($B$105:$D$105))</f>
        <v>1</v>
      </c>
      <c r="D143" s="97">
        <f>ABS(B105-D105)/ABS(MAX($B$105:$D$105)-MIN($B$105:$D$105))</f>
        <v>1</v>
      </c>
      <c r="E143" s="127"/>
      <c r="F143" s="127"/>
      <c r="G143" s="127"/>
    </row>
    <row r="144" spans="1:7" x14ac:dyDescent="0.25">
      <c r="B144" s="97">
        <f>ABS(C105-B105)/ABS(MAX($B$105:$D$105)-MIN($B$105:$D$105))</f>
        <v>1</v>
      </c>
      <c r="C144" s="97">
        <f>ABS(C105-C105)/ABS(MAX($B$105:$D$105)-MIN($B$105:$D$105))</f>
        <v>0</v>
      </c>
      <c r="D144" s="97">
        <f>ABS(C105-D105)/ABS(MAX($B$105:$D$105)-MIN($B$105:$D$105))</f>
        <v>0</v>
      </c>
      <c r="E144" s="127"/>
      <c r="F144" s="127"/>
      <c r="G144" s="127"/>
    </row>
    <row r="145" spans="1:7" x14ac:dyDescent="0.25">
      <c r="B145" s="97">
        <f>ABS(D105-B105)/ABS(MAX($B$105:$D$105)-MIN($B$105:$D$105))</f>
        <v>1</v>
      </c>
      <c r="C145" s="97">
        <f>ABS(D105-C105)/ABS(MAX($B$105:$D$105)-MIN($B$105:$D$105))</f>
        <v>0</v>
      </c>
      <c r="D145" s="97">
        <f>ABS(D105-D105)/ABS(MAX($B$105:$D$105)-MIN($B$105:$D$105))</f>
        <v>0</v>
      </c>
      <c r="E145" s="127"/>
      <c r="F145" s="127"/>
      <c r="G145" s="127"/>
    </row>
    <row r="146" spans="1:7" x14ac:dyDescent="0.25">
      <c r="B146" s="97"/>
      <c r="C146" s="97"/>
      <c r="D146" s="97"/>
      <c r="E146" s="127"/>
      <c r="F146" s="127"/>
      <c r="G146" s="127"/>
    </row>
    <row r="147" spans="1:7" x14ac:dyDescent="0.25">
      <c r="A147" s="92" t="s">
        <v>19</v>
      </c>
      <c r="B147" s="97">
        <f>ABS(B106-B106)/ABS(MAX($B$106:$D$106)-MIN($B$106:$D$106))</f>
        <v>0</v>
      </c>
      <c r="C147" s="97">
        <f>ABS(B106-C106)/ABS(MAX($B$106:$D$106)-MIN($B$106:$D$106))</f>
        <v>1</v>
      </c>
      <c r="D147" s="97">
        <f>ABS(B106-D106)/ABS(MAX($B$106:$D$106)-MIN($B$106:$D$106))</f>
        <v>1</v>
      </c>
      <c r="E147" s="127"/>
      <c r="F147" s="127"/>
      <c r="G147" s="127"/>
    </row>
    <row r="148" spans="1:7" x14ac:dyDescent="0.25">
      <c r="B148" s="97">
        <f>ABS(C106-B106)/ABS(MAX($B$106:$D$106)-MIN($B$106:$D$106))</f>
        <v>1</v>
      </c>
      <c r="C148" s="97">
        <f>ABS(C106-C106)/ABS(MAX($B$106:$D$106)-MIN($B$106:$D$106))</f>
        <v>0</v>
      </c>
      <c r="D148" s="97">
        <f>ABS(C106-D106)/ABS(MAX($B$106:$D$106)-MIN($B$106:$D$106))</f>
        <v>0</v>
      </c>
      <c r="E148" s="127"/>
      <c r="F148" s="127"/>
      <c r="G148" s="127"/>
    </row>
    <row r="149" spans="1:7" x14ac:dyDescent="0.25">
      <c r="B149" s="97">
        <f>ABS(D106-B106)/ABS(MAX($B$106:$D$106)-MIN($B$106:$D$106))</f>
        <v>1</v>
      </c>
      <c r="C149" s="97">
        <f>ABS(D106-C106)/ABS(MAX($B$106:$D$106)-MIN($B$106:$D$106))</f>
        <v>0</v>
      </c>
      <c r="D149" s="97">
        <f>ABS(D106-D106)/ABS(MAX($B$106:$D$106)-MIN($B$106:$D$106))</f>
        <v>0</v>
      </c>
      <c r="E149" s="127"/>
      <c r="F149" s="127"/>
      <c r="G149" s="127"/>
    </row>
    <row r="150" spans="1:7" x14ac:dyDescent="0.25">
      <c r="B150" s="97"/>
      <c r="C150" s="97"/>
      <c r="D150" s="97"/>
      <c r="E150" s="127"/>
      <c r="F150" s="127"/>
      <c r="G150" s="127"/>
    </row>
    <row r="151" spans="1:7" x14ac:dyDescent="0.25">
      <c r="A151" s="92" t="s">
        <v>20</v>
      </c>
      <c r="B151" s="97">
        <f>ABS(B107-B107)/ABS(MAX($B$107:$D$107)-MIN($B$107:$D$107))</f>
        <v>0</v>
      </c>
      <c r="C151" s="97">
        <f>ABS(B107-C107)/ABS(MAX($B$107:$D$107)-MIN($B$107:$D$107))</f>
        <v>1</v>
      </c>
      <c r="D151" s="97">
        <f>ABS(B107-D107)/ABS(MAX($B$107:$D$107)-MIN($B$107:$D$107))</f>
        <v>1</v>
      </c>
      <c r="E151" s="127"/>
      <c r="F151" s="127"/>
      <c r="G151" s="127"/>
    </row>
    <row r="152" spans="1:7" x14ac:dyDescent="0.25">
      <c r="B152" s="97">
        <f>ABS(C107-B107)/ABS(MAX($B$107:$D$107)-MIN($B$107:$D$107))</f>
        <v>1</v>
      </c>
      <c r="C152" s="97">
        <f>ABS(C107-C107)/ABS(MAX($B$107:$D$107)-MIN($B$107:$D$107))</f>
        <v>0</v>
      </c>
      <c r="D152" s="97">
        <f>ABS(C107-D107)/ABS(MAX($B$107:$D$107)-MIN($B$107:$D$107))</f>
        <v>0</v>
      </c>
      <c r="E152" s="127"/>
      <c r="F152" s="127"/>
      <c r="G152" s="127"/>
    </row>
    <row r="153" spans="1:7" x14ac:dyDescent="0.25">
      <c r="B153" s="97">
        <f>ABS(D107-B107)/ABS(MAX($B$107:$D$107)-MIN($B$107:$D$107))</f>
        <v>1</v>
      </c>
      <c r="C153" s="97">
        <f>ABS(D107-C107)/ABS(MAX($B$107:$D$107)-MIN($B$107:$D$107))</f>
        <v>0</v>
      </c>
      <c r="D153" s="97">
        <f>ABS(D107-D107)/ABS(MAX($B$107:$D$107)-MIN($B$107:$D$107))</f>
        <v>0</v>
      </c>
      <c r="E153" s="127"/>
      <c r="F153" s="127"/>
      <c r="G153" s="127"/>
    </row>
    <row r="154" spans="1:7" x14ac:dyDescent="0.25">
      <c r="B154" s="97"/>
      <c r="C154" s="97"/>
      <c r="D154" s="97"/>
      <c r="E154" s="127"/>
      <c r="F154" s="127"/>
      <c r="G154" s="127"/>
    </row>
    <row r="155" spans="1:7" x14ac:dyDescent="0.25">
      <c r="A155" s="92" t="s">
        <v>22</v>
      </c>
      <c r="B155" s="97">
        <f>ABS(B108-B108)/ABS(MAX($B$108:$D$108)-MIN($B$108:$D$108))</f>
        <v>0</v>
      </c>
      <c r="C155" s="97">
        <f>ABS(B108-C108)/ABS(MAX($B$108:$D$108)-MIN($B$108:$D$108))</f>
        <v>1</v>
      </c>
      <c r="D155" s="97">
        <f>ABS(B108-D108)/ABS(MAX($B$108:$D$108)-MIN($B$108:$D$108))</f>
        <v>1</v>
      </c>
      <c r="E155" s="127"/>
      <c r="F155" s="127"/>
      <c r="G155" s="127"/>
    </row>
    <row r="156" spans="1:7" x14ac:dyDescent="0.25">
      <c r="B156" s="97">
        <f>ABS(C108-B108)/ABS(MAX($B$108:$D$108)-MIN($B$108:$D$108))</f>
        <v>1</v>
      </c>
      <c r="C156" s="97">
        <f>ABS(C108-C108)/ABS(MAX($B$108:$D$108)-MIN($B$108:$D$108))</f>
        <v>0</v>
      </c>
      <c r="D156" s="97">
        <f>ABS(C108-D108)/ABS(MAX($B$108:$D$108)-MIN($B$108:$D$108))</f>
        <v>0</v>
      </c>
      <c r="E156" s="127"/>
      <c r="F156" s="127"/>
      <c r="G156" s="127"/>
    </row>
    <row r="157" spans="1:7" x14ac:dyDescent="0.25">
      <c r="B157" s="97">
        <f>ABS(D108-B108)/ABS(MAX($B$108:$D$108)-MIN($B$108:$D$108))</f>
        <v>1</v>
      </c>
      <c r="C157" s="97">
        <f>ABS(D108-C108)/ABS(MAX($B$108:$D$108)-MIN($B$108:$D$108))</f>
        <v>0</v>
      </c>
      <c r="D157" s="97">
        <f>ABS(D108-D108)/ABS(MAX($B$108:$D$108)-MIN($B$108:$D$108))</f>
        <v>0</v>
      </c>
      <c r="E157" s="127"/>
      <c r="F157" s="127"/>
      <c r="G157" s="127"/>
    </row>
    <row r="158" spans="1:7" x14ac:dyDescent="0.25">
      <c r="B158" s="97"/>
      <c r="C158" s="97"/>
      <c r="D158" s="97"/>
      <c r="E158" s="127"/>
      <c r="F158" s="127"/>
      <c r="G158" s="127"/>
    </row>
    <row r="159" spans="1:7" x14ac:dyDescent="0.25">
      <c r="A159" s="92" t="s">
        <v>23</v>
      </c>
      <c r="B159" s="97">
        <f>ABS(B109-B109)/ABS(MAX($B$109:$D$109)-MIN($B$109:$D$109))</f>
        <v>0</v>
      </c>
      <c r="C159" s="97">
        <f>ABS(B109-C109)/ABS(MAX($B$109:$D$109)-MIN($B$109:$D$109))</f>
        <v>1</v>
      </c>
      <c r="D159" s="97">
        <f>ABS(B109-D109)/ABS(MAX($B$109:$D$109)-MIN($B$109:$D$109))</f>
        <v>1</v>
      </c>
      <c r="E159" s="127"/>
      <c r="F159" s="127"/>
      <c r="G159" s="127"/>
    </row>
    <row r="160" spans="1:7" x14ac:dyDescent="0.25">
      <c r="B160" s="97">
        <f>ABS(C109-B109)/ABS(MAX($B$109:$D$109)-MIN($B$109:$D$109))</f>
        <v>1</v>
      </c>
      <c r="C160" s="97">
        <f>ABS(C109-C109)/ABS(MAX($B$109:$D$109)-MIN($B$109:$D$109))</f>
        <v>0</v>
      </c>
      <c r="D160" s="97">
        <f>ABS(C109-D109)/ABS(MAX($B$109:$D$109)-MIN($B$109:$D$109))</f>
        <v>0</v>
      </c>
      <c r="E160" s="127"/>
      <c r="F160" s="127"/>
      <c r="G160" s="127"/>
    </row>
    <row r="161" spans="1:7" x14ac:dyDescent="0.25">
      <c r="B161" s="97">
        <f>ABS(D109-B109)/ABS(MAX($B$109:$D$109)-MIN($B$109:$D$109))</f>
        <v>1</v>
      </c>
      <c r="C161" s="97">
        <f>ABS(D109-C109)/ABS(MAX($B$109:$D$109)-MIN($B$109:$D$109))</f>
        <v>0</v>
      </c>
      <c r="D161" s="97">
        <f>ABS(D109-D109)/ABS(MAX($B$109:$D$109)-MIN($B$109:$D$109))</f>
        <v>0</v>
      </c>
      <c r="E161" s="127"/>
      <c r="F161" s="127"/>
      <c r="G161" s="127"/>
    </row>
    <row r="163" spans="1:7" x14ac:dyDescent="0.25">
      <c r="A163" s="128" t="s">
        <v>169</v>
      </c>
    </row>
    <row r="164" spans="1:7" x14ac:dyDescent="0.25">
      <c r="A164" s="92" t="s">
        <v>24</v>
      </c>
      <c r="B164" s="97">
        <f>(1-B123)^2</f>
        <v>1</v>
      </c>
      <c r="C164" s="97">
        <f t="shared" ref="C164:D164" si="15">(1-C123)^2</f>
        <v>0</v>
      </c>
      <c r="D164" s="97">
        <f t="shared" si="15"/>
        <v>0</v>
      </c>
    </row>
    <row r="165" spans="1:7" x14ac:dyDescent="0.25">
      <c r="B165" s="97">
        <f t="shared" ref="B165:D166" si="16">(1-B124)^2</f>
        <v>0</v>
      </c>
      <c r="C165" s="97">
        <f t="shared" si="16"/>
        <v>1</v>
      </c>
      <c r="D165" s="97">
        <f t="shared" si="16"/>
        <v>1</v>
      </c>
    </row>
    <row r="166" spans="1:7" x14ac:dyDescent="0.25">
      <c r="B166" s="97">
        <f t="shared" si="16"/>
        <v>0</v>
      </c>
      <c r="C166" s="97">
        <f t="shared" si="16"/>
        <v>1</v>
      </c>
      <c r="D166" s="97">
        <f t="shared" si="16"/>
        <v>1</v>
      </c>
    </row>
    <row r="167" spans="1:7" x14ac:dyDescent="0.25">
      <c r="B167" s="97"/>
      <c r="C167" s="97"/>
      <c r="D167" s="97"/>
    </row>
    <row r="168" spans="1:7" x14ac:dyDescent="0.25">
      <c r="A168" s="92" t="s">
        <v>13</v>
      </c>
      <c r="B168" s="97">
        <f>(1-B127)^2</f>
        <v>1</v>
      </c>
      <c r="C168" s="97">
        <f t="shared" ref="C168:D168" si="17">(1-C127)^2</f>
        <v>0.7722681359045005</v>
      </c>
      <c r="D168" s="97">
        <f t="shared" si="17"/>
        <v>0</v>
      </c>
    </row>
    <row r="169" spans="1:7" x14ac:dyDescent="0.25">
      <c r="B169" s="97">
        <f t="shared" ref="B169:D169" si="18">(1-B128)^2</f>
        <v>0.7722681359045005</v>
      </c>
      <c r="C169" s="97">
        <f t="shared" si="18"/>
        <v>1</v>
      </c>
      <c r="D169" s="97">
        <f t="shared" si="18"/>
        <v>1.4692378328741831E-2</v>
      </c>
    </row>
    <row r="170" spans="1:7" x14ac:dyDescent="0.25">
      <c r="B170" s="97">
        <f t="shared" ref="B170:D170" si="19">(1-B129)^2</f>
        <v>0</v>
      </c>
      <c r="C170" s="97">
        <f t="shared" si="19"/>
        <v>1.4692378328741831E-2</v>
      </c>
      <c r="D170" s="97">
        <f t="shared" si="19"/>
        <v>1</v>
      </c>
    </row>
    <row r="171" spans="1:7" x14ac:dyDescent="0.25">
      <c r="B171" s="97"/>
      <c r="C171" s="97"/>
      <c r="D171" s="97"/>
    </row>
    <row r="172" spans="1:7" x14ac:dyDescent="0.25">
      <c r="A172" s="92" t="s">
        <v>14</v>
      </c>
      <c r="B172" s="97">
        <f>(1-B131)^2</f>
        <v>1</v>
      </c>
      <c r="C172" s="97">
        <f t="shared" ref="C172:D172" si="20">(1-C131)^2</f>
        <v>0</v>
      </c>
      <c r="D172" s="97">
        <f t="shared" si="20"/>
        <v>0.77226813590449972</v>
      </c>
    </row>
    <row r="173" spans="1:7" x14ac:dyDescent="0.25">
      <c r="B173" s="97">
        <f t="shared" ref="B173:D173" si="21">(1-B132)^2</f>
        <v>0</v>
      </c>
      <c r="C173" s="97">
        <f t="shared" si="21"/>
        <v>1</v>
      </c>
      <c r="D173" s="97">
        <f t="shared" si="21"/>
        <v>1.4692378328741939E-2</v>
      </c>
    </row>
    <row r="174" spans="1:7" x14ac:dyDescent="0.25">
      <c r="B174" s="97">
        <f t="shared" ref="B174:D174" si="22">(1-B133)^2</f>
        <v>0.77226813590449972</v>
      </c>
      <c r="C174" s="97">
        <f t="shared" si="22"/>
        <v>1.4692378328741939E-2</v>
      </c>
      <c r="D174" s="97">
        <f t="shared" si="22"/>
        <v>1</v>
      </c>
    </row>
    <row r="175" spans="1:7" x14ac:dyDescent="0.25">
      <c r="B175" s="97"/>
      <c r="C175" s="97"/>
      <c r="D175" s="97"/>
    </row>
    <row r="176" spans="1:7" x14ac:dyDescent="0.25">
      <c r="A176" s="92" t="s">
        <v>15</v>
      </c>
      <c r="B176" s="97">
        <f>(1-B135)^2</f>
        <v>1</v>
      </c>
      <c r="C176" s="97">
        <f t="shared" ref="C176:D176" si="23">(1-C135)^2</f>
        <v>0.84477724913494878</v>
      </c>
      <c r="D176" s="97">
        <f t="shared" si="23"/>
        <v>6.5419550173009735E-3</v>
      </c>
    </row>
    <row r="177" spans="1:4" x14ac:dyDescent="0.25">
      <c r="B177" s="97">
        <f t="shared" ref="B177:D177" si="24">(1-B136)^2</f>
        <v>0.84477724913494878</v>
      </c>
      <c r="C177" s="97">
        <f t="shared" si="24"/>
        <v>1</v>
      </c>
      <c r="D177" s="97">
        <f t="shared" si="24"/>
        <v>0</v>
      </c>
    </row>
    <row r="178" spans="1:4" x14ac:dyDescent="0.25">
      <c r="B178" s="97">
        <f t="shared" ref="B178:D178" si="25">(1-B137)^2</f>
        <v>6.5419550173009735E-3</v>
      </c>
      <c r="C178" s="97">
        <f t="shared" si="25"/>
        <v>0</v>
      </c>
      <c r="D178" s="97">
        <f t="shared" si="25"/>
        <v>1</v>
      </c>
    </row>
    <row r="179" spans="1:4" x14ac:dyDescent="0.25">
      <c r="B179" s="97"/>
      <c r="C179" s="97"/>
      <c r="D179" s="97"/>
    </row>
    <row r="180" spans="1:4" x14ac:dyDescent="0.25">
      <c r="A180" s="92" t="s">
        <v>17</v>
      </c>
      <c r="B180" s="97">
        <f>(1-B139)^2</f>
        <v>1</v>
      </c>
      <c r="C180" s="97">
        <f t="shared" ref="C180:D180" si="26">(1-C139)^2</f>
        <v>0</v>
      </c>
      <c r="D180" s="97">
        <f t="shared" si="26"/>
        <v>0.60493827160493518</v>
      </c>
    </row>
    <row r="181" spans="1:4" x14ac:dyDescent="0.25">
      <c r="B181" s="97">
        <f t="shared" ref="B181:D181" si="27">(1-B140)^2</f>
        <v>0</v>
      </c>
      <c r="C181" s="97">
        <f t="shared" si="27"/>
        <v>1</v>
      </c>
      <c r="D181" s="97">
        <f t="shared" si="27"/>
        <v>4.9382716049383601E-2</v>
      </c>
    </row>
    <row r="182" spans="1:4" x14ac:dyDescent="0.25">
      <c r="B182" s="97">
        <f t="shared" ref="B182:D182" si="28">(1-B141)^2</f>
        <v>0.60493827160493518</v>
      </c>
      <c r="C182" s="97">
        <f t="shared" si="28"/>
        <v>4.9382716049383601E-2</v>
      </c>
      <c r="D182" s="97">
        <f t="shared" si="28"/>
        <v>1</v>
      </c>
    </row>
    <row r="183" spans="1:4" x14ac:dyDescent="0.25">
      <c r="B183" s="97"/>
      <c r="C183" s="97"/>
      <c r="D183" s="97"/>
    </row>
    <row r="184" spans="1:4" x14ac:dyDescent="0.25">
      <c r="A184" s="92" t="s">
        <v>18</v>
      </c>
      <c r="B184" s="97">
        <f>(1-B143)^2</f>
        <v>1</v>
      </c>
      <c r="C184" s="97">
        <f t="shared" ref="C184:D184" si="29">(1-C143)^2</f>
        <v>0</v>
      </c>
      <c r="D184" s="97">
        <f t="shared" si="29"/>
        <v>0</v>
      </c>
    </row>
    <row r="185" spans="1:4" x14ac:dyDescent="0.25">
      <c r="B185" s="97">
        <f t="shared" ref="B185:D185" si="30">(1-B144)^2</f>
        <v>0</v>
      </c>
      <c r="C185" s="97">
        <f t="shared" si="30"/>
        <v>1</v>
      </c>
      <c r="D185" s="97">
        <f t="shared" si="30"/>
        <v>1</v>
      </c>
    </row>
    <row r="186" spans="1:4" x14ac:dyDescent="0.25">
      <c r="B186" s="97">
        <f t="shared" ref="B186:D186" si="31">(1-B145)^2</f>
        <v>0</v>
      </c>
      <c r="C186" s="97">
        <f t="shared" si="31"/>
        <v>1</v>
      </c>
      <c r="D186" s="97">
        <f t="shared" si="31"/>
        <v>1</v>
      </c>
    </row>
    <row r="187" spans="1:4" x14ac:dyDescent="0.25">
      <c r="B187" s="97"/>
      <c r="C187" s="97"/>
      <c r="D187" s="97"/>
    </row>
    <row r="188" spans="1:4" x14ac:dyDescent="0.25">
      <c r="A188" s="92" t="s">
        <v>19</v>
      </c>
      <c r="B188" s="97">
        <f>(1-B147)^2</f>
        <v>1</v>
      </c>
      <c r="C188" s="97">
        <f t="shared" ref="C188:D188" si="32">(1-C147)^2</f>
        <v>0</v>
      </c>
      <c r="D188" s="97">
        <f t="shared" si="32"/>
        <v>0</v>
      </c>
    </row>
    <row r="189" spans="1:4" x14ac:dyDescent="0.25">
      <c r="B189" s="97">
        <f t="shared" ref="B189:D189" si="33">(1-B148)^2</f>
        <v>0</v>
      </c>
      <c r="C189" s="97">
        <f t="shared" si="33"/>
        <v>1</v>
      </c>
      <c r="D189" s="97">
        <f t="shared" si="33"/>
        <v>1</v>
      </c>
    </row>
    <row r="190" spans="1:4" x14ac:dyDescent="0.25">
      <c r="B190" s="97">
        <f t="shared" ref="B190:D190" si="34">(1-B149)^2</f>
        <v>0</v>
      </c>
      <c r="C190" s="97">
        <f t="shared" si="34"/>
        <v>1</v>
      </c>
      <c r="D190" s="97">
        <f t="shared" si="34"/>
        <v>1</v>
      </c>
    </row>
    <row r="191" spans="1:4" x14ac:dyDescent="0.25">
      <c r="B191" s="97"/>
      <c r="C191" s="97"/>
      <c r="D191" s="97"/>
    </row>
    <row r="192" spans="1:4" x14ac:dyDescent="0.25">
      <c r="A192" s="92" t="s">
        <v>20</v>
      </c>
      <c r="B192" s="97">
        <f>(1-B151)^2</f>
        <v>1</v>
      </c>
      <c r="C192" s="97">
        <f t="shared" ref="C192:D192" si="35">(1-C151)^2</f>
        <v>0</v>
      </c>
      <c r="D192" s="97">
        <f t="shared" si="35"/>
        <v>0</v>
      </c>
    </row>
    <row r="193" spans="1:4" x14ac:dyDescent="0.25">
      <c r="B193" s="97">
        <f t="shared" ref="B193:D193" si="36">(1-B152)^2</f>
        <v>0</v>
      </c>
      <c r="C193" s="97">
        <f t="shared" si="36"/>
        <v>1</v>
      </c>
      <c r="D193" s="97">
        <f t="shared" si="36"/>
        <v>1</v>
      </c>
    </row>
    <row r="194" spans="1:4" x14ac:dyDescent="0.25">
      <c r="B194" s="97">
        <f t="shared" ref="B194:D194" si="37">(1-B153)^2</f>
        <v>0</v>
      </c>
      <c r="C194" s="97">
        <f t="shared" si="37"/>
        <v>1</v>
      </c>
      <c r="D194" s="97">
        <f t="shared" si="37"/>
        <v>1</v>
      </c>
    </row>
    <row r="195" spans="1:4" x14ac:dyDescent="0.25">
      <c r="B195" s="97"/>
      <c r="C195" s="97"/>
      <c r="D195" s="97"/>
    </row>
    <row r="196" spans="1:4" x14ac:dyDescent="0.25">
      <c r="A196" s="92" t="s">
        <v>22</v>
      </c>
      <c r="B196" s="97">
        <f>(1-B155)^2</f>
        <v>1</v>
      </c>
      <c r="C196" s="97">
        <f t="shared" ref="C196:D196" si="38">(1-C155)^2</f>
        <v>0</v>
      </c>
      <c r="D196" s="97">
        <f t="shared" si="38"/>
        <v>0</v>
      </c>
    </row>
    <row r="197" spans="1:4" x14ac:dyDescent="0.25">
      <c r="B197" s="97">
        <f t="shared" ref="B197:D197" si="39">(1-B156)^2</f>
        <v>0</v>
      </c>
      <c r="C197" s="97">
        <f t="shared" si="39"/>
        <v>1</v>
      </c>
      <c r="D197" s="97">
        <f t="shared" si="39"/>
        <v>1</v>
      </c>
    </row>
    <row r="198" spans="1:4" x14ac:dyDescent="0.25">
      <c r="B198" s="97">
        <f t="shared" ref="B198:D198" si="40">(1-B157)^2</f>
        <v>0</v>
      </c>
      <c r="C198" s="97">
        <f t="shared" si="40"/>
        <v>1</v>
      </c>
      <c r="D198" s="97">
        <f t="shared" si="40"/>
        <v>1</v>
      </c>
    </row>
    <row r="199" spans="1:4" x14ac:dyDescent="0.25">
      <c r="B199" s="97"/>
      <c r="C199" s="97"/>
      <c r="D199" s="97"/>
    </row>
    <row r="200" spans="1:4" x14ac:dyDescent="0.25">
      <c r="A200" s="92" t="s">
        <v>23</v>
      </c>
      <c r="B200" s="97">
        <f>(1-B159)^2</f>
        <v>1</v>
      </c>
      <c r="C200" s="97">
        <f t="shared" ref="C200:D200" si="41">(1-C159)^2</f>
        <v>0</v>
      </c>
      <c r="D200" s="97">
        <f t="shared" si="41"/>
        <v>0</v>
      </c>
    </row>
    <row r="201" spans="1:4" x14ac:dyDescent="0.25">
      <c r="B201" s="97">
        <f t="shared" ref="B201:D201" si="42">(1-B160)^2</f>
        <v>0</v>
      </c>
      <c r="C201" s="97">
        <f t="shared" si="42"/>
        <v>1</v>
      </c>
      <c r="D201" s="97">
        <f t="shared" si="42"/>
        <v>1</v>
      </c>
    </row>
    <row r="202" spans="1:4" x14ac:dyDescent="0.25">
      <c r="B202" s="97">
        <f t="shared" ref="B202:D202" si="43">(1-B161)^2</f>
        <v>0</v>
      </c>
      <c r="C202" s="97">
        <f t="shared" si="43"/>
        <v>1</v>
      </c>
      <c r="D202" s="97">
        <f t="shared" si="43"/>
        <v>1</v>
      </c>
    </row>
    <row r="204" spans="1:4" x14ac:dyDescent="0.25">
      <c r="A204" s="128" t="s">
        <v>185</v>
      </c>
    </row>
    <row r="205" spans="1:4" x14ac:dyDescent="0.25">
      <c r="A205" s="92" t="s">
        <v>24</v>
      </c>
      <c r="B205" s="97">
        <f t="shared" ref="B205:D207" si="44">$B$120*B164+(1-$B$120)*(1-B123)</f>
        <v>1</v>
      </c>
      <c r="C205" s="97">
        <f t="shared" si="44"/>
        <v>0</v>
      </c>
      <c r="D205" s="97">
        <f t="shared" si="44"/>
        <v>0</v>
      </c>
    </row>
    <row r="206" spans="1:4" x14ac:dyDescent="0.25">
      <c r="B206" s="97">
        <f t="shared" si="44"/>
        <v>0</v>
      </c>
      <c r="C206" s="97">
        <f t="shared" si="44"/>
        <v>1</v>
      </c>
      <c r="D206" s="97">
        <f t="shared" si="44"/>
        <v>1</v>
      </c>
    </row>
    <row r="207" spans="1:4" x14ac:dyDescent="0.25">
      <c r="B207" s="97">
        <f t="shared" si="44"/>
        <v>0</v>
      </c>
      <c r="C207" s="97">
        <f t="shared" si="44"/>
        <v>1</v>
      </c>
      <c r="D207" s="97">
        <f t="shared" si="44"/>
        <v>1</v>
      </c>
    </row>
    <row r="208" spans="1:4" x14ac:dyDescent="0.25">
      <c r="B208" s="97"/>
      <c r="C208" s="97"/>
      <c r="D208" s="97"/>
    </row>
    <row r="209" spans="1:4" x14ac:dyDescent="0.25">
      <c r="A209" s="92" t="s">
        <v>13</v>
      </c>
      <c r="B209" s="97">
        <f t="shared" ref="B209:D211" si="45">$B$120*B168+(1-$B$120)*(1-B127)</f>
        <v>1</v>
      </c>
      <c r="C209" s="97">
        <f t="shared" si="45"/>
        <v>0.82552800734618992</v>
      </c>
      <c r="D209" s="97">
        <f t="shared" si="45"/>
        <v>0</v>
      </c>
    </row>
    <row r="210" spans="1:4" x14ac:dyDescent="0.25">
      <c r="B210" s="97">
        <f t="shared" si="45"/>
        <v>0.82552800734618992</v>
      </c>
      <c r="C210" s="97">
        <f t="shared" si="45"/>
        <v>1</v>
      </c>
      <c r="D210" s="97">
        <f t="shared" si="45"/>
        <v>6.7952249770431239E-2</v>
      </c>
    </row>
    <row r="211" spans="1:4" x14ac:dyDescent="0.25">
      <c r="B211" s="97">
        <f t="shared" si="45"/>
        <v>0</v>
      </c>
      <c r="C211" s="97">
        <f t="shared" si="45"/>
        <v>6.7952249770431239E-2</v>
      </c>
      <c r="D211" s="97">
        <f t="shared" si="45"/>
        <v>1</v>
      </c>
    </row>
    <row r="212" spans="1:4" x14ac:dyDescent="0.25">
      <c r="B212" s="97"/>
      <c r="C212" s="97"/>
      <c r="D212" s="97"/>
    </row>
    <row r="213" spans="1:4" x14ac:dyDescent="0.25">
      <c r="A213" s="92" t="s">
        <v>14</v>
      </c>
      <c r="B213" s="97">
        <f t="shared" ref="B213:D215" si="46">$B$120*B172+(1-$B$120)*(1-B131)</f>
        <v>1</v>
      </c>
      <c r="C213" s="97">
        <f t="shared" si="46"/>
        <v>0</v>
      </c>
      <c r="D213" s="97">
        <f t="shared" si="46"/>
        <v>0.82552800734618925</v>
      </c>
    </row>
    <row r="214" spans="1:4" x14ac:dyDescent="0.25">
      <c r="B214" s="97">
        <f t="shared" si="46"/>
        <v>0</v>
      </c>
      <c r="C214" s="97">
        <f t="shared" si="46"/>
        <v>1</v>
      </c>
      <c r="D214" s="97">
        <f t="shared" si="46"/>
        <v>6.7952249770431516E-2</v>
      </c>
    </row>
    <row r="215" spans="1:4" x14ac:dyDescent="0.25">
      <c r="B215" s="97">
        <f t="shared" si="46"/>
        <v>0.82552800734618925</v>
      </c>
      <c r="C215" s="97">
        <f t="shared" si="46"/>
        <v>6.7952249770431516E-2</v>
      </c>
      <c r="D215" s="97">
        <f t="shared" si="46"/>
        <v>1</v>
      </c>
    </row>
    <row r="216" spans="1:4" x14ac:dyDescent="0.25">
      <c r="B216" s="97"/>
      <c r="C216" s="97"/>
      <c r="D216" s="97"/>
    </row>
    <row r="217" spans="1:4" x14ac:dyDescent="0.25">
      <c r="A217" s="92" t="s">
        <v>15</v>
      </c>
      <c r="B217" s="97">
        <f t="shared" ref="B217:D219" si="47">$B$120*B176+(1-$B$120)*(1-B135)</f>
        <v>1</v>
      </c>
      <c r="C217" s="97">
        <f t="shared" si="47"/>
        <v>0.8819474480968863</v>
      </c>
      <c r="D217" s="97">
        <f t="shared" si="47"/>
        <v>4.371215397923852E-2</v>
      </c>
    </row>
    <row r="218" spans="1:4" x14ac:dyDescent="0.25">
      <c r="B218" s="97">
        <f t="shared" si="47"/>
        <v>0.8819474480968863</v>
      </c>
      <c r="C218" s="97">
        <f t="shared" si="47"/>
        <v>1</v>
      </c>
      <c r="D218" s="97">
        <f t="shared" si="47"/>
        <v>0</v>
      </c>
    </row>
    <row r="219" spans="1:4" x14ac:dyDescent="0.25">
      <c r="B219" s="97">
        <f t="shared" si="47"/>
        <v>4.371215397923852E-2</v>
      </c>
      <c r="C219" s="97">
        <f t="shared" si="47"/>
        <v>0</v>
      </c>
      <c r="D219" s="97">
        <f t="shared" si="47"/>
        <v>1</v>
      </c>
    </row>
    <row r="220" spans="1:4" x14ac:dyDescent="0.25">
      <c r="B220" s="97"/>
      <c r="C220" s="97"/>
      <c r="D220" s="97"/>
    </row>
    <row r="221" spans="1:4" x14ac:dyDescent="0.25">
      <c r="A221" s="92" t="s">
        <v>17</v>
      </c>
      <c r="B221" s="97">
        <f t="shared" ref="B221:D223" si="48">$B$120*B180+(1-$B$120)*(1-B139)</f>
        <v>1</v>
      </c>
      <c r="C221" s="97">
        <f t="shared" si="48"/>
        <v>0</v>
      </c>
      <c r="D221" s="97">
        <f t="shared" si="48"/>
        <v>0.69135802469135554</v>
      </c>
    </row>
    <row r="222" spans="1:4" x14ac:dyDescent="0.25">
      <c r="B222" s="97">
        <f t="shared" si="48"/>
        <v>0</v>
      </c>
      <c r="C222" s="97">
        <f t="shared" si="48"/>
        <v>1</v>
      </c>
      <c r="D222" s="97">
        <f t="shared" si="48"/>
        <v>0.1358024691358039</v>
      </c>
    </row>
    <row r="223" spans="1:4" x14ac:dyDescent="0.25">
      <c r="B223" s="97">
        <f t="shared" si="48"/>
        <v>0.69135802469135554</v>
      </c>
      <c r="C223" s="97">
        <f t="shared" si="48"/>
        <v>0.1358024691358039</v>
      </c>
      <c r="D223" s="97">
        <f t="shared" si="48"/>
        <v>1</v>
      </c>
    </row>
    <row r="224" spans="1:4" x14ac:dyDescent="0.25">
      <c r="B224" s="97"/>
      <c r="C224" s="97"/>
      <c r="D224" s="97"/>
    </row>
    <row r="225" spans="1:4" x14ac:dyDescent="0.25">
      <c r="A225" s="92" t="s">
        <v>18</v>
      </c>
      <c r="B225" s="97">
        <f t="shared" ref="B225:D227" si="49">$B$120*B184+(1-$B$120)*(1-B143)</f>
        <v>1</v>
      </c>
      <c r="C225" s="97">
        <f t="shared" si="49"/>
        <v>0</v>
      </c>
      <c r="D225" s="97">
        <f t="shared" si="49"/>
        <v>0</v>
      </c>
    </row>
    <row r="226" spans="1:4" x14ac:dyDescent="0.25">
      <c r="B226" s="97">
        <f t="shared" si="49"/>
        <v>0</v>
      </c>
      <c r="C226" s="97">
        <f t="shared" si="49"/>
        <v>1</v>
      </c>
      <c r="D226" s="97">
        <f t="shared" si="49"/>
        <v>1</v>
      </c>
    </row>
    <row r="227" spans="1:4" x14ac:dyDescent="0.25">
      <c r="B227" s="97">
        <f t="shared" si="49"/>
        <v>0</v>
      </c>
      <c r="C227" s="97">
        <f t="shared" si="49"/>
        <v>1</v>
      </c>
      <c r="D227" s="97">
        <f t="shared" si="49"/>
        <v>1</v>
      </c>
    </row>
    <row r="228" spans="1:4" x14ac:dyDescent="0.25">
      <c r="B228" s="97"/>
      <c r="C228" s="97"/>
      <c r="D228" s="97"/>
    </row>
    <row r="229" spans="1:4" x14ac:dyDescent="0.25">
      <c r="A229" s="92" t="s">
        <v>19</v>
      </c>
      <c r="B229" s="97">
        <f t="shared" ref="B229:D231" si="50">$B$120*B188+(1-$B$120)*(1-B147)</f>
        <v>1</v>
      </c>
      <c r="C229" s="97">
        <f t="shared" si="50"/>
        <v>0</v>
      </c>
      <c r="D229" s="97">
        <f t="shared" si="50"/>
        <v>0</v>
      </c>
    </row>
    <row r="230" spans="1:4" x14ac:dyDescent="0.25">
      <c r="B230" s="97">
        <f t="shared" si="50"/>
        <v>0</v>
      </c>
      <c r="C230" s="97">
        <f t="shared" si="50"/>
        <v>1</v>
      </c>
      <c r="D230" s="97">
        <f t="shared" si="50"/>
        <v>1</v>
      </c>
    </row>
    <row r="231" spans="1:4" x14ac:dyDescent="0.25">
      <c r="B231" s="97">
        <f t="shared" si="50"/>
        <v>0</v>
      </c>
      <c r="C231" s="97">
        <f t="shared" si="50"/>
        <v>1</v>
      </c>
      <c r="D231" s="97">
        <f t="shared" si="50"/>
        <v>1</v>
      </c>
    </row>
    <row r="232" spans="1:4" x14ac:dyDescent="0.25">
      <c r="B232" s="97"/>
      <c r="C232" s="97"/>
      <c r="D232" s="97"/>
    </row>
    <row r="233" spans="1:4" x14ac:dyDescent="0.25">
      <c r="A233" s="92" t="s">
        <v>20</v>
      </c>
      <c r="B233" s="97">
        <f t="shared" ref="B233:D235" si="51">$B$120*B192+(1-$B$120)*(1-B151)</f>
        <v>1</v>
      </c>
      <c r="C233" s="97">
        <f t="shared" si="51"/>
        <v>0</v>
      </c>
      <c r="D233" s="97">
        <f t="shared" si="51"/>
        <v>0</v>
      </c>
    </row>
    <row r="234" spans="1:4" x14ac:dyDescent="0.25">
      <c r="B234" s="97">
        <f t="shared" si="51"/>
        <v>0</v>
      </c>
      <c r="C234" s="97">
        <f t="shared" si="51"/>
        <v>1</v>
      </c>
      <c r="D234" s="97">
        <f t="shared" si="51"/>
        <v>1</v>
      </c>
    </row>
    <row r="235" spans="1:4" x14ac:dyDescent="0.25">
      <c r="B235" s="97">
        <f t="shared" si="51"/>
        <v>0</v>
      </c>
      <c r="C235" s="97">
        <f t="shared" si="51"/>
        <v>1</v>
      </c>
      <c r="D235" s="97">
        <f t="shared" si="51"/>
        <v>1</v>
      </c>
    </row>
    <row r="236" spans="1:4" x14ac:dyDescent="0.25">
      <c r="B236" s="97"/>
      <c r="C236" s="97"/>
      <c r="D236" s="97"/>
    </row>
    <row r="237" spans="1:4" x14ac:dyDescent="0.25">
      <c r="A237" s="92" t="s">
        <v>22</v>
      </c>
      <c r="B237" s="97">
        <f t="shared" ref="B237:D239" si="52">$B$120*B196+(1-$B$120)*(1-B155)</f>
        <v>1</v>
      </c>
      <c r="C237" s="97">
        <f t="shared" si="52"/>
        <v>0</v>
      </c>
      <c r="D237" s="97">
        <f t="shared" si="52"/>
        <v>0</v>
      </c>
    </row>
    <row r="238" spans="1:4" x14ac:dyDescent="0.25">
      <c r="B238" s="97">
        <f t="shared" si="52"/>
        <v>0</v>
      </c>
      <c r="C238" s="97">
        <f t="shared" si="52"/>
        <v>1</v>
      </c>
      <c r="D238" s="97">
        <f t="shared" si="52"/>
        <v>1</v>
      </c>
    </row>
    <row r="239" spans="1:4" x14ac:dyDescent="0.25">
      <c r="B239" s="97">
        <f t="shared" si="52"/>
        <v>0</v>
      </c>
      <c r="C239" s="97">
        <f t="shared" si="52"/>
        <v>1</v>
      </c>
      <c r="D239" s="97">
        <f t="shared" si="52"/>
        <v>1</v>
      </c>
    </row>
    <row r="240" spans="1:4" x14ac:dyDescent="0.25">
      <c r="B240" s="97"/>
      <c r="C240" s="97"/>
      <c r="D240" s="97"/>
    </row>
    <row r="241" spans="1:4" x14ac:dyDescent="0.25">
      <c r="A241" s="92" t="s">
        <v>23</v>
      </c>
      <c r="B241" s="97">
        <f t="shared" ref="B241:D243" si="53">$B$120*B200+(1-$B$120)*(1-B159)</f>
        <v>1</v>
      </c>
      <c r="C241" s="97">
        <f t="shared" si="53"/>
        <v>0</v>
      </c>
      <c r="D241" s="97">
        <f t="shared" si="53"/>
        <v>0</v>
      </c>
    </row>
    <row r="242" spans="1:4" x14ac:dyDescent="0.25">
      <c r="B242" s="97">
        <f t="shared" si="53"/>
        <v>0</v>
      </c>
      <c r="C242" s="97">
        <f t="shared" si="53"/>
        <v>1</v>
      </c>
      <c r="D242" s="97">
        <f t="shared" si="53"/>
        <v>1</v>
      </c>
    </row>
    <row r="243" spans="1:4" x14ac:dyDescent="0.25">
      <c r="B243" s="97">
        <f t="shared" si="53"/>
        <v>0</v>
      </c>
      <c r="C243" s="97">
        <f t="shared" si="53"/>
        <v>1</v>
      </c>
      <c r="D243" s="97">
        <f t="shared" si="53"/>
        <v>1</v>
      </c>
    </row>
    <row r="245" spans="1:4" x14ac:dyDescent="0.25">
      <c r="A245" s="1" t="s">
        <v>324</v>
      </c>
    </row>
    <row r="246" spans="1:4" x14ac:dyDescent="0.25">
      <c r="A246" s="150" t="s">
        <v>234</v>
      </c>
      <c r="B246" s="157" t="s">
        <v>100</v>
      </c>
      <c r="C246" s="157" t="s">
        <v>101</v>
      </c>
      <c r="D246" s="157" t="s">
        <v>120</v>
      </c>
    </row>
    <row r="247" spans="1:4" x14ac:dyDescent="0.25">
      <c r="A247" s="222" t="s">
        <v>24</v>
      </c>
      <c r="B247" s="98">
        <f>B205*$C$113+B206*$C$114+B207*$C$115</f>
        <v>0.3</v>
      </c>
      <c r="C247" s="98">
        <f t="shared" ref="C247:D247" si="54">C205*$C$113+C206*$C$114+C207*$C$115</f>
        <v>0.7</v>
      </c>
      <c r="D247" s="98">
        <f t="shared" si="54"/>
        <v>0.7</v>
      </c>
    </row>
    <row r="248" spans="1:4" x14ac:dyDescent="0.25">
      <c r="A248" s="222" t="s">
        <v>13</v>
      </c>
      <c r="B248" s="98">
        <f>B209*$C$113+B210*$C$114+B211*$C$115</f>
        <v>0.54765840220385698</v>
      </c>
      <c r="C248" s="98">
        <f>C209*$C$113+C210*$C$114+C211*$C$115</f>
        <v>0.57483930211202949</v>
      </c>
      <c r="D248" s="98">
        <f>D209*$C$113+D210*$C$114+D211*$C$115</f>
        <v>0.42038567493112938</v>
      </c>
    </row>
    <row r="249" spans="1:4" x14ac:dyDescent="0.25">
      <c r="A249" s="222" t="s">
        <v>14</v>
      </c>
      <c r="B249" s="98">
        <f>B213*$C$113+B214*$C$114+B215*$C$115</f>
        <v>0.63021120293847566</v>
      </c>
      <c r="C249" s="98">
        <f t="shared" ref="C249:D249" si="55">C213*$C$113+C214*$C$114+C215*$C$115</f>
        <v>0.32718089990817262</v>
      </c>
      <c r="D249" s="98">
        <f t="shared" si="55"/>
        <v>0.66804407713498626</v>
      </c>
    </row>
    <row r="250" spans="1:4" x14ac:dyDescent="0.25">
      <c r="A250" s="222" t="s">
        <v>15</v>
      </c>
      <c r="B250" s="98">
        <f>B217*$C$113+B218*$C$114+B219*$C$115</f>
        <v>0.58206909602076129</v>
      </c>
      <c r="C250" s="98">
        <f t="shared" ref="C250:D250" si="56">C217*$C$113+C218*$C$114+C219*$C$115</f>
        <v>0.56458423442906591</v>
      </c>
      <c r="D250" s="98">
        <f t="shared" si="56"/>
        <v>0.41311364619377156</v>
      </c>
    </row>
    <row r="251" spans="1:4" x14ac:dyDescent="0.25">
      <c r="A251" s="222" t="s">
        <v>17</v>
      </c>
      <c r="B251" s="98">
        <f>B221*$C$113+B222*$C$114+B223*$C$115</f>
        <v>0.57654320987654217</v>
      </c>
      <c r="C251" s="98">
        <f t="shared" ref="C251:D251" si="57">C221*$C$113+C222*$C$114+C223*$C$115</f>
        <v>0.35432098765432157</v>
      </c>
      <c r="D251" s="98">
        <f t="shared" si="57"/>
        <v>0.64814814814814781</v>
      </c>
    </row>
    <row r="252" spans="1:4" x14ac:dyDescent="0.25">
      <c r="A252" s="222" t="s">
        <v>18</v>
      </c>
      <c r="B252" s="98">
        <f>B225*$C$113+B226*$C$114+B227*$C$115</f>
        <v>0.3</v>
      </c>
      <c r="C252" s="98">
        <f t="shared" ref="C252:D252" si="58">C225*$C$113+C226*$C$114+C227*$C$115</f>
        <v>0.7</v>
      </c>
      <c r="D252" s="98">
        <f t="shared" si="58"/>
        <v>0.7</v>
      </c>
    </row>
    <row r="253" spans="1:4" x14ac:dyDescent="0.25">
      <c r="A253" s="222" t="s">
        <v>19</v>
      </c>
      <c r="B253" s="98">
        <f>B229*$C$113+B230*$C$114+B231*$C$115</f>
        <v>0.3</v>
      </c>
      <c r="C253" s="98">
        <f t="shared" ref="C253:D253" si="59">C229*$C$113+C230*$C$114+C231*$C$115</f>
        <v>0.7</v>
      </c>
      <c r="D253" s="98">
        <f t="shared" si="59"/>
        <v>0.7</v>
      </c>
    </row>
    <row r="254" spans="1:4" x14ac:dyDescent="0.25">
      <c r="A254" s="222" t="s">
        <v>20</v>
      </c>
      <c r="B254" s="98">
        <f>B233*$C$113+B234*$C$114+B235*$C$115</f>
        <v>0.3</v>
      </c>
      <c r="C254" s="98">
        <f t="shared" ref="C254:D254" si="60">C233*$C$113+C234*$C$114+C235*$C$115</f>
        <v>0.7</v>
      </c>
      <c r="D254" s="98">
        <f t="shared" si="60"/>
        <v>0.7</v>
      </c>
    </row>
    <row r="255" spans="1:4" x14ac:dyDescent="0.25">
      <c r="A255" s="222" t="s">
        <v>22</v>
      </c>
      <c r="B255" s="98">
        <f>B237*$C$113+B238*$C$114+B239*$C$115</f>
        <v>0.3</v>
      </c>
      <c r="C255" s="98">
        <f t="shared" ref="C255:D255" si="61">C237*$C$113+C238*$C$114+C239*$C$115</f>
        <v>0.7</v>
      </c>
      <c r="D255" s="98">
        <f t="shared" si="61"/>
        <v>0.7</v>
      </c>
    </row>
    <row r="256" spans="1:4" x14ac:dyDescent="0.25">
      <c r="A256" s="222" t="s">
        <v>23</v>
      </c>
      <c r="B256" s="98">
        <f>B241*$C$113+B242*$C$114+B243*$C$115</f>
        <v>0.3</v>
      </c>
      <c r="C256" s="98">
        <f t="shared" ref="C256:D256" si="62">C241*$C$113+C242*$C$114+C243*$C$115</f>
        <v>0.7</v>
      </c>
      <c r="D256" s="98">
        <f t="shared" si="62"/>
        <v>0.7</v>
      </c>
    </row>
    <row r="258" spans="1:5" x14ac:dyDescent="0.25">
      <c r="A258" s="1" t="s">
        <v>170</v>
      </c>
    </row>
    <row r="259" spans="1:5" x14ac:dyDescent="0.25">
      <c r="A259" s="150" t="s">
        <v>234</v>
      </c>
      <c r="B259" s="157" t="s">
        <v>100</v>
      </c>
      <c r="C259" s="157" t="s">
        <v>101</v>
      </c>
      <c r="D259" s="157" t="s">
        <v>120</v>
      </c>
      <c r="E259" s="95" t="s">
        <v>138</v>
      </c>
    </row>
    <row r="260" spans="1:5" x14ac:dyDescent="0.25">
      <c r="A260" s="222" t="s">
        <v>24</v>
      </c>
      <c r="B260" s="98">
        <f>B247/SUM($B247:$D247)</f>
        <v>0.17647058823529413</v>
      </c>
      <c r="C260" s="98">
        <f>C247/SUM($B247:$D247)</f>
        <v>0.41176470588235292</v>
      </c>
      <c r="D260" s="98">
        <f t="shared" ref="D260" si="63">D247/SUM($B247:$D247)</f>
        <v>0.41176470588235292</v>
      </c>
      <c r="E260" s="94">
        <f>SUM(B260:D260)</f>
        <v>1</v>
      </c>
    </row>
    <row r="261" spans="1:5" x14ac:dyDescent="0.25">
      <c r="A261" s="222" t="s">
        <v>13</v>
      </c>
      <c r="B261" s="98">
        <f t="shared" ref="B261:D269" si="64">B248/SUM($B248:$D248)</f>
        <v>0.3549577431258184</v>
      </c>
      <c r="C261" s="98">
        <f t="shared" si="64"/>
        <v>0.37257469348887035</v>
      </c>
      <c r="D261" s="98">
        <f t="shared" si="64"/>
        <v>0.27246756338531114</v>
      </c>
      <c r="E261" s="94">
        <f t="shared" ref="E261:E269" si="65">SUM(B261:D261)</f>
        <v>0.99999999999999978</v>
      </c>
    </row>
    <row r="262" spans="1:5" x14ac:dyDescent="0.25">
      <c r="A262" s="222" t="s">
        <v>14</v>
      </c>
      <c r="B262" s="98">
        <f t="shared" si="64"/>
        <v>0.38771820801084683</v>
      </c>
      <c r="C262" s="98">
        <f t="shared" si="64"/>
        <v>0.20128806282130951</v>
      </c>
      <c r="D262" s="98">
        <f t="shared" si="64"/>
        <v>0.4109937291678436</v>
      </c>
      <c r="E262" s="94">
        <f t="shared" si="65"/>
        <v>1</v>
      </c>
    </row>
    <row r="263" spans="1:5" x14ac:dyDescent="0.25">
      <c r="A263" s="222" t="s">
        <v>15</v>
      </c>
      <c r="B263" s="98">
        <f t="shared" si="64"/>
        <v>0.37317695831289682</v>
      </c>
      <c r="C263" s="98">
        <f t="shared" si="64"/>
        <v>0.36196703923298373</v>
      </c>
      <c r="D263" s="98">
        <f t="shared" si="64"/>
        <v>0.2648560024541195</v>
      </c>
      <c r="E263" s="94">
        <f t="shared" si="65"/>
        <v>1</v>
      </c>
    </row>
    <row r="264" spans="1:5" x14ac:dyDescent="0.25">
      <c r="A264" s="222" t="s">
        <v>17</v>
      </c>
      <c r="B264" s="98">
        <f t="shared" si="64"/>
        <v>0.36512900703674694</v>
      </c>
      <c r="C264" s="98">
        <f t="shared" si="64"/>
        <v>0.22439405785770178</v>
      </c>
      <c r="D264" s="98">
        <f t="shared" si="64"/>
        <v>0.41047693510555117</v>
      </c>
      <c r="E264" s="94">
        <f t="shared" si="65"/>
        <v>0.99999999999999989</v>
      </c>
    </row>
    <row r="265" spans="1:5" x14ac:dyDescent="0.25">
      <c r="A265" s="222" t="s">
        <v>18</v>
      </c>
      <c r="B265" s="98">
        <f t="shared" si="64"/>
        <v>0.17647058823529413</v>
      </c>
      <c r="C265" s="98">
        <f t="shared" si="64"/>
        <v>0.41176470588235292</v>
      </c>
      <c r="D265" s="98">
        <f t="shared" si="64"/>
        <v>0.41176470588235292</v>
      </c>
      <c r="E265" s="94">
        <f t="shared" si="65"/>
        <v>1</v>
      </c>
    </row>
    <row r="266" spans="1:5" x14ac:dyDescent="0.25">
      <c r="A266" s="222" t="s">
        <v>19</v>
      </c>
      <c r="B266" s="98">
        <f t="shared" si="64"/>
        <v>0.17647058823529413</v>
      </c>
      <c r="C266" s="98">
        <f t="shared" si="64"/>
        <v>0.41176470588235292</v>
      </c>
      <c r="D266" s="98">
        <f t="shared" si="64"/>
        <v>0.41176470588235292</v>
      </c>
      <c r="E266" s="94">
        <f t="shared" si="65"/>
        <v>1</v>
      </c>
    </row>
    <row r="267" spans="1:5" x14ac:dyDescent="0.25">
      <c r="A267" s="222" t="s">
        <v>20</v>
      </c>
      <c r="B267" s="98">
        <f t="shared" si="64"/>
        <v>0.17647058823529413</v>
      </c>
      <c r="C267" s="98">
        <f t="shared" si="64"/>
        <v>0.41176470588235292</v>
      </c>
      <c r="D267" s="98">
        <f t="shared" si="64"/>
        <v>0.41176470588235292</v>
      </c>
      <c r="E267" s="94">
        <f t="shared" si="65"/>
        <v>1</v>
      </c>
    </row>
    <row r="268" spans="1:5" x14ac:dyDescent="0.25">
      <c r="A268" s="222" t="s">
        <v>22</v>
      </c>
      <c r="B268" s="98">
        <f t="shared" si="64"/>
        <v>0.17647058823529413</v>
      </c>
      <c r="C268" s="98">
        <f t="shared" si="64"/>
        <v>0.41176470588235292</v>
      </c>
      <c r="D268" s="98">
        <f t="shared" si="64"/>
        <v>0.41176470588235292</v>
      </c>
      <c r="E268" s="94">
        <f t="shared" si="65"/>
        <v>1</v>
      </c>
    </row>
    <row r="269" spans="1:5" x14ac:dyDescent="0.25">
      <c r="A269" s="222" t="s">
        <v>23</v>
      </c>
      <c r="B269" s="98">
        <f t="shared" si="64"/>
        <v>0.17647058823529413</v>
      </c>
      <c r="C269" s="98">
        <f t="shared" si="64"/>
        <v>0.41176470588235292</v>
      </c>
      <c r="D269" s="98">
        <f t="shared" si="64"/>
        <v>0.41176470588235292</v>
      </c>
      <c r="E269" s="94">
        <f t="shared" si="65"/>
        <v>1</v>
      </c>
    </row>
    <row r="271" spans="1:5" x14ac:dyDescent="0.25">
      <c r="A271" s="1" t="s">
        <v>298</v>
      </c>
    </row>
    <row r="272" spans="1:5" x14ac:dyDescent="0.25">
      <c r="A272" s="150" t="s">
        <v>234</v>
      </c>
      <c r="B272" s="150" t="s">
        <v>104</v>
      </c>
      <c r="C272" s="150" t="s">
        <v>105</v>
      </c>
      <c r="D272" s="150" t="s">
        <v>106</v>
      </c>
    </row>
    <row r="273" spans="1:6" x14ac:dyDescent="0.25">
      <c r="A273" s="222" t="s">
        <v>24</v>
      </c>
      <c r="B273" s="2">
        <f t="shared" ref="B273:B282" si="66">J14</f>
        <v>24</v>
      </c>
      <c r="C273" s="2">
        <f t="shared" ref="C273:C282" si="67">J44</f>
        <v>21.5</v>
      </c>
      <c r="D273" s="2">
        <f t="shared" ref="D273:D282" si="68">J74</f>
        <v>21.5</v>
      </c>
    </row>
    <row r="274" spans="1:6" x14ac:dyDescent="0.25">
      <c r="A274" s="222" t="s">
        <v>13</v>
      </c>
      <c r="B274" s="2">
        <f t="shared" si="66"/>
        <v>13.280000000000001</v>
      </c>
      <c r="C274" s="2">
        <f t="shared" si="67"/>
        <v>13.5</v>
      </c>
      <c r="D274" s="2">
        <f t="shared" si="68"/>
        <v>15.095000000000001</v>
      </c>
    </row>
    <row r="275" spans="1:6" x14ac:dyDescent="0.25">
      <c r="A275" s="222" t="s">
        <v>14</v>
      </c>
      <c r="B275" s="2">
        <f t="shared" si="66"/>
        <v>5.28</v>
      </c>
      <c r="C275" s="2">
        <f t="shared" si="67"/>
        <v>7.0950000000000006</v>
      </c>
      <c r="D275" s="2">
        <f t="shared" si="68"/>
        <v>5.5</v>
      </c>
    </row>
    <row r="276" spans="1:6" x14ac:dyDescent="0.25">
      <c r="A276" s="222" t="s">
        <v>15</v>
      </c>
      <c r="B276" s="2">
        <f t="shared" si="66"/>
        <v>21.28</v>
      </c>
      <c r="C276" s="2">
        <f t="shared" si="67"/>
        <v>21.5</v>
      </c>
      <c r="D276" s="2">
        <f t="shared" si="68"/>
        <v>18.78</v>
      </c>
    </row>
    <row r="277" spans="1:6" x14ac:dyDescent="0.25">
      <c r="A277" s="222" t="s">
        <v>17</v>
      </c>
      <c r="B277" s="2">
        <f t="shared" si="66"/>
        <v>13.2</v>
      </c>
      <c r="C277" s="2">
        <f t="shared" si="67"/>
        <v>14.190000000000001</v>
      </c>
      <c r="D277" s="2">
        <f t="shared" si="68"/>
        <v>13.420000000000002</v>
      </c>
    </row>
    <row r="278" spans="1:6" x14ac:dyDescent="0.25">
      <c r="A278" s="222" t="s">
        <v>18</v>
      </c>
      <c r="B278" s="2">
        <f t="shared" si="66"/>
        <v>7.92</v>
      </c>
      <c r="C278" s="2">
        <f t="shared" si="67"/>
        <v>8.91</v>
      </c>
      <c r="D278" s="2">
        <f t="shared" si="68"/>
        <v>8.91</v>
      </c>
    </row>
    <row r="279" spans="1:6" x14ac:dyDescent="0.25">
      <c r="A279" s="222" t="s">
        <v>19</v>
      </c>
      <c r="B279" s="2">
        <f t="shared" si="66"/>
        <v>10.56</v>
      </c>
      <c r="C279" s="2">
        <f t="shared" si="67"/>
        <v>10.780000000000001</v>
      </c>
      <c r="D279" s="2">
        <f t="shared" si="68"/>
        <v>10.780000000000001</v>
      </c>
    </row>
    <row r="280" spans="1:6" x14ac:dyDescent="0.25">
      <c r="A280" s="222" t="s">
        <v>20</v>
      </c>
      <c r="B280" s="2">
        <f t="shared" si="66"/>
        <v>15.84</v>
      </c>
      <c r="C280" s="2">
        <f t="shared" si="67"/>
        <v>16.060000000000002</v>
      </c>
      <c r="D280" s="2">
        <f t="shared" si="68"/>
        <v>16.060000000000002</v>
      </c>
    </row>
    <row r="281" spans="1:6" x14ac:dyDescent="0.25">
      <c r="A281" s="222" t="s">
        <v>22</v>
      </c>
      <c r="B281" s="2">
        <f t="shared" si="66"/>
        <v>0</v>
      </c>
      <c r="C281" s="2">
        <f t="shared" si="67"/>
        <v>1.8150000000000002</v>
      </c>
      <c r="D281" s="2">
        <f t="shared" si="68"/>
        <v>1.8150000000000002</v>
      </c>
    </row>
    <row r="282" spans="1:6" x14ac:dyDescent="0.25">
      <c r="A282" s="222" t="s">
        <v>23</v>
      </c>
      <c r="B282" s="2">
        <f t="shared" si="66"/>
        <v>13.280000000000001</v>
      </c>
      <c r="C282" s="2">
        <f t="shared" si="67"/>
        <v>14.27</v>
      </c>
      <c r="D282" s="2">
        <f t="shared" si="68"/>
        <v>14.27</v>
      </c>
    </row>
    <row r="284" spans="1:6" x14ac:dyDescent="0.25">
      <c r="A284" s="1" t="s">
        <v>325</v>
      </c>
    </row>
    <row r="285" spans="1:6" ht="75" x14ac:dyDescent="0.25">
      <c r="A285" s="42" t="s">
        <v>234</v>
      </c>
      <c r="B285" s="42" t="s">
        <v>200</v>
      </c>
      <c r="C285" s="42" t="s">
        <v>201</v>
      </c>
      <c r="D285" s="42" t="s">
        <v>199</v>
      </c>
      <c r="E285" s="42" t="s">
        <v>267</v>
      </c>
      <c r="F285" s="42" t="s">
        <v>266</v>
      </c>
    </row>
    <row r="286" spans="1:6" x14ac:dyDescent="0.25">
      <c r="A286" s="222" t="s">
        <v>24</v>
      </c>
      <c r="B286" s="98">
        <f>B273*B260</f>
        <v>4.2352941176470589</v>
      </c>
      <c r="C286" s="98">
        <f t="shared" ref="C286:D286" si="69">C273*C260</f>
        <v>8.852941176470587</v>
      </c>
      <c r="D286" s="98">
        <f t="shared" si="69"/>
        <v>8.852941176470587</v>
      </c>
      <c r="E286" s="98">
        <f>B286+C286+D286</f>
        <v>21.941176470588232</v>
      </c>
      <c r="F286" s="98">
        <f>E286</f>
        <v>21.941176470588232</v>
      </c>
    </row>
    <row r="287" spans="1:6" x14ac:dyDescent="0.25">
      <c r="A287" s="222" t="s">
        <v>13</v>
      </c>
      <c r="B287" s="98">
        <f t="shared" ref="B287:D287" si="70">B274*B261</f>
        <v>4.7138388287108688</v>
      </c>
      <c r="C287" s="98">
        <f t="shared" si="70"/>
        <v>5.0297583620997495</v>
      </c>
      <c r="D287" s="98">
        <f t="shared" si="70"/>
        <v>4.1128978693012721</v>
      </c>
      <c r="E287" s="98">
        <f t="shared" ref="E287:E295" si="71">B287+C287+D287</f>
        <v>13.856495060111889</v>
      </c>
      <c r="F287" s="98">
        <f>E287</f>
        <v>13.856495060111889</v>
      </c>
    </row>
    <row r="288" spans="1:6" x14ac:dyDescent="0.25">
      <c r="A288" s="222" t="s">
        <v>14</v>
      </c>
      <c r="B288" s="98">
        <f t="shared" ref="B288:D288" si="72">B275*B262</f>
        <v>2.0471521382972715</v>
      </c>
      <c r="C288" s="98">
        <f t="shared" si="72"/>
        <v>1.4281388057171911</v>
      </c>
      <c r="D288" s="98">
        <f t="shared" si="72"/>
        <v>2.2604655104231397</v>
      </c>
      <c r="E288" s="98">
        <f t="shared" si="71"/>
        <v>5.7357564544376025</v>
      </c>
      <c r="F288" s="98">
        <f>E288</f>
        <v>5.7357564544376025</v>
      </c>
    </row>
    <row r="289" spans="1:6" x14ac:dyDescent="0.25">
      <c r="A289" s="222" t="s">
        <v>15</v>
      </c>
      <c r="B289" s="98">
        <f t="shared" ref="B289:D289" si="73">B276*B263</f>
        <v>7.9412056728984446</v>
      </c>
      <c r="C289" s="98">
        <f t="shared" si="73"/>
        <v>7.7822913435091499</v>
      </c>
      <c r="D289" s="98">
        <f t="shared" si="73"/>
        <v>4.9739957260883649</v>
      </c>
      <c r="E289" s="98">
        <f t="shared" si="71"/>
        <v>20.69749274249596</v>
      </c>
      <c r="F289" s="98">
        <f>E286</f>
        <v>21.941176470588232</v>
      </c>
    </row>
    <row r="290" spans="1:6" x14ac:dyDescent="0.25">
      <c r="A290" s="222" t="s">
        <v>17</v>
      </c>
      <c r="B290" s="98">
        <f t="shared" ref="B290:D290" si="74">B277*B264</f>
        <v>4.8197028928850596</v>
      </c>
      <c r="C290" s="98">
        <f t="shared" si="74"/>
        <v>3.1841516810007886</v>
      </c>
      <c r="D290" s="98">
        <f t="shared" si="74"/>
        <v>5.5086004691164971</v>
      </c>
      <c r="E290" s="98">
        <f t="shared" si="71"/>
        <v>13.512455043002344</v>
      </c>
      <c r="F290" s="98">
        <f>E290</f>
        <v>13.512455043002344</v>
      </c>
    </row>
    <row r="291" spans="1:6" x14ac:dyDescent="0.25">
      <c r="A291" s="222" t="s">
        <v>18</v>
      </c>
      <c r="B291" s="98">
        <f t="shared" ref="B291:D291" si="75">B278*B265</f>
        <v>1.3976470588235295</v>
      </c>
      <c r="C291" s="98">
        <f t="shared" si="75"/>
        <v>3.6688235294117644</v>
      </c>
      <c r="D291" s="98">
        <f t="shared" si="75"/>
        <v>3.6688235294117644</v>
      </c>
      <c r="E291" s="98">
        <f t="shared" si="71"/>
        <v>8.735294117647058</v>
      </c>
      <c r="F291" s="98">
        <f>E292</f>
        <v>10.741176470588236</v>
      </c>
    </row>
    <row r="292" spans="1:6" x14ac:dyDescent="0.25">
      <c r="A292" s="222" t="s">
        <v>19</v>
      </c>
      <c r="B292" s="98">
        <f t="shared" ref="B292:D292" si="76">B279*B266</f>
        <v>1.8635294117647061</v>
      </c>
      <c r="C292" s="98">
        <f t="shared" si="76"/>
        <v>4.4388235294117653</v>
      </c>
      <c r="D292" s="98">
        <f t="shared" si="76"/>
        <v>4.4388235294117653</v>
      </c>
      <c r="E292" s="98">
        <f t="shared" si="71"/>
        <v>10.741176470588236</v>
      </c>
      <c r="F292" s="98">
        <f>E292</f>
        <v>10.741176470588236</v>
      </c>
    </row>
    <row r="293" spans="1:6" x14ac:dyDescent="0.25">
      <c r="A293" s="222" t="s">
        <v>20</v>
      </c>
      <c r="B293" s="98">
        <f t="shared" ref="B293:D293" si="77">B280*B267</f>
        <v>2.7952941176470589</v>
      </c>
      <c r="C293" s="98">
        <f t="shared" si="77"/>
        <v>6.6129411764705885</v>
      </c>
      <c r="D293" s="98">
        <f t="shared" si="77"/>
        <v>6.6129411764705885</v>
      </c>
      <c r="E293" s="98">
        <f t="shared" si="71"/>
        <v>16.021176470588237</v>
      </c>
      <c r="F293" s="98">
        <f>E293</f>
        <v>16.021176470588237</v>
      </c>
    </row>
    <row r="294" spans="1:6" x14ac:dyDescent="0.25">
      <c r="A294" s="222" t="s">
        <v>22</v>
      </c>
      <c r="B294" s="98">
        <f t="shared" ref="B294:D294" si="78">B281*B268</f>
        <v>0</v>
      </c>
      <c r="C294" s="98">
        <f t="shared" si="78"/>
        <v>0.74735294117647066</v>
      </c>
      <c r="D294" s="98">
        <f t="shared" si="78"/>
        <v>0.74735294117647066</v>
      </c>
      <c r="E294" s="98">
        <f t="shared" si="71"/>
        <v>1.4947058823529413</v>
      </c>
      <c r="F294" s="98">
        <f>E293</f>
        <v>16.021176470588237</v>
      </c>
    </row>
    <row r="295" spans="1:6" x14ac:dyDescent="0.25">
      <c r="A295" s="222" t="s">
        <v>23</v>
      </c>
      <c r="B295" s="98">
        <f t="shared" ref="B295:D295" si="79">B282*B269</f>
        <v>2.3435294117647061</v>
      </c>
      <c r="C295" s="98">
        <f t="shared" si="79"/>
        <v>5.8758823529411757</v>
      </c>
      <c r="D295" s="98">
        <f t="shared" si="79"/>
        <v>5.8758823529411757</v>
      </c>
      <c r="E295" s="98">
        <f t="shared" si="71"/>
        <v>14.095294117647057</v>
      </c>
      <c r="F295" s="98">
        <f>E293</f>
        <v>16.021176470588237</v>
      </c>
    </row>
    <row r="297" spans="1:6" ht="15.75" thickBot="1" x14ac:dyDescent="0.3">
      <c r="A297" s="1" t="s">
        <v>319</v>
      </c>
    </row>
    <row r="298" spans="1:6" ht="30.75" thickBot="1" x14ac:dyDescent="0.3">
      <c r="A298" s="84" t="s">
        <v>234</v>
      </c>
      <c r="B298" s="84" t="s">
        <v>267</v>
      </c>
      <c r="C298" s="280" t="s">
        <v>266</v>
      </c>
    </row>
    <row r="299" spans="1:6" x14ac:dyDescent="0.25">
      <c r="A299" s="374" t="s">
        <v>24</v>
      </c>
      <c r="B299" s="140">
        <v>21.9411764705882</v>
      </c>
      <c r="C299" s="140">
        <v>21.9411764705882</v>
      </c>
    </row>
    <row r="300" spans="1:6" x14ac:dyDescent="0.25">
      <c r="A300" s="375" t="s">
        <v>15</v>
      </c>
      <c r="B300" s="142">
        <v>20.697492742495999</v>
      </c>
      <c r="C300" s="142">
        <v>21.9411764705882</v>
      </c>
    </row>
    <row r="301" spans="1:6" x14ac:dyDescent="0.25">
      <c r="A301" s="375" t="s">
        <v>20</v>
      </c>
      <c r="B301" s="142">
        <v>16.021176470588198</v>
      </c>
      <c r="C301" s="142">
        <v>16.021176470588198</v>
      </c>
    </row>
    <row r="302" spans="1:6" x14ac:dyDescent="0.25">
      <c r="A302" s="375" t="s">
        <v>23</v>
      </c>
      <c r="B302" s="142">
        <v>14.0952941176471</v>
      </c>
      <c r="C302" s="142">
        <v>16.021176470588198</v>
      </c>
    </row>
    <row r="303" spans="1:6" x14ac:dyDescent="0.25">
      <c r="A303" s="375" t="s">
        <v>22</v>
      </c>
      <c r="B303" s="142">
        <v>1.49470588235294</v>
      </c>
      <c r="C303" s="142">
        <v>16.021176470588198</v>
      </c>
    </row>
    <row r="304" spans="1:6" x14ac:dyDescent="0.25">
      <c r="A304" s="375" t="s">
        <v>13</v>
      </c>
      <c r="B304" s="142">
        <v>13.8564950601119</v>
      </c>
      <c r="C304" s="142">
        <v>13.8564950601119</v>
      </c>
    </row>
    <row r="305" spans="1:3" x14ac:dyDescent="0.25">
      <c r="A305" s="375" t="s">
        <v>17</v>
      </c>
      <c r="B305" s="142">
        <v>13.5124550430023</v>
      </c>
      <c r="C305" s="142">
        <v>13.5124550430023</v>
      </c>
    </row>
    <row r="306" spans="1:3" x14ac:dyDescent="0.25">
      <c r="A306" s="375" t="s">
        <v>19</v>
      </c>
      <c r="B306" s="142">
        <v>10.741176470588201</v>
      </c>
      <c r="C306" s="142">
        <v>10.741176470588201</v>
      </c>
    </row>
    <row r="307" spans="1:3" x14ac:dyDescent="0.25">
      <c r="A307" s="375" t="s">
        <v>18</v>
      </c>
      <c r="B307" s="142">
        <v>8.7352941176470598</v>
      </c>
      <c r="C307" s="142">
        <v>10.741176470588201</v>
      </c>
    </row>
    <row r="308" spans="1:3" ht="15.75" thickBot="1" x14ac:dyDescent="0.3">
      <c r="A308" s="376" t="s">
        <v>14</v>
      </c>
      <c r="B308" s="113">
        <v>5.7357564544375998</v>
      </c>
      <c r="C308" s="113">
        <v>5.7357564544375998</v>
      </c>
    </row>
  </sheetData>
  <sortState xmlns:xlrd2="http://schemas.microsoft.com/office/spreadsheetml/2017/richdata2" ref="A312:K321">
    <sortCondition descending="1" ref="B312:B321"/>
  </sortState>
  <mergeCells count="23">
    <mergeCell ref="A5:E5"/>
    <mergeCell ref="A7:E7"/>
    <mergeCell ref="A12:A13"/>
    <mergeCell ref="B12:B13"/>
    <mergeCell ref="C12:C13"/>
    <mergeCell ref="D12:F12"/>
    <mergeCell ref="A72:A73"/>
    <mergeCell ref="B72:B73"/>
    <mergeCell ref="C72:C73"/>
    <mergeCell ref="D72:F72"/>
    <mergeCell ref="G72:I72"/>
    <mergeCell ref="A42:A43"/>
    <mergeCell ref="B42:B43"/>
    <mergeCell ref="C42:C43"/>
    <mergeCell ref="D42:F42"/>
    <mergeCell ref="G42:I42"/>
    <mergeCell ref="K12:K13"/>
    <mergeCell ref="K42:K43"/>
    <mergeCell ref="K72:K73"/>
    <mergeCell ref="J72:J73"/>
    <mergeCell ref="G12:I12"/>
    <mergeCell ref="J12:J13"/>
    <mergeCell ref="J42:J43"/>
  </mergeCells>
  <phoneticPr fontId="8" type="noConversion"/>
  <hyperlinks>
    <hyperlink ref="B4" r:id="rId1" xr:uid="{860BBD14-EA19-4D43-A03B-A8A74BF2458C}"/>
    <hyperlink ref="B6" r:id="rId2" xr:uid="{3C0912E8-117D-4633-BD6C-A9D7D7AA443C}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6E4C-B8C6-44BA-A95D-25D0D57ACAF4}">
  <sheetPr>
    <pageSetUpPr fitToPage="1"/>
  </sheetPr>
  <dimension ref="B1:AI65"/>
  <sheetViews>
    <sheetView zoomScaleNormal="100" workbookViewId="0">
      <selection activeCell="C56" sqref="C56:E65"/>
    </sheetView>
  </sheetViews>
  <sheetFormatPr defaultRowHeight="15" x14ac:dyDescent="0.25"/>
  <cols>
    <col min="1" max="1" width="2.85546875" customWidth="1"/>
    <col min="2" max="2" width="6.28515625" customWidth="1"/>
    <col min="3" max="3" width="33.5703125" customWidth="1"/>
    <col min="4" max="4" width="12.140625" customWidth="1"/>
    <col min="5" max="5" width="21.5703125" customWidth="1"/>
    <col min="6" max="6" width="10" customWidth="1"/>
    <col min="7" max="7" width="10.140625" customWidth="1"/>
    <col min="8" max="8" width="9.140625" customWidth="1"/>
    <col min="9" max="9" width="9.42578125" customWidth="1"/>
    <col min="10" max="10" width="10.28515625" customWidth="1"/>
    <col min="11" max="11" width="10.140625" customWidth="1"/>
  </cols>
  <sheetData>
    <row r="1" spans="3:35" x14ac:dyDescent="0.25">
      <c r="C1" s="1" t="s">
        <v>235</v>
      </c>
    </row>
    <row r="2" spans="3:35" x14ac:dyDescent="0.25">
      <c r="C2" s="1" t="s">
        <v>292</v>
      </c>
    </row>
    <row r="3" spans="3:35" ht="15.75" thickBot="1" x14ac:dyDescent="0.3"/>
    <row r="4" spans="3:35" x14ac:dyDescent="0.25">
      <c r="C4" s="499" t="s">
        <v>285</v>
      </c>
      <c r="D4" s="509" t="s">
        <v>230</v>
      </c>
      <c r="E4" s="510"/>
      <c r="F4" s="510"/>
      <c r="G4" s="510"/>
      <c r="H4" s="510"/>
      <c r="I4" s="510"/>
      <c r="J4" s="510"/>
      <c r="K4" s="511"/>
      <c r="L4" s="509" t="s">
        <v>231</v>
      </c>
      <c r="M4" s="510"/>
      <c r="N4" s="510"/>
      <c r="O4" s="510"/>
      <c r="P4" s="510"/>
      <c r="Q4" s="510"/>
      <c r="R4" s="510"/>
      <c r="S4" s="511"/>
      <c r="T4" s="509" t="s">
        <v>232</v>
      </c>
      <c r="U4" s="510"/>
      <c r="V4" s="510"/>
      <c r="W4" s="510"/>
      <c r="X4" s="510"/>
      <c r="Y4" s="510"/>
      <c r="Z4" s="510"/>
      <c r="AA4" s="511"/>
      <c r="AB4" s="509" t="s">
        <v>233</v>
      </c>
      <c r="AC4" s="510"/>
      <c r="AD4" s="510"/>
      <c r="AE4" s="510"/>
      <c r="AF4" s="510"/>
      <c r="AG4" s="510"/>
      <c r="AH4" s="510"/>
      <c r="AI4" s="511"/>
    </row>
    <row r="5" spans="3:35" ht="15.75" thickBot="1" x14ac:dyDescent="0.3">
      <c r="C5" s="500"/>
      <c r="D5" s="512" t="s">
        <v>3</v>
      </c>
      <c r="E5" s="507"/>
      <c r="F5" s="507"/>
      <c r="G5" s="507"/>
      <c r="H5" s="506" t="s">
        <v>4</v>
      </c>
      <c r="I5" s="507"/>
      <c r="J5" s="507"/>
      <c r="K5" s="508"/>
      <c r="L5" s="512" t="s">
        <v>3</v>
      </c>
      <c r="M5" s="507"/>
      <c r="N5" s="507"/>
      <c r="O5" s="507"/>
      <c r="P5" s="506" t="s">
        <v>4</v>
      </c>
      <c r="Q5" s="507"/>
      <c r="R5" s="507"/>
      <c r="S5" s="508"/>
      <c r="T5" s="512" t="s">
        <v>3</v>
      </c>
      <c r="U5" s="507"/>
      <c r="V5" s="507"/>
      <c r="W5" s="507"/>
      <c r="X5" s="506" t="s">
        <v>4</v>
      </c>
      <c r="Y5" s="507"/>
      <c r="Z5" s="507"/>
      <c r="AA5" s="508"/>
      <c r="AB5" s="512" t="s">
        <v>3</v>
      </c>
      <c r="AC5" s="507"/>
      <c r="AD5" s="507"/>
      <c r="AE5" s="507"/>
      <c r="AF5" s="506" t="s">
        <v>4</v>
      </c>
      <c r="AG5" s="507"/>
      <c r="AH5" s="507"/>
      <c r="AI5" s="508"/>
    </row>
    <row r="6" spans="3:35" x14ac:dyDescent="0.25">
      <c r="C6" s="191" t="s">
        <v>24</v>
      </c>
      <c r="D6" s="177">
        <v>9700</v>
      </c>
      <c r="E6" s="139">
        <v>9900</v>
      </c>
      <c r="F6" s="139">
        <v>10100</v>
      </c>
      <c r="G6" s="178">
        <v>10300</v>
      </c>
      <c r="H6" s="179">
        <v>9800</v>
      </c>
      <c r="I6" s="139">
        <v>9900</v>
      </c>
      <c r="J6" s="139">
        <v>10100</v>
      </c>
      <c r="K6" s="180">
        <v>10200</v>
      </c>
      <c r="L6" s="111">
        <v>0.97</v>
      </c>
      <c r="M6" s="97">
        <v>0.99</v>
      </c>
      <c r="N6" s="97">
        <v>1.01</v>
      </c>
      <c r="O6" s="186">
        <v>1.03</v>
      </c>
      <c r="P6" s="187">
        <v>0.98</v>
      </c>
      <c r="Q6" s="97">
        <v>0.99</v>
      </c>
      <c r="R6" s="97">
        <v>1.01</v>
      </c>
      <c r="S6" s="142">
        <v>1.02</v>
      </c>
      <c r="T6" s="111">
        <v>0.58199999999999996</v>
      </c>
      <c r="U6" s="97">
        <v>0.59399999999999997</v>
      </c>
      <c r="V6" s="97">
        <v>0.60599999999999998</v>
      </c>
      <c r="W6" s="186">
        <v>0.61799999999999999</v>
      </c>
      <c r="X6" s="187">
        <v>0.58799999999999997</v>
      </c>
      <c r="Y6" s="97">
        <v>0.59399999999999997</v>
      </c>
      <c r="Z6" s="97">
        <v>0.60599999999999998</v>
      </c>
      <c r="AA6" s="142">
        <v>0.61199999999999999</v>
      </c>
      <c r="AB6" s="111">
        <v>9.6999999999999993</v>
      </c>
      <c r="AC6" s="97">
        <v>9.9</v>
      </c>
      <c r="AD6" s="97">
        <v>10.1</v>
      </c>
      <c r="AE6" s="186">
        <v>10.3</v>
      </c>
      <c r="AF6" s="187">
        <v>9.8000000000000007</v>
      </c>
      <c r="AG6" s="97">
        <v>9.9</v>
      </c>
      <c r="AH6" s="97">
        <v>10.1</v>
      </c>
      <c r="AI6" s="142">
        <v>10.199999999999999</v>
      </c>
    </row>
    <row r="7" spans="3:35" x14ac:dyDescent="0.25">
      <c r="C7" s="191" t="s">
        <v>13</v>
      </c>
      <c r="D7" s="177">
        <v>97</v>
      </c>
      <c r="E7" s="139">
        <v>99</v>
      </c>
      <c r="F7" s="139">
        <v>101</v>
      </c>
      <c r="G7" s="178">
        <v>103</v>
      </c>
      <c r="H7" s="179">
        <v>98</v>
      </c>
      <c r="I7" s="139">
        <v>99</v>
      </c>
      <c r="J7" s="139">
        <v>101</v>
      </c>
      <c r="K7" s="180">
        <v>102</v>
      </c>
      <c r="L7" s="111">
        <v>2.91</v>
      </c>
      <c r="M7" s="97">
        <v>2.97</v>
      </c>
      <c r="N7" s="97">
        <v>3</v>
      </c>
      <c r="O7" s="186">
        <v>3</v>
      </c>
      <c r="P7" s="187">
        <v>2.94</v>
      </c>
      <c r="Q7" s="97">
        <v>2.97</v>
      </c>
      <c r="R7" s="97">
        <v>3</v>
      </c>
      <c r="S7" s="142">
        <v>3</v>
      </c>
      <c r="T7" s="111">
        <v>0.873</v>
      </c>
      <c r="U7" s="97">
        <v>0.89100000000000001</v>
      </c>
      <c r="V7" s="97">
        <v>0.90900000000000003</v>
      </c>
      <c r="W7" s="186">
        <v>0.92700000000000005</v>
      </c>
      <c r="X7" s="187">
        <v>0.88200000000000001</v>
      </c>
      <c r="Y7" s="97">
        <v>0.89100000000000001</v>
      </c>
      <c r="Z7" s="97">
        <v>0.90900000000000003</v>
      </c>
      <c r="AA7" s="142">
        <v>0.91800000000000004</v>
      </c>
      <c r="AB7" s="111">
        <v>4.8499999999999996</v>
      </c>
      <c r="AC7" s="97">
        <v>4.95</v>
      </c>
      <c r="AD7" s="97">
        <v>5.05</v>
      </c>
      <c r="AE7" s="186">
        <v>5.15</v>
      </c>
      <c r="AF7" s="187">
        <v>4.9000000000000004</v>
      </c>
      <c r="AG7" s="97">
        <v>4.95</v>
      </c>
      <c r="AH7" s="97">
        <v>5.05</v>
      </c>
      <c r="AI7" s="142">
        <v>5.0999999999999996</v>
      </c>
    </row>
    <row r="8" spans="3:35" x14ac:dyDescent="0.25">
      <c r="C8" s="191" t="s">
        <v>14</v>
      </c>
      <c r="D8" s="177">
        <v>970</v>
      </c>
      <c r="E8" s="139">
        <v>990</v>
      </c>
      <c r="F8" s="139">
        <v>1010</v>
      </c>
      <c r="G8" s="178">
        <v>1030</v>
      </c>
      <c r="H8" s="179">
        <v>980</v>
      </c>
      <c r="I8" s="139">
        <v>990</v>
      </c>
      <c r="J8" s="139">
        <v>1010</v>
      </c>
      <c r="K8" s="180">
        <v>1020</v>
      </c>
      <c r="L8" s="111">
        <v>1.94</v>
      </c>
      <c r="M8" s="97">
        <v>1.98</v>
      </c>
      <c r="N8" s="97">
        <v>2.02</v>
      </c>
      <c r="O8" s="186">
        <v>2.06</v>
      </c>
      <c r="P8" s="187">
        <v>1.96</v>
      </c>
      <c r="Q8" s="97">
        <v>1.98</v>
      </c>
      <c r="R8" s="97">
        <v>2.02</v>
      </c>
      <c r="S8" s="142">
        <v>2.04</v>
      </c>
      <c r="T8" s="111">
        <v>0.77600000000000002</v>
      </c>
      <c r="U8" s="97">
        <v>0.79200000000000004</v>
      </c>
      <c r="V8" s="97">
        <v>0.80800000000000005</v>
      </c>
      <c r="W8" s="186">
        <v>0.82400000000000007</v>
      </c>
      <c r="X8" s="187">
        <v>0.78400000000000003</v>
      </c>
      <c r="Y8" s="97">
        <v>0.79200000000000004</v>
      </c>
      <c r="Z8" s="97">
        <v>0.80800000000000005</v>
      </c>
      <c r="AA8" s="142">
        <v>0.81600000000000006</v>
      </c>
      <c r="AB8" s="111">
        <v>6.79</v>
      </c>
      <c r="AC8" s="97">
        <v>6.93</v>
      </c>
      <c r="AD8" s="97">
        <v>7.07</v>
      </c>
      <c r="AE8" s="186">
        <v>7.21</v>
      </c>
      <c r="AF8" s="187">
        <v>6.86</v>
      </c>
      <c r="AG8" s="97">
        <v>6.93</v>
      </c>
      <c r="AH8" s="97">
        <v>7.07</v>
      </c>
      <c r="AI8" s="142">
        <v>7.14</v>
      </c>
    </row>
    <row r="9" spans="3:35" x14ac:dyDescent="0.25">
      <c r="C9" s="191" t="s">
        <v>15</v>
      </c>
      <c r="D9" s="177">
        <v>97</v>
      </c>
      <c r="E9" s="139">
        <v>99</v>
      </c>
      <c r="F9" s="139">
        <v>101</v>
      </c>
      <c r="G9" s="178">
        <v>103</v>
      </c>
      <c r="H9" s="179">
        <v>98</v>
      </c>
      <c r="I9" s="139">
        <v>99</v>
      </c>
      <c r="J9" s="139">
        <v>101</v>
      </c>
      <c r="K9" s="180">
        <v>102</v>
      </c>
      <c r="L9" s="111">
        <v>0.48499999999999999</v>
      </c>
      <c r="M9" s="97">
        <v>0.495</v>
      </c>
      <c r="N9" s="97">
        <v>0.505</v>
      </c>
      <c r="O9" s="186">
        <v>0.51500000000000001</v>
      </c>
      <c r="P9" s="187">
        <v>0.49</v>
      </c>
      <c r="Q9" s="97">
        <v>0.495</v>
      </c>
      <c r="R9" s="97">
        <v>0.505</v>
      </c>
      <c r="S9" s="142">
        <v>0.51</v>
      </c>
      <c r="T9" s="111">
        <v>0.67899999999999994</v>
      </c>
      <c r="U9" s="97">
        <v>0.69299999999999995</v>
      </c>
      <c r="V9" s="97">
        <v>0.70699999999999996</v>
      </c>
      <c r="W9" s="186">
        <v>0.72099999999999997</v>
      </c>
      <c r="X9" s="187">
        <v>0.68599999999999994</v>
      </c>
      <c r="Y9" s="97">
        <v>0.69299999999999995</v>
      </c>
      <c r="Z9" s="97">
        <v>0.70699999999999996</v>
      </c>
      <c r="AA9" s="142">
        <v>0.71399999999999997</v>
      </c>
      <c r="AB9" s="111">
        <v>1.94</v>
      </c>
      <c r="AC9" s="97">
        <v>1.98</v>
      </c>
      <c r="AD9" s="97">
        <v>2.02</v>
      </c>
      <c r="AE9" s="186">
        <v>2.06</v>
      </c>
      <c r="AF9" s="187">
        <v>1.96</v>
      </c>
      <c r="AG9" s="97">
        <v>1.98</v>
      </c>
      <c r="AH9" s="97">
        <v>2.02</v>
      </c>
      <c r="AI9" s="142">
        <v>2.04</v>
      </c>
    </row>
    <row r="10" spans="3:35" x14ac:dyDescent="0.25">
      <c r="C10" s="191" t="s">
        <v>17</v>
      </c>
      <c r="D10" s="177">
        <v>194</v>
      </c>
      <c r="E10" s="139">
        <v>198</v>
      </c>
      <c r="F10" s="139">
        <v>202</v>
      </c>
      <c r="G10" s="178">
        <v>206</v>
      </c>
      <c r="H10" s="179">
        <v>196</v>
      </c>
      <c r="I10" s="139">
        <v>198</v>
      </c>
      <c r="J10" s="139">
        <v>202</v>
      </c>
      <c r="K10" s="180">
        <v>204</v>
      </c>
      <c r="L10" s="111">
        <v>2.91</v>
      </c>
      <c r="M10" s="97">
        <v>2.97</v>
      </c>
      <c r="N10" s="97">
        <v>3</v>
      </c>
      <c r="O10" s="186">
        <v>3</v>
      </c>
      <c r="P10" s="187">
        <v>2.94</v>
      </c>
      <c r="Q10" s="97">
        <v>2.97</v>
      </c>
      <c r="R10" s="97">
        <v>3</v>
      </c>
      <c r="S10" s="142">
        <v>3</v>
      </c>
      <c r="T10" s="111">
        <v>0.48499999999999999</v>
      </c>
      <c r="U10" s="97">
        <v>0.495</v>
      </c>
      <c r="V10" s="97">
        <v>0.505</v>
      </c>
      <c r="W10" s="186">
        <v>0.51500000000000001</v>
      </c>
      <c r="X10" s="187">
        <v>0.49</v>
      </c>
      <c r="Y10" s="97">
        <v>0.495</v>
      </c>
      <c r="Z10" s="97">
        <v>0.505</v>
      </c>
      <c r="AA10" s="142">
        <v>0.51</v>
      </c>
      <c r="AB10" s="111">
        <v>11.64</v>
      </c>
      <c r="AC10" s="97">
        <v>11.88</v>
      </c>
      <c r="AD10" s="97">
        <v>12.12</v>
      </c>
      <c r="AE10" s="186">
        <v>12.36</v>
      </c>
      <c r="AF10" s="187">
        <v>11.76</v>
      </c>
      <c r="AG10" s="97">
        <v>11.88</v>
      </c>
      <c r="AH10" s="97">
        <v>12.12</v>
      </c>
      <c r="AI10" s="142">
        <v>12.24</v>
      </c>
    </row>
    <row r="11" spans="3:35" x14ac:dyDescent="0.25">
      <c r="C11" s="191" t="s">
        <v>18</v>
      </c>
      <c r="D11" s="177">
        <v>9.6999999999999993</v>
      </c>
      <c r="E11" s="139">
        <v>9.9</v>
      </c>
      <c r="F11" s="139">
        <v>10.1</v>
      </c>
      <c r="G11" s="178">
        <v>10.3</v>
      </c>
      <c r="H11" s="179">
        <v>9.8000000000000007</v>
      </c>
      <c r="I11" s="139">
        <v>9.9</v>
      </c>
      <c r="J11" s="139">
        <v>10.1</v>
      </c>
      <c r="K11" s="180">
        <v>10.199999999999999</v>
      </c>
      <c r="L11" s="111">
        <v>0.97</v>
      </c>
      <c r="M11" s="97">
        <v>0.99</v>
      </c>
      <c r="N11" s="97">
        <v>1.01</v>
      </c>
      <c r="O11" s="186">
        <v>1.03</v>
      </c>
      <c r="P11" s="187">
        <v>0.98</v>
      </c>
      <c r="Q11" s="97">
        <v>0.99</v>
      </c>
      <c r="R11" s="97">
        <v>1.01</v>
      </c>
      <c r="S11" s="142">
        <v>1.02</v>
      </c>
      <c r="T11" s="111">
        <v>0.97</v>
      </c>
      <c r="U11" s="97">
        <v>0.99</v>
      </c>
      <c r="V11" s="97">
        <v>1</v>
      </c>
      <c r="W11" s="186">
        <v>1</v>
      </c>
      <c r="X11" s="187">
        <v>0.98</v>
      </c>
      <c r="Y11" s="97">
        <v>0.99</v>
      </c>
      <c r="Z11" s="97">
        <v>1</v>
      </c>
      <c r="AA11" s="142">
        <v>1</v>
      </c>
      <c r="AB11" s="111">
        <v>12.61</v>
      </c>
      <c r="AC11" s="97">
        <v>12.87</v>
      </c>
      <c r="AD11" s="97">
        <v>13.13</v>
      </c>
      <c r="AE11" s="186">
        <v>13.39</v>
      </c>
      <c r="AF11" s="187">
        <v>12.74</v>
      </c>
      <c r="AG11" s="97">
        <v>12.87</v>
      </c>
      <c r="AH11" s="97">
        <v>13.13</v>
      </c>
      <c r="AI11" s="142">
        <v>13.26</v>
      </c>
    </row>
    <row r="12" spans="3:35" x14ac:dyDescent="0.25">
      <c r="C12" s="191" t="s">
        <v>19</v>
      </c>
      <c r="D12" s="177">
        <v>48.5</v>
      </c>
      <c r="E12" s="139">
        <v>49.5</v>
      </c>
      <c r="F12" s="139">
        <v>50.5</v>
      </c>
      <c r="G12" s="178">
        <v>51.5</v>
      </c>
      <c r="H12" s="179">
        <v>49</v>
      </c>
      <c r="I12" s="139">
        <v>49.5</v>
      </c>
      <c r="J12" s="139">
        <v>50.5</v>
      </c>
      <c r="K12" s="180">
        <v>51</v>
      </c>
      <c r="L12" s="111">
        <v>1.94</v>
      </c>
      <c r="M12" s="97">
        <v>1.98</v>
      </c>
      <c r="N12" s="97">
        <v>2.02</v>
      </c>
      <c r="O12" s="186">
        <v>2.06</v>
      </c>
      <c r="P12" s="187">
        <v>1.96</v>
      </c>
      <c r="Q12" s="97">
        <v>1.98</v>
      </c>
      <c r="R12" s="97">
        <v>2.02</v>
      </c>
      <c r="S12" s="142">
        <v>2.04</v>
      </c>
      <c r="T12" s="111">
        <v>0.77600000000000002</v>
      </c>
      <c r="U12" s="97">
        <v>0.79200000000000004</v>
      </c>
      <c r="V12" s="97">
        <v>0.80800000000000005</v>
      </c>
      <c r="W12" s="186">
        <v>0.82400000000000007</v>
      </c>
      <c r="X12" s="187">
        <v>0.78400000000000003</v>
      </c>
      <c r="Y12" s="97">
        <v>0.79200000000000004</v>
      </c>
      <c r="Z12" s="97">
        <v>0.80800000000000005</v>
      </c>
      <c r="AA12" s="142">
        <v>0.81600000000000006</v>
      </c>
      <c r="AB12" s="111">
        <v>20.37</v>
      </c>
      <c r="AC12" s="97">
        <v>20.79</v>
      </c>
      <c r="AD12" s="97">
        <v>21.21</v>
      </c>
      <c r="AE12" s="186">
        <v>21.63</v>
      </c>
      <c r="AF12" s="187">
        <v>20.58</v>
      </c>
      <c r="AG12" s="97">
        <v>20.79</v>
      </c>
      <c r="AH12" s="97">
        <v>21.21</v>
      </c>
      <c r="AI12" s="142">
        <v>21.42</v>
      </c>
    </row>
    <row r="13" spans="3:35" x14ac:dyDescent="0.25">
      <c r="C13" s="191" t="s">
        <v>20</v>
      </c>
      <c r="D13" s="177">
        <v>970</v>
      </c>
      <c r="E13" s="139">
        <v>990</v>
      </c>
      <c r="F13" s="139">
        <v>1010</v>
      </c>
      <c r="G13" s="178">
        <v>1030</v>
      </c>
      <c r="H13" s="179">
        <v>980</v>
      </c>
      <c r="I13" s="139">
        <v>990</v>
      </c>
      <c r="J13" s="139">
        <v>1010</v>
      </c>
      <c r="K13" s="180">
        <v>1020</v>
      </c>
      <c r="L13" s="111">
        <v>0.48499999999999999</v>
      </c>
      <c r="M13" s="97">
        <v>0.495</v>
      </c>
      <c r="N13" s="97">
        <v>0.505</v>
      </c>
      <c r="O13" s="186">
        <v>0.51500000000000001</v>
      </c>
      <c r="P13" s="187">
        <v>0.49</v>
      </c>
      <c r="Q13" s="97">
        <v>0.495</v>
      </c>
      <c r="R13" s="97">
        <v>0.505</v>
      </c>
      <c r="S13" s="142">
        <v>0.51</v>
      </c>
      <c r="T13" s="111">
        <v>0.873</v>
      </c>
      <c r="U13" s="97">
        <v>0.89100000000000001</v>
      </c>
      <c r="V13" s="97">
        <v>0.90900000000000003</v>
      </c>
      <c r="W13" s="186">
        <v>0.92700000000000005</v>
      </c>
      <c r="X13" s="187">
        <v>0.88200000000000001</v>
      </c>
      <c r="Y13" s="97">
        <v>0.89100000000000001</v>
      </c>
      <c r="Z13" s="97">
        <v>0.90900000000000003</v>
      </c>
      <c r="AA13" s="142">
        <v>0.91800000000000004</v>
      </c>
      <c r="AB13" s="111">
        <v>4.8499999999999996</v>
      </c>
      <c r="AC13" s="97">
        <v>4.95</v>
      </c>
      <c r="AD13" s="97">
        <v>5.05</v>
      </c>
      <c r="AE13" s="186">
        <v>5.15</v>
      </c>
      <c r="AF13" s="187">
        <v>4.9000000000000004</v>
      </c>
      <c r="AG13" s="97">
        <v>4.95</v>
      </c>
      <c r="AH13" s="97">
        <v>5.05</v>
      </c>
      <c r="AI13" s="142">
        <v>5.0999999999999996</v>
      </c>
    </row>
    <row r="14" spans="3:35" x14ac:dyDescent="0.25">
      <c r="C14" s="191" t="s">
        <v>22</v>
      </c>
      <c r="D14" s="177">
        <v>19400</v>
      </c>
      <c r="E14" s="139">
        <v>19800</v>
      </c>
      <c r="F14" s="139">
        <v>20200</v>
      </c>
      <c r="G14" s="178">
        <v>20600</v>
      </c>
      <c r="H14" s="179">
        <v>19600</v>
      </c>
      <c r="I14" s="139">
        <v>19800</v>
      </c>
      <c r="J14" s="139">
        <v>20200</v>
      </c>
      <c r="K14" s="180">
        <v>20400</v>
      </c>
      <c r="L14" s="111">
        <v>0.24249999999999999</v>
      </c>
      <c r="M14" s="97">
        <v>0.2475</v>
      </c>
      <c r="N14" s="97">
        <v>0.2525</v>
      </c>
      <c r="O14" s="186">
        <v>0.25750000000000001</v>
      </c>
      <c r="P14" s="187">
        <v>0.245</v>
      </c>
      <c r="Q14" s="97">
        <v>0.2475</v>
      </c>
      <c r="R14" s="97">
        <v>0.2525</v>
      </c>
      <c r="S14" s="142">
        <v>0.255</v>
      </c>
      <c r="T14" s="111">
        <v>0.58199999999999996</v>
      </c>
      <c r="U14" s="97">
        <v>0.59399999999999997</v>
      </c>
      <c r="V14" s="97">
        <v>0.60599999999999998</v>
      </c>
      <c r="W14" s="186">
        <v>0.61799999999999999</v>
      </c>
      <c r="X14" s="187">
        <v>0.58799999999999997</v>
      </c>
      <c r="Y14" s="97">
        <v>0.59399999999999997</v>
      </c>
      <c r="Z14" s="97">
        <v>0.60599999999999998</v>
      </c>
      <c r="AA14" s="142">
        <v>0.61199999999999999</v>
      </c>
      <c r="AB14" s="111">
        <v>6.79</v>
      </c>
      <c r="AC14" s="97">
        <v>6.93</v>
      </c>
      <c r="AD14" s="97">
        <v>7.07</v>
      </c>
      <c r="AE14" s="186">
        <v>7.21</v>
      </c>
      <c r="AF14" s="187">
        <v>6.86</v>
      </c>
      <c r="AG14" s="97">
        <v>6.93</v>
      </c>
      <c r="AH14" s="97">
        <v>7.07</v>
      </c>
      <c r="AI14" s="142">
        <v>7.14</v>
      </c>
    </row>
    <row r="15" spans="3:35" x14ac:dyDescent="0.25">
      <c r="C15" s="192" t="s">
        <v>23</v>
      </c>
      <c r="D15" s="181">
        <v>291</v>
      </c>
      <c r="E15" s="182">
        <v>297</v>
      </c>
      <c r="F15" s="182">
        <v>303</v>
      </c>
      <c r="G15" s="183">
        <v>309</v>
      </c>
      <c r="H15" s="184">
        <v>294</v>
      </c>
      <c r="I15" s="182">
        <v>297</v>
      </c>
      <c r="J15" s="182">
        <v>303</v>
      </c>
      <c r="K15" s="185">
        <v>306</v>
      </c>
      <c r="L15" s="112">
        <v>1.94</v>
      </c>
      <c r="M15" s="188">
        <v>1.98</v>
      </c>
      <c r="N15" s="188">
        <v>2.02</v>
      </c>
      <c r="O15" s="137">
        <v>2.06</v>
      </c>
      <c r="P15" s="189">
        <v>1.96</v>
      </c>
      <c r="Q15" s="188">
        <v>1.98</v>
      </c>
      <c r="R15" s="188">
        <v>2.02</v>
      </c>
      <c r="S15" s="113">
        <v>2.04</v>
      </c>
      <c r="T15" s="112">
        <v>0.67899999999999994</v>
      </c>
      <c r="U15" s="188">
        <v>0.69299999999999995</v>
      </c>
      <c r="V15" s="188">
        <v>0.70699999999999996</v>
      </c>
      <c r="W15" s="137">
        <v>0.72099999999999997</v>
      </c>
      <c r="X15" s="189">
        <v>0.68599999999999994</v>
      </c>
      <c r="Y15" s="188">
        <v>0.69299999999999995</v>
      </c>
      <c r="Z15" s="188">
        <v>0.70699999999999996</v>
      </c>
      <c r="AA15" s="113">
        <v>0.71399999999999997</v>
      </c>
      <c r="AB15" s="112">
        <v>2.91</v>
      </c>
      <c r="AC15" s="188">
        <v>2.97</v>
      </c>
      <c r="AD15" s="188">
        <v>3.03</v>
      </c>
      <c r="AE15" s="137">
        <v>3.09</v>
      </c>
      <c r="AF15" s="189">
        <v>2.94</v>
      </c>
      <c r="AG15" s="188">
        <v>2.97</v>
      </c>
      <c r="AH15" s="188">
        <v>3.03</v>
      </c>
      <c r="AI15" s="113">
        <v>3.06</v>
      </c>
    </row>
    <row r="16" spans="3:35" x14ac:dyDescent="0.25">
      <c r="C16" s="1"/>
      <c r="D16" s="176"/>
      <c r="E16" s="176"/>
      <c r="F16" s="176"/>
    </row>
    <row r="17" spans="2:11" ht="15.75" thickBot="1" x14ac:dyDescent="0.3">
      <c r="C17" s="1" t="s">
        <v>229</v>
      </c>
    </row>
    <row r="18" spans="2:11" ht="15.75" thickBot="1" x14ac:dyDescent="0.3">
      <c r="C18" s="162" t="s">
        <v>206</v>
      </c>
      <c r="D18" s="501" t="s">
        <v>3</v>
      </c>
      <c r="E18" s="502"/>
      <c r="F18" s="502"/>
      <c r="G18" s="503"/>
      <c r="H18" s="501" t="s">
        <v>4</v>
      </c>
      <c r="I18" s="502"/>
      <c r="J18" s="502"/>
      <c r="K18" s="503"/>
    </row>
    <row r="19" spans="2:11" x14ac:dyDescent="0.25">
      <c r="C19" s="193" t="s">
        <v>207</v>
      </c>
      <c r="D19" s="159">
        <f>D6</f>
        <v>9700</v>
      </c>
      <c r="E19" s="160">
        <f t="shared" ref="E19:K19" si="0">E6</f>
        <v>9900</v>
      </c>
      <c r="F19" s="160">
        <f t="shared" si="0"/>
        <v>10100</v>
      </c>
      <c r="G19" s="196">
        <f t="shared" si="0"/>
        <v>10300</v>
      </c>
      <c r="H19" s="159">
        <f t="shared" si="0"/>
        <v>9800</v>
      </c>
      <c r="I19" s="160">
        <f t="shared" si="0"/>
        <v>9900</v>
      </c>
      <c r="J19" s="160">
        <f t="shared" si="0"/>
        <v>10100</v>
      </c>
      <c r="K19" s="161">
        <f t="shared" si="0"/>
        <v>10200</v>
      </c>
    </row>
    <row r="20" spans="2:11" x14ac:dyDescent="0.25">
      <c r="C20" s="194" t="s">
        <v>208</v>
      </c>
      <c r="D20" s="103">
        <f>L6</f>
        <v>0.97</v>
      </c>
      <c r="E20" s="98">
        <f t="shared" ref="E20:K20" si="1">M6</f>
        <v>0.99</v>
      </c>
      <c r="F20" s="98">
        <f t="shared" si="1"/>
        <v>1.01</v>
      </c>
      <c r="G20" s="105">
        <f t="shared" si="1"/>
        <v>1.03</v>
      </c>
      <c r="H20" s="103">
        <f t="shared" si="1"/>
        <v>0.98</v>
      </c>
      <c r="I20" s="98">
        <f t="shared" si="1"/>
        <v>0.99</v>
      </c>
      <c r="J20" s="98">
        <f t="shared" si="1"/>
        <v>1.01</v>
      </c>
      <c r="K20" s="104">
        <f t="shared" si="1"/>
        <v>1.02</v>
      </c>
    </row>
    <row r="21" spans="2:11" x14ac:dyDescent="0.25">
      <c r="C21" s="194" t="s">
        <v>209</v>
      </c>
      <c r="D21" s="103">
        <f>T6</f>
        <v>0.58199999999999996</v>
      </c>
      <c r="E21" s="98">
        <f t="shared" ref="E21:K21" si="2">U6</f>
        <v>0.59399999999999997</v>
      </c>
      <c r="F21" s="98">
        <f t="shared" si="2"/>
        <v>0.60599999999999998</v>
      </c>
      <c r="G21" s="105">
        <f t="shared" si="2"/>
        <v>0.61799999999999999</v>
      </c>
      <c r="H21" s="103">
        <f t="shared" si="2"/>
        <v>0.58799999999999997</v>
      </c>
      <c r="I21" s="98">
        <f t="shared" si="2"/>
        <v>0.59399999999999997</v>
      </c>
      <c r="J21" s="98">
        <f t="shared" si="2"/>
        <v>0.60599999999999998</v>
      </c>
      <c r="K21" s="104">
        <f t="shared" si="2"/>
        <v>0.61199999999999999</v>
      </c>
    </row>
    <row r="22" spans="2:11" ht="15.75" thickBot="1" x14ac:dyDescent="0.3">
      <c r="C22" s="195" t="s">
        <v>210</v>
      </c>
      <c r="D22" s="106">
        <f>AB6</f>
        <v>9.6999999999999993</v>
      </c>
      <c r="E22" s="107">
        <f t="shared" ref="E22:K22" si="3">AC6</f>
        <v>9.9</v>
      </c>
      <c r="F22" s="107">
        <f t="shared" si="3"/>
        <v>10.1</v>
      </c>
      <c r="G22" s="109">
        <f t="shared" si="3"/>
        <v>10.3</v>
      </c>
      <c r="H22" s="106">
        <f t="shared" si="3"/>
        <v>9.8000000000000007</v>
      </c>
      <c r="I22" s="107">
        <f t="shared" si="3"/>
        <v>9.9</v>
      </c>
      <c r="J22" s="107">
        <f t="shared" si="3"/>
        <v>10.1</v>
      </c>
      <c r="K22" s="108">
        <f t="shared" si="3"/>
        <v>10.199999999999999</v>
      </c>
    </row>
    <row r="23" spans="2:11" ht="15.75" thickBot="1" x14ac:dyDescent="0.3">
      <c r="C23" s="163" t="s">
        <v>238</v>
      </c>
      <c r="D23" s="207">
        <f>D27</f>
        <v>530.06682678168806</v>
      </c>
      <c r="E23" s="208">
        <f t="shared" ref="E23:K23" si="4">E27</f>
        <v>576.41524752475243</v>
      </c>
      <c r="F23" s="208">
        <f t="shared" si="4"/>
        <v>624.42484848484844</v>
      </c>
      <c r="G23" s="209">
        <f t="shared" si="4"/>
        <v>674.13403734312828</v>
      </c>
      <c r="H23" s="207">
        <f t="shared" si="4"/>
        <v>553.24103715322019</v>
      </c>
      <c r="I23" s="208">
        <f t="shared" si="4"/>
        <v>576.41524752475243</v>
      </c>
      <c r="J23" s="208">
        <f t="shared" si="4"/>
        <v>624.42484848484844</v>
      </c>
      <c r="K23" s="209">
        <f t="shared" si="4"/>
        <v>649.27944291398831</v>
      </c>
    </row>
    <row r="24" spans="2:11" ht="15.75" thickBot="1" x14ac:dyDescent="0.3">
      <c r="D24" s="94"/>
      <c r="E24" s="94"/>
      <c r="F24" s="94"/>
      <c r="G24" s="94"/>
      <c r="H24" s="94"/>
      <c r="I24" s="94"/>
      <c r="J24" s="94"/>
      <c r="K24" s="94"/>
    </row>
    <row r="25" spans="2:11" x14ac:dyDescent="0.25">
      <c r="C25" s="164" t="s">
        <v>214</v>
      </c>
      <c r="D25" s="210">
        <f>D19*E20+D20*E19-E19*E20</f>
        <v>9405</v>
      </c>
      <c r="E25" s="211">
        <f>E19*E20</f>
        <v>9801</v>
      </c>
      <c r="F25" s="211">
        <f>F19*F20</f>
        <v>10201</v>
      </c>
      <c r="G25" s="212">
        <f>F19*G20+F20*G19-F19*F20</f>
        <v>10605</v>
      </c>
      <c r="H25" s="210">
        <f>H19*I20+H20*I19-I19*I20</f>
        <v>9603</v>
      </c>
      <c r="I25" s="211">
        <f>I19*I20</f>
        <v>9801</v>
      </c>
      <c r="J25" s="211">
        <f>J19*J20</f>
        <v>10201</v>
      </c>
      <c r="K25" s="212">
        <f>J19*K20+J20*K19-J19*J20</f>
        <v>10403</v>
      </c>
    </row>
    <row r="26" spans="2:11" x14ac:dyDescent="0.25">
      <c r="C26" s="165" t="s">
        <v>215</v>
      </c>
      <c r="D26" s="213">
        <f>D25*E21+D21*E25-E25*E21</f>
        <v>5468.9580000000005</v>
      </c>
      <c r="E26" s="93">
        <f>E25*E21</f>
        <v>5821.7939999999999</v>
      </c>
      <c r="F26" s="93">
        <f>F25*F21</f>
        <v>6181.8059999999996</v>
      </c>
      <c r="G26" s="214">
        <f>F25*G21+F21*G25-F21*F25</f>
        <v>6549.0420000000004</v>
      </c>
      <c r="H26" s="213">
        <f>H25*I21+H21*I25-I25*I21</f>
        <v>5645.3759999999984</v>
      </c>
      <c r="I26" s="93">
        <f>I25*I21</f>
        <v>5821.7939999999999</v>
      </c>
      <c r="J26" s="93">
        <f>J25*J21</f>
        <v>6181.8059999999996</v>
      </c>
      <c r="K26" s="214">
        <f>J25*K21+J21*K25-J21*J25</f>
        <v>6365.424</v>
      </c>
    </row>
    <row r="27" spans="2:11" ht="15.75" thickBot="1" x14ac:dyDescent="0.3">
      <c r="C27" s="166" t="s">
        <v>216</v>
      </c>
      <c r="D27" s="215">
        <f>(E26*F22-E26*G22+D26*F22)/(F22^2)</f>
        <v>530.06682678168806</v>
      </c>
      <c r="E27" s="216">
        <f>E26/F22</f>
        <v>576.41524752475243</v>
      </c>
      <c r="F27" s="216">
        <f>F26/E22</f>
        <v>624.42484848484844</v>
      </c>
      <c r="G27" s="217">
        <f>(F26*E22-F26*D22+G26*E22)/(E22^2)</f>
        <v>674.13403734312828</v>
      </c>
      <c r="H27" s="215">
        <f>(I26*J22-I26*K22+H26*J22)/(J22^2)</f>
        <v>553.24103715322019</v>
      </c>
      <c r="I27" s="216">
        <f>I26/J22</f>
        <v>576.41524752475243</v>
      </c>
      <c r="J27" s="216">
        <f>J26/I22</f>
        <v>624.42484848484844</v>
      </c>
      <c r="K27" s="217">
        <f>(J26*I22-J26*H22+K26*I22)/(I22^2)</f>
        <v>649.27944291398831</v>
      </c>
    </row>
    <row r="28" spans="2:11" x14ac:dyDescent="0.25">
      <c r="C28" s="138"/>
      <c r="D28" s="139"/>
      <c r="E28" s="139"/>
      <c r="F28" s="139"/>
      <c r="G28" s="139"/>
      <c r="H28" s="139"/>
      <c r="I28" s="139"/>
      <c r="J28" s="139"/>
      <c r="K28" s="139"/>
    </row>
    <row r="29" spans="2:11" x14ac:dyDescent="0.25">
      <c r="C29" s="197" t="s">
        <v>236</v>
      </c>
      <c r="H29" s="139"/>
      <c r="I29" s="139"/>
      <c r="J29" s="139"/>
      <c r="K29" s="139"/>
    </row>
    <row r="30" spans="2:11" ht="15.75" thickBot="1" x14ac:dyDescent="0.3">
      <c r="C30" s="198" t="s">
        <v>237</v>
      </c>
      <c r="D30" s="1">
        <v>0.6</v>
      </c>
      <c r="H30" s="139"/>
      <c r="I30" s="139"/>
      <c r="J30" s="139"/>
      <c r="K30" s="139"/>
    </row>
    <row r="31" spans="2:11" ht="15.75" thickBot="1" x14ac:dyDescent="0.3">
      <c r="C31" s="162" t="s">
        <v>206</v>
      </c>
      <c r="D31" s="501" t="s">
        <v>240</v>
      </c>
      <c r="E31" s="502"/>
      <c r="F31" s="502"/>
      <c r="G31" s="503"/>
      <c r="H31" s="139"/>
      <c r="I31" s="139"/>
      <c r="J31" s="139"/>
      <c r="K31" s="139"/>
    </row>
    <row r="32" spans="2:11" ht="15.75" thickBot="1" x14ac:dyDescent="0.3">
      <c r="B32" s="1"/>
      <c r="C32" s="163" t="s">
        <v>239</v>
      </c>
      <c r="D32" s="199">
        <f>(1-$D$30)*D23+$D$30*H23</f>
        <v>543.97135300460729</v>
      </c>
      <c r="E32" s="200">
        <f t="shared" ref="E32:G32" si="5">(1-$D$30)*E23+$D$30*I23</f>
        <v>576.41524752475243</v>
      </c>
      <c r="F32" s="200">
        <f t="shared" si="5"/>
        <v>624.42484848484844</v>
      </c>
      <c r="G32" s="201">
        <f t="shared" si="5"/>
        <v>659.22128068564439</v>
      </c>
      <c r="H32" s="139"/>
      <c r="I32" s="139"/>
      <c r="J32" s="139"/>
      <c r="K32" s="139"/>
    </row>
    <row r="33" spans="2:18" x14ac:dyDescent="0.25">
      <c r="C33" s="138"/>
      <c r="D33" s="139"/>
      <c r="E33" s="139"/>
      <c r="F33" s="139"/>
      <c r="G33" s="139"/>
      <c r="H33" s="139"/>
      <c r="I33" s="139"/>
      <c r="J33" s="139"/>
      <c r="K33" s="139"/>
    </row>
    <row r="34" spans="2:18" x14ac:dyDescent="0.25">
      <c r="D34" s="1" t="s">
        <v>217</v>
      </c>
      <c r="G34" s="139"/>
      <c r="H34" s="139"/>
      <c r="I34" s="139"/>
    </row>
    <row r="35" spans="2:18" ht="15.75" thickBot="1" x14ac:dyDescent="0.3">
      <c r="C35" s="198" t="s">
        <v>241</v>
      </c>
      <c r="D35" s="1">
        <v>0.8</v>
      </c>
      <c r="G35" s="139"/>
      <c r="H35" s="139"/>
      <c r="I35" s="139"/>
    </row>
    <row r="36" spans="2:18" ht="15.75" thickBot="1" x14ac:dyDescent="0.3">
      <c r="C36" s="167" t="s">
        <v>218</v>
      </c>
      <c r="D36" s="168">
        <f>D35*E32+(1-D35)*D32</f>
        <v>569.92646862072343</v>
      </c>
      <c r="E36" s="169">
        <f>D35*F32+(1-D35)*G32</f>
        <v>631.38413492500763</v>
      </c>
    </row>
    <row r="37" spans="2:18" ht="15.75" thickBot="1" x14ac:dyDescent="0.3">
      <c r="C37" s="171" t="s">
        <v>219</v>
      </c>
      <c r="D37" s="172">
        <f>(D36+E36)/2</f>
        <v>600.65530177286553</v>
      </c>
      <c r="E37" s="170"/>
    </row>
    <row r="39" spans="2:18" x14ac:dyDescent="0.25">
      <c r="B39" s="128" t="s">
        <v>242</v>
      </c>
    </row>
    <row r="40" spans="2:18" ht="15.75" thickBot="1" x14ac:dyDescent="0.3">
      <c r="B40" s="128"/>
    </row>
    <row r="41" spans="2:18" ht="15" customHeight="1" x14ac:dyDescent="0.25">
      <c r="B41" s="513" t="s">
        <v>178</v>
      </c>
      <c r="C41" s="504" t="s">
        <v>284</v>
      </c>
      <c r="D41" s="513" t="s">
        <v>243</v>
      </c>
      <c r="E41" s="517"/>
      <c r="F41" s="517"/>
      <c r="G41" s="517"/>
      <c r="H41" s="517"/>
      <c r="I41" s="517"/>
      <c r="J41" s="517"/>
      <c r="K41" s="504"/>
      <c r="L41" s="513" t="s">
        <v>244</v>
      </c>
      <c r="M41" s="517"/>
      <c r="N41" s="517"/>
      <c r="O41" s="504"/>
      <c r="P41" s="513" t="s">
        <v>245</v>
      </c>
      <c r="Q41" s="504"/>
      <c r="R41" s="515" t="s">
        <v>246</v>
      </c>
    </row>
    <row r="42" spans="2:18" ht="15.75" thickBot="1" x14ac:dyDescent="0.3">
      <c r="B42" s="514"/>
      <c r="C42" s="505"/>
      <c r="D42" s="402" t="s">
        <v>247</v>
      </c>
      <c r="E42" s="404" t="s">
        <v>248</v>
      </c>
      <c r="F42" s="404" t="s">
        <v>249</v>
      </c>
      <c r="G42" s="404" t="s">
        <v>250</v>
      </c>
      <c r="H42" s="404" t="s">
        <v>251</v>
      </c>
      <c r="I42" s="404" t="s">
        <v>252</v>
      </c>
      <c r="J42" s="404" t="s">
        <v>253</v>
      </c>
      <c r="K42" s="403" t="s">
        <v>254</v>
      </c>
      <c r="L42" s="402" t="s">
        <v>247</v>
      </c>
      <c r="M42" s="404" t="s">
        <v>248</v>
      </c>
      <c r="N42" s="404" t="s">
        <v>249</v>
      </c>
      <c r="O42" s="403" t="s">
        <v>250</v>
      </c>
      <c r="P42" s="402" t="s">
        <v>255</v>
      </c>
      <c r="Q42" s="403" t="s">
        <v>256</v>
      </c>
      <c r="R42" s="516"/>
    </row>
    <row r="43" spans="2:18" x14ac:dyDescent="0.25">
      <c r="B43" s="202">
        <v>1</v>
      </c>
      <c r="C43" s="219" t="s">
        <v>24</v>
      </c>
      <c r="D43" s="331">
        <f t="shared" ref="D43:K43" si="6">D27</f>
        <v>530.06682678168806</v>
      </c>
      <c r="E43" s="332">
        <f t="shared" si="6"/>
        <v>576.41524752475243</v>
      </c>
      <c r="F43" s="332">
        <f t="shared" si="6"/>
        <v>624.42484848484844</v>
      </c>
      <c r="G43" s="332">
        <f t="shared" si="6"/>
        <v>674.13403734312828</v>
      </c>
      <c r="H43" s="332">
        <f t="shared" si="6"/>
        <v>553.24103715322019</v>
      </c>
      <c r="I43" s="332">
        <f t="shared" si="6"/>
        <v>576.41524752475243</v>
      </c>
      <c r="J43" s="332">
        <f t="shared" si="6"/>
        <v>624.42484848484844</v>
      </c>
      <c r="K43" s="333">
        <f t="shared" si="6"/>
        <v>649.27944291398831</v>
      </c>
      <c r="L43" s="334">
        <f>(1-$D$30)*D43+$D$30*H43</f>
        <v>543.97135300460729</v>
      </c>
      <c r="M43" s="335">
        <f t="shared" ref="M43:O43" si="7">(1-$D$30)*E43+$D$30*I43</f>
        <v>576.41524752475243</v>
      </c>
      <c r="N43" s="335">
        <f t="shared" si="7"/>
        <v>624.42484848484844</v>
      </c>
      <c r="O43" s="336">
        <f t="shared" si="7"/>
        <v>659.22128068564439</v>
      </c>
      <c r="P43" s="334">
        <f>$D$35*M43+(1-$D$35)*L43</f>
        <v>569.92646862072343</v>
      </c>
      <c r="Q43" s="336">
        <f>$D$35*N43+(1-$D$35)*O43</f>
        <v>631.38413492500763</v>
      </c>
      <c r="R43" s="336">
        <f>(P43+Q43)/2</f>
        <v>600.65530177286553</v>
      </c>
    </row>
    <row r="44" spans="2:18" x14ac:dyDescent="0.25">
      <c r="B44" s="204">
        <v>2</v>
      </c>
      <c r="C44" s="220" t="s">
        <v>22</v>
      </c>
      <c r="D44" s="337">
        <v>378.62</v>
      </c>
      <c r="E44" s="338">
        <v>411.73</v>
      </c>
      <c r="F44" s="338">
        <v>446.02</v>
      </c>
      <c r="G44" s="338">
        <v>481.52</v>
      </c>
      <c r="H44" s="338">
        <v>395.17</v>
      </c>
      <c r="I44" s="338">
        <v>411.73</v>
      </c>
      <c r="J44" s="338">
        <v>446.02</v>
      </c>
      <c r="K44" s="339">
        <v>463.77</v>
      </c>
      <c r="L44" s="340">
        <f t="shared" ref="L44:L52" si="8">(1-$D$30)*D44+$D$30*H44</f>
        <v>388.55</v>
      </c>
      <c r="M44" s="341">
        <f t="shared" ref="M44:M52" si="9">(1-$D$30)*E44+$D$30*I44</f>
        <v>411.73</v>
      </c>
      <c r="N44" s="341">
        <f t="shared" ref="N44:N52" si="10">(1-$D$30)*F44+$D$30*J44</f>
        <v>446.02</v>
      </c>
      <c r="O44" s="342">
        <f t="shared" ref="O44:O52" si="11">(1-$D$30)*G44+$D$30*K44</f>
        <v>470.87</v>
      </c>
      <c r="P44" s="334">
        <f t="shared" ref="P44:P52" si="12">$D$35*M44+(1-$D$35)*L44</f>
        <v>407.09399999999999</v>
      </c>
      <c r="Q44" s="336">
        <f t="shared" ref="Q44:Q52" si="13">$D$35*N44+(1-$D$35)*O44</f>
        <v>450.99</v>
      </c>
      <c r="R44" s="336">
        <f t="shared" ref="R44:R52" si="14">(P44+Q44)/2</f>
        <v>429.04200000000003</v>
      </c>
    </row>
    <row r="45" spans="2:18" x14ac:dyDescent="0.25">
      <c r="B45" s="204">
        <v>3</v>
      </c>
      <c r="C45" s="220" t="s">
        <v>14</v>
      </c>
      <c r="D45" s="337">
        <v>201.93</v>
      </c>
      <c r="E45" s="338">
        <v>219.59</v>
      </c>
      <c r="F45" s="338">
        <v>237.88</v>
      </c>
      <c r="G45" s="338">
        <v>256.81</v>
      </c>
      <c r="H45" s="338">
        <v>210.76</v>
      </c>
      <c r="I45" s="338">
        <v>219.59</v>
      </c>
      <c r="J45" s="338">
        <v>237.88</v>
      </c>
      <c r="K45" s="339">
        <v>247.34</v>
      </c>
      <c r="L45" s="340">
        <f t="shared" si="8"/>
        <v>207.22800000000001</v>
      </c>
      <c r="M45" s="341">
        <f t="shared" si="9"/>
        <v>219.59</v>
      </c>
      <c r="N45" s="341">
        <f t="shared" si="10"/>
        <v>237.88</v>
      </c>
      <c r="O45" s="342">
        <f t="shared" si="11"/>
        <v>251.12799999999999</v>
      </c>
      <c r="P45" s="334">
        <f t="shared" si="12"/>
        <v>217.11760000000001</v>
      </c>
      <c r="Q45" s="336">
        <f t="shared" si="13"/>
        <v>240.52959999999999</v>
      </c>
      <c r="R45" s="336">
        <f t="shared" si="14"/>
        <v>228.8236</v>
      </c>
    </row>
    <row r="46" spans="2:18" x14ac:dyDescent="0.25">
      <c r="B46" s="204">
        <v>4</v>
      </c>
      <c r="C46" s="220" t="s">
        <v>23</v>
      </c>
      <c r="D46" s="337">
        <v>123.68</v>
      </c>
      <c r="E46" s="338">
        <v>134.5</v>
      </c>
      <c r="F46" s="338">
        <v>145.69999999999999</v>
      </c>
      <c r="G46" s="338">
        <v>157.30000000000001</v>
      </c>
      <c r="H46" s="338">
        <v>129.09</v>
      </c>
      <c r="I46" s="338">
        <v>134.5</v>
      </c>
      <c r="J46" s="338">
        <v>145.69999999999999</v>
      </c>
      <c r="K46" s="339">
        <v>151.5</v>
      </c>
      <c r="L46" s="340">
        <f t="shared" si="8"/>
        <v>126.926</v>
      </c>
      <c r="M46" s="341">
        <f t="shared" si="9"/>
        <v>134.5</v>
      </c>
      <c r="N46" s="341">
        <f t="shared" si="10"/>
        <v>145.69999999999999</v>
      </c>
      <c r="O46" s="342">
        <f t="shared" si="11"/>
        <v>153.82</v>
      </c>
      <c r="P46" s="334">
        <f t="shared" si="12"/>
        <v>132.98519999999999</v>
      </c>
      <c r="Q46" s="336">
        <f t="shared" si="13"/>
        <v>147.32399999999998</v>
      </c>
      <c r="R46" s="336">
        <f t="shared" si="14"/>
        <v>140.15459999999999</v>
      </c>
    </row>
    <row r="47" spans="2:18" x14ac:dyDescent="0.25">
      <c r="B47" s="204">
        <v>5</v>
      </c>
      <c r="C47" s="220" t="s">
        <v>20</v>
      </c>
      <c r="D47" s="337">
        <v>79.510000000000005</v>
      </c>
      <c r="E47" s="338">
        <v>86.46</v>
      </c>
      <c r="F47" s="338">
        <v>93.66</v>
      </c>
      <c r="G47" s="338">
        <v>101.12</v>
      </c>
      <c r="H47" s="338">
        <v>82.99</v>
      </c>
      <c r="I47" s="338">
        <v>86.46</v>
      </c>
      <c r="J47" s="338">
        <v>93.66</v>
      </c>
      <c r="K47" s="339">
        <v>97.39</v>
      </c>
      <c r="L47" s="340">
        <f t="shared" si="8"/>
        <v>81.597999999999999</v>
      </c>
      <c r="M47" s="341">
        <f t="shared" si="9"/>
        <v>86.46</v>
      </c>
      <c r="N47" s="341">
        <f t="shared" si="10"/>
        <v>93.66</v>
      </c>
      <c r="O47" s="342">
        <f t="shared" si="11"/>
        <v>98.882000000000005</v>
      </c>
      <c r="P47" s="334">
        <f t="shared" si="12"/>
        <v>85.487599999999986</v>
      </c>
      <c r="Q47" s="336">
        <f t="shared" si="13"/>
        <v>94.704399999999993</v>
      </c>
      <c r="R47" s="336">
        <f t="shared" si="14"/>
        <v>90.095999999999989</v>
      </c>
    </row>
    <row r="48" spans="2:18" x14ac:dyDescent="0.25">
      <c r="B48" s="204">
        <v>6</v>
      </c>
      <c r="C48" s="220" t="s">
        <v>13</v>
      </c>
      <c r="D48" s="337">
        <v>47.71</v>
      </c>
      <c r="E48" s="338">
        <v>51.88</v>
      </c>
      <c r="F48" s="338">
        <v>55.64</v>
      </c>
      <c r="G48" s="338">
        <v>58.97</v>
      </c>
      <c r="H48" s="338">
        <v>49.79</v>
      </c>
      <c r="I48" s="338">
        <v>51.88</v>
      </c>
      <c r="J48" s="338">
        <v>55.64</v>
      </c>
      <c r="K48" s="339">
        <v>57.31</v>
      </c>
      <c r="L48" s="340">
        <f t="shared" si="8"/>
        <v>48.957999999999998</v>
      </c>
      <c r="M48" s="341">
        <f t="shared" si="9"/>
        <v>51.88</v>
      </c>
      <c r="N48" s="341">
        <f t="shared" si="10"/>
        <v>55.64</v>
      </c>
      <c r="O48" s="342">
        <f t="shared" si="11"/>
        <v>57.974000000000004</v>
      </c>
      <c r="P48" s="334">
        <f t="shared" si="12"/>
        <v>51.2956</v>
      </c>
      <c r="Q48" s="336">
        <f t="shared" si="13"/>
        <v>56.1068</v>
      </c>
      <c r="R48" s="336">
        <f t="shared" si="14"/>
        <v>53.7012</v>
      </c>
    </row>
    <row r="49" spans="2:18" x14ac:dyDescent="0.25">
      <c r="B49" s="204">
        <v>7</v>
      </c>
      <c r="C49" s="220" t="s">
        <v>17</v>
      </c>
      <c r="D49" s="337">
        <v>22.09</v>
      </c>
      <c r="E49" s="338">
        <v>24.02</v>
      </c>
      <c r="F49" s="338">
        <v>25.76</v>
      </c>
      <c r="G49" s="338">
        <v>27.3</v>
      </c>
      <c r="H49" s="338">
        <v>23.05</v>
      </c>
      <c r="I49" s="338">
        <v>24.02</v>
      </c>
      <c r="J49" s="338">
        <v>25.76</v>
      </c>
      <c r="K49" s="339">
        <v>26.53</v>
      </c>
      <c r="L49" s="340">
        <f t="shared" si="8"/>
        <v>22.666</v>
      </c>
      <c r="M49" s="341">
        <f t="shared" si="9"/>
        <v>24.02</v>
      </c>
      <c r="N49" s="341">
        <f t="shared" si="10"/>
        <v>25.76</v>
      </c>
      <c r="O49" s="342">
        <f t="shared" si="11"/>
        <v>26.838000000000001</v>
      </c>
      <c r="P49" s="334">
        <f t="shared" si="12"/>
        <v>23.749200000000002</v>
      </c>
      <c r="Q49" s="336">
        <f t="shared" si="13"/>
        <v>25.975600000000004</v>
      </c>
      <c r="R49" s="336">
        <f t="shared" si="14"/>
        <v>24.862400000000001</v>
      </c>
    </row>
    <row r="50" spans="2:18" x14ac:dyDescent="0.25">
      <c r="B50" s="204">
        <v>8</v>
      </c>
      <c r="C50" s="220" t="s">
        <v>15</v>
      </c>
      <c r="D50" s="337">
        <v>15.46</v>
      </c>
      <c r="E50" s="338">
        <v>16.809999999999999</v>
      </c>
      <c r="F50" s="338">
        <v>18.21</v>
      </c>
      <c r="G50" s="338">
        <v>19.66</v>
      </c>
      <c r="H50" s="338">
        <v>16.14</v>
      </c>
      <c r="I50" s="338">
        <v>16.809999999999999</v>
      </c>
      <c r="J50" s="338">
        <v>18.21</v>
      </c>
      <c r="K50" s="339">
        <v>18.940000000000001</v>
      </c>
      <c r="L50" s="340">
        <f t="shared" si="8"/>
        <v>15.868</v>
      </c>
      <c r="M50" s="341">
        <f t="shared" si="9"/>
        <v>16.809999999999999</v>
      </c>
      <c r="N50" s="341">
        <f t="shared" si="10"/>
        <v>18.21</v>
      </c>
      <c r="O50" s="342">
        <f t="shared" si="11"/>
        <v>19.228000000000002</v>
      </c>
      <c r="P50" s="334">
        <f t="shared" si="12"/>
        <v>16.621600000000001</v>
      </c>
      <c r="Q50" s="336">
        <f t="shared" si="13"/>
        <v>18.413600000000002</v>
      </c>
      <c r="R50" s="336">
        <f t="shared" si="14"/>
        <v>17.517600000000002</v>
      </c>
    </row>
    <row r="51" spans="2:18" x14ac:dyDescent="0.25">
      <c r="B51" s="204">
        <v>9</v>
      </c>
      <c r="C51" s="220" t="s">
        <v>19</v>
      </c>
      <c r="D51" s="337">
        <v>3.37</v>
      </c>
      <c r="E51" s="338">
        <v>3.66</v>
      </c>
      <c r="F51" s="338">
        <v>3.96</v>
      </c>
      <c r="G51" s="338">
        <v>4.28</v>
      </c>
      <c r="H51" s="338">
        <v>3.51</v>
      </c>
      <c r="I51" s="338">
        <v>3.66</v>
      </c>
      <c r="J51" s="338">
        <v>3.96</v>
      </c>
      <c r="K51" s="339">
        <v>4.12</v>
      </c>
      <c r="L51" s="340">
        <f t="shared" si="8"/>
        <v>3.4539999999999997</v>
      </c>
      <c r="M51" s="341">
        <f t="shared" si="9"/>
        <v>3.66</v>
      </c>
      <c r="N51" s="341">
        <f t="shared" si="10"/>
        <v>3.96</v>
      </c>
      <c r="O51" s="342">
        <f t="shared" si="11"/>
        <v>4.1840000000000002</v>
      </c>
      <c r="P51" s="334">
        <f t="shared" si="12"/>
        <v>3.6188000000000002</v>
      </c>
      <c r="Q51" s="336">
        <f t="shared" si="13"/>
        <v>4.0048000000000004</v>
      </c>
      <c r="R51" s="336">
        <f t="shared" si="14"/>
        <v>3.8118000000000003</v>
      </c>
    </row>
    <row r="52" spans="2:18" ht="15.75" thickBot="1" x14ac:dyDescent="0.3">
      <c r="B52" s="205">
        <v>10</v>
      </c>
      <c r="C52" s="221" t="s">
        <v>18</v>
      </c>
      <c r="D52" s="343">
        <v>0.68</v>
      </c>
      <c r="E52" s="344">
        <v>0.74</v>
      </c>
      <c r="F52" s="344">
        <v>0.79</v>
      </c>
      <c r="G52" s="344">
        <v>0.84</v>
      </c>
      <c r="H52" s="344">
        <v>0.71</v>
      </c>
      <c r="I52" s="344">
        <v>0.74</v>
      </c>
      <c r="J52" s="344">
        <v>0.79</v>
      </c>
      <c r="K52" s="345">
        <v>0.82</v>
      </c>
      <c r="L52" s="346">
        <f t="shared" si="8"/>
        <v>0.69799999999999995</v>
      </c>
      <c r="M52" s="347">
        <f t="shared" si="9"/>
        <v>0.74</v>
      </c>
      <c r="N52" s="347">
        <f t="shared" si="10"/>
        <v>0.79</v>
      </c>
      <c r="O52" s="348">
        <f t="shared" si="11"/>
        <v>0.82799999999999996</v>
      </c>
      <c r="P52" s="349">
        <f t="shared" si="12"/>
        <v>0.73159999999999992</v>
      </c>
      <c r="Q52" s="350">
        <f t="shared" si="13"/>
        <v>0.79760000000000009</v>
      </c>
      <c r="R52" s="350">
        <f t="shared" si="14"/>
        <v>0.76459999999999995</v>
      </c>
    </row>
    <row r="54" spans="2:18" ht="15.75" thickBot="1" x14ac:dyDescent="0.3">
      <c r="B54" s="128" t="s">
        <v>257</v>
      </c>
    </row>
    <row r="55" spans="2:18" ht="30.75" thickBot="1" x14ac:dyDescent="0.3">
      <c r="B55" s="399" t="s">
        <v>178</v>
      </c>
      <c r="C55" s="400" t="s">
        <v>223</v>
      </c>
      <c r="D55" s="400" t="s">
        <v>258</v>
      </c>
      <c r="E55" s="401" t="s">
        <v>259</v>
      </c>
    </row>
    <row r="56" spans="2:18" x14ac:dyDescent="0.25">
      <c r="B56" s="202">
        <v>1</v>
      </c>
      <c r="C56" s="203" t="s">
        <v>24</v>
      </c>
      <c r="D56" s="332">
        <v>600.65530177286553</v>
      </c>
      <c r="E56" s="333">
        <f>D56</f>
        <v>600.65530177286553</v>
      </c>
    </row>
    <row r="57" spans="2:18" x14ac:dyDescent="0.25">
      <c r="B57" s="204">
        <v>2</v>
      </c>
      <c r="C57" s="190" t="s">
        <v>15</v>
      </c>
      <c r="D57" s="338">
        <v>17.517600000000002</v>
      </c>
      <c r="E57" s="339">
        <f>D56</f>
        <v>600.65530177286553</v>
      </c>
    </row>
    <row r="58" spans="2:18" x14ac:dyDescent="0.25">
      <c r="B58" s="204">
        <v>3</v>
      </c>
      <c r="C58" s="190" t="s">
        <v>22</v>
      </c>
      <c r="D58" s="338">
        <v>429.04200000000003</v>
      </c>
      <c r="E58" s="339">
        <v>429.04</v>
      </c>
    </row>
    <row r="59" spans="2:18" x14ac:dyDescent="0.25">
      <c r="B59" s="204">
        <v>4</v>
      </c>
      <c r="C59" s="190" t="s">
        <v>23</v>
      </c>
      <c r="D59" s="338">
        <v>140.15459999999999</v>
      </c>
      <c r="E59" s="339">
        <f>D58</f>
        <v>429.04200000000003</v>
      </c>
    </row>
    <row r="60" spans="2:18" x14ac:dyDescent="0.25">
      <c r="B60" s="204">
        <v>5</v>
      </c>
      <c r="C60" s="190" t="s">
        <v>20</v>
      </c>
      <c r="D60" s="338">
        <v>90.095999999999989</v>
      </c>
      <c r="E60" s="339">
        <v>429.04</v>
      </c>
    </row>
    <row r="61" spans="2:18" x14ac:dyDescent="0.25">
      <c r="B61" s="204">
        <v>6</v>
      </c>
      <c r="C61" s="190" t="s">
        <v>14</v>
      </c>
      <c r="D61" s="338">
        <v>228.8236</v>
      </c>
      <c r="E61" s="339">
        <v>228.82</v>
      </c>
    </row>
    <row r="62" spans="2:18" x14ac:dyDescent="0.25">
      <c r="B62" s="204">
        <v>7</v>
      </c>
      <c r="C62" s="190" t="s">
        <v>13</v>
      </c>
      <c r="D62" s="338">
        <v>53.7012</v>
      </c>
      <c r="E62" s="339">
        <v>54.06</v>
      </c>
    </row>
    <row r="63" spans="2:18" x14ac:dyDescent="0.25">
      <c r="B63" s="204">
        <v>8</v>
      </c>
      <c r="C63" s="190" t="s">
        <v>17</v>
      </c>
      <c r="D63" s="338">
        <v>24.862400000000001</v>
      </c>
      <c r="E63" s="339">
        <v>25.03</v>
      </c>
    </row>
    <row r="64" spans="2:18" x14ac:dyDescent="0.25">
      <c r="B64" s="204">
        <v>9</v>
      </c>
      <c r="C64" s="190" t="s">
        <v>19</v>
      </c>
      <c r="D64" s="338">
        <v>3.8118000000000003</v>
      </c>
      <c r="E64" s="339">
        <v>3.81</v>
      </c>
    </row>
    <row r="65" spans="2:5" ht="15.75" thickBot="1" x14ac:dyDescent="0.3">
      <c r="B65" s="205">
        <v>10</v>
      </c>
      <c r="C65" s="206" t="s">
        <v>18</v>
      </c>
      <c r="D65" s="344">
        <v>0.76459999999999995</v>
      </c>
      <c r="E65" s="345">
        <f>D64</f>
        <v>3.8118000000000003</v>
      </c>
    </row>
  </sheetData>
  <mergeCells count="22">
    <mergeCell ref="B41:B42"/>
    <mergeCell ref="R41:R42"/>
    <mergeCell ref="P41:Q41"/>
    <mergeCell ref="L41:O41"/>
    <mergeCell ref="D41:K41"/>
    <mergeCell ref="X5:AA5"/>
    <mergeCell ref="AB4:AI4"/>
    <mergeCell ref="AB5:AE5"/>
    <mergeCell ref="H5:K5"/>
    <mergeCell ref="D4:K4"/>
    <mergeCell ref="L5:O5"/>
    <mergeCell ref="AF5:AI5"/>
    <mergeCell ref="P5:S5"/>
    <mergeCell ref="T4:AA4"/>
    <mergeCell ref="L4:S4"/>
    <mergeCell ref="D5:G5"/>
    <mergeCell ref="T5:W5"/>
    <mergeCell ref="C4:C5"/>
    <mergeCell ref="D31:G31"/>
    <mergeCell ref="C41:C42"/>
    <mergeCell ref="D18:G18"/>
    <mergeCell ref="H18:K18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346B-BC26-4A8C-9557-4E30A3BB2C50}">
  <sheetPr>
    <pageSetUpPr fitToPage="1"/>
  </sheetPr>
  <dimension ref="B1:G30"/>
  <sheetViews>
    <sheetView topLeftCell="A16" zoomScaleNormal="100" workbookViewId="0">
      <selection activeCell="G29" sqref="G29"/>
    </sheetView>
  </sheetViews>
  <sheetFormatPr defaultRowHeight="15" x14ac:dyDescent="0.25"/>
  <cols>
    <col min="1" max="1" width="3.7109375" customWidth="1"/>
    <col min="2" max="2" width="22.42578125" customWidth="1"/>
    <col min="3" max="3" width="23.7109375" customWidth="1"/>
    <col min="4" max="4" width="30.140625" customWidth="1"/>
    <col min="5" max="5" width="30.42578125" customWidth="1"/>
    <col min="6" max="6" width="25" customWidth="1"/>
    <col min="7" max="7" width="22.85546875" customWidth="1"/>
  </cols>
  <sheetData>
    <row r="1" spans="2:7" x14ac:dyDescent="0.25">
      <c r="B1" s="1" t="s">
        <v>221</v>
      </c>
    </row>
    <row r="2" spans="2:7" x14ac:dyDescent="0.25">
      <c r="B2" s="1" t="s">
        <v>293</v>
      </c>
    </row>
    <row r="3" spans="2:7" x14ac:dyDescent="0.25">
      <c r="B3" s="1"/>
    </row>
    <row r="4" spans="2:7" ht="15.75" thickBot="1" x14ac:dyDescent="0.3">
      <c r="B4" s="1" t="s">
        <v>227</v>
      </c>
    </row>
    <row r="5" spans="2:7" x14ac:dyDescent="0.25">
      <c r="B5" s="518" t="s">
        <v>285</v>
      </c>
      <c r="C5" s="521" t="s">
        <v>206</v>
      </c>
      <c r="D5" s="521"/>
      <c r="E5" s="521"/>
      <c r="F5" s="521"/>
      <c r="G5" s="522" t="s">
        <v>246</v>
      </c>
    </row>
    <row r="6" spans="2:7" x14ac:dyDescent="0.25">
      <c r="B6" s="519"/>
      <c r="C6" s="43" t="s">
        <v>207</v>
      </c>
      <c r="D6" s="43" t="s">
        <v>208</v>
      </c>
      <c r="E6" s="43" t="s">
        <v>209</v>
      </c>
      <c r="F6" s="43" t="s">
        <v>210</v>
      </c>
      <c r="G6" s="523"/>
    </row>
    <row r="7" spans="2:7" ht="45.75" thickBot="1" x14ac:dyDescent="0.3">
      <c r="B7" s="520"/>
      <c r="C7" s="43" t="s">
        <v>211</v>
      </c>
      <c r="D7" s="42" t="s">
        <v>330</v>
      </c>
      <c r="E7" s="43" t="s">
        <v>212</v>
      </c>
      <c r="F7" s="43" t="s">
        <v>213</v>
      </c>
      <c r="G7" s="523"/>
    </row>
    <row r="8" spans="2:7" x14ac:dyDescent="0.25">
      <c r="B8" s="312" t="s">
        <v>24</v>
      </c>
      <c r="C8" s="324">
        <v>10000</v>
      </c>
      <c r="D8" s="325">
        <v>1</v>
      </c>
      <c r="E8" s="325">
        <v>0.6</v>
      </c>
      <c r="F8" s="325">
        <v>10</v>
      </c>
      <c r="G8" s="326">
        <f>C8*D8*E8/F8</f>
        <v>600</v>
      </c>
    </row>
    <row r="9" spans="2:7" x14ac:dyDescent="0.25">
      <c r="B9" s="313" t="s">
        <v>13</v>
      </c>
      <c r="C9" s="327">
        <v>100</v>
      </c>
      <c r="D9" s="301">
        <v>3</v>
      </c>
      <c r="E9" s="301">
        <v>0.9</v>
      </c>
      <c r="F9" s="301">
        <v>5</v>
      </c>
      <c r="G9" s="328">
        <f t="shared" ref="G9:G17" si="0">C9*D9*E9/F9</f>
        <v>54</v>
      </c>
    </row>
    <row r="10" spans="2:7" x14ac:dyDescent="0.25">
      <c r="B10" s="313" t="s">
        <v>14</v>
      </c>
      <c r="C10" s="327">
        <v>1000</v>
      </c>
      <c r="D10" s="301">
        <v>2</v>
      </c>
      <c r="E10" s="301">
        <v>0.8</v>
      </c>
      <c r="F10" s="301">
        <v>7</v>
      </c>
      <c r="G10" s="328">
        <f t="shared" si="0"/>
        <v>228.57142857142858</v>
      </c>
    </row>
    <row r="11" spans="2:7" x14ac:dyDescent="0.25">
      <c r="B11" s="313" t="s">
        <v>15</v>
      </c>
      <c r="C11" s="327">
        <v>100</v>
      </c>
      <c r="D11" s="301">
        <v>0.5</v>
      </c>
      <c r="E11" s="301">
        <v>0.7</v>
      </c>
      <c r="F11" s="301">
        <v>2</v>
      </c>
      <c r="G11" s="328">
        <f t="shared" si="0"/>
        <v>17.5</v>
      </c>
    </row>
    <row r="12" spans="2:7" x14ac:dyDescent="0.25">
      <c r="B12" s="313" t="s">
        <v>17</v>
      </c>
      <c r="C12" s="327">
        <v>200</v>
      </c>
      <c r="D12" s="301">
        <v>3</v>
      </c>
      <c r="E12" s="301">
        <v>0.5</v>
      </c>
      <c r="F12" s="301">
        <v>12</v>
      </c>
      <c r="G12" s="328">
        <f t="shared" si="0"/>
        <v>25</v>
      </c>
    </row>
    <row r="13" spans="2:7" x14ac:dyDescent="0.25">
      <c r="B13" s="313" t="s">
        <v>18</v>
      </c>
      <c r="C13" s="327">
        <v>10</v>
      </c>
      <c r="D13" s="301">
        <v>1</v>
      </c>
      <c r="E13" s="301">
        <v>1</v>
      </c>
      <c r="F13" s="301">
        <v>13</v>
      </c>
      <c r="G13" s="328">
        <f t="shared" si="0"/>
        <v>0.76923076923076927</v>
      </c>
    </row>
    <row r="14" spans="2:7" x14ac:dyDescent="0.25">
      <c r="B14" s="313" t="s">
        <v>19</v>
      </c>
      <c r="C14" s="327">
        <v>50</v>
      </c>
      <c r="D14" s="301">
        <v>2</v>
      </c>
      <c r="E14" s="301">
        <v>0.8</v>
      </c>
      <c r="F14" s="301">
        <v>21</v>
      </c>
      <c r="G14" s="328">
        <f t="shared" si="0"/>
        <v>3.8095238095238093</v>
      </c>
    </row>
    <row r="15" spans="2:7" x14ac:dyDescent="0.25">
      <c r="B15" s="313" t="s">
        <v>20</v>
      </c>
      <c r="C15" s="327">
        <v>1000</v>
      </c>
      <c r="D15" s="301">
        <v>0.5</v>
      </c>
      <c r="E15" s="301">
        <v>0.9</v>
      </c>
      <c r="F15" s="301">
        <v>5</v>
      </c>
      <c r="G15" s="328">
        <f t="shared" si="0"/>
        <v>90</v>
      </c>
    </row>
    <row r="16" spans="2:7" x14ac:dyDescent="0.25">
      <c r="B16" s="313" t="s">
        <v>22</v>
      </c>
      <c r="C16" s="327">
        <v>20000</v>
      </c>
      <c r="D16" s="301">
        <v>0.25</v>
      </c>
      <c r="E16" s="301">
        <v>0.6</v>
      </c>
      <c r="F16" s="301">
        <v>7</v>
      </c>
      <c r="G16" s="328">
        <f t="shared" si="0"/>
        <v>428.57142857142856</v>
      </c>
    </row>
    <row r="17" spans="2:7" ht="15.75" thickBot="1" x14ac:dyDescent="0.3">
      <c r="B17" s="314" t="s">
        <v>23</v>
      </c>
      <c r="C17" s="329">
        <v>300</v>
      </c>
      <c r="D17" s="303">
        <v>2</v>
      </c>
      <c r="E17" s="303">
        <v>0.7</v>
      </c>
      <c r="F17" s="303">
        <v>3</v>
      </c>
      <c r="G17" s="330">
        <f t="shared" si="0"/>
        <v>140</v>
      </c>
    </row>
    <row r="18" spans="2:7" x14ac:dyDescent="0.25">
      <c r="B18" s="1"/>
      <c r="C18" s="139"/>
      <c r="G18" s="173"/>
    </row>
    <row r="19" spans="2:7" ht="15.75" thickBot="1" x14ac:dyDescent="0.3">
      <c r="B19" s="1" t="s">
        <v>228</v>
      </c>
    </row>
    <row r="20" spans="2:7" ht="30.75" thickBot="1" x14ac:dyDescent="0.3">
      <c r="B20" s="399" t="s">
        <v>224</v>
      </c>
      <c r="C20" s="400" t="s">
        <v>223</v>
      </c>
      <c r="D20" s="400" t="s">
        <v>225</v>
      </c>
      <c r="E20" s="401" t="s">
        <v>226</v>
      </c>
    </row>
    <row r="21" spans="2:7" x14ac:dyDescent="0.25">
      <c r="B21" s="202">
        <v>1</v>
      </c>
      <c r="C21" s="315" t="s">
        <v>24</v>
      </c>
      <c r="D21" s="318">
        <f>G8</f>
        <v>600</v>
      </c>
      <c r="E21" s="319">
        <v>600</v>
      </c>
    </row>
    <row r="22" spans="2:7" x14ac:dyDescent="0.25">
      <c r="B22" s="204">
        <v>2</v>
      </c>
      <c r="C22" s="316" t="s">
        <v>15</v>
      </c>
      <c r="D22" s="320">
        <f>G11</f>
        <v>17.5</v>
      </c>
      <c r="E22" s="321">
        <f>D21</f>
        <v>600</v>
      </c>
    </row>
    <row r="23" spans="2:7" x14ac:dyDescent="0.25">
      <c r="B23" s="204">
        <v>3</v>
      </c>
      <c r="C23" s="316" t="s">
        <v>22</v>
      </c>
      <c r="D23" s="320">
        <f>G16</f>
        <v>428.57142857142856</v>
      </c>
      <c r="E23" s="321">
        <v>428.57</v>
      </c>
    </row>
    <row r="24" spans="2:7" x14ac:dyDescent="0.25">
      <c r="B24" s="204">
        <v>4</v>
      </c>
      <c r="C24" s="316" t="s">
        <v>23</v>
      </c>
      <c r="D24" s="320">
        <f>G17</f>
        <v>140</v>
      </c>
      <c r="E24" s="321">
        <f>D23</f>
        <v>428.57142857142856</v>
      </c>
    </row>
    <row r="25" spans="2:7" x14ac:dyDescent="0.25">
      <c r="B25" s="204">
        <v>5</v>
      </c>
      <c r="C25" s="316" t="s">
        <v>20</v>
      </c>
      <c r="D25" s="320">
        <f>G15</f>
        <v>90</v>
      </c>
      <c r="E25" s="321">
        <f>D23</f>
        <v>428.57142857142856</v>
      </c>
    </row>
    <row r="26" spans="2:7" x14ac:dyDescent="0.25">
      <c r="B26" s="204">
        <v>6</v>
      </c>
      <c r="C26" s="316" t="s">
        <v>14</v>
      </c>
      <c r="D26" s="320">
        <f>G10</f>
        <v>228.57142857142858</v>
      </c>
      <c r="E26" s="321">
        <v>228.57</v>
      </c>
    </row>
    <row r="27" spans="2:7" x14ac:dyDescent="0.25">
      <c r="B27" s="204">
        <v>7</v>
      </c>
      <c r="C27" s="316" t="s">
        <v>13</v>
      </c>
      <c r="D27" s="320">
        <f>G9</f>
        <v>54</v>
      </c>
      <c r="E27" s="321">
        <v>54</v>
      </c>
    </row>
    <row r="28" spans="2:7" x14ac:dyDescent="0.25">
      <c r="B28" s="204">
        <v>8</v>
      </c>
      <c r="C28" s="316" t="s">
        <v>17</v>
      </c>
      <c r="D28" s="320">
        <f>G12</f>
        <v>25</v>
      </c>
      <c r="E28" s="321">
        <v>25</v>
      </c>
    </row>
    <row r="29" spans="2:7" x14ac:dyDescent="0.25">
      <c r="B29" s="204">
        <v>9</v>
      </c>
      <c r="C29" s="316" t="s">
        <v>19</v>
      </c>
      <c r="D29" s="320">
        <f>G14</f>
        <v>3.8095238095238093</v>
      </c>
      <c r="E29" s="321">
        <v>3.81</v>
      </c>
    </row>
    <row r="30" spans="2:7" ht="15.75" thickBot="1" x14ac:dyDescent="0.3">
      <c r="B30" s="205">
        <v>10</v>
      </c>
      <c r="C30" s="317" t="s">
        <v>18</v>
      </c>
      <c r="D30" s="322">
        <f>G13</f>
        <v>0.76923076923076927</v>
      </c>
      <c r="E30" s="323">
        <f>D29</f>
        <v>3.8095238095238093</v>
      </c>
    </row>
  </sheetData>
  <mergeCells count="3">
    <mergeCell ref="B5:B7"/>
    <mergeCell ref="C5:F5"/>
    <mergeCell ref="G5:G7"/>
  </mergeCells>
  <phoneticPr fontId="8" type="noConversion"/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4</vt:i4>
      </vt:variant>
    </vt:vector>
  </HeadingPairs>
  <TitlesOfParts>
    <vt:vector size="17" baseType="lpstr">
      <vt:lpstr>Сравнение оценок_формат</vt:lpstr>
      <vt:lpstr>Сравнение оценок</vt:lpstr>
      <vt:lpstr>Матрица_взаимосвязей_FR</vt:lpstr>
      <vt:lpstr>Fuzzy_MoSCoW_коллект_взвеш ср</vt:lpstr>
      <vt:lpstr>Fuzzy_MoSCoW_коллект_Hsu 1996</vt:lpstr>
      <vt:lpstr>Fuzzy_MoSCoW_коллект_Chen1998</vt:lpstr>
      <vt:lpstr>Fuzzy_MoSCoW_колл_Lu 2006</vt:lpstr>
      <vt:lpstr>Четкий MoSCoW_коллект_взвеш ср</vt:lpstr>
      <vt:lpstr>Четкий MoSCoW_коллект_Hsu 1996</vt:lpstr>
      <vt:lpstr>Четкий MoSCoW_коллект_Chen 1998</vt:lpstr>
      <vt:lpstr>Четкий MoSCoW_коллект_Lu 2006</vt:lpstr>
      <vt:lpstr>Fuzzy_RICE_один эксперт</vt:lpstr>
      <vt:lpstr>Четкий RICE_один эксперт</vt:lpstr>
      <vt:lpstr>'Fuzzy_MoSCoW_коллект_взвеш ср'!_Toc223326463</vt:lpstr>
      <vt:lpstr>'Четкий MoSCoW_коллект_Hsu 1996'!_Toc223326464</vt:lpstr>
      <vt:lpstr>Fuzzy_MoSCoW_коллект_Chen1998!_Toc223326466</vt:lpstr>
      <vt:lpstr>'Fuzzy_MoSCoW_колл_Lu 2006'!_Toc223326467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2026-04-26T11:45:11Z</dcterms:modified>
</cp:coreProperties>
</file>